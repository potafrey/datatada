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smu.sharepoint.com/teams/DataTada/Shared Documents/General/"/>
    </mc:Choice>
  </mc:AlternateContent>
  <xr:revisionPtr revIDLastSave="10" documentId="13_ncr:40009_{4B278C8C-920E-8843-BEFF-D98CCCB6367C}" xr6:coauthVersionLast="47" xr6:coauthVersionMax="47" xr10:uidLastSave="{AEFCD2C9-4373-4940-83BA-24B7AEED8909}"/>
  <bookViews>
    <workbookView xWindow="-120" yWindow="-120" windowWidth="29040" windowHeight="15720" xr2:uid="{00000000-000D-0000-FFFF-FFFF00000000}"/>
  </bookViews>
  <sheets>
    <sheet name="Voice of Customer" sheetId="1" r:id="rId1"/>
  </sheets>
  <functionGroups builtInGroupCount="19"/>
  <definedNames>
    <definedName name="_xlnm._FilterDatabase" localSheetId="0" hidden="1">'Voice of Customer'!$F$1:$F$14934</definedName>
    <definedName name="_xlchart.v1.0" hidden="1">'Voice of Customer'!$N$4:$N$11</definedName>
    <definedName name="_xlchart.v1.1" hidden="1">'Voice of Customer'!$O$4:$O$11</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1" i="1" l="1"/>
  <c r="O4" i="1"/>
  <c r="F3" i="1" a="1"/>
  <c r="G55" i="1" a="1"/>
  <c r="G119" i="1" a="1"/>
  <c r="G183" i="1" a="1"/>
  <c r="G247" i="1" a="1"/>
  <c r="G311" i="1" a="1"/>
  <c r="G52" i="1" a="1"/>
  <c r="G230" i="1" a="1"/>
  <c r="G332" i="1" a="1"/>
  <c r="G399" i="1" a="1"/>
  <c r="G463" i="1" a="1"/>
  <c r="G527" i="1" a="1"/>
  <c r="G591" i="1" a="1"/>
  <c r="G149" i="1" a="1"/>
  <c r="G22" i="1" a="1"/>
  <c r="G232" i="1" a="1"/>
  <c r="G434" i="1" a="1"/>
  <c r="G10" i="1" a="1"/>
  <c r="G233" i="1" a="1"/>
  <c r="G54" i="1" a="1"/>
  <c r="G346" i="1" a="1"/>
  <c r="G560" i="1" a="1"/>
  <c r="G145" i="1" a="1"/>
  <c r="G404" i="1" a="1"/>
  <c r="G597" i="1" a="1"/>
  <c r="G125" i="1" a="1"/>
  <c r="G389" i="1" a="1"/>
  <c r="G577" i="1" a="1"/>
  <c r="G177" i="1" a="1"/>
  <c r="G460" i="1" a="1"/>
  <c r="G628" i="1" a="1"/>
  <c r="G478" i="1" a="1"/>
  <c r="G713" i="1" a="1"/>
  <c r="G850" i="1" a="1"/>
  <c r="G161" i="1" a="1"/>
  <c r="G108" i="1" a="1"/>
  <c r="G635" i="1" a="1"/>
  <c r="G798" i="1" a="1"/>
  <c r="G954" i="1" a="1"/>
  <c r="G1082" i="1" a="1"/>
  <c r="G1210" i="1" a="1"/>
  <c r="G1338" i="1" a="1"/>
  <c r="G1466" i="1" a="1"/>
  <c r="G1594" i="1" a="1"/>
  <c r="G1722" i="1" a="1"/>
  <c r="G1850" i="1" a="1"/>
  <c r="G1963" i="1" a="1"/>
  <c r="G485" i="1" a="1"/>
  <c r="G757" i="1" a="1"/>
  <c r="G893" i="1" a="1"/>
  <c r="G422" i="1" a="1"/>
  <c r="G711" i="1" a="1"/>
  <c r="G857" i="1" a="1"/>
  <c r="G1001" i="1" a="1"/>
  <c r="G648" i="1" a="1"/>
  <c r="G821" i="1" a="1"/>
  <c r="G666" i="1" a="1"/>
  <c r="G827" i="1" a="1"/>
  <c r="G574" i="1" a="1"/>
  <c r="G755" i="1" a="1"/>
  <c r="G374" i="1" a="1"/>
  <c r="G724" i="1" a="1"/>
  <c r="G152" i="1" a="1"/>
  <c r="G656" i="1" a="1"/>
  <c r="G813" i="1" a="1"/>
  <c r="G958" i="1" a="1"/>
  <c r="G1037" i="1" a="1"/>
  <c r="G1199" i="1" a="1"/>
  <c r="G1335" i="1" a="1"/>
  <c r="G1476" i="1" a="1"/>
  <c r="G1622" i="1" a="1"/>
  <c r="G1779" i="1" a="1"/>
  <c r="G1915" i="1" a="1"/>
  <c r="G1027" i="1" a="1"/>
  <c r="G1173" i="1" a="1"/>
  <c r="G1314" i="1" a="1"/>
  <c r="G1450" i="1" a="1"/>
  <c r="G1612" i="1" a="1"/>
  <c r="G1758" i="1" a="1"/>
  <c r="G998" i="1" a="1"/>
  <c r="G1143" i="1" a="1"/>
  <c r="G1284" i="1" a="1"/>
  <c r="G1430" i="1" a="1"/>
  <c r="G1587" i="1" a="1"/>
  <c r="G1723" i="1" a="1"/>
  <c r="G1869" i="1" a="1"/>
  <c r="G993" i="1" a="1"/>
  <c r="G1133" i="1" a="1"/>
  <c r="G961" i="1" a="1"/>
  <c r="G1139" i="1" a="1"/>
  <c r="G948" i="1" a="1"/>
  <c r="G1104" i="1" a="1"/>
  <c r="G1245" i="1" a="1"/>
  <c r="G1381" i="1" a="1"/>
  <c r="G1543" i="1" a="1"/>
  <c r="G1689" i="1" a="1"/>
  <c r="G1825" i="1" a="1"/>
  <c r="G1978" i="1" a="1"/>
  <c r="G1203" i="1" a="1"/>
  <c r="G1483" i="1" a="1"/>
  <c r="G1807" i="1" a="1"/>
  <c r="G2032" i="1" a="1"/>
  <c r="G2160" i="1" a="1"/>
  <c r="G2288" i="1" a="1"/>
  <c r="G2416" i="1" a="1"/>
  <c r="G2544" i="1" a="1"/>
  <c r="G2672" i="1" a="1"/>
  <c r="G1327" i="1" a="1"/>
  <c r="G1588" i="1" a="1"/>
  <c r="G1884" i="1" a="1"/>
  <c r="G976" i="1" a="1"/>
  <c r="G1432" i="1" a="1"/>
  <c r="G1714" i="1" a="1"/>
  <c r="G1972" i="1" a="1"/>
  <c r="G982" i="1" a="1"/>
  <c r="G1394" i="1" a="1"/>
  <c r="G1156" i="1" a="1"/>
  <c r="G1249" i="1" a="1"/>
  <c r="G1563" i="1" a="1"/>
  <c r="G1822" i="1" a="1"/>
  <c r="G1447" i="1" a="1"/>
  <c r="G1980" i="1" a="1"/>
  <c r="G2147" i="1" a="1"/>
  <c r="G2309" i="1" a="1"/>
  <c r="G2445" i="1" a="1"/>
  <c r="G2586" i="1" a="1"/>
  <c r="G2732" i="1" a="1"/>
  <c r="G59" i="1" a="1"/>
  <c r="G123" i="1" a="1"/>
  <c r="G187" i="1" a="1"/>
  <c r="G251" i="1" a="1"/>
  <c r="G315" i="1" a="1"/>
  <c r="G70" i="1" a="1"/>
  <c r="G237" i="1" a="1"/>
  <c r="G337" i="1" a="1"/>
  <c r="G403" i="1" a="1"/>
  <c r="G467" i="1" a="1"/>
  <c r="G531" i="1" a="1"/>
  <c r="G595" i="1" a="1"/>
  <c r="G156" i="1" a="1"/>
  <c r="G32" i="1" a="1"/>
  <c r="G256" i="1" a="1"/>
  <c r="G448" i="1" a="1"/>
  <c r="G24" i="1" a="1"/>
  <c r="G241" i="1" a="1"/>
  <c r="G65" i="1" a="1"/>
  <c r="G353" i="1" a="1"/>
  <c r="G565" i="1" a="1"/>
  <c r="G169" i="1" a="1"/>
  <c r="G409" i="1" a="1"/>
  <c r="G606" i="1" a="1"/>
  <c r="G136" i="1" a="1"/>
  <c r="G394" i="1" a="1"/>
  <c r="G582" i="1" a="1"/>
  <c r="G201" i="1" a="1"/>
  <c r="G465" i="1" a="1"/>
  <c r="G637" i="1" a="1"/>
  <c r="G520" i="1" a="1"/>
  <c r="G722" i="1" a="1"/>
  <c r="G855" i="1" a="1"/>
  <c r="G229" i="1" a="1"/>
  <c r="G132" i="1" a="1"/>
  <c r="G651" i="1" a="1"/>
  <c r="G814" i="1" a="1"/>
  <c r="G959" i="1" a="1"/>
  <c r="G1087" i="1" a="1"/>
  <c r="G1215" i="1" a="1"/>
  <c r="G1343" i="1" a="1"/>
  <c r="G1471" i="1" a="1"/>
  <c r="G1599" i="1" a="1"/>
  <c r="G1727" i="1" a="1"/>
  <c r="G1855" i="1" a="1"/>
  <c r="G1967" i="1" a="1"/>
  <c r="G496" i="1" a="1"/>
  <c r="G762" i="1" a="1"/>
  <c r="G898" i="1" a="1"/>
  <c r="G452" i="1" a="1"/>
  <c r="G716" i="1" a="1"/>
  <c r="G862" i="1" a="1"/>
  <c r="G1010" i="1" a="1"/>
  <c r="G665" i="1" a="1"/>
  <c r="G826" i="1" a="1"/>
  <c r="G672" i="1" a="1"/>
  <c r="G843" i="1" a="1"/>
  <c r="G588" i="1" a="1"/>
  <c r="G760" i="1" a="1"/>
  <c r="G401" i="1" a="1"/>
  <c r="G729" i="1" a="1"/>
  <c r="G242" i="1" a="1"/>
  <c r="G662" i="1" a="1"/>
  <c r="G819" i="1" a="1"/>
  <c r="G963" i="1" a="1"/>
  <c r="G1042" i="1" a="1"/>
  <c r="G1204" i="1" a="1"/>
  <c r="G1340" i="1" a="1"/>
  <c r="G1481" i="1" a="1"/>
  <c r="G1643" i="1" a="1"/>
  <c r="G1784" i="1" a="1"/>
  <c r="G1920" i="1" a="1"/>
  <c r="G1043" i="1" a="1"/>
  <c r="G1179" i="1" a="1"/>
  <c r="G1325" i="1" a="1"/>
  <c r="G1487" i="1" a="1"/>
  <c r="G1623" i="1" a="1"/>
  <c r="G1764" i="1" a="1"/>
  <c r="G1004" i="1" a="1"/>
  <c r="G1148" i="1" a="1"/>
  <c r="G1289" i="1" a="1"/>
  <c r="G1451" i="1" a="1"/>
  <c r="G1592" i="1" a="1"/>
  <c r="G1728" i="1" a="1"/>
  <c r="G1874" i="1" a="1"/>
  <c r="G999" i="1" a="1"/>
  <c r="G1138" i="1" a="1"/>
  <c r="G981" i="1" a="1"/>
  <c r="G1144" i="1" a="1"/>
  <c r="G964" i="1" a="1"/>
  <c r="G1109" i="1" a="1"/>
  <c r="G1250" i="1" a="1"/>
  <c r="G1386" i="1" a="1"/>
  <c r="G1548" i="1" a="1"/>
  <c r="G1694" i="1" a="1"/>
  <c r="G1830" i="1" a="1"/>
  <c r="G1987" i="1" a="1"/>
  <c r="G1232" i="1" a="1"/>
  <c r="G1493" i="1" a="1"/>
  <c r="G1816" i="1" a="1"/>
  <c r="G2041" i="1" a="1"/>
  <c r="G2169" i="1" a="1"/>
  <c r="G2297" i="1" a="1"/>
  <c r="G2425" i="1" a="1"/>
  <c r="G2553" i="1" a="1"/>
  <c r="G2681" i="1" a="1"/>
  <c r="G1337" i="1" a="1"/>
  <c r="G1598" i="1" a="1"/>
  <c r="G1892" i="1" a="1"/>
  <c r="G1045" i="1" a="1"/>
  <c r="G1442" i="1" a="1"/>
  <c r="G1735" i="1" a="1"/>
  <c r="G2010" i="1" a="1"/>
  <c r="G1007" i="1" a="1"/>
  <c r="G1415" i="1" a="1"/>
  <c r="G1227" i="1" a="1"/>
  <c r="G1270" i="1" a="1"/>
  <c r="G1573" i="1" a="1"/>
  <c r="G1839" i="1" a="1"/>
  <c r="G1474" i="1" a="1"/>
  <c r="G2030" i="1" a="1"/>
  <c r="G2168" i="1" a="1"/>
  <c r="G2314" i="1" a="1"/>
  <c r="G2450" i="1" a="1"/>
  <c r="G2591" i="1" a="1"/>
  <c r="G2741" i="1" a="1"/>
  <c r="G2831" i="1" a="1"/>
  <c r="G63" i="1" a="1"/>
  <c r="G127" i="1" a="1"/>
  <c r="G191" i="1" a="1"/>
  <c r="G255" i="1" a="1"/>
  <c r="G319" i="1" a="1"/>
  <c r="G77" i="1" a="1"/>
  <c r="G244" i="1" a="1"/>
  <c r="G342" i="1" a="1"/>
  <c r="G407" i="1" a="1"/>
  <c r="G471" i="1" a="1"/>
  <c r="G535" i="1" a="1"/>
  <c r="G8" i="1" a="1"/>
  <c r="G174" i="1" a="1"/>
  <c r="G42" i="1" a="1"/>
  <c r="G269" i="1" a="1"/>
  <c r="G457" i="1" a="1"/>
  <c r="G33" i="1" a="1"/>
  <c r="G249" i="1" a="1"/>
  <c r="G76" i="1" a="1"/>
  <c r="G377" i="1" a="1"/>
  <c r="G570" i="1" a="1"/>
  <c r="G178" i="1" a="1"/>
  <c r="G414" i="1" a="1"/>
  <c r="G611" i="1" a="1"/>
  <c r="G158" i="1" a="1"/>
  <c r="G420" i="1" a="1"/>
  <c r="G602" i="1" a="1"/>
  <c r="G210" i="1" a="1"/>
  <c r="G470" i="1" a="1"/>
  <c r="G646" i="1" a="1"/>
  <c r="G541" i="1" a="1"/>
  <c r="G727" i="1" a="1"/>
  <c r="G864" i="1" a="1"/>
  <c r="G270" i="1" a="1"/>
  <c r="G200" i="1" a="1"/>
  <c r="G657" i="1" a="1"/>
  <c r="G835" i="1" a="1"/>
  <c r="G968" i="1" a="1"/>
  <c r="G1096" i="1" a="1"/>
  <c r="G1224" i="1" a="1"/>
  <c r="G1352" i="1" a="1"/>
  <c r="G1480" i="1" a="1"/>
  <c r="G1608" i="1" a="1"/>
  <c r="G1736" i="1" a="1"/>
  <c r="G1864" i="1" a="1"/>
  <c r="G1971" i="1" a="1"/>
  <c r="G510" i="1" a="1"/>
  <c r="G773" i="1" a="1"/>
  <c r="G935" i="1" a="1"/>
  <c r="G474" i="1" a="1"/>
  <c r="G721" i="1" a="1"/>
  <c r="G878" i="1" a="1"/>
  <c r="G1015" i="1" a="1"/>
  <c r="G677" i="1" a="1"/>
  <c r="G97" i="1" a="1"/>
  <c r="G690" i="1" a="1"/>
  <c r="G848" i="1" a="1"/>
  <c r="G599" i="1" a="1"/>
  <c r="G765" i="1" a="1"/>
  <c r="G417" i="1" a="1"/>
  <c r="G734" i="1" a="1"/>
  <c r="G344" i="1" a="1"/>
  <c r="G674" i="1" a="1"/>
  <c r="G824" i="1" a="1"/>
  <c r="G972" i="1" a="1"/>
  <c r="G1063" i="1" a="1"/>
  <c r="G1209" i="1" a="1"/>
  <c r="G1345" i="1" a="1"/>
  <c r="G1486" i="1" a="1"/>
  <c r="G1648" i="1" a="1"/>
  <c r="G1789" i="1" a="1"/>
  <c r="G1925" i="1" a="1"/>
  <c r="G1048" i="1" a="1"/>
  <c r="G1184" i="1" a="1"/>
  <c r="G1330" i="1" a="1"/>
  <c r="G1492" i="1" a="1"/>
  <c r="G1628" i="1" a="1"/>
  <c r="G1769" i="1" a="1"/>
  <c r="G1011" i="1" a="1"/>
  <c r="G1153" i="1" a="1"/>
  <c r="G1294" i="1" a="1"/>
  <c r="G1456" i="1" a="1"/>
  <c r="G1597" i="1" a="1"/>
  <c r="G1733" i="1" a="1"/>
  <c r="G1895" i="1" a="1"/>
  <c r="G1005" i="1" a="1"/>
  <c r="G1159" i="1" a="1"/>
  <c r="G988" i="1" a="1"/>
  <c r="G1149" i="1" a="1"/>
  <c r="G971" i="1" a="1"/>
  <c r="G1115" i="1" a="1"/>
  <c r="G1261" i="1" a="1"/>
  <c r="G1423" i="1" a="1"/>
  <c r="G1559" i="1" a="1"/>
  <c r="G1700" i="1" a="1"/>
  <c r="G1846" i="1" a="1"/>
  <c r="G1991" i="1" a="1"/>
  <c r="G1243" i="1" a="1"/>
  <c r="G1504" i="1" a="1"/>
  <c r="G1824" i="1" a="1"/>
  <c r="G2050" i="1" a="1"/>
  <c r="G2178" i="1" a="1"/>
  <c r="G2306" i="1" a="1"/>
  <c r="G2434" i="1" a="1"/>
  <c r="G2562" i="1" a="1"/>
  <c r="G2690" i="1" a="1"/>
  <c r="G1348" i="1" a="1"/>
  <c r="G1609" i="1" a="1"/>
  <c r="G1901" i="1" a="1"/>
  <c r="G1066" i="1" a="1"/>
  <c r="G1453" i="1" a="1"/>
  <c r="G1756" i="1" a="1"/>
  <c r="G2019" i="1" a="1"/>
  <c r="G1051" i="1" a="1"/>
  <c r="G1436" i="1" a="1"/>
  <c r="G1238" i="1" a="1"/>
  <c r="G1291" i="1" a="1"/>
  <c r="G1615" i="1" a="1"/>
  <c r="G1889" i="1" a="1"/>
  <c r="G1531" i="1" a="1"/>
  <c r="G2036" i="1" a="1"/>
  <c r="G2173" i="1" a="1"/>
  <c r="G2319" i="1" a="1"/>
  <c r="G2455" i="1" a="1"/>
  <c r="G2612" i="1" a="1"/>
  <c r="G2750" i="1" a="1"/>
  <c r="G3" i="1" a="1"/>
  <c r="G67" i="1" a="1"/>
  <c r="G131" i="1" a="1"/>
  <c r="G195" i="1" a="1"/>
  <c r="G259" i="1" a="1"/>
  <c r="G323" i="1" a="1"/>
  <c r="G84" i="1" a="1"/>
  <c r="G262" i="1" a="1"/>
  <c r="G347" i="1" a="1"/>
  <c r="G411" i="1" a="1"/>
  <c r="G475" i="1" a="1"/>
  <c r="G539" i="1" a="1"/>
  <c r="G14" i="1" a="1"/>
  <c r="G181" i="1" a="1"/>
  <c r="G61" i="1" a="1"/>
  <c r="G281" i="1" a="1"/>
  <c r="G466" i="1" a="1"/>
  <c r="G44" i="1" a="1"/>
  <c r="G257" i="1" a="1"/>
  <c r="G100" i="1" a="1"/>
  <c r="G382" i="1" a="1"/>
  <c r="G581" i="1" a="1"/>
  <c r="G192" i="1" a="1"/>
  <c r="G430" i="1" a="1"/>
  <c r="G620" i="1" a="1"/>
  <c r="G182" i="1" a="1"/>
  <c r="G436" i="1" a="1"/>
  <c r="G607" i="1" a="1"/>
  <c r="G234" i="1" a="1"/>
  <c r="G476" i="1" a="1"/>
  <c r="G17" i="1" a="1"/>
  <c r="G593" i="1" a="1"/>
  <c r="G736" i="1" a="1"/>
  <c r="G873" i="1" a="1"/>
  <c r="G302" i="1" a="1"/>
  <c r="G221" i="1" a="1"/>
  <c r="G669" i="1" a="1"/>
  <c r="G840" i="1" a="1"/>
  <c r="G977" i="1" a="1"/>
  <c r="G1105" i="1" a="1"/>
  <c r="G1233" i="1" a="1"/>
  <c r="G1361" i="1" a="1"/>
  <c r="G1489" i="1" a="1"/>
  <c r="G1617" i="1" a="1"/>
  <c r="G1745" i="1" a="1"/>
  <c r="G1873" i="1" a="1"/>
  <c r="G1975" i="1" a="1"/>
  <c r="G546" i="1" a="1"/>
  <c r="G778" i="1" a="1"/>
  <c r="G940" i="1" a="1"/>
  <c r="G500" i="1" a="1"/>
  <c r="G726" i="1" a="1"/>
  <c r="G899" i="1" a="1"/>
  <c r="G82" i="1" a="1"/>
  <c r="G683" i="1" a="1"/>
  <c r="G186" i="1" a="1"/>
  <c r="G696" i="1" a="1"/>
  <c r="G853" i="1" a="1"/>
  <c r="G618" i="1" a="1"/>
  <c r="G770" i="1" a="1"/>
  <c r="G458" i="1" a="1"/>
  <c r="G750" i="1" a="1"/>
  <c r="G376" i="1" a="1"/>
  <c r="G686" i="1" a="1"/>
  <c r="G829" i="1" a="1"/>
  <c r="G828" i="1" a="1"/>
  <c r="G1068" i="1" a="1"/>
  <c r="G1214" i="1" a="1"/>
  <c r="G1350" i="1" a="1"/>
  <c r="G1507" i="1" a="1"/>
  <c r="G1653" i="1" a="1"/>
  <c r="G1794" i="1" a="1"/>
  <c r="G1930" i="1" a="1"/>
  <c r="G1053" i="1" a="1"/>
  <c r="G1189" i="1" a="1"/>
  <c r="G1351" i="1" a="1"/>
  <c r="G1497" i="1" a="1"/>
  <c r="G1633" i="1" a="1"/>
  <c r="G1774" i="1" a="1"/>
  <c r="G1022" i="1" a="1"/>
  <c r="G1158" i="1" a="1"/>
  <c r="G1315" i="1" a="1"/>
  <c r="G1461" i="1" a="1"/>
  <c r="G1602" i="1" a="1"/>
  <c r="G1738" i="1" a="1"/>
  <c r="G1900" i="1" a="1"/>
  <c r="G1017" i="1" a="1"/>
  <c r="G1164" i="1" a="1"/>
  <c r="G1006" i="1" a="1"/>
  <c r="G1154" i="1" a="1"/>
  <c r="G984" i="1" a="1"/>
  <c r="G1120" i="1" a="1"/>
  <c r="G1266" i="1" a="1"/>
  <c r="G1428" i="1" a="1"/>
  <c r="G1564" i="1" a="1"/>
  <c r="G1705" i="1" a="1"/>
  <c r="G1867" i="1" a="1"/>
  <c r="G1995" i="1" a="1"/>
  <c r="G1253" i="1" a="1"/>
  <c r="G1514" i="1" a="1"/>
  <c r="G1833" i="1" a="1"/>
  <c r="G2059" i="1" a="1"/>
  <c r="G2187" i="1" a="1"/>
  <c r="G2315" i="1" a="1"/>
  <c r="G2443" i="1" a="1"/>
  <c r="G2571" i="1" a="1"/>
  <c r="G895" i="1" a="1"/>
  <c r="G1358" i="1" a="1"/>
  <c r="G1651" i="1" a="1"/>
  <c r="G1908" i="1" a="1"/>
  <c r="G1108" i="1" a="1"/>
  <c r="G1484" i="1" a="1"/>
  <c r="G1766" i="1" a="1"/>
  <c r="G2024" i="1" a="1"/>
  <c r="G1113" i="1" a="1"/>
  <c r="G1446" i="1" a="1"/>
  <c r="G1259" i="1" a="1"/>
  <c r="G1301" i="1" a="1"/>
  <c r="G1625" i="1" a="1"/>
  <c r="G1897" i="1" a="1"/>
  <c r="G1558" i="1" a="1"/>
  <c r="G2048" i="1" a="1"/>
  <c r="G2184" i="1" a="1"/>
  <c r="G2325" i="1" a="1"/>
  <c r="G2471" i="1" a="1"/>
  <c r="G2628" i="1" a="1"/>
  <c r="G2759" i="1" a="1"/>
  <c r="G7" i="1" a="1"/>
  <c r="G71" i="1" a="1"/>
  <c r="G135" i="1" a="1"/>
  <c r="G199" i="1" a="1"/>
  <c r="G263" i="1" a="1"/>
  <c r="G327" i="1" a="1"/>
  <c r="G102" i="1" a="1"/>
  <c r="G268" i="1" a="1"/>
  <c r="G351" i="1" a="1"/>
  <c r="G415" i="1" a="1"/>
  <c r="G479" i="1" a="1"/>
  <c r="G543" i="1" a="1"/>
  <c r="G21" i="1" a="1"/>
  <c r="G188" i="1" a="1"/>
  <c r="G69" i="1" a="1"/>
  <c r="G293" i="1" a="1"/>
  <c r="G480" i="1" a="1"/>
  <c r="G80" i="1" a="1"/>
  <c r="G264" i="1" a="1"/>
  <c r="G122" i="1" a="1"/>
  <c r="G398" i="1" a="1"/>
  <c r="G586" i="1" a="1"/>
  <c r="G202" i="1" a="1"/>
  <c r="G456" i="1" a="1"/>
  <c r="G629" i="1" a="1"/>
  <c r="G193" i="1" a="1"/>
  <c r="G441" i="1" a="1"/>
  <c r="G616" i="1" a="1"/>
  <c r="G254" i="1" a="1"/>
  <c r="G481" i="1" a="1"/>
  <c r="G114" i="1" a="1"/>
  <c r="G603" i="1" a="1"/>
  <c r="G745" i="1" a="1"/>
  <c r="G882" i="1" a="1"/>
  <c r="G334" i="1" a="1"/>
  <c r="G118" i="1" a="1"/>
  <c r="G681" i="1" a="1"/>
  <c r="G845" i="1" a="1"/>
  <c r="G986" i="1" a="1"/>
  <c r="G1114" i="1" a="1"/>
  <c r="G1242" i="1" a="1"/>
  <c r="G1370" i="1" a="1"/>
  <c r="G1498" i="1" a="1"/>
  <c r="G1626" i="1" a="1"/>
  <c r="G1754" i="1" a="1"/>
  <c r="G1882" i="1" a="1"/>
  <c r="G1979" i="1" a="1"/>
  <c r="G557" i="1" a="1"/>
  <c r="G799" i="1" a="1"/>
  <c r="G945" i="1" a="1"/>
  <c r="G522" i="1" a="1"/>
  <c r="G732" i="1" a="1"/>
  <c r="G904" i="1" a="1"/>
  <c r="G128" i="1" a="1"/>
  <c r="G701" i="1" a="1"/>
  <c r="G400" i="1" a="1"/>
  <c r="G707" i="1" a="1"/>
  <c r="G858" i="1" a="1"/>
  <c r="G631" i="1" a="1"/>
  <c r="G807" i="1" a="1"/>
  <c r="G469" i="1" a="1"/>
  <c r="G771" i="1" a="1"/>
  <c r="G390" i="1" a="1"/>
  <c r="G692" i="1" a="1"/>
  <c r="G834" i="1" a="1"/>
  <c r="G865" i="1" a="1"/>
  <c r="G1079" i="1" a="1"/>
  <c r="G1220" i="1" a="1"/>
  <c r="G1366" i="1" a="1"/>
  <c r="G1523" i="1" a="1"/>
  <c r="G1659" i="1" a="1"/>
  <c r="G1805" i="1" a="1"/>
  <c r="G1956" i="1" a="1"/>
  <c r="G1058" i="1" a="1"/>
  <c r="G1194" i="1" a="1"/>
  <c r="G1356" i="1" a="1"/>
  <c r="G1502" i="1" a="1"/>
  <c r="G1638" i="1" a="1"/>
  <c r="G1795" i="1" a="1"/>
  <c r="G1028" i="1" a="1"/>
  <c r="G1174" i="1" a="1"/>
  <c r="G1331" i="1" a="1"/>
  <c r="G1467" i="1" a="1"/>
  <c r="G1613" i="1" a="1"/>
  <c r="G1775" i="1" a="1"/>
  <c r="G1911" i="1" a="1"/>
  <c r="G1039" i="1" a="1"/>
  <c r="G1175" i="1" a="1"/>
  <c r="G1012" i="1" a="1"/>
  <c r="G1165" i="1" a="1"/>
  <c r="G996" i="1" a="1"/>
  <c r="G1125" i="1" a="1"/>
  <c r="G1287" i="1" a="1"/>
  <c r="G1433" i="1" a="1"/>
  <c r="G1569" i="1" a="1"/>
  <c r="G1710" i="1" a="1"/>
  <c r="G1872" i="1" a="1"/>
  <c r="G1999" i="1" a="1"/>
  <c r="G1295" i="1" a="1"/>
  <c r="G1556" i="1" a="1"/>
  <c r="G1840" i="1" a="1"/>
  <c r="G2064" i="1" a="1"/>
  <c r="G2192" i="1" a="1"/>
  <c r="G2320" i="1" a="1"/>
  <c r="G2448" i="1" a="1"/>
  <c r="G2576" i="1" a="1"/>
  <c r="G970" i="1" a="1"/>
  <c r="G1379" i="1" a="1"/>
  <c r="G1661" i="1" a="1"/>
  <c r="G1917" i="1" a="1"/>
  <c r="G1129" i="1" a="1"/>
  <c r="G1495" i="1" a="1"/>
  <c r="G1808" i="1" a="1"/>
  <c r="G2033" i="1" a="1"/>
  <c r="G1134" i="1" a="1"/>
  <c r="G1488" i="1" a="1"/>
  <c r="G1269" i="1" a="1"/>
  <c r="G1312" i="1" a="1"/>
  <c r="G1636" i="1" a="1"/>
  <c r="G1906" i="1" a="1"/>
  <c r="G1582" i="1" a="1"/>
  <c r="G2053" i="1" a="1"/>
  <c r="G2189" i="1" a="1"/>
  <c r="G2330" i="1" a="1"/>
  <c r="G2492" i="1" a="1"/>
  <c r="G2633" i="1" a="1"/>
  <c r="G2764" i="1" a="1"/>
  <c r="G11" i="1" a="1"/>
  <c r="G75" i="1" a="1"/>
  <c r="G139" i="1" a="1"/>
  <c r="G203" i="1" a="1"/>
  <c r="G267" i="1" a="1"/>
  <c r="G331" i="1" a="1"/>
  <c r="G109" i="1" a="1"/>
  <c r="G273" i="1" a="1"/>
  <c r="G355" i="1" a="1"/>
  <c r="G419" i="1" a="1"/>
  <c r="G483" i="1" a="1"/>
  <c r="G547" i="1" a="1"/>
  <c r="G28" i="1" a="1"/>
  <c r="G206" i="1" a="1"/>
  <c r="G86" i="1" a="1"/>
  <c r="G312" i="1" a="1"/>
  <c r="G489" i="1" a="1"/>
  <c r="G88" i="1" a="1"/>
  <c r="G276" i="1" a="1"/>
  <c r="G133" i="1" a="1"/>
  <c r="G424" i="1" a="1"/>
  <c r="G601" i="1" a="1"/>
  <c r="G226" i="1" a="1"/>
  <c r="G461" i="1" a="1"/>
  <c r="G638" i="1" a="1"/>
  <c r="G204" i="1" a="1"/>
  <c r="G446" i="1" a="1"/>
  <c r="G625" i="1" a="1"/>
  <c r="G265" i="1" a="1"/>
  <c r="G486" i="1" a="1"/>
  <c r="G137" i="1" a="1"/>
  <c r="G612" i="1" a="1"/>
  <c r="G754" i="1" a="1"/>
  <c r="G887" i="1" a="1"/>
  <c r="G362" i="1" a="1"/>
  <c r="G165" i="1" a="1"/>
  <c r="G687" i="1" a="1"/>
  <c r="G851" i="1" a="1"/>
  <c r="G991" i="1" a="1"/>
  <c r="G1119" i="1" a="1"/>
  <c r="G1247" i="1" a="1"/>
  <c r="G1375" i="1" a="1"/>
  <c r="G1503" i="1" a="1"/>
  <c r="G1631" i="1" a="1"/>
  <c r="G1759" i="1" a="1"/>
  <c r="G1887" i="1" a="1"/>
  <c r="G1983" i="1" a="1"/>
  <c r="G604" i="1" a="1"/>
  <c r="G804" i="1" a="1"/>
  <c r="G950" i="1" a="1"/>
  <c r="G536" i="1" a="1"/>
  <c r="G737" i="1" a="1"/>
  <c r="G909" i="1" a="1"/>
  <c r="G176" i="1" a="1"/>
  <c r="G706" i="1" a="1"/>
  <c r="G412" i="1" a="1"/>
  <c r="G712" i="1" a="1"/>
  <c r="G57" i="1" a="1"/>
  <c r="G649" i="1" a="1"/>
  <c r="G812" i="1" a="1"/>
  <c r="G494" i="1" a="1"/>
  <c r="G776" i="1" a="1"/>
  <c r="G432" i="1" a="1"/>
  <c r="G698" i="1" a="1"/>
  <c r="G871" i="1" a="1"/>
  <c r="G907" i="1" a="1"/>
  <c r="G1084" i="1" a="1"/>
  <c r="G1225" i="1" a="1"/>
  <c r="G1387" i="1" a="1"/>
  <c r="G1528" i="1" a="1"/>
  <c r="G1664" i="1" a="1"/>
  <c r="G1810" i="1" a="1"/>
  <c r="G1965" i="1" a="1"/>
  <c r="G1069" i="1" a="1"/>
  <c r="G1231" i="1" a="1"/>
  <c r="G1367" i="1" a="1"/>
  <c r="G1508" i="1" a="1"/>
  <c r="G1654" i="1" a="1"/>
  <c r="G1811" i="1" a="1"/>
  <c r="G1033" i="1" a="1"/>
  <c r="G1195" i="1" a="1"/>
  <c r="G1336" i="1" a="1"/>
  <c r="G1472" i="1" a="1"/>
  <c r="G1618" i="1" a="1"/>
  <c r="G1780" i="1" a="1"/>
  <c r="G1916" i="1" a="1"/>
  <c r="G1044" i="1" a="1"/>
  <c r="G1180" i="1" a="1"/>
  <c r="G1024" i="1" a="1"/>
  <c r="G1170" i="1" a="1"/>
  <c r="G1002" i="1" a="1"/>
  <c r="G1130" i="1" a="1"/>
  <c r="G1292" i="1" a="1"/>
  <c r="G1438" i="1" a="1"/>
  <c r="G1574" i="1" a="1"/>
  <c r="G1731" i="1" a="1"/>
  <c r="G1877" i="1" a="1"/>
  <c r="G2003" i="1" a="1"/>
  <c r="G1305" i="1" a="1"/>
  <c r="G1566" i="1" a="1"/>
  <c r="G1849" i="1" a="1"/>
  <c r="G2073" i="1" a="1"/>
  <c r="G2201" i="1" a="1"/>
  <c r="G2329" i="1" a="1"/>
  <c r="G2457" i="1" a="1"/>
  <c r="G2585" i="1" a="1"/>
  <c r="G995" i="1" a="1"/>
  <c r="G1400" i="1" a="1"/>
  <c r="G1682" i="1" a="1"/>
  <c r="G1932" i="1" a="1"/>
  <c r="G1171" i="1" a="1"/>
  <c r="G1505" i="1" a="1"/>
  <c r="G1826" i="1" a="1"/>
  <c r="G2042" i="1" a="1"/>
  <c r="G1155" i="1" a="1"/>
  <c r="G1499" i="1" a="1"/>
  <c r="G1280" i="1" a="1"/>
  <c r="G1322" i="1" a="1"/>
  <c r="G1646" i="1" a="1"/>
  <c r="G1913" i="1" a="1"/>
  <c r="G1603" i="1" a="1"/>
  <c r="G2058" i="1" a="1"/>
  <c r="G2194" i="1" a="1"/>
  <c r="G2335" i="1" a="1"/>
  <c r="G2497" i="1" a="1"/>
  <c r="G2638" i="1" a="1"/>
  <c r="G2773" i="1" a="1"/>
  <c r="G15" i="1" a="1"/>
  <c r="G79" i="1" a="1"/>
  <c r="G143" i="1" a="1"/>
  <c r="G207" i="1" a="1"/>
  <c r="G271" i="1" a="1"/>
  <c r="G335" i="1" a="1"/>
  <c r="G116" i="1" a="1"/>
  <c r="G278" i="1" a="1"/>
  <c r="G359" i="1" a="1"/>
  <c r="G423" i="1" a="1"/>
  <c r="G487" i="1" a="1"/>
  <c r="G551" i="1" a="1"/>
  <c r="G46" i="1" a="1"/>
  <c r="G213" i="1" a="1"/>
  <c r="G94" i="1" a="1"/>
  <c r="G324" i="1" a="1"/>
  <c r="G498" i="1" a="1"/>
  <c r="G96" i="1" a="1"/>
  <c r="G288" i="1" a="1"/>
  <c r="G157" i="1" a="1"/>
  <c r="G429" i="1" a="1"/>
  <c r="G610" i="1" a="1"/>
  <c r="G248" i="1" a="1"/>
  <c r="G472" i="1" a="1"/>
  <c r="G643" i="1" a="1"/>
  <c r="G228" i="1" a="1"/>
  <c r="G462" i="1" a="1"/>
  <c r="G634" i="1" a="1"/>
  <c r="G297" i="1" a="1"/>
  <c r="G528" i="1" a="1"/>
  <c r="G160" i="1" a="1"/>
  <c r="G621" i="1" a="1"/>
  <c r="G759" i="1" a="1"/>
  <c r="G896" i="1" a="1"/>
  <c r="G385" i="1" a="1"/>
  <c r="G406" i="1" a="1"/>
  <c r="G699" i="1" a="1"/>
  <c r="G856" i="1" a="1"/>
  <c r="G1000" i="1" a="1"/>
  <c r="G1128" i="1" a="1"/>
  <c r="G1256" i="1" a="1"/>
  <c r="G1384" i="1" a="1"/>
  <c r="G1512" i="1" a="1"/>
  <c r="G1640" i="1" a="1"/>
  <c r="G1768" i="1" a="1"/>
  <c r="G1896" i="1" a="1"/>
  <c r="G30" i="1" a="1"/>
  <c r="G645" i="1" a="1"/>
  <c r="G815" i="1" a="1"/>
  <c r="G36" i="1" a="1"/>
  <c r="G558" i="1" a="1"/>
  <c r="G742" i="1" a="1"/>
  <c r="G915" i="1" a="1"/>
  <c r="G368" i="1" a="1"/>
  <c r="G743" i="1" a="1"/>
  <c r="G490" i="1" a="1"/>
  <c r="G717" i="1" a="1"/>
  <c r="G194" i="1" a="1"/>
  <c r="G655" i="1" a="1"/>
  <c r="G817" i="1" a="1"/>
  <c r="G505" i="1" a="1"/>
  <c r="G781" i="1" a="1"/>
  <c r="G444" i="1" a="1"/>
  <c r="G709" i="1" a="1"/>
  <c r="G876" i="1" a="1"/>
  <c r="G917" i="1" a="1"/>
  <c r="G1089" i="1" a="1"/>
  <c r="G1230" i="1" a="1"/>
  <c r="G1392" i="1" a="1"/>
  <c r="G1533" i="1" a="1"/>
  <c r="G1669" i="1" a="1"/>
  <c r="G1831" i="1" a="1"/>
  <c r="G1974" i="1" a="1"/>
  <c r="G1074" i="1" a="1"/>
  <c r="G1236" i="1" a="1"/>
  <c r="G1372" i="1" a="1"/>
  <c r="G1513" i="1" a="1"/>
  <c r="G1675" i="1" a="1"/>
  <c r="G833" i="1" a="1"/>
  <c r="G1038" i="1" a="1"/>
  <c r="G1200" i="1" a="1"/>
  <c r="G1341" i="1" a="1"/>
  <c r="G1477" i="1" a="1"/>
  <c r="G1639" i="1" a="1"/>
  <c r="G1785" i="1" a="1"/>
  <c r="G1921" i="1" a="1"/>
  <c r="G1049" i="1" a="1"/>
  <c r="G1185" i="1" a="1"/>
  <c r="G1029" i="1" a="1"/>
  <c r="G1191" i="1" a="1"/>
  <c r="G1008" i="1" a="1"/>
  <c r="G1167" i="1" a="1"/>
  <c r="G1303" i="1" a="1"/>
  <c r="G1444" i="1" a="1"/>
  <c r="G1590" i="1" a="1"/>
  <c r="G1747" i="1" a="1"/>
  <c r="G1883" i="1" a="1"/>
  <c r="G842" i="1" a="1"/>
  <c r="G1316" i="1" a="1"/>
  <c r="G1577" i="1" a="1"/>
  <c r="G1875" i="1" a="1"/>
  <c r="G2082" i="1" a="1"/>
  <c r="G2210" i="1" a="1"/>
  <c r="G2338" i="1" a="1"/>
  <c r="G2466" i="1" a="1"/>
  <c r="G2594" i="1" a="1"/>
  <c r="G1020" i="1" a="1"/>
  <c r="G1410" i="1" a="1"/>
  <c r="G1703" i="1" a="1"/>
  <c r="G1939" i="1" a="1"/>
  <c r="G1244" i="1" a="1"/>
  <c r="G1526" i="1" a="1"/>
  <c r="G1834" i="1" a="1"/>
  <c r="G1025" i="1" a="1"/>
  <c r="G1176" i="1" a="1"/>
  <c r="G1509" i="1" a="1"/>
  <c r="G1290" i="1" a="1"/>
  <c r="G1364" i="1" a="1"/>
  <c r="G1667" i="1" a="1"/>
  <c r="G1922" i="1" a="1"/>
  <c r="G1624" i="1" a="1"/>
  <c r="G2063" i="1" a="1"/>
  <c r="G2199" i="1" a="1"/>
  <c r="G2356" i="1" a="1"/>
  <c r="G2502" i="1" a="1"/>
  <c r="G2643" i="1" a="1"/>
  <c r="G2782" i="1" a="1"/>
  <c r="G19" i="1" a="1"/>
  <c r="G83" i="1" a="1"/>
  <c r="G147" i="1" a="1"/>
  <c r="G211" i="1" a="1"/>
  <c r="G275" i="1" a="1"/>
  <c r="G339" i="1" a="1"/>
  <c r="G134" i="1" a="1"/>
  <c r="G284" i="1" a="1"/>
  <c r="G363" i="1" a="1"/>
  <c r="G427" i="1" a="1"/>
  <c r="G491" i="1" a="1"/>
  <c r="G555" i="1" a="1"/>
  <c r="G53" i="1" a="1"/>
  <c r="G220" i="1" a="1"/>
  <c r="G104" i="1" a="1"/>
  <c r="G336" i="1" a="1"/>
  <c r="G512" i="1" a="1"/>
  <c r="G105" i="1" a="1"/>
  <c r="G306" i="1" a="1"/>
  <c r="G168" i="1" a="1"/>
  <c r="G440" i="1" a="1"/>
  <c r="G615" i="1" a="1"/>
  <c r="G258" i="1" a="1"/>
  <c r="G477" i="1" a="1"/>
  <c r="G652" i="1" a="1"/>
  <c r="G250" i="1" a="1"/>
  <c r="G488" i="1" a="1"/>
  <c r="G639" i="1" a="1"/>
  <c r="G329" i="1" a="1"/>
  <c r="G533" i="1" a="1"/>
  <c r="G184" i="1" a="1"/>
  <c r="G630" i="1" a="1"/>
  <c r="G768" i="1" a="1"/>
  <c r="G905" i="1" a="1"/>
  <c r="G437" i="1" a="1"/>
  <c r="G421" i="1" a="1"/>
  <c r="G715" i="1" a="1"/>
  <c r="G861" i="1" a="1"/>
  <c r="G1009" i="1" a="1"/>
  <c r="G1137" i="1" a="1"/>
  <c r="G1265" i="1" a="1"/>
  <c r="G1393" i="1" a="1"/>
  <c r="G1521" i="1" a="1"/>
  <c r="G1649" i="1" a="1"/>
  <c r="G1777" i="1" a="1"/>
  <c r="G1905" i="1" a="1"/>
  <c r="G81" i="1" a="1"/>
  <c r="G658" i="1" a="1"/>
  <c r="G820" i="1" a="1"/>
  <c r="G126" i="1" a="1"/>
  <c r="G569" i="1" a="1"/>
  <c r="G763" i="1" a="1"/>
  <c r="G920" i="1" a="1"/>
  <c r="G381" i="1" a="1"/>
  <c r="G748" i="1" a="1"/>
  <c r="G501" i="1" a="1"/>
  <c r="G723" i="1" a="1"/>
  <c r="G240" i="1" a="1"/>
  <c r="G667" i="1" a="1"/>
  <c r="G822" i="1" a="1"/>
  <c r="G516" i="1" a="1"/>
  <c r="G792" i="1" a="1"/>
  <c r="G517" i="1" a="1"/>
  <c r="G714" i="1" a="1"/>
  <c r="G881" i="1" a="1"/>
  <c r="G938" i="1" a="1"/>
  <c r="G1094" i="1" a="1"/>
  <c r="G1251" i="1" a="1"/>
  <c r="G1397" i="1" a="1"/>
  <c r="G1538" i="1" a="1"/>
  <c r="G1674" i="1" a="1"/>
  <c r="G1836" i="1" a="1"/>
  <c r="G868" i="1" a="1"/>
  <c r="G1095" i="1" a="1"/>
  <c r="G1241" i="1" a="1"/>
  <c r="G1377" i="1" a="1"/>
  <c r="G1518" i="1" a="1"/>
  <c r="G1680" i="1" a="1"/>
  <c r="G869" i="1" a="1"/>
  <c r="G1059" i="1" a="1"/>
  <c r="G1205" i="1" a="1"/>
  <c r="G1346" i="1" a="1"/>
  <c r="G1482" i="1" a="1"/>
  <c r="G1644" i="1" a="1"/>
  <c r="G1790" i="1" a="1"/>
  <c r="G837" i="1" a="1"/>
  <c r="G1054" i="1" a="1"/>
  <c r="G1190" i="1" a="1"/>
  <c r="G1034" i="1" a="1"/>
  <c r="G1196" i="1" a="1"/>
  <c r="G1014" i="1" a="1"/>
  <c r="G1172" i="1" a="1"/>
  <c r="G1308" i="1" a="1"/>
  <c r="G1449" i="1" a="1"/>
  <c r="G1611" i="1" a="1"/>
  <c r="G1752" i="1" a="1"/>
  <c r="G1888" i="1" a="1"/>
  <c r="G894" i="1" a="1"/>
  <c r="G1326" i="1" a="1"/>
  <c r="G1619" i="1" a="1"/>
  <c r="G1891" i="1" a="1"/>
  <c r="G2091" i="1" a="1"/>
  <c r="G2219" i="1" a="1"/>
  <c r="G2347" i="1" a="1"/>
  <c r="G2475" i="1" a="1"/>
  <c r="G2603" i="1" a="1"/>
  <c r="G1083" i="1" a="1"/>
  <c r="G1421" i="1" a="1"/>
  <c r="G1724" i="1" a="1"/>
  <c r="G1947" i="1" a="1"/>
  <c r="G1254" i="1" a="1"/>
  <c r="G1547" i="1" a="1"/>
  <c r="G1851" i="1" a="1"/>
  <c r="G1046" i="1" a="1"/>
  <c r="G1197" i="1" a="1"/>
  <c r="G1551" i="1" a="1"/>
  <c r="G1332" i="1" a="1"/>
  <c r="G1374" i="1" a="1"/>
  <c r="G1688" i="1" a="1"/>
  <c r="G1929" i="1" a="1"/>
  <c r="G1645" i="1" a="1"/>
  <c r="G2069" i="1" a="1"/>
  <c r="G2215" i="1" a="1"/>
  <c r="G2372" i="1" a="1"/>
  <c r="G2508" i="1" a="1"/>
  <c r="G2654" i="1" a="1"/>
  <c r="G2791" i="1" a="1"/>
  <c r="G23" i="1" a="1"/>
  <c r="G87" i="1" a="1"/>
  <c r="G151" i="1" a="1"/>
  <c r="G215" i="1" a="1"/>
  <c r="G279" i="1" a="1"/>
  <c r="G343" i="1" a="1"/>
  <c r="G141" i="1" a="1"/>
  <c r="G289" i="1" a="1"/>
  <c r="G367" i="1" a="1"/>
  <c r="G431" i="1" a="1"/>
  <c r="G495" i="1" a="1"/>
  <c r="G559" i="1" a="1"/>
  <c r="G60" i="1" a="1"/>
  <c r="G238" i="1" a="1"/>
  <c r="G129" i="1" a="1"/>
  <c r="G352" i="1" a="1"/>
  <c r="G521" i="1" a="1"/>
  <c r="G113" i="1" a="1"/>
  <c r="G318" i="1" a="1"/>
  <c r="G190" i="1" a="1"/>
  <c r="G445" i="1" a="1"/>
  <c r="G624" i="1" a="1"/>
  <c r="G266" i="1" a="1"/>
  <c r="G482" i="1" a="1"/>
  <c r="G661" i="1" a="1"/>
  <c r="G260" i="1" a="1"/>
  <c r="G493" i="1" a="1"/>
  <c r="G25" i="1" a="1"/>
  <c r="G338" i="1" a="1"/>
  <c r="G538" i="1" a="1"/>
  <c r="G252" i="1" a="1"/>
  <c r="G647" i="1" a="1"/>
  <c r="G777" i="1" a="1"/>
  <c r="G914" i="1" a="1"/>
  <c r="G49" i="1" a="1"/>
  <c r="G473" i="1" a="1"/>
  <c r="G720" i="1" a="1"/>
  <c r="G866" i="1" a="1"/>
  <c r="G1018" i="1" a="1"/>
  <c r="G1146" i="1" a="1"/>
  <c r="G1274" i="1" a="1"/>
  <c r="G1402" i="1" a="1"/>
  <c r="G1530" i="1" a="1"/>
  <c r="G1658" i="1" a="1"/>
  <c r="G1786" i="1" a="1"/>
  <c r="G1914" i="1" a="1"/>
  <c r="G170" i="1" a="1"/>
  <c r="G664" i="1" a="1"/>
  <c r="G825" i="1" a="1"/>
  <c r="G218" i="1" a="1"/>
  <c r="G626" i="1" a="1"/>
  <c r="G779" i="1" a="1"/>
  <c r="G925" i="1" a="1"/>
  <c r="G438" i="1" a="1"/>
  <c r="G753" i="1" a="1"/>
  <c r="G526" i="1" a="1"/>
  <c r="G728" i="1" a="1"/>
  <c r="G272" i="1" a="1"/>
  <c r="G679" i="1" a="1"/>
  <c r="G58" i="1" a="1"/>
  <c r="G564" i="1" a="1"/>
  <c r="G797" i="1" a="1"/>
  <c r="G542" i="1" a="1"/>
  <c r="G735" i="1" a="1"/>
  <c r="G886" i="1" a="1"/>
  <c r="G957" i="1" a="1"/>
  <c r="G1110" i="1" a="1"/>
  <c r="G1267" i="1" a="1"/>
  <c r="G1403" i="1" a="1"/>
  <c r="G1549" i="1" a="1"/>
  <c r="G1711" i="1" a="1"/>
  <c r="G1847" i="1" a="1"/>
  <c r="G879" i="1" a="1"/>
  <c r="G1100" i="1" a="1"/>
  <c r="G1246" i="1" a="1"/>
  <c r="G1382" i="1" a="1"/>
  <c r="G1539" i="1" a="1"/>
  <c r="G1685" i="1" a="1"/>
  <c r="G900" i="1" a="1"/>
  <c r="G1075" i="1" a="1"/>
  <c r="G1211" i="1" a="1"/>
  <c r="G1357" i="1" a="1"/>
  <c r="G1519" i="1" a="1"/>
  <c r="G1655" i="1" a="1"/>
  <c r="G1796" i="1" a="1"/>
  <c r="G880" i="1" a="1"/>
  <c r="G1060" i="1" a="1"/>
  <c r="G838" i="1" a="1"/>
  <c r="G1071" i="1" a="1"/>
  <c r="G1207" i="1" a="1"/>
  <c r="G1031" i="1" a="1"/>
  <c r="G1177" i="1" a="1"/>
  <c r="G1313" i="1" a="1"/>
  <c r="G1454" i="1" a="1"/>
  <c r="G1616" i="1" a="1"/>
  <c r="G1757" i="1" a="1"/>
  <c r="G1893" i="1" a="1"/>
  <c r="G936" i="1" a="1"/>
  <c r="G1347" i="1" a="1"/>
  <c r="G1629" i="1" a="1"/>
  <c r="G1924" i="1" a="1"/>
  <c r="G2096" i="1" a="1"/>
  <c r="G2224" i="1" a="1"/>
  <c r="G2352" i="1" a="1"/>
  <c r="G2480" i="1" a="1"/>
  <c r="G2608" i="1" a="1"/>
  <c r="G1145" i="1" a="1"/>
  <c r="G1452" i="1" a="1"/>
  <c r="G1734" i="1" a="1"/>
  <c r="G1953" i="1" a="1"/>
  <c r="G1296" i="1" a="1"/>
  <c r="G1557" i="1" a="1"/>
  <c r="G1860" i="1" a="1"/>
  <c r="G1067" i="1" a="1"/>
  <c r="G1237" i="1" a="1"/>
  <c r="G1561" i="1" a="1"/>
  <c r="G884" i="1" a="1"/>
  <c r="G1385" i="1" a="1"/>
  <c r="G1698" i="1" a="1"/>
  <c r="G1957" i="1" a="1"/>
  <c r="G1687" i="1" a="1"/>
  <c r="G2074" i="1" a="1"/>
  <c r="G2236" i="1" a="1"/>
  <c r="G2377" i="1" a="1"/>
  <c r="G2513" i="1" a="1"/>
  <c r="G2659" i="1" a="1"/>
  <c r="G2795" i="1" a="1"/>
  <c r="G27" i="1" a="1"/>
  <c r="G91" i="1" a="1"/>
  <c r="G155" i="1" a="1"/>
  <c r="G219" i="1" a="1"/>
  <c r="G283" i="1" a="1"/>
  <c r="G4" i="1" a="1"/>
  <c r="G148" i="1" a="1"/>
  <c r="G294" i="1" a="1"/>
  <c r="G371" i="1" a="1"/>
  <c r="G435" i="1" a="1"/>
  <c r="G499" i="1" a="1"/>
  <c r="G563" i="1" a="1"/>
  <c r="G78" i="1" a="1"/>
  <c r="G245" i="1" a="1"/>
  <c r="G154" i="1" a="1"/>
  <c r="G361" i="1" a="1"/>
  <c r="G530" i="1" a="1"/>
  <c r="G121" i="1" a="1"/>
  <c r="G330" i="1" a="1"/>
  <c r="G225" i="1" a="1"/>
  <c r="G450" i="1" a="1"/>
  <c r="G633" i="1" a="1"/>
  <c r="G274" i="1" a="1"/>
  <c r="G524" i="1" a="1"/>
  <c r="G670" i="1" a="1"/>
  <c r="G292" i="1" a="1"/>
  <c r="G504" i="1" a="1"/>
  <c r="G50" i="1" a="1"/>
  <c r="G358" i="1" a="1"/>
  <c r="G549" i="1" a="1"/>
  <c r="G285" i="1" a="1"/>
  <c r="G663" i="1" a="1"/>
  <c r="G791" i="1" a="1"/>
  <c r="G919" i="1" a="1"/>
  <c r="G73" i="1" a="1"/>
  <c r="G484" i="1" a="1"/>
  <c r="G725" i="1" a="1"/>
  <c r="G903" i="1" a="1"/>
  <c r="G1023" i="1" a="1"/>
  <c r="G1151" i="1" a="1"/>
  <c r="G1279" i="1" a="1"/>
  <c r="G1407" i="1" a="1"/>
  <c r="G1535" i="1" a="1"/>
  <c r="G1663" i="1" a="1"/>
  <c r="G1791" i="1" a="1"/>
  <c r="G1919" i="1" a="1"/>
  <c r="G217" i="1" a="1"/>
  <c r="G676" i="1" a="1"/>
  <c r="G830" i="1" a="1"/>
  <c r="G261" i="1" a="1"/>
  <c r="G636" i="1" a="1"/>
  <c r="G794" i="1" a="1"/>
  <c r="G930" i="1" a="1"/>
  <c r="G453" i="1" a="1"/>
  <c r="G758" i="1" a="1"/>
  <c r="G537" i="1" a="1"/>
  <c r="G733" i="1" a="1"/>
  <c r="G313" i="1" a="1"/>
  <c r="G685" i="1" a="1"/>
  <c r="G150" i="1" a="1"/>
  <c r="G609" i="1" a="1"/>
  <c r="G802" i="1" a="1"/>
  <c r="G578" i="1" a="1"/>
  <c r="G740" i="1" a="1"/>
  <c r="G892" i="1" a="1"/>
  <c r="G965" i="1" a="1"/>
  <c r="G1131" i="1" a="1"/>
  <c r="G1272" i="1" a="1"/>
  <c r="G1408" i="1" a="1"/>
  <c r="G1554" i="1" a="1"/>
  <c r="G1716" i="1" a="1"/>
  <c r="G1852" i="1" a="1"/>
  <c r="G889" i="1" a="1"/>
  <c r="G1111" i="1" a="1"/>
  <c r="G1252" i="1" a="1"/>
  <c r="G1398" i="1" a="1"/>
  <c r="G1555" i="1" a="1"/>
  <c r="G1691" i="1" a="1"/>
  <c r="G911" i="1" a="1"/>
  <c r="G1080" i="1" a="1"/>
  <c r="G1216" i="1" a="1"/>
  <c r="G1362" i="1" a="1"/>
  <c r="G1524" i="1" a="1"/>
  <c r="G1660" i="1" a="1"/>
  <c r="G1801" i="1" a="1"/>
  <c r="G890" i="1" a="1"/>
  <c r="G1065" i="1" a="1"/>
  <c r="G859" i="1" a="1"/>
  <c r="G1076" i="1" a="1"/>
  <c r="G1212" i="1" a="1"/>
  <c r="G1036" i="1" a="1"/>
  <c r="G1182" i="1" a="1"/>
  <c r="G1318" i="1" a="1"/>
  <c r="G1475" i="1" a="1"/>
  <c r="G1621" i="1" a="1"/>
  <c r="G1762" i="1" a="1"/>
  <c r="G1898" i="1" a="1"/>
  <c r="G994" i="1" a="1"/>
  <c r="G1368" i="1" a="1"/>
  <c r="G1650" i="1" a="1"/>
  <c r="G1938" i="1" a="1"/>
  <c r="G2105" i="1" a="1"/>
  <c r="G2233" i="1" a="1"/>
  <c r="G2361" i="1" a="1"/>
  <c r="G2489" i="1" a="1"/>
  <c r="G2617" i="1" a="1"/>
  <c r="G1166" i="1" a="1"/>
  <c r="G1463" i="1" a="1"/>
  <c r="G1776" i="1" a="1"/>
  <c r="G1977" i="1" a="1"/>
  <c r="G1307" i="1" a="1"/>
  <c r="G1568" i="1" a="1"/>
  <c r="G1868" i="1" a="1"/>
  <c r="G1088" i="1" a="1"/>
  <c r="G1248" i="1" a="1"/>
  <c r="G874" i="1" a="1"/>
  <c r="G1035" i="1" a="1"/>
  <c r="G1427" i="1" a="1"/>
  <c r="G1709" i="1" a="1"/>
  <c r="G1981" i="1" a="1"/>
  <c r="G1749" i="1" a="1"/>
  <c r="G2079" i="1" a="1"/>
  <c r="G2241" i="1" a="1"/>
  <c r="G2382" i="1" a="1"/>
  <c r="G2518" i="1" a="1"/>
  <c r="G2680" i="1" a="1"/>
  <c r="G2799" i="1" a="1"/>
  <c r="G31" i="1" a="1"/>
  <c r="G95" i="1" a="1"/>
  <c r="G159" i="1" a="1"/>
  <c r="G223" i="1" a="1"/>
  <c r="G287" i="1" a="1"/>
  <c r="G5" i="1" a="1"/>
  <c r="G166" i="1" a="1"/>
  <c r="G300" i="1" a="1"/>
  <c r="G375" i="1" a="1"/>
  <c r="G439" i="1" a="1"/>
  <c r="G503" i="1" a="1"/>
  <c r="G567" i="1" a="1"/>
  <c r="G85" i="1" a="1"/>
  <c r="G9" i="1" a="1"/>
  <c r="G164" i="1" a="1"/>
  <c r="G370" i="1" a="1"/>
  <c r="G544" i="1" a="1"/>
  <c r="G130" i="1" a="1"/>
  <c r="G348" i="1" a="1"/>
  <c r="G236" i="1" a="1"/>
  <c r="G492" i="1" a="1"/>
  <c r="G642" i="1" a="1"/>
  <c r="G298" i="1" a="1"/>
  <c r="G529" i="1" a="1"/>
  <c r="G675" i="1" a="1"/>
  <c r="G301" i="1" a="1"/>
  <c r="G509" i="1" a="1"/>
  <c r="G64" i="1" a="1"/>
  <c r="G364" i="1" a="1"/>
  <c r="G554" i="1" a="1"/>
  <c r="G317" i="1" a="1"/>
  <c r="G668" i="1" a="1"/>
  <c r="G800" i="1" a="1"/>
  <c r="G928" i="1" a="1"/>
  <c r="G162" i="1" a="1"/>
  <c r="G506" i="1" a="1"/>
  <c r="G730" i="1" a="1"/>
  <c r="G908" i="1" a="1"/>
  <c r="G1032" i="1" a="1"/>
  <c r="G1160" i="1" a="1"/>
  <c r="G1288" i="1" a="1"/>
  <c r="G1416" i="1" a="1"/>
  <c r="G1544" i="1" a="1"/>
  <c r="G1672" i="1" a="1"/>
  <c r="G1800" i="1" a="1"/>
  <c r="G1928" i="1" a="1"/>
  <c r="G280" i="1" a="1"/>
  <c r="G700" i="1" a="1"/>
  <c r="G846" i="1" a="1"/>
  <c r="G286" i="1" a="1"/>
  <c r="G653" i="1" a="1"/>
  <c r="G805" i="1" a="1"/>
  <c r="G951" i="1" a="1"/>
  <c r="G464" i="1" a="1"/>
  <c r="G764" i="1" a="1"/>
  <c r="G548" i="1" a="1"/>
  <c r="G738" i="1" a="1"/>
  <c r="G369" i="1" a="1"/>
  <c r="G691" i="1" a="1"/>
  <c r="G196" i="1" a="1"/>
  <c r="G641" i="1" a="1"/>
  <c r="G839" i="1" a="1"/>
  <c r="G589" i="1" a="1"/>
  <c r="G751" i="1" a="1"/>
  <c r="G897" i="1" a="1"/>
  <c r="G979" i="1" a="1"/>
  <c r="G1136" i="1" a="1"/>
  <c r="G1277" i="1" a="1"/>
  <c r="G1413" i="1" a="1"/>
  <c r="G1575" i="1" a="1"/>
  <c r="G1721" i="1" a="1"/>
  <c r="G1857" i="1" a="1"/>
  <c r="G910" i="1" a="1"/>
  <c r="G1116" i="1" a="1"/>
  <c r="G1257" i="1" a="1"/>
  <c r="G1419" i="1" a="1"/>
  <c r="G1560" i="1" a="1"/>
  <c r="G1696" i="1" a="1"/>
  <c r="G921" i="1" a="1"/>
  <c r="G1085" i="1" a="1"/>
  <c r="G1221" i="1" a="1"/>
  <c r="G1383" i="1" a="1"/>
  <c r="G1529" i="1" a="1"/>
  <c r="G1665" i="1" a="1"/>
  <c r="G1806" i="1" a="1"/>
  <c r="G901" i="1" a="1"/>
  <c r="G1070" i="1" a="1"/>
  <c r="G870" i="1" a="1"/>
  <c r="G1081" i="1" a="1"/>
  <c r="G1217" i="1" a="1"/>
  <c r="G1047" i="1" a="1"/>
  <c r="G1188" i="1" a="1"/>
  <c r="G1334" i="1" a="1"/>
  <c r="G1491" i="1" a="1"/>
  <c r="G1627" i="1" a="1"/>
  <c r="G1773" i="1" a="1"/>
  <c r="G1935" i="1" a="1"/>
  <c r="G1019" i="1" a="1"/>
  <c r="G1378" i="1" a="1"/>
  <c r="G1671" i="1" a="1"/>
  <c r="G1958" i="1" a="1"/>
  <c r="G2114" i="1" a="1"/>
  <c r="G2242" i="1" a="1"/>
  <c r="G2370" i="1" a="1"/>
  <c r="G2498" i="1" a="1"/>
  <c r="G2626" i="1" a="1"/>
  <c r="G1187" i="1" a="1"/>
  <c r="G1473" i="1" a="1"/>
  <c r="G1787" i="1" a="1"/>
  <c r="G1984" i="1" a="1"/>
  <c r="G1317" i="1" a="1"/>
  <c r="G1578" i="1" a="1"/>
  <c r="G1876" i="1" a="1"/>
  <c r="G1150" i="1" a="1"/>
  <c r="G1258" i="1" a="1"/>
  <c r="G916" i="1" a="1"/>
  <c r="G1056" i="1" a="1"/>
  <c r="G1437" i="1" a="1"/>
  <c r="G1740" i="1" a="1"/>
  <c r="G2008" i="1" a="1"/>
  <c r="G1770" i="1" a="1"/>
  <c r="G2100" i="1" a="1"/>
  <c r="G2246" i="1" a="1"/>
  <c r="G2387" i="1" a="1"/>
  <c r="G2523" i="1" a="1"/>
  <c r="G2685" i="1" a="1"/>
  <c r="G2803" i="1" a="1"/>
  <c r="G35" i="1" a="1"/>
  <c r="G99" i="1" a="1"/>
  <c r="G163" i="1" a="1"/>
  <c r="G227" i="1" a="1"/>
  <c r="G291" i="1" a="1"/>
  <c r="G6" i="1" a="1"/>
  <c r="G173" i="1" a="1"/>
  <c r="G305" i="1" a="1"/>
  <c r="G379" i="1" a="1"/>
  <c r="G443" i="1" a="1"/>
  <c r="G507" i="1" a="1"/>
  <c r="G571" i="1" a="1"/>
  <c r="G92" i="1" a="1"/>
  <c r="G16" i="1" a="1"/>
  <c r="G172" i="1" a="1"/>
  <c r="G384" i="1" a="1"/>
  <c r="G553" i="1" a="1"/>
  <c r="G138" i="1" a="1"/>
  <c r="G357" i="1" a="1"/>
  <c r="G246" i="1" a="1"/>
  <c r="G497" i="1" a="1"/>
  <c r="G29" i="1" a="1"/>
  <c r="G308" i="1" a="1"/>
  <c r="G534" i="1" a="1"/>
  <c r="G684" i="1" a="1"/>
  <c r="G325" i="1" a="1"/>
  <c r="G514" i="1" a="1"/>
  <c r="G74" i="1" a="1"/>
  <c r="G392" i="1" a="1"/>
  <c r="G580" i="1" a="1"/>
  <c r="G349" i="1" a="1"/>
  <c r="G673" i="1" a="1"/>
  <c r="G809" i="1" a="1"/>
  <c r="G937" i="1" a="1"/>
  <c r="G185" i="1" a="1"/>
  <c r="G532" i="1" a="1"/>
  <c r="G741" i="1" a="1"/>
  <c r="G913" i="1" a="1"/>
  <c r="G1041" i="1" a="1"/>
  <c r="G1169" i="1" a="1"/>
  <c r="G1297" i="1" a="1"/>
  <c r="G1425" i="1" a="1"/>
  <c r="G1553" i="1" a="1"/>
  <c r="G1681" i="1" a="1"/>
  <c r="G1809" i="1" a="1"/>
  <c r="G1937" i="1" a="1"/>
  <c r="G304" i="1" a="1"/>
  <c r="G705" i="1" a="1"/>
  <c r="G867" i="1" a="1"/>
  <c r="G309" i="1" a="1"/>
  <c r="G659" i="1" a="1"/>
  <c r="G810" i="1" a="1"/>
  <c r="G960" i="1" a="1"/>
  <c r="G525" i="1" a="1"/>
  <c r="G769" i="1" a="1"/>
  <c r="G598" i="1" a="1"/>
  <c r="G775" i="1" a="1"/>
  <c r="G386" i="1" a="1"/>
  <c r="G702" i="1" a="1"/>
  <c r="G277" i="1" a="1"/>
  <c r="G680" i="1" a="1"/>
  <c r="G844" i="1" a="1"/>
  <c r="G600" i="1" a="1"/>
  <c r="G756" i="1" a="1"/>
  <c r="G902" i="1" a="1"/>
  <c r="G990" i="1" a="1"/>
  <c r="G1141" i="1" a="1"/>
  <c r="G1282" i="1" a="1"/>
  <c r="G1418" i="1" a="1"/>
  <c r="G1580" i="1" a="1"/>
  <c r="G1726" i="1" a="1"/>
  <c r="G1862" i="1" a="1"/>
  <c r="G931" i="1" a="1"/>
  <c r="G1121" i="1" a="1"/>
  <c r="G1262" i="1" a="1"/>
  <c r="G1424" i="1" a="1"/>
  <c r="G1565" i="1" a="1"/>
  <c r="G1701" i="1" a="1"/>
  <c r="G942" i="1" a="1"/>
  <c r="G1090" i="1" a="1"/>
  <c r="G1226" i="1" a="1"/>
  <c r="G1388" i="1" a="1"/>
  <c r="G1534" i="1" a="1"/>
  <c r="G1670" i="1" a="1"/>
  <c r="G1827" i="1" a="1"/>
  <c r="G932" i="1" a="1"/>
  <c r="G1091" i="1" a="1"/>
  <c r="G891" i="1" a="1"/>
  <c r="G1086" i="1" a="1"/>
  <c r="G1222" i="1" a="1"/>
  <c r="G1052" i="1" a="1"/>
  <c r="G1193" i="1" a="1"/>
  <c r="G1355" i="1" a="1"/>
  <c r="G1496" i="1" a="1"/>
  <c r="G1632" i="1" a="1"/>
  <c r="G1778" i="1" a="1"/>
  <c r="G1940" i="1" a="1"/>
  <c r="G1040" i="1" a="1"/>
  <c r="G1389" i="1" a="1"/>
  <c r="G1692" i="1" a="1"/>
  <c r="G1964" i="1" a="1"/>
  <c r="G2123" i="1" a="1"/>
  <c r="G2251" i="1" a="1"/>
  <c r="G2379" i="1" a="1"/>
  <c r="G2507" i="1" a="1"/>
  <c r="G2635" i="1" a="1"/>
  <c r="G1206" i="1" a="1"/>
  <c r="G1494" i="1" a="1"/>
  <c r="G1797" i="1" a="1"/>
  <c r="G1989" i="1" a="1"/>
  <c r="G1359" i="1" a="1"/>
  <c r="G1620" i="1" a="1"/>
  <c r="G1885" i="1" a="1"/>
  <c r="G1208" i="1" a="1"/>
  <c r="G1300" i="1" a="1"/>
  <c r="G956" i="1" a="1"/>
  <c r="G1118" i="1" a="1"/>
  <c r="G1458" i="1" a="1"/>
  <c r="G1751" i="1" a="1"/>
  <c r="G2017" i="1" a="1"/>
  <c r="G1812" i="1" a="1"/>
  <c r="G2116" i="1" a="1"/>
  <c r="G2252" i="1" a="1"/>
  <c r="G2398" i="1" a="1"/>
  <c r="G2560" i="1" a="1"/>
  <c r="G2695" i="1" a="1"/>
  <c r="G2807" i="1" a="1"/>
  <c r="G39" i="1" a="1"/>
  <c r="G103" i="1" a="1"/>
  <c r="G167" i="1" a="1"/>
  <c r="G231" i="1" a="1"/>
  <c r="G295" i="1" a="1"/>
  <c r="G13" i="1" a="1"/>
  <c r="G180" i="1" a="1"/>
  <c r="G310" i="1" a="1"/>
  <c r="G383" i="1" a="1"/>
  <c r="G447" i="1" a="1"/>
  <c r="G511" i="1" a="1"/>
  <c r="G575" i="1" a="1"/>
  <c r="G110" i="1" a="1"/>
  <c r="G34" i="1" a="1"/>
  <c r="G189" i="1" a="1"/>
  <c r="G393" i="1" a="1"/>
  <c r="G562" i="1" a="1"/>
  <c r="G146" i="1" a="1"/>
  <c r="G366" i="1" a="1"/>
  <c r="G282" i="1" a="1"/>
  <c r="G502" i="1" a="1"/>
  <c r="G56" i="1" a="1"/>
  <c r="G340" i="1" a="1"/>
  <c r="G540" i="1" a="1"/>
  <c r="G693" i="1" a="1"/>
  <c r="G333" i="1" a="1"/>
  <c r="G556" i="1" a="1"/>
  <c r="G98" i="1" a="1"/>
  <c r="G397" i="1" a="1"/>
  <c r="G596" i="1" a="1"/>
  <c r="G373" i="1" a="1"/>
  <c r="G678" i="1" a="1"/>
  <c r="G818" i="1" a="1"/>
  <c r="G946" i="1" a="1"/>
  <c r="G209" i="1" a="1"/>
  <c r="G568" i="1" a="1"/>
  <c r="G746" i="1" a="1"/>
  <c r="G918" i="1" a="1"/>
  <c r="G1050" i="1" a="1"/>
  <c r="G1178" i="1" a="1"/>
  <c r="G1306" i="1" a="1"/>
  <c r="G1434" i="1" a="1"/>
  <c r="G1562" i="1" a="1"/>
  <c r="G1690" i="1" a="1"/>
  <c r="G1818" i="1" a="1"/>
  <c r="G1946" i="1" a="1"/>
  <c r="G345" i="1" a="1"/>
  <c r="G710" i="1" a="1"/>
  <c r="G872" i="1" a="1"/>
  <c r="G328" i="1" a="1"/>
  <c r="G671" i="1" a="1"/>
  <c r="G831" i="1" a="1"/>
  <c r="G969" i="1" a="1"/>
  <c r="G573" i="1" a="1"/>
  <c r="G774" i="1" a="1"/>
  <c r="G608" i="1" a="1"/>
  <c r="G780" i="1" a="1"/>
  <c r="G428" i="1" a="1"/>
  <c r="G718" i="1" a="1"/>
  <c r="G296" i="1" a="1"/>
  <c r="G697" i="1" a="1"/>
  <c r="G849" i="1" a="1"/>
  <c r="G622" i="1" a="1"/>
  <c r="G761" i="1" a="1"/>
  <c r="G923" i="1" a="1"/>
  <c r="G997" i="1" a="1"/>
  <c r="G1147" i="1" a="1"/>
  <c r="G1293" i="1" a="1"/>
  <c r="G1455" i="1" a="1"/>
  <c r="G1591" i="1" a="1"/>
  <c r="G1732" i="1" a="1"/>
  <c r="G1878" i="1" a="1"/>
  <c r="G941" i="1" a="1"/>
  <c r="G1126" i="1" a="1"/>
  <c r="G1283" i="1" a="1"/>
  <c r="G1429" i="1" a="1"/>
  <c r="G1570" i="1" a="1"/>
  <c r="G1706" i="1" a="1"/>
  <c r="G952" i="1" a="1"/>
  <c r="G1101" i="1" a="1"/>
  <c r="G1263" i="1" a="1"/>
  <c r="G1399" i="1" a="1"/>
  <c r="G1540" i="1" a="1"/>
  <c r="G1686" i="1" a="1"/>
  <c r="G1843" i="1" a="1"/>
  <c r="G943" i="1" a="1"/>
  <c r="G1107" i="1" a="1"/>
  <c r="G912" i="1" a="1"/>
  <c r="G1092" i="1" a="1"/>
  <c r="G875" i="1" a="1"/>
  <c r="G1057" i="1" a="1"/>
  <c r="G1198" i="1" a="1"/>
  <c r="G1360" i="1" a="1"/>
  <c r="G1501" i="1" a="1"/>
  <c r="G1637" i="1" a="1"/>
  <c r="G1799" i="1" a="1"/>
  <c r="G1945" i="1" a="1"/>
  <c r="G1061" i="1" a="1"/>
  <c r="G1420" i="1" a="1"/>
  <c r="G1702" i="1" a="1"/>
  <c r="G1982" i="1" a="1"/>
  <c r="G2128" i="1" a="1"/>
  <c r="G2256" i="1" a="1"/>
  <c r="G2384" i="1" a="1"/>
  <c r="G2512" i="1" a="1"/>
  <c r="G2640" i="1" a="1"/>
  <c r="G1218" i="1" a="1"/>
  <c r="G1515" i="1" a="1"/>
  <c r="G1817" i="1" a="1"/>
  <c r="G1994" i="1" a="1"/>
  <c r="G1369" i="1" a="1"/>
  <c r="G1630" i="1" a="1"/>
  <c r="G1910" i="1" a="1"/>
  <c r="G1223" i="1" a="1"/>
  <c r="G1310" i="1" a="1"/>
  <c r="G1030" i="1" a="1"/>
  <c r="G1181" i="1" a="1"/>
  <c r="G1479" i="1" a="1"/>
  <c r="G1761" i="1" a="1"/>
  <c r="G1098" i="1" a="1"/>
  <c r="G1861" i="1" a="1"/>
  <c r="G2121" i="1" a="1"/>
  <c r="G2257" i="1" a="1"/>
  <c r="G2403" i="1" a="1"/>
  <c r="G2565" i="1" a="1"/>
  <c r="G2700" i="1" a="1"/>
  <c r="G2811" i="1" a="1"/>
  <c r="G43" i="1" a="1"/>
  <c r="G47" i="1" a="1"/>
  <c r="G51" i="1" a="1"/>
  <c r="G115" i="1" a="1"/>
  <c r="G179" i="1" a="1"/>
  <c r="G243" i="1" a="1"/>
  <c r="G307" i="1" a="1"/>
  <c r="G45" i="1" a="1"/>
  <c r="G212" i="1" a="1"/>
  <c r="G326" i="1" a="1"/>
  <c r="G395" i="1" a="1"/>
  <c r="G459" i="1" a="1"/>
  <c r="G523" i="1" a="1"/>
  <c r="G587" i="1" a="1"/>
  <c r="G142" i="1" a="1"/>
  <c r="G18" i="1" a="1"/>
  <c r="G222" i="1" a="1"/>
  <c r="G425" i="1" a="1"/>
  <c r="G594" i="1" a="1"/>
  <c r="G224" i="1" a="1"/>
  <c r="G40" i="1" a="1"/>
  <c r="G322" i="1" a="1"/>
  <c r="G518" i="1" a="1"/>
  <c r="G112" i="1" a="1"/>
  <c r="G388" i="1" a="1"/>
  <c r="G592" i="1" a="1"/>
  <c r="G101" i="1" a="1"/>
  <c r="G378" i="1" a="1"/>
  <c r="G572" i="1" a="1"/>
  <c r="G153" i="1" a="1"/>
  <c r="G418" i="1" a="1"/>
  <c r="G619" i="1" a="1"/>
  <c r="G468" i="1" a="1"/>
  <c r="G704" i="1" a="1"/>
  <c r="G841" i="1" a="1"/>
  <c r="G140" i="1" a="1"/>
  <c r="G62" i="1" a="1"/>
  <c r="G623" i="1" a="1"/>
  <c r="G793" i="1" a="1"/>
  <c r="G934" i="1" a="1"/>
  <c r="G1073" i="1" a="1"/>
  <c r="G1201" i="1" a="1"/>
  <c r="G1329" i="1" a="1"/>
  <c r="G1457" i="1" a="1"/>
  <c r="G1585" i="1" a="1"/>
  <c r="G1713" i="1" a="1"/>
  <c r="G1841" i="1" a="1"/>
  <c r="G1959" i="1" a="1"/>
  <c r="G449" i="1" a="1"/>
  <c r="G752" i="1" a="1"/>
  <c r="G888" i="1" a="1"/>
  <c r="G410" i="1" a="1"/>
  <c r="G695" i="1" a="1"/>
  <c r="G852" i="1" a="1"/>
  <c r="G992" i="1" a="1"/>
  <c r="G627" i="1" a="1"/>
  <c r="G816" i="1" a="1"/>
  <c r="G660" i="1" a="1"/>
  <c r="G806" i="1" a="1"/>
  <c r="G552" i="1" a="1"/>
  <c r="G749" i="1" a="1"/>
  <c r="G356" i="1" a="1"/>
  <c r="G719" i="1" a="1"/>
  <c r="G106" i="1" a="1"/>
  <c r="G650" i="1" a="1"/>
  <c r="G808" i="1" a="1"/>
  <c r="G949" i="1" a="1"/>
  <c r="G1026" i="1" a="1"/>
  <c r="G1162" i="1" a="1"/>
  <c r="G1324" i="1" a="1"/>
  <c r="G1470" i="1" a="1"/>
  <c r="G1606" i="1" a="1"/>
  <c r="G1763" i="1" a="1"/>
  <c r="G1909" i="1" a="1"/>
  <c r="G1016" i="1" a="1"/>
  <c r="G1168" i="1" a="1"/>
  <c r="G1309" i="1" a="1"/>
  <c r="G1445" i="1" a="1"/>
  <c r="G1607" i="1" a="1"/>
  <c r="G1753" i="1" a="1"/>
  <c r="G980" i="1" a="1"/>
  <c r="G1132" i="1" a="1"/>
  <c r="G1278" i="1" a="1"/>
  <c r="G1414" i="1" a="1"/>
  <c r="G1571" i="1" a="1"/>
  <c r="G1717" i="1" a="1"/>
  <c r="G1858" i="1" a="1"/>
  <c r="G987" i="1" a="1"/>
  <c r="G1122" i="1" a="1"/>
  <c r="G953" i="1" a="1"/>
  <c r="G1123" i="1" a="1"/>
  <c r="G927" i="1" a="1"/>
  <c r="G1099" i="1" a="1"/>
  <c r="G1240" i="1" a="1"/>
  <c r="G1376" i="1" a="1"/>
  <c r="G1522" i="1" a="1"/>
  <c r="G1684" i="1" a="1"/>
  <c r="G1820" i="1" a="1"/>
  <c r="G1969" i="1" a="1"/>
  <c r="G1186" i="1" a="1"/>
  <c r="G1462" i="1" a="1"/>
  <c r="G1765" i="1" a="1"/>
  <c r="G2027" i="1" a="1"/>
  <c r="G2155" i="1" a="1"/>
  <c r="G2283" i="1" a="1"/>
  <c r="G2411" i="1" a="1"/>
  <c r="G2539" i="1" a="1"/>
  <c r="G2667" i="1" a="1"/>
  <c r="G1285" i="1" a="1"/>
  <c r="G1546" i="1" a="1"/>
  <c r="G1866" i="1" a="1"/>
  <c r="G947" i="1" a="1"/>
  <c r="G1411" i="1" a="1"/>
  <c r="G1693" i="1" a="1"/>
  <c r="G1966" i="1" a="1"/>
  <c r="G955" i="1" a="1"/>
  <c r="G1373" i="1" a="1"/>
  <c r="G1135" i="1" a="1"/>
  <c r="G1239" i="1" a="1"/>
  <c r="G1552" i="1" a="1"/>
  <c r="G1813" i="1" a="1"/>
  <c r="G1417" i="1" a="1"/>
  <c r="G1942" i="1" a="1"/>
  <c r="G2142" i="1" a="1"/>
  <c r="G2304" i="1" a="1"/>
  <c r="G2440" i="1" a="1"/>
  <c r="G2581" i="1" a="1"/>
  <c r="G2727" i="1" a="1"/>
  <c r="G2823" i="1" a="1"/>
  <c r="G107" i="1" a="1"/>
  <c r="G451" i="1" a="1"/>
  <c r="G208" i="1" a="1"/>
  <c r="G354" i="1" a="1"/>
  <c r="G72" i="1" a="1"/>
  <c r="G1439" i="1" a="1"/>
  <c r="G350" i="1" a="1"/>
  <c r="G442" i="1" a="1"/>
  <c r="G1003" i="1" a="1"/>
  <c r="G1142" i="1" a="1"/>
  <c r="G1404" i="1" a="1"/>
  <c r="G885" i="1" a="1"/>
  <c r="G1103" i="1" a="1"/>
  <c r="G2649" i="1" a="1"/>
  <c r="G1234" i="1" a="1"/>
  <c r="G2126" i="1" a="1"/>
  <c r="G2847" i="1" a="1"/>
  <c r="G2911" i="1" a="1"/>
  <c r="G2975" i="1" a="1"/>
  <c r="G3039" i="1" a="1"/>
  <c r="G3103" i="1" a="1"/>
  <c r="G3167" i="1" a="1"/>
  <c r="G3231" i="1" a="1"/>
  <c r="G3295" i="1" a="1"/>
  <c r="G3359" i="1" a="1"/>
  <c r="G3423" i="1" a="1"/>
  <c r="G3487" i="1" a="1"/>
  <c r="G1604" i="1" a="1"/>
  <c r="G2037" i="1" a="1"/>
  <c r="G2200" i="1" a="1"/>
  <c r="G2346" i="1" a="1"/>
  <c r="G2482" i="1" a="1"/>
  <c r="G2623" i="1" a="1"/>
  <c r="G2760" i="1" a="1"/>
  <c r="G1730" i="1" a="1"/>
  <c r="G2054" i="1" a="1"/>
  <c r="G2195" i="1" a="1"/>
  <c r="G2331" i="1" a="1"/>
  <c r="G2493" i="1" a="1"/>
  <c r="G2639" i="1" a="1"/>
  <c r="G1161" i="1" a="1"/>
  <c r="G1349" i="1" a="1"/>
  <c r="G1720" i="1" a="1"/>
  <c r="G2057" i="1" a="1"/>
  <c r="G2193" i="1" a="1"/>
  <c r="G2339" i="1" a="1"/>
  <c r="G2501" i="1" a="1"/>
  <c r="G2637" i="1" a="1"/>
  <c r="G2772" i="1" a="1"/>
  <c r="G2212" i="1" a="1"/>
  <c r="G2494" i="1" a="1"/>
  <c r="G2779" i="1" a="1"/>
  <c r="G3006" i="1" a="1"/>
  <c r="G3180" i="1" a="1"/>
  <c r="G3349" i="1" a="1"/>
  <c r="G3518" i="1" a="1"/>
  <c r="G2108" i="1" a="1"/>
  <c r="G2432" i="1" a="1"/>
  <c r="G2693" i="1" a="1"/>
  <c r="G2834" i="1" a="1"/>
  <c r="G2984" i="1" a="1"/>
  <c r="G3153" i="1" a="1"/>
  <c r="G3322" i="1" a="1"/>
  <c r="G1962" i="1" a="1"/>
  <c r="G2276" i="1" a="1"/>
  <c r="G2558" i="1" a="1"/>
  <c r="G2884" i="1" a="1"/>
  <c r="G3053" i="1" a="1"/>
  <c r="G3222" i="1" a="1"/>
  <c r="G2072" i="1" a="1"/>
  <c r="G2354" i="1" a="1"/>
  <c r="G2668" i="1" a="1"/>
  <c r="G2941" i="1" a="1"/>
  <c r="G3110" i="1" a="1"/>
  <c r="G1676" i="1" a="1"/>
  <c r="G2465" i="1" a="1"/>
  <c r="G2846" i="1" a="1"/>
  <c r="G3177" i="1" a="1"/>
  <c r="G3408" i="1" a="1"/>
  <c r="G3573" i="1" a="1"/>
  <c r="G3701" i="1" a="1"/>
  <c r="G3829" i="1" a="1"/>
  <c r="G3957" i="1" a="1"/>
  <c r="G4085" i="1" a="1"/>
  <c r="G4213" i="1" a="1"/>
  <c r="G4341" i="1" a="1"/>
  <c r="G4469" i="1" a="1"/>
  <c r="G4597" i="1" a="1"/>
  <c r="G4725" i="1" a="1"/>
  <c r="G2154" i="1" a="1"/>
  <c r="G2697" i="1" a="1"/>
  <c r="G3141" i="1" a="1"/>
  <c r="G3414" i="1" a="1"/>
  <c r="G3592" i="1" a="1"/>
  <c r="G3720" i="1" a="1"/>
  <c r="G2343" i="1" a="1"/>
  <c r="G2826" i="1" a="1"/>
  <c r="G3160" i="1" a="1"/>
  <c r="G3425" i="1" a="1"/>
  <c r="G3579" i="1" a="1"/>
  <c r="G3707" i="1" a="1"/>
  <c r="G2115" i="1" a="1"/>
  <c r="G2699" i="1" a="1"/>
  <c r="G3024" i="1" a="1"/>
  <c r="G2371" i="1" a="1"/>
  <c r="G2820" i="1" a="1"/>
  <c r="G3136" i="1" a="1"/>
  <c r="G2437" i="1" a="1"/>
  <c r="G2872" i="1" a="1"/>
  <c r="G3201" i="1" a="1"/>
  <c r="G3428" i="1" a="1"/>
  <c r="G3581" i="1" a="1"/>
  <c r="G3709" i="1" a="1"/>
  <c r="G1918" i="1" a="1"/>
  <c r="G3393" i="1" a="1"/>
  <c r="G3712" i="1" a="1"/>
  <c r="G3923" i="1" a="1"/>
  <c r="G4059" i="1" a="1"/>
  <c r="G4200" i="1" a="1"/>
  <c r="G4346" i="1" a="1"/>
  <c r="G4503" i="1" a="1"/>
  <c r="G4639" i="1" a="1"/>
  <c r="G4789" i="1" a="1"/>
  <c r="G4917" i="1" a="1"/>
  <c r="G5045" i="1" a="1"/>
  <c r="G5173" i="1" a="1"/>
  <c r="G5301" i="1" a="1"/>
  <c r="G2230" i="1" a="1"/>
  <c r="G111" i="1" a="1"/>
  <c r="G455" i="1" a="1"/>
  <c r="G216" i="1" a="1"/>
  <c r="G360" i="1" a="1"/>
  <c r="G93" i="1" a="1"/>
  <c r="G1448" i="1" a="1"/>
  <c r="G396" i="1" a="1"/>
  <c r="G454" i="1" a="1"/>
  <c r="G1021" i="1" a="1"/>
  <c r="G1163" i="1" a="1"/>
  <c r="G1409" i="1" a="1"/>
  <c r="G906" i="1" a="1"/>
  <c r="G1124" i="1" a="1"/>
  <c r="G2658" i="1" a="1"/>
  <c r="G1255" i="1" a="1"/>
  <c r="G2131" i="1" a="1"/>
  <c r="G2851" i="1" a="1"/>
  <c r="G2915" i="1" a="1"/>
  <c r="G2979" i="1" a="1"/>
  <c r="G3043" i="1" a="1"/>
  <c r="G3107" i="1" a="1"/>
  <c r="G3171" i="1" a="1"/>
  <c r="G3235" i="1" a="1"/>
  <c r="G3299" i="1" a="1"/>
  <c r="G3363" i="1" a="1"/>
  <c r="G3427" i="1" a="1"/>
  <c r="G3491" i="1" a="1"/>
  <c r="G1666" i="1" a="1"/>
  <c r="G2043" i="1" a="1"/>
  <c r="G2205" i="1" a="1"/>
  <c r="G2351" i="1" a="1"/>
  <c r="G2487" i="1" a="1"/>
  <c r="G2644" i="1" a="1"/>
  <c r="G2769" i="1" a="1"/>
  <c r="G1772" i="1" a="1"/>
  <c r="G2060" i="1" a="1"/>
  <c r="G2206" i="1" a="1"/>
  <c r="G2368" i="1" a="1"/>
  <c r="G2504" i="1" a="1"/>
  <c r="G2645" i="1" a="1"/>
  <c r="G1344" i="1" a="1"/>
  <c r="G1405" i="1" a="1"/>
  <c r="G1741" i="1" a="1"/>
  <c r="G2062" i="1" a="1"/>
  <c r="G2198" i="1" a="1"/>
  <c r="G2360" i="1" a="1"/>
  <c r="G2506" i="1" a="1"/>
  <c r="G2642" i="1" a="1"/>
  <c r="G1353" i="1" a="1"/>
  <c r="G2222" i="1" a="1"/>
  <c r="G2525" i="1" a="1"/>
  <c r="G2785" i="1" a="1"/>
  <c r="G3020" i="1" a="1"/>
  <c r="G3189" i="1" a="1"/>
  <c r="G3358" i="1" a="1"/>
  <c r="G1077" i="1" a="1"/>
  <c r="G2118" i="1" a="1"/>
  <c r="G2442" i="1" a="1"/>
  <c r="G2702" i="1" a="1"/>
  <c r="G2840" i="1" a="1"/>
  <c r="G2993" i="1" a="1"/>
  <c r="G3162" i="1" a="1"/>
  <c r="G3336" i="1" a="1"/>
  <c r="G1986" i="1" a="1"/>
  <c r="G2286" i="1" a="1"/>
  <c r="G2589" i="1" a="1"/>
  <c r="G2893" i="1" a="1"/>
  <c r="G3062" i="1" a="1"/>
  <c r="G3236" i="1" a="1"/>
  <c r="G2093" i="1" a="1"/>
  <c r="G2375" i="1" a="1"/>
  <c r="G2678" i="1" a="1"/>
  <c r="G2950" i="1" a="1"/>
  <c r="G3124" i="1" a="1"/>
  <c r="G1781" i="1" a="1"/>
  <c r="G2486" i="1" a="1"/>
  <c r="G2857" i="1" a="1"/>
  <c r="G3186" i="1" a="1"/>
  <c r="G3424" i="1" a="1"/>
  <c r="G3582" i="1" a="1"/>
  <c r="G3710" i="1" a="1"/>
  <c r="G3838" i="1" a="1"/>
  <c r="G3966" i="1" a="1"/>
  <c r="G4094" i="1" a="1"/>
  <c r="G4222" i="1" a="1"/>
  <c r="G4350" i="1" a="1"/>
  <c r="G4478" i="1" a="1"/>
  <c r="G4606" i="1" a="1"/>
  <c r="G4734" i="1" a="1"/>
  <c r="G2175" i="1" a="1"/>
  <c r="G2715" i="1" a="1"/>
  <c r="G3150" i="1" a="1"/>
  <c r="G3440" i="1" a="1"/>
  <c r="G3601" i="1" a="1"/>
  <c r="G3729" i="1" a="1"/>
  <c r="G2364" i="1" a="1"/>
  <c r="G2837" i="1" a="1"/>
  <c r="G3169" i="1" a="1"/>
  <c r="G3430" i="1" a="1"/>
  <c r="G3588" i="1" a="1"/>
  <c r="G3716" i="1" a="1"/>
  <c r="G2136" i="1" a="1"/>
  <c r="G2736" i="1" a="1"/>
  <c r="G3033" i="1" a="1"/>
  <c r="G2392" i="1" a="1"/>
  <c r="G2830" i="1" a="1"/>
  <c r="G3145" i="1" a="1"/>
  <c r="G2458" i="1" a="1"/>
  <c r="G2881" i="1" a="1"/>
  <c r="G3210" i="1" a="1"/>
  <c r="G3433" i="1" a="1"/>
  <c r="G3590" i="1" a="1"/>
  <c r="G3718" i="1" a="1"/>
  <c r="G2144" i="1" a="1"/>
  <c r="G3405" i="1" a="1"/>
  <c r="G3721" i="1" a="1"/>
  <c r="G3928" i="1" a="1"/>
  <c r="G4064" i="1" a="1"/>
  <c r="G4205" i="1" a="1"/>
  <c r="G4367" i="1" a="1"/>
  <c r="G4508" i="1" a="1"/>
  <c r="G4644" i="1" a="1"/>
  <c r="G4798" i="1" a="1"/>
  <c r="G4926" i="1" a="1"/>
  <c r="G5054" i="1" a="1"/>
  <c r="G5182" i="1" a="1"/>
  <c r="G5310" i="1" a="1"/>
  <c r="G2397" i="1" a="1"/>
  <c r="G171" i="1" a="1"/>
  <c r="G515" i="1" a="1"/>
  <c r="G12" i="1" a="1"/>
  <c r="G561" i="1" a="1"/>
  <c r="G253" i="1" a="1"/>
  <c r="G1567" i="1" a="1"/>
  <c r="G682" i="1" a="1"/>
  <c r="G739" i="1" a="1"/>
  <c r="G1152" i="1" a="1"/>
  <c r="G1299" i="1" a="1"/>
  <c r="G1545" i="1" a="1"/>
  <c r="G1062" i="1" a="1"/>
  <c r="G1431" i="1" a="1"/>
  <c r="G1264" i="1" a="1"/>
  <c r="G1321" i="1" a="1"/>
  <c r="G2262" i="1" a="1"/>
  <c r="G2855" i="1" a="1"/>
  <c r="G2919" i="1" a="1"/>
  <c r="G2983" i="1" a="1"/>
  <c r="G3047" i="1" a="1"/>
  <c r="G3111" i="1" a="1"/>
  <c r="G3175" i="1" a="1"/>
  <c r="G3239" i="1" a="1"/>
  <c r="G3303" i="1" a="1"/>
  <c r="G3367" i="1" a="1"/>
  <c r="G3431" i="1" a="1"/>
  <c r="G3495" i="1" a="1"/>
  <c r="G1708" i="1" a="1"/>
  <c r="G2080" i="1" a="1"/>
  <c r="G2216" i="1" a="1"/>
  <c r="G2357" i="1" a="1"/>
  <c r="G2503" i="1" a="1"/>
  <c r="G2660" i="1" a="1"/>
  <c r="G2778" i="1" a="1"/>
  <c r="G1793" i="1" a="1"/>
  <c r="G2065" i="1" a="1"/>
  <c r="G2211" i="1" a="1"/>
  <c r="G2373" i="1" a="1"/>
  <c r="G2509" i="1" a="1"/>
  <c r="G2650" i="1" a="1"/>
  <c r="G1401" i="1" a="1"/>
  <c r="G1459" i="1" a="1"/>
  <c r="G1783" i="1" a="1"/>
  <c r="G2067" i="1" a="1"/>
  <c r="G2203" i="1" a="1"/>
  <c r="G2365" i="1" a="1"/>
  <c r="G2511" i="1" a="1"/>
  <c r="G2647" i="1" a="1"/>
  <c r="G1464" i="1" a="1"/>
  <c r="G2243" i="1" a="1"/>
  <c r="G2536" i="1" a="1"/>
  <c r="G2860" i="1" a="1"/>
  <c r="G3029" i="1" a="1"/>
  <c r="G3198" i="1" a="1"/>
  <c r="G3372" i="1" a="1"/>
  <c r="G1469" i="1" a="1"/>
  <c r="G2129" i="1" a="1"/>
  <c r="G2453" i="1" a="1"/>
  <c r="G2711" i="1" a="1"/>
  <c r="G2845" i="1" a="1"/>
  <c r="G3002" i="1" a="1"/>
  <c r="G3176" i="1" a="1"/>
  <c r="G3345" i="1" a="1"/>
  <c r="G2021" i="1" a="1"/>
  <c r="G2307" i="1" a="1"/>
  <c r="G2600" i="1" a="1"/>
  <c r="G2902" i="1" a="1"/>
  <c r="G3076" i="1" a="1"/>
  <c r="G3245" i="1" a="1"/>
  <c r="G2103" i="1" a="1"/>
  <c r="G2396" i="1" a="1"/>
  <c r="G2698" i="1" a="1"/>
  <c r="G2964" i="1" a="1"/>
  <c r="G3133" i="1" a="1"/>
  <c r="G1941" i="1" a="1"/>
  <c r="G2528" i="1" a="1"/>
  <c r="G2866" i="1" a="1"/>
  <c r="G3232" i="1" a="1"/>
  <c r="G3429" i="1" a="1"/>
  <c r="G3587" i="1" a="1"/>
  <c r="G3715" i="1" a="1"/>
  <c r="G3843" i="1" a="1"/>
  <c r="G3971" i="1" a="1"/>
  <c r="G4099" i="1" a="1"/>
  <c r="G4227" i="1" a="1"/>
  <c r="G4355" i="1" a="1"/>
  <c r="G4483" i="1" a="1"/>
  <c r="G4611" i="1" a="1"/>
  <c r="G4739" i="1" a="1"/>
  <c r="G2196" i="1" a="1"/>
  <c r="G2752" i="1" a="1"/>
  <c r="G3196" i="1" a="1"/>
  <c r="G3456" i="1" a="1"/>
  <c r="G3610" i="1" a="1"/>
  <c r="G3738" i="1" a="1"/>
  <c r="G2385" i="1" a="1"/>
  <c r="G2848" i="1" a="1"/>
  <c r="G3178" i="1" a="1"/>
  <c r="G3441" i="1" a="1"/>
  <c r="G3597" i="1" a="1"/>
  <c r="G3725" i="1" a="1"/>
  <c r="G2157" i="1" a="1"/>
  <c r="G2754" i="1" a="1"/>
  <c r="G3042" i="1" a="1"/>
  <c r="G2413" i="1" a="1"/>
  <c r="G2841" i="1" a="1"/>
  <c r="G1844" i="1" a="1"/>
  <c r="G2500" i="1" a="1"/>
  <c r="G2890" i="1" a="1"/>
  <c r="G3256" i="1" a="1"/>
  <c r="G3438" i="1" a="1"/>
  <c r="G3595" i="1" a="1"/>
  <c r="G3723" i="1" a="1"/>
  <c r="G2227" i="1" a="1"/>
  <c r="G3457" i="1" a="1"/>
  <c r="G3730" i="1" a="1"/>
  <c r="G3933" i="1" a="1"/>
  <c r="G4069" i="1" a="1"/>
  <c r="G4210" i="1" a="1"/>
  <c r="G4372" i="1" a="1"/>
  <c r="G4513" i="1" a="1"/>
  <c r="G4649" i="1" a="1"/>
  <c r="G4803" i="1" a="1"/>
  <c r="G4931" i="1" a="1"/>
  <c r="G5059" i="1" a="1"/>
  <c r="G5187" i="1" a="1"/>
  <c r="G5315" i="1" a="1"/>
  <c r="G175" i="1" a="1"/>
  <c r="G519" i="1" a="1"/>
  <c r="G26" i="1" a="1"/>
  <c r="G566" i="1" a="1"/>
  <c r="G37" i="1" a="1"/>
  <c r="G1576" i="1" a="1"/>
  <c r="G688" i="1" a="1"/>
  <c r="G744" i="1" a="1"/>
  <c r="G1157" i="1" a="1"/>
  <c r="G1304" i="1" a="1"/>
  <c r="G1550" i="1" a="1"/>
  <c r="G1078" i="1" a="1"/>
  <c r="G1441" i="1" a="1"/>
  <c r="G1275" i="1" a="1"/>
  <c r="G1363" i="1" a="1"/>
  <c r="G2267" i="1" a="1"/>
  <c r="G2859" i="1" a="1"/>
  <c r="G2923" i="1" a="1"/>
  <c r="G2987" i="1" a="1"/>
  <c r="G3051" i="1" a="1"/>
  <c r="G3115" i="1" a="1"/>
  <c r="G3179" i="1" a="1"/>
  <c r="G3243" i="1" a="1"/>
  <c r="G3307" i="1" a="1"/>
  <c r="G3371" i="1" a="1"/>
  <c r="G3435" i="1" a="1"/>
  <c r="G3499" i="1" a="1"/>
  <c r="G1729" i="1" a="1"/>
  <c r="G2085" i="1" a="1"/>
  <c r="G2221" i="1" a="1"/>
  <c r="G2362" i="1" a="1"/>
  <c r="G2524" i="1" a="1"/>
  <c r="G2665" i="1" a="1"/>
  <c r="G2787" i="1" a="1"/>
  <c r="G1814" i="1" a="1"/>
  <c r="G2070" i="1" a="1"/>
  <c r="G2232" i="1" a="1"/>
  <c r="G2378" i="1" a="1"/>
  <c r="G2514" i="1" a="1"/>
  <c r="G2655" i="1" a="1"/>
  <c r="G1485" i="1" a="1"/>
  <c r="G1516" i="1" a="1"/>
  <c r="G1856" i="1" a="1"/>
  <c r="G2078" i="1" a="1"/>
  <c r="G2240" i="1" a="1"/>
  <c r="G2376" i="1" a="1"/>
  <c r="G2517" i="1" a="1"/>
  <c r="G2663" i="1" a="1"/>
  <c r="G1902" i="1" a="1"/>
  <c r="G2264" i="1" a="1"/>
  <c r="G2546" i="1" a="1"/>
  <c r="G2869" i="1" a="1"/>
  <c r="G3038" i="1" a="1"/>
  <c r="G3212" i="1" a="1"/>
  <c r="G3381" i="1" a="1"/>
  <c r="G1579" i="1" a="1"/>
  <c r="G2139" i="1" a="1"/>
  <c r="G2463" i="1" a="1"/>
  <c r="G2748" i="1" a="1"/>
  <c r="G2850" i="1" a="1"/>
  <c r="G3016" i="1" a="1"/>
  <c r="G3185" i="1" a="1"/>
  <c r="G3354" i="1" a="1"/>
  <c r="G2034" i="1" a="1"/>
  <c r="G2328" i="1" a="1"/>
  <c r="G2610" i="1" a="1"/>
  <c r="G2916" i="1" a="1"/>
  <c r="G3085" i="1" a="1"/>
  <c r="G3254" i="1" a="1"/>
  <c r="G2145" i="1" a="1"/>
  <c r="G2406" i="1" a="1"/>
  <c r="G2707" i="1" a="1"/>
  <c r="G2973" i="1" a="1"/>
  <c r="G3142" i="1" a="1"/>
  <c r="G1990" i="1" a="1"/>
  <c r="G2549" i="1" a="1"/>
  <c r="G2912" i="1" a="1"/>
  <c r="G3241" i="1" a="1"/>
  <c r="G3434" i="1" a="1"/>
  <c r="G3596" i="1" a="1"/>
  <c r="G3724" i="1" a="1"/>
  <c r="G3852" i="1" a="1"/>
  <c r="G3980" i="1" a="1"/>
  <c r="G4108" i="1" a="1"/>
  <c r="G4236" i="1" a="1"/>
  <c r="G4364" i="1" a="1"/>
  <c r="G4492" i="1" a="1"/>
  <c r="G4620" i="1" a="1"/>
  <c r="G4748" i="1" a="1"/>
  <c r="G2217" i="1" a="1"/>
  <c r="G2876" i="1" a="1"/>
  <c r="G3205" i="1" a="1"/>
  <c r="G3461" i="1" a="1"/>
  <c r="G3615" i="1" a="1"/>
  <c r="G3743" i="1" a="1"/>
  <c r="G2447" i="1" a="1"/>
  <c r="G2858" i="1" a="1"/>
  <c r="G3224" i="1" a="1"/>
  <c r="G3446" i="1" a="1"/>
  <c r="G3606" i="1" a="1"/>
  <c r="G3734" i="1" a="1"/>
  <c r="G2220" i="1" a="1"/>
  <c r="G2771" i="1" a="1"/>
  <c r="G3088" i="1" a="1"/>
  <c r="G2476" i="1" a="1"/>
  <c r="G2852" i="1" a="1"/>
  <c r="G1973" i="1" a="1"/>
  <c r="G2583" i="1" a="1"/>
  <c r="G2936" i="1" a="1"/>
  <c r="G3265" i="1" a="1"/>
  <c r="G3480" i="1" a="1"/>
  <c r="G3604" i="1" a="1"/>
  <c r="G3732" i="1" a="1"/>
  <c r="G2311" i="1" a="1"/>
  <c r="G3478" i="1" a="1"/>
  <c r="G3778" i="1" a="1"/>
  <c r="G3938" i="1" a="1"/>
  <c r="G4074" i="1" a="1"/>
  <c r="G4231" i="1" a="1"/>
  <c r="G4377" i="1" a="1"/>
  <c r="G4518" i="1" a="1"/>
  <c r="G4654" i="1" a="1"/>
  <c r="G4812" i="1" a="1"/>
  <c r="G4940" i="1" a="1"/>
  <c r="G5068" i="1" a="1"/>
  <c r="G5196" i="1" a="1"/>
  <c r="G5324" i="1" a="1"/>
  <c r="G235" i="1" a="1"/>
  <c r="G579" i="1" a="1"/>
  <c r="G290" i="1" a="1"/>
  <c r="G120" i="1" a="1"/>
  <c r="G590" i="1" a="1"/>
  <c r="G1695" i="1" a="1"/>
  <c r="G836" i="1" a="1"/>
  <c r="G320" i="1" a="1"/>
  <c r="G1298" i="1" a="1"/>
  <c r="G1435" i="1" a="1"/>
  <c r="G1707" i="1" a="1"/>
  <c r="G1219" i="1" a="1"/>
  <c r="G1744" i="1" a="1"/>
  <c r="G1525" i="1" a="1"/>
  <c r="G1072" i="1" a="1"/>
  <c r="G2424" i="1" a="1"/>
  <c r="G2863" i="1" a="1"/>
  <c r="G2927" i="1" a="1"/>
  <c r="G2991" i="1" a="1"/>
  <c r="G3055" i="1" a="1"/>
  <c r="G3119" i="1" a="1"/>
  <c r="G3183" i="1" a="1"/>
  <c r="G3247" i="1" a="1"/>
  <c r="G3311" i="1" a="1"/>
  <c r="G3375" i="1" a="1"/>
  <c r="G3439" i="1" a="1"/>
  <c r="G3503" i="1" a="1"/>
  <c r="G1750" i="1" a="1"/>
  <c r="G2090" i="1" a="1"/>
  <c r="G2226" i="1" a="1"/>
  <c r="G2367" i="1" a="1"/>
  <c r="G2529" i="1" a="1"/>
  <c r="G2670" i="1" a="1"/>
  <c r="G962" i="1" a="1"/>
  <c r="G1865" i="1" a="1"/>
  <c r="G2075" i="1" a="1"/>
  <c r="G2237" i="1" a="1"/>
  <c r="G2383" i="1" a="1"/>
  <c r="G2519" i="1" a="1"/>
  <c r="G2676" i="1" a="1"/>
  <c r="G1511" i="1" a="1"/>
  <c r="G1542" i="1" a="1"/>
  <c r="G1890" i="1" a="1"/>
  <c r="G2083" i="1" a="1"/>
  <c r="G2245" i="1" a="1"/>
  <c r="G2381" i="1" a="1"/>
  <c r="G2522" i="1" a="1"/>
  <c r="G2684" i="1" a="1"/>
  <c r="G1961" i="1" a="1"/>
  <c r="G2285" i="1" a="1"/>
  <c r="G2567" i="1" a="1"/>
  <c r="G2878" i="1" a="1"/>
  <c r="G3052" i="1" a="1"/>
  <c r="G3221" i="1" a="1"/>
  <c r="G3390" i="1" a="1"/>
  <c r="G1656" i="1" a="1"/>
  <c r="G2181" i="1" a="1"/>
  <c r="G2484" i="1" a="1"/>
  <c r="G2757" i="1" a="1"/>
  <c r="G2856" i="1" a="1"/>
  <c r="G3025" i="1" a="1"/>
  <c r="G3194" i="1" a="1"/>
  <c r="G3368" i="1" a="1"/>
  <c r="G2046" i="1" a="1"/>
  <c r="G2349" i="1" a="1"/>
  <c r="G2631" i="1" a="1"/>
  <c r="G2925" i="1" a="1"/>
  <c r="G3094" i="1" a="1"/>
  <c r="G3268" i="1" a="1"/>
  <c r="G2156" i="1" a="1"/>
  <c r="G2417" i="1" a="1"/>
  <c r="G2744" i="1" a="1"/>
  <c r="G2982" i="1" a="1"/>
  <c r="G3156" i="1" a="1"/>
  <c r="G2023" i="1" a="1"/>
  <c r="G2611" i="1" a="1"/>
  <c r="G2921" i="1" a="1"/>
  <c r="G3250" i="1" a="1"/>
  <c r="G3450" i="1" a="1"/>
  <c r="G3605" i="1" a="1"/>
  <c r="G3733" i="1" a="1"/>
  <c r="G3861" i="1" a="1"/>
  <c r="G3989" i="1" a="1"/>
  <c r="G4117" i="1" a="1"/>
  <c r="G4245" i="1" a="1"/>
  <c r="G4373" i="1" a="1"/>
  <c r="G4501" i="1" a="1"/>
  <c r="G4629" i="1" a="1"/>
  <c r="G4757" i="1" a="1"/>
  <c r="G2238" i="1" a="1"/>
  <c r="G2885" i="1" a="1"/>
  <c r="G3214" i="1" a="1"/>
  <c r="G3466" i="1" a="1"/>
  <c r="G3624" i="1" a="1"/>
  <c r="G3752" i="1" a="1"/>
  <c r="G2510" i="1" a="1"/>
  <c r="G2904" i="1" a="1"/>
  <c r="G3233" i="1" a="1"/>
  <c r="G3472" i="1" a="1"/>
  <c r="G3611" i="1" a="1"/>
  <c r="G3739" i="1" a="1"/>
  <c r="G2282" i="1" a="1"/>
  <c r="G2796" i="1" a="1"/>
  <c r="G1600" i="1" a="1"/>
  <c r="G2538" i="1" a="1"/>
  <c r="G2880" i="1" a="1"/>
  <c r="G2013" i="1" a="1"/>
  <c r="G2625" i="1" a="1"/>
  <c r="G2945" i="1" a="1"/>
  <c r="G3273" i="1" a="1"/>
  <c r="G3485" i="1" a="1"/>
  <c r="G3613" i="1" a="1"/>
  <c r="G3741" i="1" a="1"/>
  <c r="G2478" i="1" a="1"/>
  <c r="G3520" i="1" a="1"/>
  <c r="G3793" i="1" a="1"/>
  <c r="G3944" i="1" a="1"/>
  <c r="G4090" i="1" a="1"/>
  <c r="G4247" i="1" a="1"/>
  <c r="G4383" i="1" a="1"/>
  <c r="G4529" i="1" a="1"/>
  <c r="G4691" i="1" a="1"/>
  <c r="G4821" i="1" a="1"/>
  <c r="G4949" i="1" a="1"/>
  <c r="G5077" i="1" a="1"/>
  <c r="G5205" i="1" a="1"/>
  <c r="G5333" i="1" a="1"/>
  <c r="G239" i="1" a="1"/>
  <c r="G583" i="1" a="1"/>
  <c r="G314" i="1" a="1"/>
  <c r="G144" i="1" a="1"/>
  <c r="G613" i="1" a="1"/>
  <c r="G1704" i="1" a="1"/>
  <c r="G847" i="1" a="1"/>
  <c r="G341" i="1" a="1"/>
  <c r="G1319" i="1" a="1"/>
  <c r="G1440" i="1" a="1"/>
  <c r="G1712" i="1" a="1"/>
  <c r="G1235" i="1" a="1"/>
  <c r="G1755" i="1" a="1"/>
  <c r="G1536" i="1" a="1"/>
  <c r="G1093" i="1" a="1"/>
  <c r="G2429" i="1" a="1"/>
  <c r="G2867" i="1" a="1"/>
  <c r="G2931" i="1" a="1"/>
  <c r="G2995" i="1" a="1"/>
  <c r="G3059" i="1" a="1"/>
  <c r="G3123" i="1" a="1"/>
  <c r="G3187" i="1" a="1"/>
  <c r="G3251" i="1" a="1"/>
  <c r="G3315" i="1" a="1"/>
  <c r="G3379" i="1" a="1"/>
  <c r="G3443" i="1" a="1"/>
  <c r="G3507" i="1" a="1"/>
  <c r="G1771" i="1" a="1"/>
  <c r="G2095" i="1" a="1"/>
  <c r="G2231" i="1" a="1"/>
  <c r="G2388" i="1" a="1"/>
  <c r="G2534" i="1" a="1"/>
  <c r="G2675" i="1" a="1"/>
  <c r="G1140" i="1" a="1"/>
  <c r="G1881" i="1" a="1"/>
  <c r="G2112" i="1" a="1"/>
  <c r="G2248" i="1" a="1"/>
  <c r="G2389" i="1" a="1"/>
  <c r="G2535" i="1" a="1"/>
  <c r="G2692" i="1" a="1"/>
  <c r="G1541" i="1" a="1"/>
  <c r="G1572" i="1" a="1"/>
  <c r="G1907" i="1" a="1"/>
  <c r="G2104" i="1" a="1"/>
  <c r="G2250" i="1" a="1"/>
  <c r="G2386" i="1" a="1"/>
  <c r="G2527" i="1" a="1"/>
  <c r="G2689" i="1" a="1"/>
  <c r="G1985" i="1" a="1"/>
  <c r="G2295" i="1" a="1"/>
  <c r="G2588" i="1" a="1"/>
  <c r="G2892" i="1" a="1"/>
  <c r="G3061" i="1" a="1"/>
  <c r="G3230" i="1" a="1"/>
  <c r="G3404" i="1" a="1"/>
  <c r="G1718" i="1" a="1"/>
  <c r="G2191" i="1" a="1"/>
  <c r="G2505" i="1" a="1"/>
  <c r="G2766" i="1" a="1"/>
  <c r="G2865" i="1" a="1"/>
  <c r="G3034" i="1" a="1"/>
  <c r="G3208" i="1" a="1"/>
  <c r="G3377" i="1" a="1"/>
  <c r="G2077" i="1" a="1"/>
  <c r="G2359" i="1" a="1"/>
  <c r="G2652" i="1" a="1"/>
  <c r="G2934" i="1" a="1"/>
  <c r="G3108" i="1" a="1"/>
  <c r="G3277" i="1" a="1"/>
  <c r="G2166" i="1" a="1"/>
  <c r="G2427" i="1" a="1"/>
  <c r="G2753" i="1" a="1"/>
  <c r="G2996" i="1" a="1"/>
  <c r="G3165" i="1" a="1"/>
  <c r="G2047" i="1" a="1"/>
  <c r="G2653" i="1" a="1"/>
  <c r="G2930" i="1" a="1"/>
  <c r="G3266" i="1" a="1"/>
  <c r="G3476" i="1" a="1"/>
  <c r="G3614" i="1" a="1"/>
  <c r="G3742" i="1" a="1"/>
  <c r="G3870" i="1" a="1"/>
  <c r="G3998" i="1" a="1"/>
  <c r="G4126" i="1" a="1"/>
  <c r="G4254" i="1" a="1"/>
  <c r="G4382" i="1" a="1"/>
  <c r="G4510" i="1" a="1"/>
  <c r="G4638" i="1" a="1"/>
  <c r="G4766" i="1" a="1"/>
  <c r="G2280" i="1" a="1"/>
  <c r="G2894" i="1" a="1"/>
  <c r="G3260" i="1" a="1"/>
  <c r="G3482" i="1" a="1"/>
  <c r="G3633" i="1" a="1"/>
  <c r="G1286" i="1" a="1"/>
  <c r="G2531" i="1" a="1"/>
  <c r="G2913" i="1" a="1"/>
  <c r="G3242" i="1" a="1"/>
  <c r="G3488" i="1" a="1"/>
  <c r="G3620" i="1" a="1"/>
  <c r="G3748" i="1" a="1"/>
  <c r="G2303" i="1" a="1"/>
  <c r="G2806" i="1" a="1"/>
  <c r="G1725" i="1" a="1"/>
  <c r="G2559" i="1" a="1"/>
  <c r="G2889" i="1" a="1"/>
  <c r="G2039" i="1" a="1"/>
  <c r="G2646" i="1" a="1"/>
  <c r="G2954" i="1" a="1"/>
  <c r="G3286" i="1" a="1"/>
  <c r="G3490" i="1" a="1"/>
  <c r="G3622" i="1" a="1"/>
  <c r="G3750" i="1" a="1"/>
  <c r="G2908" i="1" a="1"/>
  <c r="G3529" i="1" a="1"/>
  <c r="G3799" i="1" a="1"/>
  <c r="G3949" i="1" a="1"/>
  <c r="G4111" i="1" a="1"/>
  <c r="G4252" i="1" a="1"/>
  <c r="G4388" i="1" a="1"/>
  <c r="G4534" i="1" a="1"/>
  <c r="G4696" i="1" a="1"/>
  <c r="G4830" i="1" a="1"/>
  <c r="G4958" i="1" a="1"/>
  <c r="G5086" i="1" a="1"/>
  <c r="G5214" i="1" a="1"/>
  <c r="G5342" i="1" a="1"/>
  <c r="G299" i="1" a="1"/>
  <c r="G117" i="1" a="1"/>
  <c r="G508" i="1" a="1"/>
  <c r="G408" i="1" a="1"/>
  <c r="G767" i="1" a="1"/>
  <c r="G1823" i="1" a="1"/>
  <c r="G978" i="1" a="1"/>
  <c r="G703" i="1" a="1"/>
  <c r="G1460" i="1" a="1"/>
  <c r="G1581" i="1" a="1"/>
  <c r="G1848" i="1" a="1"/>
  <c r="G1365" i="1" a="1"/>
  <c r="G2009" i="1" a="1"/>
  <c r="G1842" i="1" a="1"/>
  <c r="G1213" i="1" a="1"/>
  <c r="G2570" i="1" a="1"/>
  <c r="G2871" i="1" a="1"/>
  <c r="G2935" i="1" a="1"/>
  <c r="G2999" i="1" a="1"/>
  <c r="G3063" i="1" a="1"/>
  <c r="G3127" i="1" a="1"/>
  <c r="G3191" i="1" a="1"/>
  <c r="G3255" i="1" a="1"/>
  <c r="G3319" i="1" a="1"/>
  <c r="G3383" i="1" a="1"/>
  <c r="G3447" i="1" a="1"/>
  <c r="G3511" i="1" a="1"/>
  <c r="G1792" i="1" a="1"/>
  <c r="G2101" i="1" a="1"/>
  <c r="G2247" i="1" a="1"/>
  <c r="G2404" i="1" a="1"/>
  <c r="G2540" i="1" a="1"/>
  <c r="G2686" i="1" a="1"/>
  <c r="G1260" i="1" a="1"/>
  <c r="G1931" i="1" a="1"/>
  <c r="G2117" i="1" a="1"/>
  <c r="G2253" i="1" a="1"/>
  <c r="G2394" i="1" a="1"/>
  <c r="G2556" i="1" a="1"/>
  <c r="G2701" i="1" a="1"/>
  <c r="G1589" i="1" a="1"/>
  <c r="G1634" i="1" a="1"/>
  <c r="G1923" i="1" a="1"/>
  <c r="G2109" i="1" a="1"/>
  <c r="G2255" i="1" a="1"/>
  <c r="G2391" i="1" a="1"/>
  <c r="G2548" i="1" a="1"/>
  <c r="G2694" i="1" a="1"/>
  <c r="G2005" i="1" a="1"/>
  <c r="G2337" i="1" a="1"/>
  <c r="G2598" i="1" a="1"/>
  <c r="G2901" i="1" a="1"/>
  <c r="G3070" i="1" a="1"/>
  <c r="G3244" i="1" a="1"/>
  <c r="G3413" i="1" a="1"/>
  <c r="G1767" i="1" a="1"/>
  <c r="G2202" i="1" a="1"/>
  <c r="G2515" i="1" a="1"/>
  <c r="G2774" i="1" a="1"/>
  <c r="G2874" i="1" a="1"/>
  <c r="G3048" i="1" a="1"/>
  <c r="G3217" i="1" a="1"/>
  <c r="G3386" i="1" a="1"/>
  <c r="G2088" i="1" a="1"/>
  <c r="G2401" i="1" a="1"/>
  <c r="G2662" i="1" a="1"/>
  <c r="G2948" i="1" a="1"/>
  <c r="G3117" i="1" a="1"/>
  <c r="G1635" i="1" a="1"/>
  <c r="G2208" i="1" a="1"/>
  <c r="G2469" i="1" a="1"/>
  <c r="G2762" i="1" a="1"/>
  <c r="G3005" i="1" a="1"/>
  <c r="G3174" i="1" a="1"/>
  <c r="G2068" i="1" a="1"/>
  <c r="G2674" i="1" a="1"/>
  <c r="G2976" i="1" a="1"/>
  <c r="G3274" i="1" a="1"/>
  <c r="G3481" i="1" a="1"/>
  <c r="G3619" i="1" a="1"/>
  <c r="G3747" i="1" a="1"/>
  <c r="G3875" i="1" a="1"/>
  <c r="G4003" i="1" a="1"/>
  <c r="G4131" i="1" a="1"/>
  <c r="G4259" i="1" a="1"/>
  <c r="G4387" i="1" a="1"/>
  <c r="G4515" i="1" a="1"/>
  <c r="G4643" i="1" a="1"/>
  <c r="G4771" i="1" a="1"/>
  <c r="G2342" i="1" a="1"/>
  <c r="G2940" i="1" a="1"/>
  <c r="G3282" i="1" a="1"/>
  <c r="G3508" i="1" a="1"/>
  <c r="G3642" i="1" a="1"/>
  <c r="G1527" i="1" a="1"/>
  <c r="G2552" i="1" a="1"/>
  <c r="G2922" i="1" a="1"/>
  <c r="G3269" i="1" a="1"/>
  <c r="G3493" i="1" a="1"/>
  <c r="G3629" i="1" a="1"/>
  <c r="G3757" i="1" a="1"/>
  <c r="G2324" i="1" a="1"/>
  <c r="G2817" i="1" a="1"/>
  <c r="G1837" i="1" a="1"/>
  <c r="G2580" i="1" a="1"/>
  <c r="G2898" i="1" a="1"/>
  <c r="G2061" i="1" a="1"/>
  <c r="G2688" i="1" a="1"/>
  <c r="G3000" i="1" a="1"/>
  <c r="G3292" i="1" a="1"/>
  <c r="G3496" i="1" a="1"/>
  <c r="G3627" i="1" a="1"/>
  <c r="G3755" i="1" a="1"/>
  <c r="G2981" i="1" a="1"/>
  <c r="G3538" i="1" a="1"/>
  <c r="G3817" i="1" a="1"/>
  <c r="G3954" i="1" a="1"/>
  <c r="G4116" i="1" a="1"/>
  <c r="G4257" i="1" a="1"/>
  <c r="G4393" i="1" a="1"/>
  <c r="G4555" i="1" a="1"/>
  <c r="G4701" i="1" a="1"/>
  <c r="G4835" i="1" a="1"/>
  <c r="G4963" i="1" a="1"/>
  <c r="G5091" i="1" a="1"/>
  <c r="G5219" i="1" a="1"/>
  <c r="G5347" i="1" a="1"/>
  <c r="G303" i="1" a="1"/>
  <c r="G124" i="1" a="1"/>
  <c r="G513" i="1" a="1"/>
  <c r="G413" i="1" a="1"/>
  <c r="G772" i="1" a="1"/>
  <c r="G1832" i="1" a="1"/>
  <c r="G983" i="1" a="1"/>
  <c r="G708" i="1" a="1"/>
  <c r="G1465" i="1" a="1"/>
  <c r="G1586" i="1" a="1"/>
  <c r="G1853" i="1" a="1"/>
  <c r="G1371" i="1" a="1"/>
  <c r="G2018" i="1" a="1"/>
  <c r="G1859" i="1" a="1"/>
  <c r="G1228" i="1" a="1"/>
  <c r="G2575" i="1" a="1"/>
  <c r="G2875" i="1" a="1"/>
  <c r="G2939" i="1" a="1"/>
  <c r="G3003" i="1" a="1"/>
  <c r="G3067" i="1" a="1"/>
  <c r="G3131" i="1" a="1"/>
  <c r="G3195" i="1" a="1"/>
  <c r="G3259" i="1" a="1"/>
  <c r="G3323" i="1" a="1"/>
  <c r="G3387" i="1" a="1"/>
  <c r="G3451" i="1" a="1"/>
  <c r="G3515" i="1" a="1"/>
  <c r="G1829" i="1" a="1"/>
  <c r="G2106" i="1" a="1"/>
  <c r="G2268" i="1" a="1"/>
  <c r="G2409" i="1" a="1"/>
  <c r="G2545" i="1" a="1"/>
  <c r="G2691" i="1" a="1"/>
  <c r="G1302" i="1" a="1"/>
  <c r="G1944" i="1" a="1"/>
  <c r="G2122" i="1" a="1"/>
  <c r="G2258" i="1" a="1"/>
  <c r="G2399" i="1" a="1"/>
  <c r="G2561" i="1" a="1"/>
  <c r="G2710" i="1" a="1"/>
  <c r="G1610" i="1" a="1"/>
  <c r="G1281" i="1" a="1"/>
  <c r="G1952" i="1" a="1"/>
  <c r="G2120" i="1" a="1"/>
  <c r="G2261" i="1" a="1"/>
  <c r="G2407" i="1" a="1"/>
  <c r="G2564" i="1" a="1"/>
  <c r="G2703" i="1" a="1"/>
  <c r="G2020" i="1" a="1"/>
  <c r="G2348" i="1" a="1"/>
  <c r="G2609" i="1" a="1"/>
  <c r="G2910" i="1" a="1"/>
  <c r="G3084" i="1" a="1"/>
  <c r="G3253" i="1" a="1"/>
  <c r="G3422" i="1" a="1"/>
  <c r="G1821" i="1" a="1"/>
  <c r="G2244" i="1" a="1"/>
  <c r="G2526" i="1" a="1"/>
  <c r="G2780" i="1" a="1"/>
  <c r="G2888" i="1" a="1"/>
  <c r="G3057" i="1" a="1"/>
  <c r="G3226" i="1" a="1"/>
  <c r="G3400" i="1" a="1"/>
  <c r="G2098" i="1" a="1"/>
  <c r="G2412" i="1" a="1"/>
  <c r="G2673" i="1" a="1"/>
  <c r="G2957" i="1" a="1"/>
  <c r="G3126" i="1" a="1"/>
  <c r="G1697" i="1" a="1"/>
  <c r="G2218" i="1" a="1"/>
  <c r="G2479" i="1" a="1"/>
  <c r="G2777" i="1" a="1"/>
  <c r="G3014" i="1" a="1"/>
  <c r="G3188" i="1" a="1"/>
  <c r="G2089" i="1" a="1"/>
  <c r="G2713" i="1" a="1"/>
  <c r="G2985" i="1" a="1"/>
  <c r="G3293" i="1" a="1"/>
  <c r="G3492" i="1" a="1"/>
  <c r="G3628" i="1" a="1"/>
  <c r="G3756" i="1" a="1"/>
  <c r="G3884" i="1" a="1"/>
  <c r="G4012" i="1" a="1"/>
  <c r="G4140" i="1" a="1"/>
  <c r="G4268" i="1" a="1"/>
  <c r="G4396" i="1" a="1"/>
  <c r="G4524" i="1" a="1"/>
  <c r="G4652" i="1" a="1"/>
  <c r="G4780" i="1" a="1"/>
  <c r="G2363" i="1" a="1"/>
  <c r="G2949" i="1" a="1"/>
  <c r="G3288" i="1" a="1"/>
  <c r="G3513" i="1" a="1"/>
  <c r="G3647" i="1" a="1"/>
  <c r="G1886" i="1" a="1"/>
  <c r="G2573" i="1" a="1"/>
  <c r="G2968" i="1" a="1"/>
  <c r="G3301" i="1" a="1"/>
  <c r="G3498" i="1" a="1"/>
  <c r="G3638" i="1" a="1"/>
  <c r="G3766" i="1" a="1"/>
  <c r="G2345" i="1" a="1"/>
  <c r="G2828" i="1" a="1"/>
  <c r="G2035" i="1" a="1"/>
  <c r="G2601" i="1" a="1"/>
  <c r="G2944" i="1" a="1"/>
  <c r="G2124" i="1" a="1"/>
  <c r="G2725" i="1" a="1"/>
  <c r="G3009" i="1" a="1"/>
  <c r="G3310" i="1" a="1"/>
  <c r="G3501" i="1" a="1"/>
  <c r="G3636" i="1" a="1"/>
  <c r="G3764" i="1" a="1"/>
  <c r="G3054" i="1" a="1"/>
  <c r="G3575" i="1" a="1"/>
  <c r="G3823" i="1" a="1"/>
  <c r="G3975" i="1" a="1"/>
  <c r="G4121" i="1" a="1"/>
  <c r="G4262" i="1" a="1"/>
  <c r="G4398" i="1" a="1"/>
  <c r="G4560" i="1" a="1"/>
  <c r="G4706" i="1" a="1"/>
  <c r="G4844" i="1" a="1"/>
  <c r="G4972" i="1" a="1"/>
  <c r="G5100" i="1" a="1"/>
  <c r="G5228" i="1" a="1"/>
  <c r="G5356" i="1" a="1"/>
  <c r="G20" i="1" a="1"/>
  <c r="G41" i="1" a="1"/>
  <c r="G66" i="1" a="1"/>
  <c r="G605" i="1" a="1"/>
  <c r="G924" i="1" a="1"/>
  <c r="G1951" i="1" a="1"/>
  <c r="G584" i="1" a="1"/>
  <c r="G854" i="1" a="1"/>
  <c r="G1596" i="1" a="1"/>
  <c r="G1743" i="1" a="1"/>
  <c r="G967" i="1" a="1"/>
  <c r="G1506" i="1" a="1"/>
  <c r="G2137" i="1" a="1"/>
  <c r="G2000" i="1" a="1"/>
  <c r="G1500" i="1" a="1"/>
  <c r="G2709" i="1" a="1"/>
  <c r="G2879" i="1" a="1"/>
  <c r="G2943" i="1" a="1"/>
  <c r="G3007" i="1" a="1"/>
  <c r="G3071" i="1" a="1"/>
  <c r="G3135" i="1" a="1"/>
  <c r="G3199" i="1" a="1"/>
  <c r="G3263" i="1" a="1"/>
  <c r="G3327" i="1" a="1"/>
  <c r="G3391" i="1" a="1"/>
  <c r="G3455" i="1" a="1"/>
  <c r="G3519" i="1" a="1"/>
  <c r="G1845" i="1" a="1"/>
  <c r="G2111" i="1" a="1"/>
  <c r="G2273" i="1" a="1"/>
  <c r="G2414" i="1" a="1"/>
  <c r="G2550" i="1" a="1"/>
  <c r="G2696" i="1" a="1"/>
  <c r="G1342" i="1" a="1"/>
  <c r="G1970" i="1" a="1"/>
  <c r="G2127" i="1" a="1"/>
  <c r="G2263" i="1" a="1"/>
  <c r="G2420" i="1" a="1"/>
  <c r="G2566" i="1" a="1"/>
  <c r="G2719" i="1" a="1"/>
  <c r="G1652" i="1" a="1"/>
  <c r="G1323" i="1" a="1"/>
  <c r="G1976" i="1" a="1"/>
  <c r="G2125" i="1" a="1"/>
  <c r="G2266" i="1" a="1"/>
  <c r="G2428" i="1" a="1"/>
  <c r="G2569" i="1" a="1"/>
  <c r="G2708" i="1" a="1"/>
  <c r="G2055" i="1" a="1"/>
  <c r="G2358" i="1" a="1"/>
  <c r="G2619" i="1" a="1"/>
  <c r="G2924" i="1" a="1"/>
  <c r="G3093" i="1" a="1"/>
  <c r="G3262" i="1" a="1"/>
  <c r="G3436" i="1" a="1"/>
  <c r="G1870" i="1" a="1"/>
  <c r="G2254" i="1" a="1"/>
  <c r="G2557" i="1" a="1"/>
  <c r="G2792" i="1" a="1"/>
  <c r="G2897" i="1" a="1"/>
  <c r="G3066" i="1" a="1"/>
  <c r="G3240" i="1" a="1"/>
  <c r="G1202" i="1" a="1"/>
  <c r="G2119" i="1" a="1"/>
  <c r="G2422" i="1" a="1"/>
  <c r="G2683" i="1" a="1"/>
  <c r="G2966" i="1" a="1"/>
  <c r="G3140" i="1" a="1"/>
  <c r="G1746" i="1" a="1"/>
  <c r="G2229" i="1" a="1"/>
  <c r="G2490" i="1" a="1"/>
  <c r="G2784" i="1" a="1"/>
  <c r="G3028" i="1" a="1"/>
  <c r="G3197" i="1" a="1"/>
  <c r="G2110" i="1" a="1"/>
  <c r="G2731" i="1" a="1"/>
  <c r="G2994" i="1" a="1"/>
  <c r="G3300" i="1" a="1"/>
  <c r="G3497" i="1" a="1"/>
  <c r="G3637" i="1" a="1"/>
  <c r="G3765" i="1" a="1"/>
  <c r="G3893" i="1" a="1"/>
  <c r="G4021" i="1" a="1"/>
  <c r="G4149" i="1" a="1"/>
  <c r="G4277" i="1" a="1"/>
  <c r="G4405" i="1" a="1"/>
  <c r="G4533" i="1" a="1"/>
  <c r="G4661" i="1" a="1"/>
  <c r="G1276" i="1" a="1"/>
  <c r="G2405" i="1" a="1"/>
  <c r="G2958" i="1" a="1"/>
  <c r="G3306" i="1" a="1"/>
  <c r="G3528" i="1" a="1"/>
  <c r="G3656" i="1" a="1"/>
  <c r="G2071" i="1" a="1"/>
  <c r="G2636" i="1" a="1"/>
  <c r="G2977" i="1" a="1"/>
  <c r="G3325" i="1" a="1"/>
  <c r="G3514" i="1" a="1"/>
  <c r="G3643" i="1" a="1"/>
  <c r="G3771" i="1" a="1"/>
  <c r="G2366" i="1" a="1"/>
  <c r="G2838" i="1" a="1"/>
  <c r="G2099" i="1" a="1"/>
  <c r="G2622" i="1" a="1"/>
  <c r="G2953" i="1" a="1"/>
  <c r="G2186" i="1" a="1"/>
  <c r="G2743" i="1" a="1"/>
  <c r="G3018" i="1" a="1"/>
  <c r="G3316" i="1" a="1"/>
  <c r="G3506" i="1" a="1"/>
  <c r="G3645" i="1" a="1"/>
  <c r="G3773" i="1" a="1"/>
  <c r="G3138" i="1" a="1"/>
  <c r="G3584" i="1" a="1"/>
  <c r="G3834" i="1" a="1"/>
  <c r="G3991" i="1" a="1"/>
  <c r="G4127" i="1" a="1"/>
  <c r="G4273" i="1" a="1"/>
  <c r="G4435" i="1" a="1"/>
  <c r="G4571" i="1" a="1"/>
  <c r="G4712" i="1" a="1"/>
  <c r="G4853" i="1" a="1"/>
  <c r="G4981" i="1" a="1"/>
  <c r="G5109" i="1" a="1"/>
  <c r="G5237" i="1" a="1"/>
  <c r="G5365" i="1" a="1"/>
  <c r="G38" i="1" a="1"/>
  <c r="G48" i="1" a="1"/>
  <c r="G89" i="1" a="1"/>
  <c r="G614" i="1" a="1"/>
  <c r="G929" i="1" a="1"/>
  <c r="G1955" i="1" a="1"/>
  <c r="G617" i="1" a="1"/>
  <c r="G860" i="1" a="1"/>
  <c r="G1601" i="1" a="1"/>
  <c r="G1748" i="1" a="1"/>
  <c r="G975" i="1" a="1"/>
  <c r="G1517" i="1" a="1"/>
  <c r="G2146" i="1" a="1"/>
  <c r="G863" i="1" a="1"/>
  <c r="G1510" i="1" a="1"/>
  <c r="G2718" i="1" a="1"/>
  <c r="G2883" i="1" a="1"/>
  <c r="G2947" i="1" a="1"/>
  <c r="G3011" i="1" a="1"/>
  <c r="G3075" i="1" a="1"/>
  <c r="G3139" i="1" a="1"/>
  <c r="G3203" i="1" a="1"/>
  <c r="G3267" i="1" a="1"/>
  <c r="G3331" i="1" a="1"/>
  <c r="G3395" i="1" a="1"/>
  <c r="G3459" i="1" a="1"/>
  <c r="G926" i="1" a="1"/>
  <c r="G1863" i="1" a="1"/>
  <c r="G2132" i="1" a="1"/>
  <c r="G2278" i="1" a="1"/>
  <c r="G2419" i="1" a="1"/>
  <c r="G2555" i="1" a="1"/>
  <c r="G2705" i="1" a="1"/>
  <c r="G1396" i="1" a="1"/>
  <c r="G1993" i="1" a="1"/>
  <c r="G2133" i="1" a="1"/>
  <c r="G2279" i="1" a="1"/>
  <c r="G2436" i="1" a="1"/>
  <c r="G2572" i="1" a="1"/>
  <c r="G2724" i="1" a="1"/>
  <c r="G1673" i="1" a="1"/>
  <c r="G1354" i="1" a="1"/>
  <c r="G1988" i="1" a="1"/>
  <c r="G2130" i="1" a="1"/>
  <c r="G2271" i="1" a="1"/>
  <c r="G2433" i="1" a="1"/>
  <c r="G2574" i="1" a="1"/>
  <c r="G2717" i="1" a="1"/>
  <c r="G2076" i="1" a="1"/>
  <c r="G2400" i="1" a="1"/>
  <c r="G2661" i="1" a="1"/>
  <c r="G2933" i="1" a="1"/>
  <c r="G3102" i="1" a="1"/>
  <c r="G3276" i="1" a="1"/>
  <c r="G3445" i="1" a="1"/>
  <c r="G1903" i="1" a="1"/>
  <c r="G2275" i="1" a="1"/>
  <c r="G2568" i="1" a="1"/>
  <c r="G2797" i="1" a="1"/>
  <c r="G2906" i="1" a="1"/>
  <c r="G3080" i="1" a="1"/>
  <c r="G3249" i="1" a="1"/>
  <c r="G1490" i="1" a="1"/>
  <c r="G2140" i="1" a="1"/>
  <c r="G2464" i="1" a="1"/>
  <c r="G2712" i="1" a="1"/>
  <c r="G2980" i="1" a="1"/>
  <c r="G3149" i="1" a="1"/>
  <c r="G1802" i="1" a="1"/>
  <c r="G2239" i="1" a="1"/>
  <c r="G2532" i="1" a="1"/>
  <c r="G2868" i="1" a="1"/>
  <c r="G3037" i="1" a="1"/>
  <c r="G3206" i="1" a="1"/>
  <c r="G2152" i="1" a="1"/>
  <c r="G2768" i="1" a="1"/>
  <c r="G3040" i="1" a="1"/>
  <c r="G3318" i="1" a="1"/>
  <c r="G3502" i="1" a="1"/>
  <c r="G3646" i="1" a="1"/>
  <c r="G3774" i="1" a="1"/>
  <c r="G3902" i="1" a="1"/>
  <c r="G4030" i="1" a="1"/>
  <c r="G4158" i="1" a="1"/>
  <c r="G4286" i="1" a="1"/>
  <c r="G4414" i="1" a="1"/>
  <c r="G4542" i="1" a="1"/>
  <c r="G4670" i="1" a="1"/>
  <c r="G1520" i="1" a="1"/>
  <c r="G2426" i="1" a="1"/>
  <c r="G3004" i="1" a="1"/>
  <c r="G3312" i="1" a="1"/>
  <c r="G3537" i="1" a="1"/>
  <c r="G3665" i="1" a="1"/>
  <c r="G2113" i="1" a="1"/>
  <c r="G2716" i="1" a="1"/>
  <c r="G2986" i="1" a="1"/>
  <c r="G3332" i="1" a="1"/>
  <c r="G3524" i="1" a="1"/>
  <c r="G3652" i="1" a="1"/>
  <c r="G3780" i="1" a="1"/>
  <c r="G2408" i="1" a="1"/>
  <c r="G2849" i="1" a="1"/>
  <c r="G2141" i="1" a="1"/>
  <c r="G2664" i="1" a="1"/>
  <c r="G2962" i="1" a="1"/>
  <c r="G2207" i="1" a="1"/>
  <c r="G2789" i="1" a="1"/>
  <c r="G3064" i="1" a="1"/>
  <c r="G3334" i="1" a="1"/>
  <c r="G3526" i="1" a="1"/>
  <c r="G3654" i="1" a="1"/>
  <c r="G3782" i="1" a="1"/>
  <c r="G3161" i="1" a="1"/>
  <c r="G3593" i="1" a="1"/>
  <c r="G3855" i="1" a="1"/>
  <c r="G3996" i="1" a="1"/>
  <c r="G4132" i="1" a="1"/>
  <c r="G4278" i="1" a="1"/>
  <c r="G4440" i="1" a="1"/>
  <c r="G4576" i="1" a="1"/>
  <c r="G4717" i="1" a="1"/>
  <c r="G4862" i="1" a="1"/>
  <c r="G4990" i="1" a="1"/>
  <c r="G5118" i="1" a="1"/>
  <c r="G5246" i="1" a="1"/>
  <c r="G5374" i="1" a="1"/>
  <c r="G198" i="1" a="1"/>
  <c r="G197" i="1" a="1"/>
  <c r="G365" i="1" a="1"/>
  <c r="G405" i="1" a="1"/>
  <c r="G1055" i="1" a="1"/>
  <c r="G380" i="1" a="1"/>
  <c r="G795" i="1" a="1"/>
  <c r="G632" i="1" a="1"/>
  <c r="G1737" i="1" a="1"/>
  <c r="G966" i="1" a="1"/>
  <c r="G1112" i="1" a="1"/>
  <c r="G1642" i="1" a="1"/>
  <c r="G2265" i="1" a="1"/>
  <c r="G1380" i="1" a="1"/>
  <c r="G1782" i="1" a="1"/>
  <c r="G2815" i="1" a="1"/>
  <c r="G2887" i="1" a="1"/>
  <c r="G2951" i="1" a="1"/>
  <c r="G3015" i="1" a="1"/>
  <c r="G3079" i="1" a="1"/>
  <c r="G3143" i="1" a="1"/>
  <c r="G3207" i="1" a="1"/>
  <c r="G3271" i="1" a="1"/>
  <c r="G3335" i="1" a="1"/>
  <c r="G3399" i="1" a="1"/>
  <c r="G3463" i="1" a="1"/>
  <c r="G1339" i="1" a="1"/>
  <c r="G1880" i="1" a="1"/>
  <c r="G2148" i="1" a="1"/>
  <c r="G2284" i="1" a="1"/>
  <c r="G2430" i="1" a="1"/>
  <c r="G2592" i="1" a="1"/>
  <c r="G2714" i="1" a="1"/>
  <c r="G1426" i="1" a="1"/>
  <c r="G2004" i="1" a="1"/>
  <c r="G2138" i="1" a="1"/>
  <c r="G2300" i="1" a="1"/>
  <c r="G2441" i="1" a="1"/>
  <c r="G2577" i="1" a="1"/>
  <c r="G2733" i="1" a="1"/>
  <c r="G1715" i="1" a="1"/>
  <c r="G1412" i="1" a="1"/>
  <c r="G1998" i="1" a="1"/>
  <c r="G2135" i="1" a="1"/>
  <c r="G2292" i="1" a="1"/>
  <c r="G2438" i="1" a="1"/>
  <c r="G2579" i="1" a="1"/>
  <c r="G2726" i="1" a="1"/>
  <c r="G2086" i="1" a="1"/>
  <c r="G2410" i="1" a="1"/>
  <c r="G2671" i="1" a="1"/>
  <c r="G2942" i="1" a="1"/>
  <c r="G3116" i="1" a="1"/>
  <c r="G3285" i="1" a="1"/>
  <c r="G3454" i="1" a="1"/>
  <c r="G1934" i="1" a="1"/>
  <c r="G2296" i="1" a="1"/>
  <c r="G2578" i="1" a="1"/>
  <c r="G2802" i="1" a="1"/>
  <c r="G2920" i="1" a="1"/>
  <c r="G3089" i="1" a="1"/>
  <c r="G3258" i="1" a="1"/>
  <c r="G1593" i="1" a="1"/>
  <c r="G2150" i="1" a="1"/>
  <c r="G2474" i="1" a="1"/>
  <c r="G2721" i="1" a="1"/>
  <c r="G2989" i="1" a="1"/>
  <c r="G3158" i="1" a="1"/>
  <c r="G1949" i="1" a="1"/>
  <c r="G2260" i="1" a="1"/>
  <c r="G2542" i="1" a="1"/>
  <c r="G2877" i="1" a="1"/>
  <c r="G3046" i="1" a="1"/>
  <c r="G3220" i="1" a="1"/>
  <c r="G2214" i="1" a="1"/>
  <c r="G2781" i="1" a="1"/>
  <c r="G3049" i="1" a="1"/>
  <c r="G3324" i="1" a="1"/>
  <c r="G3523" i="1" a="1"/>
  <c r="G3651" i="1" a="1"/>
  <c r="G3779" i="1" a="1"/>
  <c r="G3907" i="1" a="1"/>
  <c r="G4035" i="1" a="1"/>
  <c r="G4163" i="1" a="1"/>
  <c r="G4291" i="1" a="1"/>
  <c r="G4419" i="1" a="1"/>
  <c r="G4547" i="1" a="1"/>
  <c r="G4675" i="1" a="1"/>
  <c r="G1677" i="1" a="1"/>
  <c r="G2468" i="1" a="1"/>
  <c r="G3013" i="1" a="1"/>
  <c r="G3330" i="1" a="1"/>
  <c r="G3546" i="1" a="1"/>
  <c r="G3674" i="1" a="1"/>
  <c r="G2134" i="1" a="1"/>
  <c r="G2734" i="1" a="1"/>
  <c r="G3032" i="1" a="1"/>
  <c r="G3350" i="1" a="1"/>
  <c r="G3533" i="1" a="1"/>
  <c r="G3661" i="1" a="1"/>
  <c r="G3789" i="1" a="1"/>
  <c r="G2470" i="1" a="1"/>
  <c r="G2896" i="1" a="1"/>
  <c r="G2162" i="1" a="1"/>
  <c r="G2704" i="1" a="1"/>
  <c r="G3008" i="1" a="1"/>
  <c r="G2228" i="1" a="1"/>
  <c r="G2800" i="1" a="1"/>
  <c r="G3073" i="1" a="1"/>
  <c r="G3341" i="1" a="1"/>
  <c r="G3531" i="1" a="1"/>
  <c r="G3659" i="1" a="1"/>
  <c r="G3787" i="1" a="1"/>
  <c r="G3216" i="1" a="1"/>
  <c r="G3602" i="1" a="1"/>
  <c r="G3860" i="1" a="1"/>
  <c r="G4001" i="1" a="1"/>
  <c r="G4137" i="1" a="1"/>
  <c r="G4299" i="1" a="1"/>
  <c r="G4445" i="1" a="1"/>
  <c r="G4581" i="1" a="1"/>
  <c r="G4722" i="1" a="1"/>
  <c r="G4867" i="1" a="1"/>
  <c r="G4995" i="1" a="1"/>
  <c r="G5123" i="1" a="1"/>
  <c r="G5251" i="1" a="1"/>
  <c r="G5379" i="1" a="1"/>
  <c r="G205" i="1" a="1"/>
  <c r="G214" i="1" a="1"/>
  <c r="G372" i="1" a="1"/>
  <c r="G426" i="1" a="1"/>
  <c r="G1064" i="1" a="1"/>
  <c r="G433" i="1" a="1"/>
  <c r="G811" i="1" a="1"/>
  <c r="G644" i="1" a="1"/>
  <c r="G1742" i="1" a="1"/>
  <c r="G974" i="1" a="1"/>
  <c r="G1117" i="1" a="1"/>
  <c r="G1679" i="1" a="1"/>
  <c r="G2274" i="1" a="1"/>
  <c r="G1390" i="1" a="1"/>
  <c r="G1803" i="1" a="1"/>
  <c r="G2819" i="1" a="1"/>
  <c r="G2891" i="1" a="1"/>
  <c r="G2955" i="1" a="1"/>
  <c r="G3019" i="1" a="1"/>
  <c r="G3083" i="1" a="1"/>
  <c r="G3147" i="1" a="1"/>
  <c r="G3211" i="1" a="1"/>
  <c r="G3275" i="1" a="1"/>
  <c r="G3339" i="1" a="1"/>
  <c r="G3403" i="1" a="1"/>
  <c r="G3467" i="1" a="1"/>
  <c r="G1395" i="1" a="1"/>
  <c r="G1943" i="1" a="1"/>
  <c r="G2153" i="1" a="1"/>
  <c r="G2289" i="1" a="1"/>
  <c r="G2435" i="1" a="1"/>
  <c r="G2597" i="1" a="1"/>
  <c r="G2723" i="1" a="1"/>
  <c r="G1537" i="1" a="1"/>
  <c r="G2011" i="1" a="1"/>
  <c r="G2143" i="1" a="1"/>
  <c r="G2305" i="1" a="1"/>
  <c r="G2446" i="1" a="1"/>
  <c r="G2582" i="1" a="1"/>
  <c r="G2742" i="1" a="1"/>
  <c r="G1798" i="1" a="1"/>
  <c r="G1468" i="1" a="1"/>
  <c r="G2007" i="1" a="1"/>
  <c r="G2151" i="1" a="1"/>
  <c r="G2308" i="1" a="1"/>
  <c r="G2444" i="1" a="1"/>
  <c r="G2590" i="1" a="1"/>
  <c r="G2735" i="1" a="1"/>
  <c r="G2097" i="1" a="1"/>
  <c r="G2421" i="1" a="1"/>
  <c r="G2682" i="1" a="1"/>
  <c r="G2956" i="1" a="1"/>
  <c r="G3125" i="1" a="1"/>
  <c r="G3294" i="1" a="1"/>
  <c r="G3468" i="1" a="1"/>
  <c r="G2006" i="1" a="1"/>
  <c r="G2317" i="1" a="1"/>
  <c r="G2599" i="1" a="1"/>
  <c r="G2808" i="1" a="1"/>
  <c r="G2929" i="1" a="1"/>
  <c r="G3098" i="1" a="1"/>
  <c r="G3272" i="1" a="1"/>
  <c r="G1662" i="1" a="1"/>
  <c r="G2161" i="1" a="1"/>
  <c r="G2485" i="1" a="1"/>
  <c r="G2730" i="1" a="1"/>
  <c r="G2998" i="1" a="1"/>
  <c r="G3172" i="1" a="1"/>
  <c r="G1997" i="1" a="1"/>
  <c r="G2281" i="1" a="1"/>
  <c r="G2563" i="1" a="1"/>
  <c r="G2886" i="1" a="1"/>
  <c r="G3060" i="1" a="1"/>
  <c r="G3229" i="1" a="1"/>
  <c r="G2235" i="1" a="1"/>
  <c r="G2793" i="1" a="1"/>
  <c r="G3058" i="1" a="1"/>
  <c r="G3342" i="1" a="1"/>
  <c r="G3532" i="1" a="1"/>
  <c r="G3660" i="1" a="1"/>
  <c r="G3788" i="1" a="1"/>
  <c r="G3916" i="1" a="1"/>
  <c r="G4044" i="1" a="1"/>
  <c r="G4172" i="1" a="1"/>
  <c r="G4300" i="1" a="1"/>
  <c r="G4428" i="1" a="1"/>
  <c r="G4556" i="1" a="1"/>
  <c r="G4684" i="1" a="1"/>
  <c r="G1788" i="1" a="1"/>
  <c r="G2551" i="1" a="1"/>
  <c r="G3022" i="1" a="1"/>
  <c r="G3337" i="1" a="1"/>
  <c r="G3551" i="1" a="1"/>
  <c r="G3679" i="1" a="1"/>
  <c r="G2176" i="1" a="1"/>
  <c r="G2770" i="1" a="1"/>
  <c r="G3041" i="1" a="1"/>
  <c r="G3356" i="1" a="1"/>
  <c r="G3542" i="1" a="1"/>
  <c r="G3670" i="1" a="1"/>
  <c r="G1328" i="1" a="1"/>
  <c r="G2491" i="1" a="1"/>
  <c r="G2905" i="1" a="1"/>
  <c r="G2183" i="1" a="1"/>
  <c r="G2722" i="1" a="1"/>
  <c r="G3017" i="1" a="1"/>
  <c r="G2249" i="1" a="1"/>
  <c r="G2810" i="1" a="1"/>
  <c r="G3082" i="1" a="1"/>
  <c r="G3365" i="1" a="1"/>
  <c r="G3540" i="1" a="1"/>
  <c r="G3668" i="1" a="1"/>
  <c r="G3796" i="1" a="1"/>
  <c r="G3234" i="1" a="1"/>
  <c r="G3639" i="1" a="1"/>
  <c r="G3865" i="1" a="1"/>
  <c r="G4006" i="1" a="1"/>
  <c r="G4142" i="1" a="1"/>
  <c r="G4304" i="1" a="1"/>
  <c r="G4450" i="1" a="1"/>
  <c r="G4586" i="1" a="1"/>
  <c r="G4743" i="1" a="1"/>
  <c r="G4876" i="1" a="1"/>
  <c r="G5004" i="1" a="1"/>
  <c r="G5132" i="1" a="1"/>
  <c r="G5260" i="1" a="1"/>
  <c r="G5388" i="1" a="1"/>
  <c r="G316" i="1" a="1"/>
  <c r="G402" i="1" a="1"/>
  <c r="G545" i="1" a="1"/>
  <c r="G689" i="1" a="1"/>
  <c r="G1183" i="1" a="1"/>
  <c r="G731" i="1" a="1"/>
  <c r="G640" i="1" a="1"/>
  <c r="G766" i="1" a="1"/>
  <c r="G1899" i="1" a="1"/>
  <c r="G1106" i="1" a="1"/>
  <c r="G922" i="1" a="1"/>
  <c r="G1804" i="1" a="1"/>
  <c r="G2393" i="1" a="1"/>
  <c r="G1641" i="1" a="1"/>
  <c r="G1333" i="1" a="1"/>
  <c r="G2827" i="1" a="1"/>
  <c r="G2895" i="1" a="1"/>
  <c r="G2959" i="1" a="1"/>
  <c r="G3023" i="1" a="1"/>
  <c r="G3087" i="1" a="1"/>
  <c r="G3151" i="1" a="1"/>
  <c r="G3215" i="1" a="1"/>
  <c r="G3279" i="1" a="1"/>
  <c r="G3343" i="1" a="1"/>
  <c r="G3407" i="1" a="1"/>
  <c r="G3471" i="1" a="1"/>
  <c r="G1422" i="1" a="1"/>
  <c r="G1968" i="1" a="1"/>
  <c r="G2158" i="1" a="1"/>
  <c r="G2294" i="1" a="1"/>
  <c r="G2456" i="1" a="1"/>
  <c r="G2602" i="1" a="1"/>
  <c r="G2728" i="1" a="1"/>
  <c r="G1584" i="1" a="1"/>
  <c r="G2031" i="1" a="1"/>
  <c r="G2164" i="1" a="1"/>
  <c r="G2310" i="1" a="1"/>
  <c r="G2451" i="1" a="1"/>
  <c r="G2587" i="1" a="1"/>
  <c r="G2751" i="1" a="1"/>
  <c r="G1819" i="1" a="1"/>
  <c r="G1595" i="1" a="1"/>
  <c r="G2015" i="1" a="1"/>
  <c r="G2172" i="1" a="1"/>
  <c r="G2313" i="1" a="1"/>
  <c r="G2449" i="1" a="1"/>
  <c r="G2595" i="1" a="1"/>
  <c r="G2740" i="1" a="1"/>
  <c r="G2107" i="1" a="1"/>
  <c r="G2431" i="1" a="1"/>
  <c r="G2720" i="1" a="1"/>
  <c r="G2965" i="1" a="1"/>
  <c r="G3134" i="1" a="1"/>
  <c r="G3308" i="1" a="1"/>
  <c r="G3477" i="1" a="1"/>
  <c r="G2045" i="1" a="1"/>
  <c r="G2327" i="1" a="1"/>
  <c r="G2620" i="1" a="1"/>
  <c r="G2813" i="1" a="1"/>
  <c r="G2938" i="1" a="1"/>
  <c r="G3112" i="1" a="1"/>
  <c r="G3281" i="1" a="1"/>
  <c r="G1719" i="1" a="1"/>
  <c r="G2171" i="1" a="1"/>
  <c r="G2495" i="1" a="1"/>
  <c r="G2739" i="1" a="1"/>
  <c r="G3012" i="1" a="1"/>
  <c r="G3181" i="1" a="1"/>
  <c r="G2014" i="1" a="1"/>
  <c r="G2291" i="1" a="1"/>
  <c r="G2584" i="1" a="1"/>
  <c r="G2900" i="1" a="1"/>
  <c r="G3069" i="1" a="1"/>
  <c r="G3238" i="1" a="1"/>
  <c r="G2277" i="1" a="1"/>
  <c r="G2804" i="1" a="1"/>
  <c r="G3104" i="1" a="1"/>
  <c r="G3348" i="1" a="1"/>
  <c r="G3541" i="1" a="1"/>
  <c r="G3669" i="1" a="1"/>
  <c r="G3797" i="1" a="1"/>
  <c r="G3925" i="1" a="1"/>
  <c r="G4053" i="1" a="1"/>
  <c r="G4181" i="1" a="1"/>
  <c r="G4309" i="1" a="1"/>
  <c r="G4437" i="1" a="1"/>
  <c r="G4565" i="1" a="1"/>
  <c r="G4693" i="1" a="1"/>
  <c r="G1948" i="1" a="1"/>
  <c r="G2593" i="1" a="1"/>
  <c r="G3068" i="1" a="1"/>
  <c r="G3361" i="1" a="1"/>
  <c r="G3560" i="1" a="1"/>
  <c r="G3688" i="1" a="1"/>
  <c r="G2197" i="1" a="1"/>
  <c r="G2783" i="1" a="1"/>
  <c r="G3050" i="1" a="1"/>
  <c r="G3374" i="1" a="1"/>
  <c r="G3547" i="1" a="1"/>
  <c r="G3675" i="1" a="1"/>
  <c r="G1894" i="1" a="1"/>
  <c r="G2533" i="1" a="1"/>
  <c r="G2914" i="1" a="1"/>
  <c r="G2204" i="1" a="1"/>
  <c r="G2775" i="1" a="1"/>
  <c r="G3026" i="1" a="1"/>
  <c r="G2270" i="1" a="1"/>
  <c r="G2821" i="1" a="1"/>
  <c r="G3128" i="1" a="1"/>
  <c r="G3389" i="1" a="1"/>
  <c r="G3549" i="1" a="1"/>
  <c r="G3677" i="1" a="1"/>
  <c r="G3805" i="1" a="1"/>
  <c r="G3296" i="1" a="1"/>
  <c r="G3648" i="1" a="1"/>
  <c r="G3871" i="1" a="1"/>
  <c r="G4017" i="1" a="1"/>
  <c r="G4179" i="1" a="1"/>
  <c r="G4315" i="1" a="1"/>
  <c r="G4456" i="1" a="1"/>
  <c r="G4602" i="1" a="1"/>
  <c r="G4759" i="1" a="1"/>
  <c r="G4885" i="1" a="1"/>
  <c r="G5013" i="1" a="1"/>
  <c r="G5141" i="1" a="1"/>
  <c r="G5269" i="1" a="1"/>
  <c r="G5397" i="1" a="1"/>
  <c r="G321" i="1" a="1"/>
  <c r="G416" i="1" a="1"/>
  <c r="G550" i="1" a="1"/>
  <c r="G694" i="1" a="1"/>
  <c r="G1192" i="1" a="1"/>
  <c r="G747" i="1" a="1"/>
  <c r="G654" i="1" a="1"/>
  <c r="G803" i="1" a="1"/>
  <c r="G1904" i="1" a="1"/>
  <c r="G1127" i="1" a="1"/>
  <c r="G933" i="1" a="1"/>
  <c r="G1815" i="1" a="1"/>
  <c r="G2402" i="1" a="1"/>
  <c r="G1683" i="1" a="1"/>
  <c r="G1391" i="1" a="1"/>
  <c r="G2835" i="1" a="1"/>
  <c r="G2899" i="1" a="1"/>
  <c r="G2963" i="1" a="1"/>
  <c r="G3027" i="1" a="1"/>
  <c r="G3091" i="1" a="1"/>
  <c r="G3155" i="1" a="1"/>
  <c r="G3219" i="1" a="1"/>
  <c r="G3283" i="1" a="1"/>
  <c r="G3347" i="1" a="1"/>
  <c r="G3411" i="1" a="1"/>
  <c r="G3475" i="1" a="1"/>
  <c r="G1478" i="1" a="1"/>
  <c r="G1992" i="1" a="1"/>
  <c r="G2163" i="1" a="1"/>
  <c r="G2299" i="1" a="1"/>
  <c r="G2461" i="1" a="1"/>
  <c r="G2607" i="1" a="1"/>
  <c r="G2737" i="1" a="1"/>
  <c r="G1605" i="1" a="1"/>
  <c r="G2038" i="1" a="1"/>
  <c r="G2180" i="1" a="1"/>
  <c r="G2316" i="1" a="1"/>
  <c r="G2462" i="1" a="1"/>
  <c r="G2624" i="1" a="1"/>
  <c r="G2756" i="1" a="1"/>
  <c r="G1835" i="1" a="1"/>
  <c r="G1657" i="1" a="1"/>
  <c r="G2022" i="1" a="1"/>
  <c r="G2177" i="1" a="1"/>
  <c r="G2318" i="1" a="1"/>
  <c r="G2454" i="1" a="1"/>
  <c r="G2616" i="1" a="1"/>
  <c r="G2749" i="1" a="1"/>
  <c r="G2149" i="1" a="1"/>
  <c r="G2452" i="1" a="1"/>
  <c r="G2729" i="1" a="1"/>
  <c r="G2974" i="1" a="1"/>
  <c r="G3148" i="1" a="1"/>
  <c r="G3317" i="1" a="1"/>
  <c r="G3486" i="1" a="1"/>
  <c r="G2056" i="1" a="1"/>
  <c r="G2369" i="1" a="1"/>
  <c r="G2630" i="1" a="1"/>
  <c r="G2818" i="1" a="1"/>
  <c r="G2952" i="1" a="1"/>
  <c r="G3121" i="1" a="1"/>
  <c r="G3290" i="1" a="1"/>
  <c r="G1828" i="1" a="1"/>
  <c r="G2213" i="1" a="1"/>
  <c r="G2516" i="1" a="1"/>
  <c r="G2786" i="1" a="1"/>
  <c r="G3021" i="1" a="1"/>
  <c r="G3190" i="1" a="1"/>
  <c r="G2028" i="1" a="1"/>
  <c r="G2302" i="1" a="1"/>
  <c r="G2605" i="1" a="1"/>
  <c r="G2909" i="1" a="1"/>
  <c r="G3078" i="1" a="1"/>
  <c r="G3252" i="1" a="1"/>
  <c r="G2298" i="1" a="1"/>
  <c r="G2814" i="1" a="1"/>
  <c r="G3113" i="1" a="1"/>
  <c r="G3366" i="1" a="1"/>
  <c r="G3550" i="1" a="1"/>
  <c r="G3678" i="1" a="1"/>
  <c r="G3806" i="1" a="1"/>
  <c r="G3934" i="1" a="1"/>
  <c r="G4062" i="1" a="1"/>
  <c r="G4190" i="1" a="1"/>
  <c r="G4318" i="1" a="1"/>
  <c r="G4446" i="1" a="1"/>
  <c r="G4574" i="1" a="1"/>
  <c r="G4702" i="1" a="1"/>
  <c r="G1996" i="1" a="1"/>
  <c r="G2614" i="1" a="1"/>
  <c r="G3077" i="1" a="1"/>
  <c r="G3385" i="1" a="1"/>
  <c r="G3569" i="1" a="1"/>
  <c r="G3697" i="1" a="1"/>
  <c r="G2259" i="1" a="1"/>
  <c r="G2794" i="1" a="1"/>
  <c r="G3096" i="1" a="1"/>
  <c r="G3380" i="1" a="1"/>
  <c r="G3556" i="1" a="1"/>
  <c r="G3684" i="1" a="1"/>
  <c r="G1954" i="1" a="1"/>
  <c r="G2554" i="1" a="1"/>
  <c r="G2960" i="1" a="1"/>
  <c r="G2225" i="1" a="1"/>
  <c r="G2788" i="1" a="1"/>
  <c r="G3072" i="1" a="1"/>
  <c r="G2312" i="1" a="1"/>
  <c r="G2832" i="1" a="1"/>
  <c r="G3137" i="1" a="1"/>
  <c r="G3396" i="1" a="1"/>
  <c r="G3558" i="1" a="1"/>
  <c r="G3686" i="1" a="1"/>
  <c r="G3814" i="1" a="1"/>
  <c r="G3320" i="1" a="1"/>
  <c r="G3657" i="1" a="1"/>
  <c r="G3876" i="1" a="1"/>
  <c r="G4022" i="1" a="1"/>
  <c r="G4184" i="1" a="1"/>
  <c r="G4320" i="1" a="1"/>
  <c r="G4461" i="1" a="1"/>
  <c r="G4623" i="1" a="1"/>
  <c r="G4764" i="1" a="1"/>
  <c r="G4894" i="1" a="1"/>
  <c r="G5022" i="1" a="1"/>
  <c r="G5150" i="1" a="1"/>
  <c r="G5278" i="1" a="1"/>
  <c r="G5406" i="1" a="1"/>
  <c r="G387" i="1" a="1"/>
  <c r="G973" i="1" a="1"/>
  <c r="G2903" i="1" a="1"/>
  <c r="G3415" i="1" a="1"/>
  <c r="G2746" i="1" a="1"/>
  <c r="G1013" i="1" a="1"/>
  <c r="G2159" i="1" a="1"/>
  <c r="G2380" i="1" a="1"/>
  <c r="G2537" i="1" a="1"/>
  <c r="G3092" i="1" a="1"/>
  <c r="G3811" i="1" a="1"/>
  <c r="G2026" i="1" a="1"/>
  <c r="G3105" i="1" a="1"/>
  <c r="G2798" i="1" a="1"/>
  <c r="G3819" i="1" a="1"/>
  <c r="G4628" i="1" a="1"/>
  <c r="G2790" i="1" a="1"/>
  <c r="G3437" i="1" a="1"/>
  <c r="G3740" i="1" a="1"/>
  <c r="G3913" i="1" a="1"/>
  <c r="G4075" i="1" a="1"/>
  <c r="G4221" i="1" a="1"/>
  <c r="G4357" i="1" a="1"/>
  <c r="G3182" i="1" a="1"/>
  <c r="G3594" i="1" a="1"/>
  <c r="G3851" i="1" a="1"/>
  <c r="G3997" i="1" a="1"/>
  <c r="G4133" i="1" a="1"/>
  <c r="G4274" i="1" a="1"/>
  <c r="G4436" i="1" a="1"/>
  <c r="G3184" i="1" a="1"/>
  <c r="G1739" i="1" a="1"/>
  <c r="G3338" i="1" a="1"/>
  <c r="G3376" i="1" a="1"/>
  <c r="G3681" i="1" a="1"/>
  <c r="G3880" i="1" a="1"/>
  <c r="G4026" i="1" a="1"/>
  <c r="G4183" i="1" a="1"/>
  <c r="G4319" i="1" a="1"/>
  <c r="G4465" i="1" a="1"/>
  <c r="G1760" i="1" a="1"/>
  <c r="G3759" i="1" a="1"/>
  <c r="G4045" i="1" a="1"/>
  <c r="G4358" i="1" a="1"/>
  <c r="G4577" i="1" a="1"/>
  <c r="G4726" i="1" a="1"/>
  <c r="G4864" i="1" a="1"/>
  <c r="G5005" i="1" a="1"/>
  <c r="G5167" i="1" a="1"/>
  <c r="G5308" i="1" a="1"/>
  <c r="G5444" i="1" a="1"/>
  <c r="G5572" i="1" a="1"/>
  <c r="G5700" i="1" a="1"/>
  <c r="G5785" i="1" a="1"/>
  <c r="G5849" i="1" a="1"/>
  <c r="G5913" i="1" a="1"/>
  <c r="G5977" i="1" a="1"/>
  <c r="G6041" i="1" a="1"/>
  <c r="G6105" i="1" a="1"/>
  <c r="G6169" i="1" a="1"/>
  <c r="G3494" i="1" a="1"/>
  <c r="G3920" i="1" a="1"/>
  <c r="G4202" i="1" a="1"/>
  <c r="G4443" i="1" a="1"/>
  <c r="G4673" i="1" a="1"/>
  <c r="G4823" i="1" a="1"/>
  <c r="G4959" i="1" a="1"/>
  <c r="G5105" i="1" a="1"/>
  <c r="G5267" i="1" a="1"/>
  <c r="G5403" i="1" a="1"/>
  <c r="G5527" i="1" a="1"/>
  <c r="G5655" i="1" a="1"/>
  <c r="G3525" i="1" a="1"/>
  <c r="G3879" i="1" a="1"/>
  <c r="G4161" i="1" a="1"/>
  <c r="G4474" i="1" a="1"/>
  <c r="G4650" i="1" a="1"/>
  <c r="G4808" i="1" a="1"/>
  <c r="G4954" i="1" a="1"/>
  <c r="G5111" i="1" a="1"/>
  <c r="G5247" i="1" a="1"/>
  <c r="G5393" i="1" a="1"/>
  <c r="G3804" i="1" a="1"/>
  <c r="G4079" i="1" a="1"/>
  <c r="G2822" i="1" a="1"/>
  <c r="G3822" i="1" a="1"/>
  <c r="G4147" i="1" a="1"/>
  <c r="G4407" i="1" a="1"/>
  <c r="G4604" i="1" a="1"/>
  <c r="G4785" i="1" a="1"/>
  <c r="G4947" i="1" a="1"/>
  <c r="G5083" i="1" a="1"/>
  <c r="G5224" i="1" a="1"/>
  <c r="G5370" i="1" a="1"/>
  <c r="G4114" i="1" a="1"/>
  <c r="G4729" i="1" a="1"/>
  <c r="G4976" i="1" a="1"/>
  <c r="G5258" i="1" a="1"/>
  <c r="G5505" i="1" a="1"/>
  <c r="G5681" i="1" a="1"/>
  <c r="G6134" i="1" a="1"/>
  <c r="G4040" i="1" a="1"/>
  <c r="G4635" i="1" a="1"/>
  <c r="G4935" i="1" a="1"/>
  <c r="G5217" i="1" a="1"/>
  <c r="G5469" i="1" a="1"/>
  <c r="G5646" i="1" a="1"/>
  <c r="G5775" i="1" a="1"/>
  <c r="G5860" i="1" a="1"/>
  <c r="G5946" i="1" a="1"/>
  <c r="G6043" i="1" a="1"/>
  <c r="G6202" i="1" a="1"/>
  <c r="G6266" i="1" a="1"/>
  <c r="G6330" i="1" a="1"/>
  <c r="G6394" i="1" a="1"/>
  <c r="G6458" i="1" a="1"/>
  <c r="G6522" i="1" a="1"/>
  <c r="G3904" i="1" a="1"/>
  <c r="G4568" i="1" a="1"/>
  <c r="G4863" i="1" a="1"/>
  <c r="G5124" i="1" a="1"/>
  <c r="G5439" i="1" a="1"/>
  <c r="G5616" i="1" a="1"/>
  <c r="G6071" i="1" a="1"/>
  <c r="G2460" i="1" a="1"/>
  <c r="G3977" i="1" a="1"/>
  <c r="G4608" i="1" a="1"/>
  <c r="G4965" i="1" a="1"/>
  <c r="G5279" i="1" a="1"/>
  <c r="G5516" i="1" a="1"/>
  <c r="G5675" i="1" a="1"/>
  <c r="G5800" i="1" a="1"/>
  <c r="G5886" i="1" a="1"/>
  <c r="G5971" i="1" a="1"/>
  <c r="G6092" i="1" a="1"/>
  <c r="G6221" i="1" a="1"/>
  <c r="G3915" i="1" a="1"/>
  <c r="G4941" i="1" a="1"/>
  <c r="G5466" i="1" a="1"/>
  <c r="G6078" i="1" a="1"/>
  <c r="G6392" i="1" a="1"/>
  <c r="G6559" i="1" a="1"/>
  <c r="G6727" i="1" a="1"/>
  <c r="G6855" i="1" a="1"/>
  <c r="G6983" i="1" a="1"/>
  <c r="G7111" i="1" a="1"/>
  <c r="G7239" i="1" a="1"/>
  <c r="G7367" i="1" a="1"/>
  <c r="G7495" i="1" a="1"/>
  <c r="G7623" i="1" a="1"/>
  <c r="G7751" i="1" a="1"/>
  <c r="G7879" i="1" a="1"/>
  <c r="G8007" i="1" a="1"/>
  <c r="G8135" i="1" a="1"/>
  <c r="G391" i="1" a="1"/>
  <c r="G985" i="1" a="1"/>
  <c r="G2907" i="1" a="1"/>
  <c r="G3419" i="1" a="1"/>
  <c r="G2755" i="1" a="1"/>
  <c r="G1271" i="1" a="1"/>
  <c r="G2170" i="1" a="1"/>
  <c r="G2390" i="1" a="1"/>
  <c r="G2547" i="1" a="1"/>
  <c r="G3101" i="1" a="1"/>
  <c r="G3820" i="1" a="1"/>
  <c r="G2092" i="1" a="1"/>
  <c r="G3114" i="1" a="1"/>
  <c r="G2809" i="1" a="1"/>
  <c r="G1406" i="1" a="1"/>
  <c r="G4633" i="1" a="1"/>
  <c r="G2833" i="1" a="1"/>
  <c r="G3489" i="1" a="1"/>
  <c r="G3749" i="1" a="1"/>
  <c r="G3918" i="1" a="1"/>
  <c r="G4080" i="1" a="1"/>
  <c r="G4226" i="1" a="1"/>
  <c r="G4362" i="1" a="1"/>
  <c r="G3237" i="1" a="1"/>
  <c r="G3631" i="1" a="1"/>
  <c r="G3856" i="1" a="1"/>
  <c r="G4002" i="1" a="1"/>
  <c r="G4138" i="1" a="1"/>
  <c r="G4295" i="1" a="1"/>
  <c r="G4441" i="1" a="1"/>
  <c r="G3202" i="1" a="1"/>
  <c r="G2012" i="1" a="1"/>
  <c r="G3362" i="1" a="1"/>
  <c r="G3401" i="1" a="1"/>
  <c r="G3690" i="1" a="1"/>
  <c r="G3885" i="1" a="1"/>
  <c r="G4047" i="1" a="1"/>
  <c r="G4188" i="1" a="1"/>
  <c r="G4324" i="1" a="1"/>
  <c r="G4470" i="1" a="1"/>
  <c r="G2272" i="1" a="1"/>
  <c r="G3801" i="1" a="1"/>
  <c r="G4087" i="1" a="1"/>
  <c r="G4369" i="1" a="1"/>
  <c r="G4584" i="1" a="1"/>
  <c r="G4732" i="1" a="1"/>
  <c r="G4869" i="1" a="1"/>
  <c r="G5010" i="1" a="1"/>
  <c r="G5172" i="1" a="1"/>
  <c r="G5313" i="1" a="1"/>
  <c r="G5453" i="1" a="1"/>
  <c r="G5581" i="1" a="1"/>
  <c r="G5709" i="1" a="1"/>
  <c r="G5789" i="1" a="1"/>
  <c r="G5853" i="1" a="1"/>
  <c r="G5917" i="1" a="1"/>
  <c r="G5981" i="1" a="1"/>
  <c r="G6045" i="1" a="1"/>
  <c r="G6109" i="1" a="1"/>
  <c r="G6173" i="1" a="1"/>
  <c r="G3545" i="1" a="1"/>
  <c r="G3931" i="1" a="1"/>
  <c r="G4244" i="1" a="1"/>
  <c r="G4459" i="1" a="1"/>
  <c r="G4679" i="1" a="1"/>
  <c r="G4828" i="1" a="1"/>
  <c r="G4964" i="1" a="1"/>
  <c r="G5110" i="1" a="1"/>
  <c r="G5272" i="1" a="1"/>
  <c r="G5408" i="1" a="1"/>
  <c r="G5536" i="1" a="1"/>
  <c r="G5664" i="1" a="1"/>
  <c r="G3552" i="1" a="1"/>
  <c r="G3900" i="1" a="1"/>
  <c r="G4182" i="1" a="1"/>
  <c r="G4481" i="1" a="1"/>
  <c r="G4656" i="1" a="1"/>
  <c r="G4813" i="1" a="1"/>
  <c r="G4975" i="1" a="1"/>
  <c r="G5116" i="1" a="1"/>
  <c r="G5252" i="1" a="1"/>
  <c r="G5398" i="1" a="1"/>
  <c r="G3828" i="1" a="1"/>
  <c r="G4089" i="1" a="1"/>
  <c r="G3193" i="1" a="1"/>
  <c r="G3833" i="1" a="1"/>
  <c r="G4157" i="1" a="1"/>
  <c r="G4416" i="1" a="1"/>
  <c r="G4610" i="1" a="1"/>
  <c r="G4790" i="1" a="1"/>
  <c r="G4952" i="1" a="1"/>
  <c r="G5088" i="1" a="1"/>
  <c r="G5229" i="1" a="1"/>
  <c r="G5391" i="1" a="1"/>
  <c r="G4145" i="1" a="1"/>
  <c r="G4741" i="1" a="1"/>
  <c r="G4987" i="1" a="1"/>
  <c r="G5300" i="1" a="1"/>
  <c r="G5511" i="1" a="1"/>
  <c r="G5688" i="1" a="1"/>
  <c r="G6143" i="1" a="1"/>
  <c r="G4176" i="1" a="1"/>
  <c r="G4646" i="1" a="1"/>
  <c r="G4956" i="1" a="1"/>
  <c r="G5238" i="1" a="1"/>
  <c r="G5475" i="1" a="1"/>
  <c r="G5652" i="1" a="1"/>
  <c r="G5780" i="1" a="1"/>
  <c r="G5866" i="1" a="1"/>
  <c r="G5951" i="1" a="1"/>
  <c r="G6052" i="1" a="1"/>
  <c r="G6206" i="1" a="1"/>
  <c r="G6270" i="1" a="1"/>
  <c r="G6334" i="1" a="1"/>
  <c r="G6398" i="1" a="1"/>
  <c r="G6462" i="1" a="1"/>
  <c r="G6526" i="1" a="1"/>
  <c r="G3926" i="1" a="1"/>
  <c r="G4582" i="1" a="1"/>
  <c r="G4873" i="1" a="1"/>
  <c r="G5134" i="1" a="1"/>
  <c r="G5457" i="1" a="1"/>
  <c r="G5634" i="1" a="1"/>
  <c r="G6080" i="1" a="1"/>
  <c r="G3074" i="1" a="1"/>
  <c r="G4083" i="1" a="1"/>
  <c r="G4621" i="1" a="1"/>
  <c r="G4986" i="1" a="1"/>
  <c r="G5289" i="1" a="1"/>
  <c r="G5523" i="1" a="1"/>
  <c r="G5693" i="1" a="1"/>
  <c r="G5806" i="1" a="1"/>
  <c r="G5891" i="1" a="1"/>
  <c r="G5976" i="1" a="1"/>
  <c r="G6106" i="1" a="1"/>
  <c r="G6225" i="1" a="1"/>
  <c r="G3968" i="1" a="1"/>
  <c r="G4983" i="1" a="1"/>
  <c r="G5479" i="1" a="1"/>
  <c r="G6087" i="1" a="1"/>
  <c r="G6399" i="1" a="1"/>
  <c r="G6570" i="1" a="1"/>
  <c r="G6736" i="1" a="1"/>
  <c r="G6864" i="1" a="1"/>
  <c r="G6992" i="1" a="1"/>
  <c r="G7120" i="1" a="1"/>
  <c r="G7248" i="1" a="1"/>
  <c r="G7376" i="1" a="1"/>
  <c r="G7504" i="1" a="1"/>
  <c r="G7632" i="1" a="1"/>
  <c r="G7760" i="1" a="1"/>
  <c r="G7888" i="1" a="1"/>
  <c r="G8016" i="1" a="1"/>
  <c r="G8144" i="1" a="1"/>
  <c r="G576" i="1" a="1"/>
  <c r="G1268" i="1" a="1"/>
  <c r="G2967" i="1" a="1"/>
  <c r="G3479" i="1" a="1"/>
  <c r="G1647" i="1" a="1"/>
  <c r="G1678" i="1" a="1"/>
  <c r="G2473" i="1" a="1"/>
  <c r="G2641" i="1" a="1"/>
  <c r="G2861" i="1" a="1"/>
  <c r="G3261" i="1" a="1"/>
  <c r="G3939" i="1" a="1"/>
  <c r="G2656" i="1" a="1"/>
  <c r="G3398" i="1" a="1"/>
  <c r="G3081" i="1" a="1"/>
  <c r="G3344" i="1" a="1"/>
  <c r="G4769" i="1" a="1"/>
  <c r="G2873" i="1" a="1"/>
  <c r="G3510" i="1" a="1"/>
  <c r="G3772" i="1" a="1"/>
  <c r="G3955" i="1" a="1"/>
  <c r="G4091" i="1" a="1"/>
  <c r="G4232" i="1" a="1"/>
  <c r="G4378" i="1" a="1"/>
  <c r="G3297" i="1" a="1"/>
  <c r="G3640" i="1" a="1"/>
  <c r="G3867" i="1" a="1"/>
  <c r="G4008" i="1" a="1"/>
  <c r="G4154" i="1" a="1"/>
  <c r="G4311" i="1" a="1"/>
  <c r="G4447" i="1" a="1"/>
  <c r="G3257" i="1" a="1"/>
  <c r="G2102" i="1" a="1"/>
  <c r="G1838" i="1" a="1"/>
  <c r="G3453" i="1" a="1"/>
  <c r="G3727" i="1" a="1"/>
  <c r="G3890" i="1" a="1"/>
  <c r="G4052" i="1" a="1"/>
  <c r="G4193" i="1" a="1"/>
  <c r="G4329" i="1" a="1"/>
  <c r="G4491" i="1" a="1"/>
  <c r="G2606" i="1" a="1"/>
  <c r="G3813" i="1" a="1"/>
  <c r="G4097" i="1" a="1"/>
  <c r="G4400" i="1" a="1"/>
  <c r="G4591" i="1" a="1"/>
  <c r="G4738" i="1" a="1"/>
  <c r="G4874" i="1" a="1"/>
  <c r="G5031" i="1" a="1"/>
  <c r="G5177" i="1" a="1"/>
  <c r="G5318" i="1" a="1"/>
  <c r="G5462" i="1" a="1"/>
  <c r="G5590" i="1" a="1"/>
  <c r="G5718" i="1" a="1"/>
  <c r="G5793" i="1" a="1"/>
  <c r="G5857" i="1" a="1"/>
  <c r="G5921" i="1" a="1"/>
  <c r="G5985" i="1" a="1"/>
  <c r="G6049" i="1" a="1"/>
  <c r="G6113" i="1" a="1"/>
  <c r="G6177" i="1" a="1"/>
  <c r="G3571" i="1" a="1"/>
  <c r="G3941" i="1" a="1"/>
  <c r="G4255" i="1" a="1"/>
  <c r="G4467" i="1" a="1"/>
  <c r="G4685" i="1" a="1"/>
  <c r="G4833" i="1" a="1"/>
  <c r="G4969" i="1" a="1"/>
  <c r="G5131" i="1" a="1"/>
  <c r="G5277" i="1" a="1"/>
  <c r="G5417" i="1" a="1"/>
  <c r="G5545" i="1" a="1"/>
  <c r="G5673" i="1" a="1"/>
  <c r="G3598" i="1" a="1"/>
  <c r="G3910" i="1" a="1"/>
  <c r="G4203" i="1" a="1"/>
  <c r="G4495" i="1" a="1"/>
  <c r="G4662" i="1" a="1"/>
  <c r="G4818" i="1" a="1"/>
  <c r="G4980" i="1" a="1"/>
  <c r="G5121" i="1" a="1"/>
  <c r="G5257" i="1" a="1"/>
  <c r="G5413" i="1" a="1"/>
  <c r="G3839" i="1" a="1"/>
  <c r="G4100" i="1" a="1"/>
  <c r="G3402" i="1" a="1"/>
  <c r="G3844" i="1" a="1"/>
  <c r="G4168" i="1" a="1"/>
  <c r="G4424" i="1" a="1"/>
  <c r="G4618" i="1" a="1"/>
  <c r="G4811" i="1" a="1"/>
  <c r="G4957" i="1" a="1"/>
  <c r="G5093" i="1" a="1"/>
  <c r="G5234" i="1" a="1"/>
  <c r="G5396" i="1" a="1"/>
  <c r="G4281" i="1" a="1"/>
  <c r="G4753" i="1" a="1"/>
  <c r="G4997" i="1" a="1"/>
  <c r="G5311" i="1" a="1"/>
  <c r="G5529" i="1" a="1"/>
  <c r="G5706" i="1" a="1"/>
  <c r="G6152" i="1" a="1"/>
  <c r="G4207" i="1" a="1"/>
  <c r="G4658" i="1" a="1"/>
  <c r="G4966" i="1" a="1"/>
  <c r="G5259" i="1" a="1"/>
  <c r="G5493" i="1" a="1"/>
  <c r="G5670" i="1" a="1"/>
  <c r="G5786" i="1" a="1"/>
  <c r="G5871" i="1" a="1"/>
  <c r="G5956" i="1" a="1"/>
  <c r="G6066" i="1" a="1"/>
  <c r="G6210" i="1" a="1"/>
  <c r="G6274" i="1" a="1"/>
  <c r="G6338" i="1" a="1"/>
  <c r="G6402" i="1" a="1"/>
  <c r="G6466" i="1" a="1"/>
  <c r="G6530" i="1" a="1"/>
  <c r="G4071" i="1" a="1"/>
  <c r="G4596" i="1" a="1"/>
  <c r="G4915" i="1" a="1"/>
  <c r="G5176" i="1" a="1"/>
  <c r="G5464" i="1" a="1"/>
  <c r="G5640" i="1" a="1"/>
  <c r="G6094" i="1" a="1"/>
  <c r="G3264" i="1" a="1"/>
  <c r="G4144" i="1" a="1"/>
  <c r="G4645" i="1" a="1"/>
  <c r="G5007" i="1" a="1"/>
  <c r="G5331" i="1" a="1"/>
  <c r="G5534" i="1" a="1"/>
  <c r="G5699" i="1" a="1"/>
  <c r="G5811" i="1" a="1"/>
  <c r="G5896" i="1" a="1"/>
  <c r="G5982" i="1" a="1"/>
  <c r="G6115" i="1" a="1"/>
  <c r="G6229" i="1" a="1"/>
  <c r="G4029" i="1" a="1"/>
  <c r="G5066" i="1" a="1"/>
  <c r="G5503" i="1" a="1"/>
  <c r="G6096" i="1" a="1"/>
  <c r="G6417" i="1" a="1"/>
  <c r="G6586" i="1" a="1"/>
  <c r="G6745" i="1" a="1"/>
  <c r="G6873" i="1" a="1"/>
  <c r="G7001" i="1" a="1"/>
  <c r="G7129" i="1" a="1"/>
  <c r="G7257" i="1" a="1"/>
  <c r="G7385" i="1" a="1"/>
  <c r="G7513" i="1" a="1"/>
  <c r="G7641" i="1" a="1"/>
  <c r="G7769" i="1" a="1"/>
  <c r="G7897" i="1" a="1"/>
  <c r="G8025" i="1" a="1"/>
  <c r="G8153" i="1" a="1"/>
  <c r="G585" i="1" a="1"/>
  <c r="G1273" i="1" a="1"/>
  <c r="G2971" i="1" a="1"/>
  <c r="G3483" i="1" a="1"/>
  <c r="G1668" i="1" a="1"/>
  <c r="G1699" i="1" a="1"/>
  <c r="G2483" i="1" a="1"/>
  <c r="G2651" i="1" a="1"/>
  <c r="G2870" i="1" a="1"/>
  <c r="G1229" i="1" a="1"/>
  <c r="G3948" i="1" a="1"/>
  <c r="G2677" i="1" a="1"/>
  <c r="G3420" i="1" a="1"/>
  <c r="G3090" i="1" a="1"/>
  <c r="G3369" i="1" a="1"/>
  <c r="G4774" i="1" a="1"/>
  <c r="G2946" i="1" a="1"/>
  <c r="G3539" i="1" a="1"/>
  <c r="G3786" i="1" a="1"/>
  <c r="G3960" i="1" a="1"/>
  <c r="G4096" i="1" a="1"/>
  <c r="G4237" i="1" a="1"/>
  <c r="G4399" i="1" a="1"/>
  <c r="G3321" i="1" a="1"/>
  <c r="G3649" i="1" a="1"/>
  <c r="G3872" i="1" a="1"/>
  <c r="G4013" i="1" a="1"/>
  <c r="G4175" i="1" a="1"/>
  <c r="G4316" i="1" a="1"/>
  <c r="G4452" i="1" a="1"/>
  <c r="G3298" i="1" a="1"/>
  <c r="G2269" i="1" a="1"/>
  <c r="G2290" i="1" a="1"/>
  <c r="G3464" i="1" a="1"/>
  <c r="G3736" i="1" a="1"/>
  <c r="G3911" i="1" a="1"/>
  <c r="G4057" i="1" a="1"/>
  <c r="G4198" i="1" a="1"/>
  <c r="G4334" i="1" a="1"/>
  <c r="G4496" i="1" a="1"/>
  <c r="G2854" i="1" a="1"/>
  <c r="G3836" i="1" a="1"/>
  <c r="G4118" i="1" a="1"/>
  <c r="G4408" i="1" a="1"/>
  <c r="G4598" i="1" a="1"/>
  <c r="G4750" i="1" a="1"/>
  <c r="G4890" i="1" a="1"/>
  <c r="G5047" i="1" a="1"/>
  <c r="G5183" i="1" a="1"/>
  <c r="G5329" i="1" a="1"/>
  <c r="G5467" i="1" a="1"/>
  <c r="G5595" i="1" a="1"/>
  <c r="G5723" i="1" a="1"/>
  <c r="G5797" i="1" a="1"/>
  <c r="G5861" i="1" a="1"/>
  <c r="G5925" i="1" a="1"/>
  <c r="G5989" i="1" a="1"/>
  <c r="G6053" i="1" a="1"/>
  <c r="G6117" i="1" a="1"/>
  <c r="G6181" i="1" a="1"/>
  <c r="G3616" i="1" a="1"/>
  <c r="G3962" i="1" a="1"/>
  <c r="G4265" i="1" a="1"/>
  <c r="G4473" i="1" a="1"/>
  <c r="G4697" i="1" a="1"/>
  <c r="G4838" i="1" a="1"/>
  <c r="G4974" i="1" a="1"/>
  <c r="G5136" i="1" a="1"/>
  <c r="G5282" i="1" a="1"/>
  <c r="G5426" i="1" a="1"/>
  <c r="G5554" i="1" a="1"/>
  <c r="G5682" i="1" a="1"/>
  <c r="G3635" i="1" a="1"/>
  <c r="G3921" i="1" a="1"/>
  <c r="G4224" i="1" a="1"/>
  <c r="G4502" i="1" a="1"/>
  <c r="G4668" i="1" a="1"/>
  <c r="G4839" i="1" a="1"/>
  <c r="G4985" i="1" a="1"/>
  <c r="G5126" i="1" a="1"/>
  <c r="G5262" i="1" a="1"/>
  <c r="G3388" i="1" a="1"/>
  <c r="G3849" i="1" a="1"/>
  <c r="G4110" i="1" a="1"/>
  <c r="G3432" i="1" a="1"/>
  <c r="G3854" i="1" a="1"/>
  <c r="G4178" i="1" a="1"/>
  <c r="G4432" i="1" a="1"/>
  <c r="G4624" i="1" a="1"/>
  <c r="G4816" i="1" a="1"/>
  <c r="G4962" i="1" a="1"/>
  <c r="G5098" i="1" a="1"/>
  <c r="G5255" i="1" a="1"/>
  <c r="G5401" i="1" a="1"/>
  <c r="G4312" i="1" a="1"/>
  <c r="G4765" i="1" a="1"/>
  <c r="G5018" i="1" a="1"/>
  <c r="G5321" i="1" a="1"/>
  <c r="G5535" i="1" a="1"/>
  <c r="G5712" i="1" a="1"/>
  <c r="G6166" i="1" a="1"/>
  <c r="G4229" i="1" a="1"/>
  <c r="G4671" i="1" a="1"/>
  <c r="G4977" i="1" a="1"/>
  <c r="G5280" i="1" a="1"/>
  <c r="G5500" i="1" a="1"/>
  <c r="G5676" i="1" a="1"/>
  <c r="G5791" i="1" a="1"/>
  <c r="G5876" i="1" a="1"/>
  <c r="G5962" i="1" a="1"/>
  <c r="G6075" i="1" a="1"/>
  <c r="G6214" i="1" a="1"/>
  <c r="G6278" i="1" a="1"/>
  <c r="G6342" i="1" a="1"/>
  <c r="G6406" i="1" a="1"/>
  <c r="G6470" i="1" a="1"/>
  <c r="G6534" i="1" a="1"/>
  <c r="G4093" i="1" a="1"/>
  <c r="G4647" i="1" a="1"/>
  <c r="G4925" i="1" a="1"/>
  <c r="G5186" i="1" a="1"/>
  <c r="G5482" i="1" a="1"/>
  <c r="G5647" i="1" a="1"/>
  <c r="G6103" i="1" a="1"/>
  <c r="G3536" i="1" a="1"/>
  <c r="G4166" i="1" a="1"/>
  <c r="G4657" i="1" a="1"/>
  <c r="G5017" i="1" a="1"/>
  <c r="G5341" i="1" a="1"/>
  <c r="G5541" i="1" a="1"/>
  <c r="G5717" i="1" a="1"/>
  <c r="G5816" i="1" a="1"/>
  <c r="G5902" i="1" a="1"/>
  <c r="G5987" i="1" a="1"/>
  <c r="G6124" i="1" a="1"/>
  <c r="G6233" i="1" a="1"/>
  <c r="G4082" i="1" a="1"/>
  <c r="G5108" i="1" a="1"/>
  <c r="G5528" i="1" a="1"/>
  <c r="G6142" i="1" a="1"/>
  <c r="G6424" i="1" a="1"/>
  <c r="G6602" i="1" a="1"/>
  <c r="G6750" i="1" a="1"/>
  <c r="G6878" i="1" a="1"/>
  <c r="G7006" i="1" a="1"/>
  <c r="G7134" i="1" a="1"/>
  <c r="G7262" i="1" a="1"/>
  <c r="G7390" i="1" a="1"/>
  <c r="G7518" i="1" a="1"/>
  <c r="G7646" i="1" a="1"/>
  <c r="G7774" i="1" a="1"/>
  <c r="G7902" i="1" a="1"/>
  <c r="G8030" i="1" a="1"/>
  <c r="G8158" i="1" a="1"/>
  <c r="G68" i="1" a="1"/>
  <c r="G1097" i="1" a="1"/>
  <c r="G3031" i="1" a="1"/>
  <c r="G1532" i="1" a="1"/>
  <c r="G2044" i="1" a="1"/>
  <c r="G2029" i="1" a="1"/>
  <c r="G2738" i="1" a="1"/>
  <c r="G2824" i="1" a="1"/>
  <c r="G3030" i="1" a="1"/>
  <c r="G2340" i="1" a="1"/>
  <c r="G4067" i="1" a="1"/>
  <c r="G3086" i="1" a="1"/>
  <c r="G3565" i="1" a="1"/>
  <c r="G2374" i="1" a="1"/>
  <c r="G3666" i="1" a="1"/>
  <c r="G4899" i="1" a="1"/>
  <c r="G3056" i="1" a="1"/>
  <c r="G3548" i="1" a="1"/>
  <c r="G3812" i="1" a="1"/>
  <c r="G3965" i="1" a="1"/>
  <c r="G4101" i="1" a="1"/>
  <c r="G4242" i="1" a="1"/>
  <c r="G1614" i="1" a="1"/>
  <c r="G3346" i="1" a="1"/>
  <c r="G3658" i="1" a="1"/>
  <c r="G3877" i="1" a="1"/>
  <c r="G4018" i="1" a="1"/>
  <c r="G4180" i="1" a="1"/>
  <c r="G4321" i="1" a="1"/>
  <c r="G4457" i="1" a="1"/>
  <c r="G3360" i="1" a="1"/>
  <c r="G2353" i="1" a="1"/>
  <c r="G2541" i="1" a="1"/>
  <c r="G3474" i="1" a="1"/>
  <c r="G3745" i="1" a="1"/>
  <c r="G3927" i="1" a="1"/>
  <c r="G4063" i="1" a="1"/>
  <c r="G4209" i="1" a="1"/>
  <c r="G4371" i="1" a="1"/>
  <c r="G4507" i="1" a="1"/>
  <c r="G3001" i="1" a="1"/>
  <c r="G3846" i="1" a="1"/>
  <c r="G4139" i="1" a="1"/>
  <c r="G4425" i="1" a="1"/>
  <c r="G4612" i="1" a="1"/>
  <c r="G4756" i="1" a="1"/>
  <c r="G4911" i="1" a="1"/>
  <c r="G5052" i="1" a="1"/>
  <c r="G5188" i="1" a="1"/>
  <c r="G5334" i="1" a="1"/>
  <c r="G5476" i="1" a="1"/>
  <c r="G5604" i="1" a="1"/>
  <c r="G5732" i="1" a="1"/>
  <c r="G5801" i="1" a="1"/>
  <c r="G5865" i="1" a="1"/>
  <c r="G5929" i="1" a="1"/>
  <c r="G5993" i="1" a="1"/>
  <c r="G6057" i="1" a="1"/>
  <c r="G6121" i="1" a="1"/>
  <c r="G6185" i="1" a="1"/>
  <c r="G3634" i="1" a="1"/>
  <c r="G3983" i="1" a="1"/>
  <c r="G4307" i="1" a="1"/>
  <c r="G4480" i="1" a="1"/>
  <c r="G4709" i="1" a="1"/>
  <c r="G4849" i="1" a="1"/>
  <c r="G5011" i="1" a="1"/>
  <c r="G5147" i="1" a="1"/>
  <c r="G5288" i="1" a="1"/>
  <c r="G5431" i="1" a="1"/>
  <c r="G5559" i="1" a="1"/>
  <c r="G5687" i="1" a="1"/>
  <c r="G3653" i="1" a="1"/>
  <c r="G3952" i="1" a="1"/>
  <c r="G4234" i="1" a="1"/>
  <c r="G4509" i="1" a="1"/>
  <c r="G4680" i="1" a="1"/>
  <c r="G4855" i="1" a="1"/>
  <c r="G4991" i="1" a="1"/>
  <c r="G5137" i="1" a="1"/>
  <c r="G5299" i="1" a="1"/>
  <c r="G3444" i="1" a="1"/>
  <c r="G3891" i="1" a="1"/>
  <c r="G4152" i="1" a="1"/>
  <c r="G3462" i="1" a="1"/>
  <c r="G3896" i="1" a="1"/>
  <c r="G4199" i="1" a="1"/>
  <c r="G4464" i="1" a="1"/>
  <c r="G4630" i="1" a="1"/>
  <c r="G4827" i="1" a="1"/>
  <c r="G4968" i="1" a="1"/>
  <c r="G5114" i="1" a="1"/>
  <c r="G5271" i="1" a="1"/>
  <c r="G5407" i="1" a="1"/>
  <c r="G4343" i="1" a="1"/>
  <c r="G4777" i="1" a="1"/>
  <c r="G5039" i="1" a="1"/>
  <c r="G5363" i="1" a="1"/>
  <c r="G5553" i="1" a="1"/>
  <c r="G5730" i="1" a="1"/>
  <c r="G6175" i="1" a="1"/>
  <c r="G4260" i="1" a="1"/>
  <c r="G4682" i="1" a="1"/>
  <c r="G5008" i="1" a="1"/>
  <c r="G5290" i="1" a="1"/>
  <c r="G5518" i="1" a="1"/>
  <c r="G5683" i="1" a="1"/>
  <c r="G5796" i="1" a="1"/>
  <c r="G5882" i="1" a="1"/>
  <c r="G5967" i="1" a="1"/>
  <c r="G6084" i="1" a="1"/>
  <c r="G6218" i="1" a="1"/>
  <c r="G6282" i="1" a="1"/>
  <c r="G6346" i="1" a="1"/>
  <c r="G6410" i="1" a="1"/>
  <c r="G6474" i="1" a="1"/>
  <c r="G6538" i="1" a="1"/>
  <c r="G4124" i="1" a="1"/>
  <c r="G4659" i="1" a="1"/>
  <c r="G4936" i="1" a="1"/>
  <c r="G5197" i="1" a="1"/>
  <c r="G5488" i="1" a="1"/>
  <c r="G5658" i="1" a="1"/>
  <c r="G6112" i="1" a="1"/>
  <c r="G3607" i="1" a="1"/>
  <c r="G4197" i="1" a="1"/>
  <c r="G4681" i="1" a="1"/>
  <c r="G5028" i="1" a="1"/>
  <c r="G5352" i="1" a="1"/>
  <c r="G5547" i="1" a="1"/>
  <c r="G5724" i="1" a="1"/>
  <c r="G5822" i="1" a="1"/>
  <c r="G5907" i="1" a="1"/>
  <c r="G5992" i="1" a="1"/>
  <c r="G6138" i="1" a="1"/>
  <c r="G6237" i="1" a="1"/>
  <c r="G4135" i="1" a="1"/>
  <c r="G5129" i="1" a="1"/>
  <c r="G5552" i="1" a="1"/>
  <c r="G6151" i="1" a="1"/>
  <c r="G6431" i="1" a="1"/>
  <c r="G6618" i="1" a="1"/>
  <c r="G6759" i="1" a="1"/>
  <c r="G6887" i="1" a="1"/>
  <c r="G7015" i="1" a="1"/>
  <c r="G7143" i="1" a="1"/>
  <c r="G7271" i="1" a="1"/>
  <c r="G7399" i="1" a="1"/>
  <c r="G7527" i="1" a="1"/>
  <c r="G7655" i="1" a="1"/>
  <c r="G7783" i="1" a="1"/>
  <c r="G7911" i="1" a="1"/>
  <c r="G8039" i="1" a="1"/>
  <c r="G8167" i="1" a="1"/>
  <c r="G90" i="1" a="1"/>
  <c r="G1102" i="1" a="1"/>
  <c r="G3035" i="1" a="1"/>
  <c r="G1583" i="1" a="1"/>
  <c r="G2049" i="1" a="1"/>
  <c r="G2052" i="1" a="1"/>
  <c r="G2747" i="1" a="1"/>
  <c r="G2829" i="1" a="1"/>
  <c r="G3044" i="1" a="1"/>
  <c r="G2423" i="1" a="1"/>
  <c r="G4076" i="1" a="1"/>
  <c r="G3132" i="1" a="1"/>
  <c r="G3574" i="1" a="1"/>
  <c r="G2395" i="1" a="1"/>
  <c r="G3703" i="1" a="1"/>
  <c r="G4908" i="1" a="1"/>
  <c r="G3118" i="1" a="1"/>
  <c r="G3557" i="1" a="1"/>
  <c r="G3824" i="1" a="1"/>
  <c r="G3970" i="1" a="1"/>
  <c r="G4106" i="1" a="1"/>
  <c r="G4263" i="1" a="1"/>
  <c r="G2081" i="1" a="1"/>
  <c r="G3370" i="1" a="1"/>
  <c r="G3695" i="1" a="1"/>
  <c r="G3882" i="1" a="1"/>
  <c r="G4039" i="1" a="1"/>
  <c r="G4185" i="1" a="1"/>
  <c r="G4326" i="1" a="1"/>
  <c r="G2084" i="1" a="1"/>
  <c r="G3384" i="1" a="1"/>
  <c r="G2520" i="1" a="1"/>
  <c r="G2706" i="1" a="1"/>
  <c r="G3516" i="1" a="1"/>
  <c r="G3754" i="1" a="1"/>
  <c r="G3932" i="1" a="1"/>
  <c r="G4068" i="1" a="1"/>
  <c r="G4214" i="1" a="1"/>
  <c r="G4376" i="1" a="1"/>
  <c r="G4512" i="1" a="1"/>
  <c r="G3129" i="1" a="1"/>
  <c r="G3857" i="1" a="1"/>
  <c r="G4160" i="1" a="1"/>
  <c r="G4433" i="1" a="1"/>
  <c r="G4619" i="1" a="1"/>
  <c r="G4762" i="1" a="1"/>
  <c r="G4916" i="1" a="1"/>
  <c r="G5057" i="1" a="1"/>
  <c r="G5193" i="1" a="1"/>
  <c r="G5355" i="1" a="1"/>
  <c r="G5485" i="1" a="1"/>
  <c r="G5613" i="1" a="1"/>
  <c r="G5741" i="1" a="1"/>
  <c r="G5805" i="1" a="1"/>
  <c r="G5869" i="1" a="1"/>
  <c r="G5933" i="1" a="1"/>
  <c r="G5997" i="1" a="1"/>
  <c r="G6061" i="1" a="1"/>
  <c r="G6125" i="1" a="1"/>
  <c r="G6189" i="1" a="1"/>
  <c r="G3671" i="1" a="1"/>
  <c r="G3993" i="1" a="1"/>
  <c r="G4317" i="1" a="1"/>
  <c r="G4488" i="1" a="1"/>
  <c r="G4715" i="1" a="1"/>
  <c r="G4854" i="1" a="1"/>
  <c r="G5016" i="1" a="1"/>
  <c r="G5152" i="1" a="1"/>
  <c r="G5293" i="1" a="1"/>
  <c r="G5440" i="1" a="1"/>
  <c r="G5568" i="1" a="1"/>
  <c r="G5696" i="1" a="1"/>
  <c r="G3708" i="1" a="1"/>
  <c r="G3963" i="1" a="1"/>
  <c r="G4276" i="1" a="1"/>
  <c r="G4516" i="1" a="1"/>
  <c r="G4686" i="1" a="1"/>
  <c r="G4860" i="1" a="1"/>
  <c r="G4996" i="1" a="1"/>
  <c r="G5142" i="1" a="1"/>
  <c r="G5304" i="1" a="1"/>
  <c r="G3504" i="1" a="1"/>
  <c r="G3901" i="1" a="1"/>
  <c r="G4162" i="1" a="1"/>
  <c r="G3543" i="1" a="1"/>
  <c r="G3906" i="1" a="1"/>
  <c r="G4220" i="1" a="1"/>
  <c r="G4472" i="1" a="1"/>
  <c r="G4636" i="1" a="1"/>
  <c r="G4832" i="1" a="1"/>
  <c r="G4973" i="1" a="1"/>
  <c r="G5135" i="1" a="1"/>
  <c r="G5276" i="1" a="1"/>
  <c r="G2812" i="1" a="1"/>
  <c r="G4404" i="1" a="1"/>
  <c r="G4788" i="1" a="1"/>
  <c r="G5049" i="1" a="1"/>
  <c r="G5373" i="1" a="1"/>
  <c r="G5560" i="1" a="1"/>
  <c r="G5736" i="1" a="1"/>
  <c r="G6184" i="1" a="1"/>
  <c r="G4290" i="1" a="1"/>
  <c r="G4694" i="1" a="1"/>
  <c r="G5019" i="1" a="1"/>
  <c r="G5332" i="1" a="1"/>
  <c r="G5524" i="1" a="1"/>
  <c r="G5694" i="1" a="1"/>
  <c r="G5802" i="1" a="1"/>
  <c r="G5887" i="1" a="1"/>
  <c r="G5972" i="1" a="1"/>
  <c r="G6098" i="1" a="1"/>
  <c r="G6222" i="1" a="1"/>
  <c r="G6286" i="1" a="1"/>
  <c r="G6350" i="1" a="1"/>
  <c r="G6414" i="1" a="1"/>
  <c r="G6478" i="1" a="1"/>
  <c r="G6542" i="1" a="1"/>
  <c r="G4155" i="1" a="1"/>
  <c r="G4683" i="1" a="1"/>
  <c r="G4946" i="1" a="1"/>
  <c r="G5239" i="1" a="1"/>
  <c r="G5506" i="1" a="1"/>
  <c r="G5665" i="1" a="1"/>
  <c r="G6126" i="1" a="1"/>
  <c r="G3302" i="1" a="1"/>
  <c r="G4228" i="1" a="1"/>
  <c r="G4752" i="1" a="1"/>
  <c r="G5038" i="1" a="1"/>
  <c r="G5362" i="1" a="1"/>
  <c r="G5565" i="1" a="1"/>
  <c r="G5742" i="1" a="1"/>
  <c r="G5827" i="1" a="1"/>
  <c r="G5912" i="1" a="1"/>
  <c r="G5998" i="1" a="1"/>
  <c r="G6147" i="1" a="1"/>
  <c r="G6241" i="1" a="1"/>
  <c r="G4249" i="1" a="1"/>
  <c r="G5171" i="1" a="1"/>
  <c r="G5576" i="1" a="1"/>
  <c r="G6160" i="1" a="1"/>
  <c r="G6449" i="1" a="1"/>
  <c r="G6634" i="1" a="1"/>
  <c r="G6768" i="1" a="1"/>
  <c r="G6896" i="1" a="1"/>
  <c r="G7024" i="1" a="1"/>
  <c r="G7152" i="1" a="1"/>
  <c r="G7280" i="1" a="1"/>
  <c r="G7408" i="1" a="1"/>
  <c r="G7536" i="1" a="1"/>
  <c r="G7664" i="1" a="1"/>
  <c r="G7792" i="1" a="1"/>
  <c r="G7920" i="1" a="1"/>
  <c r="G8048" i="1" a="1"/>
  <c r="G8176" i="1" a="1"/>
  <c r="G823" i="1" a="1"/>
  <c r="G1950" i="1" a="1"/>
  <c r="G3095" i="1" a="1"/>
  <c r="G2002" i="1" a="1"/>
  <c r="G2185" i="1" a="1"/>
  <c r="G2182" i="1" a="1"/>
  <c r="G2988" i="1" a="1"/>
  <c r="G2961" i="1" a="1"/>
  <c r="G3204" i="1" a="1"/>
  <c r="G2825" i="1" a="1"/>
  <c r="G4195" i="1" a="1"/>
  <c r="G3392" i="1" a="1"/>
  <c r="G3693" i="1" a="1"/>
  <c r="G2842" i="1" a="1"/>
  <c r="G3881" i="1" a="1"/>
  <c r="G5027" i="1" a="1"/>
  <c r="G3200" i="1" a="1"/>
  <c r="G3566" i="1" a="1"/>
  <c r="G3835" i="1" a="1"/>
  <c r="G3976" i="1" a="1"/>
  <c r="G4122" i="1" a="1"/>
  <c r="G4279" i="1" a="1"/>
  <c r="G2165" i="1" a="1"/>
  <c r="G3394" i="1" a="1"/>
  <c r="G3704" i="1" a="1"/>
  <c r="G3898" i="1" a="1"/>
  <c r="G4055" i="1" a="1"/>
  <c r="G4191" i="1" a="1"/>
  <c r="G4337" i="1" a="1"/>
  <c r="G2167" i="1" a="1"/>
  <c r="G3418" i="1" a="1"/>
  <c r="G2604" i="1" a="1"/>
  <c r="G2776" i="1" a="1"/>
  <c r="G3535" i="1" a="1"/>
  <c r="G3762" i="1" a="1"/>
  <c r="G3937" i="1" a="1"/>
  <c r="G4073" i="1" a="1"/>
  <c r="G4235" i="1" a="1"/>
  <c r="G4381" i="1" a="1"/>
  <c r="G4517" i="1" a="1"/>
  <c r="G3209" i="1" a="1"/>
  <c r="G3888" i="1" a="1"/>
  <c r="G4170" i="1" a="1"/>
  <c r="G4442" i="1" a="1"/>
  <c r="G4625" i="1" a="1"/>
  <c r="G4768" i="1" a="1"/>
  <c r="G4921" i="1" a="1"/>
  <c r="G5062" i="1" a="1"/>
  <c r="G5198" i="1" a="1"/>
  <c r="G5360" i="1" a="1"/>
  <c r="G5494" i="1" a="1"/>
  <c r="G5622" i="1" a="1"/>
  <c r="G5745" i="1" a="1"/>
  <c r="G5809" i="1" a="1"/>
  <c r="G5873" i="1" a="1"/>
  <c r="G5937" i="1" a="1"/>
  <c r="G6001" i="1" a="1"/>
  <c r="G6065" i="1" a="1"/>
  <c r="G6129" i="1" a="1"/>
  <c r="G6193" i="1" a="1"/>
  <c r="G3689" i="1" a="1"/>
  <c r="G4004" i="1" a="1"/>
  <c r="G4328" i="1" a="1"/>
  <c r="G4494" i="1" a="1"/>
  <c r="G4721" i="1" a="1"/>
  <c r="G4875" i="1" a="1"/>
  <c r="G5021" i="1" a="1"/>
  <c r="G5157" i="1" a="1"/>
  <c r="G5298" i="1" a="1"/>
  <c r="G5449" i="1" a="1"/>
  <c r="G5577" i="1" a="1"/>
  <c r="G5705" i="1" a="1"/>
  <c r="G3726" i="1" a="1"/>
  <c r="G3973" i="1" a="1"/>
  <c r="G4287" i="1" a="1"/>
  <c r="G4523" i="1" a="1"/>
  <c r="G4692" i="1" a="1"/>
  <c r="G4865" i="1" a="1"/>
  <c r="G5001" i="1" a="1"/>
  <c r="G5163" i="1" a="1"/>
  <c r="G5309" i="1" a="1"/>
  <c r="G3527" i="1" a="1"/>
  <c r="G3912" i="1" a="1"/>
  <c r="G4173" i="1" a="1"/>
  <c r="G3589" i="1" a="1"/>
  <c r="G3917" i="1" a="1"/>
  <c r="G4230" i="1" a="1"/>
  <c r="G4479" i="1" a="1"/>
  <c r="G4648" i="1" a="1"/>
  <c r="G4837" i="1" a="1"/>
  <c r="G4978" i="1" a="1"/>
  <c r="G5140" i="1" a="1"/>
  <c r="G5281" i="1" a="1"/>
  <c r="G3580" i="1" a="1"/>
  <c r="G4421" i="1" a="1"/>
  <c r="G4799" i="1" a="1"/>
  <c r="G5060" i="1" a="1"/>
  <c r="G5384" i="1" a="1"/>
  <c r="G5578" i="1" a="1"/>
  <c r="G6024" i="1" a="1"/>
  <c r="G2928" i="1" a="1"/>
  <c r="G4385" i="1" a="1"/>
  <c r="G4718" i="1" a="1"/>
  <c r="G5029" i="1" a="1"/>
  <c r="G5343" i="1" a="1"/>
  <c r="G5542" i="1" a="1"/>
  <c r="G5701" i="1" a="1"/>
  <c r="G5807" i="1" a="1"/>
  <c r="G5892" i="1" a="1"/>
  <c r="G5978" i="1" a="1"/>
  <c r="G6107" i="1" a="1"/>
  <c r="G6226" i="1" a="1"/>
  <c r="G6290" i="1" a="1"/>
  <c r="G6354" i="1" a="1"/>
  <c r="G6418" i="1" a="1"/>
  <c r="G6482" i="1" a="1"/>
  <c r="G6546" i="1" a="1"/>
  <c r="G4177" i="1" a="1"/>
  <c r="G4695" i="1" a="1"/>
  <c r="G4967" i="1" a="1"/>
  <c r="G5249" i="1" a="1"/>
  <c r="G5512" i="1" a="1"/>
  <c r="G5671" i="1" a="1"/>
  <c r="G6135" i="1" a="1"/>
  <c r="G3554" i="1" a="1"/>
  <c r="G4250" i="1" a="1"/>
  <c r="G4819" i="1" a="1"/>
  <c r="G5080" i="1" a="1"/>
  <c r="G5383" i="1" a="1"/>
  <c r="G5571" i="1" a="1"/>
  <c r="G5747" i="1" a="1"/>
  <c r="G5832" i="1" a="1"/>
  <c r="G5918" i="1" a="1"/>
  <c r="G6003" i="1" a="1"/>
  <c r="G6156" i="1" a="1"/>
  <c r="G6245" i="1" a="1"/>
  <c r="G4302" i="1" a="1"/>
  <c r="G5192" i="1" a="1"/>
  <c r="G5601" i="1" a="1"/>
  <c r="G6289" i="1" a="1"/>
  <c r="G6456" i="1" a="1"/>
  <c r="G6649" i="1" a="1"/>
  <c r="G6777" i="1" a="1"/>
  <c r="G6905" i="1" a="1"/>
  <c r="G7033" i="1" a="1"/>
  <c r="G7161" i="1" a="1"/>
  <c r="G7289" i="1" a="1"/>
  <c r="G7417" i="1" a="1"/>
  <c r="G7545" i="1" a="1"/>
  <c r="G7673" i="1" a="1"/>
  <c r="G7801" i="1" a="1"/>
  <c r="G7929" i="1" a="1"/>
  <c r="G8057" i="1" a="1"/>
  <c r="G8185" i="1" a="1"/>
  <c r="G832" i="1" a="1"/>
  <c r="G1960" i="1" a="1"/>
  <c r="G3099" i="1" a="1"/>
  <c r="G2025" i="1" a="1"/>
  <c r="G2190" i="1" a="1"/>
  <c r="G2188" i="1" a="1"/>
  <c r="G2997" i="1" a="1"/>
  <c r="G2970" i="1" a="1"/>
  <c r="G3213" i="1" a="1"/>
  <c r="G2836" i="1" a="1"/>
  <c r="G4204" i="1" a="1"/>
  <c r="G3409" i="1" a="1"/>
  <c r="G3702" i="1" a="1"/>
  <c r="G2853" i="1" a="1"/>
  <c r="G3886" i="1" a="1"/>
  <c r="G5036" i="1" a="1"/>
  <c r="G3218" i="1" a="1"/>
  <c r="G3603" i="1" a="1"/>
  <c r="G3840" i="1" a="1"/>
  <c r="G3981" i="1" a="1"/>
  <c r="G4143" i="1" a="1"/>
  <c r="G4284" i="1" a="1"/>
  <c r="G2332" i="1" a="1"/>
  <c r="G3406" i="1" a="1"/>
  <c r="G3713" i="1" a="1"/>
  <c r="G3919" i="1" a="1"/>
  <c r="G4060" i="1" a="1"/>
  <c r="G4196" i="1" a="1"/>
  <c r="G4342" i="1" a="1"/>
  <c r="G2418" i="1" a="1"/>
  <c r="G3449" i="1" a="1"/>
  <c r="G2687" i="1" a="1"/>
  <c r="G2862" i="1" a="1"/>
  <c r="G3544" i="1" a="1"/>
  <c r="G3769" i="1" a="1"/>
  <c r="G3942" i="1" a="1"/>
  <c r="G4078" i="1" a="1"/>
  <c r="G4240" i="1" a="1"/>
  <c r="G4386" i="1" a="1"/>
  <c r="G4522" i="1" a="1"/>
  <c r="G3278" i="1" a="1"/>
  <c r="G3899" i="1" a="1"/>
  <c r="G4212" i="1" a="1"/>
  <c r="G4458" i="1" a="1"/>
  <c r="G4631" i="1" a="1"/>
  <c r="G4791" i="1" a="1"/>
  <c r="G4927" i="1" a="1"/>
  <c r="G5073" i="1" a="1"/>
  <c r="G5235" i="1" a="1"/>
  <c r="G5371" i="1" a="1"/>
  <c r="G5499" i="1" a="1"/>
  <c r="G5627" i="1" a="1"/>
  <c r="G5749" i="1" a="1"/>
  <c r="G5813" i="1" a="1"/>
  <c r="G5877" i="1" a="1"/>
  <c r="G5941" i="1" a="1"/>
  <c r="G6005" i="1" a="1"/>
  <c r="G6069" i="1" a="1"/>
  <c r="G6133" i="1" a="1"/>
  <c r="G1854" i="1" a="1"/>
  <c r="G3744" i="1" a="1"/>
  <c r="G4014" i="1" a="1"/>
  <c r="G4338" i="1" a="1"/>
  <c r="G4536" i="1" a="1"/>
  <c r="G4727" i="1" a="1"/>
  <c r="G4880" i="1" a="1"/>
  <c r="G5026" i="1" a="1"/>
  <c r="G5162" i="1" a="1"/>
  <c r="G5319" i="1" a="1"/>
  <c r="G5458" i="1" a="1"/>
  <c r="G5586" i="1" a="1"/>
  <c r="G5714" i="1" a="1"/>
  <c r="G3761" i="1" a="1"/>
  <c r="G3994" i="1" a="1"/>
  <c r="G4297" i="1" a="1"/>
  <c r="G4530" i="1" a="1"/>
  <c r="G4698" i="1" a="1"/>
  <c r="G4870" i="1" a="1"/>
  <c r="G5006" i="1" a="1"/>
  <c r="G5168" i="1" a="1"/>
  <c r="G5314" i="1" a="1"/>
  <c r="G3600" i="1" a="1"/>
  <c r="G3922" i="1" a="1"/>
  <c r="G4215" i="1" a="1"/>
  <c r="G3609" i="1" a="1"/>
  <c r="G3959" i="1" a="1"/>
  <c r="G4241" i="1" a="1"/>
  <c r="G4485" i="1" a="1"/>
  <c r="G4660" i="1" a="1"/>
  <c r="G4842" i="1" a="1"/>
  <c r="G4999" i="1" a="1"/>
  <c r="G5145" i="1" a="1"/>
  <c r="G5286" i="1" a="1"/>
  <c r="G3680" i="1" a="1"/>
  <c r="G4497" i="1" a="1"/>
  <c r="G4809" i="1" a="1"/>
  <c r="G5070" i="1" a="1"/>
  <c r="G5394" i="1" a="1"/>
  <c r="G5584" i="1" a="1"/>
  <c r="G6038" i="1" a="1"/>
  <c r="G3353" i="1" a="1"/>
  <c r="G4438" i="1" a="1"/>
  <c r="G4730" i="1" a="1"/>
  <c r="G5050" i="1" a="1"/>
  <c r="G5353" i="1" a="1"/>
  <c r="G5548" i="1" a="1"/>
  <c r="G5707" i="1" a="1"/>
  <c r="G5812" i="1" a="1"/>
  <c r="G5898" i="1" a="1"/>
  <c r="G5983" i="1" a="1"/>
  <c r="G6116" i="1" a="1"/>
  <c r="G6230" i="1" a="1"/>
  <c r="G6294" i="1" a="1"/>
  <c r="G6358" i="1" a="1"/>
  <c r="G6422" i="1" a="1"/>
  <c r="G6486" i="1" a="1"/>
  <c r="G6550" i="1" a="1"/>
  <c r="G4238" i="1" a="1"/>
  <c r="G4719" i="1" a="1"/>
  <c r="G4988" i="1" a="1"/>
  <c r="G5270" i="1" a="1"/>
  <c r="G5519" i="1" a="1"/>
  <c r="G5689" i="1" a="1"/>
  <c r="G6144" i="1" a="1"/>
  <c r="G2763" i="1" a="1"/>
  <c r="G4361" i="1" a="1"/>
  <c r="G4829" i="1" a="1"/>
  <c r="G5090" i="1" a="1"/>
  <c r="G5404" i="1" a="1"/>
  <c r="G5589" i="1" a="1"/>
  <c r="G5752" i="1" a="1"/>
  <c r="G5838" i="1" a="1"/>
  <c r="G5923" i="1" a="1"/>
  <c r="G6008" i="1" a="1"/>
  <c r="G6170" i="1" a="1"/>
  <c r="G6249" i="1" a="1"/>
  <c r="G4354" i="1" a="1"/>
  <c r="G5254" i="1" a="1"/>
  <c r="G5625" i="1" a="1"/>
  <c r="G6296" i="1" a="1"/>
  <c r="G6463" i="1" a="1"/>
  <c r="G6654" i="1" a="1"/>
  <c r="G6782" i="1" a="1"/>
  <c r="G6910" i="1" a="1"/>
  <c r="G7038" i="1" a="1"/>
  <c r="G7166" i="1" a="1"/>
  <c r="G7294" i="1" a="1"/>
  <c r="G7422" i="1" a="1"/>
  <c r="G7550" i="1" a="1"/>
  <c r="G7678" i="1" a="1"/>
  <c r="G7806" i="1" a="1"/>
  <c r="G7934" i="1" a="1"/>
  <c r="G8062" i="1" a="1"/>
  <c r="G8190" i="1" a="1"/>
  <c r="G1311" i="1" a="1"/>
  <c r="G2521" i="1" a="1"/>
  <c r="G3159" i="1" a="1"/>
  <c r="G2174" i="1" a="1"/>
  <c r="G2321" i="1" a="1"/>
  <c r="G2323" i="1" a="1"/>
  <c r="G3157" i="1" a="1"/>
  <c r="G3130" i="1" a="1"/>
  <c r="G2040" i="1" a="1"/>
  <c r="G3122" i="1" a="1"/>
  <c r="G4323" i="1" a="1"/>
  <c r="G3578" i="1" a="1"/>
  <c r="G2001" i="1" a="1"/>
  <c r="G3146" i="1" a="1"/>
  <c r="G4043" i="1" a="1"/>
  <c r="G5155" i="1" a="1"/>
  <c r="G3270" i="1" a="1"/>
  <c r="G3612" i="1" a="1"/>
  <c r="G3845" i="1" a="1"/>
  <c r="G3986" i="1" a="1"/>
  <c r="G4148" i="1" a="1"/>
  <c r="G4289" i="1" a="1"/>
  <c r="G2415" i="1" a="1"/>
  <c r="G3448" i="1" a="1"/>
  <c r="G3722" i="1" a="1"/>
  <c r="G3924" i="1" a="1"/>
  <c r="G4065" i="1" a="1"/>
  <c r="G4201" i="1" a="1"/>
  <c r="G4363" i="1" a="1"/>
  <c r="G2669" i="1" a="1"/>
  <c r="G3460" i="1" a="1"/>
  <c r="G2761" i="1" a="1"/>
  <c r="G2972" i="1" a="1"/>
  <c r="G3553" i="1" a="1"/>
  <c r="G3784" i="1" a="1"/>
  <c r="G3953" i="1" a="1"/>
  <c r="G4115" i="1" a="1"/>
  <c r="G4251" i="1" a="1"/>
  <c r="G4392" i="1" a="1"/>
  <c r="G4538" i="1" a="1"/>
  <c r="G3410" i="1" a="1"/>
  <c r="G3909" i="1" a="1"/>
  <c r="G4223" i="1" a="1"/>
  <c r="G4486" i="1" a="1"/>
  <c r="G4642" i="1" a="1"/>
  <c r="G4796" i="1" a="1"/>
  <c r="G4932" i="1" a="1"/>
  <c r="G5078" i="1" a="1"/>
  <c r="G5240" i="1" a="1"/>
  <c r="G5376" i="1" a="1"/>
  <c r="G5508" i="1" a="1"/>
  <c r="G5636" i="1" a="1"/>
  <c r="G5753" i="1" a="1"/>
  <c r="G5817" i="1" a="1"/>
  <c r="G5881" i="1" a="1"/>
  <c r="G5945" i="1" a="1"/>
  <c r="G6009" i="1" a="1"/>
  <c r="G6073" i="1" a="1"/>
  <c r="G6137" i="1" a="1"/>
  <c r="G2293" i="1" a="1"/>
  <c r="G3760" i="1" a="1"/>
  <c r="G4056" i="1" a="1"/>
  <c r="G4359" i="1" a="1"/>
  <c r="G4543" i="1" a="1"/>
  <c r="G4733" i="1" a="1"/>
  <c r="G4891" i="1" a="1"/>
  <c r="G5032" i="1" a="1"/>
  <c r="G5178" i="1" a="1"/>
  <c r="G5335" i="1" a="1"/>
  <c r="G5463" i="1" a="1"/>
  <c r="G5591" i="1" a="1"/>
  <c r="G5719" i="1" a="1"/>
  <c r="G3776" i="1" a="1"/>
  <c r="G4015" i="1" a="1"/>
  <c r="G4339" i="1" a="1"/>
  <c r="G4544" i="1" a="1"/>
  <c r="G4704" i="1" a="1"/>
  <c r="G4881" i="1" a="1"/>
  <c r="G5043" i="1" a="1"/>
  <c r="G5179" i="1" a="1"/>
  <c r="G5320" i="1" a="1"/>
  <c r="G3618" i="1" a="1"/>
  <c r="G3943" i="1" a="1"/>
  <c r="G4225" i="1" a="1"/>
  <c r="G3664" i="1" a="1"/>
  <c r="G3969" i="1" a="1"/>
  <c r="G4272" i="1" a="1"/>
  <c r="G4493" i="1" a="1"/>
  <c r="G4666" i="1" a="1"/>
  <c r="G4858" i="1" a="1"/>
  <c r="G5015" i="1" a="1"/>
  <c r="G5151" i="1" a="1"/>
  <c r="G5297" i="1" a="1"/>
  <c r="G3768" i="1" a="1"/>
  <c r="G4511" i="1" a="1"/>
  <c r="G4851" i="1" a="1"/>
  <c r="G5112" i="1" a="1"/>
  <c r="G5425" i="1" a="1"/>
  <c r="G5602" i="1" a="1"/>
  <c r="G6047" i="1" a="1"/>
  <c r="G3452" i="1" a="1"/>
  <c r="G4455" i="1" a="1"/>
  <c r="G4754" i="1" a="1"/>
  <c r="G5071" i="1" a="1"/>
  <c r="G5395" i="1" a="1"/>
  <c r="G5555" i="1" a="1"/>
  <c r="G5725" i="1" a="1"/>
  <c r="G5818" i="1" a="1"/>
  <c r="G5903" i="1" a="1"/>
  <c r="G5988" i="1" a="1"/>
  <c r="G6130" i="1" a="1"/>
  <c r="G6234" i="1" a="1"/>
  <c r="G6298" i="1" a="1"/>
  <c r="G6362" i="1" a="1"/>
  <c r="G6426" i="1" a="1"/>
  <c r="G6490" i="1" a="1"/>
  <c r="G6554" i="1" a="1"/>
  <c r="G4344" i="1" a="1"/>
  <c r="G4731" i="1" a="1"/>
  <c r="G4998" i="1" a="1"/>
  <c r="G5291" i="1" a="1"/>
  <c r="G5530" i="1" a="1"/>
  <c r="G5695" i="1" a="1"/>
  <c r="G6158" i="1" a="1"/>
  <c r="G3106" i="1" a="1"/>
  <c r="G4403" i="1" a="1"/>
  <c r="G4840" i="1" a="1"/>
  <c r="G5101" i="1" a="1"/>
  <c r="G5419" i="1" a="1"/>
  <c r="G5596" i="1" a="1"/>
  <c r="G5758" i="1" a="1"/>
  <c r="G5843" i="1" a="1"/>
  <c r="G5928" i="1" a="1"/>
  <c r="G6014" i="1" a="1"/>
  <c r="G6179" i="1" a="1"/>
  <c r="G6253" i="1" a="1"/>
  <c r="G4520" i="1" a="1"/>
  <c r="G5296" i="1" a="1"/>
  <c r="G5649" i="1" a="1"/>
  <c r="G6303" i="1" a="1"/>
  <c r="G6481" i="1" a="1"/>
  <c r="G6663" i="1" a="1"/>
  <c r="G6791" i="1" a="1"/>
  <c r="G6919" i="1" a="1"/>
  <c r="G7047" i="1" a="1"/>
  <c r="G7175" i="1" a="1"/>
  <c r="G7303" i="1" a="1"/>
  <c r="G7431" i="1" a="1"/>
  <c r="G7559" i="1" a="1"/>
  <c r="G7687" i="1" a="1"/>
  <c r="G7815" i="1" a="1"/>
  <c r="G7943" i="1" a="1"/>
  <c r="G8071" i="1" a="1"/>
  <c r="G8199" i="1" a="1"/>
  <c r="G1320" i="1" a="1"/>
  <c r="G2530" i="1" a="1"/>
  <c r="G3163" i="1" a="1"/>
  <c r="G2179" i="1" a="1"/>
  <c r="G2326" i="1" a="1"/>
  <c r="G2334" i="1" a="1"/>
  <c r="G3166" i="1" a="1"/>
  <c r="G3144" i="1" a="1"/>
  <c r="G2051" i="1" a="1"/>
  <c r="G3168" i="1" a="1"/>
  <c r="G4332" i="1" a="1"/>
  <c r="G3583" i="1" a="1"/>
  <c r="G2094" i="1" a="1"/>
  <c r="G3192" i="1" a="1"/>
  <c r="G4048" i="1" a="1"/>
  <c r="G5164" i="1" a="1"/>
  <c r="G3284" i="1" a="1"/>
  <c r="G3621" i="1" a="1"/>
  <c r="G3850" i="1" a="1"/>
  <c r="G4007" i="1" a="1"/>
  <c r="G4153" i="1" a="1"/>
  <c r="G4294" i="1" a="1"/>
  <c r="G2499" i="1" a="1"/>
  <c r="G3458" i="1" a="1"/>
  <c r="G3758" i="1" a="1"/>
  <c r="G3929" i="1" a="1"/>
  <c r="G4070" i="1" a="1"/>
  <c r="G4206" i="1" a="1"/>
  <c r="G4368" i="1" a="1"/>
  <c r="G2745" i="1" a="1"/>
  <c r="G3470" i="1" a="1"/>
  <c r="G2926" i="1" a="1"/>
  <c r="G3045" i="1" a="1"/>
  <c r="G3562" i="1" a="1"/>
  <c r="G3791" i="1" a="1"/>
  <c r="G3958" i="1" a="1"/>
  <c r="G4120" i="1" a="1"/>
  <c r="G4256" i="1" a="1"/>
  <c r="G4397" i="1" a="1"/>
  <c r="G4559" i="1" a="1"/>
  <c r="G3517" i="1" a="1"/>
  <c r="G3930" i="1" a="1"/>
  <c r="G4233" i="1" a="1"/>
  <c r="G4500" i="1" a="1"/>
  <c r="G4655" i="1" a="1"/>
  <c r="G4801" i="1" a="1"/>
  <c r="G4937" i="1" a="1"/>
  <c r="G5099" i="1" a="1"/>
  <c r="G5245" i="1" a="1"/>
  <c r="G5381" i="1" a="1"/>
  <c r="G5517" i="1" a="1"/>
  <c r="G5645" i="1" a="1"/>
  <c r="G5757" i="1" a="1"/>
  <c r="G5821" i="1" a="1"/>
  <c r="G5885" i="1" a="1"/>
  <c r="G5949" i="1" a="1"/>
  <c r="G6013" i="1" a="1"/>
  <c r="G6077" i="1" a="1"/>
  <c r="G6141" i="1" a="1"/>
  <c r="G2627" i="1" a="1"/>
  <c r="G3775" i="1" a="1"/>
  <c r="G4066" i="1" a="1"/>
  <c r="G4380" i="1" a="1"/>
  <c r="G4550" i="1" a="1"/>
  <c r="G4745" i="1" a="1"/>
  <c r="G4896" i="1" a="1"/>
  <c r="G5037" i="1" a="1"/>
  <c r="G5199" i="1" a="1"/>
  <c r="G5340" i="1" a="1"/>
  <c r="G5472" i="1" a="1"/>
  <c r="G5600" i="1" a="1"/>
  <c r="G5728" i="1" a="1"/>
  <c r="G3790" i="1" a="1"/>
  <c r="G4025" i="1" a="1"/>
  <c r="G4349" i="1" a="1"/>
  <c r="G4551" i="1" a="1"/>
  <c r="G4728" i="1" a="1"/>
  <c r="G4886" i="1" a="1"/>
  <c r="G5048" i="1" a="1"/>
  <c r="G5184" i="1" a="1"/>
  <c r="G5325" i="1" a="1"/>
  <c r="G3655" i="1" a="1"/>
  <c r="G3964" i="1" a="1"/>
  <c r="G4246" i="1" a="1"/>
  <c r="G3682" i="1" a="1"/>
  <c r="G3990" i="1" a="1"/>
  <c r="G4283" i="1" a="1"/>
  <c r="G4506" i="1" a="1"/>
  <c r="G4672" i="1" a="1"/>
  <c r="G4879" i="1" a="1"/>
  <c r="G5020" i="1" a="1"/>
  <c r="G5156" i="1" a="1"/>
  <c r="G5302" i="1" a="1"/>
  <c r="G3808" i="1" a="1"/>
  <c r="G4525" i="1" a="1"/>
  <c r="G4861" i="1" a="1"/>
  <c r="G5122" i="1" a="1"/>
  <c r="G5432" i="1" a="1"/>
  <c r="G5608" i="1" a="1"/>
  <c r="G6056" i="1" a="1"/>
  <c r="G3641" i="1" a="1"/>
  <c r="G4484" i="1" a="1"/>
  <c r="G4820" i="1" a="1"/>
  <c r="G5081" i="1" a="1"/>
  <c r="G5405" i="1" a="1"/>
  <c r="G5566" i="1" a="1"/>
  <c r="G5731" i="1" a="1"/>
  <c r="G5823" i="1" a="1"/>
  <c r="G5908" i="1" a="1"/>
  <c r="G5994" i="1" a="1"/>
  <c r="G6139" i="1" a="1"/>
  <c r="G6238" i="1" a="1"/>
  <c r="G6302" i="1" a="1"/>
  <c r="G6366" i="1" a="1"/>
  <c r="G6430" i="1" a="1"/>
  <c r="G6494" i="1" a="1"/>
  <c r="G6558" i="1" a="1"/>
  <c r="G4365" i="1" a="1"/>
  <c r="G4742" i="1" a="1"/>
  <c r="G5009" i="1" a="1"/>
  <c r="G5312" i="1" a="1"/>
  <c r="G5537" i="1" a="1"/>
  <c r="G5713" i="1" a="1"/>
  <c r="G6167" i="1" a="1"/>
  <c r="G3305" i="1" a="1"/>
  <c r="G4420" i="1" a="1"/>
  <c r="G4850" i="1" a="1"/>
  <c r="G5143" i="1" a="1"/>
  <c r="G5437" i="1" a="1"/>
  <c r="G5614" i="1" a="1"/>
  <c r="G5763" i="1" a="1"/>
  <c r="G5848" i="1" a="1"/>
  <c r="G5934" i="1" a="1"/>
  <c r="G6019" i="1" a="1"/>
  <c r="G6188" i="1" a="1"/>
  <c r="G6257" i="1" a="1"/>
  <c r="G4653" i="1" a="1"/>
  <c r="G5317" i="1" a="1"/>
  <c r="G5674" i="1" a="1"/>
  <c r="G6321" i="1" a="1"/>
  <c r="G6488" i="1" a="1"/>
  <c r="G6672" i="1" a="1"/>
  <c r="G6800" i="1" a="1"/>
  <c r="G6928" i="1" a="1"/>
  <c r="G7056" i="1" a="1"/>
  <c r="G7184" i="1" a="1"/>
  <c r="G7312" i="1" a="1"/>
  <c r="G7440" i="1" a="1"/>
  <c r="G7568" i="1" a="1"/>
  <c r="G7696" i="1" a="1"/>
  <c r="G7824" i="1" a="1"/>
  <c r="G7952" i="1" a="1"/>
  <c r="G8080" i="1" a="1"/>
  <c r="G8208" i="1" a="1"/>
  <c r="G877" i="1" a="1"/>
  <c r="G1926" i="1" a="1"/>
  <c r="G3223" i="1" a="1"/>
  <c r="G2336" i="1" a="1"/>
  <c r="G2467" i="1" a="1"/>
  <c r="G2459" i="1" a="1"/>
  <c r="G3326" i="1" a="1"/>
  <c r="G3304" i="1" a="1"/>
  <c r="G2333" i="1" a="1"/>
  <c r="G3373" i="1" a="1"/>
  <c r="G4451" i="1" a="1"/>
  <c r="G3706" i="1" a="1"/>
  <c r="G2596" i="1" a="1"/>
  <c r="G3412" i="1" a="1"/>
  <c r="G4189" i="1" a="1"/>
  <c r="G5283" i="1" a="1"/>
  <c r="G3309" i="1" a="1"/>
  <c r="G3630" i="1" a="1"/>
  <c r="G3866" i="1" a="1"/>
  <c r="G4023" i="1" a="1"/>
  <c r="G4159" i="1" a="1"/>
  <c r="G4305" i="1" a="1"/>
  <c r="G2666" i="1" a="1"/>
  <c r="G3469" i="1" a="1"/>
  <c r="G3794" i="1" a="1"/>
  <c r="G3935" i="1" a="1"/>
  <c r="G4081" i="1" a="1"/>
  <c r="G4243" i="1" a="1"/>
  <c r="G4379" i="1" a="1"/>
  <c r="G2801" i="1" a="1"/>
  <c r="G3512" i="1" a="1"/>
  <c r="G3036" i="1" a="1"/>
  <c r="G3109" i="1" a="1"/>
  <c r="G3599" i="1" a="1"/>
  <c r="G3809" i="1" a="1"/>
  <c r="G3979" i="1" a="1"/>
  <c r="G4125" i="1" a="1"/>
  <c r="G4261" i="1" a="1"/>
  <c r="G4402" i="1" a="1"/>
  <c r="G4564" i="1" a="1"/>
  <c r="G3570" i="1" a="1"/>
  <c r="G3951" i="1" a="1"/>
  <c r="G4275" i="1" a="1"/>
  <c r="G4514" i="1" a="1"/>
  <c r="G4667" i="1" a="1"/>
  <c r="G4806" i="1" a="1"/>
  <c r="G4942" i="1" a="1"/>
  <c r="G5104" i="1" a="1"/>
  <c r="G5250" i="1" a="1"/>
  <c r="G5386" i="1" a="1"/>
  <c r="G5526" i="1" a="1"/>
  <c r="G5654" i="1" a="1"/>
  <c r="G5761" i="1" a="1"/>
  <c r="G5825" i="1" a="1"/>
  <c r="G5889" i="1" a="1"/>
  <c r="G5953" i="1" a="1"/>
  <c r="G6017" i="1" a="1"/>
  <c r="G6081" i="1" a="1"/>
  <c r="G6145" i="1" a="1"/>
  <c r="G2864" i="1" a="1"/>
  <c r="G3802" i="1" a="1"/>
  <c r="G4077" i="1" a="1"/>
  <c r="G4390" i="1" a="1"/>
  <c r="G4557" i="1" a="1"/>
  <c r="G4751" i="1" a="1"/>
  <c r="G4901" i="1" a="1"/>
  <c r="G5042" i="1" a="1"/>
  <c r="G5204" i="1" a="1"/>
  <c r="G5345" i="1" a="1"/>
  <c r="G5481" i="1" a="1"/>
  <c r="G5609" i="1" a="1"/>
  <c r="G5737" i="1" a="1"/>
  <c r="G3803" i="1" a="1"/>
  <c r="G4036" i="1" a="1"/>
  <c r="G4360" i="1" a="1"/>
  <c r="G4572" i="1" a="1"/>
  <c r="G4740" i="1" a="1"/>
  <c r="G4907" i="1" a="1"/>
  <c r="G5053" i="1" a="1"/>
  <c r="G5189" i="1" a="1"/>
  <c r="G5330" i="1" a="1"/>
  <c r="G3673" i="1" a="1"/>
  <c r="G3974" i="1" a="1"/>
  <c r="G4267" i="1" a="1"/>
  <c r="G3719" i="1" a="1"/>
  <c r="G4011" i="1" a="1"/>
  <c r="G4293" i="1" a="1"/>
  <c r="G4527" i="1" a="1"/>
  <c r="G4708" i="1" a="1"/>
  <c r="G4884" i="1" a="1"/>
  <c r="G5025" i="1" a="1"/>
  <c r="G5161" i="1" a="1"/>
  <c r="G5323" i="1" a="1"/>
  <c r="G3841" i="1" a="1"/>
  <c r="G4539" i="1" a="1"/>
  <c r="G4872" i="1" a="1"/>
  <c r="G5133" i="1" a="1"/>
  <c r="G5450" i="1" a="1"/>
  <c r="G5615" i="1" a="1"/>
  <c r="G6070" i="1" a="1"/>
  <c r="G3735" i="1" a="1"/>
  <c r="G4498" i="1" a="1"/>
  <c r="G4831" i="1" a="1"/>
  <c r="G5092" i="1" a="1"/>
  <c r="G5414" i="1" a="1"/>
  <c r="G5573" i="1" a="1"/>
  <c r="G5743" i="1" a="1"/>
  <c r="G5828" i="1" a="1"/>
  <c r="G5914" i="1" a="1"/>
  <c r="G5999" i="1" a="1"/>
  <c r="G6148" i="1" a="1"/>
  <c r="G6242" i="1" a="1"/>
  <c r="G6306" i="1" a="1"/>
  <c r="G6370" i="1" a="1"/>
  <c r="G6434" i="1" a="1"/>
  <c r="G6498" i="1" a="1"/>
  <c r="G6562" i="1" a="1"/>
  <c r="G4406" i="1" a="1"/>
  <c r="G4755" i="1" a="1"/>
  <c r="G5040" i="1" a="1"/>
  <c r="G5322" i="1" a="1"/>
  <c r="G5543" i="1" a="1"/>
  <c r="G5720" i="1" a="1"/>
  <c r="G6176" i="1" a="1"/>
  <c r="G3505" i="1" a="1"/>
  <c r="G4453" i="1" a="1"/>
  <c r="G4871" i="1" a="1"/>
  <c r="G5153" i="1" a="1"/>
  <c r="G5443" i="1" a="1"/>
  <c r="G5620" i="1" a="1"/>
  <c r="G5768" i="1" a="1"/>
  <c r="G5854" i="1" a="1"/>
  <c r="G5939" i="1" a="1"/>
  <c r="G6028" i="1" a="1"/>
  <c r="G6197" i="1" a="1"/>
  <c r="G6261" i="1" a="1"/>
  <c r="G4677" i="1" a="1"/>
  <c r="G5338" i="1" a="1"/>
  <c r="G5698" i="1" a="1"/>
  <c r="G6328" i="1" a="1"/>
  <c r="G6495" i="1" a="1"/>
  <c r="G6681" i="1" a="1"/>
  <c r="G6809" i="1" a="1"/>
  <c r="G6937" i="1" a="1"/>
  <c r="G7065" i="1" a="1"/>
  <c r="G7193" i="1" a="1"/>
  <c r="G7321" i="1" a="1"/>
  <c r="G7449" i="1" a="1"/>
  <c r="G7577" i="1" a="1"/>
  <c r="G7705" i="1" a="1"/>
  <c r="G7833" i="1" a="1"/>
  <c r="G7961" i="1" a="1"/>
  <c r="G8089" i="1" a="1"/>
  <c r="G8217" i="1" a="1"/>
  <c r="G883" i="1" a="1"/>
  <c r="G1933" i="1" a="1"/>
  <c r="G3227" i="1" a="1"/>
  <c r="G2341" i="1" a="1"/>
  <c r="G2488" i="1" a="1"/>
  <c r="G2496" i="1" a="1"/>
  <c r="G3340" i="1" a="1"/>
  <c r="G3313" i="1" a="1"/>
  <c r="G2344" i="1" a="1"/>
  <c r="G3397" i="1" a="1"/>
  <c r="G4460" i="1" a="1"/>
  <c r="G3711" i="1" a="1"/>
  <c r="G2679" i="1" a="1"/>
  <c r="G3417" i="1" a="1"/>
  <c r="G4194" i="1" a="1"/>
  <c r="G5292" i="1" a="1"/>
  <c r="G3333" i="1" a="1"/>
  <c r="G3667" i="1" a="1"/>
  <c r="G3887" i="1" a="1"/>
  <c r="G4028" i="1" a="1"/>
  <c r="G4164" i="1" a="1"/>
  <c r="G4310" i="1" a="1"/>
  <c r="G2917" i="1" a="1"/>
  <c r="G3521" i="1" a="1"/>
  <c r="G3800" i="1" a="1"/>
  <c r="G3940" i="1" a="1"/>
  <c r="G4086" i="1" a="1"/>
  <c r="G4248" i="1" a="1"/>
  <c r="G4384" i="1" a="1"/>
  <c r="G2844" i="1" a="1"/>
  <c r="G3522" i="1" a="1"/>
  <c r="G3152" i="1" a="1"/>
  <c r="G3173" i="1" a="1"/>
  <c r="G3608" i="1" a="1"/>
  <c r="G3816" i="1" a="1"/>
  <c r="G3984" i="1" a="1"/>
  <c r="G4130" i="1" a="1"/>
  <c r="G4266" i="1" a="1"/>
  <c r="G4423" i="1" a="1"/>
  <c r="G4569" i="1" a="1"/>
  <c r="G3591" i="1" a="1"/>
  <c r="G3961" i="1" a="1"/>
  <c r="G4285" i="1" a="1"/>
  <c r="G4521" i="1" a="1"/>
  <c r="G4678" i="1" a="1"/>
  <c r="G4817" i="1" a="1"/>
  <c r="G4979" i="1" a="1"/>
  <c r="G5115" i="1" a="1"/>
  <c r="G5256" i="1" a="1"/>
  <c r="G5402" i="1" a="1"/>
  <c r="G5531" i="1" a="1"/>
  <c r="G5659" i="1" a="1"/>
  <c r="G5765" i="1" a="1"/>
  <c r="G5829" i="1" a="1"/>
  <c r="G5893" i="1" a="1"/>
  <c r="G5957" i="1" a="1"/>
  <c r="G6021" i="1" a="1"/>
  <c r="G6085" i="1" a="1"/>
  <c r="G6149" i="1" a="1"/>
  <c r="G3010" i="1" a="1"/>
  <c r="G3826" i="1" a="1"/>
  <c r="G4119" i="1" a="1"/>
  <c r="G4401" i="1" a="1"/>
  <c r="G4592" i="1" a="1"/>
  <c r="G4763" i="1" a="1"/>
  <c r="G4906" i="1" a="1"/>
  <c r="G5063" i="1" a="1"/>
  <c r="G5209" i="1" a="1"/>
  <c r="G5350" i="1" a="1"/>
  <c r="G5490" i="1" a="1"/>
  <c r="G5618" i="1" a="1"/>
  <c r="G2016" i="1" a="1"/>
  <c r="G3815" i="1" a="1"/>
  <c r="G4046" i="1" a="1"/>
  <c r="G4370" i="1" a="1"/>
  <c r="G4578" i="1" a="1"/>
  <c r="G4776" i="1" a="1"/>
  <c r="G4912" i="1" a="1"/>
  <c r="G5058" i="1" a="1"/>
  <c r="G5194" i="1" a="1"/>
  <c r="G5351" i="1" a="1"/>
  <c r="G3728" i="1" a="1"/>
  <c r="G3985" i="1" a="1"/>
  <c r="G4288" i="1" a="1"/>
  <c r="G3737" i="1" a="1"/>
  <c r="G4032" i="1" a="1"/>
  <c r="G4314" i="1" a="1"/>
  <c r="G4535" i="1" a="1"/>
  <c r="G4737" i="1" a="1"/>
  <c r="G4889" i="1" a="1"/>
  <c r="G5030" i="1" a="1"/>
  <c r="G5166" i="1" a="1"/>
  <c r="G5328" i="1" a="1"/>
  <c r="G3894" i="1" a="1"/>
  <c r="G4567" i="1" a="1"/>
  <c r="G4882" i="1" a="1"/>
  <c r="G5175" i="1" a="1"/>
  <c r="G5456" i="1" a="1"/>
  <c r="G5626" i="1" a="1"/>
  <c r="G6079" i="1" a="1"/>
  <c r="G3781" i="1" a="1"/>
  <c r="G4540" i="1" a="1"/>
  <c r="G4841" i="1" a="1"/>
  <c r="G5102" i="1" a="1"/>
  <c r="G5420" i="1" a="1"/>
  <c r="G5579" i="1" a="1"/>
  <c r="G5748" i="1" a="1"/>
  <c r="G5834" i="1" a="1"/>
  <c r="G5919" i="1" a="1"/>
  <c r="G6004" i="1" a="1"/>
  <c r="G6162" i="1" a="1"/>
  <c r="G6246" i="1" a="1"/>
  <c r="G6310" i="1" a="1"/>
  <c r="G6374" i="1" a="1"/>
  <c r="G6438" i="1" a="1"/>
  <c r="G6502" i="1" a="1"/>
  <c r="G2937" i="1" a="1"/>
  <c r="G4422" i="1" a="1"/>
  <c r="G4767" i="1" a="1"/>
  <c r="G5051" i="1" a="1"/>
  <c r="G5364" i="1" a="1"/>
  <c r="G5561" i="1" a="1"/>
  <c r="G5738" i="1" a="1"/>
  <c r="G6190" i="1" a="1"/>
  <c r="G3625" i="1" a="1"/>
  <c r="G4468" i="1" a="1"/>
  <c r="G4892" i="1" a="1"/>
  <c r="G5174" i="1" a="1"/>
  <c r="G5461" i="1" a="1"/>
  <c r="G5638" i="1" a="1"/>
  <c r="G5774" i="1" a="1"/>
  <c r="G5859" i="1" a="1"/>
  <c r="G5944" i="1" a="1"/>
  <c r="G6042" i="1" a="1"/>
  <c r="G6201" i="1" a="1"/>
  <c r="G6265" i="1" a="1"/>
  <c r="G4749" i="1" a="1"/>
  <c r="G5359" i="1" a="1"/>
  <c r="G5711" i="1" a="1"/>
  <c r="G6335" i="1" a="1"/>
  <c r="G6513" i="1" a="1"/>
  <c r="G6686" i="1" a="1"/>
  <c r="G6814" i="1" a="1"/>
  <c r="G6942" i="1" a="1"/>
  <c r="G7070" i="1" a="1"/>
  <c r="G7198" i="1" a="1"/>
  <c r="G7326" i="1" a="1"/>
  <c r="G7454" i="1" a="1"/>
  <c r="G7582" i="1" a="1"/>
  <c r="G7710" i="1" a="1"/>
  <c r="G7838" i="1" a="1"/>
  <c r="G7966" i="1" a="1"/>
  <c r="G8094" i="1" a="1"/>
  <c r="G8222" i="1" a="1"/>
  <c r="G796" i="1" a="1"/>
  <c r="G1879" i="1" a="1"/>
  <c r="G3287" i="1" a="1"/>
  <c r="G2472" i="1" a="1"/>
  <c r="G2629" i="1" a="1"/>
  <c r="G2621" i="1" a="1"/>
  <c r="G3500" i="1" a="1"/>
  <c r="G1871" i="1" a="1"/>
  <c r="G2615" i="1" a="1"/>
  <c r="G3555" i="1" a="1"/>
  <c r="G4579" i="1" a="1"/>
  <c r="G2301" i="1" a="1"/>
  <c r="G2969" i="1" a="1"/>
  <c r="G3563" i="1" a="1"/>
  <c r="G4325" i="1" a="1"/>
  <c r="G1443" i="1" a="1"/>
  <c r="G3357" i="1" a="1"/>
  <c r="G3676" i="1" a="1"/>
  <c r="G3892" i="1" a="1"/>
  <c r="G4033" i="1" a="1"/>
  <c r="G4169" i="1" a="1"/>
  <c r="G4331" i="1" a="1"/>
  <c r="G2990" i="1" a="1"/>
  <c r="G3530" i="1" a="1"/>
  <c r="G3807" i="1" a="1"/>
  <c r="G3945" i="1" a="1"/>
  <c r="G4107" i="1" a="1"/>
  <c r="G4253" i="1" a="1"/>
  <c r="G4389" i="1" a="1"/>
  <c r="G2882" i="1" a="1"/>
  <c r="G3559" i="1" a="1"/>
  <c r="G3170" i="1" a="1"/>
  <c r="G3228" i="1" a="1"/>
  <c r="G3617" i="1" a="1"/>
  <c r="G3859" i="1" a="1"/>
  <c r="G3995" i="1" a="1"/>
  <c r="G4136" i="1" a="1"/>
  <c r="G4282" i="1" a="1"/>
  <c r="G4439" i="1" a="1"/>
  <c r="G4575" i="1" a="1"/>
  <c r="G3632" i="1" a="1"/>
  <c r="G3972" i="1" a="1"/>
  <c r="G4296" i="1" a="1"/>
  <c r="G4528" i="1" a="1"/>
  <c r="G4690" i="1" a="1"/>
  <c r="G4822" i="1" a="1"/>
  <c r="G4984" i="1" a="1"/>
  <c r="G5120" i="1" a="1"/>
  <c r="G5261" i="1" a="1"/>
  <c r="G5412" i="1" a="1"/>
  <c r="G5540" i="1" a="1"/>
  <c r="G5668" i="1" a="1"/>
  <c r="G5769" i="1" a="1"/>
  <c r="G5833" i="1" a="1"/>
  <c r="G5897" i="1" a="1"/>
  <c r="G5961" i="1" a="1"/>
  <c r="G6025" i="1" a="1"/>
  <c r="G6089" i="1" a="1"/>
  <c r="G6153" i="1" a="1"/>
  <c r="G3280" i="1" a="1"/>
  <c r="G3847" i="1" a="1"/>
  <c r="G4129" i="1" a="1"/>
  <c r="G4409" i="1" a="1"/>
  <c r="G4599" i="1" a="1"/>
  <c r="G4775" i="1" a="1"/>
  <c r="G4922" i="1" a="1"/>
  <c r="G5079" i="1" a="1"/>
  <c r="G5215" i="1" a="1"/>
  <c r="G5361" i="1" a="1"/>
  <c r="G5495" i="1" a="1"/>
  <c r="G5623" i="1" a="1"/>
  <c r="G2355" i="1" a="1"/>
  <c r="G3827" i="1" a="1"/>
  <c r="G4088" i="1" a="1"/>
  <c r="G4391" i="1" a="1"/>
  <c r="G4593" i="1" a="1"/>
  <c r="G4787" i="1" a="1"/>
  <c r="G4923" i="1" a="1"/>
  <c r="G5064" i="1" a="1"/>
  <c r="G5210" i="1" a="1"/>
  <c r="G5367" i="1" a="1"/>
  <c r="G3746" i="1" a="1"/>
  <c r="G4016" i="1" a="1"/>
  <c r="G4298" i="1" a="1"/>
  <c r="G3770" i="1" a="1"/>
  <c r="G4042" i="1" a="1"/>
  <c r="G4335" i="1" a="1"/>
  <c r="G4541" i="1" a="1"/>
  <c r="G4744" i="1" a="1"/>
  <c r="G4895" i="1" a="1"/>
  <c r="G5041" i="1" a="1"/>
  <c r="G5203" i="1" a="1"/>
  <c r="G5339" i="1" a="1"/>
  <c r="G3947" i="1" a="1"/>
  <c r="G4594" i="1" a="1"/>
  <c r="G4903" i="1" a="1"/>
  <c r="G5185" i="1" a="1"/>
  <c r="G5474" i="1" a="1"/>
  <c r="G5633" i="1" a="1"/>
  <c r="G6088" i="1" a="1"/>
  <c r="G3895" i="1" a="1"/>
  <c r="G4553" i="1" a="1"/>
  <c r="G4883" i="1" a="1"/>
  <c r="G5144" i="1" a="1"/>
  <c r="G5427" i="1" a="1"/>
  <c r="G5597" i="1" a="1"/>
  <c r="G5754" i="1" a="1"/>
  <c r="G5839" i="1" a="1"/>
  <c r="G5924" i="1" a="1"/>
  <c r="G6010" i="1" a="1"/>
  <c r="G6171" i="1" a="1"/>
  <c r="G6250" i="1" a="1"/>
  <c r="G6314" i="1" a="1"/>
  <c r="G6378" i="1" a="1"/>
  <c r="G6442" i="1" a="1"/>
  <c r="G6506" i="1" a="1"/>
  <c r="G3364" i="1" a="1"/>
  <c r="G4471" i="1" a="1"/>
  <c r="G4778" i="1" a="1"/>
  <c r="G5061" i="1" a="1"/>
  <c r="G5375" i="1" a="1"/>
  <c r="G5567" i="1" a="1"/>
  <c r="G6030" i="1" a="1"/>
  <c r="G2439" i="1" a="1"/>
  <c r="G3717" i="1" a="1"/>
  <c r="G4482" i="1" a="1"/>
  <c r="G4902" i="1" a="1"/>
  <c r="G5195" i="1" a="1"/>
  <c r="G5468" i="1" a="1"/>
  <c r="G5644" i="1" a="1"/>
  <c r="G5779" i="1" a="1"/>
  <c r="G5864" i="1" a="1"/>
  <c r="G5950" i="1" a="1"/>
  <c r="G6051" i="1" a="1"/>
  <c r="G6205" i="1" a="1"/>
  <c r="G6269" i="1" a="1"/>
  <c r="G4795" i="1" a="1"/>
  <c r="G5380" i="1" a="1"/>
  <c r="G5722" i="1" a="1"/>
  <c r="G6353" i="1" a="1"/>
  <c r="G6520" i="1" a="1"/>
  <c r="G6695" i="1" a="1"/>
  <c r="G6823" i="1" a="1"/>
  <c r="G6951" i="1" a="1"/>
  <c r="G7079" i="1" a="1"/>
  <c r="G7207" i="1" a="1"/>
  <c r="G7335" i="1" a="1"/>
  <c r="G7463" i="1" a="1"/>
  <c r="G7591" i="1" a="1"/>
  <c r="G7719" i="1" a="1"/>
  <c r="G7847" i="1" a="1"/>
  <c r="G7975" i="1" a="1"/>
  <c r="G8103" i="1" a="1"/>
  <c r="G8231" i="1" a="1"/>
  <c r="G801" i="1" a="1"/>
  <c r="G1912" i="1" a="1"/>
  <c r="G3291" i="1" a="1"/>
  <c r="G2477" i="1" a="1"/>
  <c r="G2634" i="1" a="1"/>
  <c r="G2632" i="1" a="1"/>
  <c r="G3509" i="1" a="1"/>
  <c r="G1936" i="1" a="1"/>
  <c r="G2657" i="1" a="1"/>
  <c r="G3564" i="1" a="1"/>
  <c r="G4588" i="1" a="1"/>
  <c r="G2322" i="1" a="1"/>
  <c r="G2978" i="1" a="1"/>
  <c r="G3572" i="1" a="1"/>
  <c r="G4330" i="1" a="1"/>
  <c r="G1927" i="1" a="1"/>
  <c r="G3382" i="1" a="1"/>
  <c r="G3685" i="1" a="1"/>
  <c r="G3897" i="1" a="1"/>
  <c r="G4038" i="1" a="1"/>
  <c r="G4174" i="1" a="1"/>
  <c r="G4336" i="1" a="1"/>
  <c r="G3097" i="1" a="1"/>
  <c r="G3567" i="1" a="1"/>
  <c r="G3818" i="1" a="1"/>
  <c r="G3950" i="1" a="1"/>
  <c r="G4112" i="1" a="1"/>
  <c r="G4258" i="1" a="1"/>
  <c r="G4394" i="1" a="1"/>
  <c r="G2992" i="1" a="1"/>
  <c r="G3568" i="1" a="1"/>
  <c r="G3225" i="1" a="1"/>
  <c r="G3246" i="1" a="1"/>
  <c r="G3626" i="1" a="1"/>
  <c r="G3864" i="1" a="1"/>
  <c r="G4000" i="1" a="1"/>
  <c r="G4141" i="1" a="1"/>
  <c r="G4303" i="1" a="1"/>
  <c r="G4444" i="1" a="1"/>
  <c r="G4580" i="1" a="1"/>
  <c r="G3650" i="1" a="1"/>
  <c r="G3982" i="1" a="1"/>
  <c r="G4306" i="1" a="1"/>
  <c r="G4549" i="1" a="1"/>
  <c r="G4703" i="1" a="1"/>
  <c r="G4843" i="1" a="1"/>
  <c r="G4989" i="1" a="1"/>
  <c r="G5125" i="1" a="1"/>
  <c r="G5266" i="1" a="1"/>
  <c r="G5421" i="1" a="1"/>
  <c r="G5549" i="1" a="1"/>
  <c r="G5677" i="1" a="1"/>
  <c r="G5773" i="1" a="1"/>
  <c r="G5837" i="1" a="1"/>
  <c r="G5901" i="1" a="1"/>
  <c r="G5965" i="1" a="1"/>
  <c r="G6029" i="1" a="1"/>
  <c r="G6093" i="1" a="1"/>
  <c r="G6157" i="1" a="1"/>
  <c r="G3329" i="1" a="1"/>
  <c r="G3868" i="1" a="1"/>
  <c r="G4150" i="1" a="1"/>
  <c r="G4417" i="1" a="1"/>
  <c r="G4605" i="1" a="1"/>
  <c r="G4781" i="1" a="1"/>
  <c r="G4943" i="1" a="1"/>
  <c r="G5084" i="1" a="1"/>
  <c r="G5220" i="1" a="1"/>
  <c r="G5366" i="1" a="1"/>
  <c r="G5504" i="1" a="1"/>
  <c r="G5632" i="1" a="1"/>
  <c r="G3154" i="1" a="1"/>
  <c r="G3837" i="1" a="1"/>
  <c r="G4098" i="1" a="1"/>
  <c r="G4411" i="1" a="1"/>
  <c r="G4607" i="1" a="1"/>
  <c r="G4792" i="1" a="1"/>
  <c r="G4928" i="1" a="1"/>
  <c r="G5069" i="1" a="1"/>
  <c r="G5231" i="1" a="1"/>
  <c r="G5372" i="1" a="1"/>
  <c r="G3763" i="1" a="1"/>
  <c r="G4027" i="1" a="1"/>
  <c r="G4340" i="1" a="1"/>
  <c r="G3785" i="1" a="1"/>
  <c r="G4084" i="1" a="1"/>
  <c r="G4345" i="1" a="1"/>
  <c r="G4548" i="1" a="1"/>
  <c r="G4761" i="1" a="1"/>
  <c r="G4900" i="1" a="1"/>
  <c r="G5046" i="1" a="1"/>
  <c r="G5208" i="1" a="1"/>
  <c r="G5344" i="1" a="1"/>
  <c r="G4031" i="1" a="1"/>
  <c r="G4634" i="1" a="1"/>
  <c r="G4924" i="1" a="1"/>
  <c r="G5206" i="1" a="1"/>
  <c r="G5480" i="1" a="1"/>
  <c r="G5639" i="1" a="1"/>
  <c r="G6102" i="1" a="1"/>
  <c r="G3956" i="1" a="1"/>
  <c r="G4595" i="1" a="1"/>
  <c r="G4893" i="1" a="1"/>
  <c r="G5154" i="1" a="1"/>
  <c r="G5438" i="1" a="1"/>
  <c r="G5603" i="1" a="1"/>
  <c r="G5759" i="1" a="1"/>
  <c r="G5844" i="1" a="1"/>
  <c r="G5930" i="1" a="1"/>
  <c r="G6015" i="1" a="1"/>
  <c r="G6180" i="1" a="1"/>
  <c r="G6254" i="1" a="1"/>
  <c r="G6318" i="1" a="1"/>
  <c r="G6382" i="1" a="1"/>
  <c r="G6446" i="1" a="1"/>
  <c r="G6510" i="1" a="1"/>
  <c r="G3696" i="1" a="1"/>
  <c r="G4499" i="1" a="1"/>
  <c r="G4800" i="1" a="1"/>
  <c r="G5082" i="1" a="1"/>
  <c r="G5385" i="1" a="1"/>
  <c r="G5585" i="1" a="1"/>
  <c r="G6039" i="1" a="1"/>
  <c r="G3248" i="1" a="1"/>
  <c r="G3832" i="1" a="1"/>
  <c r="G4537" i="1" a="1"/>
  <c r="G4913" i="1" a="1"/>
  <c r="G5216" i="1" a="1"/>
  <c r="G5486" i="1" a="1"/>
  <c r="G5651" i="1" a="1"/>
  <c r="G5784" i="1" a="1"/>
  <c r="G5870" i="1" a="1"/>
  <c r="G5955" i="1" a="1"/>
  <c r="G6060" i="1" a="1"/>
  <c r="G6209" i="1" a="1"/>
  <c r="G6273" i="1" a="1"/>
  <c r="G4857" i="1" a="1"/>
  <c r="G5418" i="1" a="1"/>
  <c r="G5735" i="1" a="1"/>
  <c r="G6360" i="1" a="1"/>
  <c r="G6527" i="1" a="1"/>
  <c r="G6704" i="1" a="1"/>
  <c r="G6832" i="1" a="1"/>
  <c r="G6960" i="1" a="1"/>
  <c r="G7088" i="1" a="1"/>
  <c r="G7216" i="1" a="1"/>
  <c r="G7344" i="1" a="1"/>
  <c r="G7472" i="1" a="1"/>
  <c r="G7600" i="1" a="1"/>
  <c r="G7728" i="1" a="1"/>
  <c r="G7856" i="1" a="1"/>
  <c r="G7984" i="1" a="1"/>
  <c r="G8112" i="1" a="1"/>
  <c r="G8240" i="1" a="1"/>
  <c r="G939" i="1" a="1"/>
  <c r="G2839" i="1" a="1"/>
  <c r="G3351" i="1" a="1"/>
  <c r="G2613" i="1" a="1"/>
  <c r="G2765" i="1" a="1"/>
  <c r="G2758" i="1" a="1"/>
  <c r="G2066" i="1" a="1"/>
  <c r="G2223" i="1" a="1"/>
  <c r="G2918" i="1" a="1"/>
  <c r="G3683" i="1" a="1"/>
  <c r="G4707" i="1" a="1"/>
  <c r="G2805" i="1" a="1"/>
  <c r="G2287" i="1" a="1"/>
  <c r="G3691" i="1" a="1"/>
  <c r="G4466" i="1" a="1"/>
  <c r="G2481" i="1" a="1"/>
  <c r="G3416" i="1" a="1"/>
  <c r="G3694" i="1" a="1"/>
  <c r="G3903" i="1" a="1"/>
  <c r="G4049" i="1" a="1"/>
  <c r="G4211" i="1" a="1"/>
  <c r="G4347" i="1" a="1"/>
  <c r="G3120" i="1" a="1"/>
  <c r="G3576" i="1" a="1"/>
  <c r="G3825" i="1" a="1"/>
  <c r="G3987" i="1" a="1"/>
  <c r="G4123" i="1" a="1"/>
  <c r="G4264" i="1" a="1"/>
  <c r="G4410" i="1" a="1"/>
  <c r="G3065" i="1" a="1"/>
  <c r="G3577" i="1" a="1"/>
  <c r="G3289" i="1" a="1"/>
  <c r="G3328" i="1" a="1"/>
  <c r="G3663" i="1" a="1"/>
  <c r="G3869" i="1" a="1"/>
  <c r="G4005" i="1" a="1"/>
  <c r="G4146" i="1" a="1"/>
  <c r="G4308" i="1" a="1"/>
  <c r="G4449" i="1" a="1"/>
  <c r="G4585" i="1" a="1"/>
  <c r="G3687" i="1" a="1"/>
  <c r="G4024" i="1" a="1"/>
  <c r="G4327" i="1" a="1"/>
  <c r="G4563" i="1" a="1"/>
  <c r="G4714" i="1" a="1"/>
  <c r="G4848" i="1" a="1"/>
  <c r="G4994" i="1" a="1"/>
  <c r="G5130" i="1" a="1"/>
  <c r="G5287" i="1" a="1"/>
  <c r="G5430" i="1" a="1"/>
  <c r="G5558" i="1" a="1"/>
  <c r="G5686" i="1" a="1"/>
  <c r="G5777" i="1" a="1"/>
  <c r="G5841" i="1" a="1"/>
  <c r="G5905" i="1" a="1"/>
  <c r="G5969" i="1" a="1"/>
  <c r="G6033" i="1" a="1"/>
  <c r="G6097" i="1" a="1"/>
  <c r="G6161" i="1" a="1"/>
  <c r="G3378" i="1" a="1"/>
  <c r="G3878" i="1" a="1"/>
  <c r="G4171" i="1" a="1"/>
  <c r="G4426" i="1" a="1"/>
  <c r="G4613" i="1" a="1"/>
  <c r="G4786" i="1" a="1"/>
  <c r="G4948" i="1" a="1"/>
  <c r="G5089" i="1" a="1"/>
  <c r="G5225" i="1" a="1"/>
  <c r="G5387" i="1" a="1"/>
  <c r="G5513" i="1" a="1"/>
  <c r="G5641" i="1" a="1"/>
  <c r="G3442" i="1" a="1"/>
  <c r="G3848" i="1" a="1"/>
  <c r="G4109" i="1" a="1"/>
  <c r="G4418" i="1" a="1"/>
  <c r="G4626" i="1" a="1"/>
  <c r="G4797" i="1" a="1"/>
  <c r="G4933" i="1" a="1"/>
  <c r="G5074" i="1" a="1"/>
  <c r="G5236" i="1" a="1"/>
  <c r="G5377" i="1" a="1"/>
  <c r="G3777" i="1" a="1"/>
  <c r="G4037" i="1" a="1"/>
  <c r="G2209" i="1" a="1"/>
  <c r="G3798" i="1" a="1"/>
  <c r="G4095" i="1" a="1"/>
  <c r="G4356" i="1" a="1"/>
  <c r="G4562" i="1" a="1"/>
  <c r="G4773" i="1" a="1"/>
  <c r="G4905" i="1" a="1"/>
  <c r="G5067" i="1" a="1"/>
  <c r="G5213" i="1" a="1"/>
  <c r="G5349" i="1" a="1"/>
  <c r="G4061" i="1" a="1"/>
  <c r="G4669" i="1" a="1"/>
  <c r="G4934" i="1" a="1"/>
  <c r="G5227" i="1" a="1"/>
  <c r="G5487" i="1" a="1"/>
  <c r="G5657" i="1" a="1"/>
  <c r="G6111" i="1" a="1"/>
  <c r="G3978" i="1" a="1"/>
  <c r="G4609" i="1" a="1"/>
  <c r="G4904" i="1" a="1"/>
  <c r="G5165" i="1" a="1"/>
  <c r="G5445" i="1" a="1"/>
  <c r="G5621" i="1" a="1"/>
  <c r="G5764" i="1" a="1"/>
  <c r="G5850" i="1" a="1"/>
  <c r="G5935" i="1" a="1"/>
  <c r="G6020" i="1" a="1"/>
  <c r="G6194" i="1" a="1"/>
  <c r="G6258" i="1" a="1"/>
  <c r="G6322" i="1" a="1"/>
  <c r="G6386" i="1" a="1"/>
  <c r="G6450" i="1" a="1"/>
  <c r="G6514" i="1" a="1"/>
  <c r="G3842" i="1" a="1"/>
  <c r="G4526" i="1" a="1"/>
  <c r="G4810" i="1" a="1"/>
  <c r="G5103" i="1" a="1"/>
  <c r="G5415" i="1" a="1"/>
  <c r="G5592" i="1" a="1"/>
  <c r="G6048" i="1" a="1"/>
  <c r="G3534" i="1" a="1"/>
  <c r="G3863" i="1" a="1"/>
  <c r="G4552" i="1" a="1"/>
  <c r="G4944" i="1" a="1"/>
  <c r="G944" i="1" a="1"/>
  <c r="G3426" i="1" a="1"/>
  <c r="G3352" i="1" a="1"/>
  <c r="G5303" i="1" a="1"/>
  <c r="G4807" i="1" a="1"/>
  <c r="G5382" i="1" a="1"/>
  <c r="G5248" i="1" a="1"/>
  <c r="G6326" i="1" a="1"/>
  <c r="G5268" i="1" a="1"/>
  <c r="G3862" i="1" a="1"/>
  <c r="G6974" i="1" a="1"/>
  <c r="G7998" i="1" a="1"/>
  <c r="G8350" i="1" a="1"/>
  <c r="G4558" i="1" a="1"/>
  <c r="G5096" i="1" a="1"/>
  <c r="G5556" i="1" a="1"/>
  <c r="G5814" i="1" a="1"/>
  <c r="G5984" i="1" a="1"/>
  <c r="G6223" i="1" a="1"/>
  <c r="G6373" i="1" a="1"/>
  <c r="G6540" i="1" a="1"/>
  <c r="G6640" i="1" a="1"/>
  <c r="G6764" i="1" a="1"/>
  <c r="G6892" i="1" a="1"/>
  <c r="G7020" i="1" a="1"/>
  <c r="G7148" i="1" a="1"/>
  <c r="G7276" i="1" a="1"/>
  <c r="G7404" i="1" a="1"/>
  <c r="G7532" i="1" a="1"/>
  <c r="G7660" i="1" a="1"/>
  <c r="G7788" i="1" a="1"/>
  <c r="G7916" i="1" a="1"/>
  <c r="G3753" i="1" a="1"/>
  <c r="G4783" i="1" a="1"/>
  <c r="G5368" i="1" a="1"/>
  <c r="G5703" i="1" a="1"/>
  <c r="G6343" i="1" a="1"/>
  <c r="G6521" i="1" a="1"/>
  <c r="G6696" i="1" a="1"/>
  <c r="G6824" i="1" a="1"/>
  <c r="G6952" i="1" a="1"/>
  <c r="G7080" i="1" a="1"/>
  <c r="G7208" i="1" a="1"/>
  <c r="G7336" i="1" a="1"/>
  <c r="G7464" i="1" a="1"/>
  <c r="G7592" i="1" a="1"/>
  <c r="G7720" i="1" a="1"/>
  <c r="G4477" i="1" a="1"/>
  <c r="G5139" i="1" a="1"/>
  <c r="G5606" i="1" a="1"/>
  <c r="G4280" i="1" a="1"/>
  <c r="G4930" i="1" a="1"/>
  <c r="G3698" i="1" a="1"/>
  <c r="G4746" i="1" a="1"/>
  <c r="G4395" i="1" a="1"/>
  <c r="G3853" i="1" a="1"/>
  <c r="G4898" i="1" a="1"/>
  <c r="G5454" i="1" a="1"/>
  <c r="G5767" i="1" a="1"/>
  <c r="G5938" i="1" a="1"/>
  <c r="G6196" i="1" a="1"/>
  <c r="G6340" i="1" a="1"/>
  <c r="G6507" i="1" a="1"/>
  <c r="G6623" i="1" a="1"/>
  <c r="G6740" i="1" a="1"/>
  <c r="G6868" i="1" a="1"/>
  <c r="G6996" i="1" a="1"/>
  <c r="G7124" i="1" a="1"/>
  <c r="G7252" i="1" a="1"/>
  <c r="G7380" i="1" a="1"/>
  <c r="G7508" i="1" a="1"/>
  <c r="G7636" i="1" a="1"/>
  <c r="G6159" i="1" a="1"/>
  <c r="G6662" i="1" a="1"/>
  <c r="G6918" i="1" a="1"/>
  <c r="G7174" i="1" a="1"/>
  <c r="G7430" i="1" a="1"/>
  <c r="G7686" i="1" a="1"/>
  <c r="G7841" i="1" a="1"/>
  <c r="G8006" i="1" a="1"/>
  <c r="G8166" i="1" a="1"/>
  <c r="G8312" i="1" a="1"/>
  <c r="G8438" i="1" a="1"/>
  <c r="G8566" i="1" a="1"/>
  <c r="G8694" i="1" a="1"/>
  <c r="G8822" i="1" a="1"/>
  <c r="G8950" i="1" a="1"/>
  <c r="G9078" i="1" a="1"/>
  <c r="G9206" i="1" a="1"/>
  <c r="G9297" i="1" a="1"/>
  <c r="G9361" i="1" a="1"/>
  <c r="G9425" i="1" a="1"/>
  <c r="G9489" i="1" a="1"/>
  <c r="G9553" i="1" a="1"/>
  <c r="G9617" i="1" a="1"/>
  <c r="G9681" i="1" a="1"/>
  <c r="G9745" i="1" a="1"/>
  <c r="G9809" i="1" a="1"/>
  <c r="G9873" i="1" a="1"/>
  <c r="G9937" i="1" a="1"/>
  <c r="G10001" i="1" a="1"/>
  <c r="G10065" i="1" a="1"/>
  <c r="G10129" i="1" a="1"/>
  <c r="G10193" i="1" a="1"/>
  <c r="G5826" i="1" a="1"/>
  <c r="G6232" i="1" a="1"/>
  <c r="G6572" i="1" a="1"/>
  <c r="G6811" i="1" a="1"/>
  <c r="G7067" i="1" a="1"/>
  <c r="G7323" i="1" a="1"/>
  <c r="G7579" i="1" a="1"/>
  <c r="G7812" i="1" a="1"/>
  <c r="G7988" i="1" a="1"/>
  <c r="G8151" i="1" a="1"/>
  <c r="G8287" i="1" a="1"/>
  <c r="G8443" i="1" a="1"/>
  <c r="G8571" i="1" a="1"/>
  <c r="G8699" i="1" a="1"/>
  <c r="G8827" i="1" a="1"/>
  <c r="G8955" i="1" a="1"/>
  <c r="G9083" i="1" a="1"/>
  <c r="G9211" i="1" a="1"/>
  <c r="G6055" i="1" a="1"/>
  <c r="G6536" i="1" a="1"/>
  <c r="G6839" i="1" a="1"/>
  <c r="G7095" i="1" a="1"/>
  <c r="G7351" i="1" a="1"/>
  <c r="G7607" i="1" a="1"/>
  <c r="G7825" i="1" a="1"/>
  <c r="G7990" i="1" a="1"/>
  <c r="G8136" i="1" a="1"/>
  <c r="G8298" i="1" a="1"/>
  <c r="G8421" i="1" a="1"/>
  <c r="G8549" i="1" a="1"/>
  <c r="G8677" i="1" a="1"/>
  <c r="G8805" i="1" a="1"/>
  <c r="G8933" i="1" a="1"/>
  <c r="G5473" i="1" a="1"/>
  <c r="G6000" i="1" a="1"/>
  <c r="G6421" i="1" a="1"/>
  <c r="G6675" i="1" a="1"/>
  <c r="G5607" i="1" a="1"/>
  <c r="G6448" i="1" a="1"/>
  <c r="G6767" i="1" a="1"/>
  <c r="G5611" i="1" a="1"/>
  <c r="G6100" i="1" a="1"/>
  <c r="G6477" i="1" a="1"/>
  <c r="G6706" i="1" a="1"/>
  <c r="G5232" i="1" a="1"/>
  <c r="G6351" i="1" a="1"/>
  <c r="G6697" i="1" a="1"/>
  <c r="G5169" i="1" a="1"/>
  <c r="G5968" i="1" a="1"/>
  <c r="G6389" i="1" a="1"/>
  <c r="G6643" i="1" a="1"/>
  <c r="G6899" i="1" a="1"/>
  <c r="G7155" i="1" a="1"/>
  <c r="G7411" i="1" a="1"/>
  <c r="G7667" i="1" a="1"/>
  <c r="G7859" i="1" a="1"/>
  <c r="G8029" i="1" a="1"/>
  <c r="G8165" i="1" a="1"/>
  <c r="G8322" i="1" a="1"/>
  <c r="G8465" i="1" a="1"/>
  <c r="G8593" i="1" a="1"/>
  <c r="G8721" i="1" a="1"/>
  <c r="G8849" i="1" a="1"/>
  <c r="G7077" i="1" a="1"/>
  <c r="G7589" i="1" a="1"/>
  <c r="G7978" i="1" a="1"/>
  <c r="G8278" i="1" a="1"/>
  <c r="G8540" i="1" a="1"/>
  <c r="G8796" i="1" a="1"/>
  <c r="G9007" i="1" a="1"/>
  <c r="G9200" i="1" a="1"/>
  <c r="G9315" i="1" a="1"/>
  <c r="G9400" i="1" a="1"/>
  <c r="G9486" i="1" a="1"/>
  <c r="G9571" i="1" a="1"/>
  <c r="G9700" i="1" a="1"/>
  <c r="G9874" i="1" a="1"/>
  <c r="G10043" i="1" a="1"/>
  <c r="G6821" i="1" a="1"/>
  <c r="G7425" i="1" a="1"/>
  <c r="G7881" i="1" a="1"/>
  <c r="G8195" i="1" a="1"/>
  <c r="G8431" i="1" a="1"/>
  <c r="G8687" i="1" a="1"/>
  <c r="G8949" i="1" a="1"/>
  <c r="G9140" i="1" a="1"/>
  <c r="G9655" i="1" a="1"/>
  <c r="G9824" i="1" a="1"/>
  <c r="G9998" i="1" a="1"/>
  <c r="G10167" i="1" a="1"/>
  <c r="G10256" i="1" a="1"/>
  <c r="G10320" i="1" a="1"/>
  <c r="G10384" i="1" a="1"/>
  <c r="G10448" i="1" a="1"/>
  <c r="G10512" i="1" a="1"/>
  <c r="G10576" i="1" a="1"/>
  <c r="G10640" i="1" a="1"/>
  <c r="G10704" i="1" a="1"/>
  <c r="G10768" i="1" a="1"/>
  <c r="G10832" i="1" a="1"/>
  <c r="G10896" i="1" a="1"/>
  <c r="G7099" i="1" a="1"/>
  <c r="G7611" i="1" a="1"/>
  <c r="G7955" i="1" a="1"/>
  <c r="G8279" i="1" a="1"/>
  <c r="G8532" i="1" a="1"/>
  <c r="G8788" i="1" a="1"/>
  <c r="G9056" i="1" a="1"/>
  <c r="G9221" i="1" a="1"/>
  <c r="G9327" i="1" a="1"/>
  <c r="G9412" i="1" a="1"/>
  <c r="G9498" i="1" a="1"/>
  <c r="G9583" i="1" a="1"/>
  <c r="G9724" i="1" a="1"/>
  <c r="G9898" i="1" a="1"/>
  <c r="G10067" i="1" a="1"/>
  <c r="G7008" i="1" a="1"/>
  <c r="G7520" i="1" a="1"/>
  <c r="G7944" i="1" a="1"/>
  <c r="G8269" i="1" a="1"/>
  <c r="G7251" i="1" a="1"/>
  <c r="G7749" i="1" a="1"/>
  <c r="G8084" i="1" a="1"/>
  <c r="G8417" i="1" a="1"/>
  <c r="G7343" i="1" a="1"/>
  <c r="G7777" i="1" a="1"/>
  <c r="G8106" i="1" a="1"/>
  <c r="G8408" i="1" a="1"/>
  <c r="G7419" i="1" a="1"/>
  <c r="G7876" i="1" a="1"/>
  <c r="G8159" i="1" a="1"/>
  <c r="G6999" i="1" a="1"/>
  <c r="G7511" i="1" a="1"/>
  <c r="G7937" i="1" a="1"/>
  <c r="G8201" i="1" a="1"/>
  <c r="G8519" i="1" a="1"/>
  <c r="G8775" i="1" a="1"/>
  <c r="G9021" i="1" a="1"/>
  <c r="G9187" i="1" a="1"/>
  <c r="G9704" i="1" a="1"/>
  <c r="G9878" i="1" a="1"/>
  <c r="G10047" i="1" a="1"/>
  <c r="G10211" i="1" a="1"/>
  <c r="G10275" i="1" a="1"/>
  <c r="G10339" i="1" a="1"/>
  <c r="G8560" i="1" a="1"/>
  <c r="G9031" i="1" a="1"/>
  <c r="G9688" i="1" a="1"/>
  <c r="G10054" i="1" a="1"/>
  <c r="G10265" i="1" a="1"/>
  <c r="G10390" i="1" a="1"/>
  <c r="G2843" i="1" a="1"/>
  <c r="G3731" i="1" a="1"/>
  <c r="G3672" i="1" a="1"/>
  <c r="G5435" i="1" a="1"/>
  <c r="G4953" i="1" a="1"/>
  <c r="G3792" i="1" a="1"/>
  <c r="G5498" i="1" a="1"/>
  <c r="G6390" i="1" a="1"/>
  <c r="G5492" i="1" a="1"/>
  <c r="G4878" i="1" a="1"/>
  <c r="G7097" i="1" a="1"/>
  <c r="G8121" i="1" a="1"/>
  <c r="G8359" i="1" a="1"/>
  <c r="G4587" i="1" a="1"/>
  <c r="G5158" i="1" a="1"/>
  <c r="G5580" i="1" a="1"/>
  <c r="G5824" i="1" a="1"/>
  <c r="G5995" i="1" a="1"/>
  <c r="G6231" i="1" a="1"/>
  <c r="G6380" i="1" a="1"/>
  <c r="G6547" i="1" a="1"/>
  <c r="G6645" i="1" a="1"/>
  <c r="G6773" i="1" a="1"/>
  <c r="G6901" i="1" a="1"/>
  <c r="G7029" i="1" a="1"/>
  <c r="G7157" i="1" a="1"/>
  <c r="G7285" i="1" a="1"/>
  <c r="G7413" i="1" a="1"/>
  <c r="G7541" i="1" a="1"/>
  <c r="G7669" i="1" a="1"/>
  <c r="G7797" i="1" a="1"/>
  <c r="G7925" i="1" a="1"/>
  <c r="G3821" i="1" a="1"/>
  <c r="G4804" i="1" a="1"/>
  <c r="G5389" i="1" a="1"/>
  <c r="G5727" i="1" a="1"/>
  <c r="G6361" i="1" a="1"/>
  <c r="G6528" i="1" a="1"/>
  <c r="G6705" i="1" a="1"/>
  <c r="G6833" i="1" a="1"/>
  <c r="G6961" i="1" a="1"/>
  <c r="G7089" i="1" a="1"/>
  <c r="G7217" i="1" a="1"/>
  <c r="G7345" i="1" a="1"/>
  <c r="G7473" i="1" a="1"/>
  <c r="G7601" i="1" a="1"/>
  <c r="G7729" i="1" a="1"/>
  <c r="G4532" i="1" a="1"/>
  <c r="G5160" i="1" a="1"/>
  <c r="G5619" i="1" a="1"/>
  <c r="G4333" i="1" a="1"/>
  <c r="G4993" i="1" a="1"/>
  <c r="G3783" i="1" a="1"/>
  <c r="G4770" i="1" a="1"/>
  <c r="G4429" i="1" a="1"/>
  <c r="G3914" i="1" a="1"/>
  <c r="G4961" i="1" a="1"/>
  <c r="G5478" i="1" a="1"/>
  <c r="G5778" i="1" a="1"/>
  <c r="G5948" i="1" a="1"/>
  <c r="G6204" i="1" a="1"/>
  <c r="G6347" i="1" a="1"/>
  <c r="G6525" i="1" a="1"/>
  <c r="G6628" i="1" a="1"/>
  <c r="G6749" i="1" a="1"/>
  <c r="G6877" i="1" a="1"/>
  <c r="G7005" i="1" a="1"/>
  <c r="G7133" i="1" a="1"/>
  <c r="G7261" i="1" a="1"/>
  <c r="G7389" i="1" a="1"/>
  <c r="G7517" i="1" a="1"/>
  <c r="G7645" i="1" a="1"/>
  <c r="G6288" i="1" a="1"/>
  <c r="G6671" i="1" a="1"/>
  <c r="G6927" i="1" a="1"/>
  <c r="G7183" i="1" a="1"/>
  <c r="G7439" i="1" a="1"/>
  <c r="G7695" i="1" a="1"/>
  <c r="G7848" i="1" a="1"/>
  <c r="G8024" i="1" a="1"/>
  <c r="G8171" i="1" a="1"/>
  <c r="G8317" i="1" a="1"/>
  <c r="G8447" i="1" a="1"/>
  <c r="G8575" i="1" a="1"/>
  <c r="G8703" i="1" a="1"/>
  <c r="G8831" i="1" a="1"/>
  <c r="G8959" i="1" a="1"/>
  <c r="G9087" i="1" a="1"/>
  <c r="G9215" i="1" a="1"/>
  <c r="G9301" i="1" a="1"/>
  <c r="G9365" i="1" a="1"/>
  <c r="G9429" i="1" a="1"/>
  <c r="G9493" i="1" a="1"/>
  <c r="G9557" i="1" a="1"/>
  <c r="G9621" i="1" a="1"/>
  <c r="G9685" i="1" a="1"/>
  <c r="G9749" i="1" a="1"/>
  <c r="G9813" i="1" a="1"/>
  <c r="G9877" i="1" a="1"/>
  <c r="G9941" i="1" a="1"/>
  <c r="G10005" i="1" a="1"/>
  <c r="G10069" i="1" a="1"/>
  <c r="G10133" i="1" a="1"/>
  <c r="G10197" i="1" a="1"/>
  <c r="G5847" i="1" a="1"/>
  <c r="G6248" i="1" a="1"/>
  <c r="G6583" i="1" a="1"/>
  <c r="G6820" i="1" a="1"/>
  <c r="G7076" i="1" a="1"/>
  <c r="G7332" i="1" a="1"/>
  <c r="G7588" i="1" a="1"/>
  <c r="G7818" i="1" a="1"/>
  <c r="G7995" i="1" a="1"/>
  <c r="G8156" i="1" a="1"/>
  <c r="G8292" i="1" a="1"/>
  <c r="G8452" i="1" a="1"/>
  <c r="G8580" i="1" a="1"/>
  <c r="G8708" i="1" a="1"/>
  <c r="G8836" i="1" a="1"/>
  <c r="G8964" i="1" a="1"/>
  <c r="G9092" i="1" a="1"/>
  <c r="G9220" i="1" a="1"/>
  <c r="G6110" i="1" a="1"/>
  <c r="G6561" i="1" a="1"/>
  <c r="G6848" i="1" a="1"/>
  <c r="G7104" i="1" a="1"/>
  <c r="G7360" i="1" a="1"/>
  <c r="G7616" i="1" a="1"/>
  <c r="G7831" i="1" a="1"/>
  <c r="G8001" i="1" a="1"/>
  <c r="G8141" i="1" a="1"/>
  <c r="G8303" i="1" a="1"/>
  <c r="G8430" i="1" a="1"/>
  <c r="G8558" i="1" a="1"/>
  <c r="G8686" i="1" a="1"/>
  <c r="G8814" i="1" a="1"/>
  <c r="G8942" i="1" a="1"/>
  <c r="G5570" i="1" a="1"/>
  <c r="G6058" i="1" a="1"/>
  <c r="G6435" i="1" a="1"/>
  <c r="G6684" i="1" a="1"/>
  <c r="G5704" i="1" a="1"/>
  <c r="G6473" i="1" a="1"/>
  <c r="G6776" i="1" a="1"/>
  <c r="G5672" i="1" a="1"/>
  <c r="G6155" i="1" a="1"/>
  <c r="G6491" i="1" a="1"/>
  <c r="G6715" i="1" a="1"/>
  <c r="G5316" i="1" a="1"/>
  <c r="G6376" i="1" a="1"/>
  <c r="G6734" i="1" a="1"/>
  <c r="G5336" i="1" a="1"/>
  <c r="G5990" i="1" a="1"/>
  <c r="G6403" i="1" a="1"/>
  <c r="G6652" i="1" a="1"/>
  <c r="G6908" i="1" a="1"/>
  <c r="G7164" i="1" a="1"/>
  <c r="G7420" i="1" a="1"/>
  <c r="G7676" i="1" a="1"/>
  <c r="G7877" i="1" a="1"/>
  <c r="G8035" i="1" a="1"/>
  <c r="G8181" i="1" a="1"/>
  <c r="G8338" i="1" a="1"/>
  <c r="G8474" i="1" a="1"/>
  <c r="G8602" i="1" a="1"/>
  <c r="G8730" i="1" a="1"/>
  <c r="G8858" i="1" a="1"/>
  <c r="G7114" i="1" a="1"/>
  <c r="G7626" i="1" a="1"/>
  <c r="G8002" i="1" a="1"/>
  <c r="G8288" i="1" a="1"/>
  <c r="G8577" i="1" a="1"/>
  <c r="G8833" i="1" a="1"/>
  <c r="G9048" i="1" a="1"/>
  <c r="G9207" i="1" a="1"/>
  <c r="G9320" i="1" a="1"/>
  <c r="G9406" i="1" a="1"/>
  <c r="G9491" i="1" a="1"/>
  <c r="G9576" i="1" a="1"/>
  <c r="G9714" i="1" a="1"/>
  <c r="G9883" i="1" a="1"/>
  <c r="G10052" i="1" a="1"/>
  <c r="G6949" i="1" a="1"/>
  <c r="G7462" i="1" a="1"/>
  <c r="G7894" i="1" a="1"/>
  <c r="G8205" i="1" a="1"/>
  <c r="G8440" i="1" a="1"/>
  <c r="G8696" i="1" a="1"/>
  <c r="G8957" i="1" a="1"/>
  <c r="G9146" i="1" a="1"/>
  <c r="G9664" i="1" a="1"/>
  <c r="G9838" i="1" a="1"/>
  <c r="G10007" i="1" a="1"/>
  <c r="G10176" i="1" a="1"/>
  <c r="G10260" i="1" a="1"/>
  <c r="G10324" i="1" a="1"/>
  <c r="G10388" i="1" a="1"/>
  <c r="G10452" i="1" a="1"/>
  <c r="G10516" i="1" a="1"/>
  <c r="G10580" i="1" a="1"/>
  <c r="G10644" i="1" a="1"/>
  <c r="G10708" i="1" a="1"/>
  <c r="G10772" i="1" a="1"/>
  <c r="G10836" i="1" a="1"/>
  <c r="G10900" i="1" a="1"/>
  <c r="G7117" i="1" a="1"/>
  <c r="G7629" i="1" a="1"/>
  <c r="G7979" i="1" a="1"/>
  <c r="G8289" i="1" a="1"/>
  <c r="G8569" i="1" a="1"/>
  <c r="G8825" i="1" a="1"/>
  <c r="G9062" i="1" a="1"/>
  <c r="G9232" i="1" a="1"/>
  <c r="G9332" i="1" a="1"/>
  <c r="G9418" i="1" a="1"/>
  <c r="G9503" i="1" a="1"/>
  <c r="G9588" i="1" a="1"/>
  <c r="G9738" i="1" a="1"/>
  <c r="G9907" i="1" a="1"/>
  <c r="G10076" i="1" a="1"/>
  <c r="G7063" i="1" a="1"/>
  <c r="G7575" i="1" a="1"/>
  <c r="G7968" i="1" a="1"/>
  <c r="G8290" i="1" a="1"/>
  <c r="G7269" i="1" a="1"/>
  <c r="G7789" i="1" a="1"/>
  <c r="G8095" i="1" a="1"/>
  <c r="G8426" i="1" a="1"/>
  <c r="G7361" i="1" a="1"/>
  <c r="G7790" i="1" a="1"/>
  <c r="G8116" i="1" a="1"/>
  <c r="G6867" i="1" a="1"/>
  <c r="G7437" i="1" a="1"/>
  <c r="G7900" i="1" a="1"/>
  <c r="G8169" i="1" a="1"/>
  <c r="G7017" i="1" a="1"/>
  <c r="G7529" i="1" a="1"/>
  <c r="G7950" i="1" a="1"/>
  <c r="G8243" i="1" a="1"/>
  <c r="G8528" i="1" a="1"/>
  <c r="G8784" i="1" a="1"/>
  <c r="G9027" i="1" a="1"/>
  <c r="G9194" i="1" a="1"/>
  <c r="G9718" i="1" a="1"/>
  <c r="G9887" i="1" a="1"/>
  <c r="G10056" i="1" a="1"/>
  <c r="G10215" i="1" a="1"/>
  <c r="G10279" i="1" a="1"/>
  <c r="G10343" i="1" a="1"/>
  <c r="G8597" i="1" a="1"/>
  <c r="G9044" i="1" a="1"/>
  <c r="G9734" i="1" a="1"/>
  <c r="G10063" i="1" a="1"/>
  <c r="G10273" i="1" a="1"/>
  <c r="G10397" i="1" a="1"/>
  <c r="G3355" i="1" a="1"/>
  <c r="G3908" i="1" a="1"/>
  <c r="G3874" i="1" a="1"/>
  <c r="G5563" i="1" a="1"/>
  <c r="G5094" i="1" a="1"/>
  <c r="G4058" i="1" a="1"/>
  <c r="G5663" i="1" a="1"/>
  <c r="G6454" i="1" a="1"/>
  <c r="G5510" i="1" a="1"/>
  <c r="G4920" i="1" a="1"/>
  <c r="G7102" i="1" a="1"/>
  <c r="G8126" i="1" a="1"/>
  <c r="G8368" i="1" a="1"/>
  <c r="G4614" i="1" a="1"/>
  <c r="G5200" i="1" a="1"/>
  <c r="G5605" i="1" a="1"/>
  <c r="G5835" i="1" a="1"/>
  <c r="G6006" i="1" a="1"/>
  <c r="G6239" i="1" a="1"/>
  <c r="G6387" i="1" a="1"/>
  <c r="G6565" i="1" a="1"/>
  <c r="G6650" i="1" a="1"/>
  <c r="G6778" i="1" a="1"/>
  <c r="G6906" i="1" a="1"/>
  <c r="G7034" i="1" a="1"/>
  <c r="G7162" i="1" a="1"/>
  <c r="G7290" i="1" a="1"/>
  <c r="G7418" i="1" a="1"/>
  <c r="G7546" i="1" a="1"/>
  <c r="G7674" i="1" a="1"/>
  <c r="G7802" i="1" a="1"/>
  <c r="G7930" i="1" a="1"/>
  <c r="G3883" i="1" a="1"/>
  <c r="G4866" i="1" a="1"/>
  <c r="G5423" i="1" a="1"/>
  <c r="G6054" i="1" a="1"/>
  <c r="G6368" i="1" a="1"/>
  <c r="G6535" i="1" a="1"/>
  <c r="G6710" i="1" a="1"/>
  <c r="G6838" i="1" a="1"/>
  <c r="G6966" i="1" a="1"/>
  <c r="G7094" i="1" a="1"/>
  <c r="G7222" i="1" a="1"/>
  <c r="G7350" i="1" a="1"/>
  <c r="G7478" i="1" a="1"/>
  <c r="G7606" i="1" a="1"/>
  <c r="G7734" i="1" a="1"/>
  <c r="G4561" i="1" a="1"/>
  <c r="G5222" i="1" a="1"/>
  <c r="G5630" i="1" a="1"/>
  <c r="G4415" i="1" a="1"/>
  <c r="G5014" i="1" a="1"/>
  <c r="G4019" i="1" a="1"/>
  <c r="G4834" i="1" a="1"/>
  <c r="G4462" i="1" a="1"/>
  <c r="G4020" i="1" a="1"/>
  <c r="G4982" i="1" a="1"/>
  <c r="G5491" i="1" a="1"/>
  <c r="G5788" i="1" a="1"/>
  <c r="G5959" i="1" a="1"/>
  <c r="G6212" i="1" a="1"/>
  <c r="G6365" i="1" a="1"/>
  <c r="G6532" i="1" a="1"/>
  <c r="G6633" i="1" a="1"/>
  <c r="G6754" i="1" a="1"/>
  <c r="G6882" i="1" a="1"/>
  <c r="G7010" i="1" a="1"/>
  <c r="G7138" i="1" a="1"/>
  <c r="G7266" i="1" a="1"/>
  <c r="G7394" i="1" a="1"/>
  <c r="G7522" i="1" a="1"/>
  <c r="G7650" i="1" a="1"/>
  <c r="G6313" i="1" a="1"/>
  <c r="G6680" i="1" a="1"/>
  <c r="G6936" i="1" a="1"/>
  <c r="G7192" i="1" a="1"/>
  <c r="G7448" i="1" a="1"/>
  <c r="G7703" i="1" a="1"/>
  <c r="G7854" i="1" a="1"/>
  <c r="G8046" i="1" a="1"/>
  <c r="G8182" i="1" a="1"/>
  <c r="G8323" i="1" a="1"/>
  <c r="G8456" i="1" a="1"/>
  <c r="G8584" i="1" a="1"/>
  <c r="G8712" i="1" a="1"/>
  <c r="G8840" i="1" a="1"/>
  <c r="G8968" i="1" a="1"/>
  <c r="G9096" i="1" a="1"/>
  <c r="G9224" i="1" a="1"/>
  <c r="G9305" i="1" a="1"/>
  <c r="G9369" i="1" a="1"/>
  <c r="G9433" i="1" a="1"/>
  <c r="G9497" i="1" a="1"/>
  <c r="G9561" i="1" a="1"/>
  <c r="G9625" i="1" a="1"/>
  <c r="G9689" i="1" a="1"/>
  <c r="G9753" i="1" a="1"/>
  <c r="G9817" i="1" a="1"/>
  <c r="G9881" i="1" a="1"/>
  <c r="G9945" i="1" a="1"/>
  <c r="G10009" i="1" a="1"/>
  <c r="G10073" i="1" a="1"/>
  <c r="G10137" i="1" a="1"/>
  <c r="G10201" i="1" a="1"/>
  <c r="G5868" i="1" a="1"/>
  <c r="G6264" i="1" a="1"/>
  <c r="G6593" i="1" a="1"/>
  <c r="G6829" i="1" a="1"/>
  <c r="G7085" i="1" a="1"/>
  <c r="G7341" i="1" a="1"/>
  <c r="G7597" i="1" a="1"/>
  <c r="G7836" i="1" a="1"/>
  <c r="G8013" i="1" a="1"/>
  <c r="G8161" i="1" a="1"/>
  <c r="G8297" i="1" a="1"/>
  <c r="G8457" i="1" a="1"/>
  <c r="G8585" i="1" a="1"/>
  <c r="G8713" i="1" a="1"/>
  <c r="G8841" i="1" a="1"/>
  <c r="G8969" i="1" a="1"/>
  <c r="G9097" i="1" a="1"/>
  <c r="G9225" i="1" a="1"/>
  <c r="G6128" i="1" a="1"/>
  <c r="G6594" i="1" a="1"/>
  <c r="G6857" i="1" a="1"/>
  <c r="G7113" i="1" a="1"/>
  <c r="G7369" i="1" a="1"/>
  <c r="G7625" i="1" a="1"/>
  <c r="G7849" i="1" a="1"/>
  <c r="G8008" i="1" a="1"/>
  <c r="G8162" i="1" a="1"/>
  <c r="G8308" i="1" a="1"/>
  <c r="G8439" i="1" a="1"/>
  <c r="G8567" i="1" a="1"/>
  <c r="G8695" i="1" a="1"/>
  <c r="G8823" i="1" a="1"/>
  <c r="G8951" i="1" a="1"/>
  <c r="G5599" i="1" a="1"/>
  <c r="G6076" i="1" a="1"/>
  <c r="G6460" i="1" a="1"/>
  <c r="G6693" i="1" a="1"/>
  <c r="G5766" i="1" a="1"/>
  <c r="G6487" i="1" a="1"/>
  <c r="G6785" i="1" a="1"/>
  <c r="G5708" i="1" a="1"/>
  <c r="G6208" i="1" a="1"/>
  <c r="G6516" i="1" a="1"/>
  <c r="G6724" i="1" a="1"/>
  <c r="G5452" i="1" a="1"/>
  <c r="G6401" i="1" a="1"/>
  <c r="G6743" i="1" a="1"/>
  <c r="G5521" i="1" a="1"/>
  <c r="G6011" i="1" a="1"/>
  <c r="G6428" i="1" a="1"/>
  <c r="G6661" i="1" a="1"/>
  <c r="G6917" i="1" a="1"/>
  <c r="G7173" i="1" a="1"/>
  <c r="G7429" i="1" a="1"/>
  <c r="G7685" i="1" a="1"/>
  <c r="G7883" i="1" a="1"/>
  <c r="G8040" i="1" a="1"/>
  <c r="G8202" i="1" a="1"/>
  <c r="G8343" i="1" a="1"/>
  <c r="G8483" i="1" a="1"/>
  <c r="G8611" i="1" a="1"/>
  <c r="G8739" i="1" a="1"/>
  <c r="G8867" i="1" a="1"/>
  <c r="G7132" i="1" a="1"/>
  <c r="G7644" i="1" a="1"/>
  <c r="G8027" i="1" a="1"/>
  <c r="G8309" i="1" a="1"/>
  <c r="G8586" i="1" a="1"/>
  <c r="G8842" i="1" a="1"/>
  <c r="G9054" i="1" a="1"/>
  <c r="G9213" i="1" a="1"/>
  <c r="G9326" i="1" a="1"/>
  <c r="G9411" i="1" a="1"/>
  <c r="G9496" i="1" a="1"/>
  <c r="G9582" i="1" a="1"/>
  <c r="G9723" i="1" a="1"/>
  <c r="G9892" i="1" a="1"/>
  <c r="G10066" i="1" a="1"/>
  <c r="G6968" i="1" a="1"/>
  <c r="G7480" i="1" a="1"/>
  <c r="G7905" i="1" a="1"/>
  <c r="G8226" i="1" a="1"/>
  <c r="G8477" i="1" a="1"/>
  <c r="G8733" i="1" a="1"/>
  <c r="G8963" i="1" a="1"/>
  <c r="G9153" i="1" a="1"/>
  <c r="G9678" i="1" a="1"/>
  <c r="G9847" i="1" a="1"/>
  <c r="G10016" i="1" a="1"/>
  <c r="G10190" i="1" a="1"/>
  <c r="G10264" i="1" a="1"/>
  <c r="G10328" i="1" a="1"/>
  <c r="G10392" i="1" a="1"/>
  <c r="G10456" i="1" a="1"/>
  <c r="G10520" i="1" a="1"/>
  <c r="G10584" i="1" a="1"/>
  <c r="G10648" i="1" a="1"/>
  <c r="G10712" i="1" a="1"/>
  <c r="G10776" i="1" a="1"/>
  <c r="G10840" i="1" a="1"/>
  <c r="G10904" i="1" a="1"/>
  <c r="G7154" i="1" a="1"/>
  <c r="G7666" i="1" a="1"/>
  <c r="G8004" i="1" a="1"/>
  <c r="G8300" i="1" a="1"/>
  <c r="G8578" i="1" a="1"/>
  <c r="G8834" i="1" a="1"/>
  <c r="G9080" i="1" a="1"/>
  <c r="G9239" i="1" a="1"/>
  <c r="G9338" i="1" a="1"/>
  <c r="G9423" i="1" a="1"/>
  <c r="G9508" i="1" a="1"/>
  <c r="G9594" i="1" a="1"/>
  <c r="G9747" i="1" a="1"/>
  <c r="G9916" i="1" a="1"/>
  <c r="G10090" i="1" a="1"/>
  <c r="G7081" i="1" a="1"/>
  <c r="G7593" i="1" a="1"/>
  <c r="G7992" i="1" a="1"/>
  <c r="G8311" i="1" a="1"/>
  <c r="G7306" i="1" a="1"/>
  <c r="G7813" i="1" a="1"/>
  <c r="G8105" i="1" a="1"/>
  <c r="G6858" i="1" a="1"/>
  <c r="G7398" i="1" a="1"/>
  <c r="G7814" i="1" a="1"/>
  <c r="G8127" i="1" a="1"/>
  <c r="G6962" i="1" a="1"/>
  <c r="G7474" i="1" a="1"/>
  <c r="G7924" i="1" a="1"/>
  <c r="G8211" i="1" a="1"/>
  <c r="G7054" i="1" a="1"/>
  <c r="G7566" i="1" a="1"/>
  <c r="G7974" i="1" a="1"/>
  <c r="G8253" i="1" a="1"/>
  <c r="G8565" i="1" a="1"/>
  <c r="G8821" i="1" a="1"/>
  <c r="G9035" i="1" a="1"/>
  <c r="G9212" i="1" a="1"/>
  <c r="G9727" i="1" a="1"/>
  <c r="G9896" i="1" a="1"/>
  <c r="G10070" i="1" a="1"/>
  <c r="G10219" i="1" a="1"/>
  <c r="G10283" i="1" a="1"/>
  <c r="G10347" i="1" a="1"/>
  <c r="G8615" i="1" a="1"/>
  <c r="G9057" i="1" a="1"/>
  <c r="G9743" i="1" a="1"/>
  <c r="G10072" i="1" a="1"/>
  <c r="G10281" i="1" a="1"/>
  <c r="G10415" i="1" a="1"/>
  <c r="G2618" i="1" a="1"/>
  <c r="G4054" i="1" a="1"/>
  <c r="G4010" i="1" a="1"/>
  <c r="G5691" i="1" a="1"/>
  <c r="G5230" i="1" a="1"/>
  <c r="G2543" i="1" a="1"/>
  <c r="G6120" i="1" a="1"/>
  <c r="G6518" i="1" a="1"/>
  <c r="G5662" i="1" a="1"/>
  <c r="G5442" i="1" a="1"/>
  <c r="G7225" i="1" a="1"/>
  <c r="G8249" i="1" a="1"/>
  <c r="G8377" i="1" a="1"/>
  <c r="G4663" i="1" a="1"/>
  <c r="G5221" i="1" a="1"/>
  <c r="G5629" i="1" a="1"/>
  <c r="G5846" i="1" a="1"/>
  <c r="G6016" i="1" a="1"/>
  <c r="G6247" i="1" a="1"/>
  <c r="G6405" i="1" a="1"/>
  <c r="G6571" i="1" a="1"/>
  <c r="G6659" i="1" a="1"/>
  <c r="G6787" i="1" a="1"/>
  <c r="G6915" i="1" a="1"/>
  <c r="G7043" i="1" a="1"/>
  <c r="G7171" i="1" a="1"/>
  <c r="G7299" i="1" a="1"/>
  <c r="G7427" i="1" a="1"/>
  <c r="G7555" i="1" a="1"/>
  <c r="G7683" i="1" a="1"/>
  <c r="G7811" i="1" a="1"/>
  <c r="G7939" i="1" a="1"/>
  <c r="G3936" i="1" a="1"/>
  <c r="G4929" i="1" a="1"/>
  <c r="G5434" i="1" a="1"/>
  <c r="G6063" i="1" a="1"/>
  <c r="G6375" i="1" a="1"/>
  <c r="G6553" i="1" a="1"/>
  <c r="G6719" i="1" a="1"/>
  <c r="G6847" i="1" a="1"/>
  <c r="G6975" i="1" a="1"/>
  <c r="G7103" i="1" a="1"/>
  <c r="G7231" i="1" a="1"/>
  <c r="G7359" i="1" a="1"/>
  <c r="G7487" i="1" a="1"/>
  <c r="G7615" i="1" a="1"/>
  <c r="G7743" i="1" a="1"/>
  <c r="G4616" i="1" a="1"/>
  <c r="G5264" i="1" a="1"/>
  <c r="G5643" i="1" a="1"/>
  <c r="G4448" i="1" a="1"/>
  <c r="G5035" i="1" a="1"/>
  <c r="G4072" i="1" a="1"/>
  <c r="G4897" i="1" a="1"/>
  <c r="G4573" i="1" a="1"/>
  <c r="G4134" i="1" a="1"/>
  <c r="G5003" i="1" a="1"/>
  <c r="G5502" i="1" a="1"/>
  <c r="G5799" i="1" a="1"/>
  <c r="G5970" i="1" a="1"/>
  <c r="G6220" i="1" a="1"/>
  <c r="G6372" i="1" a="1"/>
  <c r="G6539" i="1" a="1"/>
  <c r="G6639" i="1" a="1"/>
  <c r="G6763" i="1" a="1"/>
  <c r="G6891" i="1" a="1"/>
  <c r="G7019" i="1" a="1"/>
  <c r="G7147" i="1" a="1"/>
  <c r="G7275" i="1" a="1"/>
  <c r="G7403" i="1" a="1"/>
  <c r="G7531" i="1" a="1"/>
  <c r="G7659" i="1" a="1"/>
  <c r="G6327" i="1" a="1"/>
  <c r="G6689" i="1" a="1"/>
  <c r="G6945" i="1" a="1"/>
  <c r="G7201" i="1" a="1"/>
  <c r="G7457" i="1" a="1"/>
  <c r="G7709" i="1" a="1"/>
  <c r="G7872" i="1" a="1"/>
  <c r="G8051" i="1" a="1"/>
  <c r="G8187" i="1" a="1"/>
  <c r="G8328" i="1" a="1"/>
  <c r="G8461" i="1" a="1"/>
  <c r="G8589" i="1" a="1"/>
  <c r="G8717" i="1" a="1"/>
  <c r="G8845" i="1" a="1"/>
  <c r="G8973" i="1" a="1"/>
  <c r="G9101" i="1" a="1"/>
  <c r="G9229" i="1" a="1"/>
  <c r="G9309" i="1" a="1"/>
  <c r="G9373" i="1" a="1"/>
  <c r="G9437" i="1" a="1"/>
  <c r="G9501" i="1" a="1"/>
  <c r="G9565" i="1" a="1"/>
  <c r="G9629" i="1" a="1"/>
  <c r="G9693" i="1" a="1"/>
  <c r="G9757" i="1" a="1"/>
  <c r="G9821" i="1" a="1"/>
  <c r="G9885" i="1" a="1"/>
  <c r="G9949" i="1" a="1"/>
  <c r="G10013" i="1" a="1"/>
  <c r="G10077" i="1" a="1"/>
  <c r="G10141" i="1" a="1"/>
  <c r="G10205" i="1" a="1"/>
  <c r="G5890" i="1" a="1"/>
  <c r="G6292" i="1" a="1"/>
  <c r="G6604" i="1" a="1"/>
  <c r="G6866" i="1" a="1"/>
  <c r="G7122" i="1" a="1"/>
  <c r="G7378" i="1" a="1"/>
  <c r="G7634" i="1" a="1"/>
  <c r="G7842" i="1" a="1"/>
  <c r="G8019" i="1" a="1"/>
  <c r="G8172" i="1" a="1"/>
  <c r="G8334" i="1" a="1"/>
  <c r="G8466" i="1" a="1"/>
  <c r="G8594" i="1" a="1"/>
  <c r="G8722" i="1" a="1"/>
  <c r="G8850" i="1" a="1"/>
  <c r="G8978" i="1" a="1"/>
  <c r="G9106" i="1" a="1"/>
  <c r="G9234" i="1" a="1"/>
  <c r="G6183" i="1" a="1"/>
  <c r="G6626" i="1" a="1"/>
  <c r="G6894" i="1" a="1"/>
  <c r="G7150" i="1" a="1"/>
  <c r="G7406" i="1" a="1"/>
  <c r="G7662" i="1" a="1"/>
  <c r="G7855" i="1" a="1"/>
  <c r="G8014" i="1" a="1"/>
  <c r="G8178" i="1" a="1"/>
  <c r="G8314" i="1" a="1"/>
  <c r="G8448" i="1" a="1"/>
  <c r="G8576" i="1" a="1"/>
  <c r="G8704" i="1" a="1"/>
  <c r="G8832" i="1" a="1"/>
  <c r="G8960" i="1" a="1"/>
  <c r="G5635" i="1" a="1"/>
  <c r="G6131" i="1" a="1"/>
  <c r="G6485" i="1" a="1"/>
  <c r="G6730" i="1" a="1"/>
  <c r="G6022" i="1" a="1"/>
  <c r="G6512" i="1" a="1"/>
  <c r="G6822" i="1" a="1"/>
  <c r="G5794" i="1" a="1"/>
  <c r="G6224" i="1" a="1"/>
  <c r="G6541" i="1" a="1"/>
  <c r="G6733" i="1" a="1"/>
  <c r="G5514" i="1" a="1"/>
  <c r="G6415" i="1" a="1"/>
  <c r="G6752" i="1" a="1"/>
  <c r="G5551" i="1" a="1"/>
  <c r="G6067" i="1" a="1"/>
  <c r="G6453" i="1" a="1"/>
  <c r="G6698" i="1" a="1"/>
  <c r="G6954" i="1" a="1"/>
  <c r="G7210" i="1" a="1"/>
  <c r="G7466" i="1" a="1"/>
  <c r="G7723" i="1" a="1"/>
  <c r="G7890" i="1" a="1"/>
  <c r="G8045" i="1" a="1"/>
  <c r="G8207" i="1" a="1"/>
  <c r="G8348" i="1" a="1"/>
  <c r="G8492" i="1" a="1"/>
  <c r="G8620" i="1" a="1"/>
  <c r="G8748" i="1" a="1"/>
  <c r="G8876" i="1" a="1"/>
  <c r="G7187" i="1" a="1"/>
  <c r="G7727" i="1" a="1"/>
  <c r="G8037" i="1" a="1"/>
  <c r="G8330" i="1" a="1"/>
  <c r="G8595" i="1" a="1"/>
  <c r="G8851" i="1" a="1"/>
  <c r="G9061" i="1" a="1"/>
  <c r="G9231" i="1" a="1"/>
  <c r="G9331" i="1" a="1"/>
  <c r="G9416" i="1" a="1"/>
  <c r="G9502" i="1" a="1"/>
  <c r="G9587" i="1" a="1"/>
  <c r="G9732" i="1" a="1"/>
  <c r="G9906" i="1" a="1"/>
  <c r="G10075" i="1" a="1"/>
  <c r="G7023" i="1" a="1"/>
  <c r="G7535" i="1" a="1"/>
  <c r="G7918" i="1" a="1"/>
  <c r="G8247" i="1" a="1"/>
  <c r="G8486" i="1" a="1"/>
  <c r="G8742" i="1" a="1"/>
  <c r="G8971" i="1" a="1"/>
  <c r="G9164" i="1" a="1"/>
  <c r="G9687" i="1" a="1"/>
  <c r="G9856" i="1" a="1"/>
  <c r="G10030" i="1" a="1"/>
  <c r="G10199" i="1" a="1"/>
  <c r="G10268" i="1" a="1"/>
  <c r="G10332" i="1" a="1"/>
  <c r="G10396" i="1" a="1"/>
  <c r="G10460" i="1" a="1"/>
  <c r="G10524" i="1" a="1"/>
  <c r="G10588" i="1" a="1"/>
  <c r="G10652" i="1" a="1"/>
  <c r="G10716" i="1" a="1"/>
  <c r="G10780" i="1" a="1"/>
  <c r="G10844" i="1" a="1"/>
  <c r="G10908" i="1" a="1"/>
  <c r="G7172" i="1" a="1"/>
  <c r="G7684" i="1" a="1"/>
  <c r="G8028" i="1" a="1"/>
  <c r="G8331" i="1" a="1"/>
  <c r="G8587" i="1" a="1"/>
  <c r="G8843" i="1" a="1"/>
  <c r="G9086" i="1" a="1"/>
  <c r="G9245" i="1" a="1"/>
  <c r="G9343" i="1" a="1"/>
  <c r="G9428" i="1" a="1"/>
  <c r="G9514" i="1" a="1"/>
  <c r="G9599" i="1" a="1"/>
  <c r="G9756" i="1" a="1"/>
  <c r="G9930" i="1" a="1"/>
  <c r="G10099" i="1" a="1"/>
  <c r="G7118" i="1" a="1"/>
  <c r="G7630" i="1" a="1"/>
  <c r="G8017" i="1" a="1"/>
  <c r="G8321" i="1" a="1"/>
  <c r="G7324" i="1" a="1"/>
  <c r="G7826" i="1" a="1"/>
  <c r="G8147" i="1" a="1"/>
  <c r="G6931" i="1" a="1"/>
  <c r="G7416" i="1" a="1"/>
  <c r="G7839" i="1" a="1"/>
  <c r="G8137" i="1" a="1"/>
  <c r="G6980" i="1" a="1"/>
  <c r="G7492" i="1" a="1"/>
  <c r="G7949" i="1" a="1"/>
  <c r="G8221" i="1" a="1"/>
  <c r="G7072" i="1" a="1"/>
  <c r="G7584" i="1" a="1"/>
  <c r="G7999" i="1" a="1"/>
  <c r="G8264" i="1" a="1"/>
  <c r="G8574" i="1" a="1"/>
  <c r="G8830" i="1" a="1"/>
  <c r="G9041" i="1" a="1"/>
  <c r="G9218" i="1" a="1"/>
  <c r="G9736" i="1" a="1"/>
  <c r="G9910" i="1" a="1"/>
  <c r="G10079" i="1" a="1"/>
  <c r="G10223" i="1" a="1"/>
  <c r="G10287" i="1" a="1"/>
  <c r="G10351" i="1" a="1"/>
  <c r="G8670" i="1" a="1"/>
  <c r="G9068" i="1" a="1"/>
  <c r="G9752" i="1" a="1"/>
  <c r="G10118" i="1" a="1"/>
  <c r="G10289" i="1" a="1"/>
  <c r="G10422" i="1" a="1"/>
  <c r="G989" i="1" a="1"/>
  <c r="G4216" i="1" a="1"/>
  <c r="G4167" i="1" a="1"/>
  <c r="G5781" i="1" a="1"/>
  <c r="G5392" i="1" a="1"/>
  <c r="G3810" i="1" a="1"/>
  <c r="G4009" i="1" a="1"/>
  <c r="G3873" i="1" a="1"/>
  <c r="G5669" i="1" a="1"/>
  <c r="G5455" i="1" a="1"/>
  <c r="G7230" i="1" a="1"/>
  <c r="G8254" i="1" a="1"/>
  <c r="G8382" i="1" a="1"/>
  <c r="G4687" i="1" a="1"/>
  <c r="G5242" i="1" a="1"/>
  <c r="G5653" i="1" a="1"/>
  <c r="G5856" i="1" a="1"/>
  <c r="G6026" i="1" a="1"/>
  <c r="G6255" i="1" a="1"/>
  <c r="G6412" i="1" a="1"/>
  <c r="G6576" i="1" a="1"/>
  <c r="G6668" i="1" a="1"/>
  <c r="G6796" i="1" a="1"/>
  <c r="G6924" i="1" a="1"/>
  <c r="G7052" i="1" a="1"/>
  <c r="G7180" i="1" a="1"/>
  <c r="G7308" i="1" a="1"/>
  <c r="G7436" i="1" a="1"/>
  <c r="G7564" i="1" a="1"/>
  <c r="G7692" i="1" a="1"/>
  <c r="G7820" i="1" a="1"/>
  <c r="G7948" i="1" a="1"/>
  <c r="G4050" i="1" a="1"/>
  <c r="G4950" i="1" a="1"/>
  <c r="G5447" i="1" a="1"/>
  <c r="G6072" i="1" a="1"/>
  <c r="G6393" i="1" a="1"/>
  <c r="G6560" i="1" a="1"/>
  <c r="G6728" i="1" a="1"/>
  <c r="G6856" i="1" a="1"/>
  <c r="G6984" i="1" a="1"/>
  <c r="G7112" i="1" a="1"/>
  <c r="G7240" i="1" a="1"/>
  <c r="G7368" i="1" a="1"/>
  <c r="G7496" i="1" a="1"/>
  <c r="G7624" i="1" a="1"/>
  <c r="G7752" i="1" a="1"/>
  <c r="G4664" i="1" a="1"/>
  <c r="G5285" i="1" a="1"/>
  <c r="G5667" i="1" a="1"/>
  <c r="G4505" i="1" a="1"/>
  <c r="G5056" i="1" a="1"/>
  <c r="G4186" i="1" a="1"/>
  <c r="G4918" i="1" a="1"/>
  <c r="G4601" i="1" a="1"/>
  <c r="G4430" i="1" a="1"/>
  <c r="G5024" i="1" a="1"/>
  <c r="G5515" i="1" a="1"/>
  <c r="G5810" i="1" a="1"/>
  <c r="G5980" i="1" a="1"/>
  <c r="G6228" i="1" a="1"/>
  <c r="G6379" i="1" a="1"/>
  <c r="G6557" i="1" a="1"/>
  <c r="G6644" i="1" a="1"/>
  <c r="G6772" i="1" a="1"/>
  <c r="G6900" i="1" a="1"/>
  <c r="G7028" i="1" a="1"/>
  <c r="G7156" i="1" a="1"/>
  <c r="G7284" i="1" a="1"/>
  <c r="G7412" i="1" a="1"/>
  <c r="G7540" i="1" a="1"/>
  <c r="G7668" i="1" a="1"/>
  <c r="G6352" i="1" a="1"/>
  <c r="G6726" i="1" a="1"/>
  <c r="G6982" i="1" a="1"/>
  <c r="G7238" i="1" a="1"/>
  <c r="G7494" i="1" a="1"/>
  <c r="G7717" i="1" a="1"/>
  <c r="G7878" i="1" a="1"/>
  <c r="G8056" i="1" a="1"/>
  <c r="G8192" i="1" a="1"/>
  <c r="G8333" i="1" a="1"/>
  <c r="G8470" i="1" a="1"/>
  <c r="G8598" i="1" a="1"/>
  <c r="G8726" i="1" a="1"/>
  <c r="G8854" i="1" a="1"/>
  <c r="G8982" i="1" a="1"/>
  <c r="G9110" i="1" a="1"/>
  <c r="G9238" i="1" a="1"/>
  <c r="G9313" i="1" a="1"/>
  <c r="G9377" i="1" a="1"/>
  <c r="G9441" i="1" a="1"/>
  <c r="G9505" i="1" a="1"/>
  <c r="G9569" i="1" a="1"/>
  <c r="G9633" i="1" a="1"/>
  <c r="G9697" i="1" a="1"/>
  <c r="G9761" i="1" a="1"/>
  <c r="G9825" i="1" a="1"/>
  <c r="G9889" i="1" a="1"/>
  <c r="G9953" i="1" a="1"/>
  <c r="G10017" i="1" a="1"/>
  <c r="G10081" i="1" a="1"/>
  <c r="G10145" i="1" a="1"/>
  <c r="G5106" i="1" a="1"/>
  <c r="G5911" i="1" a="1"/>
  <c r="G6317" i="1" a="1"/>
  <c r="G6615" i="1" a="1"/>
  <c r="G6875" i="1" a="1"/>
  <c r="G7131" i="1" a="1"/>
  <c r="G7387" i="1" a="1"/>
  <c r="G7643" i="1" a="1"/>
  <c r="G7860" i="1" a="1"/>
  <c r="G8031" i="1" a="1"/>
  <c r="G8177" i="1" a="1"/>
  <c r="G8339" i="1" a="1"/>
  <c r="G8475" i="1" a="1"/>
  <c r="G8603" i="1" a="1"/>
  <c r="G8731" i="1" a="1"/>
  <c r="G8859" i="1" a="1"/>
  <c r="G8987" i="1" a="1"/>
  <c r="G9115" i="1" a="1"/>
  <c r="G9243" i="1" a="1"/>
  <c r="G6280" i="1" a="1"/>
  <c r="G6647" i="1" a="1"/>
  <c r="G6903" i="1" a="1"/>
  <c r="G7159" i="1" a="1"/>
  <c r="G7415" i="1" a="1"/>
  <c r="G7671" i="1" a="1"/>
  <c r="G7862" i="1" a="1"/>
  <c r="G8042" i="1" a="1"/>
  <c r="G8183" i="1" a="1"/>
  <c r="G8319" i="1" a="1"/>
  <c r="G8453" i="1" a="1"/>
  <c r="G8581" i="1" a="1"/>
  <c r="G8709" i="1" a="1"/>
  <c r="G8837" i="1" a="1"/>
  <c r="G8965" i="1" a="1"/>
  <c r="G5697" i="1" a="1"/>
  <c r="G6186" i="1" a="1"/>
  <c r="G6499" i="1" a="1"/>
  <c r="G6739" i="1" a="1"/>
  <c r="G6040" i="1" a="1"/>
  <c r="G6537" i="1" a="1"/>
  <c r="G6831" i="1" a="1"/>
  <c r="G5815" i="1" a="1"/>
  <c r="G6240" i="1" a="1"/>
  <c r="G6555" i="1" a="1"/>
  <c r="G6770" i="1" a="1"/>
  <c r="G5550" i="1" a="1"/>
  <c r="G6440" i="1" a="1"/>
  <c r="G6761" i="1" a="1"/>
  <c r="G5587" i="1" a="1"/>
  <c r="G6122" i="1" a="1"/>
  <c r="G6467" i="1" a="1"/>
  <c r="G6707" i="1" a="1"/>
  <c r="G6963" i="1" a="1"/>
  <c r="G7219" i="1" a="1"/>
  <c r="G7475" i="1" a="1"/>
  <c r="G7731" i="1" a="1"/>
  <c r="G7901" i="1" a="1"/>
  <c r="G8066" i="1" a="1"/>
  <c r="G8212" i="1" a="1"/>
  <c r="G8353" i="1" a="1"/>
  <c r="G8497" i="1" a="1"/>
  <c r="G8625" i="1" a="1"/>
  <c r="G8753" i="1" a="1"/>
  <c r="G8881" i="1" a="1"/>
  <c r="G7205" i="1" a="1"/>
  <c r="G7741" i="1" a="1"/>
  <c r="G8079" i="1" a="1"/>
  <c r="G8340" i="1" a="1"/>
  <c r="G8604" i="1" a="1"/>
  <c r="G8860" i="1" a="1"/>
  <c r="G9072" i="1" a="1"/>
  <c r="G9237" i="1" a="1"/>
  <c r="G9336" i="1" a="1"/>
  <c r="G9422" i="1" a="1"/>
  <c r="G9507" i="1" a="1"/>
  <c r="G9592" i="1" a="1"/>
  <c r="G9746" i="1" a="1"/>
  <c r="G9915" i="1" a="1"/>
  <c r="G10084" i="1" a="1"/>
  <c r="G7041" i="1" a="1"/>
  <c r="G7553" i="1" a="1"/>
  <c r="G7942" i="1" a="1"/>
  <c r="G8257" i="1" a="1"/>
  <c r="G8495" i="1" a="1"/>
  <c r="G8751" i="1" a="1"/>
  <c r="G8979" i="1" a="1"/>
  <c r="G9171" i="1" a="1"/>
  <c r="G9696" i="1" a="1"/>
  <c r="G9870" i="1" a="1"/>
  <c r="G10039" i="1" a="1"/>
  <c r="G10208" i="1" a="1"/>
  <c r="G10272" i="1" a="1"/>
  <c r="G10336" i="1" a="1"/>
  <c r="G10400" i="1" a="1"/>
  <c r="G10464" i="1" a="1"/>
  <c r="G10528" i="1" a="1"/>
  <c r="G10592" i="1" a="1"/>
  <c r="G10656" i="1" a="1"/>
  <c r="G10720" i="1" a="1"/>
  <c r="G10784" i="1" a="1"/>
  <c r="G10848" i="1" a="1"/>
  <c r="G10912" i="1" a="1"/>
  <c r="G7227" i="1" a="1"/>
  <c r="G7714" i="1" a="1"/>
  <c r="G8049" i="1" a="1"/>
  <c r="G8342" i="1" a="1"/>
  <c r="G8596" i="1" a="1"/>
  <c r="G8852" i="1" a="1"/>
  <c r="G9093" i="1" a="1"/>
  <c r="G9263" i="1" a="1"/>
  <c r="G9348" i="1" a="1"/>
  <c r="G9434" i="1" a="1"/>
  <c r="G9519" i="1" a="1"/>
  <c r="G9604" i="1" a="1"/>
  <c r="G9770" i="1" a="1"/>
  <c r="G9939" i="1" a="1"/>
  <c r="G10108" i="1" a="1"/>
  <c r="G7136" i="1" a="1"/>
  <c r="G7648" i="1" a="1"/>
  <c r="G8050" i="1" a="1"/>
  <c r="G8332" i="1" a="1"/>
  <c r="G7379" i="1" a="1"/>
  <c r="G7837" i="1" a="1"/>
  <c r="G8157" i="1" a="1"/>
  <c r="G6959" i="1" a="1"/>
  <c r="G7471" i="1" a="1"/>
  <c r="G7863" i="1" a="1"/>
  <c r="G8179" i="1" a="1"/>
  <c r="G7035" i="1" a="1"/>
  <c r="G7547" i="1" a="1"/>
  <c r="G7973" i="1" a="1"/>
  <c r="G8232" i="1" a="1"/>
  <c r="G7127" i="1" a="1"/>
  <c r="G7639" i="1" a="1"/>
  <c r="G8023" i="1" a="1"/>
  <c r="G8306" i="1" a="1"/>
  <c r="G8583" i="1" a="1"/>
  <c r="G8839" i="1" a="1"/>
  <c r="G9059" i="1" a="1"/>
  <c r="G9236" i="1" a="1"/>
  <c r="G9750" i="1" a="1"/>
  <c r="G9919" i="1" a="1"/>
  <c r="G10088" i="1" a="1"/>
  <c r="G10227" i="1" a="1"/>
  <c r="G10291" i="1" a="1"/>
  <c r="G10355" i="1" a="1"/>
  <c r="G8688" i="1" a="1"/>
  <c r="G9081" i="1" a="1"/>
  <c r="G9798" i="1" a="1"/>
  <c r="G10127" i="1" a="1"/>
  <c r="G10297" i="1" a="1"/>
  <c r="G10429" i="1" a="1"/>
  <c r="G2767" i="1" a="1"/>
  <c r="G4352" i="1" a="1"/>
  <c r="G4313" i="1" a="1"/>
  <c r="G5845" i="1" a="1"/>
  <c r="G5522" i="1" a="1"/>
  <c r="G4105" i="1" a="1"/>
  <c r="G4622" i="1" a="1"/>
  <c r="G4554" i="1" a="1"/>
  <c r="G5790" i="1" a="1"/>
  <c r="G6023" i="1" a="1"/>
  <c r="G7353" i="1" a="1"/>
  <c r="G8263" i="1" a="1"/>
  <c r="G8391" i="1" a="1"/>
  <c r="G4710" i="1" a="1"/>
  <c r="G5263" i="1" a="1"/>
  <c r="G5678" i="1" a="1"/>
  <c r="G5867" i="1" a="1"/>
  <c r="G6035" i="1" a="1"/>
  <c r="G6263" i="1" a="1"/>
  <c r="G6419" i="1" a="1"/>
  <c r="G6581" i="1" a="1"/>
  <c r="G6677" i="1" a="1"/>
  <c r="G6805" i="1" a="1"/>
  <c r="G6933" i="1" a="1"/>
  <c r="G7061" i="1" a="1"/>
  <c r="G7189" i="1" a="1"/>
  <c r="G7317" i="1" a="1"/>
  <c r="G7445" i="1" a="1"/>
  <c r="G7573" i="1" a="1"/>
  <c r="G7701" i="1" a="1"/>
  <c r="G7829" i="1" a="1"/>
  <c r="G7957" i="1" a="1"/>
  <c r="G4103" i="1" a="1"/>
  <c r="G4971" i="1" a="1"/>
  <c r="G5471" i="1" a="1"/>
  <c r="G6118" i="1" a="1"/>
  <c r="G6400" i="1" a="1"/>
  <c r="G6566" i="1" a="1"/>
  <c r="G6737" i="1" a="1"/>
  <c r="G6865" i="1" a="1"/>
  <c r="G6993" i="1" a="1"/>
  <c r="G7121" i="1" a="1"/>
  <c r="G7249" i="1" a="1"/>
  <c r="G7377" i="1" a="1"/>
  <c r="G7505" i="1" a="1"/>
  <c r="G7633" i="1" a="1"/>
  <c r="G7761" i="1" a="1"/>
  <c r="G4688" i="1" a="1"/>
  <c r="G5306" i="1" a="1"/>
  <c r="G5692" i="1" a="1"/>
  <c r="G4589" i="1" a="1"/>
  <c r="G5119" i="1" a="1"/>
  <c r="G4239" i="1" a="1"/>
  <c r="G4939" i="1" a="1"/>
  <c r="G4676" i="1" a="1"/>
  <c r="G4463" i="1" a="1"/>
  <c r="G5087" i="1" a="1"/>
  <c r="G5539" i="1" a="1"/>
  <c r="G5820" i="1" a="1"/>
  <c r="G5991" i="1" a="1"/>
  <c r="G6236" i="1" a="1"/>
  <c r="G6397" i="1" a="1"/>
  <c r="G6564" i="1" a="1"/>
  <c r="G6653" i="1" a="1"/>
  <c r="G6781" i="1" a="1"/>
  <c r="G6909" i="1" a="1"/>
  <c r="G7037" i="1" a="1"/>
  <c r="G7165" i="1" a="1"/>
  <c r="G7293" i="1" a="1"/>
  <c r="G7421" i="1" a="1"/>
  <c r="G7549" i="1" a="1"/>
  <c r="G7677" i="1" a="1"/>
  <c r="G6377" i="1" a="1"/>
  <c r="G6735" i="1" a="1"/>
  <c r="G6991" i="1" a="1"/>
  <c r="G7247" i="1" a="1"/>
  <c r="G7503" i="1" a="1"/>
  <c r="G7725" i="1" a="1"/>
  <c r="G7896" i="1" a="1"/>
  <c r="G8061" i="1" a="1"/>
  <c r="G8197" i="1" a="1"/>
  <c r="G8354" i="1" a="1"/>
  <c r="G8479" i="1" a="1"/>
  <c r="G8607" i="1" a="1"/>
  <c r="G8735" i="1" a="1"/>
  <c r="G8863" i="1" a="1"/>
  <c r="G8991" i="1" a="1"/>
  <c r="G9119" i="1" a="1"/>
  <c r="G9247" i="1" a="1"/>
  <c r="G9317" i="1" a="1"/>
  <c r="G9381" i="1" a="1"/>
  <c r="G9445" i="1" a="1"/>
  <c r="G9509" i="1" a="1"/>
  <c r="G9573" i="1" a="1"/>
  <c r="G9637" i="1" a="1"/>
  <c r="G9701" i="1" a="1"/>
  <c r="G9765" i="1" a="1"/>
  <c r="G9829" i="1" a="1"/>
  <c r="G9893" i="1" a="1"/>
  <c r="G9957" i="1" a="1"/>
  <c r="G10021" i="1" a="1"/>
  <c r="G10085" i="1" a="1"/>
  <c r="G10149" i="1" a="1"/>
  <c r="G5273" i="1" a="1"/>
  <c r="G5932" i="1" a="1"/>
  <c r="G6331" i="1" a="1"/>
  <c r="G6625" i="1" a="1"/>
  <c r="G6884" i="1" a="1"/>
  <c r="G7140" i="1" a="1"/>
  <c r="G7396" i="1" a="1"/>
  <c r="G7652" i="1" a="1"/>
  <c r="G7867" i="1" a="1"/>
  <c r="G8036" i="1" a="1"/>
  <c r="G8198" i="1" a="1"/>
  <c r="G8344" i="1" a="1"/>
  <c r="G8484" i="1" a="1"/>
  <c r="G8612" i="1" a="1"/>
  <c r="G8740" i="1" a="1"/>
  <c r="G8868" i="1" a="1"/>
  <c r="G8996" i="1" a="1"/>
  <c r="G9124" i="1" a="1"/>
  <c r="G9252" i="1" a="1"/>
  <c r="G6305" i="1" a="1"/>
  <c r="G6656" i="1" a="1"/>
  <c r="G6912" i="1" a="1"/>
  <c r="G7168" i="1" a="1"/>
  <c r="G7424" i="1" a="1"/>
  <c r="G7680" i="1" a="1"/>
  <c r="G7873" i="1" a="1"/>
  <c r="G8047" i="1" a="1"/>
  <c r="G8188" i="1" a="1"/>
  <c r="G8324" i="1" a="1"/>
  <c r="G8462" i="1" a="1"/>
  <c r="G8590" i="1" a="1"/>
  <c r="G8718" i="1" a="1"/>
  <c r="G8846" i="1" a="1"/>
  <c r="G8974" i="1" a="1"/>
  <c r="G5733" i="1" a="1"/>
  <c r="G6203" i="1" a="1"/>
  <c r="G6524" i="1" a="1"/>
  <c r="G6748" i="1" a="1"/>
  <c r="G6095" i="1" a="1"/>
  <c r="G6551" i="1" a="1"/>
  <c r="G6840" i="1" a="1"/>
  <c r="G5836" i="1" a="1"/>
  <c r="G6256" i="1" a="1"/>
  <c r="G6567" i="1" a="1"/>
  <c r="G6779" i="1" a="1"/>
  <c r="G5583" i="1" a="1"/>
  <c r="G6465" i="1" a="1"/>
  <c r="G6798" i="1" a="1"/>
  <c r="G5648" i="1" a="1"/>
  <c r="G6140" i="1" a="1"/>
  <c r="G6492" i="1" a="1"/>
  <c r="G6716" i="1" a="1"/>
  <c r="G6972" i="1" a="1"/>
  <c r="G7228" i="1" a="1"/>
  <c r="G7484" i="1" a="1"/>
  <c r="G7739" i="1" a="1"/>
  <c r="G7908" i="1" a="1"/>
  <c r="G8082" i="1" a="1"/>
  <c r="G8218" i="1" a="1"/>
  <c r="G8364" i="1" a="1"/>
  <c r="G8506" i="1" a="1"/>
  <c r="G8634" i="1" a="1"/>
  <c r="G8762" i="1" a="1"/>
  <c r="G8890" i="1" a="1"/>
  <c r="G7242" i="1" a="1"/>
  <c r="G7757" i="1" a="1"/>
  <c r="G8090" i="1" a="1"/>
  <c r="G8351" i="1" a="1"/>
  <c r="G8641" i="1" a="1"/>
  <c r="G8897" i="1" a="1"/>
  <c r="G9079" i="1" a="1"/>
  <c r="G9255" i="1" a="1"/>
  <c r="G9342" i="1" a="1"/>
  <c r="G9427" i="1" a="1"/>
  <c r="G9512" i="1" a="1"/>
  <c r="G9598" i="1" a="1"/>
  <c r="G9755" i="1" a="1"/>
  <c r="G9924" i="1" a="1"/>
  <c r="G10098" i="1" a="1"/>
  <c r="G7078" i="1" a="1"/>
  <c r="G7590" i="1" a="1"/>
  <c r="G7967" i="1" a="1"/>
  <c r="G8268" i="1" a="1"/>
  <c r="G8504" i="1" a="1"/>
  <c r="G8760" i="1" a="1"/>
  <c r="G9022" i="1" a="1"/>
  <c r="G9177" i="1" a="1"/>
  <c r="G9710" i="1" a="1"/>
  <c r="G9879" i="1" a="1"/>
  <c r="G10048" i="1" a="1"/>
  <c r="G10212" i="1" a="1"/>
  <c r="G10276" i="1" a="1"/>
  <c r="G10340" i="1" a="1"/>
  <c r="G10404" i="1" a="1"/>
  <c r="G10468" i="1" a="1"/>
  <c r="G10532" i="1" a="1"/>
  <c r="G10596" i="1" a="1"/>
  <c r="G10660" i="1" a="1"/>
  <c r="G10724" i="1" a="1"/>
  <c r="G10788" i="1" a="1"/>
  <c r="G10852" i="1" a="1"/>
  <c r="G10916" i="1" a="1"/>
  <c r="G7245" i="1" a="1"/>
  <c r="G7730" i="1" a="1"/>
  <c r="G8070" i="1" a="1"/>
  <c r="G8352" i="1" a="1"/>
  <c r="G8633" i="1" a="1"/>
  <c r="G8889" i="1" a="1"/>
  <c r="G9104" i="1" a="1"/>
  <c r="G9268" i="1" a="1"/>
  <c r="G9354" i="1" a="1"/>
  <c r="G9439" i="1" a="1"/>
  <c r="G9524" i="1" a="1"/>
  <c r="G9610" i="1" a="1"/>
  <c r="G9779" i="1" a="1"/>
  <c r="G9948" i="1" a="1"/>
  <c r="G10122" i="1" a="1"/>
  <c r="G7191" i="1" a="1"/>
  <c r="G7700" i="1" a="1"/>
  <c r="G8060" i="1" a="1"/>
  <c r="G8363" i="1" a="1"/>
  <c r="G7397" i="1" a="1"/>
  <c r="G7850" i="1" a="1"/>
  <c r="G8168" i="1" a="1"/>
  <c r="G6977" i="1" a="1"/>
  <c r="G7489" i="1" a="1"/>
  <c r="G7887" i="1" a="1"/>
  <c r="G8189" i="1" a="1"/>
  <c r="G7053" i="1" a="1"/>
  <c r="G7565" i="1" a="1"/>
  <c r="G7986" i="1" a="1"/>
  <c r="G8274" i="1" a="1"/>
  <c r="G7145" i="1" a="1"/>
  <c r="G7657" i="1" a="1"/>
  <c r="G8034" i="1" a="1"/>
  <c r="G8316" i="1" a="1"/>
  <c r="G8592" i="1" a="1"/>
  <c r="G8848" i="1" a="1"/>
  <c r="G9066" i="1" a="1"/>
  <c r="G9242" i="1" a="1"/>
  <c r="G9759" i="1" a="1"/>
  <c r="G9928" i="1" a="1"/>
  <c r="G10102" i="1" a="1"/>
  <c r="G10231" i="1" a="1"/>
  <c r="G10295" i="1" a="1"/>
  <c r="G10359" i="1" a="1"/>
  <c r="G8725" i="1" a="1"/>
  <c r="G9105" i="1" a="1"/>
  <c r="G9807" i="1" a="1"/>
  <c r="G10136" i="1" a="1"/>
  <c r="G10305" i="1" a="1"/>
  <c r="G10447" i="1" a="1"/>
  <c r="G2087" i="1" a="1"/>
  <c r="G3164" i="1" a="1"/>
  <c r="G4454" i="1" a="1"/>
  <c r="G5909" i="1" a="1"/>
  <c r="G5650" i="1" a="1"/>
  <c r="G4366" i="1" a="1"/>
  <c r="G4914" i="1" a="1"/>
  <c r="G4852" i="1" a="1"/>
  <c r="G5795" i="1" a="1"/>
  <c r="G6032" i="1" a="1"/>
  <c r="G7358" i="1" a="1"/>
  <c r="G8272" i="1" a="1"/>
  <c r="G8400" i="1" a="1"/>
  <c r="G4735" i="1" a="1"/>
  <c r="G5284" i="1" a="1"/>
  <c r="G5702" i="1" a="1"/>
  <c r="G5878" i="1" a="1"/>
  <c r="G6044" i="1" a="1"/>
  <c r="G6271" i="1" a="1"/>
  <c r="G6437" i="1" a="1"/>
  <c r="G6587" i="1" a="1"/>
  <c r="G6682" i="1" a="1"/>
  <c r="G6810" i="1" a="1"/>
  <c r="G6938" i="1" a="1"/>
  <c r="G7066" i="1" a="1"/>
  <c r="G7194" i="1" a="1"/>
  <c r="G7322" i="1" a="1"/>
  <c r="G7450" i="1" a="1"/>
  <c r="G7578" i="1" a="1"/>
  <c r="G7706" i="1" a="1"/>
  <c r="G7834" i="1" a="1"/>
  <c r="G7962" i="1" a="1"/>
  <c r="G4156" i="1" a="1"/>
  <c r="G4992" i="1" a="1"/>
  <c r="G5496" i="1" a="1"/>
  <c r="G6127" i="1" a="1"/>
  <c r="G6407" i="1" a="1"/>
  <c r="G6582" i="1" a="1"/>
  <c r="G6742" i="1" a="1"/>
  <c r="G6870" i="1" a="1"/>
  <c r="G6998" i="1" a="1"/>
  <c r="G7126" i="1" a="1"/>
  <c r="G7254" i="1" a="1"/>
  <c r="G7382" i="1" a="1"/>
  <c r="G7510" i="1" a="1"/>
  <c r="G7638" i="1" a="1"/>
  <c r="G7766" i="1" a="1"/>
  <c r="G4736" i="1" a="1"/>
  <c r="G5327" i="1" a="1"/>
  <c r="G5716" i="1" a="1"/>
  <c r="G4617" i="1" a="1"/>
  <c r="G5181" i="1" a="1"/>
  <c r="G4292" i="1" a="1"/>
  <c r="G4960" i="1" a="1"/>
  <c r="G4747" i="1" a="1"/>
  <c r="G4490" i="1" a="1"/>
  <c r="G5149" i="1" a="1"/>
  <c r="G5564" i="1" a="1"/>
  <c r="G5831" i="1" a="1"/>
  <c r="G6002" i="1" a="1"/>
  <c r="G6244" i="1" a="1"/>
  <c r="G6404" i="1" a="1"/>
  <c r="G6569" i="1" a="1"/>
  <c r="G6658" i="1" a="1"/>
  <c r="G6786" i="1" a="1"/>
  <c r="G6914" i="1" a="1"/>
  <c r="G7042" i="1" a="1"/>
  <c r="G7170" i="1" a="1"/>
  <c r="G7298" i="1" a="1"/>
  <c r="G7426" i="1" a="1"/>
  <c r="G7554" i="1" a="1"/>
  <c r="G7682" i="1" a="1"/>
  <c r="G6391" i="1" a="1"/>
  <c r="G6744" i="1" a="1"/>
  <c r="G7000" i="1" a="1"/>
  <c r="G7256" i="1" a="1"/>
  <c r="G7512" i="1" a="1"/>
  <c r="G7746" i="1" a="1"/>
  <c r="G7903" i="1" a="1"/>
  <c r="G8067" i="1" a="1"/>
  <c r="G8213" i="1" a="1"/>
  <c r="G8370" i="1" a="1"/>
  <c r="G8488" i="1" a="1"/>
  <c r="G8616" i="1" a="1"/>
  <c r="G8744" i="1" a="1"/>
  <c r="G8872" i="1" a="1"/>
  <c r="G9000" i="1" a="1"/>
  <c r="G9128" i="1" a="1"/>
  <c r="G9256" i="1" a="1"/>
  <c r="G9321" i="1" a="1"/>
  <c r="G9385" i="1" a="1"/>
  <c r="G9449" i="1" a="1"/>
  <c r="G9513" i="1" a="1"/>
  <c r="G9577" i="1" a="1"/>
  <c r="G9641" i="1" a="1"/>
  <c r="G9705" i="1" a="1"/>
  <c r="G9769" i="1" a="1"/>
  <c r="G9833" i="1" a="1"/>
  <c r="G9897" i="1" a="1"/>
  <c r="G9961" i="1" a="1"/>
  <c r="G10025" i="1" a="1"/>
  <c r="G10089" i="1" a="1"/>
  <c r="G10153" i="1" a="1"/>
  <c r="G5357" i="1" a="1"/>
  <c r="G5954" i="1" a="1"/>
  <c r="G6356" i="1" a="1"/>
  <c r="G6636" i="1" a="1"/>
  <c r="G6893" i="1" a="1"/>
  <c r="G7149" i="1" a="1"/>
  <c r="G7405" i="1" a="1"/>
  <c r="G7661" i="1" a="1"/>
  <c r="G7885" i="1" a="1"/>
  <c r="G8041" i="1" a="1"/>
  <c r="G8203" i="1" a="1"/>
  <c r="G8349" i="1" a="1"/>
  <c r="G8489" i="1" a="1"/>
  <c r="G8617" i="1" a="1"/>
  <c r="G8745" i="1" a="1"/>
  <c r="G8873" i="1" a="1"/>
  <c r="G9001" i="1" a="1"/>
  <c r="G9129" i="1" a="1"/>
  <c r="G9257" i="1" a="1"/>
  <c r="G6319" i="1" a="1"/>
  <c r="G6665" i="1" a="1"/>
  <c r="G6921" i="1" a="1"/>
  <c r="G7177" i="1" a="1"/>
  <c r="G7433" i="1" a="1"/>
  <c r="G7689" i="1" a="1"/>
  <c r="G7880" i="1" a="1"/>
  <c r="G8052" i="1" a="1"/>
  <c r="G8193" i="1" a="1"/>
  <c r="G8329" i="1" a="1"/>
  <c r="G8471" i="1" a="1"/>
  <c r="G8599" i="1" a="1"/>
  <c r="G8727" i="1" a="1"/>
  <c r="G8855" i="1" a="1"/>
  <c r="G8983" i="1" a="1"/>
  <c r="G5787" i="1" a="1"/>
  <c r="G6219" i="1" a="1"/>
  <c r="G6549" i="1" a="1"/>
  <c r="G6757" i="1" a="1"/>
  <c r="G6150" i="1" a="1"/>
  <c r="G6574" i="1" a="1"/>
  <c r="G6849" i="1" a="1"/>
  <c r="G5858" i="1" a="1"/>
  <c r="G6272" i="1" a="1"/>
  <c r="G6577" i="1" a="1"/>
  <c r="G6788" i="1" a="1"/>
  <c r="G5680" i="1" a="1"/>
  <c r="G6479" i="1" a="1"/>
  <c r="G6807" i="1" a="1"/>
  <c r="G5684" i="1" a="1"/>
  <c r="G6195" i="1" a="1"/>
  <c r="G6517" i="1" a="1"/>
  <c r="G6725" i="1" a="1"/>
  <c r="G6981" i="1" a="1"/>
  <c r="G7237" i="1" a="1"/>
  <c r="G7493" i="1" a="1"/>
  <c r="G7745" i="1" a="1"/>
  <c r="G7914" i="1" a="1"/>
  <c r="G8087" i="1" a="1"/>
  <c r="G8223" i="1" a="1"/>
  <c r="G8369" i="1" a="1"/>
  <c r="G8515" i="1" a="1"/>
  <c r="G8643" i="1" a="1"/>
  <c r="G8771" i="1" a="1"/>
  <c r="G8899" i="1" a="1"/>
  <c r="G7260" i="1" a="1"/>
  <c r="G7771" i="1" a="1"/>
  <c r="G8100" i="1" a="1"/>
  <c r="G8361" i="1" a="1"/>
  <c r="G8650" i="1" a="1"/>
  <c r="G8906" i="1" a="1"/>
  <c r="G9085" i="1" a="1"/>
  <c r="G9262" i="1" a="1"/>
  <c r="G9347" i="1" a="1"/>
  <c r="G9432" i="1" a="1"/>
  <c r="G9518" i="1" a="1"/>
  <c r="G9603" i="1" a="1"/>
  <c r="G9764" i="1" a="1"/>
  <c r="G9938" i="1" a="1"/>
  <c r="G10107" i="1" a="1"/>
  <c r="G7096" i="1" a="1"/>
  <c r="G7608" i="1" a="1"/>
  <c r="G7991" i="1" a="1"/>
  <c r="G8299" i="1" a="1"/>
  <c r="G8541" i="1" a="1"/>
  <c r="G8797" i="1" a="1"/>
  <c r="G9030" i="1" a="1"/>
  <c r="G9195" i="1" a="1"/>
  <c r="G9719" i="1" a="1"/>
  <c r="G9888" i="1" a="1"/>
  <c r="G10062" i="1" a="1"/>
  <c r="G10216" i="1" a="1"/>
  <c r="G10280" i="1" a="1"/>
  <c r="G10344" i="1" a="1"/>
  <c r="G10408" i="1" a="1"/>
  <c r="G10472" i="1" a="1"/>
  <c r="G10536" i="1" a="1"/>
  <c r="G10600" i="1" a="1"/>
  <c r="G10664" i="1" a="1"/>
  <c r="G10728" i="1" a="1"/>
  <c r="G10792" i="1" a="1"/>
  <c r="G10856" i="1" a="1"/>
  <c r="G10920" i="1" a="1"/>
  <c r="G7282" i="1" a="1"/>
  <c r="G7744" i="1" a="1"/>
  <c r="G8091" i="1" a="1"/>
  <c r="G8373" i="1" a="1"/>
  <c r="G8642" i="1" a="1"/>
  <c r="G8898" i="1" a="1"/>
  <c r="G9111" i="1" a="1"/>
  <c r="G9274" i="1" a="1"/>
  <c r="G9359" i="1" a="1"/>
  <c r="G9444" i="1" a="1"/>
  <c r="G9530" i="1" a="1"/>
  <c r="G9619" i="1" a="1"/>
  <c r="G9788" i="1" a="1"/>
  <c r="G9962" i="1" a="1"/>
  <c r="G10131" i="1" a="1"/>
  <c r="G7209" i="1" a="1"/>
  <c r="G7716" i="1" a="1"/>
  <c r="G8081" i="1" a="1"/>
  <c r="G8374" i="1" a="1"/>
  <c r="G7434" i="1" a="1"/>
  <c r="G7874" i="1" a="1"/>
  <c r="G8210" i="1" a="1"/>
  <c r="G7014" i="1" a="1"/>
  <c r="G7526" i="1" a="1"/>
  <c r="G7912" i="1" a="1"/>
  <c r="G8200" i="1" a="1"/>
  <c r="G7090" i="1" a="1"/>
  <c r="G7602" i="1" a="1"/>
  <c r="G7997" i="1" a="1"/>
  <c r="G8284" i="1" a="1"/>
  <c r="G7182" i="1" a="1"/>
  <c r="G7694" i="1" a="1"/>
  <c r="G8055" i="1" a="1"/>
  <c r="G8337" i="1" a="1"/>
  <c r="G8629" i="1" a="1"/>
  <c r="G8885" i="1" a="1"/>
  <c r="G9084" i="1" a="1"/>
  <c r="G9249" i="1" a="1"/>
  <c r="G9768" i="1" a="1"/>
  <c r="G9942" i="1" a="1"/>
  <c r="G10111" i="1" a="1"/>
  <c r="G10235" i="1" a="1"/>
  <c r="G10299" i="1" a="1"/>
  <c r="G10363" i="1" a="1"/>
  <c r="G8743" i="1" a="1"/>
  <c r="G9130" i="1" a="1"/>
  <c r="G9816" i="1" a="1"/>
  <c r="G10182" i="1" a="1"/>
  <c r="G10313" i="1" a="1"/>
  <c r="G10454" i="1" a="1"/>
  <c r="G2234" i="1" a="1"/>
  <c r="G3585" i="1" a="1"/>
  <c r="G4590" i="1" a="1"/>
  <c r="G5973" i="1" a="1"/>
  <c r="G3473" i="1" a="1"/>
  <c r="G4583" i="1" a="1"/>
  <c r="G5207" i="1" a="1"/>
  <c r="G5113" i="1" a="1"/>
  <c r="G5875" i="1" a="1"/>
  <c r="G6367" i="1" a="1"/>
  <c r="G7481" i="1" a="1"/>
  <c r="G8281" i="1" a="1"/>
  <c r="G3484" i="1" a="1"/>
  <c r="G4758" i="1" a="1"/>
  <c r="G5346" i="1" a="1"/>
  <c r="G5715" i="1" a="1"/>
  <c r="G5888" i="1" a="1"/>
  <c r="G6090" i="1" a="1"/>
  <c r="G6277" i="1" a="1"/>
  <c r="G6444" i="1" a="1"/>
  <c r="G6592" i="1" a="1"/>
  <c r="G6691" i="1" a="1"/>
  <c r="G6819" i="1" a="1"/>
  <c r="G6947" i="1" a="1"/>
  <c r="G7075" i="1" a="1"/>
  <c r="G7203" i="1" a="1"/>
  <c r="G7331" i="1" a="1"/>
  <c r="G7459" i="1" a="1"/>
  <c r="G7587" i="1" a="1"/>
  <c r="G7715" i="1" a="1"/>
  <c r="G7843" i="1" a="1"/>
  <c r="G7971" i="1" a="1"/>
  <c r="G4217" i="1" a="1"/>
  <c r="G5055" i="1" a="1"/>
  <c r="G5520" i="1" a="1"/>
  <c r="G6136" i="1" a="1"/>
  <c r="G6425" i="1" a="1"/>
  <c r="G6598" i="1" a="1"/>
  <c r="G6751" i="1" a="1"/>
  <c r="G6879" i="1" a="1"/>
  <c r="G7007" i="1" a="1"/>
  <c r="G7135" i="1" a="1"/>
  <c r="G7263" i="1" a="1"/>
  <c r="G7391" i="1" a="1"/>
  <c r="G7519" i="1" a="1"/>
  <c r="G7647" i="1" a="1"/>
  <c r="G3623" i="1" a="1"/>
  <c r="G4760" i="1" a="1"/>
  <c r="G5348" i="1" a="1"/>
  <c r="G5740" i="1" a="1"/>
  <c r="G4641" i="1" a="1"/>
  <c r="G5202" i="1" a="1"/>
  <c r="G4351" i="1" a="1"/>
  <c r="G5023" i="1" a="1"/>
  <c r="G4793" i="1" a="1"/>
  <c r="G4519" i="1" a="1"/>
  <c r="G5170" i="1" a="1"/>
  <c r="G5588" i="1" a="1"/>
  <c r="G5842" i="1" a="1"/>
  <c r="G6012" i="1" a="1"/>
  <c r="G6252" i="1" a="1"/>
  <c r="G6411" i="1" a="1"/>
  <c r="G6575" i="1" a="1"/>
  <c r="G6667" i="1" a="1"/>
  <c r="G6795" i="1" a="1"/>
  <c r="G6923" i="1" a="1"/>
  <c r="G7051" i="1" a="1"/>
  <c r="G7179" i="1" a="1"/>
  <c r="G7307" i="1" a="1"/>
  <c r="G7435" i="1" a="1"/>
  <c r="G7563" i="1" a="1"/>
  <c r="G7691" i="1" a="1"/>
  <c r="G6416" i="1" a="1"/>
  <c r="G6753" i="1" a="1"/>
  <c r="G7009" i="1" a="1"/>
  <c r="G7265" i="1" a="1"/>
  <c r="G7521" i="1" a="1"/>
  <c r="G7754" i="1" a="1"/>
  <c r="G7921" i="1" a="1"/>
  <c r="G8072" i="1" a="1"/>
  <c r="G8234" i="1" a="1"/>
  <c r="G8375" i="1" a="1"/>
  <c r="G8493" i="1" a="1"/>
  <c r="G8621" i="1" a="1"/>
  <c r="G8749" i="1" a="1"/>
  <c r="G8877" i="1" a="1"/>
  <c r="G9005" i="1" a="1"/>
  <c r="G9133" i="1" a="1"/>
  <c r="G9261" i="1" a="1"/>
  <c r="G9325" i="1" a="1"/>
  <c r="G9389" i="1" a="1"/>
  <c r="G9453" i="1" a="1"/>
  <c r="G9517" i="1" a="1"/>
  <c r="G9581" i="1" a="1"/>
  <c r="G9645" i="1" a="1"/>
  <c r="G9709" i="1" a="1"/>
  <c r="G9773" i="1" a="1"/>
  <c r="G9837" i="1" a="1"/>
  <c r="G9901" i="1" a="1"/>
  <c r="G9965" i="1" a="1"/>
  <c r="G10029" i="1" a="1"/>
  <c r="G10093" i="1" a="1"/>
  <c r="G10157" i="1" a="1"/>
  <c r="G5428" i="1" a="1"/>
  <c r="G5975" i="1" a="1"/>
  <c r="G6381" i="1" a="1"/>
  <c r="G6674" i="1" a="1"/>
  <c r="G6930" i="1" a="1"/>
  <c r="G7186" i="1" a="1"/>
  <c r="G7442" i="1" a="1"/>
  <c r="G7718" i="1" a="1"/>
  <c r="G7891" i="1" a="1"/>
  <c r="G8078" i="1" a="1"/>
  <c r="G8214" i="1" a="1"/>
  <c r="G8355" i="1" a="1"/>
  <c r="G8498" i="1" a="1"/>
  <c r="G8626" i="1" a="1"/>
  <c r="G8754" i="1" a="1"/>
  <c r="G8882" i="1" a="1"/>
  <c r="G9010" i="1" a="1"/>
  <c r="G9138" i="1" a="1"/>
  <c r="G5107" i="1" a="1"/>
  <c r="G6344" i="1" a="1"/>
  <c r="G6702" i="1" a="1"/>
  <c r="G6958" i="1" a="1"/>
  <c r="G7214" i="1" a="1"/>
  <c r="G7470" i="1" a="1"/>
  <c r="G7698" i="1" a="1"/>
  <c r="G7886" i="1" a="1"/>
  <c r="G8058" i="1" a="1"/>
  <c r="G8204" i="1" a="1"/>
  <c r="G8366" i="1" a="1"/>
  <c r="G8480" i="1" a="1"/>
  <c r="G8608" i="1" a="1"/>
  <c r="G8736" i="1" a="1"/>
  <c r="G8864" i="1" a="1"/>
  <c r="G8992" i="1" a="1"/>
  <c r="G5808" i="1" a="1"/>
  <c r="G6235" i="1" a="1"/>
  <c r="G6563" i="1" a="1"/>
  <c r="G6794" i="1" a="1"/>
  <c r="G6168" i="1" a="1"/>
  <c r="G6606" i="1" a="1"/>
  <c r="G6886" i="1" a="1"/>
  <c r="G5879" i="1" a="1"/>
  <c r="G6285" i="1" a="1"/>
  <c r="G6588" i="1" a="1"/>
  <c r="G6797" i="1" a="1"/>
  <c r="G5744" i="1" a="1"/>
  <c r="G6504" i="1" a="1"/>
  <c r="G6816" i="1" a="1"/>
  <c r="G5776" i="1" a="1"/>
  <c r="G6211" i="1" a="1"/>
  <c r="G6531" i="1" a="1"/>
  <c r="G6762" i="1" a="1"/>
  <c r="G7018" i="1" a="1"/>
  <c r="G7274" i="1" a="1"/>
  <c r="G7530" i="1" a="1"/>
  <c r="G7753" i="1" a="1"/>
  <c r="G7932" i="1" a="1"/>
  <c r="G8092" i="1" a="1"/>
  <c r="G8228" i="1" a="1"/>
  <c r="G8390" i="1" a="1"/>
  <c r="G8524" i="1" a="1"/>
  <c r="G8652" i="1" a="1"/>
  <c r="G8780" i="1" a="1"/>
  <c r="G8908" i="1" a="1"/>
  <c r="G7315" i="1" a="1"/>
  <c r="G7795" i="1" a="1"/>
  <c r="G8142" i="1" a="1"/>
  <c r="G8403" i="1" a="1"/>
  <c r="G8659" i="1" a="1"/>
  <c r="G8915" i="1" a="1"/>
  <c r="G9103" i="1" a="1"/>
  <c r="G9267" i="1" a="1"/>
  <c r="G9352" i="1" a="1"/>
  <c r="G9438" i="1" a="1"/>
  <c r="G9523" i="1" a="1"/>
  <c r="G9608" i="1" a="1"/>
  <c r="G9778" i="1" a="1"/>
  <c r="G9947" i="1" a="1"/>
  <c r="G10116" i="1" a="1"/>
  <c r="G7151" i="1" a="1"/>
  <c r="G7663" i="1" a="1"/>
  <c r="G8015" i="1" a="1"/>
  <c r="G8310" i="1" a="1"/>
  <c r="G8550" i="1" a="1"/>
  <c r="G8806" i="1" a="1"/>
  <c r="G9036" i="1" a="1"/>
  <c r="G9201" i="1" a="1"/>
  <c r="G9728" i="1" a="1"/>
  <c r="G9902" i="1" a="1"/>
  <c r="G10071" i="1" a="1"/>
  <c r="G10220" i="1" a="1"/>
  <c r="G10284" i="1" a="1"/>
  <c r="G10348" i="1" a="1"/>
  <c r="G10412" i="1" a="1"/>
  <c r="G10476" i="1" a="1"/>
  <c r="G10540" i="1" a="1"/>
  <c r="G10604" i="1" a="1"/>
  <c r="G10668" i="1" a="1"/>
  <c r="G10732" i="1" a="1"/>
  <c r="G10796" i="1" a="1"/>
  <c r="G10860" i="1" a="1"/>
  <c r="G10924" i="1" a="1"/>
  <c r="G7300" i="1" a="1"/>
  <c r="G7772" i="1" a="1"/>
  <c r="G8101" i="1" a="1"/>
  <c r="G8394" i="1" a="1"/>
  <c r="G8651" i="1" a="1"/>
  <c r="G8907" i="1" a="1"/>
  <c r="G9117" i="1" a="1"/>
  <c r="G9279" i="1" a="1"/>
  <c r="G9364" i="1" a="1"/>
  <c r="G9450" i="1" a="1"/>
  <c r="G9535" i="1" a="1"/>
  <c r="G9628" i="1" a="1"/>
  <c r="G9802" i="1" a="1"/>
  <c r="G9971" i="1" a="1"/>
  <c r="G10140" i="1" a="1"/>
  <c r="G7246" i="1" a="1"/>
  <c r="G7759" i="1" a="1"/>
  <c r="G8102" i="1" a="1"/>
  <c r="G6922" i="1" a="1"/>
  <c r="G7452" i="1" a="1"/>
  <c r="G7899" i="1" a="1"/>
  <c r="G8220" i="1" a="1"/>
  <c r="G7032" i="1" a="1"/>
  <c r="G7544" i="1" a="1"/>
  <c r="G7936" i="1" a="1"/>
  <c r="G8242" i="1" a="1"/>
  <c r="G7108" i="1" a="1"/>
  <c r="G7620" i="1" a="1"/>
  <c r="G8010" i="1" a="1"/>
  <c r="G8305" i="1" a="1"/>
  <c r="G7200" i="1" a="1"/>
  <c r="G7708" i="1" a="1"/>
  <c r="G8065" i="1" a="1"/>
  <c r="G8358" i="1" a="1"/>
  <c r="G8638" i="1" a="1"/>
  <c r="G8894" i="1" a="1"/>
  <c r="G9090" i="1" a="1"/>
  <c r="G9260" i="1" a="1"/>
  <c r="G9782" i="1" a="1"/>
  <c r="G9951" i="1" a="1"/>
  <c r="G10120" i="1" a="1"/>
  <c r="G10239" i="1" a="1"/>
  <c r="G10303" i="1" a="1"/>
  <c r="G10367" i="1" a="1"/>
  <c r="G8798" i="1" a="1"/>
  <c r="G9154" i="1" a="1"/>
  <c r="G9862" i="1" a="1"/>
  <c r="G10191" i="1" a="1"/>
  <c r="G10321" i="1" a="1"/>
  <c r="G10461" i="1" a="1"/>
  <c r="G2932" i="1" a="1"/>
  <c r="G3830" i="1" a="1"/>
  <c r="G3705" i="1" a="1"/>
  <c r="G6037" i="1" a="1"/>
  <c r="G3858" i="1" a="1"/>
  <c r="G4779" i="1" a="1"/>
  <c r="G5451" i="1" a="1"/>
  <c r="G5433" i="1" a="1"/>
  <c r="G5880" i="1" a="1"/>
  <c r="G6385" i="1" a="1"/>
  <c r="G7486" i="1" a="1"/>
  <c r="G8286" i="1" a="1"/>
  <c r="G3751" i="1" a="1"/>
  <c r="G4782" i="1" a="1"/>
  <c r="G5409" i="1" a="1"/>
  <c r="G5726" i="1" a="1"/>
  <c r="G5899" i="1" a="1"/>
  <c r="G6099" i="1" a="1"/>
  <c r="G6284" i="1" a="1"/>
  <c r="G6451" i="1" a="1"/>
  <c r="G6597" i="1" a="1"/>
  <c r="G6700" i="1" a="1"/>
  <c r="G6828" i="1" a="1"/>
  <c r="G6956" i="1" a="1"/>
  <c r="G7084" i="1" a="1"/>
  <c r="G7212" i="1" a="1"/>
  <c r="G7340" i="1" a="1"/>
  <c r="G7468" i="1" a="1"/>
  <c r="G7596" i="1" a="1"/>
  <c r="G7724" i="1" a="1"/>
  <c r="G7852" i="1" a="1"/>
  <c r="G7980" i="1" a="1"/>
  <c r="G4270" i="1" a="1"/>
  <c r="G5117" i="1" a="1"/>
  <c r="G5544" i="1" a="1"/>
  <c r="G6182" i="1" a="1"/>
  <c r="G6432" i="1" a="1"/>
  <c r="G6614" i="1" a="1"/>
  <c r="G6760" i="1" a="1"/>
  <c r="G6888" i="1" a="1"/>
  <c r="G7016" i="1" a="1"/>
  <c r="G7144" i="1" a="1"/>
  <c r="G7272" i="1" a="1"/>
  <c r="G7400" i="1" a="1"/>
  <c r="G7528" i="1" a="1"/>
  <c r="G7656" i="1" a="1"/>
  <c r="G3831" i="1" a="1"/>
  <c r="G4825" i="1" a="1"/>
  <c r="G5410" i="1" a="1"/>
  <c r="G5751" i="1" a="1"/>
  <c r="G4665" i="1" a="1"/>
  <c r="G5223" i="1" a="1"/>
  <c r="G4489" i="1" a="1"/>
  <c r="G5085" i="1" a="1"/>
  <c r="G4814" i="1" a="1"/>
  <c r="G4546" i="1" a="1"/>
  <c r="G5191" i="1" a="1"/>
  <c r="G5612" i="1" a="1"/>
  <c r="G5852" i="1" a="1"/>
  <c r="G6050" i="1" a="1"/>
  <c r="G6260" i="1" a="1"/>
  <c r="G6429" i="1" a="1"/>
  <c r="G6580" i="1" a="1"/>
  <c r="G6676" i="1" a="1"/>
  <c r="G6804" i="1" a="1"/>
  <c r="G6932" i="1" a="1"/>
  <c r="G7060" i="1" a="1"/>
  <c r="G7188" i="1" a="1"/>
  <c r="G7316" i="1" a="1"/>
  <c r="G7444" i="1" a="1"/>
  <c r="G7572" i="1" a="1"/>
  <c r="G5253" i="1" a="1"/>
  <c r="G6441" i="1" a="1"/>
  <c r="G6790" i="1" a="1"/>
  <c r="G7046" i="1" a="1"/>
  <c r="G7302" i="1" a="1"/>
  <c r="G7558" i="1" a="1"/>
  <c r="G7762" i="1" a="1"/>
  <c r="G7927" i="1" a="1"/>
  <c r="G8077" i="1" a="1"/>
  <c r="G8239" i="1" a="1"/>
  <c r="G8380" i="1" a="1"/>
  <c r="G8502" i="1" a="1"/>
  <c r="G8630" i="1" a="1"/>
  <c r="G8758" i="1" a="1"/>
  <c r="G8886" i="1" a="1"/>
  <c r="G9014" i="1" a="1"/>
  <c r="G9142" i="1" a="1"/>
  <c r="G9265" i="1" a="1"/>
  <c r="G9329" i="1" a="1"/>
  <c r="G9393" i="1" a="1"/>
  <c r="G9457" i="1" a="1"/>
  <c r="G9521" i="1" a="1"/>
  <c r="G9585" i="1" a="1"/>
  <c r="G9649" i="1" a="1"/>
  <c r="G9713" i="1" a="1"/>
  <c r="G9777" i="1" a="1"/>
  <c r="G9841" i="1" a="1"/>
  <c r="G9905" i="1" a="1"/>
  <c r="G9969" i="1" a="1"/>
  <c r="G10033" i="1" a="1"/>
  <c r="G10097" i="1" a="1"/>
  <c r="G10161" i="1" a="1"/>
  <c r="G5497" i="1" a="1"/>
  <c r="G5996" i="1" a="1"/>
  <c r="G6395" i="1" a="1"/>
  <c r="G6683" i="1" a="1"/>
  <c r="G6939" i="1" a="1"/>
  <c r="G7195" i="1" a="1"/>
  <c r="G7451" i="1" a="1"/>
  <c r="G7726" i="1" a="1"/>
  <c r="G7909" i="1" a="1"/>
  <c r="G8083" i="1" a="1"/>
  <c r="G8219" i="1" a="1"/>
  <c r="G8360" i="1" a="1"/>
  <c r="G8507" i="1" a="1"/>
  <c r="G8635" i="1" a="1"/>
  <c r="G8763" i="1" a="1"/>
  <c r="G8891" i="1" a="1"/>
  <c r="G9019" i="1" a="1"/>
  <c r="G9147" i="1" a="1"/>
  <c r="G5190" i="1" a="1"/>
  <c r="G6369" i="1" a="1"/>
  <c r="G6711" i="1" a="1"/>
  <c r="G6967" i="1" a="1"/>
  <c r="G7223" i="1" a="1"/>
  <c r="G7479" i="1" a="1"/>
  <c r="G7704" i="1" a="1"/>
  <c r="G7904" i="1" a="1"/>
  <c r="G8063" i="1" a="1"/>
  <c r="G8209" i="1" a="1"/>
  <c r="G8371" i="1" a="1"/>
  <c r="G8485" i="1" a="1"/>
  <c r="G8613" i="1" a="1"/>
  <c r="G8741" i="1" a="1"/>
  <c r="G8869" i="1" a="1"/>
  <c r="G8997" i="1" a="1"/>
  <c r="G5830" i="1" a="1"/>
  <c r="G6251" i="1" a="1"/>
  <c r="G6573" i="1" a="1"/>
  <c r="G6803" i="1" a="1"/>
  <c r="G6281" i="1" a="1"/>
  <c r="G6638" i="1" a="1"/>
  <c r="G6895" i="1" a="1"/>
  <c r="G5900" i="1" a="1"/>
  <c r="G6299" i="1" a="1"/>
  <c r="G6599" i="1" a="1"/>
  <c r="G6834" i="1" a="1"/>
  <c r="G6046" i="1" a="1"/>
  <c r="G6529" i="1" a="1"/>
  <c r="G6825" i="1" a="1"/>
  <c r="G5798" i="1" a="1"/>
  <c r="G6227" i="1" a="1"/>
  <c r="G6556" i="1" a="1"/>
  <c r="G6771" i="1" a="1"/>
  <c r="G7027" i="1" a="1"/>
  <c r="G7283" i="1" a="1"/>
  <c r="G7539" i="1" a="1"/>
  <c r="G7773" i="1" a="1"/>
  <c r="G7938" i="1" a="1"/>
  <c r="G8097" i="1" a="1"/>
  <c r="G8233" i="1" a="1"/>
  <c r="G8395" i="1" a="1"/>
  <c r="G8529" i="1" a="1"/>
  <c r="G8657" i="1" a="1"/>
  <c r="G8785" i="1" a="1"/>
  <c r="G8913" i="1" a="1"/>
  <c r="G7333" i="1" a="1"/>
  <c r="G7819" i="1" a="1"/>
  <c r="G8152" i="1" a="1"/>
  <c r="G8412" i="1" a="1"/>
  <c r="G8668" i="1" a="1"/>
  <c r="G8924" i="1" a="1"/>
  <c r="G9109" i="1" a="1"/>
  <c r="G9272" i="1" a="1"/>
  <c r="G9358" i="1" a="1"/>
  <c r="G9443" i="1" a="1"/>
  <c r="G9528" i="1" a="1"/>
  <c r="G9618" i="1" a="1"/>
  <c r="G9787" i="1" a="1"/>
  <c r="G9956" i="1" a="1"/>
  <c r="G10130" i="1" a="1"/>
  <c r="G7169" i="1" a="1"/>
  <c r="G7681" i="1" a="1"/>
  <c r="G8038" i="1" a="1"/>
  <c r="G8320" i="1" a="1"/>
  <c r="G8559" i="1" a="1"/>
  <c r="G8815" i="1" a="1"/>
  <c r="G9043" i="1" a="1"/>
  <c r="G9219" i="1" a="1"/>
  <c r="G9742" i="1" a="1"/>
  <c r="G9911" i="1" a="1"/>
  <c r="G10080" i="1" a="1"/>
  <c r="G10224" i="1" a="1"/>
  <c r="G10288" i="1" a="1"/>
  <c r="G10352" i="1" a="1"/>
  <c r="G10416" i="1" a="1"/>
  <c r="G10480" i="1" a="1"/>
  <c r="G10544" i="1" a="1"/>
  <c r="G10608" i="1" a="1"/>
  <c r="G10672" i="1" a="1"/>
  <c r="G10736" i="1" a="1"/>
  <c r="G10800" i="1" a="1"/>
  <c r="G10864" i="1" a="1"/>
  <c r="G10928" i="1" a="1"/>
  <c r="G7355" i="1" a="1"/>
  <c r="G7796" i="1" a="1"/>
  <c r="G8143" i="1" a="1"/>
  <c r="G8404" i="1" a="1"/>
  <c r="G8660" i="1" a="1"/>
  <c r="G8916" i="1" a="1"/>
  <c r="G9135" i="1" a="1"/>
  <c r="G9284" i="1" a="1"/>
  <c r="G9370" i="1" a="1"/>
  <c r="G9455" i="1" a="1"/>
  <c r="G9540" i="1" a="1"/>
  <c r="G9642" i="1" a="1"/>
  <c r="G9811" i="1" a="1"/>
  <c r="G9980" i="1" a="1"/>
  <c r="G10154" i="1" a="1"/>
  <c r="G7264" i="1" a="1"/>
  <c r="G7785" i="1" a="1"/>
  <c r="G8123" i="1" a="1"/>
  <c r="G6995" i="1" a="1"/>
  <c r="G7507" i="1" a="1"/>
  <c r="G7923" i="1" a="1"/>
  <c r="G8241" i="1" a="1"/>
  <c r="G7087" i="1" a="1"/>
  <c r="G7599" i="1" a="1"/>
  <c r="G7960" i="1" a="1"/>
  <c r="G8252" i="1" a="1"/>
  <c r="G7163" i="1" a="1"/>
  <c r="G7675" i="1" a="1"/>
  <c r="G8033" i="1" a="1"/>
  <c r="G8326" i="1" a="1"/>
  <c r="G7255" i="1" a="1"/>
  <c r="G7767" i="1" a="1"/>
  <c r="G8076" i="1" a="1"/>
  <c r="G8379" i="1" a="1"/>
  <c r="G8647" i="1" a="1"/>
  <c r="G8903" i="1" a="1"/>
  <c r="G9108" i="1" a="1"/>
  <c r="G9622" i="1" a="1"/>
  <c r="G9791" i="1" a="1"/>
  <c r="G9960" i="1" a="1"/>
  <c r="G10134" i="1" a="1"/>
  <c r="G10243" i="1" a="1"/>
  <c r="G10307" i="1" a="1"/>
  <c r="G10371" i="1" a="1"/>
  <c r="G8816" i="1" a="1"/>
  <c r="G9178" i="1" a="1"/>
  <c r="G9871" i="1" a="1"/>
  <c r="G10200" i="1" a="1"/>
  <c r="G10329" i="1" a="1"/>
  <c r="G10479" i="1" a="1"/>
  <c r="G3692" i="1" a="1"/>
  <c r="G3992" i="1" a="1"/>
  <c r="G4034" i="1" a="1"/>
  <c r="G6101" i="1" a="1"/>
  <c r="G4151" i="1" a="1"/>
  <c r="G4910" i="1" a="1"/>
  <c r="G5628" i="1" a="1"/>
  <c r="G5610" i="1" a="1"/>
  <c r="G5960" i="1" a="1"/>
  <c r="G6545" i="1" a="1"/>
  <c r="G7609" i="1" a="1"/>
  <c r="G8295" i="1" a="1"/>
  <c r="G3988" i="1" a="1"/>
  <c r="G4824" i="1" a="1"/>
  <c r="G5422" i="1" a="1"/>
  <c r="G5739" i="1" a="1"/>
  <c r="G5910" i="1" a="1"/>
  <c r="G6108" i="1" a="1"/>
  <c r="G6291" i="1" a="1"/>
  <c r="G6469" i="1" a="1"/>
  <c r="G6603" i="1" a="1"/>
  <c r="G6709" i="1" a="1"/>
  <c r="G6837" i="1" a="1"/>
  <c r="G6965" i="1" a="1"/>
  <c r="G7093" i="1" a="1"/>
  <c r="G7221" i="1" a="1"/>
  <c r="G7349" i="1" a="1"/>
  <c r="G7477" i="1" a="1"/>
  <c r="G7605" i="1" a="1"/>
  <c r="G7733" i="1" a="1"/>
  <c r="G7861" i="1" a="1"/>
  <c r="G7989" i="1" a="1"/>
  <c r="G4374" i="1" a="1"/>
  <c r="G5138" i="1" a="1"/>
  <c r="G5569" i="1" a="1"/>
  <c r="G6191" i="1" a="1"/>
  <c r="G6439" i="1" a="1"/>
  <c r="G6630" i="1" a="1"/>
  <c r="G6769" i="1" a="1"/>
  <c r="G6897" i="1" a="1"/>
  <c r="G7025" i="1" a="1"/>
  <c r="G7153" i="1" a="1"/>
  <c r="G7281" i="1" a="1"/>
  <c r="G7409" i="1" a="1"/>
  <c r="G7537" i="1" a="1"/>
  <c r="G7665" i="1" a="1"/>
  <c r="G4051" i="1" a="1"/>
  <c r="G4846" i="1" a="1"/>
  <c r="G5436" i="1" a="1"/>
  <c r="G5762" i="1" a="1"/>
  <c r="G4689" i="1" a="1"/>
  <c r="G5244" i="1" a="1"/>
  <c r="G4545" i="1" a="1"/>
  <c r="G3699" i="1" a="1"/>
  <c r="G4856" i="1" a="1"/>
  <c r="G4603" i="1" a="1"/>
  <c r="G5212" i="1" a="1"/>
  <c r="G5637" i="1" a="1"/>
  <c r="G5863" i="1" a="1"/>
  <c r="G6059" i="1" a="1"/>
  <c r="G6268" i="1" a="1"/>
  <c r="G6436" i="1" a="1"/>
  <c r="G6585" i="1" a="1"/>
  <c r="G6685" i="1" a="1"/>
  <c r="G6813" i="1" a="1"/>
  <c r="G6941" i="1" a="1"/>
  <c r="G7069" i="1" a="1"/>
  <c r="G7197" i="1" a="1"/>
  <c r="G7325" i="1" a="1"/>
  <c r="G7453" i="1" a="1"/>
  <c r="G7581" i="1" a="1"/>
  <c r="G5416" i="1" a="1"/>
  <c r="G6455" i="1" a="1"/>
  <c r="G6799" i="1" a="1"/>
  <c r="G7055" i="1" a="1"/>
  <c r="G7311" i="1" a="1"/>
  <c r="G7567" i="1" a="1"/>
  <c r="G7768" i="1" a="1"/>
  <c r="G7945" i="1" a="1"/>
  <c r="G8098" i="1" a="1"/>
  <c r="G8244" i="1" a="1"/>
  <c r="G8385" i="1" a="1"/>
  <c r="G8511" i="1" a="1"/>
  <c r="G8639" i="1" a="1"/>
  <c r="G8767" i="1" a="1"/>
  <c r="G8895" i="1" a="1"/>
  <c r="G9023" i="1" a="1"/>
  <c r="G9151" i="1" a="1"/>
  <c r="G9269" i="1" a="1"/>
  <c r="G9333" i="1" a="1"/>
  <c r="G9397" i="1" a="1"/>
  <c r="G9461" i="1" a="1"/>
  <c r="G9525" i="1" a="1"/>
  <c r="G9589" i="1" a="1"/>
  <c r="G9653" i="1" a="1"/>
  <c r="G9717" i="1" a="1"/>
  <c r="G9781" i="1" a="1"/>
  <c r="G9845" i="1" a="1"/>
  <c r="G9909" i="1" a="1"/>
  <c r="G9973" i="1" a="1"/>
  <c r="G10037" i="1" a="1"/>
  <c r="G10101" i="1" a="1"/>
  <c r="G10165" i="1" a="1"/>
  <c r="G5594" i="1" a="1"/>
  <c r="G6018" i="1" a="1"/>
  <c r="G6420" i="1" a="1"/>
  <c r="G6692" i="1" a="1"/>
  <c r="G6948" i="1" a="1"/>
  <c r="G7204" i="1" a="1"/>
  <c r="G7460" i="1" a="1"/>
  <c r="G7732" i="1" a="1"/>
  <c r="G7915" i="1" a="1"/>
  <c r="G8088" i="1" a="1"/>
  <c r="G8224" i="1" a="1"/>
  <c r="G8365" i="1" a="1"/>
  <c r="G8516" i="1" a="1"/>
  <c r="G8644" i="1" a="1"/>
  <c r="G8772" i="1" a="1"/>
  <c r="G8900" i="1" a="1"/>
  <c r="G9028" i="1" a="1"/>
  <c r="G9156" i="1" a="1"/>
  <c r="G5274" i="1" a="1"/>
  <c r="G6383" i="1" a="1"/>
  <c r="G6720" i="1" a="1"/>
  <c r="G6976" i="1" a="1"/>
  <c r="G7232" i="1" a="1"/>
  <c r="G7488" i="1" a="1"/>
  <c r="G7712" i="1" a="1"/>
  <c r="G7910" i="1" a="1"/>
  <c r="G8068" i="1" a="1"/>
  <c r="G8230" i="1" a="1"/>
  <c r="G8376" i="1" a="1"/>
  <c r="G8494" i="1" a="1"/>
  <c r="G8622" i="1" a="1"/>
  <c r="G8750" i="1" a="1"/>
  <c r="G8878" i="1" a="1"/>
  <c r="G9006" i="1" a="1"/>
  <c r="G5851" i="1" a="1"/>
  <c r="G6267" i="1" a="1"/>
  <c r="G6584" i="1" a="1"/>
  <c r="G5128" i="1" a="1"/>
  <c r="G6295" i="1" a="1"/>
  <c r="G6648" i="1" a="1"/>
  <c r="G6904" i="1" a="1"/>
  <c r="G5922" i="1" a="1"/>
  <c r="G6324" i="1" a="1"/>
  <c r="G6609" i="1" a="1"/>
  <c r="G6843" i="1" a="1"/>
  <c r="G6064" i="1" a="1"/>
  <c r="G6543" i="1" a="1"/>
  <c r="G6862" i="1" a="1"/>
  <c r="G5819" i="1" a="1"/>
  <c r="G6243" i="1" a="1"/>
  <c r="G6568" i="1" a="1"/>
  <c r="G6780" i="1" a="1"/>
  <c r="G7036" i="1" a="1"/>
  <c r="G7292" i="1" a="1"/>
  <c r="G7548" i="1" a="1"/>
  <c r="G7780" i="1" a="1"/>
  <c r="G7956" i="1" a="1"/>
  <c r="G8108" i="1" a="1"/>
  <c r="G8270" i="1" a="1"/>
  <c r="G8410" i="1" a="1"/>
  <c r="G8538" i="1" a="1"/>
  <c r="G8666" i="1" a="1"/>
  <c r="G8794" i="1" a="1"/>
  <c r="G8922" i="1" a="1"/>
  <c r="G7370" i="1" a="1"/>
  <c r="G7844" i="1" a="1"/>
  <c r="G8163" i="1" a="1"/>
  <c r="G8449" i="1" a="1"/>
  <c r="G8705" i="1" a="1"/>
  <c r="G8940" i="1" a="1"/>
  <c r="G9127" i="1" a="1"/>
  <c r="G9278" i="1" a="1"/>
  <c r="G9363" i="1" a="1"/>
  <c r="G9448" i="1" a="1"/>
  <c r="G9534" i="1" a="1"/>
  <c r="G9627" i="1" a="1"/>
  <c r="G9796" i="1" a="1"/>
  <c r="G9970" i="1" a="1"/>
  <c r="G10139" i="1" a="1"/>
  <c r="G7206" i="1" a="1"/>
  <c r="G7699" i="1" a="1"/>
  <c r="G8059" i="1" a="1"/>
  <c r="G8341" i="1" a="1"/>
  <c r="G8568" i="1" a="1"/>
  <c r="G8824" i="1" a="1"/>
  <c r="G9049" i="1" a="1"/>
  <c r="G9226" i="1" a="1"/>
  <c r="G9751" i="1" a="1"/>
  <c r="G9920" i="1" a="1"/>
  <c r="G10094" i="1" a="1"/>
  <c r="G10228" i="1" a="1"/>
  <c r="G10292" i="1" a="1"/>
  <c r="G10356" i="1" a="1"/>
  <c r="G10420" i="1" a="1"/>
  <c r="G10484" i="1" a="1"/>
  <c r="G10548" i="1" a="1"/>
  <c r="G10612" i="1" a="1"/>
  <c r="G10676" i="1" a="1"/>
  <c r="G10740" i="1" a="1"/>
  <c r="G10804" i="1" a="1"/>
  <c r="G10868" i="1" a="1"/>
  <c r="G10932" i="1" a="1"/>
  <c r="G7373" i="1" a="1"/>
  <c r="G7821" i="1" a="1"/>
  <c r="G8154" i="1" a="1"/>
  <c r="G8441" i="1" a="1"/>
  <c r="G8697" i="1" a="1"/>
  <c r="G8943" i="1" a="1"/>
  <c r="G9141" i="1" a="1"/>
  <c r="G9290" i="1" a="1"/>
  <c r="G9375" i="1" a="1"/>
  <c r="G9460" i="1" a="1"/>
  <c r="G9546" i="1" a="1"/>
  <c r="G9651" i="1" a="1"/>
  <c r="G9820" i="1" a="1"/>
  <c r="G9994" i="1" a="1"/>
  <c r="G10163" i="1" a="1"/>
  <c r="G7319" i="1" a="1"/>
  <c r="G7798" i="1" a="1"/>
  <c r="G8133" i="1" a="1"/>
  <c r="G7013" i="1" a="1"/>
  <c r="G7525" i="1" a="1"/>
  <c r="G7947" i="1" a="1"/>
  <c r="G8262" i="1" a="1"/>
  <c r="G7105" i="1" a="1"/>
  <c r="G7617" i="1" a="1"/>
  <c r="G7985" i="1" a="1"/>
  <c r="G8273" i="1" a="1"/>
  <c r="G7181" i="1" a="1"/>
  <c r="G7693" i="1" a="1"/>
  <c r="G8044" i="1" a="1"/>
  <c r="G8347" i="1" a="1"/>
  <c r="G7273" i="1" a="1"/>
  <c r="G7791" i="1" a="1"/>
  <c r="G8107" i="1" a="1"/>
  <c r="G8389" i="1" a="1"/>
  <c r="G8656" i="1" a="1"/>
  <c r="G8912" i="1" a="1"/>
  <c r="G9114" i="1" a="1"/>
  <c r="G9631" i="1" a="1"/>
  <c r="G9800" i="1" a="1"/>
  <c r="G9974" i="1" a="1"/>
  <c r="G10143" i="1" a="1"/>
  <c r="G10247" i="1" a="1"/>
  <c r="G10311" i="1" a="1"/>
  <c r="G10375" i="1" a="1"/>
  <c r="G8853" i="1" a="1"/>
  <c r="G9203" i="1" a="1"/>
  <c r="G9880" i="1" a="1"/>
  <c r="G10209" i="1" a="1"/>
  <c r="G10337" i="1" a="1"/>
  <c r="G10486" i="1" a="1"/>
  <c r="G4716" i="1" a="1"/>
  <c r="G4128" i="1" a="1"/>
  <c r="G4348" i="1" a="1"/>
  <c r="G6165" i="1" a="1"/>
  <c r="G4427" i="1" a="1"/>
  <c r="G5072" i="1" a="1"/>
  <c r="G5770" i="1" a="1"/>
  <c r="G6062" i="1" a="1"/>
  <c r="G5966" i="1" a="1"/>
  <c r="G6552" i="1" a="1"/>
  <c r="G7614" i="1" a="1"/>
  <c r="G8304" i="1" a="1"/>
  <c r="G4041" i="1" a="1"/>
  <c r="G4845" i="1" a="1"/>
  <c r="G5446" i="1" a="1"/>
  <c r="G5750" i="1" a="1"/>
  <c r="G5920" i="1" a="1"/>
  <c r="G6154" i="1" a="1"/>
  <c r="G6309" i="1" a="1"/>
  <c r="G6476" i="1" a="1"/>
  <c r="G6608" i="1" a="1"/>
  <c r="G6714" i="1" a="1"/>
  <c r="G6842" i="1" a="1"/>
  <c r="G6970" i="1" a="1"/>
  <c r="G7098" i="1" a="1"/>
  <c r="G7226" i="1" a="1"/>
  <c r="G7354" i="1" a="1"/>
  <c r="G7482" i="1" a="1"/>
  <c r="G7610" i="1" a="1"/>
  <c r="G7738" i="1" a="1"/>
  <c r="G7866" i="1" a="1"/>
  <c r="G7994" i="1" a="1"/>
  <c r="G4412" i="1" a="1"/>
  <c r="G5159" i="1" a="1"/>
  <c r="G5593" i="1" a="1"/>
  <c r="G6279" i="1" a="1"/>
  <c r="G6457" i="1" a="1"/>
  <c r="G6646" i="1" a="1"/>
  <c r="G6774" i="1" a="1"/>
  <c r="G6902" i="1" a="1"/>
  <c r="G7030" i="1" a="1"/>
  <c r="G7158" i="1" a="1"/>
  <c r="G7286" i="1" a="1"/>
  <c r="G7414" i="1" a="1"/>
  <c r="G7542" i="1" a="1"/>
  <c r="G7670" i="1" a="1"/>
  <c r="G4104" i="1" a="1"/>
  <c r="G4888" i="1" a="1"/>
  <c r="G5460" i="1" a="1"/>
  <c r="G5772" i="1" a="1"/>
  <c r="G4713" i="1" a="1"/>
  <c r="G5265" i="1" a="1"/>
  <c r="G4600" i="1" a="1"/>
  <c r="G3795" i="1" a="1"/>
  <c r="G4877" i="1" a="1"/>
  <c r="G4700" i="1" a="1"/>
  <c r="G5233" i="1" a="1"/>
  <c r="G5661" i="1" a="1"/>
  <c r="G5874" i="1" a="1"/>
  <c r="G6068" i="1" a="1"/>
  <c r="G6276" i="1" a="1"/>
  <c r="G6443" i="1" a="1"/>
  <c r="G6591" i="1" a="1"/>
  <c r="G6690" i="1" a="1"/>
  <c r="G6818" i="1" a="1"/>
  <c r="G6946" i="1" a="1"/>
  <c r="G7074" i="1" a="1"/>
  <c r="G7202" i="1" a="1"/>
  <c r="G7330" i="1" a="1"/>
  <c r="G7458" i="1" a="1"/>
  <c r="G7586" i="1" a="1"/>
  <c r="G5489" i="1" a="1"/>
  <c r="G6480" i="1" a="1"/>
  <c r="G6808" i="1" a="1"/>
  <c r="G7064" i="1" a="1"/>
  <c r="G7320" i="1" a="1"/>
  <c r="G7576" i="1" a="1"/>
  <c r="G7775" i="1" a="1"/>
  <c r="G7951" i="1" a="1"/>
  <c r="G8114" i="1" a="1"/>
  <c r="G8250" i="1" a="1"/>
  <c r="G8396" i="1" a="1"/>
  <c r="G8520" i="1" a="1"/>
  <c r="G8648" i="1" a="1"/>
  <c r="G8776" i="1" a="1"/>
  <c r="G8904" i="1" a="1"/>
  <c r="G9032" i="1" a="1"/>
  <c r="G9160" i="1" a="1"/>
  <c r="G9273" i="1" a="1"/>
  <c r="G9337" i="1" a="1"/>
  <c r="G9401" i="1" a="1"/>
  <c r="G9465" i="1" a="1"/>
  <c r="G9529" i="1" a="1"/>
  <c r="G9593" i="1" a="1"/>
  <c r="G9657" i="1" a="1"/>
  <c r="G9721" i="1" a="1"/>
  <c r="G9785" i="1" a="1"/>
  <c r="G9849" i="1" a="1"/>
  <c r="G9913" i="1" a="1"/>
  <c r="G9977" i="1" a="1"/>
  <c r="G10041" i="1" a="1"/>
  <c r="G10105" i="1" a="1"/>
  <c r="G10169" i="1" a="1"/>
  <c r="G5624" i="1" a="1"/>
  <c r="G6036" i="1" a="1"/>
  <c r="G6445" i="1" a="1"/>
  <c r="G6701" i="1" a="1"/>
  <c r="G6957" i="1" a="1"/>
  <c r="G7213" i="1" a="1"/>
  <c r="G7469" i="1" a="1"/>
  <c r="G7740" i="1" a="1"/>
  <c r="G7922" i="1" a="1"/>
  <c r="G8093" i="1" a="1"/>
  <c r="G8229" i="1" a="1"/>
  <c r="G8386" i="1" a="1"/>
  <c r="G8521" i="1" a="1"/>
  <c r="G8649" i="1" a="1"/>
  <c r="G8777" i="1" a="1"/>
  <c r="G8905" i="1" a="1"/>
  <c r="G9033" i="1" a="1"/>
  <c r="G9161" i="1" a="1"/>
  <c r="G5465" i="1" a="1"/>
  <c r="G6408" i="1" a="1"/>
  <c r="G6729" i="1" a="1"/>
  <c r="G6985" i="1" a="1"/>
  <c r="G7241" i="1" a="1"/>
  <c r="G7497" i="1" a="1"/>
  <c r="G7755" i="1" a="1"/>
  <c r="G7928" i="1" a="1"/>
  <c r="G8073" i="1" a="1"/>
  <c r="G8235" i="1" a="1"/>
  <c r="G8381" i="1" a="1"/>
  <c r="G8503" i="1" a="1"/>
  <c r="G8631" i="1" a="1"/>
  <c r="G8759" i="1" a="1"/>
  <c r="G8887" i="1" a="1"/>
  <c r="G9015" i="1" a="1"/>
  <c r="G5872" i="1" a="1"/>
  <c r="G6293" i="1" a="1"/>
  <c r="G6595" i="1" a="1"/>
  <c r="G5295" i="1" a="1"/>
  <c r="G6320" i="1" a="1"/>
  <c r="G6657" i="1" a="1"/>
  <c r="G6913" i="1" a="1"/>
  <c r="G5943" i="1" a="1"/>
  <c r="G6349" i="1" a="1"/>
  <c r="G6620" i="1" a="1"/>
  <c r="G6852" i="1" a="1"/>
  <c r="G6119" i="1" a="1"/>
  <c r="G6578" i="1" a="1"/>
  <c r="G6871" i="1" a="1"/>
  <c r="G5840" i="1" a="1"/>
  <c r="G6259" i="1" a="1"/>
  <c r="G6579" i="1" a="1"/>
  <c r="G6789" i="1" a="1"/>
  <c r="G7045" i="1" a="1"/>
  <c r="G7301" i="1" a="1"/>
  <c r="G7557" i="1" a="1"/>
  <c r="G7786" i="1" a="1"/>
  <c r="G7963" i="1" a="1"/>
  <c r="G8113" i="1" a="1"/>
  <c r="G8275" i="1" a="1"/>
  <c r="G8419" i="1" a="1"/>
  <c r="G8547" i="1" a="1"/>
  <c r="G8675" i="1" a="1"/>
  <c r="G8803" i="1" a="1"/>
  <c r="G8931" i="1" a="1"/>
  <c r="G7388" i="1" a="1"/>
  <c r="G7868" i="1" a="1"/>
  <c r="G8173" i="1" a="1"/>
  <c r="G8458" i="1" a="1"/>
  <c r="G8714" i="1" a="1"/>
  <c r="G8948" i="1" a="1"/>
  <c r="G9134" i="1" a="1"/>
  <c r="G9283" i="1" a="1"/>
  <c r="G9368" i="1" a="1"/>
  <c r="G9454" i="1" a="1"/>
  <c r="G9539" i="1" a="1"/>
  <c r="G9636" i="1" a="1"/>
  <c r="G9810" i="1" a="1"/>
  <c r="G9979" i="1" a="1"/>
  <c r="G10148" i="1" a="1"/>
  <c r="G7224" i="1" a="1"/>
  <c r="G7713" i="1" a="1"/>
  <c r="G8069" i="1" a="1"/>
  <c r="G8362" i="1" a="1"/>
  <c r="G8605" i="1" a="1"/>
  <c r="G8861" i="1" a="1"/>
  <c r="G9067" i="1" a="1"/>
  <c r="G9244" i="1" a="1"/>
  <c r="G9760" i="1" a="1"/>
  <c r="G9934" i="1" a="1"/>
  <c r="G10103" i="1" a="1"/>
  <c r="G10232" i="1" a="1"/>
  <c r="G10296" i="1" a="1"/>
  <c r="G10360" i="1" a="1"/>
  <c r="G10424" i="1" a="1"/>
  <c r="G10488" i="1" a="1"/>
  <c r="G10552" i="1" a="1"/>
  <c r="G10616" i="1" a="1"/>
  <c r="G10680" i="1" a="1"/>
  <c r="G10744" i="1" a="1"/>
  <c r="G10808" i="1" a="1"/>
  <c r="G10872" i="1" a="1"/>
  <c r="G10936" i="1" a="1"/>
  <c r="G7410" i="1" a="1"/>
  <c r="G7845" i="1" a="1"/>
  <c r="G8164" i="1" a="1"/>
  <c r="G8450" i="1" a="1"/>
  <c r="G8706" i="1" a="1"/>
  <c r="G8986" i="1" a="1"/>
  <c r="G9159" i="1" a="1"/>
  <c r="G9295" i="1" a="1"/>
  <c r="G9380" i="1" a="1"/>
  <c r="G9466" i="1" a="1"/>
  <c r="G9551" i="1" a="1"/>
  <c r="G9660" i="1" a="1"/>
  <c r="G9834" i="1" a="1"/>
  <c r="G10003" i="1" a="1"/>
  <c r="G10172" i="1" a="1"/>
  <c r="G7337" i="1" a="1"/>
  <c r="G7809" i="1" a="1"/>
  <c r="G8175" i="1" a="1"/>
  <c r="G7050" i="1" a="1"/>
  <c r="G7562" i="1" a="1"/>
  <c r="G7972" i="1" a="1"/>
  <c r="G8283" i="1" a="1"/>
  <c r="G7142" i="1" a="1"/>
  <c r="G7654" i="1" a="1"/>
  <c r="G8009" i="1" a="1"/>
  <c r="G8294" i="1" a="1"/>
  <c r="G7218" i="1" a="1"/>
  <c r="G7722" i="1" a="1"/>
  <c r="G8075" i="1" a="1"/>
  <c r="G8357" i="1" a="1"/>
  <c r="G7310" i="1" a="1"/>
  <c r="G7816" i="1" a="1"/>
  <c r="G8118" i="1" a="1"/>
  <c r="G8437" i="1" a="1"/>
  <c r="G8693" i="1" a="1"/>
  <c r="G8954" i="1" a="1"/>
  <c r="G9121" i="1" a="1"/>
  <c r="G9640" i="1" a="1"/>
  <c r="G9814" i="1" a="1"/>
  <c r="G9983" i="1" a="1"/>
  <c r="G10152" i="1" a="1"/>
  <c r="G10251" i="1" a="1"/>
  <c r="G10315" i="1" a="1"/>
  <c r="G10379" i="1" a="1"/>
  <c r="G8871" i="1" a="1"/>
  <c r="G9227" i="1" a="1"/>
  <c r="G9926" i="1" a="1"/>
  <c r="G10217" i="1" a="1"/>
  <c r="G10345" i="1" a="1"/>
  <c r="G10493" i="1" a="1"/>
  <c r="G2816" i="1" a="1"/>
  <c r="G4269" i="1" a="1"/>
  <c r="G4570" i="1" a="1"/>
  <c r="G3465" i="1" a="1"/>
  <c r="G4632" i="1" a="1"/>
  <c r="G5218" i="1" a="1"/>
  <c r="G5855" i="1" a="1"/>
  <c r="G3644" i="1" a="1"/>
  <c r="G6074" i="1" a="1"/>
  <c r="G6713" i="1" a="1"/>
  <c r="G7737" i="1" a="1"/>
  <c r="G8313" i="1" a="1"/>
  <c r="G4102" i="1" a="1"/>
  <c r="G4887" i="1" a="1"/>
  <c r="G5459" i="1" a="1"/>
  <c r="G5760" i="1" a="1"/>
  <c r="G5931" i="1" a="1"/>
  <c r="G6163" i="1" a="1"/>
  <c r="G6316" i="1" a="1"/>
  <c r="G6483" i="1" a="1"/>
  <c r="G6613" i="1" a="1"/>
  <c r="G6723" i="1" a="1"/>
  <c r="G6851" i="1" a="1"/>
  <c r="G6979" i="1" a="1"/>
  <c r="G7107" i="1" a="1"/>
  <c r="G7235" i="1" a="1"/>
  <c r="G7363" i="1" a="1"/>
  <c r="G7491" i="1" a="1"/>
  <c r="G7619" i="1" a="1"/>
  <c r="G7747" i="1" a="1"/>
  <c r="G7875" i="1" a="1"/>
  <c r="G8003" i="1" a="1"/>
  <c r="G4476" i="1" a="1"/>
  <c r="G5180" i="1" a="1"/>
  <c r="G5617" i="1" a="1"/>
  <c r="G6297" i="1" a="1"/>
  <c r="G6464" i="1" a="1"/>
  <c r="G6655" i="1" a="1"/>
  <c r="G6783" i="1" a="1"/>
  <c r="G6911" i="1" a="1"/>
  <c r="G7039" i="1" a="1"/>
  <c r="G7167" i="1" a="1"/>
  <c r="G7295" i="1" a="1"/>
  <c r="G7423" i="1" a="1"/>
  <c r="G7551" i="1" a="1"/>
  <c r="G7679" i="1" a="1"/>
  <c r="G4165" i="1" a="1"/>
  <c r="G4909" i="1" a="1"/>
  <c r="G5484" i="1" a="1"/>
  <c r="G3662" i="1" a="1"/>
  <c r="G4784" i="1" a="1"/>
  <c r="G5307" i="1" a="1"/>
  <c r="G4627" i="1" a="1"/>
  <c r="G3905" i="1" a="1"/>
  <c r="G4919" i="1" a="1"/>
  <c r="G4724" i="1" a="1"/>
  <c r="G5275" i="1" a="1"/>
  <c r="G5685" i="1" a="1"/>
  <c r="G5884" i="1" a="1"/>
  <c r="G6114" i="1" a="1"/>
  <c r="G6283" i="1" a="1"/>
  <c r="G6461" i="1" a="1"/>
  <c r="G6596" i="1" a="1"/>
  <c r="G6699" i="1" a="1"/>
  <c r="G6827" i="1" a="1"/>
  <c r="G6955" i="1" a="1"/>
  <c r="G7083" i="1" a="1"/>
  <c r="G7211" i="1" a="1"/>
  <c r="G7339" i="1" a="1"/>
  <c r="G7467" i="1" a="1"/>
  <c r="G7595" i="1" a="1"/>
  <c r="G5525" i="1" a="1"/>
  <c r="G6505" i="1" a="1"/>
  <c r="G6817" i="1" a="1"/>
  <c r="G7073" i="1" a="1"/>
  <c r="G7329" i="1" a="1"/>
  <c r="G7585" i="1" a="1"/>
  <c r="G7793" i="1" a="1"/>
  <c r="G7958" i="1" a="1"/>
  <c r="G8119" i="1" a="1"/>
  <c r="G8255" i="1" a="1"/>
  <c r="G8401" i="1" a="1"/>
  <c r="G8525" i="1" a="1"/>
  <c r="G8653" i="1" a="1"/>
  <c r="G8781" i="1" a="1"/>
  <c r="G8909" i="1" a="1"/>
  <c r="G9037" i="1" a="1"/>
  <c r="G9165" i="1" a="1"/>
  <c r="G9277" i="1" a="1"/>
  <c r="G9341" i="1" a="1"/>
  <c r="G9405" i="1" a="1"/>
  <c r="G9469" i="1" a="1"/>
  <c r="G9533" i="1" a="1"/>
  <c r="G9597" i="1" a="1"/>
  <c r="G9661" i="1" a="1"/>
  <c r="G9725" i="1" a="1"/>
  <c r="G9789" i="1" a="1"/>
  <c r="G9853" i="1" a="1"/>
  <c r="G9917" i="1" a="1"/>
  <c r="G9981" i="1" a="1"/>
  <c r="G10045" i="1" a="1"/>
  <c r="G10109" i="1" a="1"/>
  <c r="G10173" i="1" a="1"/>
  <c r="G5660" i="1" a="1"/>
  <c r="G6091" i="1" a="1"/>
  <c r="G6459" i="1" a="1"/>
  <c r="G6738" i="1" a="1"/>
  <c r="G6994" i="1" a="1"/>
  <c r="G7250" i="1" a="1"/>
  <c r="G7506" i="1" a="1"/>
  <c r="G7748" i="1" a="1"/>
  <c r="G7933" i="1" a="1"/>
  <c r="G8099" i="1" a="1"/>
  <c r="G8245" i="1" a="1"/>
  <c r="G8402" i="1" a="1"/>
  <c r="G8530" i="1" a="1"/>
  <c r="G8658" i="1" a="1"/>
  <c r="G8786" i="1" a="1"/>
  <c r="G8914" i="1" a="1"/>
  <c r="G9042" i="1" a="1"/>
  <c r="G9170" i="1" a="1"/>
  <c r="G5501" i="1" a="1"/>
  <c r="G6433" i="1" a="1"/>
  <c r="G6766" i="1" a="1"/>
  <c r="G7022" i="1" a="1"/>
  <c r="G7278" i="1" a="1"/>
  <c r="G7534" i="1" a="1"/>
  <c r="G7763" i="1" a="1"/>
  <c r="G7935" i="1" a="1"/>
  <c r="G8110" i="1" a="1"/>
  <c r="G8246" i="1" a="1"/>
  <c r="G8387" i="1" a="1"/>
  <c r="G8512" i="1" a="1"/>
  <c r="G8640" i="1" a="1"/>
  <c r="G8768" i="1" a="1"/>
  <c r="G8896" i="1" a="1"/>
  <c r="G9024" i="1" a="1"/>
  <c r="G5894" i="1" a="1"/>
  <c r="G6307" i="1" a="1"/>
  <c r="G6605" i="1" a="1"/>
  <c r="G5378" i="1" a="1"/>
  <c r="G6345" i="1" a="1"/>
  <c r="G6694" i="1" a="1"/>
  <c r="G5148" i="1" a="1"/>
  <c r="G5964" i="1" a="1"/>
  <c r="G6363" i="1" a="1"/>
  <c r="G6631" i="1" a="1"/>
  <c r="G6861" i="1" a="1"/>
  <c r="G6174" i="1" a="1"/>
  <c r="G6610" i="1" a="1"/>
  <c r="G6880" i="1" a="1"/>
  <c r="G5862" i="1" a="1"/>
  <c r="G6275" i="1" a="1"/>
  <c r="G6589" i="1" a="1"/>
  <c r="G6826" i="1" a="1"/>
  <c r="G7082" i="1" a="1"/>
  <c r="G7338" i="1" a="1"/>
  <c r="G7594" i="1" a="1"/>
  <c r="G7804" i="1" a="1"/>
  <c r="G7981" i="1" a="1"/>
  <c r="G8134" i="1" a="1"/>
  <c r="G8280" i="1" a="1"/>
  <c r="G8428" i="1" a="1"/>
  <c r="G8556" i="1" a="1"/>
  <c r="G8684" i="1" a="1"/>
  <c r="G8812" i="1" a="1"/>
  <c r="G6812" i="1" a="1"/>
  <c r="G7443" i="1" a="1"/>
  <c r="G7892" i="1" a="1"/>
  <c r="G8194" i="1" a="1"/>
  <c r="G8467" i="1" a="1"/>
  <c r="G8723" i="1" a="1"/>
  <c r="G8956" i="1" a="1"/>
  <c r="G9152" i="1" a="1"/>
  <c r="G9288" i="1" a="1"/>
  <c r="G9374" i="1" a="1"/>
  <c r="G9459" i="1" a="1"/>
  <c r="G9544" i="1" a="1"/>
  <c r="G9650" i="1" a="1"/>
  <c r="G9819" i="1" a="1"/>
  <c r="G9988" i="1" a="1"/>
  <c r="G10162" i="1" a="1"/>
  <c r="G7279" i="1" a="1"/>
  <c r="G7758" i="1" a="1"/>
  <c r="G8111" i="1" a="1"/>
  <c r="G8372" i="1" a="1"/>
  <c r="G8614" i="1" a="1"/>
  <c r="G8870" i="1" a="1"/>
  <c r="G9073" i="1" a="1"/>
  <c r="G9250" i="1" a="1"/>
  <c r="G9774" i="1" a="1"/>
  <c r="G9943" i="1" a="1"/>
  <c r="G10112" i="1" a="1"/>
  <c r="G10236" i="1" a="1"/>
  <c r="G10300" i="1" a="1"/>
  <c r="G10364" i="1" a="1"/>
  <c r="G10428" i="1" a="1"/>
  <c r="G10492" i="1" a="1"/>
  <c r="G10556" i="1" a="1"/>
  <c r="G10620" i="1" a="1"/>
  <c r="G10684" i="1" a="1"/>
  <c r="G10748" i="1" a="1"/>
  <c r="G10812" i="1" a="1"/>
  <c r="G10876" i="1" a="1"/>
  <c r="G6950" i="1" a="1"/>
  <c r="G7428" i="1" a="1"/>
  <c r="G7858" i="1" a="1"/>
  <c r="G8206" i="1" a="1"/>
  <c r="G8459" i="1" a="1"/>
  <c r="G8715" i="1" a="1"/>
  <c r="G8994" i="1" a="1"/>
  <c r="G9166" i="1" a="1"/>
  <c r="G9300" i="1" a="1"/>
  <c r="G9386" i="1" a="1"/>
  <c r="G9471" i="1" a="1"/>
  <c r="G9556" i="1" a="1"/>
  <c r="G9674" i="1" a="1"/>
  <c r="G9843" i="1" a="1"/>
  <c r="G10012" i="1" a="1"/>
  <c r="G10186" i="1" a="1"/>
  <c r="G7374" i="1" a="1"/>
  <c r="G7822" i="1" a="1"/>
  <c r="G8186" i="1" a="1"/>
  <c r="G7068" i="1" a="1"/>
  <c r="G7580" i="1" a="1"/>
  <c r="G7996" i="1" a="1"/>
  <c r="G8293" i="1" a="1"/>
  <c r="G7160" i="1" a="1"/>
  <c r="G7672" i="1" a="1"/>
  <c r="G8022" i="1" a="1"/>
  <c r="G8315" i="1" a="1"/>
  <c r="G7236" i="1" a="1"/>
  <c r="G7736" i="1" a="1"/>
  <c r="G8086" i="1" a="1"/>
  <c r="G8399" i="1" a="1"/>
  <c r="G7328" i="1" a="1"/>
  <c r="G7840" i="1" a="1"/>
  <c r="G8128" i="1" a="1"/>
  <c r="G8446" i="1" a="1"/>
  <c r="G8702" i="1" a="1"/>
  <c r="G8962" i="1" a="1"/>
  <c r="G9132" i="1" a="1"/>
  <c r="G9654" i="1" a="1"/>
  <c r="G9823" i="1" a="1"/>
  <c r="G9992" i="1" a="1"/>
  <c r="G10166" i="1" a="1"/>
  <c r="G10255" i="1" a="1"/>
  <c r="G10319" i="1" a="1"/>
  <c r="G8384" i="1" a="1"/>
  <c r="G8926" i="1" a="1"/>
  <c r="G9251" i="1" a="1"/>
  <c r="G9935" i="1" a="1"/>
  <c r="G10225" i="1" a="1"/>
  <c r="G10353" i="1" a="1"/>
  <c r="G10511" i="1" a="1"/>
  <c r="G2350" i="1" a="1"/>
  <c r="G4431" i="1" a="1"/>
  <c r="G4720" i="1" a="1"/>
  <c r="G3889" i="1" a="1"/>
  <c r="G4802" i="1" a="1"/>
  <c r="G5354" i="1" a="1"/>
  <c r="G5940" i="1" a="1"/>
  <c r="G3946" i="1" a="1"/>
  <c r="G6083" i="1" a="1"/>
  <c r="G6718" i="1" a="1"/>
  <c r="G7742" i="1" a="1"/>
  <c r="G8318" i="1" a="1"/>
  <c r="G4208" i="1" a="1"/>
  <c r="G4970" i="1" a="1"/>
  <c r="G5470" i="1" a="1"/>
  <c r="G5771" i="1" a="1"/>
  <c r="G5942" i="1" a="1"/>
  <c r="G6172" i="1" a="1"/>
  <c r="G6323" i="1" a="1"/>
  <c r="G6501" i="1" a="1"/>
  <c r="G6619" i="1" a="1"/>
  <c r="G6732" i="1" a="1"/>
  <c r="G6860" i="1" a="1"/>
  <c r="G6988" i="1" a="1"/>
  <c r="G7116" i="1" a="1"/>
  <c r="G7244" i="1" a="1"/>
  <c r="G7372" i="1" a="1"/>
  <c r="G7500" i="1" a="1"/>
  <c r="G7628" i="1" a="1"/>
  <c r="G7756" i="1" a="1"/>
  <c r="G7884" i="1" a="1"/>
  <c r="G8012" i="1" a="1"/>
  <c r="G4504" i="1" a="1"/>
  <c r="G5201" i="1" a="1"/>
  <c r="G5642" i="1" a="1"/>
  <c r="G6304" i="1" a="1"/>
  <c r="G6471" i="1" a="1"/>
  <c r="G6664" i="1" a="1"/>
  <c r="G6792" i="1" a="1"/>
  <c r="G6920" i="1" a="1"/>
  <c r="G7048" i="1" a="1"/>
  <c r="G7176" i="1" a="1"/>
  <c r="G7304" i="1" a="1"/>
  <c r="G7432" i="1" a="1"/>
  <c r="G7560" i="1" a="1"/>
  <c r="G7688" i="1" a="1"/>
  <c r="G4218" i="1" a="1"/>
  <c r="G4951" i="1" a="1"/>
  <c r="G5509" i="1" a="1"/>
  <c r="G3767" i="1" a="1"/>
  <c r="G4805" i="1" a="1"/>
  <c r="G5369" i="1" a="1"/>
  <c r="G4651" i="1" a="1"/>
  <c r="G3967" i="1" a="1"/>
  <c r="G5002" i="1" a="1"/>
  <c r="G4772" i="1" a="1"/>
  <c r="G5337" i="1" a="1"/>
  <c r="G5710" i="1" a="1"/>
  <c r="G5895" i="1" a="1"/>
  <c r="G6123" i="1" a="1"/>
  <c r="G6301" i="1" a="1"/>
  <c r="G6468" i="1" a="1"/>
  <c r="G6601" i="1" a="1"/>
  <c r="G6708" i="1" a="1"/>
  <c r="G6836" i="1" a="1"/>
  <c r="G6964" i="1" a="1"/>
  <c r="G7092" i="1" a="1"/>
  <c r="G7220" i="1" a="1"/>
  <c r="G7348" i="1" a="1"/>
  <c r="G7476" i="1" a="1"/>
  <c r="G7604" i="1" a="1"/>
  <c r="G5656" i="1" a="1"/>
  <c r="G6519" i="1" a="1"/>
  <c r="G6854" i="1" a="1"/>
  <c r="G7110" i="1" a="1"/>
  <c r="G7366" i="1" a="1"/>
  <c r="G7622" i="1" a="1"/>
  <c r="G7799" i="1" a="1"/>
  <c r="G7969" i="1" a="1"/>
  <c r="G8124" i="1" a="1"/>
  <c r="G8260" i="1" a="1"/>
  <c r="G8406" i="1" a="1"/>
  <c r="G8534" i="1" a="1"/>
  <c r="G8662" i="1" a="1"/>
  <c r="G8790" i="1" a="1"/>
  <c r="G8918" i="1" a="1"/>
  <c r="G9046" i="1" a="1"/>
  <c r="G9174" i="1" a="1"/>
  <c r="G9281" i="1" a="1"/>
  <c r="G9345" i="1" a="1"/>
  <c r="G9409" i="1" a="1"/>
  <c r="G9473" i="1" a="1"/>
  <c r="G9537" i="1" a="1"/>
  <c r="G9601" i="1" a="1"/>
  <c r="G9665" i="1" a="1"/>
  <c r="G9729" i="1" a="1"/>
  <c r="G9793" i="1" a="1"/>
  <c r="G9857" i="1" a="1"/>
  <c r="G9921" i="1" a="1"/>
  <c r="G9985" i="1" a="1"/>
  <c r="G10049" i="1" a="1"/>
  <c r="G10113" i="1" a="1"/>
  <c r="G10177" i="1" a="1"/>
  <c r="G5721" i="1" a="1"/>
  <c r="G6146" i="1" a="1"/>
  <c r="G6484" i="1" a="1"/>
  <c r="G6747" i="1" a="1"/>
  <c r="G7003" i="1" a="1"/>
  <c r="G7259" i="1" a="1"/>
  <c r="G7515" i="1" a="1"/>
  <c r="G7781" i="1" a="1"/>
  <c r="G7940" i="1" a="1"/>
  <c r="G8104" i="1" a="1"/>
  <c r="G8266" i="1" a="1"/>
  <c r="G8411" i="1" a="1"/>
  <c r="G8539" i="1" a="1"/>
  <c r="G8667" i="1" a="1"/>
  <c r="G8795" i="1" a="1"/>
  <c r="G8923" i="1" a="1"/>
  <c r="G9051" i="1" a="1"/>
  <c r="G9179" i="1" a="1"/>
  <c r="G5562" i="1" a="1"/>
  <c r="G6447" i="1" a="1"/>
  <c r="G6775" i="1" a="1"/>
  <c r="G7031" i="1" a="1"/>
  <c r="G7287" i="1" a="1"/>
  <c r="G7543" i="1" a="1"/>
  <c r="G7776" i="1" a="1"/>
  <c r="G7953" i="1" a="1"/>
  <c r="G8115" i="1" a="1"/>
  <c r="G8251" i="1" a="1"/>
  <c r="G8392" i="1" a="1"/>
  <c r="G8517" i="1" a="1"/>
  <c r="G8645" i="1" a="1"/>
  <c r="G8773" i="1" a="1"/>
  <c r="G8901" i="1" a="1"/>
  <c r="G9029" i="1" a="1"/>
  <c r="G5915" i="1" a="1"/>
  <c r="G6332" i="1" a="1"/>
  <c r="G6616" i="1" a="1"/>
  <c r="G5441" i="1" a="1"/>
  <c r="G6359" i="1" a="1"/>
  <c r="G6703" i="1" a="1"/>
  <c r="G5399" i="1" a="1"/>
  <c r="G5986" i="1" a="1"/>
  <c r="G6388" i="1" a="1"/>
  <c r="G6641" i="1" a="1"/>
  <c r="G6898" i="1" a="1"/>
  <c r="G6192" i="1" a="1"/>
  <c r="G6642" i="1" a="1"/>
  <c r="G6889" i="1" a="1"/>
  <c r="G5883" i="1" a="1"/>
  <c r="G6300" i="1" a="1"/>
  <c r="G6600" i="1" a="1"/>
  <c r="G6835" i="1" a="1"/>
  <c r="G7091" i="1" a="1"/>
  <c r="G7347" i="1" a="1"/>
  <c r="G7603" i="1" a="1"/>
  <c r="G7810" i="1" a="1"/>
  <c r="G7987" i="1" a="1"/>
  <c r="G8139" i="1" a="1"/>
  <c r="G8285" i="1" a="1"/>
  <c r="G8433" i="1" a="1"/>
  <c r="G8561" i="1" a="1"/>
  <c r="G8689" i="1" a="1"/>
  <c r="G8817" i="1" a="1"/>
  <c r="G6885" i="1" a="1"/>
  <c r="G7461" i="1" a="1"/>
  <c r="G7917" i="1" a="1"/>
  <c r="G8215" i="1" a="1"/>
  <c r="G8476" i="1" a="1"/>
  <c r="G8732" i="1" a="1"/>
  <c r="G8977" i="1" a="1"/>
  <c r="G9158" i="1" a="1"/>
  <c r="G9294" i="1" a="1"/>
  <c r="G9379" i="1" a="1"/>
  <c r="G9464" i="1" a="1"/>
  <c r="G9550" i="1" a="1"/>
  <c r="G9659" i="1" a="1"/>
  <c r="G9828" i="1" a="1"/>
  <c r="G10002" i="1" a="1"/>
  <c r="G10171" i="1" a="1"/>
  <c r="G7297" i="1" a="1"/>
  <c r="G7784" i="1" a="1"/>
  <c r="G8122" i="1" a="1"/>
  <c r="G8383" i="1" a="1"/>
  <c r="G8623" i="1" a="1"/>
  <c r="G8879" i="1" a="1"/>
  <c r="G9091" i="1" a="1"/>
  <c r="G9614" i="1" a="1"/>
  <c r="G9783" i="1" a="1"/>
  <c r="G9952" i="1" a="1"/>
  <c r="G10126" i="1" a="1"/>
  <c r="G10240" i="1" a="1"/>
  <c r="G10304" i="1" a="1"/>
  <c r="G10368" i="1" a="1"/>
  <c r="G10432" i="1" a="1"/>
  <c r="G10496" i="1" a="1"/>
  <c r="G10560" i="1" a="1"/>
  <c r="G10624" i="1" a="1"/>
  <c r="G10688" i="1" a="1"/>
  <c r="G10752" i="1" a="1"/>
  <c r="G10816" i="1" a="1"/>
  <c r="G10880" i="1" a="1"/>
  <c r="G6971" i="1" a="1"/>
  <c r="G7483" i="1" a="1"/>
  <c r="G7869" i="1" a="1"/>
  <c r="G8216" i="1" a="1"/>
  <c r="G8468" i="1" a="1"/>
  <c r="G8724" i="1" a="1"/>
  <c r="G9002" i="1" a="1"/>
  <c r="G9184" i="1" a="1"/>
  <c r="G9306" i="1" a="1"/>
  <c r="G9391" i="1" a="1"/>
  <c r="G9476" i="1" a="1"/>
  <c r="G9562" i="1" a="1"/>
  <c r="G9683" i="1" a="1"/>
  <c r="G9852" i="1" a="1"/>
  <c r="G10026" i="1" a="1"/>
  <c r="G10195" i="1" a="1"/>
  <c r="G7392" i="1" a="1"/>
  <c r="G7846" i="1" a="1"/>
  <c r="G8196" i="1" a="1"/>
  <c r="G7123" i="1" a="1"/>
  <c r="G7635" i="1" a="1"/>
  <c r="G8020" i="1" a="1"/>
  <c r="G8335" i="1" a="1"/>
  <c r="G7215" i="1" a="1"/>
  <c r="G7707" i="1" a="1"/>
  <c r="G8043" i="1" a="1"/>
  <c r="G8325" i="1" a="1"/>
  <c r="G7291" i="1" a="1"/>
  <c r="G7778" i="1" a="1"/>
  <c r="G8096" i="1" a="1"/>
  <c r="G8409" i="1" a="1"/>
  <c r="G7383" i="1" a="1"/>
  <c r="G7864" i="1" a="1"/>
  <c r="G8149" i="1" a="1"/>
  <c r="G8455" i="1" a="1"/>
  <c r="G8711" i="1" a="1"/>
  <c r="G8970" i="1" a="1"/>
  <c r="G9139" i="1" a="1"/>
  <c r="G9663" i="1" a="1"/>
  <c r="G9832" i="1" a="1"/>
  <c r="G10006" i="1" a="1"/>
  <c r="G10175" i="1" a="1"/>
  <c r="G10259" i="1" a="1"/>
  <c r="G10323" i="1" a="1"/>
  <c r="G8432" i="1" a="1"/>
  <c r="G8958" i="1" a="1"/>
  <c r="G9615" i="1" a="1"/>
  <c r="G9944" i="1" a="1"/>
  <c r="G10233" i="1" a="1"/>
  <c r="G10361" i="1" a="1"/>
  <c r="G10518" i="1" a="1"/>
  <c r="G3700" i="1" a="1"/>
  <c r="G3100" i="1" a="1"/>
  <c r="G4859" i="1" a="1"/>
  <c r="G4192" i="1" a="1"/>
  <c r="G4938" i="1" a="1"/>
  <c r="G4092" i="1" a="1"/>
  <c r="G6034" i="1" a="1"/>
  <c r="G4566" i="1" a="1"/>
  <c r="G6213" i="1" a="1"/>
  <c r="G6841" i="1" a="1"/>
  <c r="G7865" i="1" a="1"/>
  <c r="G8327" i="1" a="1"/>
  <c r="G4322" i="1" a="1"/>
  <c r="G5012" i="1" a="1"/>
  <c r="G5483" i="1" a="1"/>
  <c r="G5782" i="1" a="1"/>
  <c r="G5952" i="1" a="1"/>
  <c r="G6199" i="1" a="1"/>
  <c r="G6341" i="1" a="1"/>
  <c r="G6508" i="1" a="1"/>
  <c r="G6624" i="1" a="1"/>
  <c r="G6741" i="1" a="1"/>
  <c r="G6869" i="1" a="1"/>
  <c r="G6997" i="1" a="1"/>
  <c r="G7125" i="1" a="1"/>
  <c r="G7253" i="1" a="1"/>
  <c r="G7381" i="1" a="1"/>
  <c r="G7509" i="1" a="1"/>
  <c r="G7637" i="1" a="1"/>
  <c r="G7765" i="1" a="1"/>
  <c r="G7893" i="1" a="1"/>
  <c r="G8021" i="1" a="1"/>
  <c r="G4615" i="1" a="1"/>
  <c r="G5243" i="1" a="1"/>
  <c r="G5666" i="1" a="1"/>
  <c r="G6311" i="1" a="1"/>
  <c r="G6489" i="1" a="1"/>
  <c r="G6673" i="1" a="1"/>
  <c r="G6801" i="1" a="1"/>
  <c r="G6929" i="1" a="1"/>
  <c r="G7057" i="1" a="1"/>
  <c r="G7185" i="1" a="1"/>
  <c r="G7313" i="1" a="1"/>
  <c r="G7441" i="1" a="1"/>
  <c r="G7569" i="1" a="1"/>
  <c r="G7697" i="1" a="1"/>
  <c r="G4271" i="1" a="1"/>
  <c r="G5034" i="1" a="1"/>
  <c r="G5533" i="1" a="1"/>
  <c r="G3999" i="1" a="1"/>
  <c r="G4826" i="1" a="1"/>
  <c r="G5390" i="1" a="1"/>
  <c r="G4674" i="1" a="1"/>
  <c r="G4187" i="1" a="1"/>
  <c r="G5044" i="1" a="1"/>
  <c r="G4794" i="1" a="1"/>
  <c r="G5358" i="1" a="1"/>
  <c r="G5734" i="1" a="1"/>
  <c r="G5906" i="1" a="1"/>
  <c r="G6132" i="1" a="1"/>
  <c r="G6308" i="1" a="1"/>
  <c r="G6475" i="1" a="1"/>
  <c r="G6607" i="1" a="1"/>
  <c r="G6717" i="1" a="1"/>
  <c r="G6845" i="1" a="1"/>
  <c r="G6973" i="1" a="1"/>
  <c r="G7101" i="1" a="1"/>
  <c r="G7229" i="1" a="1"/>
  <c r="G7357" i="1" a="1"/>
  <c r="G7485" i="1" a="1"/>
  <c r="G7613" i="1" a="1"/>
  <c r="G6031" i="1" a="1"/>
  <c r="G6544" i="1" a="1"/>
  <c r="G6863" i="1" a="1"/>
  <c r="G7119" i="1" a="1"/>
  <c r="G7375" i="1" a="1"/>
  <c r="G7631" i="1" a="1"/>
  <c r="G7817" i="1" a="1"/>
  <c r="G7976" i="1" a="1"/>
  <c r="G8129" i="1" a="1"/>
  <c r="G8265" i="1" a="1"/>
  <c r="G8415" i="1" a="1"/>
  <c r="G8543" i="1" a="1"/>
  <c r="G8671" i="1" a="1"/>
  <c r="G8799" i="1" a="1"/>
  <c r="G8927" i="1" a="1"/>
  <c r="G9055" i="1" a="1"/>
  <c r="G9183" i="1" a="1"/>
  <c r="G9285" i="1" a="1"/>
  <c r="G9349" i="1" a="1"/>
  <c r="G9413" i="1" a="1"/>
  <c r="G9477" i="1" a="1"/>
  <c r="G9541" i="1" a="1"/>
  <c r="G9605" i="1" a="1"/>
  <c r="G9669" i="1" a="1"/>
  <c r="G9733" i="1" a="1"/>
  <c r="G9797" i="1" a="1"/>
  <c r="G9861" i="1" a="1"/>
  <c r="G9925" i="1" a="1"/>
  <c r="G9989" i="1" a="1"/>
  <c r="G10053" i="1" a="1"/>
  <c r="G10117" i="1" a="1"/>
  <c r="G10181" i="1" a="1"/>
  <c r="G5755" i="1" a="1"/>
  <c r="G6164" i="1" a="1"/>
  <c r="G6509" i="1" a="1"/>
  <c r="G6756" i="1" a="1"/>
  <c r="G7012" i="1" a="1"/>
  <c r="G7268" i="1" a="1"/>
  <c r="G7524" i="1" a="1"/>
  <c r="G7787" i="1" a="1"/>
  <c r="G7946" i="1" a="1"/>
  <c r="G8109" i="1" a="1"/>
  <c r="G8271" i="1" a="1"/>
  <c r="G8420" i="1" a="1"/>
  <c r="G8548" i="1" a="1"/>
  <c r="G8676" i="1" a="1"/>
  <c r="G8804" i="1" a="1"/>
  <c r="G8932" i="1" a="1"/>
  <c r="G9060" i="1" a="1"/>
  <c r="G9188" i="1" a="1"/>
  <c r="G5598" i="1" a="1"/>
  <c r="G6472" i="1" a="1"/>
  <c r="G6784" i="1" a="1"/>
  <c r="G7040" i="1" a="1"/>
  <c r="G7296" i="1" a="1"/>
  <c r="G7552" i="1" a="1"/>
  <c r="G7782" i="1" a="1"/>
  <c r="G7959" i="1" a="1"/>
  <c r="G8120" i="1" a="1"/>
  <c r="G8256" i="1" a="1"/>
  <c r="G8397" i="1" a="1"/>
  <c r="G8526" i="1" a="1"/>
  <c r="G8654" i="1" a="1"/>
  <c r="G8782" i="1" a="1"/>
  <c r="G8910" i="1" a="1"/>
  <c r="G5127" i="1" a="1"/>
  <c r="G5936" i="1" a="1"/>
  <c r="G6357" i="1" a="1"/>
  <c r="G6627" i="1" a="1"/>
  <c r="G5477" i="1" a="1"/>
  <c r="G6384" i="1" a="1"/>
  <c r="G6712" i="1" a="1"/>
  <c r="G5448" i="1" a="1"/>
  <c r="G6007" i="1" a="1"/>
  <c r="G6413" i="1" a="1"/>
  <c r="G6651" i="1" a="1"/>
  <c r="G6907" i="1" a="1"/>
  <c r="G6287" i="1" a="1"/>
  <c r="G6670" i="1" a="1"/>
  <c r="G6926" i="1" a="1"/>
  <c r="G5904" i="1" a="1"/>
  <c r="G6325" i="1" a="1"/>
  <c r="G6611" i="1" a="1"/>
  <c r="G6844" i="1" a="1"/>
  <c r="G7100" i="1" a="1"/>
  <c r="G7356" i="1" a="1"/>
  <c r="G7612" i="1" a="1"/>
  <c r="G7828" i="1" a="1"/>
  <c r="G8005" i="1" a="1"/>
  <c r="G8150" i="1" a="1"/>
  <c r="G8291" i="1" a="1"/>
  <c r="G8442" i="1" a="1"/>
  <c r="G8570" i="1" a="1"/>
  <c r="G8698" i="1" a="1"/>
  <c r="G8826" i="1" a="1"/>
  <c r="G6986" i="1" a="1"/>
  <c r="G7498" i="1" a="1"/>
  <c r="G7941" i="1" a="1"/>
  <c r="G8225" i="1" a="1"/>
  <c r="G8513" i="1" a="1"/>
  <c r="G8769" i="1" a="1"/>
  <c r="G8985" i="1" a="1"/>
  <c r="G9176" i="1" a="1"/>
  <c r="G9299" i="1" a="1"/>
  <c r="G9384" i="1" a="1"/>
  <c r="G9470" i="1" a="1"/>
  <c r="G9555" i="1" a="1"/>
  <c r="G9668" i="1" a="1"/>
  <c r="G9842" i="1" a="1"/>
  <c r="G10011" i="1" a="1"/>
  <c r="G10180" i="1" a="1"/>
  <c r="G7334" i="1" a="1"/>
  <c r="G7808" i="1" a="1"/>
  <c r="G8132" i="1" a="1"/>
  <c r="G8393" i="1" a="1"/>
  <c r="G8632" i="1" a="1"/>
  <c r="G8888" i="1" a="1"/>
  <c r="G9098" i="1" a="1"/>
  <c r="G9623" i="1" a="1"/>
  <c r="G9792" i="1" a="1"/>
  <c r="G9966" i="1" a="1"/>
  <c r="G10135" i="1" a="1"/>
  <c r="G10244" i="1" a="1"/>
  <c r="G10308" i="1" a="1"/>
  <c r="G10372" i="1" a="1"/>
  <c r="G10436" i="1" a="1"/>
  <c r="G10500" i="1" a="1"/>
  <c r="G10564" i="1" a="1"/>
  <c r="G10628" i="1" a="1"/>
  <c r="G10692" i="1" a="1"/>
  <c r="G10756" i="1" a="1"/>
  <c r="G10820" i="1" a="1"/>
  <c r="G10884" i="1" a="1"/>
  <c r="G6989" i="1" a="1"/>
  <c r="G7501" i="1" a="1"/>
  <c r="G7882" i="1" a="1"/>
  <c r="G8227" i="1" a="1"/>
  <c r="G8505" i="1" a="1"/>
  <c r="G8761" i="1" a="1"/>
  <c r="G9008" i="1" a="1"/>
  <c r="G9190" i="1" a="1"/>
  <c r="G9311" i="1" a="1"/>
  <c r="G9396" i="1" a="1"/>
  <c r="G9482" i="1" a="1"/>
  <c r="G9567" i="1" a="1"/>
  <c r="G9692" i="1" a="1"/>
  <c r="G9866" i="1" a="1"/>
  <c r="G10035" i="1" a="1"/>
  <c r="G10204" i="1" a="1"/>
  <c r="G7447" i="1" a="1"/>
  <c r="G7871" i="1" a="1"/>
  <c r="G8238" i="1" a="1"/>
  <c r="G7141" i="1" a="1"/>
  <c r="G7653" i="1" a="1"/>
  <c r="G8032" i="1" a="1"/>
  <c r="G8346" i="1" a="1"/>
  <c r="G7233" i="1" a="1"/>
  <c r="G7721" i="1" a="1"/>
  <c r="G8054" i="1" a="1"/>
  <c r="G8367" i="1" a="1"/>
  <c r="G7309" i="1" a="1"/>
  <c r="G7803" i="1" a="1"/>
  <c r="G8117" i="1" a="1"/>
  <c r="G8418" i="1" a="1"/>
  <c r="G7401" i="1" a="1"/>
  <c r="G7889" i="1" a="1"/>
  <c r="G8170" i="1" a="1"/>
  <c r="G8464" i="1" a="1"/>
  <c r="G8720" i="1" a="1"/>
  <c r="G8976" i="1" a="1"/>
  <c r="G9145" i="1" a="1"/>
  <c r="G9672" i="1" a="1"/>
  <c r="G9846" i="1" a="1"/>
  <c r="G10015" i="1" a="1"/>
  <c r="G10184" i="1" a="1"/>
  <c r="G10263" i="1" a="1"/>
  <c r="G10327" i="1" a="1"/>
  <c r="G8469" i="1" a="1"/>
  <c r="G8972" i="1" a="1"/>
  <c r="G9624" i="1" a="1"/>
  <c r="G9990" i="1" a="1"/>
  <c r="G10241" i="1" a="1"/>
  <c r="G10369" i="1" a="1"/>
  <c r="G10525" i="1" a="1"/>
  <c r="G4487" i="1" a="1"/>
  <c r="G6217" i="1" a="1"/>
  <c r="G5963" i="1" a="1"/>
  <c r="G7130" i="1" a="1"/>
  <c r="G4640" i="1" a="1"/>
  <c r="G7062" i="1" a="1"/>
  <c r="G5557" i="1" a="1"/>
  <c r="G5400" i="1" a="1"/>
  <c r="G6850" i="1" a="1"/>
  <c r="G6590" i="1" a="1"/>
  <c r="G8302" i="1" a="1"/>
  <c r="G9289" i="1" a="1"/>
  <c r="G9801" i="1" a="1"/>
  <c r="G6200" i="1" a="1"/>
  <c r="G8130" i="1" a="1"/>
  <c r="G9193" i="1" a="1"/>
  <c r="G7977" i="1" a="1"/>
  <c r="G5211" i="1" a="1"/>
  <c r="G6027" i="1" a="1"/>
  <c r="G6339" i="1" a="1"/>
  <c r="G8155" i="1" a="1"/>
  <c r="G7954" i="1" a="1"/>
  <c r="G9475" i="1" a="1"/>
  <c r="G8174" i="1" a="1"/>
  <c r="G10144" i="1" a="1"/>
  <c r="G10696" i="1" a="1"/>
  <c r="G8514" i="1" a="1"/>
  <c r="G9706" i="1" a="1"/>
  <c r="G7690" i="1" a="1"/>
  <c r="G7827" i="1" a="1"/>
  <c r="G8984" i="1" a="1"/>
  <c r="G8487" i="1" a="1"/>
  <c r="G10582" i="1" a="1"/>
  <c r="G11063" i="1" a="1"/>
  <c r="G11191" i="1" a="1"/>
  <c r="G11319" i="1" a="1"/>
  <c r="G11447" i="1" a="1"/>
  <c r="G11575" i="1" a="1"/>
  <c r="G11703" i="1" a="1"/>
  <c r="G11831" i="1" a="1"/>
  <c r="G11959" i="1" a="1"/>
  <c r="G12087" i="1" a="1"/>
  <c r="G12215" i="1" a="1"/>
  <c r="G12343" i="1" a="1"/>
  <c r="G12471" i="1" a="1"/>
  <c r="G12599" i="1" a="1"/>
  <c r="G12727" i="1" a="1"/>
  <c r="G12855" i="1" a="1"/>
  <c r="G8819" i="1" a="1"/>
  <c r="G9253" i="1" a="1"/>
  <c r="G9424" i="1" a="1"/>
  <c r="G9595" i="1" a="1"/>
  <c r="G9908" i="1" a="1"/>
  <c r="G10417" i="1" a="1"/>
  <c r="G10589" i="1" a="1"/>
  <c r="G10674" i="1" a="1"/>
  <c r="G10759" i="1" a="1"/>
  <c r="G10845" i="1" a="1"/>
  <c r="G10930" i="1" a="1"/>
  <c r="G11059" i="1" a="1"/>
  <c r="G11187" i="1" a="1"/>
  <c r="G11315" i="1" a="1"/>
  <c r="G11443" i="1" a="1"/>
  <c r="G11571" i="1" a="1"/>
  <c r="G11699" i="1" a="1"/>
  <c r="G11827" i="1" a="1"/>
  <c r="G11955" i="1" a="1"/>
  <c r="G12083" i="1" a="1"/>
  <c r="G12211" i="1" a="1"/>
  <c r="G12339" i="1" a="1"/>
  <c r="G8838" i="1" a="1"/>
  <c r="G9217" i="1" a="1"/>
  <c r="G9918" i="1" a="1"/>
  <c r="G10218" i="1" a="1"/>
  <c r="G10346" i="1" a="1"/>
  <c r="G10501" i="1" a="1"/>
  <c r="G11005" i="1" a="1"/>
  <c r="G11133" i="1" a="1"/>
  <c r="G11261" i="1" a="1"/>
  <c r="G11389" i="1" a="1"/>
  <c r="G11517" i="1" a="1"/>
  <c r="G11645" i="1" a="1"/>
  <c r="G11773" i="1" a="1"/>
  <c r="G8857" i="1" a="1"/>
  <c r="G9230" i="1" a="1"/>
  <c r="G8734" i="1" a="1"/>
  <c r="G9148" i="1" a="1"/>
  <c r="G8700" i="1" a="1"/>
  <c r="G8463" i="1" a="1"/>
  <c r="G8967" i="1" a="1"/>
  <c r="G9694" i="1" a="1"/>
  <c r="G10023" i="1" a="1"/>
  <c r="G10270" i="1" a="1"/>
  <c r="G10407" i="1" a="1"/>
  <c r="G10574" i="1" a="1"/>
  <c r="G11053" i="1" a="1"/>
  <c r="G11181" i="1" a="1"/>
  <c r="G11309" i="1" a="1"/>
  <c r="G11437" i="1" a="1"/>
  <c r="G8628" i="1" a="1"/>
  <c r="G9173" i="1" a="1"/>
  <c r="G9611" i="1" a="1"/>
  <c r="G10401" i="1" a="1"/>
  <c r="G10666" i="1" a="1"/>
  <c r="G10837" i="1" a="1"/>
  <c r="G11034" i="1" a="1"/>
  <c r="G11290" i="1" a="1"/>
  <c r="G11547" i="1" a="1"/>
  <c r="G11738" i="1" a="1"/>
  <c r="G11947" i="1" a="1"/>
  <c r="G12112" i="1" a="1"/>
  <c r="G12282" i="1" a="1"/>
  <c r="G12440" i="1" a="1"/>
  <c r="G12586" i="1" a="1"/>
  <c r="G12748" i="1" a="1"/>
  <c r="G12888" i="1" a="1"/>
  <c r="G13016" i="1" a="1"/>
  <c r="G13144" i="1" a="1"/>
  <c r="G13272" i="1" a="1"/>
  <c r="G13400" i="1" a="1"/>
  <c r="G13528" i="1" a="1"/>
  <c r="G13656" i="1" a="1"/>
  <c r="G13784" i="1" a="1"/>
  <c r="G13912" i="1" a="1"/>
  <c r="G14040" i="1" a="1"/>
  <c r="G9223" i="1" a="1"/>
  <c r="G9667" i="1" a="1"/>
  <c r="G10466" i="1" a="1"/>
  <c r="G10699" i="1" a="1"/>
  <c r="G10870" i="1" a="1"/>
  <c r="G11081" i="1" a="1"/>
  <c r="G11337" i="1" a="1"/>
  <c r="G11578" i="1" a="1"/>
  <c r="G11783" i="1" a="1"/>
  <c r="G11942" i="1" a="1"/>
  <c r="G12118" i="1" a="1"/>
  <c r="G12295" i="1" a="1"/>
  <c r="G12435" i="1" a="1"/>
  <c r="G12592" i="1" a="1"/>
  <c r="G12728" i="1" a="1"/>
  <c r="G12874" i="1" a="1"/>
  <c r="G12998" i="1" a="1"/>
  <c r="G13126" i="1" a="1"/>
  <c r="G9351" i="1" a="1"/>
  <c r="G9818" i="1" a="1"/>
  <c r="G10521" i="1" a="1"/>
  <c r="G10723" i="1" a="1"/>
  <c r="G10894" i="1" a="1"/>
  <c r="G11129" i="1" a="1"/>
  <c r="G11385" i="1" a="1"/>
  <c r="G11609" i="1" a="1"/>
  <c r="G11808" i="1" a="1"/>
  <c r="G11985" i="1" a="1"/>
  <c r="G12155" i="1" a="1"/>
  <c r="G12320" i="1" a="1"/>
  <c r="G12488" i="1" a="1"/>
  <c r="G12629" i="1" a="1"/>
  <c r="G9912" i="1" a="1"/>
  <c r="G10365" i="1" a="1"/>
  <c r="G9356" i="1" a="1"/>
  <c r="G9803" i="1" a="1"/>
  <c r="G10522" i="1" a="1"/>
  <c r="G10725" i="1" a="1"/>
  <c r="G9431" i="1" a="1"/>
  <c r="G9932" i="1" a="1"/>
  <c r="G10587" i="1" a="1"/>
  <c r="G10758" i="1" a="1"/>
  <c r="G9564" i="1" a="1"/>
  <c r="G10156" i="1" a="1"/>
  <c r="G10643" i="1" a="1"/>
  <c r="G9340" i="1" a="1"/>
  <c r="G10229" i="1" a="1"/>
  <c r="G10527" i="1" a="1"/>
  <c r="G11143" i="1" a="1"/>
  <c r="G11399" i="1" a="1"/>
  <c r="G11642" i="1" a="1"/>
  <c r="G11837" i="1" a="1"/>
  <c r="G12013" i="1" a="1"/>
  <c r="G12172" i="1" a="1"/>
  <c r="G12349" i="1" a="1"/>
  <c r="G12512" i="1" a="1"/>
  <c r="G12658" i="1" a="1"/>
  <c r="G12799" i="1" a="1"/>
  <c r="G10984" i="1" a="1"/>
  <c r="G11496" i="1" a="1"/>
  <c r="G11840" i="1" a="1"/>
  <c r="G12194" i="1" a="1"/>
  <c r="G12458" i="1" a="1"/>
  <c r="G12707" i="1" a="1"/>
  <c r="G12935" i="1" a="1"/>
  <c r="G13105" i="1" a="1"/>
  <c r="G13241" i="1" a="1"/>
  <c r="G13403" i="1" a="1"/>
  <c r="G13544" i="1" a="1"/>
  <c r="G13680" i="1" a="1"/>
  <c r="G13826" i="1" a="1"/>
  <c r="G13988" i="1" a="1"/>
  <c r="G14124" i="1" a="1"/>
  <c r="G14114" i="1" a="1"/>
  <c r="G14293" i="1" a="1"/>
  <c r="G14429" i="1" a="1"/>
  <c r="G14557" i="1" a="1"/>
  <c r="G14673" i="1" a="1"/>
  <c r="G14793" i="1" a="1"/>
  <c r="G14925" i="1" a="1"/>
  <c r="G11241" i="1" a="1"/>
  <c r="G11706" i="1" a="1"/>
  <c r="G12085" i="1" a="1"/>
  <c r="G12427" i="1" a="1"/>
  <c r="G12708" i="1" a="1"/>
  <c r="G12947" i="1" a="1"/>
  <c r="G13124" i="1" a="1"/>
  <c r="G13299" i="1" a="1"/>
  <c r="G13445" i="1" a="1"/>
  <c r="G13586" i="1" a="1"/>
  <c r="G13722" i="1" a="1"/>
  <c r="G13884" i="1" a="1"/>
  <c r="G14036" i="1" a="1"/>
  <c r="G14273" i="1" a="1"/>
  <c r="G14393" i="1" a="1"/>
  <c r="G14521" i="1" a="1"/>
  <c r="G14661" i="1" a="1"/>
  <c r="G14797" i="1" a="1"/>
  <c r="G14929" i="1" a="1"/>
  <c r="G11170" i="1" a="1"/>
  <c r="G11664" i="1" a="1"/>
  <c r="G12000" i="1" a="1"/>
  <c r="G12354" i="1" a="1"/>
  <c r="G12616" i="1" a="1"/>
  <c r="G12859" i="1" a="1"/>
  <c r="G13040" i="1" a="1"/>
  <c r="G13216" i="1" a="1"/>
  <c r="G13357" i="1" a="1"/>
  <c r="G13493" i="1" a="1"/>
  <c r="G13655" i="1" a="1"/>
  <c r="G13801" i="1" a="1"/>
  <c r="G13937" i="1" a="1"/>
  <c r="G14078" i="1" a="1"/>
  <c r="G14215" i="1" a="1"/>
  <c r="G11358" i="1" a="1"/>
  <c r="G11821" i="1" a="1"/>
  <c r="G12175" i="1" a="1"/>
  <c r="G12525" i="1" a="1"/>
  <c r="G12802" i="1" a="1"/>
  <c r="G12997" i="1" a="1"/>
  <c r="G11048" i="1" a="1"/>
  <c r="G11551" i="1" a="1"/>
  <c r="G11944" i="1" a="1"/>
  <c r="G12297" i="1" a="1"/>
  <c r="G12630" i="1" a="1"/>
  <c r="G12876" i="1" a="1"/>
  <c r="G13041" i="1" a="1"/>
  <c r="G10854" i="1" a="1"/>
  <c r="G11323" i="1" a="1"/>
  <c r="G11714" i="1" a="1"/>
  <c r="G12079" i="1" a="1"/>
  <c r="G12422" i="1" a="1"/>
  <c r="G12729" i="1" a="1"/>
  <c r="G12926" i="1" a="1"/>
  <c r="G13091" i="1" a="1"/>
  <c r="G10960" i="1" a="1"/>
  <c r="G11472" i="1" a="1"/>
  <c r="G11848" i="1" a="1"/>
  <c r="G12201" i="1" a="1"/>
  <c r="G12506" i="1" a="1"/>
  <c r="G12762" i="1" a="1"/>
  <c r="G12951" i="1" a="1"/>
  <c r="G13128" i="1" a="1"/>
  <c r="G11239" i="1" a="1"/>
  <c r="G11719" i="1" a="1"/>
  <c r="G12047" i="1" a="1"/>
  <c r="G12363" i="1" a="1"/>
  <c r="G12656" i="1" a="1"/>
  <c r="G12871" i="1" a="1"/>
  <c r="G13043" i="1" a="1"/>
  <c r="G13235" i="1" a="1"/>
  <c r="G13381" i="1" a="1"/>
  <c r="G13522" i="1" a="1"/>
  <c r="G13658" i="1" a="1"/>
  <c r="G13820" i="1" a="1"/>
  <c r="G13966" i="1" a="1"/>
  <c r="G14102" i="1" a="1"/>
  <c r="G14240" i="1" a="1"/>
  <c r="G14304" i="1" a="1"/>
  <c r="G14368" i="1" a="1"/>
  <c r="G14432" i="1" a="1"/>
  <c r="G14496" i="1" a="1"/>
  <c r="G14560" i="1" a="1"/>
  <c r="G14624" i="1" a="1"/>
  <c r="G13385" i="1" a="1"/>
  <c r="G13646" i="1" a="1"/>
  <c r="G13960" i="1" a="1"/>
  <c r="G14221" i="1" a="1"/>
  <c r="G14359" i="1" a="1"/>
  <c r="G14487" i="1" a="1"/>
  <c r="G14615" i="1" a="1"/>
  <c r="G14770" i="1" a="1"/>
  <c r="G13605" i="1" a="1"/>
  <c r="G13992" i="1" a="1"/>
  <c r="G14655" i="1" a="1"/>
  <c r="G14840" i="1" a="1"/>
  <c r="G14642" i="1" a="1"/>
  <c r="G13557" i="1" a="1"/>
  <c r="G13714" i="1" a="1"/>
  <c r="G14475" i="1" a="1"/>
  <c r="G14217" i="1" a="1"/>
  <c r="G14510" i="1" a="1"/>
  <c r="G13250" i="1" a="1"/>
  <c r="G13543" i="1" a="1"/>
  <c r="G14931" i="1" a="1"/>
  <c r="G14752" i="1" a="1"/>
  <c r="G14307" i="1" a="1"/>
  <c r="G14804" i="1" a="1"/>
  <c r="G14334" i="1" a="1"/>
  <c r="G14883" i="1" a="1"/>
  <c r="G13410" i="1" a="1"/>
  <c r="G13703" i="1" a="1"/>
  <c r="G14016" i="1" a="1"/>
  <c r="G14266" i="1" a="1"/>
  <c r="G14394" i="1" a="1"/>
  <c r="G14530" i="1" a="1"/>
  <c r="G13198" i="1" a="1"/>
  <c r="G14656" i="1" a="1"/>
  <c r="G14347" i="1" a="1"/>
  <c r="G14018" i="1" a="1"/>
  <c r="G14414" i="1" a="1"/>
  <c r="G14922" i="1" a="1"/>
  <c r="G13401" i="1" a="1"/>
  <c r="G13174" i="1" a="1"/>
  <c r="G13475" i="1" a="1"/>
  <c r="G13757" i="1" a="1"/>
  <c r="G13248" i="1" a="1"/>
  <c r="G13509" i="1" a="1"/>
  <c r="G13833" i="1" a="1"/>
  <c r="G14147" i="1" a="1"/>
  <c r="G13416" i="1" a="1"/>
  <c r="G13698" i="1" a="1"/>
  <c r="G13991" i="1" a="1"/>
  <c r="G14672" i="1" a="1"/>
  <c r="G14839" i="1" a="1"/>
  <c r="G13735" i="1" a="1"/>
  <c r="G13840" i="1" a="1"/>
  <c r="G14619" i="1" a="1"/>
  <c r="G14920" i="1" a="1"/>
  <c r="G14666" i="1" a="1"/>
  <c r="F47" i="1" a="1"/>
  <c r="F111" i="1" a="1"/>
  <c r="F60" i="1" a="1"/>
  <c r="F152" i="1" a="1"/>
  <c r="F280" i="1" a="1"/>
  <c r="F110" i="1" a="1"/>
  <c r="F254" i="1" a="1"/>
  <c r="F402" i="1" a="1"/>
  <c r="F48" i="1" a="1"/>
  <c r="F168" i="1" a="1"/>
  <c r="F323" i="1" a="1"/>
  <c r="F456" i="1" a="1"/>
  <c r="F590" i="1" a="1"/>
  <c r="F137" i="1" a="1"/>
  <c r="F324" i="1" a="1"/>
  <c r="F472" i="1" a="1"/>
  <c r="F26" i="1" a="1"/>
  <c r="F229" i="1" a="1"/>
  <c r="F415" i="1" a="1"/>
  <c r="F555" i="1" a="1"/>
  <c r="F164" i="1" a="1"/>
  <c r="F96" i="1" a="1"/>
  <c r="F281" i="1" a="1"/>
  <c r="F455" i="1" a="1"/>
  <c r="F273" i="1" a="1"/>
  <c r="F506" i="1" a="1"/>
  <c r="F88" i="1" a="1"/>
  <c r="F460" i="1" a="1"/>
  <c r="F664" i="1" a="1"/>
  <c r="F801" i="1" a="1"/>
  <c r="F369" i="1" a="1"/>
  <c r="F612" i="1" a="1"/>
  <c r="F314" i="1" a="1"/>
  <c r="F566" i="1" a="1"/>
  <c r="F291" i="1" a="1"/>
  <c r="F583" i="1" a="1"/>
  <c r="F284" i="1" a="1"/>
  <c r="F556" i="1" a="1"/>
  <c r="F553" i="1" a="1"/>
  <c r="F794" i="1" a="1"/>
  <c r="F935" i="1" a="1"/>
  <c r="F1063" i="1" a="1"/>
  <c r="F1191" i="1" a="1"/>
  <c r="F1261" i="1" a="1"/>
  <c r="F1325" i="1" a="1"/>
  <c r="F1389" i="1" a="1"/>
  <c r="F1453" i="1" a="1"/>
  <c r="F1517" i="1" a="1"/>
  <c r="F1581" i="1" a="1"/>
  <c r="F224" i="1" a="1"/>
  <c r="F743" i="1" a="1"/>
  <c r="F899" i="1" a="1"/>
  <c r="F1027" i="1" a="1"/>
  <c r="F656" i="1" a="1"/>
  <c r="F843" i="1" a="1"/>
  <c r="F959" i="1" a="1"/>
  <c r="F1087" i="1" a="1"/>
  <c r="F702" i="1" a="1"/>
  <c r="F465" i="1" a="1"/>
  <c r="F781" i="1" a="1"/>
  <c r="F672" i="1" a="1"/>
  <c r="F818" i="1" a="1"/>
  <c r="F720" i="1" a="1"/>
  <c r="F437" i="1" a="1"/>
  <c r="F757" i="1" a="1"/>
  <c r="F916" i="1" a="1"/>
  <c r="F1044" i="1" a="1"/>
  <c r="F947" i="1" a="1"/>
  <c r="F1144" i="1" a="1"/>
  <c r="F1303" i="1" a="1"/>
  <c r="F1472" i="1" a="1"/>
  <c r="F1641" i="1" a="1"/>
  <c r="F1705" i="1" a="1"/>
  <c r="F1769" i="1" a="1"/>
  <c r="F1833" i="1" a="1"/>
  <c r="F1897" i="1" a="1"/>
  <c r="F1961" i="1" a="1"/>
  <c r="F2025" i="1" a="1"/>
  <c r="F2089" i="1" a="1"/>
  <c r="F893" i="1" a="1"/>
  <c r="F1114" i="1" a="1"/>
  <c r="F1276" i="1" a="1"/>
  <c r="F1450" i="1" a="1"/>
  <c r="F1619" i="1" a="1"/>
  <c r="F1060" i="1" a="1"/>
  <c r="F1231" i="1" a="1"/>
  <c r="F1400" i="1" a="1"/>
  <c r="F1574" i="1" a="1"/>
  <c r="F1678" i="1" a="1"/>
  <c r="F1742" i="1" a="1"/>
  <c r="F1024" i="1" a="1"/>
  <c r="F1085" i="1" a="1"/>
  <c r="F1062" i="1" a="1"/>
  <c r="F1073" i="1" a="1"/>
  <c r="F1080" i="1" a="1"/>
  <c r="F1243" i="1" a="1"/>
  <c r="F1412" i="1" a="1"/>
  <c r="F1586" i="1" a="1"/>
  <c r="F1282" i="1" a="1"/>
  <c r="F1611" i="1" a="1"/>
  <c r="F1162" i="1" a="1"/>
  <c r="F1502" i="1" a="1"/>
  <c r="F1807" i="1" a="1"/>
  <c r="F1987" i="1" a="1"/>
  <c r="F1101" i="1" a="1"/>
  <c r="F1480" i="1" a="1"/>
  <c r="F1347" i="1" a="1"/>
  <c r="F1684" i="1" a="1"/>
  <c r="F1882" i="1" a="1"/>
  <c r="F2052" i="1" a="1"/>
  <c r="F1223" i="1" a="1"/>
  <c r="F1608" i="1" a="1"/>
  <c r="F1094" i="1" a="1"/>
  <c r="F1775" i="1" a="1"/>
  <c r="F1967" i="1" a="1"/>
  <c r="F2165" i="1" a="1"/>
  <c r="F2250" i="1" a="1"/>
  <c r="F2336" i="1" a="1"/>
  <c r="F2456" i="1" a="1"/>
  <c r="F2584" i="1" a="1"/>
  <c r="F2674" i="1" a="1"/>
  <c r="F2738" i="1" a="1"/>
  <c r="F2802" i="1" a="1"/>
  <c r="F2866" i="1" a="1"/>
  <c r="F2930" i="1" a="1"/>
  <c r="F2994" i="1" a="1"/>
  <c r="F3058" i="1" a="1"/>
  <c r="F3122" i="1" a="1"/>
  <c r="F3186" i="1" a="1"/>
  <c r="F1696" i="1" a="1"/>
  <c r="F1980" i="1" a="1"/>
  <c r="F2203" i="1" a="1"/>
  <c r="F2406" i="1" a="1"/>
  <c r="F2534" i="1" a="1"/>
  <c r="F1320" i="1" a="1"/>
  <c r="F1854" i="1" a="1"/>
  <c r="F2048" i="1" a="1"/>
  <c r="F2193" i="1" a="1"/>
  <c r="F2278" i="1" a="1"/>
  <c r="F2375" i="1" a="1"/>
  <c r="F2503" i="1" a="1"/>
  <c r="F2631" i="1" a="1"/>
  <c r="F2695" i="1" a="1"/>
  <c r="F1651" i="1" a="1"/>
  <c r="F1963" i="1" a="1"/>
  <c r="F2199" i="1" a="1"/>
  <c r="F1724" i="1" a="1"/>
  <c r="F1958" i="1" a="1"/>
  <c r="F2157" i="1" a="1"/>
  <c r="F1311" i="1" a="1"/>
  <c r="F1838" i="1" a="1"/>
  <c r="F2082" i="1" a="1"/>
  <c r="F2335" i="1" a="1"/>
  <c r="F2469" i="1" a="1"/>
  <c r="F2597" i="1" a="1"/>
  <c r="F1995" i="1" a="1"/>
  <c r="F2491" i="1" a="1"/>
  <c r="F2787" i="1" a="1"/>
  <c r="F2872" i="1" a="1"/>
  <c r="F2993" i="1" a="1"/>
  <c r="F2249" i="1" a="1"/>
  <c r="F2464" i="1" a="1"/>
  <c r="F2677" i="1" a="1"/>
  <c r="F2980" i="1" a="1"/>
  <c r="F3149" i="1" a="1"/>
  <c r="F2211" i="1" a="1"/>
  <c r="G2648" i="1" a="1"/>
  <c r="G3421" i="1" a="1"/>
  <c r="G5974" i="1" a="1"/>
  <c r="G7139" i="1" a="1"/>
  <c r="G4711" i="1" a="1"/>
  <c r="G7071" i="1" a="1"/>
  <c r="G5582" i="1" a="1"/>
  <c r="G5429" i="1" a="1"/>
  <c r="G6859" i="1" a="1"/>
  <c r="G6622" i="1" a="1"/>
  <c r="G8307" i="1" a="1"/>
  <c r="G9293" i="1" a="1"/>
  <c r="G9805" i="1" a="1"/>
  <c r="G6216" i="1" a="1"/>
  <c r="G8146" i="1" a="1"/>
  <c r="G9202" i="1" a="1"/>
  <c r="G7983" i="1" a="1"/>
  <c r="G5294" i="1" a="1"/>
  <c r="G6082" i="1" a="1"/>
  <c r="G6364" i="1" a="1"/>
  <c r="G8160" i="1" a="1"/>
  <c r="G7965" i="1" a="1"/>
  <c r="G9480" i="1" a="1"/>
  <c r="G8184" i="1" a="1"/>
  <c r="G10158" i="1" a="1"/>
  <c r="G10700" i="1" a="1"/>
  <c r="G8523" i="1" a="1"/>
  <c r="G9715" i="1" a="1"/>
  <c r="G7735" i="1" a="1"/>
  <c r="G7851" i="1" a="1"/>
  <c r="G9013" i="1" a="1"/>
  <c r="G8542" i="1" a="1"/>
  <c r="G10940" i="1" a="1"/>
  <c r="G11068" i="1" a="1"/>
  <c r="G11196" i="1" a="1"/>
  <c r="G11324" i="1" a="1"/>
  <c r="G11452" i="1" a="1"/>
  <c r="G11580" i="1" a="1"/>
  <c r="G11708" i="1" a="1"/>
  <c r="G11836" i="1" a="1"/>
  <c r="G11964" i="1" a="1"/>
  <c r="G12092" i="1" a="1"/>
  <c r="G12220" i="1" a="1"/>
  <c r="G12348" i="1" a="1"/>
  <c r="G12476" i="1" a="1"/>
  <c r="G12604" i="1" a="1"/>
  <c r="G12732" i="1" a="1"/>
  <c r="G12860" i="1" a="1"/>
  <c r="G8874" i="1" a="1"/>
  <c r="G9264" i="1" a="1"/>
  <c r="G9435" i="1" a="1"/>
  <c r="G9606" i="1" a="1"/>
  <c r="G9954" i="1" a="1"/>
  <c r="G10435" i="1" a="1"/>
  <c r="G10594" i="1" a="1"/>
  <c r="G10679" i="1" a="1"/>
  <c r="G10765" i="1" a="1"/>
  <c r="G10850" i="1" a="1"/>
  <c r="G10935" i="1" a="1"/>
  <c r="G11064" i="1" a="1"/>
  <c r="G11192" i="1" a="1"/>
  <c r="G11320" i="1" a="1"/>
  <c r="G11448" i="1" a="1"/>
  <c r="G11576" i="1" a="1"/>
  <c r="G11704" i="1" a="1"/>
  <c r="G11832" i="1" a="1"/>
  <c r="G11960" i="1" a="1"/>
  <c r="G12088" i="1" a="1"/>
  <c r="G12216" i="1" a="1"/>
  <c r="G12344" i="1" a="1"/>
  <c r="G8856" i="1" a="1"/>
  <c r="G9228" i="1" a="1"/>
  <c r="G9927" i="1" a="1"/>
  <c r="G10226" i="1" a="1"/>
  <c r="G10354" i="1" a="1"/>
  <c r="G10519" i="1" a="1"/>
  <c r="G11014" i="1" a="1"/>
  <c r="G11142" i="1" a="1"/>
  <c r="G11270" i="1" a="1"/>
  <c r="G11398" i="1" a="1"/>
  <c r="G11526" i="1" a="1"/>
  <c r="G11654" i="1" a="1"/>
  <c r="G11782" i="1" a="1"/>
  <c r="G8875" i="1" a="1"/>
  <c r="G9254" i="1" a="1"/>
  <c r="G8752" i="1" a="1"/>
  <c r="G9172" i="1" a="1"/>
  <c r="G8737" i="1" a="1"/>
  <c r="G8518" i="1" a="1"/>
  <c r="G9026" i="1" a="1"/>
  <c r="G9703" i="1" a="1"/>
  <c r="G10032" i="1" a="1"/>
  <c r="G10278" i="1" a="1"/>
  <c r="G10414" i="1" a="1"/>
  <c r="G10581" i="1" a="1"/>
  <c r="G11062" i="1" a="1"/>
  <c r="G11190" i="1" a="1"/>
  <c r="G11318" i="1" a="1"/>
  <c r="G11446" i="1" a="1"/>
  <c r="G8665" i="1" a="1"/>
  <c r="G9222" i="1" a="1"/>
  <c r="G9666" i="1" a="1"/>
  <c r="G10426" i="1" a="1"/>
  <c r="G10677" i="1" a="1"/>
  <c r="G10847" i="1" a="1"/>
  <c r="G11043" i="1" a="1"/>
  <c r="G11299" i="1" a="1"/>
  <c r="G11555" i="1" a="1"/>
  <c r="G11746" i="1" a="1"/>
  <c r="G11953" i="1" a="1"/>
  <c r="G12123" i="1" a="1"/>
  <c r="G12288" i="1" a="1"/>
  <c r="G12445" i="1" a="1"/>
  <c r="G12591" i="1" a="1"/>
  <c r="G12753" i="1" a="1"/>
  <c r="G12897" i="1" a="1"/>
  <c r="G13025" i="1" a="1"/>
  <c r="G13153" i="1" a="1"/>
  <c r="G13281" i="1" a="1"/>
  <c r="G13409" i="1" a="1"/>
  <c r="G13537" i="1" a="1"/>
  <c r="G13665" i="1" a="1"/>
  <c r="G13793" i="1" a="1"/>
  <c r="G13921" i="1" a="1"/>
  <c r="G14049" i="1" a="1"/>
  <c r="G9271" i="1" a="1"/>
  <c r="G9722" i="1" a="1"/>
  <c r="G10491" i="1" a="1"/>
  <c r="G10710" i="1" a="1"/>
  <c r="G10881" i="1" a="1"/>
  <c r="G11090" i="1" a="1"/>
  <c r="G11346" i="1" a="1"/>
  <c r="G11586" i="1" a="1"/>
  <c r="G11789" i="1" a="1"/>
  <c r="G11948" i="1" a="1"/>
  <c r="G12125" i="1" a="1"/>
  <c r="G12301" i="1" a="1"/>
  <c r="G12456" i="1" a="1"/>
  <c r="G12597" i="1" a="1"/>
  <c r="G12733" i="1" a="1"/>
  <c r="G12879" i="1" a="1"/>
  <c r="G13003" i="1" a="1"/>
  <c r="G13131" i="1" a="1"/>
  <c r="G9378" i="1" a="1"/>
  <c r="G9836" i="1" a="1"/>
  <c r="G10546" i="1" a="1"/>
  <c r="G10734" i="1" a="1"/>
  <c r="G10905" i="1" a="1"/>
  <c r="G11138" i="1" a="1"/>
  <c r="G11394" i="1" a="1"/>
  <c r="G11615" i="1" a="1"/>
  <c r="G11826" i="1" a="1"/>
  <c r="G12003" i="1" a="1"/>
  <c r="G12162" i="1" a="1"/>
  <c r="G12338" i="1" a="1"/>
  <c r="G12493" i="1" a="1"/>
  <c r="G12634" i="1" a="1"/>
  <c r="G9967" i="1" a="1"/>
  <c r="G10381" i="1" a="1"/>
  <c r="G9387" i="1" a="1"/>
  <c r="G9858" i="1" a="1"/>
  <c r="G10547" i="1" a="1"/>
  <c r="G10735" i="1" a="1"/>
  <c r="G9452" i="1" a="1"/>
  <c r="G9987" i="1" a="1"/>
  <c r="G10598" i="1" a="1"/>
  <c r="G10769" i="1" a="1"/>
  <c r="G9586" i="1" a="1"/>
  <c r="G10386" i="1" a="1"/>
  <c r="G10654" i="1" a="1"/>
  <c r="G9367" i="1" a="1"/>
  <c r="G10245" i="1" a="1"/>
  <c r="G10541" i="1" a="1"/>
  <c r="G11180" i="1" a="1"/>
  <c r="G11436" i="1" a="1"/>
  <c r="G11650" i="1" a="1"/>
  <c r="G11855" i="1" a="1"/>
  <c r="G12020" i="1" a="1"/>
  <c r="G12190" i="1" a="1"/>
  <c r="G12371" i="1" a="1"/>
  <c r="G12528" i="1" a="1"/>
  <c r="G12664" i="1" a="1"/>
  <c r="G12810" i="1" a="1"/>
  <c r="G11002" i="1" a="1"/>
  <c r="G11514" i="1" a="1"/>
  <c r="G11865" i="1" a="1"/>
  <c r="G12218" i="1" a="1"/>
  <c r="G12489" i="1" a="1"/>
  <c r="G12724" i="1" a="1"/>
  <c r="G12946" i="1" a="1"/>
  <c r="G13111" i="1" a="1"/>
  <c r="G13246" i="1" a="1"/>
  <c r="G13408" i="1" a="1"/>
  <c r="G13549" i="1" a="1"/>
  <c r="G13685" i="1" a="1"/>
  <c r="G13847" i="1" a="1"/>
  <c r="G13993" i="1" a="1"/>
  <c r="G14129" i="1" a="1"/>
  <c r="G14135" i="1" a="1"/>
  <c r="G14301" i="1" a="1"/>
  <c r="G14437" i="1" a="1"/>
  <c r="G14565" i="1" a="1"/>
  <c r="G14681" i="1" a="1"/>
  <c r="G14801" i="1" a="1"/>
  <c r="G10801" i="1" a="1"/>
  <c r="G11259" i="1" a="1"/>
  <c r="G11765" i="1" a="1"/>
  <c r="G12109" i="1" a="1"/>
  <c r="G12448" i="1" a="1"/>
  <c r="G12715" i="1" a="1"/>
  <c r="G12965" i="1" a="1"/>
  <c r="G13142" i="1" a="1"/>
  <c r="G13315" i="1" a="1"/>
  <c r="G13451" i="1" a="1"/>
  <c r="G13597" i="1" a="1"/>
  <c r="G13759" i="1" a="1"/>
  <c r="G13895" i="1" a="1"/>
  <c r="G14041" i="1" a="1"/>
  <c r="G14281" i="1" a="1"/>
  <c r="G14401" i="1" a="1"/>
  <c r="G14529" i="1" a="1"/>
  <c r="G14669" i="1" a="1"/>
  <c r="G14805" i="1" a="1"/>
  <c r="G14933" i="1" a="1"/>
  <c r="G11225" i="1" a="1"/>
  <c r="G11678" i="1" a="1"/>
  <c r="G12025" i="1" a="1"/>
  <c r="G12365" i="1" a="1"/>
  <c r="G12626" i="1" a="1"/>
  <c r="G12881" i="1" a="1"/>
  <c r="G13058" i="1" a="1"/>
  <c r="G13221" i="1" a="1"/>
  <c r="G13362" i="1" a="1"/>
  <c r="G13498" i="1" a="1"/>
  <c r="G13660" i="1" a="1"/>
  <c r="G13806" i="1" a="1"/>
  <c r="G13942" i="1" a="1"/>
  <c r="G14099" i="1" a="1"/>
  <c r="G14224" i="1" a="1"/>
  <c r="G11413" i="1" a="1"/>
  <c r="G11846" i="1" a="1"/>
  <c r="G12199" i="1" a="1"/>
  <c r="G12536" i="1" a="1"/>
  <c r="G12809" i="1" a="1"/>
  <c r="G13004" i="1" a="1"/>
  <c r="G11066" i="1" a="1"/>
  <c r="G11596" i="1" a="1"/>
  <c r="G11968" i="1" a="1"/>
  <c r="G12322" i="1" a="1"/>
  <c r="G12641" i="1" a="1"/>
  <c r="G12882" i="1" a="1"/>
  <c r="G13047" i="1" a="1"/>
  <c r="G10875" i="1" a="1"/>
  <c r="G11360" i="1" a="1"/>
  <c r="G11757" i="1" a="1"/>
  <c r="G12103" i="1" a="1"/>
  <c r="G12464" i="1" a="1"/>
  <c r="G12736" i="1" a="1"/>
  <c r="G12932" i="1" a="1"/>
  <c r="G13102" i="1" a="1"/>
  <c r="G10978" i="1" a="1"/>
  <c r="G11490" i="1" a="1"/>
  <c r="G11872" i="1" a="1"/>
  <c r="G12226" i="1" a="1"/>
  <c r="G12527" i="1" a="1"/>
  <c r="G12771" i="1" a="1"/>
  <c r="G12969" i="1" a="1"/>
  <c r="G13146" i="1" a="1"/>
  <c r="G11276" i="1" a="1"/>
  <c r="G11748" i="1" a="1"/>
  <c r="G12071" i="1" a="1"/>
  <c r="G12384" i="1" a="1"/>
  <c r="G12672" i="1" a="1"/>
  <c r="G12885" i="1" a="1"/>
  <c r="G13061" i="1" a="1"/>
  <c r="G13251" i="1" a="1"/>
  <c r="G13387" i="1" a="1"/>
  <c r="G13533" i="1" a="1"/>
  <c r="G13695" i="1" a="1"/>
  <c r="G13831" i="1" a="1"/>
  <c r="G13972" i="1" a="1"/>
  <c r="G14118" i="1" a="1"/>
  <c r="G14244" i="1" a="1"/>
  <c r="G14308" i="1" a="1"/>
  <c r="G14372" i="1" a="1"/>
  <c r="G14436" i="1" a="1"/>
  <c r="G14500" i="1" a="1"/>
  <c r="G14564" i="1" a="1"/>
  <c r="G14628" i="1" a="1"/>
  <c r="G13396" i="1" a="1"/>
  <c r="G13657" i="1" a="1"/>
  <c r="G13970" i="1" a="1"/>
  <c r="G14239" i="1" a="1"/>
  <c r="G14367" i="1" a="1"/>
  <c r="G14495" i="1" a="1"/>
  <c r="G14623" i="1" a="1"/>
  <c r="G14788" i="1" a="1"/>
  <c r="G13616" i="1" a="1"/>
  <c r="G14002" i="1" a="1"/>
  <c r="G14662" i="1" a="1"/>
  <c r="G14847" i="1" a="1"/>
  <c r="G14668" i="1" a="1"/>
  <c r="G13599" i="1" a="1"/>
  <c r="G13777" i="1" a="1"/>
  <c r="G14507" i="1" a="1"/>
  <c r="G14678" i="1" a="1"/>
  <c r="G14542" i="1" a="1"/>
  <c r="G13271" i="1" a="1"/>
  <c r="G13553" i="1" a="1"/>
  <c r="G13275" i="1" a="1"/>
  <c r="G14823" i="1" a="1"/>
  <c r="G14339" i="1" a="1"/>
  <c r="G14907" i="1" a="1"/>
  <c r="G14366" i="1" a="1"/>
  <c r="G14908" i="1" a="1"/>
  <c r="G13431" i="1" a="1"/>
  <c r="G13713" i="1" a="1"/>
  <c r="G14027" i="1" a="1"/>
  <c r="G14274" i="1" a="1"/>
  <c r="G14402" i="1" a="1"/>
  <c r="G14546" i="1" a="1"/>
  <c r="G13233" i="1" a="1"/>
  <c r="G14702" i="1" a="1"/>
  <c r="G14379" i="1" a="1"/>
  <c r="G14199" i="1" a="1"/>
  <c r="G14454" i="1" a="1"/>
  <c r="G13682" i="1" a="1"/>
  <c r="G13443" i="1" a="1"/>
  <c r="G13201" i="1" a="1"/>
  <c r="G13485" i="1" a="1"/>
  <c r="G13788" i="1" a="1"/>
  <c r="G13259" i="1" a="1"/>
  <c r="G13520" i="1" a="1"/>
  <c r="G13844" i="1" a="1"/>
  <c r="G14156" i="1" a="1"/>
  <c r="G13426" i="1" a="1"/>
  <c r="G13719" i="1" a="1"/>
  <c r="G14001" i="1" a="1"/>
  <c r="G14679" i="1" a="1"/>
  <c r="G14846" i="1" a="1"/>
  <c r="G13808" i="1" a="1"/>
  <c r="G13913" i="1" a="1"/>
  <c r="G14651" i="1" a="1"/>
  <c r="G14105" i="1" a="1"/>
  <c r="G14716" i="1" a="1"/>
  <c r="F51" i="1" a="1"/>
  <c r="F115" i="1" a="1"/>
  <c r="F65" i="1" a="1"/>
  <c r="F161" i="1" a="1"/>
  <c r="F289" i="1" a="1"/>
  <c r="F122" i="1" a="1"/>
  <c r="F259" i="1" a="1"/>
  <c r="F411" i="1" a="1"/>
  <c r="F66" i="1" a="1"/>
  <c r="F180" i="1" a="1"/>
  <c r="F329" i="1" a="1"/>
  <c r="F461" i="1" a="1"/>
  <c r="F595" i="1" a="1"/>
  <c r="F145" i="1" a="1"/>
  <c r="F336" i="1" a="1"/>
  <c r="F481" i="1" a="1"/>
  <c r="F34" i="1" a="1"/>
  <c r="F235" i="1" a="1"/>
  <c r="F421" i="1" a="1"/>
  <c r="F564" i="1" a="1"/>
  <c r="F45" i="1" a="1"/>
  <c r="F105" i="1" a="1"/>
  <c r="F310" i="1" a="1"/>
  <c r="F471" i="1" a="1"/>
  <c r="F285" i="1" a="1"/>
  <c r="F542" i="1" a="1"/>
  <c r="F120" i="1" a="1"/>
  <c r="F470" i="1" a="1"/>
  <c r="F673" i="1" a="1"/>
  <c r="F810" i="1" a="1"/>
  <c r="F380" i="1" a="1"/>
  <c r="F617" i="1" a="1"/>
  <c r="F326" i="1" a="1"/>
  <c r="F574" i="1" a="1"/>
  <c r="F303" i="1" a="1"/>
  <c r="F589" i="1" a="1"/>
  <c r="F320" i="1" a="1"/>
  <c r="F562" i="1" a="1"/>
  <c r="F609" i="1" a="1"/>
  <c r="F831" i="1" a="1"/>
  <c r="F944" i="1" a="1"/>
  <c r="F1072" i="1" a="1"/>
  <c r="F1200" i="1" a="1"/>
  <c r="F1265" i="1" a="1"/>
  <c r="F1329" i="1" a="1"/>
  <c r="F1393" i="1" a="1"/>
  <c r="F1457" i="1" a="1"/>
  <c r="F1521" i="1" a="1"/>
  <c r="F1585" i="1" a="1"/>
  <c r="F272" i="1" a="1"/>
  <c r="F748" i="1" a="1"/>
  <c r="F908" i="1" a="1"/>
  <c r="F1036" i="1" a="1"/>
  <c r="F691" i="1" a="1"/>
  <c r="F848" i="1" a="1"/>
  <c r="F968" i="1" a="1"/>
  <c r="F182" i="1" a="1"/>
  <c r="F723" i="1" a="1"/>
  <c r="F502" i="1" a="1"/>
  <c r="F797" i="1" a="1"/>
  <c r="F677" i="1" a="1"/>
  <c r="F829" i="1" a="1"/>
  <c r="F725" i="1" a="1"/>
  <c r="F514" i="1" a="1"/>
  <c r="F762" i="1" a="1"/>
  <c r="F921" i="1" a="1"/>
  <c r="F1049" i="1" a="1"/>
  <c r="F956" i="1" a="1"/>
  <c r="F1155" i="1" a="1"/>
  <c r="F1312" i="1" a="1"/>
  <c r="F1486" i="1" a="1"/>
  <c r="F1645" i="1" a="1"/>
  <c r="F1709" i="1" a="1"/>
  <c r="F1773" i="1" a="1"/>
  <c r="F1837" i="1" a="1"/>
  <c r="F1901" i="1" a="1"/>
  <c r="F1965" i="1" a="1"/>
  <c r="F2029" i="1" a="1"/>
  <c r="F2093" i="1" a="1"/>
  <c r="F902" i="1" a="1"/>
  <c r="F1119" i="1" a="1"/>
  <c r="F1290" i="1" a="1"/>
  <c r="F1459" i="1" a="1"/>
  <c r="F1628" i="1" a="1"/>
  <c r="F1091" i="1" a="1"/>
  <c r="F1240" i="1" a="1"/>
  <c r="F1414" i="1" a="1"/>
  <c r="F1583" i="1" a="1"/>
  <c r="F1682" i="1" a="1"/>
  <c r="F1746" i="1" a="1"/>
  <c r="F1061" i="1" a="1"/>
  <c r="F838" i="1" a="1"/>
  <c r="F1071" i="1" a="1"/>
  <c r="F854" i="1" a="1"/>
  <c r="F1088" i="1" a="1"/>
  <c r="F1252" i="1" a="1"/>
  <c r="F1426" i="1" a="1"/>
  <c r="F1595" i="1" a="1"/>
  <c r="F1291" i="1" a="1"/>
  <c r="F1620" i="1" a="1"/>
  <c r="F1184" i="1" a="1"/>
  <c r="F1543" i="1" a="1"/>
  <c r="F1822" i="1" a="1"/>
  <c r="F1996" i="1" a="1"/>
  <c r="F1138" i="1" a="1"/>
  <c r="F1512" i="1" a="1"/>
  <c r="F1388" i="1" a="1"/>
  <c r="F1695" i="1" a="1"/>
  <c r="F1892" i="1" a="1"/>
  <c r="F2066" i="1" a="1"/>
  <c r="F1255" i="1" a="1"/>
  <c r="F1120" i="1" a="1"/>
  <c r="F1143" i="1" a="1"/>
  <c r="F1784" i="1" a="1"/>
  <c r="F1991" i="1" a="1"/>
  <c r="F2170" i="1" a="1"/>
  <c r="F2256" i="1" a="1"/>
  <c r="F2341" i="1" a="1"/>
  <c r="F2465" i="1" a="1"/>
  <c r="F2593" i="1" a="1"/>
  <c r="F2678" i="1" a="1"/>
  <c r="F2742" i="1" a="1"/>
  <c r="F2806" i="1" a="1"/>
  <c r="F2870" i="1" a="1"/>
  <c r="F2934" i="1" a="1"/>
  <c r="F2998" i="1" a="1"/>
  <c r="F3062" i="1" a="1"/>
  <c r="F3126" i="1" a="1"/>
  <c r="F3190" i="1" a="1"/>
  <c r="F1720" i="1" a="1"/>
  <c r="F1986" i="1" a="1"/>
  <c r="F2219" i="1" a="1"/>
  <c r="F2411" i="1" a="1"/>
  <c r="F2539" i="1" a="1"/>
  <c r="F1342" i="1" a="1"/>
  <c r="F1862" i="1" a="1"/>
  <c r="F2054" i="1" a="1"/>
  <c r="F2198" i="1" a="1"/>
  <c r="F2284" i="1" a="1"/>
  <c r="F2384" i="1" a="1"/>
  <c r="F2512" i="1" a="1"/>
  <c r="F2635" i="1" a="1"/>
  <c r="F2699" i="1" a="1"/>
  <c r="F1663" i="1" a="1"/>
  <c r="F1994" i="1" a="1"/>
  <c r="F2215" i="1" a="1"/>
  <c r="F1736" i="1" a="1"/>
  <c r="F1976" i="1" a="1"/>
  <c r="F2162" i="1" a="1"/>
  <c r="F1352" i="1" a="1"/>
  <c r="F1852" i="1" a="1"/>
  <c r="F2088" i="1" a="1"/>
  <c r="F2350" i="1" a="1"/>
  <c r="F2478" i="1" a="1"/>
  <c r="F2606" i="1" a="1"/>
  <c r="F2044" i="1" a="1"/>
  <c r="F2500" i="1" a="1"/>
  <c r="F2792" i="1" a="1"/>
  <c r="F2877" i="1" a="1"/>
  <c r="F3007" i="1" a="1"/>
  <c r="F2260" i="1" a="1"/>
  <c r="F2473" i="1" a="1"/>
  <c r="F2685" i="1" a="1"/>
  <c r="F2989" i="1" a="1"/>
  <c r="F3163" i="1" a="1"/>
  <c r="F2228" i="1" a="1"/>
  <c r="G3586" i="1" a="1"/>
  <c r="G6846" i="1" a="1"/>
  <c r="G6207" i="1" a="1"/>
  <c r="G7258" i="1" a="1"/>
  <c r="G5305" i="1" a="1"/>
  <c r="G7190" i="1" a="1"/>
  <c r="G4113" i="1" a="1"/>
  <c r="G5746" i="1" a="1"/>
  <c r="G6978" i="1" a="1"/>
  <c r="G6872" i="1" a="1"/>
  <c r="G8424" i="1" a="1"/>
  <c r="G9353" i="1" a="1"/>
  <c r="G9865" i="1" a="1"/>
  <c r="G6523" i="1" a="1"/>
  <c r="G8276" i="1" a="1"/>
  <c r="G5631" i="1" a="1"/>
  <c r="G8125" i="1" a="1"/>
  <c r="G5958" i="1" a="1"/>
  <c r="G6427" i="1" a="1"/>
  <c r="G6621" i="1" a="1"/>
  <c r="G8296" i="1" a="1"/>
  <c r="G8236" i="1" a="1"/>
  <c r="G9560" i="1" a="1"/>
  <c r="G8413" i="1" a="1"/>
  <c r="G10248" i="1" a="1"/>
  <c r="G10760" i="1" a="1"/>
  <c r="G8770" i="1" a="1"/>
  <c r="G9875" i="1" a="1"/>
  <c r="G8053" i="1" a="1"/>
  <c r="G8138" i="1" a="1"/>
  <c r="G9163" i="1" a="1"/>
  <c r="G8988" i="1" a="1"/>
  <c r="G10949" i="1" a="1"/>
  <c r="G11077" i="1" a="1"/>
  <c r="G11205" i="1" a="1"/>
  <c r="G11333" i="1" a="1"/>
  <c r="G11461" i="1" a="1"/>
  <c r="G11589" i="1" a="1"/>
  <c r="G11717" i="1" a="1"/>
  <c r="G11845" i="1" a="1"/>
  <c r="G11973" i="1" a="1"/>
  <c r="G12101" i="1" a="1"/>
  <c r="G12229" i="1" a="1"/>
  <c r="G12357" i="1" a="1"/>
  <c r="G12485" i="1" a="1"/>
  <c r="G12613" i="1" a="1"/>
  <c r="G12741" i="1" a="1"/>
  <c r="G12869" i="1" a="1"/>
  <c r="G8892" i="1" a="1"/>
  <c r="G9275" i="1" a="1"/>
  <c r="G9446" i="1" a="1"/>
  <c r="G9634" i="1" a="1"/>
  <c r="G9963" i="1" a="1"/>
  <c r="G10442" i="1" a="1"/>
  <c r="G10599" i="1" a="1"/>
  <c r="G10685" i="1" a="1"/>
  <c r="G10770" i="1" a="1"/>
  <c r="G10855" i="1" a="1"/>
  <c r="G10945" i="1" a="1"/>
  <c r="G11073" i="1" a="1"/>
  <c r="G11201" i="1" a="1"/>
  <c r="G11329" i="1" a="1"/>
  <c r="G11457" i="1" a="1"/>
  <c r="G11585" i="1" a="1"/>
  <c r="G11713" i="1" a="1"/>
  <c r="G11841" i="1" a="1"/>
  <c r="G11969" i="1" a="1"/>
  <c r="G12097" i="1" a="1"/>
  <c r="G12225" i="1" a="1"/>
  <c r="G12353" i="1" a="1"/>
  <c r="G8893" i="1" a="1"/>
  <c r="G9241" i="1" a="1"/>
  <c r="G9936" i="1" a="1"/>
  <c r="G10234" i="1" a="1"/>
  <c r="G10362" i="1" a="1"/>
  <c r="G10526" i="1" a="1"/>
  <c r="G11023" i="1" a="1"/>
  <c r="G11151" i="1" a="1"/>
  <c r="G11279" i="1" a="1"/>
  <c r="G11407" i="1" a="1"/>
  <c r="G11535" i="1" a="1"/>
  <c r="G11663" i="1" a="1"/>
  <c r="G8414" i="1" a="1"/>
  <c r="G8930" i="1" a="1"/>
  <c r="G9266" i="1" a="1"/>
  <c r="G8789" i="1" a="1"/>
  <c r="G9185" i="1" a="1"/>
  <c r="G8755" i="1" a="1"/>
  <c r="G8536" i="1" a="1"/>
  <c r="G9052" i="1" a="1"/>
  <c r="G9712" i="1" a="1"/>
  <c r="G10078" i="1" a="1"/>
  <c r="G10286" i="1" a="1"/>
  <c r="G10421" i="1" a="1"/>
  <c r="G10943" i="1" a="1"/>
  <c r="G11071" i="1" a="1"/>
  <c r="G11199" i="1" a="1"/>
  <c r="G11327" i="1" a="1"/>
  <c r="G11455" i="1" a="1"/>
  <c r="G8683" i="1" a="1"/>
  <c r="G9270" i="1" a="1"/>
  <c r="G9684" i="1" a="1"/>
  <c r="G10451" i="1" a="1"/>
  <c r="G10687" i="1" a="1"/>
  <c r="G10858" i="1" a="1"/>
  <c r="G11080" i="1" a="1"/>
  <c r="G11336" i="1" a="1"/>
  <c r="G11563" i="1" a="1"/>
  <c r="G11794" i="1" a="1"/>
  <c r="G11971" i="1" a="1"/>
  <c r="G12130" i="1" a="1"/>
  <c r="G12306" i="1" a="1"/>
  <c r="G12450" i="1" a="1"/>
  <c r="G12612" i="1" a="1"/>
  <c r="G12758" i="1" a="1"/>
  <c r="G12906" i="1" a="1"/>
  <c r="G13034" i="1" a="1"/>
  <c r="G13162" i="1" a="1"/>
  <c r="G13290" i="1" a="1"/>
  <c r="G13418" i="1" a="1"/>
  <c r="G13546" i="1" a="1"/>
  <c r="G13674" i="1" a="1"/>
  <c r="G13802" i="1" a="1"/>
  <c r="G13930" i="1" a="1"/>
  <c r="G14058" i="1" a="1"/>
  <c r="G9314" i="1" a="1"/>
  <c r="G9740" i="1" a="1"/>
  <c r="G10505" i="1" a="1"/>
  <c r="G10721" i="1" a="1"/>
  <c r="G10891" i="1" a="1"/>
  <c r="G11099" i="1" a="1"/>
  <c r="G11355" i="1" a="1"/>
  <c r="G11629" i="1" a="1"/>
  <c r="G11796" i="1" a="1"/>
  <c r="G11966" i="1" a="1"/>
  <c r="G12143" i="1" a="1"/>
  <c r="G12308" i="1" a="1"/>
  <c r="G12461" i="1" a="1"/>
  <c r="G12602" i="1" a="1"/>
  <c r="G12738" i="1" a="1"/>
  <c r="G12884" i="1" a="1"/>
  <c r="G13012" i="1" a="1"/>
  <c r="G13140" i="1" a="1"/>
  <c r="G9404" i="1" a="1"/>
  <c r="G9891" i="1" a="1"/>
  <c r="G10571" i="1" a="1"/>
  <c r="G10745" i="1" a="1"/>
  <c r="G10915" i="1" a="1"/>
  <c r="G11147" i="1" a="1"/>
  <c r="G11403" i="1" a="1"/>
  <c r="G11623" i="1" a="1"/>
  <c r="G11833" i="1" a="1"/>
  <c r="G12009" i="1" a="1"/>
  <c r="G12168" i="1" a="1"/>
  <c r="G12345" i="1" a="1"/>
  <c r="G12498" i="1" a="1"/>
  <c r="G12639" i="1" a="1"/>
  <c r="G10022" i="1" a="1"/>
  <c r="G10406" i="1" a="1"/>
  <c r="G9408" i="1" a="1"/>
  <c r="G9876" i="1" a="1"/>
  <c r="G10561" i="1" a="1"/>
  <c r="G10746" i="1" a="1"/>
  <c r="G9474" i="1" a="1"/>
  <c r="G10042" i="1" a="1"/>
  <c r="G10609" i="1" a="1"/>
  <c r="G10779" i="1" a="1"/>
  <c r="G9607" i="1" a="1"/>
  <c r="G10411" i="1" a="1"/>
  <c r="G10665" i="1" a="1"/>
  <c r="G9647" i="1" a="1"/>
  <c r="G10261" i="1" a="1"/>
  <c r="G10566" i="1" a="1"/>
  <c r="G11189" i="1" a="1"/>
  <c r="G11445" i="1" a="1"/>
  <c r="G11693" i="1" a="1"/>
  <c r="G11861" i="1" a="1"/>
  <c r="G12031" i="1" a="1"/>
  <c r="G12196" i="1" a="1"/>
  <c r="G12392" i="1" a="1"/>
  <c r="G12533" i="1" a="1"/>
  <c r="G12669" i="1" a="1"/>
  <c r="G12815" i="1" a="1"/>
  <c r="G11057" i="1" a="1"/>
  <c r="G11529" i="1" a="1"/>
  <c r="G11889" i="1" a="1"/>
  <c r="G12242" i="1" a="1"/>
  <c r="G12500" i="1" a="1"/>
  <c r="G12740" i="1" a="1"/>
  <c r="G12953" i="1" a="1"/>
  <c r="G13129" i="1" a="1"/>
  <c r="G13267" i="1" a="1"/>
  <c r="G13413" i="1" a="1"/>
  <c r="G13554" i="1" a="1"/>
  <c r="G13690" i="1" a="1"/>
  <c r="G13852" i="1" a="1"/>
  <c r="G13998" i="1" a="1"/>
  <c r="G14134" i="1" a="1"/>
  <c r="G14155" i="1" a="1"/>
  <c r="G14313" i="1" a="1"/>
  <c r="G14445" i="1" a="1"/>
  <c r="G14573" i="1" a="1"/>
  <c r="G14689" i="1" a="1"/>
  <c r="G14809" i="1" a="1"/>
  <c r="G10822" i="1" a="1"/>
  <c r="G11296" i="1" a="1"/>
  <c r="G11779" i="1" a="1"/>
  <c r="G12134" i="1" a="1"/>
  <c r="G12469" i="1" a="1"/>
  <c r="G12757" i="1" a="1"/>
  <c r="G12972" i="1" a="1"/>
  <c r="G13148" i="1" a="1"/>
  <c r="G13320" i="1" a="1"/>
  <c r="G13456" i="1" a="1"/>
  <c r="G13602" i="1" a="1"/>
  <c r="G13764" i="1" a="1"/>
  <c r="G13900" i="1" a="1"/>
  <c r="G14046" i="1" a="1"/>
  <c r="G14289" i="1" a="1"/>
  <c r="G14409" i="1" a="1"/>
  <c r="G14537" i="1" a="1"/>
  <c r="G14677" i="1" a="1"/>
  <c r="G14813" i="1" a="1"/>
  <c r="G10803" i="1" a="1"/>
  <c r="G11243" i="1" a="1"/>
  <c r="G11721" i="1" a="1"/>
  <c r="G12049" i="1" a="1"/>
  <c r="G12376" i="1" a="1"/>
  <c r="G12637" i="1" a="1"/>
  <c r="G12887" i="1" a="1"/>
  <c r="G13064" i="1" a="1"/>
  <c r="G13227" i="1" a="1"/>
  <c r="G13373" i="1" a="1"/>
  <c r="G13535" i="1" a="1"/>
  <c r="G13671" i="1" a="1"/>
  <c r="G13812" i="1" a="1"/>
  <c r="G13958" i="1" a="1"/>
  <c r="G14115" i="1" a="1"/>
  <c r="G14233" i="1" a="1"/>
  <c r="G11431" i="1" a="1"/>
  <c r="G11870" i="1" a="1"/>
  <c r="G12212" i="1" a="1"/>
  <c r="G12546" i="1" a="1"/>
  <c r="G12818" i="1" a="1"/>
  <c r="G13022" i="1" a="1"/>
  <c r="G11121" i="1" a="1"/>
  <c r="G11610" i="1" a="1"/>
  <c r="G11993" i="1" a="1"/>
  <c r="G12346" i="1" a="1"/>
  <c r="G12651" i="1" a="1"/>
  <c r="G12889" i="1" a="1"/>
  <c r="G13065" i="1" a="1"/>
  <c r="G10897" i="1" a="1"/>
  <c r="G11378" i="1" a="1"/>
  <c r="G11771" i="1" a="1"/>
  <c r="G12116" i="1" a="1"/>
  <c r="G12474" i="1" a="1"/>
  <c r="G12745" i="1" a="1"/>
  <c r="G12950" i="1" a="1"/>
  <c r="G13109" i="1" a="1"/>
  <c r="G11033" i="1" a="1"/>
  <c r="G11524" i="1" a="1"/>
  <c r="G11897" i="1" a="1"/>
  <c r="G12250" i="1" a="1"/>
  <c r="G12548" i="1" a="1"/>
  <c r="G12788" i="1" a="1"/>
  <c r="G12976" i="1" a="1"/>
  <c r="G13152" i="1" a="1"/>
  <c r="G11294" i="1" a="1"/>
  <c r="G11762" i="1" a="1"/>
  <c r="G12084" i="1" a="1"/>
  <c r="G12405" i="1" a="1"/>
  <c r="G12681" i="1" a="1"/>
  <c r="G12891" i="1" a="1"/>
  <c r="G13068" i="1" a="1"/>
  <c r="G13256" i="1" a="1"/>
  <c r="G13392" i="1" a="1"/>
  <c r="G13538" i="1" a="1"/>
  <c r="G13700" i="1" a="1"/>
  <c r="G13836" i="1" a="1"/>
  <c r="G13977" i="1" a="1"/>
  <c r="G14139" i="1" a="1"/>
  <c r="G14248" i="1" a="1"/>
  <c r="G14312" i="1" a="1"/>
  <c r="G14376" i="1" a="1"/>
  <c r="G14440" i="1" a="1"/>
  <c r="G14504" i="1" a="1"/>
  <c r="G14568" i="1" a="1"/>
  <c r="G14632" i="1" a="1"/>
  <c r="G13406" i="1" a="1"/>
  <c r="G13699" i="1" a="1"/>
  <c r="G13981" i="1" a="1"/>
  <c r="G14247" i="1" a="1"/>
  <c r="G14375" i="1" a="1"/>
  <c r="G14503" i="1" a="1"/>
  <c r="G14631" i="1" a="1"/>
  <c r="G14795" i="1" a="1"/>
  <c r="G13668" i="1" a="1"/>
  <c r="G14013" i="1" a="1"/>
  <c r="G14680" i="1" a="1"/>
  <c r="G14854" i="1" a="1"/>
  <c r="G14682" i="1" a="1"/>
  <c r="G13745" i="1" a="1"/>
  <c r="G13829" i="1" a="1"/>
  <c r="G14539" i="1" a="1"/>
  <c r="G14710" i="1" a="1"/>
  <c r="G14582" i="1" a="1"/>
  <c r="G13292" i="1" a="1"/>
  <c r="G13574" i="1" a="1"/>
  <c r="G13348" i="1" a="1"/>
  <c r="G14848" i="1" a="1"/>
  <c r="G14371" i="1" a="1"/>
  <c r="G13997" i="1" a="1"/>
  <c r="G14390" i="1" a="1"/>
  <c r="G12931" i="1" a="1"/>
  <c r="G13452" i="1" a="1"/>
  <c r="G13734" i="1" a="1"/>
  <c r="G14037" i="1" a="1"/>
  <c r="G14282" i="1" a="1"/>
  <c r="G14410" i="1" a="1"/>
  <c r="G14554" i="1" a="1"/>
  <c r="G13285" i="1" a="1"/>
  <c r="G14766" i="1" a="1"/>
  <c r="G14411" i="1" a="1"/>
  <c r="G14671" i="1" a="1"/>
  <c r="G14486" i="1" a="1"/>
  <c r="G14894" i="1" a="1"/>
  <c r="G13453" i="1" a="1"/>
  <c r="G13224" i="1" a="1"/>
  <c r="G13506" i="1" a="1"/>
  <c r="G13799" i="1" a="1"/>
  <c r="G13269" i="1" a="1"/>
  <c r="G13530" i="1" a="1"/>
  <c r="G13854" i="1" a="1"/>
  <c r="G14270" i="1" a="1"/>
  <c r="G13437" i="1" a="1"/>
  <c r="G13740" i="1" a="1"/>
  <c r="G14022" i="1" a="1"/>
  <c r="G14686" i="1" a="1"/>
  <c r="G14864" i="1" a="1"/>
  <c r="G13923" i="1" a="1"/>
  <c r="G13965" i="1" a="1"/>
  <c r="G14676" i="1" a="1"/>
  <c r="G14202" i="1" a="1"/>
  <c r="G14762" i="1" a="1"/>
  <c r="F55" i="1" a="1"/>
  <c r="F119" i="1" a="1"/>
  <c r="F70" i="1" a="1"/>
  <c r="F170" i="1" a="1"/>
  <c r="F298" i="1" a="1"/>
  <c r="F134" i="1" a="1"/>
  <c r="F296" i="1" a="1"/>
  <c r="F416" i="1" a="1"/>
  <c r="F78" i="1" a="1"/>
  <c r="F192" i="1" a="1"/>
  <c r="F335" i="1" a="1"/>
  <c r="F476" i="1" a="1"/>
  <c r="F604" i="1" a="1"/>
  <c r="F157" i="1" a="1"/>
  <c r="F368" i="1" a="1"/>
  <c r="F490" i="1" a="1"/>
  <c r="F42" i="1" a="1"/>
  <c r="F241" i="1" a="1"/>
  <c r="F426" i="1" a="1"/>
  <c r="F573" i="1" a="1"/>
  <c r="F61" i="1" a="1"/>
  <c r="F136" i="1" a="1"/>
  <c r="F316" i="1" a="1"/>
  <c r="F480" i="1" a="1"/>
  <c r="F297" i="1" a="1"/>
  <c r="F571" i="1" a="1"/>
  <c r="F172" i="1" a="1"/>
  <c r="F507" i="1" a="1"/>
  <c r="F682" i="1" a="1"/>
  <c r="F815" i="1" a="1"/>
  <c r="F390" i="1" a="1"/>
  <c r="F623" i="1" a="1"/>
  <c r="F338" i="1" a="1"/>
  <c r="F602" i="1" a="1"/>
  <c r="F360" i="1" a="1"/>
  <c r="F597" i="1" a="1"/>
  <c r="F332" i="1" a="1"/>
  <c r="F570" i="1" a="1"/>
  <c r="F651" i="1" a="1"/>
  <c r="F836" i="1" a="1"/>
  <c r="F949" i="1" a="1"/>
  <c r="F1077" i="1" a="1"/>
  <c r="F1205" i="1" a="1"/>
  <c r="F1269" i="1" a="1"/>
  <c r="F1333" i="1" a="1"/>
  <c r="F1397" i="1" a="1"/>
  <c r="F1461" i="1" a="1"/>
  <c r="F1525" i="1" a="1"/>
  <c r="F1589" i="1" a="1"/>
  <c r="F319" i="1" a="1"/>
  <c r="F753" i="1" a="1"/>
  <c r="F913" i="1" a="1"/>
  <c r="F1041" i="1" a="1"/>
  <c r="F707" i="1" a="1"/>
  <c r="F853" i="1" a="1"/>
  <c r="F973" i="1" a="1"/>
  <c r="F236" i="1" a="1"/>
  <c r="F739" i="1" a="1"/>
  <c r="F539" i="1" a="1"/>
  <c r="F802" i="1" a="1"/>
  <c r="F683" i="1" a="1"/>
  <c r="F834" i="1" a="1"/>
  <c r="F730" i="1" a="1"/>
  <c r="F576" i="1" a="1"/>
  <c r="F799" i="1" a="1"/>
  <c r="F930" i="1" a="1"/>
  <c r="F1058" i="1" a="1"/>
  <c r="F993" i="1" a="1"/>
  <c r="F1160" i="1" a="1"/>
  <c r="F1326" i="1" a="1"/>
  <c r="F1495" i="1" a="1"/>
  <c r="F1649" i="1" a="1"/>
  <c r="F1713" i="1" a="1"/>
  <c r="F1777" i="1" a="1"/>
  <c r="F1841" i="1" a="1"/>
  <c r="F1905" i="1" a="1"/>
  <c r="F1969" i="1" a="1"/>
  <c r="F2033" i="1" a="1"/>
  <c r="F2097" i="1" a="1"/>
  <c r="F911" i="1" a="1"/>
  <c r="F1124" i="1" a="1"/>
  <c r="F1299" i="1" a="1"/>
  <c r="F1468" i="1" a="1"/>
  <c r="F822" i="1" a="1"/>
  <c r="F1103" i="1" a="1"/>
  <c r="F1254" i="1" a="1"/>
  <c r="F1423" i="1" a="1"/>
  <c r="F1592" i="1" a="1"/>
  <c r="F1686" i="1" a="1"/>
  <c r="F1750" i="1" a="1"/>
  <c r="F1070" i="1" a="1"/>
  <c r="F850" i="1" a="1"/>
  <c r="F1079" i="1" a="1"/>
  <c r="F864" i="1" a="1"/>
  <c r="F1107" i="1" a="1"/>
  <c r="F1266" i="1" a="1"/>
  <c r="F1435" i="1" a="1"/>
  <c r="F1604" i="1" a="1"/>
  <c r="F1300" i="1" a="1"/>
  <c r="F1758" i="1" a="1"/>
  <c r="F1195" i="1" a="1"/>
  <c r="F1575" i="1" a="1"/>
  <c r="F1834" i="1" a="1"/>
  <c r="F2010" i="1" a="1"/>
  <c r="F1174" i="1" a="1"/>
  <c r="F1524" i="1" a="1"/>
  <c r="F1398" i="1" a="1"/>
  <c r="F1712" i="1" a="1"/>
  <c r="F1906" i="1" a="1"/>
  <c r="F2075" i="1" a="1"/>
  <c r="F1296" i="1" a="1"/>
  <c r="F1131" i="1" a="1"/>
  <c r="F1319" i="1" a="1"/>
  <c r="F1795" i="1" a="1"/>
  <c r="F1998" i="1" a="1"/>
  <c r="F2176" i="1" a="1"/>
  <c r="F2261" i="1" a="1"/>
  <c r="F2346" i="1" a="1"/>
  <c r="F2474" i="1" a="1"/>
  <c r="F2602" i="1" a="1"/>
  <c r="F2682" i="1" a="1"/>
  <c r="F2746" i="1" a="1"/>
  <c r="F2810" i="1" a="1"/>
  <c r="F2874" i="1" a="1"/>
  <c r="F2938" i="1" a="1"/>
  <c r="F3002" i="1" a="1"/>
  <c r="F3066" i="1" a="1"/>
  <c r="F3130" i="1" a="1"/>
  <c r="F3194" i="1" a="1"/>
  <c r="F1732" i="1" a="1"/>
  <c r="F1992" i="1" a="1"/>
  <c r="F2235" i="1" a="1"/>
  <c r="F2420" i="1" a="1"/>
  <c r="F2548" i="1" a="1"/>
  <c r="F1447" i="1" a="1"/>
  <c r="F1868" i="1" a="1"/>
  <c r="F2072" i="1" a="1"/>
  <c r="F2204" i="1" a="1"/>
  <c r="F2289" i="1" a="1"/>
  <c r="F2393" i="1" a="1"/>
  <c r="F2521" i="1" a="1"/>
  <c r="F2639" i="1" a="1"/>
  <c r="F2703" i="1" a="1"/>
  <c r="F1675" i="1" a="1"/>
  <c r="F2006" i="1" a="1"/>
  <c r="F2231" i="1" a="1"/>
  <c r="F1751" i="1" a="1"/>
  <c r="F1982" i="1" a="1"/>
  <c r="F2168" i="1" a="1"/>
  <c r="F1396" i="1" a="1"/>
  <c r="F1866" i="1" a="1"/>
  <c r="F2100" i="1" a="1"/>
  <c r="F2355" i="1" a="1"/>
  <c r="F2483" i="1" a="1"/>
  <c r="F2611" i="1" a="1"/>
  <c r="F2068" i="1" a="1"/>
  <c r="F2509" i="1" a="1"/>
  <c r="F2797" i="1" a="1"/>
  <c r="F2883" i="1" a="1"/>
  <c r="F3016" i="1" a="1"/>
  <c r="F2270" i="1" a="1"/>
  <c r="F2482" i="1" a="1"/>
  <c r="F2693" i="1" a="1"/>
  <c r="F3003" i="1" a="1"/>
  <c r="F3172" i="1" a="1"/>
  <c r="F2263" i="1" a="1"/>
  <c r="G3314" i="1" a="1"/>
  <c r="G6969" i="1" a="1"/>
  <c r="G6215" i="1" a="1"/>
  <c r="G7267" i="1" a="1"/>
  <c r="G5326" i="1" a="1"/>
  <c r="G7199" i="1" a="1"/>
  <c r="G4219" i="1" a="1"/>
  <c r="G5756" i="1" a="1"/>
  <c r="G6987" i="1" a="1"/>
  <c r="G6881" i="1" a="1"/>
  <c r="G8429" i="1" a="1"/>
  <c r="G9357" i="1" a="1"/>
  <c r="G9869" i="1" a="1"/>
  <c r="G6548" i="1" a="1"/>
  <c r="G8282" i="1" a="1"/>
  <c r="G5729" i="1" a="1"/>
  <c r="G8131" i="1" a="1"/>
  <c r="G5979" i="1" a="1"/>
  <c r="G6452" i="1" a="1"/>
  <c r="G6632" i="1" a="1"/>
  <c r="G8301" i="1" a="1"/>
  <c r="G8267" i="1" a="1"/>
  <c r="G9566" i="1" a="1"/>
  <c r="G8422" i="1" a="1"/>
  <c r="G10252" i="1" a="1"/>
  <c r="G10764" i="1" a="1"/>
  <c r="G8779" i="1" a="1"/>
  <c r="G9884" i="1" a="1"/>
  <c r="G8074" i="1" a="1"/>
  <c r="G8148" i="1" a="1"/>
  <c r="G9169" i="1" a="1"/>
  <c r="G9017" i="1" a="1"/>
  <c r="G10958" i="1" a="1"/>
  <c r="G11086" i="1" a="1"/>
  <c r="G11214" i="1" a="1"/>
  <c r="G11342" i="1" a="1"/>
  <c r="G11470" i="1" a="1"/>
  <c r="G11598" i="1" a="1"/>
  <c r="G11726" i="1" a="1"/>
  <c r="G11854" i="1" a="1"/>
  <c r="G11982" i="1" a="1"/>
  <c r="G12110" i="1" a="1"/>
  <c r="G12238" i="1" a="1"/>
  <c r="G12366" i="1" a="1"/>
  <c r="G12494" i="1" a="1"/>
  <c r="G12622" i="1" a="1"/>
  <c r="G12750" i="1" a="1"/>
  <c r="G12878" i="1" a="1"/>
  <c r="G8929" i="1" a="1"/>
  <c r="G9286" i="1" a="1"/>
  <c r="G9456" i="1" a="1"/>
  <c r="G9643" i="1" a="1"/>
  <c r="G9972" i="1" a="1"/>
  <c r="G10449" i="1" a="1"/>
  <c r="G10605" i="1" a="1"/>
  <c r="G10690" i="1" a="1"/>
  <c r="G10775" i="1" a="1"/>
  <c r="G10861" i="1" a="1"/>
  <c r="G10954" i="1" a="1"/>
  <c r="G11082" i="1" a="1"/>
  <c r="G11210" i="1" a="1"/>
  <c r="G11338" i="1" a="1"/>
  <c r="G11466" i="1" a="1"/>
  <c r="G11594" i="1" a="1"/>
  <c r="G11722" i="1" a="1"/>
  <c r="G11850" i="1" a="1"/>
  <c r="G11978" i="1" a="1"/>
  <c r="G12106" i="1" a="1"/>
  <c r="G12234" i="1" a="1"/>
  <c r="G8405" i="1" a="1"/>
  <c r="G8911" i="1" a="1"/>
  <c r="G9616" i="1" a="1"/>
  <c r="G9982" i="1" a="1"/>
  <c r="G10242" i="1" a="1"/>
  <c r="G10370" i="1" a="1"/>
  <c r="G10533" i="1" a="1"/>
  <c r="G11028" i="1" a="1"/>
  <c r="G11156" i="1" a="1"/>
  <c r="G11284" i="1" a="1"/>
  <c r="G11412" i="1" a="1"/>
  <c r="G11540" i="1" a="1"/>
  <c r="G11668" i="1" a="1"/>
  <c r="G8436" i="1" a="1"/>
  <c r="G8947" i="1" a="1"/>
  <c r="G9276" i="1" a="1"/>
  <c r="G8807" i="1" a="1"/>
  <c r="G9196" i="1" a="1"/>
  <c r="G8810" i="1" a="1"/>
  <c r="G8573" i="1" a="1"/>
  <c r="G9076" i="1" a="1"/>
  <c r="G9758" i="1" a="1"/>
  <c r="G10087" i="1" a="1"/>
  <c r="G10294" i="1" a="1"/>
  <c r="G10439" i="1" a="1"/>
  <c r="G10948" i="1" a="1"/>
  <c r="G11076" i="1" a="1"/>
  <c r="G11204" i="1" a="1"/>
  <c r="G11332" i="1" a="1"/>
  <c r="G11460" i="1" a="1"/>
  <c r="G8738" i="1" a="1"/>
  <c r="G9312" i="1" a="1"/>
  <c r="G9739" i="1" a="1"/>
  <c r="G10465" i="1" a="1"/>
  <c r="G10698" i="1" a="1"/>
  <c r="G10869" i="1" a="1"/>
  <c r="G11089" i="1" a="1"/>
  <c r="G11345" i="1" a="1"/>
  <c r="G11584" i="1" a="1"/>
  <c r="G11801" i="1" a="1"/>
  <c r="G11977" i="1" a="1"/>
  <c r="G12136" i="1" a="1"/>
  <c r="G12313" i="1" a="1"/>
  <c r="G12455" i="1" a="1"/>
  <c r="G12617" i="1" a="1"/>
  <c r="G12763" i="1" a="1"/>
  <c r="G12911" i="1" a="1"/>
  <c r="G13039" i="1" a="1"/>
  <c r="G13167" i="1" a="1"/>
  <c r="G13295" i="1" a="1"/>
  <c r="G13423" i="1" a="1"/>
  <c r="G13551" i="1" a="1"/>
  <c r="G13679" i="1" a="1"/>
  <c r="G13807" i="1" a="1"/>
  <c r="G13935" i="1" a="1"/>
  <c r="G14063" i="1" a="1"/>
  <c r="G9346" i="1" a="1"/>
  <c r="G9795" i="1" a="1"/>
  <c r="G10530" i="1" a="1"/>
  <c r="G10731" i="1" a="1"/>
  <c r="G10902" i="1" a="1"/>
  <c r="G11136" i="1" a="1"/>
  <c r="G11392" i="1" a="1"/>
  <c r="G11637" i="1" a="1"/>
  <c r="G11807" i="1" a="1"/>
  <c r="G11972" i="1" a="1"/>
  <c r="G12149" i="1" a="1"/>
  <c r="G12319" i="1" a="1"/>
  <c r="G12466" i="1" a="1"/>
  <c r="G12607" i="1" a="1"/>
  <c r="G12743" i="1" a="1"/>
  <c r="G12893" i="1" a="1"/>
  <c r="G13021" i="1" a="1"/>
  <c r="G13149" i="1" a="1"/>
  <c r="G9426" i="1" a="1"/>
  <c r="G9946" i="1" a="1"/>
  <c r="G10585" i="1" a="1"/>
  <c r="G10755" i="1" a="1"/>
  <c r="G10926" i="1" a="1"/>
  <c r="G11184" i="1" a="1"/>
  <c r="G11440" i="1" a="1"/>
  <c r="G11652" i="1" a="1"/>
  <c r="G11851" i="1" a="1"/>
  <c r="G12016" i="1" a="1"/>
  <c r="G12186" i="1" a="1"/>
  <c r="G12368" i="1" a="1"/>
  <c r="G12504" i="1" a="1"/>
  <c r="G12650" i="1" a="1"/>
  <c r="G10040" i="1" a="1"/>
  <c r="G10431" i="1" a="1"/>
  <c r="G9430" i="1" a="1"/>
  <c r="G9931" i="1" a="1"/>
  <c r="G10586" i="1" a="1"/>
  <c r="G10757" i="1" a="1"/>
  <c r="G9495" i="1" a="1"/>
  <c r="G10060" i="1" a="1"/>
  <c r="G10619" i="1" a="1"/>
  <c r="G10790" i="1" a="1"/>
  <c r="G9626" i="1" a="1"/>
  <c r="G10425" i="1" a="1"/>
  <c r="G10675" i="1" a="1"/>
  <c r="G9702" i="1" a="1"/>
  <c r="G10277" i="1" a="1"/>
  <c r="G10942" i="1" a="1"/>
  <c r="G11198" i="1" a="1"/>
  <c r="G11454" i="1" a="1"/>
  <c r="G11701" i="1" a="1"/>
  <c r="G11879" i="1" a="1"/>
  <c r="G12038" i="1" a="1"/>
  <c r="G12214" i="1" a="1"/>
  <c r="G12397" i="1" a="1"/>
  <c r="G12538" i="1" a="1"/>
  <c r="G12674" i="1" a="1"/>
  <c r="G12836" i="1" a="1"/>
  <c r="G11075" i="1" a="1"/>
  <c r="G11545" i="1" a="1"/>
  <c r="G11913" i="1" a="1"/>
  <c r="G12267" i="1" a="1"/>
  <c r="G12510" i="1" a="1"/>
  <c r="G12749" i="1" a="1"/>
  <c r="G12959" i="1" a="1"/>
  <c r="G13136" i="1" a="1"/>
  <c r="G13283" i="1" a="1"/>
  <c r="G13419" i="1" a="1"/>
  <c r="G13565" i="1" a="1"/>
  <c r="G13727" i="1" a="1"/>
  <c r="G13863" i="1" a="1"/>
  <c r="G14004" i="1" a="1"/>
  <c r="G14150" i="1" a="1"/>
  <c r="G14178" i="1" a="1"/>
  <c r="G14325" i="1" a="1"/>
  <c r="G14453" i="1" a="1"/>
  <c r="G14581" i="1" a="1"/>
  <c r="G14697" i="1" a="1"/>
  <c r="G14817" i="1" a="1"/>
  <c r="G10843" i="1" a="1"/>
  <c r="G11314" i="1" a="1"/>
  <c r="G11805" i="1" a="1"/>
  <c r="G12158" i="1" a="1"/>
  <c r="G12479" i="1" a="1"/>
  <c r="G12766" i="1" a="1"/>
  <c r="G12990" i="1" a="1"/>
  <c r="G13155" i="1" a="1"/>
  <c r="G13325" i="1" a="1"/>
  <c r="G13461" i="1" a="1"/>
  <c r="G13623" i="1" a="1"/>
  <c r="G13769" i="1" a="1"/>
  <c r="G13905" i="1" a="1"/>
  <c r="G14067" i="1" a="1"/>
  <c r="G14297" i="1" a="1"/>
  <c r="G14417" i="1" a="1"/>
  <c r="G14545" i="1" a="1"/>
  <c r="G14685" i="1" a="1"/>
  <c r="G14821" i="1" a="1"/>
  <c r="G10825" i="1" a="1"/>
  <c r="G11280" i="1" a="1"/>
  <c r="G11737" i="1" a="1"/>
  <c r="G12073" i="1" a="1"/>
  <c r="G12386" i="1" a="1"/>
  <c r="G12647" i="1" a="1"/>
  <c r="G12905" i="1" a="1"/>
  <c r="G13082" i="1" a="1"/>
  <c r="G13232" i="1" a="1"/>
  <c r="G13378" i="1" a="1"/>
  <c r="G13540" i="1" a="1"/>
  <c r="G13676" i="1" a="1"/>
  <c r="G13817" i="1" a="1"/>
  <c r="G13979" i="1" a="1"/>
  <c r="G14120" i="1" a="1"/>
  <c r="G10956" i="1" a="1"/>
  <c r="G11468" i="1" a="1"/>
  <c r="G11894" i="1" a="1"/>
  <c r="G12223" i="1" a="1"/>
  <c r="G12588" i="1" a="1"/>
  <c r="G12827" i="1" a="1"/>
  <c r="G13028" i="1" a="1"/>
  <c r="G11139" i="1" a="1"/>
  <c r="G11669" i="1" a="1"/>
  <c r="G12017" i="1" a="1"/>
  <c r="G12369" i="1" a="1"/>
  <c r="G12661" i="1" a="1"/>
  <c r="G12895" i="1" a="1"/>
  <c r="G13072" i="1" a="1"/>
  <c r="G10918" i="1" a="1"/>
  <c r="G11433" i="1" a="1"/>
  <c r="G11798" i="1" a="1"/>
  <c r="G12127" i="1" a="1"/>
  <c r="G12495" i="1" a="1"/>
  <c r="G12754" i="1" a="1"/>
  <c r="G12956" i="1" a="1"/>
  <c r="G13115" i="1" a="1"/>
  <c r="G11051" i="1" a="1"/>
  <c r="G11538" i="1" a="1"/>
  <c r="G11921" i="1" a="1"/>
  <c r="G12274" i="1" a="1"/>
  <c r="G12569" i="1" a="1"/>
  <c r="G12797" i="1" a="1"/>
  <c r="G12994" i="1" a="1"/>
  <c r="G13159" i="1" a="1"/>
  <c r="G11349" i="1" a="1"/>
  <c r="G11778" i="1" a="1"/>
  <c r="G12095" i="1" a="1"/>
  <c r="G12415" i="1" a="1"/>
  <c r="G12705" i="1" a="1"/>
  <c r="G12909" i="1" a="1"/>
  <c r="G13086" i="1" a="1"/>
  <c r="G13261" i="1" a="1"/>
  <c r="G13397" i="1" a="1"/>
  <c r="G13559" i="1" a="1"/>
  <c r="G13705" i="1" a="1"/>
  <c r="G13841" i="1" a="1"/>
  <c r="G13982" i="1" a="1"/>
  <c r="G14144" i="1" a="1"/>
  <c r="G14252" i="1" a="1"/>
  <c r="G14316" i="1" a="1"/>
  <c r="G14380" i="1" a="1"/>
  <c r="G14444" i="1" a="1"/>
  <c r="G14508" i="1" a="1"/>
  <c r="G14572" i="1" a="1"/>
  <c r="G14636" i="1" a="1"/>
  <c r="G13427" i="1" a="1"/>
  <c r="G13709" i="1" a="1"/>
  <c r="G14012" i="1" a="1"/>
  <c r="G14255" i="1" a="1"/>
  <c r="G14383" i="1" a="1"/>
  <c r="G14511" i="1" a="1"/>
  <c r="G14639" i="1" a="1"/>
  <c r="G14802" i="1" a="1"/>
  <c r="G13678" i="1" a="1"/>
  <c r="G14044" i="1" a="1"/>
  <c r="G14687" i="1" a="1"/>
  <c r="G14872" i="1" a="1"/>
  <c r="G14700" i="1" a="1"/>
  <c r="G13797" i="1" a="1"/>
  <c r="G13986" i="1" a="1"/>
  <c r="G14571" i="1" a="1"/>
  <c r="G14767" i="1" a="1"/>
  <c r="G14622" i="1" a="1"/>
  <c r="G13302" i="1" a="1"/>
  <c r="G13595" i="1" a="1"/>
  <c r="G13421" i="1" a="1"/>
  <c r="G14880" i="1" a="1"/>
  <c r="G14403" i="1" a="1"/>
  <c r="G14039" i="1" a="1"/>
  <c r="G14422" i="1" a="1"/>
  <c r="G13107" i="1" a="1"/>
  <c r="G13462" i="1" a="1"/>
  <c r="G13755" i="1" a="1"/>
  <c r="G14079" i="1" a="1"/>
  <c r="G14290" i="1" a="1"/>
  <c r="G14418" i="1" a="1"/>
  <c r="G14570" i="1" a="1"/>
  <c r="G13369" i="1" a="1"/>
  <c r="G14791" i="1" a="1"/>
  <c r="G14451" i="1" a="1"/>
  <c r="G14703" i="1" a="1"/>
  <c r="G14494" i="1" a="1"/>
  <c r="G13070" i="1" a="1"/>
  <c r="G13474" i="1" a="1"/>
  <c r="G13234" i="1" a="1"/>
  <c r="G13527" i="1" a="1"/>
  <c r="G13809" i="1" a="1"/>
  <c r="G13311" i="1" a="1"/>
  <c r="G13572" i="1" a="1"/>
  <c r="G13875" i="1" a="1"/>
  <c r="G14430" i="1" a="1"/>
  <c r="G13468" i="1" a="1"/>
  <c r="G13750" i="1" a="1"/>
  <c r="G14043" i="1" a="1"/>
  <c r="G14704" i="1" a="1"/>
  <c r="G14871" i="1" a="1"/>
  <c r="G13996" i="1" a="1"/>
  <c r="G14007" i="1" a="1"/>
  <c r="G14786" i="1" a="1"/>
  <c r="G14238" i="1" a="1"/>
  <c r="G14826" i="1" a="1"/>
  <c r="F59" i="1" a="1"/>
  <c r="F123" i="1" a="1"/>
  <c r="F76" i="1" a="1"/>
  <c r="F179" i="1" a="1"/>
  <c r="F307" i="1" a="1"/>
  <c r="F139" i="1" a="1"/>
  <c r="F301" i="1" a="1"/>
  <c r="F425" i="1" a="1"/>
  <c r="F90" i="1" a="1"/>
  <c r="F198" i="1" a="1"/>
  <c r="F341" i="1" a="1"/>
  <c r="F485" i="1" a="1"/>
  <c r="F613" i="1" a="1"/>
  <c r="F174" i="1" a="1"/>
  <c r="F373" i="1" a="1"/>
  <c r="F495" i="1" a="1"/>
  <c r="F58" i="1" a="1"/>
  <c r="F253" i="1" a="1"/>
  <c r="F431" i="1" a="1"/>
  <c r="F582" i="1" a="1"/>
  <c r="F69" i="1" a="1"/>
  <c r="F142" i="1" a="1"/>
  <c r="F334" i="1" a="1"/>
  <c r="F489" i="1" a="1"/>
  <c r="F309" i="1" a="1"/>
  <c r="F579" i="1" a="1"/>
  <c r="F188" i="1" a="1"/>
  <c r="F516" i="1" a="1"/>
  <c r="F687" i="1" a="1"/>
  <c r="F824" i="1" a="1"/>
  <c r="F432" i="1" a="1"/>
  <c r="F628" i="1" a="1"/>
  <c r="F349" i="1" a="1"/>
  <c r="F618" i="1" a="1"/>
  <c r="F381" i="1" a="1"/>
  <c r="F603" i="1" a="1"/>
  <c r="F344" i="1" a="1"/>
  <c r="F578" i="1" a="1"/>
  <c r="F667" i="1" a="1"/>
  <c r="F841" i="1" a="1"/>
  <c r="F958" i="1" a="1"/>
  <c r="F1086" i="1" a="1"/>
  <c r="F1209" i="1" a="1"/>
  <c r="F1273" i="1" a="1"/>
  <c r="F1337" i="1" a="1"/>
  <c r="F1401" i="1" a="1"/>
  <c r="F1465" i="1" a="1"/>
  <c r="F1529" i="1" a="1"/>
  <c r="F1593" i="1" a="1"/>
  <c r="F364" i="1" a="1"/>
  <c r="F758" i="1" a="1"/>
  <c r="F922" i="1" a="1"/>
  <c r="F1050" i="1" a="1"/>
  <c r="F712" i="1" a="1"/>
  <c r="F858" i="1" a="1"/>
  <c r="F982" i="1" a="1"/>
  <c r="F283" i="1" a="1"/>
  <c r="F744" i="1" a="1"/>
  <c r="F569" i="1" a="1"/>
  <c r="F823" i="1" a="1"/>
  <c r="F688" i="1" a="1"/>
  <c r="F135" i="1" a="1"/>
  <c r="F767" i="1" a="1"/>
  <c r="F625" i="1" a="1"/>
  <c r="F804" i="1" a="1"/>
  <c r="F939" i="1" a="1"/>
  <c r="F1067" i="1" a="1"/>
  <c r="F1002" i="1" a="1"/>
  <c r="F1181" i="1" a="1"/>
  <c r="F1335" i="1" a="1"/>
  <c r="F1504" i="1" a="1"/>
  <c r="F1653" i="1" a="1"/>
  <c r="F1717" i="1" a="1"/>
  <c r="F1781" i="1" a="1"/>
  <c r="F1845" i="1" a="1"/>
  <c r="F1909" i="1" a="1"/>
  <c r="F1973" i="1" a="1"/>
  <c r="F2037" i="1" a="1"/>
  <c r="F2101" i="1" a="1"/>
  <c r="F920" i="1" a="1"/>
  <c r="F1145" i="1" a="1"/>
  <c r="F1308" i="1" a="1"/>
  <c r="F1482" i="1" a="1"/>
  <c r="F859" i="1" a="1"/>
  <c r="F1125" i="1" a="1"/>
  <c r="F1263" i="1" a="1"/>
  <c r="F1432" i="1" a="1"/>
  <c r="F1606" i="1" a="1"/>
  <c r="F1690" i="1" a="1"/>
  <c r="F1754" i="1" a="1"/>
  <c r="F860" i="1" a="1"/>
  <c r="F861" i="1" a="1"/>
  <c r="F873" i="1" a="1"/>
  <c r="F901" i="1" a="1"/>
  <c r="F1112" i="1" a="1"/>
  <c r="F1275" i="1" a="1"/>
  <c r="F1444" i="1" a="1"/>
  <c r="F1618" i="1" a="1"/>
  <c r="F1346" i="1" a="1"/>
  <c r="F1776" i="1" a="1"/>
  <c r="F1219" i="1" a="1"/>
  <c r="F1616" i="1" a="1"/>
  <c r="F1839" i="1" a="1"/>
  <c r="F2019" i="1" a="1"/>
  <c r="F1185" i="1" a="1"/>
  <c r="F1534" i="1" a="1"/>
  <c r="F1420" i="1" a="1"/>
  <c r="F1731" i="1" a="1"/>
  <c r="F1915" i="1" a="1"/>
  <c r="F2084" i="1" a="1"/>
  <c r="F1306" i="1" a="1"/>
  <c r="F1179" i="1" a="1"/>
  <c r="F1360" i="1" a="1"/>
  <c r="F1804" i="1" a="1"/>
  <c r="F2016" i="1" a="1"/>
  <c r="F2181" i="1" a="1"/>
  <c r="F2266" i="1" a="1"/>
  <c r="F2351" i="1" a="1"/>
  <c r="F2479" i="1" a="1"/>
  <c r="F2607" i="1" a="1"/>
  <c r="F2686" i="1" a="1"/>
  <c r="F2750" i="1" a="1"/>
  <c r="F2814" i="1" a="1"/>
  <c r="F2878" i="1" a="1"/>
  <c r="F2942" i="1" a="1"/>
  <c r="F3006" i="1" a="1"/>
  <c r="F3070" i="1" a="1"/>
  <c r="F3134" i="1" a="1"/>
  <c r="F3198" i="1" a="1"/>
  <c r="F1744" i="1" a="1"/>
  <c r="F2004" i="1" a="1"/>
  <c r="F2251" i="1" a="1"/>
  <c r="F2429" i="1" a="1"/>
  <c r="F2557" i="1" a="1"/>
  <c r="F1488" i="1" a="1"/>
  <c r="F1875" i="1" a="1"/>
  <c r="F2078" i="1" a="1"/>
  <c r="F2209" i="1" a="1"/>
  <c r="F2294" i="1" a="1"/>
  <c r="F2402" i="1" a="1"/>
  <c r="F2530" i="1" a="1"/>
  <c r="F2643" i="1" a="1"/>
  <c r="F2707" i="1" a="1"/>
  <c r="F1699" i="1" a="1"/>
  <c r="F2012" i="1" a="1"/>
  <c r="F1121" i="1" a="1"/>
  <c r="F1760" i="1" a="1"/>
  <c r="F2000" i="1" a="1"/>
  <c r="F2173" i="1" a="1"/>
  <c r="F1438" i="1" a="1"/>
  <c r="F1899" i="1" a="1"/>
  <c r="F2131" i="1" a="1"/>
  <c r="F2364" i="1" a="1"/>
  <c r="F2492" i="1" a="1"/>
  <c r="F2620" i="1" a="1"/>
  <c r="F2163" i="1" a="1"/>
  <c r="F2518" i="1" a="1"/>
  <c r="F2803" i="1" a="1"/>
  <c r="F2888" i="1" a="1"/>
  <c r="F1132" i="1" a="1"/>
  <c r="F2281" i="1" a="1"/>
  <c r="F2519" i="1" a="1"/>
  <c r="F2701" i="1" a="1"/>
  <c r="F3012" i="1" a="1"/>
  <c r="F3181" i="1" a="1"/>
  <c r="F2295" i="1" a="1"/>
  <c r="G5000" i="1" a="1"/>
  <c r="G7870" i="1" a="1"/>
  <c r="G6348" i="1" a="1"/>
  <c r="G7386" i="1" a="1"/>
  <c r="G5679" i="1" a="1"/>
  <c r="G7318" i="1" a="1"/>
  <c r="G4847" i="1" a="1"/>
  <c r="G5916" i="1" a="1"/>
  <c r="G7106" i="1" a="1"/>
  <c r="G7128" i="1" a="1"/>
  <c r="G8552" i="1" a="1"/>
  <c r="G9417" i="1" a="1"/>
  <c r="G9929" i="1" a="1"/>
  <c r="G6765" i="1" a="1"/>
  <c r="G8425" i="1" a="1"/>
  <c r="G6497" i="1" a="1"/>
  <c r="G8261" i="1" a="1"/>
  <c r="G6371" i="1" a="1"/>
  <c r="G6660" i="1" a="1"/>
  <c r="G6853" i="1" a="1"/>
  <c r="G8451" i="1" a="1"/>
  <c r="G8522" i="1" a="1"/>
  <c r="G9682" i="1" a="1"/>
  <c r="G8669" i="1" a="1"/>
  <c r="G10312" i="1" a="1"/>
  <c r="G10824" i="1" a="1"/>
  <c r="G9016" i="1" a="1"/>
  <c r="G10044" i="1" a="1"/>
  <c r="G8356" i="1" a="1"/>
  <c r="G6876" i="1" a="1"/>
  <c r="G9686" i="1" a="1"/>
  <c r="G9670" i="1" a="1"/>
  <c r="G10967" i="1" a="1"/>
  <c r="G11095" i="1" a="1"/>
  <c r="G11223" i="1" a="1"/>
  <c r="G11351" i="1" a="1"/>
  <c r="G11479" i="1" a="1"/>
  <c r="G11607" i="1" a="1"/>
  <c r="G11735" i="1" a="1"/>
  <c r="G11863" i="1" a="1"/>
  <c r="G11991" i="1" a="1"/>
  <c r="G12119" i="1" a="1"/>
  <c r="G12247" i="1" a="1"/>
  <c r="G12375" i="1" a="1"/>
  <c r="G12503" i="1" a="1"/>
  <c r="G12631" i="1" a="1"/>
  <c r="G12759" i="1" a="1"/>
  <c r="G8435" i="1" a="1"/>
  <c r="G8944" i="1" a="1"/>
  <c r="G9296" i="1" a="1"/>
  <c r="G9467" i="1" a="1"/>
  <c r="G9652" i="1" a="1"/>
  <c r="G10018" i="1" a="1"/>
  <c r="G10467" i="1" a="1"/>
  <c r="G10610" i="1" a="1"/>
  <c r="G10695" i="1" a="1"/>
  <c r="G10781" i="1" a="1"/>
  <c r="G10866" i="1" a="1"/>
  <c r="G10963" i="1" a="1"/>
  <c r="G11091" i="1" a="1"/>
  <c r="G11219" i="1" a="1"/>
  <c r="G11347" i="1" a="1"/>
  <c r="G11475" i="1" a="1"/>
  <c r="G11603" i="1" a="1"/>
  <c r="G11731" i="1" a="1"/>
  <c r="G11859" i="1" a="1"/>
  <c r="G11987" i="1" a="1"/>
  <c r="G12115" i="1" a="1"/>
  <c r="G12243" i="1" a="1"/>
  <c r="G8454" i="1" a="1"/>
  <c r="G8945" i="1" a="1"/>
  <c r="G9662" i="1" a="1"/>
  <c r="G9991" i="1" a="1"/>
  <c r="G10250" i="1" a="1"/>
  <c r="G10378" i="1" a="1"/>
  <c r="G10551" i="1" a="1"/>
  <c r="G11037" i="1" a="1"/>
  <c r="G11165" i="1" a="1"/>
  <c r="G11293" i="1" a="1"/>
  <c r="G11421" i="1" a="1"/>
  <c r="G11549" i="1" a="1"/>
  <c r="G11677" i="1" a="1"/>
  <c r="G8473" i="1" a="1"/>
  <c r="G8990" i="1" a="1"/>
  <c r="G9287" i="1" a="1"/>
  <c r="G8862" i="1" a="1"/>
  <c r="G9209" i="1" a="1"/>
  <c r="G8828" i="1" a="1"/>
  <c r="G8591" i="1" a="1"/>
  <c r="G9089" i="1" a="1"/>
  <c r="G9767" i="1" a="1"/>
  <c r="G10096" i="1" a="1"/>
  <c r="G10302" i="1" a="1"/>
  <c r="G10446" i="1" a="1"/>
  <c r="G10957" i="1" a="1"/>
  <c r="G11085" i="1" a="1"/>
  <c r="G11213" i="1" a="1"/>
  <c r="G11341" i="1" a="1"/>
  <c r="G11469" i="1" a="1"/>
  <c r="G8756" i="1" a="1"/>
  <c r="G9344" i="1" a="1"/>
  <c r="G9794" i="1" a="1"/>
  <c r="G10490" i="1" a="1"/>
  <c r="G10709" i="1" a="1"/>
  <c r="G10879" i="1" a="1"/>
  <c r="G11098" i="1" a="1"/>
  <c r="G11354" i="1" a="1"/>
  <c r="G11592" i="1" a="1"/>
  <c r="G11819" i="1" a="1"/>
  <c r="G11984" i="1" a="1"/>
  <c r="G12154" i="1" a="1"/>
  <c r="G12331" i="1" a="1"/>
  <c r="G12492" i="1" a="1"/>
  <c r="G12628" i="1" a="1"/>
  <c r="G12769" i="1" a="1"/>
  <c r="G12920" i="1" a="1"/>
  <c r="G13048" i="1" a="1"/>
  <c r="G13176" i="1" a="1"/>
  <c r="G13304" i="1" a="1"/>
  <c r="G13432" i="1" a="1"/>
  <c r="G13560" i="1" a="1"/>
  <c r="G13688" i="1" a="1"/>
  <c r="G13816" i="1" a="1"/>
  <c r="G13944" i="1" a="1"/>
  <c r="G14072" i="1" a="1"/>
  <c r="G9376" i="1" a="1"/>
  <c r="G9850" i="1" a="1"/>
  <c r="G10555" i="1" a="1"/>
  <c r="G10742" i="1" a="1"/>
  <c r="G10913" i="1" a="1"/>
  <c r="G11145" i="1" a="1"/>
  <c r="G11401" i="1" a="1"/>
  <c r="G11643" i="1" a="1"/>
  <c r="G11814" i="1" a="1"/>
  <c r="G11990" i="1" a="1"/>
  <c r="G12167" i="1" a="1"/>
  <c r="G12326" i="1" a="1"/>
  <c r="G12472" i="1" a="1"/>
  <c r="G12618" i="1" a="1"/>
  <c r="G12780" i="1" a="1"/>
  <c r="G12902" i="1" a="1"/>
  <c r="G13030" i="1" a="1"/>
  <c r="G13158" i="1" a="1"/>
  <c r="G9447" i="1" a="1"/>
  <c r="G9964" i="1" a="1"/>
  <c r="G10595" i="1" a="1"/>
  <c r="G10766" i="1" a="1"/>
  <c r="G10937" i="1" a="1"/>
  <c r="G11193" i="1" a="1"/>
  <c r="G11449" i="1" a="1"/>
  <c r="G11660" i="1" a="1"/>
  <c r="G11857" i="1" a="1"/>
  <c r="G12027" i="1" a="1"/>
  <c r="G12192" i="1" a="1"/>
  <c r="G12373" i="1" a="1"/>
  <c r="G12509" i="1" a="1"/>
  <c r="G12655" i="1" a="1"/>
  <c r="G10095" i="1" a="1"/>
  <c r="G10445" i="1" a="1"/>
  <c r="G9451" i="1" a="1"/>
  <c r="G9986" i="1" a="1"/>
  <c r="G10597" i="1" a="1"/>
  <c r="G10767" i="1" a="1"/>
  <c r="G9516" i="1" a="1"/>
  <c r="G10115" i="1" a="1"/>
  <c r="G10630" i="1" a="1"/>
  <c r="G9112" i="1" a="1"/>
  <c r="G9644" i="1" a="1"/>
  <c r="G10450" i="1" a="1"/>
  <c r="G10686" i="1" a="1"/>
  <c r="G9720" i="1" a="1"/>
  <c r="G10293" i="1" a="1"/>
  <c r="G10951" i="1" a="1"/>
  <c r="G11207" i="1" a="1"/>
  <c r="G11463" i="1" a="1"/>
  <c r="G11707" i="1" a="1"/>
  <c r="G11885" i="1" a="1"/>
  <c r="G12044" i="1" a="1"/>
  <c r="G12221" i="1" a="1"/>
  <c r="G12402" i="1" a="1"/>
  <c r="G12543" i="1" a="1"/>
  <c r="G12679" i="1" a="1"/>
  <c r="G12841" i="1" a="1"/>
  <c r="G11112" i="1" a="1"/>
  <c r="G11559" i="1" a="1"/>
  <c r="G11938" i="1" a="1"/>
  <c r="G12291" i="1" a="1"/>
  <c r="G12531" i="1" a="1"/>
  <c r="G12798" i="1" a="1"/>
  <c r="G12977" i="1" a="1"/>
  <c r="G13154" i="1" a="1"/>
  <c r="G13288" i="1" a="1"/>
  <c r="G13424" i="1" a="1"/>
  <c r="G13570" i="1" a="1"/>
  <c r="G13732" i="1" a="1"/>
  <c r="G13868" i="1" a="1"/>
  <c r="G14009" i="1" a="1"/>
  <c r="G14159" i="1" a="1"/>
  <c r="G14187" i="1" a="1"/>
  <c r="G14333" i="1" a="1"/>
  <c r="G14461" i="1" a="1"/>
  <c r="G14589" i="1" a="1"/>
  <c r="G14705" i="1" a="1"/>
  <c r="G14825" i="1" a="1"/>
  <c r="G10865" i="1" a="1"/>
  <c r="G11369" i="1" a="1"/>
  <c r="G11829" i="1" a="1"/>
  <c r="G12182" i="1" a="1"/>
  <c r="G12490" i="1" a="1"/>
  <c r="G12775" i="1" a="1"/>
  <c r="G12996" i="1" a="1"/>
  <c r="G13166" i="1" a="1"/>
  <c r="G13330" i="1" a="1"/>
  <c r="G13466" i="1" a="1"/>
  <c r="G13628" i="1" a="1"/>
  <c r="G13774" i="1" a="1"/>
  <c r="G13910" i="1" a="1"/>
  <c r="G14088" i="1" a="1"/>
  <c r="G14305" i="1" a="1"/>
  <c r="G14425" i="1" a="1"/>
  <c r="G14553" i="1" a="1"/>
  <c r="G14693" i="1" a="1"/>
  <c r="G14829" i="1" a="1"/>
  <c r="G10846" i="1" a="1"/>
  <c r="G11298" i="1" a="1"/>
  <c r="G11751" i="1" a="1"/>
  <c r="G12098" i="1" a="1"/>
  <c r="G12428" i="1" a="1"/>
  <c r="G12676" i="1" a="1"/>
  <c r="G12912" i="1" a="1"/>
  <c r="G13088" i="1" a="1"/>
  <c r="G13237" i="1" a="1"/>
  <c r="G13399" i="1" a="1"/>
  <c r="G13545" i="1" a="1"/>
  <c r="G13681" i="1" a="1"/>
  <c r="G13822" i="1" a="1"/>
  <c r="G13984" i="1" a="1"/>
  <c r="G14125" i="1" a="1"/>
  <c r="G10974" i="1" a="1"/>
  <c r="G11486" i="1" a="1"/>
  <c r="G11919" i="1" a="1"/>
  <c r="G12236" i="1" a="1"/>
  <c r="G12598" i="1" a="1"/>
  <c r="G12844" i="1" a="1"/>
  <c r="G13046" i="1" a="1"/>
  <c r="G11176" i="1" a="1"/>
  <c r="G11683" i="1" a="1"/>
  <c r="G12041" i="1" a="1"/>
  <c r="G12379" i="1" a="1"/>
  <c r="G12710" i="1" a="1"/>
  <c r="G12913" i="1" a="1"/>
  <c r="G13090" i="1" a="1"/>
  <c r="G10939" i="1" a="1"/>
  <c r="G11451" i="1" a="1"/>
  <c r="G11823" i="1" a="1"/>
  <c r="G12140" i="1" a="1"/>
  <c r="G12516" i="1" a="1"/>
  <c r="G12778" i="1" a="1"/>
  <c r="G12963" i="1" a="1"/>
  <c r="G13133" i="1" a="1"/>
  <c r="G11088" i="1" a="1"/>
  <c r="G11554" i="1" a="1"/>
  <c r="G11945" i="1" a="1"/>
  <c r="G12299" i="1" a="1"/>
  <c r="G12579" i="1" a="1"/>
  <c r="G12804" i="1" a="1"/>
  <c r="G13000" i="1" a="1"/>
  <c r="G13170" i="1" a="1"/>
  <c r="G11367" i="1" a="1"/>
  <c r="G11791" i="1" a="1"/>
  <c r="G12108" i="1" a="1"/>
  <c r="G12426" i="1" a="1"/>
  <c r="G12714" i="1" a="1"/>
  <c r="G12915" i="1" a="1"/>
  <c r="G13092" i="1" a="1"/>
  <c r="G13266" i="1" a="1"/>
  <c r="G13402" i="1" a="1"/>
  <c r="G13564" i="1" a="1"/>
  <c r="G13710" i="1" a="1"/>
  <c r="G13846" i="1" a="1"/>
  <c r="G14003" i="1" a="1"/>
  <c r="G14149" i="1" a="1"/>
  <c r="G14256" i="1" a="1"/>
  <c r="G14320" i="1" a="1"/>
  <c r="G14384" i="1" a="1"/>
  <c r="G14448" i="1" a="1"/>
  <c r="G14512" i="1" a="1"/>
  <c r="G14576" i="1" a="1"/>
  <c r="G14640" i="1" a="1"/>
  <c r="G13448" i="1" a="1"/>
  <c r="G13730" i="1" a="1"/>
  <c r="G14023" i="1" a="1"/>
  <c r="G14263" i="1" a="1"/>
  <c r="G14391" i="1" a="1"/>
  <c r="G14519" i="1" a="1"/>
  <c r="G14647" i="1" a="1"/>
  <c r="G14820" i="1" a="1"/>
  <c r="G13731" i="1" a="1"/>
  <c r="G14055" i="1" a="1"/>
  <c r="G14694" i="1" a="1"/>
  <c r="G14879" i="1" a="1"/>
  <c r="G14714" i="1" a="1"/>
  <c r="G13881" i="1" a="1"/>
  <c r="G14038" i="1" a="1"/>
  <c r="G14603" i="1" a="1"/>
  <c r="G14792" i="1" a="1"/>
  <c r="G14652" i="1" a="1"/>
  <c r="G13344" i="1" a="1"/>
  <c r="G13626" i="1" a="1"/>
  <c r="G13536" i="1" a="1"/>
  <c r="G14912" i="1" a="1"/>
  <c r="G14435" i="1" a="1"/>
  <c r="G14133" i="1" a="1"/>
  <c r="G14462" i="1" a="1"/>
  <c r="G13156" i="1" a="1"/>
  <c r="G13504" i="1" a="1"/>
  <c r="G13765" i="1" a="1"/>
  <c r="G14089" i="1" a="1"/>
  <c r="G14298" i="1" a="1"/>
  <c r="G14426" i="1" a="1"/>
  <c r="G14586" i="1" a="1"/>
  <c r="G13463" i="1" a="1"/>
  <c r="G14816" i="1" a="1"/>
  <c r="G14483" i="1" a="1"/>
  <c r="G14735" i="1" a="1"/>
  <c r="G14526" i="1" a="1"/>
  <c r="G13200" i="1" a="1"/>
  <c r="G13495" i="1" a="1"/>
  <c r="G13245" i="1" a="1"/>
  <c r="G13548" i="1" a="1"/>
  <c r="G13830" i="1" a="1"/>
  <c r="G13321" i="1" a="1"/>
  <c r="G13582" i="1" a="1"/>
  <c r="G13896" i="1" a="1"/>
  <c r="G14844" i="1" a="1"/>
  <c r="G13479" i="1" a="1"/>
  <c r="G13792" i="1" a="1"/>
  <c r="G14053" i="1" a="1"/>
  <c r="G14711" i="1" a="1"/>
  <c r="G14878" i="1" a="1"/>
  <c r="G14111" i="1" a="1"/>
  <c r="G14226" i="1" a="1"/>
  <c r="G14811" i="1" a="1"/>
  <c r="G14278" i="1" a="1"/>
  <c r="G14890" i="1" a="1"/>
  <c r="F63" i="1" a="1"/>
  <c r="F127" i="1" a="1"/>
  <c r="F81" i="1" a="1"/>
  <c r="F184" i="1" a="1"/>
  <c r="F312" i="1" a="1"/>
  <c r="F160" i="1" a="1"/>
  <c r="F306" i="1" a="1"/>
  <c r="F434" i="1" a="1"/>
  <c r="F109" i="1" a="1"/>
  <c r="F204" i="1" a="1"/>
  <c r="F346" i="1" a="1"/>
  <c r="F494" i="1" a="1"/>
  <c r="F622" i="1" a="1"/>
  <c r="F210" i="1" a="1"/>
  <c r="F378" i="1" a="1"/>
  <c r="F504" i="1" a="1"/>
  <c r="F100" i="1" a="1"/>
  <c r="F265" i="1" a="1"/>
  <c r="F452" i="1" a="1"/>
  <c r="F587" i="1" a="1"/>
  <c r="F77" i="1" a="1"/>
  <c r="F149" i="1" a="1"/>
  <c r="F356" i="1" a="1"/>
  <c r="F498" i="1" a="1"/>
  <c r="F333" i="1" a="1"/>
  <c r="F585" i="1" a="1"/>
  <c r="F214" i="1" a="1"/>
  <c r="F525" i="1" a="1"/>
  <c r="F696" i="1" a="1"/>
  <c r="F833" i="1" a="1"/>
  <c r="F442" i="1" a="1"/>
  <c r="F633" i="1" a="1"/>
  <c r="F359" i="1" a="1"/>
  <c r="F639" i="1" a="1"/>
  <c r="F391" i="1" a="1"/>
  <c r="F608" i="1" a="1"/>
  <c r="F354" i="1" a="1"/>
  <c r="F599" i="1" a="1"/>
  <c r="F674" i="1" a="1"/>
  <c r="F846" i="1" a="1"/>
  <c r="F967" i="1" a="1"/>
  <c r="F1095" i="1" a="1"/>
  <c r="F1213" i="1" a="1"/>
  <c r="F1277" i="1" a="1"/>
  <c r="F1341" i="1" a="1"/>
  <c r="F1405" i="1" a="1"/>
  <c r="F1469" i="1" a="1"/>
  <c r="F1533" i="1" a="1"/>
  <c r="F1597" i="1" a="1"/>
  <c r="F447" i="1" a="1"/>
  <c r="F774" i="1" a="1"/>
  <c r="F931" i="1" a="1"/>
  <c r="F1059" i="1" a="1"/>
  <c r="F717" i="1" a="1"/>
  <c r="F863" i="1" a="1"/>
  <c r="F991" i="1" a="1"/>
  <c r="F331" i="1" a="1"/>
  <c r="F749" i="1" a="1"/>
  <c r="F640" i="1" a="1"/>
  <c r="F828" i="1" a="1"/>
  <c r="F693" i="1" a="1"/>
  <c r="F256" i="1" a="1"/>
  <c r="F772" i="1" a="1"/>
  <c r="F646" i="1" a="1"/>
  <c r="F809" i="1" a="1"/>
  <c r="F948" i="1" a="1"/>
  <c r="F1076" i="1" a="1"/>
  <c r="F1011" i="1" a="1"/>
  <c r="F1186" i="1" a="1"/>
  <c r="F1344" i="1" a="1"/>
  <c r="F1518" i="1" a="1"/>
  <c r="F1657" i="1" a="1"/>
  <c r="F1721" i="1" a="1"/>
  <c r="F1785" i="1" a="1"/>
  <c r="F1849" i="1" a="1"/>
  <c r="F1913" i="1" a="1"/>
  <c r="F1977" i="1" a="1"/>
  <c r="F2041" i="1" a="1"/>
  <c r="F2105" i="1" a="1"/>
  <c r="F957" i="1" a="1"/>
  <c r="F1161" i="1" a="1"/>
  <c r="F1322" i="1" a="1"/>
  <c r="F1491" i="1" a="1"/>
  <c r="F868" i="1" a="1"/>
  <c r="F1130" i="1" a="1"/>
  <c r="F1272" i="1" a="1"/>
  <c r="F1446" i="1" a="1"/>
  <c r="F1615" i="1" a="1"/>
  <c r="F1694" i="1" a="1"/>
  <c r="F849" i="1" a="1"/>
  <c r="F897" i="1" a="1"/>
  <c r="F870" i="1" a="1"/>
  <c r="F882" i="1" a="1"/>
  <c r="F910" i="1" a="1"/>
  <c r="F1123" i="1" a="1"/>
  <c r="F1284" i="1" a="1"/>
  <c r="F1458" i="1" a="1"/>
  <c r="F1627" i="1" a="1"/>
  <c r="F1355" i="1" a="1"/>
  <c r="F1783" i="1" a="1"/>
  <c r="F1260" i="1" a="1"/>
  <c r="F1626" i="1" a="1"/>
  <c r="F1844" i="1" a="1"/>
  <c r="F2028" i="1" a="1"/>
  <c r="F1199" i="1" a="1"/>
  <c r="F1566" i="1" a="1"/>
  <c r="F1430" i="1" a="1"/>
  <c r="F1748" i="1" a="1"/>
  <c r="F1924" i="1" a="1"/>
  <c r="F2098" i="1" a="1"/>
  <c r="F1328" i="1" a="1"/>
  <c r="F1190" i="1" a="1"/>
  <c r="F1402" i="1" a="1"/>
  <c r="F1814" i="1" a="1"/>
  <c r="F2022" i="1" a="1"/>
  <c r="F2186" i="1" a="1"/>
  <c r="F2272" i="1" a="1"/>
  <c r="F2360" i="1" a="1"/>
  <c r="F2488" i="1" a="1"/>
  <c r="F2616" i="1" a="1"/>
  <c r="F2690" i="1" a="1"/>
  <c r="F2754" i="1" a="1"/>
  <c r="F2818" i="1" a="1"/>
  <c r="F2882" i="1" a="1"/>
  <c r="F2946" i="1" a="1"/>
  <c r="F3010" i="1" a="1"/>
  <c r="F3074" i="1" a="1"/>
  <c r="F3138" i="1" a="1"/>
  <c r="F3202" i="1" a="1"/>
  <c r="F1756" i="1" a="1"/>
  <c r="F2035" i="1" a="1"/>
  <c r="F2267" i="1" a="1"/>
  <c r="F2438" i="1" a="1"/>
  <c r="F2566" i="1" a="1"/>
  <c r="F1530" i="1" a="1"/>
  <c r="F1883" i="1" a="1"/>
  <c r="F2096" i="1" a="1"/>
  <c r="F2214" i="1" a="1"/>
  <c r="F2300" i="1" a="1"/>
  <c r="F2407" i="1" a="1"/>
  <c r="F2535" i="1" a="1"/>
  <c r="F2647" i="1" a="1"/>
  <c r="F2711" i="1" a="1"/>
  <c r="F1768" i="1" a="1"/>
  <c r="F2018" i="1" a="1"/>
  <c r="F1169" i="1" a="1"/>
  <c r="F1770" i="1" a="1"/>
  <c r="F2007" i="1" a="1"/>
  <c r="F2178" i="1" a="1"/>
  <c r="F1479" i="1" a="1"/>
  <c r="F1930" i="1" a="1"/>
  <c r="F2143" i="1" a="1"/>
  <c r="F2373" i="1" a="1"/>
  <c r="F2501" i="1" a="1"/>
  <c r="F2629" i="1" a="1"/>
  <c r="F2226" i="1" a="1"/>
  <c r="F2555" i="1" a="1"/>
  <c r="F2808" i="1" a="1"/>
  <c r="F2893" i="1" a="1"/>
  <c r="F1288" i="1" a="1"/>
  <c r="F2292" i="1" a="1"/>
  <c r="F2528" i="1" a="1"/>
  <c r="F2709" i="1" a="1"/>
  <c r="F3021" i="1" a="1"/>
  <c r="F3195" i="1" a="1"/>
  <c r="F2327" i="1" a="1"/>
  <c r="G5146" i="1" a="1"/>
  <c r="G7993" i="1" a="1"/>
  <c r="G6355" i="1" a="1"/>
  <c r="G7395" i="1" a="1"/>
  <c r="G5690" i="1" a="1"/>
  <c r="G7327" i="1" a="1"/>
  <c r="G4868" i="1" a="1"/>
  <c r="G5927" i="1" a="1"/>
  <c r="G7115" i="1" a="1"/>
  <c r="G7137" i="1" a="1"/>
  <c r="G8557" i="1" a="1"/>
  <c r="G9421" i="1" a="1"/>
  <c r="G9933" i="1" a="1"/>
  <c r="G6802" i="1" a="1"/>
  <c r="G8434" i="1" a="1"/>
  <c r="G6511" i="1" a="1"/>
  <c r="G8277" i="1" a="1"/>
  <c r="G6396" i="1" a="1"/>
  <c r="G6669" i="1" a="1"/>
  <c r="G6890" i="1" a="1"/>
  <c r="G8460" i="1" a="1"/>
  <c r="G8531" i="1" a="1"/>
  <c r="G9691" i="1" a="1"/>
  <c r="G8678" i="1" a="1"/>
  <c r="G10316" i="1" a="1"/>
  <c r="G10828" i="1" a="1"/>
  <c r="G9038" i="1" a="1"/>
  <c r="G10058" i="1" a="1"/>
  <c r="G8398" i="1" a="1"/>
  <c r="G6940" i="1" a="1"/>
  <c r="G9695" i="1" a="1"/>
  <c r="G9679" i="1" a="1"/>
  <c r="G10972" i="1" a="1"/>
  <c r="G11100" i="1" a="1"/>
  <c r="G11228" i="1" a="1"/>
  <c r="G11356" i="1" a="1"/>
  <c r="G11484" i="1" a="1"/>
  <c r="G11612" i="1" a="1"/>
  <c r="G11740" i="1" a="1"/>
  <c r="G11868" i="1" a="1"/>
  <c r="G11996" i="1" a="1"/>
  <c r="G12124" i="1" a="1"/>
  <c r="G12252" i="1" a="1"/>
  <c r="G12380" i="1" a="1"/>
  <c r="G12508" i="1" a="1"/>
  <c r="G12636" i="1" a="1"/>
  <c r="G12764" i="1" a="1"/>
  <c r="G8490" i="1" a="1"/>
  <c r="G8989" i="1" a="1"/>
  <c r="G9307" i="1" a="1"/>
  <c r="G9478" i="1" a="1"/>
  <c r="G9698" i="1" a="1"/>
  <c r="G10027" i="1" a="1"/>
  <c r="G10474" i="1" a="1"/>
  <c r="G10615" i="1" a="1"/>
  <c r="G10701" i="1" a="1"/>
  <c r="G10786" i="1" a="1"/>
  <c r="G10871" i="1" a="1"/>
  <c r="G10968" i="1" a="1"/>
  <c r="G11096" i="1" a="1"/>
  <c r="G11224" i="1" a="1"/>
  <c r="G11352" i="1" a="1"/>
  <c r="G11480" i="1" a="1"/>
  <c r="G11608" i="1" a="1"/>
  <c r="G11736" i="1" a="1"/>
  <c r="G11864" i="1" a="1"/>
  <c r="G11992" i="1" a="1"/>
  <c r="G12120" i="1" a="1"/>
  <c r="G12248" i="1" a="1"/>
  <c r="G8472" i="1" a="1"/>
  <c r="G8961" i="1" a="1"/>
  <c r="G9671" i="1" a="1"/>
  <c r="G10000" i="1" a="1"/>
  <c r="G10258" i="1" a="1"/>
  <c r="G10391" i="1" a="1"/>
  <c r="G10558" i="1" a="1"/>
  <c r="G11046" i="1" a="1"/>
  <c r="G11174" i="1" a="1"/>
  <c r="G11302" i="1" a="1"/>
  <c r="G11430" i="1" a="1"/>
  <c r="G11558" i="1" a="1"/>
  <c r="G11686" i="1" a="1"/>
  <c r="G8491" i="1" a="1"/>
  <c r="G9004" i="1" a="1"/>
  <c r="G9298" i="1" a="1"/>
  <c r="G8880" i="1" a="1"/>
  <c r="G9233" i="1" a="1"/>
  <c r="G8865" i="1" a="1"/>
  <c r="G8646" i="1" a="1"/>
  <c r="G9100" i="1" a="1"/>
  <c r="G9776" i="1" a="1"/>
  <c r="G10142" i="1" a="1"/>
  <c r="G10310" i="1" a="1"/>
  <c r="G10453" i="1" a="1"/>
  <c r="G10966" i="1" a="1"/>
  <c r="G11094" i="1" a="1"/>
  <c r="G11222" i="1" a="1"/>
  <c r="G11350" i="1" a="1"/>
  <c r="G11478" i="1" a="1"/>
  <c r="G8793" i="1" a="1"/>
  <c r="G9372" i="1" a="1"/>
  <c r="G9812" i="1" a="1"/>
  <c r="G10515" i="1" a="1"/>
  <c r="G10719" i="1" a="1"/>
  <c r="G10890" i="1" a="1"/>
  <c r="G11107" i="1" a="1"/>
  <c r="G11363" i="1" a="1"/>
  <c r="G11600" i="1" a="1"/>
  <c r="G11825" i="1" a="1"/>
  <c r="G11995" i="1" a="1"/>
  <c r="G12160" i="1" a="1"/>
  <c r="G12337" i="1" a="1"/>
  <c r="G12497" i="1" a="1"/>
  <c r="G12633" i="1" a="1"/>
  <c r="G12774" i="1" a="1"/>
  <c r="G12929" i="1" a="1"/>
  <c r="G13057" i="1" a="1"/>
  <c r="G13185" i="1" a="1"/>
  <c r="G13313" i="1" a="1"/>
  <c r="G13441" i="1" a="1"/>
  <c r="G13569" i="1" a="1"/>
  <c r="G13697" i="1" a="1"/>
  <c r="G13825" i="1" a="1"/>
  <c r="G13953" i="1" a="1"/>
  <c r="G14081" i="1" a="1"/>
  <c r="G9399" i="1" a="1"/>
  <c r="G9868" i="1" a="1"/>
  <c r="G10569" i="1" a="1"/>
  <c r="G10753" i="1" a="1"/>
  <c r="G10923" i="1" a="1"/>
  <c r="G11154" i="1" a="1"/>
  <c r="G11410" i="1" a="1"/>
  <c r="G11651" i="1" a="1"/>
  <c r="G11820" i="1" a="1"/>
  <c r="G11997" i="1" a="1"/>
  <c r="G12173" i="1" a="1"/>
  <c r="G12332" i="1" a="1"/>
  <c r="G12477" i="1" a="1"/>
  <c r="G12623" i="1" a="1"/>
  <c r="G12785" i="1" a="1"/>
  <c r="G12907" i="1" a="1"/>
  <c r="G13035" i="1" a="1"/>
  <c r="G13163" i="1" a="1"/>
  <c r="G9468" i="1" a="1"/>
  <c r="G10019" i="1" a="1"/>
  <c r="G10606" i="1" a="1"/>
  <c r="G10777" i="1" a="1"/>
  <c r="G10946" i="1" a="1"/>
  <c r="G11202" i="1" a="1"/>
  <c r="G11458" i="1" a="1"/>
  <c r="G11666" i="1" a="1"/>
  <c r="G11875" i="1" a="1"/>
  <c r="G12034" i="1" a="1"/>
  <c r="G12210" i="1" a="1"/>
  <c r="G12378" i="1" a="1"/>
  <c r="G12514" i="1" a="1"/>
  <c r="G9282" i="1" a="1"/>
  <c r="G10150" i="1" a="1"/>
  <c r="G10470" i="1" a="1"/>
  <c r="G9472" i="1" a="1"/>
  <c r="G10004" i="1" a="1"/>
  <c r="G10607" i="1" a="1"/>
  <c r="G10778" i="1" a="1"/>
  <c r="G9538" i="1" a="1"/>
  <c r="G10170" i="1" a="1"/>
  <c r="G10641" i="1" a="1"/>
  <c r="G9302" i="1" a="1"/>
  <c r="G9699" i="1" a="1"/>
  <c r="G10475" i="1" a="1"/>
  <c r="G10697" i="1" a="1"/>
  <c r="G9775" i="1" a="1"/>
  <c r="G10309" i="1" a="1"/>
  <c r="G10988" i="1" a="1"/>
  <c r="G11244" i="1" a="1"/>
  <c r="G11500" i="1" a="1"/>
  <c r="G11715" i="1" a="1"/>
  <c r="G11892" i="1" a="1"/>
  <c r="G12062" i="1" a="1"/>
  <c r="G12239" i="1" a="1"/>
  <c r="G12408" i="1" a="1"/>
  <c r="G12554" i="1" a="1"/>
  <c r="G12716" i="1" a="1"/>
  <c r="G12852" i="1" a="1"/>
  <c r="G11130" i="1" a="1"/>
  <c r="G11588" i="1" a="1"/>
  <c r="G11962" i="1" a="1"/>
  <c r="G12304" i="1" a="1"/>
  <c r="G12552" i="1" a="1"/>
  <c r="G12807" i="1" a="1"/>
  <c r="G12983" i="1" a="1"/>
  <c r="G13160" i="1" a="1"/>
  <c r="G13293" i="1" a="1"/>
  <c r="G13429" i="1" a="1"/>
  <c r="G13591" i="1" a="1"/>
  <c r="G13737" i="1" a="1"/>
  <c r="G13873" i="1" a="1"/>
  <c r="G14014" i="1" a="1"/>
  <c r="G14168" i="1" a="1"/>
  <c r="G14196" i="1" a="1"/>
  <c r="G14341" i="1" a="1"/>
  <c r="G14469" i="1" a="1"/>
  <c r="G14597" i="1" a="1"/>
  <c r="G14713" i="1" a="1"/>
  <c r="G14833" i="1" a="1"/>
  <c r="G10886" i="1" a="1"/>
  <c r="G11387" i="1" a="1"/>
  <c r="G11853" i="1" a="1"/>
  <c r="G12207" i="1" a="1"/>
  <c r="G12521" i="1" a="1"/>
  <c r="G12792" i="1" a="1"/>
  <c r="G13014" i="1" a="1"/>
  <c r="G13173" i="1" a="1"/>
  <c r="G13341" i="1" a="1"/>
  <c r="G13503" i="1" a="1"/>
  <c r="G13639" i="1" a="1"/>
  <c r="G13780" i="1" a="1"/>
  <c r="G13926" i="1" a="1"/>
  <c r="G14093" i="1" a="1"/>
  <c r="G14309" i="1" a="1"/>
  <c r="G14433" i="1" a="1"/>
  <c r="G14561" i="1" a="1"/>
  <c r="G14701" i="1" a="1"/>
  <c r="G14837" i="1" a="1"/>
  <c r="G10867" i="1" a="1"/>
  <c r="G11353" i="1" a="1"/>
  <c r="G11780" i="1" a="1"/>
  <c r="G12122" i="1" a="1"/>
  <c r="G12438" i="1" a="1"/>
  <c r="G12683" i="1" a="1"/>
  <c r="G12930" i="1" a="1"/>
  <c r="G13095" i="1" a="1"/>
  <c r="G13242" i="1" a="1"/>
  <c r="G13404" i="1" a="1"/>
  <c r="G13550" i="1" a="1"/>
  <c r="G13686" i="1" a="1"/>
  <c r="G13843" i="1" a="1"/>
  <c r="G13989" i="1" a="1"/>
  <c r="G14130" i="1" a="1"/>
  <c r="G11029" i="1" a="1"/>
  <c r="G11522" i="1" a="1"/>
  <c r="G11943" i="1" a="1"/>
  <c r="G12260" i="1" a="1"/>
  <c r="G12609" i="1" a="1"/>
  <c r="G12851" i="1" a="1"/>
  <c r="G13052" i="1" a="1"/>
  <c r="G11194" i="1" a="1"/>
  <c r="G11712" i="1" a="1"/>
  <c r="G12066" i="1" a="1"/>
  <c r="G12390" i="1" a="1"/>
  <c r="G12719" i="1" a="1"/>
  <c r="G12919" i="1" a="1"/>
  <c r="G13096" i="1" a="1"/>
  <c r="G10976" i="1" a="1"/>
  <c r="G11488" i="1" a="1"/>
  <c r="G11847" i="1" a="1"/>
  <c r="G12164" i="1" a="1"/>
  <c r="G12537" i="1" a="1"/>
  <c r="G12787" i="1" a="1"/>
  <c r="G12974" i="1" a="1"/>
  <c r="G13139" i="1" a="1"/>
  <c r="G11106" i="1" a="1"/>
  <c r="G11597" i="1" a="1"/>
  <c r="G11970" i="1" a="1"/>
  <c r="G12323" i="1" a="1"/>
  <c r="G12621" i="1" a="1"/>
  <c r="G12813" i="1" a="1"/>
  <c r="G13018" i="1" a="1"/>
  <c r="G13177" i="1" a="1"/>
  <c r="G11404" i="1" a="1"/>
  <c r="G11815" i="1" a="1"/>
  <c r="G12132" i="1" a="1"/>
  <c r="G12457" i="1" a="1"/>
  <c r="G12723" i="1" a="1"/>
  <c r="G12933" i="1" a="1"/>
  <c r="G13110" i="1" a="1"/>
  <c r="G13277" i="1" a="1"/>
  <c r="G13439" i="1" a="1"/>
  <c r="G13575" i="1" a="1"/>
  <c r="G13716" i="1" a="1"/>
  <c r="G13862" i="1" a="1"/>
  <c r="G14019" i="1" a="1"/>
  <c r="G14154" i="1" a="1"/>
  <c r="G14260" i="1" a="1"/>
  <c r="G14324" i="1" a="1"/>
  <c r="G14388" i="1" a="1"/>
  <c r="G14452" i="1" a="1"/>
  <c r="G14516" i="1" a="1"/>
  <c r="G14580" i="1" a="1"/>
  <c r="G14644" i="1" a="1"/>
  <c r="G13458" i="1" a="1"/>
  <c r="G13751" i="1" a="1"/>
  <c r="G14033" i="1" a="1"/>
  <c r="G14271" i="1" a="1"/>
  <c r="G14399" i="1" a="1"/>
  <c r="G14527" i="1" a="1"/>
  <c r="G14660" i="1" a="1"/>
  <c r="G14827" i="1" a="1"/>
  <c r="G13741" i="1" a="1"/>
  <c r="G14065" i="1" a="1"/>
  <c r="G14712" i="1" a="1"/>
  <c r="G14886" i="1" a="1"/>
  <c r="G14732" i="1" a="1"/>
  <c r="G13933" i="1" a="1"/>
  <c r="G14101" i="1" a="1"/>
  <c r="G14635" i="1" a="1"/>
  <c r="G14824" i="1" a="1"/>
  <c r="G14684" i="1" a="1"/>
  <c r="G13355" i="1" a="1"/>
  <c r="G13689" i="1" a="1"/>
  <c r="G13620" i="1" a="1"/>
  <c r="G13652" i="1" a="1"/>
  <c r="G14467" i="1" a="1"/>
  <c r="G14190" i="1" a="1"/>
  <c r="G14502" i="1" a="1"/>
  <c r="G13211" i="1" a="1"/>
  <c r="G13515" i="1" a="1"/>
  <c r="G13776" i="1" a="1"/>
  <c r="G14100" i="1" a="1"/>
  <c r="G14306" i="1" a="1"/>
  <c r="G14434" i="1" a="1"/>
  <c r="G14602" i="1" a="1"/>
  <c r="G13547" i="1" a="1"/>
  <c r="G14855" i="1" a="1"/>
  <c r="G14515" i="1" a="1"/>
  <c r="G14760" i="1" a="1"/>
  <c r="G14550" i="1" a="1"/>
  <c r="G13212" i="1" a="1"/>
  <c r="G13516" i="1" a="1"/>
  <c r="G13276" i="1" a="1"/>
  <c r="G13558" i="1" a="1"/>
  <c r="G13851" i="1" a="1"/>
  <c r="G13332" i="1" a="1"/>
  <c r="G13593" i="1" a="1"/>
  <c r="G13906" i="1" a="1"/>
  <c r="G13187" i="1" a="1"/>
  <c r="G13489" i="1" a="1"/>
  <c r="G13803" i="1" a="1"/>
  <c r="G14064" i="1" a="1"/>
  <c r="G14718" i="1" a="1"/>
  <c r="G14896" i="1" a="1"/>
  <c r="G14152" i="1" a="1"/>
  <c r="G14259" i="1" a="1"/>
  <c r="G14836" i="1" a="1"/>
  <c r="G14310" i="1" a="1"/>
  <c r="G2" i="1" a="1"/>
  <c r="F67" i="1" a="1"/>
  <c r="F6" i="1" a="1"/>
  <c r="F86" i="1" a="1"/>
  <c r="F193" i="1" a="1"/>
  <c r="F321" i="1" a="1"/>
  <c r="F165" i="1" a="1"/>
  <c r="F311" i="1" a="1"/>
  <c r="F443" i="1" a="1"/>
  <c r="F121" i="1" a="1"/>
  <c r="F215" i="1" a="1"/>
  <c r="F351" i="1" a="1"/>
  <c r="F499" i="1" a="1"/>
  <c r="F627" i="1" a="1"/>
  <c r="F222" i="1" a="1"/>
  <c r="F383" i="1" a="1"/>
  <c r="F513" i="1" a="1"/>
  <c r="F116" i="1" a="1"/>
  <c r="F271" i="1" a="1"/>
  <c r="F468" i="1" a="1"/>
  <c r="F596" i="1" a="1"/>
  <c r="F85" i="1" a="1"/>
  <c r="F155" i="1" a="1"/>
  <c r="F372" i="1" a="1"/>
  <c r="F503" i="1" a="1"/>
  <c r="F365" i="1" a="1"/>
  <c r="F593" i="1" a="1"/>
  <c r="F226" i="1" a="1"/>
  <c r="F534" i="1" a="1"/>
  <c r="F705" i="1" a="1"/>
  <c r="F842" i="1" a="1"/>
  <c r="F453" i="1" a="1"/>
  <c r="F638" i="1" a="1"/>
  <c r="F401" i="1" a="1"/>
  <c r="F644" i="1" a="1"/>
  <c r="F433" i="1" a="1"/>
  <c r="F619" i="1" a="1"/>
  <c r="F375" i="1" a="1"/>
  <c r="F605" i="1" a="1"/>
  <c r="F695" i="1" a="1"/>
  <c r="F852" i="1" a="1"/>
  <c r="F976" i="1" a="1"/>
  <c r="F1104" i="1" a="1"/>
  <c r="F1217" i="1" a="1"/>
  <c r="F1281" i="1" a="1"/>
  <c r="F1345" i="1" a="1"/>
  <c r="F1409" i="1" a="1"/>
  <c r="F1473" i="1" a="1"/>
  <c r="F1537" i="1" a="1"/>
  <c r="F1601" i="1" a="1"/>
  <c r="F487" i="1" a="1"/>
  <c r="F795" i="1" a="1"/>
  <c r="F940" i="1" a="1"/>
  <c r="F1068" i="1" a="1"/>
  <c r="F722" i="1" a="1"/>
  <c r="F872" i="1" a="1"/>
  <c r="F1000" i="1" a="1"/>
  <c r="F374" i="1" a="1"/>
  <c r="F754" i="1" a="1"/>
  <c r="F661" i="1" a="1"/>
  <c r="F839" i="1" a="1"/>
  <c r="F698" i="1" a="1"/>
  <c r="F304" i="1" a="1"/>
  <c r="F777" i="1" a="1"/>
  <c r="F666" i="1" a="1"/>
  <c r="F814" i="1" a="1"/>
  <c r="F953" i="1" a="1"/>
  <c r="F1081" i="1" a="1"/>
  <c r="F1020" i="1" a="1"/>
  <c r="F1197" i="1" a="1"/>
  <c r="F1358" i="1" a="1"/>
  <c r="F1527" i="1" a="1"/>
  <c r="F1661" i="1" a="1"/>
  <c r="F1725" i="1" a="1"/>
  <c r="F1789" i="1" a="1"/>
  <c r="F1853" i="1" a="1"/>
  <c r="F1917" i="1" a="1"/>
  <c r="F1981" i="1" a="1"/>
  <c r="F2045" i="1" a="1"/>
  <c r="F2109" i="1" a="1"/>
  <c r="F966" i="1" a="1"/>
  <c r="F1166" i="1" a="1"/>
  <c r="F1331" i="1" a="1"/>
  <c r="F1500" i="1" a="1"/>
  <c r="F905" i="1" a="1"/>
  <c r="F1135" i="1" a="1"/>
  <c r="F1286" i="1" a="1"/>
  <c r="F1455" i="1" a="1"/>
  <c r="F1624" i="1" a="1"/>
  <c r="F1698" i="1" a="1"/>
  <c r="F869" i="1" a="1"/>
  <c r="F906" i="1" a="1"/>
  <c r="F879" i="1" a="1"/>
  <c r="F891" i="1" a="1"/>
  <c r="F919" i="1" a="1"/>
  <c r="F1128" i="1" a="1"/>
  <c r="F1298" i="1" a="1"/>
  <c r="F1467" i="1" a="1"/>
  <c r="F1636" i="1" a="1"/>
  <c r="F1364" i="1" a="1"/>
  <c r="F1790" i="1" a="1"/>
  <c r="F1270" i="1" a="1"/>
  <c r="F1647" i="1" a="1"/>
  <c r="F1860" i="1" a="1"/>
  <c r="F2042" i="1" a="1"/>
  <c r="F1210" i="1" a="1"/>
  <c r="F1607" i="1" a="1"/>
  <c r="F1442" i="1" a="1"/>
  <c r="F1766" i="1" a="1"/>
  <c r="F1938" i="1" a="1"/>
  <c r="F2107" i="1" a="1"/>
  <c r="F1338" i="1" a="1"/>
  <c r="F1214" i="1" a="1"/>
  <c r="F1443" i="1" a="1"/>
  <c r="F1831" i="1" a="1"/>
  <c r="F2040" i="1" a="1"/>
  <c r="F2192" i="1" a="1"/>
  <c r="F2277" i="1" a="1"/>
  <c r="F2369" i="1" a="1"/>
  <c r="F2497" i="1" a="1"/>
  <c r="F2625" i="1" a="1"/>
  <c r="F2694" i="1" a="1"/>
  <c r="F2758" i="1" a="1"/>
  <c r="F2822" i="1" a="1"/>
  <c r="F2886" i="1" a="1"/>
  <c r="F2950" i="1" a="1"/>
  <c r="F3014" i="1" a="1"/>
  <c r="F3078" i="1" a="1"/>
  <c r="F3142" i="1" a="1"/>
  <c r="F3206" i="1" a="1"/>
  <c r="F1767" i="1" a="1"/>
  <c r="F2047" i="1" a="1"/>
  <c r="F2283" i="1" a="1"/>
  <c r="F2443" i="1" a="1"/>
  <c r="F2571" i="1" a="1"/>
  <c r="F1571" i="1" a="1"/>
  <c r="F1895" i="1" a="1"/>
  <c r="F2103" i="1" a="1"/>
  <c r="F2220" i="1" a="1"/>
  <c r="F2305" i="1" a="1"/>
  <c r="F2416" i="1" a="1"/>
  <c r="F2544" i="1" a="1"/>
  <c r="F2651" i="1" a="1"/>
  <c r="F2715" i="1" a="1"/>
  <c r="F1779" i="1" a="1"/>
  <c r="F2024" i="1" a="1"/>
  <c r="F1256" i="1" a="1"/>
  <c r="F1780" i="1" a="1"/>
  <c r="F2031" i="1" a="1"/>
  <c r="F2184" i="1" a="1"/>
  <c r="G4434" i="1" a="1"/>
  <c r="G8336" i="1" a="1"/>
  <c r="G6515" i="1" a="1"/>
  <c r="G7514" i="1" a="1"/>
  <c r="G6329" i="1" a="1"/>
  <c r="G7446" i="1" a="1"/>
  <c r="G5411" i="1" a="1"/>
  <c r="G6178" i="1" a="1"/>
  <c r="G7234" i="1" a="1"/>
  <c r="G7384" i="1" a="1"/>
  <c r="G8680" i="1" a="1"/>
  <c r="G9481" i="1" a="1"/>
  <c r="G9993" i="1" a="1"/>
  <c r="G7021" i="1" a="1"/>
  <c r="G8553" i="1" a="1"/>
  <c r="G6793" i="1" a="1"/>
  <c r="G8407" i="1" a="1"/>
  <c r="G6637" i="1" a="1"/>
  <c r="G6916" i="1" a="1"/>
  <c r="G7109" i="1" a="1"/>
  <c r="G8579" i="1" a="1"/>
  <c r="G8778" i="1" a="1"/>
  <c r="G9851" i="1" a="1"/>
  <c r="G8925" i="1" a="1"/>
  <c r="G10376" i="1" a="1"/>
  <c r="G10888" i="1" a="1"/>
  <c r="G9208" i="1" a="1"/>
  <c r="G6953" i="1" a="1"/>
  <c r="G7270" i="1" a="1"/>
  <c r="G7438" i="1" a="1"/>
  <c r="G9855" i="1" a="1"/>
  <c r="G9999" i="1" a="1"/>
  <c r="G10981" i="1" a="1"/>
  <c r="G11109" i="1" a="1"/>
  <c r="G11237" i="1" a="1"/>
  <c r="G11365" i="1" a="1"/>
  <c r="G11493" i="1" a="1"/>
  <c r="G11621" i="1" a="1"/>
  <c r="G11749" i="1" a="1"/>
  <c r="G11877" i="1" a="1"/>
  <c r="G12005" i="1" a="1"/>
  <c r="G12133" i="1" a="1"/>
  <c r="G12261" i="1" a="1"/>
  <c r="G12389" i="1" a="1"/>
  <c r="G12517" i="1" a="1"/>
  <c r="G12645" i="1" a="1"/>
  <c r="G12773" i="1" a="1"/>
  <c r="G8508" i="1" a="1"/>
  <c r="G9003" i="1" a="1"/>
  <c r="G9318" i="1" a="1"/>
  <c r="G9488" i="1" a="1"/>
  <c r="G9707" i="1" a="1"/>
  <c r="G10036" i="1" a="1"/>
  <c r="G10481" i="1" a="1"/>
  <c r="G10621" i="1" a="1"/>
  <c r="G10706" i="1" a="1"/>
  <c r="G10791" i="1" a="1"/>
  <c r="G10877" i="1" a="1"/>
  <c r="G10977" i="1" a="1"/>
  <c r="G11105" i="1" a="1"/>
  <c r="G11233" i="1" a="1"/>
  <c r="G11361" i="1" a="1"/>
  <c r="G11489" i="1" a="1"/>
  <c r="G11617" i="1" a="1"/>
  <c r="G11745" i="1" a="1"/>
  <c r="G11873" i="1" a="1"/>
  <c r="G12001" i="1" a="1"/>
  <c r="G12129" i="1" a="1"/>
  <c r="G12257" i="1" a="1"/>
  <c r="G8509" i="1" a="1"/>
  <c r="G8975" i="1" a="1"/>
  <c r="G9680" i="1" a="1"/>
  <c r="G10046" i="1" a="1"/>
  <c r="G10266" i="1" a="1"/>
  <c r="G10398" i="1" a="1"/>
  <c r="G10565" i="1" a="1"/>
  <c r="G11055" i="1" a="1"/>
  <c r="G11183" i="1" a="1"/>
  <c r="G11311" i="1" a="1"/>
  <c r="G11439" i="1" a="1"/>
  <c r="G11567" i="1" a="1"/>
  <c r="G11695" i="1" a="1"/>
  <c r="G8546" i="1" a="1"/>
  <c r="G9020" i="1" a="1"/>
  <c r="G9308" i="1" a="1"/>
  <c r="G8917" i="1" a="1"/>
  <c r="G9258" i="1" a="1"/>
  <c r="G8883" i="1" a="1"/>
  <c r="G8664" i="1" a="1"/>
  <c r="G9113" i="1" a="1"/>
  <c r="G9822" i="1" a="1"/>
  <c r="G10151" i="1" a="1"/>
  <c r="G10318" i="1" a="1"/>
  <c r="G10471" i="1" a="1"/>
  <c r="G10975" i="1" a="1"/>
  <c r="G11103" i="1" a="1"/>
  <c r="G11231" i="1" a="1"/>
  <c r="G11359" i="1" a="1"/>
  <c r="G11487" i="1" a="1"/>
  <c r="G8811" i="1" a="1"/>
  <c r="G9398" i="1" a="1"/>
  <c r="G9867" i="1" a="1"/>
  <c r="G10529" i="1" a="1"/>
  <c r="G10730" i="1" a="1"/>
  <c r="G10901" i="1" a="1"/>
  <c r="G11144" i="1" a="1"/>
  <c r="G11400" i="1" a="1"/>
  <c r="G11606" i="1" a="1"/>
  <c r="G11843" i="1" a="1"/>
  <c r="G12002" i="1" a="1"/>
  <c r="G12178" i="1" a="1"/>
  <c r="G12355" i="1" a="1"/>
  <c r="G12502" i="1" a="1"/>
  <c r="G12638" i="1" a="1"/>
  <c r="G12779" i="1" a="1"/>
  <c r="G12938" i="1" a="1"/>
  <c r="G13066" i="1" a="1"/>
  <c r="G13194" i="1" a="1"/>
  <c r="G13322" i="1" a="1"/>
  <c r="G13450" i="1" a="1"/>
  <c r="G13578" i="1" a="1"/>
  <c r="G13706" i="1" a="1"/>
  <c r="G13834" i="1" a="1"/>
  <c r="G13962" i="1" a="1"/>
  <c r="G14090" i="1" a="1"/>
  <c r="G9420" i="1" a="1"/>
  <c r="G9923" i="1" a="1"/>
  <c r="G10593" i="1" a="1"/>
  <c r="G10763" i="1" a="1"/>
  <c r="G10934" i="1" a="1"/>
  <c r="G11163" i="1" a="1"/>
  <c r="G11419" i="1" a="1"/>
  <c r="G11659" i="1" a="1"/>
  <c r="G11838" i="1" a="1"/>
  <c r="G12015" i="1" a="1"/>
  <c r="G12180" i="1" a="1"/>
  <c r="G12350" i="1" a="1"/>
  <c r="G12482" i="1" a="1"/>
  <c r="G12644" i="1" a="1"/>
  <c r="G12790" i="1" a="1"/>
  <c r="G12916" i="1" a="1"/>
  <c r="G13044" i="1" a="1"/>
  <c r="G13172" i="1" a="1"/>
  <c r="G9490" i="1" a="1"/>
  <c r="G10074" i="1" a="1"/>
  <c r="G10617" i="1" a="1"/>
  <c r="G10787" i="1" a="1"/>
  <c r="G10955" i="1" a="1"/>
  <c r="G11211" i="1" a="1"/>
  <c r="G11467" i="1" a="1"/>
  <c r="G11674" i="1" a="1"/>
  <c r="G11881" i="1" a="1"/>
  <c r="G12040" i="1" a="1"/>
  <c r="G12217" i="1" a="1"/>
  <c r="G12383" i="1" a="1"/>
  <c r="G12519" i="1" a="1"/>
  <c r="G9324" i="1" a="1"/>
  <c r="G10168" i="1" a="1"/>
  <c r="G10495" i="1" a="1"/>
  <c r="G9494" i="1" a="1"/>
  <c r="G10059" i="1" a="1"/>
  <c r="G10618" i="1" a="1"/>
  <c r="G10789" i="1" a="1"/>
  <c r="G9559" i="1" a="1"/>
  <c r="G10188" i="1" a="1"/>
  <c r="G10651" i="1" a="1"/>
  <c r="G9335" i="1" a="1"/>
  <c r="G9754" i="1" a="1"/>
  <c r="G10489" i="1" a="1"/>
  <c r="G10707" i="1" a="1"/>
  <c r="G9830" i="1" a="1"/>
  <c r="G10325" i="1" a="1"/>
  <c r="G10997" i="1" a="1"/>
  <c r="G11253" i="1" a="1"/>
  <c r="G11509" i="1" a="1"/>
  <c r="G11723" i="1" a="1"/>
  <c r="G11903" i="1" a="1"/>
  <c r="G12068" i="1" a="1"/>
  <c r="G12245" i="1" a="1"/>
  <c r="G12413" i="1" a="1"/>
  <c r="G12559" i="1" a="1"/>
  <c r="G12721" i="1" a="1"/>
  <c r="G12857" i="1" a="1"/>
  <c r="G11185" i="1" a="1"/>
  <c r="G11602" i="1" a="1"/>
  <c r="G11986" i="1" a="1"/>
  <c r="G12315" i="1" a="1"/>
  <c r="G12562" i="1" a="1"/>
  <c r="G12824" i="1" a="1"/>
  <c r="G13001" i="1" a="1"/>
  <c r="G13178" i="1" a="1"/>
  <c r="G13298" i="1" a="1"/>
  <c r="G13434" i="1" a="1"/>
  <c r="G13596" i="1" a="1"/>
  <c r="G13742" i="1" a="1"/>
  <c r="G13878" i="1" a="1"/>
  <c r="G14035" i="1" a="1"/>
  <c r="G14177" i="1" a="1"/>
  <c r="G14210" i="1" a="1"/>
  <c r="G14349" i="1" a="1"/>
  <c r="G14477" i="1" a="1"/>
  <c r="G14605" i="1" a="1"/>
  <c r="G14717" i="1" a="1"/>
  <c r="G14845" i="1" a="1"/>
  <c r="G10907" i="1" a="1"/>
  <c r="G11424" i="1" a="1"/>
  <c r="G11878" i="1" a="1"/>
  <c r="G12231" i="1" a="1"/>
  <c r="G12532" i="1" a="1"/>
  <c r="G12808" i="1" a="1"/>
  <c r="G13020" i="1" a="1"/>
  <c r="G13179" i="1" a="1"/>
  <c r="G13346" i="1" a="1"/>
  <c r="G13508" i="1" a="1"/>
  <c r="G13644" i="1" a="1"/>
  <c r="G13785" i="1" a="1"/>
  <c r="G13947" i="1" a="1"/>
  <c r="G14098" i="1" a="1"/>
  <c r="G14317" i="1" a="1"/>
  <c r="G14441" i="1" a="1"/>
  <c r="G14569" i="1" a="1"/>
  <c r="G14709" i="1" a="1"/>
  <c r="G14841" i="1" a="1"/>
  <c r="G10889" i="1" a="1"/>
  <c r="G11371" i="1" a="1"/>
  <c r="G11793" i="1" a="1"/>
  <c r="G12146" i="1" a="1"/>
  <c r="G12449" i="1" a="1"/>
  <c r="G12699" i="1" a="1"/>
  <c r="G12936" i="1" a="1"/>
  <c r="G13106" i="1" a="1"/>
  <c r="G13279" i="1" a="1"/>
  <c r="G13415" i="1" a="1"/>
  <c r="G13556" i="1" a="1"/>
  <c r="G13702" i="1" a="1"/>
  <c r="G13859" i="1" a="1"/>
  <c r="G13995" i="1" a="1"/>
  <c r="G14141" i="1" a="1"/>
  <c r="G11047" i="1" a="1"/>
  <c r="G11565" i="1" a="1"/>
  <c r="G11956" i="1" a="1"/>
  <c r="G12285" i="1" a="1"/>
  <c r="G12619" i="1" a="1"/>
  <c r="G12867" i="1" a="1"/>
  <c r="G13059" i="1" a="1"/>
  <c r="G11249" i="1" a="1"/>
  <c r="G11728" i="1" a="1"/>
  <c r="G12090" i="1" a="1"/>
  <c r="G12432" i="1" a="1"/>
  <c r="G12735" i="1" a="1"/>
  <c r="G12937" i="1" a="1"/>
  <c r="G13114" i="1" a="1"/>
  <c r="G10994" i="1" a="1"/>
  <c r="G11506" i="1" a="1"/>
  <c r="G11860" i="1" a="1"/>
  <c r="G12189" i="1" a="1"/>
  <c r="G12547" i="1" a="1"/>
  <c r="G12803" i="1" a="1"/>
  <c r="G12981" i="1" a="1"/>
  <c r="G13157" i="1" a="1"/>
  <c r="G11161" i="1" a="1"/>
  <c r="G11611" i="1" a="1"/>
  <c r="G11994" i="1" a="1"/>
  <c r="G12336" i="1" a="1"/>
  <c r="G12632" i="1" a="1"/>
  <c r="G12822" i="1" a="1"/>
  <c r="G13024" i="1" a="1"/>
  <c r="G13183" i="1" a="1"/>
  <c r="G11422" i="1" a="1"/>
  <c r="G11828" i="1" a="1"/>
  <c r="G12157" i="1" a="1"/>
  <c r="G12468" i="1" a="1"/>
  <c r="G12730" i="1" a="1"/>
  <c r="G12940" i="1" a="1"/>
  <c r="G13116" i="1" a="1"/>
  <c r="G13282" i="1" a="1"/>
  <c r="G13444" i="1" a="1"/>
  <c r="G13580" i="1" a="1"/>
  <c r="G13721" i="1" a="1"/>
  <c r="G13883" i="1" a="1"/>
  <c r="G14024" i="1" a="1"/>
  <c r="G14163" i="1" a="1"/>
  <c r="G14264" i="1" a="1"/>
  <c r="G14328" i="1" a="1"/>
  <c r="G14392" i="1" a="1"/>
  <c r="G14456" i="1" a="1"/>
  <c r="G14520" i="1" a="1"/>
  <c r="G14584" i="1" a="1"/>
  <c r="G14648" i="1" a="1"/>
  <c r="G13469" i="1" a="1"/>
  <c r="G13772" i="1" a="1"/>
  <c r="G14054" i="1" a="1"/>
  <c r="G14279" i="1" a="1"/>
  <c r="G14407" i="1" a="1"/>
  <c r="G14535" i="1" a="1"/>
  <c r="G14667" i="1" a="1"/>
  <c r="G14834" i="1" a="1"/>
  <c r="G13762" i="1" a="1"/>
  <c r="G14086" i="1" a="1"/>
  <c r="G14719" i="1" a="1"/>
  <c r="G14904" i="1" a="1"/>
  <c r="G14764" i="1" a="1"/>
  <c r="G13975" i="1" a="1"/>
  <c r="G14143" i="1" a="1"/>
  <c r="G14683" i="1" a="1"/>
  <c r="G14927" i="1" a="1"/>
  <c r="G14730" i="1" a="1"/>
  <c r="G13365" i="1" a="1"/>
  <c r="G13783" i="1" a="1"/>
  <c r="G13693" i="1" a="1"/>
  <c r="G13704" i="1" a="1"/>
  <c r="G14499" i="1" a="1"/>
  <c r="G14696" i="1" a="1"/>
  <c r="G14534" i="1" a="1"/>
  <c r="G13222" i="1" a="1"/>
  <c r="G13525" i="1" a="1"/>
  <c r="G13786" i="1" a="1"/>
  <c r="G14110" i="1" a="1"/>
  <c r="G14314" i="1" a="1"/>
  <c r="G14442" i="1" a="1"/>
  <c r="G14618" i="1" a="1"/>
  <c r="G13630" i="1" a="1"/>
  <c r="G14887" i="1" a="1"/>
  <c r="G14547" i="1" a="1"/>
  <c r="G14799" i="1" a="1"/>
  <c r="G14574" i="1" a="1"/>
  <c r="G13244" i="1" a="1"/>
  <c r="G13568" i="1" a="1"/>
  <c r="G13287" i="1" a="1"/>
  <c r="G13600" i="1" a="1"/>
  <c r="G13861" i="1" a="1"/>
  <c r="G13342" i="1" a="1"/>
  <c r="G13635" i="1" a="1"/>
  <c r="G13917" i="1" a="1"/>
  <c r="G13228" i="1" a="1"/>
  <c r="G13510" i="1" a="1"/>
  <c r="G13813" i="1" a="1"/>
  <c r="G14074" i="1" a="1"/>
  <c r="G14736" i="1" a="1"/>
  <c r="G14910" i="1" a="1"/>
  <c r="G14216" i="1" a="1"/>
  <c r="G14291" i="1" a="1"/>
  <c r="G14868" i="1" a="1"/>
  <c r="G14342" i="1" a="1"/>
  <c r="F7" i="1" a="1"/>
  <c r="F71" i="1" a="1"/>
  <c r="F4" i="1" a="1"/>
  <c r="F92" i="1" a="1"/>
  <c r="F202" i="1" a="1"/>
  <c r="F330" i="1" a="1"/>
  <c r="F176" i="1" a="1"/>
  <c r="F317" i="1" a="1"/>
  <c r="F448" i="1" a="1"/>
  <c r="F143" i="1" a="1"/>
  <c r="F227" i="1" a="1"/>
  <c r="F357" i="1" a="1"/>
  <c r="F508" i="1" a="1"/>
  <c r="F636" i="1" a="1"/>
  <c r="F246" i="1" a="1"/>
  <c r="F389" i="1" a="1"/>
  <c r="F522" i="1" a="1"/>
  <c r="F131" i="1" a="1"/>
  <c r="F277" i="1" a="1"/>
  <c r="F477" i="1" a="1"/>
  <c r="F20" i="1" a="1"/>
  <c r="F101" i="1" a="1"/>
  <c r="F167" i="1" a="1"/>
  <c r="F377" i="1" a="1"/>
  <c r="F512" i="1" a="1"/>
  <c r="F376" i="1" a="1"/>
  <c r="F600" i="1" a="1"/>
  <c r="F250" i="1" a="1"/>
  <c r="F543" i="1" a="1"/>
  <c r="F714" i="1" a="1"/>
  <c r="F847" i="1" a="1"/>
  <c r="F463" i="1" a="1"/>
  <c r="F669" i="1" a="1"/>
  <c r="F412" i="1" a="1"/>
  <c r="F649" i="1" a="1"/>
  <c r="F444" i="1" a="1"/>
  <c r="F624" i="1" a="1"/>
  <c r="F396" i="1" a="1"/>
  <c r="F610" i="1" a="1"/>
  <c r="F700" i="1" a="1"/>
  <c r="F857" i="1" a="1"/>
  <c r="F981" i="1" a="1"/>
  <c r="F1109" i="1" a="1"/>
  <c r="F1221" i="1" a="1"/>
  <c r="F1285" i="1" a="1"/>
  <c r="F1349" i="1" a="1"/>
  <c r="F1413" i="1" a="1"/>
  <c r="F1477" i="1" a="1"/>
  <c r="F1541" i="1" a="1"/>
  <c r="F1605" i="1" a="1"/>
  <c r="F584" i="1" a="1"/>
  <c r="F800" i="1" a="1"/>
  <c r="F945" i="1" a="1"/>
  <c r="F178" i="1" a="1"/>
  <c r="F733" i="1" a="1"/>
  <c r="F877" i="1" a="1"/>
  <c r="F1005" i="1" a="1"/>
  <c r="F458" i="1" a="1"/>
  <c r="F765" i="1" a="1"/>
  <c r="F703" i="1" a="1"/>
  <c r="F844" i="1" a="1"/>
  <c r="F735" i="1" a="1"/>
  <c r="F350" i="1" a="1"/>
  <c r="F793" i="1" a="1"/>
  <c r="F679" i="1" a="1"/>
  <c r="F820" i="1" a="1"/>
  <c r="F962" i="1" a="1"/>
  <c r="F1090" i="1" a="1"/>
  <c r="F1057" i="1" a="1"/>
  <c r="F1202" i="1" a="1"/>
  <c r="F1367" i="1" a="1"/>
  <c r="F1536" i="1" a="1"/>
  <c r="F1665" i="1" a="1"/>
  <c r="F1729" i="1" a="1"/>
  <c r="F1793" i="1" a="1"/>
  <c r="F1857" i="1" a="1"/>
  <c r="F1921" i="1" a="1"/>
  <c r="F1985" i="1" a="1"/>
  <c r="F2049" i="1" a="1"/>
  <c r="F2113" i="1" a="1"/>
  <c r="F975" i="1" a="1"/>
  <c r="F1171" i="1" a="1"/>
  <c r="F1340" i="1" a="1"/>
  <c r="F1514" i="1" a="1"/>
  <c r="F914" i="1" a="1"/>
  <c r="F1140" i="1" a="1"/>
  <c r="F1295" i="1" a="1"/>
  <c r="F1464" i="1" a="1"/>
  <c r="F1638" i="1" a="1"/>
  <c r="F1702" i="1" a="1"/>
  <c r="F878" i="1" a="1"/>
  <c r="F915" i="1" a="1"/>
  <c r="F888" i="1" a="1"/>
  <c r="F900" i="1" a="1"/>
  <c r="F928" i="1" a="1"/>
  <c r="F1149" i="1" a="1"/>
  <c r="F1307" i="1" a="1"/>
  <c r="F1476" i="1" a="1"/>
  <c r="F1092" i="1" a="1"/>
  <c r="F1410" i="1" a="1"/>
  <c r="F1808" i="1" a="1"/>
  <c r="F1292" i="1" a="1"/>
  <c r="F1664" i="1" a="1"/>
  <c r="F1886" i="1" a="1"/>
  <c r="F2051" i="1" a="1"/>
  <c r="F1251" i="1" a="1"/>
  <c r="F1639" i="1" a="1"/>
  <c r="F1471" i="1" a="1"/>
  <c r="F1772" i="1" a="1"/>
  <c r="F1947" i="1" a="1"/>
  <c r="F2116" i="1" a="1"/>
  <c r="F1379" i="1" a="1"/>
  <c r="F1246" i="1" a="1"/>
  <c r="F1526" i="1" a="1"/>
  <c r="F1859" i="1" a="1"/>
  <c r="F2046" i="1" a="1"/>
  <c r="F2197" i="1" a="1"/>
  <c r="F2282" i="1" a="1"/>
  <c r="F2378" i="1" a="1"/>
  <c r="F2506" i="1" a="1"/>
  <c r="F2634" i="1" a="1"/>
  <c r="F2698" i="1" a="1"/>
  <c r="F2762" i="1" a="1"/>
  <c r="F2826" i="1" a="1"/>
  <c r="F2890" i="1" a="1"/>
  <c r="F2954" i="1" a="1"/>
  <c r="F3018" i="1" a="1"/>
  <c r="F3082" i="1" a="1"/>
  <c r="F3146" i="1" a="1"/>
  <c r="F1098" i="1" a="1"/>
  <c r="F1796" i="1" a="1"/>
  <c r="F2059" i="1" a="1"/>
  <c r="F2299" i="1" a="1"/>
  <c r="F2452" i="1" a="1"/>
  <c r="F2580" i="1" a="1"/>
  <c r="F1660" i="1" a="1"/>
  <c r="F1902" i="1" a="1"/>
  <c r="F2127" i="1" a="1"/>
  <c r="F2225" i="1" a="1"/>
  <c r="F2310" i="1" a="1"/>
  <c r="F2425" i="1" a="1"/>
  <c r="F2553" i="1" a="1"/>
  <c r="F2655" i="1" a="1"/>
  <c r="F2719" i="1" a="1"/>
  <c r="F1788" i="1" a="1"/>
  <c r="F2036" i="1" a="1"/>
  <c r="F1279" i="1" a="1"/>
  <c r="F1799" i="1" a="1"/>
  <c r="F2055" i="1" a="1"/>
  <c r="F2189" i="1" a="1"/>
  <c r="F1584" i="1" a="1"/>
  <c r="F1948" i="1" a="1"/>
  <c r="F2175" i="1" a="1"/>
  <c r="F2387" i="1" a="1"/>
  <c r="F2515" i="1" a="1"/>
  <c r="F1539" i="1" a="1"/>
  <c r="F2291" i="1" a="1"/>
  <c r="F2573" i="1" a="1"/>
  <c r="F2819" i="1" a="1"/>
  <c r="F2904" i="1" a="1"/>
  <c r="F1774" i="1" a="1"/>
  <c r="F2313" i="1" a="1"/>
  <c r="F2546" i="1" a="1"/>
  <c r="F2737" i="1" a="1"/>
  <c r="F3044" i="1" a="1"/>
  <c r="F1310" i="1" a="1"/>
  <c r="F2357" i="1" a="1"/>
  <c r="G4637" i="1" a="1"/>
  <c r="G8345" i="1" a="1"/>
  <c r="G6533" i="1" a="1"/>
  <c r="G7523" i="1" a="1"/>
  <c r="G6336" i="1" a="1"/>
  <c r="G7455" i="1" a="1"/>
  <c r="G5424" i="1" a="1"/>
  <c r="G6187" i="1" a="1"/>
  <c r="G7243" i="1" a="1"/>
  <c r="G7393" i="1" a="1"/>
  <c r="G8685" i="1" a="1"/>
  <c r="G9485" i="1" a="1"/>
  <c r="G9997" i="1" a="1"/>
  <c r="G7058" i="1" a="1"/>
  <c r="G8562" i="1" a="1"/>
  <c r="G6830" i="1" a="1"/>
  <c r="G8416" i="1" a="1"/>
  <c r="G6666" i="1" a="1"/>
  <c r="G6925" i="1" a="1"/>
  <c r="G7146" i="1" a="1"/>
  <c r="G8588" i="1" a="1"/>
  <c r="G8787" i="1" a="1"/>
  <c r="G9860" i="1" a="1"/>
  <c r="G8934" i="1" a="1"/>
  <c r="G10380" i="1" a="1"/>
  <c r="G10892" i="1" a="1"/>
  <c r="G9214" i="1" a="1"/>
  <c r="G6990" i="1" a="1"/>
  <c r="G7288" i="1" a="1"/>
  <c r="G7456" i="1" a="1"/>
  <c r="G9864" i="1" a="1"/>
  <c r="G10008" i="1" a="1"/>
  <c r="G10990" i="1" a="1"/>
  <c r="G11118" i="1" a="1"/>
  <c r="G11246" i="1" a="1"/>
  <c r="G11374" i="1" a="1"/>
  <c r="G11502" i="1" a="1"/>
  <c r="G11630" i="1" a="1"/>
  <c r="G11758" i="1" a="1"/>
  <c r="G11886" i="1" a="1"/>
  <c r="G12014" i="1" a="1"/>
  <c r="G12142" i="1" a="1"/>
  <c r="G12270" i="1" a="1"/>
  <c r="G12398" i="1" a="1"/>
  <c r="G12526" i="1" a="1"/>
  <c r="G12654" i="1" a="1"/>
  <c r="G12782" i="1" a="1"/>
  <c r="G8545" i="1" a="1"/>
  <c r="G9045" i="1" a="1"/>
  <c r="G9328" i="1" a="1"/>
  <c r="G9499" i="1" a="1"/>
  <c r="G9716" i="1" a="1"/>
  <c r="G10082" i="1" a="1"/>
  <c r="G10499" i="1" a="1"/>
  <c r="G10626" i="1" a="1"/>
  <c r="G10711" i="1" a="1"/>
  <c r="G10797" i="1" a="1"/>
  <c r="G10882" i="1" a="1"/>
  <c r="G10986" i="1" a="1"/>
  <c r="G11114" i="1" a="1"/>
  <c r="G11242" i="1" a="1"/>
  <c r="G11370" i="1" a="1"/>
  <c r="G11498" i="1" a="1"/>
  <c r="G11626" i="1" a="1"/>
  <c r="G11754" i="1" a="1"/>
  <c r="G11882" i="1" a="1"/>
  <c r="G12010" i="1" a="1"/>
  <c r="G12138" i="1" a="1"/>
  <c r="G12266" i="1" a="1"/>
  <c r="G8527" i="1" a="1"/>
  <c r="G9018" i="1" a="1"/>
  <c r="G9726" i="1" a="1"/>
  <c r="G10055" i="1" a="1"/>
  <c r="G10274" i="1" a="1"/>
  <c r="G10405" i="1" a="1"/>
  <c r="G10583" i="1" a="1"/>
  <c r="G11060" i="1" a="1"/>
  <c r="G11188" i="1" a="1"/>
  <c r="G11316" i="1" a="1"/>
  <c r="G11444" i="1" a="1"/>
  <c r="G11572" i="1" a="1"/>
  <c r="G11700" i="1" a="1"/>
  <c r="G8564" i="1" a="1"/>
  <c r="G9047" i="1" a="1"/>
  <c r="G9319" i="1" a="1"/>
  <c r="G8935" i="1" a="1"/>
  <c r="G8423" i="1" a="1"/>
  <c r="G8938" i="1" a="1"/>
  <c r="G8701" i="1" a="1"/>
  <c r="G9137" i="1" a="1"/>
  <c r="G9831" i="1" a="1"/>
  <c r="G10160" i="1" a="1"/>
  <c r="G10326" i="1" a="1"/>
  <c r="G10478" i="1" a="1"/>
  <c r="G10980" i="1" a="1"/>
  <c r="G11108" i="1" a="1"/>
  <c r="G11236" i="1" a="1"/>
  <c r="G11364" i="1" a="1"/>
  <c r="G11492" i="1" a="1"/>
  <c r="G8866" i="1" a="1"/>
  <c r="G9419" i="1" a="1"/>
  <c r="G9922" i="1" a="1"/>
  <c r="G10554" i="1" a="1"/>
  <c r="G10741" i="1" a="1"/>
  <c r="G10911" i="1" a="1"/>
  <c r="G11153" i="1" a="1"/>
  <c r="G11409" i="1" a="1"/>
  <c r="G11614" i="1" a="1"/>
  <c r="G11849" i="1" a="1"/>
  <c r="G12008" i="1" a="1"/>
  <c r="G12185" i="1" a="1"/>
  <c r="G12361" i="1" a="1"/>
  <c r="G12507" i="1" a="1"/>
  <c r="G12643" i="1" a="1"/>
  <c r="G12800" i="1" a="1"/>
  <c r="G12943" i="1" a="1"/>
  <c r="G13071" i="1" a="1"/>
  <c r="G13199" i="1" a="1"/>
  <c r="G13327" i="1" a="1"/>
  <c r="G13455" i="1" a="1"/>
  <c r="G13583" i="1" a="1"/>
  <c r="G13711" i="1" a="1"/>
  <c r="G13839" i="1" a="1"/>
  <c r="G13967" i="1" a="1"/>
  <c r="G14095" i="1" a="1"/>
  <c r="G9442" i="1" a="1"/>
  <c r="G9978" i="1" a="1"/>
  <c r="G10603" i="1" a="1"/>
  <c r="G10774" i="1" a="1"/>
  <c r="G10944" i="1" a="1"/>
  <c r="G11200" i="1" a="1"/>
  <c r="G11456" i="1" a="1"/>
  <c r="G11680" i="1" a="1"/>
  <c r="G11844" i="1" a="1"/>
  <c r="G12021" i="1" a="1"/>
  <c r="G12191" i="1" a="1"/>
  <c r="G12356" i="1" a="1"/>
  <c r="G12487" i="1" a="1"/>
  <c r="G12649" i="1" a="1"/>
  <c r="G12795" i="1" a="1"/>
  <c r="G12925" i="1" a="1"/>
  <c r="G13053" i="1" a="1"/>
  <c r="G13181" i="1" a="1"/>
  <c r="G9511" i="1" a="1"/>
  <c r="G10092" i="1" a="1"/>
  <c r="G10627" i="1" a="1"/>
  <c r="G10798" i="1" a="1"/>
  <c r="G10992" i="1" a="1"/>
  <c r="G11248" i="1" a="1"/>
  <c r="G11504" i="1" a="1"/>
  <c r="G11682" i="1" a="1"/>
  <c r="G11888" i="1" a="1"/>
  <c r="G12058" i="1" a="1"/>
  <c r="G12235" i="1" a="1"/>
  <c r="G12394" i="1" a="1"/>
  <c r="G12556" i="1" a="1"/>
  <c r="G9355" i="1" a="1"/>
  <c r="G10221" i="1" a="1"/>
  <c r="G10509" i="1" a="1"/>
  <c r="G9515" i="1" a="1"/>
  <c r="G10114" i="1" a="1"/>
  <c r="G10629" i="1" a="1"/>
  <c r="G9102" i="1" a="1"/>
  <c r="G9580" i="1" a="1"/>
  <c r="G10395" i="1" a="1"/>
  <c r="G10662" i="1" a="1"/>
  <c r="G9366" i="1" a="1"/>
  <c r="G9772" i="1" a="1"/>
  <c r="G10514" i="1" a="1"/>
  <c r="G10718" i="1" a="1"/>
  <c r="G9848" i="1" a="1"/>
  <c r="G10341" i="1" a="1"/>
  <c r="G11006" i="1" a="1"/>
  <c r="G11262" i="1" a="1"/>
  <c r="G11518" i="1" a="1"/>
  <c r="G11744" i="1" a="1"/>
  <c r="G11910" i="1" a="1"/>
  <c r="G12086" i="1" a="1"/>
  <c r="G12263" i="1" a="1"/>
  <c r="G12418" i="1" a="1"/>
  <c r="G12580" i="1" a="1"/>
  <c r="G12726" i="1" a="1"/>
  <c r="G12862" i="1" a="1"/>
  <c r="G11203" i="1" a="1"/>
  <c r="G11618" i="1" a="1"/>
  <c r="G12011" i="1" a="1"/>
  <c r="G12328" i="1" a="1"/>
  <c r="G12573" i="1" a="1"/>
  <c r="G12833" i="1" a="1"/>
  <c r="G13008" i="1" a="1"/>
  <c r="G13184" i="1" a="1"/>
  <c r="G13309" i="1" a="1"/>
  <c r="G13471" i="1" a="1"/>
  <c r="G13607" i="1" a="1"/>
  <c r="G13748" i="1" a="1"/>
  <c r="G13894" i="1" a="1"/>
  <c r="G14051" i="1" a="1"/>
  <c r="G14182" i="1" a="1"/>
  <c r="G14219" i="1" a="1"/>
  <c r="G14357" i="1" a="1"/>
  <c r="G14485" i="1" a="1"/>
  <c r="G14613" i="1" a="1"/>
  <c r="G14725" i="1" a="1"/>
  <c r="G14853" i="1" a="1"/>
  <c r="G10929" i="1" a="1"/>
  <c r="G11442" i="1" a="1"/>
  <c r="G11902" i="1" a="1"/>
  <c r="G12244" i="1" a="1"/>
  <c r="G12542" i="1" a="1"/>
  <c r="G12817" i="1" a="1"/>
  <c r="G13027" i="1" a="1"/>
  <c r="G13197" i="1" a="1"/>
  <c r="G13367" i="1" a="1"/>
  <c r="G13513" i="1" a="1"/>
  <c r="G13649" i="1" a="1"/>
  <c r="G13790" i="1" a="1"/>
  <c r="G13952" i="1" a="1"/>
  <c r="G14109" i="1" a="1"/>
  <c r="G14321" i="1" a="1"/>
  <c r="G14449" i="1" a="1"/>
  <c r="G14577" i="1" a="1"/>
  <c r="G14721" i="1" a="1"/>
  <c r="G14849" i="1" a="1"/>
  <c r="G10910" i="1" a="1"/>
  <c r="G11408" i="1" a="1"/>
  <c r="G11817" i="1" a="1"/>
  <c r="G12171" i="1" a="1"/>
  <c r="G12459" i="1" a="1"/>
  <c r="G12725" i="1" a="1"/>
  <c r="G12954" i="1" a="1"/>
  <c r="G13113" i="1" a="1"/>
  <c r="G13284" i="1" a="1"/>
  <c r="G13420" i="1" a="1"/>
  <c r="G13561" i="1" a="1"/>
  <c r="G13723" i="1" a="1"/>
  <c r="G13864" i="1" a="1"/>
  <c r="G14000" i="1" a="1"/>
  <c r="G14146" i="1" a="1"/>
  <c r="G11084" i="1" a="1"/>
  <c r="G11579" i="1" a="1"/>
  <c r="G11967" i="1" a="1"/>
  <c r="G12309" i="1" a="1"/>
  <c r="G12640" i="1" a="1"/>
  <c r="G12875" i="1" a="1"/>
  <c r="G10810" i="1" a="1"/>
  <c r="G11267" i="1" a="1"/>
  <c r="G11742" i="1" a="1"/>
  <c r="G12114" i="1" a="1"/>
  <c r="G12442" i="1" a="1"/>
  <c r="G12752" i="1" a="1"/>
  <c r="G12944" i="1" a="1"/>
  <c r="G13120" i="1" a="1"/>
  <c r="G11049" i="1" a="1"/>
  <c r="G11523" i="1" a="1"/>
  <c r="G11871" i="1" a="1"/>
  <c r="G12213" i="1" a="1"/>
  <c r="G12589" i="1" a="1"/>
  <c r="G12820" i="1" a="1"/>
  <c r="G12987" i="1" a="1"/>
  <c r="G13164" i="1" a="1"/>
  <c r="G11179" i="1" a="1"/>
  <c r="G11627" i="1" a="1"/>
  <c r="G12018" i="1" a="1"/>
  <c r="G12347" i="1" a="1"/>
  <c r="G12642" i="1" a="1"/>
  <c r="G12864" i="1" a="1"/>
  <c r="G13031" i="1" a="1"/>
  <c r="G10965" i="1" a="1"/>
  <c r="G11477" i="1" a="1"/>
  <c r="G11839" i="1" a="1"/>
  <c r="G12181" i="1" a="1"/>
  <c r="G12478" i="1" a="1"/>
  <c r="G12739" i="1" a="1"/>
  <c r="G12958" i="1" a="1"/>
  <c r="G13123" i="1" a="1"/>
  <c r="G13303" i="1" a="1"/>
  <c r="G13449" i="1" a="1"/>
  <c r="G13585" i="1" a="1"/>
  <c r="G13726" i="1" a="1"/>
  <c r="G13888" i="1" a="1"/>
  <c r="G14029" i="1" a="1"/>
  <c r="G14172" i="1" a="1"/>
  <c r="G14268" i="1" a="1"/>
  <c r="G14332" i="1" a="1"/>
  <c r="G14396" i="1" a="1"/>
  <c r="G14460" i="1" a="1"/>
  <c r="G14524" i="1" a="1"/>
  <c r="G14588" i="1" a="1"/>
  <c r="G13206" i="1" a="1"/>
  <c r="G13500" i="1" a="1"/>
  <c r="G13782" i="1" a="1"/>
  <c r="G14075" i="1" a="1"/>
  <c r="G14287" i="1" a="1"/>
  <c r="G14415" i="1" a="1"/>
  <c r="G14543" i="1" a="1"/>
  <c r="G14674" i="1" a="1"/>
  <c r="G14852" i="1" a="1"/>
  <c r="G13804" i="1" a="1"/>
  <c r="G14107" i="1" a="1"/>
  <c r="G14726" i="1" a="1"/>
  <c r="G14911" i="1" a="1"/>
  <c r="G14796" i="1" a="1"/>
  <c r="G14048" i="1" a="1"/>
  <c r="G14189" i="1" a="1"/>
  <c r="G14708" i="1" a="1"/>
  <c r="G14165" i="1" a="1"/>
  <c r="G14780" i="1" a="1"/>
  <c r="G13407" i="1" a="1"/>
  <c r="G13929" i="1" a="1"/>
  <c r="G13787" i="1" a="1"/>
  <c r="G13798" i="1" a="1"/>
  <c r="G14531" i="1" a="1"/>
  <c r="G14774" i="1" a="1"/>
  <c r="G14566" i="1" a="1"/>
  <c r="G13243" i="1" a="1"/>
  <c r="G13567" i="1" a="1"/>
  <c r="G13828" i="1" a="1"/>
  <c r="G14131" i="1" a="1"/>
  <c r="G14322" i="1" a="1"/>
  <c r="G14450" i="1" a="1"/>
  <c r="G14634" i="1" a="1"/>
  <c r="G13672" i="1" a="1"/>
  <c r="G14919" i="1" a="1"/>
  <c r="G14579" i="1" a="1"/>
  <c r="G14838" i="1" a="1"/>
  <c r="G14614" i="1" a="1"/>
  <c r="G13255" i="1" a="1"/>
  <c r="G13579" i="1" a="1"/>
  <c r="G13297" i="1" a="1"/>
  <c r="G13611" i="1" a="1"/>
  <c r="G13872" i="1" a="1"/>
  <c r="G13363" i="1" a="1"/>
  <c r="G13645" i="1" a="1"/>
  <c r="G13948" i="1" a="1"/>
  <c r="G13238" i="1" a="1"/>
  <c r="G13531" i="1" a="1"/>
  <c r="G13855" i="1" a="1"/>
  <c r="G14116" i="1" a="1"/>
  <c r="G14743" i="1" a="1"/>
  <c r="G14928" i="1" a="1"/>
  <c r="G14663" i="1" a="1"/>
  <c r="G14323" i="1" a="1"/>
  <c r="G13882" i="1" a="1"/>
  <c r="G14374" i="1" a="1"/>
  <c r="F11" i="1" a="1"/>
  <c r="F75" i="1" a="1"/>
  <c r="F12" i="1" a="1"/>
  <c r="F97" i="1" a="1"/>
  <c r="F211" i="1" a="1"/>
  <c r="F339" i="1" a="1"/>
  <c r="F181" i="1" a="1"/>
  <c r="F322" i="1" a="1"/>
  <c r="F457" i="1" a="1"/>
  <c r="F18" i="1" a="1"/>
  <c r="F240" i="1" a="1"/>
  <c r="F362" i="1" a="1"/>
  <c r="F517" i="1" a="1"/>
  <c r="F645" i="1" a="1"/>
  <c r="F252" i="1" a="1"/>
  <c r="F394" i="1" a="1"/>
  <c r="F527" i="1" a="1"/>
  <c r="F151" i="1" a="1"/>
  <c r="F313" i="1" a="1"/>
  <c r="F486" i="1" a="1"/>
  <c r="F52" i="1" a="1"/>
  <c r="F133" i="1" a="1"/>
  <c r="F173" i="1" a="1"/>
  <c r="F382" i="1" a="1"/>
  <c r="F521" i="1" a="1"/>
  <c r="F386" i="1" a="1"/>
  <c r="F611" i="1" a="1"/>
  <c r="F262" i="1" a="1"/>
  <c r="F551" i="1" a="1"/>
  <c r="F719" i="1" a="1"/>
  <c r="F856" i="1" a="1"/>
  <c r="F473" i="1" a="1"/>
  <c r="F30" i="1" a="1"/>
  <c r="F422" i="1" a="1"/>
  <c r="F655" i="1" a="1"/>
  <c r="F454" i="1" a="1"/>
  <c r="F629" i="1" a="1"/>
  <c r="F406" i="1" a="1"/>
  <c r="F631" i="1" a="1"/>
  <c r="F711" i="1" a="1"/>
  <c r="F862" i="1" a="1"/>
  <c r="F990" i="1" a="1"/>
  <c r="F1118" i="1" a="1"/>
  <c r="F1225" i="1" a="1"/>
  <c r="F1289" i="1" a="1"/>
  <c r="F1353" i="1" a="1"/>
  <c r="F1417" i="1" a="1"/>
  <c r="F1481" i="1" a="1"/>
  <c r="F1545" i="1" a="1"/>
  <c r="F1609" i="1" a="1"/>
  <c r="F630" i="1" a="1"/>
  <c r="F805" i="1" a="1"/>
  <c r="F954" i="1" a="1"/>
  <c r="F232" i="1" a="1"/>
  <c r="F738" i="1" a="1"/>
  <c r="F886" i="1" a="1"/>
  <c r="F1014" i="1" a="1"/>
  <c r="F496" i="1" a="1"/>
  <c r="F770" i="1" a="1"/>
  <c r="F708" i="1" a="1"/>
  <c r="F196" i="1" a="1"/>
  <c r="F740" i="1" a="1"/>
  <c r="F392" i="1" a="1"/>
  <c r="F798" i="1" a="1"/>
  <c r="F684" i="1" a="1"/>
  <c r="F825" i="1" a="1"/>
  <c r="F971" i="1" a="1"/>
  <c r="F1099" i="1" a="1"/>
  <c r="F1066" i="1" a="1"/>
  <c r="F1207" i="1" a="1"/>
  <c r="F1376" i="1" a="1"/>
  <c r="F1550" i="1" a="1"/>
  <c r="F1669" i="1" a="1"/>
  <c r="F1733" i="1" a="1"/>
  <c r="F1797" i="1" a="1"/>
  <c r="F1861" i="1" a="1"/>
  <c r="F1925" i="1" a="1"/>
  <c r="F1989" i="1" a="1"/>
  <c r="F2053" i="1" a="1"/>
  <c r="F2117" i="1" a="1"/>
  <c r="F984" i="1" a="1"/>
  <c r="F1176" i="1" a="1"/>
  <c r="F1354" i="1" a="1"/>
  <c r="F1523" i="1" a="1"/>
  <c r="F923" i="1" a="1"/>
  <c r="F1146" i="1" a="1"/>
  <c r="F1304" i="1" a="1"/>
  <c r="F1478" i="1" a="1"/>
  <c r="F1642" i="1" a="1"/>
  <c r="F1706" i="1" a="1"/>
  <c r="F887" i="1" a="1"/>
  <c r="F924" i="1" a="1"/>
  <c r="F925" i="1" a="1"/>
  <c r="F937" i="1" a="1"/>
  <c r="F965" i="1" a="1"/>
  <c r="F1154" i="1" a="1"/>
  <c r="F1316" i="1" a="1"/>
  <c r="F1490" i="1" a="1"/>
  <c r="F1105" i="1" a="1"/>
  <c r="F1419" i="1" a="1"/>
  <c r="F1815" i="1" a="1"/>
  <c r="F1302" i="1" a="1"/>
  <c r="F1683" i="1" a="1"/>
  <c r="F1891" i="1" a="1"/>
  <c r="F2060" i="1" a="1"/>
  <c r="F1283" i="1" a="1"/>
  <c r="F1116" i="1" a="1"/>
  <c r="F1503" i="1" a="1"/>
  <c r="F1787" i="1" a="1"/>
  <c r="F1956" i="1" a="1"/>
  <c r="F2130" i="1" a="1"/>
  <c r="F1411" i="1" a="1"/>
  <c r="F1287" i="1" a="1"/>
  <c r="F1548" i="1" a="1"/>
  <c r="F1867" i="1" a="1"/>
  <c r="F2064" i="1" a="1"/>
  <c r="F2202" i="1" a="1"/>
  <c r="F2288" i="1" a="1"/>
  <c r="F2383" i="1" a="1"/>
  <c r="F2511" i="1" a="1"/>
  <c r="F2638" i="1" a="1"/>
  <c r="F2702" i="1" a="1"/>
  <c r="F2766" i="1" a="1"/>
  <c r="F2830" i="1" a="1"/>
  <c r="F2894" i="1" a="1"/>
  <c r="F2958" i="1" a="1"/>
  <c r="F3022" i="1" a="1"/>
  <c r="F3086" i="1" a="1"/>
  <c r="F3150" i="1" a="1"/>
  <c r="F1147" i="1" a="1"/>
  <c r="F1806" i="1" a="1"/>
  <c r="F2090" i="1" a="1"/>
  <c r="F2315" i="1" a="1"/>
  <c r="F2461" i="1" a="1"/>
  <c r="F2589" i="1" a="1"/>
  <c r="F1672" i="1" a="1"/>
  <c r="F1920" i="1" a="1"/>
  <c r="F2145" i="1" a="1"/>
  <c r="F2230" i="1" a="1"/>
  <c r="F2316" i="1" a="1"/>
  <c r="F2434" i="1" a="1"/>
  <c r="F2562" i="1" a="1"/>
  <c r="F2659" i="1" a="1"/>
  <c r="F1158" i="1" a="1"/>
  <c r="F1826" i="1" a="1"/>
  <c r="F2067" i="1" a="1"/>
  <c r="F1370" i="1" a="1"/>
  <c r="F1819" i="1" a="1"/>
  <c r="F2062" i="1" a="1"/>
  <c r="F2194" i="1" a="1"/>
  <c r="F1656" i="1" a="1"/>
  <c r="F1954" i="1" a="1"/>
  <c r="F2191" i="1" a="1"/>
  <c r="F2396" i="1" a="1"/>
  <c r="F2524" i="1" a="1"/>
  <c r="F1622" i="1" a="1"/>
  <c r="F2323" i="1" a="1"/>
  <c r="F2582" i="1" a="1"/>
  <c r="F2824" i="1" a="1"/>
  <c r="F2909" i="1" a="1"/>
  <c r="F1872" i="1" a="1"/>
  <c r="F2324" i="1" a="1"/>
  <c r="F2583" i="1" a="1"/>
  <c r="F2744" i="1" a="1"/>
  <c r="F3053" i="1" a="1"/>
  <c r="F1739" i="1" a="1"/>
  <c r="G5095" i="1" a="1"/>
  <c r="G4475" i="1" a="1"/>
  <c r="G6629" i="1" a="1"/>
  <c r="G7642" i="1" a="1"/>
  <c r="G6496" i="1" a="1"/>
  <c r="G7574" i="1" a="1"/>
  <c r="G4699" i="1" a="1"/>
  <c r="G6315" i="1" a="1"/>
  <c r="G7362" i="1" a="1"/>
  <c r="G7640" i="1" a="1"/>
  <c r="G8808" i="1" a="1"/>
  <c r="G9545" i="1" a="1"/>
  <c r="G10057" i="1" a="1"/>
  <c r="G7277" i="1" a="1"/>
  <c r="G8681" i="1" a="1"/>
  <c r="G7049" i="1" a="1"/>
  <c r="G8535" i="1" a="1"/>
  <c r="G5538" i="1" a="1"/>
  <c r="G6312" i="1" a="1"/>
  <c r="G7365" i="1" a="1"/>
  <c r="G8707" i="1" a="1"/>
  <c r="G8993" i="1" a="1"/>
  <c r="G10020" i="1" a="1"/>
  <c r="G9116" i="1" a="1"/>
  <c r="G10440" i="1" a="1"/>
  <c r="G7026" i="1" a="1"/>
  <c r="G9316" i="1" a="1"/>
  <c r="G7465" i="1" a="1"/>
  <c r="G7750" i="1" a="1"/>
  <c r="G7913" i="1" a="1"/>
  <c r="G10024" i="1" a="1"/>
  <c r="G10249" i="1" a="1"/>
  <c r="G10999" i="1" a="1"/>
  <c r="G11127" i="1" a="1"/>
  <c r="G11255" i="1" a="1"/>
  <c r="G11383" i="1" a="1"/>
  <c r="G11511" i="1" a="1"/>
  <c r="G11639" i="1" a="1"/>
  <c r="G11767" i="1" a="1"/>
  <c r="G11895" i="1" a="1"/>
  <c r="G12023" i="1" a="1"/>
  <c r="G12151" i="1" a="1"/>
  <c r="G12279" i="1" a="1"/>
  <c r="G12407" i="1" a="1"/>
  <c r="G12535" i="1" a="1"/>
  <c r="G12663" i="1" a="1"/>
  <c r="G12791" i="1" a="1"/>
  <c r="G8563" i="1" a="1"/>
  <c r="G9070" i="1" a="1"/>
  <c r="G9339" i="1" a="1"/>
  <c r="G9510" i="1" a="1"/>
  <c r="G9762" i="1" a="1"/>
  <c r="G10091" i="1" a="1"/>
  <c r="G10506" i="1" a="1"/>
  <c r="G10631" i="1" a="1"/>
  <c r="G10717" i="1" a="1"/>
  <c r="G10802" i="1" a="1"/>
  <c r="G10887" i="1" a="1"/>
  <c r="G10995" i="1" a="1"/>
  <c r="G11123" i="1" a="1"/>
  <c r="G11251" i="1" a="1"/>
  <c r="G11379" i="1" a="1"/>
  <c r="G11507" i="1" a="1"/>
  <c r="G11635" i="1" a="1"/>
  <c r="G11763" i="1" a="1"/>
  <c r="G11891" i="1" a="1"/>
  <c r="G12019" i="1" a="1"/>
  <c r="G12147" i="1" a="1"/>
  <c r="G12275" i="1" a="1"/>
  <c r="G8582" i="1" a="1"/>
  <c r="G9034" i="1" a="1"/>
  <c r="G9735" i="1" a="1"/>
  <c r="G10064" i="1" a="1"/>
  <c r="G10282" i="1" a="1"/>
  <c r="G10423" i="1" a="1"/>
  <c r="G10941" i="1" a="1"/>
  <c r="G11069" i="1" a="1"/>
  <c r="G11197" i="1" a="1"/>
  <c r="G11325" i="1" a="1"/>
  <c r="G11453" i="1" a="1"/>
  <c r="G11581" i="1" a="1"/>
  <c r="G11709" i="1" a="1"/>
  <c r="G8601" i="1" a="1"/>
  <c r="G9071" i="1" a="1"/>
  <c r="G8478" i="1" a="1"/>
  <c r="G8966" i="1" a="1"/>
  <c r="G8444" i="1" a="1"/>
  <c r="G8952" i="1" a="1"/>
  <c r="G8719" i="1" a="1"/>
  <c r="G9162" i="1" a="1"/>
  <c r="G9840" i="1" a="1"/>
  <c r="G10206" i="1" a="1"/>
  <c r="G10334" i="1" a="1"/>
  <c r="G10485" i="1" a="1"/>
  <c r="G10989" i="1" a="1"/>
  <c r="G11117" i="1" a="1"/>
  <c r="G11245" i="1" a="1"/>
  <c r="G11373" i="1" a="1"/>
  <c r="G11501" i="1" a="1"/>
  <c r="G8884" i="1" a="1"/>
  <c r="G9440" i="1" a="1"/>
  <c r="G9940" i="1" a="1"/>
  <c r="G10579" i="1" a="1"/>
  <c r="G10751" i="1" a="1"/>
  <c r="G10922" i="1" a="1"/>
  <c r="G11162" i="1" a="1"/>
  <c r="G11418" i="1" a="1"/>
  <c r="G11657" i="1" a="1"/>
  <c r="G11856" i="1" a="1"/>
  <c r="G12026" i="1" a="1"/>
  <c r="G12203" i="1" a="1"/>
  <c r="G12372" i="1" a="1"/>
  <c r="G12513" i="1" a="1"/>
  <c r="G12659" i="1" a="1"/>
  <c r="G12816" i="1" a="1"/>
  <c r="G12952" i="1" a="1"/>
  <c r="G13080" i="1" a="1"/>
  <c r="G13208" i="1" a="1"/>
  <c r="G13336" i="1" a="1"/>
  <c r="G13464" i="1" a="1"/>
  <c r="G13592" i="1" a="1"/>
  <c r="G13720" i="1" a="1"/>
  <c r="G13848" i="1" a="1"/>
  <c r="G13976" i="1" a="1"/>
  <c r="G14104" i="1" a="1"/>
  <c r="G9463" i="1" a="1"/>
  <c r="G9996" i="1" a="1"/>
  <c r="G10614" i="1" a="1"/>
  <c r="G10785" i="1" a="1"/>
  <c r="G10953" i="1" a="1"/>
  <c r="G11209" i="1" a="1"/>
  <c r="G11465" i="1" a="1"/>
  <c r="G11688" i="1" a="1"/>
  <c r="G11862" i="1" a="1"/>
  <c r="G12039" i="1" a="1"/>
  <c r="G12198" i="1" a="1"/>
  <c r="G12362" i="1" a="1"/>
  <c r="G12524" i="1" a="1"/>
  <c r="G12660" i="1" a="1"/>
  <c r="G12801" i="1" a="1"/>
  <c r="G12934" i="1" a="1"/>
  <c r="G13062" i="1" a="1"/>
  <c r="G13190" i="1" a="1"/>
  <c r="G9532" i="1" a="1"/>
  <c r="G10147" i="1" a="1"/>
  <c r="G10638" i="1" a="1"/>
  <c r="G10809" i="1" a="1"/>
  <c r="G11001" i="1" a="1"/>
  <c r="G11257" i="1" a="1"/>
  <c r="G11513" i="1" a="1"/>
  <c r="G11725" i="1" a="1"/>
  <c r="G11899" i="1" a="1"/>
  <c r="G12064" i="1" a="1"/>
  <c r="G12241" i="1" a="1"/>
  <c r="G12399" i="1" a="1"/>
  <c r="G12561" i="1" a="1"/>
  <c r="G9383" i="1" a="1"/>
  <c r="G10237" i="1" a="1"/>
  <c r="G10534" i="1" a="1"/>
  <c r="G9536" i="1" a="1"/>
  <c r="G10132" i="1" a="1"/>
  <c r="G10639" i="1" a="1"/>
  <c r="G9150" i="1" a="1"/>
  <c r="G9602" i="1" a="1"/>
  <c r="G10409" i="1" a="1"/>
  <c r="G10673" i="1" a="1"/>
  <c r="G9394" i="1" a="1"/>
  <c r="G9827" i="1" a="1"/>
  <c r="G10539" i="1" a="1"/>
  <c r="G10729" i="1" a="1"/>
  <c r="G9903" i="1" a="1"/>
  <c r="G10357" i="1" a="1"/>
  <c r="G11015" i="1" a="1"/>
  <c r="G11271" i="1" a="1"/>
  <c r="G11561" i="1" a="1"/>
  <c r="G11752" i="1" a="1"/>
  <c r="G11916" i="1" a="1"/>
  <c r="G12093" i="1" a="1"/>
  <c r="G12269" i="1" a="1"/>
  <c r="G12423" i="1" a="1"/>
  <c r="G12585" i="1" a="1"/>
  <c r="G12731" i="1" a="1"/>
  <c r="G10799" i="1" a="1"/>
  <c r="G11240" i="1" a="1"/>
  <c r="G11661" i="1" a="1"/>
  <c r="G12035" i="1" a="1"/>
  <c r="G12352" i="1" a="1"/>
  <c r="G12583" i="1" a="1"/>
  <c r="G12840" i="1" a="1"/>
  <c r="G13026" i="1" a="1"/>
  <c r="G13191" i="1" a="1"/>
  <c r="G13314" i="1" a="1"/>
  <c r="G13476" i="1" a="1"/>
  <c r="G13612" i="1" a="1"/>
  <c r="G13753" i="1" a="1"/>
  <c r="G13915" i="1" a="1"/>
  <c r="G14056" i="1" a="1"/>
  <c r="G14191" i="1" a="1"/>
  <c r="G14228" i="1" a="1"/>
  <c r="G14365" i="1" a="1"/>
  <c r="G14493" i="1" a="1"/>
  <c r="G14621" i="1" a="1"/>
  <c r="G14733" i="1" a="1"/>
  <c r="G14861" i="1" a="1"/>
  <c r="G10985" i="1" a="1"/>
  <c r="G11497" i="1" a="1"/>
  <c r="G11926" i="1" a="1"/>
  <c r="G12255" i="1" a="1"/>
  <c r="G12563" i="1" a="1"/>
  <c r="G12866" i="1" a="1"/>
  <c r="G13038" i="1" a="1"/>
  <c r="G13203" i="1" a="1"/>
  <c r="G13372" i="1" a="1"/>
  <c r="G13518" i="1" a="1"/>
  <c r="G13654" i="1" a="1"/>
  <c r="G13811" i="1" a="1"/>
  <c r="G13957" i="1" a="1"/>
  <c r="G14140" i="1" a="1"/>
  <c r="G14329" i="1" a="1"/>
  <c r="G14457" i="1" a="1"/>
  <c r="G14585" i="1" a="1"/>
  <c r="G14729" i="1" a="1"/>
  <c r="G14857" i="1" a="1"/>
  <c r="G10931" i="1" a="1"/>
  <c r="G11426" i="1" a="1"/>
  <c r="G11842" i="1" a="1"/>
  <c r="G12195" i="1" a="1"/>
  <c r="G12480" i="1" a="1"/>
  <c r="G12734" i="1" a="1"/>
  <c r="G12960" i="1" a="1"/>
  <c r="G13119" i="1" a="1"/>
  <c r="G13289" i="1" a="1"/>
  <c r="G13425" i="1" a="1"/>
  <c r="G13566" i="1" a="1"/>
  <c r="G13728" i="1" a="1"/>
  <c r="G13869" i="1" a="1"/>
  <c r="G14005" i="1" a="1"/>
  <c r="G14151" i="1" a="1"/>
  <c r="G11102" i="1" a="1"/>
  <c r="G11595" i="1" a="1"/>
  <c r="G11980" i="1" a="1"/>
  <c r="G12333" i="1" a="1"/>
  <c r="G12667" i="1" a="1"/>
  <c r="G12894" i="1" a="1"/>
  <c r="G10831" i="1" a="1"/>
  <c r="G11304" i="1" a="1"/>
  <c r="G11785" i="1" a="1"/>
  <c r="G12139" i="1" a="1"/>
  <c r="G12463" i="1" a="1"/>
  <c r="G12761" i="1" a="1"/>
  <c r="G12962" i="1" a="1"/>
  <c r="G13127" i="1" a="1"/>
  <c r="G11067" i="1" a="1"/>
  <c r="G11552" i="1" a="1"/>
  <c r="G11884" i="1" a="1"/>
  <c r="G12237" i="1" a="1"/>
  <c r="G12600" i="1" a="1"/>
  <c r="G12829" i="1" a="1"/>
  <c r="G13005" i="1" a="1"/>
  <c r="G13182" i="1" a="1"/>
  <c r="G11216" i="1" a="1"/>
  <c r="G11656" i="1" a="1"/>
  <c r="G12043" i="1" a="1"/>
  <c r="G12360" i="1" a="1"/>
  <c r="G12662" i="1" a="1"/>
  <c r="G12877" i="1" a="1"/>
  <c r="G13042" i="1" a="1"/>
  <c r="G10983" i="1" a="1"/>
  <c r="G11495" i="1" a="1"/>
  <c r="G11852" i="1" a="1"/>
  <c r="G12205" i="1" a="1"/>
  <c r="G12499" i="1" a="1"/>
  <c r="G12756" i="1" a="1"/>
  <c r="G12964" i="1" a="1"/>
  <c r="G13134" i="1" a="1"/>
  <c r="G13308" i="1" a="1"/>
  <c r="G13454" i="1" a="1"/>
  <c r="G13590" i="1" a="1"/>
  <c r="G13747" i="1" a="1"/>
  <c r="G13893" i="1" a="1"/>
  <c r="G14034" i="1" a="1"/>
  <c r="G14181" i="1" a="1"/>
  <c r="G14272" i="1" a="1"/>
  <c r="G14336" i="1" a="1"/>
  <c r="G14400" i="1" a="1"/>
  <c r="G14464" i="1" a="1"/>
  <c r="G14528" i="1" a="1"/>
  <c r="G14592" i="1" a="1"/>
  <c r="G13218" i="1" a="1"/>
  <c r="G13511" i="1" a="1"/>
  <c r="G13824" i="1" a="1"/>
  <c r="G14085" i="1" a="1"/>
  <c r="G14295" i="1" a="1"/>
  <c r="G14423" i="1" a="1"/>
  <c r="G14551" i="1" a="1"/>
  <c r="G14692" i="1" a="1"/>
  <c r="G14859" i="1" a="1"/>
  <c r="G13814" i="1" a="1"/>
  <c r="G14128" i="1" a="1"/>
  <c r="G14744" i="1" a="1"/>
  <c r="G14918" i="1" a="1"/>
  <c r="G14828" i="1" a="1"/>
  <c r="G14132" i="1" a="1"/>
  <c r="G14235" i="1" a="1"/>
  <c r="G14754" i="1" a="1"/>
  <c r="G14220" i="1" a="1"/>
  <c r="G14915" i="1" a="1"/>
  <c r="G13417" i="1" a="1"/>
  <c r="G14117" i="1" a="1"/>
  <c r="G13860" i="1" a="1"/>
  <c r="G13850" i="1" a="1"/>
  <c r="G14563" i="1" a="1"/>
  <c r="G14806" i="1" a="1"/>
  <c r="G14598" i="1" a="1"/>
  <c r="G13253" i="1" a="1"/>
  <c r="G13577" i="1" a="1"/>
  <c r="G13838" i="1" a="1"/>
  <c r="G14170" i="1" a="1"/>
  <c r="G14330" i="1" a="1"/>
  <c r="G14458" i="1" a="1"/>
  <c r="G14650" i="1" a="1"/>
  <c r="G13724" i="1" a="1"/>
  <c r="G13683" i="1" a="1"/>
  <c r="G14611" i="1" a="1"/>
  <c r="G14856" i="1" a="1"/>
  <c r="G14646" i="1" a="1"/>
  <c r="G13265" i="1" a="1"/>
  <c r="G13589" i="1" a="1"/>
  <c r="G13318" i="1" a="1"/>
  <c r="G13621" i="1" a="1"/>
  <c r="G13934" i="1" a="1"/>
  <c r="G13384" i="1" a="1"/>
  <c r="G13666" i="1" a="1"/>
  <c r="G13959" i="1" a="1"/>
  <c r="G13280" i="1" a="1"/>
  <c r="G13541" i="1" a="1"/>
  <c r="G13865" i="1" a="1"/>
  <c r="G14126" i="1" a="1"/>
  <c r="G14750" i="1" a="1"/>
  <c r="G14892" i="1" a="1"/>
  <c r="G14688" i="1" a="1"/>
  <c r="G14355" i="1" a="1"/>
  <c r="G14070" i="1" a="1"/>
  <c r="G14406" i="1" a="1"/>
  <c r="F15" i="1" a="1"/>
  <c r="F79" i="1" a="1"/>
  <c r="F17" i="1" a="1"/>
  <c r="F102" i="1" a="1"/>
  <c r="F216" i="1" a="1"/>
  <c r="F5" i="1" a="1"/>
  <c r="F186" i="1" a="1"/>
  <c r="F327" i="1" a="1"/>
  <c r="F466" i="1" a="1"/>
  <c r="F57" i="1" a="1"/>
  <c r="F251" i="1" a="1"/>
  <c r="F367" i="1" a="1"/>
  <c r="F526" i="1" a="1"/>
  <c r="F654" i="1" a="1"/>
  <c r="F258" i="1" a="1"/>
  <c r="F399" i="1" a="1"/>
  <c r="F536" i="1" a="1"/>
  <c r="F163" i="1" a="1"/>
  <c r="F342" i="1" a="1"/>
  <c r="F491" i="1" a="1"/>
  <c r="F84" i="1" a="1"/>
  <c r="F153" i="1" a="1"/>
  <c r="F185" i="1" a="1"/>
  <c r="F387" i="1" a="1"/>
  <c r="F530" i="1" a="1"/>
  <c r="F407" i="1" a="1"/>
  <c r="F616" i="1" a="1"/>
  <c r="F286" i="1" a="1"/>
  <c r="F557" i="1" a="1"/>
  <c r="F728" i="1" a="1"/>
  <c r="F29" i="1" a="1"/>
  <c r="F482" i="1" a="1"/>
  <c r="F128" i="1" a="1"/>
  <c r="F464" i="1" a="1"/>
  <c r="F660" i="1" a="1"/>
  <c r="F474" i="1" a="1"/>
  <c r="F634" i="1" a="1"/>
  <c r="F417" i="1" a="1"/>
  <c r="F647" i="1" a="1"/>
  <c r="F716" i="1" a="1"/>
  <c r="F871" i="1" a="1"/>
  <c r="F999" i="1" a="1"/>
  <c r="F1127" i="1" a="1"/>
  <c r="F1229" i="1" a="1"/>
  <c r="F1293" i="1" a="1"/>
  <c r="F1357" i="1" a="1"/>
  <c r="F1421" i="1" a="1"/>
  <c r="F1485" i="1" a="1"/>
  <c r="F1549" i="1" a="1"/>
  <c r="F1613" i="1" a="1"/>
  <c r="F675" i="1" a="1"/>
  <c r="F811" i="1" a="1"/>
  <c r="F963" i="1" a="1"/>
  <c r="F279" i="1" a="1"/>
  <c r="F759" i="1" a="1"/>
  <c r="F895" i="1" a="1"/>
  <c r="F1023" i="1" a="1"/>
  <c r="F592" i="1" a="1"/>
  <c r="F791" i="1" a="1"/>
  <c r="F713" i="1" a="1"/>
  <c r="F247" i="1" a="1"/>
  <c r="F745" i="1" a="1"/>
  <c r="F475" i="1" a="1"/>
  <c r="F819" i="1" a="1"/>
  <c r="F689" i="1" a="1"/>
  <c r="F830" i="1" a="1"/>
  <c r="F980" i="1" a="1"/>
  <c r="F812" i="1" a="1"/>
  <c r="F1082" i="1" a="1"/>
  <c r="F1216" i="1" a="1"/>
  <c r="F1390" i="1" a="1"/>
  <c r="F1559" i="1" a="1"/>
  <c r="F1673" i="1" a="1"/>
  <c r="F1737" i="1" a="1"/>
  <c r="F1801" i="1" a="1"/>
  <c r="F1865" i="1" a="1"/>
  <c r="F1929" i="1" a="1"/>
  <c r="F1993" i="1" a="1"/>
  <c r="F2057" i="1" a="1"/>
  <c r="F2121" i="1" a="1"/>
  <c r="F1021" i="1" a="1"/>
  <c r="F1187" i="1" a="1"/>
  <c r="F1363" i="1" a="1"/>
  <c r="F1532" i="1" a="1"/>
  <c r="F932" i="1" a="1"/>
  <c r="F1151" i="1" a="1"/>
  <c r="F1318" i="1" a="1"/>
  <c r="F1487" i="1" a="1"/>
  <c r="F1646" i="1" a="1"/>
  <c r="F1710" i="1" a="1"/>
  <c r="F896" i="1" a="1"/>
  <c r="F961" i="1" a="1"/>
  <c r="F934" i="1" a="1"/>
  <c r="F946" i="1" a="1"/>
  <c r="F974" i="1" a="1"/>
  <c r="F1165" i="1" a="1"/>
  <c r="F1330" i="1" a="1"/>
  <c r="F1499" i="1" a="1"/>
  <c r="F1115" i="1" a="1"/>
  <c r="F1428" i="1" a="1"/>
  <c r="F1846" i="1" a="1"/>
  <c r="F1314" i="1" a="1"/>
  <c r="F1700" i="1" a="1"/>
  <c r="F1900" i="1" a="1"/>
  <c r="F2074" i="1" a="1"/>
  <c r="F1324" i="1" a="1"/>
  <c r="F1152" i="1" a="1"/>
  <c r="F1515" i="1" a="1"/>
  <c r="F1802" i="1" a="1"/>
  <c r="F1970" i="1" a="1"/>
  <c r="F2139" i="1" a="1"/>
  <c r="F1452" i="1" a="1"/>
  <c r="F1111" i="1" a="1"/>
  <c r="F1570" i="1" a="1"/>
  <c r="F1874" i="1" a="1"/>
  <c r="F2071" i="1" a="1"/>
  <c r="F2208" i="1" a="1"/>
  <c r="F2293" i="1" a="1"/>
  <c r="F2392" i="1" a="1"/>
  <c r="F2520" i="1" a="1"/>
  <c r="F2642" i="1" a="1"/>
  <c r="F2706" i="1" a="1"/>
  <c r="F2770" i="1" a="1"/>
  <c r="F2834" i="1" a="1"/>
  <c r="F2898" i="1" a="1"/>
  <c r="F2962" i="1" a="1"/>
  <c r="F3026" i="1" a="1"/>
  <c r="F3090" i="1" a="1"/>
  <c r="F3154" i="1" a="1"/>
  <c r="F1194" i="1" a="1"/>
  <c r="F1824" i="1" a="1"/>
  <c r="F2102" i="1" a="1"/>
  <c r="F2331" i="1" a="1"/>
  <c r="F2470" i="1" a="1"/>
  <c r="F2598" i="1" a="1"/>
  <c r="F1687" i="1" a="1"/>
  <c r="F1926" i="1" a="1"/>
  <c r="F2150" i="1" a="1"/>
  <c r="F2236" i="1" a="1"/>
  <c r="F2321" i="1" a="1"/>
  <c r="F2439" i="1" a="1"/>
  <c r="F2567" i="1" a="1"/>
  <c r="F2663" i="1" a="1"/>
  <c r="F1247" i="1" a="1"/>
  <c r="F1842" i="1" a="1"/>
  <c r="F2079" i="1" a="1"/>
  <c r="F1392" i="1" a="1"/>
  <c r="F1827" i="1" a="1"/>
  <c r="F2080" i="1" a="1"/>
  <c r="F2200" i="1" a="1"/>
  <c r="F1668" i="1" a="1"/>
  <c r="F1960" i="1" a="1"/>
  <c r="F2207" i="1" a="1"/>
  <c r="F2405" i="1" a="1"/>
  <c r="F2533" i="1" a="1"/>
  <c r="F1679" i="1" a="1"/>
  <c r="F2363" i="1" a="1"/>
  <c r="F2619" i="1" a="1"/>
  <c r="F2829" i="1" a="1"/>
  <c r="F2915" i="1" a="1"/>
  <c r="F2094" i="1" a="1"/>
  <c r="F2334" i="1" a="1"/>
  <c r="F2592" i="1" a="1"/>
  <c r="F2751" i="1" a="1"/>
  <c r="F3067" i="1" a="1"/>
  <c r="F1782" i="1" a="1"/>
  <c r="F2403" i="1" a="1"/>
  <c r="G5241" i="1" a="1"/>
  <c r="G4531" i="1" a="1"/>
  <c r="G6635" i="1" a="1"/>
  <c r="G7651" i="1" a="1"/>
  <c r="G6503" i="1" a="1"/>
  <c r="G7583" i="1" a="1"/>
  <c r="G4723" i="1" a="1"/>
  <c r="G6333" i="1" a="1"/>
  <c r="G7371" i="1" a="1"/>
  <c r="G7649" i="1" a="1"/>
  <c r="G8813" i="1" a="1"/>
  <c r="G9549" i="1" a="1"/>
  <c r="G10061" i="1" a="1"/>
  <c r="G7314" i="1" a="1"/>
  <c r="G8690" i="1" a="1"/>
  <c r="G7086" i="1" a="1"/>
  <c r="G8544" i="1" a="1"/>
  <c r="G5574" i="1" a="1"/>
  <c r="G6337" i="1" a="1"/>
  <c r="G7402" i="1" a="1"/>
  <c r="G8716" i="1" a="1"/>
  <c r="G8999" i="1" a="1"/>
  <c r="G10034" i="1" a="1"/>
  <c r="G9122" i="1" a="1"/>
  <c r="G10444" i="1" a="1"/>
  <c r="G7044" i="1" a="1"/>
  <c r="G9322" i="1" a="1"/>
  <c r="G7502" i="1" a="1"/>
  <c r="G7764" i="1" a="1"/>
  <c r="G7926" i="1" a="1"/>
  <c r="G10038" i="1" a="1"/>
  <c r="G10257" i="1" a="1"/>
  <c r="G11004" i="1" a="1"/>
  <c r="G11132" i="1" a="1"/>
  <c r="G11260" i="1" a="1"/>
  <c r="G11388" i="1" a="1"/>
  <c r="G11516" i="1" a="1"/>
  <c r="G11644" i="1" a="1"/>
  <c r="G11772" i="1" a="1"/>
  <c r="G11900" i="1" a="1"/>
  <c r="G12028" i="1" a="1"/>
  <c r="G12156" i="1" a="1"/>
  <c r="G12284" i="1" a="1"/>
  <c r="G12412" i="1" a="1"/>
  <c r="G12540" i="1" a="1"/>
  <c r="G12668" i="1" a="1"/>
  <c r="G12796" i="1" a="1"/>
  <c r="G8618" i="1" a="1"/>
  <c r="G9094" i="1" a="1"/>
  <c r="G9350" i="1" a="1"/>
  <c r="G9520" i="1" a="1"/>
  <c r="G9771" i="1" a="1"/>
  <c r="G10100" i="1" a="1"/>
  <c r="G10513" i="1" a="1"/>
  <c r="G10637" i="1" a="1"/>
  <c r="G10722" i="1" a="1"/>
  <c r="G10807" i="1" a="1"/>
  <c r="G10893" i="1" a="1"/>
  <c r="G11000" i="1" a="1"/>
  <c r="G11128" i="1" a="1"/>
  <c r="G11256" i="1" a="1"/>
  <c r="G11384" i="1" a="1"/>
  <c r="G11512" i="1" a="1"/>
  <c r="G11640" i="1" a="1"/>
  <c r="G11768" i="1" a="1"/>
  <c r="G11896" i="1" a="1"/>
  <c r="G12024" i="1" a="1"/>
  <c r="G12152" i="1" a="1"/>
  <c r="G12280" i="1" a="1"/>
  <c r="G8600" i="1" a="1"/>
  <c r="G9058" i="1" a="1"/>
  <c r="G9744" i="1" a="1"/>
  <c r="G10110" i="1" a="1"/>
  <c r="G10290" i="1" a="1"/>
  <c r="G10430" i="1" a="1"/>
  <c r="G10950" i="1" a="1"/>
  <c r="G11078" i="1" a="1"/>
  <c r="G11206" i="1" a="1"/>
  <c r="G11334" i="1" a="1"/>
  <c r="G11462" i="1" a="1"/>
  <c r="G11590" i="1" a="1"/>
  <c r="G11718" i="1" a="1"/>
  <c r="G8619" i="1" a="1"/>
  <c r="G9095" i="1" a="1"/>
  <c r="G8496" i="1" a="1"/>
  <c r="G8980" i="1" a="1"/>
  <c r="G8481" i="1" a="1"/>
  <c r="G8981" i="1" a="1"/>
  <c r="G8774" i="1" a="1"/>
  <c r="G9186" i="1" a="1"/>
  <c r="G9886" i="1" a="1"/>
  <c r="G10214" i="1" a="1"/>
  <c r="G10342" i="1" a="1"/>
  <c r="G10503" i="1" a="1"/>
  <c r="G10998" i="1" a="1"/>
  <c r="G11126" i="1" a="1"/>
  <c r="G11254" i="1" a="1"/>
  <c r="G11382" i="1" a="1"/>
  <c r="G11510" i="1" a="1"/>
  <c r="G8921" i="1" a="1"/>
  <c r="G9462" i="1" a="1"/>
  <c r="G9995" i="1" a="1"/>
  <c r="G10591" i="1" a="1"/>
  <c r="G10762" i="1" a="1"/>
  <c r="G10933" i="1" a="1"/>
  <c r="G11171" i="1" a="1"/>
  <c r="G11427" i="1" a="1"/>
  <c r="G11665" i="1" a="1"/>
  <c r="G11867" i="1" a="1"/>
  <c r="G12032" i="1" a="1"/>
  <c r="G12209" i="1" a="1"/>
  <c r="G12377" i="1" a="1"/>
  <c r="G12518" i="1" a="1"/>
  <c r="G12680" i="1" a="1"/>
  <c r="G12821" i="1" a="1"/>
  <c r="G12961" i="1" a="1"/>
  <c r="G13089" i="1" a="1"/>
  <c r="G13217" i="1" a="1"/>
  <c r="G13345" i="1" a="1"/>
  <c r="G13473" i="1" a="1"/>
  <c r="G13601" i="1" a="1"/>
  <c r="G13729" i="1" a="1"/>
  <c r="G13857" i="1" a="1"/>
  <c r="G13985" i="1" a="1"/>
  <c r="G14113" i="1" a="1"/>
  <c r="G9484" i="1" a="1"/>
  <c r="G10051" i="1" a="1"/>
  <c r="G10625" i="1" a="1"/>
  <c r="G10795" i="1" a="1"/>
  <c r="G10962" i="1" a="1"/>
  <c r="G11218" i="1" a="1"/>
  <c r="G11474" i="1" a="1"/>
  <c r="G11696" i="1" a="1"/>
  <c r="G11869" i="1" a="1"/>
  <c r="G12045" i="1" a="1"/>
  <c r="G12204" i="1" a="1"/>
  <c r="G12367" i="1" a="1"/>
  <c r="G12529" i="1" a="1"/>
  <c r="G12665" i="1" a="1"/>
  <c r="G12806" i="1" a="1"/>
  <c r="G12939" i="1" a="1"/>
  <c r="G13067" i="1" a="1"/>
  <c r="G13195" i="1" a="1"/>
  <c r="G9554" i="1" a="1"/>
  <c r="G10202" i="1" a="1"/>
  <c r="G10649" i="1" a="1"/>
  <c r="G10819" i="1" a="1"/>
  <c r="G11010" i="1" a="1"/>
  <c r="G11266" i="1" a="1"/>
  <c r="G11520" i="1" a="1"/>
  <c r="G11733" i="1" a="1"/>
  <c r="G11906" i="1" a="1"/>
  <c r="G12082" i="1" a="1"/>
  <c r="G12259" i="1" a="1"/>
  <c r="G12420" i="1" a="1"/>
  <c r="G12566" i="1" a="1"/>
  <c r="G9638" i="1" a="1"/>
  <c r="G10253" i="1" a="1"/>
  <c r="G10559" i="1" a="1"/>
  <c r="G9558" i="1" a="1"/>
  <c r="G10187" i="1" a="1"/>
  <c r="G10650" i="1" a="1"/>
  <c r="G9199" i="1" a="1"/>
  <c r="G9658" i="1" a="1"/>
  <c r="G10434" i="1" a="1"/>
  <c r="G10683" i="1" a="1"/>
  <c r="G9415" i="1" a="1"/>
  <c r="G9882" i="1" a="1"/>
  <c r="G10553" i="1" a="1"/>
  <c r="G10739" i="1" a="1"/>
  <c r="G9958" i="1" a="1"/>
  <c r="G10373" i="1" a="1"/>
  <c r="G11052" i="1" a="1"/>
  <c r="G11308" i="1" a="1"/>
  <c r="G11569" i="1" a="1"/>
  <c r="G11760" i="1" a="1"/>
  <c r="G11934" i="1" a="1"/>
  <c r="G12111" i="1" a="1"/>
  <c r="G12276" i="1" a="1"/>
  <c r="G12460" i="1" a="1"/>
  <c r="G12596" i="1" a="1"/>
  <c r="G12737" i="1" a="1"/>
  <c r="G10821" i="1" a="1"/>
  <c r="G11258" i="1" a="1"/>
  <c r="G11675" i="1" a="1"/>
  <c r="G12048" i="1" a="1"/>
  <c r="G12364" i="1" a="1"/>
  <c r="G12625" i="1" a="1"/>
  <c r="G12849" i="1" a="1"/>
  <c r="G13032" i="1" a="1"/>
  <c r="G13202" i="1" a="1"/>
  <c r="G13335" i="1" a="1"/>
  <c r="G13481" i="1" a="1"/>
  <c r="G13617" i="1" a="1"/>
  <c r="G13758" i="1" a="1"/>
  <c r="G13920" i="1" a="1"/>
  <c r="G14061" i="1" a="1"/>
  <c r="G14200" i="1" a="1"/>
  <c r="G14237" i="1" a="1"/>
  <c r="G14373" i="1" a="1"/>
  <c r="G14501" i="1" a="1"/>
  <c r="G14629" i="1" a="1"/>
  <c r="G14741" i="1" a="1"/>
  <c r="G14869" i="1" a="1"/>
  <c r="G11003" i="1" a="1"/>
  <c r="G11515" i="1" a="1"/>
  <c r="G11951" i="1" a="1"/>
  <c r="G12268" i="1" a="1"/>
  <c r="G12584" i="1" a="1"/>
  <c r="G12886" i="1" a="1"/>
  <c r="G13045" i="1" a="1"/>
  <c r="G13247" i="1" a="1"/>
  <c r="G13383" i="1" a="1"/>
  <c r="G13524" i="1" a="1"/>
  <c r="G13670" i="1" a="1"/>
  <c r="G13827" i="1" a="1"/>
  <c r="G13963" i="1" a="1"/>
  <c r="G14164" i="1" a="1"/>
  <c r="G14337" i="1" a="1"/>
  <c r="G14465" i="1" a="1"/>
  <c r="G14593" i="1" a="1"/>
  <c r="G14737" i="1" a="1"/>
  <c r="G14865" i="1" a="1"/>
  <c r="G10969" i="1" a="1"/>
  <c r="G11481" i="1" a="1"/>
  <c r="G11866" i="1" a="1"/>
  <c r="G12208" i="1" a="1"/>
  <c r="G12501" i="1" a="1"/>
  <c r="G12760" i="1" a="1"/>
  <c r="G12967" i="1" a="1"/>
  <c r="G13137" i="1" a="1"/>
  <c r="G13294" i="1" a="1"/>
  <c r="G13430" i="1" a="1"/>
  <c r="G13587" i="1" a="1"/>
  <c r="G13733" i="1" a="1"/>
  <c r="G13874" i="1" a="1"/>
  <c r="G14010" i="1" a="1"/>
  <c r="G14160" i="1" a="1"/>
  <c r="G11157" i="1" a="1"/>
  <c r="G11624" i="1" a="1"/>
  <c r="G12004" i="1" a="1"/>
  <c r="G12358" i="1" a="1"/>
  <c r="G12684" i="1" a="1"/>
  <c r="G12900" i="1" a="1"/>
  <c r="G10853" i="1" a="1"/>
  <c r="G11322" i="1" a="1"/>
  <c r="G11810" i="1" a="1"/>
  <c r="G12163" i="1" a="1"/>
  <c r="G12484" i="1" a="1"/>
  <c r="G12770" i="1" a="1"/>
  <c r="G12968" i="1" a="1"/>
  <c r="G13138" i="1" a="1"/>
  <c r="G11104" i="1" a="1"/>
  <c r="G11568" i="1" a="1"/>
  <c r="G11908" i="1" a="1"/>
  <c r="G12262" i="1" a="1"/>
  <c r="G12610" i="1" a="1"/>
  <c r="G12838" i="1" a="1"/>
  <c r="G13011" i="1" a="1"/>
  <c r="G13188" i="1" a="1"/>
  <c r="G11234" i="1" a="1"/>
  <c r="G11670" i="1" a="1"/>
  <c r="G12067" i="1" a="1"/>
  <c r="G12370" i="1" a="1"/>
  <c r="G12671" i="1" a="1"/>
  <c r="G12890" i="1" a="1"/>
  <c r="G13049" i="1" a="1"/>
  <c r="G11020" i="1" a="1"/>
  <c r="G11573" i="1" a="1"/>
  <c r="G11876" i="1" a="1"/>
  <c r="G12230" i="1" a="1"/>
  <c r="G12520" i="1" a="1"/>
  <c r="G12765" i="1" a="1"/>
  <c r="G12982" i="1" a="1"/>
  <c r="G13141" i="1" a="1"/>
  <c r="G13319" i="1" a="1"/>
  <c r="G13460" i="1" a="1"/>
  <c r="G13606" i="1" a="1"/>
  <c r="G13763" i="1" a="1"/>
  <c r="G13899" i="1" a="1"/>
  <c r="G14045" i="1" a="1"/>
  <c r="G14186" i="1" a="1"/>
  <c r="G14276" i="1" a="1"/>
  <c r="G14340" i="1" a="1"/>
  <c r="G14404" i="1" a="1"/>
  <c r="G14468" i="1" a="1"/>
  <c r="G14532" i="1" a="1"/>
  <c r="G14596" i="1" a="1"/>
  <c r="G13239" i="1" a="1"/>
  <c r="G13521" i="1" a="1"/>
  <c r="G13835" i="1" a="1"/>
  <c r="G14096" i="1" a="1"/>
  <c r="G14303" i="1" a="1"/>
  <c r="G14431" i="1" a="1"/>
  <c r="G14559" i="1" a="1"/>
  <c r="G14699" i="1" a="1"/>
  <c r="G14866" i="1" a="1"/>
  <c r="G13856" i="1" a="1"/>
  <c r="G14138" i="1" a="1"/>
  <c r="G14751" i="1" a="1"/>
  <c r="G14474" i="1" a="1"/>
  <c r="G14860" i="1" a="1"/>
  <c r="G14207" i="1" a="1"/>
  <c r="G14267" i="1" a="1"/>
  <c r="G14772" i="1" a="1"/>
  <c r="G14246" i="1" a="1"/>
  <c r="G12918" i="1" a="1"/>
  <c r="G13428" i="1" a="1"/>
  <c r="G14776" i="1" a="1"/>
  <c r="G13954" i="1" a="1"/>
  <c r="G13902" i="1" a="1"/>
  <c r="G14595" i="1" a="1"/>
  <c r="G14831" i="1" a="1"/>
  <c r="G14630" i="1" a="1"/>
  <c r="G13264" i="1" a="1"/>
  <c r="G13588" i="1" a="1"/>
  <c r="G13849" i="1" a="1"/>
  <c r="G14179" i="1" a="1"/>
  <c r="G14338" i="1" a="1"/>
  <c r="G14466" i="1" a="1"/>
  <c r="G14675" i="1" a="1"/>
  <c r="G13766" i="1" a="1"/>
  <c r="G13819" i="1" a="1"/>
  <c r="G14643" i="1" a="1"/>
  <c r="G14934" i="1" a="1"/>
  <c r="G14691" i="1" a="1"/>
  <c r="G13286" i="1" a="1"/>
  <c r="G13631" i="1" a="1"/>
  <c r="G13339" i="1" a="1"/>
  <c r="G13663" i="1" a="1"/>
  <c r="G13945" i="1" a="1"/>
  <c r="G13394" i="1" a="1"/>
  <c r="G13687" i="1" a="1"/>
  <c r="G13969" i="1" a="1"/>
  <c r="G13291" i="1" a="1"/>
  <c r="G13552" i="1" a="1"/>
  <c r="G13876" i="1" a="1"/>
  <c r="G14137" i="1" a="1"/>
  <c r="G14768" i="1" a="1"/>
  <c r="G14924" i="1" a="1"/>
  <c r="G14720" i="1" a="1"/>
  <c r="G14387" i="1" a="1"/>
  <c r="G14112" i="1" a="1"/>
  <c r="G14446" i="1" a="1"/>
  <c r="F19" i="1" a="1"/>
  <c r="F83" i="1" a="1"/>
  <c r="F22" i="1" a="1"/>
  <c r="F108" i="1" a="1"/>
  <c r="F225" i="1" a="1"/>
  <c r="F13" i="1" a="1"/>
  <c r="F191" i="1" a="1"/>
  <c r="F347" i="1" a="1"/>
  <c r="F8" i="1" a="1"/>
  <c r="F73" i="1" a="1"/>
  <c r="F263" i="1" a="1"/>
  <c r="F388" i="1" a="1"/>
  <c r="F531" i="1" a="1"/>
  <c r="F659" i="1" a="1"/>
  <c r="F264" i="1" a="1"/>
  <c r="F420" i="1" a="1"/>
  <c r="F545" i="1" a="1"/>
  <c r="F169" i="1" a="1"/>
  <c r="F348" i="1" a="1"/>
  <c r="F500" i="1" a="1"/>
  <c r="F93" i="1" a="1"/>
  <c r="F171" i="1" a="1"/>
  <c r="F197" i="1" a="1"/>
  <c r="F398" i="1" a="1"/>
  <c r="F535" i="1" a="1"/>
  <c r="F428" i="1" a="1"/>
  <c r="F621" i="1" a="1"/>
  <c r="F345" i="1" a="1"/>
  <c r="F565" i="1" a="1"/>
  <c r="F737" i="1" a="1"/>
  <c r="F62" i="1" a="1"/>
  <c r="F519" i="1" a="1"/>
  <c r="F154" i="1" a="1"/>
  <c r="F483" i="1" a="1"/>
  <c r="F159" i="1" a="1"/>
  <c r="F511" i="1" a="1"/>
  <c r="F650" i="1" a="1"/>
  <c r="F427" i="1" a="1"/>
  <c r="F652" i="1" a="1"/>
  <c r="F721" i="1" a="1"/>
  <c r="F880" i="1" a="1"/>
  <c r="F1008" i="1" a="1"/>
  <c r="F1136" i="1" a="1"/>
  <c r="F1233" i="1" a="1"/>
  <c r="F1297" i="1" a="1"/>
  <c r="F1361" i="1" a="1"/>
  <c r="F1425" i="1" a="1"/>
  <c r="F1489" i="1" a="1"/>
  <c r="F1553" i="1" a="1"/>
  <c r="F1617" i="1" a="1"/>
  <c r="F680" i="1" a="1"/>
  <c r="F816" i="1" a="1"/>
  <c r="F972" i="1" a="1"/>
  <c r="F328" i="1" a="1"/>
  <c r="F764" i="1" a="1"/>
  <c r="F904" i="1" a="1"/>
  <c r="F1032" i="1" a="1"/>
  <c r="F615" i="1" a="1"/>
  <c r="F796" i="1" a="1"/>
  <c r="F718" i="1" a="1"/>
  <c r="F295" i="1" a="1"/>
  <c r="F750" i="1" a="1"/>
  <c r="F547" i="1" a="1"/>
  <c r="F835" i="1" a="1"/>
  <c r="F694" i="1" a="1"/>
  <c r="F851" i="1" a="1"/>
  <c r="F985" i="1" a="1"/>
  <c r="F855" i="1" a="1"/>
  <c r="F1089" i="1" a="1"/>
  <c r="F1230" i="1" a="1"/>
  <c r="F1399" i="1" a="1"/>
  <c r="F1568" i="1" a="1"/>
  <c r="F1677" i="1" a="1"/>
  <c r="F1741" i="1" a="1"/>
  <c r="F1805" i="1" a="1"/>
  <c r="F1869" i="1" a="1"/>
  <c r="F1933" i="1" a="1"/>
  <c r="F1997" i="1" a="1"/>
  <c r="F2061" i="1" a="1"/>
  <c r="F2125" i="1" a="1"/>
  <c r="F1030" i="1" a="1"/>
  <c r="F1192" i="1" a="1"/>
  <c r="F1372" i="1" a="1"/>
  <c r="F1546" i="1" a="1"/>
  <c r="F969" i="1" a="1"/>
  <c r="F1156" i="1" a="1"/>
  <c r="F1327" i="1" a="1"/>
  <c r="F1496" i="1" a="1"/>
  <c r="F1650" i="1" a="1"/>
  <c r="F1714" i="1" a="1"/>
  <c r="F933" i="1" a="1"/>
  <c r="F970" i="1" a="1"/>
  <c r="F943" i="1" a="1"/>
  <c r="F955" i="1" a="1"/>
  <c r="F983" i="1" a="1"/>
  <c r="F1170" i="1" a="1"/>
  <c r="F1339" i="1" a="1"/>
  <c r="F1508" i="1" a="1"/>
  <c r="F1157" i="1" a="1"/>
  <c r="F1474" i="1" a="1"/>
  <c r="F1855" i="1" a="1"/>
  <c r="F1343" i="1" a="1"/>
  <c r="F1711" i="1" a="1"/>
  <c r="F1914" i="1" a="1"/>
  <c r="F2083" i="1" a="1"/>
  <c r="F1334" i="1" a="1"/>
  <c r="F1163" i="1" a="1"/>
  <c r="F1544" i="1" a="1"/>
  <c r="F1810" i="1" a="1"/>
  <c r="F1979" i="1" a="1"/>
  <c r="F1093" i="1" a="1"/>
  <c r="F1462" i="1" a="1"/>
  <c r="F1122" i="1" a="1"/>
  <c r="F1631" i="1" a="1"/>
  <c r="F1880" i="1" a="1"/>
  <c r="F2095" i="1" a="1"/>
  <c r="F2213" i="1" a="1"/>
  <c r="F2298" i="1" a="1"/>
  <c r="F2401" i="1" a="1"/>
  <c r="F2529" i="1" a="1"/>
  <c r="F2646" i="1" a="1"/>
  <c r="F2710" i="1" a="1"/>
  <c r="F2774" i="1" a="1"/>
  <c r="F2838" i="1" a="1"/>
  <c r="F2902" i="1" a="1"/>
  <c r="F2966" i="1" a="1"/>
  <c r="F3030" i="1" a="1"/>
  <c r="F3094" i="1" a="1"/>
  <c r="F3158" i="1" a="1"/>
  <c r="F1383" i="1" a="1"/>
  <c r="F1832" i="1" a="1"/>
  <c r="F2108" i="1" a="1"/>
  <c r="F2347" i="1" a="1"/>
  <c r="F2475" i="1" a="1"/>
  <c r="F2603" i="1" a="1"/>
  <c r="F1708" i="1" a="1"/>
  <c r="F1944" i="1" a="1"/>
  <c r="F2156" i="1" a="1"/>
  <c r="F2241" i="1" a="1"/>
  <c r="F2326" i="1" a="1"/>
  <c r="F2448" i="1" a="1"/>
  <c r="F2576" i="1" a="1"/>
  <c r="F2667" i="1" a="1"/>
  <c r="F1323" i="1" a="1"/>
  <c r="F1848" i="1" a="1"/>
  <c r="F2091" i="1" a="1"/>
  <c r="G4705" i="1" a="1"/>
  <c r="G5033" i="1" a="1"/>
  <c r="G6746" i="1" a="1"/>
  <c r="G7770" i="1" a="1"/>
  <c r="G6678" i="1" a="1"/>
  <c r="G7702" i="1" a="1"/>
  <c r="G4301" i="1" a="1"/>
  <c r="G6493" i="1" a="1"/>
  <c r="G7490" i="1" a="1"/>
  <c r="G7823" i="1" a="1"/>
  <c r="G8936" i="1" a="1"/>
  <c r="G9609" i="1" a="1"/>
  <c r="G10121" i="1" a="1"/>
  <c r="G7533" i="1" a="1"/>
  <c r="G8809" i="1" a="1"/>
  <c r="G7305" i="1" a="1"/>
  <c r="G8663" i="1" a="1"/>
  <c r="G6409" i="1" a="1"/>
  <c r="G6679" i="1" a="1"/>
  <c r="G7621" i="1" a="1"/>
  <c r="G8835" i="1" a="1"/>
  <c r="G9182" i="1" a="1"/>
  <c r="G10194" i="1" a="1"/>
  <c r="G9632" i="1" a="1"/>
  <c r="G10504" i="1" a="1"/>
  <c r="G7538" i="1" a="1"/>
  <c r="G9402" i="1" a="1"/>
  <c r="G7895" i="1" a="1"/>
  <c r="G8064" i="1" a="1"/>
  <c r="G8180" i="1" a="1"/>
  <c r="G10198" i="1" a="1"/>
  <c r="G10377" i="1" a="1"/>
  <c r="G11013" i="1" a="1"/>
  <c r="G11141" i="1" a="1"/>
  <c r="G11269" i="1" a="1"/>
  <c r="G11397" i="1" a="1"/>
  <c r="G11525" i="1" a="1"/>
  <c r="G11653" i="1" a="1"/>
  <c r="G11781" i="1" a="1"/>
  <c r="G11909" i="1" a="1"/>
  <c r="G12037" i="1" a="1"/>
  <c r="G12165" i="1" a="1"/>
  <c r="G12293" i="1" a="1"/>
  <c r="G12421" i="1" a="1"/>
  <c r="G12549" i="1" a="1"/>
  <c r="G12677" i="1" a="1"/>
  <c r="G12805" i="1" a="1"/>
  <c r="G8636" i="1" a="1"/>
  <c r="G9118" i="1" a="1"/>
  <c r="G9360" i="1" a="1"/>
  <c r="G9531" i="1" a="1"/>
  <c r="G9780" i="1" a="1"/>
  <c r="G10146" i="1" a="1"/>
  <c r="G10531" i="1" a="1"/>
  <c r="G10642" i="1" a="1"/>
  <c r="G10727" i="1" a="1"/>
  <c r="G10813" i="1" a="1"/>
  <c r="G10898" i="1" a="1"/>
  <c r="G11009" i="1" a="1"/>
  <c r="G11137" i="1" a="1"/>
  <c r="G11265" i="1" a="1"/>
  <c r="G11393" i="1" a="1"/>
  <c r="G11521" i="1" a="1"/>
  <c r="G11649" i="1" a="1"/>
  <c r="G11777" i="1" a="1"/>
  <c r="G11905" i="1" a="1"/>
  <c r="G12033" i="1" a="1"/>
  <c r="G12161" i="1" a="1"/>
  <c r="G12289" i="1" a="1"/>
  <c r="G8637" i="1" a="1"/>
  <c r="G9082" i="1" a="1"/>
  <c r="G9790" i="1" a="1"/>
  <c r="G10119" i="1" a="1"/>
  <c r="G10298" i="1" a="1"/>
  <c r="G10437" i="1" a="1"/>
  <c r="G10959" i="1" a="1"/>
  <c r="G11087" i="1" a="1"/>
  <c r="G11215" i="1" a="1"/>
  <c r="G11343" i="1" a="1"/>
  <c r="G11471" i="1" a="1"/>
  <c r="G11599" i="1" a="1"/>
  <c r="G11727" i="1" a="1"/>
  <c r="G8674" i="1" a="1"/>
  <c r="G9120" i="1" a="1"/>
  <c r="G8533" i="1" a="1"/>
  <c r="G9009" i="1" a="1"/>
  <c r="G8499" i="1" a="1"/>
  <c r="G8995" i="1" a="1"/>
  <c r="G8792" i="1" a="1"/>
  <c r="G9210" i="1" a="1"/>
  <c r="G9895" i="1" a="1"/>
  <c r="G10222" i="1" a="1"/>
  <c r="G10350" i="1" a="1"/>
  <c r="G10510" i="1" a="1"/>
  <c r="G11007" i="1" a="1"/>
  <c r="G11135" i="1" a="1"/>
  <c r="G11263" i="1" a="1"/>
  <c r="G11391" i="1" a="1"/>
  <c r="G8427" i="1" a="1"/>
  <c r="G8939" i="1" a="1"/>
  <c r="G9483" i="1" a="1"/>
  <c r="G10050" i="1" a="1"/>
  <c r="G10602" i="1" a="1"/>
  <c r="G10773" i="1" a="1"/>
  <c r="G10952" i="1" a="1"/>
  <c r="G11208" i="1" a="1"/>
  <c r="G11464" i="1" a="1"/>
  <c r="G11673" i="1" a="1"/>
  <c r="G11874" i="1" a="1"/>
  <c r="G12050" i="1" a="1"/>
  <c r="G12227" i="1" a="1"/>
  <c r="G12382" i="1" a="1"/>
  <c r="G12523" i="1" a="1"/>
  <c r="G12685" i="1" a="1"/>
  <c r="G12826" i="1" a="1"/>
  <c r="G12970" i="1" a="1"/>
  <c r="G13098" i="1" a="1"/>
  <c r="G13226" i="1" a="1"/>
  <c r="G13354" i="1" a="1"/>
  <c r="G13482" i="1" a="1"/>
  <c r="G13610" i="1" a="1"/>
  <c r="G13738" i="1" a="1"/>
  <c r="G13866" i="1" a="1"/>
  <c r="G13994" i="1" a="1"/>
  <c r="G14122" i="1" a="1"/>
  <c r="G9506" i="1" a="1"/>
  <c r="G10106" i="1" a="1"/>
  <c r="G10635" i="1" a="1"/>
  <c r="G10806" i="1" a="1"/>
  <c r="G10971" i="1" a="1"/>
  <c r="G11227" i="1" a="1"/>
  <c r="G11483" i="1" a="1"/>
  <c r="G11702" i="1" a="1"/>
  <c r="G11887" i="1" a="1"/>
  <c r="G12052" i="1" a="1"/>
  <c r="G12222" i="1" a="1"/>
  <c r="G12388" i="1" a="1"/>
  <c r="G12534" i="1" a="1"/>
  <c r="G12670" i="1" a="1"/>
  <c r="G12811" i="1" a="1"/>
  <c r="G12948" i="1" a="1"/>
  <c r="G13076" i="1" a="1"/>
  <c r="G13204" i="1" a="1"/>
  <c r="G9575" i="1" a="1"/>
  <c r="G10393" i="1" a="1"/>
  <c r="G10659" i="1" a="1"/>
  <c r="G10830" i="1" a="1"/>
  <c r="G11019" i="1" a="1"/>
  <c r="G11275" i="1" a="1"/>
  <c r="G11528" i="1" a="1"/>
  <c r="G11739" i="1" a="1"/>
  <c r="G11912" i="1" a="1"/>
  <c r="G12089" i="1" a="1"/>
  <c r="G12265" i="1" a="1"/>
  <c r="G12425" i="1" a="1"/>
  <c r="G12571" i="1" a="1"/>
  <c r="G9656" i="1" a="1"/>
  <c r="G10269" i="1" a="1"/>
  <c r="G10573" i="1" a="1"/>
  <c r="G9579" i="1" a="1"/>
  <c r="G10394" i="1" a="1"/>
  <c r="G10661" i="1" a="1"/>
  <c r="G9248" i="1" a="1"/>
  <c r="G9676" i="1" a="1"/>
  <c r="G10459" i="1" a="1"/>
  <c r="G10694" i="1" a="1"/>
  <c r="G9436" i="1" a="1"/>
  <c r="G9900" i="1" a="1"/>
  <c r="G10578" i="1" a="1"/>
  <c r="G10750" i="1" a="1"/>
  <c r="G9976" i="1" a="1"/>
  <c r="G10399" i="1" a="1"/>
  <c r="G11061" i="1" a="1"/>
  <c r="G11317" i="1" a="1"/>
  <c r="G11577" i="1" a="1"/>
  <c r="G11766" i="1" a="1"/>
  <c r="G11940" i="1" a="1"/>
  <c r="G12117" i="1" a="1"/>
  <c r="G12287" i="1" a="1"/>
  <c r="G12465" i="1" a="1"/>
  <c r="G12601" i="1" a="1"/>
  <c r="G12742" i="1" a="1"/>
  <c r="G10842" i="1" a="1"/>
  <c r="G11313" i="1" a="1"/>
  <c r="G11691" i="1" a="1"/>
  <c r="G12059" i="1" a="1"/>
  <c r="G12374" i="1" a="1"/>
  <c r="G12635" i="1" a="1"/>
  <c r="G12872" i="1" a="1"/>
  <c r="G13050" i="1" a="1"/>
  <c r="G13209" i="1" a="1"/>
  <c r="G13340" i="1" a="1"/>
  <c r="G13486" i="1" a="1"/>
  <c r="G13622" i="1" a="1"/>
  <c r="G13779" i="1" a="1"/>
  <c r="G13925" i="1" a="1"/>
  <c r="G14066" i="1" a="1"/>
  <c r="G14209" i="1" a="1"/>
  <c r="G14245" i="1" a="1"/>
  <c r="G14381" i="1" a="1"/>
  <c r="G14509" i="1" a="1"/>
  <c r="G14633" i="1" a="1"/>
  <c r="G14749" i="1" a="1"/>
  <c r="G14877" i="1" a="1"/>
  <c r="G11040" i="1" a="1"/>
  <c r="G11531" i="1" a="1"/>
  <c r="G11975" i="1" a="1"/>
  <c r="G12292" i="1" a="1"/>
  <c r="G12594" i="1" a="1"/>
  <c r="G12892" i="1" a="1"/>
  <c r="G13051" i="1" a="1"/>
  <c r="G13252" i="1" a="1"/>
  <c r="G13388" i="1" a="1"/>
  <c r="G13529" i="1" a="1"/>
  <c r="G13691" i="1" a="1"/>
  <c r="G13832" i="1" a="1"/>
  <c r="G13968" i="1" a="1"/>
  <c r="G14173" i="1" a="1"/>
  <c r="G14345" i="1" a="1"/>
  <c r="G14473" i="1" a="1"/>
  <c r="G14601" i="1" a="1"/>
  <c r="G14745" i="1" a="1"/>
  <c r="G14873" i="1" a="1"/>
  <c r="G10987" i="1" a="1"/>
  <c r="G11499" i="1" a="1"/>
  <c r="G11890" i="1" a="1"/>
  <c r="G12219" i="1" a="1"/>
  <c r="G12511" i="1" a="1"/>
  <c r="G12776" i="1" a="1"/>
  <c r="G12978" i="1" a="1"/>
  <c r="G13143" i="1" a="1"/>
  <c r="G13300" i="1" a="1"/>
  <c r="G13446" i="1" a="1"/>
  <c r="G13603" i="1" a="1"/>
  <c r="G13739" i="1" a="1"/>
  <c r="G13885" i="1" a="1"/>
  <c r="G14047" i="1" a="1"/>
  <c r="G14169" i="1" a="1"/>
  <c r="G11175" i="1" a="1"/>
  <c r="G11638" i="1" a="1"/>
  <c r="G12029" i="1" a="1"/>
  <c r="G12400" i="1" a="1"/>
  <c r="G12693" i="1" a="1"/>
  <c r="G12924" i="1" a="1"/>
  <c r="G10874" i="1" a="1"/>
  <c r="G11377" i="1" a="1"/>
  <c r="G11834" i="1" a="1"/>
  <c r="G12176" i="1" a="1"/>
  <c r="G12505" i="1" a="1"/>
  <c r="G12777" i="1" a="1"/>
  <c r="G12986" i="1" a="1"/>
  <c r="G13145" i="1" a="1"/>
  <c r="G11122" i="1" a="1"/>
  <c r="G11582" i="1" a="1"/>
  <c r="G11933" i="1" a="1"/>
  <c r="G12286" i="1" a="1"/>
  <c r="G12652" i="1" a="1"/>
  <c r="G12845" i="1" a="1"/>
  <c r="G13029" i="1" a="1"/>
  <c r="G10814" i="1" a="1"/>
  <c r="G11289" i="1" a="1"/>
  <c r="G11729" i="1" a="1"/>
  <c r="G12080" i="1" a="1"/>
  <c r="G12381" i="1" a="1"/>
  <c r="G12688" i="1" a="1"/>
  <c r="G12896" i="1" a="1"/>
  <c r="G13055" i="1" a="1"/>
  <c r="G11038" i="1" a="1"/>
  <c r="G11587" i="1" a="1"/>
  <c r="G11901" i="1" a="1"/>
  <c r="G12254" i="1" a="1"/>
  <c r="G12530" i="1" a="1"/>
  <c r="G12772" i="1" a="1"/>
  <c r="G12988" i="1" a="1"/>
  <c r="G13147" i="1" a="1"/>
  <c r="G13324" i="1" a="1"/>
  <c r="G13465" i="1" a="1"/>
  <c r="G13627" i="1" a="1"/>
  <c r="G13768" i="1" a="1"/>
  <c r="G13904" i="1" a="1"/>
  <c r="G14050" i="1" a="1"/>
  <c r="G14195" i="1" a="1"/>
  <c r="G14280" i="1" a="1"/>
  <c r="G14344" i="1" a="1"/>
  <c r="G14408" i="1" a="1"/>
  <c r="G14472" i="1" a="1"/>
  <c r="G14536" i="1" a="1"/>
  <c r="G14600" i="1" a="1"/>
  <c r="G13260" i="1" a="1"/>
  <c r="G13542" i="1" a="1"/>
  <c r="G13845" i="1" a="1"/>
  <c r="G14106" i="1" a="1"/>
  <c r="G14311" i="1" a="1"/>
  <c r="G14439" i="1" a="1"/>
  <c r="G14567" i="1" a="1"/>
  <c r="G14706" i="1" a="1"/>
  <c r="G14884" i="1" a="1"/>
  <c r="G13867" i="1" a="1"/>
  <c r="G14158" i="1" a="1"/>
  <c r="G14758" i="1" a="1"/>
  <c r="G14538" i="1" a="1"/>
  <c r="G14899" i="1" a="1"/>
  <c r="G14695" i="1" a="1"/>
  <c r="G14299" i="1" a="1"/>
  <c r="G14818" i="1" a="1"/>
  <c r="G14286" i="1" a="1"/>
  <c r="G13101" i="1" a="1"/>
  <c r="G13438" i="1" a="1"/>
  <c r="G14746" i="1" a="1"/>
  <c r="G14006" i="1" a="1"/>
  <c r="G13955" i="1" a="1"/>
  <c r="G14627" i="1" a="1"/>
  <c r="G14863" i="1" a="1"/>
  <c r="G14659" i="1" a="1"/>
  <c r="G13274" i="1" a="1"/>
  <c r="G13598" i="1" a="1"/>
  <c r="G13891" i="1" a="1"/>
  <c r="G14188" i="1" a="1"/>
  <c r="G14346" i="1" a="1"/>
  <c r="G14482" i="1" a="1"/>
  <c r="G14707" i="1" a="1"/>
  <c r="G13818" i="1" a="1"/>
  <c r="G13892" i="1" a="1"/>
  <c r="G14722" i="1" a="1"/>
  <c r="G14229" i="1" a="1"/>
  <c r="G14723" i="1" a="1"/>
  <c r="G13307" i="1" a="1"/>
  <c r="G13641" i="1" a="1"/>
  <c r="G13349" i="1" a="1"/>
  <c r="G13673" i="1" a="1"/>
  <c r="G14060" i="1" a="1"/>
  <c r="G13405" i="1" a="1"/>
  <c r="G13708" i="1" a="1"/>
  <c r="G13990" i="1" a="1"/>
  <c r="G13301" i="1" a="1"/>
  <c r="G13562" i="1" a="1"/>
  <c r="G13886" i="1" a="1"/>
  <c r="G14166" i="1" a="1"/>
  <c r="G14775" i="1" a="1"/>
  <c r="G13306" i="1" a="1"/>
  <c r="G14798" i="1" a="1"/>
  <c r="G14419" i="1" a="1"/>
  <c r="G14153" i="1" a="1"/>
  <c r="G14478" i="1" a="1"/>
  <c r="F23" i="1" a="1"/>
  <c r="F87" i="1" a="1"/>
  <c r="F28" i="1" a="1"/>
  <c r="F113" i="1" a="1"/>
  <c r="F234" i="1" a="1"/>
  <c r="F25" i="1" a="1"/>
  <c r="F207" i="1" a="1"/>
  <c r="F352" i="1" a="1"/>
  <c r="F14" i="1" a="1"/>
  <c r="F89" i="1" a="1"/>
  <c r="F269" i="1" a="1"/>
  <c r="F404" i="1" a="1"/>
  <c r="F540" i="1" a="1"/>
  <c r="F41" i="1" a="1"/>
  <c r="F270" i="1" a="1"/>
  <c r="F436" i="1" a="1"/>
  <c r="F554" i="1" a="1"/>
  <c r="F175" i="1" a="1"/>
  <c r="F353" i="1" a="1"/>
  <c r="F509" i="1" a="1"/>
  <c r="F117" i="1" a="1"/>
  <c r="F177" i="1" a="1"/>
  <c r="F203" i="1" a="1"/>
  <c r="F403" i="1" a="1"/>
  <c r="F21" i="1" a="1"/>
  <c r="F438" i="1" a="1"/>
  <c r="F626" i="1" a="1"/>
  <c r="F355" i="1" a="1"/>
  <c r="F601" i="1" a="1"/>
  <c r="F746" i="1" a="1"/>
  <c r="F94" i="1" a="1"/>
  <c r="F528" i="1" a="1"/>
  <c r="F190" i="1" a="1"/>
  <c r="F492" i="1" a="1"/>
  <c r="F194" i="1" a="1"/>
  <c r="F520" i="1" a="1"/>
  <c r="F670" i="1" a="1"/>
  <c r="F469" i="1" a="1"/>
  <c r="F657" i="1" a="1"/>
  <c r="F726" i="1" a="1"/>
  <c r="F885" i="1" a="1"/>
  <c r="F1013" i="1" a="1"/>
  <c r="F1141" i="1" a="1"/>
  <c r="F1237" i="1" a="1"/>
  <c r="F1301" i="1" a="1"/>
  <c r="F1365" i="1" a="1"/>
  <c r="F1429" i="1" a="1"/>
  <c r="F1493" i="1" a="1"/>
  <c r="F1557" i="1" a="1"/>
  <c r="F1621" i="1" a="1"/>
  <c r="F685" i="1" a="1"/>
  <c r="F821" i="1" a="1"/>
  <c r="F977" i="1" a="1"/>
  <c r="F371" i="1" a="1"/>
  <c r="F775" i="1" a="1"/>
  <c r="F909" i="1" a="1"/>
  <c r="F1037" i="1" a="1"/>
  <c r="F671" i="1" a="1"/>
  <c r="F807" i="1" a="1"/>
  <c r="F724" i="1" a="1"/>
  <c r="F343" i="1" a="1"/>
  <c r="F756" i="1" a="1"/>
  <c r="F665" i="1" a="1"/>
  <c r="F840" i="1" a="1"/>
  <c r="F710" i="1" a="1"/>
  <c r="F866" i="1" a="1"/>
  <c r="F994" i="1" a="1"/>
  <c r="F865" i="1" a="1"/>
  <c r="F1096" i="1" a="1"/>
  <c r="F1239" i="1" a="1"/>
  <c r="F1408" i="1" a="1"/>
  <c r="F1582" i="1" a="1"/>
  <c r="F1681" i="1" a="1"/>
  <c r="F1745" i="1" a="1"/>
  <c r="F1809" i="1" a="1"/>
  <c r="F1873" i="1" a="1"/>
  <c r="F1937" i="1" a="1"/>
  <c r="F2001" i="1" a="1"/>
  <c r="F2065" i="1" a="1"/>
  <c r="F2129" i="1" a="1"/>
  <c r="F1039" i="1" a="1"/>
  <c r="F1212" i="1" a="1"/>
  <c r="F1386" i="1" a="1"/>
  <c r="F1555" i="1" a="1"/>
  <c r="F978" i="1" a="1"/>
  <c r="F1177" i="1" a="1"/>
  <c r="F1336" i="1" a="1"/>
  <c r="F1510" i="1" a="1"/>
  <c r="F1654" i="1" a="1"/>
  <c r="F1718" i="1" a="1"/>
  <c r="F942" i="1" a="1"/>
  <c r="F979" i="1" a="1"/>
  <c r="F952" i="1" a="1"/>
  <c r="F964" i="1" a="1"/>
  <c r="F992" i="1" a="1"/>
  <c r="F1175" i="1" a="1"/>
  <c r="F1348" i="1" a="1"/>
  <c r="F1522" i="1" a="1"/>
  <c r="F1167" i="1" a="1"/>
  <c r="F1483" i="1" a="1"/>
  <c r="F1864" i="1" a="1"/>
  <c r="F1375" i="1" a="1"/>
  <c r="F1728" i="1" a="1"/>
  <c r="F1923" i="1" a="1"/>
  <c r="F2092" i="1" a="1"/>
  <c r="F1356" i="1" a="1"/>
  <c r="F1189" i="1" a="1"/>
  <c r="F1576" i="1" a="1"/>
  <c r="F1816" i="1" a="1"/>
  <c r="F1988" i="1" a="1"/>
  <c r="F1106" i="1" a="1"/>
  <c r="F1484" i="1" a="1"/>
  <c r="F1137" i="1" a="1"/>
  <c r="F1644" i="1" a="1"/>
  <c r="F1888" i="1" a="1"/>
  <c r="F2119" i="1" a="1"/>
  <c r="F2218" i="1" a="1"/>
  <c r="F2304" i="1" a="1"/>
  <c r="F2410" i="1" a="1"/>
  <c r="F2538" i="1" a="1"/>
  <c r="F2650" i="1" a="1"/>
  <c r="F2714" i="1" a="1"/>
  <c r="F2778" i="1" a="1"/>
  <c r="F2842" i="1" a="1"/>
  <c r="F2906" i="1" a="1"/>
  <c r="F2970" i="1" a="1"/>
  <c r="F3034" i="1" a="1"/>
  <c r="F3098" i="1" a="1"/>
  <c r="F3162" i="1" a="1"/>
  <c r="F1424" i="1" a="1"/>
  <c r="F1847" i="1" a="1"/>
  <c r="F2114" i="1" a="1"/>
  <c r="F2356" i="1" a="1"/>
  <c r="F2484" i="1" a="1"/>
  <c r="F2612" i="1" a="1"/>
  <c r="F1723" i="1" a="1"/>
  <c r="F1950" i="1" a="1"/>
  <c r="F2161" i="1" a="1"/>
  <c r="F2246" i="1" a="1"/>
  <c r="F2332" i="1" a="1"/>
  <c r="F2457" i="1" a="1"/>
  <c r="F2585" i="1" a="1"/>
  <c r="F2671" i="1" a="1"/>
  <c r="F1384" i="1" a="1"/>
  <c r="F1876" i="1" a="1"/>
  <c r="F2122" i="1" a="1"/>
  <c r="F1516" i="1" a="1"/>
  <c r="F1870" i="1" a="1"/>
  <c r="F2104" i="1" a="1"/>
  <c r="F2210" i="1" a="1"/>
  <c r="F1692" i="1" a="1"/>
  <c r="F2003" i="1" a="1"/>
  <c r="F2239" i="1" a="1"/>
  <c r="F2419" i="1" a="1"/>
  <c r="F2547" i="1" a="1"/>
  <c r="F1811" i="1" a="1"/>
  <c r="F2381" i="1" a="1"/>
  <c r="F2724" i="1" a="1"/>
  <c r="F2840" i="1" a="1"/>
  <c r="F2929" i="1" a="1"/>
  <c r="F2142" i="1" a="1"/>
  <c r="F2354" i="1" a="1"/>
  <c r="F2610" i="1" a="1"/>
  <c r="F2776" i="1" a="1"/>
  <c r="F3085" i="1" a="1"/>
  <c r="F1928" i="1" a="1"/>
  <c r="F2421" i="1" a="1"/>
  <c r="G4945" i="1" a="1"/>
  <c r="G5075" i="1" a="1"/>
  <c r="G6755" i="1" a="1"/>
  <c r="G7779" i="1" a="1"/>
  <c r="G6687" i="1" a="1"/>
  <c r="G7711" i="1" a="1"/>
  <c r="G4353" i="1" a="1"/>
  <c r="G6500" i="1" a="1"/>
  <c r="G7499" i="1" a="1"/>
  <c r="G7830" i="1" a="1"/>
  <c r="G8941" i="1" a="1"/>
  <c r="G9613" i="1" a="1"/>
  <c r="G10125" i="1" a="1"/>
  <c r="G7570" i="1" a="1"/>
  <c r="G8818" i="1" a="1"/>
  <c r="G7342" i="1" a="1"/>
  <c r="G8672" i="1" a="1"/>
  <c r="G6423" i="1" a="1"/>
  <c r="G6688" i="1" a="1"/>
  <c r="G7658" i="1" a="1"/>
  <c r="G8844" i="1" a="1"/>
  <c r="G9189" i="1" a="1"/>
  <c r="G10203" i="1" a="1"/>
  <c r="G9646" i="1" a="1"/>
  <c r="G10508" i="1" a="1"/>
  <c r="G7556" i="1" a="1"/>
  <c r="G9407" i="1" a="1"/>
  <c r="G7919" i="1" a="1"/>
  <c r="G8085" i="1" a="1"/>
  <c r="G8191" i="1" a="1"/>
  <c r="G10207" i="1" a="1"/>
  <c r="G10383" i="1" a="1"/>
  <c r="G11022" i="1" a="1"/>
  <c r="G11150" i="1" a="1"/>
  <c r="G11278" i="1" a="1"/>
  <c r="G11406" i="1" a="1"/>
  <c r="G11534" i="1" a="1"/>
  <c r="G11662" i="1" a="1"/>
  <c r="G11790" i="1" a="1"/>
  <c r="G11918" i="1" a="1"/>
  <c r="G12046" i="1" a="1"/>
  <c r="G12174" i="1" a="1"/>
  <c r="G12302" i="1" a="1"/>
  <c r="G12430" i="1" a="1"/>
  <c r="G12558" i="1" a="1"/>
  <c r="G12686" i="1" a="1"/>
  <c r="G12814" i="1" a="1"/>
  <c r="G8673" i="1" a="1"/>
  <c r="G9143" i="1" a="1"/>
  <c r="G9371" i="1" a="1"/>
  <c r="G9542" i="1" a="1"/>
  <c r="G9826" i="1" a="1"/>
  <c r="G10155" i="1" a="1"/>
  <c r="G10538" i="1" a="1"/>
  <c r="G10647" i="1" a="1"/>
  <c r="G10733" i="1" a="1"/>
  <c r="G10818" i="1" a="1"/>
  <c r="G10903" i="1" a="1"/>
  <c r="G11018" i="1" a="1"/>
  <c r="G11146" i="1" a="1"/>
  <c r="G11274" i="1" a="1"/>
  <c r="G11402" i="1" a="1"/>
  <c r="G11530" i="1" a="1"/>
  <c r="G11658" i="1" a="1"/>
  <c r="G11786" i="1" a="1"/>
  <c r="G11914" i="1" a="1"/>
  <c r="G12042" i="1" a="1"/>
  <c r="G12170" i="1" a="1"/>
  <c r="G12298" i="1" a="1"/>
  <c r="G8655" i="1" a="1"/>
  <c r="G9107" i="1" a="1"/>
  <c r="G9799" i="1" a="1"/>
  <c r="G10128" i="1" a="1"/>
  <c r="G10306" i="1" a="1"/>
  <c r="G10455" i="1" a="1"/>
  <c r="G10964" i="1" a="1"/>
  <c r="G11092" i="1" a="1"/>
  <c r="G11220" i="1" a="1"/>
  <c r="G11348" i="1" a="1"/>
  <c r="G11476" i="1" a="1"/>
  <c r="G11604" i="1" a="1"/>
  <c r="G11732" i="1" a="1"/>
  <c r="G8692" i="1" a="1"/>
  <c r="G9144" i="1" a="1"/>
  <c r="G8551" i="1" a="1"/>
  <c r="G9025" i="1" a="1"/>
  <c r="G8554" i="1" a="1"/>
  <c r="G9011" i="1" a="1"/>
  <c r="G8829" i="1" a="1"/>
  <c r="G9235" i="1" a="1"/>
  <c r="G9904" i="1" a="1"/>
  <c r="G10230" i="1" a="1"/>
  <c r="G10358" i="1" a="1"/>
  <c r="G10517" i="1" a="1"/>
  <c r="G11012" i="1" a="1"/>
  <c r="G11140" i="1" a="1"/>
  <c r="G11268" i="1" a="1"/>
  <c r="G11396" i="1" a="1"/>
  <c r="G8482" i="1" a="1"/>
  <c r="G8998" i="1" a="1"/>
  <c r="G9504" i="1" a="1"/>
  <c r="G10068" i="1" a="1"/>
  <c r="G10613" i="1" a="1"/>
  <c r="G10783" i="1" a="1"/>
  <c r="G10961" i="1" a="1"/>
  <c r="G11217" i="1" a="1"/>
  <c r="G11473" i="1" a="1"/>
  <c r="G11679" i="1" a="1"/>
  <c r="G11880" i="1" a="1"/>
  <c r="G12057" i="1" a="1"/>
  <c r="G12233" i="1" a="1"/>
  <c r="G12387" i="1" a="1"/>
  <c r="G12544" i="1" a="1"/>
  <c r="G12690" i="1" a="1"/>
  <c r="G12831" i="1" a="1"/>
  <c r="G12975" i="1" a="1"/>
  <c r="G13103" i="1" a="1"/>
  <c r="G13231" i="1" a="1"/>
  <c r="G13359" i="1" a="1"/>
  <c r="G13487" i="1" a="1"/>
  <c r="G13615" i="1" a="1"/>
  <c r="G13743" i="1" a="1"/>
  <c r="G13871" i="1" a="1"/>
  <c r="G13999" i="1" a="1"/>
  <c r="G14127" i="1" a="1"/>
  <c r="G9527" i="1" a="1"/>
  <c r="G10124" i="1" a="1"/>
  <c r="G10646" i="1" a="1"/>
  <c r="G10817" i="1" a="1"/>
  <c r="G11008" i="1" a="1"/>
  <c r="G11264" i="1" a="1"/>
  <c r="G11519" i="1" a="1"/>
  <c r="G11710" i="1" a="1"/>
  <c r="G11893" i="1" a="1"/>
  <c r="G12063" i="1" a="1"/>
  <c r="G12228" i="1" a="1"/>
  <c r="G12393" i="1" a="1"/>
  <c r="G12539" i="1" a="1"/>
  <c r="G12675" i="1" a="1"/>
  <c r="G12832" i="1" a="1"/>
  <c r="G12957" i="1" a="1"/>
  <c r="G13085" i="1" a="1"/>
  <c r="G13213" i="1" a="1"/>
  <c r="G9596" i="1" a="1"/>
  <c r="G10418" i="1" a="1"/>
  <c r="G10670" i="1" a="1"/>
  <c r="G10841" i="1" a="1"/>
  <c r="G11056" i="1" a="1"/>
  <c r="G11312" i="1" a="1"/>
  <c r="G11536" i="1" a="1"/>
  <c r="G11747" i="1" a="1"/>
  <c r="G11930" i="1" a="1"/>
  <c r="G12107" i="1" a="1"/>
  <c r="G12272" i="1" a="1"/>
  <c r="G12436" i="1" a="1"/>
  <c r="G12577" i="1" a="1"/>
  <c r="G9711" i="1" a="1"/>
  <c r="G10285" i="1" a="1"/>
  <c r="G9149" i="1" a="1"/>
  <c r="G9600" i="1" a="1"/>
  <c r="G10419" i="1" a="1"/>
  <c r="G10671" i="1" a="1"/>
  <c r="G9292" i="1" a="1"/>
  <c r="G9731" i="1" a="1"/>
  <c r="G10473" i="1" a="1"/>
  <c r="G10705" i="1" a="1"/>
  <c r="G9458" i="1" a="1"/>
  <c r="G9955" i="1" a="1"/>
  <c r="G10590" i="1" a="1"/>
  <c r="G10761" i="1" a="1"/>
  <c r="G10031" i="1" a="1"/>
  <c r="G10413" i="1" a="1"/>
  <c r="G11070" i="1" a="1"/>
  <c r="G11326" i="1" a="1"/>
  <c r="G11583" i="1" a="1"/>
  <c r="G11774" i="1" a="1"/>
  <c r="G11958" i="1" a="1"/>
  <c r="G12135" i="1" a="1"/>
  <c r="G12294" i="1" a="1"/>
  <c r="G12470" i="1" a="1"/>
  <c r="G12606" i="1" a="1"/>
  <c r="G12747" i="1" a="1"/>
  <c r="G10863" i="1" a="1"/>
  <c r="G11331" i="1" a="1"/>
  <c r="G11720" i="1" a="1"/>
  <c r="G12072" i="1" a="1"/>
  <c r="G12385" i="1" a="1"/>
  <c r="G12646" i="1" a="1"/>
  <c r="G12880" i="1" a="1"/>
  <c r="G13056" i="1" a="1"/>
  <c r="G13215" i="1" a="1"/>
  <c r="G13351" i="1" a="1"/>
  <c r="G13492" i="1" a="1"/>
  <c r="G13638" i="1" a="1"/>
  <c r="G13795" i="1" a="1"/>
  <c r="G13931" i="1" a="1"/>
  <c r="G14077" i="1" a="1"/>
  <c r="G14214" i="1" a="1"/>
  <c r="G14253" i="1" a="1"/>
  <c r="G14389" i="1" a="1"/>
  <c r="G14517" i="1" a="1"/>
  <c r="G14641" i="1" a="1"/>
  <c r="G14757" i="1" a="1"/>
  <c r="G14885" i="1" a="1"/>
  <c r="G11058" i="1" a="1"/>
  <c r="G11560" i="1" a="1"/>
  <c r="G11988" i="1" a="1"/>
  <c r="G12317" i="1" a="1"/>
  <c r="G12605" i="1" a="1"/>
  <c r="G12899" i="1" a="1"/>
  <c r="G13069" i="1" a="1"/>
  <c r="G13257" i="1" a="1"/>
  <c r="G13393" i="1" a="1"/>
  <c r="G13534" i="1" a="1"/>
  <c r="G13696" i="1" a="1"/>
  <c r="G13837" i="1" a="1"/>
  <c r="G13978" i="1" a="1"/>
  <c r="G14205" i="1" a="1"/>
  <c r="G14353" i="1" a="1"/>
  <c r="G14481" i="1" a="1"/>
  <c r="G14609" i="1" a="1"/>
  <c r="G14753" i="1" a="1"/>
  <c r="G14881" i="1" a="1"/>
  <c r="G11024" i="1" a="1"/>
  <c r="G11532" i="1" a="1"/>
  <c r="G11915" i="1" a="1"/>
  <c r="G12232" i="1" a="1"/>
  <c r="G12522" i="1" a="1"/>
  <c r="G12783" i="1" a="1"/>
  <c r="G12985" i="1" a="1"/>
  <c r="G13161" i="1" a="1"/>
  <c r="G13305" i="1" a="1"/>
  <c r="G13467" i="1" a="1"/>
  <c r="G13608" i="1" a="1"/>
  <c r="G13744" i="1" a="1"/>
  <c r="G13890" i="1" a="1"/>
  <c r="G14052" i="1" a="1"/>
  <c r="G14174" i="1" a="1"/>
  <c r="G11212" i="1" a="1"/>
  <c r="G11697" i="1" a="1"/>
  <c r="G12053" i="1" a="1"/>
  <c r="G12410" i="1" a="1"/>
  <c r="G12702" i="1" a="1"/>
  <c r="G12942" i="1" a="1"/>
  <c r="G10895" i="1" a="1"/>
  <c r="G11395" i="1" a="1"/>
  <c r="G11858" i="1" a="1"/>
  <c r="G12187" i="1" a="1"/>
  <c r="G12515" i="1" a="1"/>
  <c r="G12786" i="1" a="1"/>
  <c r="G12992" i="1" a="1"/>
  <c r="G13151" i="1" a="1"/>
  <c r="G11177" i="1" a="1"/>
  <c r="G11625" i="1" a="1"/>
  <c r="G11957" i="1" a="1"/>
  <c r="G12310" i="1" a="1"/>
  <c r="G12678" i="1" a="1"/>
  <c r="G12854" i="1" a="1"/>
  <c r="G13036" i="1" a="1"/>
  <c r="G10835" i="1" a="1"/>
  <c r="G11307" i="1" a="1"/>
  <c r="G11743" i="1" a="1"/>
  <c r="G12091" i="1" a="1"/>
  <c r="G12391" i="1" a="1"/>
  <c r="G12697" i="1" a="1"/>
  <c r="G12903" i="1" a="1"/>
  <c r="G13073" i="1" a="1"/>
  <c r="G11093" i="1" a="1"/>
  <c r="G11616" i="1" a="1"/>
  <c r="G11925" i="1" a="1"/>
  <c r="G12278" i="1" a="1"/>
  <c r="G12541" i="1" a="1"/>
  <c r="G12781" i="1" a="1"/>
  <c r="G12995" i="1" a="1"/>
  <c r="G13165" i="1" a="1"/>
  <c r="G13329" i="1" a="1"/>
  <c r="G13470" i="1" a="1"/>
  <c r="G13632" i="1" a="1"/>
  <c r="G13773" i="1" a="1"/>
  <c r="G13909" i="1" a="1"/>
  <c r="G14071" i="1" a="1"/>
  <c r="G14204" i="1" a="1"/>
  <c r="G14284" i="1" a="1"/>
  <c r="G14348" i="1" a="1"/>
  <c r="G14412" i="1" a="1"/>
  <c r="G14476" i="1" a="1"/>
  <c r="G14540" i="1" a="1"/>
  <c r="G14604" i="1" a="1"/>
  <c r="G13270" i="1" a="1"/>
  <c r="G13563" i="1" a="1"/>
  <c r="G13887" i="1" a="1"/>
  <c r="G14148" i="1" a="1"/>
  <c r="G14319" i="1" a="1"/>
  <c r="G14447" i="1" a="1"/>
  <c r="G14575" i="1" a="1"/>
  <c r="G14724" i="1" a="1"/>
  <c r="G14891" i="1" a="1"/>
  <c r="G13877" i="1" a="1"/>
  <c r="G14167" i="1" a="1"/>
  <c r="G14783" i="1" a="1"/>
  <c r="G14562" i="1" a="1"/>
  <c r="G13223" i="1" a="1"/>
  <c r="G14727" i="1" a="1"/>
  <c r="G14331" i="1" a="1"/>
  <c r="G14850" i="1" a="1"/>
  <c r="G14318" i="1" a="1"/>
  <c r="G13150" i="1" a="1"/>
  <c r="G13459" i="1" a="1"/>
  <c r="G14771" i="1" a="1"/>
  <c r="G14069" i="1" a="1"/>
  <c r="G14028" i="1" a="1"/>
  <c r="G14658" i="1" a="1"/>
  <c r="G14888" i="1" a="1"/>
  <c r="G14698" i="1" a="1"/>
  <c r="G13316" i="1" a="1"/>
  <c r="G13619" i="1" a="1"/>
  <c r="G13901" i="1" a="1"/>
  <c r="G14197" i="1" a="1"/>
  <c r="G14354" i="1" a="1"/>
  <c r="G14490" i="1" a="1"/>
  <c r="G14739" i="1" a="1"/>
  <c r="G13870" i="1" a="1"/>
  <c r="G14091" i="1" a="1"/>
  <c r="G14740" i="1" a="1"/>
  <c r="G14254" i="1" a="1"/>
  <c r="G14755" i="1" a="1"/>
  <c r="G13317" i="1" a="1"/>
  <c r="G13767" i="1" a="1"/>
  <c r="G13360" i="1" a="1"/>
  <c r="G13684" i="1" a="1"/>
  <c r="G14728" i="1" a="1"/>
  <c r="G13436" i="1" a="1"/>
  <c r="G13718" i="1" a="1"/>
  <c r="G14011" i="1" a="1"/>
  <c r="G13343" i="1" a="1"/>
  <c r="G13604" i="1" a="1"/>
  <c r="G13907" i="1" a="1"/>
  <c r="G14175" i="1" a="1"/>
  <c r="G14782" i="1" a="1"/>
  <c r="G13358" i="1" a="1"/>
  <c r="G14830" i="1" a="1"/>
  <c r="G14459" i="1" a="1"/>
  <c r="G14208" i="1" a="1"/>
  <c r="G14518" i="1" a="1"/>
  <c r="F27" i="1" a="1"/>
  <c r="F91" i="1" a="1"/>
  <c r="F33" i="1" a="1"/>
  <c r="F118" i="1" a="1"/>
  <c r="F243" i="1" a="1"/>
  <c r="F37" i="1" a="1"/>
  <c r="F228" i="1" a="1"/>
  <c r="F361" i="1" a="1"/>
  <c r="F9" i="1" a="1"/>
  <c r="F130" i="1" a="1"/>
  <c r="F276" i="1" a="1"/>
  <c r="F409" i="1" a="1"/>
  <c r="F549" i="1" a="1"/>
  <c r="F50" i="1" a="1"/>
  <c r="F282" i="1" a="1"/>
  <c r="F441" i="1" a="1"/>
  <c r="F559" i="1" a="1"/>
  <c r="F187" i="1" a="1"/>
  <c r="F358" i="1" a="1"/>
  <c r="F518" i="1" a="1"/>
  <c r="F125" i="1" a="1"/>
  <c r="F189" i="1" a="1"/>
  <c r="F209" i="1" a="1"/>
  <c r="F424" i="1" a="1"/>
  <c r="F53" i="1" a="1"/>
  <c r="F449" i="1" a="1"/>
  <c r="F632" i="1" a="1"/>
  <c r="F366" i="1" a="1"/>
  <c r="F606" i="1" a="1"/>
  <c r="F751" i="1" a="1"/>
  <c r="F126" i="1" a="1"/>
  <c r="F537" i="1" a="1"/>
  <c r="F206" i="1" a="1"/>
  <c r="F501" i="1" a="1"/>
  <c r="F208" i="1" a="1"/>
  <c r="F529" i="1" a="1"/>
  <c r="F46" i="1" a="1"/>
  <c r="F478" i="1" a="1"/>
  <c r="F662" i="1" a="1"/>
  <c r="F742" i="1" a="1"/>
  <c r="F894" i="1" a="1"/>
  <c r="F1022" i="1" a="1"/>
  <c r="F1150" i="1" a="1"/>
  <c r="F1241" i="1" a="1"/>
  <c r="F1305" i="1" a="1"/>
  <c r="F1369" i="1" a="1"/>
  <c r="F1433" i="1" a="1"/>
  <c r="F1497" i="1" a="1"/>
  <c r="F1561" i="1" a="1"/>
  <c r="F1625" i="1" a="1"/>
  <c r="F690" i="1" a="1"/>
  <c r="F826" i="1" a="1"/>
  <c r="F986" i="1" a="1"/>
  <c r="F413" i="1" a="1"/>
  <c r="F780" i="1" a="1"/>
  <c r="F918" i="1" a="1"/>
  <c r="F1046" i="1" a="1"/>
  <c r="F676" i="1" a="1"/>
  <c r="F104" i="1" a="1"/>
  <c r="F729" i="1" a="1"/>
  <c r="F385" i="1" a="1"/>
  <c r="F761" i="1" a="1"/>
  <c r="F678" i="1" a="1"/>
  <c r="F141" i="1" a="1"/>
  <c r="F731" i="1" a="1"/>
  <c r="F875" i="1" a="1"/>
  <c r="F1003" i="1" a="1"/>
  <c r="F874" i="1" a="1"/>
  <c r="F1102" i="1" a="1"/>
  <c r="F1248" i="1" a="1"/>
  <c r="F1422" i="1" a="1"/>
  <c r="F1591" i="1" a="1"/>
  <c r="F1685" i="1" a="1"/>
  <c r="F1749" i="1" a="1"/>
  <c r="F1813" i="1" a="1"/>
  <c r="F1877" i="1" a="1"/>
  <c r="F1941" i="1" a="1"/>
  <c r="F2005" i="1" a="1"/>
  <c r="F2069" i="1" a="1"/>
  <c r="F2133" i="1" a="1"/>
  <c r="F1048" i="1" a="1"/>
  <c r="F1226" i="1" a="1"/>
  <c r="F1395" i="1" a="1"/>
  <c r="F1564" i="1" a="1"/>
  <c r="F987" i="1" a="1"/>
  <c r="F1193" i="1" a="1"/>
  <c r="F1350" i="1" a="1"/>
  <c r="F1519" i="1" a="1"/>
  <c r="F1658" i="1" a="1"/>
  <c r="F1722" i="1" a="1"/>
  <c r="F951" i="1" a="1"/>
  <c r="F988" i="1" a="1"/>
  <c r="F989" i="1" a="1"/>
  <c r="F1001" i="1" a="1"/>
  <c r="F1029" i="1" a="1"/>
  <c r="F1180" i="1" a="1"/>
  <c r="F1362" i="1" a="1"/>
  <c r="F1531" i="1" a="1"/>
  <c r="F1178" i="1" a="1"/>
  <c r="F1492" i="1" a="1"/>
  <c r="F1878" i="1" a="1"/>
  <c r="F1387" i="1" a="1"/>
  <c r="F1747" i="1" a="1"/>
  <c r="F1932" i="1" a="1"/>
  <c r="F2106" i="1" a="1"/>
  <c r="F1366" i="1" a="1"/>
  <c r="F1232" i="1" a="1"/>
  <c r="F1588" i="1" a="1"/>
  <c r="F1823" i="1" a="1"/>
  <c r="F2002" i="1" a="1"/>
  <c r="F1117" i="1" a="1"/>
  <c r="F1494" i="1" a="1"/>
  <c r="F1172" i="1" a="1"/>
  <c r="F1659" i="1" a="1"/>
  <c r="F1894" i="1" a="1"/>
  <c r="F2126" i="1" a="1"/>
  <c r="F2224" i="1" a="1"/>
  <c r="F2309" i="1" a="1"/>
  <c r="F2415" i="1" a="1"/>
  <c r="F2543" i="1" a="1"/>
  <c r="F2654" i="1" a="1"/>
  <c r="F2718" i="1" a="1"/>
  <c r="F2782" i="1" a="1"/>
  <c r="F2846" i="1" a="1"/>
  <c r="F2910" i="1" a="1"/>
  <c r="F2974" i="1" a="1"/>
  <c r="F3038" i="1" a="1"/>
  <c r="F3102" i="1" a="1"/>
  <c r="F3166" i="1" a="1"/>
  <c r="F1466" i="1" a="1"/>
  <c r="F1907" i="1" a="1"/>
  <c r="F2120" i="1" a="1"/>
  <c r="F2365" i="1" a="1"/>
  <c r="F2493" i="1" a="1"/>
  <c r="F2621" i="1" a="1"/>
  <c r="F1735" i="1" a="1"/>
  <c r="F1968" i="1" a="1"/>
  <c r="F2166" i="1" a="1"/>
  <c r="F2252" i="1" a="1"/>
  <c r="F2337" i="1" a="1"/>
  <c r="F2466" i="1" a="1"/>
  <c r="F2594" i="1" a="1"/>
  <c r="F2675" i="1" a="1"/>
  <c r="F1406" i="1" a="1"/>
  <c r="F1890" i="1" a="1"/>
  <c r="F2134" i="1" a="1"/>
  <c r="F1558" i="1" a="1"/>
  <c r="F1884" i="1" a="1"/>
  <c r="F2110" i="1" a="1"/>
  <c r="F2216" i="1" a="1"/>
  <c r="F1716" i="1" a="1"/>
  <c r="F2015" i="1" a="1"/>
  <c r="F2255" i="1" a="1"/>
  <c r="F2428" i="1" a="1"/>
  <c r="F2556" i="1" a="1"/>
  <c r="F1843" i="1" a="1"/>
  <c r="F2390" i="1" a="1"/>
  <c r="F2731" i="1" a="1"/>
  <c r="F2845" i="1" a="1"/>
  <c r="F2943" i="1" a="1"/>
  <c r="F2164" i="1" a="1"/>
  <c r="F2391" i="1" a="1"/>
  <c r="F2637" i="1" a="1"/>
  <c r="F2925" i="1" a="1"/>
  <c r="F3099" i="1" a="1"/>
  <c r="F2026" i="1" a="1"/>
  <c r="F2430" i="1" a="1"/>
  <c r="G6198" i="1" a="1"/>
  <c r="G5507" i="1" a="1"/>
  <c r="G6874" i="1" a="1"/>
  <c r="G7898" i="1" a="1"/>
  <c r="G6806" i="1" a="1"/>
  <c r="G4375" i="1" a="1"/>
  <c r="G5065" i="1" a="1"/>
  <c r="G6612" i="1" a="1"/>
  <c r="G7618" i="1" a="1"/>
  <c r="G7982" i="1" a="1"/>
  <c r="G9064" i="1" a="1"/>
  <c r="G9673" i="1" a="1"/>
  <c r="G10185" i="1" a="1"/>
  <c r="G7794" i="1" a="1"/>
  <c r="G8937" i="1" a="1"/>
  <c r="G7561" i="1" a="1"/>
  <c r="G8791" i="1" a="1"/>
  <c r="G6721" i="1" a="1"/>
  <c r="G6935" i="1" a="1"/>
  <c r="G7835" i="1" a="1"/>
  <c r="G7004" i="1" a="1"/>
  <c r="G9304" i="1" a="1"/>
  <c r="G7352" i="1" a="1"/>
  <c r="G9806" i="1" a="1"/>
  <c r="G10568" i="1" a="1"/>
  <c r="G7906" i="1" a="1"/>
  <c r="G9487" i="1" a="1"/>
  <c r="G8248" i="1" a="1"/>
  <c r="G8378" i="1" a="1"/>
  <c r="G8501" i="1" a="1"/>
  <c r="G10267" i="1" a="1"/>
  <c r="G10543" i="1" a="1"/>
  <c r="G11031" i="1" a="1"/>
  <c r="G11159" i="1" a="1"/>
  <c r="G11287" i="1" a="1"/>
  <c r="G11415" i="1" a="1"/>
  <c r="G11543" i="1" a="1"/>
  <c r="G11671" i="1" a="1"/>
  <c r="G11799" i="1" a="1"/>
  <c r="G11927" i="1" a="1"/>
  <c r="G12055" i="1" a="1"/>
  <c r="G12183" i="1" a="1"/>
  <c r="G12311" i="1" a="1"/>
  <c r="G12439" i="1" a="1"/>
  <c r="G12567" i="1" a="1"/>
  <c r="G12695" i="1" a="1"/>
  <c r="G12823" i="1" a="1"/>
  <c r="G8691" i="1" a="1"/>
  <c r="G9167" i="1" a="1"/>
  <c r="G9382" i="1" a="1"/>
  <c r="G9552" i="1" a="1"/>
  <c r="G9835" i="1" a="1"/>
  <c r="G10164" i="1" a="1"/>
  <c r="G10545" i="1" a="1"/>
  <c r="G10653" i="1" a="1"/>
  <c r="G10738" i="1" a="1"/>
  <c r="G10823" i="1" a="1"/>
  <c r="G10909" i="1" a="1"/>
  <c r="G11027" i="1" a="1"/>
  <c r="G11155" i="1" a="1"/>
  <c r="G11283" i="1" a="1"/>
  <c r="G11411" i="1" a="1"/>
  <c r="G11539" i="1" a="1"/>
  <c r="G11667" i="1" a="1"/>
  <c r="G11795" i="1" a="1"/>
  <c r="G11923" i="1" a="1"/>
  <c r="G12051" i="1" a="1"/>
  <c r="G12179" i="1" a="1"/>
  <c r="G12307" i="1" a="1"/>
  <c r="G8710" i="1" a="1"/>
  <c r="G9131" i="1" a="1"/>
  <c r="G9808" i="1" a="1"/>
  <c r="G10174" i="1" a="1"/>
  <c r="G10314" i="1" a="1"/>
  <c r="G10462" i="1" a="1"/>
  <c r="G10973" i="1" a="1"/>
  <c r="G11101" i="1" a="1"/>
  <c r="G11229" i="1" a="1"/>
  <c r="G11357" i="1" a="1"/>
  <c r="G11485" i="1" a="1"/>
  <c r="G11613" i="1" a="1"/>
  <c r="G11741" i="1" a="1"/>
  <c r="G8729" i="1" a="1"/>
  <c r="G9157" i="1" a="1"/>
  <c r="G8606" i="1" a="1"/>
  <c r="G9050" i="1" a="1"/>
  <c r="G8572" i="1" a="1"/>
  <c r="G9039" i="1" a="1"/>
  <c r="G8847" i="1" a="1"/>
  <c r="G9259" i="1" a="1"/>
  <c r="G9950" i="1" a="1"/>
  <c r="G10238" i="1" a="1"/>
  <c r="G10366" i="1" a="1"/>
  <c r="G10535" i="1" a="1"/>
  <c r="G11021" i="1" a="1"/>
  <c r="G11149" i="1" a="1"/>
  <c r="G11277" i="1" a="1"/>
  <c r="G11405" i="1" a="1"/>
  <c r="G8500" i="1" a="1"/>
  <c r="G9012" i="1" a="1"/>
  <c r="G9526" i="1" a="1"/>
  <c r="G10123" i="1" a="1"/>
  <c r="G10623" i="1" a="1"/>
  <c r="G10794" i="1" a="1"/>
  <c r="G10970" i="1" a="1"/>
  <c r="G11226" i="1" a="1"/>
  <c r="G11482" i="1" a="1"/>
  <c r="G11687" i="1" a="1"/>
  <c r="G11898" i="1" a="1"/>
  <c r="G12075" i="1" a="1"/>
  <c r="G12240" i="1" a="1"/>
  <c r="G12403" i="1" a="1"/>
  <c r="G12560" i="1" a="1"/>
  <c r="G12696" i="1" a="1"/>
  <c r="G12842" i="1" a="1"/>
  <c r="G12984" i="1" a="1"/>
  <c r="G13112" i="1" a="1"/>
  <c r="G13240" i="1" a="1"/>
  <c r="G13368" i="1" a="1"/>
  <c r="G13496" i="1" a="1"/>
  <c r="G13624" i="1" a="1"/>
  <c r="G13752" i="1" a="1"/>
  <c r="G13880" i="1" a="1"/>
  <c r="G14008" i="1" a="1"/>
  <c r="G14136" i="1" a="1"/>
  <c r="G9548" i="1" a="1"/>
  <c r="G10179" i="1" a="1"/>
  <c r="G10657" i="1" a="1"/>
  <c r="G10827" i="1" a="1"/>
  <c r="G11017" i="1" a="1"/>
  <c r="G11273" i="1" a="1"/>
  <c r="G11527" i="1" a="1"/>
  <c r="G11753" i="1" a="1"/>
  <c r="G11911" i="1" a="1"/>
  <c r="G12070" i="1" a="1"/>
  <c r="G12246" i="1" a="1"/>
  <c r="G12404" i="1" a="1"/>
  <c r="G12545" i="1" a="1"/>
  <c r="G12691" i="1" a="1"/>
  <c r="G12848" i="1" a="1"/>
  <c r="G12966" i="1" a="1"/>
  <c r="G13094" i="1" a="1"/>
  <c r="G9077" i="1" a="1"/>
  <c r="G9635" i="1" a="1"/>
  <c r="G10443" i="1" a="1"/>
  <c r="G10681" i="1" a="1"/>
  <c r="G10851" i="1" a="1"/>
  <c r="G11065" i="1" a="1"/>
  <c r="G11321" i="1" a="1"/>
  <c r="G11542" i="1" a="1"/>
  <c r="G11755" i="1" a="1"/>
  <c r="G11936" i="1" a="1"/>
  <c r="G12113" i="1" a="1"/>
  <c r="G12283" i="1" a="1"/>
  <c r="G12441" i="1" a="1"/>
  <c r="G12582" i="1" a="1"/>
  <c r="G9766" i="1" a="1"/>
  <c r="G10301" i="1" a="1"/>
  <c r="G9198" i="1" a="1"/>
  <c r="G9620" i="1" a="1"/>
  <c r="G10433" i="1" a="1"/>
  <c r="G10682" i="1" a="1"/>
  <c r="G9334" i="1" a="1"/>
  <c r="G9786" i="1" a="1"/>
  <c r="G10498" i="1" a="1"/>
  <c r="G10715" i="1" a="1"/>
  <c r="G9479" i="1" a="1"/>
  <c r="G10010" i="1" a="1"/>
  <c r="G10601" i="1" a="1"/>
  <c r="G10771" i="1" a="1"/>
  <c r="G10086" i="1" a="1"/>
  <c r="G10438" i="1" a="1"/>
  <c r="G11079" i="1" a="1"/>
  <c r="G11335" i="1" a="1"/>
  <c r="G11591" i="1" a="1"/>
  <c r="G11788" i="1" a="1"/>
  <c r="G11965" i="1" a="1"/>
  <c r="G12141" i="1" a="1"/>
  <c r="G12300" i="1" a="1"/>
  <c r="G12475" i="1" a="1"/>
  <c r="G12611" i="1" a="1"/>
  <c r="G12768" i="1" a="1"/>
  <c r="G10885" i="1" a="1"/>
  <c r="G11368" i="1" a="1"/>
  <c r="G11734" i="1" a="1"/>
  <c r="G12096" i="1" a="1"/>
  <c r="G12395" i="1" a="1"/>
  <c r="G12673" i="1" a="1"/>
  <c r="G12898" i="1" a="1"/>
  <c r="G13063" i="1" a="1"/>
  <c r="G13220" i="1" a="1"/>
  <c r="G13356" i="1" a="1"/>
  <c r="G13497" i="1" a="1"/>
  <c r="G13659" i="1" a="1"/>
  <c r="G13800" i="1" a="1"/>
  <c r="G13936" i="1" a="1"/>
  <c r="G14082" i="1" a="1"/>
  <c r="G14223" i="1" a="1"/>
  <c r="G14261" i="1" a="1"/>
  <c r="G14397" i="1" a="1"/>
  <c r="G14525" i="1" a="1"/>
  <c r="G14645" i="1" a="1"/>
  <c r="G14765" i="1" a="1"/>
  <c r="G14889" i="1" a="1"/>
  <c r="G11113" i="1" a="1"/>
  <c r="G11574" i="1" a="1"/>
  <c r="G11999" i="1" a="1"/>
  <c r="G12341" i="1" a="1"/>
  <c r="G12615" i="1" a="1"/>
  <c r="G12910" i="1" a="1"/>
  <c r="G13075" i="1" a="1"/>
  <c r="G13262" i="1" a="1"/>
  <c r="G13398" i="1" a="1"/>
  <c r="G13555" i="1" a="1"/>
  <c r="G13701" i="1" a="1"/>
  <c r="G13842" i="1" a="1"/>
  <c r="G14015" i="1" a="1"/>
  <c r="G14241" i="1" a="1"/>
  <c r="G14361" i="1" a="1"/>
  <c r="G14489" i="1" a="1"/>
  <c r="G14617" i="1" a="1"/>
  <c r="G14761" i="1" a="1"/>
  <c r="G14893" i="1" a="1"/>
  <c r="G11042" i="1" a="1"/>
  <c r="G11546" i="1" a="1"/>
  <c r="G11939" i="1" a="1"/>
  <c r="G12256" i="1" a="1"/>
  <c r="G12553" i="1" a="1"/>
  <c r="G12825" i="1" a="1"/>
  <c r="G12991" i="1" a="1"/>
  <c r="G13168" i="1" a="1"/>
  <c r="G13310" i="1" a="1"/>
  <c r="G13472" i="1" a="1"/>
  <c r="G13613" i="1" a="1"/>
  <c r="G13749" i="1" a="1"/>
  <c r="G13911" i="1" a="1"/>
  <c r="G14057" i="1" a="1"/>
  <c r="G14183" i="1" a="1"/>
  <c r="G11230" i="1" a="1"/>
  <c r="G11711" i="1" a="1"/>
  <c r="G12077" i="1" a="1"/>
  <c r="G12431" i="1" a="1"/>
  <c r="G12744" i="1" a="1"/>
  <c r="G12949" i="1" a="1"/>
  <c r="G10917" i="1" a="1"/>
  <c r="G11432" i="1" a="1"/>
  <c r="G11883" i="1" a="1"/>
  <c r="G12200" i="1" a="1"/>
  <c r="G12557" i="1" a="1"/>
  <c r="G12812" i="1" a="1"/>
  <c r="G12999" i="1" a="1"/>
  <c r="G13169" i="1" a="1"/>
  <c r="G11195" i="1" a="1"/>
  <c r="G11641" i="1" a="1"/>
  <c r="G11981" i="1" a="1"/>
  <c r="G12335" i="1" a="1"/>
  <c r="G12687" i="1" a="1"/>
  <c r="G12870" i="1" a="1"/>
  <c r="G13054" i="1" a="1"/>
  <c r="G10857" i="1" a="1"/>
  <c r="G11344" i="1" a="1"/>
  <c r="G11787" i="1" a="1"/>
  <c r="G12104" i="1" a="1"/>
  <c r="G12433" i="1" a="1"/>
  <c r="G12704" i="1" a="1"/>
  <c r="G12914" i="1" a="1"/>
  <c r="G13079" i="1" a="1"/>
  <c r="G11111" i="1" a="1"/>
  <c r="G11632" i="1" a="1"/>
  <c r="G11949" i="1" a="1"/>
  <c r="G12303" i="1" a="1"/>
  <c r="G12551" i="1" a="1"/>
  <c r="G12830" i="1" a="1"/>
  <c r="G13006" i="1" a="1"/>
  <c r="G13171" i="1" a="1"/>
  <c r="G13334" i="1" a="1"/>
  <c r="G13491" i="1" a="1"/>
  <c r="G13637" i="1" a="1"/>
  <c r="G13778" i="1" a="1"/>
  <c r="G13914" i="1" a="1"/>
  <c r="G14076" i="1" a="1"/>
  <c r="G14213" i="1" a="1"/>
  <c r="G14288" i="1" a="1"/>
  <c r="G14352" i="1" a="1"/>
  <c r="G14416" i="1" a="1"/>
  <c r="G14480" i="1" a="1"/>
  <c r="G14544" i="1" a="1"/>
  <c r="G14608" i="1" a="1"/>
  <c r="G13312" i="1" a="1"/>
  <c r="G13573" i="1" a="1"/>
  <c r="G13897" i="1" a="1"/>
  <c r="G14157" i="1" a="1"/>
  <c r="G14327" i="1" a="1"/>
  <c r="G14455" i="1" a="1"/>
  <c r="G14583" i="1" a="1"/>
  <c r="G14731" i="1" a="1"/>
  <c r="G14898" i="1" a="1"/>
  <c r="G13919" i="1" a="1"/>
  <c r="G14176" i="1" a="1"/>
  <c r="G14790" i="1" a="1"/>
  <c r="G14578" i="1" a="1"/>
  <c r="G13254" i="1" a="1"/>
  <c r="G14759" i="1" a="1"/>
  <c r="G14363" i="1" a="1"/>
  <c r="G14882" i="1" a="1"/>
  <c r="G14358" i="1" a="1"/>
  <c r="G13193" i="1" a="1"/>
  <c r="G13480" i="1" a="1"/>
  <c r="G14803" i="1" a="1"/>
  <c r="G14142" i="1" a="1"/>
  <c r="G14080" i="1" a="1"/>
  <c r="G14690" i="1" a="1"/>
  <c r="G14094" i="1" a="1"/>
  <c r="G14748" i="1" a="1"/>
  <c r="G13326" i="1" a="1"/>
  <c r="G13640" i="1" a="1"/>
  <c r="G13922" i="1" a="1"/>
  <c r="G14234" i="1" a="1"/>
  <c r="G14362" i="1" a="1"/>
  <c r="G14498" i="1" a="1"/>
  <c r="G14778" i="1" a="1"/>
  <c r="G14059" i="1" a="1"/>
  <c r="G14171" i="1" a="1"/>
  <c r="G14875" i="1" a="1"/>
  <c r="G14294" i="1" a="1"/>
  <c r="G14787" i="1" a="1"/>
  <c r="G13328" i="1" a="1"/>
  <c r="G14180" i="1" a="1"/>
  <c r="G13370" i="1" a="1"/>
  <c r="G13694" i="1" a="1"/>
  <c r="G13083" i="1" a="1"/>
  <c r="G13447" i="1" a="1"/>
  <c r="G13760" i="1" a="1"/>
  <c r="G14021" i="1" a="1"/>
  <c r="G13353" i="1" a="1"/>
  <c r="G13614" i="1" a="1"/>
  <c r="G13928" i="1" a="1"/>
  <c r="G14184" i="1" a="1"/>
  <c r="G14800" i="1" a="1"/>
  <c r="G13411" i="1" a="1"/>
  <c r="G14862" i="1" a="1"/>
  <c r="G14491" i="1" a="1"/>
  <c r="G14664" i="1" a="1"/>
  <c r="G14558" i="1" a="1"/>
  <c r="F31" i="1" a="1"/>
  <c r="F95" i="1" a="1"/>
  <c r="F38" i="1" a="1"/>
  <c r="F124" i="1" a="1"/>
  <c r="F248" i="1" a="1"/>
  <c r="F56" i="1" a="1"/>
  <c r="F233" i="1" a="1"/>
  <c r="F370" i="1" a="1"/>
  <c r="F16" i="1" a="1"/>
  <c r="F144" i="1" a="1"/>
  <c r="F287" i="1" a="1"/>
  <c r="F414" i="1" a="1"/>
  <c r="F558" i="1" a="1"/>
  <c r="F74" i="1" a="1"/>
  <c r="F288" i="1" a="1"/>
  <c r="F446" i="1" a="1"/>
  <c r="F568" i="1" a="1"/>
  <c r="F199" i="1" a="1"/>
  <c r="F363" i="1" a="1"/>
  <c r="F523" i="1" a="1"/>
  <c r="F132" i="1" a="1"/>
  <c r="F32" i="1" a="1"/>
  <c r="F221" i="1" a="1"/>
  <c r="F429" i="1" a="1"/>
  <c r="F148" i="1" a="1"/>
  <c r="F459" i="1" a="1"/>
  <c r="F637" i="1" a="1"/>
  <c r="F397" i="1" a="1"/>
  <c r="F643" i="1" a="1"/>
  <c r="F760" i="1" a="1"/>
  <c r="F218" i="1" a="1"/>
  <c r="F580" i="1" a="1"/>
  <c r="F242" i="1" a="1"/>
  <c r="F510" i="1" a="1"/>
  <c r="F219" i="1" a="1"/>
  <c r="F538" i="1" a="1"/>
  <c r="F112" i="1" a="1"/>
  <c r="F515" i="1" a="1"/>
  <c r="F220" i="1" a="1"/>
  <c r="F763" i="1" a="1"/>
  <c r="F903" i="1" a="1"/>
  <c r="F1031" i="1" a="1"/>
  <c r="F1159" i="1" a="1"/>
  <c r="F1245" i="1" a="1"/>
  <c r="F1309" i="1" a="1"/>
  <c r="F1373" i="1" a="1"/>
  <c r="F1437" i="1" a="1"/>
  <c r="F1501" i="1" a="1"/>
  <c r="F1565" i="1" a="1"/>
  <c r="F1629" i="1" a="1"/>
  <c r="F701" i="1" a="1"/>
  <c r="F867" i="1" a="1"/>
  <c r="F995" i="1" a="1"/>
  <c r="F493" i="1" a="1"/>
  <c r="F806" i="1" a="1"/>
  <c r="F927" i="1" a="1"/>
  <c r="F1055" i="1" a="1"/>
  <c r="F681" i="1" a="1"/>
  <c r="F195" i="1" a="1"/>
  <c r="F734" i="1" a="1"/>
  <c r="F505" i="1" a="1"/>
  <c r="F766" i="1" a="1"/>
  <c r="F699" i="1" a="1"/>
  <c r="F212" i="1" a="1"/>
  <c r="F736" i="1" a="1"/>
  <c r="F884" i="1" a="1"/>
  <c r="F1012" i="1" a="1"/>
  <c r="F883" i="1" a="1"/>
  <c r="F1113" i="1" a="1"/>
  <c r="F1262" i="1" a="1"/>
  <c r="F1431" i="1" a="1"/>
  <c r="F1600" i="1" a="1"/>
  <c r="F1689" i="1" a="1"/>
  <c r="F1753" i="1" a="1"/>
  <c r="F1817" i="1" a="1"/>
  <c r="F1881" i="1" a="1"/>
  <c r="F1945" i="1" a="1"/>
  <c r="F2009" i="1" a="1"/>
  <c r="F2073" i="1" a="1"/>
  <c r="F2137" i="1" a="1"/>
  <c r="F1075" i="1" a="1"/>
  <c r="F1235" i="1" a="1"/>
  <c r="F1404" i="1" a="1"/>
  <c r="F1578" i="1" a="1"/>
  <c r="F996" i="1" a="1"/>
  <c r="F1198" i="1" a="1"/>
  <c r="F1359" i="1" a="1"/>
  <c r="F1528" i="1" a="1"/>
  <c r="F1662" i="1" a="1"/>
  <c r="F1726" i="1" a="1"/>
  <c r="F960" i="1" a="1"/>
  <c r="F1025" i="1" a="1"/>
  <c r="F998" i="1" a="1"/>
  <c r="F1010" i="1" a="1"/>
  <c r="F1038" i="1" a="1"/>
  <c r="F1196" i="1" a="1"/>
  <c r="F1371" i="1" a="1"/>
  <c r="F1540" i="1" a="1"/>
  <c r="F1188" i="1" a="1"/>
  <c r="F1538" i="1" a="1"/>
  <c r="F1887" i="1" a="1"/>
  <c r="F1416" i="1" a="1"/>
  <c r="F1763" i="1" a="1"/>
  <c r="F1946" i="1" a="1"/>
  <c r="F2115" i="1" a="1"/>
  <c r="F1378" i="1" a="1"/>
  <c r="F1242" i="1" a="1"/>
  <c r="F1598" i="1" a="1"/>
  <c r="F1835" i="1" a="1"/>
  <c r="F2011" i="1" a="1"/>
  <c r="F1142" i="1" a="1"/>
  <c r="F1506" i="1" a="1"/>
  <c r="F1206" i="1" a="1"/>
  <c r="F1671" i="1" a="1"/>
  <c r="F1912" i="1" a="1"/>
  <c r="F2144" i="1" a="1"/>
  <c r="F2229" i="1" a="1"/>
  <c r="F2314" i="1" a="1"/>
  <c r="F2424" i="1" a="1"/>
  <c r="F2552" i="1" a="1"/>
  <c r="F2658" i="1" a="1"/>
  <c r="F2722" i="1" a="1"/>
  <c r="F2786" i="1" a="1"/>
  <c r="F2850" i="1" a="1"/>
  <c r="F2914" i="1" a="1"/>
  <c r="F2978" i="1" a="1"/>
  <c r="F3042" i="1" a="1"/>
  <c r="F3106" i="1" a="1"/>
  <c r="F3170" i="1" a="1"/>
  <c r="F1507" i="1" a="1"/>
  <c r="F1919" i="1" a="1"/>
  <c r="F2132" i="1" a="1"/>
  <c r="F2374" i="1" a="1"/>
  <c r="F2502" i="1" a="1"/>
  <c r="F2630" i="1" a="1"/>
  <c r="F1759" i="1" a="1"/>
  <c r="F1975" i="1" a="1"/>
  <c r="F2172" i="1" a="1"/>
  <c r="F2257" i="1" a="1"/>
  <c r="F2342" i="1" a="1"/>
  <c r="F2471" i="1" a="1"/>
  <c r="F2599" i="1" a="1"/>
  <c r="F2679" i="1" a="1"/>
  <c r="F1511" i="1" a="1"/>
  <c r="F1896" i="1" a="1"/>
  <c r="F2140" i="1" a="1"/>
  <c r="F1599" i="1" a="1"/>
  <c r="F1903" i="1" a="1"/>
  <c r="F2128" i="1" a="1"/>
  <c r="F2221" i="1" a="1"/>
  <c r="F1743" i="1" a="1"/>
  <c r="F2027" i="1" a="1"/>
  <c r="F2271" i="1" a="1"/>
  <c r="F2437" i="1" a="1"/>
  <c r="F2565" i="1" a="1"/>
  <c r="F1871" i="1" a="1"/>
  <c r="F2427" i="1" a="1"/>
  <c r="F2749" i="1" a="1"/>
  <c r="F2851" i="1" a="1"/>
  <c r="F2952" i="1" a="1"/>
  <c r="F2185" i="1" a="1"/>
  <c r="F2400" i="1" a="1"/>
  <c r="F2645" i="1" a="1"/>
  <c r="F2939" i="1" a="1"/>
  <c r="F3108" i="1" a="1"/>
  <c r="F2050" i="1" a="1"/>
  <c r="F2467" i="1" a="1"/>
  <c r="G6262" i="1" a="1"/>
  <c r="G5532" i="1" a="1"/>
  <c r="G6883" i="1" a="1"/>
  <c r="G7907" i="1" a="1"/>
  <c r="G6815" i="1" a="1"/>
  <c r="G4413" i="1" a="1"/>
  <c r="G3714" i="1" a="1"/>
  <c r="G6617" i="1" a="1"/>
  <c r="G7627" i="1" a="1"/>
  <c r="G8000" i="1" a="1"/>
  <c r="G9069" i="1" a="1"/>
  <c r="G9677" i="1" a="1"/>
  <c r="G10189" i="1" a="1"/>
  <c r="G7805" i="1" a="1"/>
  <c r="G8946" i="1" a="1"/>
  <c r="G7598" i="1" a="1"/>
  <c r="G8800" i="1" a="1"/>
  <c r="G6758" i="1" a="1"/>
  <c r="G6944" i="1" a="1"/>
  <c r="G7853" i="1" a="1"/>
  <c r="G7059" i="1" a="1"/>
  <c r="G9310" i="1" a="1"/>
  <c r="G7407" i="1" a="1"/>
  <c r="G9815" i="1" a="1"/>
  <c r="G10572" i="1" a="1"/>
  <c r="G7931" i="1" a="1"/>
  <c r="G9492" i="1" a="1"/>
  <c r="G8259" i="1" a="1"/>
  <c r="G8388" i="1" a="1"/>
  <c r="G8510" i="1" a="1"/>
  <c r="G10271" i="1" a="1"/>
  <c r="G10550" i="1" a="1"/>
  <c r="G11036" i="1" a="1"/>
  <c r="G11164" i="1" a="1"/>
  <c r="G11292" i="1" a="1"/>
  <c r="G11420" i="1" a="1"/>
  <c r="G11548" i="1" a="1"/>
  <c r="G11676" i="1" a="1"/>
  <c r="G11804" i="1" a="1"/>
  <c r="G11932" i="1" a="1"/>
  <c r="G12060" i="1" a="1"/>
  <c r="G12188" i="1" a="1"/>
  <c r="G12316" i="1" a="1"/>
  <c r="G12444" i="1" a="1"/>
  <c r="G12572" i="1" a="1"/>
  <c r="G12700" i="1" a="1"/>
  <c r="G12828" i="1" a="1"/>
  <c r="G8746" i="1" a="1"/>
  <c r="G9191" i="1" a="1"/>
  <c r="G9392" i="1" a="1"/>
  <c r="G9563" i="1" a="1"/>
  <c r="G9844" i="1" a="1"/>
  <c r="G10385" i="1" a="1"/>
  <c r="G10563" i="1" a="1"/>
  <c r="G10658" i="1" a="1"/>
  <c r="G10743" i="1" a="1"/>
  <c r="G10829" i="1" a="1"/>
  <c r="G10914" i="1" a="1"/>
  <c r="G11032" i="1" a="1"/>
  <c r="G11160" i="1" a="1"/>
  <c r="G11288" i="1" a="1"/>
  <c r="G11416" i="1" a="1"/>
  <c r="G11544" i="1" a="1"/>
  <c r="G11672" i="1" a="1"/>
  <c r="G11800" i="1" a="1"/>
  <c r="G11928" i="1" a="1"/>
  <c r="G12056" i="1" a="1"/>
  <c r="G12184" i="1" a="1"/>
  <c r="G12312" i="1" a="1"/>
  <c r="G8728" i="1" a="1"/>
  <c r="G9155" i="1" a="1"/>
  <c r="G9854" i="1" a="1"/>
  <c r="G10183" i="1" a="1"/>
  <c r="G10322" i="1" a="1"/>
  <c r="G10469" i="1" a="1"/>
  <c r="G10982" i="1" a="1"/>
  <c r="G11110" i="1" a="1"/>
  <c r="G11238" i="1" a="1"/>
  <c r="G11366" i="1" a="1"/>
  <c r="G11494" i="1" a="1"/>
  <c r="G11622" i="1" a="1"/>
  <c r="G11750" i="1" a="1"/>
  <c r="G8747" i="1" a="1"/>
  <c r="G9168" i="1" a="1"/>
  <c r="G8624" i="1" a="1"/>
  <c r="G9075" i="1" a="1"/>
  <c r="G8609" i="1" a="1"/>
  <c r="G9063" i="1" a="1"/>
  <c r="G8902" i="1" a="1"/>
  <c r="G9630" i="1" a="1"/>
  <c r="G9959" i="1" a="1"/>
  <c r="G10246" i="1" a="1"/>
  <c r="G10374" i="1" a="1"/>
  <c r="G10542" i="1" a="1"/>
  <c r="G11030" i="1" a="1"/>
  <c r="G11158" i="1" a="1"/>
  <c r="G11286" i="1" a="1"/>
  <c r="G11414" i="1" a="1"/>
  <c r="G8537" i="1" a="1"/>
  <c r="G9040" i="1" a="1"/>
  <c r="G9547" i="1" a="1"/>
  <c r="G10178" i="1" a="1"/>
  <c r="G10634" i="1" a="1"/>
  <c r="G10805" i="1" a="1"/>
  <c r="G10979" i="1" a="1"/>
  <c r="G11235" i="1" a="1"/>
  <c r="G11491" i="1" a="1"/>
  <c r="G11716" i="1" a="1"/>
  <c r="G11904" i="1" a="1"/>
  <c r="G12081" i="1" a="1"/>
  <c r="G12251" i="1" a="1"/>
  <c r="G12424" i="1" a="1"/>
  <c r="G12565" i="1" a="1"/>
  <c r="G12701" i="1" a="1"/>
  <c r="G12847" i="1" a="1"/>
  <c r="G12993" i="1" a="1"/>
  <c r="G13121" i="1" a="1"/>
  <c r="G13249" i="1" a="1"/>
  <c r="G13377" i="1" a="1"/>
  <c r="G13505" i="1" a="1"/>
  <c r="G13633" i="1" a="1"/>
  <c r="G13761" i="1" a="1"/>
  <c r="G13889" i="1" a="1"/>
  <c r="G14017" i="1" a="1"/>
  <c r="G14145" i="1" a="1"/>
  <c r="G9570" i="1" a="1"/>
  <c r="G10402" i="1" a="1"/>
  <c r="G10667" i="1" a="1"/>
  <c r="G10838" i="1" a="1"/>
  <c r="G11026" i="1" a="1"/>
  <c r="G11282" i="1" a="1"/>
  <c r="G11556" i="1" a="1"/>
  <c r="G11761" i="1" a="1"/>
  <c r="G11917" i="1" a="1"/>
  <c r="G12076" i="1" a="1"/>
  <c r="G12253" i="1" a="1"/>
  <c r="G12409" i="1" a="1"/>
  <c r="G12550" i="1" a="1"/>
  <c r="G12712" i="1" a="1"/>
  <c r="G12853" i="1" a="1"/>
  <c r="G12971" i="1" a="1"/>
  <c r="G13099" i="1" a="1"/>
  <c r="G9136" i="1" a="1"/>
  <c r="G9690" i="1" a="1"/>
  <c r="G10457" i="1" a="1"/>
  <c r="G10691" i="1" a="1"/>
  <c r="G10862" i="1" a="1"/>
  <c r="G11074" i="1" a="1"/>
  <c r="G11330" i="1" a="1"/>
  <c r="G11550" i="1" a="1"/>
  <c r="G11776" i="1" a="1"/>
  <c r="G11954" i="1" a="1"/>
  <c r="G12131" i="1" a="1"/>
  <c r="G12290" i="1" a="1"/>
  <c r="G12446" i="1" a="1"/>
  <c r="G12587" i="1" a="1"/>
  <c r="G9784" i="1" a="1"/>
  <c r="G10317" i="1" a="1"/>
  <c r="G9246" i="1" a="1"/>
  <c r="G9675" i="1" a="1"/>
  <c r="G10458" i="1" a="1"/>
  <c r="G10693" i="1" a="1"/>
  <c r="G9362" i="1" a="1"/>
  <c r="G9804" i="1" a="1"/>
  <c r="G10523" i="1" a="1"/>
  <c r="G10726" i="1" a="1"/>
  <c r="G9500" i="1" a="1"/>
  <c r="G10028" i="1" a="1"/>
  <c r="G10611" i="1" a="1"/>
  <c r="G10782" i="1" a="1"/>
  <c r="G10104" i="1" a="1"/>
  <c r="G10463" i="1" a="1"/>
  <c r="G11116" i="1" a="1"/>
  <c r="G11372" i="1" a="1"/>
  <c r="G11620" i="1" a="1"/>
  <c r="G11806" i="1" a="1"/>
  <c r="G11983" i="1" a="1"/>
  <c r="G12148" i="1" a="1"/>
  <c r="G12318" i="1" a="1"/>
  <c r="G12481" i="1" a="1"/>
  <c r="G12627" i="1" a="1"/>
  <c r="G12784" i="1" a="1"/>
  <c r="G10906" i="1" a="1"/>
  <c r="G11386" i="1" a="1"/>
  <c r="G11792" i="1" a="1"/>
  <c r="G12121" i="1" a="1"/>
  <c r="G12416" i="1" a="1"/>
  <c r="G12682" i="1" a="1"/>
  <c r="G12904" i="1" a="1"/>
  <c r="G13074" i="1" a="1"/>
  <c r="G13225" i="1" a="1"/>
  <c r="G13361" i="1" a="1"/>
  <c r="G13502" i="1" a="1"/>
  <c r="G13664" i="1" a="1"/>
  <c r="G13805" i="1" a="1"/>
  <c r="G13941" i="1" a="1"/>
  <c r="G14103" i="1" a="1"/>
  <c r="G14232" i="1" a="1"/>
  <c r="G14269" i="1" a="1"/>
  <c r="G14405" i="1" a="1"/>
  <c r="G14533" i="1" a="1"/>
  <c r="G14653" i="1" a="1"/>
  <c r="G14769" i="1" a="1"/>
  <c r="G14897" i="1" a="1"/>
  <c r="G11131" i="1" a="1"/>
  <c r="G11633" i="1" a="1"/>
  <c r="G12012" i="1" a="1"/>
  <c r="G12396" i="1" a="1"/>
  <c r="G12657" i="1" a="1"/>
  <c r="G12917" i="1" a="1"/>
  <c r="G13093" i="1" a="1"/>
  <c r="G13268" i="1" a="1"/>
  <c r="G13414" i="1" a="1"/>
  <c r="G13571" i="1" a="1"/>
  <c r="G13707" i="1" a="1"/>
  <c r="G13853" i="1" a="1"/>
  <c r="G14020" i="1" a="1"/>
  <c r="G14249" i="1" a="1"/>
  <c r="G14369" i="1" a="1"/>
  <c r="G14497" i="1" a="1"/>
  <c r="G14625" i="1" a="1"/>
  <c r="G14773" i="1" a="1"/>
  <c r="G14909" i="1" a="1"/>
  <c r="G11097" i="1" a="1"/>
  <c r="G11605" i="1" a="1"/>
  <c r="G11952" i="1" a="1"/>
  <c r="G12281" i="1" a="1"/>
  <c r="G12564" i="1" a="1"/>
  <c r="G12834" i="1" a="1"/>
  <c r="G13009" i="1" a="1"/>
  <c r="G13186" i="1" a="1"/>
  <c r="G13331" i="1" a="1"/>
  <c r="G13477" i="1" a="1"/>
  <c r="G13618" i="1" a="1"/>
  <c r="G13754" i="1" a="1"/>
  <c r="G13916" i="1" a="1"/>
  <c r="G14062" i="1" a="1"/>
  <c r="G14192" i="1" a="1"/>
  <c r="G11285" i="1" a="1"/>
  <c r="G11756" i="1" a="1"/>
  <c r="G12102" i="1" a="1"/>
  <c r="G12452" i="1" a="1"/>
  <c r="G12751" i="1" a="1"/>
  <c r="G12955" i="1" a="1"/>
  <c r="G10938" i="1" a="1"/>
  <c r="G11450" i="1" a="1"/>
  <c r="G11907" i="1" a="1"/>
  <c r="G12224" i="1" a="1"/>
  <c r="G12568" i="1" a="1"/>
  <c r="G12819" i="1" a="1"/>
  <c r="G13010" i="1" a="1"/>
  <c r="G13175" i="1" a="1"/>
  <c r="G11232" i="1" a="1"/>
  <c r="G11655" i="1" a="1"/>
  <c r="G12006" i="1" a="1"/>
  <c r="G12359" i="1" a="1"/>
  <c r="G12694" i="1" a="1"/>
  <c r="G12883" i="1" a="1"/>
  <c r="G13060" i="1" a="1"/>
  <c r="G10878" i="1" a="1"/>
  <c r="G11362" i="1" a="1"/>
  <c r="G11811" i="1" a="1"/>
  <c r="G12128" i="1" a="1"/>
  <c r="G12443" i="1" a="1"/>
  <c r="G12713" i="1" a="1"/>
  <c r="G12921" i="1" a="1"/>
  <c r="G13097" i="1" a="1"/>
  <c r="G11148" i="1" a="1"/>
  <c r="G11646" i="1" a="1"/>
  <c r="G11974" i="1" a="1"/>
  <c r="G12327" i="1" a="1"/>
  <c r="G12593" i="1" a="1"/>
  <c r="G12839" i="1" a="1"/>
  <c r="G13013" i="1" a="1"/>
  <c r="G13189" i="1" a="1"/>
  <c r="G13350" i="1" a="1"/>
  <c r="G13507" i="1" a="1"/>
  <c r="G13643" i="1" a="1"/>
  <c r="G13789" i="1" a="1"/>
  <c r="G13951" i="1" a="1"/>
  <c r="G14087" i="1" a="1"/>
  <c r="G14218" i="1" a="1"/>
  <c r="G14292" i="1" a="1"/>
  <c r="G14356" i="1" a="1"/>
  <c r="G14420" i="1" a="1"/>
  <c r="G14484" i="1" a="1"/>
  <c r="G14548" i="1" a="1"/>
  <c r="G14612" i="1" a="1"/>
  <c r="G13323" i="1" a="1"/>
  <c r="G13584" i="1" a="1"/>
  <c r="G13908" i="1" a="1"/>
  <c r="G14194" i="1" a="1"/>
  <c r="G14335" i="1" a="1"/>
  <c r="G14463" i="1" a="1"/>
  <c r="G14591" i="1" a="1"/>
  <c r="G14738" i="1" a="1"/>
  <c r="G14916" i="1" a="1"/>
  <c r="G13940" i="1" a="1"/>
  <c r="G14185" i="1" a="1"/>
  <c r="G14808" i="1" a="1"/>
  <c r="G14594" i="1" a="1"/>
  <c r="G13296" i="1" a="1"/>
  <c r="G14784" i="1" a="1"/>
  <c r="G14395" i="1" a="1"/>
  <c r="G14914" i="1" a="1"/>
  <c r="G14398" i="1" a="1"/>
  <c r="G13207" i="1" a="1"/>
  <c r="G13490" i="1" a="1"/>
  <c r="G14835" i="1" a="1"/>
  <c r="G14225" i="1" a="1"/>
  <c r="G14162" i="1" a="1"/>
  <c r="G14715" i="1" a="1"/>
  <c r="G14211" i="1" a="1"/>
  <c r="G14794" i="1" a="1"/>
  <c r="G13337" i="1" a="1"/>
  <c r="G13650" i="1" a="1"/>
  <c r="G13943" i="1" a="1"/>
  <c r="G14242" i="1" a="1"/>
  <c r="G14370" i="1" a="1"/>
  <c r="G14506" i="1" a="1"/>
  <c r="G14810" i="1" a="1"/>
  <c r="G14121" i="1" a="1"/>
  <c r="G14251" i="1" a="1"/>
  <c r="G14900" i="1" a="1"/>
  <c r="G14326" i="1" a="1"/>
  <c r="G14812" i="1" a="1"/>
  <c r="G13338" i="1" a="1"/>
  <c r="G14843" i="1" a="1"/>
  <c r="G13412" i="1" a="1"/>
  <c r="G13715" i="1" a="1"/>
  <c r="G13132" i="1" a="1"/>
  <c r="G13457" i="1" a="1"/>
  <c r="G13771" i="1" a="1"/>
  <c r="G14032" i="1" a="1"/>
  <c r="G13364" i="1" a="1"/>
  <c r="G13625" i="1" a="1"/>
  <c r="G13938" i="1" a="1"/>
  <c r="G14193" i="1" a="1"/>
  <c r="G14807" i="1" a="1"/>
  <c r="G13484" i="1" a="1"/>
  <c r="G13526" i="1" a="1"/>
  <c r="G14523" i="1" a="1"/>
  <c r="G14742" i="1" a="1"/>
  <c r="G14590" i="1" a="1"/>
  <c r="F35" i="1" a="1"/>
  <c r="F99" i="1" a="1"/>
  <c r="F44" i="1" a="1"/>
  <c r="F129" i="1" a="1"/>
  <c r="F257" i="1" a="1"/>
  <c r="F68" i="1" a="1"/>
  <c r="F238" i="1" a="1"/>
  <c r="F379" i="1" a="1"/>
  <c r="F10" i="1" a="1"/>
  <c r="F150" i="1" a="1"/>
  <c r="F293" i="1" a="1"/>
  <c r="F419" i="1" a="1"/>
  <c r="F563" i="1" a="1"/>
  <c r="F82" i="1" a="1"/>
  <c r="F294" i="1" a="1"/>
  <c r="F451" i="1" a="1"/>
  <c r="F577" i="1" a="1"/>
  <c r="F205" i="1" a="1"/>
  <c r="F400" i="1" a="1"/>
  <c r="F532" i="1" a="1"/>
  <c r="F140" i="1" a="1"/>
  <c r="F40" i="1" a="1"/>
  <c r="F239" i="1" a="1"/>
  <c r="F440" i="1" a="1"/>
  <c r="F201" i="1" a="1"/>
  <c r="F479" i="1" a="1"/>
  <c r="F642" i="1" a="1"/>
  <c r="F408" i="1" a="1"/>
  <c r="F648" i="1" a="1"/>
  <c r="F769" i="1" a="1"/>
  <c r="F230" i="1" a="1"/>
  <c r="F588" i="1" a="1"/>
  <c r="F278" i="1" a="1"/>
  <c r="F544" i="1" a="1"/>
  <c r="F231" i="1" a="1"/>
  <c r="F546" i="1" a="1"/>
  <c r="F183" i="1" a="1"/>
  <c r="F524" i="1" a="1"/>
  <c r="F268" i="1" a="1"/>
  <c r="F768" i="1" a="1"/>
  <c r="F912" i="1" a="1"/>
  <c r="F1040" i="1" a="1"/>
  <c r="F1168" i="1" a="1"/>
  <c r="F1249" i="1" a="1"/>
  <c r="F1313" i="1" a="1"/>
  <c r="F1377" i="1" a="1"/>
  <c r="F1441" i="1" a="1"/>
  <c r="F1505" i="1" a="1"/>
  <c r="F1569" i="1" a="1"/>
  <c r="F1633" i="1" a="1"/>
  <c r="F706" i="1" a="1"/>
  <c r="F876" i="1" a="1"/>
  <c r="F1004" i="1" a="1"/>
  <c r="F561" i="1" a="1"/>
  <c r="F827" i="1" a="1"/>
  <c r="F936" i="1" a="1"/>
  <c r="F1064" i="1" a="1"/>
  <c r="F686" i="1" a="1"/>
  <c r="F292" i="1" a="1"/>
  <c r="F755" i="1" a="1"/>
  <c r="F598" i="1" a="1"/>
  <c r="F803" i="1" a="1"/>
  <c r="F704" i="1" a="1"/>
  <c r="F260" i="1" a="1"/>
  <c r="F741" i="1" a="1"/>
  <c r="F889" i="1" a="1"/>
  <c r="F1017" i="1" a="1"/>
  <c r="F892" i="1" a="1"/>
  <c r="F1129" i="1" a="1"/>
  <c r="F1271" i="1" a="1"/>
  <c r="F1440" i="1" a="1"/>
  <c r="F1614" i="1" a="1"/>
  <c r="F1693" i="1" a="1"/>
  <c r="F1757" i="1" a="1"/>
  <c r="F1821" i="1" a="1"/>
  <c r="F1885" i="1" a="1"/>
  <c r="F1949" i="1" a="1"/>
  <c r="F2013" i="1" a="1"/>
  <c r="F2077" i="1" a="1"/>
  <c r="F2141" i="1" a="1"/>
  <c r="F1083" i="1" a="1"/>
  <c r="F1244" i="1" a="1"/>
  <c r="F1418" i="1" a="1"/>
  <c r="F1587" i="1" a="1"/>
  <c r="F1033" i="1" a="1"/>
  <c r="F1203" i="1" a="1"/>
  <c r="F1368" i="1" a="1"/>
  <c r="F1542" i="1" a="1"/>
  <c r="F1666" i="1" a="1"/>
  <c r="F1730" i="1" a="1"/>
  <c r="F997" i="1" a="1"/>
  <c r="F1034" i="1" a="1"/>
  <c r="F1007" i="1" a="1"/>
  <c r="F1019" i="1" a="1"/>
  <c r="F1047" i="1" a="1"/>
  <c r="F1211" i="1" a="1"/>
  <c r="F1380" i="1" a="1"/>
  <c r="F1554" i="1" a="1"/>
  <c r="F1218" i="1" a="1"/>
  <c r="F1547" i="1" a="1"/>
  <c r="F1100" i="1" a="1"/>
  <c r="F1448" i="1" a="1"/>
  <c r="F1771" i="1" a="1"/>
  <c r="F1955" i="1" a="1"/>
  <c r="F2124" i="1" a="1"/>
  <c r="F1407" i="1" a="1"/>
  <c r="F1264" i="1" a="1"/>
  <c r="F1630" i="1" a="1"/>
  <c r="F1840" i="1" a="1"/>
  <c r="F2020" i="1" a="1"/>
  <c r="F1153" i="1" a="1"/>
  <c r="F1535" i="1" a="1"/>
  <c r="F1228" i="1" a="1"/>
  <c r="F1707" i="1" a="1"/>
  <c r="F1918" i="1" a="1"/>
  <c r="F2149" i="1" a="1"/>
  <c r="F2234" i="1" a="1"/>
  <c r="F2320" i="1" a="1"/>
  <c r="F2433" i="1" a="1"/>
  <c r="F2561" i="1" a="1"/>
  <c r="F2662" i="1" a="1"/>
  <c r="F2726" i="1" a="1"/>
  <c r="F2790" i="1" a="1"/>
  <c r="F2854" i="1" a="1"/>
  <c r="F2918" i="1" a="1"/>
  <c r="F2982" i="1" a="1"/>
  <c r="F3046" i="1" a="1"/>
  <c r="F3110" i="1" a="1"/>
  <c r="F3174" i="1" a="1"/>
  <c r="F1590" i="1" a="1"/>
  <c r="F1931" i="1" a="1"/>
  <c r="F2155" i="1" a="1"/>
  <c r="F2379" i="1" a="1"/>
  <c r="F2507" i="1" a="1"/>
  <c r="F1110" i="1" a="1"/>
  <c r="F1778" i="1" a="1"/>
  <c r="F1999" i="1" a="1"/>
  <c r="F2177" i="1" a="1"/>
  <c r="F2262" i="1" a="1"/>
  <c r="F2352" i="1" a="1"/>
  <c r="F2480" i="1" a="1"/>
  <c r="F2608" i="1" a="1"/>
  <c r="F2683" i="1" a="1"/>
  <c r="F1552" i="1" a="1"/>
  <c r="F1908" i="1" a="1"/>
  <c r="F2151" i="1" a="1"/>
  <c r="F1640" i="1" a="1"/>
  <c r="F1927" i="1" a="1"/>
  <c r="F2135" i="1" a="1"/>
  <c r="F1133" i="1" a="1"/>
  <c r="F1764" i="1" a="1"/>
  <c r="F2058" i="1" a="1"/>
  <c r="F2287" i="1" a="1"/>
  <c r="F2446" i="1" a="1"/>
  <c r="F2574" i="1" a="1"/>
  <c r="F1898" i="1" a="1"/>
  <c r="F2436" i="1" a="1"/>
  <c r="F2756" i="1" a="1"/>
  <c r="F2856" i="1" a="1"/>
  <c r="F2961" i="1" a="1"/>
  <c r="F2206" i="1" a="1"/>
  <c r="F2409" i="1" a="1"/>
  <c r="F2653" i="1" a="1"/>
  <c r="F2948" i="1" a="1"/>
  <c r="F3117" i="1" a="1"/>
  <c r="F2099" i="1" a="1"/>
  <c r="F2476" i="1" a="1"/>
  <c r="G4955" i="1" a="1"/>
  <c r="G6086" i="1" a="1"/>
  <c r="G8919" i="1" a="1"/>
  <c r="G10632" i="1" a="1"/>
  <c r="G11045" i="1" a="1"/>
  <c r="G12069" i="1" a="1"/>
  <c r="G9216" i="1" a="1"/>
  <c r="G10834" i="1" a="1"/>
  <c r="G11809" i="1" a="1"/>
  <c r="G10192" i="1" a="1"/>
  <c r="G11631" i="1" a="1"/>
  <c r="G8920" i="1" a="1"/>
  <c r="G11295" i="1" a="1"/>
  <c r="G11016" i="1" a="1"/>
  <c r="G12570" i="1" a="1"/>
  <c r="G13642" i="1" a="1"/>
  <c r="G10849" i="1" a="1"/>
  <c r="G12414" i="1" a="1"/>
  <c r="G10482" i="1" a="1"/>
  <c r="G12137" i="1" a="1"/>
  <c r="G10483" i="1" a="1"/>
  <c r="G10622" i="1" a="1"/>
  <c r="G11989" i="1" a="1"/>
  <c r="G11803" i="1" a="1"/>
  <c r="G13523" i="1" a="1"/>
  <c r="G14541" i="1" a="1"/>
  <c r="G12666" i="1" a="1"/>
  <c r="G14025" i="1" a="1"/>
  <c r="G11619" i="1" a="1"/>
  <c r="G13483" i="1" a="1"/>
  <c r="G12126" i="1" a="1"/>
  <c r="G12578" i="1" a="1"/>
  <c r="G12703" i="1" a="1"/>
  <c r="G12746" i="1" a="1"/>
  <c r="G12856" i="1" a="1"/>
  <c r="G14092" i="1" a="1"/>
  <c r="G13333" i="1" a="1"/>
  <c r="G14923" i="1" a="1"/>
  <c r="G13987" i="1" a="1"/>
  <c r="G14262" i="1" a="1"/>
  <c r="G14842" i="1" a="1"/>
  <c r="G13422" i="1" a="1"/>
  <c r="G13949" i="1" a="1"/>
  <c r="F39" i="1" a="1"/>
  <c r="F24" i="1" a="1"/>
  <c r="F586" i="1" a="1"/>
  <c r="F237" i="1" a="1"/>
  <c r="F290" i="1" a="1"/>
  <c r="F917" i="1" a="1"/>
  <c r="F1573" i="1" a="1"/>
  <c r="F1069" i="1" a="1"/>
  <c r="F747" i="1" a="1"/>
  <c r="F1697" i="1" a="1"/>
  <c r="F1097" i="1" a="1"/>
  <c r="F1670" i="1" a="1"/>
  <c r="F1394" i="1" a="1"/>
  <c r="F2138" i="1" a="1"/>
  <c r="F1238" i="1" a="1"/>
  <c r="F2666" i="1" a="1"/>
  <c r="F3178" i="1" a="1"/>
  <c r="F2023" i="1" a="1"/>
  <c r="F1939" i="1" a="1"/>
  <c r="F1562" i="1" a="1"/>
  <c r="F2510" i="1" a="1"/>
  <c r="F2813" i="1" a="1"/>
  <c r="F2537" i="1" a="1"/>
  <c r="F2348" i="1" a="1"/>
  <c r="F2757" i="1" a="1"/>
  <c r="F2237" i="1" a="1"/>
  <c r="F2426" i="1" a="1"/>
  <c r="F2232" i="1" a="1"/>
  <c r="F2665" i="1" a="1"/>
  <c r="F2863" i="1" a="1"/>
  <c r="F3048" i="1" a="1"/>
  <c r="F3219" i="1" a="1"/>
  <c r="F3347" i="1" a="1"/>
  <c r="F3475" i="1" a="1"/>
  <c r="F3603" i="1" a="1"/>
  <c r="F3731" i="1" a="1"/>
  <c r="F3859" i="1" a="1"/>
  <c r="F3977" i="1" a="1"/>
  <c r="F4041" i="1" a="1"/>
  <c r="F4105" i="1" a="1"/>
  <c r="F4169" i="1" a="1"/>
  <c r="F4233" i="1" a="1"/>
  <c r="F4297" i="1" a="1"/>
  <c r="F4361" i="1" a="1"/>
  <c r="F4425" i="1" a="1"/>
  <c r="F4489" i="1" a="1"/>
  <c r="F2541" i="1" a="1"/>
  <c r="F2987" i="1" a="1"/>
  <c r="F3164" i="1" a="1"/>
  <c r="F3325" i="1" a="1"/>
  <c r="F3453" i="1" a="1"/>
  <c r="F3581" i="1" a="1"/>
  <c r="F3709" i="1" a="1"/>
  <c r="F3837" i="1" a="1"/>
  <c r="F3965" i="1" a="1"/>
  <c r="F2359" i="1" a="1"/>
  <c r="F2779" i="1" a="1"/>
  <c r="F2892" i="1" a="1"/>
  <c r="F3107" i="1" a="1"/>
  <c r="F3252" i="1" a="1"/>
  <c r="F3380" i="1" a="1"/>
  <c r="F3508" i="1" a="1"/>
  <c r="F3636" i="1" a="1"/>
  <c r="F3764" i="1" a="1"/>
  <c r="F3892" i="1" a="1"/>
  <c r="F3994" i="1" a="1"/>
  <c r="F4058" i="1" a="1"/>
  <c r="F4122" i="1" a="1"/>
  <c r="F1916" i="1" a="1"/>
  <c r="F2038" i="1" a="1"/>
  <c r="F2704" i="1" a="1"/>
  <c r="F3079" i="1" a="1"/>
  <c r="F3246" i="1" a="1"/>
  <c r="F3374" i="1" a="1"/>
  <c r="F3502" i="1" a="1"/>
  <c r="F3630" i="1" a="1"/>
  <c r="F3758" i="1" a="1"/>
  <c r="F3886" i="1" a="1"/>
  <c r="F2605" i="1" a="1"/>
  <c r="F3231" i="1" a="1"/>
  <c r="F3487" i="1" a="1"/>
  <c r="F3743" i="1" a="1"/>
  <c r="F4387" i="1" a="1"/>
  <c r="F4516" i="1" a="1"/>
  <c r="F4580" i="1" a="1"/>
  <c r="F4644" i="1" a="1"/>
  <c r="F4708" i="1" a="1"/>
  <c r="F4772" i="1" a="1"/>
  <c r="F4836" i="1" a="1"/>
  <c r="F4900" i="1" a="1"/>
  <c r="F4964" i="1" a="1"/>
  <c r="F5028" i="1" a="1"/>
  <c r="F5092" i="1" a="1"/>
  <c r="F5156" i="1" a="1"/>
  <c r="F5220" i="1" a="1"/>
  <c r="F5284" i="1" a="1"/>
  <c r="F2386" i="1" a="1"/>
  <c r="F2903" i="1" a="1"/>
  <c r="F3305" i="1" a="1"/>
  <c r="F3561" i="1" a="1"/>
  <c r="F3817" i="1" a="1"/>
  <c r="F4012" i="1" a="1"/>
  <c r="F4140" i="1" a="1"/>
  <c r="F4250" i="1" a="1"/>
  <c r="F4335" i="1" a="1"/>
  <c r="F4456" i="1" a="1"/>
  <c r="F3019" i="1" a="1"/>
  <c r="F3326" i="1" a="1"/>
  <c r="F3582" i="1" a="1"/>
  <c r="F3838" i="1" a="1"/>
  <c r="F4434" i="1" a="1"/>
  <c r="F2697" i="1" a="1"/>
  <c r="F2404" i="1" a="1"/>
  <c r="F2286" i="1" a="1"/>
  <c r="F2853" i="1" a="1"/>
  <c r="F3013" i="1" a="1"/>
  <c r="F2801" i="1" a="1"/>
  <c r="F3129" i="1" a="1"/>
  <c r="F3441" i="1" a="1"/>
  <c r="F3697" i="1" a="1"/>
  <c r="F3093" i="1" a="1"/>
  <c r="F3638" i="1" a="1"/>
  <c r="F4079" i="1" a="1"/>
  <c r="F4359" i="1" a="1"/>
  <c r="F4525" i="1" a="1"/>
  <c r="F4610" i="1" a="1"/>
  <c r="F4695" i="1" a="1"/>
  <c r="F4781" i="1" a="1"/>
  <c r="F4934" i="1" a="1"/>
  <c r="F5103" i="1" a="1"/>
  <c r="F5277" i="1" a="1"/>
  <c r="F3073" i="1" a="1"/>
  <c r="F3620" i="1" a="1"/>
  <c r="F4040" i="1" a="1"/>
  <c r="F4310" i="1" a="1"/>
  <c r="F3221" i="1" a="1"/>
  <c r="F3336" i="1" a="1"/>
  <c r="F3848" i="1" a="1"/>
  <c r="F4219" i="1" a="1"/>
  <c r="F4462" i="1" a="1"/>
  <c r="F4559" i="1" a="1"/>
  <c r="F4645" i="1" a="1"/>
  <c r="F4730" i="1" a="1"/>
  <c r="F4831" i="1" a="1"/>
  <c r="F5005" i="1" a="1"/>
  <c r="F3248" i="1" a="1"/>
  <c r="F3564" i="1" a="1"/>
  <c r="F4075" i="1" a="1"/>
  <c r="F4323" i="1" a="1"/>
  <c r="F3666" i="1" a="1"/>
  <c r="F4374" i="1" a="1"/>
  <c r="F4846" i="1" a="1"/>
  <c r="F5055" i="1" a="1"/>
  <c r="F5259" i="1" a="1"/>
  <c r="F3742" i="1" a="1"/>
  <c r="F4390" i="1" a="1"/>
  <c r="F4697" i="1" a="1"/>
  <c r="F4938" i="1" a="1"/>
  <c r="F5145" i="1" a="1"/>
  <c r="F5341" i="1" a="1"/>
  <c r="F5415" i="1" a="1"/>
  <c r="F3605" i="1" a="1"/>
  <c r="F4327" i="1" a="1"/>
  <c r="F4638" i="1" a="1"/>
  <c r="F4921" i="1" a="1"/>
  <c r="F5114" i="1" a="1"/>
  <c r="F5307" i="1" a="1"/>
  <c r="F3967" i="1" a="1"/>
  <c r="F3940" i="1" a="1"/>
  <c r="F3870" i="1" a="1"/>
  <c r="F3806" i="1" a="1"/>
  <c r="F3811" i="1" a="1"/>
  <c r="F4431" i="1" a="1"/>
  <c r="F4851" i="1" a="1"/>
  <c r="F5086" i="1" a="1"/>
  <c r="F5279" i="1" a="1"/>
  <c r="F4507" i="1" a="1"/>
  <c r="F5002" i="1" a="1"/>
  <c r="F5373" i="1" a="1"/>
  <c r="F5465" i="1" a="1"/>
  <c r="F5593" i="1" a="1"/>
  <c r="F5721" i="1" a="1"/>
  <c r="F5849" i="1" a="1"/>
  <c r="F5977" i="1" a="1"/>
  <c r="F6105" i="1" a="1"/>
  <c r="F6233" i="1" a="1"/>
  <c r="F6361" i="1" a="1"/>
  <c r="F6489" i="1" a="1"/>
  <c r="F6617" i="1" a="1"/>
  <c r="F6745" i="1" a="1"/>
  <c r="F6873" i="1" a="1"/>
  <c r="F7001" i="1" a="1"/>
  <c r="F7129" i="1" a="1"/>
  <c r="F7257" i="1" a="1"/>
  <c r="F7385" i="1" a="1"/>
  <c r="F4531" i="1" a="1"/>
  <c r="F5027" i="1" a="1"/>
  <c r="F5330" i="1" a="1"/>
  <c r="F5580" i="1" a="1"/>
  <c r="F5708" i="1" a="1"/>
  <c r="F5836" i="1" a="1"/>
  <c r="F5964" i="1" a="1"/>
  <c r="F6092" i="1" a="1"/>
  <c r="F6220" i="1" a="1"/>
  <c r="F6348" i="1" a="1"/>
  <c r="F6476" i="1" a="1"/>
  <c r="F6604" i="1" a="1"/>
  <c r="F6732" i="1" a="1"/>
  <c r="F6860" i="1" a="1"/>
  <c r="F6988" i="1" a="1"/>
  <c r="F4579" i="1" a="1"/>
  <c r="F5146" i="1" a="1"/>
  <c r="F5398" i="1" a="1"/>
  <c r="F5498" i="1" a="1"/>
  <c r="F5626" i="1" a="1"/>
  <c r="F5754" i="1" a="1"/>
  <c r="F5882" i="1" a="1"/>
  <c r="F6010" i="1" a="1"/>
  <c r="F6138" i="1" a="1"/>
  <c r="F6266" i="1" a="1"/>
  <c r="F6394" i="1" a="1"/>
  <c r="F6522" i="1" a="1"/>
  <c r="F6650" i="1" a="1"/>
  <c r="F6778" i="1" a="1"/>
  <c r="F6906" i="1" a="1"/>
  <c r="F4898" i="1" a="1"/>
  <c r="F4683" i="1" a="1"/>
  <c r="F4521" i="1" a="1"/>
  <c r="F4997" i="1" a="1"/>
  <c r="F4903" i="1" a="1"/>
  <c r="F4953" i="1" a="1"/>
  <c r="F5298" i="1" a="1"/>
  <c r="F5556" i="1" a="1"/>
  <c r="F5684" i="1" a="1"/>
  <c r="F5812" i="1" a="1"/>
  <c r="F5940" i="1" a="1"/>
  <c r="F6068" i="1" a="1"/>
  <c r="F6196" i="1" a="1"/>
  <c r="F6324" i="1" a="1"/>
  <c r="F6452" i="1" a="1"/>
  <c r="F6580" i="1" a="1"/>
  <c r="F6708" i="1" a="1"/>
  <c r="F6836" i="1" a="1"/>
  <c r="F5262" i="1" a="1"/>
  <c r="F5527" i="1" a="1"/>
  <c r="F5783" i="1" a="1"/>
  <c r="F6039" i="1" a="1"/>
  <c r="F6295" i="1" a="1"/>
  <c r="F6551" i="1" a="1"/>
  <c r="F6807" i="1" a="1"/>
  <c r="F7012" i="1" a="1"/>
  <c r="F7162" i="1" a="1"/>
  <c r="F7324" i="1" a="1"/>
  <c r="F7468" i="1" a="1"/>
  <c r="F7596" i="1" a="1"/>
  <c r="F7724" i="1" a="1"/>
  <c r="F7852" i="1" a="1"/>
  <c r="F7959" i="1" a="1"/>
  <c r="F8023" i="1" a="1"/>
  <c r="F8087" i="1" a="1"/>
  <c r="F8151" i="1" a="1"/>
  <c r="F8215" i="1" a="1"/>
  <c r="F8279" i="1" a="1"/>
  <c r="F8343" i="1" a="1"/>
  <c r="F8407" i="1" a="1"/>
  <c r="F8471" i="1" a="1"/>
  <c r="F8535" i="1" a="1"/>
  <c r="F8599" i="1" a="1"/>
  <c r="F8663" i="1" a="1"/>
  <c r="F5582" i="1" a="1"/>
  <c r="F5838" i="1" a="1"/>
  <c r="F6094" i="1" a="1"/>
  <c r="F6350" i="1" a="1"/>
  <c r="F6606" i="1" a="1"/>
  <c r="F6862" i="1" a="1"/>
  <c r="F7055" i="1" a="1"/>
  <c r="F7215" i="1" a="1"/>
  <c r="F7361" i="1" a="1"/>
  <c r="F7487" i="1" a="1"/>
  <c r="F7615" i="1" a="1"/>
  <c r="F7743" i="1" a="1"/>
  <c r="F7871" i="1" a="1"/>
  <c r="F5364" i="1" a="1"/>
  <c r="F5583" i="1" a="1"/>
  <c r="F5839" i="1" a="1"/>
  <c r="F6095" i="1" a="1"/>
  <c r="F6351" i="1" a="1"/>
  <c r="F6607" i="1" a="1"/>
  <c r="F6863" i="1" a="1"/>
  <c r="F7044" i="1" a="1"/>
  <c r="F7205" i="1" a="1"/>
  <c r="F7341" i="1" a="1"/>
  <c r="F7501" i="1" a="1"/>
  <c r="F5314" i="1" a="1"/>
  <c r="F5677" i="1" a="1"/>
  <c r="F5933" i="1" a="1"/>
  <c r="F5394" i="1" a="1"/>
  <c r="F5632" i="1" a="1"/>
  <c r="F5888" i="1" a="1"/>
  <c r="F6144" i="1" a="1"/>
  <c r="F5541" i="1" a="1"/>
  <c r="F5797" i="1" a="1"/>
  <c r="F6053" i="1" a="1"/>
  <c r="F5417" i="1" a="1"/>
  <c r="F5679" i="1" a="1"/>
  <c r="F5935" i="1" a="1"/>
  <c r="F5115" i="1" a="1"/>
  <c r="F5645" i="1" a="1"/>
  <c r="F5901" i="1" a="1"/>
  <c r="F6157" i="1" a="1"/>
  <c r="F6413" i="1" a="1"/>
  <c r="F6669" i="1" a="1"/>
  <c r="F6925" i="1" a="1"/>
  <c r="F7099" i="1" a="1"/>
  <c r="F7235" i="1" a="1"/>
  <c r="F7381" i="1" a="1"/>
  <c r="F7518" i="1" a="1"/>
  <c r="F7646" i="1" a="1"/>
  <c r="F6509" i="1" a="1"/>
  <c r="F7026" i="1" a="1"/>
  <c r="F7295" i="1" a="1"/>
  <c r="F7552" i="1" a="1"/>
  <c r="F7751" i="1" a="1"/>
  <c r="F7910" i="1" a="1"/>
  <c r="F8178" i="1" a="1"/>
  <c r="F8352" i="1" a="1"/>
  <c r="F8521" i="1" a="1"/>
  <c r="F8675" i="1" a="1"/>
  <c r="F8739" i="1" a="1"/>
  <c r="F8803" i="1" a="1"/>
  <c r="F8867" i="1" a="1"/>
  <c r="F8931" i="1" a="1"/>
  <c r="F8995" i="1" a="1"/>
  <c r="F9059" i="1" a="1"/>
  <c r="F9123" i="1" a="1"/>
  <c r="F9187" i="1" a="1"/>
  <c r="F9251" i="1" a="1"/>
  <c r="F9315" i="1" a="1"/>
  <c r="F9379" i="1" a="1"/>
  <c r="F9443" i="1" a="1"/>
  <c r="F9507" i="1" a="1"/>
  <c r="F9571" i="1" a="1"/>
  <c r="F9635" i="1" a="1"/>
  <c r="F9699" i="1" a="1"/>
  <c r="F9763" i="1" a="1"/>
  <c r="F9827" i="1" a="1"/>
  <c r="F9891" i="1" a="1"/>
  <c r="F9955" i="1" a="1"/>
  <c r="F10019" i="1" a="1"/>
  <c r="F10083" i="1" a="1"/>
  <c r="F10147" i="1" a="1"/>
  <c r="F10211" i="1" a="1"/>
  <c r="F10275" i="1" a="1"/>
  <c r="F6327" i="1" a="1"/>
  <c r="F6839" i="1" a="1"/>
  <c r="F7201" i="1" a="1"/>
  <c r="F7461" i="1" a="1"/>
  <c r="F7691" i="1" a="1"/>
  <c r="F7850" i="1" a="1"/>
  <c r="F7989" i="1" a="1"/>
  <c r="F8110" i="1" a="1"/>
  <c r="F8284" i="1" a="1"/>
  <c r="F8453" i="1" a="1"/>
  <c r="F8622" i="1" a="1"/>
  <c r="F6565" i="1" a="1"/>
  <c r="F7016" i="1" a="1"/>
  <c r="F7317" i="1" a="1"/>
  <c r="F7553" i="1" a="1"/>
  <c r="F7753" i="1" a="1"/>
  <c r="F7918" i="1" a="1"/>
  <c r="F8184" i="1" a="1"/>
  <c r="F8353" i="1" a="1"/>
  <c r="F8522" i="1" a="1"/>
  <c r="F8676" i="1" a="1"/>
  <c r="F8740" i="1" a="1"/>
  <c r="F8804" i="1" a="1"/>
  <c r="F8868" i="1" a="1"/>
  <c r="F8932" i="1" a="1"/>
  <c r="F8996" i="1" a="1"/>
  <c r="F9060" i="1" a="1"/>
  <c r="F9124" i="1" a="1"/>
  <c r="F9188" i="1" a="1"/>
  <c r="F6456" i="1" a="1"/>
  <c r="F6931" i="1" a="1"/>
  <c r="F7276" i="1" a="1"/>
  <c r="F7554" i="1" a="1"/>
  <c r="F6573" i="1" a="1"/>
  <c r="F7057" i="1" a="1"/>
  <c r="F7373" i="1" a="1"/>
  <c r="F6226" i="1" a="1"/>
  <c r="F6738" i="1" a="1"/>
  <c r="F7133" i="1" a="1"/>
  <c r="F7466" i="1" a="1"/>
  <c r="F6373" i="1" a="1"/>
  <c r="F6885" i="1" a="1"/>
  <c r="F7228" i="1" a="1"/>
  <c r="F7521" i="1" a="1"/>
  <c r="F6538" i="1" a="1"/>
  <c r="F7022" i="1" a="1"/>
  <c r="F7281" i="1" a="1"/>
  <c r="F7590" i="1" a="1"/>
  <c r="F7781" i="1" a="1"/>
  <c r="F7940" i="1" a="1"/>
  <c r="F8025" i="1" a="1"/>
  <c r="F8182" i="1" a="1"/>
  <c r="F8356" i="1" a="1"/>
  <c r="F8525" i="1" a="1"/>
  <c r="F7616" i="1" a="1"/>
  <c r="F7953" i="1" a="1"/>
  <c r="F8221" i="1" a="1"/>
  <c r="F8550" i="1" a="1"/>
  <c r="F9328" i="1" a="1"/>
  <c r="F9506" i="1" a="1"/>
  <c r="F9673" i="1" a="1"/>
  <c r="F9774" i="1" a="1"/>
  <c r="F9860" i="1" a="1"/>
  <c r="F9945" i="1" a="1"/>
  <c r="F10030" i="1" a="1"/>
  <c r="F10116" i="1" a="1"/>
  <c r="F10201" i="1" a="1"/>
  <c r="F10286" i="1" a="1"/>
  <c r="F10365" i="1" a="1"/>
  <c r="F10429" i="1" a="1"/>
  <c r="F10493" i="1" a="1"/>
  <c r="F10557" i="1" a="1"/>
  <c r="F10621" i="1" a="1"/>
  <c r="F10685" i="1" a="1"/>
  <c r="F10749" i="1" a="1"/>
  <c r="F10813" i="1" a="1"/>
  <c r="F10877" i="1" a="1"/>
  <c r="F10941" i="1" a="1"/>
  <c r="F11005" i="1" a="1"/>
  <c r="F11069" i="1" a="1"/>
  <c r="F11133" i="1" a="1"/>
  <c r="F11197" i="1" a="1"/>
  <c r="F11261" i="1" a="1"/>
  <c r="F11325" i="1" a="1"/>
  <c r="F11389" i="1" a="1"/>
  <c r="F11453" i="1" a="1"/>
  <c r="F11517" i="1" a="1"/>
  <c r="F11581" i="1" a="1"/>
  <c r="F11645" i="1" a="1"/>
  <c r="F7712" i="1" a="1"/>
  <c r="F8130" i="1" a="1"/>
  <c r="F8496" i="1" a="1"/>
  <c r="F8725" i="1" a="1"/>
  <c r="F8853" i="1" a="1"/>
  <c r="F8981" i="1" a="1"/>
  <c r="F9109" i="1" a="1"/>
  <c r="F9245" i="1" a="1"/>
  <c r="F9412" i="1" a="1"/>
  <c r="F9590" i="1" a="1"/>
  <c r="F7617" i="1" a="1"/>
  <c r="F7954" i="1" a="1"/>
  <c r="F8222" i="1" a="1"/>
  <c r="F8588" i="1" a="1"/>
  <c r="F9336" i="1" a="1"/>
  <c r="F9514" i="1" a="1"/>
  <c r="F9681" i="1" a="1"/>
  <c r="F9781" i="1" a="1"/>
  <c r="F9866" i="1" a="1"/>
  <c r="F9952" i="1" a="1"/>
  <c r="F10037" i="1" a="1"/>
  <c r="F10122" i="1" a="1"/>
  <c r="F10208" i="1" a="1"/>
  <c r="F10293" i="1" a="1"/>
  <c r="F10374" i="1" a="1"/>
  <c r="F10438" i="1" a="1"/>
  <c r="F10502" i="1" a="1"/>
  <c r="G5226" i="1" a="1"/>
  <c r="G6104" i="1" a="1"/>
  <c r="G8928" i="1" a="1"/>
  <c r="G10636" i="1" a="1"/>
  <c r="G11054" i="1" a="1"/>
  <c r="G12078" i="1" a="1"/>
  <c r="G9240" i="1" a="1"/>
  <c r="G10839" i="1" a="1"/>
  <c r="G11818" i="1" a="1"/>
  <c r="G10210" i="1" a="1"/>
  <c r="G11636" i="1" a="1"/>
  <c r="G8953" i="1" a="1"/>
  <c r="G11300" i="1" a="1"/>
  <c r="G11025" i="1" a="1"/>
  <c r="G12575" i="1" a="1"/>
  <c r="G13647" i="1" a="1"/>
  <c r="G10859" i="1" a="1"/>
  <c r="G12419" i="1" a="1"/>
  <c r="G10507" i="1" a="1"/>
  <c r="G12144" i="1" a="1"/>
  <c r="G10497" i="1" a="1"/>
  <c r="G10633" i="1" a="1"/>
  <c r="G12007" i="1" a="1"/>
  <c r="G11816" i="1" a="1"/>
  <c r="G13539" i="1" a="1"/>
  <c r="G14549" i="1" a="1"/>
  <c r="G12692" i="1" a="1"/>
  <c r="G14030" i="1" a="1"/>
  <c r="G11648" i="1" a="1"/>
  <c r="G13488" i="1" a="1"/>
  <c r="G12150" i="1" a="1"/>
  <c r="G12620" i="1" a="1"/>
  <c r="G12720" i="1" a="1"/>
  <c r="G12755" i="1" a="1"/>
  <c r="G12865" i="1" a="1"/>
  <c r="G14097" i="1" a="1"/>
  <c r="G13375" i="1" a="1"/>
  <c r="G14930" i="1" a="1"/>
  <c r="G14123" i="1" a="1"/>
  <c r="G14302" i="1" a="1"/>
  <c r="G14874" i="1" a="1"/>
  <c r="G13433" i="1" a="1"/>
  <c r="G13980" i="1" a="1"/>
  <c r="F43" i="1" a="1"/>
  <c r="F36" i="1" a="1"/>
  <c r="F591" i="1" a="1"/>
  <c r="F261" i="1" a="1"/>
  <c r="F302" i="1" a="1"/>
  <c r="F926" i="1" a="1"/>
  <c r="F1577" i="1" a="1"/>
  <c r="F1078" i="1" a="1"/>
  <c r="F752" i="1" a="1"/>
  <c r="F1701" i="1" a="1"/>
  <c r="F1108" i="1" a="1"/>
  <c r="F1674" i="1" a="1"/>
  <c r="F1403" i="1" a="1"/>
  <c r="F1084" i="1" a="1"/>
  <c r="F1250" i="1" a="1"/>
  <c r="F2670" i="1" a="1"/>
  <c r="F3182" i="1" a="1"/>
  <c r="F2030" i="1" a="1"/>
  <c r="F1951" i="1" a="1"/>
  <c r="F1680" i="1" a="1"/>
  <c r="F2542" i="1" a="1"/>
  <c r="F2835" i="1" a="1"/>
  <c r="F2601" i="1" a="1"/>
  <c r="F2366" i="1" a="1"/>
  <c r="F1520" i="1" a="1"/>
  <c r="F2248" i="1" a="1"/>
  <c r="F2463" i="1" a="1"/>
  <c r="F2253" i="1" a="1"/>
  <c r="F2680" i="1" a="1"/>
  <c r="F2869" i="1" a="1"/>
  <c r="F3059" i="1" a="1"/>
  <c r="F3228" i="1" a="1"/>
  <c r="F3356" i="1" a="1"/>
  <c r="F3484" i="1" a="1"/>
  <c r="F3612" i="1" a="1"/>
  <c r="F3740" i="1" a="1"/>
  <c r="F3868" i="1" a="1"/>
  <c r="F3981" i="1" a="1"/>
  <c r="F4045" i="1" a="1"/>
  <c r="F4109" i="1" a="1"/>
  <c r="F4173" i="1" a="1"/>
  <c r="F4237" i="1" a="1"/>
  <c r="F4301" i="1" a="1"/>
  <c r="F4365" i="1" a="1"/>
  <c r="F4429" i="1" a="1"/>
  <c r="F1215" i="1" a="1"/>
  <c r="F2596" i="1" a="1"/>
  <c r="F3005" i="1" a="1"/>
  <c r="F3169" i="1" a="1"/>
  <c r="F3334" i="1" a="1"/>
  <c r="F3462" i="1" a="1"/>
  <c r="F3590" i="1" a="1"/>
  <c r="F3718" i="1" a="1"/>
  <c r="F3846" i="1" a="1"/>
  <c r="F1224" i="1" a="1"/>
  <c r="F2377" i="1" a="1"/>
  <c r="F2785" i="1" a="1"/>
  <c r="F2900" i="1" a="1"/>
  <c r="F3112" i="1" a="1"/>
  <c r="F3257" i="1" a="1"/>
  <c r="F3385" i="1" a="1"/>
  <c r="F3513" i="1" a="1"/>
  <c r="F3641" i="1" a="1"/>
  <c r="F3769" i="1" a="1"/>
  <c r="F3897" i="1" a="1"/>
  <c r="F3998" i="1" a="1"/>
  <c r="F4062" i="1" a="1"/>
  <c r="F4126" i="1" a="1"/>
  <c r="F1643" i="1" a="1"/>
  <c r="F2179" i="1" a="1"/>
  <c r="F2736" i="1" a="1"/>
  <c r="F3084" i="1" a="1"/>
  <c r="F3255" i="1" a="1"/>
  <c r="F3383" i="1" a="1"/>
  <c r="F3511" i="1" a="1"/>
  <c r="F3639" i="1" a="1"/>
  <c r="F3767" i="1" a="1"/>
  <c r="F3895" i="1" a="1"/>
  <c r="F2660" i="1" a="1"/>
  <c r="F3240" i="1" a="1"/>
  <c r="F3496" i="1" a="1"/>
  <c r="F3752" i="1" a="1"/>
  <c r="F4396" i="1" a="1"/>
  <c r="F4520" i="1" a="1"/>
  <c r="F4584" i="1" a="1"/>
  <c r="F4648" i="1" a="1"/>
  <c r="F4712" i="1" a="1"/>
  <c r="F4776" i="1" a="1"/>
  <c r="F4840" i="1" a="1"/>
  <c r="F4904" i="1" a="1"/>
  <c r="F4968" i="1" a="1"/>
  <c r="F5032" i="1" a="1"/>
  <c r="F5096" i="1" a="1"/>
  <c r="F5160" i="1" a="1"/>
  <c r="F5224" i="1" a="1"/>
  <c r="F5288" i="1" a="1"/>
  <c r="F2423" i="1" a="1"/>
  <c r="F2917" i="1" a="1"/>
  <c r="F3314" i="1" a="1"/>
  <c r="F3570" i="1" a="1"/>
  <c r="F3826" i="1" a="1"/>
  <c r="F4020" i="1" a="1"/>
  <c r="F4148" i="1" a="1"/>
  <c r="F4255" i="1" a="1"/>
  <c r="F4340" i="1" a="1"/>
  <c r="F4470" i="1" a="1"/>
  <c r="F3029" i="1" a="1"/>
  <c r="F3335" i="1" a="1"/>
  <c r="F3591" i="1" a="1"/>
  <c r="F3847" i="1" a="1"/>
  <c r="F4443" i="1" a="1"/>
  <c r="F2723" i="1" a="1"/>
  <c r="F2477" i="1" a="1"/>
  <c r="F2329" i="1" a="1"/>
  <c r="F2868" i="1" a="1"/>
  <c r="F3024" i="1" a="1"/>
  <c r="F2816" i="1" a="1"/>
  <c r="F3171" i="1" a="1"/>
  <c r="F3450" i="1" a="1"/>
  <c r="F3706" i="1" a="1"/>
  <c r="F3135" i="1" a="1"/>
  <c r="F3656" i="1" a="1"/>
  <c r="F4115" i="1" a="1"/>
  <c r="F4368" i="1" a="1"/>
  <c r="F4530" i="1" a="1"/>
  <c r="F4615" i="1" a="1"/>
  <c r="F4701" i="1" a="1"/>
  <c r="F4786" i="1" a="1"/>
  <c r="F4943" i="1" a="1"/>
  <c r="F5117" i="1" a="1"/>
  <c r="F5286" i="1" a="1"/>
  <c r="F3115" i="1" a="1"/>
  <c r="F3657" i="1" a="1"/>
  <c r="F4055" i="1" a="1"/>
  <c r="F4334" i="1" a="1"/>
  <c r="F3239" i="1" a="1"/>
  <c r="F3373" i="1" a="1"/>
  <c r="F3885" i="1" a="1"/>
  <c r="F4243" i="1" a="1"/>
  <c r="F4468" i="1" a="1"/>
  <c r="F4565" i="1" a="1"/>
  <c r="F4650" i="1" a="1"/>
  <c r="F4735" i="1" a="1"/>
  <c r="F4845" i="1" a="1"/>
  <c r="F5014" i="1" a="1"/>
  <c r="F3051" i="1" a="1"/>
  <c r="F3601" i="1" a="1"/>
  <c r="F4088" i="1" a="1"/>
  <c r="F4332" i="1" a="1"/>
  <c r="F3739" i="1" a="1"/>
  <c r="F4418" i="1" a="1"/>
  <c r="F4858" i="1" a="1"/>
  <c r="F5097" i="1" a="1"/>
  <c r="F5285" i="1" a="1"/>
  <c r="F3815" i="1" a="1"/>
  <c r="F4404" i="1" a="1"/>
  <c r="F4705" i="1" a="1"/>
  <c r="F4969" i="1" a="1"/>
  <c r="F5150" i="1" a="1"/>
  <c r="F5350" i="1" a="1"/>
  <c r="F5419" i="1" a="1"/>
  <c r="F3678" i="1" a="1"/>
  <c r="F4360" i="1" a="1"/>
  <c r="F4646" i="1" a="1"/>
  <c r="F4933" i="1" a="1"/>
  <c r="F5119" i="1" a="1"/>
  <c r="F5323" i="1" a="1"/>
  <c r="F3992" i="1" a="1"/>
  <c r="F3995" i="1" a="1"/>
  <c r="F3943" i="1" a="1"/>
  <c r="F3879" i="1" a="1"/>
  <c r="F3884" i="1" a="1"/>
  <c r="F4601" i="1" a="1"/>
  <c r="F4882" i="1" a="1"/>
  <c r="F5091" i="1" a="1"/>
  <c r="F5321" i="1" a="1"/>
  <c r="F4529" i="1" a="1"/>
  <c r="F5069" i="1" a="1"/>
  <c r="F5381" i="1" a="1"/>
  <c r="F5474" i="1" a="1"/>
  <c r="F5602" i="1" a="1"/>
  <c r="F5730" i="1" a="1"/>
  <c r="F5858" i="1" a="1"/>
  <c r="F5986" i="1" a="1"/>
  <c r="F6114" i="1" a="1"/>
  <c r="F6242" i="1" a="1"/>
  <c r="F6370" i="1" a="1"/>
  <c r="F6498" i="1" a="1"/>
  <c r="F6626" i="1" a="1"/>
  <c r="F6754" i="1" a="1"/>
  <c r="F6882" i="1" a="1"/>
  <c r="F7010" i="1" a="1"/>
  <c r="F7138" i="1" a="1"/>
  <c r="F7266" i="1" a="1"/>
  <c r="F7394" i="1" a="1"/>
  <c r="F4553" i="1" a="1"/>
  <c r="F5038" i="1" a="1"/>
  <c r="F5461" i="1" a="1"/>
  <c r="F5589" i="1" a="1"/>
  <c r="F5717" i="1" a="1"/>
  <c r="F5845" i="1" a="1"/>
  <c r="F5973" i="1" a="1"/>
  <c r="F6101" i="1" a="1"/>
  <c r="F6229" i="1" a="1"/>
  <c r="F6357" i="1" a="1"/>
  <c r="F6485" i="1" a="1"/>
  <c r="F6613" i="1" a="1"/>
  <c r="F6741" i="1" a="1"/>
  <c r="F6869" i="1" a="1"/>
  <c r="F6997" i="1" a="1"/>
  <c r="F4630" i="1" a="1"/>
  <c r="F5198" i="1" a="1"/>
  <c r="F5404" i="1" a="1"/>
  <c r="F5503" i="1" a="1"/>
  <c r="F5631" i="1" a="1"/>
  <c r="F5759" i="1" a="1"/>
  <c r="F5887" i="1" a="1"/>
  <c r="F6015" i="1" a="1"/>
  <c r="F6143" i="1" a="1"/>
  <c r="F6271" i="1" a="1"/>
  <c r="F6399" i="1" a="1"/>
  <c r="F6527" i="1" a="1"/>
  <c r="F6655" i="1" a="1"/>
  <c r="F6783" i="1" a="1"/>
  <c r="F6911" i="1" a="1"/>
  <c r="F4910" i="1" a="1"/>
  <c r="F4745" i="1" a="1"/>
  <c r="F4542" i="1" a="1"/>
  <c r="F4226" i="1" a="1"/>
  <c r="F4915" i="1" a="1"/>
  <c r="F4965" i="1" a="1"/>
  <c r="F5319" i="1" a="1"/>
  <c r="F5565" i="1" a="1"/>
  <c r="F5693" i="1" a="1"/>
  <c r="F5821" i="1" a="1"/>
  <c r="F5949" i="1" a="1"/>
  <c r="F6077" i="1" a="1"/>
  <c r="F6205" i="1" a="1"/>
  <c r="F6333" i="1" a="1"/>
  <c r="F6461" i="1" a="1"/>
  <c r="F6589" i="1" a="1"/>
  <c r="F6717" i="1" a="1"/>
  <c r="F6845" i="1" a="1"/>
  <c r="F5283" i="1" a="1"/>
  <c r="F5536" i="1" a="1"/>
  <c r="F5792" i="1" a="1"/>
  <c r="F6048" i="1" a="1"/>
  <c r="F6304" i="1" a="1"/>
  <c r="F6560" i="1" a="1"/>
  <c r="F6816" i="1" a="1"/>
  <c r="F7030" i="1" a="1"/>
  <c r="F7183" i="1" a="1"/>
  <c r="F7329" i="1" a="1"/>
  <c r="F7477" i="1" a="1"/>
  <c r="F7605" i="1" a="1"/>
  <c r="F7733" i="1" a="1"/>
  <c r="F7861" i="1" a="1"/>
  <c r="F7963" i="1" a="1"/>
  <c r="F8027" i="1" a="1"/>
  <c r="F8091" i="1" a="1"/>
  <c r="F8155" i="1" a="1"/>
  <c r="F8219" i="1" a="1"/>
  <c r="F8283" i="1" a="1"/>
  <c r="F8347" i="1" a="1"/>
  <c r="F8411" i="1" a="1"/>
  <c r="F8475" i="1" a="1"/>
  <c r="F8539" i="1" a="1"/>
  <c r="F8603" i="1" a="1"/>
  <c r="F4995" i="1" a="1"/>
  <c r="F5619" i="1" a="1"/>
  <c r="F5875" i="1" a="1"/>
  <c r="F6131" i="1" a="1"/>
  <c r="F6387" i="1" a="1"/>
  <c r="F6643" i="1" a="1"/>
  <c r="F6899" i="1" a="1"/>
  <c r="F7073" i="1" a="1"/>
  <c r="F7220" i="1" a="1"/>
  <c r="F7366" i="1" a="1"/>
  <c r="F7496" i="1" a="1"/>
  <c r="F7624" i="1" a="1"/>
  <c r="F7752" i="1" a="1"/>
  <c r="F7880" i="1" a="1"/>
  <c r="F5380" i="1" a="1"/>
  <c r="F5592" i="1" a="1"/>
  <c r="F5848" i="1" a="1"/>
  <c r="F6104" i="1" a="1"/>
  <c r="F6360" i="1" a="1"/>
  <c r="F6616" i="1" a="1"/>
  <c r="F6872" i="1" a="1"/>
  <c r="F7062" i="1" a="1"/>
  <c r="F7210" i="1" a="1"/>
  <c r="F7346" i="1" a="1"/>
  <c r="F7506" i="1" a="1"/>
  <c r="F5352" i="1" a="1"/>
  <c r="F5686" i="1" a="1"/>
  <c r="F5942" i="1" a="1"/>
  <c r="F5405" i="1" a="1"/>
  <c r="F5641" i="1" a="1"/>
  <c r="F5897" i="1" a="1"/>
  <c r="F6153" i="1" a="1"/>
  <c r="F5550" i="1" a="1"/>
  <c r="F5806" i="1" a="1"/>
  <c r="F6062" i="1" a="1"/>
  <c r="F5428" i="1" a="1"/>
  <c r="F5688" i="1" a="1"/>
  <c r="F5944" i="1" a="1"/>
  <c r="F5157" i="1" a="1"/>
  <c r="F5654" i="1" a="1"/>
  <c r="F5910" i="1" a="1"/>
  <c r="F6166" i="1" a="1"/>
  <c r="F6422" i="1" a="1"/>
  <c r="F6678" i="1" a="1"/>
  <c r="F6938" i="1" a="1"/>
  <c r="F7104" i="1" a="1"/>
  <c r="F7240" i="1" a="1"/>
  <c r="F7386" i="1" a="1"/>
  <c r="F7527" i="1" a="1"/>
  <c r="F7655" i="1" a="1"/>
  <c r="F6564" i="1" a="1"/>
  <c r="F7039" i="1" a="1"/>
  <c r="F7305" i="1" a="1"/>
  <c r="F7561" i="1" a="1"/>
  <c r="F7758" i="1" a="1"/>
  <c r="F7928" i="1" a="1"/>
  <c r="F8192" i="1" a="1"/>
  <c r="F8361" i="1" a="1"/>
  <c r="F8530" i="1" a="1"/>
  <c r="F8679" i="1" a="1"/>
  <c r="F8743" i="1" a="1"/>
  <c r="F8807" i="1" a="1"/>
  <c r="F8871" i="1" a="1"/>
  <c r="F8935" i="1" a="1"/>
  <c r="F8999" i="1" a="1"/>
  <c r="F9063" i="1" a="1"/>
  <c r="F9127" i="1" a="1"/>
  <c r="F9191" i="1" a="1"/>
  <c r="F9255" i="1" a="1"/>
  <c r="F9319" i="1" a="1"/>
  <c r="F9383" i="1" a="1"/>
  <c r="F9447" i="1" a="1"/>
  <c r="F9511" i="1" a="1"/>
  <c r="F9575" i="1" a="1"/>
  <c r="F9639" i="1" a="1"/>
  <c r="F9703" i="1" a="1"/>
  <c r="F9767" i="1" a="1"/>
  <c r="F9831" i="1" a="1"/>
  <c r="F9895" i="1" a="1"/>
  <c r="F9959" i="1" a="1"/>
  <c r="F10023" i="1" a="1"/>
  <c r="F10087" i="1" a="1"/>
  <c r="F10151" i="1" a="1"/>
  <c r="F10215" i="1" a="1"/>
  <c r="F10279" i="1" a="1"/>
  <c r="F6345" i="1" a="1"/>
  <c r="F6857" i="1" a="1"/>
  <c r="F7212" i="1" a="1"/>
  <c r="F7498" i="1" a="1"/>
  <c r="F7698" i="1" a="1"/>
  <c r="F7868" i="1" a="1"/>
  <c r="F7994" i="1" a="1"/>
  <c r="F8124" i="1" a="1"/>
  <c r="F8293" i="1" a="1"/>
  <c r="F8462" i="1" a="1"/>
  <c r="F8636" i="1" a="1"/>
  <c r="F6620" i="1" a="1"/>
  <c r="F7040" i="1" a="1"/>
  <c r="F7348" i="1" a="1"/>
  <c r="F7571" i="1" a="1"/>
  <c r="F7759" i="1" a="1"/>
  <c r="F7929" i="1" a="1"/>
  <c r="F8193" i="1" a="1"/>
  <c r="F8362" i="1" a="1"/>
  <c r="F8536" i="1" a="1"/>
  <c r="F8680" i="1" a="1"/>
  <c r="F8744" i="1" a="1"/>
  <c r="F8808" i="1" a="1"/>
  <c r="F8872" i="1" a="1"/>
  <c r="F8936" i="1" a="1"/>
  <c r="F9000" i="1" a="1"/>
  <c r="F9064" i="1" a="1"/>
  <c r="F9128" i="1" a="1"/>
  <c r="F9192" i="1" a="1"/>
  <c r="F6474" i="1" a="1"/>
  <c r="F6955" i="1" a="1"/>
  <c r="F7286" i="1" a="1"/>
  <c r="F7563" i="1" a="1"/>
  <c r="F6628" i="1" a="1"/>
  <c r="F7091" i="1" a="1"/>
  <c r="F7415" i="1" a="1"/>
  <c r="F6263" i="1" a="1"/>
  <c r="F6775" i="1" a="1"/>
  <c r="F7144" i="1" a="1"/>
  <c r="F7475" i="1" a="1"/>
  <c r="F6428" i="1" a="1"/>
  <c r="F6936" i="1" a="1"/>
  <c r="F7238" i="1" a="1"/>
  <c r="F7558" i="1" a="1"/>
  <c r="F6575" i="1" a="1"/>
  <c r="F7035" i="1" a="1"/>
  <c r="F7323" i="1" a="1"/>
  <c r="F7598" i="1" a="1"/>
  <c r="F7787" i="1" a="1"/>
  <c r="F7945" i="1" a="1"/>
  <c r="F8030" i="1" a="1"/>
  <c r="F8196" i="1" a="1"/>
  <c r="F8365" i="1" a="1"/>
  <c r="F8534" i="1" a="1"/>
  <c r="F7659" i="1" a="1"/>
  <c r="F7964" i="1" a="1"/>
  <c r="F8230" i="1" a="1"/>
  <c r="F8596" i="1" a="1"/>
  <c r="F9346" i="1" a="1"/>
  <c r="F9513" i="1" a="1"/>
  <c r="F9680" i="1" a="1"/>
  <c r="F9780" i="1" a="1"/>
  <c r="F9865" i="1" a="1"/>
  <c r="F9950" i="1" a="1"/>
  <c r="F10036" i="1" a="1"/>
  <c r="F10121" i="1" a="1"/>
  <c r="F10206" i="1" a="1"/>
  <c r="F10292" i="1" a="1"/>
  <c r="F10369" i="1" a="1"/>
  <c r="F10433" i="1" a="1"/>
  <c r="F10497" i="1" a="1"/>
  <c r="F10561" i="1" a="1"/>
  <c r="F10625" i="1" a="1"/>
  <c r="F10689" i="1" a="1"/>
  <c r="F10753" i="1" a="1"/>
  <c r="F10817" i="1" a="1"/>
  <c r="F10881" i="1" a="1"/>
  <c r="F10945" i="1" a="1"/>
  <c r="F11009" i="1" a="1"/>
  <c r="F11073" i="1" a="1"/>
  <c r="F11137" i="1" a="1"/>
  <c r="F11201" i="1" a="1"/>
  <c r="F11265" i="1" a="1"/>
  <c r="F11329" i="1" a="1"/>
  <c r="F11393" i="1" a="1"/>
  <c r="F11457" i="1" a="1"/>
  <c r="F11521" i="1" a="1"/>
  <c r="F11585" i="1" a="1"/>
  <c r="F11649" i="1" a="1"/>
  <c r="F7736" i="1" a="1"/>
  <c r="F8176" i="1" a="1"/>
  <c r="F8505" i="1" a="1"/>
  <c r="F8733" i="1" a="1"/>
  <c r="F8861" i="1" a="1"/>
  <c r="F8989" i="1" a="1"/>
  <c r="F9117" i="1" a="1"/>
  <c r="F9252" i="1" a="1"/>
  <c r="F9430" i="1" a="1"/>
  <c r="F9597" i="1" a="1"/>
  <c r="F7662" i="1" a="1"/>
  <c r="F7965" i="1" a="1"/>
  <c r="F8268" i="1" a="1"/>
  <c r="F8597" i="1" a="1"/>
  <c r="F9354" i="1" a="1"/>
  <c r="F9521" i="1" a="1"/>
  <c r="F9688" i="1" a="1"/>
  <c r="F9786" i="1" a="1"/>
  <c r="F9872" i="1" a="1"/>
  <c r="F9957" i="1" a="1"/>
  <c r="F10042" i="1" a="1"/>
  <c r="F10128" i="1" a="1"/>
  <c r="F10213" i="1" a="1"/>
  <c r="F10298" i="1" a="1"/>
  <c r="F10378" i="1" a="1"/>
  <c r="F10442" i="1" a="1"/>
  <c r="F10506" i="1" a="1"/>
  <c r="G5792" i="1" a="1"/>
  <c r="G8140" i="1" a="1"/>
  <c r="G5546" i="1" a="1"/>
  <c r="G8237" i="1" a="1"/>
  <c r="G11173" i="1" a="1"/>
  <c r="G12197" i="1" a="1"/>
  <c r="G9403" i="1" a="1"/>
  <c r="G10919" i="1" a="1"/>
  <c r="G11937" i="1" a="1"/>
  <c r="G10330" i="1" a="1"/>
  <c r="G11759" i="1" a="1"/>
  <c r="G9639" i="1" a="1"/>
  <c r="G11423" i="1" a="1"/>
  <c r="G11272" i="1" a="1"/>
  <c r="G12706" i="1" a="1"/>
  <c r="G13770" i="1" a="1"/>
  <c r="G11035" i="1" a="1"/>
  <c r="G12555" i="1" a="1"/>
  <c r="G10702" i="1" a="1"/>
  <c r="G12296" i="1" a="1"/>
  <c r="G10703" i="1" a="1"/>
  <c r="G10793" i="1" a="1"/>
  <c r="G12159" i="1" a="1"/>
  <c r="G12145" i="1" a="1"/>
  <c r="G13669" i="1" a="1"/>
  <c r="G14657" i="1" a="1"/>
  <c r="G12923" i="1" a="1"/>
  <c r="G14257" i="1" a="1"/>
  <c r="G11963" i="1" a="1"/>
  <c r="G13629" i="1" a="1"/>
  <c r="G12473" i="1" a="1"/>
  <c r="G12835" i="1" a="1"/>
  <c r="G12901" i="1" a="1"/>
  <c r="G12927" i="1" a="1"/>
  <c r="G13019" i="1" a="1"/>
  <c r="G14227" i="1" a="1"/>
  <c r="G13594" i="1" a="1"/>
  <c r="G13950" i="1" a="1"/>
  <c r="G14438" i="1" a="1"/>
  <c r="G14819" i="1" a="1"/>
  <c r="G14161" i="1" a="1"/>
  <c r="G13736" i="1" a="1"/>
  <c r="G14230" i="1" a="1"/>
  <c r="F103" i="1" a="1"/>
  <c r="F156" i="1" a="1"/>
  <c r="F217" i="1" a="1"/>
  <c r="F488" i="1" a="1"/>
  <c r="F552" i="1" a="1"/>
  <c r="F1045" i="1" a="1"/>
  <c r="F1637" i="1" a="1"/>
  <c r="F692" i="1" a="1"/>
  <c r="F898" i="1" a="1"/>
  <c r="F1761" i="1" a="1"/>
  <c r="F1258" i="1" a="1"/>
  <c r="F1734" i="1" a="1"/>
  <c r="F1563" i="1" a="1"/>
  <c r="F1439" i="1" a="1"/>
  <c r="F1719" i="1" a="1"/>
  <c r="F2730" i="1" a="1"/>
  <c r="F1612" i="1" a="1"/>
  <c r="F2182" i="1" a="1"/>
  <c r="F2167" i="1" a="1"/>
  <c r="F1794" i="1" a="1"/>
  <c r="F2579" i="1" a="1"/>
  <c r="F2861" i="1" a="1"/>
  <c r="F2661" i="1" a="1"/>
  <c r="F2412" i="1" a="1"/>
  <c r="F1603" i="1" a="1"/>
  <c r="F2258" i="1" a="1"/>
  <c r="F2472" i="1" a="1"/>
  <c r="F2274" i="1" a="1"/>
  <c r="F2716" i="1" a="1"/>
  <c r="F2876" i="1" a="1"/>
  <c r="F3064" i="1" a="1"/>
  <c r="F3233" i="1" a="1"/>
  <c r="F3361" i="1" a="1"/>
  <c r="F3489" i="1" a="1"/>
  <c r="F3617" i="1" a="1"/>
  <c r="F3745" i="1" a="1"/>
  <c r="F3873" i="1" a="1"/>
  <c r="F3985" i="1" a="1"/>
  <c r="F4049" i="1" a="1"/>
  <c r="F4113" i="1" a="1"/>
  <c r="F4177" i="1" a="1"/>
  <c r="F4241" i="1" a="1"/>
  <c r="F4305" i="1" a="1"/>
  <c r="F4369" i="1" a="1"/>
  <c r="F4433" i="1" a="1"/>
  <c r="F1580" i="1" a="1"/>
  <c r="F2614" i="1" a="1"/>
  <c r="F3011" i="1" a="1"/>
  <c r="F3215" i="1" a="1"/>
  <c r="F3343" i="1" a="1"/>
  <c r="F3471" i="1" a="1"/>
  <c r="F3599" i="1" a="1"/>
  <c r="F3727" i="1" a="1"/>
  <c r="F3855" i="1" a="1"/>
  <c r="F1415" i="1" a="1"/>
  <c r="F2432" i="1" a="1"/>
  <c r="F2793" i="1" a="1"/>
  <c r="F2907" i="1" a="1"/>
  <c r="F3123" i="1" a="1"/>
  <c r="F3266" i="1" a="1"/>
  <c r="F3394" i="1" a="1"/>
  <c r="F3522" i="1" a="1"/>
  <c r="F3650" i="1" a="1"/>
  <c r="F3778" i="1" a="1"/>
  <c r="F3906" i="1" a="1"/>
  <c r="F4002" i="1" a="1"/>
  <c r="F4066" i="1" a="1"/>
  <c r="F4130" i="1" a="1"/>
  <c r="F1740" i="1" a="1"/>
  <c r="F2247" i="1" a="1"/>
  <c r="F2759" i="1" a="1"/>
  <c r="F3089" i="1" a="1"/>
  <c r="F3264" i="1" a="1"/>
  <c r="F3392" i="1" a="1"/>
  <c r="F3520" i="1" a="1"/>
  <c r="F3648" i="1" a="1"/>
  <c r="F3776" i="1" a="1"/>
  <c r="F3904" i="1" a="1"/>
  <c r="F2688" i="1" a="1"/>
  <c r="F3277" i="1" a="1"/>
  <c r="F3533" i="1" a="1"/>
  <c r="F3789" i="1" a="1"/>
  <c r="F4410" i="1" a="1"/>
  <c r="F4524" i="1" a="1"/>
  <c r="F4588" i="1" a="1"/>
  <c r="F4652" i="1" a="1"/>
  <c r="F4716" i="1" a="1"/>
  <c r="F4780" i="1" a="1"/>
  <c r="F4844" i="1" a="1"/>
  <c r="F4908" i="1" a="1"/>
  <c r="F4972" i="1" a="1"/>
  <c r="F5036" i="1" a="1"/>
  <c r="F5100" i="1" a="1"/>
  <c r="F5164" i="1" a="1"/>
  <c r="F5228" i="1" a="1"/>
  <c r="F5292" i="1" a="1"/>
  <c r="F2496" i="1" a="1"/>
  <c r="F2967" i="1" a="1"/>
  <c r="F3323" i="1" a="1"/>
  <c r="F3579" i="1" a="1"/>
  <c r="F3835" i="1" a="1"/>
  <c r="F4028" i="1" a="1"/>
  <c r="F4156" i="1" a="1"/>
  <c r="F4260" i="1" a="1"/>
  <c r="F4346" i="1" a="1"/>
  <c r="F4479" i="1" a="1"/>
  <c r="F3040" i="1" a="1"/>
  <c r="F3344" i="1" a="1"/>
  <c r="F3600" i="1" a="1"/>
  <c r="F3856" i="1" a="1"/>
  <c r="F4452" i="1" a="1"/>
  <c r="F2743" i="1" a="1"/>
  <c r="F2550" i="1" a="1"/>
  <c r="F2368" i="1" a="1"/>
  <c r="F2881" i="1" a="1"/>
  <c r="F2212" i="1" a="1"/>
  <c r="F2831" i="1" a="1"/>
  <c r="F3192" i="1" a="1"/>
  <c r="F3459" i="1" a="1"/>
  <c r="F3715" i="1" a="1"/>
  <c r="F3156" i="1" a="1"/>
  <c r="F3693" i="1" a="1"/>
  <c r="F4128" i="1" a="1"/>
  <c r="F4391" i="1" a="1"/>
  <c r="F4535" i="1" a="1"/>
  <c r="F4621" i="1" a="1"/>
  <c r="F4706" i="1" a="1"/>
  <c r="F4791" i="1" a="1"/>
  <c r="F4957" i="1" a="1"/>
  <c r="F5126" i="1" a="1"/>
  <c r="F5295" i="1" a="1"/>
  <c r="F3136" i="1" a="1"/>
  <c r="F3675" i="1" a="1"/>
  <c r="F4091" i="1" a="1"/>
  <c r="F4343" i="1" a="1"/>
  <c r="F3061" i="1" a="1"/>
  <c r="F3391" i="1" a="1"/>
  <c r="F3903" i="1" a="1"/>
  <c r="F4252" i="1" a="1"/>
  <c r="F4476" i="1" a="1"/>
  <c r="F4570" i="1" a="1"/>
  <c r="F4655" i="1" a="1"/>
  <c r="F4741" i="1" a="1"/>
  <c r="F4854" i="1" a="1"/>
  <c r="F5023" i="1" a="1"/>
  <c r="F3072" i="1" a="1"/>
  <c r="F3619" i="1" a="1"/>
  <c r="F4103" i="1" a="1"/>
  <c r="F4342" i="1" a="1"/>
  <c r="F3812" i="1" a="1"/>
  <c r="F4432" i="1" a="1"/>
  <c r="F4889" i="1" a="1"/>
  <c r="F5102" i="1" a="1"/>
  <c r="F5290" i="1" a="1"/>
  <c r="F3888" i="1" a="1"/>
  <c r="F4463" i="1" a="1"/>
  <c r="F4713" i="1" a="1"/>
  <c r="F4981" i="1" a="1"/>
  <c r="F5155" i="1" a="1"/>
  <c r="F5359" i="1" a="1"/>
  <c r="F5423" i="1" a="1"/>
  <c r="F3751" i="1" a="1"/>
  <c r="F4379" i="1" a="1"/>
  <c r="F4681" i="1" a="1"/>
  <c r="F4939" i="1" a="1"/>
  <c r="F5161" i="1" a="1"/>
  <c r="F5328" i="1" a="1"/>
  <c r="F4043" i="1" a="1"/>
  <c r="F4023" i="1" a="1"/>
  <c r="F3971" i="1" a="1"/>
  <c r="F4003" i="1" a="1"/>
  <c r="F3921" i="1" a="1"/>
  <c r="F4609" i="1" a="1"/>
  <c r="F4894" i="1" a="1"/>
  <c r="F5133" i="1" a="1"/>
  <c r="F5326" i="1" a="1"/>
  <c r="F4550" i="1" a="1"/>
  <c r="F5079" i="1" a="1"/>
  <c r="F5386" i="1" a="1"/>
  <c r="F5479" i="1" a="1"/>
  <c r="F5607" i="1" a="1"/>
  <c r="F5735" i="1" a="1"/>
  <c r="F5863" i="1" a="1"/>
  <c r="F5991" i="1" a="1"/>
  <c r="F6119" i="1" a="1"/>
  <c r="F6247" i="1" a="1"/>
  <c r="F6375" i="1" a="1"/>
  <c r="F6503" i="1" a="1"/>
  <c r="F6631" i="1" a="1"/>
  <c r="F6759" i="1" a="1"/>
  <c r="F6887" i="1" a="1"/>
  <c r="F7015" i="1" a="1"/>
  <c r="F7143" i="1" a="1"/>
  <c r="F7271" i="1" a="1"/>
  <c r="F7399" i="1" a="1"/>
  <c r="F4574" i="1" a="1"/>
  <c r="F5049" i="1" a="1"/>
  <c r="F5470" i="1" a="1"/>
  <c r="F5598" i="1" a="1"/>
  <c r="F5726" i="1" a="1"/>
  <c r="F5854" i="1" a="1"/>
  <c r="F5982" i="1" a="1"/>
  <c r="F6110" i="1" a="1"/>
  <c r="F6238" i="1" a="1"/>
  <c r="F6366" i="1" a="1"/>
  <c r="F6494" i="1" a="1"/>
  <c r="F6622" i="1" a="1"/>
  <c r="F6750" i="1" a="1"/>
  <c r="F6878" i="1" a="1"/>
  <c r="F7006" i="1" a="1"/>
  <c r="F4665" i="1" a="1"/>
  <c r="F5209" i="1" a="1"/>
  <c r="F5409" i="1" a="1"/>
  <c r="F5512" i="1" a="1"/>
  <c r="F5640" i="1" a="1"/>
  <c r="F5768" i="1" a="1"/>
  <c r="F5896" i="1" a="1"/>
  <c r="F6024" i="1" a="1"/>
  <c r="F6152" i="1" a="1"/>
  <c r="F6280" i="1" a="1"/>
  <c r="F6408" i="1" a="1"/>
  <c r="F6536" i="1" a="1"/>
  <c r="F6664" i="1" a="1"/>
  <c r="F6792" i="1" a="1"/>
  <c r="F6920" i="1" a="1"/>
  <c r="F4922" i="1" a="1"/>
  <c r="F4787" i="1" a="1"/>
  <c r="F4563" i="1" a="1"/>
  <c r="F4259" i="1" a="1"/>
  <c r="F5001" i="1" a="1"/>
  <c r="F4977" i="1" a="1"/>
  <c r="F5329" i="1" a="1"/>
  <c r="F5574" i="1" a="1"/>
  <c r="F5702" i="1" a="1"/>
  <c r="F5830" i="1" a="1"/>
  <c r="F5958" i="1" a="1"/>
  <c r="F6086" i="1" a="1"/>
  <c r="F6214" i="1" a="1"/>
  <c r="F6342" i="1" a="1"/>
  <c r="F6470" i="1" a="1"/>
  <c r="F6598" i="1" a="1"/>
  <c r="F6726" i="1" a="1"/>
  <c r="F6854" i="1" a="1"/>
  <c r="F5325" i="1" a="1"/>
  <c r="F5545" i="1" a="1"/>
  <c r="F5801" i="1" a="1"/>
  <c r="F6057" i="1" a="1"/>
  <c r="F6313" i="1" a="1"/>
  <c r="F6569" i="1" a="1"/>
  <c r="F6825" i="1" a="1"/>
  <c r="F7036" i="1" a="1"/>
  <c r="F7188" i="1" a="1"/>
  <c r="F7334" i="1" a="1"/>
  <c r="F7482" i="1" a="1"/>
  <c r="F7610" i="1" a="1"/>
  <c r="F7738" i="1" a="1"/>
  <c r="F7866" i="1" a="1"/>
  <c r="F7967" i="1" a="1"/>
  <c r="F8031" i="1" a="1"/>
  <c r="F8095" i="1" a="1"/>
  <c r="F8159" i="1" a="1"/>
  <c r="F8223" i="1" a="1"/>
  <c r="F8287" i="1" a="1"/>
  <c r="F8351" i="1" a="1"/>
  <c r="F8415" i="1" a="1"/>
  <c r="F8479" i="1" a="1"/>
  <c r="F8543" i="1" a="1"/>
  <c r="F8607" i="1" a="1"/>
  <c r="F5033" i="1" a="1"/>
  <c r="F5628" i="1" a="1"/>
  <c r="F5884" i="1" a="1"/>
  <c r="F6140" i="1" a="1"/>
  <c r="F6396" i="1" a="1"/>
  <c r="F6652" i="1" a="1"/>
  <c r="F6908" i="1" a="1"/>
  <c r="F7095" i="1" a="1"/>
  <c r="F7231" i="1" a="1"/>
  <c r="F7372" i="1" a="1"/>
  <c r="F7505" i="1" a="1"/>
  <c r="F7633" i="1" a="1"/>
  <c r="F7761" i="1" a="1"/>
  <c r="F7889" i="1" a="1"/>
  <c r="F5390" i="1" a="1"/>
  <c r="F5601" i="1" a="1"/>
  <c r="F5857" i="1" a="1"/>
  <c r="F6113" i="1" a="1"/>
  <c r="F6369" i="1" a="1"/>
  <c r="F6625" i="1" a="1"/>
  <c r="F6881" i="1" a="1"/>
  <c r="F7068" i="1" a="1"/>
  <c r="F7221" i="1" a="1"/>
  <c r="F7383" i="1" a="1"/>
  <c r="F7515" i="1" a="1"/>
  <c r="F5467" i="1" a="1"/>
  <c r="F5723" i="1" a="1"/>
  <c r="F5979" i="1" a="1"/>
  <c r="F5416" i="1" a="1"/>
  <c r="F5650" i="1" a="1"/>
  <c r="F5906" i="1" a="1"/>
  <c r="F6162" i="1" a="1"/>
  <c r="F5587" i="1" a="1"/>
  <c r="F5843" i="1" a="1"/>
  <c r="F6099" i="1" a="1"/>
  <c r="F5438" i="1" a="1"/>
  <c r="F5697" i="1" a="1"/>
  <c r="F5953" i="1" a="1"/>
  <c r="F5178" i="1" a="1"/>
  <c r="F5691" i="1" a="1"/>
  <c r="F5947" i="1" a="1"/>
  <c r="F6203" i="1" a="1"/>
  <c r="F6459" i="1" a="1"/>
  <c r="F6715" i="1" a="1"/>
  <c r="F6944" i="1" a="1"/>
  <c r="F7109" i="1" a="1"/>
  <c r="F7245" i="1" a="1"/>
  <c r="F7407" i="1" a="1"/>
  <c r="F7536" i="1" a="1"/>
  <c r="F7664" i="1" a="1"/>
  <c r="F6582" i="1" a="1"/>
  <c r="F7050" i="1" a="1"/>
  <c r="F7326" i="1" a="1"/>
  <c r="F7570" i="1" a="1"/>
  <c r="F7769" i="1" a="1"/>
  <c r="F7934" i="1" a="1"/>
  <c r="F8201" i="1" a="1"/>
  <c r="F8370" i="1" a="1"/>
  <c r="F8544" i="1" a="1"/>
  <c r="F8683" i="1" a="1"/>
  <c r="F8747" i="1" a="1"/>
  <c r="F8811" i="1" a="1"/>
  <c r="F8875" i="1" a="1"/>
  <c r="F8939" i="1" a="1"/>
  <c r="F9003" i="1" a="1"/>
  <c r="F9067" i="1" a="1"/>
  <c r="F9131" i="1" a="1"/>
  <c r="F9195" i="1" a="1"/>
  <c r="F9259" i="1" a="1"/>
  <c r="F9323" i="1" a="1"/>
  <c r="F9387" i="1" a="1"/>
  <c r="F9451" i="1" a="1"/>
  <c r="F9515" i="1" a="1"/>
  <c r="F9579" i="1" a="1"/>
  <c r="F9643" i="1" a="1"/>
  <c r="F9707" i="1" a="1"/>
  <c r="F9771" i="1" a="1"/>
  <c r="F9835" i="1" a="1"/>
  <c r="F9899" i="1" a="1"/>
  <c r="F9963" i="1" a="1"/>
  <c r="F10027" i="1" a="1"/>
  <c r="F10091" i="1" a="1"/>
  <c r="F10155" i="1" a="1"/>
  <c r="F10219" i="1" a="1"/>
  <c r="F10283" i="1" a="1"/>
  <c r="F6400" i="1" a="1"/>
  <c r="F6912" i="1" a="1"/>
  <c r="F7222" i="1" a="1"/>
  <c r="F7507" i="1" a="1"/>
  <c r="F7709" i="1" a="1"/>
  <c r="F7874" i="1" a="1"/>
  <c r="F8000" i="1" a="1"/>
  <c r="F8133" i="1" a="1"/>
  <c r="F8302" i="1" a="1"/>
  <c r="F8476" i="1" a="1"/>
  <c r="F8645" i="1" a="1"/>
  <c r="F6638" i="1" a="1"/>
  <c r="F7064" i="1" a="1"/>
  <c r="F7359" i="1" a="1"/>
  <c r="F7579" i="1" a="1"/>
  <c r="F7777" i="1" a="1"/>
  <c r="F7936" i="1" a="1"/>
  <c r="F8202" i="1" a="1"/>
  <c r="F8376" i="1" a="1"/>
  <c r="F8545" i="1" a="1"/>
  <c r="F8684" i="1" a="1"/>
  <c r="F8748" i="1" a="1"/>
  <c r="F8812" i="1" a="1"/>
  <c r="F8876" i="1" a="1"/>
  <c r="F8940" i="1" a="1"/>
  <c r="F9004" i="1" a="1"/>
  <c r="F9068" i="1" a="1"/>
  <c r="F9132" i="1" a="1"/>
  <c r="F9196" i="1" a="1"/>
  <c r="F6511" i="1" a="1"/>
  <c r="F6980" i="1" a="1"/>
  <c r="F7307" i="1" a="1"/>
  <c r="F6107" i="1" a="1"/>
  <c r="F6646" i="1" a="1"/>
  <c r="F7101" i="1" a="1"/>
  <c r="F7425" i="1" a="1"/>
  <c r="F6281" i="1" a="1"/>
  <c r="F6793" i="1" a="1"/>
  <c r="F7154" i="1" a="1"/>
  <c r="F7484" i="1" a="1"/>
  <c r="F6446" i="1" a="1"/>
  <c r="F6961" i="1" a="1"/>
  <c r="F7249" i="1" a="1"/>
  <c r="F7567" i="1" a="1"/>
  <c r="F6593" i="1" a="1"/>
  <c r="F7046" i="1" a="1"/>
  <c r="F7333" i="1" a="1"/>
  <c r="F7604" i="1" a="1"/>
  <c r="F7794" i="1" a="1"/>
  <c r="F7950" i="1" a="1"/>
  <c r="F8036" i="1" a="1"/>
  <c r="F8205" i="1" a="1"/>
  <c r="F8374" i="1" a="1"/>
  <c r="F8548" i="1" a="1"/>
  <c r="F7675" i="1" a="1"/>
  <c r="F7974" i="1" a="1"/>
  <c r="F8276" i="1" a="1"/>
  <c r="F8605" i="1" a="1"/>
  <c r="F9353" i="1" a="1"/>
  <c r="F9520" i="1" a="1"/>
  <c r="F9698" i="1" a="1"/>
  <c r="F9785" i="1" a="1"/>
  <c r="F9870" i="1" a="1"/>
  <c r="F9956" i="1" a="1"/>
  <c r="F10041" i="1" a="1"/>
  <c r="F10126" i="1" a="1"/>
  <c r="F10212" i="1" a="1"/>
  <c r="F10297" i="1" a="1"/>
  <c r="F10373" i="1" a="1"/>
  <c r="F10437" i="1" a="1"/>
  <c r="F10501" i="1" a="1"/>
  <c r="F10565" i="1" a="1"/>
  <c r="F10629" i="1" a="1"/>
  <c r="F10693" i="1" a="1"/>
  <c r="F10757" i="1" a="1"/>
  <c r="F10821" i="1" a="1"/>
  <c r="F10885" i="1" a="1"/>
  <c r="F10949" i="1" a="1"/>
  <c r="F11013" i="1" a="1"/>
  <c r="F11077" i="1" a="1"/>
  <c r="F11141" i="1" a="1"/>
  <c r="F11205" i="1" a="1"/>
  <c r="F11269" i="1" a="1"/>
  <c r="F11333" i="1" a="1"/>
  <c r="F11397" i="1" a="1"/>
  <c r="F11461" i="1" a="1"/>
  <c r="F11525" i="1" a="1"/>
  <c r="F11589" i="1" a="1"/>
  <c r="F11653" i="1" a="1"/>
  <c r="F7760" i="1" a="1"/>
  <c r="F8185" i="1" a="1"/>
  <c r="F8514" i="1" a="1"/>
  <c r="F8741" i="1" a="1"/>
  <c r="F8869" i="1" a="1"/>
  <c r="F8997" i="1" a="1"/>
  <c r="F9125" i="1" a="1"/>
  <c r="F9270" i="1" a="1"/>
  <c r="F9437" i="1" a="1"/>
  <c r="F9604" i="1" a="1"/>
  <c r="F7676" i="1" a="1"/>
  <c r="F7976" i="1" a="1"/>
  <c r="F8277" i="1" a="1"/>
  <c r="F8606" i="1" a="1"/>
  <c r="F9361" i="1" a="1"/>
  <c r="F9528" i="1" a="1"/>
  <c r="F9706" i="1" a="1"/>
  <c r="F9792" i="1" a="1"/>
  <c r="F9877" i="1" a="1"/>
  <c r="F9962" i="1" a="1"/>
  <c r="F10048" i="1" a="1"/>
  <c r="F10133" i="1" a="1"/>
  <c r="F10218" i="1" a="1"/>
  <c r="F10304" i="1" a="1"/>
  <c r="F10382" i="1" a="1"/>
  <c r="F10446" i="1" a="1"/>
  <c r="G5803" i="1" a="1"/>
  <c r="G8145" i="1" a="1"/>
  <c r="G5575" i="1" a="1"/>
  <c r="G8258" i="1" a="1"/>
  <c r="G11182" i="1" a="1"/>
  <c r="G12206" i="1" a="1"/>
  <c r="G9414" i="1" a="1"/>
  <c r="G10925" i="1" a="1"/>
  <c r="G11946" i="1" a="1"/>
  <c r="G10338" i="1" a="1"/>
  <c r="G11764" i="1" a="1"/>
  <c r="G9648" i="1" a="1"/>
  <c r="G11428" i="1" a="1"/>
  <c r="G11281" i="1" a="1"/>
  <c r="G12711" i="1" a="1"/>
  <c r="G13775" i="1" a="1"/>
  <c r="G11072" i="1" a="1"/>
  <c r="G12576" i="1" a="1"/>
  <c r="G10713" i="1" a="1"/>
  <c r="G12314" i="1" a="1"/>
  <c r="G10714" i="1" a="1"/>
  <c r="G9303" i="1" a="1"/>
  <c r="G12166" i="1" a="1"/>
  <c r="G12169" i="1" a="1"/>
  <c r="G13675" i="1" a="1"/>
  <c r="G14665" i="1" a="1"/>
  <c r="G12941" i="1" a="1"/>
  <c r="G14265" i="1" a="1"/>
  <c r="G11976" i="1" a="1"/>
  <c r="G13634" i="1" a="1"/>
  <c r="G12483" i="1" a="1"/>
  <c r="G12861" i="1" a="1"/>
  <c r="G12908" i="1" a="1"/>
  <c r="G12945" i="1" a="1"/>
  <c r="G13037" i="1" a="1"/>
  <c r="G14236" i="1" a="1"/>
  <c r="G13636" i="1" a="1"/>
  <c r="G13971" i="1" a="1"/>
  <c r="G14470" i="1" a="1"/>
  <c r="G14851" i="1" a="1"/>
  <c r="G14198" i="1" a="1"/>
  <c r="G13746" i="1" a="1"/>
  <c r="G14654" i="1" a="1"/>
  <c r="F107" i="1" a="1"/>
  <c r="F162" i="1" a="1"/>
  <c r="F223" i="1" a="1"/>
  <c r="F497" i="1" a="1"/>
  <c r="F560" i="1" a="1"/>
  <c r="F1054" i="1" a="1"/>
  <c r="F166" i="1" a="1"/>
  <c r="F697" i="1" a="1"/>
  <c r="F907" i="1" a="1"/>
  <c r="F1765" i="1" a="1"/>
  <c r="F1267" i="1" a="1"/>
  <c r="F1738" i="1" a="1"/>
  <c r="F1572" i="1" a="1"/>
  <c r="F1451" i="1" a="1"/>
  <c r="F1755" i="1" a="1"/>
  <c r="F2734" i="1" a="1"/>
  <c r="F1634" i="1" a="1"/>
  <c r="F2188" i="1" a="1"/>
  <c r="F2183" i="1" a="1"/>
  <c r="F1812" i="1" a="1"/>
  <c r="F2588" i="1" a="1"/>
  <c r="F2867" i="1" a="1"/>
  <c r="F2669" i="1" a="1"/>
  <c r="F2485" i="1" a="1"/>
  <c r="F1803" i="1" a="1"/>
  <c r="F2269" i="1" a="1"/>
  <c r="F2481" i="1" a="1"/>
  <c r="F2296" i="1" a="1"/>
  <c r="F2728" i="1" a="1"/>
  <c r="F2884" i="1" a="1"/>
  <c r="F3069" i="1" a="1"/>
  <c r="F3242" i="1" a="1"/>
  <c r="F3370" i="1" a="1"/>
  <c r="F3498" i="1" a="1"/>
  <c r="F3626" i="1" a="1"/>
  <c r="F3754" i="1" a="1"/>
  <c r="F3882" i="1" a="1"/>
  <c r="F3989" i="1" a="1"/>
  <c r="F4053" i="1" a="1"/>
  <c r="F4117" i="1" a="1"/>
  <c r="F4181" i="1" a="1"/>
  <c r="F4245" i="1" a="1"/>
  <c r="F4309" i="1" a="1"/>
  <c r="F4373" i="1" a="1"/>
  <c r="F4437" i="1" a="1"/>
  <c r="F1703" i="1" a="1"/>
  <c r="F2641" i="1" a="1"/>
  <c r="F3023" i="1" a="1"/>
  <c r="F3224" i="1" a="1"/>
  <c r="F3352" i="1" a="1"/>
  <c r="F3480" i="1" a="1"/>
  <c r="F3608" i="1" a="1"/>
  <c r="F3736" i="1" a="1"/>
  <c r="F3864" i="1" a="1"/>
  <c r="F1704" i="1" a="1"/>
  <c r="F2450" i="1" a="1"/>
  <c r="F2800" i="1" a="1"/>
  <c r="F2913" i="1" a="1"/>
  <c r="F3128" i="1" a="1"/>
  <c r="F3275" i="1" a="1"/>
  <c r="F3403" i="1" a="1"/>
  <c r="F3531" i="1" a="1"/>
  <c r="F3659" i="1" a="1"/>
  <c r="F3787" i="1" a="1"/>
  <c r="F3915" i="1" a="1"/>
  <c r="F4006" i="1" a="1"/>
  <c r="F4070" i="1" a="1"/>
  <c r="F4134" i="1" a="1"/>
  <c r="F1820" i="1" a="1"/>
  <c r="F2311" i="1" a="1"/>
  <c r="F2767" i="1" a="1"/>
  <c r="F3095" i="1" a="1"/>
  <c r="F3269" i="1" a="1"/>
  <c r="F3397" i="1" a="1"/>
  <c r="F3525" i="1" a="1"/>
  <c r="F3653" i="1" a="1"/>
  <c r="F3781" i="1" a="1"/>
  <c r="F3909" i="1" a="1"/>
  <c r="F2735" i="1" a="1"/>
  <c r="F3286" i="1" a="1"/>
  <c r="F3542" i="1" a="1"/>
  <c r="F3798" i="1" a="1"/>
  <c r="F4419" i="1" a="1"/>
  <c r="F4528" i="1" a="1"/>
  <c r="F4592" i="1" a="1"/>
  <c r="F4656" i="1" a="1"/>
  <c r="F4720" i="1" a="1"/>
  <c r="F4784" i="1" a="1"/>
  <c r="F4848" i="1" a="1"/>
  <c r="F4912" i="1" a="1"/>
  <c r="F4976" i="1" a="1"/>
  <c r="F5040" i="1" a="1"/>
  <c r="F5104" i="1" a="1"/>
  <c r="F5168" i="1" a="1"/>
  <c r="F5232" i="1" a="1"/>
  <c r="F5296" i="1" a="1"/>
  <c r="F2569" i="1" a="1"/>
  <c r="F2991" i="1" a="1"/>
  <c r="F3332" i="1" a="1"/>
  <c r="F3588" i="1" a="1"/>
  <c r="F3844" i="1" a="1"/>
  <c r="F4036" i="1" a="1"/>
  <c r="F4164" i="1" a="1"/>
  <c r="F4266" i="1" a="1"/>
  <c r="F4351" i="1" a="1"/>
  <c r="F4488" i="1" a="1"/>
  <c r="F3071" i="1" a="1"/>
  <c r="F3381" i="1" a="1"/>
  <c r="F3637" i="1" a="1"/>
  <c r="F3893" i="1" a="1"/>
  <c r="F4466" i="1" a="1"/>
  <c r="F2764" i="1" a="1"/>
  <c r="F2587" i="1" a="1"/>
  <c r="F2441" i="1" a="1"/>
  <c r="F2896" i="1" a="1"/>
  <c r="F2264" i="1" a="1"/>
  <c r="F2844" i="1" a="1"/>
  <c r="F3212" i="1" a="1"/>
  <c r="F3468" i="1" a="1"/>
  <c r="F3724" i="1" a="1"/>
  <c r="F3177" i="1" a="1"/>
  <c r="F3711" i="1" a="1"/>
  <c r="F4143" i="1" a="1"/>
  <c r="F4399" i="1" a="1"/>
  <c r="F4541" i="1" a="1"/>
  <c r="F4626" i="1" a="1"/>
  <c r="F4711" i="1" a="1"/>
  <c r="F4797" i="1" a="1"/>
  <c r="F4966" i="1" a="1"/>
  <c r="F5135" i="1" a="1"/>
  <c r="F5309" i="1" a="1"/>
  <c r="F3218" i="1" a="1"/>
  <c r="F3730" i="1" a="1"/>
  <c r="F4104" i="1" a="1"/>
  <c r="F4352" i="1" a="1"/>
  <c r="F3103" i="1" a="1"/>
  <c r="F3446" i="1" a="1"/>
  <c r="F3953" i="1" a="1"/>
  <c r="F4262" i="1" a="1"/>
  <c r="F4490" i="1" a="1"/>
  <c r="F4575" i="1" a="1"/>
  <c r="F4661" i="1" a="1"/>
  <c r="F4746" i="1" a="1"/>
  <c r="F4863" i="1" a="1"/>
  <c r="F2959" i="1" a="1"/>
  <c r="F3176" i="1" a="1"/>
  <c r="F3674" i="1" a="1"/>
  <c r="F4139" i="1" a="1"/>
  <c r="F4366" i="1" a="1"/>
  <c r="F3849" i="1" a="1"/>
  <c r="F4448" i="1" a="1"/>
  <c r="F4901" i="1" a="1"/>
  <c r="F5107" i="1" a="1"/>
  <c r="F5301" i="1" a="1"/>
  <c r="F3925" i="1" a="1"/>
  <c r="F4491" i="1" a="1"/>
  <c r="F4734" i="1" a="1"/>
  <c r="F4987" i="1" a="1"/>
  <c r="F5197" i="1" a="1"/>
  <c r="F5363" i="1" a="1"/>
  <c r="F5427" i="1" a="1"/>
  <c r="F3824" i="1" a="1"/>
  <c r="F4394" i="1" a="1"/>
  <c r="F4689" i="1" a="1"/>
  <c r="F4945" i="1" a="1"/>
  <c r="F5166" i="1" a="1"/>
  <c r="F5337" i="1" a="1"/>
  <c r="F4071" i="1" a="1"/>
  <c r="F4072" i="1" a="1"/>
  <c r="F3999" i="1" a="1"/>
  <c r="F4031" i="1" a="1"/>
  <c r="F3952" i="1" a="1"/>
  <c r="F4643" i="1" a="1"/>
  <c r="F4906" i="1" a="1"/>
  <c r="F5138" i="1" a="1"/>
  <c r="F5340" i="1" a="1"/>
  <c r="F4571" i="1" a="1"/>
  <c r="F5090" i="1" a="1"/>
  <c r="F5392" i="1" a="1"/>
  <c r="F5488" i="1" a="1"/>
  <c r="F5616" i="1" a="1"/>
  <c r="F5744" i="1" a="1"/>
  <c r="F5872" i="1" a="1"/>
  <c r="F6000" i="1" a="1"/>
  <c r="F6128" i="1" a="1"/>
  <c r="F6256" i="1" a="1"/>
  <c r="F6384" i="1" a="1"/>
  <c r="F6512" i="1" a="1"/>
  <c r="F6640" i="1" a="1"/>
  <c r="F6768" i="1" a="1"/>
  <c r="F6896" i="1" a="1"/>
  <c r="F7024" i="1" a="1"/>
  <c r="F7152" i="1" a="1"/>
  <c r="F7280" i="1" a="1"/>
  <c r="F7408" i="1" a="1"/>
  <c r="F4625" i="1" a="1"/>
  <c r="F5059" i="1" a="1"/>
  <c r="F5475" i="1" a="1"/>
  <c r="F5603" i="1" a="1"/>
  <c r="F5731" i="1" a="1"/>
  <c r="F5859" i="1" a="1"/>
  <c r="F5987" i="1" a="1"/>
  <c r="F6115" i="1" a="1"/>
  <c r="F6243" i="1" a="1"/>
  <c r="F6371" i="1" a="1"/>
  <c r="F6499" i="1" a="1"/>
  <c r="F6627" i="1" a="1"/>
  <c r="F6755" i="1" a="1"/>
  <c r="F6883" i="1" a="1"/>
  <c r="F7011" i="1" a="1"/>
  <c r="F4729" i="1" a="1"/>
  <c r="F5219" i="1" a="1"/>
  <c r="F5414" i="1" a="1"/>
  <c r="F5521" i="1" a="1"/>
  <c r="F5649" i="1" a="1"/>
  <c r="F5777" i="1" a="1"/>
  <c r="F5905" i="1" a="1"/>
  <c r="F6033" i="1" a="1"/>
  <c r="F6161" i="1" a="1"/>
  <c r="F6289" i="1" a="1"/>
  <c r="F6417" i="1" a="1"/>
  <c r="F6545" i="1" a="1"/>
  <c r="F6673" i="1" a="1"/>
  <c r="F6801" i="1" a="1"/>
  <c r="F6929" i="1" a="1"/>
  <c r="F4971" i="1" a="1"/>
  <c r="F4801" i="1" a="1"/>
  <c r="F4582" i="1" a="1"/>
  <c r="F4363" i="1" a="1"/>
  <c r="F5013" i="1" a="1"/>
  <c r="F5026" i="1" a="1"/>
  <c r="F5338" i="1" a="1"/>
  <c r="F5579" i="1" a="1"/>
  <c r="F5707" i="1" a="1"/>
  <c r="F5835" i="1" a="1"/>
  <c r="F5963" i="1" a="1"/>
  <c r="F6091" i="1" a="1"/>
  <c r="F6219" i="1" a="1"/>
  <c r="F6347" i="1" a="1"/>
  <c r="F6475" i="1" a="1"/>
  <c r="F6603" i="1" a="1"/>
  <c r="F6731" i="1" a="1"/>
  <c r="F6859" i="1" a="1"/>
  <c r="F5361" i="1" a="1"/>
  <c r="F5554" i="1" a="1"/>
  <c r="F5810" i="1" a="1"/>
  <c r="F6066" i="1" a="1"/>
  <c r="F6322" i="1" a="1"/>
  <c r="F6578" i="1" a="1"/>
  <c r="F6834" i="1" a="1"/>
  <c r="F7054" i="1" a="1"/>
  <c r="F7199" i="1" a="1"/>
  <c r="F7340" i="1" a="1"/>
  <c r="F7491" i="1" a="1"/>
  <c r="F7619" i="1" a="1"/>
  <c r="F7747" i="1" a="1"/>
  <c r="F7875" i="1" a="1"/>
  <c r="F7971" i="1" a="1"/>
  <c r="F8035" i="1" a="1"/>
  <c r="F8099" i="1" a="1"/>
  <c r="F8163" i="1" a="1"/>
  <c r="F8227" i="1" a="1"/>
  <c r="F8291" i="1" a="1"/>
  <c r="F8355" i="1" a="1"/>
  <c r="F8419" i="1" a="1"/>
  <c r="F8483" i="1" a="1"/>
  <c r="F8547" i="1" a="1"/>
  <c r="F8611" i="1" a="1"/>
  <c r="F5054" i="1" a="1"/>
  <c r="F5637" i="1" a="1"/>
  <c r="F5893" i="1" a="1"/>
  <c r="F6149" i="1" a="1"/>
  <c r="F6405" i="1" a="1"/>
  <c r="F6661" i="1" a="1"/>
  <c r="F6917" i="1" a="1"/>
  <c r="F7100" i="1" a="1"/>
  <c r="F7236" i="1" a="1"/>
  <c r="F7377" i="1" a="1"/>
  <c r="F7510" i="1" a="1"/>
  <c r="F7638" i="1" a="1"/>
  <c r="F7766" i="1" a="1"/>
  <c r="F7894" i="1" a="1"/>
  <c r="F5401" i="1" a="1"/>
  <c r="F5610" i="1" a="1"/>
  <c r="F5866" i="1" a="1"/>
  <c r="F6122" i="1" a="1"/>
  <c r="F6378" i="1" a="1"/>
  <c r="F6634" i="1" a="1"/>
  <c r="F6890" i="1" a="1"/>
  <c r="F7080" i="1" a="1"/>
  <c r="F7226" i="1" a="1"/>
  <c r="F7388" i="1" a="1"/>
  <c r="F7524" i="1" a="1"/>
  <c r="F5476" i="1" a="1"/>
  <c r="F5732" i="1" a="1"/>
  <c r="F5988" i="1" a="1"/>
  <c r="F5426" i="1" a="1"/>
  <c r="F5687" i="1" a="1"/>
  <c r="F5943" i="1" a="1"/>
  <c r="F5043" i="1" a="1"/>
  <c r="F5596" i="1" a="1"/>
  <c r="F5852" i="1" a="1"/>
  <c r="F6108" i="1" a="1"/>
  <c r="F5449" i="1" a="1"/>
  <c r="F5706" i="1" a="1"/>
  <c r="F5962" i="1" a="1"/>
  <c r="F5241" i="1" a="1"/>
  <c r="F5700" i="1" a="1"/>
  <c r="F5956" i="1" a="1"/>
  <c r="F6212" i="1" a="1"/>
  <c r="F6468" i="1" a="1"/>
  <c r="F6724" i="1" a="1"/>
  <c r="F6962" i="1" a="1"/>
  <c r="F7114" i="1" a="1"/>
  <c r="F7250" i="1" a="1"/>
  <c r="F7412" i="1" a="1"/>
  <c r="F7545" i="1" a="1"/>
  <c r="F7673" i="1" a="1"/>
  <c r="F6619" i="1" a="1"/>
  <c r="F7063" i="1" a="1"/>
  <c r="F7347" i="1" a="1"/>
  <c r="F7576" i="1" a="1"/>
  <c r="F7776" i="1" a="1"/>
  <c r="F8041" i="1" a="1"/>
  <c r="F8210" i="1" a="1"/>
  <c r="F8384" i="1" a="1"/>
  <c r="F8553" i="1" a="1"/>
  <c r="F8687" i="1" a="1"/>
  <c r="F8751" i="1" a="1"/>
  <c r="F8815" i="1" a="1"/>
  <c r="F8879" i="1" a="1"/>
  <c r="F8943" i="1" a="1"/>
  <c r="F9007" i="1" a="1"/>
  <c r="F9071" i="1" a="1"/>
  <c r="F9135" i="1" a="1"/>
  <c r="F9199" i="1" a="1"/>
  <c r="F9263" i="1" a="1"/>
  <c r="F9327" i="1" a="1"/>
  <c r="F9391" i="1" a="1"/>
  <c r="F9455" i="1" a="1"/>
  <c r="F9519" i="1" a="1"/>
  <c r="F9583" i="1" a="1"/>
  <c r="F9647" i="1" a="1"/>
  <c r="F9711" i="1" a="1"/>
  <c r="F9775" i="1" a="1"/>
  <c r="F9839" i="1" a="1"/>
  <c r="F9903" i="1" a="1"/>
  <c r="F9967" i="1" a="1"/>
  <c r="F10031" i="1" a="1"/>
  <c r="F10095" i="1" a="1"/>
  <c r="F10159" i="1" a="1"/>
  <c r="F10223" i="1" a="1"/>
  <c r="F10287" i="1" a="1"/>
  <c r="F6418" i="1" a="1"/>
  <c r="F6941" i="1" a="1"/>
  <c r="F7243" i="1" a="1"/>
  <c r="F7516" i="1" a="1"/>
  <c r="F7716" i="1" a="1"/>
  <c r="F7892" i="1" a="1"/>
  <c r="F8005" i="1" a="1"/>
  <c r="F8142" i="1" a="1"/>
  <c r="F8316" i="1" a="1"/>
  <c r="F8485" i="1" a="1"/>
  <c r="F8654" i="1" a="1"/>
  <c r="F6675" i="1" a="1"/>
  <c r="F7087" i="1" a="1"/>
  <c r="F7369" i="1" a="1"/>
  <c r="F7585" i="1" a="1"/>
  <c r="F7783" i="1" a="1"/>
  <c r="F8042" i="1" a="1"/>
  <c r="F8216" i="1" a="1"/>
  <c r="F8385" i="1" a="1"/>
  <c r="F8554" i="1" a="1"/>
  <c r="F8688" i="1" a="1"/>
  <c r="F8752" i="1" a="1"/>
  <c r="F8816" i="1" a="1"/>
  <c r="F8880" i="1" a="1"/>
  <c r="F8944" i="1" a="1"/>
  <c r="F9008" i="1" a="1"/>
  <c r="F9072" i="1" a="1"/>
  <c r="F9136" i="1" a="1"/>
  <c r="F9200" i="1" a="1"/>
  <c r="F6529" i="1" a="1"/>
  <c r="F7004" i="1" a="1"/>
  <c r="F7328" i="1" a="1"/>
  <c r="F6171" i="1" a="1"/>
  <c r="F6683" i="1" a="1"/>
  <c r="F7112" i="1" a="1"/>
  <c r="F7436" i="1" a="1"/>
  <c r="F6336" i="1" a="1"/>
  <c r="F6848" i="1" a="1"/>
  <c r="F7196" i="1" a="1"/>
  <c r="F7493" i="1" a="1"/>
  <c r="F6483" i="1" a="1"/>
  <c r="F6985" i="1" a="1"/>
  <c r="F7291" i="1" a="1"/>
  <c r="F7575" i="1" a="1"/>
  <c r="F6648" i="1" a="1"/>
  <c r="F7059" i="1" a="1"/>
  <c r="F7354" i="1" a="1"/>
  <c r="F7612" i="1" a="1"/>
  <c r="F7805" i="1" a="1"/>
  <c r="F7956" i="1" a="1"/>
  <c r="F8045" i="1" a="1"/>
  <c r="F8214" i="1" a="1"/>
  <c r="F8388" i="1" a="1"/>
  <c r="F8557" i="1" a="1"/>
  <c r="F7699" i="1" a="1"/>
  <c r="F7985" i="1" a="1"/>
  <c r="F8285" i="1" a="1"/>
  <c r="F8614" i="1" a="1"/>
  <c r="F9360" i="1" a="1"/>
  <c r="F9538" i="1" a="1"/>
  <c r="F9705" i="1" a="1"/>
  <c r="F9790" i="1" a="1"/>
  <c r="F9876" i="1" a="1"/>
  <c r="F9961" i="1" a="1"/>
  <c r="F10046" i="1" a="1"/>
  <c r="F10132" i="1" a="1"/>
  <c r="F10217" i="1" a="1"/>
  <c r="F10302" i="1" a="1"/>
  <c r="F10377" i="1" a="1"/>
  <c r="F10441" i="1" a="1"/>
  <c r="F10505" i="1" a="1"/>
  <c r="F10569" i="1" a="1"/>
  <c r="F10633" i="1" a="1"/>
  <c r="F10697" i="1" a="1"/>
  <c r="F10761" i="1" a="1"/>
  <c r="F10825" i="1" a="1"/>
  <c r="F10889" i="1" a="1"/>
  <c r="F10953" i="1" a="1"/>
  <c r="F11017" i="1" a="1"/>
  <c r="F11081" i="1" a="1"/>
  <c r="F11145" i="1" a="1"/>
  <c r="F11209" i="1" a="1"/>
  <c r="F11273" i="1" a="1"/>
  <c r="F11337" i="1" a="1"/>
  <c r="F11401" i="1" a="1"/>
  <c r="F11465" i="1" a="1"/>
  <c r="F11529" i="1" a="1"/>
  <c r="F11593" i="1" a="1"/>
  <c r="F11657" i="1" a="1"/>
  <c r="F7785" i="1" a="1"/>
  <c r="F8194" i="1" a="1"/>
  <c r="F8560" i="1" a="1"/>
  <c r="F8749" i="1" a="1"/>
  <c r="F8877" i="1" a="1"/>
  <c r="F9005" i="1" a="1"/>
  <c r="F9133" i="1" a="1"/>
  <c r="F9277" i="1" a="1"/>
  <c r="F9444" i="1" a="1"/>
  <c r="F9622" i="1" a="1"/>
  <c r="F7700" i="1" a="1"/>
  <c r="F7986" i="1" a="1"/>
  <c r="F8286" i="1" a="1"/>
  <c r="F8652" i="1" a="1"/>
  <c r="G7002" i="1" a="1"/>
  <c r="G9192" i="1" a="1"/>
  <c r="G5926" i="1" a="1"/>
  <c r="G9572" i="1" a="1"/>
  <c r="G11301" i="1" a="1"/>
  <c r="G12325" i="1" a="1"/>
  <c r="G9574" i="1" a="1"/>
  <c r="G11041" i="1" a="1"/>
  <c r="G12065" i="1" a="1"/>
  <c r="G10487" i="1" a="1"/>
  <c r="G8802" i="1" a="1"/>
  <c r="G9968" i="1" a="1"/>
  <c r="G8555" i="1" a="1"/>
  <c r="G11533" i="1" a="1"/>
  <c r="G12868" i="1" a="1"/>
  <c r="G13898" i="1" a="1"/>
  <c r="G11291" i="1" a="1"/>
  <c r="G12717" i="1" a="1"/>
  <c r="G10873" i="1" a="1"/>
  <c r="G12451" i="1" a="1"/>
  <c r="G9388" i="1" a="1"/>
  <c r="G10159" i="1" a="1"/>
  <c r="G12324" i="1" a="1"/>
  <c r="G12437" i="1" a="1"/>
  <c r="G13810" i="1" a="1"/>
  <c r="G14777" i="1" a="1"/>
  <c r="G13100" i="1" a="1"/>
  <c r="G14377" i="1" a="1"/>
  <c r="G12305" i="1" a="1"/>
  <c r="G13791" i="1" a="1"/>
  <c r="G12767" i="1" a="1"/>
  <c r="G13017" i="1" a="1"/>
  <c r="G13078" i="1" a="1"/>
  <c r="G13104" i="1" a="1"/>
  <c r="G13196" i="1" a="1"/>
  <c r="G14296" i="1" a="1"/>
  <c r="G13918" i="1" a="1"/>
  <c r="G14222" i="1" a="1"/>
  <c r="G13219" i="1" a="1"/>
  <c r="G13379" i="1" a="1"/>
  <c r="G14283" i="1" a="1"/>
  <c r="G13180" i="1" a="1"/>
  <c r="G14814" i="1" a="1"/>
  <c r="F49" i="1" a="1"/>
  <c r="F299" i="1" a="1"/>
  <c r="F405" i="1" a="1"/>
  <c r="F663" i="1" a="1"/>
  <c r="F255" i="1" a="1"/>
  <c r="F1173" i="1" a="1"/>
  <c r="F727" i="1" a="1"/>
  <c r="F340" i="1" a="1"/>
  <c r="F1026" i="1" a="1"/>
  <c r="F1825" i="1" a="1"/>
  <c r="F1427" i="1" a="1"/>
  <c r="F1006" i="1" a="1"/>
  <c r="F1227" i="1" a="1"/>
  <c r="F1274" i="1" a="1"/>
  <c r="F1936" i="1" a="1"/>
  <c r="F2794" i="1" a="1"/>
  <c r="F1962" i="1" a="1"/>
  <c r="F2268" i="1" a="1"/>
  <c r="F1475" i="1" a="1"/>
  <c r="F1942" i="1" a="1"/>
  <c r="F1456" i="1" a="1"/>
  <c r="F2899" i="1" a="1"/>
  <c r="F2717" i="1" a="1"/>
  <c r="F2494" i="1" a="1"/>
  <c r="F1966" i="1" a="1"/>
  <c r="F2280" i="1" a="1"/>
  <c r="F2490" i="1" a="1"/>
  <c r="F2317" i="1" a="1"/>
  <c r="F2748" i="1" a="1"/>
  <c r="F2891" i="1" a="1"/>
  <c r="F3111" i="1" a="1"/>
  <c r="F3251" i="1" a="1"/>
  <c r="F3379" i="1" a="1"/>
  <c r="F3507" i="1" a="1"/>
  <c r="F3635" i="1" a="1"/>
  <c r="F3763" i="1" a="1"/>
  <c r="F3891" i="1" a="1"/>
  <c r="F3993" i="1" a="1"/>
  <c r="F4057" i="1" a="1"/>
  <c r="F4121" i="1" a="1"/>
  <c r="F4185" i="1" a="1"/>
  <c r="F4249" i="1" a="1"/>
  <c r="F4313" i="1" a="1"/>
  <c r="F4377" i="1" a="1"/>
  <c r="F4441" i="1" a="1"/>
  <c r="F1791" i="1" a="1"/>
  <c r="F2656" i="1" a="1"/>
  <c r="F3028" i="1" a="1"/>
  <c r="F3229" i="1" a="1"/>
  <c r="F3357" i="1" a="1"/>
  <c r="F3485" i="1" a="1"/>
  <c r="F3613" i="1" a="1"/>
  <c r="F3741" i="1" a="1"/>
  <c r="F3869" i="1" a="1"/>
  <c r="F1858" i="1" a="1"/>
  <c r="F2487" i="1" a="1"/>
  <c r="F2807" i="1" a="1"/>
  <c r="F2921" i="1" a="1"/>
  <c r="F3133" i="1" a="1"/>
  <c r="F3284" i="1" a="1"/>
  <c r="F3412" i="1" a="1"/>
  <c r="F3540" i="1" a="1"/>
  <c r="F3668" i="1" a="1"/>
  <c r="F3796" i="1" a="1"/>
  <c r="F3924" i="1" a="1"/>
  <c r="F4010" i="1" a="1"/>
  <c r="F4074" i="1" a="1"/>
  <c r="F4138" i="1" a="1"/>
  <c r="F1879" i="1" a="1"/>
  <c r="F2371" i="1" a="1"/>
  <c r="F2775" i="1" a="1"/>
  <c r="F3100" i="1" a="1"/>
  <c r="F3278" i="1" a="1"/>
  <c r="F3406" i="1" a="1"/>
  <c r="F3534" i="1" a="1"/>
  <c r="F3662" i="1" a="1"/>
  <c r="F3790" i="1" a="1"/>
  <c r="F3918" i="1" a="1"/>
  <c r="F2755" i="1" a="1"/>
  <c r="F3295" i="1" a="1"/>
  <c r="F3551" i="1" a="1"/>
  <c r="F3807" i="1" a="1"/>
  <c r="F4428" i="1" a="1"/>
  <c r="F4532" i="1" a="1"/>
  <c r="F4596" i="1" a="1"/>
  <c r="F4660" i="1" a="1"/>
  <c r="F4724" i="1" a="1"/>
  <c r="F4788" i="1" a="1"/>
  <c r="F4852" i="1" a="1"/>
  <c r="F4916" i="1" a="1"/>
  <c r="F4980" i="1" a="1"/>
  <c r="F5044" i="1" a="1"/>
  <c r="F5108" i="1" a="1"/>
  <c r="F5172" i="1" a="1"/>
  <c r="F5236" i="1" a="1"/>
  <c r="F5300" i="1" a="1"/>
  <c r="F2636" i="1" a="1"/>
  <c r="F3015" i="1" a="1"/>
  <c r="F3369" i="1" a="1"/>
  <c r="F3625" i="1" a="1"/>
  <c r="F3881" i="1" a="1"/>
  <c r="F4044" i="1" a="1"/>
  <c r="F4184" i="1" a="1"/>
  <c r="F4271" i="1" a="1"/>
  <c r="F4356" i="1" a="1"/>
  <c r="F2279" i="1" a="1"/>
  <c r="F3092" i="1" a="1"/>
  <c r="F3390" i="1" a="1"/>
  <c r="F3646" i="1" a="1"/>
  <c r="F3902" i="1" a="1"/>
  <c r="F4475" i="1" a="1"/>
  <c r="F2780" i="1" a="1"/>
  <c r="F2623" i="1" a="1"/>
  <c r="F2514" i="1" a="1"/>
  <c r="F2911" i="1" a="1"/>
  <c r="F2306" i="1" a="1"/>
  <c r="F2859" i="1" a="1"/>
  <c r="F3249" i="1" a="1"/>
  <c r="F3505" i="1" a="1"/>
  <c r="F3761" i="1" a="1"/>
  <c r="F3254" i="1" a="1"/>
  <c r="F3766" i="1" a="1"/>
  <c r="F4176" i="1" a="1"/>
  <c r="F4407" i="1" a="1"/>
  <c r="F4546" i="1" a="1"/>
  <c r="F4631" i="1" a="1"/>
  <c r="F4717" i="1" a="1"/>
  <c r="F4806" i="1" a="1"/>
  <c r="F4975" i="1" a="1"/>
  <c r="F5149" i="1" a="1"/>
  <c r="F5318" i="1" a="1"/>
  <c r="F3236" i="1" a="1"/>
  <c r="F3748" i="1" a="1"/>
  <c r="F4119" i="1" a="1"/>
  <c r="F4376" i="1" a="1"/>
  <c r="F3124" i="1" a="1"/>
  <c r="F3464" i="1" a="1"/>
  <c r="F3983" i="1" a="1"/>
  <c r="F4286" i="1" a="1"/>
  <c r="F4495" i="1" a="1"/>
  <c r="F4581" i="1" a="1"/>
  <c r="F4666" i="1" a="1"/>
  <c r="F4751" i="1" a="1"/>
  <c r="F4877" i="1" a="1"/>
  <c r="F3008" i="1" a="1"/>
  <c r="F3197" i="1" a="1"/>
  <c r="F3692" i="1" a="1"/>
  <c r="F4152" i="1" a="1"/>
  <c r="F4375" i="1" a="1"/>
  <c r="F3922" i="1" a="1"/>
  <c r="F4585" i="1" a="1"/>
  <c r="F4907" i="1" a="1"/>
  <c r="F5113" i="1" a="1"/>
  <c r="F5306" i="1" a="1"/>
  <c r="F3958" i="1" a="1"/>
  <c r="F4502" i="1" a="1"/>
  <c r="F4755" i="1" a="1"/>
  <c r="F4993" i="1" a="1"/>
  <c r="F5202" i="1" a="1"/>
  <c r="F5367" i="1" a="1"/>
  <c r="F5431" i="1" a="1"/>
  <c r="F3861" i="1" a="1"/>
  <c r="F4408" i="1" a="1"/>
  <c r="F4721" i="1" a="1"/>
  <c r="F4951" i="1" a="1"/>
  <c r="F5171" i="1" a="1"/>
  <c r="F5346" i="1" a="1"/>
  <c r="F4120" i="1" a="1"/>
  <c r="F4123" i="1" a="1"/>
  <c r="F4048" i="1" a="1"/>
  <c r="F4080" i="1" a="1"/>
  <c r="F3979" i="1" a="1"/>
  <c r="F4651" i="1" a="1"/>
  <c r="F4937" i="1" a="1"/>
  <c r="F5143" i="1" a="1"/>
  <c r="F5349" i="1" a="1"/>
  <c r="F4590" i="1" a="1"/>
  <c r="F5121" i="1" a="1"/>
  <c r="F5397" i="1" a="1"/>
  <c r="F5497" i="1" a="1"/>
  <c r="F5625" i="1" a="1"/>
  <c r="F5753" i="1" a="1"/>
  <c r="F5881" i="1" a="1"/>
  <c r="F6009" i="1" a="1"/>
  <c r="F6137" i="1" a="1"/>
  <c r="F6265" i="1" a="1"/>
  <c r="F6393" i="1" a="1"/>
  <c r="F6521" i="1" a="1"/>
  <c r="F6649" i="1" a="1"/>
  <c r="F6777" i="1" a="1"/>
  <c r="F6905" i="1" a="1"/>
  <c r="F7033" i="1" a="1"/>
  <c r="F7161" i="1" a="1"/>
  <c r="F7289" i="1" a="1"/>
  <c r="F7417" i="1" a="1"/>
  <c r="F4659" i="1" a="1"/>
  <c r="F5101" i="1" a="1"/>
  <c r="F5484" i="1" a="1"/>
  <c r="F5612" i="1" a="1"/>
  <c r="F5740" i="1" a="1"/>
  <c r="F5868" i="1" a="1"/>
  <c r="F5996" i="1" a="1"/>
  <c r="F6124" i="1" a="1"/>
  <c r="F6252" i="1" a="1"/>
  <c r="F6380" i="1" a="1"/>
  <c r="F6508" i="1" a="1"/>
  <c r="F6636" i="1" a="1"/>
  <c r="F6764" i="1" a="1"/>
  <c r="F6892" i="1" a="1"/>
  <c r="F7020" i="1" a="1"/>
  <c r="F4771" i="1" a="1"/>
  <c r="F5261" i="1" a="1"/>
  <c r="F5420" i="1" a="1"/>
  <c r="F5530" i="1" a="1"/>
  <c r="F5658" i="1" a="1"/>
  <c r="F5786" i="1" a="1"/>
  <c r="F5914" i="1" a="1"/>
  <c r="F6042" i="1" a="1"/>
  <c r="F6170" i="1" a="1"/>
  <c r="F6298" i="1" a="1"/>
  <c r="F6426" i="1" a="1"/>
  <c r="F6554" i="1" a="1"/>
  <c r="F6682" i="1" a="1"/>
  <c r="F6810" i="1" a="1"/>
  <c r="F4246" i="1" a="1"/>
  <c r="F4211" i="1" a="1"/>
  <c r="F4850" i="1" a="1"/>
  <c r="F4617" i="1" a="1"/>
  <c r="F4423" i="1" a="1"/>
  <c r="F4227" i="1" a="1"/>
  <c r="F5037" i="1" a="1"/>
  <c r="F5460" i="1" a="1"/>
  <c r="F5588" i="1" a="1"/>
  <c r="F5716" i="1" a="1"/>
  <c r="F5844" i="1" a="1"/>
  <c r="F5972" i="1" a="1"/>
  <c r="F6100" i="1" a="1"/>
  <c r="F6228" i="1" a="1"/>
  <c r="F6356" i="1" a="1"/>
  <c r="F6484" i="1" a="1"/>
  <c r="F6612" i="1" a="1"/>
  <c r="F6740" i="1" a="1"/>
  <c r="F6868" i="1" a="1"/>
  <c r="F5377" i="1" a="1"/>
  <c r="F5591" i="1" a="1"/>
  <c r="F5847" i="1" a="1"/>
  <c r="F6103" i="1" a="1"/>
  <c r="F6359" i="1" a="1"/>
  <c r="F6615" i="1" a="1"/>
  <c r="F6871" i="1" a="1"/>
  <c r="F7060" i="1" a="1"/>
  <c r="F7204" i="1" a="1"/>
  <c r="F7345" i="1" a="1"/>
  <c r="F7500" i="1" a="1"/>
  <c r="F7628" i="1" a="1"/>
  <c r="F7756" i="1" a="1"/>
  <c r="F7884" i="1" a="1"/>
  <c r="F7975" i="1" a="1"/>
  <c r="F8039" i="1" a="1"/>
  <c r="F8103" i="1" a="1"/>
  <c r="F8167" i="1" a="1"/>
  <c r="F8231" i="1" a="1"/>
  <c r="F8295" i="1" a="1"/>
  <c r="F8359" i="1" a="1"/>
  <c r="F8423" i="1" a="1"/>
  <c r="F8487" i="1" a="1"/>
  <c r="F8551" i="1" a="1"/>
  <c r="F8615" i="1" a="1"/>
  <c r="F5179" i="1" a="1"/>
  <c r="F5646" i="1" a="1"/>
  <c r="F5902" i="1" a="1"/>
  <c r="F6158" i="1" a="1"/>
  <c r="F6414" i="1" a="1"/>
  <c r="F6670" i="1" a="1"/>
  <c r="F6926" i="1" a="1"/>
  <c r="F7105" i="1" a="1"/>
  <c r="F7241" i="1" a="1"/>
  <c r="F7382" i="1" a="1"/>
  <c r="F7519" i="1" a="1"/>
  <c r="F7647" i="1" a="1"/>
  <c r="F7775" i="1" a="1"/>
  <c r="F7903" i="1" a="1"/>
  <c r="F5412" i="1" a="1"/>
  <c r="F5647" i="1" a="1"/>
  <c r="F5903" i="1" a="1"/>
  <c r="F6159" i="1" a="1"/>
  <c r="F6415" i="1" a="1"/>
  <c r="F6671" i="1" a="1"/>
  <c r="F6927" i="1" a="1"/>
  <c r="F7085" i="1" a="1"/>
  <c r="F7247" i="1" a="1"/>
  <c r="F7393" i="1" a="1"/>
  <c r="F7533" i="1" a="1"/>
  <c r="F5485" i="1" a="1"/>
  <c r="F5741" i="1" a="1"/>
  <c r="F5997" i="1" a="1"/>
  <c r="F5437" i="1" a="1"/>
  <c r="F5696" i="1" a="1"/>
  <c r="F5952" i="1" a="1"/>
  <c r="F5106" i="1" a="1"/>
  <c r="F5605" i="1" a="1"/>
  <c r="F5861" i="1" a="1"/>
  <c r="F6117" i="1" a="1"/>
  <c r="F5487" i="1" a="1"/>
  <c r="F5743" i="1" a="1"/>
  <c r="F5999" i="1" a="1"/>
  <c r="F5303" i="1" a="1"/>
  <c r="F5709" i="1" a="1"/>
  <c r="F5965" i="1" a="1"/>
  <c r="F6221" i="1" a="1"/>
  <c r="F6477" i="1" a="1"/>
  <c r="F6733" i="1" a="1"/>
  <c r="F6968" i="1" a="1"/>
  <c r="F7125" i="1" a="1"/>
  <c r="F7287" i="1" a="1"/>
  <c r="F7423" i="1" a="1"/>
  <c r="F7550" i="1" a="1"/>
  <c r="F6070" i="1" a="1"/>
  <c r="F6637" i="1" a="1"/>
  <c r="F7096" i="1" a="1"/>
  <c r="F7357" i="1" a="1"/>
  <c r="F7584" i="1" a="1"/>
  <c r="F7782" i="1" a="1"/>
  <c r="F8050" i="1" a="1"/>
  <c r="F8224" i="1" a="1"/>
  <c r="F8393" i="1" a="1"/>
  <c r="F8562" i="1" a="1"/>
  <c r="F8691" i="1" a="1"/>
  <c r="F8755" i="1" a="1"/>
  <c r="F8819" i="1" a="1"/>
  <c r="F8883" i="1" a="1"/>
  <c r="F8947" i="1" a="1"/>
  <c r="F9011" i="1" a="1"/>
  <c r="F9075" i="1" a="1"/>
  <c r="F9139" i="1" a="1"/>
  <c r="F9203" i="1" a="1"/>
  <c r="F9267" i="1" a="1"/>
  <c r="F9331" i="1" a="1"/>
  <c r="F9395" i="1" a="1"/>
  <c r="F9459" i="1" a="1"/>
  <c r="F9523" i="1" a="1"/>
  <c r="F9587" i="1" a="1"/>
  <c r="F9651" i="1" a="1"/>
  <c r="F9715" i="1" a="1"/>
  <c r="F9779" i="1" a="1"/>
  <c r="F9843" i="1" a="1"/>
  <c r="F9907" i="1" a="1"/>
  <c r="F9971" i="1" a="1"/>
  <c r="F10035" i="1" a="1"/>
  <c r="F10099" i="1" a="1"/>
  <c r="F10163" i="1" a="1"/>
  <c r="F10227" i="1" a="1"/>
  <c r="F10291" i="1" a="1"/>
  <c r="F6455" i="1" a="1"/>
  <c r="F6966" i="1" a="1"/>
  <c r="F7264" i="1" a="1"/>
  <c r="F7525" i="1" a="1"/>
  <c r="F7722" i="1" a="1"/>
  <c r="F7899" i="1" a="1"/>
  <c r="F8010" i="1" a="1"/>
  <c r="F8156" i="1" a="1"/>
  <c r="F8325" i="1" a="1"/>
  <c r="F8494" i="1" a="1"/>
  <c r="F6181" i="1" a="1"/>
  <c r="F6693" i="1" a="1"/>
  <c r="F7108" i="1" a="1"/>
  <c r="F7390" i="1" a="1"/>
  <c r="F7593" i="1" a="1"/>
  <c r="F7790" i="1" a="1"/>
  <c r="F8056" i="1" a="1"/>
  <c r="F8225" i="1" a="1"/>
  <c r="F8394" i="1" a="1"/>
  <c r="F8568" i="1" a="1"/>
  <c r="F8692" i="1" a="1"/>
  <c r="F8756" i="1" a="1"/>
  <c r="F8820" i="1" a="1"/>
  <c r="F8884" i="1" a="1"/>
  <c r="F8948" i="1" a="1"/>
  <c r="F9012" i="1" a="1"/>
  <c r="F9076" i="1" a="1"/>
  <c r="F9140" i="1" a="1"/>
  <c r="F9204" i="1" a="1"/>
  <c r="F6584" i="1" a="1"/>
  <c r="F7028" i="1" a="1"/>
  <c r="F7338" i="1" a="1"/>
  <c r="F6189" i="1" a="1"/>
  <c r="F6701" i="1" a="1"/>
  <c r="F7122" i="1" a="1"/>
  <c r="F7446" i="1" a="1"/>
  <c r="F6354" i="1" a="1"/>
  <c r="F6866" i="1" a="1"/>
  <c r="F7206" i="1" a="1"/>
  <c r="F7530" i="1" a="1"/>
  <c r="F6501" i="1" a="1"/>
  <c r="F7009" i="1" a="1"/>
  <c r="F7301" i="1" a="1"/>
  <c r="F6134" i="1" a="1"/>
  <c r="F6666" i="1" a="1"/>
  <c r="F7082" i="1" a="1"/>
  <c r="F7375" i="1" a="1"/>
  <c r="F7620" i="1" a="1"/>
  <c r="F7812" i="1" a="1"/>
  <c r="F7961" i="1" a="1"/>
  <c r="F8054" i="1" a="1"/>
  <c r="F8228" i="1" a="1"/>
  <c r="F8397" i="1" a="1"/>
  <c r="F8566" i="1" a="1"/>
  <c r="F7723" i="1" a="1"/>
  <c r="F7996" i="1" a="1"/>
  <c r="F8294" i="1" a="1"/>
  <c r="F8660" i="1" a="1"/>
  <c r="F9378" i="1" a="1"/>
  <c r="F9545" i="1" a="1"/>
  <c r="F9710" i="1" a="1"/>
  <c r="F9796" i="1" a="1"/>
  <c r="F9881" i="1" a="1"/>
  <c r="F9966" i="1" a="1"/>
  <c r="F10052" i="1" a="1"/>
  <c r="F10137" i="1" a="1"/>
  <c r="F10222" i="1" a="1"/>
  <c r="F10308" i="1" a="1"/>
  <c r="F10381" i="1" a="1"/>
  <c r="F10445" i="1" a="1"/>
  <c r="F10509" i="1" a="1"/>
  <c r="F10573" i="1" a="1"/>
  <c r="F10637" i="1" a="1"/>
  <c r="F10701" i="1" a="1"/>
  <c r="F10765" i="1" a="1"/>
  <c r="F10829" i="1" a="1"/>
  <c r="F10893" i="1" a="1"/>
  <c r="F10957" i="1" a="1"/>
  <c r="F11021" i="1" a="1"/>
  <c r="F11085" i="1" a="1"/>
  <c r="F11149" i="1" a="1"/>
  <c r="F11213" i="1" a="1"/>
  <c r="F11277" i="1" a="1"/>
  <c r="F11341" i="1" a="1"/>
  <c r="F11405" i="1" a="1"/>
  <c r="F11469" i="1" a="1"/>
  <c r="F11533" i="1" a="1"/>
  <c r="F11597" i="1" a="1"/>
  <c r="F11661" i="1" a="1"/>
  <c r="F7809" i="1" a="1"/>
  <c r="F8240" i="1" a="1"/>
  <c r="F8569" i="1" a="1"/>
  <c r="F8757" i="1" a="1"/>
  <c r="F8885" i="1" a="1"/>
  <c r="F9013" i="1" a="1"/>
  <c r="F9141" i="1" a="1"/>
  <c r="F9284" i="1" a="1"/>
  <c r="F9462" i="1" a="1"/>
  <c r="F9629" i="1" a="1"/>
  <c r="F7725" i="1" a="1"/>
  <c r="F7997" i="1" a="1"/>
  <c r="F8332" i="1" a="1"/>
  <c r="G7011" i="1" a="1"/>
  <c r="G9197" i="1" a="1"/>
  <c r="G5947" i="1" a="1"/>
  <c r="G9578" i="1" a="1"/>
  <c r="G11310" i="1" a="1"/>
  <c r="G12334" i="1" a="1"/>
  <c r="G9584" i="1" a="1"/>
  <c r="G11050" i="1" a="1"/>
  <c r="G12074" i="1" a="1"/>
  <c r="G10494" i="1" a="1"/>
  <c r="G8820" i="1" a="1"/>
  <c r="G10014" i="1" a="1"/>
  <c r="G8610" i="1" a="1"/>
  <c r="G11541" i="1" a="1"/>
  <c r="G12873" i="1" a="1"/>
  <c r="G13903" i="1" a="1"/>
  <c r="G11328" i="1" a="1"/>
  <c r="G12722" i="1" a="1"/>
  <c r="G10883" i="1" a="1"/>
  <c r="G12467" i="1" a="1"/>
  <c r="G9410" i="1" a="1"/>
  <c r="G10213" i="1" a="1"/>
  <c r="G12342" i="1" a="1"/>
  <c r="G12447" i="1" a="1"/>
  <c r="G13821" i="1" a="1"/>
  <c r="G14785" i="1" a="1"/>
  <c r="G13118" i="1" a="1"/>
  <c r="G14385" i="1" a="1"/>
  <c r="G12329" i="1" a="1"/>
  <c r="G13796" i="1" a="1"/>
  <c r="G12793" i="1" a="1"/>
  <c r="G13023" i="1" a="1"/>
  <c r="G13084" i="1" a="1"/>
  <c r="G13122" i="1" a="1"/>
  <c r="G13214" i="1" a="1"/>
  <c r="G14300" i="1" a="1"/>
  <c r="G13939" i="1" a="1"/>
  <c r="G14231" i="1" a="1"/>
  <c r="G13229" i="1" a="1"/>
  <c r="G13389" i="1" a="1"/>
  <c r="G14315" i="1" a="1"/>
  <c r="G13205" i="1" a="1"/>
  <c r="G14832" i="1" a="1"/>
  <c r="F54" i="1" a="1"/>
  <c r="F305" i="1" a="1"/>
  <c r="F410" i="1" a="1"/>
  <c r="F668" i="1" a="1"/>
  <c r="F267" i="1" a="1"/>
  <c r="F1182" i="1" a="1"/>
  <c r="F732" i="1" a="1"/>
  <c r="F423" i="1" a="1"/>
  <c r="F1035" i="1" a="1"/>
  <c r="F1829" i="1" a="1"/>
  <c r="F1436" i="1" a="1"/>
  <c r="F1015" i="1" a="1"/>
  <c r="F1236" i="1" a="1"/>
  <c r="F1315" i="1" a="1"/>
  <c r="F1943" i="1" a="1"/>
  <c r="F2798" i="1" a="1"/>
  <c r="F1974" i="1" a="1"/>
  <c r="F2273" i="1" a="1"/>
  <c r="F1676" i="1" a="1"/>
  <c r="F1972" i="1" a="1"/>
  <c r="F1727" i="1" a="1"/>
  <c r="F2920" i="1" a="1"/>
  <c r="F2769" i="1" a="1"/>
  <c r="F2531" i="1" a="1"/>
  <c r="F1990" i="1" a="1"/>
  <c r="F2290" i="1" a="1"/>
  <c r="F2527" i="1" a="1"/>
  <c r="F2338" i="1" a="1"/>
  <c r="F2784" i="1" a="1"/>
  <c r="F2897" i="1" a="1"/>
  <c r="F3116" i="1" a="1"/>
  <c r="F3260" i="1" a="1"/>
  <c r="F3388" i="1" a="1"/>
  <c r="F3516" i="1" a="1"/>
  <c r="F3644" i="1" a="1"/>
  <c r="F3772" i="1" a="1"/>
  <c r="F3900" i="1" a="1"/>
  <c r="F3997" i="1" a="1"/>
  <c r="F4061" i="1" a="1"/>
  <c r="F4125" i="1" a="1"/>
  <c r="F4189" i="1" a="1"/>
  <c r="F4253" i="1" a="1"/>
  <c r="F4317" i="1" a="1"/>
  <c r="F4381" i="1" a="1"/>
  <c r="F4445" i="1" a="1"/>
  <c r="F1910" i="1" a="1"/>
  <c r="F2692" i="1" a="1"/>
  <c r="F3033" i="1" a="1"/>
  <c r="F3238" i="1" a="1"/>
  <c r="F3366" i="1" a="1"/>
  <c r="F3494" i="1" a="1"/>
  <c r="F3622" i="1" a="1"/>
  <c r="F3750" i="1" a="1"/>
  <c r="F3878" i="1" a="1"/>
  <c r="F1911" i="1" a="1"/>
  <c r="F2505" i="1" a="1"/>
  <c r="F2815" i="1" a="1"/>
  <c r="F2927" i="1" a="1"/>
  <c r="F3175" i="1" a="1"/>
  <c r="F3289" i="1" a="1"/>
  <c r="F3417" i="1" a="1"/>
  <c r="F3545" i="1" a="1"/>
  <c r="F3673" i="1" a="1"/>
  <c r="F3801" i="1" a="1"/>
  <c r="F3929" i="1" a="1"/>
  <c r="F4014" i="1" a="1"/>
  <c r="F4078" i="1" a="1"/>
  <c r="F4142" i="1" a="1"/>
  <c r="F1652" i="1" a="1"/>
  <c r="F2389" i="1" a="1"/>
  <c r="F2924" i="1" a="1"/>
  <c r="F3105" i="1" a="1"/>
  <c r="F3287" i="1" a="1"/>
  <c r="F3415" i="1" a="1"/>
  <c r="F3543" i="1" a="1"/>
  <c r="F3671" i="1" a="1"/>
  <c r="F3799" i="1" a="1"/>
  <c r="F3927" i="1" a="1"/>
  <c r="F2941" i="1" a="1"/>
  <c r="F3304" i="1" a="1"/>
  <c r="F3560" i="1" a="1"/>
  <c r="F3816" i="1" a="1"/>
  <c r="F4442" i="1" a="1"/>
  <c r="F4536" i="1" a="1"/>
  <c r="F4600" i="1" a="1"/>
  <c r="F4664" i="1" a="1"/>
  <c r="F4728" i="1" a="1"/>
  <c r="F4792" i="1" a="1"/>
  <c r="F4856" i="1" a="1"/>
  <c r="F4920" i="1" a="1"/>
  <c r="F4984" i="1" a="1"/>
  <c r="F5048" i="1" a="1"/>
  <c r="F5112" i="1" a="1"/>
  <c r="F5176" i="1" a="1"/>
  <c r="F5240" i="1" a="1"/>
  <c r="F5304" i="1" a="1"/>
  <c r="F2664" i="1" a="1"/>
  <c r="F3047" i="1" a="1"/>
  <c r="F3378" i="1" a="1"/>
  <c r="F3634" i="1" a="1"/>
  <c r="F3890" i="1" a="1"/>
  <c r="F4052" i="1" a="1"/>
  <c r="F4191" i="1" a="1"/>
  <c r="F4276" i="1" a="1"/>
  <c r="F4362" i="1" a="1"/>
  <c r="F2398" i="1" a="1"/>
  <c r="F3113" i="1" a="1"/>
  <c r="F3399" i="1" a="1"/>
  <c r="F3655" i="1" a="1"/>
  <c r="F3911" i="1" a="1"/>
  <c r="F4484" i="1" a="1"/>
  <c r="F2795" i="1" a="1"/>
  <c r="F2673" i="1" a="1"/>
  <c r="F2551" i="1" a="1"/>
  <c r="F2111" i="1" a="1"/>
  <c r="F2385" i="1" a="1"/>
  <c r="F2873" i="1" a="1"/>
  <c r="F3258" i="1" a="1"/>
  <c r="F3514" i="1" a="1"/>
  <c r="F3770" i="1" a="1"/>
  <c r="F3272" i="1" a="1"/>
  <c r="F3784" i="1" a="1"/>
  <c r="F4198" i="1" a="1"/>
  <c r="F4450" i="1" a="1"/>
  <c r="F4551" i="1" a="1"/>
  <c r="F4637" i="1" a="1"/>
  <c r="F4722" i="1" a="1"/>
  <c r="F4815" i="1" a="1"/>
  <c r="F4989" i="1" a="1"/>
  <c r="F5158" i="1" a="1"/>
  <c r="F5327" i="1" a="1"/>
  <c r="F3273" i="1" a="1"/>
  <c r="F3785" i="1" a="1"/>
  <c r="F4155" i="1" a="1"/>
  <c r="F4414" i="1" a="1"/>
  <c r="F3145" i="1" a="1"/>
  <c r="F3501" i="1" a="1"/>
  <c r="F4019" i="1" a="1"/>
  <c r="F4295" i="1" a="1"/>
  <c r="F4501" i="1" a="1"/>
  <c r="F4586" i="1" a="1"/>
  <c r="F4671" i="1" a="1"/>
  <c r="F4757" i="1" a="1"/>
  <c r="F4886" i="1" a="1"/>
  <c r="F3063" i="1" a="1"/>
  <c r="F3217" i="1" a="1"/>
  <c r="F3729" i="1" a="1"/>
  <c r="F4167" i="1" a="1"/>
  <c r="F4384" i="1" a="1"/>
  <c r="F4008" i="1" a="1"/>
  <c r="F4593" i="1" a="1"/>
  <c r="F4913" i="1" a="1"/>
  <c r="F5118" i="1" a="1"/>
  <c r="F5311" i="1" a="1"/>
  <c r="F3984" i="1" a="1"/>
  <c r="F4513" i="1" a="1"/>
  <c r="F4777" i="1" a="1"/>
  <c r="F4999" i="1" a="1"/>
  <c r="F5207" i="1" a="1"/>
  <c r="F5371" i="1" a="1"/>
  <c r="F5435" i="1" a="1"/>
  <c r="F3934" i="1" a="1"/>
  <c r="F4467" i="1" a="1"/>
  <c r="F4742" i="1" a="1"/>
  <c r="F4963" i="1" a="1"/>
  <c r="F5177" i="1" a="1"/>
  <c r="F3281" i="1" a="1"/>
  <c r="F4192" i="1" a="1"/>
  <c r="F4151" i="1" a="1"/>
  <c r="F4099" i="1" a="1"/>
  <c r="F4131" i="1" a="1"/>
  <c r="F4007" i="1" a="1"/>
  <c r="F4686" i="1" a="1"/>
  <c r="F4949" i="1" a="1"/>
  <c r="F5154" i="1" a="1"/>
  <c r="F5358" i="1" a="1"/>
  <c r="F4641" i="1" a="1"/>
  <c r="F5142" i="1" a="1"/>
  <c r="F5402" i="1" a="1"/>
  <c r="F5506" i="1" a="1"/>
  <c r="F5634" i="1" a="1"/>
  <c r="F5762" i="1" a="1"/>
  <c r="F5890" i="1" a="1"/>
  <c r="F6018" i="1" a="1"/>
  <c r="F6146" i="1" a="1"/>
  <c r="F6274" i="1" a="1"/>
  <c r="F6402" i="1" a="1"/>
  <c r="F6530" i="1" a="1"/>
  <c r="F6658" i="1" a="1"/>
  <c r="F6786" i="1" a="1"/>
  <c r="F6914" i="1" a="1"/>
  <c r="F7042" i="1" a="1"/>
  <c r="F7170" i="1" a="1"/>
  <c r="F7298" i="1" a="1"/>
  <c r="F7426" i="1" a="1"/>
  <c r="F4710" i="1" a="1"/>
  <c r="F5111" i="1" a="1"/>
  <c r="F5493" i="1" a="1"/>
  <c r="F5621" i="1" a="1"/>
  <c r="F5749" i="1" a="1"/>
  <c r="F5877" i="1" a="1"/>
  <c r="F6005" i="1" a="1"/>
  <c r="F6133" i="1" a="1"/>
  <c r="F6261" i="1" a="1"/>
  <c r="F6389" i="1" a="1"/>
  <c r="F6517" i="1" a="1"/>
  <c r="F6645" i="1" a="1"/>
  <c r="F6773" i="1" a="1"/>
  <c r="F6901" i="1" a="1"/>
  <c r="F7029" i="1" a="1"/>
  <c r="F4873" i="1" a="1"/>
  <c r="F5271" i="1" a="1"/>
  <c r="F5425" i="1" a="1"/>
  <c r="F5535" i="1" a="1"/>
  <c r="F5663" i="1" a="1"/>
  <c r="F5791" i="1" a="1"/>
  <c r="F5919" i="1" a="1"/>
  <c r="F6047" i="1" a="1"/>
  <c r="F6175" i="1" a="1"/>
  <c r="F6303" i="1" a="1"/>
  <c r="F6431" i="1" a="1"/>
  <c r="F6559" i="1" a="1"/>
  <c r="F6687" i="1" a="1"/>
  <c r="F6815" i="1" a="1"/>
  <c r="F4279" i="1" a="1"/>
  <c r="F4315" i="1" a="1"/>
  <c r="F4862" i="1" a="1"/>
  <c r="F4667" i="1" a="1"/>
  <c r="F4482" i="1" a="1"/>
  <c r="F4331" i="1" a="1"/>
  <c r="F5047" i="1" a="1"/>
  <c r="F5469" i="1" a="1"/>
  <c r="F5597" i="1" a="1"/>
  <c r="F5725" i="1" a="1"/>
  <c r="F5853" i="1" a="1"/>
  <c r="F5981" i="1" a="1"/>
  <c r="F6109" i="1" a="1"/>
  <c r="F6237" i="1" a="1"/>
  <c r="F6365" i="1" a="1"/>
  <c r="F6493" i="1" a="1"/>
  <c r="F6621" i="1" a="1"/>
  <c r="F6749" i="1" a="1"/>
  <c r="F6877" i="1" a="1"/>
  <c r="F5389" i="1" a="1"/>
  <c r="F5600" i="1" a="1"/>
  <c r="F5856" i="1" a="1"/>
  <c r="F6112" i="1" a="1"/>
  <c r="F6368" i="1" a="1"/>
  <c r="F6624" i="1" a="1"/>
  <c r="F6880" i="1" a="1"/>
  <c r="F7067" i="1" a="1"/>
  <c r="F7209" i="1" a="1"/>
  <c r="F7350" i="1" a="1"/>
  <c r="F7509" i="1" a="1"/>
  <c r="F7637" i="1" a="1"/>
  <c r="F7765" i="1" a="1"/>
  <c r="F7893" i="1" a="1"/>
  <c r="F7979" i="1" a="1"/>
  <c r="F8043" i="1" a="1"/>
  <c r="F8107" i="1" a="1"/>
  <c r="F8171" i="1" a="1"/>
  <c r="F8235" i="1" a="1"/>
  <c r="F8299" i="1" a="1"/>
  <c r="F8363" i="1" a="1"/>
  <c r="F8427" i="1" a="1"/>
  <c r="F8491" i="1" a="1"/>
  <c r="F8555" i="1" a="1"/>
  <c r="F8619" i="1" a="1"/>
  <c r="F5221" i="1" a="1"/>
  <c r="F5683" i="1" a="1"/>
  <c r="F5939" i="1" a="1"/>
  <c r="F6195" i="1" a="1"/>
  <c r="F6451" i="1" a="1"/>
  <c r="F6707" i="1" a="1"/>
  <c r="F6945" i="1" a="1"/>
  <c r="F7110" i="1" a="1"/>
  <c r="F7246" i="1" a="1"/>
  <c r="F7403" i="1" a="1"/>
  <c r="F7528" i="1" a="1"/>
  <c r="F7656" i="1" a="1"/>
  <c r="F7784" i="1" a="1"/>
  <c r="F7912" i="1" a="1"/>
  <c r="F5422" i="1" a="1"/>
  <c r="F5656" i="1" a="1"/>
  <c r="F5912" i="1" a="1"/>
  <c r="F6168" i="1" a="1"/>
  <c r="F6424" i="1" a="1"/>
  <c r="F6680" i="1" a="1"/>
  <c r="F6934" i="1" a="1"/>
  <c r="F7090" i="1" a="1"/>
  <c r="F7252" i="1" a="1"/>
  <c r="F7398" i="1" a="1"/>
  <c r="F7538" i="1" a="1"/>
  <c r="F5494" i="1" a="1"/>
  <c r="F5750" i="1" a="1"/>
  <c r="F6006" i="1" a="1"/>
  <c r="F5448" i="1" a="1"/>
  <c r="F5705" i="1" a="1"/>
  <c r="F5961" i="1" a="1"/>
  <c r="F5127" i="1" a="1"/>
  <c r="F5614" i="1" a="1"/>
  <c r="F5870" i="1" a="1"/>
  <c r="F6126" i="1" a="1"/>
  <c r="F5496" i="1" a="1"/>
  <c r="F5752" i="1" a="1"/>
  <c r="F6008" i="1" a="1"/>
  <c r="F5462" i="1" a="1"/>
  <c r="F5718" i="1" a="1"/>
  <c r="F5974" i="1" a="1"/>
  <c r="F6230" i="1" a="1"/>
  <c r="F6486" i="1" a="1"/>
  <c r="F6742" i="1" a="1"/>
  <c r="F6975" i="1" a="1"/>
  <c r="F7130" i="1" a="1"/>
  <c r="F7292" i="1" a="1"/>
  <c r="F7428" i="1" a="1"/>
  <c r="F7559" i="1" a="1"/>
  <c r="F6180" i="1" a="1"/>
  <c r="F6692" i="1" a="1"/>
  <c r="F7107" i="1" a="1"/>
  <c r="F7368" i="1" a="1"/>
  <c r="F7627" i="1" a="1"/>
  <c r="F7800" i="1" a="1"/>
  <c r="F8064" i="1" a="1"/>
  <c r="F8233" i="1" a="1"/>
  <c r="F8402" i="1" a="1"/>
  <c r="F8576" i="1" a="1"/>
  <c r="F8695" i="1" a="1"/>
  <c r="F8759" i="1" a="1"/>
  <c r="F8823" i="1" a="1"/>
  <c r="F8887" i="1" a="1"/>
  <c r="F8951" i="1" a="1"/>
  <c r="F9015" i="1" a="1"/>
  <c r="F9079" i="1" a="1"/>
  <c r="F9143" i="1" a="1"/>
  <c r="F9207" i="1" a="1"/>
  <c r="F9271" i="1" a="1"/>
  <c r="F9335" i="1" a="1"/>
  <c r="F9399" i="1" a="1"/>
  <c r="F9463" i="1" a="1"/>
  <c r="F9527" i="1" a="1"/>
  <c r="F9591" i="1" a="1"/>
  <c r="F9655" i="1" a="1"/>
  <c r="F9719" i="1" a="1"/>
  <c r="F9783" i="1" a="1"/>
  <c r="F9847" i="1" a="1"/>
  <c r="F9911" i="1" a="1"/>
  <c r="F9975" i="1" a="1"/>
  <c r="F10039" i="1" a="1"/>
  <c r="F10103" i="1" a="1"/>
  <c r="F10167" i="1" a="1"/>
  <c r="F10231" i="1" a="1"/>
  <c r="F10295" i="1" a="1"/>
  <c r="F6473" i="1" a="1"/>
  <c r="F6990" i="1" a="1"/>
  <c r="F7274" i="1" a="1"/>
  <c r="F7562" i="1" a="1"/>
  <c r="F7740" i="1" a="1"/>
  <c r="F7917" i="1" a="1"/>
  <c r="F8016" i="1" a="1"/>
  <c r="F8165" i="1" a="1"/>
  <c r="F8334" i="1" a="1"/>
  <c r="F8508" i="1" a="1"/>
  <c r="F6236" i="1" a="1"/>
  <c r="F6748" i="1" a="1"/>
  <c r="F7118" i="1" a="1"/>
  <c r="F7411" i="1" a="1"/>
  <c r="F7622" i="1" a="1"/>
  <c r="F7801" i="1" a="1"/>
  <c r="F8065" i="1" a="1"/>
  <c r="F8234" i="1" a="1"/>
  <c r="F8408" i="1" a="1"/>
  <c r="F8577" i="1" a="1"/>
  <c r="F8696" i="1" a="1"/>
  <c r="F8760" i="1" a="1"/>
  <c r="F8824" i="1" a="1"/>
  <c r="F8888" i="1" a="1"/>
  <c r="F8952" i="1" a="1"/>
  <c r="F9016" i="1" a="1"/>
  <c r="F9080" i="1" a="1"/>
  <c r="F9144" i="1" a="1"/>
  <c r="F9208" i="1" a="1"/>
  <c r="F6602" i="1" a="1"/>
  <c r="F7053" i="1" a="1"/>
  <c r="F7349" i="1" a="1"/>
  <c r="F6244" i="1" a="1"/>
  <c r="F6756" i="1" a="1"/>
  <c r="F7164" i="1" a="1"/>
  <c r="F7456" i="1" a="1"/>
  <c r="F6391" i="1" a="1"/>
  <c r="F6903" i="1" a="1"/>
  <c r="F7217" i="1" a="1"/>
  <c r="F7539" i="1" a="1"/>
  <c r="F6556" i="1" a="1"/>
  <c r="F7034" i="1" a="1"/>
  <c r="F7322" i="1" a="1"/>
  <c r="F6191" i="1" a="1"/>
  <c r="F6703" i="1" a="1"/>
  <c r="G8026" i="1" a="1"/>
  <c r="G9737" i="1" a="1"/>
  <c r="G8011" i="1" a="1"/>
  <c r="G7178" i="1" a="1"/>
  <c r="G11429" i="1" a="1"/>
  <c r="G12453" i="1" a="1"/>
  <c r="G9890" i="1" a="1"/>
  <c r="G11169" i="1" a="1"/>
  <c r="G12193" i="1" a="1"/>
  <c r="G10991" i="1" a="1"/>
  <c r="G9181" i="1" a="1"/>
  <c r="G10254" i="1" a="1"/>
  <c r="G9053" i="1" a="1"/>
  <c r="G11724" i="1" a="1"/>
  <c r="G13002" i="1" a="1"/>
  <c r="G14026" i="1" a="1"/>
  <c r="G11564" i="1" a="1"/>
  <c r="G12858" i="1" a="1"/>
  <c r="G11083" i="1" a="1"/>
  <c r="G12608" i="1" a="1"/>
  <c r="G9859" i="1" a="1"/>
  <c r="G10477" i="1" a="1"/>
  <c r="G12486" i="1" a="1"/>
  <c r="G12689" i="1" a="1"/>
  <c r="G13946" i="1" a="1"/>
  <c r="G14905" i="1" a="1"/>
  <c r="G13273" i="1" a="1"/>
  <c r="G14505" i="1" a="1"/>
  <c r="G12574" i="1" a="1"/>
  <c r="G13927" i="1" a="1"/>
  <c r="G12973" i="1" a="1"/>
  <c r="G10811" i="1" a="1"/>
  <c r="G10899" i="1" a="1"/>
  <c r="G11166" i="1" a="1"/>
  <c r="G13371" i="1" a="1"/>
  <c r="G14360" i="1" a="1"/>
  <c r="G14203" i="1" a="1"/>
  <c r="G14815" i="1" a="1"/>
  <c r="G13501" i="1" a="1"/>
  <c r="G13661" i="1" a="1"/>
  <c r="G14932" i="1" a="1"/>
  <c r="G13478" i="1" a="1"/>
  <c r="G13609" i="1" a="1"/>
  <c r="F138" i="1" a="1"/>
  <c r="F430" i="1" a="1"/>
  <c r="F541" i="1" a="1"/>
  <c r="F418" i="1" a="1"/>
  <c r="F567" i="1" a="1"/>
  <c r="F1253" i="1" a="1"/>
  <c r="F881" i="1" a="1"/>
  <c r="F771" i="1" a="1"/>
  <c r="F929" i="1" a="1"/>
  <c r="F1889" i="1" a="1"/>
  <c r="F1596" i="1" a="1"/>
  <c r="F1043" i="1" a="1"/>
  <c r="F1556" i="1" a="1"/>
  <c r="F1648" i="1" a="1"/>
  <c r="F2154" i="1" a="1"/>
  <c r="F2858" i="1" a="1"/>
  <c r="F2171" i="1" a="1"/>
  <c r="F2361" i="1" a="1"/>
  <c r="F1688" i="1" a="1"/>
  <c r="F2070" i="1" a="1"/>
  <c r="F1922" i="1" a="1"/>
  <c r="F2975" i="1" a="1"/>
  <c r="F2957" i="1" a="1"/>
  <c r="F2540" i="1" a="1"/>
  <c r="F2014" i="1" a="1"/>
  <c r="F2301" i="1" a="1"/>
  <c r="F2536" i="1" a="1"/>
  <c r="F2376" i="1" a="1"/>
  <c r="F2791" i="1" a="1"/>
  <c r="F2905" i="1" a="1"/>
  <c r="F3121" i="1" a="1"/>
  <c r="F3265" i="1" a="1"/>
  <c r="F3393" i="1" a="1"/>
  <c r="F3521" i="1" a="1"/>
  <c r="F3649" i="1" a="1"/>
  <c r="F3777" i="1" a="1"/>
  <c r="F3905" i="1" a="1"/>
  <c r="F4001" i="1" a="1"/>
  <c r="F4065" i="1" a="1"/>
  <c r="F4129" i="1" a="1"/>
  <c r="F4193" i="1" a="1"/>
  <c r="F4257" i="1" a="1"/>
  <c r="F4321" i="1" a="1"/>
  <c r="F4385" i="1" a="1"/>
  <c r="F4449" i="1" a="1"/>
  <c r="F2056" i="1" a="1"/>
  <c r="F2705" i="1" a="1"/>
  <c r="F3049" i="1" a="1"/>
  <c r="F3247" i="1" a="1"/>
  <c r="F3375" i="1" a="1"/>
  <c r="F3503" i="1" a="1"/>
  <c r="F3631" i="1" a="1"/>
  <c r="F3759" i="1" a="1"/>
  <c r="F3887" i="1" a="1"/>
  <c r="F1959" i="1" a="1"/>
  <c r="F2560" i="1" a="1"/>
  <c r="F2821" i="1" a="1"/>
  <c r="F2945" i="1" a="1"/>
  <c r="F3180" i="1" a="1"/>
  <c r="F3298" i="1" a="1"/>
  <c r="F3426" i="1" a="1"/>
  <c r="F3554" i="1" a="1"/>
  <c r="F3682" i="1" a="1"/>
  <c r="F3810" i="1" a="1"/>
  <c r="F3938" i="1" a="1"/>
  <c r="F4018" i="1" a="1"/>
  <c r="F4082" i="1" a="1"/>
  <c r="F4146" i="1" a="1"/>
  <c r="F1828" i="1" a="1"/>
  <c r="F2444" i="1" a="1"/>
  <c r="F2931" i="1" a="1"/>
  <c r="F3147" i="1" a="1"/>
  <c r="F3296" i="1" a="1"/>
  <c r="F3424" i="1" a="1"/>
  <c r="F3552" i="1" a="1"/>
  <c r="F3680" i="1" a="1"/>
  <c r="F3808" i="1" a="1"/>
  <c r="F3936" i="1" a="1"/>
  <c r="F2965" i="1" a="1"/>
  <c r="F3341" i="1" a="1"/>
  <c r="F3597" i="1" a="1"/>
  <c r="F3853" i="1" a="1"/>
  <c r="F4451" i="1" a="1"/>
  <c r="F4540" i="1" a="1"/>
  <c r="F4604" i="1" a="1"/>
  <c r="F4668" i="1" a="1"/>
  <c r="F4732" i="1" a="1"/>
  <c r="F4796" i="1" a="1"/>
  <c r="F4860" i="1" a="1"/>
  <c r="F4924" i="1" a="1"/>
  <c r="F4988" i="1" a="1"/>
  <c r="F5052" i="1" a="1"/>
  <c r="F5116" i="1" a="1"/>
  <c r="F5180" i="1" a="1"/>
  <c r="F5244" i="1" a="1"/>
  <c r="F5308" i="1" a="1"/>
  <c r="F2713" i="1" a="1"/>
  <c r="F3057" i="1" a="1"/>
  <c r="F3387" i="1" a="1"/>
  <c r="F3643" i="1" a="1"/>
  <c r="F3899" i="1" a="1"/>
  <c r="F4060" i="1" a="1"/>
  <c r="F4196" i="1" a="1"/>
  <c r="F4282" i="1" a="1"/>
  <c r="F4367" i="1" a="1"/>
  <c r="F2435" i="1" a="1"/>
  <c r="F3144" i="1" a="1"/>
  <c r="F3408" i="1" a="1"/>
  <c r="F3664" i="1" a="1"/>
  <c r="F3920" i="1" a="1"/>
  <c r="F2169" i="1" a="1"/>
  <c r="F2809" i="1" a="1"/>
  <c r="F2745" i="1" a="1"/>
  <c r="F2649" i="1" a="1"/>
  <c r="F2343" i="1" a="1"/>
  <c r="F2458" i="1" a="1"/>
  <c r="F2887" i="1" a="1"/>
  <c r="F3267" i="1" a="1"/>
  <c r="F3523" i="1" a="1"/>
  <c r="F3779" i="1" a="1"/>
  <c r="F3309" i="1" a="1"/>
  <c r="F3821" i="1" a="1"/>
  <c r="F4222" i="1" a="1"/>
  <c r="F4458" i="1" a="1"/>
  <c r="F4557" i="1" a="1"/>
  <c r="F4642" i="1" a="1"/>
  <c r="F4727" i="1" a="1"/>
  <c r="F4829" i="1" a="1"/>
  <c r="F4998" i="1" a="1"/>
  <c r="F5167" i="1" a="1"/>
  <c r="F5331" i="1" a="1"/>
  <c r="F3291" i="1" a="1"/>
  <c r="F3803" i="1" a="1"/>
  <c r="F4168" i="1" a="1"/>
  <c r="F4422" i="1" a="1"/>
  <c r="F3187" i="1" a="1"/>
  <c r="F3519" i="1" a="1"/>
  <c r="F4032" i="1" a="1"/>
  <c r="F4304" i="1" a="1"/>
  <c r="F4506" i="1" a="1"/>
  <c r="F4591" i="1" a="1"/>
  <c r="F4677" i="1" a="1"/>
  <c r="F4762" i="1" a="1"/>
  <c r="F4895" i="1" a="1"/>
  <c r="F3125" i="1" a="1"/>
  <c r="F3235" i="1" a="1"/>
  <c r="F3747" i="1" a="1"/>
  <c r="F4187" i="1" a="1"/>
  <c r="F4427" i="1" a="1"/>
  <c r="F4059" i="1" a="1"/>
  <c r="F4627" i="1" a="1"/>
  <c r="F4919" i="1" a="1"/>
  <c r="F5123" i="1" a="1"/>
  <c r="F5336" i="1" a="1"/>
  <c r="F4035" i="1" a="1"/>
  <c r="F4523" i="1" a="1"/>
  <c r="F4798" i="1" a="1"/>
  <c r="F5011" i="1" a="1"/>
  <c r="F5218" i="1" a="1"/>
  <c r="F5375" i="1" a="1"/>
  <c r="F5439" i="1" a="1"/>
  <c r="F4016" i="1" a="1"/>
  <c r="F4494" i="1" a="1"/>
  <c r="F4763" i="1" a="1"/>
  <c r="F4994" i="1" a="1"/>
  <c r="F5182" i="1" a="1"/>
  <c r="F3354" i="1" a="1"/>
  <c r="F3282" i="1" a="1"/>
  <c r="F4194" i="1" a="1"/>
  <c r="F4127" i="1" a="1"/>
  <c r="F4159" i="1" a="1"/>
  <c r="F4056" i="1" a="1"/>
  <c r="F4694" i="1" a="1"/>
  <c r="F4955" i="1" a="1"/>
  <c r="F5159" i="1" a="1"/>
  <c r="F5362" i="1" a="1"/>
  <c r="F4675" i="1" a="1"/>
  <c r="F5163" i="1" a="1"/>
  <c r="F5408" i="1" a="1"/>
  <c r="F5511" i="1" a="1"/>
  <c r="F5639" i="1" a="1"/>
  <c r="F5767" i="1" a="1"/>
  <c r="F5895" i="1" a="1"/>
  <c r="F6023" i="1" a="1"/>
  <c r="F6151" i="1" a="1"/>
  <c r="F6279" i="1" a="1"/>
  <c r="F6407" i="1" a="1"/>
  <c r="F6535" i="1" a="1"/>
  <c r="F6663" i="1" a="1"/>
  <c r="F6791" i="1" a="1"/>
  <c r="F6919" i="1" a="1"/>
  <c r="F7047" i="1" a="1"/>
  <c r="F7175" i="1" a="1"/>
  <c r="F7303" i="1" a="1"/>
  <c r="F7431" i="1" a="1"/>
  <c r="F4753" i="1" a="1"/>
  <c r="F5122" i="1" a="1"/>
  <c r="F5502" i="1" a="1"/>
  <c r="F5630" i="1" a="1"/>
  <c r="F5758" i="1" a="1"/>
  <c r="F5886" i="1" a="1"/>
  <c r="F6014" i="1" a="1"/>
  <c r="F6142" i="1" a="1"/>
  <c r="F6270" i="1" a="1"/>
  <c r="F6398" i="1" a="1"/>
  <c r="F6526" i="1" a="1"/>
  <c r="F6654" i="1" a="1"/>
  <c r="F6782" i="1" a="1"/>
  <c r="F6910" i="1" a="1"/>
  <c r="F7038" i="1" a="1"/>
  <c r="F4885" i="1" a="1"/>
  <c r="F5282" i="1" a="1"/>
  <c r="F5430" i="1" a="1"/>
  <c r="F5544" i="1" a="1"/>
  <c r="F5672" i="1" a="1"/>
  <c r="F5800" i="1" a="1"/>
  <c r="F5928" i="1" a="1"/>
  <c r="F6056" i="1" a="1"/>
  <c r="F6184" i="1" a="1"/>
  <c r="F6312" i="1" a="1"/>
  <c r="F6440" i="1" a="1"/>
  <c r="F6568" i="1" a="1"/>
  <c r="F6696" i="1" a="1"/>
  <c r="F6824" i="1" a="1"/>
  <c r="F4312" i="1" a="1"/>
  <c r="F4348" i="1" a="1"/>
  <c r="F4874" i="1" a="1"/>
  <c r="F4702" i="1" a="1"/>
  <c r="F4587" i="1" a="1"/>
  <c r="F4364" i="1" a="1"/>
  <c r="F5058" i="1" a="1"/>
  <c r="F5478" i="1" a="1"/>
  <c r="F5606" i="1" a="1"/>
  <c r="F5734" i="1" a="1"/>
  <c r="F5862" i="1" a="1"/>
  <c r="F5990" i="1" a="1"/>
  <c r="F6118" i="1" a="1"/>
  <c r="F6246" i="1" a="1"/>
  <c r="F6374" i="1" a="1"/>
  <c r="F6502" i="1" a="1"/>
  <c r="F6630" i="1" a="1"/>
  <c r="F6758" i="1" a="1"/>
  <c r="F6886" i="1" a="1"/>
  <c r="F5400" i="1" a="1"/>
  <c r="F5609" i="1" a="1"/>
  <c r="F5865" i="1" a="1"/>
  <c r="F6121" i="1" a="1"/>
  <c r="F6377" i="1" a="1"/>
  <c r="F6633" i="1" a="1"/>
  <c r="F6889" i="1" a="1"/>
  <c r="F7078" i="1" a="1"/>
  <c r="F7214" i="1" a="1"/>
  <c r="F7371" i="1" a="1"/>
  <c r="F7514" i="1" a="1"/>
  <c r="F7642" i="1" a="1"/>
  <c r="F7770" i="1" a="1"/>
  <c r="F7898" i="1" a="1"/>
  <c r="F7983" i="1" a="1"/>
  <c r="F8047" i="1" a="1"/>
  <c r="F8111" i="1" a="1"/>
  <c r="F8175" i="1" a="1"/>
  <c r="F8239" i="1" a="1"/>
  <c r="F8303" i="1" a="1"/>
  <c r="F8367" i="1" a="1"/>
  <c r="F8431" i="1" a="1"/>
  <c r="F8495" i="1" a="1"/>
  <c r="F8559" i="1" a="1"/>
  <c r="F8623" i="1" a="1"/>
  <c r="F5242" i="1" a="1"/>
  <c r="F5692" i="1" a="1"/>
  <c r="F5948" i="1" a="1"/>
  <c r="F6204" i="1" a="1"/>
  <c r="F6460" i="1" a="1"/>
  <c r="F6716" i="1" a="1"/>
  <c r="F6952" i="1" a="1"/>
  <c r="F7116" i="1" a="1"/>
  <c r="F7262" i="1" a="1"/>
  <c r="F7419" i="1" a="1"/>
  <c r="F7537" i="1" a="1"/>
  <c r="F7665" i="1" a="1"/>
  <c r="F7793" i="1" a="1"/>
  <c r="F7921" i="1" a="1"/>
  <c r="F5433" i="1" a="1"/>
  <c r="F5665" i="1" a="1"/>
  <c r="F5921" i="1" a="1"/>
  <c r="F6177" i="1" a="1"/>
  <c r="F6433" i="1" a="1"/>
  <c r="F6689" i="1" a="1"/>
  <c r="F6940" i="1" a="1"/>
  <c r="F7127" i="1" a="1"/>
  <c r="F7263" i="1" a="1"/>
  <c r="F7404" i="1" a="1"/>
  <c r="F7547" i="1" a="1"/>
  <c r="F5531" i="1" a="1"/>
  <c r="F5787" i="1" a="1"/>
  <c r="F6043" i="1" a="1"/>
  <c r="F5458" i="1" a="1"/>
  <c r="F5714" i="1" a="1"/>
  <c r="F5970" i="1" a="1"/>
  <c r="F5169" i="1" a="1"/>
  <c r="F5651" i="1" a="1"/>
  <c r="F5907" i="1" a="1"/>
  <c r="F5025" i="1" a="1"/>
  <c r="F5505" i="1" a="1"/>
  <c r="F5761" i="1" a="1"/>
  <c r="F6017" i="1" a="1"/>
  <c r="F5499" i="1" a="1"/>
  <c r="F5755" i="1" a="1"/>
  <c r="F6011" i="1" a="1"/>
  <c r="F6267" i="1" a="1"/>
  <c r="F6523" i="1" a="1"/>
  <c r="F6779" i="1" a="1"/>
  <c r="F6986" i="1" a="1"/>
  <c r="F7151" i="1" a="1"/>
  <c r="F7297" i="1" a="1"/>
  <c r="F7433" i="1" a="1"/>
  <c r="F7568" i="1" a="1"/>
  <c r="F6198" i="1" a="1"/>
  <c r="F6710" i="1" a="1"/>
  <c r="F7117" i="1" a="1"/>
  <c r="F7378" i="1" a="1"/>
  <c r="F7635" i="1" a="1"/>
  <c r="F7806" i="1" a="1"/>
  <c r="F8073" i="1" a="1"/>
  <c r="F8242" i="1" a="1"/>
  <c r="F8416" i="1" a="1"/>
  <c r="F8585" i="1" a="1"/>
  <c r="F8699" i="1" a="1"/>
  <c r="F8763" i="1" a="1"/>
  <c r="F8827" i="1" a="1"/>
  <c r="F8891" i="1" a="1"/>
  <c r="F8955" i="1" a="1"/>
  <c r="F9019" i="1" a="1"/>
  <c r="F9083" i="1" a="1"/>
  <c r="F9147" i="1" a="1"/>
  <c r="F9211" i="1" a="1"/>
  <c r="F9275" i="1" a="1"/>
  <c r="F9339" i="1" a="1"/>
  <c r="F9403" i="1" a="1"/>
  <c r="F9467" i="1" a="1"/>
  <c r="F9531" i="1" a="1"/>
  <c r="F9595" i="1" a="1"/>
  <c r="F9659" i="1" a="1"/>
  <c r="F9723" i="1" a="1"/>
  <c r="F9787" i="1" a="1"/>
  <c r="F9851" i="1" a="1"/>
  <c r="F9915" i="1" a="1"/>
  <c r="F9979" i="1" a="1"/>
  <c r="F10043" i="1" a="1"/>
  <c r="F10107" i="1" a="1"/>
  <c r="F10171" i="1" a="1"/>
  <c r="F10235" i="1" a="1"/>
  <c r="F10299" i="1" a="1"/>
  <c r="F6528" i="1" a="1"/>
  <c r="F7003" i="1" a="1"/>
  <c r="F7285" i="1" a="1"/>
  <c r="F7599" i="1" a="1"/>
  <c r="F7746" i="1" a="1"/>
  <c r="F7923" i="1" a="1"/>
  <c r="F8021" i="1" a="1"/>
  <c r="F8174" i="1" a="1"/>
  <c r="F8348" i="1" a="1"/>
  <c r="F8517" i="1" a="1"/>
  <c r="F6254" i="1" a="1"/>
  <c r="F6766" i="1" a="1"/>
  <c r="F7160" i="1" a="1"/>
  <c r="F7421" i="1" a="1"/>
  <c r="F7630" i="1" a="1"/>
  <c r="F7808" i="1" a="1"/>
  <c r="F8074" i="1" a="1"/>
  <c r="F8248" i="1" a="1"/>
  <c r="F8417" i="1" a="1"/>
  <c r="F8586" i="1" a="1"/>
  <c r="F8700" i="1" a="1"/>
  <c r="F8764" i="1" a="1"/>
  <c r="F8828" i="1" a="1"/>
  <c r="F8892" i="1" a="1"/>
  <c r="F8956" i="1" a="1"/>
  <c r="F9020" i="1" a="1"/>
  <c r="F9084" i="1" a="1"/>
  <c r="F9148" i="1" a="1"/>
  <c r="F9212" i="1" a="1"/>
  <c r="F6639" i="1" a="1"/>
  <c r="F7077" i="1" a="1"/>
  <c r="F7380" i="1" a="1"/>
  <c r="F6262" i="1" a="1"/>
  <c r="F6774" i="1" a="1"/>
  <c r="F7174" i="1" a="1"/>
  <c r="F7465" i="1" a="1"/>
  <c r="F6409" i="1" a="1"/>
  <c r="F6921" i="1" a="1"/>
  <c r="F7259" i="1" a="1"/>
  <c r="F7548" i="1" a="1"/>
  <c r="F6574" i="1" a="1"/>
  <c r="F7058" i="1" a="1"/>
  <c r="F7343" i="1" a="1"/>
  <c r="F6209" i="1" a="1"/>
  <c r="F6721" i="1" a="1"/>
  <c r="F7124" i="1" a="1"/>
  <c r="F7406" i="1" a="1"/>
  <c r="F7671" i="1" a="1"/>
  <c r="F7836" i="1" a="1"/>
  <c r="F7972" i="1" a="1"/>
  <c r="F8077" i="1" a="1"/>
  <c r="F8246" i="1" a="1"/>
  <c r="F8420" i="1" a="1"/>
  <c r="F8589" i="1" a="1"/>
  <c r="F7772" i="1" a="1"/>
  <c r="F8017" i="1" a="1"/>
  <c r="F8349" i="1" a="1"/>
  <c r="F9225" i="1" a="1"/>
  <c r="F9392" i="1" a="1"/>
  <c r="F9570" i="1" a="1"/>
  <c r="F9721" i="1" a="1"/>
  <c r="F9806" i="1" a="1"/>
  <c r="F9892" i="1" a="1"/>
  <c r="F9977" i="1" a="1"/>
  <c r="F10062" i="1" a="1"/>
  <c r="F10148" i="1" a="1"/>
  <c r="F10233" i="1" a="1"/>
  <c r="F10318" i="1" a="1"/>
  <c r="F10389" i="1" a="1"/>
  <c r="F10453" i="1" a="1"/>
  <c r="F10517" i="1" a="1"/>
  <c r="F10581" i="1" a="1"/>
  <c r="F10645" i="1" a="1"/>
  <c r="F10709" i="1" a="1"/>
  <c r="F10773" i="1" a="1"/>
  <c r="F10837" i="1" a="1"/>
  <c r="F10901" i="1" a="1"/>
  <c r="F10965" i="1" a="1"/>
  <c r="F11029" i="1" a="1"/>
  <c r="F11093" i="1" a="1"/>
  <c r="F11157" i="1" a="1"/>
  <c r="F11221" i="1" a="1"/>
  <c r="G3561" i="1" a="1"/>
  <c r="G9741" i="1" a="1"/>
  <c r="G8018" i="1" a="1"/>
  <c r="G7196" i="1" a="1"/>
  <c r="G11438" i="1" a="1"/>
  <c r="G12462" i="1" a="1"/>
  <c r="G9899" i="1" a="1"/>
  <c r="G11178" i="1" a="1"/>
  <c r="G12202" i="1" a="1"/>
  <c r="G10996" i="1" a="1"/>
  <c r="G9205" i="1" a="1"/>
  <c r="G10262" i="1" a="1"/>
  <c r="G9125" i="1" a="1"/>
  <c r="G11730" i="1" a="1"/>
  <c r="G13007" i="1" a="1"/>
  <c r="G14031" i="1" a="1"/>
  <c r="G11570" i="1" a="1"/>
  <c r="G12863" i="1" a="1"/>
  <c r="G11120" i="1" a="1"/>
  <c r="G12624" i="1" a="1"/>
  <c r="G9914" i="1" a="1"/>
  <c r="G10502" i="1" a="1"/>
  <c r="G12491" i="1" a="1"/>
  <c r="G12698" i="1" a="1"/>
  <c r="G13983" i="1" a="1"/>
  <c r="G14913" i="1" a="1"/>
  <c r="G13278" i="1" a="1"/>
  <c r="G14513" i="1" a="1"/>
  <c r="G12595" i="1" a="1"/>
  <c r="G13932" i="1" a="1"/>
  <c r="G12979" i="1" a="1"/>
  <c r="G10833" i="1" a="1"/>
  <c r="G10921" i="1" a="1"/>
  <c r="G11221" i="1" a="1"/>
  <c r="G13376" i="1" a="1"/>
  <c r="G14364" i="1" a="1"/>
  <c r="G14212" i="1" a="1"/>
  <c r="G14822" i="1" a="1"/>
  <c r="G13532" i="1" a="1"/>
  <c r="G13692" i="1" a="1"/>
  <c r="G13924" i="1" a="1"/>
  <c r="G13499" i="1" a="1"/>
  <c r="G13651" i="1" a="1"/>
  <c r="F147" i="1" a="1"/>
  <c r="F435" i="1" a="1"/>
  <c r="F550" i="1" a="1"/>
  <c r="F439" i="1" a="1"/>
  <c r="F575" i="1" a="1"/>
  <c r="F1257" i="1" a="1"/>
  <c r="F890" i="1" a="1"/>
  <c r="F776" i="1" a="1"/>
  <c r="F938" i="1" a="1"/>
  <c r="F1893" i="1" a="1"/>
  <c r="F1610" i="1" a="1"/>
  <c r="F1052" i="1" a="1"/>
  <c r="F1602" i="1" a="1"/>
  <c r="F1667" i="1" a="1"/>
  <c r="F2160" i="1" a="1"/>
  <c r="F2862" i="1" a="1"/>
  <c r="F2187" i="1" a="1"/>
  <c r="F2370" i="1" a="1"/>
  <c r="F1863" i="1" a="1"/>
  <c r="F2076" i="1" a="1"/>
  <c r="F1971" i="1" a="1"/>
  <c r="F2984" i="1" a="1"/>
  <c r="F2971" i="1" a="1"/>
  <c r="F2549" i="1" a="1"/>
  <c r="F2039" i="1" a="1"/>
  <c r="F2312" i="1" a="1"/>
  <c r="F2545" i="1" a="1"/>
  <c r="F2394" i="1" a="1"/>
  <c r="F2799" i="1" a="1"/>
  <c r="F2912" i="1" a="1"/>
  <c r="F3127" i="1" a="1"/>
  <c r="F3274" i="1" a="1"/>
  <c r="F3402" i="1" a="1"/>
  <c r="F3530" i="1" a="1"/>
  <c r="F3658" i="1" a="1"/>
  <c r="F3786" i="1" a="1"/>
  <c r="F3914" i="1" a="1"/>
  <c r="F4005" i="1" a="1"/>
  <c r="F4069" i="1" a="1"/>
  <c r="F4133" i="1" a="1"/>
  <c r="F4197" i="1" a="1"/>
  <c r="F4261" i="1" a="1"/>
  <c r="F4325" i="1" a="1"/>
  <c r="F4389" i="1" a="1"/>
  <c r="F4453" i="1" a="1"/>
  <c r="F2195" i="1" a="1"/>
  <c r="F2720" i="1" a="1"/>
  <c r="F3075" i="1" a="1"/>
  <c r="F3256" i="1" a="1"/>
  <c r="F3384" i="1" a="1"/>
  <c r="F3512" i="1" a="1"/>
  <c r="F3640" i="1" a="1"/>
  <c r="F3768" i="1" a="1"/>
  <c r="F3896" i="1" a="1"/>
  <c r="F2008" i="1" a="1"/>
  <c r="F2578" i="1" a="1"/>
  <c r="F2828" i="1" a="1"/>
  <c r="F2951" i="1" a="1"/>
  <c r="F3185" i="1" a="1"/>
  <c r="F3307" i="1" a="1"/>
  <c r="F3435" i="1" a="1"/>
  <c r="F3563" i="1" a="1"/>
  <c r="F3691" i="1" a="1"/>
  <c r="F3819" i="1" a="1"/>
  <c r="F3947" i="1" a="1"/>
  <c r="F4022" i="1" a="1"/>
  <c r="F4086" i="1" a="1"/>
  <c r="F4150" i="1" a="1"/>
  <c r="F1332" i="1" a="1"/>
  <c r="F2462" i="1" a="1"/>
  <c r="F2949" i="1" a="1"/>
  <c r="F3152" i="1" a="1"/>
  <c r="F3301" i="1" a="1"/>
  <c r="F3429" i="1" a="1"/>
  <c r="F3557" i="1" a="1"/>
  <c r="F3685" i="1" a="1"/>
  <c r="F3813" i="1" a="1"/>
  <c r="F3941" i="1" a="1"/>
  <c r="F3025" i="1" a="1"/>
  <c r="F3350" i="1" a="1"/>
  <c r="F3606" i="1" a="1"/>
  <c r="F3862" i="1" a="1"/>
  <c r="F4460" i="1" a="1"/>
  <c r="F4544" i="1" a="1"/>
  <c r="F4608" i="1" a="1"/>
  <c r="F4672" i="1" a="1"/>
  <c r="F4736" i="1" a="1"/>
  <c r="F4800" i="1" a="1"/>
  <c r="F4864" i="1" a="1"/>
  <c r="F4928" i="1" a="1"/>
  <c r="F4992" i="1" a="1"/>
  <c r="F5056" i="1" a="1"/>
  <c r="F5120" i="1" a="1"/>
  <c r="F5184" i="1" a="1"/>
  <c r="F5248" i="1" a="1"/>
  <c r="F5312" i="1" a="1"/>
  <c r="F2773" i="1" a="1"/>
  <c r="F3068" i="1" a="1"/>
  <c r="F3396" i="1" a="1"/>
  <c r="F3652" i="1" a="1"/>
  <c r="F3908" i="1" a="1"/>
  <c r="F4068" i="1" a="1"/>
  <c r="F4202" i="1" a="1"/>
  <c r="F4287" i="1" a="1"/>
  <c r="F4372" i="1" a="1"/>
  <c r="F2508" i="1" a="1"/>
  <c r="F3155" i="1" a="1"/>
  <c r="F3445" i="1" a="1"/>
  <c r="F3701" i="1" a="1"/>
  <c r="F3957" i="1" a="1"/>
  <c r="F2242" i="1" a="1"/>
  <c r="F2823" i="1" a="1"/>
  <c r="F2923" i="1" a="1"/>
  <c r="F2700" i="1" a="1"/>
  <c r="F2380" i="1" a="1"/>
  <c r="F2495" i="1" a="1"/>
  <c r="F2901" i="1" a="1"/>
  <c r="F3276" i="1" a="1"/>
  <c r="F3532" i="1" a="1"/>
  <c r="F3788" i="1" a="1"/>
  <c r="F3327" i="1" a="1"/>
  <c r="F3839" i="1" a="1"/>
  <c r="F4231" i="1" a="1"/>
  <c r="F4464" i="1" a="1"/>
  <c r="F4562" i="1" a="1"/>
  <c r="F4647" i="1" a="1"/>
  <c r="F4733" i="1" a="1"/>
  <c r="F4838" i="1" a="1"/>
  <c r="F5007" i="1" a="1"/>
  <c r="F5181" i="1" a="1"/>
  <c r="F5335" i="1" a="1"/>
  <c r="F3346" i="1" a="1"/>
  <c r="F3858" i="1" a="1"/>
  <c r="F4188" i="1" a="1"/>
  <c r="F4430" i="1" a="1"/>
  <c r="F3226" i="1" a="1"/>
  <c r="F3574" i="1" a="1"/>
  <c r="F4047" i="1" a="1"/>
  <c r="F4328" i="1" a="1"/>
  <c r="F4511" i="1" a="1"/>
  <c r="F4597" i="1" a="1"/>
  <c r="F4682" i="1" a="1"/>
  <c r="F4767" i="1" a="1"/>
  <c r="F4909" i="1" a="1"/>
  <c r="F3167" i="1" a="1"/>
  <c r="F3290" i="1" a="1"/>
  <c r="F3802" i="1" a="1"/>
  <c r="F4195" i="1" a="1"/>
  <c r="F4435" i="1" a="1"/>
  <c r="F4087" i="1" a="1"/>
  <c r="F4635" i="1" a="1"/>
  <c r="F4931" i="1" a="1"/>
  <c r="F5165" i="1" a="1"/>
  <c r="F5345" i="1" a="1"/>
  <c r="F4063" i="1" a="1"/>
  <c r="F4534" i="1" a="1"/>
  <c r="F4810" i="1" a="1"/>
  <c r="F5035" i="1" a="1"/>
  <c r="F5223" i="1" a="1"/>
  <c r="F5379" i="1" a="1"/>
  <c r="F5443" i="1" a="1"/>
  <c r="F4067" i="1" a="1"/>
  <c r="F4505" i="1" a="1"/>
  <c r="F4785" i="1" a="1"/>
  <c r="F5006" i="1" a="1"/>
  <c r="F5187" i="1" a="1"/>
  <c r="F3427" i="1" a="1"/>
  <c r="F3355" i="1" a="1"/>
  <c r="F3285" i="1" a="1"/>
  <c r="F4175" i="1" a="1"/>
  <c r="F4180" i="1" a="1"/>
  <c r="F4107" i="1" a="1"/>
  <c r="F4718" i="1" a="1"/>
  <c r="F4961" i="1" a="1"/>
  <c r="F5185" i="1" a="1"/>
  <c r="F5366" i="1" a="1"/>
  <c r="F4723" i="1" a="1"/>
  <c r="F5194" i="1" a="1"/>
  <c r="F5413" i="1" a="1"/>
  <c r="F5520" i="1" a="1"/>
  <c r="F5648" i="1" a="1"/>
  <c r="F5776" i="1" a="1"/>
  <c r="F5904" i="1" a="1"/>
  <c r="F6032" i="1" a="1"/>
  <c r="F6160" i="1" a="1"/>
  <c r="F6288" i="1" a="1"/>
  <c r="F6416" i="1" a="1"/>
  <c r="F6544" i="1" a="1"/>
  <c r="F6672" i="1" a="1"/>
  <c r="F6800" i="1" a="1"/>
  <c r="F6928" i="1" a="1"/>
  <c r="F7056" i="1" a="1"/>
  <c r="F7184" i="1" a="1"/>
  <c r="F7312" i="1" a="1"/>
  <c r="F7440" i="1" a="1"/>
  <c r="F4795" i="1" a="1"/>
  <c r="F5153" i="1" a="1"/>
  <c r="F5507" i="1" a="1"/>
  <c r="F5635" i="1" a="1"/>
  <c r="F5763" i="1" a="1"/>
  <c r="F5891" i="1" a="1"/>
  <c r="F6019" i="1" a="1"/>
  <c r="F6147" i="1" a="1"/>
  <c r="F6275" i="1" a="1"/>
  <c r="F6403" i="1" a="1"/>
  <c r="F6531" i="1" a="1"/>
  <c r="F6659" i="1" a="1"/>
  <c r="F6787" i="1" a="1"/>
  <c r="F6915" i="1" a="1"/>
  <c r="F7043" i="1" a="1"/>
  <c r="F4897" i="1" a="1"/>
  <c r="F5313" i="1" a="1"/>
  <c r="F5436" i="1" a="1"/>
  <c r="F5553" i="1" a="1"/>
  <c r="F5681" i="1" a="1"/>
  <c r="F5809" i="1" a="1"/>
  <c r="F5937" i="1" a="1"/>
  <c r="F6065" i="1" a="1"/>
  <c r="F6193" i="1" a="1"/>
  <c r="F6321" i="1" a="1"/>
  <c r="F6449" i="1" a="1"/>
  <c r="F6577" i="1" a="1"/>
  <c r="F6705" i="1" a="1"/>
  <c r="F6833" i="1" a="1"/>
  <c r="F4440" i="1" a="1"/>
  <c r="F4382" i="1" a="1"/>
  <c r="F4923" i="1" a="1"/>
  <c r="F4731" i="1" a="1"/>
  <c r="F4622" i="1" a="1"/>
  <c r="F4426" i="1" a="1"/>
  <c r="F5089" i="1" a="1"/>
  <c r="F5483" i="1" a="1"/>
  <c r="F5611" i="1" a="1"/>
  <c r="F5739" i="1" a="1"/>
  <c r="F5867" i="1" a="1"/>
  <c r="F5995" i="1" a="1"/>
  <c r="F6123" i="1" a="1"/>
  <c r="F6251" i="1" a="1"/>
  <c r="F6379" i="1" a="1"/>
  <c r="F6507" i="1" a="1"/>
  <c r="F6635" i="1" a="1"/>
  <c r="F6763" i="1" a="1"/>
  <c r="F6891" i="1" a="1"/>
  <c r="F5410" i="1" a="1"/>
  <c r="F5618" i="1" a="1"/>
  <c r="F5874" i="1" a="1"/>
  <c r="F6130" i="1" a="1"/>
  <c r="F6386" i="1" a="1"/>
  <c r="F6642" i="1" a="1"/>
  <c r="F6898" i="1" a="1"/>
  <c r="F7084" i="1" a="1"/>
  <c r="F7230" i="1" a="1"/>
  <c r="F7387" i="1" a="1"/>
  <c r="F7523" i="1" a="1"/>
  <c r="F7651" i="1" a="1"/>
  <c r="F7779" i="1" a="1"/>
  <c r="F7907" i="1" a="1"/>
  <c r="F7987" i="1" a="1"/>
  <c r="F8051" i="1" a="1"/>
  <c r="F8115" i="1" a="1"/>
  <c r="F8179" i="1" a="1"/>
  <c r="F8243" i="1" a="1"/>
  <c r="F8307" i="1" a="1"/>
  <c r="F8371" i="1" a="1"/>
  <c r="F8435" i="1" a="1"/>
  <c r="F8499" i="1" a="1"/>
  <c r="F8563" i="1" a="1"/>
  <c r="F8627" i="1" a="1"/>
  <c r="F5305" i="1" a="1"/>
  <c r="F5701" i="1" a="1"/>
  <c r="F5957" i="1" a="1"/>
  <c r="F6213" i="1" a="1"/>
  <c r="F6469" i="1" a="1"/>
  <c r="F6725" i="1" a="1"/>
  <c r="F6970" i="1" a="1"/>
  <c r="F7121" i="1" a="1"/>
  <c r="F7283" i="1" a="1"/>
  <c r="F7424" i="1" a="1"/>
  <c r="F7542" i="1" a="1"/>
  <c r="F7670" i="1" a="1"/>
  <c r="F7798" i="1" a="1"/>
  <c r="F7926" i="1" a="1"/>
  <c r="F5444" i="1" a="1"/>
  <c r="F5674" i="1" a="1"/>
  <c r="F5930" i="1" a="1"/>
  <c r="F6186" i="1" a="1"/>
  <c r="F6442" i="1" a="1"/>
  <c r="F6698" i="1" a="1"/>
  <c r="F6958" i="1" a="1"/>
  <c r="F7132" i="1" a="1"/>
  <c r="F7268" i="1" a="1"/>
  <c r="F7409" i="1" a="1"/>
  <c r="F7556" i="1" a="1"/>
  <c r="F5540" i="1" a="1"/>
  <c r="F5796" i="1" a="1"/>
  <c r="F6052" i="1" a="1"/>
  <c r="F5495" i="1" a="1"/>
  <c r="F5751" i="1" a="1"/>
  <c r="F6007" i="1" a="1"/>
  <c r="F5294" i="1" a="1"/>
  <c r="F5660" i="1" a="1"/>
  <c r="F5916" i="1" a="1"/>
  <c r="F5130" i="1" a="1"/>
  <c r="F5514" i="1" a="1"/>
  <c r="F5770" i="1" a="1"/>
  <c r="F6026" i="1" a="1"/>
  <c r="F5508" i="1" a="1"/>
  <c r="F5764" i="1" a="1"/>
  <c r="F6020" i="1" a="1"/>
  <c r="F6276" i="1" a="1"/>
  <c r="F6532" i="1" a="1"/>
  <c r="F6788" i="1" a="1"/>
  <c r="F6993" i="1" a="1"/>
  <c r="F7156" i="1" a="1"/>
  <c r="F7302" i="1" a="1"/>
  <c r="F7438" i="1" a="1"/>
  <c r="F7577" i="1" a="1"/>
  <c r="F6235" i="1" a="1"/>
  <c r="F6747" i="1" a="1"/>
  <c r="F7159" i="1" a="1"/>
  <c r="F7420" i="1" a="1"/>
  <c r="F7643" i="1" a="1"/>
  <c r="F7824" i="1" a="1"/>
  <c r="F8082" i="1" a="1"/>
  <c r="F8256" i="1" a="1"/>
  <c r="F8425" i="1" a="1"/>
  <c r="F8594" i="1" a="1"/>
  <c r="F8703" i="1" a="1"/>
  <c r="F8767" i="1" a="1"/>
  <c r="F8831" i="1" a="1"/>
  <c r="F8895" i="1" a="1"/>
  <c r="F8959" i="1" a="1"/>
  <c r="F9023" i="1" a="1"/>
  <c r="F9087" i="1" a="1"/>
  <c r="F9151" i="1" a="1"/>
  <c r="F9215" i="1" a="1"/>
  <c r="F9279" i="1" a="1"/>
  <c r="F9343" i="1" a="1"/>
  <c r="F9407" i="1" a="1"/>
  <c r="F9471" i="1" a="1"/>
  <c r="F9535" i="1" a="1"/>
  <c r="F9599" i="1" a="1"/>
  <c r="F9663" i="1" a="1"/>
  <c r="F9727" i="1" a="1"/>
  <c r="F9791" i="1" a="1"/>
  <c r="F9855" i="1" a="1"/>
  <c r="F9919" i="1" a="1"/>
  <c r="F9983" i="1" a="1"/>
  <c r="F10047" i="1" a="1"/>
  <c r="F10111" i="1" a="1"/>
  <c r="F10175" i="1" a="1"/>
  <c r="F10239" i="1" a="1"/>
  <c r="F10303" i="1" a="1"/>
  <c r="F6546" i="1" a="1"/>
  <c r="F7014" i="1" a="1"/>
  <c r="F7316" i="1" a="1"/>
  <c r="F7607" i="1" a="1"/>
  <c r="F7764" i="1" a="1"/>
  <c r="F7941" i="1" a="1"/>
  <c r="F8026" i="1" a="1"/>
  <c r="F8188" i="1" a="1"/>
  <c r="F8357" i="1" a="1"/>
  <c r="F8526" i="1" a="1"/>
  <c r="F6291" i="1" a="1"/>
  <c r="F6803" i="1" a="1"/>
  <c r="F7171" i="1" a="1"/>
  <c r="F7432" i="1" a="1"/>
  <c r="F7636" i="1" a="1"/>
  <c r="F7814" i="1" a="1"/>
  <c r="F8088" i="1" a="1"/>
  <c r="F8257" i="1" a="1"/>
  <c r="F8426" i="1" a="1"/>
  <c r="F8600" i="1" a="1"/>
  <c r="F8704" i="1" a="1"/>
  <c r="F8768" i="1" a="1"/>
  <c r="F8832" i="1" a="1"/>
  <c r="F8896" i="1" a="1"/>
  <c r="F8960" i="1" a="1"/>
  <c r="F9024" i="1" a="1"/>
  <c r="F9088" i="1" a="1"/>
  <c r="F9152" i="1" a="1"/>
  <c r="F6163" i="1" a="1"/>
  <c r="F6657" i="1" a="1"/>
  <c r="F7098" i="1" a="1"/>
  <c r="F7391" i="1" a="1"/>
  <c r="F6299" i="1" a="1"/>
  <c r="F6811" i="1" a="1"/>
  <c r="F7185" i="1" a="1"/>
  <c r="F7502" i="1" a="1"/>
  <c r="F6464" i="1" a="1"/>
  <c r="F6948" i="1" a="1"/>
  <c r="F7269" i="1" a="1"/>
  <c r="F7557" i="1" a="1"/>
  <c r="F6611" i="1" a="1"/>
  <c r="F7071" i="1" a="1"/>
  <c r="F7364" i="1" a="1"/>
  <c r="F6264" i="1" a="1"/>
  <c r="F6776" i="1" a="1"/>
  <c r="F7135" i="1" a="1"/>
  <c r="F7448" i="1" a="1"/>
  <c r="F7677" i="1" a="1"/>
  <c r="F7842" i="1" a="1"/>
  <c r="F7977" i="1" a="1"/>
  <c r="F8086" i="1" a="1"/>
  <c r="F8260" i="1" a="1"/>
  <c r="F8429" i="1" a="1"/>
  <c r="F8598" i="1" a="1"/>
  <c r="F7796" i="1" a="1"/>
  <c r="F8028" i="1" a="1"/>
  <c r="F8358" i="1" a="1"/>
  <c r="F9232" i="1" a="1"/>
  <c r="F9410" i="1" a="1"/>
  <c r="F9577" i="1" a="1"/>
  <c r="F9726" i="1" a="1"/>
  <c r="F9812" i="1" a="1"/>
  <c r="F9897" i="1" a="1"/>
  <c r="F9982" i="1" a="1"/>
  <c r="F10068" i="1" a="1"/>
  <c r="F10153" i="1" a="1"/>
  <c r="F10238" i="1" a="1"/>
  <c r="F10323" i="1" a="1"/>
  <c r="F10393" i="1" a="1"/>
  <c r="F10457" i="1" a="1"/>
  <c r="F10521" i="1" a="1"/>
  <c r="F10585" i="1" a="1"/>
  <c r="F10649" i="1" a="1"/>
  <c r="F10713" i="1" a="1"/>
  <c r="F10777" i="1" a="1"/>
  <c r="F10841" i="1" a="1"/>
  <c r="F10905" i="1" a="1"/>
  <c r="F10969" i="1" a="1"/>
  <c r="F11033" i="1" a="1"/>
  <c r="F11097" i="1" a="1"/>
  <c r="F11161" i="1" a="1"/>
  <c r="F11225" i="1" a="1"/>
  <c r="F11289" i="1" a="1"/>
  <c r="F11353" i="1" a="1"/>
  <c r="F11417" i="1" a="1"/>
  <c r="F11481" i="1" a="1"/>
  <c r="F11545" i="1" a="1"/>
  <c r="F11609" i="1" a="1"/>
  <c r="F11673" i="1" a="1"/>
  <c r="F7846" i="1" a="1"/>
  <c r="F8304" i="1" a="1"/>
  <c r="F8633" i="1" a="1"/>
  <c r="F8781" i="1" a="1"/>
  <c r="F8909" i="1" a="1"/>
  <c r="F9037" i="1" a="1"/>
  <c r="F9165" i="1" a="1"/>
  <c r="F9316" i="1" a="1"/>
  <c r="F9494" i="1" a="1"/>
  <c r="F9661" i="1" a="1"/>
  <c r="F7773" i="1" a="1"/>
  <c r="F8029" i="1" a="1"/>
  <c r="F8396" i="1" a="1"/>
  <c r="F9240" i="1" a="1"/>
  <c r="F9418" i="1" a="1"/>
  <c r="F9585" i="1" a="1"/>
  <c r="F9733" i="1" a="1"/>
  <c r="F9818" i="1" a="1"/>
  <c r="F9904" i="1" a="1"/>
  <c r="F9989" i="1" a="1"/>
  <c r="F10074" i="1" a="1"/>
  <c r="F10160" i="1" a="1"/>
  <c r="F10245" i="1" a="1"/>
  <c r="F10338" i="1" a="1"/>
  <c r="F10402" i="1" a="1"/>
  <c r="F10466" i="1" a="1"/>
  <c r="G6934" i="1" a="1"/>
  <c r="G5783" i="1" a="1"/>
  <c r="G7516" i="1" a="1"/>
  <c r="G7346" i="1" a="1"/>
  <c r="G11557" i="1" a="1"/>
  <c r="G12581" i="1" a="1"/>
  <c r="G10403" i="1" a="1"/>
  <c r="G11297" i="1" a="1"/>
  <c r="G12321" i="1" a="1"/>
  <c r="G11119" i="1" a="1"/>
  <c r="G8661" i="1" a="1"/>
  <c r="G10382" i="1" a="1"/>
  <c r="G9568" i="1" a="1"/>
  <c r="G11922" i="1" a="1"/>
  <c r="G13130" i="1" a="1"/>
  <c r="G9126" i="1" a="1"/>
  <c r="G11769" i="1" a="1"/>
  <c r="G12980" i="1" a="1"/>
  <c r="G11339" i="1" a="1"/>
  <c r="G9839" i="1" a="1"/>
  <c r="G10537" i="1" a="1"/>
  <c r="G11125" i="1" a="1"/>
  <c r="G12648" i="1" a="1"/>
  <c r="G12922" i="1" a="1"/>
  <c r="G14108" i="1" a="1"/>
  <c r="G11168" i="1" a="1"/>
  <c r="G13435" i="1" a="1"/>
  <c r="G14637" i="1" a="1"/>
  <c r="G12843" i="1" a="1"/>
  <c r="G14068" i="1" a="1"/>
  <c r="G10993" i="1" a="1"/>
  <c r="G11250" i="1" a="1"/>
  <c r="G11417" i="1" a="1"/>
  <c r="G11689" i="1" a="1"/>
  <c r="G13512" i="1" a="1"/>
  <c r="G14424" i="1" a="1"/>
  <c r="G14343" i="1" a="1"/>
  <c r="G14610" i="1" a="1"/>
  <c r="G14867" i="1" a="1"/>
  <c r="G13964" i="1" a="1"/>
  <c r="G14350" i="1" a="1"/>
  <c r="G13781" i="1" a="1"/>
  <c r="G13725" i="1" a="1"/>
  <c r="F266" i="1" a="1"/>
  <c r="F572" i="1" a="1"/>
  <c r="F146" i="1" a="1"/>
  <c r="F653" i="1" a="1"/>
  <c r="F200" i="1" a="1"/>
  <c r="F1317" i="1" a="1"/>
  <c r="F1009" i="1" a="1"/>
  <c r="F620" i="1" a="1"/>
  <c r="F1134" i="1" a="1"/>
  <c r="F1953" i="1" a="1"/>
  <c r="F1042" i="1" a="1"/>
  <c r="F1016" i="1" a="1"/>
  <c r="F1126" i="1" a="1"/>
  <c r="F1851" i="1" a="1"/>
  <c r="F2240" i="1" a="1"/>
  <c r="F2922" i="1" a="1"/>
  <c r="F2388" i="1" a="1"/>
  <c r="F2489" i="1" a="1"/>
  <c r="F1934" i="1" a="1"/>
  <c r="F2159" i="1" a="1"/>
  <c r="F2259" i="1" a="1"/>
  <c r="F1374" i="1" a="1"/>
  <c r="F3035" i="1" a="1"/>
  <c r="F2558" i="1" a="1"/>
  <c r="F2063" i="1" a="1"/>
  <c r="F2322" i="1" a="1"/>
  <c r="F2554" i="1" a="1"/>
  <c r="F2431" i="1" a="1"/>
  <c r="F2805" i="1" a="1"/>
  <c r="F2919" i="1" a="1"/>
  <c r="F3132" i="1" a="1"/>
  <c r="F3283" i="1" a="1"/>
  <c r="F3411" i="1" a="1"/>
  <c r="F3539" i="1" a="1"/>
  <c r="F3667" i="1" a="1"/>
  <c r="F3795" i="1" a="1"/>
  <c r="F3923" i="1" a="1"/>
  <c r="F4009" i="1" a="1"/>
  <c r="F4073" i="1" a="1"/>
  <c r="F4137" i="1" a="1"/>
  <c r="F4201" i="1" a="1"/>
  <c r="F4265" i="1" a="1"/>
  <c r="F4329" i="1" a="1"/>
  <c r="F4393" i="1" a="1"/>
  <c r="F4457" i="1" a="1"/>
  <c r="F2275" i="1" a="1"/>
  <c r="F2740" i="1" a="1"/>
  <c r="F3080" i="1" a="1"/>
  <c r="F3261" i="1" a="1"/>
  <c r="F3389" i="1" a="1"/>
  <c r="F3517" i="1" a="1"/>
  <c r="F3645" i="1" a="1"/>
  <c r="F3773" i="1" a="1"/>
  <c r="F3901" i="1" a="1"/>
  <c r="F2153" i="1" a="1"/>
  <c r="F2615" i="1" a="1"/>
  <c r="F2836" i="1" a="1"/>
  <c r="F2969" i="1" a="1"/>
  <c r="F3191" i="1" a="1"/>
  <c r="F3316" i="1" a="1"/>
  <c r="F3444" i="1" a="1"/>
  <c r="F3572" i="1" a="1"/>
  <c r="F3700" i="1" a="1"/>
  <c r="F3828" i="1" a="1"/>
  <c r="F3956" i="1" a="1"/>
  <c r="F4026" i="1" a="1"/>
  <c r="F4090" i="1" a="1"/>
  <c r="F4154" i="1" a="1"/>
  <c r="F1498" i="1" a="1"/>
  <c r="F2499" i="1" a="1"/>
  <c r="F2955" i="1" a="1"/>
  <c r="F3157" i="1" a="1"/>
  <c r="F3310" i="1" a="1"/>
  <c r="F3438" i="1" a="1"/>
  <c r="F3566" i="1" a="1"/>
  <c r="F3694" i="1" a="1"/>
  <c r="F3822" i="1" a="1"/>
  <c r="F3950" i="1" a="1"/>
  <c r="F3036" i="1" a="1"/>
  <c r="F3359" i="1" a="1"/>
  <c r="F3615" i="1" a="1"/>
  <c r="F3871" i="1" a="1"/>
  <c r="F4474" i="1" a="1"/>
  <c r="F4548" i="1" a="1"/>
  <c r="F4612" i="1" a="1"/>
  <c r="F4676" i="1" a="1"/>
  <c r="F4740" i="1" a="1"/>
  <c r="F4804" i="1" a="1"/>
  <c r="F4868" i="1" a="1"/>
  <c r="F4932" i="1" a="1"/>
  <c r="F4996" i="1" a="1"/>
  <c r="F5060" i="1" a="1"/>
  <c r="F5124" i="1" a="1"/>
  <c r="F5188" i="1" a="1"/>
  <c r="F5252" i="1" a="1"/>
  <c r="F5316" i="1" a="1"/>
  <c r="F2789" i="1" a="1"/>
  <c r="F3120" i="1" a="1"/>
  <c r="F3433" i="1" a="1"/>
  <c r="F3689" i="1" a="1"/>
  <c r="F3945" i="1" a="1"/>
  <c r="F4076" i="1" a="1"/>
  <c r="F4207" i="1" a="1"/>
  <c r="F4292" i="1" a="1"/>
  <c r="F4378" i="1" a="1"/>
  <c r="F2581" i="1" a="1"/>
  <c r="F3165" i="1" a="1"/>
  <c r="F3454" i="1" a="1"/>
  <c r="F3710" i="1" a="1"/>
  <c r="F3966" i="1" a="1"/>
  <c r="F2285" i="1" a="1"/>
  <c r="F2837" i="1" a="1"/>
  <c r="F2947" i="1" a="1"/>
  <c r="F2727" i="1" a="1"/>
  <c r="F2453" i="1" a="1"/>
  <c r="F2568" i="1" a="1"/>
  <c r="F2916" i="1" a="1"/>
  <c r="F3313" i="1" a="1"/>
  <c r="F3569" i="1" a="1"/>
  <c r="F3825" i="1" a="1"/>
  <c r="F3382" i="1" a="1"/>
  <c r="F3894" i="1" a="1"/>
  <c r="F4240" i="1" a="1"/>
  <c r="F4472" i="1" a="1"/>
  <c r="F4567" i="1" a="1"/>
  <c r="F4653" i="1" a="1"/>
  <c r="F4738" i="1" a="1"/>
  <c r="F4847" i="1" a="1"/>
  <c r="F5021" i="1" a="1"/>
  <c r="F5190" i="1" a="1"/>
  <c r="F5339" i="1" a="1"/>
  <c r="F3364" i="1" a="1"/>
  <c r="F3876" i="1" a="1"/>
  <c r="F4206" i="1" a="1"/>
  <c r="F4436" i="1" a="1"/>
  <c r="F3244" i="1" a="1"/>
  <c r="F3592" i="1" a="1"/>
  <c r="F4083" i="1" a="1"/>
  <c r="F4338" i="1" a="1"/>
  <c r="F4517" i="1" a="1"/>
  <c r="F4602" i="1" a="1"/>
  <c r="F4687" i="1" a="1"/>
  <c r="F4773" i="1" a="1"/>
  <c r="F4918" i="1" a="1"/>
  <c r="F3188" i="1" a="1"/>
  <c r="F3308" i="1" a="1"/>
  <c r="F3820" i="1" a="1"/>
  <c r="F4204" i="1" a="1"/>
  <c r="F4478" i="1" a="1"/>
  <c r="F4136" i="1" a="1"/>
  <c r="F4670" i="1" a="1"/>
  <c r="F4962" i="1" a="1"/>
  <c r="F5170" i="1" a="1"/>
  <c r="F5354" i="1" a="1"/>
  <c r="F4112" i="1" a="1"/>
  <c r="F4545" i="1" a="1"/>
  <c r="F4841" i="1" a="1"/>
  <c r="F5061" i="1" a="1"/>
  <c r="F5249" i="1" a="1"/>
  <c r="F5383" i="1" a="1"/>
  <c r="F5447" i="1" a="1"/>
  <c r="F4095" i="1" a="1"/>
  <c r="F4515" i="1" a="1"/>
  <c r="F4805" i="1" a="1"/>
  <c r="F5018" i="1" a="1"/>
  <c r="F5229" i="1" a="1"/>
  <c r="F3500" i="1" a="1"/>
  <c r="F3428" i="1" a="1"/>
  <c r="F3358" i="1" a="1"/>
  <c r="F3294" i="1" a="1"/>
  <c r="F3299" i="1" a="1"/>
  <c r="F4135" i="1" a="1"/>
  <c r="F4739" i="1" a="1"/>
  <c r="F4967" i="1" a="1"/>
  <c r="F5201" i="1" a="1"/>
  <c r="F5370" i="1" a="1"/>
  <c r="F4766" i="1" a="1"/>
  <c r="F5205" i="1" a="1"/>
  <c r="F5418" i="1" a="1"/>
  <c r="F5529" i="1" a="1"/>
  <c r="F5657" i="1" a="1"/>
  <c r="F5785" i="1" a="1"/>
  <c r="F5913" i="1" a="1"/>
  <c r="F6041" i="1" a="1"/>
  <c r="F6169" i="1" a="1"/>
  <c r="F6297" i="1" a="1"/>
  <c r="F6425" i="1" a="1"/>
  <c r="F6553" i="1" a="1"/>
  <c r="F6681" i="1" a="1"/>
  <c r="F6809" i="1" a="1"/>
  <c r="F6937" i="1" a="1"/>
  <c r="F7065" i="1" a="1"/>
  <c r="F7193" i="1" a="1"/>
  <c r="F7321" i="1" a="1"/>
  <c r="F7449" i="1" a="1"/>
  <c r="F4857" i="1" a="1"/>
  <c r="F5174" i="1" a="1"/>
  <c r="F5516" i="1" a="1"/>
  <c r="F5644" i="1" a="1"/>
  <c r="F5772" i="1" a="1"/>
  <c r="F5900" i="1" a="1"/>
  <c r="F6028" i="1" a="1"/>
  <c r="F6156" i="1" a="1"/>
  <c r="F6284" i="1" a="1"/>
  <c r="F6412" i="1" a="1"/>
  <c r="F6540" i="1" a="1"/>
  <c r="F6668" i="1" a="1"/>
  <c r="F6796" i="1" a="1"/>
  <c r="F6924" i="1" a="1"/>
  <c r="F7052" i="1" a="1"/>
  <c r="F4946" i="1" a="1"/>
  <c r="F5333" i="1" a="1"/>
  <c r="F5441" i="1" a="1"/>
  <c r="F5562" i="1" a="1"/>
  <c r="F5690" i="1" a="1"/>
  <c r="F5818" i="1" a="1"/>
  <c r="F5946" i="1" a="1"/>
  <c r="F6074" i="1" a="1"/>
  <c r="F6202" i="1" a="1"/>
  <c r="F6330" i="1" a="1"/>
  <c r="F6458" i="1" a="1"/>
  <c r="F6586" i="1" a="1"/>
  <c r="F6714" i="1" a="1"/>
  <c r="F6842" i="1" a="1"/>
  <c r="F4614" i="1" a="1"/>
  <c r="F4412" i="1" a="1"/>
  <c r="F4935" i="1" a="1"/>
  <c r="F4774" i="1" a="1"/>
  <c r="F4673" i="1" a="1"/>
  <c r="F4606" i="1" a="1"/>
  <c r="F5110" i="1" a="1"/>
  <c r="F5492" i="1" a="1"/>
  <c r="F5620" i="1" a="1"/>
  <c r="F5748" i="1" a="1"/>
  <c r="F5876" i="1" a="1"/>
  <c r="F6004" i="1" a="1"/>
  <c r="F6132" i="1" a="1"/>
  <c r="F6260" i="1" a="1"/>
  <c r="F6388" i="1" a="1"/>
  <c r="F6516" i="1" a="1"/>
  <c r="F6644" i="1" a="1"/>
  <c r="F6772" i="1" a="1"/>
  <c r="F6900" i="1" a="1"/>
  <c r="F5421" i="1" a="1"/>
  <c r="F5655" i="1" a="1"/>
  <c r="F5911" i="1" a="1"/>
  <c r="F6167" i="1" a="1"/>
  <c r="F6423" i="1" a="1"/>
  <c r="F6679" i="1" a="1"/>
  <c r="F6932" i="1" a="1"/>
  <c r="F7089" i="1" a="1"/>
  <c r="F7251" i="1" a="1"/>
  <c r="F7392" i="1" a="1"/>
  <c r="F7532" i="1" a="1"/>
  <c r="F7660" i="1" a="1"/>
  <c r="F7788" i="1" a="1"/>
  <c r="F7916" i="1" a="1"/>
  <c r="F7991" i="1" a="1"/>
  <c r="F8055" i="1" a="1"/>
  <c r="F8119" i="1" a="1"/>
  <c r="F8183" i="1" a="1"/>
  <c r="F8247" i="1" a="1"/>
  <c r="F8311" i="1" a="1"/>
  <c r="F8375" i="1" a="1"/>
  <c r="F8439" i="1" a="1"/>
  <c r="F8503" i="1" a="1"/>
  <c r="F8567" i="1" a="1"/>
  <c r="F8631" i="1" a="1"/>
  <c r="F5344" i="1" a="1"/>
  <c r="F5710" i="1" a="1"/>
  <c r="F5966" i="1" a="1"/>
  <c r="F6222" i="1" a="1"/>
  <c r="F6478" i="1" a="1"/>
  <c r="F6734" i="1" a="1"/>
  <c r="F6976" i="1" a="1"/>
  <c r="F7126" i="1" a="1"/>
  <c r="F7288" i="1" a="1"/>
  <c r="F7429" i="1" a="1"/>
  <c r="F7551" i="1" a="1"/>
  <c r="F7679" i="1" a="1"/>
  <c r="F7807" i="1" a="1"/>
  <c r="F7935" i="1" a="1"/>
  <c r="F5454" i="1" a="1"/>
  <c r="F5711" i="1" a="1"/>
  <c r="F5967" i="1" a="1"/>
  <c r="F6223" i="1" a="1"/>
  <c r="F6479" i="1" a="1"/>
  <c r="F6735" i="1" a="1"/>
  <c r="F6964" i="1" a="1"/>
  <c r="F7137" i="1" a="1"/>
  <c r="F7273" i="1" a="1"/>
  <c r="F7414" i="1" a="1"/>
  <c r="F7565" i="1" a="1"/>
  <c r="F5549" i="1" a="1"/>
  <c r="F5805" i="1" a="1"/>
  <c r="F6061" i="1" a="1"/>
  <c r="F5504" i="1" a="1"/>
  <c r="F5760" i="1" a="1"/>
  <c r="F6016" i="1" a="1"/>
  <c r="F5315" i="1" a="1"/>
  <c r="F5669" i="1" a="1"/>
  <c r="F5925" i="1" a="1"/>
  <c r="F5151" i="1" a="1"/>
  <c r="F5551" i="1" a="1"/>
  <c r="F5807" i="1" a="1"/>
  <c r="F6063" i="1" a="1"/>
  <c r="F5517" i="1" a="1"/>
  <c r="F5773" i="1" a="1"/>
  <c r="F6029" i="1" a="1"/>
  <c r="F6285" i="1" a="1"/>
  <c r="F6541" i="1" a="1"/>
  <c r="F6797" i="1" a="1"/>
  <c r="F6999" i="1" a="1"/>
  <c r="F7167" i="1" a="1"/>
  <c r="F7308" i="1" a="1"/>
  <c r="F7454" i="1" a="1"/>
  <c r="F7582" i="1" a="1"/>
  <c r="F6253" i="1" a="1"/>
  <c r="F6765" i="1" a="1"/>
  <c r="F7169" i="1" a="1"/>
  <c r="F7430" i="1" a="1"/>
  <c r="F7649" i="1" a="1"/>
  <c r="F7831" i="1" a="1"/>
  <c r="F8096" i="1" a="1"/>
  <c r="F8265" i="1" a="1"/>
  <c r="F8434" i="1" a="1"/>
  <c r="F8608" i="1" a="1"/>
  <c r="F8707" i="1" a="1"/>
  <c r="F8771" i="1" a="1"/>
  <c r="F8835" i="1" a="1"/>
  <c r="F8899" i="1" a="1"/>
  <c r="F8963" i="1" a="1"/>
  <c r="F9027" i="1" a="1"/>
  <c r="F9091" i="1" a="1"/>
  <c r="F9155" i="1" a="1"/>
  <c r="F9219" i="1" a="1"/>
  <c r="F9283" i="1" a="1"/>
  <c r="F9347" i="1" a="1"/>
  <c r="F9411" i="1" a="1"/>
  <c r="F9475" i="1" a="1"/>
  <c r="F9539" i="1" a="1"/>
  <c r="F9603" i="1" a="1"/>
  <c r="F9667" i="1" a="1"/>
  <c r="F9731" i="1" a="1"/>
  <c r="F9795" i="1" a="1"/>
  <c r="F9859" i="1" a="1"/>
  <c r="F9923" i="1" a="1"/>
  <c r="F9987" i="1" a="1"/>
  <c r="F10051" i="1" a="1"/>
  <c r="F10115" i="1" a="1"/>
  <c r="F10179" i="1" a="1"/>
  <c r="F10243" i="1" a="1"/>
  <c r="F10307" i="1" a="1"/>
  <c r="F6583" i="1" a="1"/>
  <c r="F7027" i="1" a="1"/>
  <c r="F7327" i="1" a="1"/>
  <c r="F7613" i="1" a="1"/>
  <c r="F7771" i="1" a="1"/>
  <c r="F7946" i="1" a="1"/>
  <c r="F8032" i="1" a="1"/>
  <c r="F8197" i="1" a="1"/>
  <c r="F8366" i="1" a="1"/>
  <c r="F8540" i="1" a="1"/>
  <c r="F6309" i="1" a="1"/>
  <c r="F6821" i="1" a="1"/>
  <c r="F7181" i="1" a="1"/>
  <c r="F7442" i="1" a="1"/>
  <c r="F7644" i="1" a="1"/>
  <c r="F7832" i="1" a="1"/>
  <c r="F8097" i="1" a="1"/>
  <c r="F8266" i="1" a="1"/>
  <c r="F8440" i="1" a="1"/>
  <c r="F8609" i="1" a="1"/>
  <c r="F8708" i="1" a="1"/>
  <c r="F8772" i="1" a="1"/>
  <c r="F8836" i="1" a="1"/>
  <c r="F8900" i="1" a="1"/>
  <c r="F8964" i="1" a="1"/>
  <c r="F9028" i="1" a="1"/>
  <c r="F9092" i="1" a="1"/>
  <c r="F9156" i="1" a="1"/>
  <c r="F6200" i="1" a="1"/>
  <c r="F6712" i="1" a="1"/>
  <c r="F7119" i="1" a="1"/>
  <c r="F7401" i="1" a="1"/>
  <c r="F6317" i="1" a="1"/>
  <c r="F6829" i="1" a="1"/>
  <c r="F7227" i="1" a="1"/>
  <c r="F7511" i="1" a="1"/>
  <c r="G6943" i="1" a="1"/>
  <c r="G5804" i="1" a="1"/>
  <c r="G7571" i="1" a="1"/>
  <c r="G7364" i="1" a="1"/>
  <c r="G11566" i="1" a="1"/>
  <c r="G12590" i="1" a="1"/>
  <c r="G10410" i="1" a="1"/>
  <c r="G11306" i="1" a="1"/>
  <c r="G12330" i="1" a="1"/>
  <c r="G11124" i="1" a="1"/>
  <c r="G8679" i="1" a="1"/>
  <c r="G10389" i="1" a="1"/>
  <c r="G9590" i="1" a="1"/>
  <c r="G11929" i="1" a="1"/>
  <c r="G13135" i="1" a="1"/>
  <c r="G9175" i="1" a="1"/>
  <c r="G11775" i="1" a="1"/>
  <c r="G12989" i="1" a="1"/>
  <c r="G11376" i="1" a="1"/>
  <c r="G9894" i="1" a="1"/>
  <c r="G10562" i="1" a="1"/>
  <c r="G11134" i="1" a="1"/>
  <c r="G12653" i="1" a="1"/>
  <c r="G12928" i="1" a="1"/>
  <c r="G14119" i="1" a="1"/>
  <c r="G11186" i="1" a="1"/>
  <c r="G13440" i="1" a="1"/>
  <c r="G14649" i="1" a="1"/>
  <c r="G12850" i="1" a="1"/>
  <c r="G14073" i="1" a="1"/>
  <c r="G11011" i="1" a="1"/>
  <c r="G11305" i="1" a="1"/>
  <c r="G11435" i="1" a="1"/>
  <c r="G11705" i="1" a="1"/>
  <c r="G13517" i="1" a="1"/>
  <c r="G14428" i="1" a="1"/>
  <c r="G14351" i="1" a="1"/>
  <c r="G14626" i="1" a="1"/>
  <c r="G14906" i="1" a="1"/>
  <c r="G13974" i="1" a="1"/>
  <c r="G14382" i="1" a="1"/>
  <c r="G13823" i="1" a="1"/>
  <c r="G13756" i="1" a="1"/>
  <c r="F275" i="1" a="1"/>
  <c r="F581" i="1" a="1"/>
  <c r="F158" i="1" a="1"/>
  <c r="F658" i="1" a="1"/>
  <c r="F213" i="1" a="1"/>
  <c r="F1321" i="1" a="1"/>
  <c r="F1018" i="1" a="1"/>
  <c r="F641" i="1" a="1"/>
  <c r="F1139" i="1" a="1"/>
  <c r="F1957" i="1" a="1"/>
  <c r="F1051" i="1" a="1"/>
  <c r="F1053" i="1" a="1"/>
  <c r="F1148" i="1" a="1"/>
  <c r="F1856" i="1" a="1"/>
  <c r="F2245" i="1" a="1"/>
  <c r="F2926" i="1" a="1"/>
  <c r="F2397" i="1" a="1"/>
  <c r="F2498" i="1" a="1"/>
  <c r="F1952" i="1" a="1"/>
  <c r="F2223" i="1" a="1"/>
  <c r="F2372" i="1" a="1"/>
  <c r="F2118" i="1" a="1"/>
  <c r="F3076" i="1" a="1"/>
  <c r="F2595" i="1" a="1"/>
  <c r="F2087" i="1" a="1"/>
  <c r="F2333" i="1" a="1"/>
  <c r="F2591" i="1" a="1"/>
  <c r="F2449" i="1" a="1"/>
  <c r="F2812" i="1" a="1"/>
  <c r="F2937" i="1" a="1"/>
  <c r="F3137" i="1" a="1"/>
  <c r="F3292" i="1" a="1"/>
  <c r="F3420" i="1" a="1"/>
  <c r="F3548" i="1" a="1"/>
  <c r="F3676" i="1" a="1"/>
  <c r="F3804" i="1" a="1"/>
  <c r="F3932" i="1" a="1"/>
  <c r="F4013" i="1" a="1"/>
  <c r="F4077" i="1" a="1"/>
  <c r="F4141" i="1" a="1"/>
  <c r="F4205" i="1" a="1"/>
  <c r="F4269" i="1" a="1"/>
  <c r="F4333" i="1" a="1"/>
  <c r="F4397" i="1" a="1"/>
  <c r="F4461" i="1" a="1"/>
  <c r="F2339" i="1" a="1"/>
  <c r="F2760" i="1" a="1"/>
  <c r="F3091" i="1" a="1"/>
  <c r="F3270" i="1" a="1"/>
  <c r="F3398" i="1" a="1"/>
  <c r="F3526" i="1" a="1"/>
  <c r="F3654" i="1" a="1"/>
  <c r="F3782" i="1" a="1"/>
  <c r="F3910" i="1" a="1"/>
  <c r="F2196" i="1" a="1"/>
  <c r="F2632" i="1" a="1"/>
  <c r="F2843" i="1" a="1"/>
  <c r="F2976" i="1" a="1"/>
  <c r="F3196" i="1" a="1"/>
  <c r="F3321" i="1" a="1"/>
  <c r="F3449" i="1" a="1"/>
  <c r="F3577" i="1" a="1"/>
  <c r="F3705" i="1" a="1"/>
  <c r="F3833" i="1" a="1"/>
  <c r="F3961" i="1" a="1"/>
  <c r="F4030" i="1" a="1"/>
  <c r="F4094" i="1" a="1"/>
  <c r="F4158" i="1" a="1"/>
  <c r="F1655" i="1" a="1"/>
  <c r="F2517" i="1" a="1"/>
  <c r="F2973" i="1" a="1"/>
  <c r="F3168" i="1" a="1"/>
  <c r="F3319" i="1" a="1"/>
  <c r="F3447" i="1" a="1"/>
  <c r="F3575" i="1" a="1"/>
  <c r="F3703" i="1" a="1"/>
  <c r="F3831" i="1" a="1"/>
  <c r="F3959" i="1" a="1"/>
  <c r="F3088" i="1" a="1"/>
  <c r="F3368" i="1" a="1"/>
  <c r="F3624" i="1" a="1"/>
  <c r="F3880" i="1" a="1"/>
  <c r="F4483" i="1" a="1"/>
  <c r="F4552" i="1" a="1"/>
  <c r="F4616" i="1" a="1"/>
  <c r="F4680" i="1" a="1"/>
  <c r="F4744" i="1" a="1"/>
  <c r="F4808" i="1" a="1"/>
  <c r="F4872" i="1" a="1"/>
  <c r="F4936" i="1" a="1"/>
  <c r="F5000" i="1" a="1"/>
  <c r="F5064" i="1" a="1"/>
  <c r="F5128" i="1" a="1"/>
  <c r="F5192" i="1" a="1"/>
  <c r="F5256" i="1" a="1"/>
  <c r="F5320" i="1" a="1"/>
  <c r="F2804" i="1" a="1"/>
  <c r="F3141" i="1" a="1"/>
  <c r="F3442" i="1" a="1"/>
  <c r="F3698" i="1" a="1"/>
  <c r="F3954" i="1" a="1"/>
  <c r="F4084" i="1" a="1"/>
  <c r="F4212" i="1" a="1"/>
  <c r="F4298" i="1" a="1"/>
  <c r="F4383" i="1" a="1"/>
  <c r="F2644" i="1" a="1"/>
  <c r="F3207" i="1" a="1"/>
  <c r="F3463" i="1" a="1"/>
  <c r="F3719" i="1" a="1"/>
  <c r="F4172" i="1" a="1"/>
  <c r="F2328" i="1" a="1"/>
  <c r="F2852" i="1" a="1"/>
  <c r="F2972" i="1" a="1"/>
  <c r="F2747" i="1" a="1"/>
  <c r="F2526" i="1" a="1"/>
  <c r="F2633" i="1" a="1"/>
  <c r="F2928" i="1" a="1"/>
  <c r="F3322" i="1" a="1"/>
  <c r="F3578" i="1" a="1"/>
  <c r="F3834" i="1" a="1"/>
  <c r="F3400" i="1" a="1"/>
  <c r="F3912" i="1" a="1"/>
  <c r="F4264" i="1" a="1"/>
  <c r="F4480" i="1" a="1"/>
  <c r="F4573" i="1" a="1"/>
  <c r="F4658" i="1" a="1"/>
  <c r="F4743" i="1" a="1"/>
  <c r="F4861" i="1" a="1"/>
  <c r="F5030" i="1" a="1"/>
  <c r="F5199" i="1" a="1"/>
  <c r="F5343" i="1" a="1"/>
  <c r="F3401" i="1" a="1"/>
  <c r="F3913" i="1" a="1"/>
  <c r="F4215" i="1" a="1"/>
  <c r="F4444" i="1" a="1"/>
  <c r="F3041" i="1" a="1"/>
  <c r="F3629" i="1" a="1"/>
  <c r="F4096" i="1" a="1"/>
  <c r="F4347" i="1" a="1"/>
  <c r="F4522" i="1" a="1"/>
  <c r="F4607" i="1" a="1"/>
  <c r="F4693" i="1" a="1"/>
  <c r="F4778" i="1" a="1"/>
  <c r="F4927" i="1" a="1"/>
  <c r="F3209" i="1" a="1"/>
  <c r="F3345" i="1" a="1"/>
  <c r="F3857" i="1" a="1"/>
  <c r="F4214" i="1" a="1"/>
  <c r="F4486" i="1" a="1"/>
  <c r="F4183" i="1" a="1"/>
  <c r="F4678" i="1" a="1"/>
  <c r="F4974" i="1" a="1"/>
  <c r="F5175" i="1" a="1"/>
  <c r="F3303" i="1" a="1"/>
  <c r="F4163" i="1" a="1"/>
  <c r="F4555" i="1" a="1"/>
  <c r="F4853" i="1" a="1"/>
  <c r="F5066" i="1" a="1"/>
  <c r="F5265" i="1" a="1"/>
  <c r="F5387" i="1" a="1"/>
  <c r="F5451" i="1" a="1"/>
  <c r="F4144" i="1" a="1"/>
  <c r="F4526" i="1" a="1"/>
  <c r="F4811" i="1" a="1"/>
  <c r="F5041" i="1" a="1"/>
  <c r="F5234" i="1" a="1"/>
  <c r="F3537" i="1" a="1"/>
  <c r="F3465" i="1" a="1"/>
  <c r="F3431" i="1" a="1"/>
  <c r="F3367" i="1" a="1"/>
  <c r="F3372" i="1" a="1"/>
  <c r="F4182" i="1" a="1"/>
  <c r="F4761" i="1" a="1"/>
  <c r="F4979" i="1" a="1"/>
  <c r="F5206" i="1" a="1"/>
  <c r="F5374" i="1" a="1"/>
  <c r="F4807" i="1" a="1"/>
  <c r="F5215" i="1" a="1"/>
  <c r="F5424" i="1" a="1"/>
  <c r="F5538" i="1" a="1"/>
  <c r="F5666" i="1" a="1"/>
  <c r="F5794" i="1" a="1"/>
  <c r="F5922" i="1" a="1"/>
  <c r="F6050" i="1" a="1"/>
  <c r="F6178" i="1" a="1"/>
  <c r="F6306" i="1" a="1"/>
  <c r="F6434" i="1" a="1"/>
  <c r="F6562" i="1" a="1"/>
  <c r="F6690" i="1" a="1"/>
  <c r="F6818" i="1" a="1"/>
  <c r="F6946" i="1" a="1"/>
  <c r="F7074" i="1" a="1"/>
  <c r="F7202" i="1" a="1"/>
  <c r="F7330" i="1" a="1"/>
  <c r="F4199" i="1" a="1"/>
  <c r="F4869" i="1" a="1"/>
  <c r="F5195" i="1" a="1"/>
  <c r="F5525" i="1" a="1"/>
  <c r="F5653" i="1" a="1"/>
  <c r="F5781" i="1" a="1"/>
  <c r="F5909" i="1" a="1"/>
  <c r="F6037" i="1" a="1"/>
  <c r="F6165" i="1" a="1"/>
  <c r="F6293" i="1" a="1"/>
  <c r="F6421" i="1" a="1"/>
  <c r="F6549" i="1" a="1"/>
  <c r="F6677" i="1" a="1"/>
  <c r="F6805" i="1" a="1"/>
  <c r="F6933" i="1" a="1"/>
  <c r="F7061" i="1" a="1"/>
  <c r="F4958" i="1" a="1"/>
  <c r="F5342" i="1" a="1"/>
  <c r="F5446" i="1" a="1"/>
  <c r="F5567" i="1" a="1"/>
  <c r="F5695" i="1" a="1"/>
  <c r="F5823" i="1" a="1"/>
  <c r="F5951" i="1" a="1"/>
  <c r="F6079" i="1" a="1"/>
  <c r="F6207" i="1" a="1"/>
  <c r="F6335" i="1" a="1"/>
  <c r="F6463" i="1" a="1"/>
  <c r="F6591" i="1" a="1"/>
  <c r="F6719" i="1" a="1"/>
  <c r="F6847" i="1" a="1"/>
  <c r="F4649" i="1" a="1"/>
  <c r="F4471" i="1" a="1"/>
  <c r="F4947" i="1" a="1"/>
  <c r="F4802" i="1" a="1"/>
  <c r="F4707" i="1" a="1"/>
  <c r="F4657" i="1" a="1"/>
  <c r="F5131" i="1" a="1"/>
  <c r="F5501" i="1" a="1"/>
  <c r="F5629" i="1" a="1"/>
  <c r="F5757" i="1" a="1"/>
  <c r="F5885" i="1" a="1"/>
  <c r="F6013" i="1" a="1"/>
  <c r="F6141" i="1" a="1"/>
  <c r="F6269" i="1" a="1"/>
  <c r="F6397" i="1" a="1"/>
  <c r="F6525" i="1" a="1"/>
  <c r="F6653" i="1" a="1"/>
  <c r="F6781" i="1" a="1"/>
  <c r="F6909" i="1" a="1"/>
  <c r="F5432" i="1" a="1"/>
  <c r="F5664" i="1" a="1"/>
  <c r="F5920" i="1" a="1"/>
  <c r="F6176" i="1" a="1"/>
  <c r="F6432" i="1" a="1"/>
  <c r="F6688" i="1" a="1"/>
  <c r="F6939" i="1" a="1"/>
  <c r="F7094" i="1" a="1"/>
  <c r="F7256" i="1" a="1"/>
  <c r="F7397" i="1" a="1"/>
  <c r="F7541" i="1" a="1"/>
  <c r="F7669" i="1" a="1"/>
  <c r="F7797" i="1" a="1"/>
  <c r="F7925" i="1" a="1"/>
  <c r="F7995" i="1" a="1"/>
  <c r="F8059" i="1" a="1"/>
  <c r="F8123" i="1" a="1"/>
  <c r="F8187" i="1" a="1"/>
  <c r="F8251" i="1" a="1"/>
  <c r="F8315" i="1" a="1"/>
  <c r="F8379" i="1" a="1"/>
  <c r="F8443" i="1" a="1"/>
  <c r="F8507" i="1" a="1"/>
  <c r="F8571" i="1" a="1"/>
  <c r="F8635" i="1" a="1"/>
  <c r="F5491" i="1" a="1"/>
  <c r="F5747" i="1" a="1"/>
  <c r="F6003" i="1" a="1"/>
  <c r="F6259" i="1" a="1"/>
  <c r="F6515" i="1" a="1"/>
  <c r="F6771" i="1" a="1"/>
  <c r="F6994" i="1" a="1"/>
  <c r="F7147" i="1" a="1"/>
  <c r="F7293" i="1" a="1"/>
  <c r="F7434" i="1" a="1"/>
  <c r="F7560" i="1" a="1"/>
  <c r="F7688" i="1" a="1"/>
  <c r="F7816" i="1" a="1"/>
  <c r="F5057" i="1" a="1"/>
  <c r="F5464" i="1" a="1"/>
  <c r="F5720" i="1" a="1"/>
  <c r="F5976" i="1" a="1"/>
  <c r="F6232" i="1" a="1"/>
  <c r="F6488" i="1" a="1"/>
  <c r="F6744" i="1" a="1"/>
  <c r="F6971" i="1" a="1"/>
  <c r="F7142" i="1" a="1"/>
  <c r="F7278" i="1" a="1"/>
  <c r="F7435" i="1" a="1"/>
  <c r="F5009" i="1" a="1"/>
  <c r="F5558" i="1" a="1"/>
  <c r="F5814" i="1" a="1"/>
  <c r="F5147" i="1" a="1"/>
  <c r="F5513" i="1" a="1"/>
  <c r="F5769" i="1" a="1"/>
  <c r="F6025" i="1" a="1"/>
  <c r="F5353" i="1" a="1"/>
  <c r="F5678" i="1" a="1"/>
  <c r="F5934" i="1" a="1"/>
  <c r="F5193" i="1" a="1"/>
  <c r="F5560" i="1" a="1"/>
  <c r="F5816" i="1" a="1"/>
  <c r="F6072" i="1" a="1"/>
  <c r="F5526" i="1" a="1"/>
  <c r="F5782" i="1" a="1"/>
  <c r="F6038" i="1" a="1"/>
  <c r="F6294" i="1" a="1"/>
  <c r="F6550" i="1" a="1"/>
  <c r="F6806" i="1" a="1"/>
  <c r="F7017" i="1" a="1"/>
  <c r="F7172" i="1" a="1"/>
  <c r="F7313" i="1" a="1"/>
  <c r="F7463" i="1" a="1"/>
  <c r="F7591" i="1" a="1"/>
  <c r="F6308" i="1" a="1"/>
  <c r="F6820" i="1" a="1"/>
  <c r="F7180" i="1" a="1"/>
  <c r="F7441" i="1" a="1"/>
  <c r="F7657" i="1" a="1"/>
  <c r="F7849" i="1" a="1"/>
  <c r="F8105" i="1" a="1"/>
  <c r="F8274" i="1" a="1"/>
  <c r="F8448" i="1" a="1"/>
  <c r="F8617" i="1" a="1"/>
  <c r="F8711" i="1" a="1"/>
  <c r="F8775" i="1" a="1"/>
  <c r="F8839" i="1" a="1"/>
  <c r="F8903" i="1" a="1"/>
  <c r="F8967" i="1" a="1"/>
  <c r="F9031" i="1" a="1"/>
  <c r="F9095" i="1" a="1"/>
  <c r="F9159" i="1" a="1"/>
  <c r="F9223" i="1" a="1"/>
  <c r="F9287" i="1" a="1"/>
  <c r="F9351" i="1" a="1"/>
  <c r="F9415" i="1" a="1"/>
  <c r="F9479" i="1" a="1"/>
  <c r="F9543" i="1" a="1"/>
  <c r="F9607" i="1" a="1"/>
  <c r="F9671" i="1" a="1"/>
  <c r="F9735" i="1" a="1"/>
  <c r="F9799" i="1" a="1"/>
  <c r="F9863" i="1" a="1"/>
  <c r="F9927" i="1" a="1"/>
  <c r="F9991" i="1" a="1"/>
  <c r="F10055" i="1" a="1"/>
  <c r="F10119" i="1" a="1"/>
  <c r="F10183" i="1" a="1"/>
  <c r="F10247" i="1" a="1"/>
  <c r="F10311" i="1" a="1"/>
  <c r="F6601" i="1" a="1"/>
  <c r="F7051" i="1" a="1"/>
  <c r="F7337" i="1" a="1"/>
  <c r="F7621" i="1" a="1"/>
  <c r="F7789" i="1" a="1"/>
  <c r="F7952" i="1" a="1"/>
  <c r="F8037" i="1" a="1"/>
  <c r="F8206" i="1" a="1"/>
  <c r="F8380" i="1" a="1"/>
  <c r="F8549" i="1" a="1"/>
  <c r="F6364" i="1" a="1"/>
  <c r="F6876" i="1" a="1"/>
  <c r="F7223" i="1" a="1"/>
  <c r="F7462" i="1" a="1"/>
  <c r="F7652" i="1" a="1"/>
  <c r="F7838" i="1" a="1"/>
  <c r="F8106" i="1" a="1"/>
  <c r="F8280" i="1" a="1"/>
  <c r="F8449" i="1" a="1"/>
  <c r="F8618" i="1" a="1"/>
  <c r="F8712" i="1" a="1"/>
  <c r="F8776" i="1" a="1"/>
  <c r="F8840" i="1" a="1"/>
  <c r="F8904" i="1" a="1"/>
  <c r="F8968" i="1" a="1"/>
  <c r="F9032" i="1" a="1"/>
  <c r="F9096" i="1" a="1"/>
  <c r="F9160" i="1" a="1"/>
  <c r="F6218" i="1" a="1"/>
  <c r="F6730" i="1" a="1"/>
  <c r="F7140" i="1" a="1"/>
  <c r="F7422" i="1" a="1"/>
  <c r="F6372" i="1" a="1"/>
  <c r="F6884" i="1" a="1"/>
  <c r="F7237" i="1" a="1"/>
  <c r="F7520" i="1" a="1"/>
  <c r="F6519" i="1" a="1"/>
  <c r="F6996" i="1" a="1"/>
  <c r="F7311" i="1" a="1"/>
  <c r="F6172" i="1" a="1"/>
  <c r="F6684" i="1" a="1"/>
  <c r="F7103" i="1" a="1"/>
  <c r="F7416" i="1" a="1"/>
  <c r="F6319" i="1" a="1"/>
  <c r="F6831" i="1" a="1"/>
  <c r="F7166" i="1" a="1"/>
  <c r="F7467" i="1" a="1"/>
  <c r="F7690" i="1" a="1"/>
  <c r="F7867" i="1" a="1"/>
  <c r="F7988" i="1" a="1"/>
  <c r="F8109" i="1" a="1"/>
  <c r="F8278" i="1" a="1"/>
  <c r="F8452" i="1" a="1"/>
  <c r="F8621" i="1" a="1"/>
  <c r="F7845" i="1" a="1"/>
  <c r="F8084" i="1" a="1"/>
  <c r="F8413" i="1" a="1"/>
  <c r="F9257" i="1" a="1"/>
  <c r="F9424" i="1" a="1"/>
  <c r="F9602" i="1" a="1"/>
  <c r="F9737" i="1" a="1"/>
  <c r="F9822" i="1" a="1"/>
  <c r="F9908" i="1" a="1"/>
  <c r="F9993" i="1" a="1"/>
  <c r="F10078" i="1" a="1"/>
  <c r="F10164" i="1" a="1"/>
  <c r="F10249" i="1" a="1"/>
  <c r="F10337" i="1" a="1"/>
  <c r="F10401" i="1" a="1"/>
  <c r="F10465" i="1" a="1"/>
  <c r="F10529" i="1" a="1"/>
  <c r="F10593" i="1" a="1"/>
  <c r="F10657" i="1" a="1"/>
  <c r="F10721" i="1" a="1"/>
  <c r="F10785" i="1" a="1"/>
  <c r="F10849" i="1" a="1"/>
  <c r="F10913" i="1" a="1"/>
  <c r="F10977" i="1" a="1"/>
  <c r="F11041" i="1" a="1"/>
  <c r="F11105" i="1" a="1"/>
  <c r="F11169" i="1" a="1"/>
  <c r="F11233" i="1" a="1"/>
  <c r="F11297" i="1" a="1"/>
  <c r="F11361" i="1" a="1"/>
  <c r="F11425" i="1" a="1"/>
  <c r="F11489" i="1" a="1"/>
  <c r="F11553" i="1" a="1"/>
  <c r="F11617" i="1" a="1"/>
  <c r="F11681" i="1" a="1"/>
  <c r="F7895" i="1" a="1"/>
  <c r="F8322" i="1" a="1"/>
  <c r="F8669" i="1" a="1"/>
  <c r="F8797" i="1" a="1"/>
  <c r="F8925" i="1" a="1"/>
  <c r="F9053" i="1" a="1"/>
  <c r="F9181" i="1" a="1"/>
  <c r="F9341" i="1" a="1"/>
  <c r="F9508" i="1" a="1"/>
  <c r="F9686" i="1" a="1"/>
  <c r="F7810" i="1" a="1"/>
  <c r="F8085" i="1" a="1"/>
  <c r="F8414" i="1" a="1"/>
  <c r="F9265" i="1" a="1"/>
  <c r="F9432" i="1" a="1"/>
  <c r="F9610" i="1" a="1"/>
  <c r="F9744" i="1" a="1"/>
  <c r="F9829" i="1" a="1"/>
  <c r="F9914" i="1" a="1"/>
  <c r="F10000" i="1" a="1"/>
  <c r="F10085" i="1" a="1"/>
  <c r="F10170" i="1" a="1"/>
  <c r="F10256" i="1" a="1"/>
  <c r="F10346" i="1" a="1"/>
  <c r="F10410" i="1" a="1"/>
  <c r="F10474" i="1" a="1"/>
  <c r="G5076" i="1" a="1"/>
  <c r="G7964" i="1" a="1"/>
  <c r="G9390" i="1" a="1"/>
  <c r="G8757" i="1" a="1"/>
  <c r="G11685" i="1" a="1"/>
  <c r="G12709" i="1" a="1"/>
  <c r="G10570" i="1" a="1"/>
  <c r="G11425" i="1" a="1"/>
  <c r="G8765" i="1" a="1"/>
  <c r="G11247" i="1" a="1"/>
  <c r="G9099" i="1" a="1"/>
  <c r="G10549" i="1" a="1"/>
  <c r="G10196" i="1" a="1"/>
  <c r="G12099" i="1" a="1"/>
  <c r="G13258" i="1" a="1"/>
  <c r="G9591" i="1" a="1"/>
  <c r="G11924" i="1" a="1"/>
  <c r="G13108" i="1" a="1"/>
  <c r="G11593" i="1" a="1"/>
  <c r="G10333" i="1" a="1"/>
  <c r="G10737" i="1" a="1"/>
  <c r="G11381" i="1" a="1"/>
  <c r="G12789" i="1" a="1"/>
  <c r="G13081" i="1" a="1"/>
  <c r="G13973" i="1" a="1"/>
  <c r="G11647" i="1" a="1"/>
  <c r="G13576" i="1" a="1"/>
  <c r="G14781" i="1" a="1"/>
  <c r="G13015" i="1" a="1"/>
  <c r="G14201" i="1" a="1"/>
  <c r="G11505" i="1" a="1"/>
  <c r="G11684" i="1" a="1"/>
  <c r="G11824" i="1" a="1"/>
  <c r="G11998" i="1" a="1"/>
  <c r="G13648" i="1" a="1"/>
  <c r="G14488" i="1" a="1"/>
  <c r="G14471" i="1" a="1"/>
  <c r="G13442" i="1" a="1"/>
  <c r="G14670" i="1" a="1"/>
  <c r="G14250" i="1" a="1"/>
  <c r="G14858" i="1" a="1"/>
  <c r="G14042" i="1" a="1"/>
  <c r="G14555" i="1" a="1"/>
  <c r="F80" i="1" a="1"/>
  <c r="F106" i="1" a="1"/>
  <c r="F64" i="1" a="1"/>
  <c r="F778" i="1" a="1"/>
  <c r="F533" i="1" a="1"/>
  <c r="F1381" i="1" a="1"/>
  <c r="F614" i="1" a="1"/>
  <c r="F808" i="1" a="1"/>
  <c r="F1280" i="1" a="1"/>
  <c r="F2017" i="1" a="1"/>
  <c r="F1208" i="1" a="1"/>
  <c r="F1028" i="1" a="1"/>
  <c r="F1460" i="1" a="1"/>
  <c r="F2034" i="1" a="1"/>
  <c r="F2325" i="1" a="1"/>
  <c r="F2986" i="1" a="1"/>
  <c r="F2516" i="1" a="1"/>
  <c r="F2617" i="1" a="1"/>
  <c r="F2086" i="1" a="1"/>
  <c r="F2303" i="1" a="1"/>
  <c r="F2445" i="1" a="1"/>
  <c r="F2227" i="1" a="1"/>
  <c r="F3131" i="1" a="1"/>
  <c r="F2604" i="1" a="1"/>
  <c r="F2112" i="1" a="1"/>
  <c r="F2344" i="1" a="1"/>
  <c r="F2600" i="1" a="1"/>
  <c r="F2504" i="1" a="1"/>
  <c r="F2820" i="1" a="1"/>
  <c r="F2944" i="1" a="1"/>
  <c r="F3179" i="1" a="1"/>
  <c r="F3297" i="1" a="1"/>
  <c r="F3425" i="1" a="1"/>
  <c r="F3553" i="1" a="1"/>
  <c r="F3681" i="1" a="1"/>
  <c r="F3809" i="1" a="1"/>
  <c r="F3937" i="1" a="1"/>
  <c r="F4017" i="1" a="1"/>
  <c r="F4081" i="1" a="1"/>
  <c r="F4145" i="1" a="1"/>
  <c r="F4209" i="1" a="1"/>
  <c r="F4273" i="1" a="1"/>
  <c r="F4337" i="1" a="1"/>
  <c r="F4401" i="1" a="1"/>
  <c r="F4465" i="1" a="1"/>
  <c r="F2358" i="1" a="1"/>
  <c r="F2768" i="1" a="1"/>
  <c r="F3096" i="1" a="1"/>
  <c r="F3279" i="1" a="1"/>
  <c r="F3407" i="1" a="1"/>
  <c r="F3535" i="1" a="1"/>
  <c r="F3663" i="1" a="1"/>
  <c r="F3791" i="1" a="1"/>
  <c r="F3919" i="1" a="1"/>
  <c r="F2233" i="1" a="1"/>
  <c r="F2668" i="1" a="1"/>
  <c r="F2849" i="1" a="1"/>
  <c r="F3000" i="1" a="1"/>
  <c r="F3201" i="1" a="1"/>
  <c r="F3330" i="1" a="1"/>
  <c r="F3458" i="1" a="1"/>
  <c r="F3586" i="1" a="1"/>
  <c r="F3714" i="1" a="1"/>
  <c r="F3842" i="1" a="1"/>
  <c r="F3970" i="1" a="1"/>
  <c r="F4034" i="1" a="1"/>
  <c r="F4098" i="1" a="1"/>
  <c r="F4162" i="1" a="1"/>
  <c r="F1752" i="1" a="1"/>
  <c r="F2572" i="1" a="1"/>
  <c r="F2979" i="1" a="1"/>
  <c r="F3173" i="1" a="1"/>
  <c r="F3328" i="1" a="1"/>
  <c r="F3456" i="1" a="1"/>
  <c r="F3584" i="1" a="1"/>
  <c r="F3712" i="1" a="1"/>
  <c r="F3840" i="1" a="1"/>
  <c r="F3968" i="1" a="1"/>
  <c r="F3109" i="1" a="1"/>
  <c r="F3405" i="1" a="1"/>
  <c r="F3661" i="1" a="1"/>
  <c r="F3917" i="1" a="1"/>
  <c r="F4492" i="1" a="1"/>
  <c r="F4556" i="1" a="1"/>
  <c r="F4620" i="1" a="1"/>
  <c r="F4684" i="1" a="1"/>
  <c r="F4748" i="1" a="1"/>
  <c r="F4812" i="1" a="1"/>
  <c r="F4876" i="1" a="1"/>
  <c r="F4940" i="1" a="1"/>
  <c r="F5004" i="1" a="1"/>
  <c r="F5068" i="1" a="1"/>
  <c r="F5132" i="1" a="1"/>
  <c r="F5196" i="1" a="1"/>
  <c r="F5260" i="1" a="1"/>
  <c r="F5324" i="1" a="1"/>
  <c r="F2817" i="1" a="1"/>
  <c r="F3183" i="1" a="1"/>
  <c r="F3451" i="1" a="1"/>
  <c r="F3707" i="1" a="1"/>
  <c r="F3963" i="1" a="1"/>
  <c r="F4092" i="1" a="1"/>
  <c r="F4218" i="1" a="1"/>
  <c r="F4303" i="1" a="1"/>
  <c r="F4392" i="1" a="1"/>
  <c r="F2672" i="1" a="1"/>
  <c r="F3216" i="1" a="1"/>
  <c r="F3472" i="1" a="1"/>
  <c r="F3728" i="1" a="1"/>
  <c r="F4179" i="1" a="1"/>
  <c r="F2367" i="1" a="1"/>
  <c r="F2865" i="1" a="1"/>
  <c r="F2996" i="1" a="1"/>
  <c r="F2765" i="1" a="1"/>
  <c r="F2563" i="1" a="1"/>
  <c r="F2684" i="1" a="1"/>
  <c r="F2953" i="1" a="1"/>
  <c r="F3331" i="1" a="1"/>
  <c r="F3587" i="1" a="1"/>
  <c r="F3843" i="1" a="1"/>
  <c r="F3437" i="1" a="1"/>
  <c r="F3948" i="1" a="1"/>
  <c r="F4274" i="1" a="1"/>
  <c r="F4493" i="1" a="1"/>
  <c r="F4578" i="1" a="1"/>
  <c r="F4663" i="1" a="1"/>
  <c r="F4749" i="1" a="1"/>
  <c r="F4870" i="1" a="1"/>
  <c r="F5039" i="1" a="1"/>
  <c r="F5213" i="1" a="1"/>
  <c r="F5347" i="1" a="1"/>
  <c r="F3419" i="1" a="1"/>
  <c r="F3931" i="1" a="1"/>
  <c r="F4224" i="1" a="1"/>
  <c r="F4487" i="1" a="1"/>
  <c r="F3083" i="1" a="1"/>
  <c r="F3647" i="1" a="1"/>
  <c r="F4111" i="1" a="1"/>
  <c r="F4371" i="1" a="1"/>
  <c r="F4527" i="1" a="1"/>
  <c r="F4613" i="1" a="1"/>
  <c r="F4698" i="1" a="1"/>
  <c r="F4783" i="1" a="1"/>
  <c r="F4941" i="1" a="1"/>
  <c r="F3227" i="1" a="1"/>
  <c r="F3363" i="1" a="1"/>
  <c r="F3875" i="1" a="1"/>
  <c r="F4238" i="1" a="1"/>
  <c r="F3300" i="1" a="1"/>
  <c r="F4203" i="1" a="1"/>
  <c r="F4726" i="1" a="1"/>
  <c r="F4986" i="1" a="1"/>
  <c r="F5186" i="1" a="1"/>
  <c r="F3376" i="1" a="1"/>
  <c r="F4220" i="1" a="1"/>
  <c r="F4566" i="1" a="1"/>
  <c r="F4859" i="1" a="1"/>
  <c r="F5077" i="1" a="1"/>
  <c r="F5270" i="1" a="1"/>
  <c r="F5391" i="1" a="1"/>
  <c r="F5455" i="1" a="1"/>
  <c r="F4170" i="1" a="1"/>
  <c r="F4537" i="1" a="1"/>
  <c r="F4817" i="1" a="1"/>
  <c r="F5046" i="1" a="1"/>
  <c r="F5239" i="1" a="1"/>
  <c r="F3610" i="1" a="1"/>
  <c r="F3538" i="1" a="1"/>
  <c r="F3504" i="1" a="1"/>
  <c r="F3440" i="1" a="1"/>
  <c r="F3409" i="1" a="1"/>
  <c r="F4216" i="1" a="1"/>
  <c r="F4782" i="1" a="1"/>
  <c r="F5010" i="1" a="1"/>
  <c r="F5211" i="1" a="1"/>
  <c r="F5378" i="1" a="1"/>
  <c r="F4819" i="1" a="1"/>
  <c r="F5257" i="1" a="1"/>
  <c r="F5429" i="1" a="1"/>
  <c r="F5543" i="1" a="1"/>
  <c r="F5671" i="1" a="1"/>
  <c r="F5799" i="1" a="1"/>
  <c r="F5927" i="1" a="1"/>
  <c r="F6055" i="1" a="1"/>
  <c r="F6183" i="1" a="1"/>
  <c r="F6311" i="1" a="1"/>
  <c r="F6439" i="1" a="1"/>
  <c r="F6567" i="1" a="1"/>
  <c r="F6695" i="1" a="1"/>
  <c r="F6823" i="1" a="1"/>
  <c r="F6951" i="1" a="1"/>
  <c r="F7079" i="1" a="1"/>
  <c r="F7207" i="1" a="1"/>
  <c r="F7335" i="1" a="1"/>
  <c r="F4232" i="1" a="1"/>
  <c r="F4881" i="1" a="1"/>
  <c r="F5226" i="1" a="1"/>
  <c r="F5534" i="1" a="1"/>
  <c r="F5662" i="1" a="1"/>
  <c r="F5790" i="1" a="1"/>
  <c r="F5918" i="1" a="1"/>
  <c r="F6046" i="1" a="1"/>
  <c r="F6174" i="1" a="1"/>
  <c r="F6302" i="1" a="1"/>
  <c r="F6430" i="1" a="1"/>
  <c r="F6558" i="1" a="1"/>
  <c r="F6686" i="1" a="1"/>
  <c r="F6814" i="1" a="1"/>
  <c r="F6942" i="1" a="1"/>
  <c r="F7070" i="1" a="1"/>
  <c r="F4970" i="1" a="1"/>
  <c r="F5360" i="1" a="1"/>
  <c r="F5452" i="1" a="1"/>
  <c r="F5576" i="1" a="1"/>
  <c r="F5704" i="1" a="1"/>
  <c r="F5832" i="1" a="1"/>
  <c r="F5960" i="1" a="1"/>
  <c r="F6088" i="1" a="1"/>
  <c r="F6216" i="1" a="1"/>
  <c r="F6344" i="1" a="1"/>
  <c r="F6472" i="1" a="1"/>
  <c r="F6600" i="1" a="1"/>
  <c r="F6728" i="1" a="1"/>
  <c r="F6856" i="1" a="1"/>
  <c r="F4699" i="1" a="1"/>
  <c r="F4497" i="1" a="1"/>
  <c r="F4251" i="1" a="1"/>
  <c r="F4814" i="1" a="1"/>
  <c r="F4750" i="1" a="1"/>
  <c r="F4691" i="1" a="1"/>
  <c r="F5162" i="1" a="1"/>
  <c r="F5510" i="1" a="1"/>
  <c r="F5638" i="1" a="1"/>
  <c r="F5766" i="1" a="1"/>
  <c r="F5894" i="1" a="1"/>
  <c r="F6022" i="1" a="1"/>
  <c r="F6150" i="1" a="1"/>
  <c r="F6278" i="1" a="1"/>
  <c r="F6406" i="1" a="1"/>
  <c r="F6534" i="1" a="1"/>
  <c r="F6662" i="1" a="1"/>
  <c r="F6790" i="1" a="1"/>
  <c r="F6918" i="1" a="1"/>
  <c r="F5442" i="1" a="1"/>
  <c r="F5673" i="1" a="1"/>
  <c r="F5929" i="1" a="1"/>
  <c r="F6185" i="1" a="1"/>
  <c r="F6441" i="1" a="1"/>
  <c r="F6697" i="1" a="1"/>
  <c r="F6950" i="1" a="1"/>
  <c r="F7115" i="1" a="1"/>
  <c r="F7261" i="1" a="1"/>
  <c r="F7402" i="1" a="1"/>
  <c r="F7546" i="1" a="1"/>
  <c r="F7674" i="1" a="1"/>
  <c r="F7802" i="1" a="1"/>
  <c r="F7930" i="1" a="1"/>
  <c r="F7999" i="1" a="1"/>
  <c r="F8063" i="1" a="1"/>
  <c r="F8127" i="1" a="1"/>
  <c r="F8191" i="1" a="1"/>
  <c r="F8255" i="1" a="1"/>
  <c r="F8319" i="1" a="1"/>
  <c r="F8383" i="1" a="1"/>
  <c r="F8447" i="1" a="1"/>
  <c r="F8511" i="1" a="1"/>
  <c r="F8575" i="1" a="1"/>
  <c r="F8639" i="1" a="1"/>
  <c r="F5500" i="1" a="1"/>
  <c r="F5756" i="1" a="1"/>
  <c r="F6012" i="1" a="1"/>
  <c r="F6268" i="1" a="1"/>
  <c r="F6524" i="1" a="1"/>
  <c r="F6780" i="1" a="1"/>
  <c r="F7000" i="1" a="1"/>
  <c r="F7163" i="1" a="1"/>
  <c r="F7299" i="1" a="1"/>
  <c r="F7445" i="1" a="1"/>
  <c r="F7569" i="1" a="1"/>
  <c r="F7697" i="1" a="1"/>
  <c r="F7825" i="1" a="1"/>
  <c r="F5078" i="1" a="1"/>
  <c r="F5473" i="1" a="1"/>
  <c r="F5729" i="1" a="1"/>
  <c r="F5985" i="1" a="1"/>
  <c r="F6241" i="1" a="1"/>
  <c r="F6497" i="1" a="1"/>
  <c r="F6753" i="1" a="1"/>
  <c r="F6982" i="1" a="1"/>
  <c r="F7148" i="1" a="1"/>
  <c r="F7294" i="1" a="1"/>
  <c r="F7451" i="1" a="1"/>
  <c r="F5042" i="1" a="1"/>
  <c r="F5595" i="1" a="1"/>
  <c r="F5851" i="1" a="1"/>
  <c r="F5189" i="1" a="1"/>
  <c r="F5522" i="1" a="1"/>
  <c r="F5778" i="1" a="1"/>
  <c r="F6034" i="1" a="1"/>
  <c r="F5459" i="1" a="1"/>
  <c r="F5715" i="1" a="1"/>
  <c r="F5971" i="1" a="1"/>
  <c r="F5214" i="1" a="1"/>
  <c r="F5569" i="1" a="1"/>
  <c r="F5825" i="1" a="1"/>
  <c r="F6081" i="1" a="1"/>
  <c r="F5563" i="1" a="1"/>
  <c r="F5819" i="1" a="1"/>
  <c r="F6075" i="1" a="1"/>
  <c r="F6331" i="1" a="1"/>
  <c r="F6587" i="1" a="1"/>
  <c r="F6843" i="1" a="1"/>
  <c r="F7023" i="1" a="1"/>
  <c r="F7177" i="1" a="1"/>
  <c r="F7318" i="1" a="1"/>
  <c r="F7472" i="1" a="1"/>
  <c r="F7600" i="1" a="1"/>
  <c r="F6326" i="1" a="1"/>
  <c r="F6838" i="1" a="1"/>
  <c r="F7190" i="1" a="1"/>
  <c r="F7470" i="1" a="1"/>
  <c r="F7678" i="1" a="1"/>
  <c r="F7855" i="1" a="1"/>
  <c r="F8114" i="1" a="1"/>
  <c r="F8288" i="1" a="1"/>
  <c r="F8457" i="1" a="1"/>
  <c r="F8626" i="1" a="1"/>
  <c r="F8715" i="1" a="1"/>
  <c r="F8779" i="1" a="1"/>
  <c r="F8843" i="1" a="1"/>
  <c r="F8907" i="1" a="1"/>
  <c r="F8971" i="1" a="1"/>
  <c r="F9035" i="1" a="1"/>
  <c r="F9099" i="1" a="1"/>
  <c r="F9163" i="1" a="1"/>
  <c r="F9227" i="1" a="1"/>
  <c r="F9291" i="1" a="1"/>
  <c r="F9355" i="1" a="1"/>
  <c r="F9419" i="1" a="1"/>
  <c r="F9483" i="1" a="1"/>
  <c r="F9547" i="1" a="1"/>
  <c r="F9611" i="1" a="1"/>
  <c r="F9675" i="1" a="1"/>
  <c r="F9739" i="1" a="1"/>
  <c r="F9803" i="1" a="1"/>
  <c r="F9867" i="1" a="1"/>
  <c r="F9931" i="1" a="1"/>
  <c r="F9995" i="1" a="1"/>
  <c r="F10059" i="1" a="1"/>
  <c r="F10123" i="1" a="1"/>
  <c r="F10187" i="1" a="1"/>
  <c r="F10251" i="1" a="1"/>
  <c r="F10315" i="1" a="1"/>
  <c r="F6656" i="1" a="1"/>
  <c r="F7076" i="1" a="1"/>
  <c r="F7358" i="1" a="1"/>
  <c r="F7629" i="1" a="1"/>
  <c r="F7795" i="1" a="1"/>
  <c r="F7957" i="1" a="1"/>
  <c r="F8046" i="1" a="1"/>
  <c r="F8220" i="1" a="1"/>
  <c r="F8389" i="1" a="1"/>
  <c r="F8558" i="1" a="1"/>
  <c r="F6382" i="1" a="1"/>
  <c r="F6894" i="1" a="1"/>
  <c r="F7233" i="1" a="1"/>
  <c r="F7471" i="1" a="1"/>
  <c r="F7680" i="1" a="1"/>
  <c r="F7856" i="1" a="1"/>
  <c r="F8120" i="1" a="1"/>
  <c r="F8289" i="1" a="1"/>
  <c r="F8458" i="1" a="1"/>
  <c r="F8632" i="1" a="1"/>
  <c r="F8716" i="1" a="1"/>
  <c r="F8780" i="1" a="1"/>
  <c r="F8844" i="1" a="1"/>
  <c r="F8908" i="1" a="1"/>
  <c r="F8972" i="1" a="1"/>
  <c r="F9036" i="1" a="1"/>
  <c r="F9100" i="1" a="1"/>
  <c r="F9164" i="1" a="1"/>
  <c r="F6255" i="1" a="1"/>
  <c r="F6767" i="1" a="1"/>
  <c r="F7150" i="1" a="1"/>
  <c r="F7443" i="1" a="1"/>
  <c r="F6390" i="1" a="1"/>
  <c r="F6902" i="1" a="1"/>
  <c r="F7258" i="1" a="1"/>
  <c r="F7529" i="1" a="1"/>
  <c r="F6537" i="1" a="1"/>
  <c r="F7021" i="1" a="1"/>
  <c r="F7332" i="1" a="1"/>
  <c r="F6190" i="1" a="1"/>
  <c r="F6702" i="1" a="1"/>
  <c r="F7113" i="1" a="1"/>
  <c r="F7427" i="1" a="1"/>
  <c r="F6337" i="1" a="1"/>
  <c r="F6849" i="1" a="1"/>
  <c r="F7187" i="1" a="1"/>
  <c r="F7476" i="1" a="1"/>
  <c r="F7708" i="1" a="1"/>
  <c r="F7885" i="1" a="1"/>
  <c r="F7993" i="1" a="1"/>
  <c r="F8118" i="1" a="1"/>
  <c r="F8292" i="1" a="1"/>
  <c r="F8461" i="1" a="1"/>
  <c r="F8630" i="1" a="1"/>
  <c r="F7858" i="1" a="1"/>
  <c r="F8093" i="1" a="1"/>
  <c r="F8422" i="1" a="1"/>
  <c r="F9264" i="1" a="1"/>
  <c r="F9442" i="1" a="1"/>
  <c r="F9609" i="1" a="1"/>
  <c r="F9742" i="1" a="1"/>
  <c r="F9828" i="1" a="1"/>
  <c r="F9913" i="1" a="1"/>
  <c r="F9998" i="1" a="1"/>
  <c r="F10084" i="1" a="1"/>
  <c r="F10169" i="1" a="1"/>
  <c r="F10254" i="1" a="1"/>
  <c r="F10341" i="1" a="1"/>
  <c r="F10405" i="1" a="1"/>
  <c r="F10469" i="1" a="1"/>
  <c r="F10533" i="1" a="1"/>
  <c r="F10597" i="1" a="1"/>
  <c r="F10661" i="1" a="1"/>
  <c r="F10725" i="1" a="1"/>
  <c r="F10789" i="1" a="1"/>
  <c r="F10853" i="1" a="1"/>
  <c r="F10917" i="1" a="1"/>
  <c r="F10981" i="1" a="1"/>
  <c r="F11045" i="1" a="1"/>
  <c r="F11109" i="1" a="1"/>
  <c r="F11173" i="1" a="1"/>
  <c r="F11237" i="1" a="1"/>
  <c r="F11301" i="1" a="1"/>
  <c r="F11365" i="1" a="1"/>
  <c r="F11429" i="1" a="1"/>
  <c r="F11493" i="1" a="1"/>
  <c r="F11557" i="1" a="1"/>
  <c r="F11621" i="1" a="1"/>
  <c r="F11685" i="1" a="1"/>
  <c r="F7919" i="1" a="1"/>
  <c r="F8368" i="1" a="1"/>
  <c r="F8677" i="1" a="1"/>
  <c r="F8805" i="1" a="1"/>
  <c r="F8933" i="1" a="1"/>
  <c r="F9061" i="1" a="1"/>
  <c r="F9189" i="1" a="1"/>
  <c r="F9348" i="1" a="1"/>
  <c r="F9526" i="1" a="1"/>
  <c r="F9693" i="1" a="1"/>
  <c r="G5097" i="1" a="1"/>
  <c r="G7970" i="1" a="1"/>
  <c r="G9395" i="1" a="1"/>
  <c r="G8766" i="1" a="1"/>
  <c r="G11694" i="1" a="1"/>
  <c r="G12718" i="1" a="1"/>
  <c r="G10577" i="1" a="1"/>
  <c r="G11434" i="1" a="1"/>
  <c r="G8783" i="1" a="1"/>
  <c r="G11252" i="1" a="1"/>
  <c r="G9123" i="1" a="1"/>
  <c r="G10567" i="1" a="1"/>
  <c r="G10387" i="1" a="1"/>
  <c r="G12105" i="1" a="1"/>
  <c r="G13263" i="1" a="1"/>
  <c r="G9612" i="1" a="1"/>
  <c r="G11935" i="1" a="1"/>
  <c r="G13117" i="1" a="1"/>
  <c r="G11601" i="1" a="1"/>
  <c r="G10349" i="1" a="1"/>
  <c r="G10747" i="1" a="1"/>
  <c r="G11390" i="1" a="1"/>
  <c r="G12794" i="1" a="1"/>
  <c r="G13087" i="1" a="1"/>
  <c r="G14083" i="1" a="1"/>
  <c r="G11692" i="1" a="1"/>
  <c r="G13581" i="1" a="1"/>
  <c r="G14789" i="1" a="1"/>
  <c r="G13033" i="1" a="1"/>
  <c r="G14206" i="1" a="1"/>
  <c r="G11537" i="1" a="1"/>
  <c r="G11698" i="1" a="1"/>
  <c r="G11835" i="1" a="1"/>
  <c r="G12022" i="1" a="1"/>
  <c r="G13653" i="1" a="1"/>
  <c r="G14492" i="1" a="1"/>
  <c r="G14479" i="1" a="1"/>
  <c r="G13494" i="1" a="1"/>
  <c r="G14734" i="1" a="1"/>
  <c r="G14258" i="1" a="1"/>
  <c r="G14876" i="1" a="1"/>
  <c r="G14084" i="1" a="1"/>
  <c r="G14587" i="1" a="1"/>
  <c r="F98" i="1" a="1"/>
  <c r="F114" i="1" a="1"/>
  <c r="F72" i="1" a="1"/>
  <c r="F792" i="1" a="1"/>
  <c r="F548" i="1" a="1"/>
  <c r="F1385" i="1" a="1"/>
  <c r="F635" i="1" a="1"/>
  <c r="F813" i="1" a="1"/>
  <c r="F1294" i="1" a="1"/>
  <c r="F2021" i="1" a="1"/>
  <c r="F1222" i="1" a="1"/>
  <c r="F1065" i="1" a="1"/>
  <c r="F1470" i="1" a="1"/>
  <c r="F2043" i="1" a="1"/>
  <c r="F2330" i="1" a="1"/>
  <c r="F2990" i="1" a="1"/>
  <c r="F2525" i="1" a="1"/>
  <c r="F2626" i="1" a="1"/>
  <c r="F2146" i="1" a="1"/>
  <c r="F2319" i="1" a="1"/>
  <c r="F2454" i="1" a="1"/>
  <c r="F2238" i="1" a="1"/>
  <c r="F3140" i="1" a="1"/>
  <c r="F2613" i="1" a="1"/>
  <c r="F2136" i="1" a="1"/>
  <c r="F2353" i="1" a="1"/>
  <c r="F2609" i="1" a="1"/>
  <c r="F2522" i="1" a="1"/>
  <c r="F2827" i="1" a="1"/>
  <c r="F2968" i="1" a="1"/>
  <c r="F3184" i="1" a="1"/>
  <c r="F3306" i="1" a="1"/>
  <c r="F3434" i="1" a="1"/>
  <c r="F3562" i="1" a="1"/>
  <c r="F3690" i="1" a="1"/>
  <c r="F3818" i="1" a="1"/>
  <c r="F3946" i="1" a="1"/>
  <c r="F4021" i="1" a="1"/>
  <c r="F4085" i="1" a="1"/>
  <c r="F4149" i="1" a="1"/>
  <c r="F4213" i="1" a="1"/>
  <c r="F4277" i="1" a="1"/>
  <c r="F4341" i="1" a="1"/>
  <c r="F4405" i="1" a="1"/>
  <c r="F4469" i="1" a="1"/>
  <c r="F2395" i="1" a="1"/>
  <c r="F2777" i="1" a="1"/>
  <c r="F3101" i="1" a="1"/>
  <c r="F3288" i="1" a="1"/>
  <c r="F3416" i="1" a="1"/>
  <c r="F3544" i="1" a="1"/>
  <c r="F3672" i="1" a="1"/>
  <c r="F3800" i="1" a="1"/>
  <c r="F3928" i="1" a="1"/>
  <c r="F2254" i="1" a="1"/>
  <c r="F2681" i="1" a="1"/>
  <c r="F2857" i="1" a="1"/>
  <c r="F3039" i="1" a="1"/>
  <c r="F3211" i="1" a="1"/>
  <c r="F3339" i="1" a="1"/>
  <c r="F3467" i="1" a="1"/>
  <c r="F3595" i="1" a="1"/>
  <c r="F3723" i="1" a="1"/>
  <c r="F3851" i="1" a="1"/>
  <c r="F3974" i="1" a="1"/>
  <c r="F4038" i="1" a="1"/>
  <c r="F4102" i="1" a="1"/>
  <c r="F4166" i="1" a="1"/>
  <c r="F1830" i="1" a="1"/>
  <c r="F2590" i="1" a="1"/>
  <c r="F2997" i="1" a="1"/>
  <c r="F3199" i="1" a="1"/>
  <c r="F3333" i="1" a="1"/>
  <c r="F3461" i="1" a="1"/>
  <c r="F3589" i="1" a="1"/>
  <c r="F3717" i="1" a="1"/>
  <c r="F3845" i="1" a="1"/>
  <c r="F2307" i="1" a="1"/>
  <c r="F3151" i="1" a="1"/>
  <c r="F3414" i="1" a="1"/>
  <c r="F3670" i="1" a="1"/>
  <c r="F3926" i="1" a="1"/>
  <c r="F4496" i="1" a="1"/>
  <c r="F4560" i="1" a="1"/>
  <c r="F4624" i="1" a="1"/>
  <c r="F4688" i="1" a="1"/>
  <c r="F4752" i="1" a="1"/>
  <c r="F4816" i="1" a="1"/>
  <c r="F4880" i="1" a="1"/>
  <c r="F4944" i="1" a="1"/>
  <c r="F5008" i="1" a="1"/>
  <c r="F5072" i="1" a="1"/>
  <c r="F5136" i="1" a="1"/>
  <c r="F5200" i="1" a="1"/>
  <c r="F5264" i="1" a="1"/>
  <c r="F1935" i="1" a="1"/>
  <c r="F2832" i="1" a="1"/>
  <c r="F3193" i="1" a="1"/>
  <c r="F3460" i="1" a="1"/>
  <c r="F3716" i="1" a="1"/>
  <c r="F3972" i="1" a="1"/>
  <c r="F4100" i="1" a="1"/>
  <c r="F4223" i="1" a="1"/>
  <c r="F4308" i="1" a="1"/>
  <c r="F4406" i="1" a="1"/>
  <c r="F2721" i="1" a="1"/>
  <c r="F3253" i="1" a="1"/>
  <c r="F3509" i="1" a="1"/>
  <c r="F3765" i="1" a="1"/>
  <c r="F4186" i="1" a="1"/>
  <c r="F2440" i="1" a="1"/>
  <c r="F2880" i="1" a="1"/>
  <c r="F3020" i="1" a="1"/>
  <c r="F2783" i="1" a="1"/>
  <c r="F2657" i="1" a="1"/>
  <c r="F2712" i="1" a="1"/>
  <c r="F2977" i="1" a="1"/>
  <c r="F3340" i="1" a="1"/>
  <c r="F3596" i="1" a="1"/>
  <c r="F3852" i="1" a="1"/>
  <c r="F3455" i="1" a="1"/>
  <c r="F3987" i="1" a="1"/>
  <c r="F4283" i="1" a="1"/>
  <c r="F4498" i="1" a="1"/>
  <c r="F4583" i="1" a="1"/>
  <c r="F4669" i="1" a="1"/>
  <c r="F4754" i="1" a="1"/>
  <c r="F4879" i="1" a="1"/>
  <c r="F5053" i="1" a="1"/>
  <c r="F5222" i="1" a="1"/>
  <c r="F5351" i="1" a="1"/>
  <c r="F3474" i="1" a="1"/>
  <c r="F3949" i="1" a="1"/>
  <c r="F4248" i="1" a="1"/>
  <c r="F2936" i="1" a="1"/>
  <c r="F3104" i="1" a="1"/>
  <c r="F3702" i="1" a="1"/>
  <c r="F4147" i="1" a="1"/>
  <c r="F4380" i="1" a="1"/>
  <c r="F4533" i="1" a="1"/>
  <c r="F4618" i="1" a="1"/>
  <c r="F4703" i="1" a="1"/>
  <c r="F4789" i="1" a="1"/>
  <c r="F4950" i="1" a="1"/>
  <c r="F2960" i="1" a="1"/>
  <c r="F3418" i="1" a="1"/>
  <c r="F3930" i="1" a="1"/>
  <c r="F4247" i="1" a="1"/>
  <c r="F3337" i="1" a="1"/>
  <c r="F4236" i="1" a="1"/>
  <c r="F4747" i="1" a="1"/>
  <c r="F5017" i="1" a="1"/>
  <c r="F5191" i="1" a="1"/>
  <c r="F3413" i="1" a="1"/>
  <c r="F4254" i="1" a="1"/>
  <c r="F4577" i="1" a="1"/>
  <c r="F4865" i="1" a="1"/>
  <c r="F5082" i="1" a="1"/>
  <c r="F5275" i="1" a="1"/>
  <c r="F5395" i="1" a="1"/>
  <c r="F3312" i="1" a="1"/>
  <c r="F4190" i="1" a="1"/>
  <c r="F4547" i="1" a="1"/>
  <c r="F4823" i="1" a="1"/>
  <c r="F5051" i="1" a="1"/>
  <c r="F5250" i="1" a="1"/>
  <c r="F3683" i="1" a="1"/>
  <c r="F3611" i="1" a="1"/>
  <c r="F3541" i="1" a="1"/>
  <c r="F3477" i="1" a="1"/>
  <c r="F3482" i="1" a="1"/>
  <c r="F4235" i="1" a="1"/>
  <c r="F4809" i="1" a="1"/>
  <c r="F5022" i="1" a="1"/>
  <c r="F5227" i="1" a="1"/>
  <c r="F4230" i="1" a="1"/>
  <c r="F4905" i="1" a="1"/>
  <c r="F5267" i="1" a="1"/>
  <c r="F5434" i="1" a="1"/>
  <c r="F5552" i="1" a="1"/>
  <c r="F5680" i="1" a="1"/>
  <c r="F5808" i="1" a="1"/>
  <c r="F5936" i="1" a="1"/>
  <c r="F6064" i="1" a="1"/>
  <c r="F6192" i="1" a="1"/>
  <c r="F6320" i="1" a="1"/>
  <c r="F6448" i="1" a="1"/>
  <c r="F6576" i="1" a="1"/>
  <c r="F6704" i="1" a="1"/>
  <c r="F6832" i="1" a="1"/>
  <c r="F6960" i="1" a="1"/>
  <c r="F7088" i="1" a="1"/>
  <c r="F7216" i="1" a="1"/>
  <c r="F7344" i="1" a="1"/>
  <c r="F4336" i="1" a="1"/>
  <c r="F4930" i="1" a="1"/>
  <c r="F5237" i="1" a="1"/>
  <c r="F5539" i="1" a="1"/>
  <c r="F5667" i="1" a="1"/>
  <c r="F5795" i="1" a="1"/>
  <c r="F5923" i="1" a="1"/>
  <c r="F6051" i="1" a="1"/>
  <c r="F6179" i="1" a="1"/>
  <c r="F6307" i="1" a="1"/>
  <c r="F6435" i="1" a="1"/>
  <c r="F6563" i="1" a="1"/>
  <c r="F6691" i="1" a="1"/>
  <c r="F6819" i="1" a="1"/>
  <c r="F6947" i="1" a="1"/>
  <c r="F7075" i="1" a="1"/>
  <c r="F5019" i="1" a="1"/>
  <c r="F5368" i="1" a="1"/>
  <c r="F5457" i="1" a="1"/>
  <c r="F5585" i="1" a="1"/>
  <c r="F5713" i="1" a="1"/>
  <c r="F5841" i="1" a="1"/>
  <c r="F5969" i="1" a="1"/>
  <c r="F6097" i="1" a="1"/>
  <c r="F6225" i="1" a="1"/>
  <c r="F6353" i="1" a="1"/>
  <c r="F6481" i="1" a="1"/>
  <c r="F6609" i="1" a="1"/>
  <c r="F6737" i="1" a="1"/>
  <c r="F6865" i="1" a="1"/>
  <c r="F4715" i="1" a="1"/>
  <c r="F4518" i="1" a="1"/>
  <c r="F4284" i="1" a="1"/>
  <c r="F4826" i="1" a="1"/>
  <c r="F4793" i="1" a="1"/>
  <c r="F4737" i="1" a="1"/>
  <c r="F5173" i="1" a="1"/>
  <c r="F5515" i="1" a="1"/>
  <c r="F5643" i="1" a="1"/>
  <c r="F5771" i="1" a="1"/>
  <c r="F5899" i="1" a="1"/>
  <c r="F6027" i="1" a="1"/>
  <c r="F6155" i="1" a="1"/>
  <c r="F6283" i="1" a="1"/>
  <c r="F6411" i="1" a="1"/>
  <c r="F6539" i="1" a="1"/>
  <c r="F6667" i="1" a="1"/>
  <c r="F6795" i="1" a="1"/>
  <c r="F6923" i="1" a="1"/>
  <c r="F5453" i="1" a="1"/>
  <c r="F5682" i="1" a="1"/>
  <c r="F5938" i="1" a="1"/>
  <c r="F6194" i="1" a="1"/>
  <c r="F6450" i="1" a="1"/>
  <c r="F6706" i="1" a="1"/>
  <c r="F6957" i="1" a="1"/>
  <c r="F7131" i="1" a="1"/>
  <c r="F7267" i="1" a="1"/>
  <c r="F7413" i="1" a="1"/>
  <c r="F7555" i="1" a="1"/>
  <c r="F7683" i="1" a="1"/>
  <c r="F7811" i="1" a="1"/>
  <c r="F7939" i="1" a="1"/>
  <c r="F8003" i="1" a="1"/>
  <c r="F8067" i="1" a="1"/>
  <c r="F8131" i="1" a="1"/>
  <c r="F8195" i="1" a="1"/>
  <c r="F8259" i="1" a="1"/>
  <c r="F8323" i="1" a="1"/>
  <c r="F8387" i="1" a="1"/>
  <c r="F8451" i="1" a="1"/>
  <c r="F8515" i="1" a="1"/>
  <c r="F8579" i="1" a="1"/>
  <c r="F8643" i="1" a="1"/>
  <c r="F5509" i="1" a="1"/>
  <c r="F5765" i="1" a="1"/>
  <c r="F6021" i="1" a="1"/>
  <c r="F6277" i="1" a="1"/>
  <c r="F6533" i="1" a="1"/>
  <c r="F6789" i="1" a="1"/>
  <c r="F7007" i="1" a="1"/>
  <c r="F7168" i="1" a="1"/>
  <c r="F7304" i="1" a="1"/>
  <c r="F7450" i="1" a="1"/>
  <c r="F7574" i="1" a="1"/>
  <c r="F7702" i="1" a="1"/>
  <c r="F7830" i="1" a="1"/>
  <c r="F5099" i="1" a="1"/>
  <c r="F5482" i="1" a="1"/>
  <c r="F5738" i="1" a="1"/>
  <c r="F5994" i="1" a="1"/>
  <c r="F6250" i="1" a="1"/>
  <c r="F6506" i="1" a="1"/>
  <c r="F6762" i="1" a="1"/>
  <c r="F6989" i="1" a="1"/>
  <c r="F7153" i="1" a="1"/>
  <c r="F7315" i="1" a="1"/>
  <c r="F7460" i="1" a="1"/>
  <c r="F5063" i="1" a="1"/>
  <c r="F5604" i="1" a="1"/>
  <c r="F5860" i="1" a="1"/>
  <c r="F5210" i="1" a="1"/>
  <c r="F5559" i="1" a="1"/>
  <c r="F5815" i="1" a="1"/>
  <c r="F6071" i="1" a="1"/>
  <c r="F5468" i="1" a="1"/>
  <c r="F5724" i="1" a="1"/>
  <c r="F5980" i="1" a="1"/>
  <c r="F5356" i="1" a="1"/>
  <c r="F5578" i="1" a="1"/>
  <c r="F5834" i="1" a="1"/>
  <c r="F6090" i="1" a="1"/>
  <c r="F5572" i="1" a="1"/>
  <c r="F5828" i="1" a="1"/>
  <c r="F6084" i="1" a="1"/>
  <c r="F6340" i="1" a="1"/>
  <c r="F6596" i="1" a="1"/>
  <c r="F6852" i="1" a="1"/>
  <c r="F7041" i="1" a="1"/>
  <c r="F7182" i="1" a="1"/>
  <c r="F7339" i="1" a="1"/>
  <c r="F7481" i="1" a="1"/>
  <c r="F7609" i="1" a="1"/>
  <c r="F6363" i="1" a="1"/>
  <c r="F6875" i="1" a="1"/>
  <c r="F7211" i="1" a="1"/>
  <c r="F7479" i="1" a="1"/>
  <c r="F7696" i="1" a="1"/>
  <c r="F7873" i="1" a="1"/>
  <c r="F8128" i="1" a="1"/>
  <c r="F8297" i="1" a="1"/>
  <c r="F8466" i="1" a="1"/>
  <c r="F8640" i="1" a="1"/>
  <c r="F8719" i="1" a="1"/>
  <c r="F8783" i="1" a="1"/>
  <c r="F8847" i="1" a="1"/>
  <c r="F8911" i="1" a="1"/>
  <c r="F8975" i="1" a="1"/>
  <c r="F9039" i="1" a="1"/>
  <c r="F9103" i="1" a="1"/>
  <c r="F9167" i="1" a="1"/>
  <c r="F9231" i="1" a="1"/>
  <c r="F9295" i="1" a="1"/>
  <c r="F9359" i="1" a="1"/>
  <c r="F9423" i="1" a="1"/>
  <c r="F9487" i="1" a="1"/>
  <c r="F9551" i="1" a="1"/>
  <c r="F9615" i="1" a="1"/>
  <c r="F9679" i="1" a="1"/>
  <c r="F9743" i="1" a="1"/>
  <c r="F9807" i="1" a="1"/>
  <c r="F9871" i="1" a="1"/>
  <c r="F9935" i="1" a="1"/>
  <c r="F9999" i="1" a="1"/>
  <c r="F10063" i="1" a="1"/>
  <c r="F10127" i="1" a="1"/>
  <c r="F10191" i="1" a="1"/>
  <c r="F10255" i="1" a="1"/>
  <c r="F10319" i="1" a="1"/>
  <c r="F6674" i="1" a="1"/>
  <c r="F7086" i="1" a="1"/>
  <c r="F7379" i="1" a="1"/>
  <c r="F7650" i="1" a="1"/>
  <c r="F7813" i="1" a="1"/>
  <c r="F7962" i="1" a="1"/>
  <c r="F8060" i="1" a="1"/>
  <c r="F8229" i="1" a="1"/>
  <c r="F8398" i="1" a="1"/>
  <c r="F8572" i="1" a="1"/>
  <c r="F6419" i="1" a="1"/>
  <c r="F6930" i="1" a="1"/>
  <c r="F7244" i="1" a="1"/>
  <c r="F7480" i="1" a="1"/>
  <c r="F7686" i="1" a="1"/>
  <c r="F7863" i="1" a="1"/>
  <c r="F8129" i="1" a="1"/>
  <c r="F8298" i="1" a="1"/>
  <c r="F8472" i="1" a="1"/>
  <c r="F8641" i="1" a="1"/>
  <c r="F8720" i="1" a="1"/>
  <c r="F8784" i="1" a="1"/>
  <c r="F8848" i="1" a="1"/>
  <c r="F8912" i="1" a="1"/>
  <c r="F8976" i="1" a="1"/>
  <c r="F9040" i="1" a="1"/>
  <c r="F9104" i="1" a="1"/>
  <c r="F9168" i="1" a="1"/>
  <c r="F6273" i="1" a="1"/>
  <c r="F6785" i="1" a="1"/>
  <c r="F7192" i="1" a="1"/>
  <c r="F7453" i="1" a="1"/>
  <c r="F6427" i="1" a="1"/>
  <c r="F6935" i="1" a="1"/>
  <c r="F7279" i="1" a="1"/>
  <c r="F7566" i="1" a="1"/>
  <c r="F6592" i="1" a="1"/>
  <c r="F7045" i="1" a="1"/>
  <c r="F7342" i="1" a="1"/>
  <c r="F6227" i="1" a="1"/>
  <c r="F6739" i="1" a="1"/>
  <c r="F7134" i="1" a="1"/>
  <c r="F7437" i="1" a="1"/>
  <c r="F6392" i="1" a="1"/>
  <c r="F6904" i="1" a="1"/>
  <c r="F7197" i="1" a="1"/>
  <c r="F7485" i="1" a="1"/>
  <c r="F7714" i="1" a="1"/>
  <c r="F7891" i="1" a="1"/>
  <c r="F7998" i="1" a="1"/>
  <c r="F8132" i="1" a="1"/>
  <c r="F8301" i="1" a="1"/>
  <c r="F8470" i="1" a="1"/>
  <c r="F8644" i="1" a="1"/>
  <c r="F7869" i="1" a="1"/>
  <c r="F8102" i="1" a="1"/>
  <c r="F8468" i="1" a="1"/>
  <c r="F9282" i="1" a="1"/>
  <c r="F9449" i="1" a="1"/>
  <c r="F9616" i="1" a="1"/>
  <c r="F9748" i="1" a="1"/>
  <c r="F9833" i="1" a="1"/>
  <c r="F9918" i="1" a="1"/>
  <c r="F10004" i="1" a="1"/>
  <c r="F10089" i="1" a="1"/>
  <c r="F10174" i="1" a="1"/>
  <c r="F10260" i="1" a="1"/>
  <c r="F10345" i="1" a="1"/>
  <c r="F10409" i="1" a="1"/>
  <c r="F10473" i="1" a="1"/>
  <c r="F10537" i="1" a="1"/>
  <c r="F10601" i="1" a="1"/>
  <c r="F10665" i="1" a="1"/>
  <c r="F10729" i="1" a="1"/>
  <c r="F10793" i="1" a="1"/>
  <c r="F10857" i="1" a="1"/>
  <c r="F10921" i="1" a="1"/>
  <c r="F10985" i="1" a="1"/>
  <c r="F11049" i="1" a="1"/>
  <c r="F11113" i="1" a="1"/>
  <c r="F11177" i="1" a="1"/>
  <c r="F11241" i="1" a="1"/>
  <c r="F11305" i="1" a="1"/>
  <c r="F11369" i="1" a="1"/>
  <c r="F11433" i="1" a="1"/>
  <c r="F11497" i="1" a="1"/>
  <c r="F11561" i="1" a="1"/>
  <c r="F11625" i="1" a="1"/>
  <c r="F7586" i="1" a="1"/>
  <c r="F8048" i="1" a="1"/>
  <c r="F8377" i="1" a="1"/>
  <c r="F8685" i="1" a="1"/>
  <c r="F8813" i="1" a="1"/>
  <c r="F8941" i="1" a="1"/>
  <c r="F9069" i="1" a="1"/>
  <c r="F9197" i="1" a="1"/>
  <c r="F9366" i="1" a="1"/>
  <c r="F9533" i="1" a="1"/>
  <c r="F9700" i="1" a="1"/>
  <c r="F7859" i="1" a="1"/>
  <c r="F8140" i="1" a="1"/>
  <c r="F8469" i="1" a="1"/>
  <c r="F9290" i="1" a="1"/>
  <c r="F9457" i="1" a="1"/>
  <c r="F9624" i="1" a="1"/>
  <c r="F9754" i="1" a="1"/>
  <c r="F9840" i="1" a="1"/>
  <c r="F9925" i="1" a="1"/>
  <c r="F10010" i="1" a="1"/>
  <c r="F10096" i="1" a="1"/>
  <c r="F10181" i="1" a="1"/>
  <c r="F10266" i="1" a="1"/>
  <c r="G4815" i="1" a="1"/>
  <c r="G9065" i="1" a="1"/>
  <c r="G7832" i="1" a="1"/>
  <c r="G10331" i="1" a="1"/>
  <c r="G11813" i="1" a="1"/>
  <c r="G12837" i="1" a="1"/>
  <c r="G10663" i="1" a="1"/>
  <c r="G11553" i="1" a="1"/>
  <c r="G9180" i="1" a="1"/>
  <c r="G11375" i="1" a="1"/>
  <c r="G8627" i="1" a="1"/>
  <c r="G11039" i="1" a="1"/>
  <c r="G10645" i="1" a="1"/>
  <c r="G12258" i="1" a="1"/>
  <c r="G13386" i="1" a="1"/>
  <c r="G10427" i="1" a="1"/>
  <c r="G12094" i="1" a="1"/>
  <c r="G9280" i="1" a="1"/>
  <c r="G11784" i="1" a="1"/>
  <c r="G9291" i="1" a="1"/>
  <c r="G9522" i="1" a="1"/>
  <c r="G11628" i="1" a="1"/>
  <c r="G10927" i="1" a="1"/>
  <c r="G13230" i="1" a="1"/>
  <c r="G14277" i="1" a="1"/>
  <c r="G12036" i="1" a="1"/>
  <c r="G13712" i="1" a="1"/>
  <c r="G14917" i="1" a="1"/>
  <c r="G13192" i="1" a="1"/>
  <c r="G11303" i="1" a="1"/>
  <c r="G11920" i="1" a="1"/>
  <c r="G12030" i="1" a="1"/>
  <c r="G12153" i="1" a="1"/>
  <c r="G12340" i="1" a="1"/>
  <c r="G13794" i="1" a="1"/>
  <c r="G14552" i="1" a="1"/>
  <c r="G14599" i="1" a="1"/>
  <c r="G14926" i="1" a="1"/>
  <c r="G14243" i="1" a="1"/>
  <c r="G14378" i="1" a="1"/>
  <c r="G13380" i="1" a="1"/>
  <c r="G13374" i="1" a="1"/>
  <c r="G14870" i="1" a="1"/>
  <c r="F244" i="1" a="1"/>
  <c r="F300" i="1" a="1"/>
  <c r="F245" i="1" a="1"/>
  <c r="F325" i="1" a="1"/>
  <c r="F315" i="1" a="1"/>
  <c r="F1445" i="1" a="1"/>
  <c r="F832" i="1" a="1"/>
  <c r="F709" i="1" a="1"/>
  <c r="F1454" i="1" a="1"/>
  <c r="F2081" i="1" a="1"/>
  <c r="F1382" i="1" a="1"/>
  <c r="F1056" i="1" a="1"/>
  <c r="F1786" i="1" a="1"/>
  <c r="F1164" i="1" a="1"/>
  <c r="F2442" i="1" a="1"/>
  <c r="F3050" i="1" a="1"/>
  <c r="F1204" i="1" a="1"/>
  <c r="F2687" i="1" a="1"/>
  <c r="F2152" i="1" a="1"/>
  <c r="F2382" i="1" a="1"/>
  <c r="F2564" i="1" a="1"/>
  <c r="F2302" i="1" a="1"/>
  <c r="F3204" i="1" a="1"/>
  <c r="F2622" i="1" a="1"/>
  <c r="F2158" i="1" a="1"/>
  <c r="F2362" i="1" a="1"/>
  <c r="F1691" i="1" a="1"/>
  <c r="F2559" i="1" a="1"/>
  <c r="F2833" i="1" a="1"/>
  <c r="F2992" i="1" a="1"/>
  <c r="F3189" i="1" a="1"/>
  <c r="F3315" i="1" a="1"/>
  <c r="F3443" i="1" a="1"/>
  <c r="F3571" i="1" a="1"/>
  <c r="F3699" i="1" a="1"/>
  <c r="F3827" i="1" a="1"/>
  <c r="F3955" i="1" a="1"/>
  <c r="F4025" i="1" a="1"/>
  <c r="F4089" i="1" a="1"/>
  <c r="F4153" i="1" a="1"/>
  <c r="F4217" i="1" a="1"/>
  <c r="F4281" i="1" a="1"/>
  <c r="F4345" i="1" a="1"/>
  <c r="F4409" i="1" a="1"/>
  <c r="F4473" i="1" a="1"/>
  <c r="F2413" i="1" a="1"/>
  <c r="F2932" i="1" a="1"/>
  <c r="F3143" i="1" a="1"/>
  <c r="F3293" i="1" a="1"/>
  <c r="F3421" i="1" a="1"/>
  <c r="F3549" i="1" a="1"/>
  <c r="F3677" i="1" a="1"/>
  <c r="F3805" i="1" a="1"/>
  <c r="F3933" i="1" a="1"/>
  <c r="F2276" i="1" a="1"/>
  <c r="F2696" i="1" a="1"/>
  <c r="F2864" i="1" a="1"/>
  <c r="F3055" i="1" a="1"/>
  <c r="F3220" i="1" a="1"/>
  <c r="F3348" i="1" a="1"/>
  <c r="F3476" i="1" a="1"/>
  <c r="F3604" i="1" a="1"/>
  <c r="F3732" i="1" a="1"/>
  <c r="F3860" i="1" a="1"/>
  <c r="F3978" i="1" a="1"/>
  <c r="F4042" i="1" a="1"/>
  <c r="F4106" i="1" a="1"/>
  <c r="F1259" i="1" a="1"/>
  <c r="F1351" i="1" a="1"/>
  <c r="F2624" i="1" a="1"/>
  <c r="F3004" i="1" a="1"/>
  <c r="F3214" i="1" a="1"/>
  <c r="F3342" i="1" a="1"/>
  <c r="F3470" i="1" a="1"/>
  <c r="F3598" i="1" a="1"/>
  <c r="F3726" i="1" a="1"/>
  <c r="F3854" i="1" a="1"/>
  <c r="F2349" i="1" a="1"/>
  <c r="F3161" i="1" a="1"/>
  <c r="F3423" i="1" a="1"/>
  <c r="F3679" i="1" a="1"/>
  <c r="F3935" i="1" a="1"/>
  <c r="F4500" i="1" a="1"/>
  <c r="F4564" i="1" a="1"/>
  <c r="F4628" i="1" a="1"/>
  <c r="F4692" i="1" a="1"/>
  <c r="F4756" i="1" a="1"/>
  <c r="F4820" i="1" a="1"/>
  <c r="F4884" i="1" a="1"/>
  <c r="F4948" i="1" a="1"/>
  <c r="F5012" i="1" a="1"/>
  <c r="F5076" i="1" a="1"/>
  <c r="F5140" i="1" a="1"/>
  <c r="F5204" i="1" a="1"/>
  <c r="F5268" i="1" a="1"/>
  <c r="F2032" i="1" a="1"/>
  <c r="F2847" i="1" a="1"/>
  <c r="F3241" i="1" a="1"/>
  <c r="F3497" i="1" a="1"/>
  <c r="F3753" i="1" a="1"/>
  <c r="F3980" i="1" a="1"/>
  <c r="F4108" i="1" a="1"/>
  <c r="F4228" i="1" a="1"/>
  <c r="F4314" i="1" a="1"/>
  <c r="F4415" i="1" a="1"/>
  <c r="F2741" i="1" a="1"/>
  <c r="F3262" i="1" a="1"/>
  <c r="F3518" i="1" a="1"/>
  <c r="F3774" i="1" a="1"/>
  <c r="F4388" i="1" a="1"/>
  <c r="F2513" i="1" a="1"/>
  <c r="F2895" i="1" a="1"/>
  <c r="F3031" i="1" a="1"/>
  <c r="F2796" i="1" a="1"/>
  <c r="F2708" i="1" a="1"/>
  <c r="F2733" i="1" a="1"/>
  <c r="F3001" i="1" a="1"/>
  <c r="F3377" i="1" a="1"/>
  <c r="F3633" i="1" a="1"/>
  <c r="F3889" i="1" a="1"/>
  <c r="F3510" i="1" a="1"/>
  <c r="F4000" i="1" a="1"/>
  <c r="F4307" i="1" a="1"/>
  <c r="F4503" i="1" a="1"/>
  <c r="F4589" i="1" a="1"/>
  <c r="F4674" i="1" a="1"/>
  <c r="F4759" i="1" a="1"/>
  <c r="F4893" i="1" a="1"/>
  <c r="F5062" i="1" a="1"/>
  <c r="F5231" i="1" a="1"/>
  <c r="F5355" i="1" a="1"/>
  <c r="F3492" i="1" a="1"/>
  <c r="F3962" i="1" a="1"/>
  <c r="F4258" i="1" a="1"/>
  <c r="F2985" i="1" a="1"/>
  <c r="F3208" i="1" a="1"/>
  <c r="F3720" i="1" a="1"/>
  <c r="F4160" i="1" a="1"/>
  <c r="F4395" i="1" a="1"/>
  <c r="F4538" i="1" a="1"/>
  <c r="F4623" i="1" a="1"/>
  <c r="F4709" i="1" a="1"/>
  <c r="F4794" i="1" a="1"/>
  <c r="F4959" i="1" a="1"/>
  <c r="F3009" i="1" a="1"/>
  <c r="F3436" i="1" a="1"/>
  <c r="F3975" i="1" a="1"/>
  <c r="F4256" i="1" a="1"/>
  <c r="F3410" i="1" a="1"/>
  <c r="F4270" i="1" a="1"/>
  <c r="F4769" i="1" a="1"/>
  <c r="F5029" i="1" a="1"/>
  <c r="F5217" i="1" a="1"/>
  <c r="F3486" i="1" a="1"/>
  <c r="F4272" i="1" a="1"/>
  <c r="F4611" i="1" a="1"/>
  <c r="F4871" i="1" a="1"/>
  <c r="F5087" i="1" a="1"/>
  <c r="F5291" i="1" a="1"/>
  <c r="F5399" i="1" a="1"/>
  <c r="F3349" i="1" a="1"/>
  <c r="F4208" i="1" a="1"/>
  <c r="F4558" i="1" a="1"/>
  <c r="F4835" i="1" a="1"/>
  <c r="F5067" i="1" a="1"/>
  <c r="F5255" i="1" a="1"/>
  <c r="F3756" i="1" a="1"/>
  <c r="F3684" i="1" a="1"/>
  <c r="F3614" i="1" a="1"/>
  <c r="F3550" i="1" a="1"/>
  <c r="F3555" i="1" a="1"/>
  <c r="F4268" i="1" a="1"/>
  <c r="F4821" i="1" a="1"/>
  <c r="F5065" i="1" a="1"/>
  <c r="F5253" i="1" a="1"/>
  <c r="F4263" i="1" a="1"/>
  <c r="F4917" i="1" a="1"/>
  <c r="F5278" i="1" a="1"/>
  <c r="F5440" i="1" a="1"/>
  <c r="F5561" i="1" a="1"/>
  <c r="F5689" i="1" a="1"/>
  <c r="F5817" i="1" a="1"/>
  <c r="F5945" i="1" a="1"/>
  <c r="F6073" i="1" a="1"/>
  <c r="F6201" i="1" a="1"/>
  <c r="F6329" i="1" a="1"/>
  <c r="F6457" i="1" a="1"/>
  <c r="F6585" i="1" a="1"/>
  <c r="F6713" i="1" a="1"/>
  <c r="F6841" i="1" a="1"/>
  <c r="F6969" i="1" a="1"/>
  <c r="F7097" i="1" a="1"/>
  <c r="F7225" i="1" a="1"/>
  <c r="F7353" i="1" a="1"/>
  <c r="F4370" i="1" a="1"/>
  <c r="F4942" i="1" a="1"/>
  <c r="F5247" i="1" a="1"/>
  <c r="F5548" i="1" a="1"/>
  <c r="F5676" i="1" a="1"/>
  <c r="F5804" i="1" a="1"/>
  <c r="F5932" i="1" a="1"/>
  <c r="F6060" i="1" a="1"/>
  <c r="F6188" i="1" a="1"/>
  <c r="F6316" i="1" a="1"/>
  <c r="F6444" i="1" a="1"/>
  <c r="F6572" i="1" a="1"/>
  <c r="F6700" i="1" a="1"/>
  <c r="F6828" i="1" a="1"/>
  <c r="F6956" i="1" a="1"/>
  <c r="F4278" i="1" a="1"/>
  <c r="F5031" i="1" a="1"/>
  <c r="F5376" i="1" a="1"/>
  <c r="F5466" i="1" a="1"/>
  <c r="F5594" i="1" a="1"/>
  <c r="F5722" i="1" a="1"/>
  <c r="F5850" i="1" a="1"/>
  <c r="F5978" i="1" a="1"/>
  <c r="F6106" i="1" a="1"/>
  <c r="F6234" i="1" a="1"/>
  <c r="F6362" i="1" a="1"/>
  <c r="F6490" i="1" a="1"/>
  <c r="F6618" i="1" a="1"/>
  <c r="F6746" i="1" a="1"/>
  <c r="F6874" i="1" a="1"/>
  <c r="F4758" i="1" a="1"/>
  <c r="F4539" i="1" a="1"/>
  <c r="F4318" i="1" a="1"/>
  <c r="F4875" i="1" a="1"/>
  <c r="F4818" i="1" a="1"/>
  <c r="F4779" i="1" a="1"/>
  <c r="F5183" i="1" a="1"/>
  <c r="F5524" i="1" a="1"/>
  <c r="F5652" i="1" a="1"/>
  <c r="F5780" i="1" a="1"/>
  <c r="F5908" i="1" a="1"/>
  <c r="F6036" i="1" a="1"/>
  <c r="F6164" i="1" a="1"/>
  <c r="F6292" i="1" a="1"/>
  <c r="F6420" i="1" a="1"/>
  <c r="F6548" i="1" a="1"/>
  <c r="F6676" i="1" a="1"/>
  <c r="F6804" i="1" a="1"/>
  <c r="F4983" i="1" a="1"/>
  <c r="F5463" i="1" a="1"/>
  <c r="F5719" i="1" a="1"/>
  <c r="F5975" i="1" a="1"/>
  <c r="F6231" i="1" a="1"/>
  <c r="F6487" i="1" a="1"/>
  <c r="F6743" i="1" a="1"/>
  <c r="F6963" i="1" a="1"/>
  <c r="F7136" i="1" a="1"/>
  <c r="F7272" i="1" a="1"/>
  <c r="F7418" i="1" a="1"/>
  <c r="F7564" i="1" a="1"/>
  <c r="F7692" i="1" a="1"/>
  <c r="F7820" i="1" a="1"/>
  <c r="F7943" i="1" a="1"/>
  <c r="F8007" i="1" a="1"/>
  <c r="F8071" i="1" a="1"/>
  <c r="F8135" i="1" a="1"/>
  <c r="F8199" i="1" a="1"/>
  <c r="F8263" i="1" a="1"/>
  <c r="F8327" i="1" a="1"/>
  <c r="F8391" i="1" a="1"/>
  <c r="F8455" i="1" a="1"/>
  <c r="F8519" i="1" a="1"/>
  <c r="F8583" i="1" a="1"/>
  <c r="F8647" i="1" a="1"/>
  <c r="F5518" i="1" a="1"/>
  <c r="F5774" i="1" a="1"/>
  <c r="F6030" i="1" a="1"/>
  <c r="F6286" i="1" a="1"/>
  <c r="F6542" i="1" a="1"/>
  <c r="F6798" i="1" a="1"/>
  <c r="F7018" i="1" a="1"/>
  <c r="F7173" i="1" a="1"/>
  <c r="F7309" i="1" a="1"/>
  <c r="F7455" i="1" a="1"/>
  <c r="F7583" i="1" a="1"/>
  <c r="F7711" i="1" a="1"/>
  <c r="F7839" i="1" a="1"/>
  <c r="F5141" i="1" a="1"/>
  <c r="F5519" i="1" a="1"/>
  <c r="F5775" i="1" a="1"/>
  <c r="F6031" i="1" a="1"/>
  <c r="F6287" i="1" a="1"/>
  <c r="F6543" i="1" a="1"/>
  <c r="F6799" i="1" a="1"/>
  <c r="F6995" i="1" a="1"/>
  <c r="F7158" i="1" a="1"/>
  <c r="F7320" i="1" a="1"/>
  <c r="F7469" i="1" a="1"/>
  <c r="F5105" i="1" a="1"/>
  <c r="F5613" i="1" a="1"/>
  <c r="F5869" i="1" a="1"/>
  <c r="F5273" i="1" a="1"/>
  <c r="F5568" i="1" a="1"/>
  <c r="F5824" i="1" a="1"/>
  <c r="F6080" i="1" a="1"/>
  <c r="F5477" i="1" a="1"/>
  <c r="F5733" i="1" a="1"/>
  <c r="F5989" i="1" a="1"/>
  <c r="F5372" i="1" a="1"/>
  <c r="F5615" i="1" a="1"/>
  <c r="F5871" i="1" a="1"/>
  <c r="F6127" i="1" a="1"/>
  <c r="F5581" i="1" a="1"/>
  <c r="F5837" i="1" a="1"/>
  <c r="F6093" i="1" a="1"/>
  <c r="F6349" i="1" a="1"/>
  <c r="F6605" i="1" a="1"/>
  <c r="F6861" i="1" a="1"/>
  <c r="F7048" i="1" a="1"/>
  <c r="F7198" i="1" a="1"/>
  <c r="F7355" i="1" a="1"/>
  <c r="F7486" i="1" a="1"/>
  <c r="F7614" i="1" a="1"/>
  <c r="F6381" i="1" a="1"/>
  <c r="F6893" i="1" a="1"/>
  <c r="F7232" i="1" a="1"/>
  <c r="F7488" i="1" a="1"/>
  <c r="F7703" i="1" a="1"/>
  <c r="F7879" i="1" a="1"/>
  <c r="F8137" i="1" a="1"/>
  <c r="F8306" i="1" a="1"/>
  <c r="F8480" i="1" a="1"/>
  <c r="F8649" i="1" a="1"/>
  <c r="F8723" i="1" a="1"/>
  <c r="F8787" i="1" a="1"/>
  <c r="F8851" i="1" a="1"/>
  <c r="F8915" i="1" a="1"/>
  <c r="F8979" i="1" a="1"/>
  <c r="F9043" i="1" a="1"/>
  <c r="F9107" i="1" a="1"/>
  <c r="F9171" i="1" a="1"/>
  <c r="F9235" i="1" a="1"/>
  <c r="F9299" i="1" a="1"/>
  <c r="F9363" i="1" a="1"/>
  <c r="F9427" i="1" a="1"/>
  <c r="F9491" i="1" a="1"/>
  <c r="F9555" i="1" a="1"/>
  <c r="F9619" i="1" a="1"/>
  <c r="F9683" i="1" a="1"/>
  <c r="F9747" i="1" a="1"/>
  <c r="F9811" i="1" a="1"/>
  <c r="F9875" i="1" a="1"/>
  <c r="F9939" i="1" a="1"/>
  <c r="F10003" i="1" a="1"/>
  <c r="F10067" i="1" a="1"/>
  <c r="F10131" i="1" a="1"/>
  <c r="F10195" i="1" a="1"/>
  <c r="F10259" i="1" a="1"/>
  <c r="F6199" i="1" a="1"/>
  <c r="F6711" i="1" a="1"/>
  <c r="F7128" i="1" a="1"/>
  <c r="F7389" i="1" a="1"/>
  <c r="F7658" i="1" a="1"/>
  <c r="F7819" i="1" a="1"/>
  <c r="F7968" i="1" a="1"/>
  <c r="F8069" i="1" a="1"/>
  <c r="F8238" i="1" a="1"/>
  <c r="F8412" i="1" a="1"/>
  <c r="F8581" i="1" a="1"/>
  <c r="F6437" i="1" a="1"/>
  <c r="F6943" i="1" a="1"/>
  <c r="F7254" i="1" a="1"/>
  <c r="F7489" i="1" a="1"/>
  <c r="F7704" i="1" a="1"/>
  <c r="F7881" i="1" a="1"/>
  <c r="F8138" i="1" a="1"/>
  <c r="F8312" i="1" a="1"/>
  <c r="F8481" i="1" a="1"/>
  <c r="F8650" i="1" a="1"/>
  <c r="F8724" i="1" a="1"/>
  <c r="F8788" i="1" a="1"/>
  <c r="F8852" i="1" a="1"/>
  <c r="F8916" i="1" a="1"/>
  <c r="F8980" i="1" a="1"/>
  <c r="F9044" i="1" a="1"/>
  <c r="F9108" i="1" a="1"/>
  <c r="F9172" i="1" a="1"/>
  <c r="F6328" i="1" a="1"/>
  <c r="F6840" i="1" a="1"/>
  <c r="F7203" i="1" a="1"/>
  <c r="F7490" i="1" a="1"/>
  <c r="F6445" i="1" a="1"/>
  <c r="F6959" i="1" a="1"/>
  <c r="F7300" i="1" a="1"/>
  <c r="F7572" i="1" a="1"/>
  <c r="F6610" i="1" a="1"/>
  <c r="F7069" i="1" a="1"/>
  <c r="F7384" i="1" a="1"/>
  <c r="F6245" i="1" a="1"/>
  <c r="F6757" i="1" a="1"/>
  <c r="F7155" i="1" a="1"/>
  <c r="F7457" i="1" a="1"/>
  <c r="F6410" i="1" a="1"/>
  <c r="F6922" i="1" a="1"/>
  <c r="F7208" i="1" a="1"/>
  <c r="F7522" i="1" a="1"/>
  <c r="F7732" i="1" a="1"/>
  <c r="F7909" i="1" a="1"/>
  <c r="F8004" i="1" a="1"/>
  <c r="F8141" i="1" a="1"/>
  <c r="F8310" i="1" a="1"/>
  <c r="F8484" i="1" a="1"/>
  <c r="F8653" i="1" a="1"/>
  <c r="F7882" i="1" a="1"/>
  <c r="F8148" i="1" a="1"/>
  <c r="F8477" i="1" a="1"/>
  <c r="F9289" i="1" a="1"/>
  <c r="F9456" i="1" a="1"/>
  <c r="F9634" i="1" a="1"/>
  <c r="F9753" i="1" a="1"/>
  <c r="F9838" i="1" a="1"/>
  <c r="F9924" i="1" a="1"/>
  <c r="F10009" i="1" a="1"/>
  <c r="F10094" i="1" a="1"/>
  <c r="F10180" i="1" a="1"/>
  <c r="F10265" i="1" a="1"/>
  <c r="F10349" i="1" a="1"/>
  <c r="F10413" i="1" a="1"/>
  <c r="F10477" i="1" a="1"/>
  <c r="F10541" i="1" a="1"/>
  <c r="F10605" i="1" a="1"/>
  <c r="F10669" i="1" a="1"/>
  <c r="F10733" i="1" a="1"/>
  <c r="F10797" i="1" a="1"/>
  <c r="F10861" i="1" a="1"/>
  <c r="F10925" i="1" a="1"/>
  <c r="F10989" i="1" a="1"/>
  <c r="F11053" i="1" a="1"/>
  <c r="F11117" i="1" a="1"/>
  <c r="F11181" i="1" a="1"/>
  <c r="F11245" i="1" a="1"/>
  <c r="F11309" i="1" a="1"/>
  <c r="F11373" i="1" a="1"/>
  <c r="F11437" i="1" a="1"/>
  <c r="F11501" i="1" a="1"/>
  <c r="F11565" i="1" a="1"/>
  <c r="F11629" i="1" a="1"/>
  <c r="F7631" i="1" a="1"/>
  <c r="F8057" i="1" a="1"/>
  <c r="F8386" i="1" a="1"/>
  <c r="F8693" i="1" a="1"/>
  <c r="F8821" i="1" a="1"/>
  <c r="F8949" i="1" a="1"/>
  <c r="F9077" i="1" a="1"/>
  <c r="F9205" i="1" a="1"/>
  <c r="F9373" i="1" a="1"/>
  <c r="F9540" i="1" a="1"/>
  <c r="F10324" i="1" a="1"/>
  <c r="F7883" i="1" a="1"/>
  <c r="F8149" i="1" a="1"/>
  <c r="G4836" i="1" a="1"/>
  <c r="G9074" i="1" a="1"/>
  <c r="G7857" i="1" a="1"/>
  <c r="G10335" i="1" a="1"/>
  <c r="G11822" i="1" a="1"/>
  <c r="G12846" i="1" a="1"/>
  <c r="G10669" i="1" a="1"/>
  <c r="G11562" i="1" a="1"/>
  <c r="G9204" i="1" a="1"/>
  <c r="G11380" i="1" a="1"/>
  <c r="G8682" i="1" a="1"/>
  <c r="G11044" i="1" a="1"/>
  <c r="G10655" i="1" a="1"/>
  <c r="G12264" i="1" a="1"/>
  <c r="G13391" i="1" a="1"/>
  <c r="G10441" i="1" a="1"/>
  <c r="G12100" i="1" a="1"/>
  <c r="G9323" i="1" a="1"/>
  <c r="G11802" i="1" a="1"/>
  <c r="G9330" i="1" a="1"/>
  <c r="G9543" i="1" a="1"/>
  <c r="G11634" i="1" a="1"/>
  <c r="G10947" i="1" a="1"/>
  <c r="G13236" i="1" a="1"/>
  <c r="G14285" i="1" a="1"/>
  <c r="G12061" i="1" a="1"/>
  <c r="G13717" i="1" a="1"/>
  <c r="G14921" i="1" a="1"/>
  <c r="G13210" i="1" a="1"/>
  <c r="G11340" i="1" a="1"/>
  <c r="G11931" i="1" a="1"/>
  <c r="G12054" i="1" a="1"/>
  <c r="G12177" i="1" a="1"/>
  <c r="G12351" i="1" a="1"/>
  <c r="G13815" i="1" a="1"/>
  <c r="G14556" i="1" a="1"/>
  <c r="G14607" i="1" a="1"/>
  <c r="G13662" i="1" a="1"/>
  <c r="G14275" i="1" a="1"/>
  <c r="G14386" i="1" a="1"/>
  <c r="G13390" i="1" a="1"/>
  <c r="G13395" i="1" a="1"/>
  <c r="G14895" i="1" a="1"/>
  <c r="F249" i="1" a="1"/>
  <c r="F318" i="1" a="1"/>
  <c r="F274" i="1" a="1"/>
  <c r="F337" i="1" a="1"/>
  <c r="F484" i="1" a="1"/>
  <c r="F1449" i="1" a="1"/>
  <c r="F837" i="1" a="1"/>
  <c r="F715" i="1" a="1"/>
  <c r="F1463" i="1" a="1"/>
  <c r="F2085" i="1" a="1"/>
  <c r="F1391" i="1" a="1"/>
  <c r="F1074" i="1" a="1"/>
  <c r="F1792" i="1" a="1"/>
  <c r="F1201" i="1" a="1"/>
  <c r="F2447" i="1" a="1"/>
  <c r="F3054" i="1" a="1"/>
  <c r="F1278" i="1" a="1"/>
  <c r="F2691" i="1" a="1"/>
  <c r="F2205" i="1" a="1"/>
  <c r="F2414" i="1" a="1"/>
  <c r="F2628" i="1" a="1"/>
  <c r="F2345" i="1" a="1"/>
  <c r="F1850" i="1" a="1"/>
  <c r="F2725" i="1" a="1"/>
  <c r="F2180" i="1" a="1"/>
  <c r="F2399" i="1" a="1"/>
  <c r="F1904" i="1" a="1"/>
  <c r="F2577" i="1" a="1"/>
  <c r="F2841" i="1" a="1"/>
  <c r="F2999" i="1" a="1"/>
  <c r="F3200" i="1" a="1"/>
  <c r="F3324" i="1" a="1"/>
  <c r="F3452" i="1" a="1"/>
  <c r="F3580" i="1" a="1"/>
  <c r="F3708" i="1" a="1"/>
  <c r="F3836" i="1" a="1"/>
  <c r="F3964" i="1" a="1"/>
  <c r="F4029" i="1" a="1"/>
  <c r="F4093" i="1" a="1"/>
  <c r="F4157" i="1" a="1"/>
  <c r="F4221" i="1" a="1"/>
  <c r="F4285" i="1" a="1"/>
  <c r="F4349" i="1" a="1"/>
  <c r="F4413" i="1" a="1"/>
  <c r="F4477" i="1" a="1"/>
  <c r="F2468" i="1" a="1"/>
  <c r="F2956" i="1" a="1"/>
  <c r="F3148" i="1" a="1"/>
  <c r="F3302" i="1" a="1"/>
  <c r="F3430" i="1" a="1"/>
  <c r="F3558" i="1" a="1"/>
  <c r="F3686" i="1" a="1"/>
  <c r="F3814" i="1" a="1"/>
  <c r="F3942" i="1" a="1"/>
  <c r="F2297" i="1" a="1"/>
  <c r="F2729" i="1" a="1"/>
  <c r="F2871" i="1" a="1"/>
  <c r="F3060" i="1" a="1"/>
  <c r="F3225" i="1" a="1"/>
  <c r="F3353" i="1" a="1"/>
  <c r="F3481" i="1" a="1"/>
  <c r="F3609" i="1" a="1"/>
  <c r="F3737" i="1" a="1"/>
  <c r="F3865" i="1" a="1"/>
  <c r="F3982" i="1" a="1"/>
  <c r="F4046" i="1" a="1"/>
  <c r="F4110" i="1" a="1"/>
  <c r="F1434" i="1" a="1"/>
  <c r="F1762" i="1" a="1"/>
  <c r="F2640" i="1" a="1"/>
  <c r="F3027" i="1" a="1"/>
  <c r="F3223" i="1" a="1"/>
  <c r="F3351" i="1" a="1"/>
  <c r="F3479" i="1" a="1"/>
  <c r="F3607" i="1" a="1"/>
  <c r="F3735" i="1" a="1"/>
  <c r="F3863" i="1" a="1"/>
  <c r="F2422" i="1" a="1"/>
  <c r="F3203" i="1" a="1"/>
  <c r="F3432" i="1" a="1"/>
  <c r="F3688" i="1" a="1"/>
  <c r="F3944" i="1" a="1"/>
  <c r="F4504" i="1" a="1"/>
  <c r="F4568" i="1" a="1"/>
  <c r="F4632" i="1" a="1"/>
  <c r="F4696" i="1" a="1"/>
  <c r="F4760" i="1" a="1"/>
  <c r="F4824" i="1" a="1"/>
  <c r="F4888" i="1" a="1"/>
  <c r="F4952" i="1" a="1"/>
  <c r="F5016" i="1" a="1"/>
  <c r="F5080" i="1" a="1"/>
  <c r="F5144" i="1" a="1"/>
  <c r="F5208" i="1" a="1"/>
  <c r="F5272" i="1" a="1"/>
  <c r="F2217" i="1" a="1"/>
  <c r="F2860" i="1" a="1"/>
  <c r="F3250" i="1" a="1"/>
  <c r="F3506" i="1" a="1"/>
  <c r="F3762" i="1" a="1"/>
  <c r="F3988" i="1" a="1"/>
  <c r="F4116" i="1" a="1"/>
  <c r="F4234" i="1" a="1"/>
  <c r="F4319" i="1" a="1"/>
  <c r="F4424" i="1" a="1"/>
  <c r="F2761" i="1" a="1"/>
  <c r="F3271" i="1" a="1"/>
  <c r="F3527" i="1" a="1"/>
  <c r="F3783" i="1" a="1"/>
  <c r="F4402" i="1" a="1"/>
  <c r="F2586" i="1" a="1"/>
  <c r="F2908" i="1" a="1"/>
  <c r="F1984" i="1" a="1"/>
  <c r="F2811" i="1" a="1"/>
  <c r="F2940" i="1" a="1"/>
  <c r="F2753" i="1" a="1"/>
  <c r="F3056" i="1" a="1"/>
  <c r="F3386" i="1" a="1"/>
  <c r="F3642" i="1" a="1"/>
  <c r="F3898" i="1" a="1"/>
  <c r="F3528" i="1" a="1"/>
  <c r="F4015" i="1" a="1"/>
  <c r="F4316" i="1" a="1"/>
  <c r="F4509" i="1" a="1"/>
  <c r="F4594" i="1" a="1"/>
  <c r="F4679" i="1" a="1"/>
  <c r="F4765" i="1" a="1"/>
  <c r="F4902" i="1" a="1"/>
  <c r="F5071" i="1" a="1"/>
  <c r="F5245" i="1" a="1"/>
  <c r="F2935" i="1" a="1"/>
  <c r="F3529" i="1" a="1"/>
  <c r="F3976" i="1" a="1"/>
  <c r="F4267" i="1" a="1"/>
  <c r="F3097" i="1" a="1"/>
  <c r="F3245" i="1" a="1"/>
  <c r="F3757" i="1" a="1"/>
  <c r="F4174" i="1" a="1"/>
  <c r="F4403" i="1" a="1"/>
  <c r="F4543" i="1" a="1"/>
  <c r="F4629" i="1" a="1"/>
  <c r="F4714" i="1" a="1"/>
  <c r="F4799" i="1" a="1"/>
  <c r="F4973" i="1" a="1"/>
  <c r="F3045" i="1" a="1"/>
  <c r="F3473" i="1" a="1"/>
  <c r="F4011" i="1" a="1"/>
  <c r="F4280" i="1" a="1"/>
  <c r="F3483" i="1" a="1"/>
  <c r="F4288" i="1" a="1"/>
  <c r="F4790" i="1" a="1"/>
  <c r="F5034" i="1" a="1"/>
  <c r="F5233" i="1" a="1"/>
  <c r="F3559" i="1" a="1"/>
  <c r="F4306" i="1" a="1"/>
  <c r="F4619" i="1" a="1"/>
  <c r="F4883" i="1" a="1"/>
  <c r="F5129" i="1" a="1"/>
  <c r="F5317" i="1" a="1"/>
  <c r="F5403" i="1" a="1"/>
  <c r="F3422" i="1" a="1"/>
  <c r="F4242" i="1" a="1"/>
  <c r="F4569" i="1" a="1"/>
  <c r="F4866" i="1" a="1"/>
  <c r="F5093" i="1" a="1"/>
  <c r="F5281" i="1" a="1"/>
  <c r="F3793" i="1" a="1"/>
  <c r="F3721" i="1" a="1"/>
  <c r="F3687" i="1" a="1"/>
  <c r="F3623" i="1" a="1"/>
  <c r="F3628" i="1" a="1"/>
  <c r="F4302" i="1" a="1"/>
  <c r="F4827" i="1" a="1"/>
  <c r="F5070" i="1" a="1"/>
  <c r="F5258" i="1" a="1"/>
  <c r="F4296" i="1" a="1"/>
  <c r="F4929" i="1" a="1"/>
  <c r="F5348" i="1" a="1"/>
  <c r="F5445" i="1" a="1"/>
  <c r="F5570" i="1" a="1"/>
  <c r="F5698" i="1" a="1"/>
  <c r="F5826" i="1" a="1"/>
  <c r="F5954" i="1" a="1"/>
  <c r="F6082" i="1" a="1"/>
  <c r="F6210" i="1" a="1"/>
  <c r="F6338" i="1" a="1"/>
  <c r="F6466" i="1" a="1"/>
  <c r="F6594" i="1" a="1"/>
  <c r="F6722" i="1" a="1"/>
  <c r="F6850" i="1" a="1"/>
  <c r="F6978" i="1" a="1"/>
  <c r="F7106" i="1" a="1"/>
  <c r="F7234" i="1" a="1"/>
  <c r="F7362" i="1" a="1"/>
  <c r="F4400" i="1" a="1"/>
  <c r="F4954" i="1" a="1"/>
  <c r="F5289" i="1" a="1"/>
  <c r="F5557" i="1" a="1"/>
  <c r="F5685" i="1" a="1"/>
  <c r="F5813" i="1" a="1"/>
  <c r="F5941" i="1" a="1"/>
  <c r="F6069" i="1" a="1"/>
  <c r="F6197" i="1" a="1"/>
  <c r="F6325" i="1" a="1"/>
  <c r="F6453" i="1" a="1"/>
  <c r="F6581" i="1" a="1"/>
  <c r="F6709" i="1" a="1"/>
  <c r="F6837" i="1" a="1"/>
  <c r="F6965" i="1" a="1"/>
  <c r="F4311" i="1" a="1"/>
  <c r="F5073" i="1" a="1"/>
  <c r="F5382" i="1" a="1"/>
  <c r="F5471" i="1" a="1"/>
  <c r="F5599" i="1" a="1"/>
  <c r="F5727" i="1" a="1"/>
  <c r="F5855" i="1" a="1"/>
  <c r="F5983" i="1" a="1"/>
  <c r="F6111" i="1" a="1"/>
  <c r="F6239" i="1" a="1"/>
  <c r="F6367" i="1" a="1"/>
  <c r="F6495" i="1" a="1"/>
  <c r="F6623" i="1" a="1"/>
  <c r="F6751" i="1" a="1"/>
  <c r="F6879" i="1" a="1"/>
  <c r="F4825" i="1" a="1"/>
  <c r="F4561" i="1" a="1"/>
  <c r="F4386" i="1" a="1"/>
  <c r="F4887" i="1" a="1"/>
  <c r="F4830" i="1" a="1"/>
  <c r="F4843" i="1" a="1"/>
  <c r="F5225" i="1" a="1"/>
  <c r="F5533" i="1" a="1"/>
  <c r="F5661" i="1" a="1"/>
  <c r="F5789" i="1" a="1"/>
  <c r="F5917" i="1" a="1"/>
  <c r="F6045" i="1" a="1"/>
  <c r="F6173" i="1" a="1"/>
  <c r="F6301" i="1" a="1"/>
  <c r="F6429" i="1" a="1"/>
  <c r="F6557" i="1" a="1"/>
  <c r="F6685" i="1" a="1"/>
  <c r="F6813" i="1" a="1"/>
  <c r="F5074" i="1" a="1"/>
  <c r="F5472" i="1" a="1"/>
  <c r="F5728" i="1" a="1"/>
  <c r="F5984" i="1" a="1"/>
  <c r="F6240" i="1" a="1"/>
  <c r="F6496" i="1" a="1"/>
  <c r="F6752" i="1" a="1"/>
  <c r="F6981" i="1" a="1"/>
  <c r="F7141" i="1" a="1"/>
  <c r="F7277" i="1" a="1"/>
  <c r="F7439" i="1" a="1"/>
  <c r="F7573" i="1" a="1"/>
  <c r="F7701" i="1" a="1"/>
  <c r="F7829" i="1" a="1"/>
  <c r="F7947" i="1" a="1"/>
  <c r="F8011" i="1" a="1"/>
  <c r="F8075" i="1" a="1"/>
  <c r="F8139" i="1" a="1"/>
  <c r="F8203" i="1" a="1"/>
  <c r="F8267" i="1" a="1"/>
  <c r="F8331" i="1" a="1"/>
  <c r="F8395" i="1" a="1"/>
  <c r="F8459" i="1" a="1"/>
  <c r="F8523" i="1" a="1"/>
  <c r="F8587" i="1" a="1"/>
  <c r="F8651" i="1" a="1"/>
  <c r="F5555" i="1" a="1"/>
  <c r="F5811" i="1" a="1"/>
  <c r="F6067" i="1" a="1"/>
  <c r="F6323" i="1" a="1"/>
  <c r="F6579" i="1" a="1"/>
  <c r="F6835" i="1" a="1"/>
  <c r="F7025" i="1" a="1"/>
  <c r="F7178" i="1" a="1"/>
  <c r="F7314" i="1" a="1"/>
  <c r="F7464" i="1" a="1"/>
  <c r="F7592" i="1" a="1"/>
  <c r="F7720" i="1" a="1"/>
  <c r="F7848" i="1" a="1"/>
  <c r="F5203" i="1" a="1"/>
  <c r="F5528" i="1" a="1"/>
  <c r="F5784" i="1" a="1"/>
  <c r="F6040" i="1" a="1"/>
  <c r="F6296" i="1" a="1"/>
  <c r="F6552" i="1" a="1"/>
  <c r="F6808" i="1" a="1"/>
  <c r="F7013" i="1" a="1"/>
  <c r="F7179" i="1" a="1"/>
  <c r="F7325" i="1" a="1"/>
  <c r="F7474" i="1" a="1"/>
  <c r="F5230" i="1" a="1"/>
  <c r="F5622" i="1" a="1"/>
  <c r="F5878" i="1" a="1"/>
  <c r="F5334" i="1" a="1"/>
  <c r="F5577" i="1" a="1"/>
  <c r="F5833" i="1" a="1"/>
  <c r="F6089" i="1" a="1"/>
  <c r="F5486" i="1" a="1"/>
  <c r="F5742" i="1" a="1"/>
  <c r="F5998" i="1" a="1"/>
  <c r="F5385" i="1" a="1"/>
  <c r="F5624" i="1" a="1"/>
  <c r="F5880" i="1" a="1"/>
  <c r="F6136" i="1" a="1"/>
  <c r="F5590" i="1" a="1"/>
  <c r="F5846" i="1" a="1"/>
  <c r="F6102" i="1" a="1"/>
  <c r="F6358" i="1" a="1"/>
  <c r="F6614" i="1" a="1"/>
  <c r="F6870" i="1" a="1"/>
  <c r="F7066" i="1" a="1"/>
  <c r="F7219" i="1" a="1"/>
  <c r="F7360" i="1" a="1"/>
  <c r="F7495" i="1" a="1"/>
  <c r="F7623" i="1" a="1"/>
  <c r="F6436" i="1" a="1"/>
  <c r="F6953" i="1" a="1"/>
  <c r="F7242" i="1" a="1"/>
  <c r="F7497" i="1" a="1"/>
  <c r="F7721" i="1" a="1"/>
  <c r="F7886" i="1" a="1"/>
  <c r="F8146" i="1" a="1"/>
  <c r="F8320" i="1" a="1"/>
  <c r="F8489" i="1" a="1"/>
  <c r="F8658" i="1" a="1"/>
  <c r="F8727" i="1" a="1"/>
  <c r="F8791" i="1" a="1"/>
  <c r="F8855" i="1" a="1"/>
  <c r="F8919" i="1" a="1"/>
  <c r="F8983" i="1" a="1"/>
  <c r="F9047" i="1" a="1"/>
  <c r="F9111" i="1" a="1"/>
  <c r="F9175" i="1" a="1"/>
  <c r="F9239" i="1" a="1"/>
  <c r="F9303" i="1" a="1"/>
  <c r="F9367" i="1" a="1"/>
  <c r="F9431" i="1" a="1"/>
  <c r="F9495" i="1" a="1"/>
  <c r="F9559" i="1" a="1"/>
  <c r="F9623" i="1" a="1"/>
  <c r="F9687" i="1" a="1"/>
  <c r="F9751" i="1" a="1"/>
  <c r="F9815" i="1" a="1"/>
  <c r="F9879" i="1" a="1"/>
  <c r="F9943" i="1" a="1"/>
  <c r="F10007" i="1" a="1"/>
  <c r="F10071" i="1" a="1"/>
  <c r="F10135" i="1" a="1"/>
  <c r="F10199" i="1" a="1"/>
  <c r="F10263" i="1" a="1"/>
  <c r="F6217" i="1" a="1"/>
  <c r="F6729" i="1" a="1"/>
  <c r="F7139" i="1" a="1"/>
  <c r="F7400" i="1" a="1"/>
  <c r="F7666" i="1" a="1"/>
  <c r="F7826" i="1" a="1"/>
  <c r="F7973" i="1" a="1"/>
  <c r="F8078" i="1" a="1"/>
  <c r="F8252" i="1" a="1"/>
  <c r="F8421" i="1" a="1"/>
  <c r="F8590" i="1" a="1"/>
  <c r="F6492" i="1" a="1"/>
  <c r="F6954" i="1" a="1"/>
  <c r="F7275" i="1" a="1"/>
  <c r="F7526" i="1" a="1"/>
  <c r="F7710" i="1" a="1"/>
  <c r="F7887" i="1" a="1"/>
  <c r="F8152" i="1" a="1"/>
  <c r="F8321" i="1" a="1"/>
  <c r="F8490" i="1" a="1"/>
  <c r="F8664" i="1" a="1"/>
  <c r="F8728" i="1" a="1"/>
  <c r="F8792" i="1" a="1"/>
  <c r="F8856" i="1" a="1"/>
  <c r="F8920" i="1" a="1"/>
  <c r="F8984" i="1" a="1"/>
  <c r="F9048" i="1" a="1"/>
  <c r="F9112" i="1" a="1"/>
  <c r="F9176" i="1" a="1"/>
  <c r="F6346" i="1" a="1"/>
  <c r="F6858" i="1" a="1"/>
  <c r="F7213" i="1" a="1"/>
  <c r="F7499" i="1" a="1"/>
  <c r="F6500" i="1" a="1"/>
  <c r="F6984" i="1" a="1"/>
  <c r="F7310" i="1" a="1"/>
  <c r="F7580" i="1" a="1"/>
  <c r="F6647" i="1" a="1"/>
  <c r="F7081" i="1" a="1"/>
  <c r="F7395" i="1" a="1"/>
  <c r="F6300" i="1" a="1"/>
  <c r="F6812" i="1" a="1"/>
  <c r="F7165" i="1" a="1"/>
  <c r="F7494" i="1" a="1"/>
  <c r="F6447" i="1" a="1"/>
  <c r="F6949" i="1" a="1"/>
  <c r="F7218" i="1" a="1"/>
  <c r="F7531" i="1" a="1"/>
  <c r="F7739" i="1" a="1"/>
  <c r="F7915" i="1" a="1"/>
  <c r="F8009" i="1" a="1"/>
  <c r="F8150" i="1" a="1"/>
  <c r="F8324" i="1" a="1"/>
  <c r="F8493" i="1" a="1"/>
  <c r="F8662" i="1" a="1"/>
  <c r="F7906" i="1" a="1"/>
  <c r="F8157" i="1" a="1"/>
  <c r="F8486" i="1" a="1"/>
  <c r="F9296" i="1" a="1"/>
  <c r="F9474" i="1" a="1"/>
  <c r="F9641" i="1" a="1"/>
  <c r="F9758" i="1" a="1"/>
  <c r="F9844" i="1" a="1"/>
  <c r="F9929" i="1" a="1"/>
  <c r="F10014" i="1" a="1"/>
  <c r="F10100" i="1" a="1"/>
  <c r="F10185" i="1" a="1"/>
  <c r="F10270" i="1" a="1"/>
  <c r="F10353" i="1" a="1"/>
  <c r="F10417" i="1" a="1"/>
  <c r="F10481" i="1" a="1"/>
  <c r="F10545" i="1" a="1"/>
  <c r="F10609" i="1" a="1"/>
  <c r="F10673" i="1" a="1"/>
  <c r="F10737" i="1" a="1"/>
  <c r="F10801" i="1" a="1"/>
  <c r="F10865" i="1" a="1"/>
  <c r="F10929" i="1" a="1"/>
  <c r="F10993" i="1" a="1"/>
  <c r="F11057" i="1" a="1"/>
  <c r="F11121" i="1" a="1"/>
  <c r="F11185" i="1" a="1"/>
  <c r="F11249" i="1" a="1"/>
  <c r="F11313" i="1" a="1"/>
  <c r="F11377" i="1" a="1"/>
  <c r="F11441" i="1" a="1"/>
  <c r="F11505" i="1" a="1"/>
  <c r="F11569" i="1" a="1"/>
  <c r="F11633" i="1" a="1"/>
  <c r="F7645" i="1" a="1"/>
  <c r="F8066" i="1" a="1"/>
  <c r="F8432" i="1" a="1"/>
  <c r="F8701" i="1" a="1"/>
  <c r="F8829" i="1" a="1"/>
  <c r="F8957" i="1" a="1"/>
  <c r="F9085" i="1" a="1"/>
  <c r="F9213" i="1" a="1"/>
  <c r="F9380" i="1" a="1"/>
  <c r="F9558" i="1" a="1"/>
  <c r="G6722" i="1" a="1"/>
  <c r="G9863" i="1" a="1"/>
  <c r="G12271" i="1" a="1"/>
  <c r="G14413" i="1" a="1"/>
  <c r="G12454" i="1" a="1"/>
  <c r="G13077" i="1" a="1"/>
  <c r="F1509" i="1" a="1"/>
  <c r="F1567" i="1" a="1"/>
  <c r="F2418" i="1" a="1"/>
  <c r="F3017" i="1" a="1"/>
  <c r="F4033" i="1" a="1"/>
  <c r="F2486" i="1" a="1"/>
  <c r="F3951" i="1" a="1"/>
  <c r="F3618" i="1" a="1"/>
  <c r="F2676" i="1" a="1"/>
  <c r="F2459" i="1" a="1"/>
  <c r="F4700" i="1" a="1"/>
  <c r="F5212" i="1" a="1"/>
  <c r="F4124" i="1" a="1"/>
  <c r="F4411" i="1" a="1"/>
  <c r="F3395" i="1" a="1"/>
  <c r="F4685" i="1" a="1"/>
  <c r="F4291" i="1" a="1"/>
  <c r="F4719" i="1" a="1"/>
  <c r="F4322" i="1" a="1"/>
  <c r="F5134" i="1" a="1"/>
  <c r="F5297" i="1" a="1"/>
  <c r="F5075" i="1" a="1"/>
  <c r="F5831" i="1" a="1"/>
  <c r="F6855" i="1" a="1"/>
  <c r="F5566" i="1" a="1"/>
  <c r="F6590" i="1" a="1"/>
  <c r="F5608" i="1" a="1"/>
  <c r="F6632" i="1" a="1"/>
  <c r="F4855" i="1" a="1"/>
  <c r="F6310" i="1" a="1"/>
  <c r="F5993" i="1" a="1"/>
  <c r="F7578" i="1" a="1"/>
  <c r="F8271" i="1" a="1"/>
  <c r="F5820" i="1" a="1"/>
  <c r="F7473" i="1" a="1"/>
  <c r="F6305" i="1" a="1"/>
  <c r="F5659" i="1" a="1"/>
  <c r="F6035" i="1" a="1"/>
  <c r="F6395" i="1" a="1"/>
  <c r="F6454" i="1" a="1"/>
  <c r="F8498" i="1" a="1"/>
  <c r="F9115" i="1" a="1"/>
  <c r="F9627" i="1" a="1"/>
  <c r="F10139" i="1" a="1"/>
  <c r="F7837" i="1" a="1"/>
  <c r="F7296" i="1" a="1"/>
  <c r="F8732" i="1" a="1"/>
  <c r="F6383" i="1" a="1"/>
  <c r="F6482" i="1" a="1"/>
  <c r="F7176" i="1" a="1"/>
  <c r="F7458" i="1" a="1"/>
  <c r="F8100" i="1" a="1"/>
  <c r="F7821" i="1" a="1"/>
  <c r="F9417" i="1" a="1"/>
  <c r="F9902" i="1" a="1"/>
  <c r="F10244" i="1" a="1"/>
  <c r="F10525" i="1" a="1"/>
  <c r="F10781" i="1" a="1"/>
  <c r="F11037" i="1" a="1"/>
  <c r="F11285" i="1" a="1"/>
  <c r="F11485" i="1" a="1"/>
  <c r="F7661" i="1" a="1"/>
  <c r="F8717" i="1" a="1"/>
  <c r="F9149" i="1" a="1"/>
  <c r="F9654" i="1" a="1"/>
  <c r="F8158" i="1" a="1"/>
  <c r="F9297" i="1" a="1"/>
  <c r="F9560" i="1" a="1"/>
  <c r="F9770" i="1" a="1"/>
  <c r="F9909" i="1" a="1"/>
  <c r="F10053" i="1" a="1"/>
  <c r="F10186" i="1" a="1"/>
  <c r="F10320" i="1" a="1"/>
  <c r="F10422" i="1" a="1"/>
  <c r="F10514" i="1" a="1"/>
  <c r="F10578" i="1" a="1"/>
  <c r="F7799" i="1" a="1"/>
  <c r="F8241" i="1" a="1"/>
  <c r="F8570" i="1" a="1"/>
  <c r="F8766" i="1" a="1"/>
  <c r="F8894" i="1" a="1"/>
  <c r="F7803" i="1" a="1"/>
  <c r="F8061" i="1" a="1"/>
  <c r="F8390" i="1" a="1"/>
  <c r="F9248" i="1" a="1"/>
  <c r="F7791" i="1" a="1"/>
  <c r="F8272" i="1" a="1"/>
  <c r="F8601" i="1" a="1"/>
  <c r="F8769" i="1" a="1"/>
  <c r="F8897" i="1" a="1"/>
  <c r="F9025" i="1" a="1"/>
  <c r="F7780" i="1" a="1"/>
  <c r="F8024" i="1" a="1"/>
  <c r="F8318" i="1" a="1"/>
  <c r="F9217" i="1" a="1"/>
  <c r="F7744" i="1" a="1"/>
  <c r="F8200" i="1" a="1"/>
  <c r="F8529" i="1" a="1"/>
  <c r="F8738" i="1" a="1"/>
  <c r="F8866" i="1" a="1"/>
  <c r="F8994" i="1" a="1"/>
  <c r="F9122" i="1" a="1"/>
  <c r="F9269" i="1" a="1"/>
  <c r="F9436" i="1" a="1"/>
  <c r="F9614" i="1" a="1"/>
  <c r="F9174" i="1" a="1"/>
  <c r="F9576" i="1" a="1"/>
  <c r="F9810" i="1" a="1"/>
  <c r="F9981" i="1" a="1"/>
  <c r="F10152" i="1" a="1"/>
  <c r="F10322" i="1" a="1"/>
  <c r="F10452" i="1" a="1"/>
  <c r="F10580" i="1" a="1"/>
  <c r="F10751" i="1" a="1"/>
  <c r="F10918" i="1" a="1"/>
  <c r="F11096" i="1" a="1"/>
  <c r="F11262" i="1" a="1"/>
  <c r="F11347" i="1" a="1"/>
  <c r="F11432" i="1" a="1"/>
  <c r="F11518" i="1" a="1"/>
  <c r="F11603" i="1" a="1"/>
  <c r="F11688" i="1" a="1"/>
  <c r="F9022" i="1" a="1"/>
  <c r="F9502" i="1" a="1"/>
  <c r="F10643" i="1" a="1"/>
  <c r="F10810" i="1" a="1"/>
  <c r="F10988" i="1" a="1"/>
  <c r="F11155" i="1" a="1"/>
  <c r="F11739" i="1" a="1"/>
  <c r="F11835" i="1" a="1"/>
  <c r="F11899" i="1" a="1"/>
  <c r="F11963" i="1" a="1"/>
  <c r="F12027" i="1" a="1"/>
  <c r="F12091" i="1" a="1"/>
  <c r="F12155" i="1" a="1"/>
  <c r="F12219" i="1" a="1"/>
  <c r="F12283" i="1" a="1"/>
  <c r="F12347" i="1" a="1"/>
  <c r="F12411" i="1" a="1"/>
  <c r="F12475" i="1" a="1"/>
  <c r="F12539" i="1" a="1"/>
  <c r="F12603" i="1" a="1"/>
  <c r="F12667" i="1" a="1"/>
  <c r="F12731" i="1" a="1"/>
  <c r="F12795" i="1" a="1"/>
  <c r="F12859" i="1" a="1"/>
  <c r="F12923" i="1" a="1"/>
  <c r="F12987" i="1" a="1"/>
  <c r="F8966" i="1" a="1"/>
  <c r="F9490" i="1" a="1"/>
  <c r="F9761" i="1" a="1"/>
  <c r="F9932" i="1" a="1"/>
  <c r="F10102" i="1" a="1"/>
  <c r="F10273" i="1" a="1"/>
  <c r="F10431" i="1" a="1"/>
  <c r="F10559" i="1" a="1"/>
  <c r="F10720" i="1" a="1"/>
  <c r="F10887" i="1" a="1"/>
  <c r="F11054" i="1" a="1"/>
  <c r="F11232" i="1" a="1"/>
  <c r="F11327" i="1" a="1"/>
  <c r="F11412" i="1" a="1"/>
  <c r="F11498" i="1" a="1"/>
  <c r="F11583" i="1" a="1"/>
  <c r="F11668" i="1" a="1"/>
  <c r="F11785" i="1" a="1"/>
  <c r="F9428" i="1" a="1"/>
  <c r="F10619" i="1" a="1"/>
  <c r="F10786" i="1" a="1"/>
  <c r="F9158" i="1" a="1"/>
  <c r="F9569" i="1" a="1"/>
  <c r="F9805" i="1" a="1"/>
  <c r="F9976" i="1" a="1"/>
  <c r="F10146" i="1" a="1"/>
  <c r="F10317" i="1" a="1"/>
  <c r="F10456" i="1" a="1"/>
  <c r="F10584" i="1" a="1"/>
  <c r="F10742" i="1" a="1"/>
  <c r="F9470" i="1" a="1"/>
  <c r="F10652" i="1" a="1"/>
  <c r="F10819" i="1" a="1"/>
  <c r="F9062" i="1" a="1"/>
  <c r="F9522" i="1" a="1"/>
  <c r="F9788" i="1" a="1"/>
  <c r="F9958" i="1" a="1"/>
  <c r="F10129" i="1" a="1"/>
  <c r="F10300" i="1" a="1"/>
  <c r="F10435" i="1" a="1"/>
  <c r="F10563" i="1" a="1"/>
  <c r="F10718" i="1" a="1"/>
  <c r="F9446" i="1" a="1"/>
  <c r="F10635" i="1" a="1"/>
  <c r="F10802" i="1" a="1"/>
  <c r="F10980" i="1" a="1"/>
  <c r="F11147" i="1" a="1"/>
  <c r="F11733" i="1" a="1"/>
  <c r="F11830" i="1" a="1"/>
  <c r="F11894" i="1" a="1"/>
  <c r="F11958" i="1" a="1"/>
  <c r="F12022" i="1" a="1"/>
  <c r="F12086" i="1" a="1"/>
  <c r="F12150" i="1" a="1"/>
  <c r="F12214" i="1" a="1"/>
  <c r="F12278" i="1" a="1"/>
  <c r="F12342" i="1" a="1"/>
  <c r="F12406" i="1" a="1"/>
  <c r="F12470" i="1" a="1"/>
  <c r="F12534" i="1" a="1"/>
  <c r="F12598" i="1" a="1"/>
  <c r="F12662" i="1" a="1"/>
  <c r="F10986" i="1" a="1"/>
  <c r="F11746" i="1" a="1"/>
  <c r="F11905" i="1" a="1"/>
  <c r="F12033" i="1" a="1"/>
  <c r="F12161" i="1" a="1"/>
  <c r="F12289" i="1" a="1"/>
  <c r="F12417" i="1" a="1"/>
  <c r="F12545" i="1" a="1"/>
  <c r="F12673" i="1" a="1"/>
  <c r="F12838" i="1" a="1"/>
  <c r="F13005" i="1" a="1"/>
  <c r="F13143" i="1" a="1"/>
  <c r="F13271" i="1" a="1"/>
  <c r="F13399" i="1" a="1"/>
  <c r="F13527" i="1" a="1"/>
  <c r="F13655" i="1" a="1"/>
  <c r="F13783" i="1" a="1"/>
  <c r="F13911" i="1" a="1"/>
  <c r="F14039" i="1" a="1"/>
  <c r="F14167" i="1" a="1"/>
  <c r="F14295" i="1" a="1"/>
  <c r="F14423" i="1" a="1"/>
  <c r="F14551" i="1" a="1"/>
  <c r="F14679" i="1" a="1"/>
  <c r="F14807" i="1" a="1"/>
  <c r="F11191" i="1" a="1"/>
  <c r="F11394" i="1" a="1"/>
  <c r="F11564" i="1" a="1"/>
  <c r="F11774" i="1" a="1"/>
  <c r="F12833" i="1" a="1"/>
  <c r="F13000" i="1" a="1"/>
  <c r="F13139" i="1" a="1"/>
  <c r="F13267" i="1" a="1"/>
  <c r="F13395" i="1" a="1"/>
  <c r="F13523" i="1" a="1"/>
  <c r="F13651" i="1" a="1"/>
  <c r="F13779" i="1" a="1"/>
  <c r="F13907" i="1" a="1"/>
  <c r="F14035" i="1" a="1"/>
  <c r="F14163" i="1" a="1"/>
  <c r="F14291" i="1" a="1"/>
  <c r="F14419" i="1" a="1"/>
  <c r="F14547" i="1" a="1"/>
  <c r="F14675" i="1" a="1"/>
  <c r="F14803" i="1" a="1"/>
  <c r="F14872" i="1" a="1"/>
  <c r="F10806" i="1" a="1"/>
  <c r="F11220" i="1" a="1"/>
  <c r="F11868" i="1" a="1"/>
  <c r="F11996" i="1" a="1"/>
  <c r="F12124" i="1" a="1"/>
  <c r="F12252" i="1" a="1"/>
  <c r="F12380" i="1" a="1"/>
  <c r="F12508" i="1" a="1"/>
  <c r="F12636" i="1" a="1"/>
  <c r="F12789" i="1" a="1"/>
  <c r="F12956" i="1" a="1"/>
  <c r="F13112" i="1" a="1"/>
  <c r="F13240" i="1" a="1"/>
  <c r="F13368" i="1" a="1"/>
  <c r="F13496" i="1" a="1"/>
  <c r="F13624" i="1" a="1"/>
  <c r="F13752" i="1" a="1"/>
  <c r="F13880" i="1" a="1"/>
  <c r="F14008" i="1" a="1"/>
  <c r="F14136" i="1" a="1"/>
  <c r="F14264" i="1" a="1"/>
  <c r="F14392" i="1" a="1"/>
  <c r="F14520" i="1" a="1"/>
  <c r="F14648" i="1" a="1"/>
  <c r="F14776" i="1" a="1"/>
  <c r="F11080" i="1" a="1"/>
  <c r="F11334" i="1" a="1"/>
  <c r="F11504" i="1" a="1"/>
  <c r="F11675" i="1" a="1"/>
  <c r="F10979" i="1" a="1"/>
  <c r="F11741" i="1" a="1"/>
  <c r="F11901" i="1" a="1"/>
  <c r="F12029" i="1" a="1"/>
  <c r="F12157" i="1" a="1"/>
  <c r="F12285" i="1" a="1"/>
  <c r="F12413" i="1" a="1"/>
  <c r="F11095" i="1" a="1"/>
  <c r="F11346" i="1" a="1"/>
  <c r="F11516" i="1" a="1"/>
  <c r="F11687" i="1" a="1"/>
  <c r="F11060" i="1" a="1"/>
  <c r="F11772" i="1" a="1"/>
  <c r="F11920" i="1" a="1"/>
  <c r="F12048" i="1" a="1"/>
  <c r="F12176" i="1" a="1"/>
  <c r="F12304" i="1" a="1"/>
  <c r="F12432" i="1" a="1"/>
  <c r="F11087" i="1" a="1"/>
  <c r="F11339" i="1" a="1"/>
  <c r="F11510" i="1" a="1"/>
  <c r="F11680" i="1" a="1"/>
  <c r="G6731" i="1" a="1"/>
  <c r="G9872" i="1" a="1"/>
  <c r="G12277" i="1" a="1"/>
  <c r="G14421" i="1" a="1"/>
  <c r="G12496" i="1" a="1"/>
  <c r="G13125" i="1" a="1"/>
  <c r="F1513" i="1" a="1"/>
  <c r="F1579" i="1" a="1"/>
  <c r="F2455" i="1" a="1"/>
  <c r="F3043" i="1" a="1"/>
  <c r="F4037" i="1" a="1"/>
  <c r="F2523" i="1" a="1"/>
  <c r="F3960" i="1" a="1"/>
  <c r="F3627" i="1" a="1"/>
  <c r="F2689" i="1" a="1"/>
  <c r="F2532" i="1" a="1"/>
  <c r="F4704" i="1" a="1"/>
  <c r="F5216" i="1" a="1"/>
  <c r="F4132" i="1" a="1"/>
  <c r="F4420" i="1" a="1"/>
  <c r="F3404" i="1" a="1"/>
  <c r="F4690" i="1" a="1"/>
  <c r="F4300" i="1" a="1"/>
  <c r="F4725" i="1" a="1"/>
  <c r="F4355" i="1" a="1"/>
  <c r="F5139" i="1" a="1"/>
  <c r="F5302" i="1" a="1"/>
  <c r="F5081" i="1" a="1"/>
  <c r="F5840" i="1" a="1"/>
  <c r="F6864" i="1" a="1"/>
  <c r="F5571" i="1" a="1"/>
  <c r="F6595" i="1" a="1"/>
  <c r="F5617" i="1" a="1"/>
  <c r="F6641" i="1" a="1"/>
  <c r="F4867" i="1" a="1"/>
  <c r="F6315" i="1" a="1"/>
  <c r="F6002" i="1" a="1"/>
  <c r="F7587" i="1" a="1"/>
  <c r="F8275" i="1" a="1"/>
  <c r="F5829" i="1" a="1"/>
  <c r="F7478" i="1" a="1"/>
  <c r="F6314" i="1" a="1"/>
  <c r="F5668" i="1" a="1"/>
  <c r="F6044" i="1" a="1"/>
  <c r="F6404" i="1" a="1"/>
  <c r="F6491" i="1" a="1"/>
  <c r="F8512" i="1" a="1"/>
  <c r="F9119" i="1" a="1"/>
  <c r="F9631" i="1" a="1"/>
  <c r="F10143" i="1" a="1"/>
  <c r="F7844" i="1" a="1"/>
  <c r="F7306" i="1" a="1"/>
  <c r="F8736" i="1" a="1"/>
  <c r="F6401" i="1" a="1"/>
  <c r="F6665" i="1" a="1"/>
  <c r="F7186" i="1" a="1"/>
  <c r="F7540" i="1" a="1"/>
  <c r="F8164" i="1" a="1"/>
  <c r="F7931" i="1" a="1"/>
  <c r="F9481" i="1" a="1"/>
  <c r="F9934" i="1" a="1"/>
  <c r="F10276" i="1" a="1"/>
  <c r="F10549" i="1" a="1"/>
  <c r="F10805" i="1" a="1"/>
  <c r="F11061" i="1" a="1"/>
  <c r="F11293" i="1" a="1"/>
  <c r="F11509" i="1" a="1"/>
  <c r="F7687" i="1" a="1"/>
  <c r="F8765" i="1" a="1"/>
  <c r="F9157" i="1" a="1"/>
  <c r="F9668" i="1" a="1"/>
  <c r="F8204" i="1" a="1"/>
  <c r="F9304" i="1" a="1"/>
  <c r="F9578" i="1" a="1"/>
  <c r="F9776" i="1" a="1"/>
  <c r="F9920" i="1" a="1"/>
  <c r="F10058" i="1" a="1"/>
  <c r="F10192" i="1" a="1"/>
  <c r="F10329" i="1" a="1"/>
  <c r="F10426" i="1" a="1"/>
  <c r="F10518" i="1" a="1"/>
  <c r="F10582" i="1" a="1"/>
  <c r="F7823" i="1" a="1"/>
  <c r="F8250" i="1" a="1"/>
  <c r="F8616" i="1" a="1"/>
  <c r="F8774" i="1" a="1"/>
  <c r="F8902" i="1" a="1"/>
  <c r="F7827" i="1" a="1"/>
  <c r="F8070" i="1" a="1"/>
  <c r="F8436" i="1" a="1"/>
  <c r="F9266" i="1" a="1"/>
  <c r="F7815" i="1" a="1"/>
  <c r="F8281" i="1" a="1"/>
  <c r="F8610" i="1" a="1"/>
  <c r="F8777" i="1" a="1"/>
  <c r="F8905" i="1" a="1"/>
  <c r="F9033" i="1" a="1"/>
  <c r="F7804" i="1" a="1"/>
  <c r="F8034" i="1" a="1"/>
  <c r="F8364" i="1" a="1"/>
  <c r="F9224" i="1" a="1"/>
  <c r="F7768" i="1" a="1"/>
  <c r="F8209" i="1" a="1"/>
  <c r="F8538" i="1" a="1"/>
  <c r="F8746" i="1" a="1"/>
  <c r="F8874" i="1" a="1"/>
  <c r="F9002" i="1" a="1"/>
  <c r="F9130" i="1" a="1"/>
  <c r="F9276" i="1" a="1"/>
  <c r="F9454" i="1" a="1"/>
  <c r="F9621" i="1" a="1"/>
  <c r="F9206" i="1" a="1"/>
  <c r="F9601" i="1" a="1"/>
  <c r="F9821" i="1" a="1"/>
  <c r="F9992" i="1" a="1"/>
  <c r="F10162" i="1" a="1"/>
  <c r="F10331" i="1" a="1"/>
  <c r="F10460" i="1" a="1"/>
  <c r="F10588" i="1" a="1"/>
  <c r="F10758" i="1" a="1"/>
  <c r="F10936" i="1" a="1"/>
  <c r="F11103" i="1" a="1"/>
  <c r="F11267" i="1" a="1"/>
  <c r="F11352" i="1" a="1"/>
  <c r="F11438" i="1" a="1"/>
  <c r="F11523" i="1" a="1"/>
  <c r="F11608" i="1" a="1"/>
  <c r="F11697" i="1" a="1"/>
  <c r="F9081" i="1" a="1"/>
  <c r="F9516" i="1" a="1"/>
  <c r="F10650" i="1" a="1"/>
  <c r="F10828" i="1" a="1"/>
  <c r="F10995" i="1" a="1"/>
  <c r="F11162" i="1" a="1"/>
  <c r="F11748" i="1" a="1"/>
  <c r="F11839" i="1" a="1"/>
  <c r="F11903" i="1" a="1"/>
  <c r="F11967" i="1" a="1"/>
  <c r="F12031" i="1" a="1"/>
  <c r="F12095" i="1" a="1"/>
  <c r="F12159" i="1" a="1"/>
  <c r="F12223" i="1" a="1"/>
  <c r="F12287" i="1" a="1"/>
  <c r="F12351" i="1" a="1"/>
  <c r="F12415" i="1" a="1"/>
  <c r="F12479" i="1" a="1"/>
  <c r="F12543" i="1" a="1"/>
  <c r="F12607" i="1" a="1"/>
  <c r="F12671" i="1" a="1"/>
  <c r="F12735" i="1" a="1"/>
  <c r="F12799" i="1" a="1"/>
  <c r="F12863" i="1" a="1"/>
  <c r="F12927" i="1" a="1"/>
  <c r="F12991" i="1" a="1"/>
  <c r="F9030" i="1" a="1"/>
  <c r="F9504" i="1" a="1"/>
  <c r="F9772" i="1" a="1"/>
  <c r="F9942" i="1" a="1"/>
  <c r="F10113" i="1" a="1"/>
  <c r="F10284" i="1" a="1"/>
  <c r="F10439" i="1" a="1"/>
  <c r="F10567" i="1" a="1"/>
  <c r="F10727" i="1" a="1"/>
  <c r="F10894" i="1" a="1"/>
  <c r="F11072" i="1" a="1"/>
  <c r="F11239" i="1" a="1"/>
  <c r="F11332" i="1" a="1"/>
  <c r="F11418" i="1" a="1"/>
  <c r="F11503" i="1" a="1"/>
  <c r="F11588" i="1" a="1"/>
  <c r="F11674" i="1" a="1"/>
  <c r="F11790" i="1" a="1"/>
  <c r="F9453" i="1" a="1"/>
  <c r="F10626" i="1" a="1"/>
  <c r="F10804" i="1" a="1"/>
  <c r="F9190" i="1" a="1"/>
  <c r="F9594" i="1" a="1"/>
  <c r="F9816" i="1" a="1"/>
  <c r="F9986" i="1" a="1"/>
  <c r="F10157" i="1" a="1"/>
  <c r="F10336" i="1" a="1"/>
  <c r="F10464" i="1" a="1"/>
  <c r="F10592" i="1" a="1"/>
  <c r="F8990" i="1" a="1"/>
  <c r="F9484" i="1" a="1"/>
  <c r="F10659" i="1" a="1"/>
  <c r="F10826" i="1" a="1"/>
  <c r="F9102" i="1" a="1"/>
  <c r="F9536" i="1" a="1"/>
  <c r="F9798" i="1" a="1"/>
  <c r="F9969" i="1" a="1"/>
  <c r="F10140" i="1" a="1"/>
  <c r="F10310" i="1" a="1"/>
  <c r="F10443" i="1" a="1"/>
  <c r="F10571" i="1" a="1"/>
  <c r="F10736" i="1" a="1"/>
  <c r="F9460" i="1" a="1"/>
  <c r="F10642" i="1" a="1"/>
  <c r="F10820" i="1" a="1"/>
  <c r="F10987" i="1" a="1"/>
  <c r="F11154" i="1" a="1"/>
  <c r="F11738" i="1" a="1"/>
  <c r="F11834" i="1" a="1"/>
  <c r="F11898" i="1" a="1"/>
  <c r="F11962" i="1" a="1"/>
  <c r="F12026" i="1" a="1"/>
  <c r="F12090" i="1" a="1"/>
  <c r="F12154" i="1" a="1"/>
  <c r="F12218" i="1" a="1"/>
  <c r="F12282" i="1" a="1"/>
  <c r="F12346" i="1" a="1"/>
  <c r="F12410" i="1" a="1"/>
  <c r="F12474" i="1" a="1"/>
  <c r="F12538" i="1" a="1"/>
  <c r="F12602" i="1" a="1"/>
  <c r="F12666" i="1" a="1"/>
  <c r="F11011" i="1" a="1"/>
  <c r="F11755" i="1" a="1"/>
  <c r="F11913" i="1" a="1"/>
  <c r="F12041" i="1" a="1"/>
  <c r="F12169" i="1" a="1"/>
  <c r="F12297" i="1" a="1"/>
  <c r="F12425" i="1" a="1"/>
  <c r="F12553" i="1" a="1"/>
  <c r="F12681" i="1" a="1"/>
  <c r="F12845" i="1" a="1"/>
  <c r="F13012" i="1" a="1"/>
  <c r="F13152" i="1" a="1"/>
  <c r="F13280" i="1" a="1"/>
  <c r="F13408" i="1" a="1"/>
  <c r="F13536" i="1" a="1"/>
  <c r="F13664" i="1" a="1"/>
  <c r="F13792" i="1" a="1"/>
  <c r="F13920" i="1" a="1"/>
  <c r="F14048" i="1" a="1"/>
  <c r="F14176" i="1" a="1"/>
  <c r="F14304" i="1" a="1"/>
  <c r="F14432" i="1" a="1"/>
  <c r="F14560" i="1" a="1"/>
  <c r="F14688" i="1" a="1"/>
  <c r="F10750" i="1" a="1"/>
  <c r="F11216" i="1" a="1"/>
  <c r="F11404" i="1" a="1"/>
  <c r="F11575" i="1" a="1"/>
  <c r="F11783" i="1" a="1"/>
  <c r="F12840" i="1" a="1"/>
  <c r="F13018" i="1" a="1"/>
  <c r="F13148" i="1" a="1"/>
  <c r="F13276" i="1" a="1"/>
  <c r="F13404" i="1" a="1"/>
  <c r="F13532" i="1" a="1"/>
  <c r="F13660" i="1" a="1"/>
  <c r="F13788" i="1" a="1"/>
  <c r="F13916" i="1" a="1"/>
  <c r="F14044" i="1" a="1"/>
  <c r="F14172" i="1" a="1"/>
  <c r="F14300" i="1" a="1"/>
  <c r="F14428" i="1" a="1"/>
  <c r="F14556" i="1" a="1"/>
  <c r="F14684" i="1" a="1"/>
  <c r="F14812" i="1" a="1"/>
  <c r="F14876" i="1" a="1"/>
  <c r="F10831" i="1" a="1"/>
  <c r="F11234" i="1" a="1"/>
  <c r="F11876" i="1" a="1"/>
  <c r="F12004" i="1" a="1"/>
  <c r="F12132" i="1" a="1"/>
  <c r="F12260" i="1" a="1"/>
  <c r="F12388" i="1" a="1"/>
  <c r="F12516" i="1" a="1"/>
  <c r="F12644" i="1" a="1"/>
  <c r="F12796" i="1" a="1"/>
  <c r="F12974" i="1" a="1"/>
  <c r="F13121" i="1" a="1"/>
  <c r="F13249" i="1" a="1"/>
  <c r="F13377" i="1" a="1"/>
  <c r="F13505" i="1" a="1"/>
  <c r="F13633" i="1" a="1"/>
  <c r="F13761" i="1" a="1"/>
  <c r="F13889" i="1" a="1"/>
  <c r="F14017" i="1" a="1"/>
  <c r="F14145" i="1" a="1"/>
  <c r="F14273" i="1" a="1"/>
  <c r="F14401" i="1" a="1"/>
  <c r="F14529" i="1" a="1"/>
  <c r="F14657" i="1" a="1"/>
  <c r="F14785" i="1" a="1"/>
  <c r="F11094" i="1" a="1"/>
  <c r="F11344" i="1" a="1"/>
  <c r="F11515" i="1" a="1"/>
  <c r="F11686" i="1" a="1"/>
  <c r="F11004" i="1" a="1"/>
  <c r="F11778" i="1" a="1"/>
  <c r="F11909" i="1" a="1"/>
  <c r="F12037" i="1" a="1"/>
  <c r="F12165" i="1" a="1"/>
  <c r="F12293" i="1" a="1"/>
  <c r="F12421" i="1" a="1"/>
  <c r="F11120" i="1" a="1"/>
  <c r="F11356" i="1" a="1"/>
  <c r="F11527" i="1" a="1"/>
  <c r="F11696" i="1" a="1"/>
  <c r="F11074" i="1" a="1"/>
  <c r="F11781" i="1" a="1"/>
  <c r="F11928" i="1" a="1"/>
  <c r="F12056" i="1" a="1"/>
  <c r="F12184" i="1" a="1"/>
  <c r="F12312" i="1" a="1"/>
  <c r="F12440" i="1" a="1"/>
  <c r="F11112" i="1" a="1"/>
  <c r="F11350" i="1" a="1"/>
  <c r="F11520" i="1" a="1"/>
  <c r="F11718" i="1" a="1"/>
  <c r="G7800" i="1" a="1"/>
  <c r="G11503" i="1" a="1"/>
  <c r="G9708" i="1" a="1"/>
  <c r="G12406" i="1" a="1"/>
  <c r="G12603" i="1" a="1"/>
  <c r="G13667" i="1" a="1"/>
  <c r="F941" i="1" a="1"/>
  <c r="F2570" i="1" a="1"/>
  <c r="F2123" i="1" a="1"/>
  <c r="F3205" i="1" a="1"/>
  <c r="F4097" i="1" a="1"/>
  <c r="F2963" i="1" a="1"/>
  <c r="F2318" i="1" a="1"/>
  <c r="F3746" i="1" a="1"/>
  <c r="F3032" i="1" a="1"/>
  <c r="F3213" i="1" a="1"/>
  <c r="F4764" i="1" a="1"/>
  <c r="F5276" i="1" a="1"/>
  <c r="F4239" i="1" a="1"/>
  <c r="F2618" i="1" a="1"/>
  <c r="F3651" i="1" a="1"/>
  <c r="F4770" i="1" a="1"/>
  <c r="F3139" i="1" a="1"/>
  <c r="F4813" i="1" a="1"/>
  <c r="F4803" i="1" a="1"/>
  <c r="F5322" i="1" a="1"/>
  <c r="F3866" i="1" a="1"/>
  <c r="F5269" i="1" a="1"/>
  <c r="F5959" i="1" a="1"/>
  <c r="F6983" i="1" a="1"/>
  <c r="F5694" i="1" a="1"/>
  <c r="F6718" i="1" a="1"/>
  <c r="F5736" i="1" a="1"/>
  <c r="F6760" i="1" a="1"/>
  <c r="F5235" i="1" a="1"/>
  <c r="F6438" i="1" a="1"/>
  <c r="F6249" i="1" a="1"/>
  <c r="F7706" i="1" a="1"/>
  <c r="F8335" i="1" a="1"/>
  <c r="F6076" i="1" a="1"/>
  <c r="F7601" i="1" a="1"/>
  <c r="F6561" i="1" a="1"/>
  <c r="F5915" i="1" a="1"/>
  <c r="F5396" i="1" a="1"/>
  <c r="F6651" i="1" a="1"/>
  <c r="F6977" i="1" a="1"/>
  <c r="F8667" i="1" a="1"/>
  <c r="F9179" i="1" a="1"/>
  <c r="F9691" i="1" a="1"/>
  <c r="F10203" i="1" a="1"/>
  <c r="F7978" i="1" a="1"/>
  <c r="F7535" i="1" a="1"/>
  <c r="F8796" i="1" a="1"/>
  <c r="F6895" i="1" a="1"/>
  <c r="F6720" i="1" a="1"/>
  <c r="F7374" i="1" a="1"/>
  <c r="F7549" i="1" a="1"/>
  <c r="F8173" i="1" a="1"/>
  <c r="F7942" i="1" a="1"/>
  <c r="F9488" i="1" a="1"/>
  <c r="F9940" i="1" a="1"/>
  <c r="F10281" i="1" a="1"/>
  <c r="F10553" i="1" a="1"/>
  <c r="F10809" i="1" a="1"/>
  <c r="F11065" i="1" a="1"/>
  <c r="F11317" i="1" a="1"/>
  <c r="F11513" i="1" a="1"/>
  <c r="F7822" i="1" a="1"/>
  <c r="F8773" i="1" a="1"/>
  <c r="F9173" i="1" a="1"/>
  <c r="F10333" i="1" a="1"/>
  <c r="F8213" i="1" a="1"/>
  <c r="F9322" i="1" a="1"/>
  <c r="F9592" i="1" a="1"/>
  <c r="F9797" i="1" a="1"/>
  <c r="F9930" i="1" a="1"/>
  <c r="F10064" i="1" a="1"/>
  <c r="F10197" i="1" a="1"/>
  <c r="F10342" i="1" a="1"/>
  <c r="F10430" i="1" a="1"/>
  <c r="F10522" i="1" a="1"/>
  <c r="F10586" i="1" a="1"/>
  <c r="F7847" i="1" a="1"/>
  <c r="F8296" i="1" a="1"/>
  <c r="F8625" i="1" a="1"/>
  <c r="F8782" i="1" a="1"/>
  <c r="F8910" i="1" a="1"/>
  <c r="F7851" i="1" a="1"/>
  <c r="F8116" i="1" a="1"/>
  <c r="F8445" i="1" a="1"/>
  <c r="F9273" i="1" a="1"/>
  <c r="F7840" i="1" a="1"/>
  <c r="F8290" i="1" a="1"/>
  <c r="F8656" i="1" a="1"/>
  <c r="F8785" i="1" a="1"/>
  <c r="F8913" i="1" a="1"/>
  <c r="F9041" i="1" a="1"/>
  <c r="F7828" i="1" a="1"/>
  <c r="F8044" i="1" a="1"/>
  <c r="F8373" i="1" a="1"/>
  <c r="F9242" i="1" a="1"/>
  <c r="F7792" i="1" a="1"/>
  <c r="F8218" i="1" a="1"/>
  <c r="F8584" i="1" a="1"/>
  <c r="F8754" i="1" a="1"/>
  <c r="F8882" i="1" a="1"/>
  <c r="F9010" i="1" a="1"/>
  <c r="F9138" i="1" a="1"/>
  <c r="F9294" i="1" a="1"/>
  <c r="F9461" i="1" a="1"/>
  <c r="F9628" i="1" a="1"/>
  <c r="F9260" i="1" a="1"/>
  <c r="F9626" i="1" a="1"/>
  <c r="F9832" i="1" a="1"/>
  <c r="F10002" i="1" a="1"/>
  <c r="F10173" i="1" a="1"/>
  <c r="F10340" i="1" a="1"/>
  <c r="F10468" i="1" a="1"/>
  <c r="F10596" i="1" a="1"/>
  <c r="F10776" i="1" a="1"/>
  <c r="F10943" i="1" a="1"/>
  <c r="F11110" i="1" a="1"/>
  <c r="F11272" i="1" a="1"/>
  <c r="F11358" i="1" a="1"/>
  <c r="F11443" i="1" a="1"/>
  <c r="F11528" i="1" a="1"/>
  <c r="F11614" i="1" a="1"/>
  <c r="F11702" i="1" a="1"/>
  <c r="F9113" i="1" a="1"/>
  <c r="F9541" i="1" a="1"/>
  <c r="F10668" i="1" a="1"/>
  <c r="F10835" i="1" a="1"/>
  <c r="F11002" i="1" a="1"/>
  <c r="F11180" i="1" a="1"/>
  <c r="F11757" i="1" a="1"/>
  <c r="F11843" i="1" a="1"/>
  <c r="F11907" i="1" a="1"/>
  <c r="F11971" i="1" a="1"/>
  <c r="F12035" i="1" a="1"/>
  <c r="F12099" i="1" a="1"/>
  <c r="F12163" i="1" a="1"/>
  <c r="F12227" i="1" a="1"/>
  <c r="F12291" i="1" a="1"/>
  <c r="F12355" i="1" a="1"/>
  <c r="F12419" i="1" a="1"/>
  <c r="F12483" i="1" a="1"/>
  <c r="F12547" i="1" a="1"/>
  <c r="F12611" i="1" a="1"/>
  <c r="F12675" i="1" a="1"/>
  <c r="F12739" i="1" a="1"/>
  <c r="F12803" i="1" a="1"/>
  <c r="F12867" i="1" a="1"/>
  <c r="F12931" i="1" a="1"/>
  <c r="F12995" i="1" a="1"/>
  <c r="F9086" i="1" a="1"/>
  <c r="F9529" i="1" a="1"/>
  <c r="F9782" i="1" a="1"/>
  <c r="F9953" i="1" a="1"/>
  <c r="F10124" i="1" a="1"/>
  <c r="F10294" i="1" a="1"/>
  <c r="F10447" i="1" a="1"/>
  <c r="F10575" i="1" a="1"/>
  <c r="F10734" i="1" a="1"/>
  <c r="F10912" i="1" a="1"/>
  <c r="F11079" i="1" a="1"/>
  <c r="F11246" i="1" a="1"/>
  <c r="F11338" i="1" a="1"/>
  <c r="F11423" i="1" a="1"/>
  <c r="F11508" i="1" a="1"/>
  <c r="F11594" i="1" a="1"/>
  <c r="F11679" i="1" a="1"/>
  <c r="F11799" i="1" a="1"/>
  <c r="F9478" i="1" a="1"/>
  <c r="F10644" i="1" a="1"/>
  <c r="F10811" i="1" a="1"/>
  <c r="F9221" i="1" a="1"/>
  <c r="F9608" i="1" a="1"/>
  <c r="F9826" i="1" a="1"/>
  <c r="F9997" i="1" a="1"/>
  <c r="F10168" i="1" a="1"/>
  <c r="F10344" i="1" a="1"/>
  <c r="F10472" i="1" a="1"/>
  <c r="F10600" i="1" a="1"/>
  <c r="F9054" i="1" a="1"/>
  <c r="F9509" i="1" a="1"/>
  <c r="F10666" i="1" a="1"/>
  <c r="F10844" i="1" a="1"/>
  <c r="F9134" i="1" a="1"/>
  <c r="F9561" i="1" a="1"/>
  <c r="F9809" i="1" a="1"/>
  <c r="F9980" i="1" a="1"/>
  <c r="F10150" i="1" a="1"/>
  <c r="F10321" i="1" a="1"/>
  <c r="F10451" i="1" a="1"/>
  <c r="F10579" i="1" a="1"/>
  <c r="F10743" i="1" a="1"/>
  <c r="F9485" i="1" a="1"/>
  <c r="F10660" i="1" a="1"/>
  <c r="F10827" i="1" a="1"/>
  <c r="F10994" i="1" a="1"/>
  <c r="F11172" i="1" a="1"/>
  <c r="F11747" i="1" a="1"/>
  <c r="F11838" i="1" a="1"/>
  <c r="F11902" i="1" a="1"/>
  <c r="F11966" i="1" a="1"/>
  <c r="F12030" i="1" a="1"/>
  <c r="F12094" i="1" a="1"/>
  <c r="F12158" i="1" a="1"/>
  <c r="F12222" i="1" a="1"/>
  <c r="F12286" i="1" a="1"/>
  <c r="F12350" i="1" a="1"/>
  <c r="F12414" i="1" a="1"/>
  <c r="F12478" i="1" a="1"/>
  <c r="F12542" i="1" a="1"/>
  <c r="F12606" i="1" a="1"/>
  <c r="F12670" i="1" a="1"/>
  <c r="F11036" i="1" a="1"/>
  <c r="F11764" i="1" a="1"/>
  <c r="F11921" i="1" a="1"/>
  <c r="F12049" i="1" a="1"/>
  <c r="F12177" i="1" a="1"/>
  <c r="F12305" i="1" a="1"/>
  <c r="F12433" i="1" a="1"/>
  <c r="F12561" i="1" a="1"/>
  <c r="F12689" i="1" a="1"/>
  <c r="F12852" i="1" a="1"/>
  <c r="F13030" i="1" a="1"/>
  <c r="F13161" i="1" a="1"/>
  <c r="F13289" i="1" a="1"/>
  <c r="F13417" i="1" a="1"/>
  <c r="F13545" i="1" a="1"/>
  <c r="F13673" i="1" a="1"/>
  <c r="F13801" i="1" a="1"/>
  <c r="F13929" i="1" a="1"/>
  <c r="F14057" i="1" a="1"/>
  <c r="F14185" i="1" a="1"/>
  <c r="F14313" i="1" a="1"/>
  <c r="F14441" i="1" a="1"/>
  <c r="F14569" i="1" a="1"/>
  <c r="F14697" i="1" a="1"/>
  <c r="F10775" i="1" a="1"/>
  <c r="F11230" i="1" a="1"/>
  <c r="F11415" i="1" a="1"/>
  <c r="F11586" i="1" a="1"/>
  <c r="F11792" i="1" a="1"/>
  <c r="F12858" i="1" a="1"/>
  <c r="F13025" i="1" a="1"/>
  <c r="F13157" i="1" a="1"/>
  <c r="F13285" i="1" a="1"/>
  <c r="F13413" i="1" a="1"/>
  <c r="F13541" i="1" a="1"/>
  <c r="F13669" i="1" a="1"/>
  <c r="F13797" i="1" a="1"/>
  <c r="F13925" i="1" a="1"/>
  <c r="F14053" i="1" a="1"/>
  <c r="F14181" i="1" a="1"/>
  <c r="F14309" i="1" a="1"/>
  <c r="F14437" i="1" a="1"/>
  <c r="F14565" i="1" a="1"/>
  <c r="F14693" i="1" a="1"/>
  <c r="F14816" i="1" a="1"/>
  <c r="F14880" i="1" a="1"/>
  <c r="F10856" i="1" a="1"/>
  <c r="F11722" i="1" a="1"/>
  <c r="F11884" i="1" a="1"/>
  <c r="F12012" i="1" a="1"/>
  <c r="F12140" i="1" a="1"/>
  <c r="F12268" i="1" a="1"/>
  <c r="F12396" i="1" a="1"/>
  <c r="F12524" i="1" a="1"/>
  <c r="F12652" i="1" a="1"/>
  <c r="F12814" i="1" a="1"/>
  <c r="F12981" i="1" a="1"/>
  <c r="F13130" i="1" a="1"/>
  <c r="F13258" i="1" a="1"/>
  <c r="F13386" i="1" a="1"/>
  <c r="F13514" i="1" a="1"/>
  <c r="F13642" i="1" a="1"/>
  <c r="F13770" i="1" a="1"/>
  <c r="F13898" i="1" a="1"/>
  <c r="F14026" i="1" a="1"/>
  <c r="F14154" i="1" a="1"/>
  <c r="F14282" i="1" a="1"/>
  <c r="F14410" i="1" a="1"/>
  <c r="F14538" i="1" a="1"/>
  <c r="F14666" i="1" a="1"/>
  <c r="F14794" i="1" a="1"/>
  <c r="F11119" i="1" a="1"/>
  <c r="F11355" i="1" a="1"/>
  <c r="F11526" i="1" a="1"/>
  <c r="F11695" i="1" a="1"/>
  <c r="F11018" i="1" a="1"/>
  <c r="F11787" i="1" a="1"/>
  <c r="F11917" i="1" a="1"/>
  <c r="F12045" i="1" a="1"/>
  <c r="F12173" i="1" a="1"/>
  <c r="F12301" i="1" a="1"/>
  <c r="F12429" i="1" a="1"/>
  <c r="F11134" i="1" a="1"/>
  <c r="F11367" i="1" a="1"/>
  <c r="F11538" i="1" a="1"/>
  <c r="F11705" i="1" a="1"/>
  <c r="F11099" i="1" a="1"/>
  <c r="F11808" i="1" a="1"/>
  <c r="F11936" i="1" a="1"/>
  <c r="F12064" i="1" a="1"/>
  <c r="F12192" i="1" a="1"/>
  <c r="F12320" i="1" a="1"/>
  <c r="F12448" i="1" a="1"/>
  <c r="F11126" i="1" a="1"/>
  <c r="F11360" i="1" a="1"/>
  <c r="F11531" i="1" a="1"/>
  <c r="F11727" i="1" a="1"/>
  <c r="G7807" i="1" a="1"/>
  <c r="G11508" i="1" a="1"/>
  <c r="G9763" i="1" a="1"/>
  <c r="G12417" i="1" a="1"/>
  <c r="G12614" i="1" a="1"/>
  <c r="G13677" i="1" a="1"/>
  <c r="F950" i="1" a="1"/>
  <c r="F2575" i="1" a="1"/>
  <c r="F2147" i="1" a="1"/>
  <c r="F3210" i="1" a="1"/>
  <c r="F4101" i="1" a="1"/>
  <c r="F2981" i="1" a="1"/>
  <c r="F2340" i="1" a="1"/>
  <c r="F3755" i="1" a="1"/>
  <c r="F3037" i="1" a="1"/>
  <c r="F3222" i="1" a="1"/>
  <c r="F4768" i="1" a="1"/>
  <c r="F5280" i="1" a="1"/>
  <c r="F4244" i="1" a="1"/>
  <c r="F2648" i="1" a="1"/>
  <c r="F3660" i="1" a="1"/>
  <c r="F4775" i="1" a="1"/>
  <c r="F3160" i="1" a="1"/>
  <c r="F4822" i="1" a="1"/>
  <c r="F4834" i="1" a="1"/>
  <c r="F5332" i="1" a="1"/>
  <c r="F3939" i="1" a="1"/>
  <c r="F5274" i="1" a="1"/>
  <c r="F5968" i="1" a="1"/>
  <c r="F6992" i="1" a="1"/>
  <c r="F5699" i="1" a="1"/>
  <c r="F6723" i="1" a="1"/>
  <c r="F5745" i="1" a="1"/>
  <c r="F6769" i="1" a="1"/>
  <c r="F5246" i="1" a="1"/>
  <c r="F6443" i="1" a="1"/>
  <c r="F6258" i="1" a="1"/>
  <c r="F7715" i="1" a="1"/>
  <c r="F8339" i="1" a="1"/>
  <c r="F6085" i="1" a="1"/>
  <c r="F7606" i="1" a="1"/>
  <c r="F6570" i="1" a="1"/>
  <c r="F5924" i="1" a="1"/>
  <c r="F5406" i="1" a="1"/>
  <c r="F6660" i="1" a="1"/>
  <c r="F7002" i="1" a="1"/>
  <c r="F8671" i="1" a="1"/>
  <c r="F9183" i="1" a="1"/>
  <c r="F9695" i="1" a="1"/>
  <c r="F10207" i="1" a="1"/>
  <c r="F7984" i="1" a="1"/>
  <c r="F7544" i="1" a="1"/>
  <c r="F8800" i="1" a="1"/>
  <c r="F6913" i="1" a="1"/>
  <c r="F6972" i="1" a="1"/>
  <c r="F7503" i="1" a="1"/>
  <c r="F7663" i="1" a="1"/>
  <c r="F8237" i="1" a="1"/>
  <c r="F8006" i="1" a="1"/>
  <c r="F9552" i="1" a="1"/>
  <c r="F9972" i="1" a="1"/>
  <c r="F10313" i="1" a="1"/>
  <c r="F10577" i="1" a="1"/>
  <c r="F10833" i="1" a="1"/>
  <c r="F11089" i="1" a="1"/>
  <c r="F11321" i="1" a="1"/>
  <c r="F11537" i="1" a="1"/>
  <c r="F7833" i="1" a="1"/>
  <c r="F8789" i="1" a="1"/>
  <c r="F9220" i="1" a="1"/>
  <c r="F7588" i="1" a="1"/>
  <c r="F8341" i="1" a="1"/>
  <c r="F9329" i="1" a="1"/>
  <c r="F9617" i="1" a="1"/>
  <c r="F9802" i="1" a="1"/>
  <c r="F9936" i="1" a="1"/>
  <c r="F10069" i="1" a="1"/>
  <c r="F10202" i="1" a="1"/>
  <c r="F10350" i="1" a="1"/>
  <c r="F10434" i="1" a="1"/>
  <c r="F10526" i="1" a="1"/>
  <c r="F10590" i="1" a="1"/>
  <c r="F7872" i="1" a="1"/>
  <c r="F8305" i="1" a="1"/>
  <c r="F8634" i="1" a="1"/>
  <c r="F8790" i="1" a="1"/>
  <c r="F8918" i="1" a="1"/>
  <c r="F7876" i="1" a="1"/>
  <c r="F8125" i="1" a="1"/>
  <c r="F8454" i="1" a="1"/>
  <c r="F9280" i="1" a="1"/>
  <c r="F7864" i="1" a="1"/>
  <c r="F8336" i="1" a="1"/>
  <c r="F8665" i="1" a="1"/>
  <c r="F8793" i="1" a="1"/>
  <c r="F8921" i="1" a="1"/>
  <c r="F9049" i="1" a="1"/>
  <c r="F7853" i="1" a="1"/>
  <c r="F8053" i="1" a="1"/>
  <c r="F8382" i="1" a="1"/>
  <c r="F9249" i="1" a="1"/>
  <c r="F7817" i="1" a="1"/>
  <c r="F8264" i="1" a="1"/>
  <c r="F8593" i="1" a="1"/>
  <c r="F8762" i="1" a="1"/>
  <c r="F8890" i="1" a="1"/>
  <c r="F9018" i="1" a="1"/>
  <c r="F9146" i="1" a="1"/>
  <c r="F9301" i="1" a="1"/>
  <c r="F9468" i="1" a="1"/>
  <c r="F9646" i="1" a="1"/>
  <c r="F9285" i="1" a="1"/>
  <c r="F9640" i="1" a="1"/>
  <c r="F9842" i="1" a="1"/>
  <c r="F10013" i="1" a="1"/>
  <c r="F10184" i="1" a="1"/>
  <c r="F10348" i="1" a="1"/>
  <c r="F10476" i="1" a="1"/>
  <c r="F10616" i="1" a="1"/>
  <c r="F10783" i="1" a="1"/>
  <c r="F10950" i="1" a="1"/>
  <c r="F11128" i="1" a="1"/>
  <c r="F11278" i="1" a="1"/>
  <c r="F11363" i="1" a="1"/>
  <c r="F11448" i="1" a="1"/>
  <c r="F11534" i="1" a="1"/>
  <c r="F11619" i="1" a="1"/>
  <c r="F11711" i="1" a="1"/>
  <c r="F9145" i="1" a="1"/>
  <c r="F9566" i="1" a="1"/>
  <c r="F10675" i="1" a="1"/>
  <c r="F10842" i="1" a="1"/>
  <c r="F11020" i="1" a="1"/>
  <c r="F11187" i="1" a="1"/>
  <c r="F11762" i="1" a="1"/>
  <c r="F11847" i="1" a="1"/>
  <c r="F11911" i="1" a="1"/>
  <c r="F11975" i="1" a="1"/>
  <c r="F12039" i="1" a="1"/>
  <c r="F12103" i="1" a="1"/>
  <c r="F12167" i="1" a="1"/>
  <c r="F12231" i="1" a="1"/>
  <c r="F12295" i="1" a="1"/>
  <c r="F12359" i="1" a="1"/>
  <c r="F12423" i="1" a="1"/>
  <c r="F12487" i="1" a="1"/>
  <c r="F12551" i="1" a="1"/>
  <c r="F12615" i="1" a="1"/>
  <c r="F12679" i="1" a="1"/>
  <c r="F12743" i="1" a="1"/>
  <c r="F12807" i="1" a="1"/>
  <c r="F12871" i="1" a="1"/>
  <c r="F12935" i="1" a="1"/>
  <c r="F12999" i="1" a="1"/>
  <c r="F9118" i="1" a="1"/>
  <c r="F9554" i="1" a="1"/>
  <c r="F9793" i="1" a="1"/>
  <c r="F9964" i="1" a="1"/>
  <c r="F10134" i="1" a="1"/>
  <c r="F10305" i="1" a="1"/>
  <c r="F10455" i="1" a="1"/>
  <c r="F10583" i="1" a="1"/>
  <c r="F10752" i="1" a="1"/>
  <c r="F10919" i="1" a="1"/>
  <c r="F11086" i="1" a="1"/>
  <c r="F11258" i="1" a="1"/>
  <c r="F11343" i="1" a="1"/>
  <c r="F11428" i="1" a="1"/>
  <c r="F11514" i="1" a="1"/>
  <c r="F11599" i="1" a="1"/>
  <c r="F11684" i="1" a="1"/>
  <c r="F8974" i="1" a="1"/>
  <c r="F9492" i="1" a="1"/>
  <c r="F10651" i="1" a="1"/>
  <c r="F10818" i="1" a="1"/>
  <c r="F9246" i="1" a="1"/>
  <c r="F9633" i="1" a="1"/>
  <c r="F9837" i="1" a="1"/>
  <c r="F10008" i="1" a="1"/>
  <c r="F10178" i="1" a="1"/>
  <c r="F10352" i="1" a="1"/>
  <c r="F10480" i="1" a="1"/>
  <c r="F10607" i="1" a="1"/>
  <c r="F9097" i="1" a="1"/>
  <c r="F9534" i="1" a="1"/>
  <c r="F10684" i="1" a="1"/>
  <c r="F10851" i="1" a="1"/>
  <c r="F9166" i="1" a="1"/>
  <c r="F9586" i="1" a="1"/>
  <c r="F9820" i="1" a="1"/>
  <c r="F9990" i="1" a="1"/>
  <c r="F10161" i="1" a="1"/>
  <c r="F10330" i="1" a="1"/>
  <c r="F10459" i="1" a="1"/>
  <c r="F10587" i="1" a="1"/>
  <c r="F9006" i="1" a="1"/>
  <c r="F9510" i="1" a="1"/>
  <c r="F10667" i="1" a="1"/>
  <c r="F10834" i="1" a="1"/>
  <c r="F11012" i="1" a="1"/>
  <c r="F11179" i="1" a="1"/>
  <c r="F11756" i="1" a="1"/>
  <c r="F11842" i="1" a="1"/>
  <c r="F11906" i="1" a="1"/>
  <c r="F11970" i="1" a="1"/>
  <c r="F12034" i="1" a="1"/>
  <c r="F12098" i="1" a="1"/>
  <c r="F12162" i="1" a="1"/>
  <c r="F12226" i="1" a="1"/>
  <c r="F12290" i="1" a="1"/>
  <c r="F12354" i="1" a="1"/>
  <c r="F12418" i="1" a="1"/>
  <c r="F12482" i="1" a="1"/>
  <c r="F12546" i="1" a="1"/>
  <c r="F12610" i="1" a="1"/>
  <c r="F12674" i="1" a="1"/>
  <c r="F11050" i="1" a="1"/>
  <c r="F11773" i="1" a="1"/>
  <c r="F11929" i="1" a="1"/>
  <c r="F12057" i="1" a="1"/>
  <c r="F12185" i="1" a="1"/>
  <c r="F12313" i="1" a="1"/>
  <c r="F12441" i="1" a="1"/>
  <c r="F12569" i="1" a="1"/>
  <c r="F12697" i="1" a="1"/>
  <c r="F12870" i="1" a="1"/>
  <c r="F13037" i="1" a="1"/>
  <c r="F13170" i="1" a="1"/>
  <c r="F13298" i="1" a="1"/>
  <c r="F13426" i="1" a="1"/>
  <c r="F13554" i="1" a="1"/>
  <c r="F13682" i="1" a="1"/>
  <c r="F13810" i="1" a="1"/>
  <c r="F13938" i="1" a="1"/>
  <c r="F14066" i="1" a="1"/>
  <c r="F14194" i="1" a="1"/>
  <c r="F14322" i="1" a="1"/>
  <c r="F14450" i="1" a="1"/>
  <c r="F14578" i="1" a="1"/>
  <c r="F14706" i="1" a="1"/>
  <c r="F10800" i="1" a="1"/>
  <c r="F11255" i="1" a="1"/>
  <c r="F11426" i="1" a="1"/>
  <c r="F11596" i="1" a="1"/>
  <c r="F11801" i="1" a="1"/>
  <c r="F12865" i="1" a="1"/>
  <c r="F13032" i="1" a="1"/>
  <c r="F13166" i="1" a="1"/>
  <c r="F13294" i="1" a="1"/>
  <c r="F13422" i="1" a="1"/>
  <c r="F13550" i="1" a="1"/>
  <c r="F13678" i="1" a="1"/>
  <c r="F13806" i="1" a="1"/>
  <c r="F13934" i="1" a="1"/>
  <c r="F14062" i="1" a="1"/>
  <c r="F14190" i="1" a="1"/>
  <c r="F14318" i="1" a="1"/>
  <c r="F14446" i="1" a="1"/>
  <c r="F14574" i="1" a="1"/>
  <c r="F14702" i="1" a="1"/>
  <c r="F14820" i="1" a="1"/>
  <c r="F14884" i="1" a="1"/>
  <c r="F10942" i="1" a="1"/>
  <c r="F11731" i="1" a="1"/>
  <c r="F11892" i="1" a="1"/>
  <c r="F12020" i="1" a="1"/>
  <c r="F12148" i="1" a="1"/>
  <c r="F12276" i="1" a="1"/>
  <c r="F12404" i="1" a="1"/>
  <c r="F12532" i="1" a="1"/>
  <c r="F12660" i="1" a="1"/>
  <c r="F12821" i="1" a="1"/>
  <c r="F12988" i="1" a="1"/>
  <c r="F13135" i="1" a="1"/>
  <c r="F13263" i="1" a="1"/>
  <c r="F13391" i="1" a="1"/>
  <c r="F13519" i="1" a="1"/>
  <c r="F13647" i="1" a="1"/>
  <c r="F13775" i="1" a="1"/>
  <c r="F13903" i="1" a="1"/>
  <c r="F14031" i="1" a="1"/>
  <c r="F14159" i="1" a="1"/>
  <c r="F14287" i="1" a="1"/>
  <c r="F14415" i="1" a="1"/>
  <c r="F14543" i="1" a="1"/>
  <c r="F14671" i="1" a="1"/>
  <c r="F14799" i="1" a="1"/>
  <c r="F11144" i="1" a="1"/>
  <c r="F11366" i="1" a="1"/>
  <c r="F11536" i="1" a="1"/>
  <c r="F11704" i="1" a="1"/>
  <c r="F11043" i="1" a="1"/>
  <c r="F11796" i="1" a="1"/>
  <c r="F11925" i="1" a="1"/>
  <c r="F12053" i="1" a="1"/>
  <c r="F12181" i="1" a="1"/>
  <c r="F12309" i="1" a="1"/>
  <c r="F12437" i="1" a="1"/>
  <c r="F11159" i="1" a="1"/>
  <c r="F11378" i="1" a="1"/>
  <c r="F11548" i="1" a="1"/>
  <c r="F11742" i="1" a="1"/>
  <c r="F11124" i="1" a="1"/>
  <c r="F11816" i="1" a="1"/>
  <c r="F11944" i="1" a="1"/>
  <c r="F12072" i="1" a="1"/>
  <c r="F12200" i="1" a="1"/>
  <c r="F12328" i="1" a="1"/>
  <c r="F12456" i="1" a="1"/>
  <c r="F11151" i="1" a="1"/>
  <c r="F11371" i="1" a="1"/>
  <c r="F11542" i="1" a="1"/>
  <c r="F11736" i="1" a="1"/>
  <c r="F12825" i="1" a="1"/>
  <c r="F12992" i="1" a="1"/>
  <c r="F13133" i="1" a="1"/>
  <c r="G9975" i="1" a="1"/>
  <c r="G9088" i="1" a="1"/>
  <c r="G11961" i="1" a="1"/>
  <c r="G13858" i="1" a="1"/>
  <c r="G13956" i="1" a="1"/>
  <c r="G14606" i="1" a="1"/>
  <c r="F308" i="1" a="1"/>
  <c r="F3114" i="1" a="1"/>
  <c r="F2732" i="1" a="1"/>
  <c r="F3329" i="1" a="1"/>
  <c r="F4161" i="1" a="1"/>
  <c r="F3153" i="1" a="1"/>
  <c r="F2752" i="1" a="1"/>
  <c r="F3874" i="1" a="1"/>
  <c r="F3232" i="1" a="1"/>
  <c r="F3469" i="1" a="1"/>
  <c r="F4828" i="1" a="1"/>
  <c r="F2265" i="1" a="1"/>
  <c r="F4324" i="1" a="1"/>
  <c r="F1983" i="1" a="1"/>
  <c r="F3907" i="1" a="1"/>
  <c r="F4911" i="1" a="1"/>
  <c r="F3263" i="1" a="1"/>
  <c r="F4982" i="1" a="1"/>
  <c r="F5045" i="1" a="1"/>
  <c r="F5407" i="1" a="1"/>
  <c r="F3794" i="1" a="1"/>
  <c r="F4398" i="1" a="1"/>
  <c r="F6087" i="1" a="1"/>
  <c r="F7111" i="1" a="1"/>
  <c r="F5822" i="1" a="1"/>
  <c r="F6846" i="1" a="1"/>
  <c r="F5864" i="1" a="1"/>
  <c r="F6888" i="1" a="1"/>
  <c r="F5542" i="1" a="1"/>
  <c r="F6566" i="1" a="1"/>
  <c r="F6505" i="1" a="1"/>
  <c r="F7834" i="1" a="1"/>
  <c r="F8399" i="1" a="1"/>
  <c r="F6332" i="1" a="1"/>
  <c r="F7729" i="1" a="1"/>
  <c r="F6817" i="1" a="1"/>
  <c r="F5369" i="1" a="1"/>
  <c r="F5633" i="1" a="1"/>
  <c r="F6907" i="1" a="1"/>
  <c r="F7253" i="1" a="1"/>
  <c r="F8731" i="1" a="1"/>
  <c r="F9243" i="1" a="1"/>
  <c r="F9755" i="1" a="1"/>
  <c r="F10267" i="1" a="1"/>
  <c r="F8092" i="1" a="1"/>
  <c r="F7728" i="1" a="1"/>
  <c r="F8860" i="1" a="1"/>
  <c r="F7255" i="1" a="1"/>
  <c r="F7102" i="1" a="1"/>
  <c r="F7512" i="1" a="1"/>
  <c r="F7684" i="1" a="1"/>
  <c r="F8269" i="1" a="1"/>
  <c r="F8038" i="1" a="1"/>
  <c r="F9584" i="1" a="1"/>
  <c r="F9988" i="1" a="1"/>
  <c r="F10328" i="1" a="1"/>
  <c r="F10589" i="1" a="1"/>
  <c r="F10845" i="1" a="1"/>
  <c r="F11101" i="1" a="1"/>
  <c r="F11345" i="1" a="1"/>
  <c r="F11541" i="1" a="1"/>
  <c r="F7870" i="1" a="1"/>
  <c r="F8837" i="1" a="1"/>
  <c r="F9238" i="1" a="1"/>
  <c r="F7603" i="1" a="1"/>
  <c r="F8350" i="1" a="1"/>
  <c r="F9368" i="1" a="1"/>
  <c r="F9642" i="1" a="1"/>
  <c r="F9808" i="1" a="1"/>
  <c r="F9941" i="1" a="1"/>
  <c r="F10080" i="1" a="1"/>
  <c r="F10224" i="1" a="1"/>
  <c r="F10354" i="1" a="1"/>
  <c r="F10450" i="1" a="1"/>
  <c r="F10530" i="1" a="1"/>
  <c r="F10594" i="1" a="1"/>
  <c r="F7896" i="1" a="1"/>
  <c r="F8314" i="1" a="1"/>
  <c r="F8670" i="1" a="1"/>
  <c r="F8798" i="1" a="1"/>
  <c r="F8926" i="1" a="1"/>
  <c r="F7900" i="1" a="1"/>
  <c r="F8134" i="1" a="1"/>
  <c r="F8500" i="1" a="1"/>
  <c r="F9298" i="1" a="1"/>
  <c r="F7888" i="1" a="1"/>
  <c r="F8345" i="1" a="1"/>
  <c r="F8673" i="1" a="1"/>
  <c r="F8801" i="1" a="1"/>
  <c r="F8929" i="1" a="1"/>
  <c r="F9057" i="1" a="1"/>
  <c r="F7877" i="1" a="1"/>
  <c r="F8062" i="1" a="1"/>
  <c r="F8428" i="1" a="1"/>
  <c r="F9256" i="1" a="1"/>
  <c r="F7841" i="1" a="1"/>
  <c r="F8273" i="1" a="1"/>
  <c r="F8602" i="1" a="1"/>
  <c r="F8770" i="1" a="1"/>
  <c r="F8898" i="1" a="1"/>
  <c r="F9026" i="1" a="1"/>
  <c r="F9154" i="1" a="1"/>
  <c r="F9308" i="1" a="1"/>
  <c r="F9486" i="1" a="1"/>
  <c r="F9653" i="1" a="1"/>
  <c r="F9310" i="1" a="1"/>
  <c r="F9665" i="1" a="1"/>
  <c r="F9853" i="1" a="1"/>
  <c r="F10024" i="1" a="1"/>
  <c r="F10194" i="1" a="1"/>
  <c r="F10356" i="1" a="1"/>
  <c r="F10484" i="1" a="1"/>
  <c r="F10623" i="1" a="1"/>
  <c r="F10790" i="1" a="1"/>
  <c r="F10968" i="1" a="1"/>
  <c r="F11135" i="1" a="1"/>
  <c r="F11283" i="1" a="1"/>
  <c r="F11368" i="1" a="1"/>
  <c r="F11454" i="1" a="1"/>
  <c r="F11539" i="1" a="1"/>
  <c r="F11624" i="1" a="1"/>
  <c r="F11720" i="1" a="1"/>
  <c r="F9177" i="1" a="1"/>
  <c r="F9580" i="1" a="1"/>
  <c r="F10682" i="1" a="1"/>
  <c r="F10860" i="1" a="1"/>
  <c r="F11027" i="1" a="1"/>
  <c r="F11194" i="1" a="1"/>
  <c r="F11771" i="1" a="1"/>
  <c r="F11851" i="1" a="1"/>
  <c r="F11915" i="1" a="1"/>
  <c r="F11979" i="1" a="1"/>
  <c r="F12043" i="1" a="1"/>
  <c r="F12107" i="1" a="1"/>
  <c r="F12171" i="1" a="1"/>
  <c r="F12235" i="1" a="1"/>
  <c r="F12299" i="1" a="1"/>
  <c r="F12363" i="1" a="1"/>
  <c r="F12427" i="1" a="1"/>
  <c r="F12491" i="1" a="1"/>
  <c r="F12555" i="1" a="1"/>
  <c r="F12619" i="1" a="1"/>
  <c r="F12683" i="1" a="1"/>
  <c r="F12747" i="1" a="1"/>
  <c r="F12811" i="1" a="1"/>
  <c r="F12875" i="1" a="1"/>
  <c r="F12939" i="1" a="1"/>
  <c r="F13003" i="1" a="1"/>
  <c r="F9150" i="1" a="1"/>
  <c r="F9568" i="1" a="1"/>
  <c r="F9804" i="1" a="1"/>
  <c r="F9974" i="1" a="1"/>
  <c r="F10145" i="1" a="1"/>
  <c r="F10316" i="1" a="1"/>
  <c r="F10463" i="1" a="1"/>
  <c r="F10591" i="1" a="1"/>
  <c r="F10759" i="1" a="1"/>
  <c r="F10926" i="1" a="1"/>
  <c r="F11104" i="1" a="1"/>
  <c r="F11263" i="1" a="1"/>
  <c r="F11348" i="1" a="1"/>
  <c r="F11434" i="1" a="1"/>
  <c r="F11519" i="1" a="1"/>
  <c r="F11604" i="1" a="1"/>
  <c r="F11689" i="1" a="1"/>
  <c r="F9038" i="1" a="1"/>
  <c r="F9517" i="1" a="1"/>
  <c r="F10658" i="1" a="1"/>
  <c r="F10836" i="1" a="1"/>
  <c r="F9324" i="1" a="1"/>
  <c r="F9658" i="1" a="1"/>
  <c r="F9848" i="1" a="1"/>
  <c r="F10018" i="1" a="1"/>
  <c r="F10189" i="1" a="1"/>
  <c r="F10360" i="1" a="1"/>
  <c r="F10488" i="1" a="1"/>
  <c r="F10614" i="1" a="1"/>
  <c r="F9129" i="1" a="1"/>
  <c r="F9548" i="1" a="1"/>
  <c r="F10691" i="1" a="1"/>
  <c r="F10858" i="1" a="1"/>
  <c r="F9198" i="1" a="1"/>
  <c r="F9600" i="1" a="1"/>
  <c r="F9830" i="1" a="1"/>
  <c r="F10001" i="1" a="1"/>
  <c r="F10172" i="1" a="1"/>
  <c r="F10339" i="1" a="1"/>
  <c r="F10467" i="1" a="1"/>
  <c r="F10595" i="1" a="1"/>
  <c r="F9070" i="1" a="1"/>
  <c r="F9524" i="1" a="1"/>
  <c r="F10674" i="1" a="1"/>
  <c r="F10852" i="1" a="1"/>
  <c r="F11019" i="1" a="1"/>
  <c r="F11186" i="1" a="1"/>
  <c r="F11765" i="1" a="1"/>
  <c r="F11846" i="1" a="1"/>
  <c r="F11910" i="1" a="1"/>
  <c r="F11974" i="1" a="1"/>
  <c r="F12038" i="1" a="1"/>
  <c r="F12102" i="1" a="1"/>
  <c r="F12166" i="1" a="1"/>
  <c r="F12230" i="1" a="1"/>
  <c r="F12294" i="1" a="1"/>
  <c r="F12358" i="1" a="1"/>
  <c r="F12422" i="1" a="1"/>
  <c r="F12486" i="1" a="1"/>
  <c r="F12550" i="1" a="1"/>
  <c r="F12614" i="1" a="1"/>
  <c r="F12678" i="1" a="1"/>
  <c r="F11075" i="1" a="1"/>
  <c r="F11809" i="1" a="1"/>
  <c r="F11937" i="1" a="1"/>
  <c r="F12065" i="1" a="1"/>
  <c r="F12193" i="1" a="1"/>
  <c r="F12321" i="1" a="1"/>
  <c r="F12449" i="1" a="1"/>
  <c r="F12577" i="1" a="1"/>
  <c r="F12710" i="1" a="1"/>
  <c r="F12877" i="1" a="1"/>
  <c r="F13044" i="1" a="1"/>
  <c r="F13175" i="1" a="1"/>
  <c r="F13303" i="1" a="1"/>
  <c r="F13431" i="1" a="1"/>
  <c r="F13559" i="1" a="1"/>
  <c r="F13687" i="1" a="1"/>
  <c r="F13815" i="1" a="1"/>
  <c r="F13943" i="1" a="1"/>
  <c r="F14071" i="1" a="1"/>
  <c r="F14199" i="1" a="1"/>
  <c r="F14327" i="1" a="1"/>
  <c r="F14455" i="1" a="1"/>
  <c r="F14583" i="1" a="1"/>
  <c r="F14711" i="1" a="1"/>
  <c r="F10878" i="1" a="1"/>
  <c r="F11266" i="1" a="1"/>
  <c r="F11436" i="1" a="1"/>
  <c r="F11607" i="1" a="1"/>
  <c r="F12705" i="1" a="1"/>
  <c r="F12872" i="1" a="1"/>
  <c r="F13050" i="1" a="1"/>
  <c r="F13171" i="1" a="1"/>
  <c r="F13299" i="1" a="1"/>
  <c r="F13427" i="1" a="1"/>
  <c r="F13555" i="1" a="1"/>
  <c r="F13683" i="1" a="1"/>
  <c r="F13811" i="1" a="1"/>
  <c r="F13939" i="1" a="1"/>
  <c r="F14067" i="1" a="1"/>
  <c r="F14195" i="1" a="1"/>
  <c r="F14323" i="1" a="1"/>
  <c r="F14451" i="1" a="1"/>
  <c r="F14579" i="1" a="1"/>
  <c r="F14707" i="1" a="1"/>
  <c r="F14824" i="1" a="1"/>
  <c r="F14888" i="1" a="1"/>
  <c r="F10959" i="1" a="1"/>
  <c r="F11740" i="1" a="1"/>
  <c r="F11900" i="1" a="1"/>
  <c r="F12028" i="1" a="1"/>
  <c r="F12156" i="1" a="1"/>
  <c r="F12284" i="1" a="1"/>
  <c r="F12412" i="1" a="1"/>
  <c r="F12540" i="1" a="1"/>
  <c r="F12668" i="1" a="1"/>
  <c r="F12828" i="1" a="1"/>
  <c r="F13006" i="1" a="1"/>
  <c r="F13144" i="1" a="1"/>
  <c r="F13272" i="1" a="1"/>
  <c r="F13400" i="1" a="1"/>
  <c r="F13528" i="1" a="1"/>
  <c r="F13656" i="1" a="1"/>
  <c r="F13784" i="1" a="1"/>
  <c r="F13912" i="1" a="1"/>
  <c r="F14040" i="1" a="1"/>
  <c r="F14168" i="1" a="1"/>
  <c r="F14296" i="1" a="1"/>
  <c r="F14424" i="1" a="1"/>
  <c r="F14552" i="1" a="1"/>
  <c r="F14680" i="1" a="1"/>
  <c r="F14808" i="1" a="1"/>
  <c r="F11158" i="1" a="1"/>
  <c r="F11376" i="1" a="1"/>
  <c r="F11547" i="1" a="1"/>
  <c r="F11713" i="1" a="1"/>
  <c r="F11068" i="1" a="1"/>
  <c r="F11805" i="1" a="1"/>
  <c r="F11933" i="1" a="1"/>
  <c r="F12061" i="1" a="1"/>
  <c r="F12189" i="1" a="1"/>
  <c r="F12317" i="1" a="1"/>
  <c r="F12445" i="1" a="1"/>
  <c r="F11184" i="1" a="1"/>
  <c r="F11388" i="1" a="1"/>
  <c r="F11559" i="1" a="1"/>
  <c r="F11751" i="1" a="1"/>
  <c r="F11138" i="1" a="1"/>
  <c r="F11824" i="1" a="1"/>
  <c r="F11952" i="1" a="1"/>
  <c r="F12080" i="1" a="1"/>
  <c r="F12208" i="1" a="1"/>
  <c r="F12336" i="1" a="1"/>
  <c r="F10768" i="1" a="1"/>
  <c r="F11176" i="1" a="1"/>
  <c r="F11382" i="1" a="1"/>
  <c r="F11552" i="1" a="1"/>
  <c r="F11745" i="1" a="1"/>
  <c r="F12832" i="1" a="1"/>
  <c r="F13010" i="1" a="1"/>
  <c r="G9984" i="1" a="1"/>
  <c r="G8445" i="1" a="1"/>
  <c r="G11979" i="1" a="1"/>
  <c r="G13879" i="1" a="1"/>
  <c r="G13961" i="1" a="1"/>
  <c r="G14638" i="1" a="1"/>
  <c r="F395" i="1" a="1"/>
  <c r="F3118" i="1" a="1"/>
  <c r="F2739" i="1" a="1"/>
  <c r="F3338" i="1" a="1"/>
  <c r="F4165" i="1" a="1"/>
  <c r="F3159" i="1" a="1"/>
  <c r="F2771" i="1" a="1"/>
  <c r="F3883" i="1" a="1"/>
  <c r="F3237" i="1" a="1"/>
  <c r="F3478" i="1" a="1"/>
  <c r="F4832" i="1" a="1"/>
  <c r="F2308" i="1" a="1"/>
  <c r="F4330" i="1" a="1"/>
  <c r="F2243" i="1" a="1"/>
  <c r="F3916" i="1" a="1"/>
  <c r="F4925" i="1" a="1"/>
  <c r="F3318" i="1" a="1"/>
  <c r="F4991" i="1" a="1"/>
  <c r="F5050" i="1" a="1"/>
  <c r="F5411" i="1" a="1"/>
  <c r="F3867" i="1" a="1"/>
  <c r="F4455" i="1" a="1"/>
  <c r="F6096" i="1" a="1"/>
  <c r="F7120" i="1" a="1"/>
  <c r="F5827" i="1" a="1"/>
  <c r="F6851" i="1" a="1"/>
  <c r="F5873" i="1" a="1"/>
  <c r="F6897" i="1" a="1"/>
  <c r="F5547" i="1" a="1"/>
  <c r="F6571" i="1" a="1"/>
  <c r="F6514" i="1" a="1"/>
  <c r="F7843" i="1" a="1"/>
  <c r="F8403" i="1" a="1"/>
  <c r="F6341" i="1" a="1"/>
  <c r="F7734" i="1" a="1"/>
  <c r="F6826" i="1" a="1"/>
  <c r="F5384" i="1" a="1"/>
  <c r="F5642" i="1" a="1"/>
  <c r="F6916" i="1" a="1"/>
  <c r="F7284" i="1" a="1"/>
  <c r="F8735" i="1" a="1"/>
  <c r="F9247" i="1" a="1"/>
  <c r="F9759" i="1" a="1"/>
  <c r="F10271" i="1" a="1"/>
  <c r="F8101" i="1" a="1"/>
  <c r="F7735" i="1" a="1"/>
  <c r="F8864" i="1" a="1"/>
  <c r="F7265" i="1" a="1"/>
  <c r="F7123" i="1" a="1"/>
  <c r="F6282" i="1" a="1"/>
  <c r="F7757" i="1" a="1"/>
  <c r="F8333" i="1" a="1"/>
  <c r="F8166" i="1" a="1"/>
  <c r="F9648" i="1" a="1"/>
  <c r="F10020" i="1" a="1"/>
  <c r="F10357" i="1" a="1"/>
  <c r="F10613" i="1" a="1"/>
  <c r="F10869" i="1" a="1"/>
  <c r="F11125" i="1" a="1"/>
  <c r="F11349" i="1" a="1"/>
  <c r="F11549" i="1" a="1"/>
  <c r="F8112" i="1" a="1"/>
  <c r="F8845" i="1" a="1"/>
  <c r="F9302" i="1" a="1"/>
  <c r="F7749" i="1" a="1"/>
  <c r="F8405" i="1" a="1"/>
  <c r="F9386" i="1" a="1"/>
  <c r="F9649" i="1" a="1"/>
  <c r="F9813" i="1" a="1"/>
  <c r="F9946" i="1" a="1"/>
  <c r="F10090" i="1" a="1"/>
  <c r="F10229" i="1" a="1"/>
  <c r="F10358" i="1" a="1"/>
  <c r="F10454" i="1" a="1"/>
  <c r="F10534" i="1" a="1"/>
  <c r="F10598" i="1" a="1"/>
  <c r="F7920" i="1" a="1"/>
  <c r="F8360" i="1" a="1"/>
  <c r="F8678" i="1" a="1"/>
  <c r="F8806" i="1" a="1"/>
  <c r="F8934" i="1" a="1"/>
  <c r="F7924" i="1" a="1"/>
  <c r="F8180" i="1" a="1"/>
  <c r="F8509" i="1" a="1"/>
  <c r="F9305" i="1" a="1"/>
  <c r="F7913" i="1" a="1"/>
  <c r="F8354" i="1" a="1"/>
  <c r="F8681" i="1" a="1"/>
  <c r="F8809" i="1" a="1"/>
  <c r="F8937" i="1" a="1"/>
  <c r="F9065" i="1" a="1"/>
  <c r="F7890" i="1" a="1"/>
  <c r="F8108" i="1" a="1"/>
  <c r="F8437" i="1" a="1"/>
  <c r="F9274" i="1" a="1"/>
  <c r="F7854" i="1" a="1"/>
  <c r="F8282" i="1" a="1"/>
  <c r="F8648" i="1" a="1"/>
  <c r="F8778" i="1" a="1"/>
  <c r="F8906" i="1" a="1"/>
  <c r="F9034" i="1" a="1"/>
  <c r="F9162" i="1" a="1"/>
  <c r="F9326" i="1" a="1"/>
  <c r="F9493" i="1" a="1"/>
  <c r="F9660" i="1" a="1"/>
  <c r="F9345" i="1" a="1"/>
  <c r="F9690" i="1" a="1"/>
  <c r="F9864" i="1" a="1"/>
  <c r="F10034" i="1" a="1"/>
  <c r="F10205" i="1" a="1"/>
  <c r="F10364" i="1" a="1"/>
  <c r="F10492" i="1" a="1"/>
  <c r="F10630" i="1" a="1"/>
  <c r="F10808" i="1" a="1"/>
  <c r="F10975" i="1" a="1"/>
  <c r="F11142" i="1" a="1"/>
  <c r="F11288" i="1" a="1"/>
  <c r="F11374" i="1" a="1"/>
  <c r="F11459" i="1" a="1"/>
  <c r="F11544" i="1" a="1"/>
  <c r="F11630" i="1" a="1"/>
  <c r="F11729" i="1" a="1"/>
  <c r="F9209" i="1" a="1"/>
  <c r="F9605" i="1" a="1"/>
  <c r="F10700" i="1" a="1"/>
  <c r="F10867" i="1" a="1"/>
  <c r="F11034" i="1" a="1"/>
  <c r="F11212" i="1" a="1"/>
  <c r="F11780" i="1" a="1"/>
  <c r="F11855" i="1" a="1"/>
  <c r="F11919" i="1" a="1"/>
  <c r="F11983" i="1" a="1"/>
  <c r="F12047" i="1" a="1"/>
  <c r="F12111" i="1" a="1"/>
  <c r="F12175" i="1" a="1"/>
  <c r="F12239" i="1" a="1"/>
  <c r="F12303" i="1" a="1"/>
  <c r="F12367" i="1" a="1"/>
  <c r="F12431" i="1" a="1"/>
  <c r="F12495" i="1" a="1"/>
  <c r="F12559" i="1" a="1"/>
  <c r="F12623" i="1" a="1"/>
  <c r="F12687" i="1" a="1"/>
  <c r="F12751" i="1" a="1"/>
  <c r="F12815" i="1" a="1"/>
  <c r="F12879" i="1" a="1"/>
  <c r="F12943" i="1" a="1"/>
  <c r="F13007" i="1" a="1"/>
  <c r="F9182" i="1" a="1"/>
  <c r="F9593" i="1" a="1"/>
  <c r="F9814" i="1" a="1"/>
  <c r="F9985" i="1" a="1"/>
  <c r="F10156" i="1" a="1"/>
  <c r="F10343" i="1" a="1"/>
  <c r="F10471" i="1" a="1"/>
  <c r="F10599" i="1" a="1"/>
  <c r="F10766" i="1" a="1"/>
  <c r="F10944" i="1" a="1"/>
  <c r="F11111" i="1" a="1"/>
  <c r="F11268" i="1" a="1"/>
  <c r="F11354" i="1" a="1"/>
  <c r="F11439" i="1" a="1"/>
  <c r="F11524" i="1" a="1"/>
  <c r="F11610" i="1" a="1"/>
  <c r="F11694" i="1" a="1"/>
  <c r="F9089" i="1" a="1"/>
  <c r="F9542" i="1" a="1"/>
  <c r="F10676" i="1" a="1"/>
  <c r="F10843" i="1" a="1"/>
  <c r="F9338" i="1" a="1"/>
  <c r="F9672" i="1" a="1"/>
  <c r="F9858" i="1" a="1"/>
  <c r="F10029" i="1" a="1"/>
  <c r="F10200" i="1" a="1"/>
  <c r="F10368" i="1" a="1"/>
  <c r="F10496" i="1" a="1"/>
  <c r="F10632" i="1" a="1"/>
  <c r="F9161" i="1" a="1"/>
  <c r="F9573" i="1" a="1"/>
  <c r="F10698" i="1" a="1"/>
  <c r="F10876" i="1" a="1"/>
  <c r="F9228" i="1" a="1"/>
  <c r="F9625" i="1" a="1"/>
  <c r="F9841" i="1" a="1"/>
  <c r="F10012" i="1" a="1"/>
  <c r="F10182" i="1" a="1"/>
  <c r="F10347" i="1" a="1"/>
  <c r="F10475" i="1" a="1"/>
  <c r="F10608" i="1" a="1"/>
  <c r="F9105" i="1" a="1"/>
  <c r="F9549" i="1" a="1"/>
  <c r="F10692" i="1" a="1"/>
  <c r="F10859" i="1" a="1"/>
  <c r="F11026" i="1" a="1"/>
  <c r="F11204" i="1" a="1"/>
  <c r="F11770" i="1" a="1"/>
  <c r="F11850" i="1" a="1"/>
  <c r="F11914" i="1" a="1"/>
  <c r="F11978" i="1" a="1"/>
  <c r="F12042" i="1" a="1"/>
  <c r="F12106" i="1" a="1"/>
  <c r="F12170" i="1" a="1"/>
  <c r="F12234" i="1" a="1"/>
  <c r="F12298" i="1" a="1"/>
  <c r="F12362" i="1" a="1"/>
  <c r="F12426" i="1" a="1"/>
  <c r="F12490" i="1" a="1"/>
  <c r="F12554" i="1" a="1"/>
  <c r="F12618" i="1" a="1"/>
  <c r="F12682" i="1" a="1"/>
  <c r="F11100" i="1" a="1"/>
  <c r="F11817" i="1" a="1"/>
  <c r="F11945" i="1" a="1"/>
  <c r="F12073" i="1" a="1"/>
  <c r="F12201" i="1" a="1"/>
  <c r="F12329" i="1" a="1"/>
  <c r="F12457" i="1" a="1"/>
  <c r="F12585" i="1" a="1"/>
  <c r="F12717" i="1" a="1"/>
  <c r="F12884" i="1" a="1"/>
  <c r="F13055" i="1" a="1"/>
  <c r="F13184" i="1" a="1"/>
  <c r="F13312" i="1" a="1"/>
  <c r="F13440" i="1" a="1"/>
  <c r="F13568" i="1" a="1"/>
  <c r="F13696" i="1" a="1"/>
  <c r="F13824" i="1" a="1"/>
  <c r="F13952" i="1" a="1"/>
  <c r="F14080" i="1" a="1"/>
  <c r="F14208" i="1" a="1"/>
  <c r="F14336" i="1" a="1"/>
  <c r="F14464" i="1" a="1"/>
  <c r="F14592" i="1" a="1"/>
  <c r="F14720" i="1" a="1"/>
  <c r="F10903" i="1" a="1"/>
  <c r="F11276" i="1" a="1"/>
  <c r="F11447" i="1" a="1"/>
  <c r="F11618" i="1" a="1"/>
  <c r="F12712" i="1" a="1"/>
  <c r="F12890" i="1" a="1"/>
  <c r="F13056" i="1" a="1"/>
  <c r="F13180" i="1" a="1"/>
  <c r="F13308" i="1" a="1"/>
  <c r="F13436" i="1" a="1"/>
  <c r="F13564" i="1" a="1"/>
  <c r="G10557" i="1" a="1"/>
  <c r="G11167" i="1" a="1"/>
  <c r="G9730" i="1" a="1"/>
  <c r="G11115" i="1" a="1"/>
  <c r="G14616" i="1" a="1"/>
  <c r="F384" i="1" a="1"/>
  <c r="F1623" i="1" a="1"/>
  <c r="F1798" i="1" a="1"/>
  <c r="F2201" i="1" a="1"/>
  <c r="F3457" i="1" a="1"/>
  <c r="F4225" i="1" a="1"/>
  <c r="F3311" i="1" a="1"/>
  <c r="F2879" i="1" a="1"/>
  <c r="F3986" i="1" a="1"/>
  <c r="F3360" i="1" a="1"/>
  <c r="F3725" i="1" a="1"/>
  <c r="F4892" i="1" a="1"/>
  <c r="F2875" i="1" a="1"/>
  <c r="F4438" i="1" a="1"/>
  <c r="F2174" i="1" a="1"/>
  <c r="F3565" i="1" a="1"/>
  <c r="F5085" i="1" a="1"/>
  <c r="F3775" i="1" a="1"/>
  <c r="F3087" i="1" a="1"/>
  <c r="F5238" i="1" a="1"/>
  <c r="F3495" i="1" a="1"/>
  <c r="F3760" i="1" a="1"/>
  <c r="F4978" i="1" a="1"/>
  <c r="F6215" i="1" a="1"/>
  <c r="F7239" i="1" a="1"/>
  <c r="F5950" i="1" a="1"/>
  <c r="F6974" i="1" a="1"/>
  <c r="F5992" i="1" a="1"/>
  <c r="F4837" i="1" a="1"/>
  <c r="F5670" i="1" a="1"/>
  <c r="F6694" i="1" a="1"/>
  <c r="F6761" i="1" a="1"/>
  <c r="F7951" i="1" a="1"/>
  <c r="F8463" i="1" a="1"/>
  <c r="F6588" i="1" a="1"/>
  <c r="F7857" i="1" a="1"/>
  <c r="F7019" i="1" a="1"/>
  <c r="F5586" i="1" a="1"/>
  <c r="F5889" i="1" a="1"/>
  <c r="F7072" i="1" a="1"/>
  <c r="F7534" i="1" a="1"/>
  <c r="F8795" i="1" a="1"/>
  <c r="F9307" i="1" a="1"/>
  <c r="F9819" i="1" a="1"/>
  <c r="F6272" i="1" a="1"/>
  <c r="F8261" i="1" a="1"/>
  <c r="F7905" i="1" a="1"/>
  <c r="F8924" i="1" a="1"/>
  <c r="F7508" i="1" a="1"/>
  <c r="F7290" i="1" a="1"/>
  <c r="F6465" i="1" a="1"/>
  <c r="F7763" i="1" a="1"/>
  <c r="F8342" i="1" a="1"/>
  <c r="F8212" i="1" a="1"/>
  <c r="F9666" i="1" a="1"/>
  <c r="F10025" i="1" a="1"/>
  <c r="F10361" i="1" a="1"/>
  <c r="F10617" i="1" a="1"/>
  <c r="F10873" i="1" a="1"/>
  <c r="F11129" i="1" a="1"/>
  <c r="F11357" i="1" a="1"/>
  <c r="F11573" i="1" a="1"/>
  <c r="F8121" i="1" a="1"/>
  <c r="F8893" i="1" a="1"/>
  <c r="F9309" i="1" a="1"/>
  <c r="F7762" i="1" a="1"/>
  <c r="F8460" i="1" a="1"/>
  <c r="F9393" i="1" a="1"/>
  <c r="F9656" i="1" a="1"/>
  <c r="F9824" i="1" a="1"/>
  <c r="F9968" i="1" a="1"/>
  <c r="F10101" i="1" a="1"/>
  <c r="F10234" i="1" a="1"/>
  <c r="F10362" i="1" a="1"/>
  <c r="F10458" i="1" a="1"/>
  <c r="F10538" i="1" a="1"/>
  <c r="F7589" i="1" a="1"/>
  <c r="F8040" i="1" a="1"/>
  <c r="F8369" i="1" a="1"/>
  <c r="F8686" i="1" a="1"/>
  <c r="F8814" i="1" a="1"/>
  <c r="F8942" i="1" a="1"/>
  <c r="F7948" i="1" a="1"/>
  <c r="F8189" i="1" a="1"/>
  <c r="F8518" i="1" a="1"/>
  <c r="F9312" i="1" a="1"/>
  <c r="F7937" i="1" a="1"/>
  <c r="F8400" i="1" a="1"/>
  <c r="F8689" i="1" a="1"/>
  <c r="F8817" i="1" a="1"/>
  <c r="F8945" i="1" a="1"/>
  <c r="F9073" i="1" a="1"/>
  <c r="F7901" i="1" a="1"/>
  <c r="F8117" i="1" a="1"/>
  <c r="F8446" i="1" a="1"/>
  <c r="F9281" i="1" a="1"/>
  <c r="F7865" i="1" a="1"/>
  <c r="F8328" i="1" a="1"/>
  <c r="F8657" i="1" a="1"/>
  <c r="F8786" i="1" a="1"/>
  <c r="F8914" i="1" a="1"/>
  <c r="F9042" i="1" a="1"/>
  <c r="F9170" i="1" a="1"/>
  <c r="F9333" i="1" a="1"/>
  <c r="F9500" i="1" a="1"/>
  <c r="F9678" i="1" a="1"/>
  <c r="F9370" i="1" a="1"/>
  <c r="F9704" i="1" a="1"/>
  <c r="F9874" i="1" a="1"/>
  <c r="F10045" i="1" a="1"/>
  <c r="F10216" i="1" a="1"/>
  <c r="F10372" i="1" a="1"/>
  <c r="F10500" i="1" a="1"/>
  <c r="F10648" i="1" a="1"/>
  <c r="F10815" i="1" a="1"/>
  <c r="F10982" i="1" a="1"/>
  <c r="F11160" i="1" a="1"/>
  <c r="F11294" i="1" a="1"/>
  <c r="F11379" i="1" a="1"/>
  <c r="F11464" i="1" a="1"/>
  <c r="F11550" i="1" a="1"/>
  <c r="F11635" i="1" a="1"/>
  <c r="F11734" i="1" a="1"/>
  <c r="F9236" i="1" a="1"/>
  <c r="F9630" i="1" a="1"/>
  <c r="F10707" i="1" a="1"/>
  <c r="F10874" i="1" a="1"/>
  <c r="F11052" i="1" a="1"/>
  <c r="F11219" i="1" a="1"/>
  <c r="F11789" i="1" a="1"/>
  <c r="F11859" i="1" a="1"/>
  <c r="F11923" i="1" a="1"/>
  <c r="F11987" i="1" a="1"/>
  <c r="F12051" i="1" a="1"/>
  <c r="F12115" i="1" a="1"/>
  <c r="F12179" i="1" a="1"/>
  <c r="F12243" i="1" a="1"/>
  <c r="F12307" i="1" a="1"/>
  <c r="F12371" i="1" a="1"/>
  <c r="F12435" i="1" a="1"/>
  <c r="F12499" i="1" a="1"/>
  <c r="F12563" i="1" a="1"/>
  <c r="F12627" i="1" a="1"/>
  <c r="F12691" i="1" a="1"/>
  <c r="F12755" i="1" a="1"/>
  <c r="F12819" i="1" a="1"/>
  <c r="F12883" i="1" a="1"/>
  <c r="F12947" i="1" a="1"/>
  <c r="F13011" i="1" a="1"/>
  <c r="F9214" i="1" a="1"/>
  <c r="F9618" i="1" a="1"/>
  <c r="F9825" i="1" a="1"/>
  <c r="F9996" i="1" a="1"/>
  <c r="F10166" i="1" a="1"/>
  <c r="F10351" i="1" a="1"/>
  <c r="F10479" i="1" a="1"/>
  <c r="F10606" i="1" a="1"/>
  <c r="F10784" i="1" a="1"/>
  <c r="F10951" i="1" a="1"/>
  <c r="F11118" i="1" a="1"/>
  <c r="F11274" i="1" a="1"/>
  <c r="F11359" i="1" a="1"/>
  <c r="F11444" i="1" a="1"/>
  <c r="F11530" i="1" a="1"/>
  <c r="F11615" i="1" a="1"/>
  <c r="F11703" i="1" a="1"/>
  <c r="F9121" i="1" a="1"/>
  <c r="F9556" i="1" a="1"/>
  <c r="F10683" i="1" a="1"/>
  <c r="F10850" i="1" a="1"/>
  <c r="F9352" i="1" a="1"/>
  <c r="F9697" i="1" a="1"/>
  <c r="F9869" i="1" a="1"/>
  <c r="F10040" i="1" a="1"/>
  <c r="F10210" i="1" a="1"/>
  <c r="F10376" i="1" a="1"/>
  <c r="F10504" i="1" a="1"/>
  <c r="F10639" i="1" a="1"/>
  <c r="F9193" i="1" a="1"/>
  <c r="F9598" i="1" a="1"/>
  <c r="F10716" i="1" a="1"/>
  <c r="F10883" i="1" a="1"/>
  <c r="F9253" i="1" a="1"/>
  <c r="F9650" i="1" a="1"/>
  <c r="F9852" i="1" a="1"/>
  <c r="F10022" i="1" a="1"/>
  <c r="F10193" i="1" a="1"/>
  <c r="F10355" i="1" a="1"/>
  <c r="F10483" i="1" a="1"/>
  <c r="F10615" i="1" a="1"/>
  <c r="F9137" i="1" a="1"/>
  <c r="F9574" i="1" a="1"/>
  <c r="F10699" i="1" a="1"/>
  <c r="F10866" i="1" a="1"/>
  <c r="F11044" i="1" a="1"/>
  <c r="F11211" i="1" a="1"/>
  <c r="F11779" i="1" a="1"/>
  <c r="F11854" i="1" a="1"/>
  <c r="F11918" i="1" a="1"/>
  <c r="F11982" i="1" a="1"/>
  <c r="F12046" i="1" a="1"/>
  <c r="F12110" i="1" a="1"/>
  <c r="F12174" i="1" a="1"/>
  <c r="F12238" i="1" a="1"/>
  <c r="F12302" i="1" a="1"/>
  <c r="F12366" i="1" a="1"/>
  <c r="F12430" i="1" a="1"/>
  <c r="F12494" i="1" a="1"/>
  <c r="F12558" i="1" a="1"/>
  <c r="F12622" i="1" a="1"/>
  <c r="F12686" i="1" a="1"/>
  <c r="F11114" i="1" a="1"/>
  <c r="F11825" i="1" a="1"/>
  <c r="F11953" i="1" a="1"/>
  <c r="F12081" i="1" a="1"/>
  <c r="F12209" i="1" a="1"/>
  <c r="F12337" i="1" a="1"/>
  <c r="F12465" i="1" a="1"/>
  <c r="F12593" i="1" a="1"/>
  <c r="F12724" i="1" a="1"/>
  <c r="F12902" i="1" a="1"/>
  <c r="F13065" i="1" a="1"/>
  <c r="F13193" i="1" a="1"/>
  <c r="F13321" i="1" a="1"/>
  <c r="F13449" i="1" a="1"/>
  <c r="F13577" i="1" a="1"/>
  <c r="F13705" i="1" a="1"/>
  <c r="F13833" i="1" a="1"/>
  <c r="F13961" i="1" a="1"/>
  <c r="F14089" i="1" a="1"/>
  <c r="F14217" i="1" a="1"/>
  <c r="F14345" i="1" a="1"/>
  <c r="F14473" i="1" a="1"/>
  <c r="F14601" i="1" a="1"/>
  <c r="F14729" i="1" a="1"/>
  <c r="F10974" i="1" a="1"/>
  <c r="F11287" i="1" a="1"/>
  <c r="F11458" i="1" a="1"/>
  <c r="F11628" i="1" a="1"/>
  <c r="F12730" i="1" a="1"/>
  <c r="F12897" i="1" a="1"/>
  <c r="F13061" i="1" a="1"/>
  <c r="F13189" i="1" a="1"/>
  <c r="F13317" i="1" a="1"/>
  <c r="F13445" i="1" a="1"/>
  <c r="F13573" i="1" a="1"/>
  <c r="F13701" i="1" a="1"/>
  <c r="F13829" i="1" a="1"/>
  <c r="F13957" i="1" a="1"/>
  <c r="F14085" i="1" a="1"/>
  <c r="F14213" i="1" a="1"/>
  <c r="F14341" i="1" a="1"/>
  <c r="F14469" i="1" a="1"/>
  <c r="F14597" i="1" a="1"/>
  <c r="F14725" i="1" a="1"/>
  <c r="F14832" i="1" a="1"/>
  <c r="F14896" i="1" a="1"/>
  <c r="F11003" i="1" a="1"/>
  <c r="F11786" i="1" a="1"/>
  <c r="F11916" i="1" a="1"/>
  <c r="F12044" i="1" a="1"/>
  <c r="F12172" i="1" a="1"/>
  <c r="F12300" i="1" a="1"/>
  <c r="F12428" i="1" a="1"/>
  <c r="F12556" i="1" a="1"/>
  <c r="F12684" i="1" a="1"/>
  <c r="F12853" i="1" a="1"/>
  <c r="F13020" i="1" a="1"/>
  <c r="F13162" i="1" a="1"/>
  <c r="F13290" i="1" a="1"/>
  <c r="F13418" i="1" a="1"/>
  <c r="F13546" i="1" a="1"/>
  <c r="F13674" i="1" a="1"/>
  <c r="F13802" i="1" a="1"/>
  <c r="F13930" i="1" a="1"/>
  <c r="F14058" i="1" a="1"/>
  <c r="F14186" i="1" a="1"/>
  <c r="F14314" i="1" a="1"/>
  <c r="F14442" i="1" a="1"/>
  <c r="F14570" i="1" a="1"/>
  <c r="F14698" i="1" a="1"/>
  <c r="F10807" i="1" a="1"/>
  <c r="F11208" i="1" a="1"/>
  <c r="F11398" i="1" a="1"/>
  <c r="F11568" i="1" a="1"/>
  <c r="F11759" i="1" a="1"/>
  <c r="F11107" i="1" a="1"/>
  <c r="F11821" i="1" a="1"/>
  <c r="F11949" i="1" a="1"/>
  <c r="F12077" i="1" a="1"/>
  <c r="F12205" i="1" a="1"/>
  <c r="F12333" i="1" a="1"/>
  <c r="F10814" i="1" a="1"/>
  <c r="F11223" i="1" a="1"/>
  <c r="F11410" i="1" a="1"/>
  <c r="F11580" i="1" a="1"/>
  <c r="F11769" i="1" a="1"/>
  <c r="F11188" i="1" a="1"/>
  <c r="F11840" i="1" a="1"/>
  <c r="F11968" i="1" a="1"/>
  <c r="F12096" i="1" a="1"/>
  <c r="F12224" i="1" a="1"/>
  <c r="F12352" i="1" a="1"/>
  <c r="F10871" i="1" a="1"/>
  <c r="F11215" i="1" a="1"/>
  <c r="F11403" i="1" a="1"/>
  <c r="F11574" i="1" a="1"/>
  <c r="F11791" i="1" a="1"/>
  <c r="G10575" i="1" a="1"/>
  <c r="G11172" i="1" a="1"/>
  <c r="G9748" i="1" a="1"/>
  <c r="G11152" i="1" a="1"/>
  <c r="G14620" i="1" a="1"/>
  <c r="F393" i="1" a="1"/>
  <c r="F1632" i="1" a="1"/>
  <c r="F1818" i="1" a="1"/>
  <c r="F2222" i="1" a="1"/>
  <c r="F3466" i="1" a="1"/>
  <c r="F4229" i="1" a="1"/>
  <c r="F3320" i="1" a="1"/>
  <c r="F2885" i="1" a="1"/>
  <c r="F3990" i="1" a="1"/>
  <c r="F3365" i="1" a="1"/>
  <c r="F3734" i="1" a="1"/>
  <c r="F4896" i="1" a="1"/>
  <c r="F2889" i="1" a="1"/>
  <c r="F4447" i="1" a="1"/>
  <c r="F2244" i="1" a="1"/>
  <c r="F3583" i="1" a="1"/>
  <c r="F5094" i="1" a="1"/>
  <c r="F3830" i="1" a="1"/>
  <c r="F3230" i="1" a="1"/>
  <c r="F5243" i="1" a="1"/>
  <c r="F3568" i="1" a="1"/>
  <c r="F3797" i="1" a="1"/>
  <c r="F4990" i="1" a="1"/>
  <c r="F6224" i="1" a="1"/>
  <c r="F7248" i="1" a="1"/>
  <c r="F5955" i="1" a="1"/>
  <c r="F6979" i="1" a="1"/>
  <c r="F6001" i="1" a="1"/>
  <c r="F4849" i="1" a="1"/>
  <c r="F5675" i="1" a="1"/>
  <c r="F6699" i="1" a="1"/>
  <c r="F6770" i="1" a="1"/>
  <c r="F7955" i="1" a="1"/>
  <c r="F8467" i="1" a="1"/>
  <c r="F6597" i="1" a="1"/>
  <c r="F7862" i="1" a="1"/>
  <c r="F7037" i="1" a="1"/>
  <c r="F5623" i="1" a="1"/>
  <c r="F5898" i="1" a="1"/>
  <c r="F7083" i="1" a="1"/>
  <c r="F7543" i="1" a="1"/>
  <c r="F8799" i="1" a="1"/>
  <c r="F9311" i="1" a="1"/>
  <c r="F9823" i="1" a="1"/>
  <c r="F6290" i="1" a="1"/>
  <c r="F8270" i="1" a="1"/>
  <c r="F7911" i="1" a="1"/>
  <c r="F8928" i="1" a="1"/>
  <c r="F7517" i="1" a="1"/>
  <c r="F7405" i="1" a="1"/>
  <c r="F6520" i="1" a="1"/>
  <c r="F7818" i="1" a="1"/>
  <c r="F8406" i="1" a="1"/>
  <c r="F8340" i="1" a="1"/>
  <c r="F9716" i="1" a="1"/>
  <c r="F10057" i="1" a="1"/>
  <c r="F10385" i="1" a="1"/>
  <c r="F10641" i="1" a="1"/>
  <c r="F10897" i="1" a="1"/>
  <c r="F11153" i="1" a="1"/>
  <c r="F11381" i="1" a="1"/>
  <c r="F11577" i="1" a="1"/>
  <c r="F8249" i="1" a="1"/>
  <c r="F8901" i="1" a="1"/>
  <c r="F9334" i="1" a="1"/>
  <c r="F7786" i="1" a="1"/>
  <c r="F8478" i="1" a="1"/>
  <c r="F9400" i="1" a="1"/>
  <c r="F9674" i="1" a="1"/>
  <c r="F9834" i="1" a="1"/>
  <c r="F9973" i="1" a="1"/>
  <c r="F10106" i="1" a="1"/>
  <c r="F10240" i="1" a="1"/>
  <c r="F10366" i="1" a="1"/>
  <c r="F10462" i="1" a="1"/>
  <c r="F10542" i="1" a="1"/>
  <c r="F7618" i="1" a="1"/>
  <c r="F8049" i="1" a="1"/>
  <c r="F8378" i="1" a="1"/>
  <c r="F8694" i="1" a="1"/>
  <c r="F8822" i="1" a="1"/>
  <c r="F7594" i="1" a="1"/>
  <c r="F7958" i="1" a="1"/>
  <c r="F8198" i="1" a="1"/>
  <c r="F8564" i="1" a="1"/>
  <c r="F9330" i="1" a="1"/>
  <c r="F8080" i="1" a="1"/>
  <c r="F8409" i="1" a="1"/>
  <c r="F8697" i="1" a="1"/>
  <c r="F8825" i="1" a="1"/>
  <c r="F8953" i="1" a="1"/>
  <c r="F7595" i="1" a="1"/>
  <c r="F7914" i="1" a="1"/>
  <c r="F8126" i="1" a="1"/>
  <c r="F8492" i="1" a="1"/>
  <c r="F9288" i="1" a="1"/>
  <c r="F7878" i="1" a="1"/>
  <c r="F8337" i="1" a="1"/>
  <c r="F8666" i="1" a="1"/>
  <c r="F8794" i="1" a="1"/>
  <c r="F8922" i="1" a="1"/>
  <c r="F9050" i="1" a="1"/>
  <c r="F9178" i="1" a="1"/>
  <c r="F9340" i="1" a="1"/>
  <c r="F9518" i="1" a="1"/>
  <c r="F9685" i="1" a="1"/>
  <c r="F9384" i="1" a="1"/>
  <c r="F9714" i="1" a="1"/>
  <c r="F9885" i="1" a="1"/>
  <c r="F10056" i="1" a="1"/>
  <c r="F10226" i="1" a="1"/>
  <c r="F10380" i="1" a="1"/>
  <c r="F10508" i="1" a="1"/>
  <c r="F10655" i="1" a="1"/>
  <c r="F10822" i="1" a="1"/>
  <c r="F11000" i="1" a="1"/>
  <c r="F11167" i="1" a="1"/>
  <c r="F11299" i="1" a="1"/>
  <c r="F11384" i="1" a="1"/>
  <c r="F11470" i="1" a="1"/>
  <c r="F11555" i="1" a="1"/>
  <c r="F11640" i="1" a="1"/>
  <c r="F11743" i="1" a="1"/>
  <c r="F9261" i="1" a="1"/>
  <c r="F9644" i="1" a="1"/>
  <c r="F10714" i="1" a="1"/>
  <c r="F10892" i="1" a="1"/>
  <c r="F11059" i="1" a="1"/>
  <c r="F11226" i="1" a="1"/>
  <c r="F11794" i="1" a="1"/>
  <c r="F11863" i="1" a="1"/>
  <c r="F11927" i="1" a="1"/>
  <c r="F11991" i="1" a="1"/>
  <c r="F12055" i="1" a="1"/>
  <c r="F12119" i="1" a="1"/>
  <c r="F12183" i="1" a="1"/>
  <c r="F12247" i="1" a="1"/>
  <c r="F12311" i="1" a="1"/>
  <c r="F12375" i="1" a="1"/>
  <c r="F12439" i="1" a="1"/>
  <c r="F12503" i="1" a="1"/>
  <c r="F12567" i="1" a="1"/>
  <c r="F12631" i="1" a="1"/>
  <c r="F12695" i="1" a="1"/>
  <c r="F12759" i="1" a="1"/>
  <c r="F12823" i="1" a="1"/>
  <c r="F12887" i="1" a="1"/>
  <c r="F12951" i="1" a="1"/>
  <c r="F13015" i="1" a="1"/>
  <c r="F9292" i="1" a="1"/>
  <c r="F9632" i="1" a="1"/>
  <c r="F9836" i="1" a="1"/>
  <c r="F10006" i="1" a="1"/>
  <c r="F10177" i="1" a="1"/>
  <c r="F10359" i="1" a="1"/>
  <c r="F10487" i="1" a="1"/>
  <c r="F10624" i="1" a="1"/>
  <c r="F10791" i="1" a="1"/>
  <c r="F10958" i="1" a="1"/>
  <c r="F11136" i="1" a="1"/>
  <c r="F11279" i="1" a="1"/>
  <c r="F11364" i="1" a="1"/>
  <c r="F11450" i="1" a="1"/>
  <c r="F11535" i="1" a="1"/>
  <c r="F11620" i="1" a="1"/>
  <c r="F11712" i="1" a="1"/>
  <c r="F9153" i="1" a="1"/>
  <c r="F9581" i="1" a="1"/>
  <c r="F10690" i="1" a="1"/>
  <c r="F10868" i="1" a="1"/>
  <c r="F9377" i="1" a="1"/>
  <c r="F9709" i="1" a="1"/>
  <c r="F9880" i="1" a="1"/>
  <c r="F10050" i="1" a="1"/>
  <c r="F10221" i="1" a="1"/>
  <c r="F10384" i="1" a="1"/>
  <c r="F10512" i="1" a="1"/>
  <c r="F10646" i="1" a="1"/>
  <c r="F9222" i="1" a="1"/>
  <c r="F9612" i="1" a="1"/>
  <c r="F10723" i="1" a="1"/>
  <c r="F10890" i="1" a="1"/>
  <c r="F9278" i="1" a="1"/>
  <c r="F9664" i="1" a="1"/>
  <c r="F9862" i="1" a="1"/>
  <c r="F10033" i="1" a="1"/>
  <c r="F10204" i="1" a="1"/>
  <c r="F10363" i="1" a="1"/>
  <c r="F10491" i="1" a="1"/>
  <c r="F10622" i="1" a="1"/>
  <c r="F9169" i="1" a="1"/>
  <c r="F9588" i="1" a="1"/>
  <c r="F10706" i="1" a="1"/>
  <c r="F10884" i="1" a="1"/>
  <c r="F11051" i="1" a="1"/>
  <c r="F11218" i="1" a="1"/>
  <c r="F11788" i="1" a="1"/>
  <c r="F11858" i="1" a="1"/>
  <c r="F11922" i="1" a="1"/>
  <c r="F11986" i="1" a="1"/>
  <c r="F12050" i="1" a="1"/>
  <c r="F12114" i="1" a="1"/>
  <c r="F12178" i="1" a="1"/>
  <c r="F12242" i="1" a="1"/>
  <c r="F12306" i="1" a="1"/>
  <c r="F12370" i="1" a="1"/>
  <c r="F12434" i="1" a="1"/>
  <c r="F12498" i="1" a="1"/>
  <c r="F12562" i="1" a="1"/>
  <c r="F12626" i="1" a="1"/>
  <c r="F12690" i="1" a="1"/>
  <c r="F11139" i="1" a="1"/>
  <c r="F11833" i="1" a="1"/>
  <c r="F11961" i="1" a="1"/>
  <c r="F12089" i="1" a="1"/>
  <c r="F12217" i="1" a="1"/>
  <c r="F12345" i="1" a="1"/>
  <c r="F12473" i="1" a="1"/>
  <c r="F12601" i="1" a="1"/>
  <c r="F12742" i="1" a="1"/>
  <c r="F12909" i="1" a="1"/>
  <c r="F13074" i="1" a="1"/>
  <c r="F13202" i="1" a="1"/>
  <c r="F13330" i="1" a="1"/>
  <c r="F13458" i="1" a="1"/>
  <c r="F13586" i="1" a="1"/>
  <c r="F13714" i="1" a="1"/>
  <c r="F13842" i="1" a="1"/>
  <c r="F13970" i="1" a="1"/>
  <c r="F14098" i="1" a="1"/>
  <c r="F14226" i="1" a="1"/>
  <c r="F14354" i="1" a="1"/>
  <c r="F14482" i="1" a="1"/>
  <c r="F14610" i="1" a="1"/>
  <c r="F14738" i="1" a="1"/>
  <c r="F10999" i="1" a="1"/>
  <c r="F11298" i="1" a="1"/>
  <c r="F11468" i="1" a="1"/>
  <c r="F11639" i="1" a="1"/>
  <c r="F12737" i="1" a="1"/>
  <c r="F12904" i="1" a="1"/>
  <c r="F13070" i="1" a="1"/>
  <c r="F13198" i="1" a="1"/>
  <c r="F13326" i="1" a="1"/>
  <c r="F13454" i="1" a="1"/>
  <c r="F13582" i="1" a="1"/>
  <c r="F13710" i="1" a="1"/>
  <c r="F13838" i="1" a="1"/>
  <c r="F13966" i="1" a="1"/>
  <c r="F14094" i="1" a="1"/>
  <c r="F14222" i="1" a="1"/>
  <c r="F14350" i="1" a="1"/>
  <c r="F14478" i="1" a="1"/>
  <c r="F14606" i="1" a="1"/>
  <c r="F14734" i="1" a="1"/>
  <c r="F14836" i="1" a="1"/>
  <c r="F14900" i="1" a="1"/>
  <c r="F11028" i="1" a="1"/>
  <c r="F11795" i="1" a="1"/>
  <c r="F11924" i="1" a="1"/>
  <c r="F12052" i="1" a="1"/>
  <c r="F12180" i="1" a="1"/>
  <c r="F12308" i="1" a="1"/>
  <c r="F12436" i="1" a="1"/>
  <c r="F12564" i="1" a="1"/>
  <c r="F12692" i="1" a="1"/>
  <c r="F12860" i="1" a="1"/>
  <c r="F13038" i="1" a="1"/>
  <c r="F13167" i="1" a="1"/>
  <c r="F13295" i="1" a="1"/>
  <c r="F13423" i="1" a="1"/>
  <c r="F13551" i="1" a="1"/>
  <c r="F13679" i="1" a="1"/>
  <c r="F13807" i="1" a="1"/>
  <c r="F13935" i="1" a="1"/>
  <c r="F14063" i="1" a="1"/>
  <c r="F14191" i="1" a="1"/>
  <c r="F14319" i="1" a="1"/>
  <c r="F14447" i="1" a="1"/>
  <c r="F14575" i="1" a="1"/>
  <c r="F14703" i="1" a="1"/>
  <c r="F10832" i="1" a="1"/>
  <c r="F11222" i="1" a="1"/>
  <c r="F11408" i="1" a="1"/>
  <c r="F11579" i="1" a="1"/>
  <c r="F11768" i="1" a="1"/>
  <c r="F11132" i="1" a="1"/>
  <c r="F11829" i="1" a="1"/>
  <c r="F11957" i="1" a="1"/>
  <c r="F12085" i="1" a="1"/>
  <c r="F12213" i="1" a="1"/>
  <c r="F12341" i="1" a="1"/>
  <c r="F10839" i="1" a="1"/>
  <c r="F11248" i="1" a="1"/>
  <c r="F11420" i="1" a="1"/>
  <c r="F11591" i="1" a="1"/>
  <c r="F10767" i="1" a="1"/>
  <c r="F11202" i="1" a="1"/>
  <c r="F11848" i="1" a="1"/>
  <c r="F11976" i="1" a="1"/>
  <c r="F12104" i="1" a="1"/>
  <c r="F12232" i="1" a="1"/>
  <c r="F12360" i="1" a="1"/>
  <c r="F10896" i="1" a="1"/>
  <c r="F11240" i="1" a="1"/>
  <c r="F11414" i="1" a="1"/>
  <c r="F11584" i="1" a="1"/>
  <c r="F11800" i="1" a="1"/>
  <c r="G11941" i="1" a="1"/>
  <c r="G10815" i="1" a="1"/>
  <c r="G10083" i="1" a="1"/>
  <c r="G13347" i="1" a="1"/>
  <c r="G14756" i="1" a="1"/>
  <c r="F462" i="1" a="1"/>
  <c r="F817" i="1" a="1"/>
  <c r="F1594" i="1" a="1"/>
  <c r="F2408" i="1" a="1"/>
  <c r="F3585" i="1" a="1"/>
  <c r="F4289" i="1" a="1"/>
  <c r="F3439" i="1" a="1"/>
  <c r="F3065" i="1" a="1"/>
  <c r="F4050" i="1" a="1"/>
  <c r="F3488" i="1" a="1"/>
  <c r="F4171" i="1" a="1"/>
  <c r="F4956" i="1" a="1"/>
  <c r="F3259" i="1" a="1"/>
  <c r="F2933" i="1" a="1"/>
  <c r="F2825" i="1" a="1"/>
  <c r="F4051" i="1" a="1"/>
  <c r="F5254" i="1" a="1"/>
  <c r="F4200" i="1" a="1"/>
  <c r="F3491" i="1" a="1"/>
  <c r="F3632" i="1" a="1"/>
  <c r="F4275" i="1" a="1"/>
  <c r="F3696" i="1" a="1"/>
  <c r="F5357" i="1" a="1"/>
  <c r="F6343" i="1" a="1"/>
  <c r="F7367" i="1" a="1"/>
  <c r="F6078" i="1" a="1"/>
  <c r="F4344" i="1" a="1"/>
  <c r="F6120" i="1" a="1"/>
  <c r="F4598" i="1" a="1"/>
  <c r="F5798" i="1" a="1"/>
  <c r="F6822" i="1" a="1"/>
  <c r="F6987" i="1" a="1"/>
  <c r="F8015" i="1" a="1"/>
  <c r="F8527" i="1" a="1"/>
  <c r="F6844" i="1" a="1"/>
  <c r="F5266" i="1" a="1"/>
  <c r="F7195" i="1" a="1"/>
  <c r="F5842" i="1" a="1"/>
  <c r="F6145" i="1" a="1"/>
  <c r="F7224" i="1" a="1"/>
  <c r="F7727" i="1" a="1"/>
  <c r="F8859" i="1" a="1"/>
  <c r="F9371" i="1" a="1"/>
  <c r="F9883" i="1" a="1"/>
  <c r="F6784" i="1" a="1"/>
  <c r="F8430" i="1" a="1"/>
  <c r="F8161" i="1" a="1"/>
  <c r="F8988" i="1" a="1"/>
  <c r="F6518" i="1" a="1"/>
  <c r="F7447" i="1" a="1"/>
  <c r="F6794" i="1" a="1"/>
  <c r="F7860" i="1" a="1"/>
  <c r="F8438" i="1" a="1"/>
  <c r="F8404" i="1" a="1"/>
  <c r="F9732" i="1" a="1"/>
  <c r="F10073" i="1" a="1"/>
  <c r="F10397" i="1" a="1"/>
  <c r="F10653" i="1" a="1"/>
  <c r="F10909" i="1" a="1"/>
  <c r="F11165" i="1" a="1"/>
  <c r="F11385" i="1" a="1"/>
  <c r="F11601" i="1" a="1"/>
  <c r="F8258" i="1" a="1"/>
  <c r="F8917" i="1" a="1"/>
  <c r="F9398" i="1" a="1"/>
  <c r="F7835" i="1" a="1"/>
  <c r="F8524" i="1" a="1"/>
  <c r="F9425" i="1" a="1"/>
  <c r="F9712" i="1" a="1"/>
  <c r="F9845" i="1" a="1"/>
  <c r="F9978" i="1" a="1"/>
  <c r="F10112" i="1" a="1"/>
  <c r="F10250" i="1" a="1"/>
  <c r="F10370" i="1" a="1"/>
  <c r="F10470" i="1" a="1"/>
  <c r="F10546" i="1" a="1"/>
  <c r="F7634" i="1" a="1"/>
  <c r="F8058" i="1" a="1"/>
  <c r="F8424" i="1" a="1"/>
  <c r="F8702" i="1" a="1"/>
  <c r="F8830" i="1" a="1"/>
  <c r="F7608" i="1" a="1"/>
  <c r="F7969" i="1" a="1"/>
  <c r="F8244" i="1" a="1"/>
  <c r="F8573" i="1" a="1"/>
  <c r="F7639" i="1" a="1"/>
  <c r="F8089" i="1" a="1"/>
  <c r="F8418" i="1" a="1"/>
  <c r="F8705" i="1" a="1"/>
  <c r="F8833" i="1" a="1"/>
  <c r="F8961" i="1" a="1"/>
  <c r="F7611" i="1" a="1"/>
  <c r="F7938" i="1" a="1"/>
  <c r="F8172" i="1" a="1"/>
  <c r="F8501" i="1" a="1"/>
  <c r="F9306" i="1" a="1"/>
  <c r="F7902" i="1" a="1"/>
  <c r="F8346" i="1" a="1"/>
  <c r="F8674" i="1" a="1"/>
  <c r="F8802" i="1" a="1"/>
  <c r="F8930" i="1" a="1"/>
  <c r="F9058" i="1" a="1"/>
  <c r="F9186" i="1" a="1"/>
  <c r="F9358" i="1" a="1"/>
  <c r="F9525" i="1" a="1"/>
  <c r="F9692" i="1" a="1"/>
  <c r="F9409" i="1" a="1"/>
  <c r="F9725" i="1" a="1"/>
  <c r="F9896" i="1" a="1"/>
  <c r="F10066" i="1" a="1"/>
  <c r="F10237" i="1" a="1"/>
  <c r="F10388" i="1" a="1"/>
  <c r="F10516" i="1" a="1"/>
  <c r="F10662" i="1" a="1"/>
  <c r="F10840" i="1" a="1"/>
  <c r="F11007" i="1" a="1"/>
  <c r="F11174" i="1" a="1"/>
  <c r="F11304" i="1" a="1"/>
  <c r="F11390" i="1" a="1"/>
  <c r="F11475" i="1" a="1"/>
  <c r="F11560" i="1" a="1"/>
  <c r="F11646" i="1" a="1"/>
  <c r="F11752" i="1" a="1"/>
  <c r="F9286" i="1" a="1"/>
  <c r="F9669" i="1" a="1"/>
  <c r="F10732" i="1" a="1"/>
  <c r="F10899" i="1" a="1"/>
  <c r="F11066" i="1" a="1"/>
  <c r="F11244" i="1" a="1"/>
  <c r="F11803" i="1" a="1"/>
  <c r="F11867" i="1" a="1"/>
  <c r="F11931" i="1" a="1"/>
  <c r="F11995" i="1" a="1"/>
  <c r="F12059" i="1" a="1"/>
  <c r="F12123" i="1" a="1"/>
  <c r="F12187" i="1" a="1"/>
  <c r="F12251" i="1" a="1"/>
  <c r="F12315" i="1" a="1"/>
  <c r="F12379" i="1" a="1"/>
  <c r="F12443" i="1" a="1"/>
  <c r="F12507" i="1" a="1"/>
  <c r="F12571" i="1" a="1"/>
  <c r="F12635" i="1" a="1"/>
  <c r="F12699" i="1" a="1"/>
  <c r="F12763" i="1" a="1"/>
  <c r="F12827" i="1" a="1"/>
  <c r="F12891" i="1" a="1"/>
  <c r="F12955" i="1" a="1"/>
  <c r="F13019" i="1" a="1"/>
  <c r="F9317" i="1" a="1"/>
  <c r="F9657" i="1" a="1"/>
  <c r="F9846" i="1" a="1"/>
  <c r="F10017" i="1" a="1"/>
  <c r="F10188" i="1" a="1"/>
  <c r="F10367" i="1" a="1"/>
  <c r="F10495" i="1" a="1"/>
  <c r="F10631" i="1" a="1"/>
  <c r="F10798" i="1" a="1"/>
  <c r="F10976" i="1" a="1"/>
  <c r="F11143" i="1" a="1"/>
  <c r="F11284" i="1" a="1"/>
  <c r="F11370" i="1" a="1"/>
  <c r="F11455" i="1" a="1"/>
  <c r="F11540" i="1" a="1"/>
  <c r="F11626" i="1" a="1"/>
  <c r="F11721" i="1" a="1"/>
  <c r="F9185" i="1" a="1"/>
  <c r="F9606" i="1" a="1"/>
  <c r="F10708" i="1" a="1"/>
  <c r="F10875" i="1" a="1"/>
  <c r="F9402" i="1" a="1"/>
  <c r="F9720" i="1" a="1"/>
  <c r="F9890" i="1" a="1"/>
  <c r="F10061" i="1" a="1"/>
  <c r="F10232" i="1" a="1"/>
  <c r="F10392" i="1" a="1"/>
  <c r="F10520" i="1" a="1"/>
  <c r="F10664" i="1" a="1"/>
  <c r="F9300" i="1" a="1"/>
  <c r="F9637" i="1" a="1"/>
  <c r="F10730" i="1" a="1"/>
  <c r="F10908" i="1" a="1"/>
  <c r="F9344" i="1" a="1"/>
  <c r="F9689" i="1" a="1"/>
  <c r="F9873" i="1" a="1"/>
  <c r="F10044" i="1" a="1"/>
  <c r="F10214" i="1" a="1"/>
  <c r="F10371" i="1" a="1"/>
  <c r="F10499" i="1" a="1"/>
  <c r="F10640" i="1" a="1"/>
  <c r="F9201" i="1" a="1"/>
  <c r="F9613" i="1" a="1"/>
  <c r="F10724" i="1" a="1"/>
  <c r="F10891" i="1" a="1"/>
  <c r="F11058" i="1" a="1"/>
  <c r="F11236" i="1" a="1"/>
  <c r="F11797" i="1" a="1"/>
  <c r="F11862" i="1" a="1"/>
  <c r="F11926" i="1" a="1"/>
  <c r="F11990" i="1" a="1"/>
  <c r="F12054" i="1" a="1"/>
  <c r="F12118" i="1" a="1"/>
  <c r="F12182" i="1" a="1"/>
  <c r="F12246" i="1" a="1"/>
  <c r="F12310" i="1" a="1"/>
  <c r="F12374" i="1" a="1"/>
  <c r="F12438" i="1" a="1"/>
  <c r="F12502" i="1" a="1"/>
  <c r="F12566" i="1" a="1"/>
  <c r="F12630" i="1" a="1"/>
  <c r="F12694" i="1" a="1"/>
  <c r="F11164" i="1" a="1"/>
  <c r="F11841" i="1" a="1"/>
  <c r="F11969" i="1" a="1"/>
  <c r="F12097" i="1" a="1"/>
  <c r="F12225" i="1" a="1"/>
  <c r="F12353" i="1" a="1"/>
  <c r="F12481" i="1" a="1"/>
  <c r="F12609" i="1" a="1"/>
  <c r="F12749" i="1" a="1"/>
  <c r="F12916" i="1" a="1"/>
  <c r="F13079" i="1" a="1"/>
  <c r="F13207" i="1" a="1"/>
  <c r="F13335" i="1" a="1"/>
  <c r="F13463" i="1" a="1"/>
  <c r="F13591" i="1" a="1"/>
  <c r="F13719" i="1" a="1"/>
  <c r="F13847" i="1" a="1"/>
  <c r="F13975" i="1" a="1"/>
  <c r="F14103" i="1" a="1"/>
  <c r="F14231" i="1" a="1"/>
  <c r="F14359" i="1" a="1"/>
  <c r="F14487" i="1" a="1"/>
  <c r="F14615" i="1" a="1"/>
  <c r="F14743" i="1" a="1"/>
  <c r="F11024" i="1" a="1"/>
  <c r="F11308" i="1" a="1"/>
  <c r="F11479" i="1" a="1"/>
  <c r="F11650" i="1" a="1"/>
  <c r="F12744" i="1" a="1"/>
  <c r="F12922" i="1" a="1"/>
  <c r="F13075" i="1" a="1"/>
  <c r="F13203" i="1" a="1"/>
  <c r="F13331" i="1" a="1"/>
  <c r="F13459" i="1" a="1"/>
  <c r="F13587" i="1" a="1"/>
  <c r="F13715" i="1" a="1"/>
  <c r="F13843" i="1" a="1"/>
  <c r="F13971" i="1" a="1"/>
  <c r="F14099" i="1" a="1"/>
  <c r="F14227" i="1" a="1"/>
  <c r="F14355" i="1" a="1"/>
  <c r="F14483" i="1" a="1"/>
  <c r="F14611" i="1" a="1"/>
  <c r="F14739" i="1" a="1"/>
  <c r="F14840" i="1" a="1"/>
  <c r="F14904" i="1" a="1"/>
  <c r="F11042" i="1" a="1"/>
  <c r="F11804" i="1" a="1"/>
  <c r="F11932" i="1" a="1"/>
  <c r="F12060" i="1" a="1"/>
  <c r="F12188" i="1" a="1"/>
  <c r="F12316" i="1" a="1"/>
  <c r="F12444" i="1" a="1"/>
  <c r="F12572" i="1" a="1"/>
  <c r="F12700" i="1" a="1"/>
  <c r="F12878" i="1" a="1"/>
  <c r="F13045" i="1" a="1"/>
  <c r="F13176" i="1" a="1"/>
  <c r="F13304" i="1" a="1"/>
  <c r="F13432" i="1" a="1"/>
  <c r="F13560" i="1" a="1"/>
  <c r="F13688" i="1" a="1"/>
  <c r="F13816" i="1" a="1"/>
  <c r="F13944" i="1" a="1"/>
  <c r="F14072" i="1" a="1"/>
  <c r="F14200" i="1" a="1"/>
  <c r="F14328" i="1" a="1"/>
  <c r="F14456" i="1" a="1"/>
  <c r="F14584" i="1" a="1"/>
  <c r="F14712" i="1" a="1"/>
  <c r="F10910" i="1" a="1"/>
  <c r="F11247" i="1" a="1"/>
  <c r="F11419" i="1" a="1"/>
  <c r="F11590" i="1" a="1"/>
  <c r="F11777" i="1" a="1"/>
  <c r="F11146" i="1" a="1"/>
  <c r="F11837" i="1" a="1"/>
  <c r="F11965" i="1" a="1"/>
  <c r="F12093" i="1" a="1"/>
  <c r="F12221" i="1" a="1"/>
  <c r="F12349" i="1" a="1"/>
  <c r="F10864" i="1" a="1"/>
  <c r="F11260" i="1" a="1"/>
  <c r="F11431" i="1" a="1"/>
  <c r="F11602" i="1" a="1"/>
  <c r="F10792" i="1" a="1"/>
  <c r="F11227" i="1" a="1"/>
  <c r="F11856" i="1" a="1"/>
  <c r="F11984" i="1" a="1"/>
  <c r="F12112" i="1" a="1"/>
  <c r="F12240" i="1" a="1"/>
  <c r="F12368" i="1" a="1"/>
  <c r="F10935" i="1" a="1"/>
  <c r="F11254" i="1" a="1"/>
  <c r="F11424" i="1" a="1"/>
  <c r="F11595" i="1" a="1"/>
  <c r="G11950" i="1" a="1"/>
  <c r="G10826" i="1" a="1"/>
  <c r="G10138" i="1" a="1"/>
  <c r="G13352" i="1" a="1"/>
  <c r="G14763" i="1" a="1"/>
  <c r="F467" i="1" a="1"/>
  <c r="F845" i="1" a="1"/>
  <c r="F1635" i="1" a="1"/>
  <c r="F2417" i="1" a="1"/>
  <c r="F3594" i="1" a="1"/>
  <c r="F4293" i="1" a="1"/>
  <c r="F3448" i="1" a="1"/>
  <c r="F3081" i="1" a="1"/>
  <c r="F4054" i="1" a="1"/>
  <c r="F3493" i="1" a="1"/>
  <c r="F4178" i="1" a="1"/>
  <c r="F4960" i="1" a="1"/>
  <c r="F3268" i="1" a="1"/>
  <c r="F2995" i="1" a="1"/>
  <c r="F2839" i="1" a="1"/>
  <c r="F4064" i="1" a="1"/>
  <c r="F5263" i="1" a="1"/>
  <c r="F4210" i="1" a="1"/>
  <c r="F3546" i="1" a="1"/>
  <c r="F3669" i="1" a="1"/>
  <c r="F4294" i="1" a="1"/>
  <c r="F3733" i="1" a="1"/>
  <c r="F5365" i="1" a="1"/>
  <c r="F6352" i="1" a="1"/>
  <c r="F7376" i="1" a="1"/>
  <c r="F6083" i="1" a="1"/>
  <c r="F4439" i="1" a="1"/>
  <c r="F6129" i="1" a="1"/>
  <c r="F4633" i="1" a="1"/>
  <c r="F5803" i="1" a="1"/>
  <c r="F6827" i="1" a="1"/>
  <c r="F7005" i="1" a="1"/>
  <c r="F8019" i="1" a="1"/>
  <c r="F8531" i="1" a="1"/>
  <c r="F6853" i="1" a="1"/>
  <c r="F5287" i="1" a="1"/>
  <c r="F7200" i="1" a="1"/>
  <c r="F5879" i="1" a="1"/>
  <c r="F6154" i="1" a="1"/>
  <c r="F7229" i="1" a="1"/>
  <c r="F7745" i="1" a="1"/>
  <c r="F8863" i="1" a="1"/>
  <c r="F9375" i="1" a="1"/>
  <c r="F9887" i="1" a="1"/>
  <c r="F6802" i="1" a="1"/>
  <c r="F8444" i="1" a="1"/>
  <c r="F8170" i="1" a="1"/>
  <c r="F8992" i="1" a="1"/>
  <c r="F6555" i="1" a="1"/>
  <c r="F6125" i="1" a="1"/>
  <c r="F6973" i="1" a="1"/>
  <c r="F7922" i="1" a="1"/>
  <c r="F8502" i="1" a="1"/>
  <c r="F8532" i="1" a="1"/>
  <c r="F9764" i="1" a="1"/>
  <c r="F10105" i="1" a="1"/>
  <c r="F10421" i="1" a="1"/>
  <c r="F10677" i="1" a="1"/>
  <c r="F10933" i="1" a="1"/>
  <c r="F11189" i="1" a="1"/>
  <c r="F11409" i="1" a="1"/>
  <c r="F11605" i="1" a="1"/>
  <c r="F8313" i="1" a="1"/>
  <c r="F8965" i="1" a="1"/>
  <c r="F9405" i="1" a="1"/>
  <c r="F7908" i="1" a="1"/>
  <c r="F8533" i="1" a="1"/>
  <c r="F9450" i="1" a="1"/>
  <c r="F9717" i="1" a="1"/>
  <c r="F9850" i="1" a="1"/>
  <c r="F9984" i="1" a="1"/>
  <c r="F10117" i="1" a="1"/>
  <c r="F10261" i="1" a="1"/>
  <c r="F10386" i="1" a="1"/>
  <c r="F10478" i="1" a="1"/>
  <c r="F10550" i="1" a="1"/>
  <c r="F7648" i="1" a="1"/>
  <c r="F8104" i="1" a="1"/>
  <c r="F8433" i="1" a="1"/>
  <c r="F8710" i="1" a="1"/>
  <c r="F8838" i="1" a="1"/>
  <c r="F7667" i="1" a="1"/>
  <c r="F7980" i="1" a="1"/>
  <c r="F8253" i="1" a="1"/>
  <c r="F8582" i="1" a="1"/>
  <c r="F7653" i="1" a="1"/>
  <c r="F8098" i="1" a="1"/>
  <c r="F8464" i="1" a="1"/>
  <c r="F8713" i="1" a="1"/>
  <c r="F8841" i="1" a="1"/>
  <c r="F8969" i="1" a="1"/>
  <c r="F7625" i="1" a="1"/>
  <c r="F7949" i="1" a="1"/>
  <c r="F8181" i="1" a="1"/>
  <c r="F8510" i="1" a="1"/>
  <c r="F9313" i="1" a="1"/>
  <c r="F7927" i="1" a="1"/>
  <c r="F8392" i="1" a="1"/>
  <c r="F8682" i="1" a="1"/>
  <c r="F8810" i="1" a="1"/>
  <c r="F8938" i="1" a="1"/>
  <c r="F9066" i="1" a="1"/>
  <c r="F9194" i="1" a="1"/>
  <c r="F9365" i="1" a="1"/>
  <c r="F9532" i="1" a="1"/>
  <c r="F10327" i="1" a="1"/>
  <c r="F9434" i="1" a="1"/>
  <c r="F9736" i="1" a="1"/>
  <c r="F9906" i="1" a="1"/>
  <c r="F10077" i="1" a="1"/>
  <c r="F10248" i="1" a="1"/>
  <c r="F10396" i="1" a="1"/>
  <c r="F10524" i="1" a="1"/>
  <c r="F10680" i="1" a="1"/>
  <c r="F10847" i="1" a="1"/>
  <c r="F11014" i="1" a="1"/>
  <c r="F11192" i="1" a="1"/>
  <c r="F11310" i="1" a="1"/>
  <c r="F11395" i="1" a="1"/>
  <c r="F11480" i="1" a="1"/>
  <c r="F11566" i="1" a="1"/>
  <c r="F11651" i="1" a="1"/>
  <c r="F11761" i="1" a="1"/>
  <c r="F9349" i="1" a="1"/>
  <c r="F9694" i="1" a="1"/>
  <c r="F10739" i="1" a="1"/>
  <c r="F10906" i="1" a="1"/>
  <c r="F11084" i="1" a="1"/>
  <c r="F11251" i="1" a="1"/>
  <c r="F11807" i="1" a="1"/>
  <c r="F11871" i="1" a="1"/>
  <c r="F11935" i="1" a="1"/>
  <c r="F11999" i="1" a="1"/>
  <c r="F12063" i="1" a="1"/>
  <c r="F12127" i="1" a="1"/>
  <c r="F12191" i="1" a="1"/>
  <c r="F12255" i="1" a="1"/>
  <c r="F12319" i="1" a="1"/>
  <c r="F12383" i="1" a="1"/>
  <c r="F12447" i="1" a="1"/>
  <c r="F12511" i="1" a="1"/>
  <c r="F12575" i="1" a="1"/>
  <c r="F12639" i="1" a="1"/>
  <c r="F12703" i="1" a="1"/>
  <c r="F12767" i="1" a="1"/>
  <c r="F12831" i="1" a="1"/>
  <c r="F12895" i="1" a="1"/>
  <c r="F12959" i="1" a="1"/>
  <c r="F13023" i="1" a="1"/>
  <c r="F9337" i="1" a="1"/>
  <c r="F9682" i="1" a="1"/>
  <c r="F9857" i="1" a="1"/>
  <c r="F10028" i="1" a="1"/>
  <c r="F10198" i="1" a="1"/>
  <c r="F10375" i="1" a="1"/>
  <c r="F10503" i="1" a="1"/>
  <c r="F10638" i="1" a="1"/>
  <c r="F10816" i="1" a="1"/>
  <c r="F10983" i="1" a="1"/>
  <c r="F11150" i="1" a="1"/>
  <c r="F11290" i="1" a="1"/>
  <c r="F11375" i="1" a="1"/>
  <c r="F11460" i="1" a="1"/>
  <c r="F11546" i="1" a="1"/>
  <c r="F11631" i="1" a="1"/>
  <c r="F11726" i="1" a="1"/>
  <c r="F9268" i="1" a="1"/>
  <c r="F9620" i="1" a="1"/>
  <c r="F10715" i="1" a="1"/>
  <c r="F10882" i="1" a="1"/>
  <c r="F9416" i="1" a="1"/>
  <c r="F9730" i="1" a="1"/>
  <c r="F9901" i="1" a="1"/>
  <c r="F10072" i="1" a="1"/>
  <c r="F10242" i="1" a="1"/>
  <c r="F10400" i="1" a="1"/>
  <c r="F10528" i="1" a="1"/>
  <c r="F10671" i="1" a="1"/>
  <c r="F9325" i="1" a="1"/>
  <c r="F9662" i="1" a="1"/>
  <c r="F10748" i="1" a="1"/>
  <c r="F10915" i="1" a="1"/>
  <c r="F9369" i="1" a="1"/>
  <c r="F9713" i="1" a="1"/>
  <c r="F9884" i="1" a="1"/>
  <c r="F10054" i="1" a="1"/>
  <c r="F10225" i="1" a="1"/>
  <c r="F10379" i="1" a="1"/>
  <c r="F10507" i="1" a="1"/>
  <c r="F10647" i="1" a="1"/>
  <c r="F9229" i="1" a="1"/>
  <c r="F9638" i="1" a="1"/>
  <c r="F10731" i="1" a="1"/>
  <c r="F10898" i="1" a="1"/>
  <c r="F11076" i="1" a="1"/>
  <c r="F11243" i="1" a="1"/>
  <c r="F11802" i="1" a="1"/>
  <c r="F11866" i="1" a="1"/>
  <c r="F11930" i="1" a="1"/>
  <c r="F11994" i="1" a="1"/>
  <c r="F12058" i="1" a="1"/>
  <c r="F12122" i="1" a="1"/>
  <c r="F12186" i="1" a="1"/>
  <c r="F12250" i="1" a="1"/>
  <c r="F12314" i="1" a="1"/>
  <c r="F12378" i="1" a="1"/>
  <c r="F12442" i="1" a="1"/>
  <c r="F12506" i="1" a="1"/>
  <c r="F12570" i="1" a="1"/>
  <c r="F12634" i="1" a="1"/>
  <c r="F12698" i="1" a="1"/>
  <c r="F11178" i="1" a="1"/>
  <c r="F11849" i="1" a="1"/>
  <c r="F11977" i="1" a="1"/>
  <c r="F12105" i="1" a="1"/>
  <c r="F12233" i="1" a="1"/>
  <c r="F12361" i="1" a="1"/>
  <c r="F12489" i="1" a="1"/>
  <c r="F12617" i="1" a="1"/>
  <c r="F12756" i="1" a="1"/>
  <c r="F12934" i="1" a="1"/>
  <c r="F13088" i="1" a="1"/>
  <c r="F13216" i="1" a="1"/>
  <c r="F13344" i="1" a="1"/>
  <c r="F13472" i="1" a="1"/>
  <c r="F13600" i="1" a="1"/>
  <c r="F13728" i="1" a="1"/>
  <c r="F13856" i="1" a="1"/>
  <c r="F13984" i="1" a="1"/>
  <c r="F14112" i="1" a="1"/>
  <c r="F14240" i="1" a="1"/>
  <c r="F14368" i="1" a="1"/>
  <c r="F14496" i="1" a="1"/>
  <c r="F14624" i="1" a="1"/>
  <c r="F14752" i="1" a="1"/>
  <c r="F11038" i="1" a="1"/>
  <c r="F11319" i="1" a="1"/>
  <c r="F11490" i="1" a="1"/>
  <c r="F11660" i="1" a="1"/>
  <c r="F12762" i="1" a="1"/>
  <c r="F12929" i="1" a="1"/>
  <c r="F13084" i="1" a="1"/>
  <c r="F13212" i="1" a="1"/>
  <c r="F13340" i="1" a="1"/>
  <c r="F13468" i="1" a="1"/>
  <c r="F13596" i="1" a="1"/>
  <c r="F13724" i="1" a="1"/>
  <c r="F13852" i="1" a="1"/>
  <c r="F13980" i="1" a="1"/>
  <c r="F14108" i="1" a="1"/>
  <c r="F14236" i="1" a="1"/>
  <c r="F14364" i="1" a="1"/>
  <c r="F14492" i="1" a="1"/>
  <c r="F14620" i="1" a="1"/>
  <c r="F14748" i="1" a="1"/>
  <c r="F14844" i="1" a="1"/>
  <c r="F14908" i="1" a="1"/>
  <c r="F11067" i="1" a="1"/>
  <c r="F11812" i="1" a="1"/>
  <c r="G8764" i="1" a="1"/>
  <c r="G12429" i="1" a="1"/>
  <c r="G11812" i="1" a="1"/>
  <c r="G11770" i="1" a="1"/>
  <c r="G14427" i="1" a="1"/>
  <c r="F445" i="1" a="1"/>
  <c r="F1551" i="1" a="1"/>
  <c r="F1183" i="1" a="1"/>
  <c r="F2148" i="1" a="1"/>
  <c r="F3713" i="1" a="1"/>
  <c r="F4353" i="1" a="1"/>
  <c r="F3567" i="1" a="1"/>
  <c r="F3234" i="1" a="1"/>
  <c r="F4114" i="1" a="1"/>
  <c r="F3616" i="1" a="1"/>
  <c r="F4508" i="1" a="1"/>
  <c r="F5020" i="1" a="1"/>
  <c r="F3515" i="1" a="1"/>
  <c r="F3280" i="1" a="1"/>
  <c r="F2964" i="1" a="1"/>
  <c r="F4326" i="1" a="1"/>
  <c r="F2983" i="1" a="1"/>
  <c r="F4446" i="1" a="1"/>
  <c r="F4024" i="1" a="1"/>
  <c r="F4339" i="1" a="1"/>
  <c r="F4595" i="1" a="1"/>
  <c r="F3665" i="1" a="1"/>
  <c r="F5450" i="1" a="1"/>
  <c r="F6471" i="1" a="1"/>
  <c r="F4459" i="1" a="1"/>
  <c r="F6206" i="1" a="1"/>
  <c r="F5083" i="1" a="1"/>
  <c r="F6248" i="1" a="1"/>
  <c r="F4416" i="1" a="1"/>
  <c r="F5926" i="1" a="1"/>
  <c r="F5095" i="1" a="1"/>
  <c r="F7146" i="1" a="1"/>
  <c r="F8079" i="1" a="1"/>
  <c r="F8591" i="1" a="1"/>
  <c r="F7031" i="1" a="1"/>
  <c r="F5537" i="1" a="1"/>
  <c r="F7331" i="1" a="1"/>
  <c r="F6098" i="1" a="1"/>
  <c r="F5627" i="1" a="1"/>
  <c r="F7365" i="1" a="1"/>
  <c r="F7897" i="1" a="1"/>
  <c r="F8923" i="1" a="1"/>
  <c r="F9435" i="1" a="1"/>
  <c r="F9947" i="1" a="1"/>
  <c r="F7149" i="1" a="1"/>
  <c r="F8604" i="1" a="1"/>
  <c r="F8330" i="1" a="1"/>
  <c r="F9052" i="1" a="1"/>
  <c r="F7008" i="1" a="1"/>
  <c r="F6318" i="1" a="1"/>
  <c r="F6998" i="1" a="1"/>
  <c r="F7933" i="1" a="1"/>
  <c r="F8516" i="1" a="1"/>
  <c r="F8541" i="1" a="1"/>
  <c r="F9769" i="1" a="1"/>
  <c r="F10110" i="1" a="1"/>
  <c r="F10425" i="1" a="1"/>
  <c r="F10681" i="1" a="1"/>
  <c r="F10937" i="1" a="1"/>
  <c r="F11193" i="1" a="1"/>
  <c r="F11413" i="1" a="1"/>
  <c r="F11613" i="1" a="1"/>
  <c r="F8441" i="1" a="1"/>
  <c r="F8973" i="1" a="1"/>
  <c r="F9469" i="1" a="1"/>
  <c r="F7932" i="1" a="1"/>
  <c r="F8542" i="1" a="1"/>
  <c r="F9464" i="1" a="1"/>
  <c r="F9722" i="1" a="1"/>
  <c r="F9856" i="1" a="1"/>
  <c r="F9994" i="1" a="1"/>
  <c r="F10138" i="1" a="1"/>
  <c r="F10272" i="1" a="1"/>
  <c r="F10390" i="1" a="1"/>
  <c r="F10482" i="1" a="1"/>
  <c r="F10554" i="1" a="1"/>
  <c r="F7689" i="1" a="1"/>
  <c r="F8113" i="1" a="1"/>
  <c r="F8442" i="1" a="1"/>
  <c r="F8718" i="1" a="1"/>
  <c r="F8846" i="1" a="1"/>
  <c r="F7693" i="1" a="1"/>
  <c r="F7990" i="1" a="1"/>
  <c r="F8262" i="1" a="1"/>
  <c r="F8628" i="1" a="1"/>
  <c r="F7681" i="1" a="1"/>
  <c r="F8144" i="1" a="1"/>
  <c r="F8473" i="1" a="1"/>
  <c r="F8721" i="1" a="1"/>
  <c r="F8849" i="1" a="1"/>
  <c r="F8977" i="1" a="1"/>
  <c r="F7654" i="1" a="1"/>
  <c r="F7960" i="1" a="1"/>
  <c r="F8190" i="1" a="1"/>
  <c r="F8556" i="1" a="1"/>
  <c r="F9320" i="1" a="1"/>
  <c r="F8072" i="1" a="1"/>
  <c r="F8401" i="1" a="1"/>
  <c r="F8690" i="1" a="1"/>
  <c r="F8818" i="1" a="1"/>
  <c r="F8946" i="1" a="1"/>
  <c r="F9074" i="1" a="1"/>
  <c r="F9202" i="1" a="1"/>
  <c r="F9372" i="1" a="1"/>
  <c r="F9550" i="1" a="1"/>
  <c r="F10332" i="1" a="1"/>
  <c r="F9448" i="1" a="1"/>
  <c r="F9746" i="1" a="1"/>
  <c r="F9917" i="1" a="1"/>
  <c r="F10088" i="1" a="1"/>
  <c r="F10258" i="1" a="1"/>
  <c r="F10404" i="1" a="1"/>
  <c r="F10532" i="1" a="1"/>
  <c r="F10687" i="1" a="1"/>
  <c r="F10854" i="1" a="1"/>
  <c r="F11032" i="1" a="1"/>
  <c r="F11199" i="1" a="1"/>
  <c r="F11315" i="1" a="1"/>
  <c r="F11400" i="1" a="1"/>
  <c r="F11486" i="1" a="1"/>
  <c r="F11571" i="1" a="1"/>
  <c r="F11656" i="1" a="1"/>
  <c r="F11766" i="1" a="1"/>
  <c r="F9374" i="1" a="1"/>
  <c r="F10325" i="1" a="1"/>
  <c r="F10746" i="1" a="1"/>
  <c r="F10924" i="1" a="1"/>
  <c r="F11091" i="1" a="1"/>
  <c r="F11693" i="1" a="1"/>
  <c r="F11811" i="1" a="1"/>
  <c r="F11875" i="1" a="1"/>
  <c r="F11939" i="1" a="1"/>
  <c r="F12003" i="1" a="1"/>
  <c r="F12067" i="1" a="1"/>
  <c r="F12131" i="1" a="1"/>
  <c r="F12195" i="1" a="1"/>
  <c r="F12259" i="1" a="1"/>
  <c r="F12323" i="1" a="1"/>
  <c r="F12387" i="1" a="1"/>
  <c r="F12451" i="1" a="1"/>
  <c r="F12515" i="1" a="1"/>
  <c r="F12579" i="1" a="1"/>
  <c r="F12643" i="1" a="1"/>
  <c r="F12707" i="1" a="1"/>
  <c r="F12771" i="1" a="1"/>
  <c r="F12835" i="1" a="1"/>
  <c r="F12899" i="1" a="1"/>
  <c r="F12963" i="1" a="1"/>
  <c r="F13027" i="1" a="1"/>
  <c r="F9362" i="1" a="1"/>
  <c r="F9696" i="1" a="1"/>
  <c r="F9868" i="1" a="1"/>
  <c r="F10038" i="1" a="1"/>
  <c r="F10209" i="1" a="1"/>
  <c r="F10383" i="1" a="1"/>
  <c r="F10511" i="1" a="1"/>
  <c r="F10656" i="1" a="1"/>
  <c r="F10823" i="1" a="1"/>
  <c r="F10990" i="1" a="1"/>
  <c r="F11168" i="1" a="1"/>
  <c r="F11295" i="1" a="1"/>
  <c r="F11380" i="1" a="1"/>
  <c r="F11466" i="1" a="1"/>
  <c r="F11551" i="1" a="1"/>
  <c r="F11636" i="1" a="1"/>
  <c r="F11735" i="1" a="1"/>
  <c r="F9293" i="1" a="1"/>
  <c r="F9645" i="1" a="1"/>
  <c r="F10722" i="1" a="1"/>
  <c r="F10900" i="1" a="1"/>
  <c r="F9441" i="1" a="1"/>
  <c r="F9741" i="1" a="1"/>
  <c r="F9912" i="1" a="1"/>
  <c r="F10082" i="1" a="1"/>
  <c r="F10253" i="1" a="1"/>
  <c r="F10408" i="1" a="1"/>
  <c r="F10536" i="1" a="1"/>
  <c r="F10678" i="1" a="1"/>
  <c r="F9342" i="1" a="1"/>
  <c r="F9676" i="1" a="1"/>
  <c r="F10755" i="1" a="1"/>
  <c r="F10922" i="1" a="1"/>
  <c r="F9394" i="1" a="1"/>
  <c r="F9724" i="1" a="1"/>
  <c r="F9894" i="1" a="1"/>
  <c r="F10065" i="1" a="1"/>
  <c r="F10236" i="1" a="1"/>
  <c r="F10387" i="1" a="1"/>
  <c r="F10515" i="1" a="1"/>
  <c r="F10654" i="1" a="1"/>
  <c r="F9254" i="1" a="1"/>
  <c r="F9652" i="1" a="1"/>
  <c r="F10738" i="1" a="1"/>
  <c r="F10916" i="1" a="1"/>
  <c r="F11083" i="1" a="1"/>
  <c r="F11250" i="1" a="1"/>
  <c r="F11806" i="1" a="1"/>
  <c r="F11870" i="1" a="1"/>
  <c r="F11934" i="1" a="1"/>
  <c r="F11998" i="1" a="1"/>
  <c r="F12062" i="1" a="1"/>
  <c r="F12126" i="1" a="1"/>
  <c r="F12190" i="1" a="1"/>
  <c r="F12254" i="1" a="1"/>
  <c r="F12318" i="1" a="1"/>
  <c r="F12382" i="1" a="1"/>
  <c r="F12446" i="1" a="1"/>
  <c r="F12510" i="1" a="1"/>
  <c r="F12574" i="1" a="1"/>
  <c r="F12638" i="1" a="1"/>
  <c r="F10774" i="1" a="1"/>
  <c r="F11203" i="1" a="1"/>
  <c r="F11857" i="1" a="1"/>
  <c r="F11985" i="1" a="1"/>
  <c r="F12113" i="1" a="1"/>
  <c r="F12241" i="1" a="1"/>
  <c r="F12369" i="1" a="1"/>
  <c r="F12497" i="1" a="1"/>
  <c r="F12625" i="1" a="1"/>
  <c r="F12774" i="1" a="1"/>
  <c r="F12941" i="1" a="1"/>
  <c r="F13097" i="1" a="1"/>
  <c r="F13225" i="1" a="1"/>
  <c r="F13353" i="1" a="1"/>
  <c r="F13481" i="1" a="1"/>
  <c r="F13609" i="1" a="1"/>
  <c r="F13737" i="1" a="1"/>
  <c r="F13865" i="1" a="1"/>
  <c r="F13993" i="1" a="1"/>
  <c r="F14121" i="1" a="1"/>
  <c r="F14249" i="1" a="1"/>
  <c r="F14377" i="1" a="1"/>
  <c r="F14505" i="1" a="1"/>
  <c r="F14633" i="1" a="1"/>
  <c r="F14761" i="1" a="1"/>
  <c r="F11063" i="1" a="1"/>
  <c r="F11330" i="1" a="1"/>
  <c r="F11500" i="1" a="1"/>
  <c r="F11671" i="1" a="1"/>
  <c r="F12769" i="1" a="1"/>
  <c r="F12936" i="1" a="1"/>
  <c r="F13093" i="1" a="1"/>
  <c r="F13221" i="1" a="1"/>
  <c r="F13349" i="1" a="1"/>
  <c r="F13477" i="1" a="1"/>
  <c r="F13605" i="1" a="1"/>
  <c r="F13733" i="1" a="1"/>
  <c r="F13861" i="1" a="1"/>
  <c r="F13989" i="1" a="1"/>
  <c r="F14117" i="1" a="1"/>
  <c r="F14245" i="1" a="1"/>
  <c r="F14373" i="1" a="1"/>
  <c r="F14501" i="1" a="1"/>
  <c r="F14629" i="1" a="1"/>
  <c r="F14757" i="1" a="1"/>
  <c r="F14848" i="1" a="1"/>
  <c r="F14912" i="1" a="1"/>
  <c r="F11092" i="1" a="1"/>
  <c r="F11820" i="1" a="1"/>
  <c r="F11948" i="1" a="1"/>
  <c r="F12076" i="1" a="1"/>
  <c r="F12204" i="1" a="1"/>
  <c r="F12332" i="1" a="1"/>
  <c r="F12460" i="1" a="1"/>
  <c r="F12588" i="1" a="1"/>
  <c r="F12725" i="1" a="1"/>
  <c r="F12892" i="1" a="1"/>
  <c r="F13066" i="1" a="1"/>
  <c r="F13194" i="1" a="1"/>
  <c r="F13322" i="1" a="1"/>
  <c r="F13450" i="1" a="1"/>
  <c r="F13578" i="1" a="1"/>
  <c r="F13706" i="1" a="1"/>
  <c r="F13834" i="1" a="1"/>
  <c r="F13962" i="1" a="1"/>
  <c r="F14090" i="1" a="1"/>
  <c r="F14218" i="1" a="1"/>
  <c r="F14346" i="1" a="1"/>
  <c r="F14474" i="1" a="1"/>
  <c r="F14602" i="1" a="1"/>
  <c r="F14730" i="1" a="1"/>
  <c r="F10946" i="1" a="1"/>
  <c r="F11270" i="1" a="1"/>
  <c r="F11440" i="1" a="1"/>
  <c r="F11611" i="1" a="1"/>
  <c r="F10838" i="1" a="1"/>
  <c r="F11196" i="1" a="1"/>
  <c r="F11853" i="1" a="1"/>
  <c r="F11981" i="1" a="1"/>
  <c r="F12109" i="1" a="1"/>
  <c r="F12237" i="1" a="1"/>
  <c r="F12365" i="1" a="1"/>
  <c r="F10966" i="1" a="1"/>
  <c r="F11282" i="1" a="1"/>
  <c r="F11452" i="1" a="1"/>
  <c r="F11623" i="1" a="1"/>
  <c r="F10895" i="1" a="1"/>
  <c r="F11690" i="1" a="1"/>
  <c r="F11872" i="1" a="1"/>
  <c r="F12000" i="1" a="1"/>
  <c r="F12128" i="1" a="1"/>
  <c r="F12256" i="1" a="1"/>
  <c r="F12384" i="1" a="1"/>
  <c r="F10971" i="1" a="1"/>
  <c r="F11275" i="1" a="1"/>
  <c r="F11446" i="1" a="1"/>
  <c r="F11616" i="1" a="1"/>
  <c r="F12729" i="1" a="1"/>
  <c r="F12896" i="1" a="1"/>
  <c r="F13060" i="1" a="1"/>
  <c r="F13188" i="1" a="1"/>
  <c r="G8801" i="1" a="1"/>
  <c r="G12434" i="1" a="1"/>
  <c r="G11830" i="1" a="1"/>
  <c r="G11797" i="1" a="1"/>
  <c r="G14443" i="1" a="1"/>
  <c r="F450" i="1" a="1"/>
  <c r="F1560" i="1" a="1"/>
  <c r="F1268" i="1" a="1"/>
  <c r="F2190" i="1" a="1"/>
  <c r="F3722" i="1" a="1"/>
  <c r="F4357" i="1" a="1"/>
  <c r="F3576" i="1" a="1"/>
  <c r="F3243" i="1" a="1"/>
  <c r="F4118" i="1" a="1"/>
  <c r="F3621" i="1" a="1"/>
  <c r="F4512" i="1" a="1"/>
  <c r="F5024" i="1" a="1"/>
  <c r="F3524" i="1" a="1"/>
  <c r="F3317" i="1" a="1"/>
  <c r="F2988" i="1" a="1"/>
  <c r="F4350" i="1" a="1"/>
  <c r="F3052" i="1" a="1"/>
  <c r="F4454" i="1" a="1"/>
  <c r="F4039" i="1" a="1"/>
  <c r="F4358" i="1" a="1"/>
  <c r="F4603" i="1" a="1"/>
  <c r="F3738" i="1" a="1"/>
  <c r="F5456" i="1" a="1"/>
  <c r="F6480" i="1" a="1"/>
  <c r="F4510" i="1" a="1"/>
  <c r="F6211" i="1" a="1"/>
  <c r="F5125" i="1" a="1"/>
  <c r="F6257" i="1" a="1"/>
  <c r="F4499" i="1" a="1"/>
  <c r="F5931" i="1" a="1"/>
  <c r="F5137" i="1" a="1"/>
  <c r="F7157" i="1" a="1"/>
  <c r="F8083" i="1" a="1"/>
  <c r="F8595" i="1" a="1"/>
  <c r="F7049" i="1" a="1"/>
  <c r="F5546" i="1" a="1"/>
  <c r="F7336" i="1" a="1"/>
  <c r="F6135" i="1" a="1"/>
  <c r="F5636" i="1" a="1"/>
  <c r="F7370" i="1" a="1"/>
  <c r="F7904" i="1" a="1"/>
  <c r="F8927" i="1" a="1"/>
  <c r="F9439" i="1" a="1"/>
  <c r="F9951" i="1" a="1"/>
  <c r="F7191" i="1" a="1"/>
  <c r="F8613" i="1" a="1"/>
  <c r="F8344" i="1" a="1"/>
  <c r="F9056" i="1" a="1"/>
  <c r="F7032" i="1" a="1"/>
  <c r="F6355" i="1" a="1"/>
  <c r="F7093" i="1" a="1"/>
  <c r="F7966" i="1" a="1"/>
  <c r="F8580" i="1" a="1"/>
  <c r="F9218" i="1" a="1"/>
  <c r="F9801" i="1" a="1"/>
  <c r="F10142" i="1" a="1"/>
  <c r="F10449" i="1" a="1"/>
  <c r="F10705" i="1" a="1"/>
  <c r="F10961" i="1" a="1"/>
  <c r="F11217" i="1" a="1"/>
  <c r="F11421" i="1" a="1"/>
  <c r="F11637" i="1" a="1"/>
  <c r="F8450" i="1" a="1"/>
  <c r="F9021" i="1" a="1"/>
  <c r="F9476" i="1" a="1"/>
  <c r="F7944" i="1" a="1"/>
  <c r="F8661" i="1" a="1"/>
  <c r="F9482" i="1" a="1"/>
  <c r="F9728" i="1" a="1"/>
  <c r="F9861" i="1" a="1"/>
  <c r="F10005" i="1" a="1"/>
  <c r="F10144" i="1" a="1"/>
  <c r="F10277" i="1" a="1"/>
  <c r="F10394" i="1" a="1"/>
  <c r="F10486" i="1" a="1"/>
  <c r="F10558" i="1" a="1"/>
  <c r="F7713" i="1" a="1"/>
  <c r="F8122" i="1" a="1"/>
  <c r="F8488" i="1" a="1"/>
  <c r="F8726" i="1" a="1"/>
  <c r="F8854" i="1" a="1"/>
  <c r="F7717" i="1" a="1"/>
  <c r="F8001" i="1" a="1"/>
  <c r="F8308" i="1" a="1"/>
  <c r="F8637" i="1" a="1"/>
  <c r="F7694" i="1" a="1"/>
  <c r="F8153" i="1" a="1"/>
  <c r="F8482" i="1" a="1"/>
  <c r="F8729" i="1" a="1"/>
  <c r="F8857" i="1" a="1"/>
  <c r="F8985" i="1" a="1"/>
  <c r="F7668" i="1" a="1"/>
  <c r="F7970" i="1" a="1"/>
  <c r="F8236" i="1" a="1"/>
  <c r="F8565" i="1" a="1"/>
  <c r="F7597" i="1" a="1"/>
  <c r="F8081" i="1" a="1"/>
  <c r="F8410" i="1" a="1"/>
  <c r="F8698" i="1" a="1"/>
  <c r="F8826" i="1" a="1"/>
  <c r="F8954" i="1" a="1"/>
  <c r="F9082" i="1" a="1"/>
  <c r="F9210" i="1" a="1"/>
  <c r="F9390" i="1" a="1"/>
  <c r="F9557" i="1" a="1"/>
  <c r="F8950" i="1" a="1"/>
  <c r="F9473" i="1" a="1"/>
  <c r="F9757" i="1" a="1"/>
  <c r="F9928" i="1" a="1"/>
  <c r="F10098" i="1" a="1"/>
  <c r="F10269" i="1" a="1"/>
  <c r="F10412" i="1" a="1"/>
  <c r="F10540" i="1" a="1"/>
  <c r="F10694" i="1" a="1"/>
  <c r="F10872" i="1" a="1"/>
  <c r="F11039" i="1" a="1"/>
  <c r="F11206" i="1" a="1"/>
  <c r="F11320" i="1" a="1"/>
  <c r="F11406" i="1" a="1"/>
  <c r="F11491" i="1" a="1"/>
  <c r="F11576" i="1" a="1"/>
  <c r="F11662" i="1" a="1"/>
  <c r="F11775" i="1" a="1"/>
  <c r="F9388" i="1" a="1"/>
  <c r="F10334" i="1" a="1"/>
  <c r="F10764" i="1" a="1"/>
  <c r="F10931" i="1" a="1"/>
  <c r="F11098" i="1" a="1"/>
  <c r="F11698" i="1" a="1"/>
  <c r="F11815" i="1" a="1"/>
  <c r="F11879" i="1" a="1"/>
  <c r="F11943" i="1" a="1"/>
  <c r="F12007" i="1" a="1"/>
  <c r="F12071" i="1" a="1"/>
  <c r="F12135" i="1" a="1"/>
  <c r="F12199" i="1" a="1"/>
  <c r="F12263" i="1" a="1"/>
  <c r="F12327" i="1" a="1"/>
  <c r="F12391" i="1" a="1"/>
  <c r="F12455" i="1" a="1"/>
  <c r="F12519" i="1" a="1"/>
  <c r="F12583" i="1" a="1"/>
  <c r="F12647" i="1" a="1"/>
  <c r="F12711" i="1" a="1"/>
  <c r="F12775" i="1" a="1"/>
  <c r="F12839" i="1" a="1"/>
  <c r="F12903" i="1" a="1"/>
  <c r="F12967" i="1" a="1"/>
  <c r="F13031" i="1" a="1"/>
  <c r="F9376" i="1" a="1"/>
  <c r="F9708" i="1" a="1"/>
  <c r="F9878" i="1" a="1"/>
  <c r="F10049" i="1" a="1"/>
  <c r="F10220" i="1" a="1"/>
  <c r="F10391" i="1" a="1"/>
  <c r="F10519" i="1" a="1"/>
  <c r="F10663" i="1" a="1"/>
  <c r="F10830" i="1" a="1"/>
  <c r="F11008" i="1" a="1"/>
  <c r="F11175" i="1" a="1"/>
  <c r="F11300" i="1" a="1"/>
  <c r="F11386" i="1" a="1"/>
  <c r="F11471" i="1" a="1"/>
  <c r="F11556" i="1" a="1"/>
  <c r="F11642" i="1" a="1"/>
  <c r="F11744" i="1" a="1"/>
  <c r="F9318" i="1" a="1"/>
  <c r="F9670" i="1" a="1"/>
  <c r="F10740" i="1" a="1"/>
  <c r="F10907" i="1" a="1"/>
  <c r="F9466" i="1" a="1"/>
  <c r="F9752" i="1" a="1"/>
  <c r="F9922" i="1" a="1"/>
  <c r="F10093" i="1" a="1"/>
  <c r="F10264" i="1" a="1"/>
  <c r="F10416" i="1" a="1"/>
  <c r="F10544" i="1" a="1"/>
  <c r="F10696" i="1" a="1"/>
  <c r="F9356" i="1" a="1"/>
  <c r="F9701" i="1" a="1"/>
  <c r="F10762" i="1" a="1"/>
  <c r="F10940" i="1" a="1"/>
  <c r="F9408" i="1" a="1"/>
  <c r="F9734" i="1" a="1"/>
  <c r="F9905" i="1" a="1"/>
  <c r="F10076" i="1" a="1"/>
  <c r="F10246" i="1" a="1"/>
  <c r="F10395" i="1" a="1"/>
  <c r="F10523" i="1" a="1"/>
  <c r="F10672" i="1" a="1"/>
  <c r="F9332" i="1" a="1"/>
  <c r="F9677" i="1" a="1"/>
  <c r="F10756" i="1" a="1"/>
  <c r="F10923" i="1" a="1"/>
  <c r="F11090" i="1" a="1"/>
  <c r="F11692" i="1" a="1"/>
  <c r="F11810" i="1" a="1"/>
  <c r="F11874" i="1" a="1"/>
  <c r="F11938" i="1" a="1"/>
  <c r="F12002" i="1" a="1"/>
  <c r="F12066" i="1" a="1"/>
  <c r="F12130" i="1" a="1"/>
  <c r="F12194" i="1" a="1"/>
  <c r="F12258" i="1" a="1"/>
  <c r="F12322" i="1" a="1"/>
  <c r="F12386" i="1" a="1"/>
  <c r="F12450" i="1" a="1"/>
  <c r="F12514" i="1" a="1"/>
  <c r="F12578" i="1" a="1"/>
  <c r="F12642" i="1" a="1"/>
  <c r="F10799" i="1" a="1"/>
  <c r="F11228" i="1" a="1"/>
  <c r="F11865" i="1" a="1"/>
  <c r="F11993" i="1" a="1"/>
  <c r="F12121" i="1" a="1"/>
  <c r="F12249" i="1" a="1"/>
  <c r="F12377" i="1" a="1"/>
  <c r="F12505" i="1" a="1"/>
  <c r="F12633" i="1" a="1"/>
  <c r="F12781" i="1" a="1"/>
  <c r="F12948" i="1" a="1"/>
  <c r="F13106" i="1" a="1"/>
  <c r="F13234" i="1" a="1"/>
  <c r="F13362" i="1" a="1"/>
  <c r="F13490" i="1" a="1"/>
  <c r="F13618" i="1" a="1"/>
  <c r="F13746" i="1" a="1"/>
  <c r="F13874" i="1" a="1"/>
  <c r="F14002" i="1" a="1"/>
  <c r="F14130" i="1" a="1"/>
  <c r="F14258" i="1" a="1"/>
  <c r="F14386" i="1" a="1"/>
  <c r="F14514" i="1" a="1"/>
  <c r="F14642" i="1" a="1"/>
  <c r="F14770" i="1" a="1"/>
  <c r="F11088" i="1" a="1"/>
  <c r="F11340" i="1" a="1"/>
  <c r="F11511" i="1" a="1"/>
  <c r="F11682" i="1" a="1"/>
  <c r="F12776" i="1" a="1"/>
  <c r="F12954" i="1" a="1"/>
  <c r="F13102" i="1" a="1"/>
  <c r="F13230" i="1" a="1"/>
  <c r="F13358" i="1" a="1"/>
  <c r="F13486" i="1" a="1"/>
  <c r="F13614" i="1" a="1"/>
  <c r="F13742" i="1" a="1"/>
  <c r="F13870" i="1" a="1"/>
  <c r="F13998" i="1" a="1"/>
  <c r="F14126" i="1" a="1"/>
  <c r="F14254" i="1" a="1"/>
  <c r="F14382" i="1" a="1"/>
  <c r="F14510" i="1" a="1"/>
  <c r="F14638" i="1" a="1"/>
  <c r="F14766" i="1" a="1"/>
  <c r="F14852" i="1" a="1"/>
  <c r="F14916" i="1" a="1"/>
  <c r="F11106" i="1" a="1"/>
  <c r="F11828" i="1" a="1"/>
  <c r="F11956" i="1" a="1"/>
  <c r="F12084" i="1" a="1"/>
  <c r="F12212" i="1" a="1"/>
  <c r="F12340" i="1" a="1"/>
  <c r="F12468" i="1" a="1"/>
  <c r="F12596" i="1" a="1"/>
  <c r="F12732" i="1" a="1"/>
  <c r="F12910" i="1" a="1"/>
  <c r="F13071" i="1" a="1"/>
  <c r="F13199" i="1" a="1"/>
  <c r="F13327" i="1" a="1"/>
  <c r="F13455" i="1" a="1"/>
  <c r="F13583" i="1" a="1"/>
  <c r="F13711" i="1" a="1"/>
  <c r="F13839" i="1" a="1"/>
  <c r="F13967" i="1" a="1"/>
  <c r="F14095" i="1" a="1"/>
  <c r="F14223" i="1" a="1"/>
  <c r="F14351" i="1" a="1"/>
  <c r="F14479" i="1" a="1"/>
  <c r="F14607" i="1" a="1"/>
  <c r="F14735" i="1" a="1"/>
  <c r="F10960" i="1" a="1"/>
  <c r="F11280" i="1" a="1"/>
  <c r="F11451" i="1" a="1"/>
  <c r="F11622" i="1" a="1"/>
  <c r="F10863" i="1" a="1"/>
  <c r="F11210" i="1" a="1"/>
  <c r="F11861" i="1" a="1"/>
  <c r="F11989" i="1" a="1"/>
  <c r="F12117" i="1" a="1"/>
  <c r="F12245" i="1" a="1"/>
  <c r="F12373" i="1" a="1"/>
  <c r="F10992" i="1" a="1"/>
  <c r="F11292" i="1" a="1"/>
  <c r="F11463" i="1" a="1"/>
  <c r="F11634" i="1" a="1"/>
  <c r="F10934" i="1" a="1"/>
  <c r="F11699" i="1" a="1"/>
  <c r="F11880" i="1" a="1"/>
  <c r="F12008" i="1" a="1"/>
  <c r="F12136" i="1" a="1"/>
  <c r="F12264" i="1" a="1"/>
  <c r="F12392" i="1" a="1"/>
  <c r="F10984" i="1" a="1"/>
  <c r="F11286" i="1" a="1"/>
  <c r="F11456" i="1" a="1"/>
  <c r="F11627" i="1" a="1"/>
  <c r="F12736" i="1" a="1"/>
  <c r="G10749" i="1" a="1"/>
  <c r="G13514" i="1" a="1"/>
  <c r="G11441" i="1" a="1"/>
  <c r="G12249" i="1" a="1"/>
  <c r="G14747" i="1" a="1"/>
  <c r="F594" i="1" a="1"/>
  <c r="F1220" i="1" a="1"/>
  <c r="F2451" i="1" a="1"/>
  <c r="F2627" i="1" a="1"/>
  <c r="F3841" i="1" a="1"/>
  <c r="F4417" i="1" a="1"/>
  <c r="F3695" i="1" a="1"/>
  <c r="F3362" i="1" a="1"/>
  <c r="F1715" i="1" a="1"/>
  <c r="F3744" i="1" a="1"/>
  <c r="F4572" i="1" a="1"/>
  <c r="F5084" i="1" a="1"/>
  <c r="F3771" i="1" a="1"/>
  <c r="F3536" i="1" a="1"/>
  <c r="F2772" i="1" a="1"/>
  <c r="F4514" i="1" a="1"/>
  <c r="F3547" i="1" a="1"/>
  <c r="F4549" i="1" a="1"/>
  <c r="F4290" i="1" a="1"/>
  <c r="F4654" i="1" a="1"/>
  <c r="F4878" i="1" a="1"/>
  <c r="F4320" i="1" a="1"/>
  <c r="F5575" i="1" a="1"/>
  <c r="F6599" i="1" a="1"/>
  <c r="F5003" i="1" a="1"/>
  <c r="F6334" i="1" a="1"/>
  <c r="F5388" i="1" a="1"/>
  <c r="F6376" i="1" a="1"/>
  <c r="F4899" i="1" a="1"/>
  <c r="F6054" i="1" a="1"/>
  <c r="F5481" i="1" a="1"/>
  <c r="F7282" i="1" a="1"/>
  <c r="F8143" i="1" a="1"/>
  <c r="F8655" i="1" a="1"/>
  <c r="F7189" i="1" a="1"/>
  <c r="F5793" i="1" a="1"/>
  <c r="F7483" i="1" a="1"/>
  <c r="F5523" i="1" a="1"/>
  <c r="F5883" i="1" a="1"/>
  <c r="F7504" i="1" a="1"/>
  <c r="F8160" i="1" a="1"/>
  <c r="F8987" i="1" a="1"/>
  <c r="F9499" i="1" a="1"/>
  <c r="F10011" i="1" a="1"/>
  <c r="F7410" i="1" a="1"/>
  <c r="F6510" i="1" a="1"/>
  <c r="F8504" i="1" a="1"/>
  <c r="F9116" i="1" a="1"/>
  <c r="F7352" i="1" a="1"/>
  <c r="F6629" i="1" a="1"/>
  <c r="F7145" i="1" a="1"/>
  <c r="F7982" i="1" a="1"/>
  <c r="F8612" i="1" a="1"/>
  <c r="F9250" i="1" a="1"/>
  <c r="F9817" i="1" a="1"/>
  <c r="F10158" i="1" a="1"/>
  <c r="F10461" i="1" a="1"/>
  <c r="F10717" i="1" a="1"/>
  <c r="F10973" i="1" a="1"/>
  <c r="F11229" i="1" a="1"/>
  <c r="F11445" i="1" a="1"/>
  <c r="F11641" i="1" a="1"/>
  <c r="F8578" i="1" a="1"/>
  <c r="F9029" i="1" a="1"/>
  <c r="F9501" i="1" a="1"/>
  <c r="F8008" i="1" a="1"/>
  <c r="F9226" i="1" a="1"/>
  <c r="F9489" i="1" a="1"/>
  <c r="F9738" i="1" a="1"/>
  <c r="F9882" i="1" a="1"/>
  <c r="F10016" i="1" a="1"/>
  <c r="F10149" i="1" a="1"/>
  <c r="F10282" i="1" a="1"/>
  <c r="F10398" i="1" a="1"/>
  <c r="F10490" i="1" a="1"/>
  <c r="F10562" i="1" a="1"/>
  <c r="F7726" i="1" a="1"/>
  <c r="F8168" i="1" a="1"/>
  <c r="F8497" i="1" a="1"/>
  <c r="F8734" i="1" a="1"/>
  <c r="F8862" i="1" a="1"/>
  <c r="F7730" i="1" a="1"/>
  <c r="F8012" i="1" a="1"/>
  <c r="F8317" i="1" a="1"/>
  <c r="F8646" i="1" a="1"/>
  <c r="F7705" i="1" a="1"/>
  <c r="F8162" i="1" a="1"/>
  <c r="F8528" i="1" a="1"/>
  <c r="F8737" i="1" a="1"/>
  <c r="F8865" i="1" a="1"/>
  <c r="F8993" i="1" a="1"/>
  <c r="F7682" i="1" a="1"/>
  <c r="F7981" i="1" a="1"/>
  <c r="F8245" i="1" a="1"/>
  <c r="F8574" i="1" a="1"/>
  <c r="F7626" i="1" a="1"/>
  <c r="F8090" i="1" a="1"/>
  <c r="F8456" i="1" a="1"/>
  <c r="F8706" i="1" a="1"/>
  <c r="F8834" i="1" a="1"/>
  <c r="F8962" i="1" a="1"/>
  <c r="F9090" i="1" a="1"/>
  <c r="F9230" i="1" a="1"/>
  <c r="F9397" i="1" a="1"/>
  <c r="F9564" i="1" a="1"/>
  <c r="F9014" i="1" a="1"/>
  <c r="F9498" i="1" a="1"/>
  <c r="F9768" i="1" a="1"/>
  <c r="F9938" i="1" a="1"/>
  <c r="F10109" i="1" a="1"/>
  <c r="F10280" i="1" a="1"/>
  <c r="F10420" i="1" a="1"/>
  <c r="F10548" i="1" a="1"/>
  <c r="F10712" i="1" a="1"/>
  <c r="F10879" i="1" a="1"/>
  <c r="F11046" i="1" a="1"/>
  <c r="F11224" i="1" a="1"/>
  <c r="F11326" i="1" a="1"/>
  <c r="F11411" i="1" a="1"/>
  <c r="F11496" i="1" a="1"/>
  <c r="F11582" i="1" a="1"/>
  <c r="F11667" i="1" a="1"/>
  <c r="F11784" i="1" a="1"/>
  <c r="F9413" i="1" a="1"/>
  <c r="F10604" i="1" a="1"/>
  <c r="F10771" i="1" a="1"/>
  <c r="F10938" i="1" a="1"/>
  <c r="F11116" i="1" a="1"/>
  <c r="F11707" i="1" a="1"/>
  <c r="F11819" i="1" a="1"/>
  <c r="F11883" i="1" a="1"/>
  <c r="F11947" i="1" a="1"/>
  <c r="F12011" i="1" a="1"/>
  <c r="F12075" i="1" a="1"/>
  <c r="F12139" i="1" a="1"/>
  <c r="F12203" i="1" a="1"/>
  <c r="F12267" i="1" a="1"/>
  <c r="F12331" i="1" a="1"/>
  <c r="F12395" i="1" a="1"/>
  <c r="F12459" i="1" a="1"/>
  <c r="F12523" i="1" a="1"/>
  <c r="F12587" i="1" a="1"/>
  <c r="F12651" i="1" a="1"/>
  <c r="F12715" i="1" a="1"/>
  <c r="F12779" i="1" a="1"/>
  <c r="F12843" i="1" a="1"/>
  <c r="F12907" i="1" a="1"/>
  <c r="F12971" i="1" a="1"/>
  <c r="F13035" i="1" a="1"/>
  <c r="F9401" i="1" a="1"/>
  <c r="F9718" i="1" a="1"/>
  <c r="F9889" i="1" a="1"/>
  <c r="F10060" i="1" a="1"/>
  <c r="F10230" i="1" a="1"/>
  <c r="F10399" i="1" a="1"/>
  <c r="F10527" i="1" a="1"/>
  <c r="F10670" i="1" a="1"/>
  <c r="F10848" i="1" a="1"/>
  <c r="F11015" i="1" a="1"/>
  <c r="F11182" i="1" a="1"/>
  <c r="F11306" i="1" a="1"/>
  <c r="F11391" i="1" a="1"/>
  <c r="F11476" i="1" a="1"/>
  <c r="F11562" i="1" a="1"/>
  <c r="F11647" i="1" a="1"/>
  <c r="F11753" i="1" a="1"/>
  <c r="F9350" i="1" a="1"/>
  <c r="F9684" i="1" a="1"/>
  <c r="F10747" i="1" a="1"/>
  <c r="F8982" i="1" a="1"/>
  <c r="F9480" i="1" a="1"/>
  <c r="F9762" i="1" a="1"/>
  <c r="F9933" i="1" a="1"/>
  <c r="F10104" i="1" a="1"/>
  <c r="F10274" i="1" a="1"/>
  <c r="F10424" i="1" a="1"/>
  <c r="F10552" i="1" a="1"/>
  <c r="F10703" i="1" a="1"/>
  <c r="F9381" i="1" a="1"/>
  <c r="F10602" i="1" a="1"/>
  <c r="F10780" i="1" a="1"/>
  <c r="F10947" i="1" a="1"/>
  <c r="F9433" i="1" a="1"/>
  <c r="F9745" i="1" a="1"/>
  <c r="F9916" i="1" a="1"/>
  <c r="F10086" i="1" a="1"/>
  <c r="F10257" i="1" a="1"/>
  <c r="F10403" i="1" a="1"/>
  <c r="F10531" i="1" a="1"/>
  <c r="F10679" i="1" a="1"/>
  <c r="F9357" i="1" a="1"/>
  <c r="F9702" i="1" a="1"/>
  <c r="F10763" i="1" a="1"/>
  <c r="F10930" i="1" a="1"/>
  <c r="F11108" i="1" a="1"/>
  <c r="F11701" i="1" a="1"/>
  <c r="F11814" i="1" a="1"/>
  <c r="F11878" i="1" a="1"/>
  <c r="F11942" i="1" a="1"/>
  <c r="F12006" i="1" a="1"/>
  <c r="F12070" i="1" a="1"/>
  <c r="F12134" i="1" a="1"/>
  <c r="F12198" i="1" a="1"/>
  <c r="F12262" i="1" a="1"/>
  <c r="F12326" i="1" a="1"/>
  <c r="F12390" i="1" a="1"/>
  <c r="F12454" i="1" a="1"/>
  <c r="F12518" i="1" a="1"/>
  <c r="F12582" i="1" a="1"/>
  <c r="F12646" i="1" a="1"/>
  <c r="F10824" i="1" a="1"/>
  <c r="F11242" i="1" a="1"/>
  <c r="F11873" i="1" a="1"/>
  <c r="F12001" i="1" a="1"/>
  <c r="F12129" i="1" a="1"/>
  <c r="F12257" i="1" a="1"/>
  <c r="F12385" i="1" a="1"/>
  <c r="F12513" i="1" a="1"/>
  <c r="F12641" i="1" a="1"/>
  <c r="F12788" i="1" a="1"/>
  <c r="F12966" i="1" a="1"/>
  <c r="F13111" i="1" a="1"/>
  <c r="F13239" i="1" a="1"/>
  <c r="F13367" i="1" a="1"/>
  <c r="F13495" i="1" a="1"/>
  <c r="F13623" i="1" a="1"/>
  <c r="F13751" i="1" a="1"/>
  <c r="F13879" i="1" a="1"/>
  <c r="F14007" i="1" a="1"/>
  <c r="F14135" i="1" a="1"/>
  <c r="F14263" i="1" a="1"/>
  <c r="F14391" i="1" a="1"/>
  <c r="F14519" i="1" a="1"/>
  <c r="F14647" i="1" a="1"/>
  <c r="F14775" i="1" a="1"/>
  <c r="F11102" i="1" a="1"/>
  <c r="F11351" i="1" a="1"/>
  <c r="F11522" i="1" a="1"/>
  <c r="F11710" i="1" a="1"/>
  <c r="F12794" i="1" a="1"/>
  <c r="F12961" i="1" a="1"/>
  <c r="F13107" i="1" a="1"/>
  <c r="F13235" i="1" a="1"/>
  <c r="F13363" i="1" a="1"/>
  <c r="F13491" i="1" a="1"/>
  <c r="F13619" i="1" a="1"/>
  <c r="F13747" i="1" a="1"/>
  <c r="F13875" i="1" a="1"/>
  <c r="F14003" i="1" a="1"/>
  <c r="F14131" i="1" a="1"/>
  <c r="F14259" i="1" a="1"/>
  <c r="G10754" i="1" a="1"/>
  <c r="G13519" i="1" a="1"/>
  <c r="G11459" i="1" a="1"/>
  <c r="G12273" i="1" a="1"/>
  <c r="G14779" i="1" a="1"/>
  <c r="F607" i="1" a="1"/>
  <c r="F1234" i="1" a="1"/>
  <c r="F2460" i="1" a="1"/>
  <c r="F2652" i="1" a="1"/>
  <c r="F3850" i="1" a="1"/>
  <c r="F4421" i="1" a="1"/>
  <c r="F3704" i="1" a="1"/>
  <c r="F3371" i="1" a="1"/>
  <c r="F1800" i="1" a="1"/>
  <c r="F3749" i="1" a="1"/>
  <c r="F4576" i="1" a="1"/>
  <c r="F5088" i="1" a="1"/>
  <c r="F3780" i="1" a="1"/>
  <c r="F3573" i="1" a="1"/>
  <c r="F2788" i="1" a="1"/>
  <c r="F4519" i="1" a="1"/>
  <c r="F3602" i="1" a="1"/>
  <c r="F4554" i="1" a="1"/>
  <c r="F4299" i="1" a="1"/>
  <c r="F4662" i="1" a="1"/>
  <c r="F4890" i="1" a="1"/>
  <c r="F4354" i="1" a="1"/>
  <c r="F5584" i="1" a="1"/>
  <c r="F6608" i="1" a="1"/>
  <c r="F5015" i="1" a="1"/>
  <c r="F6339" i="1" a="1"/>
  <c r="F5393" i="1" a="1"/>
  <c r="F6385" i="1" a="1"/>
  <c r="F4985" i="1" a="1"/>
  <c r="F6059" i="1" a="1"/>
  <c r="F5490" i="1" a="1"/>
  <c r="F7319" i="1" a="1"/>
  <c r="F8147" i="1" a="1"/>
  <c r="F8659" i="1" a="1"/>
  <c r="F7194" i="1" a="1"/>
  <c r="F5802" i="1" a="1"/>
  <c r="F7492" i="1" a="1"/>
  <c r="F5532" i="1" a="1"/>
  <c r="F5892" i="1" a="1"/>
  <c r="F7513" i="1" a="1"/>
  <c r="F8169" i="1" a="1"/>
  <c r="F8991" i="1" a="1"/>
  <c r="F9503" i="1" a="1"/>
  <c r="F10015" i="1" a="1"/>
  <c r="F7452" i="1" a="1"/>
  <c r="F6547" i="1" a="1"/>
  <c r="F8513" i="1" a="1"/>
  <c r="F9120" i="1" a="1"/>
  <c r="F7363" i="1" a="1"/>
  <c r="F6830" i="1" a="1"/>
  <c r="F7260" i="1" a="1"/>
  <c r="F8014" i="1" a="1"/>
  <c r="F7581" i="1" a="1"/>
  <c r="F9314" i="1" a="1"/>
  <c r="F9849" i="1" a="1"/>
  <c r="F10190" i="1" a="1"/>
  <c r="F10485" i="1" a="1"/>
  <c r="F10741" i="1" a="1"/>
  <c r="F10997" i="1" a="1"/>
  <c r="F11253" i="1" a="1"/>
  <c r="F11449" i="1" a="1"/>
  <c r="F11665" i="1" a="1"/>
  <c r="F8624" i="1" a="1"/>
  <c r="F9045" i="1" a="1"/>
  <c r="F9565" i="1" a="1"/>
  <c r="F8018" i="1" a="1"/>
  <c r="F9233" i="1" a="1"/>
  <c r="F9496" i="1" a="1"/>
  <c r="F9749" i="1" a="1"/>
  <c r="F9888" i="1" a="1"/>
  <c r="F10021" i="1" a="1"/>
  <c r="F10154" i="1" a="1"/>
  <c r="F10288" i="1" a="1"/>
  <c r="F10406" i="1" a="1"/>
  <c r="F10494" i="1" a="1"/>
  <c r="F10566" i="1" a="1"/>
  <c r="F7737" i="1" a="1"/>
  <c r="F8177" i="1" a="1"/>
  <c r="F8506" i="1" a="1"/>
  <c r="F8742" i="1" a="1"/>
  <c r="F8870" i="1" a="1"/>
  <c r="F7741" i="1" a="1"/>
  <c r="F8022" i="1" a="1"/>
  <c r="F8326" i="1" a="1"/>
  <c r="F9216" i="1" a="1"/>
  <c r="F7718" i="1" a="1"/>
  <c r="F8208" i="1" a="1"/>
  <c r="F8537" i="1" a="1"/>
  <c r="F8745" i="1" a="1"/>
  <c r="F8873" i="1" a="1"/>
  <c r="F9001" i="1" a="1"/>
  <c r="F7707" i="1" a="1"/>
  <c r="F7992" i="1" a="1"/>
  <c r="F8254" i="1" a="1"/>
  <c r="F8620" i="1" a="1"/>
  <c r="F7640" i="1" a="1"/>
  <c r="F8136" i="1" a="1"/>
  <c r="F8465" i="1" a="1"/>
  <c r="F8714" i="1" a="1"/>
  <c r="F8842" i="1" a="1"/>
  <c r="F8970" i="1" a="1"/>
  <c r="F9098" i="1" a="1"/>
  <c r="F9237" i="1" a="1"/>
  <c r="F9404" i="1" a="1"/>
  <c r="F9582" i="1" a="1"/>
  <c r="F9078" i="1" a="1"/>
  <c r="F9512" i="1" a="1"/>
  <c r="F9778" i="1" a="1"/>
  <c r="F9949" i="1" a="1"/>
  <c r="F10120" i="1" a="1"/>
  <c r="F10290" i="1" a="1"/>
  <c r="F10428" i="1" a="1"/>
  <c r="F10556" i="1" a="1"/>
  <c r="F10719" i="1" a="1"/>
  <c r="F10886" i="1" a="1"/>
  <c r="F11064" i="1" a="1"/>
  <c r="F11231" i="1" a="1"/>
  <c r="F11331" i="1" a="1"/>
  <c r="F11416" i="1" a="1"/>
  <c r="F11502" i="1" a="1"/>
  <c r="F11587" i="1" a="1"/>
  <c r="F11672" i="1" a="1"/>
  <c r="F11793" i="1" a="1"/>
  <c r="F9438" i="1" a="1"/>
  <c r="F10611" i="1" a="1"/>
  <c r="F10778" i="1" a="1"/>
  <c r="F10956" i="1" a="1"/>
  <c r="F11123" i="1" a="1"/>
  <c r="F11716" i="1" a="1"/>
  <c r="F11823" i="1" a="1"/>
  <c r="F11887" i="1" a="1"/>
  <c r="F11951" i="1" a="1"/>
  <c r="F12015" i="1" a="1"/>
  <c r="F12079" i="1" a="1"/>
  <c r="F12143" i="1" a="1"/>
  <c r="F12207" i="1" a="1"/>
  <c r="F12271" i="1" a="1"/>
  <c r="F12335" i="1" a="1"/>
  <c r="F12399" i="1" a="1"/>
  <c r="F12463" i="1" a="1"/>
  <c r="F12527" i="1" a="1"/>
  <c r="F12591" i="1" a="1"/>
  <c r="F12655" i="1" a="1"/>
  <c r="F12719" i="1" a="1"/>
  <c r="F12783" i="1" a="1"/>
  <c r="F12847" i="1" a="1"/>
  <c r="F12911" i="1" a="1"/>
  <c r="F12975" i="1" a="1"/>
  <c r="F13039" i="1" a="1"/>
  <c r="F9426" i="1" a="1"/>
  <c r="F9729" i="1" a="1"/>
  <c r="F9900" i="1" a="1"/>
  <c r="F10070" i="1" a="1"/>
  <c r="F10241" i="1" a="1"/>
  <c r="F10407" i="1" a="1"/>
  <c r="F10535" i="1" a="1"/>
  <c r="F10688" i="1" a="1"/>
  <c r="F10855" i="1" a="1"/>
  <c r="F11022" i="1" a="1"/>
  <c r="F11200" i="1" a="1"/>
  <c r="F11311" i="1" a="1"/>
  <c r="F11396" i="1" a="1"/>
  <c r="F11482" i="1" a="1"/>
  <c r="F11567" i="1" a="1"/>
  <c r="F11652" i="1" a="1"/>
  <c r="F11758" i="1" a="1"/>
  <c r="F9364" i="1" a="1"/>
  <c r="F10326" i="1" a="1"/>
  <c r="F10754" i="1" a="1"/>
  <c r="F9046" i="1" a="1"/>
  <c r="F9505" i="1" a="1"/>
  <c r="F9773" i="1" a="1"/>
  <c r="F9944" i="1" a="1"/>
  <c r="F10114" i="1" a="1"/>
  <c r="F10285" i="1" a="1"/>
  <c r="F10432" i="1" a="1"/>
  <c r="F10560" i="1" a="1"/>
  <c r="F10710" i="1" a="1"/>
  <c r="F9406" i="1" a="1"/>
  <c r="F10620" i="1" a="1"/>
  <c r="F10787" i="1" a="1"/>
  <c r="F10954" i="1" a="1"/>
  <c r="F9458" i="1" a="1"/>
  <c r="F9756" i="1" a="1"/>
  <c r="F9926" i="1" a="1"/>
  <c r="F10097" i="1" a="1"/>
  <c r="F10268" i="1" a="1"/>
  <c r="F10411" i="1" a="1"/>
  <c r="F10539" i="1" a="1"/>
  <c r="F10686" i="1" a="1"/>
  <c r="F9382" i="1" a="1"/>
  <c r="F10603" i="1" a="1"/>
  <c r="F10770" i="1" a="1"/>
  <c r="F10948" i="1" a="1"/>
  <c r="F11115" i="1" a="1"/>
  <c r="F11706" i="1" a="1"/>
  <c r="F11818" i="1" a="1"/>
  <c r="F11882" i="1" a="1"/>
  <c r="F11946" i="1" a="1"/>
  <c r="F12010" i="1" a="1"/>
  <c r="F12074" i="1" a="1"/>
  <c r="F12138" i="1" a="1"/>
  <c r="F12202" i="1" a="1"/>
  <c r="F12266" i="1" a="1"/>
  <c r="F12330" i="1" a="1"/>
  <c r="F12394" i="1" a="1"/>
  <c r="F12458" i="1" a="1"/>
  <c r="F12522" i="1" a="1"/>
  <c r="F12586" i="1" a="1"/>
  <c r="F12650" i="1" a="1"/>
  <c r="F10902" i="1" a="1"/>
  <c r="F11691" i="1" a="1"/>
  <c r="F11881" i="1" a="1"/>
  <c r="F12009" i="1" a="1"/>
  <c r="F12137" i="1" a="1"/>
  <c r="F12265" i="1" a="1"/>
  <c r="F12393" i="1" a="1"/>
  <c r="F12521" i="1" a="1"/>
  <c r="F12649" i="1" a="1"/>
  <c r="F12806" i="1" a="1"/>
  <c r="F12973" i="1" a="1"/>
  <c r="F13120" i="1" a="1"/>
  <c r="F13248" i="1" a="1"/>
  <c r="F13376" i="1" a="1"/>
  <c r="F13504" i="1" a="1"/>
  <c r="F13632" i="1" a="1"/>
  <c r="F13760" i="1" a="1"/>
  <c r="F13888" i="1" a="1"/>
  <c r="F14016" i="1" a="1"/>
  <c r="F14144" i="1" a="1"/>
  <c r="F14272" i="1" a="1"/>
  <c r="F14400" i="1" a="1"/>
  <c r="F14528" i="1" a="1"/>
  <c r="F14656" i="1" a="1"/>
  <c r="F14784" i="1" a="1"/>
  <c r="F11127" i="1" a="1"/>
  <c r="F11362" i="1" a="1"/>
  <c r="F11532" i="1" a="1"/>
  <c r="F11719" i="1" a="1"/>
  <c r="F12801" i="1" a="1"/>
  <c r="F12968" i="1" a="1"/>
  <c r="F13116" i="1" a="1"/>
  <c r="F13244" i="1" a="1"/>
  <c r="F13372" i="1" a="1"/>
  <c r="F13500" i="1" a="1"/>
  <c r="F13628" i="1" a="1"/>
  <c r="F13756" i="1" a="1"/>
  <c r="F13884" i="1" a="1"/>
  <c r="F14012" i="1" a="1"/>
  <c r="F14140" i="1" a="1"/>
  <c r="F14268" i="1" a="1"/>
  <c r="F14396" i="1" a="1"/>
  <c r="F14524" i="1" a="1"/>
  <c r="F14652" i="1" a="1"/>
  <c r="F14780" i="1" a="1"/>
  <c r="F14860" i="1" a="1"/>
  <c r="F14924" i="1" a="1"/>
  <c r="F11156" i="1" a="1"/>
  <c r="F11844" i="1" a="1"/>
  <c r="F11972" i="1" a="1"/>
  <c r="F12100" i="1" a="1"/>
  <c r="G11681" i="1" a="1"/>
  <c r="G10678" i="1" a="1"/>
  <c r="G13366" i="1" a="1"/>
  <c r="G12401" i="1" a="1"/>
  <c r="G14514" i="1" a="1"/>
  <c r="F773" i="1" a="1"/>
  <c r="F1964" i="1" a="1"/>
  <c r="F2763" i="1" a="1"/>
  <c r="F2848" i="1" a="1"/>
  <c r="F3969" i="1" a="1"/>
  <c r="F4481" i="1" a="1"/>
  <c r="F3823" i="1" a="1"/>
  <c r="F3490" i="1" a="1"/>
  <c r="F1836" i="1" a="1"/>
  <c r="F3872" i="1" a="1"/>
  <c r="F4636" i="1" a="1"/>
  <c r="F5148" i="1" a="1"/>
  <c r="F3996" i="1" a="1"/>
  <c r="F3792" i="1" a="1"/>
  <c r="F3077" i="1" a="1"/>
  <c r="F4599" i="1" a="1"/>
  <c r="F3991" i="1" a="1"/>
  <c r="F4634" i="1" a="1"/>
  <c r="F3556" i="1" a="1"/>
  <c r="F4914" i="1" a="1"/>
  <c r="F5098" i="1" a="1"/>
  <c r="F4833" i="1" a="1"/>
  <c r="F5703" i="1" a="1"/>
  <c r="F6727" i="1" a="1"/>
  <c r="F5299" i="1" a="1"/>
  <c r="F6462" i="1" a="1"/>
  <c r="F5480" i="1" a="1"/>
  <c r="F6504" i="1" a="1"/>
  <c r="F4842" i="1" a="1"/>
  <c r="F6182" i="1" a="1"/>
  <c r="F5737" i="1" a="1"/>
  <c r="F7444" i="1" a="1"/>
  <c r="F8207" i="1" a="1"/>
  <c r="F5564" i="1" a="1"/>
  <c r="F7351" i="1" a="1"/>
  <c r="F6049" i="1" a="1"/>
  <c r="F5251" i="1" a="1"/>
  <c r="F5779" i="1" a="1"/>
  <c r="F6139" i="1" a="1"/>
  <c r="F7632" i="1" a="1"/>
  <c r="F8329" i="1" a="1"/>
  <c r="F9051" i="1" a="1"/>
  <c r="F9563" i="1" a="1"/>
  <c r="F10075" i="1" a="1"/>
  <c r="F7672" i="1" a="1"/>
  <c r="F6967" i="1" a="1"/>
  <c r="F8668" i="1" a="1"/>
  <c r="F9180" i="1" a="1"/>
  <c r="F6116" i="1" a="1"/>
  <c r="F6867" i="1" a="1"/>
  <c r="F7270" i="1" a="1"/>
  <c r="F8020" i="1" a="1"/>
  <c r="F7602" i="1" a="1"/>
  <c r="F9321" i="1" a="1"/>
  <c r="F9854" i="1" a="1"/>
  <c r="F10196" i="1" a="1"/>
  <c r="F10489" i="1" a="1"/>
  <c r="F10745" i="1" a="1"/>
  <c r="F11001" i="1" a="1"/>
  <c r="F11257" i="1" a="1"/>
  <c r="F11473" i="1" a="1"/>
  <c r="F11669" i="1" a="1"/>
  <c r="F8642" i="1" a="1"/>
  <c r="F9093" i="1" a="1"/>
  <c r="F9572" i="1" a="1"/>
  <c r="F8076" i="1" a="1"/>
  <c r="F9258" i="1" a="1"/>
  <c r="F9546" i="1" a="1"/>
  <c r="F9760" i="1" a="1"/>
  <c r="F9893" i="1" a="1"/>
  <c r="F10026" i="1" a="1"/>
  <c r="F10165" i="1" a="1"/>
  <c r="F10309" i="1" a="1"/>
  <c r="F10414" i="1" a="1"/>
  <c r="F10498" i="1" a="1"/>
  <c r="F10570" i="1" a="1"/>
  <c r="F7750" i="1" a="1"/>
  <c r="F8186" i="1" a="1"/>
  <c r="F8552" i="1" a="1"/>
  <c r="F8750" i="1" a="1"/>
  <c r="F8878" i="1" a="1"/>
  <c r="F7754" i="1" a="1"/>
  <c r="F8033" i="1" a="1"/>
  <c r="F8372" i="1" a="1"/>
  <c r="F9234" i="1" a="1"/>
  <c r="F7742" i="1" a="1"/>
  <c r="F8217" i="1" a="1"/>
  <c r="F8546" i="1" a="1"/>
  <c r="F8753" i="1" a="1"/>
  <c r="F8881" i="1" a="1"/>
  <c r="F9009" i="1" a="1"/>
  <c r="F7731" i="1" a="1"/>
  <c r="F8002" i="1" a="1"/>
  <c r="F8300" i="1" a="1"/>
  <c r="F8629" i="1" a="1"/>
  <c r="F7695" i="1" a="1"/>
  <c r="F8145" i="1" a="1"/>
  <c r="F8474" i="1" a="1"/>
  <c r="F8722" i="1" a="1"/>
  <c r="F8850" i="1" a="1"/>
  <c r="F8978" i="1" a="1"/>
  <c r="F9106" i="1" a="1"/>
  <c r="F9244" i="1" a="1"/>
  <c r="F9422" i="1" a="1"/>
  <c r="F9589" i="1" a="1"/>
  <c r="F9110" i="1" a="1"/>
  <c r="F9537" i="1" a="1"/>
  <c r="F9789" i="1" a="1"/>
  <c r="F9960" i="1" a="1"/>
  <c r="F10130" i="1" a="1"/>
  <c r="F10301" i="1" a="1"/>
  <c r="F10436" i="1" a="1"/>
  <c r="F10564" i="1" a="1"/>
  <c r="F10726" i="1" a="1"/>
  <c r="F10904" i="1" a="1"/>
  <c r="F11071" i="1" a="1"/>
  <c r="F11238" i="1" a="1"/>
  <c r="F11336" i="1" a="1"/>
  <c r="F11422" i="1" a="1"/>
  <c r="F11507" i="1" a="1"/>
  <c r="F11592" i="1" a="1"/>
  <c r="F11678" i="1" a="1"/>
  <c r="F11798" i="1" a="1"/>
  <c r="F9452" i="1" a="1"/>
  <c r="F10618" i="1" a="1"/>
  <c r="F10796" i="1" a="1"/>
  <c r="F10963" i="1" a="1"/>
  <c r="F11130" i="1" a="1"/>
  <c r="F11725" i="1" a="1"/>
  <c r="F11827" i="1" a="1"/>
  <c r="F11891" i="1" a="1"/>
  <c r="F11955" i="1" a="1"/>
  <c r="F12019" i="1" a="1"/>
  <c r="F12083" i="1" a="1"/>
  <c r="F12147" i="1" a="1"/>
  <c r="F12211" i="1" a="1"/>
  <c r="F12275" i="1" a="1"/>
  <c r="F12339" i="1" a="1"/>
  <c r="F12403" i="1" a="1"/>
  <c r="F12467" i="1" a="1"/>
  <c r="F12531" i="1" a="1"/>
  <c r="F12595" i="1" a="1"/>
  <c r="F12659" i="1" a="1"/>
  <c r="F12723" i="1" a="1"/>
  <c r="F12787" i="1" a="1"/>
  <c r="F12851" i="1" a="1"/>
  <c r="F12915" i="1" a="1"/>
  <c r="F12979" i="1" a="1"/>
  <c r="F13043" i="1" a="1"/>
  <c r="F9440" i="1" a="1"/>
  <c r="F9740" i="1" a="1"/>
  <c r="F9910" i="1" a="1"/>
  <c r="F10081" i="1" a="1"/>
  <c r="F10252" i="1" a="1"/>
  <c r="F10415" i="1" a="1"/>
  <c r="F10543" i="1" a="1"/>
  <c r="F10695" i="1" a="1"/>
  <c r="F10862" i="1" a="1"/>
  <c r="F11040" i="1" a="1"/>
  <c r="F11207" i="1" a="1"/>
  <c r="F11316" i="1" a="1"/>
  <c r="F11402" i="1" a="1"/>
  <c r="F11487" i="1" a="1"/>
  <c r="F11572" i="1" a="1"/>
  <c r="F11658" i="1" a="1"/>
  <c r="F11767" i="1" a="1"/>
  <c r="F9389" i="1" a="1"/>
  <c r="F10335" i="1" a="1"/>
  <c r="F10772" i="1" a="1"/>
  <c r="F9094" i="1" a="1"/>
  <c r="F9530" i="1" a="1"/>
  <c r="F9784" i="1" a="1"/>
  <c r="F9954" i="1" a="1"/>
  <c r="F10125" i="1" a="1"/>
  <c r="F10296" i="1" a="1"/>
  <c r="F10440" i="1" a="1"/>
  <c r="F10568" i="1" a="1"/>
  <c r="F10728" i="1" a="1"/>
  <c r="F9420" i="1" a="1"/>
  <c r="F10627" i="1" a="1"/>
  <c r="F10794" i="1" a="1"/>
  <c r="F10972" i="1" a="1"/>
  <c r="F9472" i="1" a="1"/>
  <c r="F9766" i="1" a="1"/>
  <c r="F9937" i="1" a="1"/>
  <c r="F10108" i="1" a="1"/>
  <c r="F10278" i="1" a="1"/>
  <c r="F10419" i="1" a="1"/>
  <c r="F10547" i="1" a="1"/>
  <c r="F10704" i="1" a="1"/>
  <c r="F9396" i="1" a="1"/>
  <c r="F10610" i="1" a="1"/>
  <c r="F10788" i="1" a="1"/>
  <c r="F10955" i="1" a="1"/>
  <c r="F11122" i="1" a="1"/>
  <c r="F11715" i="1" a="1"/>
  <c r="F11822" i="1" a="1"/>
  <c r="F11886" i="1" a="1"/>
  <c r="F11950" i="1" a="1"/>
  <c r="F12014" i="1" a="1"/>
  <c r="F12078" i="1" a="1"/>
  <c r="F12142" i="1" a="1"/>
  <c r="F12206" i="1" a="1"/>
  <c r="F12270" i="1" a="1"/>
  <c r="F12334" i="1" a="1"/>
  <c r="F12398" i="1" a="1"/>
  <c r="F12462" i="1" a="1"/>
  <c r="F12526" i="1" a="1"/>
  <c r="F12590" i="1" a="1"/>
  <c r="F12654" i="1" a="1"/>
  <c r="F10920" i="1" a="1"/>
  <c r="F11700" i="1" a="1"/>
  <c r="F11889" i="1" a="1"/>
  <c r="F12017" i="1" a="1"/>
  <c r="F12145" i="1" a="1"/>
  <c r="F12273" i="1" a="1"/>
  <c r="F12401" i="1" a="1"/>
  <c r="F12529" i="1" a="1"/>
  <c r="F12657" i="1" a="1"/>
  <c r="F12813" i="1" a="1"/>
  <c r="F12980" i="1" a="1"/>
  <c r="F13129" i="1" a="1"/>
  <c r="F13257" i="1" a="1"/>
  <c r="F13385" i="1" a="1"/>
  <c r="F13513" i="1" a="1"/>
  <c r="F13641" i="1" a="1"/>
  <c r="F13769" i="1" a="1"/>
  <c r="F13897" i="1" a="1"/>
  <c r="F14025" i="1" a="1"/>
  <c r="F14153" i="1" a="1"/>
  <c r="F14281" i="1" a="1"/>
  <c r="F14409" i="1" a="1"/>
  <c r="F14537" i="1" a="1"/>
  <c r="F14665" i="1" a="1"/>
  <c r="F14793" i="1" a="1"/>
  <c r="F11152" i="1" a="1"/>
  <c r="F11372" i="1" a="1"/>
  <c r="F11543" i="1" a="1"/>
  <c r="F11728" i="1" a="1"/>
  <c r="F12808" i="1" a="1"/>
  <c r="F12986" i="1" a="1"/>
  <c r="F13125" i="1" a="1"/>
  <c r="F13253" i="1" a="1"/>
  <c r="F13381" i="1" a="1"/>
  <c r="F13509" i="1" a="1"/>
  <c r="F13637" i="1" a="1"/>
  <c r="F13765" i="1" a="1"/>
  <c r="F13893" i="1" a="1"/>
  <c r="F14021" i="1" a="1"/>
  <c r="F14149" i="1" a="1"/>
  <c r="G11690" i="1" a="1"/>
  <c r="F5152" i="1" a="1"/>
  <c r="F6513" i="1" a="1"/>
  <c r="F10079" i="1" a="1"/>
  <c r="F11281" i="1" a="1"/>
  <c r="F10574" i="1" a="1"/>
  <c r="F7755" i="1" a="1"/>
  <c r="F9800" i="1" a="1"/>
  <c r="F9477" i="1" a="1"/>
  <c r="F12471" i="1" a="1"/>
  <c r="F10551" i="1" a="1"/>
  <c r="F9794" i="1" a="1"/>
  <c r="F10427" i="1" a="1"/>
  <c r="F12274" i="1" a="1"/>
  <c r="F12820" i="1" a="1"/>
  <c r="F11166" i="1" a="1"/>
  <c r="F14030" i="1" a="1"/>
  <c r="F14661" i="1" a="1"/>
  <c r="F11170" i="1" a="1"/>
  <c r="F12164" i="1" a="1"/>
  <c r="F12492" i="1" a="1"/>
  <c r="F12917" i="1" a="1"/>
  <c r="F13281" i="1" a="1"/>
  <c r="F13610" i="1" a="1"/>
  <c r="F13976" i="1" a="1"/>
  <c r="F14305" i="1" a="1"/>
  <c r="F14634" i="1" a="1"/>
  <c r="F11291" i="1" a="1"/>
  <c r="F11750" i="1" a="1"/>
  <c r="F11885" i="1" a="1"/>
  <c r="F12253" i="1" a="1"/>
  <c r="F11198" i="1" a="1"/>
  <c r="F11666" i="1" a="1"/>
  <c r="F11888" i="1" a="1"/>
  <c r="F12216" i="1" a="1"/>
  <c r="F11048" i="1" a="1"/>
  <c r="F11638" i="1" a="1"/>
  <c r="F12864" i="1" a="1"/>
  <c r="F13069" i="1" a="1"/>
  <c r="F13211" i="1" a="1"/>
  <c r="F13339" i="1" a="1"/>
  <c r="F13467" i="1" a="1"/>
  <c r="F13595" i="1" a="1"/>
  <c r="F13723" i="1" a="1"/>
  <c r="F13851" i="1" a="1"/>
  <c r="F13979" i="1" a="1"/>
  <c r="F14107" i="1" a="1"/>
  <c r="F14235" i="1" a="1"/>
  <c r="F14363" i="1" a="1"/>
  <c r="F14491" i="1" a="1"/>
  <c r="F14619" i="1" a="1"/>
  <c r="F14747" i="1" a="1"/>
  <c r="F14843" i="1" a="1"/>
  <c r="F12721" i="1" a="1"/>
  <c r="F13053" i="1" a="1"/>
  <c r="F13310" i="1" a="1"/>
  <c r="F13566" i="1" a="1"/>
  <c r="F13822" i="1" a="1"/>
  <c r="F14078" i="1" a="1"/>
  <c r="F14334" i="1" a="1"/>
  <c r="F14590" i="1" a="1"/>
  <c r="F14842" i="1" a="1"/>
  <c r="F12656" i="1" a="1"/>
  <c r="F12990" i="1" a="1"/>
  <c r="F13265" i="1" a="1"/>
  <c r="F13521" i="1" a="1"/>
  <c r="F13777" i="1" a="1"/>
  <c r="F14033" i="1" a="1"/>
  <c r="F14289" i="1" a="1"/>
  <c r="F14545" i="1" a="1"/>
  <c r="F14801" i="1" a="1"/>
  <c r="F12752" i="1" a="1"/>
  <c r="F13076" i="1" a="1"/>
  <c r="F13332" i="1" a="1"/>
  <c r="F13588" i="1" a="1"/>
  <c r="F13844" i="1" a="1"/>
  <c r="F14100" i="1" a="1"/>
  <c r="F14356" i="1" a="1"/>
  <c r="F14612" i="1" a="1"/>
  <c r="F14837" i="1" a="1"/>
  <c r="F12632" i="1" a="1"/>
  <c r="F12982" i="1" a="1"/>
  <c r="F13287" i="1" a="1"/>
  <c r="F13543" i="1" a="1"/>
  <c r="F13799" i="1" a="1"/>
  <c r="F14055" i="1" a="1"/>
  <c r="F14311" i="1" a="1"/>
  <c r="F14567" i="1" a="1"/>
  <c r="F14877" i="1" a="1"/>
  <c r="F12817" i="1" a="1"/>
  <c r="F13123" i="1" a="1"/>
  <c r="F13379" i="1" a="1"/>
  <c r="F13635" i="1" a="1"/>
  <c r="F13891" i="1" a="1"/>
  <c r="F14147" i="1" a="1"/>
  <c r="F14403" i="1" a="1"/>
  <c r="F14659" i="1" a="1"/>
  <c r="F14854" i="1" a="1"/>
  <c r="F12688" i="1" a="1"/>
  <c r="F13022" i="1" a="1"/>
  <c r="F13288" i="1" a="1"/>
  <c r="F13544" i="1" a="1"/>
  <c r="F13800" i="1" a="1"/>
  <c r="F14056" i="1" a="1"/>
  <c r="F14312" i="1" a="1"/>
  <c r="F14568" i="1" a="1"/>
  <c r="F14885" i="1" a="1"/>
  <c r="F12834" i="1" a="1"/>
  <c r="F13126" i="1" a="1"/>
  <c r="F13382" i="1" a="1"/>
  <c r="F13638" i="1" a="1"/>
  <c r="F13894" i="1" a="1"/>
  <c r="F14150" i="1" a="1"/>
  <c r="F14406" i="1" a="1"/>
  <c r="F14662" i="1" a="1"/>
  <c r="F12886" i="1" a="1"/>
  <c r="F13191" i="1" a="1"/>
  <c r="F13447" i="1" a="1"/>
  <c r="F13703" i="1" a="1"/>
  <c r="F13959" i="1" a="1"/>
  <c r="F14215" i="1" a="1"/>
  <c r="F14471" i="1" a="1"/>
  <c r="F14727" i="1" a="1"/>
  <c r="F14763" i="1" a="1"/>
  <c r="F14873" i="1" a="1"/>
  <c r="F14443" i="1" a="1"/>
  <c r="F13456" i="1" a="1"/>
  <c r="F13968" i="1" a="1"/>
  <c r="F14480" i="1" a="1"/>
  <c r="F14833" i="1" a="1"/>
  <c r="F14923" i="1" a="1"/>
  <c r="F2" i="1" a="1"/>
  <c r="F14535" i="1" a="1"/>
  <c r="F14476" i="1" a="1"/>
  <c r="F13739" i="1" a="1"/>
  <c r="F13492" i="1" a="1"/>
  <c r="F13014" i="1" a="1"/>
  <c r="F13785" i="1" a="1"/>
  <c r="F14553" i="1" a="1"/>
  <c r="F14918" i="1" a="1"/>
  <c r="F10314" i="1" a="1"/>
  <c r="F13722" i="1" a="1"/>
  <c r="F13489" i="1" a="1"/>
  <c r="F10262" i="1" a="1"/>
  <c r="F11654" i="1" a="1"/>
  <c r="F13709" i="1" a="1"/>
  <c r="F14316" i="1" a="1"/>
  <c r="F13798" i="1" a="1"/>
  <c r="F13845" i="1" a="1"/>
  <c r="F13364" i="1" a="1"/>
  <c r="F12407" i="1" a="1"/>
  <c r="F14255" i="1" a="1"/>
  <c r="F13334" i="1" a="1"/>
  <c r="F13041" i="1" a="1"/>
  <c r="F14024" i="1" a="1"/>
  <c r="F13506" i="1" a="1"/>
  <c r="F14622" i="1" a="1"/>
  <c r="F13373" i="1" a="1"/>
  <c r="F14690" i="1" a="1"/>
  <c r="G10689" i="1" a="1"/>
  <c r="F4004" i="1" a="1"/>
  <c r="F4891" i="1" a="1"/>
  <c r="F7685" i="1" a="1"/>
  <c r="F11477" i="1" a="1"/>
  <c r="F7774" i="1" a="1"/>
  <c r="F8013" i="1" a="1"/>
  <c r="F9970" i="1" a="1"/>
  <c r="F10636" i="1" a="1"/>
  <c r="F12535" i="1" a="1"/>
  <c r="F10702" i="1" a="1"/>
  <c r="F9965" i="1" a="1"/>
  <c r="F10555" i="1" a="1"/>
  <c r="F12338" i="1" a="1"/>
  <c r="F12998" i="1" a="1"/>
  <c r="F11383" i="1" a="1"/>
  <c r="F14076" i="1" a="1"/>
  <c r="F14670" i="1" a="1"/>
  <c r="F11195" i="1" a="1"/>
  <c r="F12196" i="1" a="1"/>
  <c r="F12500" i="1" a="1"/>
  <c r="F12924" i="1" a="1"/>
  <c r="F13313" i="1" a="1"/>
  <c r="F13615" i="1" a="1"/>
  <c r="F13985" i="1" a="1"/>
  <c r="F14337" i="1" a="1"/>
  <c r="F14639" i="1" a="1"/>
  <c r="F11302" i="1" a="1"/>
  <c r="F10760" i="1" a="1"/>
  <c r="F11893" i="1" a="1"/>
  <c r="F12261" i="1" a="1"/>
  <c r="F11271" i="1" a="1"/>
  <c r="F11676" i="1" a="1"/>
  <c r="F11896" i="1" a="1"/>
  <c r="F12248" i="1" a="1"/>
  <c r="F11062" i="1" a="1"/>
  <c r="F11648" i="1" a="1"/>
  <c r="F12882" i="1" a="1"/>
  <c r="F13078" i="1" a="1"/>
  <c r="F13220" i="1" a="1"/>
  <c r="F13348" i="1" a="1"/>
  <c r="F13476" i="1" a="1"/>
  <c r="F13604" i="1" a="1"/>
  <c r="F13732" i="1" a="1"/>
  <c r="F13860" i="1" a="1"/>
  <c r="F13988" i="1" a="1"/>
  <c r="F14116" i="1" a="1"/>
  <c r="F14244" i="1" a="1"/>
  <c r="F14372" i="1" a="1"/>
  <c r="F14500" i="1" a="1"/>
  <c r="F14628" i="1" a="1"/>
  <c r="F14756" i="1" a="1"/>
  <c r="F14847" i="1" a="1"/>
  <c r="F12746" i="1" a="1"/>
  <c r="F13091" i="1" a="1"/>
  <c r="F13347" i="1" a="1"/>
  <c r="F13603" i="1" a="1"/>
  <c r="F13859" i="1" a="1"/>
  <c r="F14115" i="1" a="1"/>
  <c r="F14371" i="1" a="1"/>
  <c r="F14627" i="1" a="1"/>
  <c r="F14850" i="1" a="1"/>
  <c r="F12680" i="1" a="1"/>
  <c r="F13004" i="1" a="1"/>
  <c r="F13274" i="1" a="1"/>
  <c r="F13530" i="1" a="1"/>
  <c r="F13786" i="1" a="1"/>
  <c r="F14042" i="1" a="1"/>
  <c r="F14298" i="1" a="1"/>
  <c r="F14554" i="1" a="1"/>
  <c r="F14810" i="1" a="1"/>
  <c r="F12777" i="1" a="1"/>
  <c r="F13085" i="1" a="1"/>
  <c r="F13341" i="1" a="1"/>
  <c r="F13597" i="1" a="1"/>
  <c r="F13853" i="1" a="1"/>
  <c r="F14109" i="1" a="1"/>
  <c r="F14365" i="1" a="1"/>
  <c r="F14621" i="1" a="1"/>
  <c r="F14845" i="1" a="1"/>
  <c r="F12664" i="1" a="1"/>
  <c r="F12996" i="1" a="1"/>
  <c r="F13296" i="1" a="1"/>
  <c r="F13552" i="1" a="1"/>
  <c r="F13808" i="1" a="1"/>
  <c r="F14064" i="1" a="1"/>
  <c r="F14320" i="1" a="1"/>
  <c r="F14576" i="1" a="1"/>
  <c r="F14895" i="1" a="1"/>
  <c r="F12842" i="1" a="1"/>
  <c r="F13132" i="1" a="1"/>
  <c r="F13388" i="1" a="1"/>
  <c r="F13644" i="1" a="1"/>
  <c r="F13900" i="1" a="1"/>
  <c r="F14156" i="1" a="1"/>
  <c r="F14412" i="1" a="1"/>
  <c r="F14668" i="1" a="1"/>
  <c r="F14862" i="1" a="1"/>
  <c r="F12702" i="1" a="1"/>
  <c r="F13036" i="1" a="1"/>
  <c r="F13297" i="1" a="1"/>
  <c r="F13553" i="1" a="1"/>
  <c r="F13809" i="1" a="1"/>
  <c r="F14065" i="1" a="1"/>
  <c r="F14321" i="1" a="1"/>
  <c r="F14577" i="1" a="1"/>
  <c r="F14910" i="1" a="1"/>
  <c r="F12848" i="1" a="1"/>
  <c r="F13163" i="1" a="1"/>
  <c r="F13419" i="1" a="1"/>
  <c r="F13675" i="1" a="1"/>
  <c r="F13931" i="1" a="1"/>
  <c r="F14187" i="1" a="1"/>
  <c r="F12488" i="1" a="1"/>
  <c r="F12900" i="1" a="1"/>
  <c r="F13200" i="1" a="1"/>
  <c r="F13712" i="1" a="1"/>
  <c r="F14224" i="1" a="1"/>
  <c r="F14736" i="1" a="1"/>
  <c r="F14791" i="1" a="1"/>
  <c r="F14732" i="1" a="1"/>
  <c r="F13617" i="1" a="1"/>
  <c r="F14385" i="1" a="1"/>
  <c r="F12937" i="1" a="1"/>
  <c r="F12616" i="1" a="1"/>
  <c r="F13520" i="1" a="1"/>
  <c r="F14544" i="1" a="1"/>
  <c r="F13236" i="1" a="1"/>
  <c r="F14004" i="1" a="1"/>
  <c r="F13273" i="1" a="1"/>
  <c r="F14809" i="1" a="1"/>
  <c r="F5310" i="1" a="1"/>
  <c r="F12621" i="1" a="1"/>
  <c r="F12536" i="1" a="1"/>
  <c r="F13233" i="1" a="1"/>
  <c r="F13648" i="1" a="1"/>
  <c r="F9142" i="1" a="1"/>
  <c r="F12846" i="1" a="1"/>
  <c r="F11563" i="1" a="1"/>
  <c r="F14835" i="1" a="1"/>
  <c r="F14015" i="1" a="1"/>
  <c r="F13753" i="1" a="1"/>
  <c r="F13754" i="1" a="1"/>
  <c r="F14169" i="1" a="1"/>
  <c r="F9544" i="1" a="1"/>
  <c r="F13231" i="1" a="1"/>
  <c r="F12168" i="1" a="1"/>
  <c r="F14230" i="1" a="1"/>
  <c r="F14069" i="1" a="1"/>
  <c r="F13768" i="1" a="1"/>
  <c r="F14091" i="1" a="1"/>
  <c r="F14018" i="1" a="1"/>
  <c r="F14110" i="1" a="1"/>
  <c r="F14047" i="1" a="1"/>
  <c r="F13885" i="1" a="1"/>
  <c r="F14825" i="1" a="1"/>
  <c r="G13382" i="1" a="1"/>
  <c r="F3829" i="1" a="1"/>
  <c r="F6187" i="1" a="1"/>
  <c r="F6991" i="1" a="1"/>
  <c r="F11677" i="1" a="1"/>
  <c r="F8232" i="1" a="1"/>
  <c r="F8309" i="1" a="1"/>
  <c r="F10141" i="1" a="1"/>
  <c r="F10803" i="1" a="1"/>
  <c r="F12599" i="1" a="1"/>
  <c r="F10880" i="1" a="1"/>
  <c r="F10136" i="1" a="1"/>
  <c r="F10711" i="1" a="1"/>
  <c r="F12402" i="1" a="1"/>
  <c r="F13138" i="1" a="1"/>
  <c r="F11554" i="1" a="1"/>
  <c r="F14158" i="1" a="1"/>
  <c r="F14716" i="1" a="1"/>
  <c r="F11749" i="1" a="1"/>
  <c r="F12220" i="1" a="1"/>
  <c r="F12548" i="1" a="1"/>
  <c r="F12942" i="1" a="1"/>
  <c r="F13336" i="1" a="1"/>
  <c r="F13665" i="1" a="1"/>
  <c r="F13994" i="1" a="1"/>
  <c r="F14360" i="1" a="1"/>
  <c r="F14689" i="1" a="1"/>
  <c r="F11312" i="1" a="1"/>
  <c r="F10888" i="1" a="1"/>
  <c r="F11941" i="1" a="1"/>
  <c r="F12269" i="1" a="1"/>
  <c r="F11303" i="1" a="1"/>
  <c r="F11760" i="1" a="1"/>
  <c r="F11904" i="1" a="1"/>
  <c r="F12272" i="1" a="1"/>
  <c r="F11190" i="1" a="1"/>
  <c r="F11659" i="1" a="1"/>
  <c r="F12889" i="1" a="1"/>
  <c r="F13083" i="1" a="1"/>
  <c r="F13229" i="1" a="1"/>
  <c r="F13357" i="1" a="1"/>
  <c r="F13485" i="1" a="1"/>
  <c r="F13613" i="1" a="1"/>
  <c r="F13741" i="1" a="1"/>
  <c r="F13869" i="1" a="1"/>
  <c r="F13997" i="1" a="1"/>
  <c r="F14125" i="1" a="1"/>
  <c r="F14253" i="1" a="1"/>
  <c r="F14381" i="1" a="1"/>
  <c r="F14509" i="1" a="1"/>
  <c r="F14637" i="1" a="1"/>
  <c r="F14765" i="1" a="1"/>
  <c r="F14851" i="1" a="1"/>
  <c r="F12760" i="1" a="1"/>
  <c r="F13100" i="1" a="1"/>
  <c r="F13356" i="1" a="1"/>
  <c r="F13612" i="1" a="1"/>
  <c r="F13868" i="1" a="1"/>
  <c r="F14124" i="1" a="1"/>
  <c r="F14380" i="1" a="1"/>
  <c r="F14636" i="1" a="1"/>
  <c r="F14858" i="1" a="1"/>
  <c r="F12696" i="1" a="1"/>
  <c r="F13029" i="1" a="1"/>
  <c r="F13311" i="1" a="1"/>
  <c r="F13567" i="1" a="1"/>
  <c r="F13823" i="1" a="1"/>
  <c r="F14079" i="1" a="1"/>
  <c r="F14335" i="1" a="1"/>
  <c r="F14591" i="1" a="1"/>
  <c r="F14887" i="1" a="1"/>
  <c r="F12802" i="1" a="1"/>
  <c r="F13094" i="1" a="1"/>
  <c r="F13350" i="1" a="1"/>
  <c r="F13606" i="1" a="1"/>
  <c r="F13862" i="1" a="1"/>
  <c r="F14118" i="1" a="1"/>
  <c r="F14374" i="1" a="1"/>
  <c r="F14630" i="1" a="1"/>
  <c r="F14853" i="1" a="1"/>
  <c r="F12685" i="1" a="1"/>
  <c r="F13021" i="1" a="1"/>
  <c r="F13305" i="1" a="1"/>
  <c r="F13561" i="1" a="1"/>
  <c r="F13817" i="1" a="1"/>
  <c r="F14073" i="1" a="1"/>
  <c r="F14329" i="1" a="1"/>
  <c r="F14585" i="1" a="1"/>
  <c r="F14909" i="1" a="1"/>
  <c r="F12856" i="1" a="1"/>
  <c r="F13141" i="1" a="1"/>
  <c r="F13397" i="1" a="1"/>
  <c r="F13653" i="1" a="1"/>
  <c r="F13909" i="1" a="1"/>
  <c r="F14165" i="1" a="1"/>
  <c r="F14421" i="1" a="1"/>
  <c r="F14677" i="1" a="1"/>
  <c r="F14870" i="1" a="1"/>
  <c r="F12716" i="1" a="1"/>
  <c r="F13059" i="1" a="1"/>
  <c r="F13306" i="1" a="1"/>
  <c r="F13562" i="1" a="1"/>
  <c r="F13818" i="1" a="1"/>
  <c r="F14074" i="1" a="1"/>
  <c r="F14330" i="1" a="1"/>
  <c r="F14586" i="1" a="1"/>
  <c r="F14917" i="1" a="1"/>
  <c r="F12873" i="1" a="1"/>
  <c r="F13172" i="1" a="1"/>
  <c r="F13428" i="1" a="1"/>
  <c r="F13684" i="1" a="1"/>
  <c r="F13940" i="1" a="1"/>
  <c r="F14196" i="1" a="1"/>
  <c r="F14452" i="1" a="1"/>
  <c r="F12520" i="1" a="1"/>
  <c r="F12925" i="1" a="1"/>
  <c r="F13209" i="1" a="1"/>
  <c r="F13465" i="1" a="1"/>
  <c r="F13721" i="1" a="1"/>
  <c r="F13977" i="1" a="1"/>
  <c r="F14233" i="1" a="1"/>
  <c r="F14489" i="1" a="1"/>
  <c r="F14745" i="1" a="1"/>
  <c r="F14891" i="1" a="1"/>
  <c r="F13964" i="1" a="1"/>
  <c r="F13483" i="1" a="1"/>
  <c r="F14800" i="1" a="1"/>
  <c r="F13748" i="1" a="1"/>
  <c r="F13529" i="1" a="1"/>
  <c r="F14898" i="1" a="1"/>
  <c r="F8338" i="1" a="1"/>
  <c r="F14212" i="1" a="1"/>
  <c r="F13978" i="1" a="1"/>
  <c r="F12918" i="1" a="1"/>
  <c r="F13836" i="1" a="1"/>
  <c r="F14001" i="1" a="1"/>
  <c r="F14123" i="1" a="1"/>
  <c r="F14672" i="1" a="1"/>
  <c r="F10418" i="1" a="1"/>
  <c r="F12476" i="1" a="1"/>
  <c r="F12850" i="1" a="1"/>
  <c r="F13016" i="1" a="1"/>
  <c r="F12713" i="1" a="1"/>
  <c r="F12778" i="1" a="1"/>
  <c r="F13108" i="1" a="1"/>
  <c r="F8958" i="1" a="1"/>
  <c r="F13953" i="1" a="1"/>
  <c r="F13206" i="1" a="1"/>
  <c r="F13557" i="1" a="1"/>
  <c r="F13579" i="1" a="1"/>
  <c r="F13342" i="1" a="1"/>
  <c r="F13117" i="1" a="1"/>
  <c r="G12411" i="1" a="1"/>
  <c r="F3119" i="1" a="1"/>
  <c r="F5746" i="1" a="1"/>
  <c r="F8672" i="1" a="1"/>
  <c r="F8709" i="1" a="1"/>
  <c r="F8561" i="1" a="1"/>
  <c r="F8638" i="1" a="1"/>
  <c r="F10312" i="1" a="1"/>
  <c r="F10970" i="1" a="1"/>
  <c r="F12663" i="1" a="1"/>
  <c r="F11047" i="1" a="1"/>
  <c r="F10306" i="1" a="1"/>
  <c r="F9421" i="1" a="1"/>
  <c r="F12466" i="1" a="1"/>
  <c r="F13266" i="1" a="1"/>
  <c r="F11737" i="1" a="1"/>
  <c r="F14204" i="1" a="1"/>
  <c r="F14771" i="1" a="1"/>
  <c r="F11836" i="1" a="1"/>
  <c r="F12228" i="1" a="1"/>
  <c r="F12580" i="1" a="1"/>
  <c r="F12949" i="1" a="1"/>
  <c r="F13345" i="1" a="1"/>
  <c r="F13697" i="1" a="1"/>
  <c r="F13999" i="1" a="1"/>
  <c r="F14369" i="1" a="1"/>
  <c r="F14721" i="1" a="1"/>
  <c r="F11323" i="1" a="1"/>
  <c r="F10914" i="1" a="1"/>
  <c r="F11973" i="1" a="1"/>
  <c r="F12277" i="1" a="1"/>
  <c r="F11314" i="1" a="1"/>
  <c r="F10870" i="1" a="1"/>
  <c r="F11912" i="1" a="1"/>
  <c r="F12280" i="1" a="1"/>
  <c r="F11264" i="1" a="1"/>
  <c r="F11670" i="1" a="1"/>
  <c r="F12914" i="1" a="1"/>
  <c r="F13092" i="1" a="1"/>
  <c r="F13238" i="1" a="1"/>
  <c r="F13366" i="1" a="1"/>
  <c r="F13494" i="1" a="1"/>
  <c r="F13622" i="1" a="1"/>
  <c r="F13750" i="1" a="1"/>
  <c r="F13878" i="1" a="1"/>
  <c r="F14006" i="1" a="1"/>
  <c r="F14134" i="1" a="1"/>
  <c r="F14262" i="1" a="1"/>
  <c r="F14390" i="1" a="1"/>
  <c r="F14518" i="1" a="1"/>
  <c r="F14646" i="1" a="1"/>
  <c r="F14774" i="1" a="1"/>
  <c r="F14855" i="1" a="1"/>
  <c r="F12785" i="1" a="1"/>
  <c r="F13109" i="1" a="1"/>
  <c r="F13365" i="1" a="1"/>
  <c r="F13621" i="1" a="1"/>
  <c r="F13877" i="1" a="1"/>
  <c r="F14133" i="1" a="1"/>
  <c r="F14389" i="1" a="1"/>
  <c r="F14645" i="1" a="1"/>
  <c r="F14866" i="1" a="1"/>
  <c r="F12709" i="1" a="1"/>
  <c r="F13064" i="1" a="1"/>
  <c r="F13320" i="1" a="1"/>
  <c r="F13576" i="1" a="1"/>
  <c r="F13832" i="1" a="1"/>
  <c r="F14088" i="1" a="1"/>
  <c r="F14344" i="1" a="1"/>
  <c r="F14600" i="1" a="1"/>
  <c r="F14894" i="1" a="1"/>
  <c r="F12816" i="1" a="1"/>
  <c r="F13131" i="1" a="1"/>
  <c r="F13387" i="1" a="1"/>
  <c r="F13643" i="1" a="1"/>
  <c r="F13899" i="1" a="1"/>
  <c r="F14155" i="1" a="1"/>
  <c r="F14411" i="1" a="1"/>
  <c r="F14667" i="1" a="1"/>
  <c r="F14861" i="1" a="1"/>
  <c r="F12701" i="1" a="1"/>
  <c r="F13046" i="1" a="1"/>
  <c r="F13314" i="1" a="1"/>
  <c r="F13570" i="1" a="1"/>
  <c r="F13826" i="1" a="1"/>
  <c r="F14082" i="1" a="1"/>
  <c r="F14338" i="1" a="1"/>
  <c r="F14594" i="1" a="1"/>
  <c r="F14927" i="1" a="1"/>
  <c r="F12881" i="1" a="1"/>
  <c r="F13150" i="1" a="1"/>
  <c r="F13406" i="1" a="1"/>
  <c r="F13662" i="1" a="1"/>
  <c r="F13918" i="1" a="1"/>
  <c r="F14174" i="1" a="1"/>
  <c r="F14430" i="1" a="1"/>
  <c r="F14686" i="1" a="1"/>
  <c r="F14883" i="1" a="1"/>
  <c r="F12741" i="1" a="1"/>
  <c r="F13087" i="1" a="1"/>
  <c r="F13343" i="1" a="1"/>
  <c r="F13599" i="1" a="1"/>
  <c r="F13855" i="1" a="1"/>
  <c r="F14111" i="1" a="1"/>
  <c r="F14367" i="1" a="1"/>
  <c r="F14623" i="1" a="1"/>
  <c r="F12485" i="1" a="1"/>
  <c r="F12898" i="1" a="1"/>
  <c r="F13181" i="1" a="1"/>
  <c r="F13437" i="1" a="1"/>
  <c r="F13693" i="1" a="1"/>
  <c r="F13949" i="1" a="1"/>
  <c r="F14205" i="1" a="1"/>
  <c r="F14461" i="1" a="1"/>
  <c r="F12552" i="1" a="1"/>
  <c r="F12950" i="1" a="1"/>
  <c r="F13218" i="1" a="1"/>
  <c r="F13474" i="1" a="1"/>
  <c r="F13730" i="1" a="1"/>
  <c r="F13986" i="1" a="1"/>
  <c r="F14242" i="1" a="1"/>
  <c r="F14498" i="1" a="1"/>
  <c r="F14754" i="1" a="1"/>
  <c r="F14699" i="1" a="1"/>
  <c r="F12584" i="1" a="1"/>
  <c r="F14023" i="1" a="1"/>
  <c r="F14772" i="1" a="1"/>
  <c r="F14897" i="1" a="1"/>
  <c r="F13873" i="1" a="1"/>
  <c r="F14641" i="1" a="1"/>
  <c r="F13227" i="1" a="1"/>
  <c r="F14507" i="1" a="1"/>
  <c r="F12989" i="1" a="1"/>
  <c r="F13776" i="1" a="1"/>
  <c r="F14288" i="1" a="1"/>
  <c r="F14650" i="1" a="1"/>
  <c r="F12648" i="1" a="1"/>
  <c r="F14297" i="1" a="1"/>
  <c r="F8761" i="1" a="1"/>
  <c r="F14051" i="1" a="1"/>
  <c r="F12753" i="1" a="1"/>
  <c r="F14635" i="1" a="1"/>
  <c r="F12343" i="1" a="1"/>
  <c r="F13226" i="1" a="1"/>
  <c r="F12160" i="1" a="1"/>
  <c r="F14349" i="1" a="1"/>
  <c r="F13247" i="1" a="1"/>
  <c r="F12568" i="1" a="1"/>
  <c r="F14613" i="1" a="1"/>
  <c r="F14132" i="1" a="1"/>
  <c r="F9562" i="1" a="1"/>
  <c r="F11664" i="1" a="1"/>
  <c r="F13974" i="1" a="1"/>
  <c r="F14834" i="1" a="1"/>
  <c r="F13835" i="1" a="1"/>
  <c r="F12792" i="1" a="1"/>
  <c r="F13791" i="1" a="1"/>
  <c r="F14653" i="1" a="1"/>
  <c r="G14522" i="1" a="1"/>
  <c r="F4605" i="1" a="1"/>
  <c r="F7459" i="1" a="1"/>
  <c r="F9184" i="1" a="1"/>
  <c r="F9101" i="1" a="1"/>
  <c r="F8758" i="1" a="1"/>
  <c r="F7719" i="1" a="1"/>
  <c r="F10444" i="1" a="1"/>
  <c r="F11148" i="1" a="1"/>
  <c r="F12727" i="1" a="1"/>
  <c r="F11214" i="1" a="1"/>
  <c r="F10448" i="1" a="1"/>
  <c r="F10628" i="1" a="1"/>
  <c r="F12530" i="1" a="1"/>
  <c r="F13394" i="1" a="1"/>
  <c r="F12826" i="1" a="1"/>
  <c r="F14277" i="1" a="1"/>
  <c r="F14789" i="1" a="1"/>
  <c r="F11852" i="1" a="1"/>
  <c r="F12236" i="1" a="1"/>
  <c r="F12604" i="1" a="1"/>
  <c r="F13013" i="1" a="1"/>
  <c r="F13354" i="1" a="1"/>
  <c r="F13720" i="1" a="1"/>
  <c r="F14049" i="1" a="1"/>
  <c r="F14378" i="1" a="1"/>
  <c r="F14744" i="1" a="1"/>
  <c r="F11387" i="1" a="1"/>
  <c r="F10928" i="1" a="1"/>
  <c r="F11997" i="1" a="1"/>
  <c r="F12325" i="1" a="1"/>
  <c r="F11324" i="1" a="1"/>
  <c r="F10967" i="1" a="1"/>
  <c r="F11960" i="1" a="1"/>
  <c r="F12288" i="1" a="1"/>
  <c r="F11296" i="1" a="1"/>
  <c r="F11782" i="1" a="1"/>
  <c r="F12921" i="1" a="1"/>
  <c r="F13101" i="1" a="1"/>
  <c r="F13243" i="1" a="1"/>
  <c r="F13371" i="1" a="1"/>
  <c r="F13499" i="1" a="1"/>
  <c r="F13627" i="1" a="1"/>
  <c r="F13755" i="1" a="1"/>
  <c r="F13883" i="1" a="1"/>
  <c r="F14011" i="1" a="1"/>
  <c r="F14139" i="1" a="1"/>
  <c r="F14267" i="1" a="1"/>
  <c r="F14395" i="1" a="1"/>
  <c r="F14523" i="1" a="1"/>
  <c r="F14651" i="1" a="1"/>
  <c r="F14779" i="1" a="1"/>
  <c r="F14859" i="1" a="1"/>
  <c r="F12810" i="1" a="1"/>
  <c r="F13118" i="1" a="1"/>
  <c r="F13374" i="1" a="1"/>
  <c r="F13630" i="1" a="1"/>
  <c r="F13886" i="1" a="1"/>
  <c r="F14142" i="1" a="1"/>
  <c r="F14398" i="1" a="1"/>
  <c r="F14654" i="1" a="1"/>
  <c r="F14874" i="1" a="1"/>
  <c r="F12734" i="1" a="1"/>
  <c r="F13073" i="1" a="1"/>
  <c r="F13329" i="1" a="1"/>
  <c r="F13585" i="1" a="1"/>
  <c r="F13841" i="1" a="1"/>
  <c r="F14097" i="1" a="1"/>
  <c r="F14353" i="1" a="1"/>
  <c r="F14609" i="1" a="1"/>
  <c r="F14919" i="1" a="1"/>
  <c r="F12841" i="1" a="1"/>
  <c r="F13140" i="1" a="1"/>
  <c r="F13396" i="1" a="1"/>
  <c r="F13652" i="1" a="1"/>
  <c r="F13908" i="1" a="1"/>
  <c r="F14164" i="1" a="1"/>
  <c r="F14420" i="1" a="1"/>
  <c r="F14676" i="1" a="1"/>
  <c r="F14869" i="1" a="1"/>
  <c r="F12726" i="1" a="1"/>
  <c r="F13095" i="1" a="1"/>
  <c r="F13351" i="1" a="1"/>
  <c r="F13607" i="1" a="1"/>
  <c r="F13863" i="1" a="1"/>
  <c r="F14119" i="1" a="1"/>
  <c r="F14375" i="1" a="1"/>
  <c r="F14631" i="1" a="1"/>
  <c r="F14934" i="1" a="1"/>
  <c r="F12906" i="1" a="1"/>
  <c r="F13187" i="1" a="1"/>
  <c r="F13443" i="1" a="1"/>
  <c r="F13699" i="1" a="1"/>
  <c r="F13955" i="1" a="1"/>
  <c r="F14211" i="1" a="1"/>
  <c r="F14467" i="1" a="1"/>
  <c r="F14723" i="1" a="1"/>
  <c r="F14890" i="1" a="1"/>
  <c r="F12766" i="1" a="1"/>
  <c r="F13096" i="1" a="1"/>
  <c r="F13352" i="1" a="1"/>
  <c r="F13608" i="1" a="1"/>
  <c r="F13864" i="1" a="1"/>
  <c r="F14120" i="1" a="1"/>
  <c r="F14376" i="1" a="1"/>
  <c r="F14632" i="1" a="1"/>
  <c r="F12517" i="1" a="1"/>
  <c r="F12912" i="1" a="1"/>
  <c r="F13190" i="1" a="1"/>
  <c r="F13446" i="1" a="1"/>
  <c r="F13702" i="1" a="1"/>
  <c r="F13958" i="1" a="1"/>
  <c r="F14214" i="1" a="1"/>
  <c r="F14470" i="1" a="1"/>
  <c r="F12964" i="1" a="1"/>
  <c r="F13255" i="1" a="1"/>
  <c r="F13511" i="1" a="1"/>
  <c r="F13767" i="1" a="1"/>
  <c r="F14279" i="1" a="1"/>
  <c r="F13105" i="1" a="1"/>
  <c r="F12549" i="1" a="1"/>
  <c r="F13995" i="1" a="1"/>
  <c r="F13264" i="1" a="1"/>
  <c r="F14032" i="1" a="1"/>
  <c r="F14841" i="1" a="1"/>
  <c r="F12581" i="1" a="1"/>
  <c r="F14260" i="1" a="1"/>
  <c r="F14041" i="1" a="1"/>
  <c r="F10513" i="1" a="1"/>
  <c r="F12452" i="1" a="1"/>
  <c r="F14241" i="1" a="1"/>
  <c r="F11643" i="1" a="1"/>
  <c r="F12149" i="1" a="1"/>
  <c r="F11763" i="1" a="1"/>
  <c r="F10952" i="1" a="1"/>
  <c r="F12818" i="1" a="1"/>
  <c r="F13179" i="1" a="1"/>
  <c r="F13572" i="1" a="1"/>
  <c r="F13956" i="1" a="1"/>
  <c r="F14468" i="1" a="1"/>
  <c r="F14724" i="1" a="1"/>
  <c r="F13002" i="1" a="1"/>
  <c r="F14307" i="1" a="1"/>
  <c r="F12926" i="1" a="1"/>
  <c r="F14490" i="1" a="1"/>
  <c r="F13277" i="1" a="1"/>
  <c r="F14045" i="1" a="1"/>
  <c r="F13232" i="1" a="1"/>
  <c r="F14512" i="1" a="1"/>
  <c r="F14092" i="1" a="1"/>
  <c r="F12958" i="1" a="1"/>
  <c r="F14513" i="1" a="1"/>
  <c r="F13611" i="1" a="1"/>
  <c r="F13136" i="1" a="1"/>
  <c r="F14817" i="1" a="1"/>
  <c r="F6467" i="1" a="1"/>
  <c r="F13921" i="1" a="1"/>
  <c r="F14093" i="1" a="1"/>
  <c r="F13759" i="1" a="1"/>
  <c r="F14009" i="1" a="1"/>
  <c r="F14522" i="1" a="1"/>
  <c r="F14930" i="1" a="1"/>
  <c r="F10289" i="1" a="1"/>
  <c r="F14643" i="1" a="1"/>
  <c r="F12885" i="1" a="1"/>
  <c r="F12229" i="1" a="1"/>
  <c r="F11606" i="1" a="1"/>
  <c r="F13718" i="1" a="1"/>
  <c r="F14358" i="1" a="1"/>
  <c r="F13301" i="1" a="1"/>
  <c r="F13256" i="1" a="1"/>
  <c r="F13067" i="1" a="1"/>
  <c r="F14603" i="1" a="1"/>
  <c r="F14274" i="1" a="1"/>
  <c r="F14366" i="1" a="1"/>
  <c r="F14559" i="1" a="1"/>
  <c r="F12861" i="1" a="1"/>
  <c r="F14865" i="1" a="1"/>
  <c r="F779" i="1" a="1"/>
  <c r="F4027" i="1" a="1"/>
  <c r="F8211" i="1" a="1"/>
  <c r="F6208" i="1" a="1"/>
  <c r="F9636" i="1" a="1"/>
  <c r="F8886" i="1" a="1"/>
  <c r="F8154" i="1" a="1"/>
  <c r="F10572" i="1" a="1"/>
  <c r="F11730" i="1" a="1"/>
  <c r="F12791" i="1" a="1"/>
  <c r="F11322" i="1" a="1"/>
  <c r="F10576" i="1" a="1"/>
  <c r="F10795" i="1" a="1"/>
  <c r="F12594" i="1" a="1"/>
  <c r="F13522" i="1" a="1"/>
  <c r="F12993" i="1" a="1"/>
  <c r="F14286" i="1" a="1"/>
  <c r="F14798" i="1" a="1"/>
  <c r="F11860" i="1" a="1"/>
  <c r="F12244" i="1" a="1"/>
  <c r="F12612" i="1" a="1"/>
  <c r="F13051" i="1" a="1"/>
  <c r="F13359" i="1" a="1"/>
  <c r="F13729" i="1" a="1"/>
  <c r="F14081" i="1" a="1"/>
  <c r="F14383" i="1" a="1"/>
  <c r="F14753" i="1" a="1"/>
  <c r="F11430" i="1" a="1"/>
  <c r="F10964" i="1" a="1"/>
  <c r="F12005" i="1" a="1"/>
  <c r="F12357" i="1" a="1"/>
  <c r="F11335" i="1" a="1"/>
  <c r="F10996" i="1" a="1"/>
  <c r="F11992" i="1" a="1"/>
  <c r="F12296" i="1" a="1"/>
  <c r="F11307" i="1" a="1"/>
  <c r="F12704" i="1" a="1"/>
  <c r="F12928" i="1" a="1"/>
  <c r="F13110" i="1" a="1"/>
  <c r="F13252" i="1" a="1"/>
  <c r="F13380" i="1" a="1"/>
  <c r="F13508" i="1" a="1"/>
  <c r="F13636" i="1" a="1"/>
  <c r="F13764" i="1" a="1"/>
  <c r="F13892" i="1" a="1"/>
  <c r="F14020" i="1" a="1"/>
  <c r="F14148" i="1" a="1"/>
  <c r="F14276" i="1" a="1"/>
  <c r="F14404" i="1" a="1"/>
  <c r="F14532" i="1" a="1"/>
  <c r="F14660" i="1" a="1"/>
  <c r="F14788" i="1" a="1"/>
  <c r="F14863" i="1" a="1"/>
  <c r="F12824" i="1" a="1"/>
  <c r="F13155" i="1" a="1"/>
  <c r="F13411" i="1" a="1"/>
  <c r="F13667" i="1" a="1"/>
  <c r="F13923" i="1" a="1"/>
  <c r="F14179" i="1" a="1"/>
  <c r="F14435" i="1" a="1"/>
  <c r="F14691" i="1" a="1"/>
  <c r="F14881" i="1" a="1"/>
  <c r="F12748" i="1" a="1"/>
  <c r="F13082" i="1" a="1"/>
  <c r="F13338" i="1" a="1"/>
  <c r="F13594" i="1" a="1"/>
  <c r="F13850" i="1" a="1"/>
  <c r="F14106" i="1" a="1"/>
  <c r="F14362" i="1" a="1"/>
  <c r="F14618" i="1" a="1"/>
  <c r="F14926" i="1" a="1"/>
  <c r="F12866" i="1" a="1"/>
  <c r="F13149" i="1" a="1"/>
  <c r="F13405" i="1" a="1"/>
  <c r="F13661" i="1" a="1"/>
  <c r="F13917" i="1" a="1"/>
  <c r="F14173" i="1" a="1"/>
  <c r="F14429" i="1" a="1"/>
  <c r="F14685" i="1" a="1"/>
  <c r="F14875" i="1" a="1"/>
  <c r="F12740" i="1" a="1"/>
  <c r="F13104" i="1" a="1"/>
  <c r="F13360" i="1" a="1"/>
  <c r="F13616" i="1" a="1"/>
  <c r="F13872" i="1" a="1"/>
  <c r="F14128" i="1" a="1"/>
  <c r="F14384" i="1" a="1"/>
  <c r="F14640" i="1" a="1"/>
  <c r="F12477" i="1" a="1"/>
  <c r="F12920" i="1" a="1"/>
  <c r="F13196" i="1" a="1"/>
  <c r="F13452" i="1" a="1"/>
  <c r="F13708" i="1" a="1"/>
  <c r="F14220" i="1" a="1"/>
  <c r="F12780" i="1" a="1"/>
  <c r="F13361" i="1" a="1"/>
  <c r="F14129" i="1" a="1"/>
  <c r="F14251" i="1" a="1"/>
  <c r="F10779" i="1" a="1"/>
  <c r="F13580" i="1" a="1"/>
  <c r="F13325" i="1" a="1"/>
  <c r="F14681" i="1" a="1"/>
  <c r="F12665" i="1" a="1"/>
  <c r="F14397" i="1" a="1"/>
  <c r="F1978" i="1" a="1"/>
  <c r="F4639" i="1" a="1"/>
  <c r="F5573" i="1" a="1"/>
  <c r="F7092" i="1" a="1"/>
  <c r="F8094" i="1" a="1"/>
  <c r="F7778" i="1" a="1"/>
  <c r="F8520" i="1" a="1"/>
  <c r="F10744" i="1" a="1"/>
  <c r="F11831" i="1" a="1"/>
  <c r="F12855" i="1" a="1"/>
  <c r="F11407" i="1" a="1"/>
  <c r="F10735" i="1" a="1"/>
  <c r="F10962" i="1" a="1"/>
  <c r="F12658" i="1" a="1"/>
  <c r="F13650" i="1" a="1"/>
  <c r="F13134" i="1" a="1"/>
  <c r="F14332" i="1" a="1"/>
  <c r="F14828" i="1" a="1"/>
  <c r="F11908" i="1" a="1"/>
  <c r="F12292" i="1" a="1"/>
  <c r="F12620" i="1" a="1"/>
  <c r="F13080" i="1" a="1"/>
  <c r="F13409" i="1" a="1"/>
  <c r="F13738" i="1" a="1"/>
  <c r="F14104" i="1" a="1"/>
  <c r="F14433" i="1" a="1"/>
  <c r="F14762" i="1" a="1"/>
  <c r="F11462" i="1" a="1"/>
  <c r="F11082" i="1" a="1"/>
  <c r="F12013" i="1" a="1"/>
  <c r="F12381" i="1" a="1"/>
  <c r="F11399" i="1" a="1"/>
  <c r="F11010" i="1" a="1"/>
  <c r="F12016" i="1" a="1"/>
  <c r="F12344" i="1" a="1"/>
  <c r="F11318" i="1" a="1"/>
  <c r="F12722" i="1" a="1"/>
  <c r="F12946" i="1" a="1"/>
  <c r="F13115" i="1" a="1"/>
  <c r="F13261" i="1" a="1"/>
  <c r="F13389" i="1" a="1"/>
  <c r="F13517" i="1" a="1"/>
  <c r="F13645" i="1" a="1"/>
  <c r="F13773" i="1" a="1"/>
  <c r="F13901" i="1" a="1"/>
  <c r="F14029" i="1" a="1"/>
  <c r="F14157" i="1" a="1"/>
  <c r="F14285" i="1" a="1"/>
  <c r="F14413" i="1" a="1"/>
  <c r="F14541" i="1" a="1"/>
  <c r="F14669" i="1" a="1"/>
  <c r="F14797" i="1" a="1"/>
  <c r="F14867" i="1" a="1"/>
  <c r="F12849" i="1" a="1"/>
  <c r="F13164" i="1" a="1"/>
  <c r="F13420" i="1" a="1"/>
  <c r="F13676" i="1" a="1"/>
  <c r="F13932" i="1" a="1"/>
  <c r="F14188" i="1" a="1"/>
  <c r="F14444" i="1" a="1"/>
  <c r="F14700" i="1" a="1"/>
  <c r="F14899" i="1" a="1"/>
  <c r="F12773" i="1" a="1"/>
  <c r="F13119" i="1" a="1"/>
  <c r="F13375" i="1" a="1"/>
  <c r="F13631" i="1" a="1"/>
  <c r="F13887" i="1" a="1"/>
  <c r="F14143" i="1" a="1"/>
  <c r="F14399" i="1" a="1"/>
  <c r="F14655" i="1" a="1"/>
  <c r="F14933" i="1" a="1"/>
  <c r="F12880" i="1" a="1"/>
  <c r="F13158" i="1" a="1"/>
  <c r="F13414" i="1" a="1"/>
  <c r="F13670" i="1" a="1"/>
  <c r="F13926" i="1" a="1"/>
  <c r="F14182" i="1" a="1"/>
  <c r="F14438" i="1" a="1"/>
  <c r="F14694" i="1" a="1"/>
  <c r="F14882" i="1" a="1"/>
  <c r="F12765" i="1" a="1"/>
  <c r="F13113" i="1" a="1"/>
  <c r="F13369" i="1" a="1"/>
  <c r="F13625" i="1" a="1"/>
  <c r="F13881" i="1" a="1"/>
  <c r="F14137" i="1" a="1"/>
  <c r="F14393" i="1" a="1"/>
  <c r="F14649" i="1" a="1"/>
  <c r="F12509" i="1" a="1"/>
  <c r="F12945" i="1" a="1"/>
  <c r="F13205" i="1" a="1"/>
  <c r="F13461" i="1" a="1"/>
  <c r="F13717" i="1" a="1"/>
  <c r="F13973" i="1" a="1"/>
  <c r="F14229" i="1" a="1"/>
  <c r="F14485" i="1" a="1"/>
  <c r="F14741" i="1" a="1"/>
  <c r="F14915" i="1" a="1"/>
  <c r="F12805" i="1" a="1"/>
  <c r="F13114" i="1" a="1"/>
  <c r="F13370" i="1" a="1"/>
  <c r="F13626" i="1" a="1"/>
  <c r="F13882" i="1" a="1"/>
  <c r="F14138" i="1" a="1"/>
  <c r="F14394" i="1" a="1"/>
  <c r="F12962" i="1" a="1"/>
  <c r="F14516" i="1" a="1"/>
  <c r="F9948" i="1" a="1"/>
  <c r="F14813" i="1" a="1"/>
  <c r="F14857" i="1" a="1"/>
  <c r="F12146" i="1" a="1"/>
  <c r="F13049" i="1" a="1"/>
  <c r="F13804" i="1" a="1"/>
  <c r="F13286" i="1" a="1"/>
  <c r="F14777" i="1" a="1"/>
  <c r="F14010" i="1" a="1"/>
  <c r="F13401" i="1" a="1"/>
  <c r="F9017" i="1" a="1"/>
  <c r="F11259" i="1" a="1"/>
  <c r="F13590" i="1" a="1"/>
  <c r="F13813" i="1" a="1"/>
  <c r="F14280" i="1" a="1"/>
  <c r="F13250" i="1" a="1"/>
  <c r="F13854" i="1" a="1"/>
  <c r="F14303" i="1" a="1"/>
  <c r="F13154" i="1" a="1"/>
  <c r="F2781" i="1" a="1"/>
  <c r="F3593" i="1" a="1"/>
  <c r="F7356" i="1" a="1"/>
  <c r="F7396" i="1" a="1"/>
  <c r="F9272" i="1" a="1"/>
  <c r="F8052" i="1" a="1"/>
  <c r="F8730" i="1" a="1"/>
  <c r="F10911" i="1" a="1"/>
  <c r="F11895" i="1" a="1"/>
  <c r="F12919" i="1" a="1"/>
  <c r="F11492" i="1" a="1"/>
  <c r="F9445" i="1" a="1"/>
  <c r="F11140" i="1" a="1"/>
  <c r="F10939" i="1" a="1"/>
  <c r="F13778" i="1" a="1"/>
  <c r="F13262" i="1" a="1"/>
  <c r="F14387" i="1" a="1"/>
  <c r="F14856" i="1" a="1"/>
  <c r="F11940" i="1" a="1"/>
  <c r="F12324" i="1" a="1"/>
  <c r="F12628" i="1" a="1"/>
  <c r="F13089" i="1" a="1"/>
  <c r="F13441" i="1" a="1"/>
  <c r="F13743" i="1" a="1"/>
  <c r="F14113" i="1" a="1"/>
  <c r="F14465" i="1" a="1"/>
  <c r="F14767" i="1" a="1"/>
  <c r="F11472" i="1" a="1"/>
  <c r="F11171" i="1" a="1"/>
  <c r="F12021" i="1" a="1"/>
  <c r="F12389" i="1" a="1"/>
  <c r="F11442" i="1" a="1"/>
  <c r="F11035" i="1" a="1"/>
  <c r="F12024" i="1" a="1"/>
  <c r="F12376" i="1" a="1"/>
  <c r="F11328" i="1" a="1"/>
  <c r="F12754" i="1" a="1"/>
  <c r="F12953" i="1" a="1"/>
  <c r="F13124" i="1" a="1"/>
  <c r="F13270" i="1" a="1"/>
  <c r="F13398" i="1" a="1"/>
  <c r="F13526" i="1" a="1"/>
  <c r="F13654" i="1" a="1"/>
  <c r="F13782" i="1" a="1"/>
  <c r="F13910" i="1" a="1"/>
  <c r="F14038" i="1" a="1"/>
  <c r="F14166" i="1" a="1"/>
  <c r="F14294" i="1" a="1"/>
  <c r="F14422" i="1" a="1"/>
  <c r="F14550" i="1" a="1"/>
  <c r="F14678" i="1" a="1"/>
  <c r="F14806" i="1" a="1"/>
  <c r="F14871" i="1" a="1"/>
  <c r="F12874" i="1" a="1"/>
  <c r="F13173" i="1" a="1"/>
  <c r="F13429" i="1" a="1"/>
  <c r="F13685" i="1" a="1"/>
  <c r="F13941" i="1" a="1"/>
  <c r="F14197" i="1" a="1"/>
  <c r="F14453" i="1" a="1"/>
  <c r="F14709" i="1" a="1"/>
  <c r="F14906" i="1" a="1"/>
  <c r="F12798" i="1" a="1"/>
  <c r="F13128" i="1" a="1"/>
  <c r="F13384" i="1" a="1"/>
  <c r="F13640" i="1" a="1"/>
  <c r="F13896" i="1" a="1"/>
  <c r="F14152" i="1" a="1"/>
  <c r="F14408" i="1" a="1"/>
  <c r="F14664" i="1" a="1"/>
  <c r="F12469" i="1" a="1"/>
  <c r="F12905" i="1" a="1"/>
  <c r="F13195" i="1" a="1"/>
  <c r="F13451" i="1" a="1"/>
  <c r="F13707" i="1" a="1"/>
  <c r="F13963" i="1" a="1"/>
  <c r="F14219" i="1" a="1"/>
  <c r="F14475" i="1" a="1"/>
  <c r="F14731" i="1" a="1"/>
  <c r="F14889" i="1" a="1"/>
  <c r="F12790" i="1" a="1"/>
  <c r="F13122" i="1" a="1"/>
  <c r="F13378" i="1" a="1"/>
  <c r="F13634" i="1" a="1"/>
  <c r="F13890" i="1" a="1"/>
  <c r="F14146" i="1" a="1"/>
  <c r="F14402" i="1" a="1"/>
  <c r="F14658" i="1" a="1"/>
  <c r="F12541" i="1" a="1"/>
  <c r="F12970" i="1" a="1"/>
  <c r="F13214" i="1" a="1"/>
  <c r="F13470" i="1" a="1"/>
  <c r="F13726" i="1" a="1"/>
  <c r="F13982" i="1" a="1"/>
  <c r="F14238" i="1" a="1"/>
  <c r="F14494" i="1" a="1"/>
  <c r="F14750" i="1" a="1"/>
  <c r="F14922" i="1" a="1"/>
  <c r="F12830" i="1" a="1"/>
  <c r="F13151" i="1" a="1"/>
  <c r="F13407" i="1" a="1"/>
  <c r="F13663" i="1" a="1"/>
  <c r="F13919" i="1" a="1"/>
  <c r="F14175" i="1" a="1"/>
  <c r="F14431" i="1" a="1"/>
  <c r="F14687" i="1" a="1"/>
  <c r="F12613" i="1" a="1"/>
  <c r="F12976" i="1" a="1"/>
  <c r="F13245" i="1" a="1"/>
  <c r="F13501" i="1" a="1"/>
  <c r="F13757" i="1" a="1"/>
  <c r="F14013" i="1" a="1"/>
  <c r="F14269" i="1" a="1"/>
  <c r="F14525" i="1" a="1"/>
  <c r="F12693" i="1" a="1"/>
  <c r="F13028" i="1" a="1"/>
  <c r="F13282" i="1" a="1"/>
  <c r="F13538" i="1" a="1"/>
  <c r="F13794" i="1" a="1"/>
  <c r="F14050" i="1" a="1"/>
  <c r="F14306" i="1" a="1"/>
  <c r="F14562" i="1" a="1"/>
  <c r="F14879" i="1" a="1"/>
  <c r="F14708" i="1" a="1"/>
  <c r="F13831" i="1" a="1"/>
  <c r="F14343" i="1" a="1"/>
  <c r="F14886" i="1" a="1"/>
  <c r="F14781" i="1" a="1"/>
  <c r="F13328" i="1" a="1"/>
  <c r="F14096" i="1" a="1"/>
  <c r="F14608" i="1" a="1"/>
  <c r="F14893" i="1" a="1"/>
  <c r="F14911" i="1" a="1"/>
  <c r="F13954" i="1" a="1"/>
  <c r="F13052" i="1" a="1"/>
  <c r="F14370" i="1" a="1"/>
  <c r="F10092" i="1" a="1"/>
  <c r="F14818" i="1" a="1"/>
  <c r="F13324" i="1" a="1"/>
  <c r="F12822" i="1" a="1"/>
  <c r="F11683" i="1" a="1"/>
  <c r="F14588" i="1" a="1"/>
  <c r="F13592" i="1" a="1"/>
  <c r="F11644" i="1" a="1"/>
  <c r="F13453" i="1" a="1"/>
  <c r="F14477" i="1" a="1"/>
  <c r="F13548" i="1" a="1"/>
  <c r="F13503" i="1" a="1"/>
  <c r="F13542" i="1" a="1"/>
  <c r="F13497" i="1" a="1"/>
  <c r="F13333" i="1" a="1"/>
  <c r="F12972" i="1" a="1"/>
  <c r="F14778" i="1" a="1"/>
  <c r="F12836" i="1" a="1"/>
  <c r="F14726" i="1" a="1"/>
  <c r="F9567" i="1" a="1"/>
  <c r="F12116" i="1" a="1"/>
  <c r="F13054" i="1" a="1"/>
  <c r="F14325" i="1" a="1"/>
  <c r="F14347" i="1" a="1"/>
  <c r="F12669" i="1" a="1"/>
  <c r="F14178" i="1" a="1"/>
  <c r="F2855" i="1" a="1"/>
  <c r="F4926" i="1" a="1"/>
  <c r="F6058" i="1" a="1"/>
  <c r="F8068" i="1" a="1"/>
  <c r="F9553" i="1" a="1"/>
  <c r="F8381" i="1" a="1"/>
  <c r="F8858" i="1" a="1"/>
  <c r="F11078" i="1" a="1"/>
  <c r="F11959" i="1" a="1"/>
  <c r="F12983" i="1" a="1"/>
  <c r="F11578" i="1" a="1"/>
  <c r="F10634" i="1" a="1"/>
  <c r="F11724" i="1" a="1"/>
  <c r="F11709" i="1" a="1"/>
  <c r="F13906" i="1" a="1"/>
  <c r="F13390" i="1" a="1"/>
  <c r="F14405" i="1" a="1"/>
  <c r="F14864" i="1" a="1"/>
  <c r="F11964" i="1" a="1"/>
  <c r="F12348" i="1" a="1"/>
  <c r="F12676" i="1" a="1"/>
  <c r="F13098" i="1" a="1"/>
  <c r="F13464" i="1" a="1"/>
  <c r="F13793" i="1" a="1"/>
  <c r="F14122" i="1" a="1"/>
  <c r="F14488" i="1" a="1"/>
  <c r="F10782" i="1" a="1"/>
  <c r="F11483" i="1" a="1"/>
  <c r="F11235" i="1" a="1"/>
  <c r="F12069" i="1" a="1"/>
  <c r="F12397" i="1" a="1"/>
  <c r="F11474" i="1" a="1"/>
  <c r="F11163" i="1" a="1"/>
  <c r="F12032" i="1" a="1"/>
  <c r="F12400" i="1" a="1"/>
  <c r="F11392" i="1" a="1"/>
  <c r="F12761" i="1" a="1"/>
  <c r="F12960" i="1" a="1"/>
  <c r="F13142" i="1" a="1"/>
  <c r="F13275" i="1" a="1"/>
  <c r="F13403" i="1" a="1"/>
  <c r="F13531" i="1" a="1"/>
  <c r="F13659" i="1" a="1"/>
  <c r="F13787" i="1" a="1"/>
  <c r="F13915" i="1" a="1"/>
  <c r="F14043" i="1" a="1"/>
  <c r="F14171" i="1" a="1"/>
  <c r="F14299" i="1" a="1"/>
  <c r="F14427" i="1" a="1"/>
  <c r="F14555" i="1" a="1"/>
  <c r="F14683" i="1" a="1"/>
  <c r="F14811" i="1" a="1"/>
  <c r="F12461" i="1" a="1"/>
  <c r="F12888" i="1" a="1"/>
  <c r="F13182" i="1" a="1"/>
  <c r="F13438" i="1" a="1"/>
  <c r="F13694" i="1" a="1"/>
  <c r="F13950" i="1" a="1"/>
  <c r="F14206" i="1" a="1"/>
  <c r="F14462" i="1" a="1"/>
  <c r="F14718" i="1" a="1"/>
  <c r="F14913" i="1" a="1"/>
  <c r="F12812" i="1" a="1"/>
  <c r="F13137" i="1" a="1"/>
  <c r="F13393" i="1" a="1"/>
  <c r="F13649" i="1" a="1"/>
  <c r="F13905" i="1" a="1"/>
  <c r="F14161" i="1" a="1"/>
  <c r="F14417" i="1" a="1"/>
  <c r="F14673" i="1" a="1"/>
  <c r="F12501" i="1" a="1"/>
  <c r="F12930" i="1" a="1"/>
  <c r="F13204" i="1" a="1"/>
  <c r="F13460" i="1" a="1"/>
  <c r="F13716" i="1" a="1"/>
  <c r="F13972" i="1" a="1"/>
  <c r="F14228" i="1" a="1"/>
  <c r="F14484" i="1" a="1"/>
  <c r="F14740" i="1" a="1"/>
  <c r="F14907" i="1" a="1"/>
  <c r="F12804" i="1" a="1"/>
  <c r="F13159" i="1" a="1"/>
  <c r="F13415" i="1" a="1"/>
  <c r="F13671" i="1" a="1"/>
  <c r="F13927" i="1" a="1"/>
  <c r="F14183" i="1" a="1"/>
  <c r="F14439" i="1" a="1"/>
  <c r="F14695" i="1" a="1"/>
  <c r="F12573" i="1" a="1"/>
  <c r="F12984" i="1" a="1"/>
  <c r="F13251" i="1" a="1"/>
  <c r="F13507" i="1" a="1"/>
  <c r="F13763" i="1" a="1"/>
  <c r="F14019" i="1" a="1"/>
  <c r="F14275" i="1" a="1"/>
  <c r="F14531" i="1" a="1"/>
  <c r="F14787" i="1" a="1"/>
  <c r="F14929" i="1" a="1"/>
  <c r="F12844" i="1" a="1"/>
  <c r="F13160" i="1" a="1"/>
  <c r="F13416" i="1" a="1"/>
  <c r="F13672" i="1" a="1"/>
  <c r="F13928" i="1" a="1"/>
  <c r="F14184" i="1" a="1"/>
  <c r="F14440" i="1" a="1"/>
  <c r="F14696" i="1" a="1"/>
  <c r="F12645" i="1" a="1"/>
  <c r="F13001" i="1" a="1"/>
  <c r="F13254" i="1" a="1"/>
  <c r="F13510" i="1" a="1"/>
  <c r="F13766" i="1" a="1"/>
  <c r="F14022" i="1" a="1"/>
  <c r="F14278" i="1" a="1"/>
  <c r="F14534" i="1" a="1"/>
  <c r="F12708" i="1" a="1"/>
  <c r="F13063" i="1" a="1"/>
  <c r="F13319" i="1" a="1"/>
  <c r="F13575" i="1" a="1"/>
  <c r="F14087" i="1" a="1"/>
  <c r="F14599" i="1" a="1"/>
  <c r="F13840" i="1" a="1"/>
  <c r="F14849" i="1" a="1"/>
  <c r="F13698" i="1" a="1"/>
  <c r="F13727" i="1" a="1"/>
  <c r="F14333" i="1" a="1"/>
  <c r="F13858" i="1" a="1"/>
  <c r="F9596" i="1" a="1"/>
  <c r="F13795" i="1" a="1"/>
  <c r="F14256" i="1" a="1"/>
  <c r="F13099" i="1" a="1"/>
  <c r="F8889" i="1" a="1"/>
  <c r="F12537" i="1" a="1"/>
  <c r="F12108" i="1" a="1"/>
  <c r="F11183" i="1" a="1"/>
  <c r="F10998" i="1" a="1"/>
  <c r="F13837" i="1" a="1"/>
  <c r="F12653" i="1" a="1"/>
  <c r="F14826" i="1" a="1"/>
  <c r="F14271" i="1" a="1"/>
  <c r="F14054" i="1" a="1"/>
  <c r="F14265" i="1" a="1"/>
  <c r="F14101" i="1" a="1"/>
  <c r="F14266" i="1" a="1"/>
  <c r="F14644" i="1" a="1"/>
  <c r="F4640" i="1" a="1"/>
  <c r="F11877" i="1" a="1"/>
  <c r="F14742" i="1" a="1"/>
  <c r="F13323" i="1" a="1"/>
  <c r="F13598" i="1" a="1"/>
  <c r="F14141" i="1" a="1"/>
  <c r="F3973" i="1" a="1"/>
  <c r="F5109" i="1" a="1"/>
  <c r="F5293" i="1" a="1"/>
  <c r="F7748" i="1" a="1"/>
  <c r="F9765" i="1" a="1"/>
  <c r="F9241" i="1" a="1"/>
  <c r="F8986" i="1" a="1"/>
  <c r="F11256" i="1" a="1"/>
  <c r="F12023" i="1" a="1"/>
  <c r="F13047" i="1" a="1"/>
  <c r="F11663" i="1" a="1"/>
  <c r="F10812" i="1" a="1"/>
  <c r="F11826" i="1" a="1"/>
  <c r="F11897" i="1" a="1"/>
  <c r="F14034" i="1" a="1"/>
  <c r="F13518" i="1" a="1"/>
  <c r="F14414" i="1" a="1"/>
  <c r="F14868" i="1" a="1"/>
  <c r="F11980" i="1" a="1"/>
  <c r="F12356" i="1" a="1"/>
  <c r="F12718" i="1" a="1"/>
  <c r="F13103" i="1" a="1"/>
  <c r="F13473" i="1" a="1"/>
  <c r="F13825" i="1" a="1"/>
  <c r="F14127" i="1" a="1"/>
  <c r="F14497" i="1" a="1"/>
  <c r="F10927" i="1" a="1"/>
  <c r="F11494" i="1" a="1"/>
  <c r="F11714" i="1" a="1"/>
  <c r="F12101" i="1" a="1"/>
  <c r="F12405" i="1" a="1"/>
  <c r="F11484" i="1" a="1"/>
  <c r="F11252" i="1" a="1"/>
  <c r="F12040" i="1" a="1"/>
  <c r="F12408" i="1" a="1"/>
  <c r="F11435" i="1" a="1"/>
  <c r="F12768" i="1" a="1"/>
  <c r="F12978" i="1" a="1"/>
  <c r="F13147" i="1" a="1"/>
  <c r="F13284" i="1" a="1"/>
  <c r="F13412" i="1" a="1"/>
  <c r="F13540" i="1" a="1"/>
  <c r="F13668" i="1" a="1"/>
  <c r="F13796" i="1" a="1"/>
  <c r="F13924" i="1" a="1"/>
  <c r="F14052" i="1" a="1"/>
  <c r="F14180" i="1" a="1"/>
  <c r="F14308" i="1" a="1"/>
  <c r="F14436" i="1" a="1"/>
  <c r="F14564" i="1" a="1"/>
  <c r="F14692" i="1" a="1"/>
  <c r="F14815" i="1" a="1"/>
  <c r="F12493" i="1" a="1"/>
  <c r="F12913" i="1" a="1"/>
  <c r="F13219" i="1" a="1"/>
  <c r="F13475" i="1" a="1"/>
  <c r="F13731" i="1" a="1"/>
  <c r="F13987" i="1" a="1"/>
  <c r="F14243" i="1" a="1"/>
  <c r="F14499" i="1" a="1"/>
  <c r="F14755" i="1" a="1"/>
  <c r="F14931" i="1" a="1"/>
  <c r="F12837" i="1" a="1"/>
  <c r="F13146" i="1" a="1"/>
  <c r="F13402" i="1" a="1"/>
  <c r="F13658" i="1" a="1"/>
  <c r="F13914" i="1" a="1"/>
  <c r="F14170" i="1" a="1"/>
  <c r="F14426" i="1" a="1"/>
  <c r="F14682" i="1" a="1"/>
  <c r="F12533" i="1" a="1"/>
  <c r="F12944" i="1" a="1"/>
  <c r="F13213" i="1" a="1"/>
  <c r="F13469" i="1" a="1"/>
  <c r="F13725" i="1" a="1"/>
  <c r="F13981" i="1" a="1"/>
  <c r="F14237" i="1" a="1"/>
  <c r="F14493" i="1" a="1"/>
  <c r="F14749" i="1" a="1"/>
  <c r="F14914" i="1" a="1"/>
  <c r="F12829" i="1" a="1"/>
  <c r="F13168" i="1" a="1"/>
  <c r="F13424" i="1" a="1"/>
  <c r="F13680" i="1" a="1"/>
  <c r="F13936" i="1" a="1"/>
  <c r="F14192" i="1" a="1"/>
  <c r="F14448" i="1" a="1"/>
  <c r="F14704" i="1" a="1"/>
  <c r="F12605" i="1" a="1"/>
  <c r="F13009" i="1" a="1"/>
  <c r="F13260" i="1" a="1"/>
  <c r="F13516" i="1" a="1"/>
  <c r="F13772" i="1" a="1"/>
  <c r="F14028" i="1" a="1"/>
  <c r="F14284" i="1" a="1"/>
  <c r="F14540" i="1" a="1"/>
  <c r="F14796" i="1" a="1"/>
  <c r="F12480" i="1" a="1"/>
  <c r="F12869" i="1" a="1"/>
  <c r="F13169" i="1" a="1"/>
  <c r="F13425" i="1" a="1"/>
  <c r="F13681" i="1" a="1"/>
  <c r="F13937" i="1" a="1"/>
  <c r="F14193" i="1" a="1"/>
  <c r="F14449" i="1" a="1"/>
  <c r="F14705" i="1" a="1"/>
  <c r="F12672" i="1" a="1"/>
  <c r="F13026" i="1" a="1"/>
  <c r="F13291" i="1" a="1"/>
  <c r="F13547" i="1" a="1"/>
  <c r="F13803" i="1" a="1"/>
  <c r="F14059" i="1" a="1"/>
  <c r="F14315" i="1" a="1"/>
  <c r="F14571" i="1" a="1"/>
  <c r="F12733" i="1" a="1"/>
  <c r="F13072" i="1" a="1"/>
  <c r="F13584" i="1" a="1"/>
  <c r="F14352" i="1" a="1"/>
  <c r="F14210" i="1" a="1"/>
  <c r="F14302" i="1" a="1"/>
  <c r="F12544" i="1" a="1"/>
  <c r="F13471" i="1" a="1"/>
  <c r="F14239" i="1" a="1"/>
  <c r="F14751" i="1" a="1"/>
  <c r="F13309" i="1" a="1"/>
  <c r="F13821" i="1" a="1"/>
  <c r="F14589" i="1" a="1"/>
  <c r="F13346" i="1" a="1"/>
  <c r="F14114" i="1" a="1"/>
  <c r="F14717" i="1" a="1"/>
  <c r="F11598" i="1" a="1"/>
  <c r="F14340" i="1" a="1"/>
  <c r="F14234" i="1" a="1"/>
  <c r="F14000" i="1" a="1"/>
  <c r="F12608" i="1" a="1"/>
  <c r="F13355" i="1" a="1"/>
  <c r="F14160" i="1" a="1"/>
  <c r="F9055" i="1" a="1"/>
  <c r="F14674" i="1" a="1"/>
  <c r="F14616" i="1" a="1"/>
  <c r="F13197" i="1" a="1"/>
  <c r="F14733" i="1" a="1"/>
  <c r="F12592" i="1" a="1"/>
  <c r="F13057" i="1" a="1"/>
  <c r="F13241" i="1" a="1"/>
  <c r="F13589" i="1" a="1"/>
  <c r="F13498" i="1" a="1"/>
  <c r="F13876" i="1" a="1"/>
  <c r="F14425" i="1" a="1"/>
  <c r="F10510" i="1" a="1"/>
  <c r="F13948" i="1" a="1"/>
  <c r="F14625" i="1" a="1"/>
  <c r="F12857" i="1" a="1"/>
  <c r="F14614" i="1" a="1"/>
  <c r="F13512" i="1" a="1"/>
  <c r="F13762" i="1" a="1"/>
  <c r="F13535" i="1" a="1"/>
  <c r="F13922" i="1" a="1"/>
  <c r="F4485" i="1" a="1"/>
  <c r="F4839" i="1" a="1"/>
  <c r="F5788" i="1" a="1"/>
  <c r="F9385" i="1" a="1"/>
  <c r="F9898" i="1" a="1"/>
  <c r="F7767" i="1" a="1"/>
  <c r="F9114" i="1" a="1"/>
  <c r="F11342" i="1" a="1"/>
  <c r="F12087" i="1" a="1"/>
  <c r="F9465" i="1" a="1"/>
  <c r="F11776" i="1" a="1"/>
  <c r="F8998" i="1" a="1"/>
  <c r="F11890" i="1" a="1"/>
  <c r="F12025" i="1" a="1"/>
  <c r="F14162" i="1" a="1"/>
  <c r="F13646" i="1" a="1"/>
  <c r="F14460" i="1" a="1"/>
  <c r="F14892" i="1" a="1"/>
  <c r="F11988" i="1" a="1"/>
  <c r="F12364" i="1" a="1"/>
  <c r="F12750" i="1" a="1"/>
  <c r="F13153" i="1" a="1"/>
  <c r="F13482" i="1" a="1"/>
  <c r="F13848" i="1" a="1"/>
  <c r="F14177" i="1" a="1"/>
  <c r="F14506" i="1" a="1"/>
  <c r="F10991" i="1" a="1"/>
  <c r="F11558" i="1" a="1"/>
  <c r="F11723" i="1" a="1"/>
  <c r="F12125" i="1" a="1"/>
  <c r="F12453" i="1" a="1"/>
  <c r="F11495" i="1" a="1"/>
  <c r="F11708" i="1" a="1"/>
  <c r="F12088" i="1" a="1"/>
  <c r="F12416" i="1" a="1"/>
  <c r="F11467" i="1" a="1"/>
  <c r="F12786" i="1" a="1"/>
  <c r="F12985" i="1" a="1"/>
  <c r="F13156" i="1" a="1"/>
  <c r="F13293" i="1" a="1"/>
  <c r="F13421" i="1" a="1"/>
  <c r="F13549" i="1" a="1"/>
  <c r="F13677" i="1" a="1"/>
  <c r="F13805" i="1" a="1"/>
  <c r="F13933" i="1" a="1"/>
  <c r="F14061" i="1" a="1"/>
  <c r="F14189" i="1" a="1"/>
  <c r="F14317" i="1" a="1"/>
  <c r="F14445" i="1" a="1"/>
  <c r="F14573" i="1" a="1"/>
  <c r="F14701" i="1" a="1"/>
  <c r="F14819" i="1" a="1"/>
  <c r="F12525" i="1" a="1"/>
  <c r="F12938" i="1" a="1"/>
  <c r="F13228" i="1" a="1"/>
  <c r="F13484" i="1" a="1"/>
  <c r="F13740" i="1" a="1"/>
  <c r="F13996" i="1" a="1"/>
  <c r="F14252" i="1" a="1"/>
  <c r="F14508" i="1" a="1"/>
  <c r="F14764" i="1" a="1"/>
  <c r="F12464" i="1" a="1"/>
  <c r="F12862" i="1" a="1"/>
  <c r="F13183" i="1" a="1"/>
  <c r="F13439" i="1" a="1"/>
  <c r="F13695" i="1" a="1"/>
  <c r="F13951" i="1" a="1"/>
  <c r="F14207" i="1" a="1"/>
  <c r="F14463" i="1" a="1"/>
  <c r="F14719" i="1" a="1"/>
  <c r="F12565" i="1" a="1"/>
  <c r="F12969" i="1" a="1"/>
  <c r="F13222" i="1" a="1"/>
  <c r="F13478" i="1" a="1"/>
  <c r="F13734" i="1" a="1"/>
  <c r="F13990" i="1" a="1"/>
  <c r="F14246" i="1" a="1"/>
  <c r="F14502" i="1" a="1"/>
  <c r="F14758" i="1" a="1"/>
  <c r="F14921" i="1" a="1"/>
  <c r="F12854" i="1" a="1"/>
  <c r="F13177" i="1" a="1"/>
  <c r="F13433" i="1" a="1"/>
  <c r="F13689" i="1" a="1"/>
  <c r="F13945" i="1" a="1"/>
  <c r="F14201" i="1" a="1"/>
  <c r="F14457" i="1" a="1"/>
  <c r="F14713" i="1" a="1"/>
  <c r="F12637" i="1" a="1"/>
  <c r="F13034" i="1" a="1"/>
  <c r="F13269" i="1" a="1"/>
  <c r="F13525" i="1" a="1"/>
  <c r="F13781" i="1" a="1"/>
  <c r="F14037" i="1" a="1"/>
  <c r="F14293" i="1" a="1"/>
  <c r="F14549" i="1" a="1"/>
  <c r="F14805" i="1" a="1"/>
  <c r="F12512" i="1" a="1"/>
  <c r="F12894" i="1" a="1"/>
  <c r="F13178" i="1" a="1"/>
  <c r="F13434" i="1" a="1"/>
  <c r="F13690" i="1" a="1"/>
  <c r="F13946" i="1" a="1"/>
  <c r="F14202" i="1" a="1"/>
  <c r="F14458" i="1" a="1"/>
  <c r="F14714" i="1" a="1"/>
  <c r="F12706" i="1" a="1"/>
  <c r="F13040" i="1" a="1"/>
  <c r="F13300" i="1" a="1"/>
  <c r="F13556" i="1" a="1"/>
  <c r="F13812" i="1" a="1"/>
  <c r="F14068" i="1" a="1"/>
  <c r="F14324" i="1" a="1"/>
  <c r="F14580" i="1" a="1"/>
  <c r="F12758" i="1" a="1"/>
  <c r="F13081" i="1" a="1"/>
  <c r="F13337" i="1" a="1"/>
  <c r="F13593" i="1" a="1"/>
  <c r="F13849" i="1" a="1"/>
  <c r="F14105" i="1" a="1"/>
  <c r="F14361" i="1" a="1"/>
  <c r="F14617" i="1" a="1"/>
  <c r="F14905" i="1" a="1"/>
  <c r="F14722" i="1" a="1"/>
  <c r="F14814" i="1" a="1"/>
  <c r="F13215" i="1" a="1"/>
  <c r="F13983" i="1" a="1"/>
  <c r="F14495" i="1" a="1"/>
  <c r="F13565" i="1" a="1"/>
  <c r="F14077" i="1" a="1"/>
  <c r="F12772" i="1" a="1"/>
  <c r="F13090" i="1" a="1"/>
  <c r="F13602" i="1" a="1"/>
  <c r="F14626" i="1" a="1"/>
  <c r="F12279" i="1" a="1"/>
  <c r="F13444" i="1" a="1"/>
  <c r="F13283" i="1" a="1"/>
  <c r="F13210" i="1" a="1"/>
  <c r="F13033" i="1" a="1"/>
  <c r="F14301" i="1" a="1"/>
  <c r="F13744" i="1" a="1"/>
  <c r="F13068" i="1" a="1"/>
  <c r="F14830" i="1" a="1"/>
  <c r="F13745" i="1" a="1"/>
  <c r="F12770" i="1" a="1"/>
  <c r="F14379" i="1" a="1"/>
  <c r="F13904" i="1" a="1"/>
  <c r="F3877" i="1" a="1"/>
  <c r="F13902" i="1" a="1"/>
  <c r="F12197" i="1" a="1"/>
  <c r="F13965" i="1" a="1"/>
  <c r="F14060" i="1" a="1"/>
  <c r="F14783" i="1" a="1"/>
  <c r="F12932" i="1" a="1"/>
  <c r="F13077" i="1" a="1"/>
  <c r="F13242" i="1" a="1"/>
  <c r="F13620" i="1" a="1"/>
  <c r="F13913" i="1" a="1"/>
  <c r="F11025" i="1" a="1"/>
  <c r="F14802" i="1" a="1"/>
  <c r="F13601" i="1" a="1"/>
  <c r="F11864" i="1" a="1"/>
  <c r="F13846" i="1" a="1"/>
  <c r="F12677" i="1" a="1"/>
  <c r="F12624" i="1" a="1"/>
  <c r="F12738" i="1" a="1"/>
  <c r="F14829" i="1" a="1"/>
  <c r="F14786" i="1" a="1"/>
  <c r="F14846" i="1" a="1"/>
  <c r="F12809" i="1" a="1"/>
  <c r="F13666" i="1" a="1"/>
  <c r="F3832" i="1" a="1"/>
  <c r="F5712" i="1" a="1"/>
  <c r="F6148" i="1" a="1"/>
  <c r="F9886" i="1" a="1"/>
  <c r="F10032" i="1" a="1"/>
  <c r="F8226" i="1" a="1"/>
  <c r="F9262" i="1" a="1"/>
  <c r="F11427" i="1" a="1"/>
  <c r="F12151" i="1" a="1"/>
  <c r="F9750" i="1" a="1"/>
  <c r="F9414" i="1" a="1"/>
  <c r="F9497" i="1" a="1"/>
  <c r="F11954" i="1" a="1"/>
  <c r="F12153" i="1" a="1"/>
  <c r="F14290" i="1" a="1"/>
  <c r="F13692" i="1" a="1"/>
  <c r="F14515" i="1" a="1"/>
  <c r="F14920" i="1" a="1"/>
  <c r="F12036" i="1" a="1"/>
  <c r="F12372" i="1" a="1"/>
  <c r="F12757" i="1" a="1"/>
  <c r="F13185" i="1" a="1"/>
  <c r="F13487" i="1" a="1"/>
  <c r="F13857" i="1" a="1"/>
  <c r="F14209" i="1" a="1"/>
  <c r="F14511" i="1" a="1"/>
  <c r="F11016" i="1" a="1"/>
  <c r="F11600" i="1" a="1"/>
  <c r="F11732" i="1" a="1"/>
  <c r="F12133" i="1" a="1"/>
  <c r="F10932" i="1" a="1"/>
  <c r="F11506" i="1" a="1"/>
  <c r="F11717" i="1" a="1"/>
  <c r="F12120" i="1" a="1"/>
  <c r="F12424" i="1" a="1"/>
  <c r="F11478" i="1" a="1"/>
  <c r="F12793" i="1" a="1"/>
  <c r="F13017" i="1" a="1"/>
  <c r="F13165" i="1" a="1"/>
  <c r="F13302" i="1" a="1"/>
  <c r="F13430" i="1" a="1"/>
  <c r="F13558" i="1" a="1"/>
  <c r="F13686" i="1" a="1"/>
  <c r="F13814" i="1" a="1"/>
  <c r="F13942" i="1" a="1"/>
  <c r="F14070" i="1" a="1"/>
  <c r="F14198" i="1" a="1"/>
  <c r="F14326" i="1" a="1"/>
  <c r="F14454" i="1" a="1"/>
  <c r="F14582" i="1" a="1"/>
  <c r="F14710" i="1" a="1"/>
  <c r="F14823" i="1" a="1"/>
  <c r="F12557" i="1" a="1"/>
  <c r="F12952" i="1" a="1"/>
  <c r="F13237" i="1" a="1"/>
  <c r="F13493" i="1" a="1"/>
  <c r="F13749" i="1" a="1"/>
  <c r="F14005" i="1" a="1"/>
  <c r="F14261" i="1" a="1"/>
  <c r="F14517" i="1" a="1"/>
  <c r="F14773" i="1" a="1"/>
  <c r="F12496" i="1" a="1"/>
  <c r="F12876" i="1" a="1"/>
  <c r="F13192" i="1" a="1"/>
  <c r="F13448" i="1" a="1"/>
  <c r="F13704" i="1" a="1"/>
  <c r="F13960" i="1" a="1"/>
  <c r="F14216" i="1" a="1"/>
  <c r="F14472" i="1" a="1"/>
  <c r="F14728" i="1" a="1"/>
  <c r="F12597" i="1" a="1"/>
  <c r="F12994" i="1" a="1"/>
  <c r="F13259" i="1" a="1"/>
  <c r="F13515" i="1" a="1"/>
  <c r="F13771" i="1" a="1"/>
  <c r="F14027" i="1" a="1"/>
  <c r="F14283" i="1" a="1"/>
  <c r="F14539" i="1" a="1"/>
  <c r="F14795" i="1" a="1"/>
  <c r="F12472" i="1" a="1"/>
  <c r="F12868" i="1" a="1"/>
  <c r="F13186" i="1" a="1"/>
  <c r="F13442" i="1" a="1"/>
  <c r="F14466" i="1" a="1"/>
  <c r="F12714" i="1" a="1"/>
  <c r="F13048" i="1" a="1"/>
  <c r="F13278" i="1" a="1"/>
  <c r="F13534" i="1" a="1"/>
  <c r="F13790" i="1" a="1"/>
  <c r="F14046" i="1" a="1"/>
  <c r="F14558" i="1" a="1"/>
  <c r="F12908" i="1" a="1"/>
  <c r="F12720" i="1" a="1"/>
  <c r="F12409" i="1" a="1"/>
  <c r="F13533" i="1" a="1"/>
  <c r="F14769" i="1" a="1"/>
  <c r="F10118" i="1" a="1"/>
  <c r="F10978" i="1" a="1"/>
  <c r="F14250" i="1" a="1"/>
  <c r="F11832" i="1" a="1"/>
  <c r="F13581" i="1" a="1"/>
  <c r="F14605" i="1" a="1"/>
  <c r="F14572" i="1" a="1"/>
  <c r="F14527" i="1" a="1"/>
  <c r="F14566" i="1" a="1"/>
  <c r="F14521" i="1" a="1"/>
  <c r="F14838" i="1" a="1"/>
  <c r="F12784" i="1" a="1"/>
  <c r="F13145" i="1" a="1"/>
  <c r="F5489" i="1" a="1"/>
  <c r="F11131" i="1" a="1"/>
  <c r="F11023" i="1" a="1"/>
  <c r="F14839" i="1" a="1"/>
  <c r="F14536" i="1" a="1"/>
  <c r="F14530" i="1" a="1"/>
  <c r="F14878" i="1" a="1"/>
  <c r="F3499" i="1" a="1"/>
  <c r="F6736" i="1" a="1"/>
  <c r="F7641" i="1" a="1"/>
  <c r="F10228" i="1" a="1"/>
  <c r="F10176" i="1" a="1"/>
  <c r="F8592" i="1" a="1"/>
  <c r="F9429" i="1" a="1"/>
  <c r="F11512" i="1" a="1"/>
  <c r="F12215" i="1" a="1"/>
  <c r="F9921" i="1" a="1"/>
  <c r="F10612" i="1" a="1"/>
  <c r="F9777" i="1" a="1"/>
  <c r="F12018" i="1" a="1"/>
  <c r="F12281" i="1" a="1"/>
  <c r="F14418" i="1" a="1"/>
  <c r="F13774" i="1" a="1"/>
  <c r="F14533" i="1" a="1"/>
  <c r="F14928" i="1" a="1"/>
  <c r="F12068" i="1" a="1"/>
  <c r="F12420" i="1" a="1"/>
  <c r="F12764" i="1" a="1"/>
  <c r="F13208" i="1" a="1"/>
  <c r="F13537" i="1" a="1"/>
  <c r="F13866" i="1" a="1"/>
  <c r="F14232" i="1" a="1"/>
  <c r="F14561" i="1" a="1"/>
  <c r="F11030" i="1" a="1"/>
  <c r="F11632" i="1" a="1"/>
  <c r="F11813" i="1" a="1"/>
  <c r="F12141" i="1" a="1"/>
  <c r="F11006" i="1" a="1"/>
  <c r="F11570" i="1" a="1"/>
  <c r="F11754" i="1" a="1"/>
  <c r="F12144" i="1" a="1"/>
  <c r="F10846" i="1" a="1"/>
  <c r="F11488" i="1" a="1"/>
  <c r="F12800" i="1" a="1"/>
  <c r="F13024" i="1" a="1"/>
  <c r="F13174" i="1" a="1"/>
  <c r="F13307" i="1" a="1"/>
  <c r="F13435" i="1" a="1"/>
  <c r="F13563" i="1" a="1"/>
  <c r="F13691" i="1" a="1"/>
  <c r="F13819" i="1" a="1"/>
  <c r="F13947" i="1" a="1"/>
  <c r="F14075" i="1" a="1"/>
  <c r="F14203" i="1" a="1"/>
  <c r="F14331" i="1" a="1"/>
  <c r="F14459" i="1" a="1"/>
  <c r="F14587" i="1" a="1"/>
  <c r="F14715" i="1" a="1"/>
  <c r="F14827" i="1" a="1"/>
  <c r="F12589" i="1" a="1"/>
  <c r="F12977" i="1" a="1"/>
  <c r="F13246" i="1" a="1"/>
  <c r="F13502" i="1" a="1"/>
  <c r="F13758" i="1" a="1"/>
  <c r="F14014" i="1" a="1"/>
  <c r="F14270" i="1" a="1"/>
  <c r="F14526" i="1" a="1"/>
  <c r="F14782" i="1" a="1"/>
  <c r="F12528" i="1" a="1"/>
  <c r="F12901" i="1" a="1"/>
  <c r="F13201" i="1" a="1"/>
  <c r="F13457" i="1" a="1"/>
  <c r="F13713" i="1" a="1"/>
  <c r="F13969" i="1" a="1"/>
  <c r="F14225" i="1" a="1"/>
  <c r="F14481" i="1" a="1"/>
  <c r="F14737" i="1" a="1"/>
  <c r="F12629" i="1" a="1"/>
  <c r="F13008" i="1" a="1"/>
  <c r="F13268" i="1" a="1"/>
  <c r="F13524" i="1" a="1"/>
  <c r="F13780" i="1" a="1"/>
  <c r="F14036" i="1" a="1"/>
  <c r="F14292" i="1" a="1"/>
  <c r="F14548" i="1" a="1"/>
  <c r="F14804" i="1" a="1"/>
  <c r="F12504" i="1" a="1"/>
  <c r="F12893" i="1" a="1"/>
  <c r="F13223" i="1" a="1"/>
  <c r="F13479" i="1" a="1"/>
  <c r="F13735" i="1" a="1"/>
  <c r="F13991" i="1" a="1"/>
  <c r="F14247" i="1" a="1"/>
  <c r="F14503" i="1" a="1"/>
  <c r="F14759" i="1" a="1"/>
  <c r="F12728" i="1" a="1"/>
  <c r="F13058" i="1" a="1"/>
  <c r="F13315" i="1" a="1"/>
  <c r="F13571" i="1" a="1"/>
  <c r="F13827" i="1" a="1"/>
  <c r="F14083" i="1" a="1"/>
  <c r="F14339" i="1" a="1"/>
  <c r="F14595" i="1" a="1"/>
  <c r="F14822" i="1" a="1"/>
  <c r="F12576" i="1" a="1"/>
  <c r="F12933" i="1" a="1"/>
  <c r="F13224" i="1" a="1"/>
  <c r="F13480" i="1" a="1"/>
  <c r="F13736" i="1" a="1"/>
  <c r="F13992" i="1" a="1"/>
  <c r="F14248" i="1" a="1"/>
  <c r="F14504" i="1" a="1"/>
  <c r="F14760" i="1" a="1"/>
  <c r="F12745" i="1" a="1"/>
  <c r="F13062" i="1" a="1"/>
  <c r="F13318" i="1" a="1"/>
  <c r="F13574" i="1" a="1"/>
  <c r="F13830" i="1" a="1"/>
  <c r="F14086" i="1" a="1"/>
  <c r="F14342" i="1" a="1"/>
  <c r="F14598" i="1" a="1"/>
  <c r="F12797" i="1" a="1"/>
  <c r="F13127" i="1" a="1"/>
  <c r="F13383" i="1" a="1"/>
  <c r="F13639" i="1" a="1"/>
  <c r="F13895" i="1" a="1"/>
  <c r="F14151" i="1" a="1"/>
  <c r="F14407" i="1" a="1"/>
  <c r="F14663" i="1" a="1"/>
  <c r="F14925" i="1" a="1"/>
  <c r="F14790" i="1" a="1"/>
  <c r="F1940" i="1" a="1"/>
  <c r="F12082" i="1" a="1"/>
  <c r="F14546" i="1" a="1"/>
  <c r="F13820" i="1" a="1"/>
  <c r="F14542" i="1" a="1"/>
  <c r="F14932" i="1" a="1"/>
  <c r="F12092" i="1" a="1"/>
  <c r="F12782" i="1" a="1"/>
  <c r="F13217" i="1" a="1"/>
  <c r="F13569" i="1" a="1"/>
  <c r="F13871" i="1" a="1"/>
  <c r="F14593" i="1" a="1"/>
  <c r="F11055" i="1" a="1"/>
  <c r="F11845" i="1" a="1"/>
  <c r="F11031" i="1" a="1"/>
  <c r="F12152" i="1" a="1"/>
  <c r="F11499" i="1" a="1"/>
  <c r="F13042" i="1" a="1"/>
  <c r="F13316" i="1" a="1"/>
  <c r="F13700" i="1" a="1"/>
  <c r="F13828" i="1" a="1"/>
  <c r="F14084" i="1" a="1"/>
  <c r="F14596" i="1" a="1"/>
  <c r="F14831" i="1" a="1"/>
  <c r="F13539" i="1" a="1"/>
  <c r="F14563" i="1" a="1"/>
  <c r="F12560" i="1" a="1"/>
  <c r="F13466" i="1" a="1"/>
  <c r="F12661" i="1" a="1"/>
  <c r="F13789" i="1" a="1"/>
  <c r="F14557" i="1" a="1"/>
  <c r="F13488" i="1" a="1"/>
  <c r="F14768" i="1" a="1"/>
  <c r="F14604" i="1" a="1"/>
  <c r="F14257" i="1" a="1"/>
  <c r="F13867" i="1" a="1"/>
  <c r="F14416" i="1" a="1"/>
  <c r="F10769" i="1" a="1"/>
  <c r="F11056" i="1" a="1"/>
  <c r="F13292" i="1" a="1"/>
  <c r="F14310" i="1" a="1"/>
  <c r="F12640" i="1" a="1"/>
  <c r="F13657" i="1" a="1"/>
  <c r="F12210" i="1" a="1"/>
  <c r="F11070" i="1" a="1"/>
  <c r="F14102" i="1" a="1"/>
  <c r="F12965" i="1" a="1"/>
  <c r="F12957" i="1" a="1"/>
  <c r="F12997" i="1" a="1"/>
  <c r="F13410" i="1" a="1"/>
  <c r="F11612" i="1" a="1"/>
  <c r="F14746" i="1" a="1"/>
  <c r="F14348" i="1" a="1"/>
  <c r="F13392" i="1" a="1"/>
  <c r="F9126" i="1" a="1"/>
  <c r="F11869" i="1" a="1"/>
  <c r="F14221" i="1" a="1"/>
  <c r="F12940" i="1" a="1"/>
  <c r="F14821" i="1" a="1"/>
  <c r="F14357" i="1" a="1"/>
  <c r="F14388" i="1" a="1"/>
  <c r="F10423" i="1" a="1"/>
  <c r="F12484" i="1" a="1"/>
  <c r="F11655" i="1" a="1"/>
  <c r="F13462" i="1" a="1"/>
  <c r="F14486" i="1" a="1"/>
  <c r="F14581" i="1" a="1"/>
  <c r="F14792" i="1" a="1"/>
  <c r="F12600" i="1" a="1"/>
  <c r="F13086" i="1" a="1"/>
  <c r="F13279" i="1" a="1"/>
  <c r="F13629" i="1" a="1"/>
  <c r="F14434" i="1" a="1"/>
  <c r="F14434" i="1" l="1"/>
  <c r="F13629" i="1"/>
  <c r="F13279" i="1"/>
  <c r="F13086" i="1"/>
  <c r="F12600" i="1"/>
  <c r="F14792" i="1"/>
  <c r="F14581" i="1"/>
  <c r="F14486" i="1"/>
  <c r="F13462" i="1"/>
  <c r="F11655" i="1"/>
  <c r="F12484" i="1"/>
  <c r="F10423" i="1"/>
  <c r="F14388" i="1"/>
  <c r="F14357" i="1"/>
  <c r="F14821" i="1"/>
  <c r="F12940" i="1"/>
  <c r="F14221" i="1"/>
  <c r="F11869" i="1"/>
  <c r="F9126" i="1"/>
  <c r="F13392" i="1"/>
  <c r="F14348" i="1"/>
  <c r="F14746" i="1"/>
  <c r="F11612" i="1"/>
  <c r="F13410" i="1"/>
  <c r="F12997" i="1"/>
  <c r="F12957" i="1"/>
  <c r="F12965" i="1"/>
  <c r="F14102" i="1"/>
  <c r="F11070" i="1"/>
  <c r="F12210" i="1"/>
  <c r="F13657" i="1"/>
  <c r="F12640" i="1"/>
  <c r="F14310" i="1"/>
  <c r="F13292" i="1"/>
  <c r="F11056" i="1"/>
  <c r="F10769" i="1"/>
  <c r="F14416" i="1"/>
  <c r="F13867" i="1"/>
  <c r="F14257" i="1"/>
  <c r="F14604" i="1"/>
  <c r="F14768" i="1"/>
  <c r="F13488" i="1"/>
  <c r="F14557" i="1"/>
  <c r="F13789" i="1"/>
  <c r="F12661" i="1"/>
  <c r="F13466" i="1"/>
  <c r="F12560" i="1"/>
  <c r="F14563" i="1"/>
  <c r="F13539" i="1"/>
  <c r="F14831" i="1"/>
  <c r="F14596" i="1"/>
  <c r="F14084" i="1"/>
  <c r="F13828" i="1"/>
  <c r="F13700" i="1"/>
  <c r="F13316" i="1"/>
  <c r="F13042" i="1"/>
  <c r="F11499" i="1"/>
  <c r="F12152" i="1"/>
  <c r="F11031" i="1"/>
  <c r="F11845" i="1"/>
  <c r="F11055" i="1"/>
  <c r="F14593" i="1"/>
  <c r="F13871" i="1"/>
  <c r="F13569" i="1"/>
  <c r="F13217" i="1"/>
  <c r="F12782" i="1"/>
  <c r="F12092" i="1"/>
  <c r="F14932" i="1"/>
  <c r="F14542" i="1"/>
  <c r="F13820" i="1"/>
  <c r="F14546" i="1"/>
  <c r="F12082" i="1"/>
  <c r="F1940" i="1"/>
  <c r="F14790" i="1"/>
  <c r="F14925" i="1"/>
  <c r="F14663" i="1"/>
  <c r="F14407" i="1"/>
  <c r="F14151" i="1"/>
  <c r="F13895" i="1"/>
  <c r="F13639" i="1"/>
  <c r="F13383" i="1"/>
  <c r="F13127" i="1"/>
  <c r="F12797" i="1"/>
  <c r="F14598" i="1"/>
  <c r="F14342" i="1"/>
  <c r="F14086" i="1"/>
  <c r="F13830" i="1"/>
  <c r="F13574" i="1"/>
  <c r="F13318" i="1"/>
  <c r="F13062" i="1"/>
  <c r="F12745" i="1"/>
  <c r="F14760" i="1"/>
  <c r="F14504" i="1"/>
  <c r="F14248" i="1"/>
  <c r="F13992" i="1"/>
  <c r="F13736" i="1"/>
  <c r="F13480" i="1"/>
  <c r="F13224" i="1"/>
  <c r="F12933" i="1"/>
  <c r="F12576" i="1"/>
  <c r="F14822" i="1"/>
  <c r="F14595" i="1"/>
  <c r="F14339" i="1"/>
  <c r="F14083" i="1"/>
  <c r="F13827" i="1"/>
  <c r="F13571" i="1"/>
  <c r="F13315" i="1"/>
  <c r="F13058" i="1"/>
  <c r="F12728" i="1"/>
  <c r="F14759" i="1"/>
  <c r="F14503" i="1"/>
  <c r="F14247" i="1"/>
  <c r="F13991" i="1"/>
  <c r="F13735" i="1"/>
  <c r="F13479" i="1"/>
  <c r="F13223" i="1"/>
  <c r="F12893" i="1"/>
  <c r="F12504" i="1"/>
  <c r="F14804" i="1"/>
  <c r="F14548" i="1"/>
  <c r="F14292" i="1"/>
  <c r="F14036" i="1"/>
  <c r="F13780" i="1"/>
  <c r="F13524" i="1"/>
  <c r="F13268" i="1"/>
  <c r="F13008" i="1"/>
  <c r="F12629" i="1"/>
  <c r="F14737" i="1"/>
  <c r="F14481" i="1"/>
  <c r="F14225" i="1"/>
  <c r="F13969" i="1"/>
  <c r="F13713" i="1"/>
  <c r="F13457" i="1"/>
  <c r="F13201" i="1"/>
  <c r="F12901" i="1"/>
  <c r="F12528" i="1"/>
  <c r="F14782" i="1"/>
  <c r="F14526" i="1"/>
  <c r="F14270" i="1"/>
  <c r="F14014" i="1"/>
  <c r="F13758" i="1"/>
  <c r="F13502" i="1"/>
  <c r="F13246" i="1"/>
  <c r="F12977" i="1"/>
  <c r="F12589" i="1"/>
  <c r="F14827" i="1"/>
  <c r="F14715" i="1"/>
  <c r="F14587" i="1"/>
  <c r="F14459" i="1"/>
  <c r="F14331" i="1"/>
  <c r="F14203" i="1"/>
  <c r="F14075" i="1"/>
  <c r="F13947" i="1"/>
  <c r="F13819" i="1"/>
  <c r="F13691" i="1"/>
  <c r="F13563" i="1"/>
  <c r="F13435" i="1"/>
  <c r="F13307" i="1"/>
  <c r="F13174" i="1"/>
  <c r="F13024" i="1"/>
  <c r="F12800" i="1"/>
  <c r="F11488" i="1"/>
  <c r="F10846" i="1"/>
  <c r="F12144" i="1"/>
  <c r="F11754" i="1"/>
  <c r="F11570" i="1"/>
  <c r="F11006" i="1"/>
  <c r="F12141" i="1"/>
  <c r="F11813" i="1"/>
  <c r="F11632" i="1"/>
  <c r="F11030" i="1"/>
  <c r="F14561" i="1"/>
  <c r="F14232" i="1"/>
  <c r="F13866" i="1"/>
  <c r="F13537" i="1"/>
  <c r="F13208" i="1"/>
  <c r="F12764" i="1"/>
  <c r="F12420" i="1"/>
  <c r="F12068" i="1"/>
  <c r="F14928" i="1"/>
  <c r="F14533" i="1"/>
  <c r="F13774" i="1"/>
  <c r="F14418" i="1"/>
  <c r="F12281" i="1"/>
  <c r="F12018" i="1"/>
  <c r="F9777" i="1"/>
  <c r="F10612" i="1"/>
  <c r="F9921" i="1"/>
  <c r="F12215" i="1"/>
  <c r="F11512" i="1"/>
  <c r="F9429" i="1"/>
  <c r="F8592" i="1"/>
  <c r="F10176" i="1"/>
  <c r="F10228" i="1"/>
  <c r="F7641" i="1"/>
  <c r="F6736" i="1"/>
  <c r="F3499" i="1"/>
  <c r="F14878" i="1"/>
  <c r="F14530" i="1"/>
  <c r="F14536" i="1"/>
  <c r="F14839" i="1"/>
  <c r="F11023" i="1"/>
  <c r="F11131" i="1"/>
  <c r="F5489" i="1"/>
  <c r="F13145" i="1"/>
  <c r="F12784" i="1"/>
  <c r="F14838" i="1"/>
  <c r="F14521" i="1"/>
  <c r="F14566" i="1"/>
  <c r="F14527" i="1"/>
  <c r="F14572" i="1"/>
  <c r="F14605" i="1"/>
  <c r="F13581" i="1"/>
  <c r="F11832" i="1"/>
  <c r="F14250" i="1"/>
  <c r="F10978" i="1"/>
  <c r="F10118" i="1"/>
  <c r="F14769" i="1"/>
  <c r="F13533" i="1"/>
  <c r="F12409" i="1"/>
  <c r="F12720" i="1"/>
  <c r="F12908" i="1"/>
  <c r="F14558" i="1"/>
  <c r="F14046" i="1"/>
  <c r="F13790" i="1"/>
  <c r="F13534" i="1"/>
  <c r="F13278" i="1"/>
  <c r="F13048" i="1"/>
  <c r="F12714" i="1"/>
  <c r="F14466" i="1"/>
  <c r="F13442" i="1"/>
  <c r="F13186" i="1"/>
  <c r="F12868" i="1"/>
  <c r="F12472" i="1"/>
  <c r="F14795" i="1"/>
  <c r="F14539" i="1"/>
  <c r="F14283" i="1"/>
  <c r="F14027" i="1"/>
  <c r="F13771" i="1"/>
  <c r="F13515" i="1"/>
  <c r="F13259" i="1"/>
  <c r="F12994" i="1"/>
  <c r="F12597" i="1"/>
  <c r="F14728" i="1"/>
  <c r="F14472" i="1"/>
  <c r="F14216" i="1"/>
  <c r="F13960" i="1"/>
  <c r="F13704" i="1"/>
  <c r="F13448" i="1"/>
  <c r="F13192" i="1"/>
  <c r="F12876" i="1"/>
  <c r="F12496" i="1"/>
  <c r="F14773" i="1"/>
  <c r="F14517" i="1"/>
  <c r="F14261" i="1"/>
  <c r="F14005" i="1"/>
  <c r="F13749" i="1"/>
  <c r="F13493" i="1"/>
  <c r="F13237" i="1"/>
  <c r="F12952" i="1"/>
  <c r="F12557" i="1"/>
  <c r="F14823" i="1"/>
  <c r="F14710" i="1"/>
  <c r="F14582" i="1"/>
  <c r="F14454" i="1"/>
  <c r="F14326" i="1"/>
  <c r="F14198" i="1"/>
  <c r="F14070" i="1"/>
  <c r="F13942" i="1"/>
  <c r="F13814" i="1"/>
  <c r="F13686" i="1"/>
  <c r="F13558" i="1"/>
  <c r="F13430" i="1"/>
  <c r="F13302" i="1"/>
  <c r="F13165" i="1"/>
  <c r="F13017" i="1"/>
  <c r="F12793" i="1"/>
  <c r="F11478" i="1"/>
  <c r="F12424" i="1"/>
  <c r="F12120" i="1"/>
  <c r="F11717" i="1"/>
  <c r="F11506" i="1"/>
  <c r="F10932" i="1"/>
  <c r="F12133" i="1"/>
  <c r="F11732" i="1"/>
  <c r="F11600" i="1"/>
  <c r="F11016" i="1"/>
  <c r="F14511" i="1"/>
  <c r="F14209" i="1"/>
  <c r="F13857" i="1"/>
  <c r="F13487" i="1"/>
  <c r="F13185" i="1"/>
  <c r="F12757" i="1"/>
  <c r="F12372" i="1"/>
  <c r="F12036" i="1"/>
  <c r="F14920" i="1"/>
  <c r="F14515" i="1"/>
  <c r="F13692" i="1"/>
  <c r="F14290" i="1"/>
  <c r="F12153" i="1"/>
  <c r="F11954" i="1"/>
  <c r="F9497" i="1"/>
  <c r="F9414" i="1"/>
  <c r="F9750" i="1"/>
  <c r="F12151" i="1"/>
  <c r="F11427" i="1"/>
  <c r="F9262" i="1"/>
  <c r="F8226" i="1"/>
  <c r="F10032" i="1"/>
  <c r="F9886" i="1"/>
  <c r="F6148" i="1"/>
  <c r="F5712" i="1"/>
  <c r="F3832" i="1"/>
  <c r="F13666" i="1"/>
  <c r="F12809" i="1"/>
  <c r="F14846" i="1"/>
  <c r="F14786" i="1"/>
  <c r="F14829" i="1"/>
  <c r="F12738" i="1"/>
  <c r="F12624" i="1"/>
  <c r="F12677" i="1"/>
  <c r="F13846" i="1"/>
  <c r="F11864" i="1"/>
  <c r="F13601" i="1"/>
  <c r="F14802" i="1"/>
  <c r="F11025" i="1"/>
  <c r="F13913" i="1"/>
  <c r="F13620" i="1"/>
  <c r="F13242" i="1"/>
  <c r="F13077" i="1"/>
  <c r="F12932" i="1"/>
  <c r="F14783" i="1"/>
  <c r="F14060" i="1"/>
  <c r="F13965" i="1"/>
  <c r="F12197" i="1"/>
  <c r="F13902" i="1"/>
  <c r="F3877" i="1"/>
  <c r="F13904" i="1"/>
  <c r="F14379" i="1"/>
  <c r="F12770" i="1"/>
  <c r="F13745" i="1"/>
  <c r="F14830" i="1"/>
  <c r="F13068" i="1"/>
  <c r="F13744" i="1"/>
  <c r="F14301" i="1"/>
  <c r="F13033" i="1"/>
  <c r="F13210" i="1"/>
  <c r="F13283" i="1"/>
  <c r="F13444" i="1"/>
  <c r="F12279" i="1"/>
  <c r="F14626" i="1"/>
  <c r="F13602" i="1"/>
  <c r="F13090" i="1"/>
  <c r="F12772" i="1"/>
  <c r="F14077" i="1"/>
  <c r="F13565" i="1"/>
  <c r="F14495" i="1"/>
  <c r="F13983" i="1"/>
  <c r="F13215" i="1"/>
  <c r="F14814" i="1"/>
  <c r="F14722" i="1"/>
  <c r="F14905" i="1"/>
  <c r="F14617" i="1"/>
  <c r="F14361" i="1"/>
  <c r="F14105" i="1"/>
  <c r="F13849" i="1"/>
  <c r="F13593" i="1"/>
  <c r="F13337" i="1"/>
  <c r="F13081" i="1"/>
  <c r="F12758" i="1"/>
  <c r="F14580" i="1"/>
  <c r="F14324" i="1"/>
  <c r="F14068" i="1"/>
  <c r="F13812" i="1"/>
  <c r="F13556" i="1"/>
  <c r="F13300" i="1"/>
  <c r="F13040" i="1"/>
  <c r="F12706" i="1"/>
  <c r="F14714" i="1"/>
  <c r="F14458" i="1"/>
  <c r="F14202" i="1"/>
  <c r="F13946" i="1"/>
  <c r="F13690" i="1"/>
  <c r="F13434" i="1"/>
  <c r="F13178" i="1"/>
  <c r="F12894" i="1"/>
  <c r="F12512" i="1"/>
  <c r="F14805" i="1"/>
  <c r="F14549" i="1"/>
  <c r="F14293" i="1"/>
  <c r="F14037" i="1"/>
  <c r="F13781" i="1"/>
  <c r="F13525" i="1"/>
  <c r="F13269" i="1"/>
  <c r="F13034" i="1"/>
  <c r="F12637" i="1"/>
  <c r="F14713" i="1"/>
  <c r="F14457" i="1"/>
  <c r="F14201" i="1"/>
  <c r="F13945" i="1"/>
  <c r="F13689" i="1"/>
  <c r="F13433" i="1"/>
  <c r="F13177" i="1"/>
  <c r="F12854" i="1"/>
  <c r="F14921" i="1"/>
  <c r="F14758" i="1"/>
  <c r="F14502" i="1"/>
  <c r="F14246" i="1"/>
  <c r="F13990" i="1"/>
  <c r="F13734" i="1"/>
  <c r="F13478" i="1"/>
  <c r="F13222" i="1"/>
  <c r="F12969" i="1"/>
  <c r="F12565" i="1"/>
  <c r="F14719" i="1"/>
  <c r="F14463" i="1"/>
  <c r="F14207" i="1"/>
  <c r="F13951" i="1"/>
  <c r="F13695" i="1"/>
  <c r="F13439" i="1"/>
  <c r="F13183" i="1"/>
  <c r="F12862" i="1"/>
  <c r="F12464" i="1"/>
  <c r="F14764" i="1"/>
  <c r="F14508" i="1"/>
  <c r="F14252" i="1"/>
  <c r="F13996" i="1"/>
  <c r="F13740" i="1"/>
  <c r="F13484" i="1"/>
  <c r="F13228" i="1"/>
  <c r="F12938" i="1"/>
  <c r="F12525" i="1"/>
  <c r="F14819" i="1"/>
  <c r="F14701" i="1"/>
  <c r="F14573" i="1"/>
  <c r="F14445" i="1"/>
  <c r="F14317" i="1"/>
  <c r="F14189" i="1"/>
  <c r="F14061" i="1"/>
  <c r="F13933" i="1"/>
  <c r="F13805" i="1"/>
  <c r="F13677" i="1"/>
  <c r="F13549" i="1"/>
  <c r="F13421" i="1"/>
  <c r="F13293" i="1"/>
  <c r="F13156" i="1"/>
  <c r="F12985" i="1"/>
  <c r="F12786" i="1"/>
  <c r="F11467" i="1"/>
  <c r="F12416" i="1"/>
  <c r="F12088" i="1"/>
  <c r="F11708" i="1"/>
  <c r="F11495" i="1"/>
  <c r="F12453" i="1"/>
  <c r="F12125" i="1"/>
  <c r="F11723" i="1"/>
  <c r="F11558" i="1"/>
  <c r="F10991" i="1"/>
  <c r="F14506" i="1"/>
  <c r="F14177" i="1"/>
  <c r="F13848" i="1"/>
  <c r="F13482" i="1"/>
  <c r="F13153" i="1"/>
  <c r="F12750" i="1"/>
  <c r="F12364" i="1"/>
  <c r="F11988" i="1"/>
  <c r="F14892" i="1"/>
  <c r="F14460" i="1"/>
  <c r="F13646" i="1"/>
  <c r="F14162" i="1"/>
  <c r="F12025" i="1"/>
  <c r="F11890" i="1"/>
  <c r="F8998" i="1"/>
  <c r="F11776" i="1"/>
  <c r="F9465" i="1"/>
  <c r="F12087" i="1"/>
  <c r="F11342" i="1"/>
  <c r="F9114" i="1"/>
  <c r="F7767" i="1"/>
  <c r="F9898" i="1"/>
  <c r="F9385" i="1"/>
  <c r="F5788" i="1"/>
  <c r="F4839" i="1"/>
  <c r="F4485" i="1"/>
  <c r="F13922" i="1"/>
  <c r="F13535" i="1"/>
  <c r="F13762" i="1"/>
  <c r="F13512" i="1"/>
  <c r="F14614" i="1"/>
  <c r="F12857" i="1"/>
  <c r="F14625" i="1"/>
  <c r="F13948" i="1"/>
  <c r="F10510" i="1"/>
  <c r="F14425" i="1"/>
  <c r="F13876" i="1"/>
  <c r="F13498" i="1"/>
  <c r="F13589" i="1"/>
  <c r="F13241" i="1"/>
  <c r="F13057" i="1"/>
  <c r="F12592" i="1"/>
  <c r="F14733" i="1"/>
  <c r="F13197" i="1"/>
  <c r="F14616" i="1"/>
  <c r="F14674" i="1"/>
  <c r="F9055" i="1"/>
  <c r="F14160" i="1"/>
  <c r="F13355" i="1"/>
  <c r="F12608" i="1"/>
  <c r="F14000" i="1"/>
  <c r="F14234" i="1"/>
  <c r="F14340" i="1"/>
  <c r="F11598" i="1"/>
  <c r="F14717" i="1"/>
  <c r="F14114" i="1"/>
  <c r="F13346" i="1"/>
  <c r="F14589" i="1"/>
  <c r="F13821" i="1"/>
  <c r="F13309" i="1"/>
  <c r="F14751" i="1"/>
  <c r="F14239" i="1"/>
  <c r="F13471" i="1"/>
  <c r="F12544" i="1"/>
  <c r="F14302" i="1"/>
  <c r="F14210" i="1"/>
  <c r="F14352" i="1"/>
  <c r="F13584" i="1"/>
  <c r="F13072" i="1"/>
  <c r="F12733" i="1"/>
  <c r="F14571" i="1"/>
  <c r="F14315" i="1"/>
  <c r="F14059" i="1"/>
  <c r="F13803" i="1"/>
  <c r="F13547" i="1"/>
  <c r="F13291" i="1"/>
  <c r="F13026" i="1"/>
  <c r="F12672" i="1"/>
  <c r="F14705" i="1"/>
  <c r="F14449" i="1"/>
  <c r="F14193" i="1"/>
  <c r="F13937" i="1"/>
  <c r="F13681" i="1"/>
  <c r="F13425" i="1"/>
  <c r="F13169" i="1"/>
  <c r="F12869" i="1"/>
  <c r="F12480" i="1"/>
  <c r="F14796" i="1"/>
  <c r="F14540" i="1"/>
  <c r="F14284" i="1"/>
  <c r="F14028" i="1"/>
  <c r="F13772" i="1"/>
  <c r="F13516" i="1"/>
  <c r="F13260" i="1"/>
  <c r="F13009" i="1"/>
  <c r="F12605" i="1"/>
  <c r="F14704" i="1"/>
  <c r="F14448" i="1"/>
  <c r="F14192" i="1"/>
  <c r="F13936" i="1"/>
  <c r="F13680" i="1"/>
  <c r="F13424" i="1"/>
  <c r="F13168" i="1"/>
  <c r="F12829" i="1"/>
  <c r="F14914" i="1"/>
  <c r="F14749" i="1"/>
  <c r="F14493" i="1"/>
  <c r="F14237" i="1"/>
  <c r="F13981" i="1"/>
  <c r="F13725" i="1"/>
  <c r="F13469" i="1"/>
  <c r="F13213" i="1"/>
  <c r="F12944" i="1"/>
  <c r="F12533" i="1"/>
  <c r="F14682" i="1"/>
  <c r="F14426" i="1"/>
  <c r="F14170" i="1"/>
  <c r="F13914" i="1"/>
  <c r="F13658" i="1"/>
  <c r="F13402" i="1"/>
  <c r="F13146" i="1"/>
  <c r="F12837" i="1"/>
  <c r="F14931" i="1"/>
  <c r="F14755" i="1"/>
  <c r="F14499" i="1"/>
  <c r="F14243" i="1"/>
  <c r="F13987" i="1"/>
  <c r="F13731" i="1"/>
  <c r="F13475" i="1"/>
  <c r="F13219" i="1"/>
  <c r="F12913" i="1"/>
  <c r="F12493" i="1"/>
  <c r="F14815" i="1"/>
  <c r="F14692" i="1"/>
  <c r="F14564" i="1"/>
  <c r="F14436" i="1"/>
  <c r="F14308" i="1"/>
  <c r="F14180" i="1"/>
  <c r="F14052" i="1"/>
  <c r="F13924" i="1"/>
  <c r="F13796" i="1"/>
  <c r="F13668" i="1"/>
  <c r="F13540" i="1"/>
  <c r="F13412" i="1"/>
  <c r="F13284" i="1"/>
  <c r="F13147" i="1"/>
  <c r="F12978" i="1"/>
  <c r="F12768" i="1"/>
  <c r="F11435" i="1"/>
  <c r="F12408" i="1"/>
  <c r="F12040" i="1"/>
  <c r="F11252" i="1"/>
  <c r="F11484" i="1"/>
  <c r="F12405" i="1"/>
  <c r="F12101" i="1"/>
  <c r="F11714" i="1"/>
  <c r="F11494" i="1"/>
  <c r="F10927" i="1"/>
  <c r="F14497" i="1"/>
  <c r="F14127" i="1"/>
  <c r="F13825" i="1"/>
  <c r="F13473" i="1"/>
  <c r="F13103" i="1"/>
  <c r="F12718" i="1"/>
  <c r="F12356" i="1"/>
  <c r="F11980" i="1"/>
  <c r="F14868" i="1"/>
  <c r="F14414" i="1"/>
  <c r="F13518" i="1"/>
  <c r="F14034" i="1"/>
  <c r="F11897" i="1"/>
  <c r="F11826" i="1"/>
  <c r="F10812" i="1"/>
  <c r="F11663" i="1"/>
  <c r="F13047" i="1"/>
  <c r="F12023" i="1"/>
  <c r="F11256" i="1"/>
  <c r="F8986" i="1"/>
  <c r="F9241" i="1"/>
  <c r="F9765" i="1"/>
  <c r="F7748" i="1"/>
  <c r="F5293" i="1"/>
  <c r="F5109" i="1"/>
  <c r="F3973" i="1"/>
  <c r="F14141" i="1"/>
  <c r="F13598" i="1"/>
  <c r="F13323" i="1"/>
  <c r="F14742" i="1"/>
  <c r="F11877" i="1"/>
  <c r="F4640" i="1"/>
  <c r="F14644" i="1"/>
  <c r="F14266" i="1"/>
  <c r="F14101" i="1"/>
  <c r="F14265" i="1"/>
  <c r="F14054" i="1"/>
  <c r="F14271" i="1"/>
  <c r="F14826" i="1"/>
  <c r="F12653" i="1"/>
  <c r="F13837" i="1"/>
  <c r="F10998" i="1"/>
  <c r="F11183" i="1"/>
  <c r="F12108" i="1"/>
  <c r="F12537" i="1"/>
  <c r="F8889" i="1"/>
  <c r="F13099" i="1"/>
  <c r="F14256" i="1"/>
  <c r="F13795" i="1"/>
  <c r="F9596" i="1"/>
  <c r="F13858" i="1"/>
  <c r="F14333" i="1"/>
  <c r="F13727" i="1"/>
  <c r="F13698" i="1"/>
  <c r="F14849" i="1"/>
  <c r="F13840" i="1"/>
  <c r="F14599" i="1"/>
  <c r="F14087" i="1"/>
  <c r="F13575" i="1"/>
  <c r="F13319" i="1"/>
  <c r="F13063" i="1"/>
  <c r="F12708" i="1"/>
  <c r="F14534" i="1"/>
  <c r="F14278" i="1"/>
  <c r="F14022" i="1"/>
  <c r="F13766" i="1"/>
  <c r="F13510" i="1"/>
  <c r="F13254" i="1"/>
  <c r="F13001" i="1"/>
  <c r="F12645" i="1"/>
  <c r="F14696" i="1"/>
  <c r="F14440" i="1"/>
  <c r="F14184" i="1"/>
  <c r="F13928" i="1"/>
  <c r="F13672" i="1"/>
  <c r="F13416" i="1"/>
  <c r="F13160" i="1"/>
  <c r="F12844" i="1"/>
  <c r="F14929" i="1"/>
  <c r="F14787" i="1"/>
  <c r="F14531" i="1"/>
  <c r="F14275" i="1"/>
  <c r="F14019" i="1"/>
  <c r="F13763" i="1"/>
  <c r="F13507" i="1"/>
  <c r="F13251" i="1"/>
  <c r="F12984" i="1"/>
  <c r="F12573" i="1"/>
  <c r="F14695" i="1"/>
  <c r="F14439" i="1"/>
  <c r="F14183" i="1"/>
  <c r="F13927" i="1"/>
  <c r="F13671" i="1"/>
  <c r="F13415" i="1"/>
  <c r="F13159" i="1"/>
  <c r="F12804" i="1"/>
  <c r="F14907" i="1"/>
  <c r="F14740" i="1"/>
  <c r="F14484" i="1"/>
  <c r="F14228" i="1"/>
  <c r="F13972" i="1"/>
  <c r="F13716" i="1"/>
  <c r="F13460" i="1"/>
  <c r="F13204" i="1"/>
  <c r="F12930" i="1"/>
  <c r="F12501" i="1"/>
  <c r="F14673" i="1"/>
  <c r="F14417" i="1"/>
  <c r="F14161" i="1"/>
  <c r="F13905" i="1"/>
  <c r="F13649" i="1"/>
  <c r="F13393" i="1"/>
  <c r="F13137" i="1"/>
  <c r="F12812" i="1"/>
  <c r="F14913" i="1"/>
  <c r="F14718" i="1"/>
  <c r="F14462" i="1"/>
  <c r="F14206" i="1"/>
  <c r="F13950" i="1"/>
  <c r="F13694" i="1"/>
  <c r="F13438" i="1"/>
  <c r="F13182" i="1"/>
  <c r="F12888" i="1"/>
  <c r="F12461" i="1"/>
  <c r="F14811" i="1"/>
  <c r="F14683" i="1"/>
  <c r="F14555" i="1"/>
  <c r="F14427" i="1"/>
  <c r="F14299" i="1"/>
  <c r="F14171" i="1"/>
  <c r="F14043" i="1"/>
  <c r="F13915" i="1"/>
  <c r="F13787" i="1"/>
  <c r="F13659" i="1"/>
  <c r="F13531" i="1"/>
  <c r="F13403" i="1"/>
  <c r="F13275" i="1"/>
  <c r="F13142" i="1"/>
  <c r="F12960" i="1"/>
  <c r="F12761" i="1"/>
  <c r="F11392" i="1"/>
  <c r="F12400" i="1"/>
  <c r="F12032" i="1"/>
  <c r="F11163" i="1"/>
  <c r="F11474" i="1"/>
  <c r="F12397" i="1"/>
  <c r="F12069" i="1"/>
  <c r="F11235" i="1"/>
  <c r="F11483" i="1"/>
  <c r="F10782" i="1"/>
  <c r="F14488" i="1"/>
  <c r="F14122" i="1"/>
  <c r="F13793" i="1"/>
  <c r="F13464" i="1"/>
  <c r="F13098" i="1"/>
  <c r="F12676" i="1"/>
  <c r="F12348" i="1"/>
  <c r="F11964" i="1"/>
  <c r="F14864" i="1"/>
  <c r="F14405" i="1"/>
  <c r="F13390" i="1"/>
  <c r="F13906" i="1"/>
  <c r="F11709" i="1"/>
  <c r="F11724" i="1"/>
  <c r="F10634" i="1"/>
  <c r="F11578" i="1"/>
  <c r="F12983" i="1"/>
  <c r="F11959" i="1"/>
  <c r="F11078" i="1"/>
  <c r="F8858" i="1"/>
  <c r="F8381" i="1"/>
  <c r="F9553" i="1"/>
  <c r="F8068" i="1"/>
  <c r="F6058" i="1"/>
  <c r="F4926" i="1"/>
  <c r="F2855" i="1"/>
  <c r="F14178" i="1"/>
  <c r="F12669" i="1"/>
  <c r="F14347" i="1"/>
  <c r="F14325" i="1"/>
  <c r="F13054" i="1"/>
  <c r="F12116" i="1"/>
  <c r="F9567" i="1"/>
  <c r="F14726" i="1"/>
  <c r="F12836" i="1"/>
  <c r="F14778" i="1"/>
  <c r="F12972" i="1"/>
  <c r="F13333" i="1"/>
  <c r="F13497" i="1"/>
  <c r="F13542" i="1"/>
  <c r="F13503" i="1"/>
  <c r="F13548" i="1"/>
  <c r="F14477" i="1"/>
  <c r="F13453" i="1"/>
  <c r="F11644" i="1"/>
  <c r="F13592" i="1"/>
  <c r="F14588" i="1"/>
  <c r="F11683" i="1"/>
  <c r="F12822" i="1"/>
  <c r="F13324" i="1"/>
  <c r="F14818" i="1"/>
  <c r="F10092" i="1"/>
  <c r="F14370" i="1"/>
  <c r="F13052" i="1"/>
  <c r="F13954" i="1"/>
  <c r="F14911" i="1"/>
  <c r="F14893" i="1"/>
  <c r="F14608" i="1"/>
  <c r="F14096" i="1"/>
  <c r="F13328" i="1"/>
  <c r="F14781" i="1"/>
  <c r="F14886" i="1"/>
  <c r="F14343" i="1"/>
  <c r="F13831" i="1"/>
  <c r="F14708" i="1"/>
  <c r="F14879" i="1"/>
  <c r="F14562" i="1"/>
  <c r="F14306" i="1"/>
  <c r="F14050" i="1"/>
  <c r="F13794" i="1"/>
  <c r="F13538" i="1"/>
  <c r="F13282" i="1"/>
  <c r="F13028" i="1"/>
  <c r="F12693" i="1"/>
  <c r="F14525" i="1"/>
  <c r="F14269" i="1"/>
  <c r="F14013" i="1"/>
  <c r="F13757" i="1"/>
  <c r="F13501" i="1"/>
  <c r="F13245" i="1"/>
  <c r="F12976" i="1"/>
  <c r="F12613" i="1"/>
  <c r="F14687" i="1"/>
  <c r="F14431" i="1"/>
  <c r="F14175" i="1"/>
  <c r="F13919" i="1"/>
  <c r="F13663" i="1"/>
  <c r="F13407" i="1"/>
  <c r="F13151" i="1"/>
  <c r="F12830" i="1"/>
  <c r="F14922" i="1"/>
  <c r="F14750" i="1"/>
  <c r="F14494" i="1"/>
  <c r="F14238" i="1"/>
  <c r="F13982" i="1"/>
  <c r="F13726" i="1"/>
  <c r="F13470" i="1"/>
  <c r="F13214" i="1"/>
  <c r="F12970" i="1"/>
  <c r="F12541" i="1"/>
  <c r="F14658" i="1"/>
  <c r="F14402" i="1"/>
  <c r="F14146" i="1"/>
  <c r="F13890" i="1"/>
  <c r="F13634" i="1"/>
  <c r="F13378" i="1"/>
  <c r="F13122" i="1"/>
  <c r="F12790" i="1"/>
  <c r="F14889" i="1"/>
  <c r="F14731" i="1"/>
  <c r="F14475" i="1"/>
  <c r="F14219" i="1"/>
  <c r="F13963" i="1"/>
  <c r="F13707" i="1"/>
  <c r="F13451" i="1"/>
  <c r="F13195" i="1"/>
  <c r="F12905" i="1"/>
  <c r="F12469" i="1"/>
  <c r="F14664" i="1"/>
  <c r="F14408" i="1"/>
  <c r="F14152" i="1"/>
  <c r="F13896" i="1"/>
  <c r="F13640" i="1"/>
  <c r="F13384" i="1"/>
  <c r="F13128" i="1"/>
  <c r="F12798" i="1"/>
  <c r="F14906" i="1"/>
  <c r="F14709" i="1"/>
  <c r="F14453" i="1"/>
  <c r="F14197" i="1"/>
  <c r="F13941" i="1"/>
  <c r="F13685" i="1"/>
  <c r="F13429" i="1"/>
  <c r="F13173" i="1"/>
  <c r="F12874" i="1"/>
  <c r="F14871" i="1"/>
  <c r="F14806" i="1"/>
  <c r="F14678" i="1"/>
  <c r="F14550" i="1"/>
  <c r="F14422" i="1"/>
  <c r="F14294" i="1"/>
  <c r="F14166" i="1"/>
  <c r="F14038" i="1"/>
  <c r="F13910" i="1"/>
  <c r="F13782" i="1"/>
  <c r="F13654" i="1"/>
  <c r="F13526" i="1"/>
  <c r="F13398" i="1"/>
  <c r="F13270" i="1"/>
  <c r="F13124" i="1"/>
  <c r="F12953" i="1"/>
  <c r="F12754" i="1"/>
  <c r="F11328" i="1"/>
  <c r="F12376" i="1"/>
  <c r="F12024" i="1"/>
  <c r="F11035" i="1"/>
  <c r="F11442" i="1"/>
  <c r="F12389" i="1"/>
  <c r="F12021" i="1"/>
  <c r="F11171" i="1"/>
  <c r="F11472" i="1"/>
  <c r="F14767" i="1"/>
  <c r="F14465" i="1"/>
  <c r="F14113" i="1"/>
  <c r="F13743" i="1"/>
  <c r="F13441" i="1"/>
  <c r="F13089" i="1"/>
  <c r="F12628" i="1"/>
  <c r="F12324" i="1"/>
  <c r="F11940" i="1"/>
  <c r="F14856" i="1"/>
  <c r="F14387" i="1"/>
  <c r="F13262" i="1"/>
  <c r="F13778" i="1"/>
  <c r="F10939" i="1"/>
  <c r="F11140" i="1"/>
  <c r="F9445" i="1"/>
  <c r="F11492" i="1"/>
  <c r="F12919" i="1"/>
  <c r="F11895" i="1"/>
  <c r="F10911" i="1"/>
  <c r="F8730" i="1"/>
  <c r="F8052" i="1"/>
  <c r="F9272" i="1"/>
  <c r="F7396" i="1"/>
  <c r="F7356" i="1"/>
  <c r="F3593" i="1"/>
  <c r="F2781" i="1"/>
  <c r="F13154" i="1"/>
  <c r="F14303" i="1"/>
  <c r="F13854" i="1"/>
  <c r="F13250" i="1"/>
  <c r="F14280" i="1"/>
  <c r="F13813" i="1"/>
  <c r="F13590" i="1"/>
  <c r="F11259" i="1"/>
  <c r="F9017" i="1"/>
  <c r="F13401" i="1"/>
  <c r="F14010" i="1"/>
  <c r="F14777" i="1"/>
  <c r="F13286" i="1"/>
  <c r="F13804" i="1"/>
  <c r="F13049" i="1"/>
  <c r="F12146" i="1"/>
  <c r="F14857" i="1"/>
  <c r="F14813" i="1"/>
  <c r="F9948" i="1"/>
  <c r="F14516" i="1"/>
  <c r="F12962" i="1"/>
  <c r="F14394" i="1"/>
  <c r="F14138" i="1"/>
  <c r="F13882" i="1"/>
  <c r="F13626" i="1"/>
  <c r="F13370" i="1"/>
  <c r="F13114" i="1"/>
  <c r="F12805" i="1"/>
  <c r="F14915" i="1"/>
  <c r="F14741" i="1"/>
  <c r="F14485" i="1"/>
  <c r="F14229" i="1"/>
  <c r="F13973" i="1"/>
  <c r="F13717" i="1"/>
  <c r="F13461" i="1"/>
  <c r="F13205" i="1"/>
  <c r="F12945" i="1"/>
  <c r="F12509" i="1"/>
  <c r="F14649" i="1"/>
  <c r="F14393" i="1"/>
  <c r="F14137" i="1"/>
  <c r="F13881" i="1"/>
  <c r="F13625" i="1"/>
  <c r="F13369" i="1"/>
  <c r="F13113" i="1"/>
  <c r="F12765" i="1"/>
  <c r="F14882" i="1"/>
  <c r="F14694" i="1"/>
  <c r="F14438" i="1"/>
  <c r="F14182" i="1"/>
  <c r="F13926" i="1"/>
  <c r="F13670" i="1"/>
  <c r="F13414" i="1"/>
  <c r="F13158" i="1"/>
  <c r="F12880" i="1"/>
  <c r="F14933" i="1"/>
  <c r="F14655" i="1"/>
  <c r="F14399" i="1"/>
  <c r="F14143" i="1"/>
  <c r="F13887" i="1"/>
  <c r="F13631" i="1"/>
  <c r="F13375" i="1"/>
  <c r="F13119" i="1"/>
  <c r="F12773" i="1"/>
  <c r="F14899" i="1"/>
  <c r="F14700" i="1"/>
  <c r="F14444" i="1"/>
  <c r="F14188" i="1"/>
  <c r="F13932" i="1"/>
  <c r="F13676" i="1"/>
  <c r="F13420" i="1"/>
  <c r="F13164" i="1"/>
  <c r="F12849" i="1"/>
  <c r="F14867" i="1"/>
  <c r="F14797" i="1"/>
  <c r="F14669" i="1"/>
  <c r="F14541" i="1"/>
  <c r="F14413" i="1"/>
  <c r="F14285" i="1"/>
  <c r="F14157" i="1"/>
  <c r="F14029" i="1"/>
  <c r="F13901" i="1"/>
  <c r="F13773" i="1"/>
  <c r="F13645" i="1"/>
  <c r="F13517" i="1"/>
  <c r="F13389" i="1"/>
  <c r="F13261" i="1"/>
  <c r="F13115" i="1"/>
  <c r="F12946" i="1"/>
  <c r="F12722" i="1"/>
  <c r="F11318" i="1"/>
  <c r="F12344" i="1"/>
  <c r="F12016" i="1"/>
  <c r="F11010" i="1"/>
  <c r="F11399" i="1"/>
  <c r="F12381" i="1"/>
  <c r="F12013" i="1"/>
  <c r="F11082" i="1"/>
  <c r="F11462" i="1"/>
  <c r="F14762" i="1"/>
  <c r="F14433" i="1"/>
  <c r="F14104" i="1"/>
  <c r="F13738" i="1"/>
  <c r="F13409" i="1"/>
  <c r="F13080" i="1"/>
  <c r="F12620" i="1"/>
  <c r="F12292" i="1"/>
  <c r="F11908" i="1"/>
  <c r="F14828" i="1"/>
  <c r="F14332" i="1"/>
  <c r="F13134" i="1"/>
  <c r="F13650" i="1"/>
  <c r="F12658" i="1"/>
  <c r="F10962" i="1"/>
  <c r="F10735" i="1"/>
  <c r="F11407" i="1"/>
  <c r="F12855" i="1"/>
  <c r="F11831" i="1"/>
  <c r="F10744" i="1"/>
  <c r="F8520" i="1"/>
  <c r="F7778" i="1"/>
  <c r="F8094" i="1"/>
  <c r="F7092" i="1"/>
  <c r="F5573" i="1"/>
  <c r="F4639" i="1"/>
  <c r="F1978" i="1"/>
  <c r="F14397" i="1"/>
  <c r="F12665" i="1"/>
  <c r="F14681" i="1"/>
  <c r="F13325" i="1"/>
  <c r="F13580" i="1"/>
  <c r="F10779" i="1"/>
  <c r="F14251" i="1"/>
  <c r="F14129" i="1"/>
  <c r="F13361" i="1"/>
  <c r="F12780" i="1"/>
  <c r="F14220" i="1"/>
  <c r="F13708" i="1"/>
  <c r="F13452" i="1"/>
  <c r="F13196" i="1"/>
  <c r="F12920" i="1"/>
  <c r="F12477" i="1"/>
  <c r="F14640" i="1"/>
  <c r="F14384" i="1"/>
  <c r="F14128" i="1"/>
  <c r="F13872" i="1"/>
  <c r="F13616" i="1"/>
  <c r="F13360" i="1"/>
  <c r="F13104" i="1"/>
  <c r="F12740" i="1"/>
  <c r="F14875" i="1"/>
  <c r="F14685" i="1"/>
  <c r="F14429" i="1"/>
  <c r="F14173" i="1"/>
  <c r="F13917" i="1"/>
  <c r="F13661" i="1"/>
  <c r="F13405" i="1"/>
  <c r="F13149" i="1"/>
  <c r="F12866" i="1"/>
  <c r="F14926" i="1"/>
  <c r="F14618" i="1"/>
  <c r="F14362" i="1"/>
  <c r="F14106" i="1"/>
  <c r="F13850" i="1"/>
  <c r="F13594" i="1"/>
  <c r="F13338" i="1"/>
  <c r="F13082" i="1"/>
  <c r="F12748" i="1"/>
  <c r="F14881" i="1"/>
  <c r="F14691" i="1"/>
  <c r="F14435" i="1"/>
  <c r="F14179" i="1"/>
  <c r="F13923" i="1"/>
  <c r="F13667" i="1"/>
  <c r="F13411" i="1"/>
  <c r="F13155" i="1"/>
  <c r="F12824" i="1"/>
  <c r="F14863" i="1"/>
  <c r="F14788" i="1"/>
  <c r="F14660" i="1"/>
  <c r="F14532" i="1"/>
  <c r="F14404" i="1"/>
  <c r="F14276" i="1"/>
  <c r="F14148" i="1"/>
  <c r="F14020" i="1"/>
  <c r="F13892" i="1"/>
  <c r="F13764" i="1"/>
  <c r="F13636" i="1"/>
  <c r="F13508" i="1"/>
  <c r="F13380" i="1"/>
  <c r="F13252" i="1"/>
  <c r="F13110" i="1"/>
  <c r="F12928" i="1"/>
  <c r="F12704" i="1"/>
  <c r="F11307" i="1"/>
  <c r="F12296" i="1"/>
  <c r="F11992" i="1"/>
  <c r="F10996" i="1"/>
  <c r="F11335" i="1"/>
  <c r="F12357" i="1"/>
  <c r="F12005" i="1"/>
  <c r="F10964" i="1"/>
  <c r="F11430" i="1"/>
  <c r="F14753" i="1"/>
  <c r="F14383" i="1"/>
  <c r="F14081" i="1"/>
  <c r="F13729" i="1"/>
  <c r="F13359" i="1"/>
  <c r="F13051" i="1"/>
  <c r="F12612" i="1"/>
  <c r="F12244" i="1"/>
  <c r="F11860" i="1"/>
  <c r="F14798" i="1"/>
  <c r="F14286" i="1"/>
  <c r="F12993" i="1"/>
  <c r="F13522" i="1"/>
  <c r="F12594" i="1"/>
  <c r="F10795" i="1"/>
  <c r="F10576" i="1"/>
  <c r="F11322" i="1"/>
  <c r="F12791" i="1"/>
  <c r="F11730" i="1"/>
  <c r="F10572" i="1"/>
  <c r="F8154" i="1"/>
  <c r="F8886" i="1"/>
  <c r="F9636" i="1"/>
  <c r="F6208" i="1"/>
  <c r="F8211" i="1"/>
  <c r="F4027" i="1"/>
  <c r="F779" i="1"/>
  <c r="F14865" i="1"/>
  <c r="F12861" i="1"/>
  <c r="F14559" i="1"/>
  <c r="F14366" i="1"/>
  <c r="F14274" i="1"/>
  <c r="F14603" i="1"/>
  <c r="F13067" i="1"/>
  <c r="F13256" i="1"/>
  <c r="F13301" i="1"/>
  <c r="F14358" i="1"/>
  <c r="F13718" i="1"/>
  <c r="F11606" i="1"/>
  <c r="F12229" i="1"/>
  <c r="F12885" i="1"/>
  <c r="F14643" i="1"/>
  <c r="F10289" i="1"/>
  <c r="F14930" i="1"/>
  <c r="F14522" i="1"/>
  <c r="F14009" i="1"/>
  <c r="F13759" i="1"/>
  <c r="F14093" i="1"/>
  <c r="F13921" i="1"/>
  <c r="F6467" i="1"/>
  <c r="F14817" i="1"/>
  <c r="F13136" i="1"/>
  <c r="F13611" i="1"/>
  <c r="F14513" i="1"/>
  <c r="F12958" i="1"/>
  <c r="F14092" i="1"/>
  <c r="F14512" i="1"/>
  <c r="F13232" i="1"/>
  <c r="F14045" i="1"/>
  <c r="F13277" i="1"/>
  <c r="F14490" i="1"/>
  <c r="F12926" i="1"/>
  <c r="F14307" i="1"/>
  <c r="F13002" i="1"/>
  <c r="F14724" i="1"/>
  <c r="F14468" i="1"/>
  <c r="F13956" i="1"/>
  <c r="F13572" i="1"/>
  <c r="F13179" i="1"/>
  <c r="F12818" i="1"/>
  <c r="F10952" i="1"/>
  <c r="F11763" i="1"/>
  <c r="F12149" i="1"/>
  <c r="F11643" i="1"/>
  <c r="F14241" i="1"/>
  <c r="F12452" i="1"/>
  <c r="F10513" i="1"/>
  <c r="F14041" i="1"/>
  <c r="F14260" i="1"/>
  <c r="F12581" i="1"/>
  <c r="F14841" i="1"/>
  <c r="F14032" i="1"/>
  <c r="F13264" i="1"/>
  <c r="F13995" i="1"/>
  <c r="F12549" i="1"/>
  <c r="F13105" i="1"/>
  <c r="F14279" i="1"/>
  <c r="F13767" i="1"/>
  <c r="F13511" i="1"/>
  <c r="F13255" i="1"/>
  <c r="F12964" i="1"/>
  <c r="F14470" i="1"/>
  <c r="F14214" i="1"/>
  <c r="F13958" i="1"/>
  <c r="F13702" i="1"/>
  <c r="F13446" i="1"/>
  <c r="F13190" i="1"/>
  <c r="F12912" i="1"/>
  <c r="F12517" i="1"/>
  <c r="F14632" i="1"/>
  <c r="F14376" i="1"/>
  <c r="F14120" i="1"/>
  <c r="F13864" i="1"/>
  <c r="F13608" i="1"/>
  <c r="F13352" i="1"/>
  <c r="F13096" i="1"/>
  <c r="F12766" i="1"/>
  <c r="F14890" i="1"/>
  <c r="F14723" i="1"/>
  <c r="F14467" i="1"/>
  <c r="F14211" i="1"/>
  <c r="F13955" i="1"/>
  <c r="F13699" i="1"/>
  <c r="F13443" i="1"/>
  <c r="F13187" i="1"/>
  <c r="F12906" i="1"/>
  <c r="F14934" i="1"/>
  <c r="F14631" i="1"/>
  <c r="F14375" i="1"/>
  <c r="F14119" i="1"/>
  <c r="F13863" i="1"/>
  <c r="F13607" i="1"/>
  <c r="F13351" i="1"/>
  <c r="F13095" i="1"/>
  <c r="F12726" i="1"/>
  <c r="F14869" i="1"/>
  <c r="F14676" i="1"/>
  <c r="F14420" i="1"/>
  <c r="F14164" i="1"/>
  <c r="F13908" i="1"/>
  <c r="F13652" i="1"/>
  <c r="F13396" i="1"/>
  <c r="F13140" i="1"/>
  <c r="F12841" i="1"/>
  <c r="F14919" i="1"/>
  <c r="F14609" i="1"/>
  <c r="F14353" i="1"/>
  <c r="F14097" i="1"/>
  <c r="F13841" i="1"/>
  <c r="F13585" i="1"/>
  <c r="F13329" i="1"/>
  <c r="F13073" i="1"/>
  <c r="F12734" i="1"/>
  <c r="F14874" i="1"/>
  <c r="F14654" i="1"/>
  <c r="F14398" i="1"/>
  <c r="F14142" i="1"/>
  <c r="F13886" i="1"/>
  <c r="F13630" i="1"/>
  <c r="F13374" i="1"/>
  <c r="F13118" i="1"/>
  <c r="F12810" i="1"/>
  <c r="F14859" i="1"/>
  <c r="F14779" i="1"/>
  <c r="F14651" i="1"/>
  <c r="F14523" i="1"/>
  <c r="F14395" i="1"/>
  <c r="F14267" i="1"/>
  <c r="F14139" i="1"/>
  <c r="F14011" i="1"/>
  <c r="F13883" i="1"/>
  <c r="F13755" i="1"/>
  <c r="F13627" i="1"/>
  <c r="F13499" i="1"/>
  <c r="F13371" i="1"/>
  <c r="F13243" i="1"/>
  <c r="F13101" i="1"/>
  <c r="F12921" i="1"/>
  <c r="F11782" i="1"/>
  <c r="F11296" i="1"/>
  <c r="F12288" i="1"/>
  <c r="F11960" i="1"/>
  <c r="F10967" i="1"/>
  <c r="F11324" i="1"/>
  <c r="F12325" i="1"/>
  <c r="F11997" i="1"/>
  <c r="F10928" i="1"/>
  <c r="F11387" i="1"/>
  <c r="F14744" i="1"/>
  <c r="F14378" i="1"/>
  <c r="F14049" i="1"/>
  <c r="F13720" i="1"/>
  <c r="F13354" i="1"/>
  <c r="F13013" i="1"/>
  <c r="F12604" i="1"/>
  <c r="F12236" i="1"/>
  <c r="F11852" i="1"/>
  <c r="F14789" i="1"/>
  <c r="F14277" i="1"/>
  <c r="F12826" i="1"/>
  <c r="F13394" i="1"/>
  <c r="F12530" i="1"/>
  <c r="F10628" i="1"/>
  <c r="F10448" i="1"/>
  <c r="F11214" i="1"/>
  <c r="F12727" i="1"/>
  <c r="F11148" i="1"/>
  <c r="F10444" i="1"/>
  <c r="F7719" i="1"/>
  <c r="F8758" i="1"/>
  <c r="F9101" i="1"/>
  <c r="F9184" i="1"/>
  <c r="F7459" i="1"/>
  <c r="F4605" i="1"/>
  <c r="G14522" i="1"/>
  <c r="F14653" i="1"/>
  <c r="F13791" i="1"/>
  <c r="F12792" i="1"/>
  <c r="F13835" i="1"/>
  <c r="F14834" i="1"/>
  <c r="F13974" i="1"/>
  <c r="F11664" i="1"/>
  <c r="F9562" i="1"/>
  <c r="F14132" i="1"/>
  <c r="F14613" i="1"/>
  <c r="F12568" i="1"/>
  <c r="F13247" i="1"/>
  <c r="F14349" i="1"/>
  <c r="F12160" i="1"/>
  <c r="F13226" i="1"/>
  <c r="F12343" i="1"/>
  <c r="F14635" i="1"/>
  <c r="F12753" i="1"/>
  <c r="F14051" i="1"/>
  <c r="F8761" i="1"/>
  <c r="F14297" i="1"/>
  <c r="F12648" i="1"/>
  <c r="F14650" i="1"/>
  <c r="F14288" i="1"/>
  <c r="F13776" i="1"/>
  <c r="F12989" i="1"/>
  <c r="F14507" i="1"/>
  <c r="F13227" i="1"/>
  <c r="F14641" i="1"/>
  <c r="F13873" i="1"/>
  <c r="F14897" i="1"/>
  <c r="F14772" i="1"/>
  <c r="F14023" i="1"/>
  <c r="F12584" i="1"/>
  <c r="F14699" i="1"/>
  <c r="F14754" i="1"/>
  <c r="F14498" i="1"/>
  <c r="F14242" i="1"/>
  <c r="F13986" i="1"/>
  <c r="F13730" i="1"/>
  <c r="F13474" i="1"/>
  <c r="F13218" i="1"/>
  <c r="F12950" i="1"/>
  <c r="F12552" i="1"/>
  <c r="F14461" i="1"/>
  <c r="F14205" i="1"/>
  <c r="F13949" i="1"/>
  <c r="F13693" i="1"/>
  <c r="F13437" i="1"/>
  <c r="F13181" i="1"/>
  <c r="F12898" i="1"/>
  <c r="F12485" i="1"/>
  <c r="F14623" i="1"/>
  <c r="F14367" i="1"/>
  <c r="F14111" i="1"/>
  <c r="F13855" i="1"/>
  <c r="F13599" i="1"/>
  <c r="F13343" i="1"/>
  <c r="F13087" i="1"/>
  <c r="F12741" i="1"/>
  <c r="F14883" i="1"/>
  <c r="F14686" i="1"/>
  <c r="F14430" i="1"/>
  <c r="F14174" i="1"/>
  <c r="F13918" i="1"/>
  <c r="F13662" i="1"/>
  <c r="F13406" i="1"/>
  <c r="F13150" i="1"/>
  <c r="F12881" i="1"/>
  <c r="F14927" i="1"/>
  <c r="F14594" i="1"/>
  <c r="F14338" i="1"/>
  <c r="F14082" i="1"/>
  <c r="F13826" i="1"/>
  <c r="F13570" i="1"/>
  <c r="F13314" i="1"/>
  <c r="F13046" i="1"/>
  <c r="F12701" i="1"/>
  <c r="F14861" i="1"/>
  <c r="F14667" i="1"/>
  <c r="F14411" i="1"/>
  <c r="F14155" i="1"/>
  <c r="F13899" i="1"/>
  <c r="F13643" i="1"/>
  <c r="F13387" i="1"/>
  <c r="F13131" i="1"/>
  <c r="F12816" i="1"/>
  <c r="F14894" i="1"/>
  <c r="F14600" i="1"/>
  <c r="F14344" i="1"/>
  <c r="F14088" i="1"/>
  <c r="F13832" i="1"/>
  <c r="F13576" i="1"/>
  <c r="F13320" i="1"/>
  <c r="F13064" i="1"/>
  <c r="F12709" i="1"/>
  <c r="F14866" i="1"/>
  <c r="F14645" i="1"/>
  <c r="F14389" i="1"/>
  <c r="F14133" i="1"/>
  <c r="F13877" i="1"/>
  <c r="F13621" i="1"/>
  <c r="F13365" i="1"/>
  <c r="F13109" i="1"/>
  <c r="F12785" i="1"/>
  <c r="F14855" i="1"/>
  <c r="F14774" i="1"/>
  <c r="F14646" i="1"/>
  <c r="F14518" i="1"/>
  <c r="F14390" i="1"/>
  <c r="F14262" i="1"/>
  <c r="F14134" i="1"/>
  <c r="F14006" i="1"/>
  <c r="F13878" i="1"/>
  <c r="F13750" i="1"/>
  <c r="F13622" i="1"/>
  <c r="F13494" i="1"/>
  <c r="F13366" i="1"/>
  <c r="F13238" i="1"/>
  <c r="F13092" i="1"/>
  <c r="F12914" i="1"/>
  <c r="F11670" i="1"/>
  <c r="F11264" i="1"/>
  <c r="F12280" i="1"/>
  <c r="F11912" i="1"/>
  <c r="F10870" i="1"/>
  <c r="F11314" i="1"/>
  <c r="F12277" i="1"/>
  <c r="F11973" i="1"/>
  <c r="F10914" i="1"/>
  <c r="F11323" i="1"/>
  <c r="F14721" i="1"/>
  <c r="F14369" i="1"/>
  <c r="F13999" i="1"/>
  <c r="F13697" i="1"/>
  <c r="F13345" i="1"/>
  <c r="F12949" i="1"/>
  <c r="F12580" i="1"/>
  <c r="F12228" i="1"/>
  <c r="F11836" i="1"/>
  <c r="F14771" i="1"/>
  <c r="F14204" i="1"/>
  <c r="F11737" i="1"/>
  <c r="F13266" i="1"/>
  <c r="F12466" i="1"/>
  <c r="F9421" i="1"/>
  <c r="F10306" i="1"/>
  <c r="F11047" i="1"/>
  <c r="F12663" i="1"/>
  <c r="F10970" i="1"/>
  <c r="F10312" i="1"/>
  <c r="F8638" i="1"/>
  <c r="F8561" i="1"/>
  <c r="F8709" i="1"/>
  <c r="F8672" i="1"/>
  <c r="F5746" i="1"/>
  <c r="F3119" i="1"/>
  <c r="G12411" i="1"/>
  <c r="F13117" i="1"/>
  <c r="F13342" i="1"/>
  <c r="F13579" i="1"/>
  <c r="F13557" i="1"/>
  <c r="F13206" i="1"/>
  <c r="F13953" i="1"/>
  <c r="F8958" i="1"/>
  <c r="F13108" i="1"/>
  <c r="F12778" i="1"/>
  <c r="F12713" i="1"/>
  <c r="F13016" i="1"/>
  <c r="F12850" i="1"/>
  <c r="F12476" i="1"/>
  <c r="F10418" i="1"/>
  <c r="F14672" i="1"/>
  <c r="F14123" i="1"/>
  <c r="F14001" i="1"/>
  <c r="F13836" i="1"/>
  <c r="F12918" i="1"/>
  <c r="F13978" i="1"/>
  <c r="F14212" i="1"/>
  <c r="F8338" i="1"/>
  <c r="F14898" i="1"/>
  <c r="F13529" i="1"/>
  <c r="F13748" i="1"/>
  <c r="F14800" i="1"/>
  <c r="F13483" i="1"/>
  <c r="F13964" i="1"/>
  <c r="F14891" i="1"/>
  <c r="F14745" i="1"/>
  <c r="F14489" i="1"/>
  <c r="F14233" i="1"/>
  <c r="F13977" i="1"/>
  <c r="F13721" i="1"/>
  <c r="F13465" i="1"/>
  <c r="F13209" i="1"/>
  <c r="F12925" i="1"/>
  <c r="F12520" i="1"/>
  <c r="F14452" i="1"/>
  <c r="F14196" i="1"/>
  <c r="F13940" i="1"/>
  <c r="F13684" i="1"/>
  <c r="F13428" i="1"/>
  <c r="F13172" i="1"/>
  <c r="F12873" i="1"/>
  <c r="F14917" i="1"/>
  <c r="F14586" i="1"/>
  <c r="F14330" i="1"/>
  <c r="F14074" i="1"/>
  <c r="F13818" i="1"/>
  <c r="F13562" i="1"/>
  <c r="F13306" i="1"/>
  <c r="F13059" i="1"/>
  <c r="F12716" i="1"/>
  <c r="F14870" i="1"/>
  <c r="F14677" i="1"/>
  <c r="F14421" i="1"/>
  <c r="F14165" i="1"/>
  <c r="F13909" i="1"/>
  <c r="F13653" i="1"/>
  <c r="F13397" i="1"/>
  <c r="F13141" i="1"/>
  <c r="F12856" i="1"/>
  <c r="F14909" i="1"/>
  <c r="F14585" i="1"/>
  <c r="F14329" i="1"/>
  <c r="F14073" i="1"/>
  <c r="F13817" i="1"/>
  <c r="F13561" i="1"/>
  <c r="F13305" i="1"/>
  <c r="F13021" i="1"/>
  <c r="F12685" i="1"/>
  <c r="F14853" i="1"/>
  <c r="F14630" i="1"/>
  <c r="F14374" i="1"/>
  <c r="F14118" i="1"/>
  <c r="F13862" i="1"/>
  <c r="F13606" i="1"/>
  <c r="F13350" i="1"/>
  <c r="F13094" i="1"/>
  <c r="F12802" i="1"/>
  <c r="F14887" i="1"/>
  <c r="F14591" i="1"/>
  <c r="F14335" i="1"/>
  <c r="F14079" i="1"/>
  <c r="F13823" i="1"/>
  <c r="F13567" i="1"/>
  <c r="F13311" i="1"/>
  <c r="F13029" i="1"/>
  <c r="F12696" i="1"/>
  <c r="F14858" i="1"/>
  <c r="F14636" i="1"/>
  <c r="F14380" i="1"/>
  <c r="F14124" i="1"/>
  <c r="F13868" i="1"/>
  <c r="F13612" i="1"/>
  <c r="F13356" i="1"/>
  <c r="F13100" i="1"/>
  <c r="F12760" i="1"/>
  <c r="F14851" i="1"/>
  <c r="F14765" i="1"/>
  <c r="F14637" i="1"/>
  <c r="F14509" i="1"/>
  <c r="F14381" i="1"/>
  <c r="F14253" i="1"/>
  <c r="F14125" i="1"/>
  <c r="F13997" i="1"/>
  <c r="F13869" i="1"/>
  <c r="F13741" i="1"/>
  <c r="F13613" i="1"/>
  <c r="F13485" i="1"/>
  <c r="F13357" i="1"/>
  <c r="F13229" i="1"/>
  <c r="F13083" i="1"/>
  <c r="F12889" i="1"/>
  <c r="F11659" i="1"/>
  <c r="F11190" i="1"/>
  <c r="F12272" i="1"/>
  <c r="F11904" i="1"/>
  <c r="F11760" i="1"/>
  <c r="F11303" i="1"/>
  <c r="F12269" i="1"/>
  <c r="F11941" i="1"/>
  <c r="F10888" i="1"/>
  <c r="F11312" i="1"/>
  <c r="F14689" i="1"/>
  <c r="F14360" i="1"/>
  <c r="F13994" i="1"/>
  <c r="F13665" i="1"/>
  <c r="F13336" i="1"/>
  <c r="F12942" i="1"/>
  <c r="F12548" i="1"/>
  <c r="F12220" i="1"/>
  <c r="F11749" i="1"/>
  <c r="F14716" i="1"/>
  <c r="F14158" i="1"/>
  <c r="F11554" i="1"/>
  <c r="F13138" i="1"/>
  <c r="F12402" i="1"/>
  <c r="F10711" i="1"/>
  <c r="F10136" i="1"/>
  <c r="F10880" i="1"/>
  <c r="F12599" i="1"/>
  <c r="F10803" i="1"/>
  <c r="F10141" i="1"/>
  <c r="F8309" i="1"/>
  <c r="F8232" i="1"/>
  <c r="F11677" i="1"/>
  <c r="F6991" i="1"/>
  <c r="F6187" i="1"/>
  <c r="F3829" i="1"/>
  <c r="G13382" i="1"/>
  <c r="F14825" i="1"/>
  <c r="F13885" i="1"/>
  <c r="F14047" i="1"/>
  <c r="F14110" i="1"/>
  <c r="F14018" i="1"/>
  <c r="F14091" i="1"/>
  <c r="F13768" i="1"/>
  <c r="F14069" i="1"/>
  <c r="F14230" i="1"/>
  <c r="F12168" i="1"/>
  <c r="F13231" i="1"/>
  <c r="F9544" i="1"/>
  <c r="F14169" i="1"/>
  <c r="F13754" i="1"/>
  <c r="F13753" i="1"/>
  <c r="F14015" i="1"/>
  <c r="F14835" i="1"/>
  <c r="F11563" i="1"/>
  <c r="F12846" i="1"/>
  <c r="F9142" i="1"/>
  <c r="F13648" i="1"/>
  <c r="F13233" i="1"/>
  <c r="F12536" i="1"/>
  <c r="F12621" i="1"/>
  <c r="F5310" i="1"/>
  <c r="F14809" i="1"/>
  <c r="F13273" i="1"/>
  <c r="F14004" i="1"/>
  <c r="F13236" i="1"/>
  <c r="F14544" i="1"/>
  <c r="F13520" i="1"/>
  <c r="F12616" i="1"/>
  <c r="F12937" i="1"/>
  <c r="F14385" i="1"/>
  <c r="F13617" i="1"/>
  <c r="F14732" i="1"/>
  <c r="F14791" i="1"/>
  <c r="F14736" i="1"/>
  <c r="F14224" i="1"/>
  <c r="F13712" i="1"/>
  <c r="F13200" i="1"/>
  <c r="F12900" i="1"/>
  <c r="F12488" i="1"/>
  <c r="F14187" i="1"/>
  <c r="F13931" i="1"/>
  <c r="F13675" i="1"/>
  <c r="F13419" i="1"/>
  <c r="F13163" i="1"/>
  <c r="F12848" i="1"/>
  <c r="F14910" i="1"/>
  <c r="F14577" i="1"/>
  <c r="F14321" i="1"/>
  <c r="F14065" i="1"/>
  <c r="F13809" i="1"/>
  <c r="F13553" i="1"/>
  <c r="F13297" i="1"/>
  <c r="F13036" i="1"/>
  <c r="F12702" i="1"/>
  <c r="F14862" i="1"/>
  <c r="F14668" i="1"/>
  <c r="F14412" i="1"/>
  <c r="F14156" i="1"/>
  <c r="F13900" i="1"/>
  <c r="F13644" i="1"/>
  <c r="F13388" i="1"/>
  <c r="F13132" i="1"/>
  <c r="F12842" i="1"/>
  <c r="F14895" i="1"/>
  <c r="F14576" i="1"/>
  <c r="F14320" i="1"/>
  <c r="F14064" i="1"/>
  <c r="F13808" i="1"/>
  <c r="F13552" i="1"/>
  <c r="F13296" i="1"/>
  <c r="F12996" i="1"/>
  <c r="F12664" i="1"/>
  <c r="F14845" i="1"/>
  <c r="F14621" i="1"/>
  <c r="F14365" i="1"/>
  <c r="F14109" i="1"/>
  <c r="F13853" i="1"/>
  <c r="F13597" i="1"/>
  <c r="F13341" i="1"/>
  <c r="F13085" i="1"/>
  <c r="F12777" i="1"/>
  <c r="F14810" i="1"/>
  <c r="F14554" i="1"/>
  <c r="F14298" i="1"/>
  <c r="F14042" i="1"/>
  <c r="F13786" i="1"/>
  <c r="F13530" i="1"/>
  <c r="F13274" i="1"/>
  <c r="F13004" i="1"/>
  <c r="F12680" i="1"/>
  <c r="F14850" i="1"/>
  <c r="F14627" i="1"/>
  <c r="F14371" i="1"/>
  <c r="F14115" i="1"/>
  <c r="F13859" i="1"/>
  <c r="F13603" i="1"/>
  <c r="F13347" i="1"/>
  <c r="F13091" i="1"/>
  <c r="F12746" i="1"/>
  <c r="F14847" i="1"/>
  <c r="F14756" i="1"/>
  <c r="F14628" i="1"/>
  <c r="F14500" i="1"/>
  <c r="F14372" i="1"/>
  <c r="F14244" i="1"/>
  <c r="F14116" i="1"/>
  <c r="F13988" i="1"/>
  <c r="F13860" i="1"/>
  <c r="F13732" i="1"/>
  <c r="F13604" i="1"/>
  <c r="F13476" i="1"/>
  <c r="F13348" i="1"/>
  <c r="F13220" i="1"/>
  <c r="F13078" i="1"/>
  <c r="F12882" i="1"/>
  <c r="F11648" i="1"/>
  <c r="F11062" i="1"/>
  <c r="F12248" i="1"/>
  <c r="F11896" i="1"/>
  <c r="F11676" i="1"/>
  <c r="F11271" i="1"/>
  <c r="F12261" i="1"/>
  <c r="F11893" i="1"/>
  <c r="F10760" i="1"/>
  <c r="F11302" i="1"/>
  <c r="F14639" i="1"/>
  <c r="F14337" i="1"/>
  <c r="F13985" i="1"/>
  <c r="F13615" i="1"/>
  <c r="F13313" i="1"/>
  <c r="F12924" i="1"/>
  <c r="F12500" i="1"/>
  <c r="F12196" i="1"/>
  <c r="F11195" i="1"/>
  <c r="F14670" i="1"/>
  <c r="F14076" i="1"/>
  <c r="F11383" i="1"/>
  <c r="F12998" i="1"/>
  <c r="F12338" i="1"/>
  <c r="F10555" i="1"/>
  <c r="F9965" i="1"/>
  <c r="F10702" i="1"/>
  <c r="F12535" i="1"/>
  <c r="F10636" i="1"/>
  <c r="F9970" i="1"/>
  <c r="F8013" i="1"/>
  <c r="F7774" i="1"/>
  <c r="F11477" i="1"/>
  <c r="F7685" i="1"/>
  <c r="F4891" i="1"/>
  <c r="F4004" i="1"/>
  <c r="G10689" i="1"/>
  <c r="F14690" i="1"/>
  <c r="F13373" i="1"/>
  <c r="F14622" i="1"/>
  <c r="F13506" i="1"/>
  <c r="F14024" i="1"/>
  <c r="F13041" i="1"/>
  <c r="F13334" i="1"/>
  <c r="F14255" i="1"/>
  <c r="F12407" i="1"/>
  <c r="F13364" i="1"/>
  <c r="F13845" i="1"/>
  <c r="F13798" i="1"/>
  <c r="F14316" i="1"/>
  <c r="F13709" i="1"/>
  <c r="F11654" i="1"/>
  <c r="F10262" i="1"/>
  <c r="F13489" i="1"/>
  <c r="F13722" i="1"/>
  <c r="F10314" i="1"/>
  <c r="F14918" i="1"/>
  <c r="F14553" i="1"/>
  <c r="F13785" i="1"/>
  <c r="F13014" i="1"/>
  <c r="F13492" i="1"/>
  <c r="F13739" i="1"/>
  <c r="F14476" i="1"/>
  <c r="F14535" i="1"/>
  <c r="F2" i="1"/>
  <c r="F14923" i="1"/>
  <c r="F14833" i="1"/>
  <c r="F14480" i="1"/>
  <c r="F13968" i="1"/>
  <c r="F13456" i="1"/>
  <c r="F14443" i="1"/>
  <c r="F14873" i="1"/>
  <c r="F14763" i="1"/>
  <c r="F14727" i="1"/>
  <c r="F14471" i="1"/>
  <c r="F14215" i="1"/>
  <c r="F13959" i="1"/>
  <c r="F13703" i="1"/>
  <c r="F13447" i="1"/>
  <c r="F13191" i="1"/>
  <c r="F12886" i="1"/>
  <c r="F14662" i="1"/>
  <c r="F14406" i="1"/>
  <c r="F14150" i="1"/>
  <c r="F13894" i="1"/>
  <c r="F13638" i="1"/>
  <c r="F13382" i="1"/>
  <c r="F13126" i="1"/>
  <c r="F12834" i="1"/>
  <c r="F14885" i="1"/>
  <c r="F14568" i="1"/>
  <c r="F14312" i="1"/>
  <c r="F14056" i="1"/>
  <c r="F13800" i="1"/>
  <c r="F13544" i="1"/>
  <c r="F13288" i="1"/>
  <c r="F13022" i="1"/>
  <c r="F12688" i="1"/>
  <c r="F14854" i="1"/>
  <c r="F14659" i="1"/>
  <c r="F14403" i="1"/>
  <c r="F14147" i="1"/>
  <c r="F13891" i="1"/>
  <c r="F13635" i="1"/>
  <c r="F13379" i="1"/>
  <c r="F13123" i="1"/>
  <c r="F12817" i="1"/>
  <c r="F14877" i="1"/>
  <c r="F14567" i="1"/>
  <c r="F14311" i="1"/>
  <c r="F14055" i="1"/>
  <c r="F13799" i="1"/>
  <c r="F13543" i="1"/>
  <c r="F13287" i="1"/>
  <c r="F12982" i="1"/>
  <c r="F12632" i="1"/>
  <c r="F14837" i="1"/>
  <c r="F14612" i="1"/>
  <c r="F14356" i="1"/>
  <c r="F14100" i="1"/>
  <c r="F13844" i="1"/>
  <c r="F13588" i="1"/>
  <c r="F13332" i="1"/>
  <c r="F13076" i="1"/>
  <c r="F12752" i="1"/>
  <c r="F14801" i="1"/>
  <c r="F14545" i="1"/>
  <c r="F14289" i="1"/>
  <c r="F14033" i="1"/>
  <c r="F13777" i="1"/>
  <c r="F13521" i="1"/>
  <c r="F13265" i="1"/>
  <c r="F12990" i="1"/>
  <c r="F12656" i="1"/>
  <c r="F14842" i="1"/>
  <c r="F14590" i="1"/>
  <c r="F14334" i="1"/>
  <c r="F14078" i="1"/>
  <c r="F13822" i="1"/>
  <c r="F13566" i="1"/>
  <c r="F13310" i="1"/>
  <c r="F13053" i="1"/>
  <c r="F12721" i="1"/>
  <c r="F14843" i="1"/>
  <c r="F14747" i="1"/>
  <c r="F14619" i="1"/>
  <c r="F14491" i="1"/>
  <c r="F14363" i="1"/>
  <c r="F14235" i="1"/>
  <c r="F14107" i="1"/>
  <c r="F13979" i="1"/>
  <c r="F13851" i="1"/>
  <c r="F13723" i="1"/>
  <c r="F13595" i="1"/>
  <c r="F13467" i="1"/>
  <c r="F13339" i="1"/>
  <c r="F13211" i="1"/>
  <c r="F13069" i="1"/>
  <c r="F12864" i="1"/>
  <c r="F11638" i="1"/>
  <c r="F11048" i="1"/>
  <c r="F12216" i="1"/>
  <c r="F11888" i="1"/>
  <c r="F11666" i="1"/>
  <c r="F11198" i="1"/>
  <c r="F12253" i="1"/>
  <c r="F11885" i="1"/>
  <c r="F11750" i="1"/>
  <c r="F11291" i="1"/>
  <c r="F14634" i="1"/>
  <c r="F14305" i="1"/>
  <c r="F13976" i="1"/>
  <c r="F13610" i="1"/>
  <c r="F13281" i="1"/>
  <c r="F12917" i="1"/>
  <c r="F12492" i="1"/>
  <c r="F12164" i="1"/>
  <c r="F11170" i="1"/>
  <c r="F14661" i="1"/>
  <c r="F14030" i="1"/>
  <c r="F11166" i="1"/>
  <c r="F12820" i="1"/>
  <c r="F12274" i="1"/>
  <c r="F10427" i="1"/>
  <c r="F9794" i="1"/>
  <c r="F10551" i="1"/>
  <c r="F12471" i="1"/>
  <c r="F9477" i="1"/>
  <c r="F9800" i="1"/>
  <c r="F7755" i="1"/>
  <c r="F10574" i="1"/>
  <c r="F11281" i="1"/>
  <c r="F10079" i="1"/>
  <c r="F6513" i="1"/>
  <c r="F5152" i="1"/>
  <c r="G11690" i="1"/>
  <c r="F14149" i="1"/>
  <c r="F14021" i="1"/>
  <c r="F13893" i="1"/>
  <c r="F13765" i="1"/>
  <c r="F13637" i="1"/>
  <c r="F13509" i="1"/>
  <c r="F13381" i="1"/>
  <c r="F13253" i="1"/>
  <c r="F13125" i="1"/>
  <c r="F12986" i="1"/>
  <c r="F12808" i="1"/>
  <c r="F11728" i="1"/>
  <c r="F11543" i="1"/>
  <c r="F11372" i="1"/>
  <c r="F11152" i="1"/>
  <c r="F14793" i="1"/>
  <c r="F14665" i="1"/>
  <c r="F14537" i="1"/>
  <c r="F14409" i="1"/>
  <c r="F14281" i="1"/>
  <c r="F14153" i="1"/>
  <c r="F14025" i="1"/>
  <c r="F13897" i="1"/>
  <c r="F13769" i="1"/>
  <c r="F13641" i="1"/>
  <c r="F13513" i="1"/>
  <c r="F13385" i="1"/>
  <c r="F13257" i="1"/>
  <c r="F13129" i="1"/>
  <c r="F12980" i="1"/>
  <c r="F12813" i="1"/>
  <c r="F12657" i="1"/>
  <c r="F12529" i="1"/>
  <c r="F12401" i="1"/>
  <c r="F12273" i="1"/>
  <c r="F12145" i="1"/>
  <c r="F12017" i="1"/>
  <c r="F11889" i="1"/>
  <c r="F11700" i="1"/>
  <c r="F10920" i="1"/>
  <c r="F12654" i="1"/>
  <c r="F12590" i="1"/>
  <c r="F12526" i="1"/>
  <c r="F12462" i="1"/>
  <c r="F12398" i="1"/>
  <c r="F12334" i="1"/>
  <c r="F12270" i="1"/>
  <c r="F12206" i="1"/>
  <c r="F12142" i="1"/>
  <c r="F12078" i="1"/>
  <c r="F12014" i="1"/>
  <c r="F11950" i="1"/>
  <c r="F11886" i="1"/>
  <c r="F11822" i="1"/>
  <c r="F11715" i="1"/>
  <c r="F11122" i="1"/>
  <c r="F10955" i="1"/>
  <c r="F10788" i="1"/>
  <c r="F10610" i="1"/>
  <c r="F9396" i="1"/>
  <c r="F10704" i="1"/>
  <c r="F10547" i="1"/>
  <c r="F10419" i="1"/>
  <c r="F10278" i="1"/>
  <c r="F10108" i="1"/>
  <c r="F9937" i="1"/>
  <c r="F9766" i="1"/>
  <c r="F9472" i="1"/>
  <c r="F10972" i="1"/>
  <c r="F10794" i="1"/>
  <c r="F10627" i="1"/>
  <c r="F9420" i="1"/>
  <c r="F10728" i="1"/>
  <c r="F10568" i="1"/>
  <c r="F10440" i="1"/>
  <c r="F10296" i="1"/>
  <c r="F10125" i="1"/>
  <c r="F9954" i="1"/>
  <c r="F9784" i="1"/>
  <c r="F9530" i="1"/>
  <c r="F9094" i="1"/>
  <c r="F10772" i="1"/>
  <c r="F10335" i="1"/>
  <c r="F9389" i="1"/>
  <c r="F11767" i="1"/>
  <c r="F11658" i="1"/>
  <c r="F11572" i="1"/>
  <c r="F11487" i="1"/>
  <c r="F11402" i="1"/>
  <c r="F11316" i="1"/>
  <c r="F11207" i="1"/>
  <c r="F11040" i="1"/>
  <c r="F10862" i="1"/>
  <c r="F10695" i="1"/>
  <c r="F10543" i="1"/>
  <c r="F10415" i="1"/>
  <c r="F10252" i="1"/>
  <c r="F10081" i="1"/>
  <c r="F9910" i="1"/>
  <c r="F9740" i="1"/>
  <c r="F9440" i="1"/>
  <c r="F13043" i="1"/>
  <c r="F12979" i="1"/>
  <c r="F12915" i="1"/>
  <c r="F12851" i="1"/>
  <c r="F12787" i="1"/>
  <c r="F12723" i="1"/>
  <c r="F12659" i="1"/>
  <c r="F12595" i="1"/>
  <c r="F12531" i="1"/>
  <c r="F12467" i="1"/>
  <c r="F12403" i="1"/>
  <c r="F12339" i="1"/>
  <c r="F12275" i="1"/>
  <c r="F12211" i="1"/>
  <c r="F12147" i="1"/>
  <c r="F12083" i="1"/>
  <c r="F12019" i="1"/>
  <c r="F11955" i="1"/>
  <c r="F11891" i="1"/>
  <c r="F11827" i="1"/>
  <c r="F11725" i="1"/>
  <c r="F11130" i="1"/>
  <c r="F10963" i="1"/>
  <c r="F10796" i="1"/>
  <c r="F10618" i="1"/>
  <c r="F9452" i="1"/>
  <c r="F11798" i="1"/>
  <c r="F11678" i="1"/>
  <c r="F11592" i="1"/>
  <c r="F11507" i="1"/>
  <c r="F11422" i="1"/>
  <c r="F11336" i="1"/>
  <c r="F11238" i="1"/>
  <c r="F11071" i="1"/>
  <c r="F10904" i="1"/>
  <c r="F10726" i="1"/>
  <c r="F10564" i="1"/>
  <c r="F10436" i="1"/>
  <c r="F10301" i="1"/>
  <c r="F10130" i="1"/>
  <c r="F9960" i="1"/>
  <c r="F9789" i="1"/>
  <c r="F9537" i="1"/>
  <c r="F9110" i="1"/>
  <c r="F9589" i="1"/>
  <c r="F9422" i="1"/>
  <c r="F9244" i="1"/>
  <c r="F9106" i="1"/>
  <c r="F8978" i="1"/>
  <c r="F8850" i="1"/>
  <c r="F8722" i="1"/>
  <c r="F8474" i="1"/>
  <c r="F8145" i="1"/>
  <c r="F7695" i="1"/>
  <c r="F8629" i="1"/>
  <c r="F8300" i="1"/>
  <c r="F8002" i="1"/>
  <c r="F7731" i="1"/>
  <c r="F9009" i="1"/>
  <c r="F8881" i="1"/>
  <c r="F8753" i="1"/>
  <c r="F8546" i="1"/>
  <c r="F8217" i="1"/>
  <c r="F7742" i="1"/>
  <c r="F9234" i="1"/>
  <c r="F8372" i="1"/>
  <c r="F8033" i="1"/>
  <c r="F7754" i="1"/>
  <c r="F8878" i="1"/>
  <c r="F8750" i="1"/>
  <c r="F8552" i="1"/>
  <c r="F8186" i="1"/>
  <c r="F7750" i="1"/>
  <c r="F10570" i="1"/>
  <c r="F10498" i="1"/>
  <c r="F10414" i="1"/>
  <c r="F10309" i="1"/>
  <c r="F10165" i="1"/>
  <c r="F10026" i="1"/>
  <c r="F9893" i="1"/>
  <c r="F9760" i="1"/>
  <c r="F9546" i="1"/>
  <c r="F9258" i="1"/>
  <c r="F8076" i="1"/>
  <c r="F9572" i="1"/>
  <c r="F9093" i="1"/>
  <c r="F8642" i="1"/>
  <c r="F11669" i="1"/>
  <c r="F11473" i="1"/>
  <c r="F11257" i="1"/>
  <c r="F11001" i="1"/>
  <c r="F10745" i="1"/>
  <c r="F10489" i="1"/>
  <c r="F10196" i="1"/>
  <c r="F9854" i="1"/>
  <c r="F9321" i="1"/>
  <c r="F7602" i="1"/>
  <c r="F8020" i="1"/>
  <c r="F7270" i="1"/>
  <c r="F6867" i="1"/>
  <c r="F6116" i="1"/>
  <c r="F9180" i="1"/>
  <c r="F8668" i="1"/>
  <c r="F6967" i="1"/>
  <c r="F7672" i="1"/>
  <c r="F10075" i="1"/>
  <c r="F9563" i="1"/>
  <c r="F9051" i="1"/>
  <c r="F8329" i="1"/>
  <c r="F7632" i="1"/>
  <c r="F6139" i="1"/>
  <c r="F5779" i="1"/>
  <c r="F5251" i="1"/>
  <c r="F6049" i="1"/>
  <c r="F7351" i="1"/>
  <c r="F5564" i="1"/>
  <c r="F8207" i="1"/>
  <c r="F7444" i="1"/>
  <c r="F5737" i="1"/>
  <c r="F6182" i="1"/>
  <c r="F4842" i="1"/>
  <c r="F6504" i="1"/>
  <c r="F5480" i="1"/>
  <c r="F6462" i="1"/>
  <c r="F5299" i="1"/>
  <c r="F6727" i="1"/>
  <c r="F5703" i="1"/>
  <c r="F4833" i="1"/>
  <c r="F5098" i="1"/>
  <c r="F4914" i="1"/>
  <c r="F3556" i="1"/>
  <c r="F4634" i="1"/>
  <c r="F3991" i="1"/>
  <c r="F4599" i="1"/>
  <c r="F3077" i="1"/>
  <c r="F3792" i="1"/>
  <c r="F3996" i="1"/>
  <c r="F5148" i="1"/>
  <c r="F4636" i="1"/>
  <c r="F3872" i="1"/>
  <c r="F1836" i="1"/>
  <c r="F3490" i="1"/>
  <c r="F3823" i="1"/>
  <c r="F4481" i="1"/>
  <c r="F3969" i="1"/>
  <c r="F2848" i="1"/>
  <c r="F2763" i="1"/>
  <c r="F1964" i="1"/>
  <c r="F773" i="1"/>
  <c r="G14514" i="1"/>
  <c r="G12401" i="1"/>
  <c r="G13366" i="1"/>
  <c r="G10678" i="1"/>
  <c r="G11681" i="1"/>
  <c r="F12100" i="1"/>
  <c r="F11972" i="1"/>
  <c r="F11844" i="1"/>
  <c r="F11156" i="1"/>
  <c r="F14924" i="1"/>
  <c r="F14860" i="1"/>
  <c r="F14780" i="1"/>
  <c r="F14652" i="1"/>
  <c r="F14524" i="1"/>
  <c r="F14396" i="1"/>
  <c r="F14268" i="1"/>
  <c r="F14140" i="1"/>
  <c r="F14012" i="1"/>
  <c r="F13884" i="1"/>
  <c r="F13756" i="1"/>
  <c r="F13628" i="1"/>
  <c r="F13500" i="1"/>
  <c r="F13372" i="1"/>
  <c r="F13244" i="1"/>
  <c r="F13116" i="1"/>
  <c r="F12968" i="1"/>
  <c r="F12801" i="1"/>
  <c r="F11719" i="1"/>
  <c r="F11532" i="1"/>
  <c r="F11362" i="1"/>
  <c r="F11127" i="1"/>
  <c r="F14784" i="1"/>
  <c r="F14656" i="1"/>
  <c r="F14528" i="1"/>
  <c r="F14400" i="1"/>
  <c r="F14272" i="1"/>
  <c r="F14144" i="1"/>
  <c r="F14016" i="1"/>
  <c r="F13888" i="1"/>
  <c r="F13760" i="1"/>
  <c r="F13632" i="1"/>
  <c r="F13504" i="1"/>
  <c r="F13376" i="1"/>
  <c r="F13248" i="1"/>
  <c r="F13120" i="1"/>
  <c r="F12973" i="1"/>
  <c r="F12806" i="1"/>
  <c r="F12649" i="1"/>
  <c r="F12521" i="1"/>
  <c r="F12393" i="1"/>
  <c r="F12265" i="1"/>
  <c r="F12137" i="1"/>
  <c r="F12009" i="1"/>
  <c r="F11881" i="1"/>
  <c r="F11691" i="1"/>
  <c r="F10902" i="1"/>
  <c r="F12650" i="1"/>
  <c r="F12586" i="1"/>
  <c r="F12522" i="1"/>
  <c r="F12458" i="1"/>
  <c r="F12394" i="1"/>
  <c r="F12330" i="1"/>
  <c r="F12266" i="1"/>
  <c r="F12202" i="1"/>
  <c r="F12138" i="1"/>
  <c r="F12074" i="1"/>
  <c r="F12010" i="1"/>
  <c r="F11946" i="1"/>
  <c r="F11882" i="1"/>
  <c r="F11818" i="1"/>
  <c r="F11706" i="1"/>
  <c r="F11115" i="1"/>
  <c r="F10948" i="1"/>
  <c r="F10770" i="1"/>
  <c r="F10603" i="1"/>
  <c r="F9382" i="1"/>
  <c r="F10686" i="1"/>
  <c r="F10539" i="1"/>
  <c r="F10411" i="1"/>
  <c r="F10268" i="1"/>
  <c r="F10097" i="1"/>
  <c r="F9926" i="1"/>
  <c r="F9756" i="1"/>
  <c r="F9458" i="1"/>
  <c r="F10954" i="1"/>
  <c r="F10787" i="1"/>
  <c r="F10620" i="1"/>
  <c r="F9406" i="1"/>
  <c r="F10710" i="1"/>
  <c r="F10560" i="1"/>
  <c r="F10432" i="1"/>
  <c r="F10285" i="1"/>
  <c r="F10114" i="1"/>
  <c r="F9944" i="1"/>
  <c r="F9773" i="1"/>
  <c r="F9505" i="1"/>
  <c r="F9046" i="1"/>
  <c r="F10754" i="1"/>
  <c r="F10326" i="1"/>
  <c r="F9364" i="1"/>
  <c r="F11758" i="1"/>
  <c r="F11652" i="1"/>
  <c r="F11567" i="1"/>
  <c r="F11482" i="1"/>
  <c r="F11396" i="1"/>
  <c r="F11311" i="1"/>
  <c r="F11200" i="1"/>
  <c r="F11022" i="1"/>
  <c r="F10855" i="1"/>
  <c r="F10688" i="1"/>
  <c r="F10535" i="1"/>
  <c r="F10407" i="1"/>
  <c r="F10241" i="1"/>
  <c r="F10070" i="1"/>
  <c r="F9900" i="1"/>
  <c r="F9729" i="1"/>
  <c r="F9426" i="1"/>
  <c r="F13039" i="1"/>
  <c r="F12975" i="1"/>
  <c r="F12911" i="1"/>
  <c r="F12847" i="1"/>
  <c r="F12783" i="1"/>
  <c r="F12719" i="1"/>
  <c r="F12655" i="1"/>
  <c r="F12591" i="1"/>
  <c r="F12527" i="1"/>
  <c r="F12463" i="1"/>
  <c r="F12399" i="1"/>
  <c r="F12335" i="1"/>
  <c r="F12271" i="1"/>
  <c r="F12207" i="1"/>
  <c r="F12143" i="1"/>
  <c r="F12079" i="1"/>
  <c r="F12015" i="1"/>
  <c r="F11951" i="1"/>
  <c r="F11887" i="1"/>
  <c r="F11823" i="1"/>
  <c r="F11716" i="1"/>
  <c r="F11123" i="1"/>
  <c r="F10956" i="1"/>
  <c r="F10778" i="1"/>
  <c r="F10611" i="1"/>
  <c r="F9438" i="1"/>
  <c r="F11793" i="1"/>
  <c r="F11672" i="1"/>
  <c r="F11587" i="1"/>
  <c r="F11502" i="1"/>
  <c r="F11416" i="1"/>
  <c r="F11331" i="1"/>
  <c r="F11231" i="1"/>
  <c r="F11064" i="1"/>
  <c r="F10886" i="1"/>
  <c r="F10719" i="1"/>
  <c r="F10556" i="1"/>
  <c r="F10428" i="1"/>
  <c r="F10290" i="1"/>
  <c r="F10120" i="1"/>
  <c r="F9949" i="1"/>
  <c r="F9778" i="1"/>
  <c r="F9512" i="1"/>
  <c r="F9078" i="1"/>
  <c r="F9582" i="1"/>
  <c r="F9404" i="1"/>
  <c r="F9237" i="1"/>
  <c r="F9098" i="1"/>
  <c r="F8970" i="1"/>
  <c r="F8842" i="1"/>
  <c r="F8714" i="1"/>
  <c r="F8465" i="1"/>
  <c r="F8136" i="1"/>
  <c r="F7640" i="1"/>
  <c r="F8620" i="1"/>
  <c r="F8254" i="1"/>
  <c r="F7992" i="1"/>
  <c r="F7707" i="1"/>
  <c r="F9001" i="1"/>
  <c r="F8873" i="1"/>
  <c r="F8745" i="1"/>
  <c r="F8537" i="1"/>
  <c r="F8208" i="1"/>
  <c r="F7718" i="1"/>
  <c r="F9216" i="1"/>
  <c r="F8326" i="1"/>
  <c r="F8022" i="1"/>
  <c r="F7741" i="1"/>
  <c r="F8870" i="1"/>
  <c r="F8742" i="1"/>
  <c r="F8506" i="1"/>
  <c r="F8177" i="1"/>
  <c r="F7737" i="1"/>
  <c r="F10566" i="1"/>
  <c r="F10494" i="1"/>
  <c r="F10406" i="1"/>
  <c r="F10288" i="1"/>
  <c r="F10154" i="1"/>
  <c r="F10021" i="1"/>
  <c r="F9888" i="1"/>
  <c r="F9749" i="1"/>
  <c r="F9496" i="1"/>
  <c r="F9233" i="1"/>
  <c r="F8018" i="1"/>
  <c r="F9565" i="1"/>
  <c r="F9045" i="1"/>
  <c r="F8624" i="1"/>
  <c r="F11665" i="1"/>
  <c r="F11449" i="1"/>
  <c r="F11253" i="1"/>
  <c r="F10997" i="1"/>
  <c r="F10741" i="1"/>
  <c r="F10485" i="1"/>
  <c r="F10190" i="1"/>
  <c r="F9849" i="1"/>
  <c r="F9314" i="1"/>
  <c r="F7581" i="1"/>
  <c r="F8014" i="1"/>
  <c r="F7260" i="1"/>
  <c r="F6830" i="1"/>
  <c r="F7363" i="1"/>
  <c r="F9120" i="1"/>
  <c r="F8513" i="1"/>
  <c r="F6547" i="1"/>
  <c r="F7452" i="1"/>
  <c r="F10015" i="1"/>
  <c r="F9503" i="1"/>
  <c r="F8991" i="1"/>
  <c r="F8169" i="1"/>
  <c r="F7513" i="1"/>
  <c r="F5892" i="1"/>
  <c r="F5532" i="1"/>
  <c r="F7492" i="1"/>
  <c r="F5802" i="1"/>
  <c r="F7194" i="1"/>
  <c r="F8659" i="1"/>
  <c r="F8147" i="1"/>
  <c r="F7319" i="1"/>
  <c r="F5490" i="1"/>
  <c r="F6059" i="1"/>
  <c r="F4985" i="1"/>
  <c r="F6385" i="1"/>
  <c r="F5393" i="1"/>
  <c r="F6339" i="1"/>
  <c r="F5015" i="1"/>
  <c r="F6608" i="1"/>
  <c r="F5584" i="1"/>
  <c r="F4354" i="1"/>
  <c r="F4890" i="1"/>
  <c r="F4662" i="1"/>
  <c r="F4299" i="1"/>
  <c r="F4554" i="1"/>
  <c r="F3602" i="1"/>
  <c r="F4519" i="1"/>
  <c r="F2788" i="1"/>
  <c r="F3573" i="1"/>
  <c r="F3780" i="1"/>
  <c r="F5088" i="1"/>
  <c r="F4576" i="1"/>
  <c r="F3749" i="1"/>
  <c r="F1800" i="1"/>
  <c r="F3371" i="1"/>
  <c r="F3704" i="1"/>
  <c r="F4421" i="1"/>
  <c r="F3850" i="1"/>
  <c r="F2652" i="1"/>
  <c r="F2460" i="1"/>
  <c r="F1234" i="1"/>
  <c r="F607" i="1"/>
  <c r="G14779" i="1"/>
  <c r="G12273" i="1"/>
  <c r="G11459" i="1"/>
  <c r="G13519" i="1"/>
  <c r="G10754" i="1"/>
  <c r="F14259" i="1"/>
  <c r="F14131" i="1"/>
  <c r="F14003" i="1"/>
  <c r="F13875" i="1"/>
  <c r="F13747" i="1"/>
  <c r="F13619" i="1"/>
  <c r="F13491" i="1"/>
  <c r="F13363" i="1"/>
  <c r="F13235" i="1"/>
  <c r="F13107" i="1"/>
  <c r="F12961" i="1"/>
  <c r="F12794" i="1"/>
  <c r="F11710" i="1"/>
  <c r="F11522" i="1"/>
  <c r="F11351" i="1"/>
  <c r="F11102" i="1"/>
  <c r="F14775" i="1"/>
  <c r="F14647" i="1"/>
  <c r="F14519" i="1"/>
  <c r="F14391" i="1"/>
  <c r="F14263" i="1"/>
  <c r="F14135" i="1"/>
  <c r="F14007" i="1"/>
  <c r="F13879" i="1"/>
  <c r="F13751" i="1"/>
  <c r="F13623" i="1"/>
  <c r="F13495" i="1"/>
  <c r="F13367" i="1"/>
  <c r="F13239" i="1"/>
  <c r="F13111" i="1"/>
  <c r="F12966" i="1"/>
  <c r="F12788" i="1"/>
  <c r="F12641" i="1"/>
  <c r="F12513" i="1"/>
  <c r="F12385" i="1"/>
  <c r="F12257" i="1"/>
  <c r="F12129" i="1"/>
  <c r="F12001" i="1"/>
  <c r="F11873" i="1"/>
  <c r="F11242" i="1"/>
  <c r="F10824" i="1"/>
  <c r="F12646" i="1"/>
  <c r="F12582" i="1"/>
  <c r="F12518" i="1"/>
  <c r="F12454" i="1"/>
  <c r="F12390" i="1"/>
  <c r="F12326" i="1"/>
  <c r="F12262" i="1"/>
  <c r="F12198" i="1"/>
  <c r="F12134" i="1"/>
  <c r="F12070" i="1"/>
  <c r="F12006" i="1"/>
  <c r="F11942" i="1"/>
  <c r="F11878" i="1"/>
  <c r="F11814" i="1"/>
  <c r="F11701" i="1"/>
  <c r="F11108" i="1"/>
  <c r="F10930" i="1"/>
  <c r="F10763" i="1"/>
  <c r="F9702" i="1"/>
  <c r="F9357" i="1"/>
  <c r="F10679" i="1"/>
  <c r="F10531" i="1"/>
  <c r="F10403" i="1"/>
  <c r="F10257" i="1"/>
  <c r="F10086" i="1"/>
  <c r="F9916" i="1"/>
  <c r="F9745" i="1"/>
  <c r="F9433" i="1"/>
  <c r="F10947" i="1"/>
  <c r="F10780" i="1"/>
  <c r="F10602" i="1"/>
  <c r="F9381" i="1"/>
  <c r="F10703" i="1"/>
  <c r="F10552" i="1"/>
  <c r="F10424" i="1"/>
  <c r="F10274" i="1"/>
  <c r="F10104" i="1"/>
  <c r="F9933" i="1"/>
  <c r="F9762" i="1"/>
  <c r="F9480" i="1"/>
  <c r="F8982" i="1"/>
  <c r="F10747" i="1"/>
  <c r="F9684" i="1"/>
  <c r="F9350" i="1"/>
  <c r="F11753" i="1"/>
  <c r="F11647" i="1"/>
  <c r="F11562" i="1"/>
  <c r="F11476" i="1"/>
  <c r="F11391" i="1"/>
  <c r="F11306" i="1"/>
  <c r="F11182" i="1"/>
  <c r="F11015" i="1"/>
  <c r="F10848" i="1"/>
  <c r="F10670" i="1"/>
  <c r="F10527" i="1"/>
  <c r="F10399" i="1"/>
  <c r="F10230" i="1"/>
  <c r="F10060" i="1"/>
  <c r="F9889" i="1"/>
  <c r="F9718" i="1"/>
  <c r="F9401" i="1"/>
  <c r="F13035" i="1"/>
  <c r="F12971" i="1"/>
  <c r="F12907" i="1"/>
  <c r="F12843" i="1"/>
  <c r="F12779" i="1"/>
  <c r="F12715" i="1"/>
  <c r="F12651" i="1"/>
  <c r="F12587" i="1"/>
  <c r="F12523" i="1"/>
  <c r="F12459" i="1"/>
  <c r="F12395" i="1"/>
  <c r="F12331" i="1"/>
  <c r="F12267" i="1"/>
  <c r="F12203" i="1"/>
  <c r="F12139" i="1"/>
  <c r="F12075" i="1"/>
  <c r="F12011" i="1"/>
  <c r="F11947" i="1"/>
  <c r="F11883" i="1"/>
  <c r="F11819" i="1"/>
  <c r="F11707" i="1"/>
  <c r="F11116" i="1"/>
  <c r="F10938" i="1"/>
  <c r="F10771" i="1"/>
  <c r="F10604" i="1"/>
  <c r="F9413" i="1"/>
  <c r="F11784" i="1"/>
  <c r="F11667" i="1"/>
  <c r="F11582" i="1"/>
  <c r="F11496" i="1"/>
  <c r="F11411" i="1"/>
  <c r="F11326" i="1"/>
  <c r="F11224" i="1"/>
  <c r="F11046" i="1"/>
  <c r="F10879" i="1"/>
  <c r="F10712" i="1"/>
  <c r="F10548" i="1"/>
  <c r="F10420" i="1"/>
  <c r="F10280" i="1"/>
  <c r="F10109" i="1"/>
  <c r="F9938" i="1"/>
  <c r="F9768" i="1"/>
  <c r="F9498" i="1"/>
  <c r="F9014" i="1"/>
  <c r="F9564" i="1"/>
  <c r="F9397" i="1"/>
  <c r="F9230" i="1"/>
  <c r="F9090" i="1"/>
  <c r="F8962" i="1"/>
  <c r="F8834" i="1"/>
  <c r="F8706" i="1"/>
  <c r="F8456" i="1"/>
  <c r="F8090" i="1"/>
  <c r="F7626" i="1"/>
  <c r="F8574" i="1"/>
  <c r="F8245" i="1"/>
  <c r="F7981" i="1"/>
  <c r="F7682" i="1"/>
  <c r="F8993" i="1"/>
  <c r="F8865" i="1"/>
  <c r="F8737" i="1"/>
  <c r="F8528" i="1"/>
  <c r="F8162" i="1"/>
  <c r="F7705" i="1"/>
  <c r="F8646" i="1"/>
  <c r="F8317" i="1"/>
  <c r="F8012" i="1"/>
  <c r="F7730" i="1"/>
  <c r="F8862" i="1"/>
  <c r="F8734" i="1"/>
  <c r="F8497" i="1"/>
  <c r="F8168" i="1"/>
  <c r="F7726" i="1"/>
  <c r="F10562" i="1"/>
  <c r="F10490" i="1"/>
  <c r="F10398" i="1"/>
  <c r="F10282" i="1"/>
  <c r="F10149" i="1"/>
  <c r="F10016" i="1"/>
  <c r="F9882" i="1"/>
  <c r="F9738" i="1"/>
  <c r="F9489" i="1"/>
  <c r="F9226" i="1"/>
  <c r="F8008" i="1"/>
  <c r="F9501" i="1"/>
  <c r="F9029" i="1"/>
  <c r="F8578" i="1"/>
  <c r="F11641" i="1"/>
  <c r="F11445" i="1"/>
  <c r="F11229" i="1"/>
  <c r="F10973" i="1"/>
  <c r="F10717" i="1"/>
  <c r="F10461" i="1"/>
  <c r="F10158" i="1"/>
  <c r="F9817" i="1"/>
  <c r="F9250" i="1"/>
  <c r="F8612" i="1"/>
  <c r="F7982" i="1"/>
  <c r="F7145" i="1"/>
  <c r="F6629" i="1"/>
  <c r="F7352" i="1"/>
  <c r="F9116" i="1"/>
  <c r="F8504" i="1"/>
  <c r="F6510" i="1"/>
  <c r="F7410" i="1"/>
  <c r="F10011" i="1"/>
  <c r="F9499" i="1"/>
  <c r="F8987" i="1"/>
  <c r="F8160" i="1"/>
  <c r="F7504" i="1"/>
  <c r="F5883" i="1"/>
  <c r="F5523" i="1"/>
  <c r="F7483" i="1"/>
  <c r="F5793" i="1"/>
  <c r="F7189" i="1"/>
  <c r="F8655" i="1"/>
  <c r="F8143" i="1"/>
  <c r="F7282" i="1"/>
  <c r="F5481" i="1"/>
  <c r="F6054" i="1"/>
  <c r="F4899" i="1"/>
  <c r="F6376" i="1"/>
  <c r="F5388" i="1"/>
  <c r="F6334" i="1"/>
  <c r="F5003" i="1"/>
  <c r="F6599" i="1"/>
  <c r="F5575" i="1"/>
  <c r="F4320" i="1"/>
  <c r="F4878" i="1"/>
  <c r="F4654" i="1"/>
  <c r="F4290" i="1"/>
  <c r="F4549" i="1"/>
  <c r="F3547" i="1"/>
  <c r="F4514" i="1"/>
  <c r="F2772" i="1"/>
  <c r="F3536" i="1"/>
  <c r="F3771" i="1"/>
  <c r="F5084" i="1"/>
  <c r="F4572" i="1"/>
  <c r="F3744" i="1"/>
  <c r="F1715" i="1"/>
  <c r="F3362" i="1"/>
  <c r="F3695" i="1"/>
  <c r="F4417" i="1"/>
  <c r="F3841" i="1"/>
  <c r="F2627" i="1"/>
  <c r="F2451" i="1"/>
  <c r="F1220" i="1"/>
  <c r="F594" i="1"/>
  <c r="G14747" i="1"/>
  <c r="G12249" i="1"/>
  <c r="G11441" i="1"/>
  <c r="G13514" i="1"/>
  <c r="G10749" i="1"/>
  <c r="F12736" i="1"/>
  <c r="F11627" i="1"/>
  <c r="F11456" i="1"/>
  <c r="F11286" i="1"/>
  <c r="F10984" i="1"/>
  <c r="F12392" i="1"/>
  <c r="F12264" i="1"/>
  <c r="F12136" i="1"/>
  <c r="F12008" i="1"/>
  <c r="F11880" i="1"/>
  <c r="F11699" i="1"/>
  <c r="F10934" i="1"/>
  <c r="F11634" i="1"/>
  <c r="F11463" i="1"/>
  <c r="F11292" i="1"/>
  <c r="F10992" i="1"/>
  <c r="F12373" i="1"/>
  <c r="F12245" i="1"/>
  <c r="F12117" i="1"/>
  <c r="F11989" i="1"/>
  <c r="F11861" i="1"/>
  <c r="F11210" i="1"/>
  <c r="F10863" i="1"/>
  <c r="F11622" i="1"/>
  <c r="F11451" i="1"/>
  <c r="F11280" i="1"/>
  <c r="F10960" i="1"/>
  <c r="F14735" i="1"/>
  <c r="F14607" i="1"/>
  <c r="F14479" i="1"/>
  <c r="F14351" i="1"/>
  <c r="F14223" i="1"/>
  <c r="F14095" i="1"/>
  <c r="F13967" i="1"/>
  <c r="F13839" i="1"/>
  <c r="F13711" i="1"/>
  <c r="F13583" i="1"/>
  <c r="F13455" i="1"/>
  <c r="F13327" i="1"/>
  <c r="F13199" i="1"/>
  <c r="F13071" i="1"/>
  <c r="F12910" i="1"/>
  <c r="F12732" i="1"/>
  <c r="F12596" i="1"/>
  <c r="F12468" i="1"/>
  <c r="F12340" i="1"/>
  <c r="F12212" i="1"/>
  <c r="F12084" i="1"/>
  <c r="F11956" i="1"/>
  <c r="F11828" i="1"/>
  <c r="F11106" i="1"/>
  <c r="F14916" i="1"/>
  <c r="F14852" i="1"/>
  <c r="F14766" i="1"/>
  <c r="F14638" i="1"/>
  <c r="F14510" i="1"/>
  <c r="F14382" i="1"/>
  <c r="F14254" i="1"/>
  <c r="F14126" i="1"/>
  <c r="F13998" i="1"/>
  <c r="F13870" i="1"/>
  <c r="F13742" i="1"/>
  <c r="F13614" i="1"/>
  <c r="F13486" i="1"/>
  <c r="F13358" i="1"/>
  <c r="F13230" i="1"/>
  <c r="F13102" i="1"/>
  <c r="F12954" i="1"/>
  <c r="F12776" i="1"/>
  <c r="F11682" i="1"/>
  <c r="F11511" i="1"/>
  <c r="F11340" i="1"/>
  <c r="F11088" i="1"/>
  <c r="F14770" i="1"/>
  <c r="F14642" i="1"/>
  <c r="F14514" i="1"/>
  <c r="F14386" i="1"/>
  <c r="F14258" i="1"/>
  <c r="F14130" i="1"/>
  <c r="F14002" i="1"/>
  <c r="F13874" i="1"/>
  <c r="F13746" i="1"/>
  <c r="F13618" i="1"/>
  <c r="F13490" i="1"/>
  <c r="F13362" i="1"/>
  <c r="F13234" i="1"/>
  <c r="F13106" i="1"/>
  <c r="F12948" i="1"/>
  <c r="F12781" i="1"/>
  <c r="F12633" i="1"/>
  <c r="F12505" i="1"/>
  <c r="F12377" i="1"/>
  <c r="F12249" i="1"/>
  <c r="F12121" i="1"/>
  <c r="F11993" i="1"/>
  <c r="F11865" i="1"/>
  <c r="F11228" i="1"/>
  <c r="F10799" i="1"/>
  <c r="F12642" i="1"/>
  <c r="F12578" i="1"/>
  <c r="F12514" i="1"/>
  <c r="F12450" i="1"/>
  <c r="F12386" i="1"/>
  <c r="F12322" i="1"/>
  <c r="F12258" i="1"/>
  <c r="F12194" i="1"/>
  <c r="F12130" i="1"/>
  <c r="F12066" i="1"/>
  <c r="F12002" i="1"/>
  <c r="F11938" i="1"/>
  <c r="F11874" i="1"/>
  <c r="F11810" i="1"/>
  <c r="F11692" i="1"/>
  <c r="F11090" i="1"/>
  <c r="F10923" i="1"/>
  <c r="F10756" i="1"/>
  <c r="F9677" i="1"/>
  <c r="F9332" i="1"/>
  <c r="F10672" i="1"/>
  <c r="F10523" i="1"/>
  <c r="F10395" i="1"/>
  <c r="F10246" i="1"/>
  <c r="F10076" i="1"/>
  <c r="F9905" i="1"/>
  <c r="F9734" i="1"/>
  <c r="F9408" i="1"/>
  <c r="F10940" i="1"/>
  <c r="F10762" i="1"/>
  <c r="F9701" i="1"/>
  <c r="F9356" i="1"/>
  <c r="F10696" i="1"/>
  <c r="F10544" i="1"/>
  <c r="F10416" i="1"/>
  <c r="F10264" i="1"/>
  <c r="F10093" i="1"/>
  <c r="F9922" i="1"/>
  <c r="F9752" i="1"/>
  <c r="F9466" i="1"/>
  <c r="F10907" i="1"/>
  <c r="F10740" i="1"/>
  <c r="F9670" i="1"/>
  <c r="F9318" i="1"/>
  <c r="F11744" i="1"/>
  <c r="F11642" i="1"/>
  <c r="F11556" i="1"/>
  <c r="F11471" i="1"/>
  <c r="F11386" i="1"/>
  <c r="F11300" i="1"/>
  <c r="F11175" i="1"/>
  <c r="F11008" i="1"/>
  <c r="F10830" i="1"/>
  <c r="F10663" i="1"/>
  <c r="F10519" i="1"/>
  <c r="F10391" i="1"/>
  <c r="F10220" i="1"/>
  <c r="F10049" i="1"/>
  <c r="F9878" i="1"/>
  <c r="F9708" i="1"/>
  <c r="F9376" i="1"/>
  <c r="F13031" i="1"/>
  <c r="F12967" i="1"/>
  <c r="F12903" i="1"/>
  <c r="F12839" i="1"/>
  <c r="F12775" i="1"/>
  <c r="F12711" i="1"/>
  <c r="F12647" i="1"/>
  <c r="F12583" i="1"/>
  <c r="F12519" i="1"/>
  <c r="F12455" i="1"/>
  <c r="F12391" i="1"/>
  <c r="F12327" i="1"/>
  <c r="F12263" i="1"/>
  <c r="F12199" i="1"/>
  <c r="F12135" i="1"/>
  <c r="F12071" i="1"/>
  <c r="F12007" i="1"/>
  <c r="F11943" i="1"/>
  <c r="F11879" i="1"/>
  <c r="F11815" i="1"/>
  <c r="F11698" i="1"/>
  <c r="F11098" i="1"/>
  <c r="F10931" i="1"/>
  <c r="F10764" i="1"/>
  <c r="F10334" i="1"/>
  <c r="F9388" i="1"/>
  <c r="F11775" i="1"/>
  <c r="F11662" i="1"/>
  <c r="F11576" i="1"/>
  <c r="F11491" i="1"/>
  <c r="F11406" i="1"/>
  <c r="F11320" i="1"/>
  <c r="F11206" i="1"/>
  <c r="F11039" i="1"/>
  <c r="F10872" i="1"/>
  <c r="F10694" i="1"/>
  <c r="F10540" i="1"/>
  <c r="F10412" i="1"/>
  <c r="F10269" i="1"/>
  <c r="F10098" i="1"/>
  <c r="F9928" i="1"/>
  <c r="F9757" i="1"/>
  <c r="F9473" i="1"/>
  <c r="F8950" i="1"/>
  <c r="F9557" i="1"/>
  <c r="F9390" i="1"/>
  <c r="F9210" i="1"/>
  <c r="F9082" i="1"/>
  <c r="F8954" i="1"/>
  <c r="F8826" i="1"/>
  <c r="F8698" i="1"/>
  <c r="F8410" i="1"/>
  <c r="F8081" i="1"/>
  <c r="F7597" i="1"/>
  <c r="F8565" i="1"/>
  <c r="F8236" i="1"/>
  <c r="F7970" i="1"/>
  <c r="F7668" i="1"/>
  <c r="F8985" i="1"/>
  <c r="F8857" i="1"/>
  <c r="F8729" i="1"/>
  <c r="F8482" i="1"/>
  <c r="F8153" i="1"/>
  <c r="F7694" i="1"/>
  <c r="F8637" i="1"/>
  <c r="F8308" i="1"/>
  <c r="F8001" i="1"/>
  <c r="F7717" i="1"/>
  <c r="F8854" i="1"/>
  <c r="F8726" i="1"/>
  <c r="F8488" i="1"/>
  <c r="F8122" i="1"/>
  <c r="F7713" i="1"/>
  <c r="F10558" i="1"/>
  <c r="F10486" i="1"/>
  <c r="F10394" i="1"/>
  <c r="F10277" i="1"/>
  <c r="F10144" i="1"/>
  <c r="F10005" i="1"/>
  <c r="F9861" i="1"/>
  <c r="F9728" i="1"/>
  <c r="F9482" i="1"/>
  <c r="F8661" i="1"/>
  <c r="F7944" i="1"/>
  <c r="F9476" i="1"/>
  <c r="F9021" i="1"/>
  <c r="F8450" i="1"/>
  <c r="F11637" i="1"/>
  <c r="F11421" i="1"/>
  <c r="F11217" i="1"/>
  <c r="F10961" i="1"/>
  <c r="F10705" i="1"/>
  <c r="F10449" i="1"/>
  <c r="F10142" i="1"/>
  <c r="F9801" i="1"/>
  <c r="F9218" i="1"/>
  <c r="F8580" i="1"/>
  <c r="F7966" i="1"/>
  <c r="F7093" i="1"/>
  <c r="F6355" i="1"/>
  <c r="F7032" i="1"/>
  <c r="F9056" i="1"/>
  <c r="F8344" i="1"/>
  <c r="F8613" i="1"/>
  <c r="F7191" i="1"/>
  <c r="F9951" i="1"/>
  <c r="F9439" i="1"/>
  <c r="F8927" i="1"/>
  <c r="F7904" i="1"/>
  <c r="F7370" i="1"/>
  <c r="F5636" i="1"/>
  <c r="F6135" i="1"/>
  <c r="F7336" i="1"/>
  <c r="F5546" i="1"/>
  <c r="F7049" i="1"/>
  <c r="F8595" i="1"/>
  <c r="F8083" i="1"/>
  <c r="F7157" i="1"/>
  <c r="F5137" i="1"/>
  <c r="F5931" i="1"/>
  <c r="F4499" i="1"/>
  <c r="F6257" i="1"/>
  <c r="F5125" i="1"/>
  <c r="F6211" i="1"/>
  <c r="F4510" i="1"/>
  <c r="F6480" i="1"/>
  <c r="F5456" i="1"/>
  <c r="F3738" i="1"/>
  <c r="F4603" i="1"/>
  <c r="F4358" i="1"/>
  <c r="F4039" i="1"/>
  <c r="F4454" i="1"/>
  <c r="F3052" i="1"/>
  <c r="F4350" i="1"/>
  <c r="F2988" i="1"/>
  <c r="F3317" i="1"/>
  <c r="F3524" i="1"/>
  <c r="F5024" i="1"/>
  <c r="F4512" i="1"/>
  <c r="F3621" i="1"/>
  <c r="F4118" i="1"/>
  <c r="F3243" i="1"/>
  <c r="F3576" i="1"/>
  <c r="F4357" i="1"/>
  <c r="F3722" i="1"/>
  <c r="F2190" i="1"/>
  <c r="F1268" i="1"/>
  <c r="F1560" i="1"/>
  <c r="F450" i="1"/>
  <c r="G14443" i="1"/>
  <c r="G11797" i="1"/>
  <c r="G11830" i="1"/>
  <c r="G12434" i="1"/>
  <c r="G8801" i="1"/>
  <c r="F13188" i="1"/>
  <c r="F13060" i="1"/>
  <c r="F12896" i="1"/>
  <c r="F12729" i="1"/>
  <c r="F11616" i="1"/>
  <c r="F11446" i="1"/>
  <c r="F11275" i="1"/>
  <c r="F10971" i="1"/>
  <c r="F12384" i="1"/>
  <c r="F12256" i="1"/>
  <c r="F12128" i="1"/>
  <c r="F12000" i="1"/>
  <c r="F11872" i="1"/>
  <c r="F11690" i="1"/>
  <c r="F10895" i="1"/>
  <c r="F11623" i="1"/>
  <c r="F11452" i="1"/>
  <c r="F11282" i="1"/>
  <c r="F10966" i="1"/>
  <c r="F12365" i="1"/>
  <c r="F12237" i="1"/>
  <c r="F12109" i="1"/>
  <c r="F11981" i="1"/>
  <c r="F11853" i="1"/>
  <c r="F11196" i="1"/>
  <c r="F10838" i="1"/>
  <c r="F11611" i="1"/>
  <c r="F11440" i="1"/>
  <c r="F11270" i="1"/>
  <c r="F10946" i="1"/>
  <c r="F14730" i="1"/>
  <c r="F14602" i="1"/>
  <c r="F14474" i="1"/>
  <c r="F14346" i="1"/>
  <c r="F14218" i="1"/>
  <c r="F14090" i="1"/>
  <c r="F13962" i="1"/>
  <c r="F13834" i="1"/>
  <c r="F13706" i="1"/>
  <c r="F13578" i="1"/>
  <c r="F13450" i="1"/>
  <c r="F13322" i="1"/>
  <c r="F13194" i="1"/>
  <c r="F13066" i="1"/>
  <c r="F12892" i="1"/>
  <c r="F12725" i="1"/>
  <c r="F12588" i="1"/>
  <c r="F12460" i="1"/>
  <c r="F12332" i="1"/>
  <c r="F12204" i="1"/>
  <c r="F12076" i="1"/>
  <c r="F11948" i="1"/>
  <c r="F11820" i="1"/>
  <c r="F11092" i="1"/>
  <c r="F14912" i="1"/>
  <c r="F14848" i="1"/>
  <c r="F14757" i="1"/>
  <c r="F14629" i="1"/>
  <c r="F14501" i="1"/>
  <c r="F14373" i="1"/>
  <c r="F14245" i="1"/>
  <c r="F14117" i="1"/>
  <c r="F13989" i="1"/>
  <c r="F13861" i="1"/>
  <c r="F13733" i="1"/>
  <c r="F13605" i="1"/>
  <c r="F13477" i="1"/>
  <c r="F13349" i="1"/>
  <c r="F13221" i="1"/>
  <c r="F13093" i="1"/>
  <c r="F12936" i="1"/>
  <c r="F12769" i="1"/>
  <c r="F11671" i="1"/>
  <c r="F11500" i="1"/>
  <c r="F11330" i="1"/>
  <c r="F11063" i="1"/>
  <c r="F14761" i="1"/>
  <c r="F14633" i="1"/>
  <c r="F14505" i="1"/>
  <c r="F14377" i="1"/>
  <c r="F14249" i="1"/>
  <c r="F14121" i="1"/>
  <c r="F13993" i="1"/>
  <c r="F13865" i="1"/>
  <c r="F13737" i="1"/>
  <c r="F13609" i="1"/>
  <c r="F13481" i="1"/>
  <c r="F13353" i="1"/>
  <c r="F13225" i="1"/>
  <c r="F13097" i="1"/>
  <c r="F12941" i="1"/>
  <c r="F12774" i="1"/>
  <c r="F12625" i="1"/>
  <c r="F12497" i="1"/>
  <c r="F12369" i="1"/>
  <c r="F12241" i="1"/>
  <c r="F12113" i="1"/>
  <c r="F11985" i="1"/>
  <c r="F11857" i="1"/>
  <c r="F11203" i="1"/>
  <c r="F10774" i="1"/>
  <c r="F12638" i="1"/>
  <c r="F12574" i="1"/>
  <c r="F12510" i="1"/>
  <c r="F12446" i="1"/>
  <c r="F12382" i="1"/>
  <c r="F12318" i="1"/>
  <c r="F12254" i="1"/>
  <c r="F12190" i="1"/>
  <c r="F12126" i="1"/>
  <c r="F12062" i="1"/>
  <c r="F11998" i="1"/>
  <c r="F11934" i="1"/>
  <c r="F11870" i="1"/>
  <c r="F11806" i="1"/>
  <c r="F11250" i="1"/>
  <c r="F11083" i="1"/>
  <c r="F10916" i="1"/>
  <c r="F10738" i="1"/>
  <c r="F9652" i="1"/>
  <c r="F9254" i="1"/>
  <c r="F10654" i="1"/>
  <c r="F10515" i="1"/>
  <c r="F10387" i="1"/>
  <c r="F10236" i="1"/>
  <c r="F10065" i="1"/>
  <c r="F9894" i="1"/>
  <c r="F9724" i="1"/>
  <c r="F9394" i="1"/>
  <c r="F10922" i="1"/>
  <c r="F10755" i="1"/>
  <c r="F9676" i="1"/>
  <c r="F9342" i="1"/>
  <c r="F10678" i="1"/>
  <c r="F10536" i="1"/>
  <c r="F10408" i="1"/>
  <c r="F10253" i="1"/>
  <c r="F10082" i="1"/>
  <c r="F9912" i="1"/>
  <c r="F9741" i="1"/>
  <c r="F9441" i="1"/>
  <c r="F10900" i="1"/>
  <c r="F10722" i="1"/>
  <c r="F9645" i="1"/>
  <c r="F9293" i="1"/>
  <c r="F11735" i="1"/>
  <c r="F11636" i="1"/>
  <c r="F11551" i="1"/>
  <c r="F11466" i="1"/>
  <c r="F11380" i="1"/>
  <c r="F11295" i="1"/>
  <c r="F11168" i="1"/>
  <c r="F10990" i="1"/>
  <c r="F10823" i="1"/>
  <c r="F10656" i="1"/>
  <c r="F10511" i="1"/>
  <c r="F10383" i="1"/>
  <c r="F10209" i="1"/>
  <c r="F10038" i="1"/>
  <c r="F9868" i="1"/>
  <c r="F9696" i="1"/>
  <c r="F9362" i="1"/>
  <c r="F13027" i="1"/>
  <c r="F12963" i="1"/>
  <c r="F12899" i="1"/>
  <c r="F12835" i="1"/>
  <c r="F12771" i="1"/>
  <c r="F12707" i="1"/>
  <c r="F12643" i="1"/>
  <c r="F12579" i="1"/>
  <c r="F12515" i="1"/>
  <c r="F12451" i="1"/>
  <c r="F12387" i="1"/>
  <c r="F12323" i="1"/>
  <c r="F12259" i="1"/>
  <c r="F12195" i="1"/>
  <c r="F12131" i="1"/>
  <c r="F12067" i="1"/>
  <c r="F12003" i="1"/>
  <c r="F11939" i="1"/>
  <c r="F11875" i="1"/>
  <c r="F11811" i="1"/>
  <c r="F11693" i="1"/>
  <c r="F11091" i="1"/>
  <c r="F10924" i="1"/>
  <c r="F10746" i="1"/>
  <c r="F10325" i="1"/>
  <c r="F9374" i="1"/>
  <c r="F11766" i="1"/>
  <c r="F11656" i="1"/>
  <c r="F11571" i="1"/>
  <c r="F11486" i="1"/>
  <c r="F11400" i="1"/>
  <c r="F11315" i="1"/>
  <c r="F11199" i="1"/>
  <c r="F11032" i="1"/>
  <c r="F10854" i="1"/>
  <c r="F10687" i="1"/>
  <c r="F10532" i="1"/>
  <c r="F10404" i="1"/>
  <c r="F10258" i="1"/>
  <c r="F10088" i="1"/>
  <c r="F9917" i="1"/>
  <c r="F9746" i="1"/>
  <c r="F9448" i="1"/>
  <c r="F10332" i="1"/>
  <c r="F9550" i="1"/>
  <c r="F9372" i="1"/>
  <c r="F9202" i="1"/>
  <c r="F9074" i="1"/>
  <c r="F8946" i="1"/>
  <c r="F8818" i="1"/>
  <c r="F8690" i="1"/>
  <c r="F8401" i="1"/>
  <c r="F8072" i="1"/>
  <c r="F9320" i="1"/>
  <c r="F8556" i="1"/>
  <c r="F8190" i="1"/>
  <c r="F7960" i="1"/>
  <c r="F7654" i="1"/>
  <c r="F8977" i="1"/>
  <c r="F8849" i="1"/>
  <c r="F8721" i="1"/>
  <c r="F8473" i="1"/>
  <c r="F8144" i="1"/>
  <c r="F7681" i="1"/>
  <c r="F8628" i="1"/>
  <c r="F8262" i="1"/>
  <c r="F7990" i="1"/>
  <c r="F7693" i="1"/>
  <c r="F8846" i="1"/>
  <c r="F8718" i="1"/>
  <c r="F8442" i="1"/>
  <c r="F8113" i="1"/>
  <c r="F7689" i="1"/>
  <c r="F10554" i="1"/>
  <c r="F10482" i="1"/>
  <c r="F10390" i="1"/>
  <c r="F10272" i="1"/>
  <c r="F10138" i="1"/>
  <c r="F9994" i="1"/>
  <c r="F9856" i="1"/>
  <c r="F9722" i="1"/>
  <c r="F9464" i="1"/>
  <c r="F8542" i="1"/>
  <c r="F7932" i="1"/>
  <c r="F9469" i="1"/>
  <c r="F8973" i="1"/>
  <c r="F8441" i="1"/>
  <c r="F11613" i="1"/>
  <c r="F11413" i="1"/>
  <c r="F11193" i="1"/>
  <c r="F10937" i="1"/>
  <c r="F10681" i="1"/>
  <c r="F10425" i="1"/>
  <c r="F10110" i="1"/>
  <c r="F9769" i="1"/>
  <c r="F8541" i="1"/>
  <c r="F8516" i="1"/>
  <c r="F7933" i="1"/>
  <c r="F6998" i="1"/>
  <c r="F6318" i="1"/>
  <c r="F7008" i="1"/>
  <c r="F9052" i="1"/>
  <c r="F8330" i="1"/>
  <c r="F8604" i="1"/>
  <c r="F7149" i="1"/>
  <c r="F9947" i="1"/>
  <c r="F9435" i="1"/>
  <c r="F8923" i="1"/>
  <c r="F7897" i="1"/>
  <c r="F7365" i="1"/>
  <c r="F5627" i="1"/>
  <c r="F6098" i="1"/>
  <c r="F7331" i="1"/>
  <c r="F5537" i="1"/>
  <c r="F7031" i="1"/>
  <c r="F8591" i="1"/>
  <c r="F8079" i="1"/>
  <c r="F7146" i="1"/>
  <c r="F5095" i="1"/>
  <c r="F5926" i="1"/>
  <c r="F4416" i="1"/>
  <c r="F6248" i="1"/>
  <c r="F5083" i="1"/>
  <c r="F6206" i="1"/>
  <c r="F4459" i="1"/>
  <c r="F6471" i="1"/>
  <c r="F5450" i="1"/>
  <c r="F3665" i="1"/>
  <c r="F4595" i="1"/>
  <c r="F4339" i="1"/>
  <c r="F4024" i="1"/>
  <c r="F4446" i="1"/>
  <c r="F2983" i="1"/>
  <c r="F4326" i="1"/>
  <c r="F2964" i="1"/>
  <c r="F3280" i="1"/>
  <c r="F3515" i="1"/>
  <c r="F5020" i="1"/>
  <c r="F4508" i="1"/>
  <c r="F3616" i="1"/>
  <c r="F4114" i="1"/>
  <c r="F3234" i="1"/>
  <c r="F3567" i="1"/>
  <c r="F4353" i="1"/>
  <c r="F3713" i="1"/>
  <c r="F2148" i="1"/>
  <c r="F1183" i="1"/>
  <c r="F1551" i="1"/>
  <c r="F445" i="1"/>
  <c r="G14427" i="1"/>
  <c r="G11770" i="1"/>
  <c r="G11812" i="1"/>
  <c r="G12429" i="1"/>
  <c r="G8764" i="1"/>
  <c r="F11812" i="1"/>
  <c r="F11067" i="1"/>
  <c r="F14908" i="1"/>
  <c r="F14844" i="1"/>
  <c r="F14748" i="1"/>
  <c r="F14620" i="1"/>
  <c r="F14492" i="1"/>
  <c r="F14364" i="1"/>
  <c r="F14236" i="1"/>
  <c r="F14108" i="1"/>
  <c r="F13980" i="1"/>
  <c r="F13852" i="1"/>
  <c r="F13724" i="1"/>
  <c r="F13596" i="1"/>
  <c r="F13468" i="1"/>
  <c r="F13340" i="1"/>
  <c r="F13212" i="1"/>
  <c r="F13084" i="1"/>
  <c r="F12929" i="1"/>
  <c r="F12762" i="1"/>
  <c r="F11660" i="1"/>
  <c r="F11490" i="1"/>
  <c r="F11319" i="1"/>
  <c r="F11038" i="1"/>
  <c r="F14752" i="1"/>
  <c r="F14624" i="1"/>
  <c r="F14496" i="1"/>
  <c r="F14368" i="1"/>
  <c r="F14240" i="1"/>
  <c r="F14112" i="1"/>
  <c r="F13984" i="1"/>
  <c r="F13856" i="1"/>
  <c r="F13728" i="1"/>
  <c r="F13600" i="1"/>
  <c r="F13472" i="1"/>
  <c r="F13344" i="1"/>
  <c r="F13216" i="1"/>
  <c r="F13088" i="1"/>
  <c r="F12934" i="1"/>
  <c r="F12756" i="1"/>
  <c r="F12617" i="1"/>
  <c r="F12489" i="1"/>
  <c r="F12361" i="1"/>
  <c r="F12233" i="1"/>
  <c r="F12105" i="1"/>
  <c r="F11977" i="1"/>
  <c r="F11849" i="1"/>
  <c r="F11178" i="1"/>
  <c r="F12698" i="1"/>
  <c r="F12634" i="1"/>
  <c r="F12570" i="1"/>
  <c r="F12506" i="1"/>
  <c r="F12442" i="1"/>
  <c r="F12378" i="1"/>
  <c r="F12314" i="1"/>
  <c r="F12250" i="1"/>
  <c r="F12186" i="1"/>
  <c r="F12122" i="1"/>
  <c r="F12058" i="1"/>
  <c r="F11994" i="1"/>
  <c r="F11930" i="1"/>
  <c r="F11866" i="1"/>
  <c r="F11802" i="1"/>
  <c r="F11243" i="1"/>
  <c r="F11076" i="1"/>
  <c r="F10898" i="1"/>
  <c r="F10731" i="1"/>
  <c r="F9638" i="1"/>
  <c r="F9229" i="1"/>
  <c r="F10647" i="1"/>
  <c r="F10507" i="1"/>
  <c r="F10379" i="1"/>
  <c r="F10225" i="1"/>
  <c r="F10054" i="1"/>
  <c r="F9884" i="1"/>
  <c r="F9713" i="1"/>
  <c r="F9369" i="1"/>
  <c r="F10915" i="1"/>
  <c r="F10748" i="1"/>
  <c r="F9662" i="1"/>
  <c r="F9325" i="1"/>
  <c r="F10671" i="1"/>
  <c r="F10528" i="1"/>
  <c r="F10400" i="1"/>
  <c r="F10242" i="1"/>
  <c r="F10072" i="1"/>
  <c r="F9901" i="1"/>
  <c r="F9730" i="1"/>
  <c r="F9416" i="1"/>
  <c r="F10882" i="1"/>
  <c r="F10715" i="1"/>
  <c r="F9620" i="1"/>
  <c r="F9268" i="1"/>
  <c r="F11726" i="1"/>
  <c r="F11631" i="1"/>
  <c r="F11546" i="1"/>
  <c r="F11460" i="1"/>
  <c r="F11375" i="1"/>
  <c r="F11290" i="1"/>
  <c r="F11150" i="1"/>
  <c r="F10983" i="1"/>
  <c r="F10816" i="1"/>
  <c r="F10638" i="1"/>
  <c r="F10503" i="1"/>
  <c r="F10375" i="1"/>
  <c r="F10198" i="1"/>
  <c r="F10028" i="1"/>
  <c r="F9857" i="1"/>
  <c r="F9682" i="1"/>
  <c r="F9337" i="1"/>
  <c r="F13023" i="1"/>
  <c r="F12959" i="1"/>
  <c r="F12895" i="1"/>
  <c r="F12831" i="1"/>
  <c r="F12767" i="1"/>
  <c r="F12703" i="1"/>
  <c r="F12639" i="1"/>
  <c r="F12575" i="1"/>
  <c r="F12511" i="1"/>
  <c r="F12447" i="1"/>
  <c r="F12383" i="1"/>
  <c r="F12319" i="1"/>
  <c r="F12255" i="1"/>
  <c r="F12191" i="1"/>
  <c r="F12127" i="1"/>
  <c r="F12063" i="1"/>
  <c r="F11999" i="1"/>
  <c r="F11935" i="1"/>
  <c r="F11871" i="1"/>
  <c r="F11807" i="1"/>
  <c r="F11251" i="1"/>
  <c r="F11084" i="1"/>
  <c r="F10906" i="1"/>
  <c r="F10739" i="1"/>
  <c r="F9694" i="1"/>
  <c r="F9349" i="1"/>
  <c r="F11761" i="1"/>
  <c r="F11651" i="1"/>
  <c r="F11566" i="1"/>
  <c r="F11480" i="1"/>
  <c r="F11395" i="1"/>
  <c r="F11310" i="1"/>
  <c r="F11192" i="1"/>
  <c r="F11014" i="1"/>
  <c r="F10847" i="1"/>
  <c r="F10680" i="1"/>
  <c r="F10524" i="1"/>
  <c r="F10396" i="1"/>
  <c r="F10248" i="1"/>
  <c r="F10077" i="1"/>
  <c r="F9906" i="1"/>
  <c r="F9736" i="1"/>
  <c r="F9434" i="1"/>
  <c r="F10327" i="1"/>
  <c r="F9532" i="1"/>
  <c r="F9365" i="1"/>
  <c r="F9194" i="1"/>
  <c r="F9066" i="1"/>
  <c r="F8938" i="1"/>
  <c r="F8810" i="1"/>
  <c r="F8682" i="1"/>
  <c r="F8392" i="1"/>
  <c r="F7927" i="1"/>
  <c r="F9313" i="1"/>
  <c r="F8510" i="1"/>
  <c r="F8181" i="1"/>
  <c r="F7949" i="1"/>
  <c r="F7625" i="1"/>
  <c r="F8969" i="1"/>
  <c r="F8841" i="1"/>
  <c r="F8713" i="1"/>
  <c r="F8464" i="1"/>
  <c r="F8098" i="1"/>
  <c r="F7653" i="1"/>
  <c r="F8582" i="1"/>
  <c r="F8253" i="1"/>
  <c r="F7980" i="1"/>
  <c r="F7667" i="1"/>
  <c r="F8838" i="1"/>
  <c r="F8710" i="1"/>
  <c r="F8433" i="1"/>
  <c r="F8104" i="1"/>
  <c r="F7648" i="1"/>
  <c r="F10550" i="1"/>
  <c r="F10478" i="1"/>
  <c r="F10386" i="1"/>
  <c r="F10261" i="1"/>
  <c r="F10117" i="1"/>
  <c r="F9984" i="1"/>
  <c r="F9850" i="1"/>
  <c r="F9717" i="1"/>
  <c r="F9450" i="1"/>
  <c r="F8533" i="1"/>
  <c r="F7908" i="1"/>
  <c r="F9405" i="1"/>
  <c r="F8965" i="1"/>
  <c r="F8313" i="1"/>
  <c r="F11605" i="1"/>
  <c r="F11409" i="1"/>
  <c r="F11189" i="1"/>
  <c r="F10933" i="1"/>
  <c r="F10677" i="1"/>
  <c r="F10421" i="1"/>
  <c r="F10105" i="1"/>
  <c r="F9764" i="1"/>
  <c r="F8532" i="1"/>
  <c r="F8502" i="1"/>
  <c r="F7922" i="1"/>
  <c r="F6973" i="1"/>
  <c r="F6125" i="1"/>
  <c r="F6555" i="1"/>
  <c r="F8992" i="1"/>
  <c r="F8170" i="1"/>
  <c r="F8444" i="1"/>
  <c r="F6802" i="1"/>
  <c r="F9887" i="1"/>
  <c r="F9375" i="1"/>
  <c r="F8863" i="1"/>
  <c r="F7745" i="1"/>
  <c r="F7229" i="1"/>
  <c r="F6154" i="1"/>
  <c r="F5879" i="1"/>
  <c r="F7200" i="1"/>
  <c r="F5287" i="1"/>
  <c r="F6853" i="1"/>
  <c r="F8531" i="1"/>
  <c r="F8019" i="1"/>
  <c r="F7005" i="1"/>
  <c r="F6827" i="1"/>
  <c r="F5803" i="1"/>
  <c r="F4633" i="1"/>
  <c r="F6129" i="1"/>
  <c r="F4439" i="1"/>
  <c r="F6083" i="1"/>
  <c r="F7376" i="1"/>
  <c r="F6352" i="1"/>
  <c r="F5365" i="1"/>
  <c r="F3733" i="1"/>
  <c r="F4294" i="1"/>
  <c r="F3669" i="1"/>
  <c r="F3546" i="1"/>
  <c r="F4210" i="1"/>
  <c r="F5263" i="1"/>
  <c r="F4064" i="1"/>
  <c r="F2839" i="1"/>
  <c r="F2995" i="1"/>
  <c r="F3268" i="1"/>
  <c r="F4960" i="1"/>
  <c r="F4178" i="1"/>
  <c r="F3493" i="1"/>
  <c r="F4054" i="1"/>
  <c r="F3081" i="1"/>
  <c r="F3448" i="1"/>
  <c r="F4293" i="1"/>
  <c r="F3594" i="1"/>
  <c r="F2417" i="1"/>
  <c r="F1635" i="1"/>
  <c r="F845" i="1"/>
  <c r="F467" i="1"/>
  <c r="G14763" i="1"/>
  <c r="G13352" i="1"/>
  <c r="G10138" i="1"/>
  <c r="G10826" i="1"/>
  <c r="G11950" i="1"/>
  <c r="F11595" i="1"/>
  <c r="F11424" i="1"/>
  <c r="F11254" i="1"/>
  <c r="F10935" i="1"/>
  <c r="F12368" i="1"/>
  <c r="F12240" i="1"/>
  <c r="F12112" i="1"/>
  <c r="F11984" i="1"/>
  <c r="F11856" i="1"/>
  <c r="F11227" i="1"/>
  <c r="F10792" i="1"/>
  <c r="F11602" i="1"/>
  <c r="F11431" i="1"/>
  <c r="F11260" i="1"/>
  <c r="F10864" i="1"/>
  <c r="F12349" i="1"/>
  <c r="F12221" i="1"/>
  <c r="F12093" i="1"/>
  <c r="F11965" i="1"/>
  <c r="F11837" i="1"/>
  <c r="F11146" i="1"/>
  <c r="F11777" i="1"/>
  <c r="F11590" i="1"/>
  <c r="F11419" i="1"/>
  <c r="F11247" i="1"/>
  <c r="F10910" i="1"/>
  <c r="F14712" i="1"/>
  <c r="F14584" i="1"/>
  <c r="F14456" i="1"/>
  <c r="F14328" i="1"/>
  <c r="F14200" i="1"/>
  <c r="F14072" i="1"/>
  <c r="F13944" i="1"/>
  <c r="F13816" i="1"/>
  <c r="F13688" i="1"/>
  <c r="F13560" i="1"/>
  <c r="F13432" i="1"/>
  <c r="F13304" i="1"/>
  <c r="F13176" i="1"/>
  <c r="F13045" i="1"/>
  <c r="F12878" i="1"/>
  <c r="F12700" i="1"/>
  <c r="F12572" i="1"/>
  <c r="F12444" i="1"/>
  <c r="F12316" i="1"/>
  <c r="F12188" i="1"/>
  <c r="F12060" i="1"/>
  <c r="F11932" i="1"/>
  <c r="F11804" i="1"/>
  <c r="F11042" i="1"/>
  <c r="F14904" i="1"/>
  <c r="F14840" i="1"/>
  <c r="F14739" i="1"/>
  <c r="F14611" i="1"/>
  <c r="F14483" i="1"/>
  <c r="F14355" i="1"/>
  <c r="F14227" i="1"/>
  <c r="F14099" i="1"/>
  <c r="F13971" i="1"/>
  <c r="F13843" i="1"/>
  <c r="F13715" i="1"/>
  <c r="F13587" i="1"/>
  <c r="F13459" i="1"/>
  <c r="F13331" i="1"/>
  <c r="F13203" i="1"/>
  <c r="F13075" i="1"/>
  <c r="F12922" i="1"/>
  <c r="F12744" i="1"/>
  <c r="F11650" i="1"/>
  <c r="F11479" i="1"/>
  <c r="F11308" i="1"/>
  <c r="F11024" i="1"/>
  <c r="F14743" i="1"/>
  <c r="F14615" i="1"/>
  <c r="F14487" i="1"/>
  <c r="F14359" i="1"/>
  <c r="F14231" i="1"/>
  <c r="F14103" i="1"/>
  <c r="F13975" i="1"/>
  <c r="F13847" i="1"/>
  <c r="F13719" i="1"/>
  <c r="F13591" i="1"/>
  <c r="F13463" i="1"/>
  <c r="F13335" i="1"/>
  <c r="F13207" i="1"/>
  <c r="F13079" i="1"/>
  <c r="F12916" i="1"/>
  <c r="F12749" i="1"/>
  <c r="F12609" i="1"/>
  <c r="F12481" i="1"/>
  <c r="F12353" i="1"/>
  <c r="F12225" i="1"/>
  <c r="F12097" i="1"/>
  <c r="F11969" i="1"/>
  <c r="F11841" i="1"/>
  <c r="F11164" i="1"/>
  <c r="F12694" i="1"/>
  <c r="F12630" i="1"/>
  <c r="F12566" i="1"/>
  <c r="F12502" i="1"/>
  <c r="F12438" i="1"/>
  <c r="F12374" i="1"/>
  <c r="F12310" i="1"/>
  <c r="F12246" i="1"/>
  <c r="F12182" i="1"/>
  <c r="F12118" i="1"/>
  <c r="F12054" i="1"/>
  <c r="F11990" i="1"/>
  <c r="F11926" i="1"/>
  <c r="F11862" i="1"/>
  <c r="F11797" i="1"/>
  <c r="F11236" i="1"/>
  <c r="F11058" i="1"/>
  <c r="F10891" i="1"/>
  <c r="F10724" i="1"/>
  <c r="F9613" i="1"/>
  <c r="F9201" i="1"/>
  <c r="F10640" i="1"/>
  <c r="F10499" i="1"/>
  <c r="F10371" i="1"/>
  <c r="F10214" i="1"/>
  <c r="F10044" i="1"/>
  <c r="F9873" i="1"/>
  <c r="F9689" i="1"/>
  <c r="F9344" i="1"/>
  <c r="F10908" i="1"/>
  <c r="F10730" i="1"/>
  <c r="F9637" i="1"/>
  <c r="F9300" i="1"/>
  <c r="F10664" i="1"/>
  <c r="F10520" i="1"/>
  <c r="F10392" i="1"/>
  <c r="F10232" i="1"/>
  <c r="F10061" i="1"/>
  <c r="F9890" i="1"/>
  <c r="F9720" i="1"/>
  <c r="F9402" i="1"/>
  <c r="F10875" i="1"/>
  <c r="F10708" i="1"/>
  <c r="F9606" i="1"/>
  <c r="F9185" i="1"/>
  <c r="F11721" i="1"/>
  <c r="F11626" i="1"/>
  <c r="F11540" i="1"/>
  <c r="F11455" i="1"/>
  <c r="F11370" i="1"/>
  <c r="F11284" i="1"/>
  <c r="F11143" i="1"/>
  <c r="F10976" i="1"/>
  <c r="F10798" i="1"/>
  <c r="F10631" i="1"/>
  <c r="F10495" i="1"/>
  <c r="F10367" i="1"/>
  <c r="F10188" i="1"/>
  <c r="F10017" i="1"/>
  <c r="F9846" i="1"/>
  <c r="F9657" i="1"/>
  <c r="F9317" i="1"/>
  <c r="F13019" i="1"/>
  <c r="F12955" i="1"/>
  <c r="F12891" i="1"/>
  <c r="F12827" i="1"/>
  <c r="F12763" i="1"/>
  <c r="F12699" i="1"/>
  <c r="F12635" i="1"/>
  <c r="F12571" i="1"/>
  <c r="F12507" i="1"/>
  <c r="F12443" i="1"/>
  <c r="F12379" i="1"/>
  <c r="F12315" i="1"/>
  <c r="F12251" i="1"/>
  <c r="F12187" i="1"/>
  <c r="F12123" i="1"/>
  <c r="F12059" i="1"/>
  <c r="F11995" i="1"/>
  <c r="F11931" i="1"/>
  <c r="F11867" i="1"/>
  <c r="F11803" i="1"/>
  <c r="F11244" i="1"/>
  <c r="F11066" i="1"/>
  <c r="F10899" i="1"/>
  <c r="F10732" i="1"/>
  <c r="F9669" i="1"/>
  <c r="F9286" i="1"/>
  <c r="F11752" i="1"/>
  <c r="F11646" i="1"/>
  <c r="F11560" i="1"/>
  <c r="F11475" i="1"/>
  <c r="F11390" i="1"/>
  <c r="F11304" i="1"/>
  <c r="F11174" i="1"/>
  <c r="F11007" i="1"/>
  <c r="F10840" i="1"/>
  <c r="F10662" i="1"/>
  <c r="F10516" i="1"/>
  <c r="F10388" i="1"/>
  <c r="F10237" i="1"/>
  <c r="F10066" i="1"/>
  <c r="F9896" i="1"/>
  <c r="F9725" i="1"/>
  <c r="F9409" i="1"/>
  <c r="F9692" i="1"/>
  <c r="F9525" i="1"/>
  <c r="F9358" i="1"/>
  <c r="F9186" i="1"/>
  <c r="F9058" i="1"/>
  <c r="F8930" i="1"/>
  <c r="F8802" i="1"/>
  <c r="F8674" i="1"/>
  <c r="F8346" i="1"/>
  <c r="F7902" i="1"/>
  <c r="F9306" i="1"/>
  <c r="F8501" i="1"/>
  <c r="F8172" i="1"/>
  <c r="F7938" i="1"/>
  <c r="F7611" i="1"/>
  <c r="F8961" i="1"/>
  <c r="F8833" i="1"/>
  <c r="F8705" i="1"/>
  <c r="F8418" i="1"/>
  <c r="F8089" i="1"/>
  <c r="F7639" i="1"/>
  <c r="F8573" i="1"/>
  <c r="F8244" i="1"/>
  <c r="F7969" i="1"/>
  <c r="F7608" i="1"/>
  <c r="F8830" i="1"/>
  <c r="F8702" i="1"/>
  <c r="F8424" i="1"/>
  <c r="F8058" i="1"/>
  <c r="F7634" i="1"/>
  <c r="F10546" i="1"/>
  <c r="F10470" i="1"/>
  <c r="F10370" i="1"/>
  <c r="F10250" i="1"/>
  <c r="F10112" i="1"/>
  <c r="F9978" i="1"/>
  <c r="F9845" i="1"/>
  <c r="F9712" i="1"/>
  <c r="F9425" i="1"/>
  <c r="F8524" i="1"/>
  <c r="F7835" i="1"/>
  <c r="F9398" i="1"/>
  <c r="F8917" i="1"/>
  <c r="F8258" i="1"/>
  <c r="F11601" i="1"/>
  <c r="F11385" i="1"/>
  <c r="F11165" i="1"/>
  <c r="F10909" i="1"/>
  <c r="F10653" i="1"/>
  <c r="F10397" i="1"/>
  <c r="F10073" i="1"/>
  <c r="F9732" i="1"/>
  <c r="F8404" i="1"/>
  <c r="F8438" i="1"/>
  <c r="F7860" i="1"/>
  <c r="F6794" i="1"/>
  <c r="F7447" i="1"/>
  <c r="F6518" i="1"/>
  <c r="F8988" i="1"/>
  <c r="F8161" i="1"/>
  <c r="F8430" i="1"/>
  <c r="F6784" i="1"/>
  <c r="F9883" i="1"/>
  <c r="F9371" i="1"/>
  <c r="F8859" i="1"/>
  <c r="F7727" i="1"/>
  <c r="F7224" i="1"/>
  <c r="F6145" i="1"/>
  <c r="F5842" i="1"/>
  <c r="F7195" i="1"/>
  <c r="F5266" i="1"/>
  <c r="F6844" i="1"/>
  <c r="F8527" i="1"/>
  <c r="F8015" i="1"/>
  <c r="F6987" i="1"/>
  <c r="F6822" i="1"/>
  <c r="F5798" i="1"/>
  <c r="F4598" i="1"/>
  <c r="F6120" i="1"/>
  <c r="F4344" i="1"/>
  <c r="F6078" i="1"/>
  <c r="F7367" i="1"/>
  <c r="F6343" i="1"/>
  <c r="F5357" i="1"/>
  <c r="F3696" i="1"/>
  <c r="F4275" i="1"/>
  <c r="F3632" i="1"/>
  <c r="F3491" i="1"/>
  <c r="F4200" i="1"/>
  <c r="F5254" i="1"/>
  <c r="F4051" i="1"/>
  <c r="F2825" i="1"/>
  <c r="F2933" i="1"/>
  <c r="F3259" i="1"/>
  <c r="F4956" i="1"/>
  <c r="F4171" i="1"/>
  <c r="F3488" i="1"/>
  <c r="F4050" i="1"/>
  <c r="F3065" i="1"/>
  <c r="F3439" i="1"/>
  <c r="F4289" i="1"/>
  <c r="F3585" i="1"/>
  <c r="F2408" i="1"/>
  <c r="F1594" i="1"/>
  <c r="F817" i="1"/>
  <c r="F462" i="1"/>
  <c r="G14756" i="1"/>
  <c r="G13347" i="1"/>
  <c r="G10083" i="1"/>
  <c r="G10815" i="1"/>
  <c r="G11941" i="1"/>
  <c r="F11800" i="1"/>
  <c r="F11584" i="1"/>
  <c r="F11414" i="1"/>
  <c r="F11240" i="1"/>
  <c r="F10896" i="1"/>
  <c r="F12360" i="1"/>
  <c r="F12232" i="1"/>
  <c r="F12104" i="1"/>
  <c r="F11976" i="1"/>
  <c r="F11848" i="1"/>
  <c r="F11202" i="1"/>
  <c r="F10767" i="1"/>
  <c r="F11591" i="1"/>
  <c r="F11420" i="1"/>
  <c r="F11248" i="1"/>
  <c r="F10839" i="1"/>
  <c r="F12341" i="1"/>
  <c r="F12213" i="1"/>
  <c r="F12085" i="1"/>
  <c r="F11957" i="1"/>
  <c r="F11829" i="1"/>
  <c r="F11132" i="1"/>
  <c r="F11768" i="1"/>
  <c r="F11579" i="1"/>
  <c r="F11408" i="1"/>
  <c r="F11222" i="1"/>
  <c r="F10832" i="1"/>
  <c r="F14703" i="1"/>
  <c r="F14575" i="1"/>
  <c r="F14447" i="1"/>
  <c r="F14319" i="1"/>
  <c r="F14191" i="1"/>
  <c r="F14063" i="1"/>
  <c r="F13935" i="1"/>
  <c r="F13807" i="1"/>
  <c r="F13679" i="1"/>
  <c r="F13551" i="1"/>
  <c r="F13423" i="1"/>
  <c r="F13295" i="1"/>
  <c r="F13167" i="1"/>
  <c r="F13038" i="1"/>
  <c r="F12860" i="1"/>
  <c r="F12692" i="1"/>
  <c r="F12564" i="1"/>
  <c r="F12436" i="1"/>
  <c r="F12308" i="1"/>
  <c r="F12180" i="1"/>
  <c r="F12052" i="1"/>
  <c r="F11924" i="1"/>
  <c r="F11795" i="1"/>
  <c r="F11028" i="1"/>
  <c r="F14900" i="1"/>
  <c r="F14836" i="1"/>
  <c r="F14734" i="1"/>
  <c r="F14606" i="1"/>
  <c r="F14478" i="1"/>
  <c r="F14350" i="1"/>
  <c r="F14222" i="1"/>
  <c r="F14094" i="1"/>
  <c r="F13966" i="1"/>
  <c r="F13838" i="1"/>
  <c r="F13710" i="1"/>
  <c r="F13582" i="1"/>
  <c r="F13454" i="1"/>
  <c r="F13326" i="1"/>
  <c r="F13198" i="1"/>
  <c r="F13070" i="1"/>
  <c r="F12904" i="1"/>
  <c r="F12737" i="1"/>
  <c r="F11639" i="1"/>
  <c r="F11468" i="1"/>
  <c r="F11298" i="1"/>
  <c r="F10999" i="1"/>
  <c r="F14738" i="1"/>
  <c r="F14610" i="1"/>
  <c r="F14482" i="1"/>
  <c r="F14354" i="1"/>
  <c r="F14226" i="1"/>
  <c r="F14098" i="1"/>
  <c r="F13970" i="1"/>
  <c r="F13842" i="1"/>
  <c r="F13714" i="1"/>
  <c r="F13586" i="1"/>
  <c r="F13458" i="1"/>
  <c r="F13330" i="1"/>
  <c r="F13202" i="1"/>
  <c r="F13074" i="1"/>
  <c r="F12909" i="1"/>
  <c r="F12742" i="1"/>
  <c r="F12601" i="1"/>
  <c r="F12473" i="1"/>
  <c r="F12345" i="1"/>
  <c r="F12217" i="1"/>
  <c r="F12089" i="1"/>
  <c r="F11961" i="1"/>
  <c r="F11833" i="1"/>
  <c r="F11139" i="1"/>
  <c r="F12690" i="1"/>
  <c r="F12626" i="1"/>
  <c r="F12562" i="1"/>
  <c r="F12498" i="1"/>
  <c r="F12434" i="1"/>
  <c r="F12370" i="1"/>
  <c r="F12306" i="1"/>
  <c r="F12242" i="1"/>
  <c r="F12178" i="1"/>
  <c r="F12114" i="1"/>
  <c r="F12050" i="1"/>
  <c r="F11986" i="1"/>
  <c r="F11922" i="1"/>
  <c r="F11858" i="1"/>
  <c r="F11788" i="1"/>
  <c r="F11218" i="1"/>
  <c r="F11051" i="1"/>
  <c r="F10884" i="1"/>
  <c r="F10706" i="1"/>
  <c r="F9588" i="1"/>
  <c r="F9169" i="1"/>
  <c r="F10622" i="1"/>
  <c r="F10491" i="1"/>
  <c r="F10363" i="1"/>
  <c r="F10204" i="1"/>
  <c r="F10033" i="1"/>
  <c r="F9862" i="1"/>
  <c r="F9664" i="1"/>
  <c r="F9278" i="1"/>
  <c r="F10890" i="1"/>
  <c r="F10723" i="1"/>
  <c r="F9612" i="1"/>
  <c r="F9222" i="1"/>
  <c r="F10646" i="1"/>
  <c r="F10512" i="1"/>
  <c r="F10384" i="1"/>
  <c r="F10221" i="1"/>
  <c r="F10050" i="1"/>
  <c r="F9880" i="1"/>
  <c r="F9709" i="1"/>
  <c r="F9377" i="1"/>
  <c r="F10868" i="1"/>
  <c r="F10690" i="1"/>
  <c r="F9581" i="1"/>
  <c r="F9153" i="1"/>
  <c r="F11712" i="1"/>
  <c r="F11620" i="1"/>
  <c r="F11535" i="1"/>
  <c r="F11450" i="1"/>
  <c r="F11364" i="1"/>
  <c r="F11279" i="1"/>
  <c r="F11136" i="1"/>
  <c r="F10958" i="1"/>
  <c r="F10791" i="1"/>
  <c r="F10624" i="1"/>
  <c r="F10487" i="1"/>
  <c r="F10359" i="1"/>
  <c r="F10177" i="1"/>
  <c r="F10006" i="1"/>
  <c r="F9836" i="1"/>
  <c r="F9632" i="1"/>
  <c r="F9292" i="1"/>
  <c r="F13015" i="1"/>
  <c r="F12951" i="1"/>
  <c r="F12887" i="1"/>
  <c r="F12823" i="1"/>
  <c r="F12759" i="1"/>
  <c r="F12695" i="1"/>
  <c r="F12631" i="1"/>
  <c r="F12567" i="1"/>
  <c r="F12503" i="1"/>
  <c r="F12439" i="1"/>
  <c r="F12375" i="1"/>
  <c r="F12311" i="1"/>
  <c r="F12247" i="1"/>
  <c r="F12183" i="1"/>
  <c r="F12119" i="1"/>
  <c r="F12055" i="1"/>
  <c r="F11991" i="1"/>
  <c r="F11927" i="1"/>
  <c r="F11863" i="1"/>
  <c r="F11794" i="1"/>
  <c r="F11226" i="1"/>
  <c r="F11059" i="1"/>
  <c r="F10892" i="1"/>
  <c r="F10714" i="1"/>
  <c r="F9644" i="1"/>
  <c r="F9261" i="1"/>
  <c r="F11743" i="1"/>
  <c r="F11640" i="1"/>
  <c r="F11555" i="1"/>
  <c r="F11470" i="1"/>
  <c r="F11384" i="1"/>
  <c r="F11299" i="1"/>
  <c r="F11167" i="1"/>
  <c r="F11000" i="1"/>
  <c r="F10822" i="1"/>
  <c r="F10655" i="1"/>
  <c r="F10508" i="1"/>
  <c r="F10380" i="1"/>
  <c r="F10226" i="1"/>
  <c r="F10056" i="1"/>
  <c r="F9885" i="1"/>
  <c r="F9714" i="1"/>
  <c r="F9384" i="1"/>
  <c r="F9685" i="1"/>
  <c r="F9518" i="1"/>
  <c r="F9340" i="1"/>
  <c r="F9178" i="1"/>
  <c r="F9050" i="1"/>
  <c r="F8922" i="1"/>
  <c r="F8794" i="1"/>
  <c r="F8666" i="1"/>
  <c r="F8337" i="1"/>
  <c r="F7878" i="1"/>
  <c r="F9288" i="1"/>
  <c r="F8492" i="1"/>
  <c r="F8126" i="1"/>
  <c r="F7914" i="1"/>
  <c r="F7595" i="1"/>
  <c r="F8953" i="1"/>
  <c r="F8825" i="1"/>
  <c r="F8697" i="1"/>
  <c r="F8409" i="1"/>
  <c r="F8080" i="1"/>
  <c r="F9330" i="1"/>
  <c r="F8564" i="1"/>
  <c r="F8198" i="1"/>
  <c r="F7958" i="1"/>
  <c r="F7594" i="1"/>
  <c r="F8822" i="1"/>
  <c r="F8694" i="1"/>
  <c r="F8378" i="1"/>
  <c r="F8049" i="1"/>
  <c r="F7618" i="1"/>
  <c r="F10542" i="1"/>
  <c r="F10462" i="1"/>
  <c r="F10366" i="1"/>
  <c r="F10240" i="1"/>
  <c r="F10106" i="1"/>
  <c r="F9973" i="1"/>
  <c r="F9834" i="1"/>
  <c r="F9674" i="1"/>
  <c r="F9400" i="1"/>
  <c r="F8478" i="1"/>
  <c r="F7786" i="1"/>
  <c r="F9334" i="1"/>
  <c r="F8901" i="1"/>
  <c r="F8249" i="1"/>
  <c r="F11577" i="1"/>
  <c r="F11381" i="1"/>
  <c r="F11153" i="1"/>
  <c r="F10897" i="1"/>
  <c r="F10641" i="1"/>
  <c r="F10385" i="1"/>
  <c r="F10057" i="1"/>
  <c r="F9716" i="1"/>
  <c r="F8340" i="1"/>
  <c r="F8406" i="1"/>
  <c r="F7818" i="1"/>
  <c r="F6520" i="1"/>
  <c r="F7405" i="1"/>
  <c r="F7517" i="1"/>
  <c r="F8928" i="1"/>
  <c r="F7911" i="1"/>
  <c r="F8270" i="1"/>
  <c r="F6290" i="1"/>
  <c r="F9823" i="1"/>
  <c r="F9311" i="1"/>
  <c r="F8799" i="1"/>
  <c r="F7543" i="1"/>
  <c r="F7083" i="1"/>
  <c r="F5898" i="1"/>
  <c r="F5623" i="1"/>
  <c r="F7037" i="1"/>
  <c r="F7862" i="1"/>
  <c r="F6597" i="1"/>
  <c r="F8467" i="1"/>
  <c r="F7955" i="1"/>
  <c r="F6770" i="1"/>
  <c r="F6699" i="1"/>
  <c r="F5675" i="1"/>
  <c r="F4849" i="1"/>
  <c r="F6001" i="1"/>
  <c r="F6979" i="1"/>
  <c r="F5955" i="1"/>
  <c r="F7248" i="1"/>
  <c r="F6224" i="1"/>
  <c r="F4990" i="1"/>
  <c r="F3797" i="1"/>
  <c r="F3568" i="1"/>
  <c r="F5243" i="1"/>
  <c r="F3230" i="1"/>
  <c r="F3830" i="1"/>
  <c r="F5094" i="1"/>
  <c r="F3583" i="1"/>
  <c r="F2244" i="1"/>
  <c r="F4447" i="1"/>
  <c r="F2889" i="1"/>
  <c r="F4896" i="1"/>
  <c r="F3734" i="1"/>
  <c r="F3365" i="1"/>
  <c r="F3990" i="1"/>
  <c r="F2885" i="1"/>
  <c r="F3320" i="1"/>
  <c r="F4229" i="1"/>
  <c r="F3466" i="1"/>
  <c r="F2222" i="1"/>
  <c r="F1818" i="1"/>
  <c r="F1632" i="1"/>
  <c r="F393" i="1"/>
  <c r="G14620" i="1"/>
  <c r="G11152" i="1"/>
  <c r="G9748" i="1"/>
  <c r="G11172" i="1"/>
  <c r="G10575" i="1"/>
  <c r="F11791" i="1"/>
  <c r="F11574" i="1"/>
  <c r="F11403" i="1"/>
  <c r="F11215" i="1"/>
  <c r="F10871" i="1"/>
  <c r="F12352" i="1"/>
  <c r="F12224" i="1"/>
  <c r="F12096" i="1"/>
  <c r="F11968" i="1"/>
  <c r="F11840" i="1"/>
  <c r="F11188" i="1"/>
  <c r="F11769" i="1"/>
  <c r="F11580" i="1"/>
  <c r="F11410" i="1"/>
  <c r="F11223" i="1"/>
  <c r="F10814" i="1"/>
  <c r="F12333" i="1"/>
  <c r="F12205" i="1"/>
  <c r="F12077" i="1"/>
  <c r="F11949" i="1"/>
  <c r="F11821" i="1"/>
  <c r="F11107" i="1"/>
  <c r="F11759" i="1"/>
  <c r="F11568" i="1"/>
  <c r="F11398" i="1"/>
  <c r="F11208" i="1"/>
  <c r="F10807" i="1"/>
  <c r="F14698" i="1"/>
  <c r="F14570" i="1"/>
  <c r="F14442" i="1"/>
  <c r="F14314" i="1"/>
  <c r="F14186" i="1"/>
  <c r="F14058" i="1"/>
  <c r="F13930" i="1"/>
  <c r="F13802" i="1"/>
  <c r="F13674" i="1"/>
  <c r="F13546" i="1"/>
  <c r="F13418" i="1"/>
  <c r="F13290" i="1"/>
  <c r="F13162" i="1"/>
  <c r="F13020" i="1"/>
  <c r="F12853" i="1"/>
  <c r="F12684" i="1"/>
  <c r="F12556" i="1"/>
  <c r="F12428" i="1"/>
  <c r="F12300" i="1"/>
  <c r="F12172" i="1"/>
  <c r="F12044" i="1"/>
  <c r="F11916" i="1"/>
  <c r="F11786" i="1"/>
  <c r="F11003" i="1"/>
  <c r="F14896" i="1"/>
  <c r="F14832" i="1"/>
  <c r="F14725" i="1"/>
  <c r="F14597" i="1"/>
  <c r="F14469" i="1"/>
  <c r="F14341" i="1"/>
  <c r="F14213" i="1"/>
  <c r="F14085" i="1"/>
  <c r="F13957" i="1"/>
  <c r="F13829" i="1"/>
  <c r="F13701" i="1"/>
  <c r="F13573" i="1"/>
  <c r="F13445" i="1"/>
  <c r="F13317" i="1"/>
  <c r="F13189" i="1"/>
  <c r="F13061" i="1"/>
  <c r="F12897" i="1"/>
  <c r="F12730" i="1"/>
  <c r="F11628" i="1"/>
  <c r="F11458" i="1"/>
  <c r="F11287" i="1"/>
  <c r="F10974" i="1"/>
  <c r="F14729" i="1"/>
  <c r="F14601" i="1"/>
  <c r="F14473" i="1"/>
  <c r="F14345" i="1"/>
  <c r="F14217" i="1"/>
  <c r="F14089" i="1"/>
  <c r="F13961" i="1"/>
  <c r="F13833" i="1"/>
  <c r="F13705" i="1"/>
  <c r="F13577" i="1"/>
  <c r="F13449" i="1"/>
  <c r="F13321" i="1"/>
  <c r="F13193" i="1"/>
  <c r="F13065" i="1"/>
  <c r="F12902" i="1"/>
  <c r="F12724" i="1"/>
  <c r="F12593" i="1"/>
  <c r="F12465" i="1"/>
  <c r="F12337" i="1"/>
  <c r="F12209" i="1"/>
  <c r="F12081" i="1"/>
  <c r="F11953" i="1"/>
  <c r="F11825" i="1"/>
  <c r="F11114" i="1"/>
  <c r="F12686" i="1"/>
  <c r="F12622" i="1"/>
  <c r="F12558" i="1"/>
  <c r="F12494" i="1"/>
  <c r="F12430" i="1"/>
  <c r="F12366" i="1"/>
  <c r="F12302" i="1"/>
  <c r="F12238" i="1"/>
  <c r="F12174" i="1"/>
  <c r="F12110" i="1"/>
  <c r="F12046" i="1"/>
  <c r="F11982" i="1"/>
  <c r="F11918" i="1"/>
  <c r="F11854" i="1"/>
  <c r="F11779" i="1"/>
  <c r="F11211" i="1"/>
  <c r="F11044" i="1"/>
  <c r="F10866" i="1"/>
  <c r="F10699" i="1"/>
  <c r="F9574" i="1"/>
  <c r="F9137" i="1"/>
  <c r="F10615" i="1"/>
  <c r="F10483" i="1"/>
  <c r="F10355" i="1"/>
  <c r="F10193" i="1"/>
  <c r="F10022" i="1"/>
  <c r="F9852" i="1"/>
  <c r="F9650" i="1"/>
  <c r="F9253" i="1"/>
  <c r="F10883" i="1"/>
  <c r="F10716" i="1"/>
  <c r="F9598" i="1"/>
  <c r="F9193" i="1"/>
  <c r="F10639" i="1"/>
  <c r="F10504" i="1"/>
  <c r="F10376" i="1"/>
  <c r="F10210" i="1"/>
  <c r="F10040" i="1"/>
  <c r="F9869" i="1"/>
  <c r="F9697" i="1"/>
  <c r="F9352" i="1"/>
  <c r="F10850" i="1"/>
  <c r="F10683" i="1"/>
  <c r="F9556" i="1"/>
  <c r="F9121" i="1"/>
  <c r="F11703" i="1"/>
  <c r="F11615" i="1"/>
  <c r="F11530" i="1"/>
  <c r="F11444" i="1"/>
  <c r="F11359" i="1"/>
  <c r="F11274" i="1"/>
  <c r="F11118" i="1"/>
  <c r="F10951" i="1"/>
  <c r="F10784" i="1"/>
  <c r="F10606" i="1"/>
  <c r="F10479" i="1"/>
  <c r="F10351" i="1"/>
  <c r="F10166" i="1"/>
  <c r="F9996" i="1"/>
  <c r="F9825" i="1"/>
  <c r="F9618" i="1"/>
  <c r="F9214" i="1"/>
  <c r="F13011" i="1"/>
  <c r="F12947" i="1"/>
  <c r="F12883" i="1"/>
  <c r="F12819" i="1"/>
  <c r="F12755" i="1"/>
  <c r="F12691" i="1"/>
  <c r="F12627" i="1"/>
  <c r="F12563" i="1"/>
  <c r="F12499" i="1"/>
  <c r="F12435" i="1"/>
  <c r="F12371" i="1"/>
  <c r="F12307" i="1"/>
  <c r="F12243" i="1"/>
  <c r="F12179" i="1"/>
  <c r="F12115" i="1"/>
  <c r="F12051" i="1"/>
  <c r="F11987" i="1"/>
  <c r="F11923" i="1"/>
  <c r="F11859" i="1"/>
  <c r="F11789" i="1"/>
  <c r="F11219" i="1"/>
  <c r="F11052" i="1"/>
  <c r="F10874" i="1"/>
  <c r="F10707" i="1"/>
  <c r="F9630" i="1"/>
  <c r="F9236" i="1"/>
  <c r="F11734" i="1"/>
  <c r="F11635" i="1"/>
  <c r="F11550" i="1"/>
  <c r="F11464" i="1"/>
  <c r="F11379" i="1"/>
  <c r="F11294" i="1"/>
  <c r="F11160" i="1"/>
  <c r="F10982" i="1"/>
  <c r="F10815" i="1"/>
  <c r="F10648" i="1"/>
  <c r="F10500" i="1"/>
  <c r="F10372" i="1"/>
  <c r="F10216" i="1"/>
  <c r="F10045" i="1"/>
  <c r="F9874" i="1"/>
  <c r="F9704" i="1"/>
  <c r="F9370" i="1"/>
  <c r="F9678" i="1"/>
  <c r="F9500" i="1"/>
  <c r="F9333" i="1"/>
  <c r="F9170" i="1"/>
  <c r="F9042" i="1"/>
  <c r="F8914" i="1"/>
  <c r="F8786" i="1"/>
  <c r="F8657" i="1"/>
  <c r="F8328" i="1"/>
  <c r="F7865" i="1"/>
  <c r="F9281" i="1"/>
  <c r="F8446" i="1"/>
  <c r="F8117" i="1"/>
  <c r="F7901" i="1"/>
  <c r="F9073" i="1"/>
  <c r="F8945" i="1"/>
  <c r="F8817" i="1"/>
  <c r="F8689" i="1"/>
  <c r="F8400" i="1"/>
  <c r="F7937" i="1"/>
  <c r="F9312" i="1"/>
  <c r="F8518" i="1"/>
  <c r="F8189" i="1"/>
  <c r="F7948" i="1"/>
  <c r="F8942" i="1"/>
  <c r="F8814" i="1"/>
  <c r="F8686" i="1"/>
  <c r="F8369" i="1"/>
  <c r="F8040" i="1"/>
  <c r="F7589" i="1"/>
  <c r="F10538" i="1"/>
  <c r="F10458" i="1"/>
  <c r="F10362" i="1"/>
  <c r="F10234" i="1"/>
  <c r="F10101" i="1"/>
  <c r="F9968" i="1"/>
  <c r="F9824" i="1"/>
  <c r="F9656" i="1"/>
  <c r="F9393" i="1"/>
  <c r="F8460" i="1"/>
  <c r="F7762" i="1"/>
  <c r="F9309" i="1"/>
  <c r="F8893" i="1"/>
  <c r="F8121" i="1"/>
  <c r="F11573" i="1"/>
  <c r="F11357" i="1"/>
  <c r="F11129" i="1"/>
  <c r="F10873" i="1"/>
  <c r="F10617" i="1"/>
  <c r="F10361" i="1"/>
  <c r="F10025" i="1"/>
  <c r="F9666" i="1"/>
  <c r="F8212" i="1"/>
  <c r="F8342" i="1"/>
  <c r="F7763" i="1"/>
  <c r="F6465" i="1"/>
  <c r="F7290" i="1"/>
  <c r="F7508" i="1"/>
  <c r="F8924" i="1"/>
  <c r="F7905" i="1"/>
  <c r="F8261" i="1"/>
  <c r="F6272" i="1"/>
  <c r="F9819" i="1"/>
  <c r="F9307" i="1"/>
  <c r="F8795" i="1"/>
  <c r="F7534" i="1"/>
  <c r="F7072" i="1"/>
  <c r="F5889" i="1"/>
  <c r="F5586" i="1"/>
  <c r="F7019" i="1"/>
  <c r="F7857" i="1"/>
  <c r="F6588" i="1"/>
  <c r="F8463" i="1"/>
  <c r="F7951" i="1"/>
  <c r="F6761" i="1"/>
  <c r="F6694" i="1"/>
  <c r="F5670" i="1"/>
  <c r="F4837" i="1"/>
  <c r="F5992" i="1"/>
  <c r="F6974" i="1"/>
  <c r="F5950" i="1"/>
  <c r="F7239" i="1"/>
  <c r="F6215" i="1"/>
  <c r="F4978" i="1"/>
  <c r="F3760" i="1"/>
  <c r="F3495" i="1"/>
  <c r="F5238" i="1"/>
  <c r="F3087" i="1"/>
  <c r="F3775" i="1"/>
  <c r="F5085" i="1"/>
  <c r="F3565" i="1"/>
  <c r="F2174" i="1"/>
  <c r="F4438" i="1"/>
  <c r="F2875" i="1"/>
  <c r="F4892" i="1"/>
  <c r="F3725" i="1"/>
  <c r="F3360" i="1"/>
  <c r="F3986" i="1"/>
  <c r="F2879" i="1"/>
  <c r="F3311" i="1"/>
  <c r="F4225" i="1"/>
  <c r="F3457" i="1"/>
  <c r="F2201" i="1"/>
  <c r="F1798" i="1"/>
  <c r="F1623" i="1"/>
  <c r="F384" i="1"/>
  <c r="G14616" i="1"/>
  <c r="G11115" i="1"/>
  <c r="G9730" i="1"/>
  <c r="G11167" i="1"/>
  <c r="G10557" i="1"/>
  <c r="F13564" i="1"/>
  <c r="F13436" i="1"/>
  <c r="F13308" i="1"/>
  <c r="F13180" i="1"/>
  <c r="F13056" i="1"/>
  <c r="F12890" i="1"/>
  <c r="F12712" i="1"/>
  <c r="F11618" i="1"/>
  <c r="F11447" i="1"/>
  <c r="F11276" i="1"/>
  <c r="F10903" i="1"/>
  <c r="F14720" i="1"/>
  <c r="F14592" i="1"/>
  <c r="F14464" i="1"/>
  <c r="F14336" i="1"/>
  <c r="F14208" i="1"/>
  <c r="F14080" i="1"/>
  <c r="F13952" i="1"/>
  <c r="F13824" i="1"/>
  <c r="F13696" i="1"/>
  <c r="F13568" i="1"/>
  <c r="F13440" i="1"/>
  <c r="F13312" i="1"/>
  <c r="F13184" i="1"/>
  <c r="F13055" i="1"/>
  <c r="F12884" i="1"/>
  <c r="F12717" i="1"/>
  <c r="F12585" i="1"/>
  <c r="F12457" i="1"/>
  <c r="F12329" i="1"/>
  <c r="F12201" i="1"/>
  <c r="F12073" i="1"/>
  <c r="F11945" i="1"/>
  <c r="F11817" i="1"/>
  <c r="F11100" i="1"/>
  <c r="F12682" i="1"/>
  <c r="F12618" i="1"/>
  <c r="F12554" i="1"/>
  <c r="F12490" i="1"/>
  <c r="F12426" i="1"/>
  <c r="F12362" i="1"/>
  <c r="F12298" i="1"/>
  <c r="F12234" i="1"/>
  <c r="F12170" i="1"/>
  <c r="F12106" i="1"/>
  <c r="F12042" i="1"/>
  <c r="F11978" i="1"/>
  <c r="F11914" i="1"/>
  <c r="F11850" i="1"/>
  <c r="F11770" i="1"/>
  <c r="F11204" i="1"/>
  <c r="F11026" i="1"/>
  <c r="F10859" i="1"/>
  <c r="F10692" i="1"/>
  <c r="F9549" i="1"/>
  <c r="F9105" i="1"/>
  <c r="F10608" i="1"/>
  <c r="F10475" i="1"/>
  <c r="F10347" i="1"/>
  <c r="F10182" i="1"/>
  <c r="F10012" i="1"/>
  <c r="F9841" i="1"/>
  <c r="F9625" i="1"/>
  <c r="F9228" i="1"/>
  <c r="F10876" i="1"/>
  <c r="F10698" i="1"/>
  <c r="F9573" i="1"/>
  <c r="F9161" i="1"/>
  <c r="F10632" i="1"/>
  <c r="F10496" i="1"/>
  <c r="F10368" i="1"/>
  <c r="F10200" i="1"/>
  <c r="F10029" i="1"/>
  <c r="F9858" i="1"/>
  <c r="F9672" i="1"/>
  <c r="F9338" i="1"/>
  <c r="F10843" i="1"/>
  <c r="F10676" i="1"/>
  <c r="F9542" i="1"/>
  <c r="F9089" i="1"/>
  <c r="F11694" i="1"/>
  <c r="F11610" i="1"/>
  <c r="F11524" i="1"/>
  <c r="F11439" i="1"/>
  <c r="F11354" i="1"/>
  <c r="F11268" i="1"/>
  <c r="F11111" i="1"/>
  <c r="F10944" i="1"/>
  <c r="F10766" i="1"/>
  <c r="F10599" i="1"/>
  <c r="F10471" i="1"/>
  <c r="F10343" i="1"/>
  <c r="F10156" i="1"/>
  <c r="F9985" i="1"/>
  <c r="F9814" i="1"/>
  <c r="F9593" i="1"/>
  <c r="F9182" i="1"/>
  <c r="F13007" i="1"/>
  <c r="F12943" i="1"/>
  <c r="F12879" i="1"/>
  <c r="F12815" i="1"/>
  <c r="F12751" i="1"/>
  <c r="F12687" i="1"/>
  <c r="F12623" i="1"/>
  <c r="F12559" i="1"/>
  <c r="F12495" i="1"/>
  <c r="F12431" i="1"/>
  <c r="F12367" i="1"/>
  <c r="F12303" i="1"/>
  <c r="F12239" i="1"/>
  <c r="F12175" i="1"/>
  <c r="F12111" i="1"/>
  <c r="F12047" i="1"/>
  <c r="F11983" i="1"/>
  <c r="F11919" i="1"/>
  <c r="F11855" i="1"/>
  <c r="F11780" i="1"/>
  <c r="F11212" i="1"/>
  <c r="F11034" i="1"/>
  <c r="F10867" i="1"/>
  <c r="F10700" i="1"/>
  <c r="F9605" i="1"/>
  <c r="F9209" i="1"/>
  <c r="F11729" i="1"/>
  <c r="F11630" i="1"/>
  <c r="F11544" i="1"/>
  <c r="F11459" i="1"/>
  <c r="F11374" i="1"/>
  <c r="F11288" i="1"/>
  <c r="F11142" i="1"/>
  <c r="F10975" i="1"/>
  <c r="F10808" i="1"/>
  <c r="F10630" i="1"/>
  <c r="F10492" i="1"/>
  <c r="F10364" i="1"/>
  <c r="F10205" i="1"/>
  <c r="F10034" i="1"/>
  <c r="F9864" i="1"/>
  <c r="F9690" i="1"/>
  <c r="F9345" i="1"/>
  <c r="F9660" i="1"/>
  <c r="F9493" i="1"/>
  <c r="F9326" i="1"/>
  <c r="F9162" i="1"/>
  <c r="F9034" i="1"/>
  <c r="F8906" i="1"/>
  <c r="F8778" i="1"/>
  <c r="F8648" i="1"/>
  <c r="F8282" i="1"/>
  <c r="F7854" i="1"/>
  <c r="F9274" i="1"/>
  <c r="F8437" i="1"/>
  <c r="F8108" i="1"/>
  <c r="F7890" i="1"/>
  <c r="F9065" i="1"/>
  <c r="F8937" i="1"/>
  <c r="F8809" i="1"/>
  <c r="F8681" i="1"/>
  <c r="F8354" i="1"/>
  <c r="F7913" i="1"/>
  <c r="F9305" i="1"/>
  <c r="F8509" i="1"/>
  <c r="F8180" i="1"/>
  <c r="F7924" i="1"/>
  <c r="F8934" i="1"/>
  <c r="F8806" i="1"/>
  <c r="F8678" i="1"/>
  <c r="F8360" i="1"/>
  <c r="F7920" i="1"/>
  <c r="F10598" i="1"/>
  <c r="F10534" i="1"/>
  <c r="F10454" i="1"/>
  <c r="F10358" i="1"/>
  <c r="F10229" i="1"/>
  <c r="F10090" i="1"/>
  <c r="F9946" i="1"/>
  <c r="F9813" i="1"/>
  <c r="F9649" i="1"/>
  <c r="F9386" i="1"/>
  <c r="F8405" i="1"/>
  <c r="F7749" i="1"/>
  <c r="F9302" i="1"/>
  <c r="F8845" i="1"/>
  <c r="F8112" i="1"/>
  <c r="F11549" i="1"/>
  <c r="F11349" i="1"/>
  <c r="F11125" i="1"/>
  <c r="F10869" i="1"/>
  <c r="F10613" i="1"/>
  <c r="F10357" i="1"/>
  <c r="F10020" i="1"/>
  <c r="F9648" i="1"/>
  <c r="F8166" i="1"/>
  <c r="F8333" i="1"/>
  <c r="F7757" i="1"/>
  <c r="F6282" i="1"/>
  <c r="F7123" i="1"/>
  <c r="F7265" i="1"/>
  <c r="F8864" i="1"/>
  <c r="F7735" i="1"/>
  <c r="F8101" i="1"/>
  <c r="F10271" i="1"/>
  <c r="F9759" i="1"/>
  <c r="F9247" i="1"/>
  <c r="F8735" i="1"/>
  <c r="F7284" i="1"/>
  <c r="F6916" i="1"/>
  <c r="F5642" i="1"/>
  <c r="F5384" i="1"/>
  <c r="F6826" i="1"/>
  <c r="F7734" i="1"/>
  <c r="F6341" i="1"/>
  <c r="F8403" i="1"/>
  <c r="F7843" i="1"/>
  <c r="F6514" i="1"/>
  <c r="F6571" i="1"/>
  <c r="F5547" i="1"/>
  <c r="F6897" i="1"/>
  <c r="F5873" i="1"/>
  <c r="F6851" i="1"/>
  <c r="F5827" i="1"/>
  <c r="F7120" i="1"/>
  <c r="F6096" i="1"/>
  <c r="F4455" i="1"/>
  <c r="F3867" i="1"/>
  <c r="F5411" i="1"/>
  <c r="F5050" i="1"/>
  <c r="F4991" i="1"/>
  <c r="F3318" i="1"/>
  <c r="F4925" i="1"/>
  <c r="F3916" i="1"/>
  <c r="F2243" i="1"/>
  <c r="F4330" i="1"/>
  <c r="F2308" i="1"/>
  <c r="F4832" i="1"/>
  <c r="F3478" i="1"/>
  <c r="F3237" i="1"/>
  <c r="F3883" i="1"/>
  <c r="F2771" i="1"/>
  <c r="F3159" i="1"/>
  <c r="F4165" i="1"/>
  <c r="F3338" i="1"/>
  <c r="F2739" i="1"/>
  <c r="F3118" i="1"/>
  <c r="F395" i="1"/>
  <c r="G14638" i="1"/>
  <c r="G13961" i="1"/>
  <c r="G13879" i="1"/>
  <c r="G11979" i="1"/>
  <c r="G8445" i="1"/>
  <c r="G9984" i="1"/>
  <c r="F13010" i="1"/>
  <c r="F12832" i="1"/>
  <c r="F11745" i="1"/>
  <c r="F11552" i="1"/>
  <c r="F11382" i="1"/>
  <c r="F11176" i="1"/>
  <c r="F10768" i="1"/>
  <c r="F12336" i="1"/>
  <c r="F12208" i="1"/>
  <c r="F12080" i="1"/>
  <c r="F11952" i="1"/>
  <c r="F11824" i="1"/>
  <c r="F11138" i="1"/>
  <c r="F11751" i="1"/>
  <c r="F11559" i="1"/>
  <c r="F11388" i="1"/>
  <c r="F11184" i="1"/>
  <c r="F12445" i="1"/>
  <c r="F12317" i="1"/>
  <c r="F12189" i="1"/>
  <c r="F12061" i="1"/>
  <c r="F11933" i="1"/>
  <c r="F11805" i="1"/>
  <c r="F11068" i="1"/>
  <c r="F11713" i="1"/>
  <c r="F11547" i="1"/>
  <c r="F11376" i="1"/>
  <c r="F11158" i="1"/>
  <c r="F14808" i="1"/>
  <c r="F14680" i="1"/>
  <c r="F14552" i="1"/>
  <c r="F14424" i="1"/>
  <c r="F14296" i="1"/>
  <c r="F14168" i="1"/>
  <c r="F14040" i="1"/>
  <c r="F13912" i="1"/>
  <c r="F13784" i="1"/>
  <c r="F13656" i="1"/>
  <c r="F13528" i="1"/>
  <c r="F13400" i="1"/>
  <c r="F13272" i="1"/>
  <c r="F13144" i="1"/>
  <c r="F13006" i="1"/>
  <c r="F12828" i="1"/>
  <c r="F12668" i="1"/>
  <c r="F12540" i="1"/>
  <c r="F12412" i="1"/>
  <c r="F12284" i="1"/>
  <c r="F12156" i="1"/>
  <c r="F12028" i="1"/>
  <c r="F11900" i="1"/>
  <c r="F11740" i="1"/>
  <c r="F10959" i="1"/>
  <c r="F14888" i="1"/>
  <c r="F14824" i="1"/>
  <c r="F14707" i="1"/>
  <c r="F14579" i="1"/>
  <c r="F14451" i="1"/>
  <c r="F14323" i="1"/>
  <c r="F14195" i="1"/>
  <c r="F14067" i="1"/>
  <c r="F13939" i="1"/>
  <c r="F13811" i="1"/>
  <c r="F13683" i="1"/>
  <c r="F13555" i="1"/>
  <c r="F13427" i="1"/>
  <c r="F13299" i="1"/>
  <c r="F13171" i="1"/>
  <c r="F13050" i="1"/>
  <c r="F12872" i="1"/>
  <c r="F12705" i="1"/>
  <c r="F11607" i="1"/>
  <c r="F11436" i="1"/>
  <c r="F11266" i="1"/>
  <c r="F10878" i="1"/>
  <c r="F14711" i="1"/>
  <c r="F14583" i="1"/>
  <c r="F14455" i="1"/>
  <c r="F14327" i="1"/>
  <c r="F14199" i="1"/>
  <c r="F14071" i="1"/>
  <c r="F13943" i="1"/>
  <c r="F13815" i="1"/>
  <c r="F13687" i="1"/>
  <c r="F13559" i="1"/>
  <c r="F13431" i="1"/>
  <c r="F13303" i="1"/>
  <c r="F13175" i="1"/>
  <c r="F13044" i="1"/>
  <c r="F12877" i="1"/>
  <c r="F12710" i="1"/>
  <c r="F12577" i="1"/>
  <c r="F12449" i="1"/>
  <c r="F12321" i="1"/>
  <c r="F12193" i="1"/>
  <c r="F12065" i="1"/>
  <c r="F11937" i="1"/>
  <c r="F11809" i="1"/>
  <c r="F11075" i="1"/>
  <c r="F12678" i="1"/>
  <c r="F12614" i="1"/>
  <c r="F12550" i="1"/>
  <c r="F12486" i="1"/>
  <c r="F12422" i="1"/>
  <c r="F12358" i="1"/>
  <c r="F12294" i="1"/>
  <c r="F12230" i="1"/>
  <c r="F12166" i="1"/>
  <c r="F12102" i="1"/>
  <c r="F12038" i="1"/>
  <c r="F11974" i="1"/>
  <c r="F11910" i="1"/>
  <c r="F11846" i="1"/>
  <c r="F11765" i="1"/>
  <c r="F11186" i="1"/>
  <c r="F11019" i="1"/>
  <c r="F10852" i="1"/>
  <c r="F10674" i="1"/>
  <c r="F9524" i="1"/>
  <c r="F9070" i="1"/>
  <c r="F10595" i="1"/>
  <c r="F10467" i="1"/>
  <c r="F10339" i="1"/>
  <c r="F10172" i="1"/>
  <c r="F10001" i="1"/>
  <c r="F9830" i="1"/>
  <c r="F9600" i="1"/>
  <c r="F9198" i="1"/>
  <c r="F10858" i="1"/>
  <c r="F10691" i="1"/>
  <c r="F9548" i="1"/>
  <c r="F9129" i="1"/>
  <c r="F10614" i="1"/>
  <c r="F10488" i="1"/>
  <c r="F10360" i="1"/>
  <c r="F10189" i="1"/>
  <c r="F10018" i="1"/>
  <c r="F9848" i="1"/>
  <c r="F9658" i="1"/>
  <c r="F9324" i="1"/>
  <c r="F10836" i="1"/>
  <c r="F10658" i="1"/>
  <c r="F9517" i="1"/>
  <c r="F9038" i="1"/>
  <c r="F11689" i="1"/>
  <c r="F11604" i="1"/>
  <c r="F11519" i="1"/>
  <c r="F11434" i="1"/>
  <c r="F11348" i="1"/>
  <c r="F11263" i="1"/>
  <c r="F11104" i="1"/>
  <c r="F10926" i="1"/>
  <c r="F10759" i="1"/>
  <c r="F10591" i="1"/>
  <c r="F10463" i="1"/>
  <c r="F10316" i="1"/>
  <c r="F10145" i="1"/>
  <c r="F9974" i="1"/>
  <c r="F9804" i="1"/>
  <c r="F9568" i="1"/>
  <c r="F9150" i="1"/>
  <c r="F13003" i="1"/>
  <c r="F12939" i="1"/>
  <c r="F12875" i="1"/>
  <c r="F12811" i="1"/>
  <c r="F12747" i="1"/>
  <c r="F12683" i="1"/>
  <c r="F12619" i="1"/>
  <c r="F12555" i="1"/>
  <c r="F12491" i="1"/>
  <c r="F12427" i="1"/>
  <c r="F12363" i="1"/>
  <c r="F12299" i="1"/>
  <c r="F12235" i="1"/>
  <c r="F12171" i="1"/>
  <c r="F12107" i="1"/>
  <c r="F12043" i="1"/>
  <c r="F11979" i="1"/>
  <c r="F11915" i="1"/>
  <c r="F11851" i="1"/>
  <c r="F11771" i="1"/>
  <c r="F11194" i="1"/>
  <c r="F11027" i="1"/>
  <c r="F10860" i="1"/>
  <c r="F10682" i="1"/>
  <c r="F9580" i="1"/>
  <c r="F9177" i="1"/>
  <c r="F11720" i="1"/>
  <c r="F11624" i="1"/>
  <c r="F11539" i="1"/>
  <c r="F11454" i="1"/>
  <c r="F11368" i="1"/>
  <c r="F11283" i="1"/>
  <c r="F11135" i="1"/>
  <c r="F10968" i="1"/>
  <c r="F10790" i="1"/>
  <c r="F10623" i="1"/>
  <c r="F10484" i="1"/>
  <c r="F10356" i="1"/>
  <c r="F10194" i="1"/>
  <c r="F10024" i="1"/>
  <c r="F9853" i="1"/>
  <c r="F9665" i="1"/>
  <c r="F9310" i="1"/>
  <c r="F9653" i="1"/>
  <c r="F9486" i="1"/>
  <c r="F9308" i="1"/>
  <c r="F9154" i="1"/>
  <c r="F9026" i="1"/>
  <c r="F8898" i="1"/>
  <c r="F8770" i="1"/>
  <c r="F8602" i="1"/>
  <c r="F8273" i="1"/>
  <c r="F7841" i="1"/>
  <c r="F9256" i="1"/>
  <c r="F8428" i="1"/>
  <c r="F8062" i="1"/>
  <c r="F7877" i="1"/>
  <c r="F9057" i="1"/>
  <c r="F8929" i="1"/>
  <c r="F8801" i="1"/>
  <c r="F8673" i="1"/>
  <c r="F8345" i="1"/>
  <c r="F7888" i="1"/>
  <c r="F9298" i="1"/>
  <c r="F8500" i="1"/>
  <c r="F8134" i="1"/>
  <c r="F7900" i="1"/>
  <c r="F8926" i="1"/>
  <c r="F8798" i="1"/>
  <c r="F8670" i="1"/>
  <c r="F8314" i="1"/>
  <c r="F7896" i="1"/>
  <c r="F10594" i="1"/>
  <c r="F10530" i="1"/>
  <c r="F10450" i="1"/>
  <c r="F10354" i="1"/>
  <c r="F10224" i="1"/>
  <c r="F10080" i="1"/>
  <c r="F9941" i="1"/>
  <c r="F9808" i="1"/>
  <c r="F9642" i="1"/>
  <c r="F9368" i="1"/>
  <c r="F8350" i="1"/>
  <c r="F7603" i="1"/>
  <c r="F9238" i="1"/>
  <c r="F8837" i="1"/>
  <c r="F7870" i="1"/>
  <c r="F11541" i="1"/>
  <c r="F11345" i="1"/>
  <c r="F11101" i="1"/>
  <c r="F10845" i="1"/>
  <c r="F10589" i="1"/>
  <c r="F10328" i="1"/>
  <c r="F9988" i="1"/>
  <c r="F9584" i="1"/>
  <c r="F8038" i="1"/>
  <c r="F8269" i="1"/>
  <c r="F7684" i="1"/>
  <c r="F7512" i="1"/>
  <c r="F7102" i="1"/>
  <c r="F7255" i="1"/>
  <c r="F8860" i="1"/>
  <c r="F7728" i="1"/>
  <c r="F8092" i="1"/>
  <c r="F10267" i="1"/>
  <c r="F9755" i="1"/>
  <c r="F9243" i="1"/>
  <c r="F8731" i="1"/>
  <c r="F7253" i="1"/>
  <c r="F6907" i="1"/>
  <c r="F5633" i="1"/>
  <c r="F5369" i="1"/>
  <c r="F6817" i="1"/>
  <c r="F7729" i="1"/>
  <c r="F6332" i="1"/>
  <c r="F8399" i="1"/>
  <c r="F7834" i="1"/>
  <c r="F6505" i="1"/>
  <c r="F6566" i="1"/>
  <c r="F5542" i="1"/>
  <c r="F6888" i="1"/>
  <c r="F5864" i="1"/>
  <c r="F6846" i="1"/>
  <c r="F5822" i="1"/>
  <c r="F7111" i="1"/>
  <c r="F6087" i="1"/>
  <c r="F4398" i="1"/>
  <c r="F3794" i="1"/>
  <c r="F5407" i="1"/>
  <c r="F5045" i="1"/>
  <c r="F4982" i="1"/>
  <c r="F3263" i="1"/>
  <c r="F4911" i="1"/>
  <c r="F3907" i="1"/>
  <c r="F1983" i="1"/>
  <c r="F4324" i="1"/>
  <c r="F2265" i="1"/>
  <c r="F4828" i="1"/>
  <c r="F3469" i="1"/>
  <c r="F3232" i="1"/>
  <c r="F3874" i="1"/>
  <c r="F2752" i="1"/>
  <c r="F3153" i="1"/>
  <c r="F4161" i="1"/>
  <c r="F3329" i="1"/>
  <c r="F2732" i="1"/>
  <c r="F3114" i="1"/>
  <c r="F308" i="1"/>
  <c r="G14606" i="1"/>
  <c r="G13956" i="1"/>
  <c r="G13858" i="1"/>
  <c r="G11961" i="1"/>
  <c r="G9088" i="1"/>
  <c r="G9975" i="1"/>
  <c r="F13133" i="1"/>
  <c r="F12992" i="1"/>
  <c r="F12825" i="1"/>
  <c r="F11736" i="1"/>
  <c r="F11542" i="1"/>
  <c r="F11371" i="1"/>
  <c r="F11151" i="1"/>
  <c r="F12456" i="1"/>
  <c r="F12328" i="1"/>
  <c r="F12200" i="1"/>
  <c r="F12072" i="1"/>
  <c r="F11944" i="1"/>
  <c r="F11816" i="1"/>
  <c r="F11124" i="1"/>
  <c r="F11742" i="1"/>
  <c r="F11548" i="1"/>
  <c r="F11378" i="1"/>
  <c r="F11159" i="1"/>
  <c r="F12437" i="1"/>
  <c r="F12309" i="1"/>
  <c r="F12181" i="1"/>
  <c r="F12053" i="1"/>
  <c r="F11925" i="1"/>
  <c r="F11796" i="1"/>
  <c r="F11043" i="1"/>
  <c r="F11704" i="1"/>
  <c r="F11536" i="1"/>
  <c r="F11366" i="1"/>
  <c r="F11144" i="1"/>
  <c r="F14799" i="1"/>
  <c r="F14671" i="1"/>
  <c r="F14543" i="1"/>
  <c r="F14415" i="1"/>
  <c r="F14287" i="1"/>
  <c r="F14159" i="1"/>
  <c r="F14031" i="1"/>
  <c r="F13903" i="1"/>
  <c r="F13775" i="1"/>
  <c r="F13647" i="1"/>
  <c r="F13519" i="1"/>
  <c r="F13391" i="1"/>
  <c r="F13263" i="1"/>
  <c r="F13135" i="1"/>
  <c r="F12988" i="1"/>
  <c r="F12821" i="1"/>
  <c r="F12660" i="1"/>
  <c r="F12532" i="1"/>
  <c r="F12404" i="1"/>
  <c r="F12276" i="1"/>
  <c r="F12148" i="1"/>
  <c r="F12020" i="1"/>
  <c r="F11892" i="1"/>
  <c r="F11731" i="1"/>
  <c r="F10942" i="1"/>
  <c r="F14884" i="1"/>
  <c r="F14820" i="1"/>
  <c r="F14702" i="1"/>
  <c r="F14574" i="1"/>
  <c r="F14446" i="1"/>
  <c r="F14318" i="1"/>
  <c r="F14190" i="1"/>
  <c r="F14062" i="1"/>
  <c r="F13934" i="1"/>
  <c r="F13806" i="1"/>
  <c r="F13678" i="1"/>
  <c r="F13550" i="1"/>
  <c r="F13422" i="1"/>
  <c r="F13294" i="1"/>
  <c r="F13166" i="1"/>
  <c r="F13032" i="1"/>
  <c r="F12865" i="1"/>
  <c r="F11801" i="1"/>
  <c r="F11596" i="1"/>
  <c r="F11426" i="1"/>
  <c r="F11255" i="1"/>
  <c r="F10800" i="1"/>
  <c r="F14706" i="1"/>
  <c r="F14578" i="1"/>
  <c r="F14450" i="1"/>
  <c r="F14322" i="1"/>
  <c r="F14194" i="1"/>
  <c r="F14066" i="1"/>
  <c r="F13938" i="1"/>
  <c r="F13810" i="1"/>
  <c r="F13682" i="1"/>
  <c r="F13554" i="1"/>
  <c r="F13426" i="1"/>
  <c r="F13298" i="1"/>
  <c r="F13170" i="1"/>
  <c r="F13037" i="1"/>
  <c r="F12870" i="1"/>
  <c r="F12697" i="1"/>
  <c r="F12569" i="1"/>
  <c r="F12441" i="1"/>
  <c r="F12313" i="1"/>
  <c r="F12185" i="1"/>
  <c r="F12057" i="1"/>
  <c r="F11929" i="1"/>
  <c r="F11773" i="1"/>
  <c r="F11050" i="1"/>
  <c r="F12674" i="1"/>
  <c r="F12610" i="1"/>
  <c r="F12546" i="1"/>
  <c r="F12482" i="1"/>
  <c r="F12418" i="1"/>
  <c r="F12354" i="1"/>
  <c r="F12290" i="1"/>
  <c r="F12226" i="1"/>
  <c r="F12162" i="1"/>
  <c r="F12098" i="1"/>
  <c r="F12034" i="1"/>
  <c r="F11970" i="1"/>
  <c r="F11906" i="1"/>
  <c r="F11842" i="1"/>
  <c r="F11756" i="1"/>
  <c r="F11179" i="1"/>
  <c r="F11012" i="1"/>
  <c r="F10834" i="1"/>
  <c r="F10667" i="1"/>
  <c r="F9510" i="1"/>
  <c r="F9006" i="1"/>
  <c r="F10587" i="1"/>
  <c r="F10459" i="1"/>
  <c r="F10330" i="1"/>
  <c r="F10161" i="1"/>
  <c r="F9990" i="1"/>
  <c r="F9820" i="1"/>
  <c r="F9586" i="1"/>
  <c r="F9166" i="1"/>
  <c r="F10851" i="1"/>
  <c r="F10684" i="1"/>
  <c r="F9534" i="1"/>
  <c r="F9097" i="1"/>
  <c r="F10607" i="1"/>
  <c r="F10480" i="1"/>
  <c r="F10352" i="1"/>
  <c r="F10178" i="1"/>
  <c r="F10008" i="1"/>
  <c r="F9837" i="1"/>
  <c r="F9633" i="1"/>
  <c r="F9246" i="1"/>
  <c r="F10818" i="1"/>
  <c r="F10651" i="1"/>
  <c r="F9492" i="1"/>
  <c r="F8974" i="1"/>
  <c r="F11684" i="1"/>
  <c r="F11599" i="1"/>
  <c r="F11514" i="1"/>
  <c r="F11428" i="1"/>
  <c r="F11343" i="1"/>
  <c r="F11258" i="1"/>
  <c r="F11086" i="1"/>
  <c r="F10919" i="1"/>
  <c r="F10752" i="1"/>
  <c r="F10583" i="1"/>
  <c r="F10455" i="1"/>
  <c r="F10305" i="1"/>
  <c r="F10134" i="1"/>
  <c r="F9964" i="1"/>
  <c r="F9793" i="1"/>
  <c r="F9554" i="1"/>
  <c r="F9118" i="1"/>
  <c r="F12999" i="1"/>
  <c r="F12935" i="1"/>
  <c r="F12871" i="1"/>
  <c r="F12807" i="1"/>
  <c r="F12743" i="1"/>
  <c r="F12679" i="1"/>
  <c r="F12615" i="1"/>
  <c r="F12551" i="1"/>
  <c r="F12487" i="1"/>
  <c r="F12423" i="1"/>
  <c r="F12359" i="1"/>
  <c r="F12295" i="1"/>
  <c r="F12231" i="1"/>
  <c r="F12167" i="1"/>
  <c r="F12103" i="1"/>
  <c r="F12039" i="1"/>
  <c r="F11975" i="1"/>
  <c r="F11911" i="1"/>
  <c r="F11847" i="1"/>
  <c r="F11762" i="1"/>
  <c r="F11187" i="1"/>
  <c r="F11020" i="1"/>
  <c r="F10842" i="1"/>
  <c r="F10675" i="1"/>
  <c r="F9566" i="1"/>
  <c r="F9145" i="1"/>
  <c r="F11711" i="1"/>
  <c r="F11619" i="1"/>
  <c r="F11534" i="1"/>
  <c r="F11448" i="1"/>
  <c r="F11363" i="1"/>
  <c r="F11278" i="1"/>
  <c r="F11128" i="1"/>
  <c r="F10950" i="1"/>
  <c r="F10783" i="1"/>
  <c r="F10616" i="1"/>
  <c r="F10476" i="1"/>
  <c r="F10348" i="1"/>
  <c r="F10184" i="1"/>
  <c r="F10013" i="1"/>
  <c r="F9842" i="1"/>
  <c r="F9640" i="1"/>
  <c r="F9285" i="1"/>
  <c r="F9646" i="1"/>
  <c r="F9468" i="1"/>
  <c r="F9301" i="1"/>
  <c r="F9146" i="1"/>
  <c r="F9018" i="1"/>
  <c r="F8890" i="1"/>
  <c r="F8762" i="1"/>
  <c r="F8593" i="1"/>
  <c r="F8264" i="1"/>
  <c r="F7817" i="1"/>
  <c r="F9249" i="1"/>
  <c r="F8382" i="1"/>
  <c r="F8053" i="1"/>
  <c r="F7853" i="1"/>
  <c r="F9049" i="1"/>
  <c r="F8921" i="1"/>
  <c r="F8793" i="1"/>
  <c r="F8665" i="1"/>
  <c r="F8336" i="1"/>
  <c r="F7864" i="1"/>
  <c r="F9280" i="1"/>
  <c r="F8454" i="1"/>
  <c r="F8125" i="1"/>
  <c r="F7876" i="1"/>
  <c r="F8918" i="1"/>
  <c r="F8790" i="1"/>
  <c r="F8634" i="1"/>
  <c r="F8305" i="1"/>
  <c r="F7872" i="1"/>
  <c r="F10590" i="1"/>
  <c r="F10526" i="1"/>
  <c r="F10434" i="1"/>
  <c r="F10350" i="1"/>
  <c r="F10202" i="1"/>
  <c r="F10069" i="1"/>
  <c r="F9936" i="1"/>
  <c r="F9802" i="1"/>
  <c r="F9617" i="1"/>
  <c r="F9329" i="1"/>
  <c r="F8341" i="1"/>
  <c r="F7588" i="1"/>
  <c r="F9220" i="1"/>
  <c r="F8789" i="1"/>
  <c r="F7833" i="1"/>
  <c r="F11537" i="1"/>
  <c r="F11321" i="1"/>
  <c r="F11089" i="1"/>
  <c r="F10833" i="1"/>
  <c r="F10577" i="1"/>
  <c r="F10313" i="1"/>
  <c r="F9972" i="1"/>
  <c r="F9552" i="1"/>
  <c r="F8006" i="1"/>
  <c r="F8237" i="1"/>
  <c r="F7663" i="1"/>
  <c r="F7503" i="1"/>
  <c r="F6972" i="1"/>
  <c r="F6913" i="1"/>
  <c r="F8800" i="1"/>
  <c r="F7544" i="1"/>
  <c r="F7984" i="1"/>
  <c r="F10207" i="1"/>
  <c r="F9695" i="1"/>
  <c r="F9183" i="1"/>
  <c r="F8671" i="1"/>
  <c r="F7002" i="1"/>
  <c r="F6660" i="1"/>
  <c r="F5406" i="1"/>
  <c r="F5924" i="1"/>
  <c r="F6570" i="1"/>
  <c r="F7606" i="1"/>
  <c r="F6085" i="1"/>
  <c r="F8339" i="1"/>
  <c r="F7715" i="1"/>
  <c r="F6258" i="1"/>
  <c r="F6443" i="1"/>
  <c r="F5246" i="1"/>
  <c r="F6769" i="1"/>
  <c r="F5745" i="1"/>
  <c r="F6723" i="1"/>
  <c r="F5699" i="1"/>
  <c r="F6992" i="1"/>
  <c r="F5968" i="1"/>
  <c r="F5274" i="1"/>
  <c r="F3939" i="1"/>
  <c r="F5332" i="1"/>
  <c r="F4834" i="1"/>
  <c r="F4822" i="1"/>
  <c r="F3160" i="1"/>
  <c r="F4775" i="1"/>
  <c r="F3660" i="1"/>
  <c r="F2648" i="1"/>
  <c r="F4244" i="1"/>
  <c r="F5280" i="1"/>
  <c r="F4768" i="1"/>
  <c r="F3222" i="1"/>
  <c r="F3037" i="1"/>
  <c r="F3755" i="1"/>
  <c r="F2340" i="1"/>
  <c r="F2981" i="1"/>
  <c r="F4101" i="1"/>
  <c r="F3210" i="1"/>
  <c r="F2147" i="1"/>
  <c r="F2575" i="1"/>
  <c r="F950" i="1"/>
  <c r="G13677" i="1"/>
  <c r="G12614" i="1"/>
  <c r="G12417" i="1"/>
  <c r="G9763" i="1"/>
  <c r="G11508" i="1"/>
  <c r="G7807" i="1"/>
  <c r="F11727" i="1"/>
  <c r="F11531" i="1"/>
  <c r="F11360" i="1"/>
  <c r="F11126" i="1"/>
  <c r="F12448" i="1"/>
  <c r="F12320" i="1"/>
  <c r="F12192" i="1"/>
  <c r="F12064" i="1"/>
  <c r="F11936" i="1"/>
  <c r="F11808" i="1"/>
  <c r="F11099" i="1"/>
  <c r="F11705" i="1"/>
  <c r="F11538" i="1"/>
  <c r="F11367" i="1"/>
  <c r="F11134" i="1"/>
  <c r="F12429" i="1"/>
  <c r="F12301" i="1"/>
  <c r="F12173" i="1"/>
  <c r="F12045" i="1"/>
  <c r="F11917" i="1"/>
  <c r="F11787" i="1"/>
  <c r="F11018" i="1"/>
  <c r="F11695" i="1"/>
  <c r="F11526" i="1"/>
  <c r="F11355" i="1"/>
  <c r="F11119" i="1"/>
  <c r="F14794" i="1"/>
  <c r="F14666" i="1"/>
  <c r="F14538" i="1"/>
  <c r="F14410" i="1"/>
  <c r="F14282" i="1"/>
  <c r="F14154" i="1"/>
  <c r="F14026" i="1"/>
  <c r="F13898" i="1"/>
  <c r="F13770" i="1"/>
  <c r="F13642" i="1"/>
  <c r="F13514" i="1"/>
  <c r="F13386" i="1"/>
  <c r="F13258" i="1"/>
  <c r="F13130" i="1"/>
  <c r="F12981" i="1"/>
  <c r="F12814" i="1"/>
  <c r="F12652" i="1"/>
  <c r="F12524" i="1"/>
  <c r="F12396" i="1"/>
  <c r="F12268" i="1"/>
  <c r="F12140" i="1"/>
  <c r="F12012" i="1"/>
  <c r="F11884" i="1"/>
  <c r="F11722" i="1"/>
  <c r="F10856" i="1"/>
  <c r="F14880" i="1"/>
  <c r="F14816" i="1"/>
  <c r="F14693" i="1"/>
  <c r="F14565" i="1"/>
  <c r="F14437" i="1"/>
  <c r="F14309" i="1"/>
  <c r="F14181" i="1"/>
  <c r="F14053" i="1"/>
  <c r="F13925" i="1"/>
  <c r="F13797" i="1"/>
  <c r="F13669" i="1"/>
  <c r="F13541" i="1"/>
  <c r="F13413" i="1"/>
  <c r="F13285" i="1"/>
  <c r="F13157" i="1"/>
  <c r="F13025" i="1"/>
  <c r="F12858" i="1"/>
  <c r="F11792" i="1"/>
  <c r="F11586" i="1"/>
  <c r="F11415" i="1"/>
  <c r="F11230" i="1"/>
  <c r="F10775" i="1"/>
  <c r="F14697" i="1"/>
  <c r="F14569" i="1"/>
  <c r="F14441" i="1"/>
  <c r="F14313" i="1"/>
  <c r="F14185" i="1"/>
  <c r="F14057" i="1"/>
  <c r="F13929" i="1"/>
  <c r="F13801" i="1"/>
  <c r="F13673" i="1"/>
  <c r="F13545" i="1"/>
  <c r="F13417" i="1"/>
  <c r="F13289" i="1"/>
  <c r="F13161" i="1"/>
  <c r="F13030" i="1"/>
  <c r="F12852" i="1"/>
  <c r="F12689" i="1"/>
  <c r="F12561" i="1"/>
  <c r="F12433" i="1"/>
  <c r="F12305" i="1"/>
  <c r="F12177" i="1"/>
  <c r="F12049" i="1"/>
  <c r="F11921" i="1"/>
  <c r="F11764" i="1"/>
  <c r="F11036" i="1"/>
  <c r="F12670" i="1"/>
  <c r="F12606" i="1"/>
  <c r="F12542" i="1"/>
  <c r="F12478" i="1"/>
  <c r="F12414" i="1"/>
  <c r="F12350" i="1"/>
  <c r="F12286" i="1"/>
  <c r="F12222" i="1"/>
  <c r="F12158" i="1"/>
  <c r="F12094" i="1"/>
  <c r="F12030" i="1"/>
  <c r="F11966" i="1"/>
  <c r="F11902" i="1"/>
  <c r="F11838" i="1"/>
  <c r="F11747" i="1"/>
  <c r="F11172" i="1"/>
  <c r="F10994" i="1"/>
  <c r="F10827" i="1"/>
  <c r="F10660" i="1"/>
  <c r="F9485" i="1"/>
  <c r="F10743" i="1"/>
  <c r="F10579" i="1"/>
  <c r="F10451" i="1"/>
  <c r="F10321" i="1"/>
  <c r="F10150" i="1"/>
  <c r="F9980" i="1"/>
  <c r="F9809" i="1"/>
  <c r="F9561" i="1"/>
  <c r="F9134" i="1"/>
  <c r="F10844" i="1"/>
  <c r="F10666" i="1"/>
  <c r="F9509" i="1"/>
  <c r="F9054" i="1"/>
  <c r="F10600" i="1"/>
  <c r="F10472" i="1"/>
  <c r="F10344" i="1"/>
  <c r="F10168" i="1"/>
  <c r="F9997" i="1"/>
  <c r="F9826" i="1"/>
  <c r="F9608" i="1"/>
  <c r="F9221" i="1"/>
  <c r="F10811" i="1"/>
  <c r="F10644" i="1"/>
  <c r="F9478" i="1"/>
  <c r="F11799" i="1"/>
  <c r="F11679" i="1"/>
  <c r="F11594" i="1"/>
  <c r="F11508" i="1"/>
  <c r="F11423" i="1"/>
  <c r="F11338" i="1"/>
  <c r="F11246" i="1"/>
  <c r="F11079" i="1"/>
  <c r="F10912" i="1"/>
  <c r="F10734" i="1"/>
  <c r="F10575" i="1"/>
  <c r="F10447" i="1"/>
  <c r="F10294" i="1"/>
  <c r="F10124" i="1"/>
  <c r="F9953" i="1"/>
  <c r="F9782" i="1"/>
  <c r="F9529" i="1"/>
  <c r="F9086" i="1"/>
  <c r="F12995" i="1"/>
  <c r="F12931" i="1"/>
  <c r="F12867" i="1"/>
  <c r="F12803" i="1"/>
  <c r="F12739" i="1"/>
  <c r="F12675" i="1"/>
  <c r="F12611" i="1"/>
  <c r="F12547" i="1"/>
  <c r="F12483" i="1"/>
  <c r="F12419" i="1"/>
  <c r="F12355" i="1"/>
  <c r="F12291" i="1"/>
  <c r="F12227" i="1"/>
  <c r="F12163" i="1"/>
  <c r="F12099" i="1"/>
  <c r="F12035" i="1"/>
  <c r="F11971" i="1"/>
  <c r="F11907" i="1"/>
  <c r="F11843" i="1"/>
  <c r="F11757" i="1"/>
  <c r="F11180" i="1"/>
  <c r="F11002" i="1"/>
  <c r="F10835" i="1"/>
  <c r="F10668" i="1"/>
  <c r="F9541" i="1"/>
  <c r="F9113" i="1"/>
  <c r="F11702" i="1"/>
  <c r="F11614" i="1"/>
  <c r="F11528" i="1"/>
  <c r="F11443" i="1"/>
  <c r="F11358" i="1"/>
  <c r="F11272" i="1"/>
  <c r="F11110" i="1"/>
  <c r="F10943" i="1"/>
  <c r="F10776" i="1"/>
  <c r="F10596" i="1"/>
  <c r="F10468" i="1"/>
  <c r="F10340" i="1"/>
  <c r="F10173" i="1"/>
  <c r="F10002" i="1"/>
  <c r="F9832" i="1"/>
  <c r="F9626" i="1"/>
  <c r="F9260" i="1"/>
  <c r="F9628" i="1"/>
  <c r="F9461" i="1"/>
  <c r="F9294" i="1"/>
  <c r="F9138" i="1"/>
  <c r="F9010" i="1"/>
  <c r="F8882" i="1"/>
  <c r="F8754" i="1"/>
  <c r="F8584" i="1"/>
  <c r="F8218" i="1"/>
  <c r="F7792" i="1"/>
  <c r="F9242" i="1"/>
  <c r="F8373" i="1"/>
  <c r="F8044" i="1"/>
  <c r="F7828" i="1"/>
  <c r="F9041" i="1"/>
  <c r="F8913" i="1"/>
  <c r="F8785" i="1"/>
  <c r="F8656" i="1"/>
  <c r="F8290" i="1"/>
  <c r="F7840" i="1"/>
  <c r="F9273" i="1"/>
  <c r="F8445" i="1"/>
  <c r="F8116" i="1"/>
  <c r="F7851" i="1"/>
  <c r="F8910" i="1"/>
  <c r="F8782" i="1"/>
  <c r="F8625" i="1"/>
  <c r="F8296" i="1"/>
  <c r="F7847" i="1"/>
  <c r="F10586" i="1"/>
  <c r="F10522" i="1"/>
  <c r="F10430" i="1"/>
  <c r="F10342" i="1"/>
  <c r="F10197" i="1"/>
  <c r="F10064" i="1"/>
  <c r="F9930" i="1"/>
  <c r="F9797" i="1"/>
  <c r="F9592" i="1"/>
  <c r="F9322" i="1"/>
  <c r="F8213" i="1"/>
  <c r="F10333" i="1"/>
  <c r="F9173" i="1"/>
  <c r="F8773" i="1"/>
  <c r="F7822" i="1"/>
  <c r="F11513" i="1"/>
  <c r="F11317" i="1"/>
  <c r="F11065" i="1"/>
  <c r="F10809" i="1"/>
  <c r="F10553" i="1"/>
  <c r="F10281" i="1"/>
  <c r="F9940" i="1"/>
  <c r="F9488" i="1"/>
  <c r="F7942" i="1"/>
  <c r="F8173" i="1"/>
  <c r="F7549" i="1"/>
  <c r="F7374" i="1"/>
  <c r="F6720" i="1"/>
  <c r="F6895" i="1"/>
  <c r="F8796" i="1"/>
  <c r="F7535" i="1"/>
  <c r="F7978" i="1"/>
  <c r="F10203" i="1"/>
  <c r="F9691" i="1"/>
  <c r="F9179" i="1"/>
  <c r="F8667" i="1"/>
  <c r="F6977" i="1"/>
  <c r="F6651" i="1"/>
  <c r="F5396" i="1"/>
  <c r="F5915" i="1"/>
  <c r="F6561" i="1"/>
  <c r="F7601" i="1"/>
  <c r="F6076" i="1"/>
  <c r="F8335" i="1"/>
  <c r="F7706" i="1"/>
  <c r="F6249" i="1"/>
  <c r="F6438" i="1"/>
  <c r="F5235" i="1"/>
  <c r="F6760" i="1"/>
  <c r="F5736" i="1"/>
  <c r="F6718" i="1"/>
  <c r="F5694" i="1"/>
  <c r="F6983" i="1"/>
  <c r="F5959" i="1"/>
  <c r="F5269" i="1"/>
  <c r="F3866" i="1"/>
  <c r="F5322" i="1"/>
  <c r="F4803" i="1"/>
  <c r="F4813" i="1"/>
  <c r="F3139" i="1"/>
  <c r="F4770" i="1"/>
  <c r="F3651" i="1"/>
  <c r="F2618" i="1"/>
  <c r="F4239" i="1"/>
  <c r="F5276" i="1"/>
  <c r="F4764" i="1"/>
  <c r="F3213" i="1"/>
  <c r="F3032" i="1"/>
  <c r="F3746" i="1"/>
  <c r="F2318" i="1"/>
  <c r="F2963" i="1"/>
  <c r="F4097" i="1"/>
  <c r="F3205" i="1"/>
  <c r="F2123" i="1"/>
  <c r="F2570" i="1"/>
  <c r="F941" i="1"/>
  <c r="G13667" i="1"/>
  <c r="G12603" i="1"/>
  <c r="G12406" i="1"/>
  <c r="G9708" i="1"/>
  <c r="G11503" i="1"/>
  <c r="G7800" i="1"/>
  <c r="F11718" i="1"/>
  <c r="F11520" i="1"/>
  <c r="F11350" i="1"/>
  <c r="F11112" i="1"/>
  <c r="F12440" i="1"/>
  <c r="F12312" i="1"/>
  <c r="F12184" i="1"/>
  <c r="F12056" i="1"/>
  <c r="F11928" i="1"/>
  <c r="F11781" i="1"/>
  <c r="F11074" i="1"/>
  <c r="F11696" i="1"/>
  <c r="F11527" i="1"/>
  <c r="F11356" i="1"/>
  <c r="F11120" i="1"/>
  <c r="F12421" i="1"/>
  <c r="F12293" i="1"/>
  <c r="F12165" i="1"/>
  <c r="F12037" i="1"/>
  <c r="F11909" i="1"/>
  <c r="F11778" i="1"/>
  <c r="F11004" i="1"/>
  <c r="F11686" i="1"/>
  <c r="F11515" i="1"/>
  <c r="F11344" i="1"/>
  <c r="F11094" i="1"/>
  <c r="F14785" i="1"/>
  <c r="F14657" i="1"/>
  <c r="F14529" i="1"/>
  <c r="F14401" i="1"/>
  <c r="F14273" i="1"/>
  <c r="F14145" i="1"/>
  <c r="F14017" i="1"/>
  <c r="F13889" i="1"/>
  <c r="F13761" i="1"/>
  <c r="F13633" i="1"/>
  <c r="F13505" i="1"/>
  <c r="F13377" i="1"/>
  <c r="F13249" i="1"/>
  <c r="F13121" i="1"/>
  <c r="F12974" i="1"/>
  <c r="F12796" i="1"/>
  <c r="F12644" i="1"/>
  <c r="F12516" i="1"/>
  <c r="F12388" i="1"/>
  <c r="F12260" i="1"/>
  <c r="F12132" i="1"/>
  <c r="F12004" i="1"/>
  <c r="F11876" i="1"/>
  <c r="F11234" i="1"/>
  <c r="F10831" i="1"/>
  <c r="F14876" i="1"/>
  <c r="F14812" i="1"/>
  <c r="F14684" i="1"/>
  <c r="F14556" i="1"/>
  <c r="F14428" i="1"/>
  <c r="F14300" i="1"/>
  <c r="F14172" i="1"/>
  <c r="F14044" i="1"/>
  <c r="F13916" i="1"/>
  <c r="F13788" i="1"/>
  <c r="F13660" i="1"/>
  <c r="F13532" i="1"/>
  <c r="F13404" i="1"/>
  <c r="F13276" i="1"/>
  <c r="F13148" i="1"/>
  <c r="F13018" i="1"/>
  <c r="F12840" i="1"/>
  <c r="F11783" i="1"/>
  <c r="F11575" i="1"/>
  <c r="F11404" i="1"/>
  <c r="F11216" i="1"/>
  <c r="F10750" i="1"/>
  <c r="F14688" i="1"/>
  <c r="F14560" i="1"/>
  <c r="F14432" i="1"/>
  <c r="F14304" i="1"/>
  <c r="F14176" i="1"/>
  <c r="F14048" i="1"/>
  <c r="F13920" i="1"/>
  <c r="F13792" i="1"/>
  <c r="F13664" i="1"/>
  <c r="F13536" i="1"/>
  <c r="F13408" i="1"/>
  <c r="F13280" i="1"/>
  <c r="F13152" i="1"/>
  <c r="F13012" i="1"/>
  <c r="F12845" i="1"/>
  <c r="F12681" i="1"/>
  <c r="F12553" i="1"/>
  <c r="F12425" i="1"/>
  <c r="F12297" i="1"/>
  <c r="F12169" i="1"/>
  <c r="F12041" i="1"/>
  <c r="F11913" i="1"/>
  <c r="F11755" i="1"/>
  <c r="F11011" i="1"/>
  <c r="F12666" i="1"/>
  <c r="F12602" i="1"/>
  <c r="F12538" i="1"/>
  <c r="F12474" i="1"/>
  <c r="F12410" i="1"/>
  <c r="F12346" i="1"/>
  <c r="F12282" i="1"/>
  <c r="F12218" i="1"/>
  <c r="F12154" i="1"/>
  <c r="F12090" i="1"/>
  <c r="F12026" i="1"/>
  <c r="F11962" i="1"/>
  <c r="F11898" i="1"/>
  <c r="F11834" i="1"/>
  <c r="F11738" i="1"/>
  <c r="F11154" i="1"/>
  <c r="F10987" i="1"/>
  <c r="F10820" i="1"/>
  <c r="F10642" i="1"/>
  <c r="F9460" i="1"/>
  <c r="F10736" i="1"/>
  <c r="F10571" i="1"/>
  <c r="F10443" i="1"/>
  <c r="F10310" i="1"/>
  <c r="F10140" i="1"/>
  <c r="F9969" i="1"/>
  <c r="F9798" i="1"/>
  <c r="F9536" i="1"/>
  <c r="F9102" i="1"/>
  <c r="F10826" i="1"/>
  <c r="F10659" i="1"/>
  <c r="F9484" i="1"/>
  <c r="F8990" i="1"/>
  <c r="F10592" i="1"/>
  <c r="F10464" i="1"/>
  <c r="F10336" i="1"/>
  <c r="F10157" i="1"/>
  <c r="F9986" i="1"/>
  <c r="F9816" i="1"/>
  <c r="F9594" i="1"/>
  <c r="F9190" i="1"/>
  <c r="F10804" i="1"/>
  <c r="F10626" i="1"/>
  <c r="F9453" i="1"/>
  <c r="F11790" i="1"/>
  <c r="F11674" i="1"/>
  <c r="F11588" i="1"/>
  <c r="F11503" i="1"/>
  <c r="F11418" i="1"/>
  <c r="F11332" i="1"/>
  <c r="F11239" i="1"/>
  <c r="F11072" i="1"/>
  <c r="F10894" i="1"/>
  <c r="F10727" i="1"/>
  <c r="F10567" i="1"/>
  <c r="F10439" i="1"/>
  <c r="F10284" i="1"/>
  <c r="F10113" i="1"/>
  <c r="F9942" i="1"/>
  <c r="F9772" i="1"/>
  <c r="F9504" i="1"/>
  <c r="F9030" i="1"/>
  <c r="F12991" i="1"/>
  <c r="F12927" i="1"/>
  <c r="F12863" i="1"/>
  <c r="F12799" i="1"/>
  <c r="F12735" i="1"/>
  <c r="F12671" i="1"/>
  <c r="F12607" i="1"/>
  <c r="F12543" i="1"/>
  <c r="F12479" i="1"/>
  <c r="F12415" i="1"/>
  <c r="F12351" i="1"/>
  <c r="F12287" i="1"/>
  <c r="F12223" i="1"/>
  <c r="F12159" i="1"/>
  <c r="F12095" i="1"/>
  <c r="F12031" i="1"/>
  <c r="F11967" i="1"/>
  <c r="F11903" i="1"/>
  <c r="F11839" i="1"/>
  <c r="F11748" i="1"/>
  <c r="F11162" i="1"/>
  <c r="F10995" i="1"/>
  <c r="F10828" i="1"/>
  <c r="F10650" i="1"/>
  <c r="F9516" i="1"/>
  <c r="F9081" i="1"/>
  <c r="F11697" i="1"/>
  <c r="F11608" i="1"/>
  <c r="F11523" i="1"/>
  <c r="F11438" i="1"/>
  <c r="F11352" i="1"/>
  <c r="F11267" i="1"/>
  <c r="F11103" i="1"/>
  <c r="F10936" i="1"/>
  <c r="F10758" i="1"/>
  <c r="F10588" i="1"/>
  <c r="F10460" i="1"/>
  <c r="F10331" i="1"/>
  <c r="F10162" i="1"/>
  <c r="F9992" i="1"/>
  <c r="F9821" i="1"/>
  <c r="F9601" i="1"/>
  <c r="F9206" i="1"/>
  <c r="F9621" i="1"/>
  <c r="F9454" i="1"/>
  <c r="F9276" i="1"/>
  <c r="F9130" i="1"/>
  <c r="F9002" i="1"/>
  <c r="F8874" i="1"/>
  <c r="F8746" i="1"/>
  <c r="F8538" i="1"/>
  <c r="F8209" i="1"/>
  <c r="F7768" i="1"/>
  <c r="F9224" i="1"/>
  <c r="F8364" i="1"/>
  <c r="F8034" i="1"/>
  <c r="F7804" i="1"/>
  <c r="F9033" i="1"/>
  <c r="F8905" i="1"/>
  <c r="F8777" i="1"/>
  <c r="F8610" i="1"/>
  <c r="F8281" i="1"/>
  <c r="F7815" i="1"/>
  <c r="F9266" i="1"/>
  <c r="F8436" i="1"/>
  <c r="F8070" i="1"/>
  <c r="F7827" i="1"/>
  <c r="F8902" i="1"/>
  <c r="F8774" i="1"/>
  <c r="F8616" i="1"/>
  <c r="F8250" i="1"/>
  <c r="F7823" i="1"/>
  <c r="F10582" i="1"/>
  <c r="F10518" i="1"/>
  <c r="F10426" i="1"/>
  <c r="F10329" i="1"/>
  <c r="F10192" i="1"/>
  <c r="F10058" i="1"/>
  <c r="F9920" i="1"/>
  <c r="F9776" i="1"/>
  <c r="F9578" i="1"/>
  <c r="F9304" i="1"/>
  <c r="F8204" i="1"/>
  <c r="F9668" i="1"/>
  <c r="F9157" i="1"/>
  <c r="F8765" i="1"/>
  <c r="F7687" i="1"/>
  <c r="F11509" i="1"/>
  <c r="F11293" i="1"/>
  <c r="F11061" i="1"/>
  <c r="F10805" i="1"/>
  <c r="F10549" i="1"/>
  <c r="F10276" i="1"/>
  <c r="F9934" i="1"/>
  <c r="F9481" i="1"/>
  <c r="F7931" i="1"/>
  <c r="F8164" i="1"/>
  <c r="F7540" i="1"/>
  <c r="F7186" i="1"/>
  <c r="F6665" i="1"/>
  <c r="F6401" i="1"/>
  <c r="F8736" i="1"/>
  <c r="F7306" i="1"/>
  <c r="F7844" i="1"/>
  <c r="F10143" i="1"/>
  <c r="F9631" i="1"/>
  <c r="F9119" i="1"/>
  <c r="F8512" i="1"/>
  <c r="F6491" i="1"/>
  <c r="F6404" i="1"/>
  <c r="F6044" i="1"/>
  <c r="F5668" i="1"/>
  <c r="F6314" i="1"/>
  <c r="F7478" i="1"/>
  <c r="F5829" i="1"/>
  <c r="F8275" i="1"/>
  <c r="F7587" i="1"/>
  <c r="F6002" i="1"/>
  <c r="F6315" i="1"/>
  <c r="F4867" i="1"/>
  <c r="F6641" i="1"/>
  <c r="F5617" i="1"/>
  <c r="F6595" i="1"/>
  <c r="F5571" i="1"/>
  <c r="F6864" i="1"/>
  <c r="F5840" i="1"/>
  <c r="F5081" i="1"/>
  <c r="F5302" i="1"/>
  <c r="F5139" i="1"/>
  <c r="F4355" i="1"/>
  <c r="F4725" i="1"/>
  <c r="F4300" i="1"/>
  <c r="F4690" i="1"/>
  <c r="F3404" i="1"/>
  <c r="F4420" i="1"/>
  <c r="F4132" i="1"/>
  <c r="F5216" i="1"/>
  <c r="F4704" i="1"/>
  <c r="F2532" i="1"/>
  <c r="F2689" i="1"/>
  <c r="F3627" i="1"/>
  <c r="F3960" i="1"/>
  <c r="F2523" i="1"/>
  <c r="F4037" i="1"/>
  <c r="F3043" i="1"/>
  <c r="F2455" i="1"/>
  <c r="F1579" i="1"/>
  <c r="F1513" i="1"/>
  <c r="G13125" i="1"/>
  <c r="G12496" i="1"/>
  <c r="G14421" i="1"/>
  <c r="G12277" i="1"/>
  <c r="G9872" i="1"/>
  <c r="G6731" i="1"/>
  <c r="F11680" i="1"/>
  <c r="F11510" i="1"/>
  <c r="F11339" i="1"/>
  <c r="F11087" i="1"/>
  <c r="F12432" i="1"/>
  <c r="F12304" i="1"/>
  <c r="F12176" i="1"/>
  <c r="F12048" i="1"/>
  <c r="F11920" i="1"/>
  <c r="F11772" i="1"/>
  <c r="F11060" i="1"/>
  <c r="F11687" i="1"/>
  <c r="F11516" i="1"/>
  <c r="F11346" i="1"/>
  <c r="F11095" i="1"/>
  <c r="F12413" i="1"/>
  <c r="F12285" i="1"/>
  <c r="F12157" i="1"/>
  <c r="F12029" i="1"/>
  <c r="F11901" i="1"/>
  <c r="F11741" i="1"/>
  <c r="F10979" i="1"/>
  <c r="F11675" i="1"/>
  <c r="F11504" i="1"/>
  <c r="F11334" i="1"/>
  <c r="F11080" i="1"/>
  <c r="F14776" i="1"/>
  <c r="F14648" i="1"/>
  <c r="F14520" i="1"/>
  <c r="F14392" i="1"/>
  <c r="F14264" i="1"/>
  <c r="F14136" i="1"/>
  <c r="F14008" i="1"/>
  <c r="F13880" i="1"/>
  <c r="F13752" i="1"/>
  <c r="F13624" i="1"/>
  <c r="F13496" i="1"/>
  <c r="F13368" i="1"/>
  <c r="F13240" i="1"/>
  <c r="F13112" i="1"/>
  <c r="F12956" i="1"/>
  <c r="F12789" i="1"/>
  <c r="F12636" i="1"/>
  <c r="F12508" i="1"/>
  <c r="F12380" i="1"/>
  <c r="F12252" i="1"/>
  <c r="F12124" i="1"/>
  <c r="F11996" i="1"/>
  <c r="F11868" i="1"/>
  <c r="F11220" i="1"/>
  <c r="F10806" i="1"/>
  <c r="F14872" i="1"/>
  <c r="F14803" i="1"/>
  <c r="F14675" i="1"/>
  <c r="F14547" i="1"/>
  <c r="F14419" i="1"/>
  <c r="F14291" i="1"/>
  <c r="F14163" i="1"/>
  <c r="F14035" i="1"/>
  <c r="F13907" i="1"/>
  <c r="F13779" i="1"/>
  <c r="F13651" i="1"/>
  <c r="F13523" i="1"/>
  <c r="F13395" i="1"/>
  <c r="F13267" i="1"/>
  <c r="F13139" i="1"/>
  <c r="F13000" i="1"/>
  <c r="F12833" i="1"/>
  <c r="F11774" i="1"/>
  <c r="F11564" i="1"/>
  <c r="F11394" i="1"/>
  <c r="F11191" i="1"/>
  <c r="F14807" i="1"/>
  <c r="F14679" i="1"/>
  <c r="F14551" i="1"/>
  <c r="F14423" i="1"/>
  <c r="F14295" i="1"/>
  <c r="F14167" i="1"/>
  <c r="F14039" i="1"/>
  <c r="F13911" i="1"/>
  <c r="F13783" i="1"/>
  <c r="F13655" i="1"/>
  <c r="F13527" i="1"/>
  <c r="F13399" i="1"/>
  <c r="F13271" i="1"/>
  <c r="F13143" i="1"/>
  <c r="F13005" i="1"/>
  <c r="F12838" i="1"/>
  <c r="F12673" i="1"/>
  <c r="F12545" i="1"/>
  <c r="F12417" i="1"/>
  <c r="F12289" i="1"/>
  <c r="F12161" i="1"/>
  <c r="F12033" i="1"/>
  <c r="F11905" i="1"/>
  <c r="F11746" i="1"/>
  <c r="F10986" i="1"/>
  <c r="F12662" i="1"/>
  <c r="F12598" i="1"/>
  <c r="F12534" i="1"/>
  <c r="F12470" i="1"/>
  <c r="F12406" i="1"/>
  <c r="F12342" i="1"/>
  <c r="F12278" i="1"/>
  <c r="F12214" i="1"/>
  <c r="F12150" i="1"/>
  <c r="F12086" i="1"/>
  <c r="F12022" i="1"/>
  <c r="F11958" i="1"/>
  <c r="F11894" i="1"/>
  <c r="F11830" i="1"/>
  <c r="F11733" i="1"/>
  <c r="F11147" i="1"/>
  <c r="F10980" i="1"/>
  <c r="F10802" i="1"/>
  <c r="F10635" i="1"/>
  <c r="F9446" i="1"/>
  <c r="F10718" i="1"/>
  <c r="F10563" i="1"/>
  <c r="F10435" i="1"/>
  <c r="F10300" i="1"/>
  <c r="F10129" i="1"/>
  <c r="F9958" i="1"/>
  <c r="F9788" i="1"/>
  <c r="F9522" i="1"/>
  <c r="F9062" i="1"/>
  <c r="F10819" i="1"/>
  <c r="F10652" i="1"/>
  <c r="F9470" i="1"/>
  <c r="F10742" i="1"/>
  <c r="F10584" i="1"/>
  <c r="F10456" i="1"/>
  <c r="F10317" i="1"/>
  <c r="F10146" i="1"/>
  <c r="F9976" i="1"/>
  <c r="F9805" i="1"/>
  <c r="F9569" i="1"/>
  <c r="F9158" i="1"/>
  <c r="F10786" i="1"/>
  <c r="F10619" i="1"/>
  <c r="F9428" i="1"/>
  <c r="F11785" i="1"/>
  <c r="F11668" i="1"/>
  <c r="F11583" i="1"/>
  <c r="F11498" i="1"/>
  <c r="F11412" i="1"/>
  <c r="F11327" i="1"/>
  <c r="F11232" i="1"/>
  <c r="F11054" i="1"/>
  <c r="F10887" i="1"/>
  <c r="F10720" i="1"/>
  <c r="F10559" i="1"/>
  <c r="F10431" i="1"/>
  <c r="F10273" i="1"/>
  <c r="F10102" i="1"/>
  <c r="F9932" i="1"/>
  <c r="F9761" i="1"/>
  <c r="F9490" i="1"/>
  <c r="F8966" i="1"/>
  <c r="F12987" i="1"/>
  <c r="F12923" i="1"/>
  <c r="F12859" i="1"/>
  <c r="F12795" i="1"/>
  <c r="F12731" i="1"/>
  <c r="F12667" i="1"/>
  <c r="F12603" i="1"/>
  <c r="F12539" i="1"/>
  <c r="F12475" i="1"/>
  <c r="F12411" i="1"/>
  <c r="F12347" i="1"/>
  <c r="F12283" i="1"/>
  <c r="F12219" i="1"/>
  <c r="F12155" i="1"/>
  <c r="F12091" i="1"/>
  <c r="F12027" i="1"/>
  <c r="F11963" i="1"/>
  <c r="F11899" i="1"/>
  <c r="F11835" i="1"/>
  <c r="F11739" i="1"/>
  <c r="F11155" i="1"/>
  <c r="F10988" i="1"/>
  <c r="F10810" i="1"/>
  <c r="F10643" i="1"/>
  <c r="F9502" i="1"/>
  <c r="F9022" i="1"/>
  <c r="F11688" i="1"/>
  <c r="F11603" i="1"/>
  <c r="F11518" i="1"/>
  <c r="F11432" i="1"/>
  <c r="F11347" i="1"/>
  <c r="F11262" i="1"/>
  <c r="F11096" i="1"/>
  <c r="F10918" i="1"/>
  <c r="F10751" i="1"/>
  <c r="F10580" i="1"/>
  <c r="F10452" i="1"/>
  <c r="F10322" i="1"/>
  <c r="F10152" i="1"/>
  <c r="F9981" i="1"/>
  <c r="F9810" i="1"/>
  <c r="F9576" i="1"/>
  <c r="F9174" i="1"/>
  <c r="F9614" i="1"/>
  <c r="F9436" i="1"/>
  <c r="F9269" i="1"/>
  <c r="F9122" i="1"/>
  <c r="F8994" i="1"/>
  <c r="F8866" i="1"/>
  <c r="F8738" i="1"/>
  <c r="F8529" i="1"/>
  <c r="F8200" i="1"/>
  <c r="F7744" i="1"/>
  <c r="F9217" i="1"/>
  <c r="F8318" i="1"/>
  <c r="F8024" i="1"/>
  <c r="F7780" i="1"/>
  <c r="F9025" i="1"/>
  <c r="F8897" i="1"/>
  <c r="F8769" i="1"/>
  <c r="F8601" i="1"/>
  <c r="F8272" i="1"/>
  <c r="F7791" i="1"/>
  <c r="F9248" i="1"/>
  <c r="F8390" i="1"/>
  <c r="F8061" i="1"/>
  <c r="F7803" i="1"/>
  <c r="F8894" i="1"/>
  <c r="F8766" i="1"/>
  <c r="F8570" i="1"/>
  <c r="F8241" i="1"/>
  <c r="F7799" i="1"/>
  <c r="F10578" i="1"/>
  <c r="F10514" i="1"/>
  <c r="F10422" i="1"/>
  <c r="F10320" i="1"/>
  <c r="F10186" i="1"/>
  <c r="F10053" i="1"/>
  <c r="F9909" i="1"/>
  <c r="F9770" i="1"/>
  <c r="F9560" i="1"/>
  <c r="F9297" i="1"/>
  <c r="F8158" i="1"/>
  <c r="F9654" i="1"/>
  <c r="F9149" i="1"/>
  <c r="F8717" i="1"/>
  <c r="F7661" i="1"/>
  <c r="F11485" i="1"/>
  <c r="F11285" i="1"/>
  <c r="F11037" i="1"/>
  <c r="F10781" i="1"/>
  <c r="F10525" i="1"/>
  <c r="F10244" i="1"/>
  <c r="F9902" i="1"/>
  <c r="F9417" i="1"/>
  <c r="F7821" i="1"/>
  <c r="F8100" i="1"/>
  <c r="F7458" i="1"/>
  <c r="F7176" i="1"/>
  <c r="F6482" i="1"/>
  <c r="F6383" i="1"/>
  <c r="F8732" i="1"/>
  <c r="F7296" i="1"/>
  <c r="F7837" i="1"/>
  <c r="F10139" i="1"/>
  <c r="F9627" i="1"/>
  <c r="F9115" i="1"/>
  <c r="F8498" i="1"/>
  <c r="F6454" i="1"/>
  <c r="F6395" i="1"/>
  <c r="F6035" i="1"/>
  <c r="F5659" i="1"/>
  <c r="F6305" i="1"/>
  <c r="F7473" i="1"/>
  <c r="F5820" i="1"/>
  <c r="F8271" i="1"/>
  <c r="F7578" i="1"/>
  <c r="F5993" i="1"/>
  <c r="F6310" i="1"/>
  <c r="F4855" i="1"/>
  <c r="F6632" i="1"/>
  <c r="F5608" i="1"/>
  <c r="F6590" i="1"/>
  <c r="F5566" i="1"/>
  <c r="F6855" i="1"/>
  <c r="F5831" i="1"/>
  <c r="F5075" i="1"/>
  <c r="F5297" i="1"/>
  <c r="F5134" i="1"/>
  <c r="F4322" i="1"/>
  <c r="F4719" i="1"/>
  <c r="F4291" i="1"/>
  <c r="F4685" i="1"/>
  <c r="F3395" i="1"/>
  <c r="F4411" i="1"/>
  <c r="F4124" i="1"/>
  <c r="F5212" i="1"/>
  <c r="F4700" i="1"/>
  <c r="F2459" i="1"/>
  <c r="F2676" i="1"/>
  <c r="F3618" i="1"/>
  <c r="F3951" i="1"/>
  <c r="F2486" i="1"/>
  <c r="F4033" i="1"/>
  <c r="F3017" i="1"/>
  <c r="F2418" i="1"/>
  <c r="F1567" i="1"/>
  <c r="F1509" i="1"/>
  <c r="G13077" i="1"/>
  <c r="G12454" i="1"/>
  <c r="G14413" i="1"/>
  <c r="G12271" i="1"/>
  <c r="G9863" i="1"/>
  <c r="G6722" i="1"/>
  <c r="F9558" i="1"/>
  <c r="F9380" i="1"/>
  <c r="F9213" i="1"/>
  <c r="F9085" i="1"/>
  <c r="F8957" i="1"/>
  <c r="F8829" i="1"/>
  <c r="F8701" i="1"/>
  <c r="F8432" i="1"/>
  <c r="F8066" i="1"/>
  <c r="F7645" i="1"/>
  <c r="F11633" i="1"/>
  <c r="F11569" i="1"/>
  <c r="F11505" i="1"/>
  <c r="F11441" i="1"/>
  <c r="F11377" i="1"/>
  <c r="F11313" i="1"/>
  <c r="F11249" i="1"/>
  <c r="F11185" i="1"/>
  <c r="F11121" i="1"/>
  <c r="F11057" i="1"/>
  <c r="F10993" i="1"/>
  <c r="F10929" i="1"/>
  <c r="F10865" i="1"/>
  <c r="F10801" i="1"/>
  <c r="F10737" i="1"/>
  <c r="F10673" i="1"/>
  <c r="F10609" i="1"/>
  <c r="F10545" i="1"/>
  <c r="F10481" i="1"/>
  <c r="F10417" i="1"/>
  <c r="F10353" i="1"/>
  <c r="F10270" i="1"/>
  <c r="F10185" i="1"/>
  <c r="F10100" i="1"/>
  <c r="F10014" i="1"/>
  <c r="F9929" i="1"/>
  <c r="F9844" i="1"/>
  <c r="F9758" i="1"/>
  <c r="F9641" i="1"/>
  <c r="F9474" i="1"/>
  <c r="F9296" i="1"/>
  <c r="F8486" i="1"/>
  <c r="F8157" i="1"/>
  <c r="F7906" i="1"/>
  <c r="F8662" i="1"/>
  <c r="F8493" i="1"/>
  <c r="F8324" i="1"/>
  <c r="F8150" i="1"/>
  <c r="F8009" i="1"/>
  <c r="F7915" i="1"/>
  <c r="F7739" i="1"/>
  <c r="F7531" i="1"/>
  <c r="F7218" i="1"/>
  <c r="F6949" i="1"/>
  <c r="F6447" i="1"/>
  <c r="F7494" i="1"/>
  <c r="F7165" i="1"/>
  <c r="F6812" i="1"/>
  <c r="F6300" i="1"/>
  <c r="F7395" i="1"/>
  <c r="F7081" i="1"/>
  <c r="F6647" i="1"/>
  <c r="F7580" i="1"/>
  <c r="F7310" i="1"/>
  <c r="F6984" i="1"/>
  <c r="F6500" i="1"/>
  <c r="F7499" i="1"/>
  <c r="F7213" i="1"/>
  <c r="F6858" i="1"/>
  <c r="F6346" i="1"/>
  <c r="F9176" i="1"/>
  <c r="F9112" i="1"/>
  <c r="F9048" i="1"/>
  <c r="F8984" i="1"/>
  <c r="F8920" i="1"/>
  <c r="F8856" i="1"/>
  <c r="F8792" i="1"/>
  <c r="F8728" i="1"/>
  <c r="F8664" i="1"/>
  <c r="F8490" i="1"/>
  <c r="F8321" i="1"/>
  <c r="F8152" i="1"/>
  <c r="F7887" i="1"/>
  <c r="F7710" i="1"/>
  <c r="F7526" i="1"/>
  <c r="F7275" i="1"/>
  <c r="F6954" i="1"/>
  <c r="F6492" i="1"/>
  <c r="F8590" i="1"/>
  <c r="F8421" i="1"/>
  <c r="F8252" i="1"/>
  <c r="F8078" i="1"/>
  <c r="F7973" i="1"/>
  <c r="F7826" i="1"/>
  <c r="F7666" i="1"/>
  <c r="F7400" i="1"/>
  <c r="F7139" i="1"/>
  <c r="F6729" i="1"/>
  <c r="F6217" i="1"/>
  <c r="F10263" i="1"/>
  <c r="F10199" i="1"/>
  <c r="F10135" i="1"/>
  <c r="F10071" i="1"/>
  <c r="F10007" i="1"/>
  <c r="F9943" i="1"/>
  <c r="F9879" i="1"/>
  <c r="F9815" i="1"/>
  <c r="F9751" i="1"/>
  <c r="F9687" i="1"/>
  <c r="F9623" i="1"/>
  <c r="F9559" i="1"/>
  <c r="F9495" i="1"/>
  <c r="F9431" i="1"/>
  <c r="F9367" i="1"/>
  <c r="F9303" i="1"/>
  <c r="F9239" i="1"/>
  <c r="F9175" i="1"/>
  <c r="F9111" i="1"/>
  <c r="F9047" i="1"/>
  <c r="F8983" i="1"/>
  <c r="F8919" i="1"/>
  <c r="F8855" i="1"/>
  <c r="F8791" i="1"/>
  <c r="F8727" i="1"/>
  <c r="F8658" i="1"/>
  <c r="F8489" i="1"/>
  <c r="F8320" i="1"/>
  <c r="F8146" i="1"/>
  <c r="F7886" i="1"/>
  <c r="F7721" i="1"/>
  <c r="F7497" i="1"/>
  <c r="F7242" i="1"/>
  <c r="F6953" i="1"/>
  <c r="F6436" i="1"/>
  <c r="F7623" i="1"/>
  <c r="F7495" i="1"/>
  <c r="F7360" i="1"/>
  <c r="F7219" i="1"/>
  <c r="F7066" i="1"/>
  <c r="F6870" i="1"/>
  <c r="F6614" i="1"/>
  <c r="F6358" i="1"/>
  <c r="F6102" i="1"/>
  <c r="F5846" i="1"/>
  <c r="F5590" i="1"/>
  <c r="F6136" i="1"/>
  <c r="F5880" i="1"/>
  <c r="F5624" i="1"/>
  <c r="F5385" i="1"/>
  <c r="F5998" i="1"/>
  <c r="F5742" i="1"/>
  <c r="F5486" i="1"/>
  <c r="F6089" i="1"/>
  <c r="F5833" i="1"/>
  <c r="F5577" i="1"/>
  <c r="F5334" i="1"/>
  <c r="F5878" i="1"/>
  <c r="F5622" i="1"/>
  <c r="F5230" i="1"/>
  <c r="F7474" i="1"/>
  <c r="F7325" i="1"/>
  <c r="F7179" i="1"/>
  <c r="F7013" i="1"/>
  <c r="F6808" i="1"/>
  <c r="F6552" i="1"/>
  <c r="F6296" i="1"/>
  <c r="F6040" i="1"/>
  <c r="F5784" i="1"/>
  <c r="F5528" i="1"/>
  <c r="F5203" i="1"/>
  <c r="F7848" i="1"/>
  <c r="F7720" i="1"/>
  <c r="F7592" i="1"/>
  <c r="F7464" i="1"/>
  <c r="F7314" i="1"/>
  <c r="F7178" i="1"/>
  <c r="F7025" i="1"/>
  <c r="F6835" i="1"/>
  <c r="F6579" i="1"/>
  <c r="F6323" i="1"/>
  <c r="F6067" i="1"/>
  <c r="F5811" i="1"/>
  <c r="F5555" i="1"/>
  <c r="F8651" i="1"/>
  <c r="F8587" i="1"/>
  <c r="F8523" i="1"/>
  <c r="F8459" i="1"/>
  <c r="F8395" i="1"/>
  <c r="F8331" i="1"/>
  <c r="F8267" i="1"/>
  <c r="F8203" i="1"/>
  <c r="F8139" i="1"/>
  <c r="F8075" i="1"/>
  <c r="F8011" i="1"/>
  <c r="F7947" i="1"/>
  <c r="F7829" i="1"/>
  <c r="F7701" i="1"/>
  <c r="F7573" i="1"/>
  <c r="F7439" i="1"/>
  <c r="F7277" i="1"/>
  <c r="F7141" i="1"/>
  <c r="F6981" i="1"/>
  <c r="F6752" i="1"/>
  <c r="F6496" i="1"/>
  <c r="F6240" i="1"/>
  <c r="F5984" i="1"/>
  <c r="F5728" i="1"/>
  <c r="F5472" i="1"/>
  <c r="F5074" i="1"/>
  <c r="F6813" i="1"/>
  <c r="F6685" i="1"/>
  <c r="F6557" i="1"/>
  <c r="F6429" i="1"/>
  <c r="F6301" i="1"/>
  <c r="F6173" i="1"/>
  <c r="F6045" i="1"/>
  <c r="F5917" i="1"/>
  <c r="F5789" i="1"/>
  <c r="F5661" i="1"/>
  <c r="F5533" i="1"/>
  <c r="F5225" i="1"/>
  <c r="F4843" i="1"/>
  <c r="F4830" i="1"/>
  <c r="F4887" i="1"/>
  <c r="F4386" i="1"/>
  <c r="F4561" i="1"/>
  <c r="F4825" i="1"/>
  <c r="F6879" i="1"/>
  <c r="F6751" i="1"/>
  <c r="F6623" i="1"/>
  <c r="F6495" i="1"/>
  <c r="F6367" i="1"/>
  <c r="F6239" i="1"/>
  <c r="F6111" i="1"/>
  <c r="F5983" i="1"/>
  <c r="F5855" i="1"/>
  <c r="F5727" i="1"/>
  <c r="F5599" i="1"/>
  <c r="F5471" i="1"/>
  <c r="F5382" i="1"/>
  <c r="F5073" i="1"/>
  <c r="F4311" i="1"/>
  <c r="F6965" i="1"/>
  <c r="F6837" i="1"/>
  <c r="F6709" i="1"/>
  <c r="F6581" i="1"/>
  <c r="F6453" i="1"/>
  <c r="F6325" i="1"/>
  <c r="F6197" i="1"/>
  <c r="F6069" i="1"/>
  <c r="F5941" i="1"/>
  <c r="F5813" i="1"/>
  <c r="F5685" i="1"/>
  <c r="F5557" i="1"/>
  <c r="F5289" i="1"/>
  <c r="F4954" i="1"/>
  <c r="F4400" i="1"/>
  <c r="F7362" i="1"/>
  <c r="F7234" i="1"/>
  <c r="F7106" i="1"/>
  <c r="F6978" i="1"/>
  <c r="F6850" i="1"/>
  <c r="F6722" i="1"/>
  <c r="F6594" i="1"/>
  <c r="F6466" i="1"/>
  <c r="F6338" i="1"/>
  <c r="F6210" i="1"/>
  <c r="F6082" i="1"/>
  <c r="F5954" i="1"/>
  <c r="F5826" i="1"/>
  <c r="F5698" i="1"/>
  <c r="F5570" i="1"/>
  <c r="F5445" i="1"/>
  <c r="F5348" i="1"/>
  <c r="F4929" i="1"/>
  <c r="F4296" i="1"/>
  <c r="F5258" i="1"/>
  <c r="F5070" i="1"/>
  <c r="F4827" i="1"/>
  <c r="F4302" i="1"/>
  <c r="F3628" i="1"/>
  <c r="F3623" i="1"/>
  <c r="F3687" i="1"/>
  <c r="F3721" i="1"/>
  <c r="F3793" i="1"/>
  <c r="F5281" i="1"/>
  <c r="F5093" i="1"/>
  <c r="F4866" i="1"/>
  <c r="F4569" i="1"/>
  <c r="F4242" i="1"/>
  <c r="F3422" i="1"/>
  <c r="F5403" i="1"/>
  <c r="F5317" i="1"/>
  <c r="F5129" i="1"/>
  <c r="F4883" i="1"/>
  <c r="F4619" i="1"/>
  <c r="F4306" i="1"/>
  <c r="F3559" i="1"/>
  <c r="F5233" i="1"/>
  <c r="F5034" i="1"/>
  <c r="F4790" i="1"/>
  <c r="F4288" i="1"/>
  <c r="F3483" i="1"/>
  <c r="F4280" i="1"/>
  <c r="F4011" i="1"/>
  <c r="F3473" i="1"/>
  <c r="F3045" i="1"/>
  <c r="F4973" i="1"/>
  <c r="F4799" i="1"/>
  <c r="F4714" i="1"/>
  <c r="F4629" i="1"/>
  <c r="F4543" i="1"/>
  <c r="F4403" i="1"/>
  <c r="F4174" i="1"/>
  <c r="F3757" i="1"/>
  <c r="F3245" i="1"/>
  <c r="F3097" i="1"/>
  <c r="F4267" i="1"/>
  <c r="F3976" i="1"/>
  <c r="F3529" i="1"/>
  <c r="F2935" i="1"/>
  <c r="F5245" i="1"/>
  <c r="F5071" i="1"/>
  <c r="F4902" i="1"/>
  <c r="F4765" i="1"/>
  <c r="F4679" i="1"/>
  <c r="F4594" i="1"/>
  <c r="F4509" i="1"/>
  <c r="F4316" i="1"/>
  <c r="F4015" i="1"/>
  <c r="F3528" i="1"/>
  <c r="F3898" i="1"/>
  <c r="F3642" i="1"/>
  <c r="F3386" i="1"/>
  <c r="F3056" i="1"/>
  <c r="F2753" i="1"/>
  <c r="F2940" i="1"/>
  <c r="F2811" i="1"/>
  <c r="F1984" i="1"/>
  <c r="F2908" i="1"/>
  <c r="F2586" i="1"/>
  <c r="F4402" i="1"/>
  <c r="F3783" i="1"/>
  <c r="F3527" i="1"/>
  <c r="F3271" i="1"/>
  <c r="F2761" i="1"/>
  <c r="F4424" i="1"/>
  <c r="F4319" i="1"/>
  <c r="F4234" i="1"/>
  <c r="F4116" i="1"/>
  <c r="F3988" i="1"/>
  <c r="F3762" i="1"/>
  <c r="F3506" i="1"/>
  <c r="F3250" i="1"/>
  <c r="F2860" i="1"/>
  <c r="F2217" i="1"/>
  <c r="F5272" i="1"/>
  <c r="F5208" i="1"/>
  <c r="F5144" i="1"/>
  <c r="F5080" i="1"/>
  <c r="F5016" i="1"/>
  <c r="F4952" i="1"/>
  <c r="F4888" i="1"/>
  <c r="F4824" i="1"/>
  <c r="F4760" i="1"/>
  <c r="F4696" i="1"/>
  <c r="F4632" i="1"/>
  <c r="F4568" i="1"/>
  <c r="F4504" i="1"/>
  <c r="F3944" i="1"/>
  <c r="F3688" i="1"/>
  <c r="F3432" i="1"/>
  <c r="F3203" i="1"/>
  <c r="F2422" i="1"/>
  <c r="F3863" i="1"/>
  <c r="F3735" i="1"/>
  <c r="F3607" i="1"/>
  <c r="F3479" i="1"/>
  <c r="F3351" i="1"/>
  <c r="F3223" i="1"/>
  <c r="F3027" i="1"/>
  <c r="F2640" i="1"/>
  <c r="F1762" i="1"/>
  <c r="F1434" i="1"/>
  <c r="F4110" i="1"/>
  <c r="F4046" i="1"/>
  <c r="F3982" i="1"/>
  <c r="F3865" i="1"/>
  <c r="F3737" i="1"/>
  <c r="F3609" i="1"/>
  <c r="F3481" i="1"/>
  <c r="F3353" i="1"/>
  <c r="F3225" i="1"/>
  <c r="F3060" i="1"/>
  <c r="F2871" i="1"/>
  <c r="F2729" i="1"/>
  <c r="F2297" i="1"/>
  <c r="F3942" i="1"/>
  <c r="F3814" i="1"/>
  <c r="F3686" i="1"/>
  <c r="F3558" i="1"/>
  <c r="F3430" i="1"/>
  <c r="F3302" i="1"/>
  <c r="F3148" i="1"/>
  <c r="F2956" i="1"/>
  <c r="F2468" i="1"/>
  <c r="F4477" i="1"/>
  <c r="F4413" i="1"/>
  <c r="F4349" i="1"/>
  <c r="F4285" i="1"/>
  <c r="F4221" i="1"/>
  <c r="F4157" i="1"/>
  <c r="F4093" i="1"/>
  <c r="F4029" i="1"/>
  <c r="F3964" i="1"/>
  <c r="F3836" i="1"/>
  <c r="F3708" i="1"/>
  <c r="F3580" i="1"/>
  <c r="F3452" i="1"/>
  <c r="F3324" i="1"/>
  <c r="F3200" i="1"/>
  <c r="F2999" i="1"/>
  <c r="F2841" i="1"/>
  <c r="F2577" i="1"/>
  <c r="F1904" i="1"/>
  <c r="F2399" i="1"/>
  <c r="F2180" i="1"/>
  <c r="F2725" i="1"/>
  <c r="F1850" i="1"/>
  <c r="F2345" i="1"/>
  <c r="F2628" i="1"/>
  <c r="F2414" i="1"/>
  <c r="F2205" i="1"/>
  <c r="F2691" i="1"/>
  <c r="F1278" i="1"/>
  <c r="F3054" i="1"/>
  <c r="F2447" i="1"/>
  <c r="F1201" i="1"/>
  <c r="F1792" i="1"/>
  <c r="F1074" i="1"/>
  <c r="F1391" i="1"/>
  <c r="F2085" i="1"/>
  <c r="F1463" i="1"/>
  <c r="F715" i="1"/>
  <c r="F837" i="1"/>
  <c r="F1449" i="1"/>
  <c r="F484" i="1"/>
  <c r="F337" i="1"/>
  <c r="F274" i="1"/>
  <c r="F318" i="1"/>
  <c r="F249" i="1"/>
  <c r="G14895" i="1"/>
  <c r="G13395" i="1"/>
  <c r="G13390" i="1"/>
  <c r="G14386" i="1"/>
  <c r="G14275" i="1"/>
  <c r="G13662" i="1"/>
  <c r="G14607" i="1"/>
  <c r="G14556" i="1"/>
  <c r="G13815" i="1"/>
  <c r="G12351" i="1"/>
  <c r="G12177" i="1"/>
  <c r="G12054" i="1"/>
  <c r="G11931" i="1"/>
  <c r="G11340" i="1"/>
  <c r="G13210" i="1"/>
  <c r="G14921" i="1"/>
  <c r="G13717" i="1"/>
  <c r="G12061" i="1"/>
  <c r="G14285" i="1"/>
  <c r="G13236" i="1"/>
  <c r="G10947" i="1"/>
  <c r="G11634" i="1"/>
  <c r="G9543" i="1"/>
  <c r="G9330" i="1"/>
  <c r="G11802" i="1"/>
  <c r="G9323" i="1"/>
  <c r="G12100" i="1"/>
  <c r="G10441" i="1"/>
  <c r="G13391" i="1"/>
  <c r="G12264" i="1"/>
  <c r="G10655" i="1"/>
  <c r="G11044" i="1"/>
  <c r="G8682" i="1"/>
  <c r="G11380" i="1"/>
  <c r="G9204" i="1"/>
  <c r="G11562" i="1"/>
  <c r="G10669" i="1"/>
  <c r="G12846" i="1"/>
  <c r="G11822" i="1"/>
  <c r="G10335" i="1"/>
  <c r="G7857" i="1"/>
  <c r="G9074" i="1"/>
  <c r="G4836" i="1"/>
  <c r="F8149" i="1"/>
  <c r="F7883" i="1"/>
  <c r="F10324" i="1"/>
  <c r="F9540" i="1"/>
  <c r="F9373" i="1"/>
  <c r="F9205" i="1"/>
  <c r="F9077" i="1"/>
  <c r="F8949" i="1"/>
  <c r="F8821" i="1"/>
  <c r="F8693" i="1"/>
  <c r="F8386" i="1"/>
  <c r="F8057" i="1"/>
  <c r="F7631" i="1"/>
  <c r="F11629" i="1"/>
  <c r="F11565" i="1"/>
  <c r="F11501" i="1"/>
  <c r="F11437" i="1"/>
  <c r="F11373" i="1"/>
  <c r="F11309" i="1"/>
  <c r="F11245" i="1"/>
  <c r="F11181" i="1"/>
  <c r="F11117" i="1"/>
  <c r="F11053" i="1"/>
  <c r="F10989" i="1"/>
  <c r="F10925" i="1"/>
  <c r="F10861" i="1"/>
  <c r="F10797" i="1"/>
  <c r="F10733" i="1"/>
  <c r="F10669" i="1"/>
  <c r="F10605" i="1"/>
  <c r="F10541" i="1"/>
  <c r="F10477" i="1"/>
  <c r="F10413" i="1"/>
  <c r="F10349" i="1"/>
  <c r="F10265" i="1"/>
  <c r="F10180" i="1"/>
  <c r="F10094" i="1"/>
  <c r="F10009" i="1"/>
  <c r="F9924" i="1"/>
  <c r="F9838" i="1"/>
  <c r="F9753" i="1"/>
  <c r="F9634" i="1"/>
  <c r="F9456" i="1"/>
  <c r="F9289" i="1"/>
  <c r="F8477" i="1"/>
  <c r="F8148" i="1"/>
  <c r="F7882" i="1"/>
  <c r="F8653" i="1"/>
  <c r="F8484" i="1"/>
  <c r="F8310" i="1"/>
  <c r="F8141" i="1"/>
  <c r="F8004" i="1"/>
  <c r="F7909" i="1"/>
  <c r="F7732" i="1"/>
  <c r="F7522" i="1"/>
  <c r="F7208" i="1"/>
  <c r="F6922" i="1"/>
  <c r="F6410" i="1"/>
  <c r="F7457" i="1"/>
  <c r="F7155" i="1"/>
  <c r="F6757" i="1"/>
  <c r="F6245" i="1"/>
  <c r="F7384" i="1"/>
  <c r="F7069" i="1"/>
  <c r="F6610" i="1"/>
  <c r="F7572" i="1"/>
  <c r="F7300" i="1"/>
  <c r="F6959" i="1"/>
  <c r="F6445" i="1"/>
  <c r="F7490" i="1"/>
  <c r="F7203" i="1"/>
  <c r="F6840" i="1"/>
  <c r="F6328" i="1"/>
  <c r="F9172" i="1"/>
  <c r="F9108" i="1"/>
  <c r="F9044" i="1"/>
  <c r="F8980" i="1"/>
  <c r="F8916" i="1"/>
  <c r="F8852" i="1"/>
  <c r="F8788" i="1"/>
  <c r="F8724" i="1"/>
  <c r="F8650" i="1"/>
  <c r="F8481" i="1"/>
  <c r="F8312" i="1"/>
  <c r="F8138" i="1"/>
  <c r="F7881" i="1"/>
  <c r="F7704" i="1"/>
  <c r="F7489" i="1"/>
  <c r="F7254" i="1"/>
  <c r="F6943" i="1"/>
  <c r="F6437" i="1"/>
  <c r="F8581" i="1"/>
  <c r="F8412" i="1"/>
  <c r="F8238" i="1"/>
  <c r="F8069" i="1"/>
  <c r="F7968" i="1"/>
  <c r="F7819" i="1"/>
  <c r="F7658" i="1"/>
  <c r="F7389" i="1"/>
  <c r="F7128" i="1"/>
  <c r="F6711" i="1"/>
  <c r="F6199" i="1"/>
  <c r="F10259" i="1"/>
  <c r="F10195" i="1"/>
  <c r="F10131" i="1"/>
  <c r="F10067" i="1"/>
  <c r="F10003" i="1"/>
  <c r="F9939" i="1"/>
  <c r="F9875" i="1"/>
  <c r="F9811" i="1"/>
  <c r="F9747" i="1"/>
  <c r="F9683" i="1"/>
  <c r="F9619" i="1"/>
  <c r="F9555" i="1"/>
  <c r="F9491" i="1"/>
  <c r="F9427" i="1"/>
  <c r="F9363" i="1"/>
  <c r="F9299" i="1"/>
  <c r="F9235" i="1"/>
  <c r="F9171" i="1"/>
  <c r="F9107" i="1"/>
  <c r="F9043" i="1"/>
  <c r="F8979" i="1"/>
  <c r="F8915" i="1"/>
  <c r="F8851" i="1"/>
  <c r="F8787" i="1"/>
  <c r="F8723" i="1"/>
  <c r="F8649" i="1"/>
  <c r="F8480" i="1"/>
  <c r="F8306" i="1"/>
  <c r="F8137" i="1"/>
  <c r="F7879" i="1"/>
  <c r="F7703" i="1"/>
  <c r="F7488" i="1"/>
  <c r="F7232" i="1"/>
  <c r="F6893" i="1"/>
  <c r="F6381" i="1"/>
  <c r="F7614" i="1"/>
  <c r="F7486" i="1"/>
  <c r="F7355" i="1"/>
  <c r="F7198" i="1"/>
  <c r="F7048" i="1"/>
  <c r="F6861" i="1"/>
  <c r="F6605" i="1"/>
  <c r="F6349" i="1"/>
  <c r="F6093" i="1"/>
  <c r="F5837" i="1"/>
  <c r="F5581" i="1"/>
  <c r="F6127" i="1"/>
  <c r="F5871" i="1"/>
  <c r="F5615" i="1"/>
  <c r="F5372" i="1"/>
  <c r="F5989" i="1"/>
  <c r="F5733" i="1"/>
  <c r="F5477" i="1"/>
  <c r="F6080" i="1"/>
  <c r="F5824" i="1"/>
  <c r="F5568" i="1"/>
  <c r="F5273" i="1"/>
  <c r="F5869" i="1"/>
  <c r="F5613" i="1"/>
  <c r="F5105" i="1"/>
  <c r="F7469" i="1"/>
  <c r="F7320" i="1"/>
  <c r="F7158" i="1"/>
  <c r="F6995" i="1"/>
  <c r="F6799" i="1"/>
  <c r="F6543" i="1"/>
  <c r="F6287" i="1"/>
  <c r="F6031" i="1"/>
  <c r="F5775" i="1"/>
  <c r="F5519" i="1"/>
  <c r="F5141" i="1"/>
  <c r="F7839" i="1"/>
  <c r="F7711" i="1"/>
  <c r="F7583" i="1"/>
  <c r="F7455" i="1"/>
  <c r="F7309" i="1"/>
  <c r="F7173" i="1"/>
  <c r="F7018" i="1"/>
  <c r="F6798" i="1"/>
  <c r="F6542" i="1"/>
  <c r="F6286" i="1"/>
  <c r="F6030" i="1"/>
  <c r="F5774" i="1"/>
  <c r="F5518" i="1"/>
  <c r="F8647" i="1"/>
  <c r="F8583" i="1"/>
  <c r="F8519" i="1"/>
  <c r="F8455" i="1"/>
  <c r="F8391" i="1"/>
  <c r="F8327" i="1"/>
  <c r="F8263" i="1"/>
  <c r="F8199" i="1"/>
  <c r="F8135" i="1"/>
  <c r="F8071" i="1"/>
  <c r="F8007" i="1"/>
  <c r="F7943" i="1"/>
  <c r="F7820" i="1"/>
  <c r="F7692" i="1"/>
  <c r="F7564" i="1"/>
  <c r="F7418" i="1"/>
  <c r="F7272" i="1"/>
  <c r="F7136" i="1"/>
  <c r="F6963" i="1"/>
  <c r="F6743" i="1"/>
  <c r="F6487" i="1"/>
  <c r="F6231" i="1"/>
  <c r="F5975" i="1"/>
  <c r="F5719" i="1"/>
  <c r="F5463" i="1"/>
  <c r="F4983" i="1"/>
  <c r="F6804" i="1"/>
  <c r="F6676" i="1"/>
  <c r="F6548" i="1"/>
  <c r="F6420" i="1"/>
  <c r="F6292" i="1"/>
  <c r="F6164" i="1"/>
  <c r="F6036" i="1"/>
  <c r="F5908" i="1"/>
  <c r="F5780" i="1"/>
  <c r="F5652" i="1"/>
  <c r="F5524" i="1"/>
  <c r="F5183" i="1"/>
  <c r="F4779" i="1"/>
  <c r="F4818" i="1"/>
  <c r="F4875" i="1"/>
  <c r="F4318" i="1"/>
  <c r="F4539" i="1"/>
  <c r="F4758" i="1"/>
  <c r="F6874" i="1"/>
  <c r="F6746" i="1"/>
  <c r="F6618" i="1"/>
  <c r="F6490" i="1"/>
  <c r="F6362" i="1"/>
  <c r="F6234" i="1"/>
  <c r="F6106" i="1"/>
  <c r="F5978" i="1"/>
  <c r="F5850" i="1"/>
  <c r="F5722" i="1"/>
  <c r="F5594" i="1"/>
  <c r="F5466" i="1"/>
  <c r="F5376" i="1"/>
  <c r="F5031" i="1"/>
  <c r="F4278" i="1"/>
  <c r="F6956" i="1"/>
  <c r="F6828" i="1"/>
  <c r="F6700" i="1"/>
  <c r="F6572" i="1"/>
  <c r="F6444" i="1"/>
  <c r="F6316" i="1"/>
  <c r="F6188" i="1"/>
  <c r="F6060" i="1"/>
  <c r="F5932" i="1"/>
  <c r="F5804" i="1"/>
  <c r="F5676" i="1"/>
  <c r="F5548" i="1"/>
  <c r="F5247" i="1"/>
  <c r="F4942" i="1"/>
  <c r="F4370" i="1"/>
  <c r="F7353" i="1"/>
  <c r="F7225" i="1"/>
  <c r="F7097" i="1"/>
  <c r="F6969" i="1"/>
  <c r="F6841" i="1"/>
  <c r="F6713" i="1"/>
  <c r="F6585" i="1"/>
  <c r="F6457" i="1"/>
  <c r="F6329" i="1"/>
  <c r="F6201" i="1"/>
  <c r="F6073" i="1"/>
  <c r="F5945" i="1"/>
  <c r="F5817" i="1"/>
  <c r="F5689" i="1"/>
  <c r="F5561" i="1"/>
  <c r="F5440" i="1"/>
  <c r="F5278" i="1"/>
  <c r="F4917" i="1"/>
  <c r="F4263" i="1"/>
  <c r="F5253" i="1"/>
  <c r="F5065" i="1"/>
  <c r="F4821" i="1"/>
  <c r="F4268" i="1"/>
  <c r="F3555" i="1"/>
  <c r="F3550" i="1"/>
  <c r="F3614" i="1"/>
  <c r="F3684" i="1"/>
  <c r="F3756" i="1"/>
  <c r="F5255" i="1"/>
  <c r="F5067" i="1"/>
  <c r="F4835" i="1"/>
  <c r="F4558" i="1"/>
  <c r="F4208" i="1"/>
  <c r="F3349" i="1"/>
  <c r="F5399" i="1"/>
  <c r="F5291" i="1"/>
  <c r="F5087" i="1"/>
  <c r="F4871" i="1"/>
  <c r="F4611" i="1"/>
  <c r="F4272" i="1"/>
  <c r="F3486" i="1"/>
  <c r="F5217" i="1"/>
  <c r="F5029" i="1"/>
  <c r="F4769" i="1"/>
  <c r="F4270" i="1"/>
  <c r="F3410" i="1"/>
  <c r="F4256" i="1"/>
  <c r="F3975" i="1"/>
  <c r="F3436" i="1"/>
  <c r="F3009" i="1"/>
  <c r="F4959" i="1"/>
  <c r="F4794" i="1"/>
  <c r="F4709" i="1"/>
  <c r="F4623" i="1"/>
  <c r="F4538" i="1"/>
  <c r="F4395" i="1"/>
  <c r="F4160" i="1"/>
  <c r="F3720" i="1"/>
  <c r="F3208" i="1"/>
  <c r="F2985" i="1"/>
  <c r="F4258" i="1"/>
  <c r="F3962" i="1"/>
  <c r="F3492" i="1"/>
  <c r="F5355" i="1"/>
  <c r="F5231" i="1"/>
  <c r="F5062" i="1"/>
  <c r="F4893" i="1"/>
  <c r="F4759" i="1"/>
  <c r="F4674" i="1"/>
  <c r="F4589" i="1"/>
  <c r="F4503" i="1"/>
  <c r="F4307" i="1"/>
  <c r="F4000" i="1"/>
  <c r="F3510" i="1"/>
  <c r="F3889" i="1"/>
  <c r="F3633" i="1"/>
  <c r="F3377" i="1"/>
  <c r="F3001" i="1"/>
  <c r="F2733" i="1"/>
  <c r="F2708" i="1"/>
  <c r="F2796" i="1"/>
  <c r="F3031" i="1"/>
  <c r="F2895" i="1"/>
  <c r="F2513" i="1"/>
  <c r="F4388" i="1"/>
  <c r="F3774" i="1"/>
  <c r="F3518" i="1"/>
  <c r="F3262" i="1"/>
  <c r="F2741" i="1"/>
  <c r="F4415" i="1"/>
  <c r="F4314" i="1"/>
  <c r="F4228" i="1"/>
  <c r="F4108" i="1"/>
  <c r="F3980" i="1"/>
  <c r="F3753" i="1"/>
  <c r="F3497" i="1"/>
  <c r="F3241" i="1"/>
  <c r="F2847" i="1"/>
  <c r="F2032" i="1"/>
  <c r="F5268" i="1"/>
  <c r="F5204" i="1"/>
  <c r="F5140" i="1"/>
  <c r="F5076" i="1"/>
  <c r="F5012" i="1"/>
  <c r="F4948" i="1"/>
  <c r="F4884" i="1"/>
  <c r="F4820" i="1"/>
  <c r="F4756" i="1"/>
  <c r="F4692" i="1"/>
  <c r="F4628" i="1"/>
  <c r="F4564" i="1"/>
  <c r="F4500" i="1"/>
  <c r="F3935" i="1"/>
  <c r="F3679" i="1"/>
  <c r="F3423" i="1"/>
  <c r="F3161" i="1"/>
  <c r="F2349" i="1"/>
  <c r="F3854" i="1"/>
  <c r="F3726" i="1"/>
  <c r="F3598" i="1"/>
  <c r="F3470" i="1"/>
  <c r="F3342" i="1"/>
  <c r="F3214" i="1"/>
  <c r="F3004" i="1"/>
  <c r="F2624" i="1"/>
  <c r="F1351" i="1"/>
  <c r="F1259" i="1"/>
  <c r="F4106" i="1"/>
  <c r="F4042" i="1"/>
  <c r="F3978" i="1"/>
  <c r="F3860" i="1"/>
  <c r="F3732" i="1"/>
  <c r="F3604" i="1"/>
  <c r="F3476" i="1"/>
  <c r="F3348" i="1"/>
  <c r="F3220" i="1"/>
  <c r="F3055" i="1"/>
  <c r="F2864" i="1"/>
  <c r="F2696" i="1"/>
  <c r="F2276" i="1"/>
  <c r="F3933" i="1"/>
  <c r="F3805" i="1"/>
  <c r="F3677" i="1"/>
  <c r="F3549" i="1"/>
  <c r="F3421" i="1"/>
  <c r="F3293" i="1"/>
  <c r="F3143" i="1"/>
  <c r="F2932" i="1"/>
  <c r="F2413" i="1"/>
  <c r="F4473" i="1"/>
  <c r="F4409" i="1"/>
  <c r="F4345" i="1"/>
  <c r="F4281" i="1"/>
  <c r="F4217" i="1"/>
  <c r="F4153" i="1"/>
  <c r="F4089" i="1"/>
  <c r="F4025" i="1"/>
  <c r="F3955" i="1"/>
  <c r="F3827" i="1"/>
  <c r="F3699" i="1"/>
  <c r="F3571" i="1"/>
  <c r="F3443" i="1"/>
  <c r="F3315" i="1"/>
  <c r="F3189" i="1"/>
  <c r="F2992" i="1"/>
  <c r="F2833" i="1"/>
  <c r="F2559" i="1"/>
  <c r="F1691" i="1"/>
  <c r="F2362" i="1"/>
  <c r="F2158" i="1"/>
  <c r="F2622" i="1"/>
  <c r="F3204" i="1"/>
  <c r="F2302" i="1"/>
  <c r="F2564" i="1"/>
  <c r="F2382" i="1"/>
  <c r="F2152" i="1"/>
  <c r="F2687" i="1"/>
  <c r="F1204" i="1"/>
  <c r="F3050" i="1"/>
  <c r="F2442" i="1"/>
  <c r="F1164" i="1"/>
  <c r="F1786" i="1"/>
  <c r="F1056" i="1"/>
  <c r="F1382" i="1"/>
  <c r="F2081" i="1"/>
  <c r="F1454" i="1"/>
  <c r="F709" i="1"/>
  <c r="F832" i="1"/>
  <c r="F1445" i="1"/>
  <c r="F315" i="1"/>
  <c r="F325" i="1"/>
  <c r="F245" i="1"/>
  <c r="F300" i="1"/>
  <c r="F244" i="1"/>
  <c r="G14870" i="1"/>
  <c r="G13374" i="1"/>
  <c r="G13380" i="1"/>
  <c r="G14378" i="1"/>
  <c r="G14243" i="1"/>
  <c r="G14926" i="1"/>
  <c r="G14599" i="1"/>
  <c r="G14552" i="1"/>
  <c r="G13794" i="1"/>
  <c r="G12340" i="1"/>
  <c r="G12153" i="1"/>
  <c r="G12030" i="1"/>
  <c r="G11920" i="1"/>
  <c r="G11303" i="1"/>
  <c r="G13192" i="1"/>
  <c r="G14917" i="1"/>
  <c r="G13712" i="1"/>
  <c r="G12036" i="1"/>
  <c r="G14277" i="1"/>
  <c r="G13230" i="1"/>
  <c r="G10927" i="1"/>
  <c r="G11628" i="1"/>
  <c r="G9522" i="1"/>
  <c r="G9291" i="1"/>
  <c r="G11784" i="1"/>
  <c r="G9280" i="1"/>
  <c r="G12094" i="1"/>
  <c r="G10427" i="1"/>
  <c r="G13386" i="1"/>
  <c r="G12258" i="1"/>
  <c r="G10645" i="1"/>
  <c r="G11039" i="1"/>
  <c r="G8627" i="1"/>
  <c r="G11375" i="1"/>
  <c r="G9180" i="1"/>
  <c r="G11553" i="1"/>
  <c r="G10663" i="1"/>
  <c r="G12837" i="1"/>
  <c r="G11813" i="1"/>
  <c r="G10331" i="1"/>
  <c r="G7832" i="1"/>
  <c r="G9065" i="1"/>
  <c r="G4815" i="1"/>
  <c r="F10266" i="1"/>
  <c r="F10181" i="1"/>
  <c r="F10096" i="1"/>
  <c r="F10010" i="1"/>
  <c r="F9925" i="1"/>
  <c r="F9840" i="1"/>
  <c r="F9754" i="1"/>
  <c r="F9624" i="1"/>
  <c r="F9457" i="1"/>
  <c r="F9290" i="1"/>
  <c r="F8469" i="1"/>
  <c r="F8140" i="1"/>
  <c r="F7859" i="1"/>
  <c r="F9700" i="1"/>
  <c r="F9533" i="1"/>
  <c r="F9366" i="1"/>
  <c r="F9197" i="1"/>
  <c r="F9069" i="1"/>
  <c r="F8941" i="1"/>
  <c r="F8813" i="1"/>
  <c r="F8685" i="1"/>
  <c r="F8377" i="1"/>
  <c r="F8048" i="1"/>
  <c r="F7586" i="1"/>
  <c r="F11625" i="1"/>
  <c r="F11561" i="1"/>
  <c r="F11497" i="1"/>
  <c r="F11433" i="1"/>
  <c r="F11369" i="1"/>
  <c r="F11305" i="1"/>
  <c r="F11241" i="1"/>
  <c r="F11177" i="1"/>
  <c r="F11113" i="1"/>
  <c r="F11049" i="1"/>
  <c r="F10985" i="1"/>
  <c r="F10921" i="1"/>
  <c r="F10857" i="1"/>
  <c r="F10793" i="1"/>
  <c r="F10729" i="1"/>
  <c r="F10665" i="1"/>
  <c r="F10601" i="1"/>
  <c r="F10537" i="1"/>
  <c r="F10473" i="1"/>
  <c r="F10409" i="1"/>
  <c r="F10345" i="1"/>
  <c r="F10260" i="1"/>
  <c r="F10174" i="1"/>
  <c r="F10089" i="1"/>
  <c r="F10004" i="1"/>
  <c r="F9918" i="1"/>
  <c r="F9833" i="1"/>
  <c r="F9748" i="1"/>
  <c r="F9616" i="1"/>
  <c r="F9449" i="1"/>
  <c r="F9282" i="1"/>
  <c r="F8468" i="1"/>
  <c r="F8102" i="1"/>
  <c r="F7869" i="1"/>
  <c r="F8644" i="1"/>
  <c r="F8470" i="1"/>
  <c r="F8301" i="1"/>
  <c r="F8132" i="1"/>
  <c r="F7998" i="1"/>
  <c r="F7891" i="1"/>
  <c r="F7714" i="1"/>
  <c r="F7485" i="1"/>
  <c r="F7197" i="1"/>
  <c r="F6904" i="1"/>
  <c r="F6392" i="1"/>
  <c r="F7437" i="1"/>
  <c r="F7134" i="1"/>
  <c r="F6739" i="1"/>
  <c r="F6227" i="1"/>
  <c r="F7342" i="1"/>
  <c r="F7045" i="1"/>
  <c r="F6592" i="1"/>
  <c r="F7566" i="1"/>
  <c r="F7279" i="1"/>
  <c r="F6935" i="1"/>
  <c r="F6427" i="1"/>
  <c r="F7453" i="1"/>
  <c r="F7192" i="1"/>
  <c r="F6785" i="1"/>
  <c r="F6273" i="1"/>
  <c r="F9168" i="1"/>
  <c r="F9104" i="1"/>
  <c r="F9040" i="1"/>
  <c r="F8976" i="1"/>
  <c r="F8912" i="1"/>
  <c r="F8848" i="1"/>
  <c r="F8784" i="1"/>
  <c r="F8720" i="1"/>
  <c r="F8641" i="1"/>
  <c r="F8472" i="1"/>
  <c r="F8298" i="1"/>
  <c r="F8129" i="1"/>
  <c r="F7863" i="1"/>
  <c r="F7686" i="1"/>
  <c r="F7480" i="1"/>
  <c r="F7244" i="1"/>
  <c r="F6930" i="1"/>
  <c r="F6419" i="1"/>
  <c r="F8572" i="1"/>
  <c r="F8398" i="1"/>
  <c r="F8229" i="1"/>
  <c r="F8060" i="1"/>
  <c r="F7962" i="1"/>
  <c r="F7813" i="1"/>
  <c r="F7650" i="1"/>
  <c r="F7379" i="1"/>
  <c r="F7086" i="1"/>
  <c r="F6674" i="1"/>
  <c r="F10319" i="1"/>
  <c r="F10255" i="1"/>
  <c r="F10191" i="1"/>
  <c r="F10127" i="1"/>
  <c r="F10063" i="1"/>
  <c r="F9999" i="1"/>
  <c r="F9935" i="1"/>
  <c r="F9871" i="1"/>
  <c r="F9807" i="1"/>
  <c r="F9743" i="1"/>
  <c r="F9679" i="1"/>
  <c r="F9615" i="1"/>
  <c r="F9551" i="1"/>
  <c r="F9487" i="1"/>
  <c r="F9423" i="1"/>
  <c r="F9359" i="1"/>
  <c r="F9295" i="1"/>
  <c r="F9231" i="1"/>
  <c r="F9167" i="1"/>
  <c r="F9103" i="1"/>
  <c r="F9039" i="1"/>
  <c r="F8975" i="1"/>
  <c r="F8911" i="1"/>
  <c r="F8847" i="1"/>
  <c r="F8783" i="1"/>
  <c r="F8719" i="1"/>
  <c r="F8640" i="1"/>
  <c r="F8466" i="1"/>
  <c r="F8297" i="1"/>
  <c r="F8128" i="1"/>
  <c r="F7873" i="1"/>
  <c r="F7696" i="1"/>
  <c r="F7479" i="1"/>
  <c r="F7211" i="1"/>
  <c r="F6875" i="1"/>
  <c r="F6363" i="1"/>
  <c r="F7609" i="1"/>
  <c r="F7481" i="1"/>
  <c r="F7339" i="1"/>
  <c r="F7182" i="1"/>
  <c r="F7041" i="1"/>
  <c r="F6852" i="1"/>
  <c r="F6596" i="1"/>
  <c r="F6340" i="1"/>
  <c r="F6084" i="1"/>
  <c r="F5828" i="1"/>
  <c r="F5572" i="1"/>
  <c r="F6090" i="1"/>
  <c r="F5834" i="1"/>
  <c r="F5578" i="1"/>
  <c r="F5356" i="1"/>
  <c r="F5980" i="1"/>
  <c r="F5724" i="1"/>
  <c r="F5468" i="1"/>
  <c r="F6071" i="1"/>
  <c r="F5815" i="1"/>
  <c r="F5559" i="1"/>
  <c r="F5210" i="1"/>
  <c r="F5860" i="1"/>
  <c r="F5604" i="1"/>
  <c r="F5063" i="1"/>
  <c r="F7460" i="1"/>
  <c r="F7315" i="1"/>
  <c r="F7153" i="1"/>
  <c r="F6989" i="1"/>
  <c r="F6762" i="1"/>
  <c r="F6506" i="1"/>
  <c r="F6250" i="1"/>
  <c r="F5994" i="1"/>
  <c r="F5738" i="1"/>
  <c r="F5482" i="1"/>
  <c r="F5099" i="1"/>
  <c r="F7830" i="1"/>
  <c r="F7702" i="1"/>
  <c r="F7574" i="1"/>
  <c r="F7450" i="1"/>
  <c r="F7304" i="1"/>
  <c r="F7168" i="1"/>
  <c r="F7007" i="1"/>
  <c r="F6789" i="1"/>
  <c r="F6533" i="1"/>
  <c r="F6277" i="1"/>
  <c r="F6021" i="1"/>
  <c r="F5765" i="1"/>
  <c r="F5509" i="1"/>
  <c r="F8643" i="1"/>
  <c r="F8579" i="1"/>
  <c r="F8515" i="1"/>
  <c r="F8451" i="1"/>
  <c r="F8387" i="1"/>
  <c r="F8323" i="1"/>
  <c r="F8259" i="1"/>
  <c r="F8195" i="1"/>
  <c r="F8131" i="1"/>
  <c r="F8067" i="1"/>
  <c r="F8003" i="1"/>
  <c r="F7939" i="1"/>
  <c r="F7811" i="1"/>
  <c r="F7683" i="1"/>
  <c r="F7555" i="1"/>
  <c r="F7413" i="1"/>
  <c r="F7267" i="1"/>
  <c r="F7131" i="1"/>
  <c r="F6957" i="1"/>
  <c r="F6706" i="1"/>
  <c r="F6450" i="1"/>
  <c r="F6194" i="1"/>
  <c r="F5938" i="1"/>
  <c r="F5682" i="1"/>
  <c r="F5453" i="1"/>
  <c r="F6923" i="1"/>
  <c r="F6795" i="1"/>
  <c r="F6667" i="1"/>
  <c r="F6539" i="1"/>
  <c r="F6411" i="1"/>
  <c r="F6283" i="1"/>
  <c r="F6155" i="1"/>
  <c r="F6027" i="1"/>
  <c r="F5899" i="1"/>
  <c r="F5771" i="1"/>
  <c r="F5643" i="1"/>
  <c r="F5515" i="1"/>
  <c r="F5173" i="1"/>
  <c r="F4737" i="1"/>
  <c r="F4793" i="1"/>
  <c r="F4826" i="1"/>
  <c r="F4284" i="1"/>
  <c r="F4518" i="1"/>
  <c r="F4715" i="1"/>
  <c r="F6865" i="1"/>
  <c r="F6737" i="1"/>
  <c r="F6609" i="1"/>
  <c r="F6481" i="1"/>
  <c r="F6353" i="1"/>
  <c r="F6225" i="1"/>
  <c r="F6097" i="1"/>
  <c r="F5969" i="1"/>
  <c r="F5841" i="1"/>
  <c r="F5713" i="1"/>
  <c r="F5585" i="1"/>
  <c r="F5457" i="1"/>
  <c r="F5368" i="1"/>
  <c r="F5019" i="1"/>
  <c r="F7075" i="1"/>
  <c r="F6947" i="1"/>
  <c r="F6819" i="1"/>
  <c r="F6691" i="1"/>
  <c r="F6563" i="1"/>
  <c r="F6435" i="1"/>
  <c r="F6307" i="1"/>
  <c r="F6179" i="1"/>
  <c r="F6051" i="1"/>
  <c r="F5923" i="1"/>
  <c r="F5795" i="1"/>
  <c r="F5667" i="1"/>
  <c r="F5539" i="1"/>
  <c r="F5237" i="1"/>
  <c r="F4930" i="1"/>
  <c r="F4336" i="1"/>
  <c r="F7344" i="1"/>
  <c r="F7216" i="1"/>
  <c r="F7088" i="1"/>
  <c r="F6960" i="1"/>
  <c r="F6832" i="1"/>
  <c r="F6704" i="1"/>
  <c r="F6576" i="1"/>
  <c r="F6448" i="1"/>
  <c r="F6320" i="1"/>
  <c r="F6192" i="1"/>
  <c r="F6064" i="1"/>
  <c r="F5936" i="1"/>
  <c r="F5808" i="1"/>
  <c r="F5680" i="1"/>
  <c r="F5552" i="1"/>
  <c r="F5434" i="1"/>
  <c r="F5267" i="1"/>
  <c r="F4905" i="1"/>
  <c r="F4230" i="1"/>
  <c r="F5227" i="1"/>
  <c r="F5022" i="1"/>
  <c r="F4809" i="1"/>
  <c r="F4235" i="1"/>
  <c r="F3482" i="1"/>
  <c r="F3477" i="1"/>
  <c r="F3541" i="1"/>
  <c r="F3611" i="1"/>
  <c r="F3683" i="1"/>
  <c r="F5250" i="1"/>
  <c r="F5051" i="1"/>
  <c r="F4823" i="1"/>
  <c r="F4547" i="1"/>
  <c r="F4190" i="1"/>
  <c r="F3312" i="1"/>
  <c r="F5395" i="1"/>
  <c r="F5275" i="1"/>
  <c r="F5082" i="1"/>
  <c r="F4865" i="1"/>
  <c r="F4577" i="1"/>
  <c r="F4254" i="1"/>
  <c r="F3413" i="1"/>
  <c r="F5191" i="1"/>
  <c r="F5017" i="1"/>
  <c r="F4747" i="1"/>
  <c r="F4236" i="1"/>
  <c r="F3337" i="1"/>
  <c r="F4247" i="1"/>
  <c r="F3930" i="1"/>
  <c r="F3418" i="1"/>
  <c r="F2960" i="1"/>
  <c r="F4950" i="1"/>
  <c r="F4789" i="1"/>
  <c r="F4703" i="1"/>
  <c r="F4618" i="1"/>
  <c r="F4533" i="1"/>
  <c r="F4380" i="1"/>
  <c r="F4147" i="1"/>
  <c r="F3702" i="1"/>
  <c r="F3104" i="1"/>
  <c r="F2936" i="1"/>
  <c r="F4248" i="1"/>
  <c r="F3949" i="1"/>
  <c r="F3474" i="1"/>
  <c r="F5351" i="1"/>
  <c r="F5222" i="1"/>
  <c r="F5053" i="1"/>
  <c r="F4879" i="1"/>
  <c r="F4754" i="1"/>
  <c r="F4669" i="1"/>
  <c r="F4583" i="1"/>
  <c r="F4498" i="1"/>
  <c r="F4283" i="1"/>
  <c r="F3987" i="1"/>
  <c r="F3455" i="1"/>
  <c r="F3852" i="1"/>
  <c r="F3596" i="1"/>
  <c r="F3340" i="1"/>
  <c r="F2977" i="1"/>
  <c r="F2712" i="1"/>
  <c r="F2657" i="1"/>
  <c r="F2783" i="1"/>
  <c r="F3020" i="1"/>
  <c r="F2880" i="1"/>
  <c r="F2440" i="1"/>
  <c r="F4186" i="1"/>
  <c r="F3765" i="1"/>
  <c r="F3509" i="1"/>
  <c r="F3253" i="1"/>
  <c r="F2721" i="1"/>
  <c r="F4406" i="1"/>
  <c r="F4308" i="1"/>
  <c r="F4223" i="1"/>
  <c r="F4100" i="1"/>
  <c r="F3972" i="1"/>
  <c r="F3716" i="1"/>
  <c r="F3460" i="1"/>
  <c r="F3193" i="1"/>
  <c r="F2832" i="1"/>
  <c r="F1935" i="1"/>
  <c r="F5264" i="1"/>
  <c r="F5200" i="1"/>
  <c r="F5136" i="1"/>
  <c r="F5072" i="1"/>
  <c r="F5008" i="1"/>
  <c r="F4944" i="1"/>
  <c r="F4880" i="1"/>
  <c r="F4816" i="1"/>
  <c r="F4752" i="1"/>
  <c r="F4688" i="1"/>
  <c r="F4624" i="1"/>
  <c r="F4560" i="1"/>
  <c r="F4496" i="1"/>
  <c r="F3926" i="1"/>
  <c r="F3670" i="1"/>
  <c r="F3414" i="1"/>
  <c r="F3151" i="1"/>
  <c r="F2307" i="1"/>
  <c r="F3845" i="1"/>
  <c r="F3717" i="1"/>
  <c r="F3589" i="1"/>
  <c r="F3461" i="1"/>
  <c r="F3333" i="1"/>
  <c r="F3199" i="1"/>
  <c r="F2997" i="1"/>
  <c r="F2590" i="1"/>
  <c r="F1830" i="1"/>
  <c r="F4166" i="1"/>
  <c r="F4102" i="1"/>
  <c r="F4038" i="1"/>
  <c r="F3974" i="1"/>
  <c r="F3851" i="1"/>
  <c r="F3723" i="1"/>
  <c r="F3595" i="1"/>
  <c r="F3467" i="1"/>
  <c r="F3339" i="1"/>
  <c r="F3211" i="1"/>
  <c r="F3039" i="1"/>
  <c r="F2857" i="1"/>
  <c r="F2681" i="1"/>
  <c r="F2254" i="1"/>
  <c r="F3928" i="1"/>
  <c r="F3800" i="1"/>
  <c r="F3672" i="1"/>
  <c r="F3544" i="1"/>
  <c r="F3416" i="1"/>
  <c r="F3288" i="1"/>
  <c r="F3101" i="1"/>
  <c r="F2777" i="1"/>
  <c r="F2395" i="1"/>
  <c r="F4469" i="1"/>
  <c r="F4405" i="1"/>
  <c r="F4341" i="1"/>
  <c r="F4277" i="1"/>
  <c r="F4213" i="1"/>
  <c r="F4149" i="1"/>
  <c r="F4085" i="1"/>
  <c r="F4021" i="1"/>
  <c r="F3946" i="1"/>
  <c r="F3818" i="1"/>
  <c r="F3690" i="1"/>
  <c r="F3562" i="1"/>
  <c r="F3434" i="1"/>
  <c r="F3306" i="1"/>
  <c r="F3184" i="1"/>
  <c r="F2968" i="1"/>
  <c r="F2827" i="1"/>
  <c r="F2522" i="1"/>
  <c r="F2609" i="1"/>
  <c r="F2353" i="1"/>
  <c r="F2136" i="1"/>
  <c r="F2613" i="1"/>
  <c r="F3140" i="1"/>
  <c r="F2238" i="1"/>
  <c r="F2454" i="1"/>
  <c r="F2319" i="1"/>
  <c r="F2146" i="1"/>
  <c r="F2626" i="1"/>
  <c r="F2525" i="1"/>
  <c r="F2990" i="1"/>
  <c r="F2330" i="1"/>
  <c r="F2043" i="1"/>
  <c r="F1470" i="1"/>
  <c r="F1065" i="1"/>
  <c r="F1222" i="1"/>
  <c r="F2021" i="1"/>
  <c r="F1294" i="1"/>
  <c r="F813" i="1"/>
  <c r="F635" i="1"/>
  <c r="F1385" i="1"/>
  <c r="F548" i="1"/>
  <c r="F792" i="1"/>
  <c r="F72" i="1"/>
  <c r="F114" i="1"/>
  <c r="F98" i="1"/>
  <c r="G14587" i="1"/>
  <c r="G14084" i="1"/>
  <c r="G14876" i="1"/>
  <c r="G14258" i="1"/>
  <c r="G14734" i="1"/>
  <c r="G13494" i="1"/>
  <c r="G14479" i="1"/>
  <c r="G14492" i="1"/>
  <c r="G13653" i="1"/>
  <c r="G12022" i="1"/>
  <c r="G11835" i="1"/>
  <c r="G11698" i="1"/>
  <c r="G11537" i="1"/>
  <c r="G14206" i="1"/>
  <c r="G13033" i="1"/>
  <c r="G14789" i="1"/>
  <c r="G13581" i="1"/>
  <c r="G11692" i="1"/>
  <c r="G14083" i="1"/>
  <c r="G13087" i="1"/>
  <c r="G12794" i="1"/>
  <c r="G11390" i="1"/>
  <c r="G10747" i="1"/>
  <c r="G10349" i="1"/>
  <c r="G11601" i="1"/>
  <c r="G13117" i="1"/>
  <c r="G11935" i="1"/>
  <c r="G9612" i="1"/>
  <c r="G13263" i="1"/>
  <c r="G12105" i="1"/>
  <c r="G10387" i="1"/>
  <c r="G10567" i="1"/>
  <c r="G9123" i="1"/>
  <c r="G11252" i="1"/>
  <c r="G8783" i="1"/>
  <c r="G11434" i="1"/>
  <c r="G10577" i="1"/>
  <c r="G12718" i="1"/>
  <c r="G11694" i="1"/>
  <c r="G8766" i="1"/>
  <c r="G9395" i="1"/>
  <c r="G7970" i="1"/>
  <c r="G5097" i="1"/>
  <c r="F9693" i="1"/>
  <c r="F9526" i="1"/>
  <c r="F9348" i="1"/>
  <c r="F9189" i="1"/>
  <c r="F9061" i="1"/>
  <c r="F8933" i="1"/>
  <c r="F8805" i="1"/>
  <c r="F8677" i="1"/>
  <c r="F8368" i="1"/>
  <c r="F7919" i="1"/>
  <c r="F11685" i="1"/>
  <c r="F11621" i="1"/>
  <c r="F11557" i="1"/>
  <c r="F11493" i="1"/>
  <c r="F11429" i="1"/>
  <c r="F11365" i="1"/>
  <c r="F11301" i="1"/>
  <c r="F11237" i="1"/>
  <c r="F11173" i="1"/>
  <c r="F11109" i="1"/>
  <c r="F11045" i="1"/>
  <c r="F10981" i="1"/>
  <c r="F10917" i="1"/>
  <c r="F10853" i="1"/>
  <c r="F10789" i="1"/>
  <c r="F10725" i="1"/>
  <c r="F10661" i="1"/>
  <c r="F10597" i="1"/>
  <c r="F10533" i="1"/>
  <c r="F10469" i="1"/>
  <c r="F10405" i="1"/>
  <c r="F10341" i="1"/>
  <c r="F10254" i="1"/>
  <c r="F10169" i="1"/>
  <c r="F10084" i="1"/>
  <c r="F9998" i="1"/>
  <c r="F9913" i="1"/>
  <c r="F9828" i="1"/>
  <c r="F9742" i="1"/>
  <c r="F9609" i="1"/>
  <c r="F9442" i="1"/>
  <c r="F9264" i="1"/>
  <c r="F8422" i="1"/>
  <c r="F8093" i="1"/>
  <c r="F7858" i="1"/>
  <c r="F8630" i="1"/>
  <c r="F8461" i="1"/>
  <c r="F8292" i="1"/>
  <c r="F8118" i="1"/>
  <c r="F7993" i="1"/>
  <c r="F7885" i="1"/>
  <c r="F7708" i="1"/>
  <c r="F7476" i="1"/>
  <c r="F7187" i="1"/>
  <c r="F6849" i="1"/>
  <c r="F6337" i="1"/>
  <c r="F7427" i="1"/>
  <c r="F7113" i="1"/>
  <c r="F6702" i="1"/>
  <c r="F6190" i="1"/>
  <c r="F7332" i="1"/>
  <c r="F7021" i="1"/>
  <c r="F6537" i="1"/>
  <c r="F7529" i="1"/>
  <c r="F7258" i="1"/>
  <c r="F6902" i="1"/>
  <c r="F6390" i="1"/>
  <c r="F7443" i="1"/>
  <c r="F7150" i="1"/>
  <c r="F6767" i="1"/>
  <c r="F6255" i="1"/>
  <c r="F9164" i="1"/>
  <c r="F9100" i="1"/>
  <c r="F9036" i="1"/>
  <c r="F8972" i="1"/>
  <c r="F8908" i="1"/>
  <c r="F8844" i="1"/>
  <c r="F8780" i="1"/>
  <c r="F8716" i="1"/>
  <c r="F8632" i="1"/>
  <c r="F8458" i="1"/>
  <c r="F8289" i="1"/>
  <c r="F8120" i="1"/>
  <c r="F7856" i="1"/>
  <c r="F7680" i="1"/>
  <c r="F7471" i="1"/>
  <c r="F7233" i="1"/>
  <c r="F6894" i="1"/>
  <c r="F6382" i="1"/>
  <c r="F8558" i="1"/>
  <c r="F8389" i="1"/>
  <c r="F8220" i="1"/>
  <c r="F8046" i="1"/>
  <c r="F7957" i="1"/>
  <c r="F7795" i="1"/>
  <c r="F7629" i="1"/>
  <c r="F7358" i="1"/>
  <c r="F7076" i="1"/>
  <c r="F6656" i="1"/>
  <c r="F10315" i="1"/>
  <c r="F10251" i="1"/>
  <c r="F10187" i="1"/>
  <c r="F10123" i="1"/>
  <c r="F10059" i="1"/>
  <c r="F9995" i="1"/>
  <c r="F9931" i="1"/>
  <c r="F9867" i="1"/>
  <c r="F9803" i="1"/>
  <c r="F9739" i="1"/>
  <c r="F9675" i="1"/>
  <c r="F9611" i="1"/>
  <c r="F9547" i="1"/>
  <c r="F9483" i="1"/>
  <c r="F9419" i="1"/>
  <c r="F9355" i="1"/>
  <c r="F9291" i="1"/>
  <c r="F9227" i="1"/>
  <c r="F9163" i="1"/>
  <c r="F9099" i="1"/>
  <c r="F9035" i="1"/>
  <c r="F8971" i="1"/>
  <c r="F8907" i="1"/>
  <c r="F8843" i="1"/>
  <c r="F8779" i="1"/>
  <c r="F8715" i="1"/>
  <c r="F8626" i="1"/>
  <c r="F8457" i="1"/>
  <c r="F8288" i="1"/>
  <c r="F8114" i="1"/>
  <c r="F7855" i="1"/>
  <c r="F7678" i="1"/>
  <c r="F7470" i="1"/>
  <c r="F7190" i="1"/>
  <c r="F6838" i="1"/>
  <c r="F6326" i="1"/>
  <c r="F7600" i="1"/>
  <c r="F7472" i="1"/>
  <c r="F7318" i="1"/>
  <c r="F7177" i="1"/>
  <c r="F7023" i="1"/>
  <c r="F6843" i="1"/>
  <c r="F6587" i="1"/>
  <c r="F6331" i="1"/>
  <c r="F6075" i="1"/>
  <c r="F5819" i="1"/>
  <c r="F5563" i="1"/>
  <c r="F6081" i="1"/>
  <c r="F5825" i="1"/>
  <c r="F5569" i="1"/>
  <c r="F5214" i="1"/>
  <c r="F5971" i="1"/>
  <c r="F5715" i="1"/>
  <c r="F5459" i="1"/>
  <c r="F6034" i="1"/>
  <c r="F5778" i="1"/>
  <c r="F5522" i="1"/>
  <c r="F5189" i="1"/>
  <c r="F5851" i="1"/>
  <c r="F5595" i="1"/>
  <c r="F5042" i="1"/>
  <c r="F7451" i="1"/>
  <c r="F7294" i="1"/>
  <c r="F7148" i="1"/>
  <c r="F6982" i="1"/>
  <c r="F6753" i="1"/>
  <c r="F6497" i="1"/>
  <c r="F6241" i="1"/>
  <c r="F5985" i="1"/>
  <c r="F5729" i="1"/>
  <c r="F5473" i="1"/>
  <c r="F5078" i="1"/>
  <c r="F7825" i="1"/>
  <c r="F7697" i="1"/>
  <c r="F7569" i="1"/>
  <c r="F7445" i="1"/>
  <c r="F7299" i="1"/>
  <c r="F7163" i="1"/>
  <c r="F7000" i="1"/>
  <c r="F6780" i="1"/>
  <c r="F6524" i="1"/>
  <c r="F6268" i="1"/>
  <c r="F6012" i="1"/>
  <c r="F5756" i="1"/>
  <c r="F5500" i="1"/>
  <c r="F8639" i="1"/>
  <c r="F8575" i="1"/>
  <c r="F8511" i="1"/>
  <c r="F8447" i="1"/>
  <c r="F8383" i="1"/>
  <c r="F8319" i="1"/>
  <c r="F8255" i="1"/>
  <c r="F8191" i="1"/>
  <c r="F8127" i="1"/>
  <c r="F8063" i="1"/>
  <c r="F7999" i="1"/>
  <c r="F7930" i="1"/>
  <c r="F7802" i="1"/>
  <c r="F7674" i="1"/>
  <c r="F7546" i="1"/>
  <c r="F7402" i="1"/>
  <c r="F7261" i="1"/>
  <c r="F7115" i="1"/>
  <c r="F6950" i="1"/>
  <c r="F6697" i="1"/>
  <c r="F6441" i="1"/>
  <c r="F6185" i="1"/>
  <c r="F5929" i="1"/>
  <c r="F5673" i="1"/>
  <c r="F5442" i="1"/>
  <c r="F6918" i="1"/>
  <c r="F6790" i="1"/>
  <c r="F6662" i="1"/>
  <c r="F6534" i="1"/>
  <c r="F6406" i="1"/>
  <c r="F6278" i="1"/>
  <c r="F6150" i="1"/>
  <c r="F6022" i="1"/>
  <c r="F5894" i="1"/>
  <c r="F5766" i="1"/>
  <c r="F5638" i="1"/>
  <c r="F5510" i="1"/>
  <c r="F5162" i="1"/>
  <c r="F4691" i="1"/>
  <c r="F4750" i="1"/>
  <c r="F4814" i="1"/>
  <c r="F4251" i="1"/>
  <c r="F4497" i="1"/>
  <c r="F4699" i="1"/>
  <c r="F6856" i="1"/>
  <c r="F6728" i="1"/>
  <c r="F6600" i="1"/>
  <c r="F6472" i="1"/>
  <c r="F6344" i="1"/>
  <c r="F6216" i="1"/>
  <c r="F6088" i="1"/>
  <c r="F5960" i="1"/>
  <c r="F5832" i="1"/>
  <c r="F5704" i="1"/>
  <c r="F5576" i="1"/>
  <c r="F5452" i="1"/>
  <c r="F5360" i="1"/>
  <c r="F4970" i="1"/>
  <c r="F7070" i="1"/>
  <c r="F6942" i="1"/>
  <c r="F6814" i="1"/>
  <c r="F6686" i="1"/>
  <c r="F6558" i="1"/>
  <c r="F6430" i="1"/>
  <c r="F6302" i="1"/>
  <c r="F6174" i="1"/>
  <c r="F6046" i="1"/>
  <c r="F5918" i="1"/>
  <c r="F5790" i="1"/>
  <c r="F5662" i="1"/>
  <c r="F5534" i="1"/>
  <c r="F5226" i="1"/>
  <c r="F4881" i="1"/>
  <c r="F4232" i="1"/>
  <c r="F7335" i="1"/>
  <c r="F7207" i="1"/>
  <c r="F7079" i="1"/>
  <c r="F6951" i="1"/>
  <c r="F6823" i="1"/>
  <c r="F6695" i="1"/>
  <c r="F6567" i="1"/>
  <c r="F6439" i="1"/>
  <c r="F6311" i="1"/>
  <c r="F6183" i="1"/>
  <c r="F6055" i="1"/>
  <c r="F5927" i="1"/>
  <c r="F5799" i="1"/>
  <c r="F5671" i="1"/>
  <c r="F5543" i="1"/>
  <c r="F5429" i="1"/>
  <c r="F5257" i="1"/>
  <c r="F4819" i="1"/>
  <c r="F5378" i="1"/>
  <c r="F5211" i="1"/>
  <c r="F5010" i="1"/>
  <c r="F4782" i="1"/>
  <c r="F4216" i="1"/>
  <c r="F3409" i="1"/>
  <c r="F3440" i="1"/>
  <c r="F3504" i="1"/>
  <c r="F3538" i="1"/>
  <c r="F3610" i="1"/>
  <c r="F5239" i="1"/>
  <c r="F5046" i="1"/>
  <c r="F4817" i="1"/>
  <c r="F4537" i="1"/>
  <c r="F4170" i="1"/>
  <c r="F5455" i="1"/>
  <c r="F5391" i="1"/>
  <c r="F5270" i="1"/>
  <c r="F5077" i="1"/>
  <c r="F4859" i="1"/>
  <c r="F4566" i="1"/>
  <c r="F4220" i="1"/>
  <c r="F3376" i="1"/>
  <c r="F5186" i="1"/>
  <c r="F4986" i="1"/>
  <c r="F4726" i="1"/>
  <c r="F4203" i="1"/>
  <c r="F3300" i="1"/>
  <c r="F4238" i="1"/>
  <c r="F3875" i="1"/>
  <c r="F3363" i="1"/>
  <c r="F3227" i="1"/>
  <c r="F4941" i="1"/>
  <c r="F4783" i="1"/>
  <c r="F4698" i="1"/>
  <c r="F4613" i="1"/>
  <c r="F4527" i="1"/>
  <c r="F4371" i="1"/>
  <c r="F4111" i="1"/>
  <c r="F3647" i="1"/>
  <c r="F3083" i="1"/>
  <c r="F4487" i="1"/>
  <c r="F4224" i="1"/>
  <c r="F3931" i="1"/>
  <c r="F3419" i="1"/>
  <c r="F5347" i="1"/>
  <c r="F5213" i="1"/>
  <c r="F5039" i="1"/>
  <c r="F4870" i="1"/>
  <c r="F4749" i="1"/>
  <c r="F4663" i="1"/>
  <c r="F4578" i="1"/>
  <c r="F4493" i="1"/>
  <c r="F4274" i="1"/>
  <c r="F3948" i="1"/>
  <c r="F3437" i="1"/>
  <c r="F3843" i="1"/>
  <c r="F3587" i="1"/>
  <c r="F3331" i="1"/>
  <c r="F2953" i="1"/>
  <c r="F2684" i="1"/>
  <c r="F2563" i="1"/>
  <c r="F2765" i="1"/>
  <c r="F2996" i="1"/>
  <c r="F2865" i="1"/>
  <c r="F2367" i="1"/>
  <c r="F4179" i="1"/>
  <c r="F3728" i="1"/>
  <c r="F3472" i="1"/>
  <c r="F3216" i="1"/>
  <c r="F2672" i="1"/>
  <c r="F4392" i="1"/>
  <c r="F4303" i="1"/>
  <c r="F4218" i="1"/>
  <c r="F4092" i="1"/>
  <c r="F3963" i="1"/>
  <c r="F3707" i="1"/>
  <c r="F3451" i="1"/>
  <c r="F3183" i="1"/>
  <c r="F2817" i="1"/>
  <c r="F5324" i="1"/>
  <c r="F5260" i="1"/>
  <c r="F5196" i="1"/>
  <c r="F5132" i="1"/>
  <c r="F5068" i="1"/>
  <c r="F5004" i="1"/>
  <c r="F4940" i="1"/>
  <c r="F4876" i="1"/>
  <c r="F4812" i="1"/>
  <c r="F4748" i="1"/>
  <c r="F4684" i="1"/>
  <c r="F4620" i="1"/>
  <c r="F4556" i="1"/>
  <c r="F4492" i="1"/>
  <c r="F3917" i="1"/>
  <c r="F3661" i="1"/>
  <c r="F3405" i="1"/>
  <c r="F3109" i="1"/>
  <c r="F3968" i="1"/>
  <c r="F3840" i="1"/>
  <c r="F3712" i="1"/>
  <c r="F3584" i="1"/>
  <c r="F3456" i="1"/>
  <c r="F3328" i="1"/>
  <c r="F3173" i="1"/>
  <c r="F2979" i="1"/>
  <c r="F2572" i="1"/>
  <c r="F1752" i="1"/>
  <c r="F4162" i="1"/>
  <c r="F4098" i="1"/>
  <c r="F4034" i="1"/>
  <c r="F3970" i="1"/>
  <c r="F3842" i="1"/>
  <c r="F3714" i="1"/>
  <c r="F3586" i="1"/>
  <c r="F3458" i="1"/>
  <c r="F3330" i="1"/>
  <c r="F3201" i="1"/>
  <c r="F3000" i="1"/>
  <c r="F2849" i="1"/>
  <c r="F2668" i="1"/>
  <c r="F2233" i="1"/>
  <c r="F3919" i="1"/>
  <c r="F3791" i="1"/>
  <c r="F3663" i="1"/>
  <c r="F3535" i="1"/>
  <c r="F3407" i="1"/>
  <c r="F3279" i="1"/>
  <c r="F3096" i="1"/>
  <c r="F2768" i="1"/>
  <c r="F2358" i="1"/>
  <c r="F4465" i="1"/>
  <c r="F4401" i="1"/>
  <c r="F4337" i="1"/>
  <c r="F4273" i="1"/>
  <c r="F4209" i="1"/>
  <c r="F4145" i="1"/>
  <c r="F4081" i="1"/>
  <c r="F4017" i="1"/>
  <c r="F3937" i="1"/>
  <c r="F3809" i="1"/>
  <c r="F3681" i="1"/>
  <c r="F3553" i="1"/>
  <c r="F3425" i="1"/>
  <c r="F3297" i="1"/>
  <c r="F3179" i="1"/>
  <c r="F2944" i="1"/>
  <c r="F2820" i="1"/>
  <c r="F2504" i="1"/>
  <c r="F2600" i="1"/>
  <c r="F2344" i="1"/>
  <c r="F2112" i="1"/>
  <c r="F2604" i="1"/>
  <c r="F3131" i="1"/>
  <c r="F2227" i="1"/>
  <c r="F2445" i="1"/>
  <c r="F2303" i="1"/>
  <c r="F2086" i="1"/>
  <c r="F2617" i="1"/>
  <c r="F2516" i="1"/>
  <c r="F2986" i="1"/>
  <c r="F2325" i="1"/>
  <c r="F2034" i="1"/>
  <c r="F1460" i="1"/>
  <c r="F1028" i="1"/>
  <c r="F1208" i="1"/>
  <c r="F2017" i="1"/>
  <c r="F1280" i="1"/>
  <c r="F808" i="1"/>
  <c r="F614" i="1"/>
  <c r="F1381" i="1"/>
  <c r="F533" i="1"/>
  <c r="F778" i="1"/>
  <c r="F64" i="1"/>
  <c r="F106" i="1"/>
  <c r="F80" i="1"/>
  <c r="G14555" i="1"/>
  <c r="G14042" i="1"/>
  <c r="G14858" i="1"/>
  <c r="G14250" i="1"/>
  <c r="G14670" i="1"/>
  <c r="G13442" i="1"/>
  <c r="G14471" i="1"/>
  <c r="G14488" i="1"/>
  <c r="G13648" i="1"/>
  <c r="G11998" i="1"/>
  <c r="G11824" i="1"/>
  <c r="G11684" i="1"/>
  <c r="G11505" i="1"/>
  <c r="G14201" i="1"/>
  <c r="G13015" i="1"/>
  <c r="G14781" i="1"/>
  <c r="G13576" i="1"/>
  <c r="G11647" i="1"/>
  <c r="G13973" i="1"/>
  <c r="G13081" i="1"/>
  <c r="G12789" i="1"/>
  <c r="G11381" i="1"/>
  <c r="G10737" i="1"/>
  <c r="G10333" i="1"/>
  <c r="G11593" i="1"/>
  <c r="G13108" i="1"/>
  <c r="G11924" i="1"/>
  <c r="G9591" i="1"/>
  <c r="G13258" i="1"/>
  <c r="G12099" i="1"/>
  <c r="G10196" i="1"/>
  <c r="G10549" i="1"/>
  <c r="G9099" i="1"/>
  <c r="G11247" i="1"/>
  <c r="G8765" i="1"/>
  <c r="G11425" i="1"/>
  <c r="G10570" i="1"/>
  <c r="G12709" i="1"/>
  <c r="G11685" i="1"/>
  <c r="G8757" i="1"/>
  <c r="G9390" i="1"/>
  <c r="G7964" i="1"/>
  <c r="G5076" i="1"/>
  <c r="F10474" i="1"/>
  <c r="F10410" i="1"/>
  <c r="F10346" i="1"/>
  <c r="F10256" i="1"/>
  <c r="F10170" i="1"/>
  <c r="F10085" i="1"/>
  <c r="F10000" i="1"/>
  <c r="F9914" i="1"/>
  <c r="F9829" i="1"/>
  <c r="F9744" i="1"/>
  <c r="F9610" i="1"/>
  <c r="F9432" i="1"/>
  <c r="F9265" i="1"/>
  <c r="F8414" i="1"/>
  <c r="F8085" i="1"/>
  <c r="F7810" i="1"/>
  <c r="F9686" i="1"/>
  <c r="F9508" i="1"/>
  <c r="F9341" i="1"/>
  <c r="F9181" i="1"/>
  <c r="F9053" i="1"/>
  <c r="F8925" i="1"/>
  <c r="F8797" i="1"/>
  <c r="F8669" i="1"/>
  <c r="F8322" i="1"/>
  <c r="F7895" i="1"/>
  <c r="F11681" i="1"/>
  <c r="F11617" i="1"/>
  <c r="F11553" i="1"/>
  <c r="F11489" i="1"/>
  <c r="F11425" i="1"/>
  <c r="F11361" i="1"/>
  <c r="F11297" i="1"/>
  <c r="F11233" i="1"/>
  <c r="F11169" i="1"/>
  <c r="F11105" i="1"/>
  <c r="F11041" i="1"/>
  <c r="F10977" i="1"/>
  <c r="F10913" i="1"/>
  <c r="F10849" i="1"/>
  <c r="F10785" i="1"/>
  <c r="F10721" i="1"/>
  <c r="F10657" i="1"/>
  <c r="F10593" i="1"/>
  <c r="F10529" i="1"/>
  <c r="F10465" i="1"/>
  <c r="F10401" i="1"/>
  <c r="F10337" i="1"/>
  <c r="F10249" i="1"/>
  <c r="F10164" i="1"/>
  <c r="F10078" i="1"/>
  <c r="F9993" i="1"/>
  <c r="F9908" i="1"/>
  <c r="F9822" i="1"/>
  <c r="F9737" i="1"/>
  <c r="F9602" i="1"/>
  <c r="F9424" i="1"/>
  <c r="F9257" i="1"/>
  <c r="F8413" i="1"/>
  <c r="F8084" i="1"/>
  <c r="F7845" i="1"/>
  <c r="F8621" i="1"/>
  <c r="F8452" i="1"/>
  <c r="F8278" i="1"/>
  <c r="F8109" i="1"/>
  <c r="F7988" i="1"/>
  <c r="F7867" i="1"/>
  <c r="F7690" i="1"/>
  <c r="F7467" i="1"/>
  <c r="F7166" i="1"/>
  <c r="F6831" i="1"/>
  <c r="F6319" i="1"/>
  <c r="F7416" i="1"/>
  <c r="F7103" i="1"/>
  <c r="F6684" i="1"/>
  <c r="F6172" i="1"/>
  <c r="F7311" i="1"/>
  <c r="F6996" i="1"/>
  <c r="F6519" i="1"/>
  <c r="F7520" i="1"/>
  <c r="F7237" i="1"/>
  <c r="F6884" i="1"/>
  <c r="F6372" i="1"/>
  <c r="F7422" i="1"/>
  <c r="F7140" i="1"/>
  <c r="F6730" i="1"/>
  <c r="F6218" i="1"/>
  <c r="F9160" i="1"/>
  <c r="F9096" i="1"/>
  <c r="F9032" i="1"/>
  <c r="F8968" i="1"/>
  <c r="F8904" i="1"/>
  <c r="F8840" i="1"/>
  <c r="F8776" i="1"/>
  <c r="F8712" i="1"/>
  <c r="F8618" i="1"/>
  <c r="F8449" i="1"/>
  <c r="F8280" i="1"/>
  <c r="F8106" i="1"/>
  <c r="F7838" i="1"/>
  <c r="F7652" i="1"/>
  <c r="F7462" i="1"/>
  <c r="F7223" i="1"/>
  <c r="F6876" i="1"/>
  <c r="F6364" i="1"/>
  <c r="F8549" i="1"/>
  <c r="F8380" i="1"/>
  <c r="F8206" i="1"/>
  <c r="F8037" i="1"/>
  <c r="F7952" i="1"/>
  <c r="F7789" i="1"/>
  <c r="F7621" i="1"/>
  <c r="F7337" i="1"/>
  <c r="F7051" i="1"/>
  <c r="F6601" i="1"/>
  <c r="F10311" i="1"/>
  <c r="F10247" i="1"/>
  <c r="F10183" i="1"/>
  <c r="F10119" i="1"/>
  <c r="F10055" i="1"/>
  <c r="F9991" i="1"/>
  <c r="F9927" i="1"/>
  <c r="F9863" i="1"/>
  <c r="F9799" i="1"/>
  <c r="F9735" i="1"/>
  <c r="F9671" i="1"/>
  <c r="F9607" i="1"/>
  <c r="F9543" i="1"/>
  <c r="F9479" i="1"/>
  <c r="F9415" i="1"/>
  <c r="F9351" i="1"/>
  <c r="F9287" i="1"/>
  <c r="F9223" i="1"/>
  <c r="F9159" i="1"/>
  <c r="F9095" i="1"/>
  <c r="F9031" i="1"/>
  <c r="F8967" i="1"/>
  <c r="F8903" i="1"/>
  <c r="F8839" i="1"/>
  <c r="F8775" i="1"/>
  <c r="F8711" i="1"/>
  <c r="F8617" i="1"/>
  <c r="F8448" i="1"/>
  <c r="F8274" i="1"/>
  <c r="F8105" i="1"/>
  <c r="F7849" i="1"/>
  <c r="F7657" i="1"/>
  <c r="F7441" i="1"/>
  <c r="F7180" i="1"/>
  <c r="F6820" i="1"/>
  <c r="F6308" i="1"/>
  <c r="F7591" i="1"/>
  <c r="F7463" i="1"/>
  <c r="F7313" i="1"/>
  <c r="F7172" i="1"/>
  <c r="F7017" i="1"/>
  <c r="F6806" i="1"/>
  <c r="F6550" i="1"/>
  <c r="F6294" i="1"/>
  <c r="F6038" i="1"/>
  <c r="F5782" i="1"/>
  <c r="F5526" i="1"/>
  <c r="F6072" i="1"/>
  <c r="F5816" i="1"/>
  <c r="F5560" i="1"/>
  <c r="F5193" i="1"/>
  <c r="F5934" i="1"/>
  <c r="F5678" i="1"/>
  <c r="F5353" i="1"/>
  <c r="F6025" i="1"/>
  <c r="F5769" i="1"/>
  <c r="F5513" i="1"/>
  <c r="F5147" i="1"/>
  <c r="F5814" i="1"/>
  <c r="F5558" i="1"/>
  <c r="F5009" i="1"/>
  <c r="F7435" i="1"/>
  <c r="F7278" i="1"/>
  <c r="F7142" i="1"/>
  <c r="F6971" i="1"/>
  <c r="F6744" i="1"/>
  <c r="F6488" i="1"/>
  <c r="F6232" i="1"/>
  <c r="F5976" i="1"/>
  <c r="F5720" i="1"/>
  <c r="F5464" i="1"/>
  <c r="F5057" i="1"/>
  <c r="F7816" i="1"/>
  <c r="F7688" i="1"/>
  <c r="F7560" i="1"/>
  <c r="F7434" i="1"/>
  <c r="F7293" i="1"/>
  <c r="F7147" i="1"/>
  <c r="F6994" i="1"/>
  <c r="F6771" i="1"/>
  <c r="F6515" i="1"/>
  <c r="F6259" i="1"/>
  <c r="F6003" i="1"/>
  <c r="F5747" i="1"/>
  <c r="F5491" i="1"/>
  <c r="F8635" i="1"/>
  <c r="F8571" i="1"/>
  <c r="F8507" i="1"/>
  <c r="F8443" i="1"/>
  <c r="F8379" i="1"/>
  <c r="F8315" i="1"/>
  <c r="F8251" i="1"/>
  <c r="F8187" i="1"/>
  <c r="F8123" i="1"/>
  <c r="F8059" i="1"/>
  <c r="F7995" i="1"/>
  <c r="F7925" i="1"/>
  <c r="F7797" i="1"/>
  <c r="F7669" i="1"/>
  <c r="F7541" i="1"/>
  <c r="F7397" i="1"/>
  <c r="F7256" i="1"/>
  <c r="F7094" i="1"/>
  <c r="F6939" i="1"/>
  <c r="F6688" i="1"/>
  <c r="F6432" i="1"/>
  <c r="F6176" i="1"/>
  <c r="F5920" i="1"/>
  <c r="F5664" i="1"/>
  <c r="F5432" i="1"/>
  <c r="F6909" i="1"/>
  <c r="F6781" i="1"/>
  <c r="F6653" i="1"/>
  <c r="F6525" i="1"/>
  <c r="F6397" i="1"/>
  <c r="F6269" i="1"/>
  <c r="F6141" i="1"/>
  <c r="F6013" i="1"/>
  <c r="F5885" i="1"/>
  <c r="F5757" i="1"/>
  <c r="F5629" i="1"/>
  <c r="F5501" i="1"/>
  <c r="F5131" i="1"/>
  <c r="F4657" i="1"/>
  <c r="F4707" i="1"/>
  <c r="F4802" i="1"/>
  <c r="F4947" i="1"/>
  <c r="F4471" i="1"/>
  <c r="F4649" i="1"/>
  <c r="F6847" i="1"/>
  <c r="F6719" i="1"/>
  <c r="F6591" i="1"/>
  <c r="F6463" i="1"/>
  <c r="F6335" i="1"/>
  <c r="F6207" i="1"/>
  <c r="F6079" i="1"/>
  <c r="F5951" i="1"/>
  <c r="F5823" i="1"/>
  <c r="F5695" i="1"/>
  <c r="F5567" i="1"/>
  <c r="F5446" i="1"/>
  <c r="F5342" i="1"/>
  <c r="F4958" i="1"/>
  <c r="F7061" i="1"/>
  <c r="F6933" i="1"/>
  <c r="F6805" i="1"/>
  <c r="F6677" i="1"/>
  <c r="F6549" i="1"/>
  <c r="F6421" i="1"/>
  <c r="F6293" i="1"/>
  <c r="F6165" i="1"/>
  <c r="F6037" i="1"/>
  <c r="F5909" i="1"/>
  <c r="F5781" i="1"/>
  <c r="F5653" i="1"/>
  <c r="F5525" i="1"/>
  <c r="F5195" i="1"/>
  <c r="F4869" i="1"/>
  <c r="F4199" i="1"/>
  <c r="F7330" i="1"/>
  <c r="F7202" i="1"/>
  <c r="F7074" i="1"/>
  <c r="F6946" i="1"/>
  <c r="F6818" i="1"/>
  <c r="F6690" i="1"/>
  <c r="F6562" i="1"/>
  <c r="F6434" i="1"/>
  <c r="F6306" i="1"/>
  <c r="F6178" i="1"/>
  <c r="F6050" i="1"/>
  <c r="F5922" i="1"/>
  <c r="F5794" i="1"/>
  <c r="F5666" i="1"/>
  <c r="F5538" i="1"/>
  <c r="F5424" i="1"/>
  <c r="F5215" i="1"/>
  <c r="F4807" i="1"/>
  <c r="F5374" i="1"/>
  <c r="F5206" i="1"/>
  <c r="F4979" i="1"/>
  <c r="F4761" i="1"/>
  <c r="F4182" i="1"/>
  <c r="F3372" i="1"/>
  <c r="F3367" i="1"/>
  <c r="F3431" i="1"/>
  <c r="F3465" i="1"/>
  <c r="F3537" i="1"/>
  <c r="F5234" i="1"/>
  <c r="F5041" i="1"/>
  <c r="F4811" i="1"/>
  <c r="F4526" i="1"/>
  <c r="F4144" i="1"/>
  <c r="F5451" i="1"/>
  <c r="F5387" i="1"/>
  <c r="F5265" i="1"/>
  <c r="F5066" i="1"/>
  <c r="F4853" i="1"/>
  <c r="F4555" i="1"/>
  <c r="F4163" i="1"/>
  <c r="F3303" i="1"/>
  <c r="F5175" i="1"/>
  <c r="F4974" i="1"/>
  <c r="F4678" i="1"/>
  <c r="F4183" i="1"/>
  <c r="F4486" i="1"/>
  <c r="F4214" i="1"/>
  <c r="F3857" i="1"/>
  <c r="F3345" i="1"/>
  <c r="F3209" i="1"/>
  <c r="F4927" i="1"/>
  <c r="F4778" i="1"/>
  <c r="F4693" i="1"/>
  <c r="F4607" i="1"/>
  <c r="F4522" i="1"/>
  <c r="F4347" i="1"/>
  <c r="F4096" i="1"/>
  <c r="F3629" i="1"/>
  <c r="F3041" i="1"/>
  <c r="F4444" i="1"/>
  <c r="F4215" i="1"/>
  <c r="F3913" i="1"/>
  <c r="F3401" i="1"/>
  <c r="F5343" i="1"/>
  <c r="F5199" i="1"/>
  <c r="F5030" i="1"/>
  <c r="F4861" i="1"/>
  <c r="F4743" i="1"/>
  <c r="F4658" i="1"/>
  <c r="F4573" i="1"/>
  <c r="F4480" i="1"/>
  <c r="F4264" i="1"/>
  <c r="F3912" i="1"/>
  <c r="F3400" i="1"/>
  <c r="F3834" i="1"/>
  <c r="F3578" i="1"/>
  <c r="F3322" i="1"/>
  <c r="F2928" i="1"/>
  <c r="F2633" i="1"/>
  <c r="F2526" i="1"/>
  <c r="F2747" i="1"/>
  <c r="F2972" i="1"/>
  <c r="F2852" i="1"/>
  <c r="F2328" i="1"/>
  <c r="F4172" i="1"/>
  <c r="F3719" i="1"/>
  <c r="F3463" i="1"/>
  <c r="F3207" i="1"/>
  <c r="F2644" i="1"/>
  <c r="F4383" i="1"/>
  <c r="F4298" i="1"/>
  <c r="F4212" i="1"/>
  <c r="F4084" i="1"/>
  <c r="F3954" i="1"/>
  <c r="F3698" i="1"/>
  <c r="F3442" i="1"/>
  <c r="F3141" i="1"/>
  <c r="F2804" i="1"/>
  <c r="F5320" i="1"/>
  <c r="F5256" i="1"/>
  <c r="F5192" i="1"/>
  <c r="F5128" i="1"/>
  <c r="F5064" i="1"/>
  <c r="F5000" i="1"/>
  <c r="F4936" i="1"/>
  <c r="F4872" i="1"/>
  <c r="F4808" i="1"/>
  <c r="F4744" i="1"/>
  <c r="F4680" i="1"/>
  <c r="F4616" i="1"/>
  <c r="F4552" i="1"/>
  <c r="F4483" i="1"/>
  <c r="F3880" i="1"/>
  <c r="F3624" i="1"/>
  <c r="F3368" i="1"/>
  <c r="F3088" i="1"/>
  <c r="F3959" i="1"/>
  <c r="F3831" i="1"/>
  <c r="F3703" i="1"/>
  <c r="F3575" i="1"/>
  <c r="F3447" i="1"/>
  <c r="F3319" i="1"/>
  <c r="F3168" i="1"/>
  <c r="F2973" i="1"/>
  <c r="F2517" i="1"/>
  <c r="F1655" i="1"/>
  <c r="F4158" i="1"/>
  <c r="F4094" i="1"/>
  <c r="F4030" i="1"/>
  <c r="F3961" i="1"/>
  <c r="F3833" i="1"/>
  <c r="F3705" i="1"/>
  <c r="F3577" i="1"/>
  <c r="F3449" i="1"/>
  <c r="F3321" i="1"/>
  <c r="F3196" i="1"/>
  <c r="F2976" i="1"/>
  <c r="F2843" i="1"/>
  <c r="F2632" i="1"/>
  <c r="F2196" i="1"/>
  <c r="F3910" i="1"/>
  <c r="F3782" i="1"/>
  <c r="F3654" i="1"/>
  <c r="F3526" i="1"/>
  <c r="F3398" i="1"/>
  <c r="F3270" i="1"/>
  <c r="F3091" i="1"/>
  <c r="F2760" i="1"/>
  <c r="F2339" i="1"/>
  <c r="F4461" i="1"/>
  <c r="F4397" i="1"/>
  <c r="F4333" i="1"/>
  <c r="F4269" i="1"/>
  <c r="F4205" i="1"/>
  <c r="F4141" i="1"/>
  <c r="F4077" i="1"/>
  <c r="F4013" i="1"/>
  <c r="F3932" i="1"/>
  <c r="F3804" i="1"/>
  <c r="F3676" i="1"/>
  <c r="F3548" i="1"/>
  <c r="F3420" i="1"/>
  <c r="F3292" i="1"/>
  <c r="F3137" i="1"/>
  <c r="F2937" i="1"/>
  <c r="F2812" i="1"/>
  <c r="F2449" i="1"/>
  <c r="F2591" i="1"/>
  <c r="F2333" i="1"/>
  <c r="F2087" i="1"/>
  <c r="F2595" i="1"/>
  <c r="F3076" i="1"/>
  <c r="F2118" i="1"/>
  <c r="F2372" i="1"/>
  <c r="F2223" i="1"/>
  <c r="F1952" i="1"/>
  <c r="F2498" i="1"/>
  <c r="F2397" i="1"/>
  <c r="F2926" i="1"/>
  <c r="F2245" i="1"/>
  <c r="F1856" i="1"/>
  <c r="F1148" i="1"/>
  <c r="F1053" i="1"/>
  <c r="F1051" i="1"/>
  <c r="F1957" i="1"/>
  <c r="F1139" i="1"/>
  <c r="F641" i="1"/>
  <c r="F1018" i="1"/>
  <c r="F1321" i="1"/>
  <c r="F213" i="1"/>
  <c r="F658" i="1"/>
  <c r="F158" i="1"/>
  <c r="F581" i="1"/>
  <c r="F275" i="1"/>
  <c r="G13756" i="1"/>
  <c r="G13823" i="1"/>
  <c r="G14382" i="1"/>
  <c r="G13974" i="1"/>
  <c r="G14906" i="1"/>
  <c r="G14626" i="1"/>
  <c r="G14351" i="1"/>
  <c r="G14428" i="1"/>
  <c r="G13517" i="1"/>
  <c r="G11705" i="1"/>
  <c r="G11435" i="1"/>
  <c r="G11305" i="1"/>
  <c r="G11011" i="1"/>
  <c r="G14073" i="1"/>
  <c r="G12850" i="1"/>
  <c r="G14649" i="1"/>
  <c r="G13440" i="1"/>
  <c r="G11186" i="1"/>
  <c r="G14119" i="1"/>
  <c r="G12928" i="1"/>
  <c r="G12653" i="1"/>
  <c r="G11134" i="1"/>
  <c r="G10562" i="1"/>
  <c r="G9894" i="1"/>
  <c r="G11376" i="1"/>
  <c r="G12989" i="1"/>
  <c r="G11775" i="1"/>
  <c r="G9175" i="1"/>
  <c r="G13135" i="1"/>
  <c r="G11929" i="1"/>
  <c r="G9590" i="1"/>
  <c r="G10389" i="1"/>
  <c r="G8679" i="1"/>
  <c r="G11124" i="1"/>
  <c r="G12330" i="1"/>
  <c r="G11306" i="1"/>
  <c r="G10410" i="1"/>
  <c r="G12590" i="1"/>
  <c r="G11566" i="1"/>
  <c r="G7364" i="1"/>
  <c r="G7571" i="1"/>
  <c r="G5804" i="1"/>
  <c r="G6943" i="1"/>
  <c r="F7511" i="1"/>
  <c r="F7227" i="1"/>
  <c r="F6829" i="1"/>
  <c r="F6317" i="1"/>
  <c r="F7401" i="1"/>
  <c r="F7119" i="1"/>
  <c r="F6712" i="1"/>
  <c r="F6200" i="1"/>
  <c r="F9156" i="1"/>
  <c r="F9092" i="1"/>
  <c r="F9028" i="1"/>
  <c r="F8964" i="1"/>
  <c r="F8900" i="1"/>
  <c r="F8836" i="1"/>
  <c r="F8772" i="1"/>
  <c r="F8708" i="1"/>
  <c r="F8609" i="1"/>
  <c r="F8440" i="1"/>
  <c r="F8266" i="1"/>
  <c r="F8097" i="1"/>
  <c r="F7832" i="1"/>
  <c r="F7644" i="1"/>
  <c r="F7442" i="1"/>
  <c r="F7181" i="1"/>
  <c r="F6821" i="1"/>
  <c r="F6309" i="1"/>
  <c r="F8540" i="1"/>
  <c r="F8366" i="1"/>
  <c r="F8197" i="1"/>
  <c r="F8032" i="1"/>
  <c r="F7946" i="1"/>
  <c r="F7771" i="1"/>
  <c r="F7613" i="1"/>
  <c r="F7327" i="1"/>
  <c r="F7027" i="1"/>
  <c r="F6583" i="1"/>
  <c r="F10307" i="1"/>
  <c r="F10243" i="1"/>
  <c r="F10179" i="1"/>
  <c r="F10115" i="1"/>
  <c r="F10051" i="1"/>
  <c r="F9987" i="1"/>
  <c r="F9923" i="1"/>
  <c r="F9859" i="1"/>
  <c r="F9795" i="1"/>
  <c r="F9731" i="1"/>
  <c r="F9667" i="1"/>
  <c r="F9603" i="1"/>
  <c r="F9539" i="1"/>
  <c r="F9475" i="1"/>
  <c r="F9411" i="1"/>
  <c r="F9347" i="1"/>
  <c r="F9283" i="1"/>
  <c r="F9219" i="1"/>
  <c r="F9155" i="1"/>
  <c r="F9091" i="1"/>
  <c r="F9027" i="1"/>
  <c r="F8963" i="1"/>
  <c r="F8899" i="1"/>
  <c r="F8835" i="1"/>
  <c r="F8771" i="1"/>
  <c r="F8707" i="1"/>
  <c r="F8608" i="1"/>
  <c r="F8434" i="1"/>
  <c r="F8265" i="1"/>
  <c r="F8096" i="1"/>
  <c r="F7831" i="1"/>
  <c r="F7649" i="1"/>
  <c r="F7430" i="1"/>
  <c r="F7169" i="1"/>
  <c r="F6765" i="1"/>
  <c r="F6253" i="1"/>
  <c r="F7582" i="1"/>
  <c r="F7454" i="1"/>
  <c r="F7308" i="1"/>
  <c r="F7167" i="1"/>
  <c r="F6999" i="1"/>
  <c r="F6797" i="1"/>
  <c r="F6541" i="1"/>
  <c r="F6285" i="1"/>
  <c r="F6029" i="1"/>
  <c r="F5773" i="1"/>
  <c r="F5517" i="1"/>
  <c r="F6063" i="1"/>
  <c r="F5807" i="1"/>
  <c r="F5551" i="1"/>
  <c r="F5151" i="1"/>
  <c r="F5925" i="1"/>
  <c r="F5669" i="1"/>
  <c r="F5315" i="1"/>
  <c r="F6016" i="1"/>
  <c r="F5760" i="1"/>
  <c r="F5504" i="1"/>
  <c r="F6061" i="1"/>
  <c r="F5805" i="1"/>
  <c r="F5549" i="1"/>
  <c r="F7565" i="1"/>
  <c r="F7414" i="1"/>
  <c r="F7273" i="1"/>
  <c r="F7137" i="1"/>
  <c r="F6964" i="1"/>
  <c r="F6735" i="1"/>
  <c r="F6479" i="1"/>
  <c r="F6223" i="1"/>
  <c r="F5967" i="1"/>
  <c r="F5711" i="1"/>
  <c r="F5454" i="1"/>
  <c r="F7935" i="1"/>
  <c r="F7807" i="1"/>
  <c r="F7679" i="1"/>
  <c r="F7551" i="1"/>
  <c r="F7429" i="1"/>
  <c r="F7288" i="1"/>
  <c r="F7126" i="1"/>
  <c r="F6976" i="1"/>
  <c r="F6734" i="1"/>
  <c r="F6478" i="1"/>
  <c r="F6222" i="1"/>
  <c r="F5966" i="1"/>
  <c r="F5710" i="1"/>
  <c r="F5344" i="1"/>
  <c r="F8631" i="1"/>
  <c r="F8567" i="1"/>
  <c r="F8503" i="1"/>
  <c r="F8439" i="1"/>
  <c r="F8375" i="1"/>
  <c r="F8311" i="1"/>
  <c r="F8247" i="1"/>
  <c r="F8183" i="1"/>
  <c r="F8119" i="1"/>
  <c r="F8055" i="1"/>
  <c r="F7991" i="1"/>
  <c r="F7916" i="1"/>
  <c r="F7788" i="1"/>
  <c r="F7660" i="1"/>
  <c r="F7532" i="1"/>
  <c r="F7392" i="1"/>
  <c r="F7251" i="1"/>
  <c r="F7089" i="1"/>
  <c r="F6932" i="1"/>
  <c r="F6679" i="1"/>
  <c r="F6423" i="1"/>
  <c r="F6167" i="1"/>
  <c r="F5911" i="1"/>
  <c r="F5655" i="1"/>
  <c r="F5421" i="1"/>
  <c r="F6900" i="1"/>
  <c r="F6772" i="1"/>
  <c r="F6644" i="1"/>
  <c r="F6516" i="1"/>
  <c r="F6388" i="1"/>
  <c r="F6260" i="1"/>
  <c r="F6132" i="1"/>
  <c r="F6004" i="1"/>
  <c r="F5876" i="1"/>
  <c r="F5748" i="1"/>
  <c r="F5620" i="1"/>
  <c r="F5492" i="1"/>
  <c r="F5110" i="1"/>
  <c r="F4606" i="1"/>
  <c r="F4673" i="1"/>
  <c r="F4774" i="1"/>
  <c r="F4935" i="1"/>
  <c r="F4412" i="1"/>
  <c r="F4614" i="1"/>
  <c r="F6842" i="1"/>
  <c r="F6714" i="1"/>
  <c r="F6586" i="1"/>
  <c r="F6458" i="1"/>
  <c r="F6330" i="1"/>
  <c r="F6202" i="1"/>
  <c r="F6074" i="1"/>
  <c r="F5946" i="1"/>
  <c r="F5818" i="1"/>
  <c r="F5690" i="1"/>
  <c r="F5562" i="1"/>
  <c r="F5441" i="1"/>
  <c r="F5333" i="1"/>
  <c r="F4946" i="1"/>
  <c r="F7052" i="1"/>
  <c r="F6924" i="1"/>
  <c r="F6796" i="1"/>
  <c r="F6668" i="1"/>
  <c r="F6540" i="1"/>
  <c r="F6412" i="1"/>
  <c r="F6284" i="1"/>
  <c r="F6156" i="1"/>
  <c r="F6028" i="1"/>
  <c r="F5900" i="1"/>
  <c r="F5772" i="1"/>
  <c r="F5644" i="1"/>
  <c r="F5516" i="1"/>
  <c r="F5174" i="1"/>
  <c r="F4857" i="1"/>
  <c r="F7449" i="1"/>
  <c r="F7321" i="1"/>
  <c r="F7193" i="1"/>
  <c r="F7065" i="1"/>
  <c r="F6937" i="1"/>
  <c r="F6809" i="1"/>
  <c r="F6681" i="1"/>
  <c r="F6553" i="1"/>
  <c r="F6425" i="1"/>
  <c r="F6297" i="1"/>
  <c r="F6169" i="1"/>
  <c r="F6041" i="1"/>
  <c r="F5913" i="1"/>
  <c r="F5785" i="1"/>
  <c r="F5657" i="1"/>
  <c r="F5529" i="1"/>
  <c r="F5418" i="1"/>
  <c r="F5205" i="1"/>
  <c r="F4766" i="1"/>
  <c r="F5370" i="1"/>
  <c r="F5201" i="1"/>
  <c r="F4967" i="1"/>
  <c r="F4739" i="1"/>
  <c r="F4135" i="1"/>
  <c r="F3299" i="1"/>
  <c r="F3294" i="1"/>
  <c r="F3358" i="1"/>
  <c r="F3428" i="1"/>
  <c r="F3500" i="1"/>
  <c r="F5229" i="1"/>
  <c r="F5018" i="1"/>
  <c r="F4805" i="1"/>
  <c r="F4515" i="1"/>
  <c r="F4095" i="1"/>
  <c r="F5447" i="1"/>
  <c r="F5383" i="1"/>
  <c r="F5249" i="1"/>
  <c r="F5061" i="1"/>
  <c r="F4841" i="1"/>
  <c r="F4545" i="1"/>
  <c r="F4112" i="1"/>
  <c r="F5354" i="1"/>
  <c r="F5170" i="1"/>
  <c r="F4962" i="1"/>
  <c r="F4670" i="1"/>
  <c r="F4136" i="1"/>
  <c r="F4478" i="1"/>
  <c r="F4204" i="1"/>
  <c r="F3820" i="1"/>
  <c r="F3308" i="1"/>
  <c r="F3188" i="1"/>
  <c r="F4918" i="1"/>
  <c r="F4773" i="1"/>
  <c r="F4687" i="1"/>
  <c r="F4602" i="1"/>
  <c r="F4517" i="1"/>
  <c r="F4338" i="1"/>
  <c r="F4083" i="1"/>
  <c r="F3592" i="1"/>
  <c r="F3244" i="1"/>
  <c r="F4436" i="1"/>
  <c r="F4206" i="1"/>
  <c r="F3876" i="1"/>
  <c r="F3364" i="1"/>
  <c r="F5339" i="1"/>
  <c r="F5190" i="1"/>
  <c r="F5021" i="1"/>
  <c r="F4847" i="1"/>
  <c r="F4738" i="1"/>
  <c r="F4653" i="1"/>
  <c r="F4567" i="1"/>
  <c r="F4472" i="1"/>
  <c r="F4240" i="1"/>
  <c r="F3894" i="1"/>
  <c r="F3382" i="1"/>
  <c r="F3825" i="1"/>
  <c r="F3569" i="1"/>
  <c r="F3313" i="1"/>
  <c r="F2916" i="1"/>
  <c r="F2568" i="1"/>
  <c r="F2453" i="1"/>
  <c r="F2727" i="1"/>
  <c r="F2947" i="1"/>
  <c r="F2837" i="1"/>
  <c r="F2285" i="1"/>
  <c r="F3966" i="1"/>
  <c r="F3710" i="1"/>
  <c r="F3454" i="1"/>
  <c r="F3165" i="1"/>
  <c r="F2581" i="1"/>
  <c r="F4378" i="1"/>
  <c r="F4292" i="1"/>
  <c r="F4207" i="1"/>
  <c r="F4076" i="1"/>
  <c r="F3945" i="1"/>
  <c r="F3689" i="1"/>
  <c r="F3433" i="1"/>
  <c r="F3120" i="1"/>
  <c r="F2789" i="1"/>
  <c r="F5316" i="1"/>
  <c r="F5252" i="1"/>
  <c r="F5188" i="1"/>
  <c r="F5124" i="1"/>
  <c r="F5060" i="1"/>
  <c r="F4996" i="1"/>
  <c r="F4932" i="1"/>
  <c r="F4868" i="1"/>
  <c r="F4804" i="1"/>
  <c r="F4740" i="1"/>
  <c r="F4676" i="1"/>
  <c r="F4612" i="1"/>
  <c r="F4548" i="1"/>
  <c r="F4474" i="1"/>
  <c r="F3871" i="1"/>
  <c r="F3615" i="1"/>
  <c r="F3359" i="1"/>
  <c r="F3036" i="1"/>
  <c r="F3950" i="1"/>
  <c r="F3822" i="1"/>
  <c r="F3694" i="1"/>
  <c r="F3566" i="1"/>
  <c r="F3438" i="1"/>
  <c r="F3310" i="1"/>
  <c r="F3157" i="1"/>
  <c r="F2955" i="1"/>
  <c r="F2499" i="1"/>
  <c r="F1498" i="1"/>
  <c r="F4154" i="1"/>
  <c r="F4090" i="1"/>
  <c r="F4026" i="1"/>
  <c r="F3956" i="1"/>
  <c r="F3828" i="1"/>
  <c r="F3700" i="1"/>
  <c r="F3572" i="1"/>
  <c r="F3444" i="1"/>
  <c r="F3316" i="1"/>
  <c r="F3191" i="1"/>
  <c r="F2969" i="1"/>
  <c r="F2836" i="1"/>
  <c r="F2615" i="1"/>
  <c r="F2153" i="1"/>
  <c r="F3901" i="1"/>
  <c r="F3773" i="1"/>
  <c r="F3645" i="1"/>
  <c r="F3517" i="1"/>
  <c r="F3389" i="1"/>
  <c r="F3261" i="1"/>
  <c r="F3080" i="1"/>
  <c r="F2740" i="1"/>
  <c r="F2275" i="1"/>
  <c r="F4457" i="1"/>
  <c r="F4393" i="1"/>
  <c r="F4329" i="1"/>
  <c r="F4265" i="1"/>
  <c r="F4201" i="1"/>
  <c r="F4137" i="1"/>
  <c r="F4073" i="1"/>
  <c r="F4009" i="1"/>
  <c r="F3923" i="1"/>
  <c r="F3795" i="1"/>
  <c r="F3667" i="1"/>
  <c r="F3539" i="1"/>
  <c r="F3411" i="1"/>
  <c r="F3283" i="1"/>
  <c r="F3132" i="1"/>
  <c r="F2919" i="1"/>
  <c r="F2805" i="1"/>
  <c r="F2431" i="1"/>
  <c r="F2554" i="1"/>
  <c r="F2322" i="1"/>
  <c r="F2063" i="1"/>
  <c r="F2558" i="1"/>
  <c r="F3035" i="1"/>
  <c r="F1374" i="1"/>
  <c r="F2259" i="1"/>
  <c r="F2159" i="1"/>
  <c r="F1934" i="1"/>
  <c r="F2489" i="1"/>
  <c r="F2388" i="1"/>
  <c r="F2922" i="1"/>
  <c r="F2240" i="1"/>
  <c r="F1851" i="1"/>
  <c r="F1126" i="1"/>
  <c r="F1016" i="1"/>
  <c r="F1042" i="1"/>
  <c r="F1953" i="1"/>
  <c r="F1134" i="1"/>
  <c r="F620" i="1"/>
  <c r="F1009" i="1"/>
  <c r="F1317" i="1"/>
  <c r="F200" i="1"/>
  <c r="F653" i="1"/>
  <c r="F146" i="1"/>
  <c r="F572" i="1"/>
  <c r="F266" i="1"/>
  <c r="G13725" i="1"/>
  <c r="G13781" i="1"/>
  <c r="G14350" i="1"/>
  <c r="G13964" i="1"/>
  <c r="G14867" i="1"/>
  <c r="G14610" i="1"/>
  <c r="G14343" i="1"/>
  <c r="G14424" i="1"/>
  <c r="G13512" i="1"/>
  <c r="G11689" i="1"/>
  <c r="G11417" i="1"/>
  <c r="G11250" i="1"/>
  <c r="G10993" i="1"/>
  <c r="G14068" i="1"/>
  <c r="G12843" i="1"/>
  <c r="G14637" i="1"/>
  <c r="G13435" i="1"/>
  <c r="G11168" i="1"/>
  <c r="G14108" i="1"/>
  <c r="G12922" i="1"/>
  <c r="G12648" i="1"/>
  <c r="G11125" i="1"/>
  <c r="G10537" i="1"/>
  <c r="G9839" i="1"/>
  <c r="G11339" i="1"/>
  <c r="G12980" i="1"/>
  <c r="G11769" i="1"/>
  <c r="G9126" i="1"/>
  <c r="G13130" i="1"/>
  <c r="G11922" i="1"/>
  <c r="G9568" i="1"/>
  <c r="G10382" i="1"/>
  <c r="G8661" i="1"/>
  <c r="G11119" i="1"/>
  <c r="G12321" i="1"/>
  <c r="G11297" i="1"/>
  <c r="G10403" i="1"/>
  <c r="G12581" i="1"/>
  <c r="G11557" i="1"/>
  <c r="G7346" i="1"/>
  <c r="G7516" i="1"/>
  <c r="G5783" i="1"/>
  <c r="G6934" i="1"/>
  <c r="F10466" i="1"/>
  <c r="F10402" i="1"/>
  <c r="F10338" i="1"/>
  <c r="F10245" i="1"/>
  <c r="F10160" i="1"/>
  <c r="F10074" i="1"/>
  <c r="F9989" i="1"/>
  <c r="F9904" i="1"/>
  <c r="F9818" i="1"/>
  <c r="F9733" i="1"/>
  <c r="F9585" i="1"/>
  <c r="F9418" i="1"/>
  <c r="F9240" i="1"/>
  <c r="F8396" i="1"/>
  <c r="F8029" i="1"/>
  <c r="F7773" i="1"/>
  <c r="F9661" i="1"/>
  <c r="F9494" i="1"/>
  <c r="F9316" i="1"/>
  <c r="F9165" i="1"/>
  <c r="F9037" i="1"/>
  <c r="F8909" i="1"/>
  <c r="F8781" i="1"/>
  <c r="F8633" i="1"/>
  <c r="F8304" i="1"/>
  <c r="F7846" i="1"/>
  <c r="F11673" i="1"/>
  <c r="F11609" i="1"/>
  <c r="F11545" i="1"/>
  <c r="F11481" i="1"/>
  <c r="F11417" i="1"/>
  <c r="F11353" i="1"/>
  <c r="F11289" i="1"/>
  <c r="F11225" i="1"/>
  <c r="F11161" i="1"/>
  <c r="F11097" i="1"/>
  <c r="F11033" i="1"/>
  <c r="F10969" i="1"/>
  <c r="F10905" i="1"/>
  <c r="F10841" i="1"/>
  <c r="F10777" i="1"/>
  <c r="F10713" i="1"/>
  <c r="F10649" i="1"/>
  <c r="F10585" i="1"/>
  <c r="F10521" i="1"/>
  <c r="F10457" i="1"/>
  <c r="F10393" i="1"/>
  <c r="F10323" i="1"/>
  <c r="F10238" i="1"/>
  <c r="F10153" i="1"/>
  <c r="F10068" i="1"/>
  <c r="F9982" i="1"/>
  <c r="F9897" i="1"/>
  <c r="F9812" i="1"/>
  <c r="F9726" i="1"/>
  <c r="F9577" i="1"/>
  <c r="F9410" i="1"/>
  <c r="F9232" i="1"/>
  <c r="F8358" i="1"/>
  <c r="F8028" i="1"/>
  <c r="F7796" i="1"/>
  <c r="F8598" i="1"/>
  <c r="F8429" i="1"/>
  <c r="F8260" i="1"/>
  <c r="F8086" i="1"/>
  <c r="F7977" i="1"/>
  <c r="F7842" i="1"/>
  <c r="F7677" i="1"/>
  <c r="F7448" i="1"/>
  <c r="F7135" i="1"/>
  <c r="F6776" i="1"/>
  <c r="F6264" i="1"/>
  <c r="F7364" i="1"/>
  <c r="F7071" i="1"/>
  <c r="F6611" i="1"/>
  <c r="F7557" i="1"/>
  <c r="F7269" i="1"/>
  <c r="F6948" i="1"/>
  <c r="F6464" i="1"/>
  <c r="F7502" i="1"/>
  <c r="F7185" i="1"/>
  <c r="F6811" i="1"/>
  <c r="F6299" i="1"/>
  <c r="F7391" i="1"/>
  <c r="F7098" i="1"/>
  <c r="F6657" i="1"/>
  <c r="F6163" i="1"/>
  <c r="F9152" i="1"/>
  <c r="F9088" i="1"/>
  <c r="F9024" i="1"/>
  <c r="F8960" i="1"/>
  <c r="F8896" i="1"/>
  <c r="F8832" i="1"/>
  <c r="F8768" i="1"/>
  <c r="F8704" i="1"/>
  <c r="F8600" i="1"/>
  <c r="F8426" i="1"/>
  <c r="F8257" i="1"/>
  <c r="F8088" i="1"/>
  <c r="F7814" i="1"/>
  <c r="F7636" i="1"/>
  <c r="F7432" i="1"/>
  <c r="F7171" i="1"/>
  <c r="F6803" i="1"/>
  <c r="F6291" i="1"/>
  <c r="F8526" i="1"/>
  <c r="F8357" i="1"/>
  <c r="F8188" i="1"/>
  <c r="F8026" i="1"/>
  <c r="F7941" i="1"/>
  <c r="F7764" i="1"/>
  <c r="F7607" i="1"/>
  <c r="F7316" i="1"/>
  <c r="F7014" i="1"/>
  <c r="F6546" i="1"/>
  <c r="F10303" i="1"/>
  <c r="F10239" i="1"/>
  <c r="F10175" i="1"/>
  <c r="F10111" i="1"/>
  <c r="F10047" i="1"/>
  <c r="F9983" i="1"/>
  <c r="F9919" i="1"/>
  <c r="F9855" i="1"/>
  <c r="F9791" i="1"/>
  <c r="F9727" i="1"/>
  <c r="F9663" i="1"/>
  <c r="F9599" i="1"/>
  <c r="F9535" i="1"/>
  <c r="F9471" i="1"/>
  <c r="F9407" i="1"/>
  <c r="F9343" i="1"/>
  <c r="F9279" i="1"/>
  <c r="F9215" i="1"/>
  <c r="F9151" i="1"/>
  <c r="F9087" i="1"/>
  <c r="F9023" i="1"/>
  <c r="F8959" i="1"/>
  <c r="F8895" i="1"/>
  <c r="F8831" i="1"/>
  <c r="F8767" i="1"/>
  <c r="F8703" i="1"/>
  <c r="F8594" i="1"/>
  <c r="F8425" i="1"/>
  <c r="F8256" i="1"/>
  <c r="F8082" i="1"/>
  <c r="F7824" i="1"/>
  <c r="F7643" i="1"/>
  <c r="F7420" i="1"/>
  <c r="F7159" i="1"/>
  <c r="F6747" i="1"/>
  <c r="F6235" i="1"/>
  <c r="F7577" i="1"/>
  <c r="F7438" i="1"/>
  <c r="F7302" i="1"/>
  <c r="F7156" i="1"/>
  <c r="F6993" i="1"/>
  <c r="F6788" i="1"/>
  <c r="F6532" i="1"/>
  <c r="F6276" i="1"/>
  <c r="F6020" i="1"/>
  <c r="F5764" i="1"/>
  <c r="F5508" i="1"/>
  <c r="F6026" i="1"/>
  <c r="F5770" i="1"/>
  <c r="F5514" i="1"/>
  <c r="F5130" i="1"/>
  <c r="F5916" i="1"/>
  <c r="F5660" i="1"/>
  <c r="F5294" i="1"/>
  <c r="F6007" i="1"/>
  <c r="F5751" i="1"/>
  <c r="F5495" i="1"/>
  <c r="F6052" i="1"/>
  <c r="F5796" i="1"/>
  <c r="F5540" i="1"/>
  <c r="F7556" i="1"/>
  <c r="F7409" i="1"/>
  <c r="F7268" i="1"/>
  <c r="F7132" i="1"/>
  <c r="F6958" i="1"/>
  <c r="F6698" i="1"/>
  <c r="F6442" i="1"/>
  <c r="F6186" i="1"/>
  <c r="F5930" i="1"/>
  <c r="F5674" i="1"/>
  <c r="F5444" i="1"/>
  <c r="F7926" i="1"/>
  <c r="F7798" i="1"/>
  <c r="F7670" i="1"/>
  <c r="F7542" i="1"/>
  <c r="F7424" i="1"/>
  <c r="F7283" i="1"/>
  <c r="F7121" i="1"/>
  <c r="F6970" i="1"/>
  <c r="F6725" i="1"/>
  <c r="F6469" i="1"/>
  <c r="F6213" i="1"/>
  <c r="F5957" i="1"/>
  <c r="F5701" i="1"/>
  <c r="F5305" i="1"/>
  <c r="F8627" i="1"/>
  <c r="F8563" i="1"/>
  <c r="F8499" i="1"/>
  <c r="F8435" i="1"/>
  <c r="F8371" i="1"/>
  <c r="F8307" i="1"/>
  <c r="F8243" i="1"/>
  <c r="F8179" i="1"/>
  <c r="F8115" i="1"/>
  <c r="F8051" i="1"/>
  <c r="F7987" i="1"/>
  <c r="F7907" i="1"/>
  <c r="F7779" i="1"/>
  <c r="F7651" i="1"/>
  <c r="F7523" i="1"/>
  <c r="F7387" i="1"/>
  <c r="F7230" i="1"/>
  <c r="F7084" i="1"/>
  <c r="F6898" i="1"/>
  <c r="F6642" i="1"/>
  <c r="F6386" i="1"/>
  <c r="F6130" i="1"/>
  <c r="F5874" i="1"/>
  <c r="F5618" i="1"/>
  <c r="F5410" i="1"/>
  <c r="F6891" i="1"/>
  <c r="F6763" i="1"/>
  <c r="F6635" i="1"/>
  <c r="F6507" i="1"/>
  <c r="F6379" i="1"/>
  <c r="F6251" i="1"/>
  <c r="F6123" i="1"/>
  <c r="F5995" i="1"/>
  <c r="F5867" i="1"/>
  <c r="F5739" i="1"/>
  <c r="F5611" i="1"/>
  <c r="F5483" i="1"/>
  <c r="F5089" i="1"/>
  <c r="F4426" i="1"/>
  <c r="F4622" i="1"/>
  <c r="F4731" i="1"/>
  <c r="F4923" i="1"/>
  <c r="F4382" i="1"/>
  <c r="F4440" i="1"/>
  <c r="F6833" i="1"/>
  <c r="F6705" i="1"/>
  <c r="F6577" i="1"/>
  <c r="F6449" i="1"/>
  <c r="F6321" i="1"/>
  <c r="F6193" i="1"/>
  <c r="F6065" i="1"/>
  <c r="F5937" i="1"/>
  <c r="F5809" i="1"/>
  <c r="F5681" i="1"/>
  <c r="F5553" i="1"/>
  <c r="F5436" i="1"/>
  <c r="F5313" i="1"/>
  <c r="F4897" i="1"/>
  <c r="F7043" i="1"/>
  <c r="F6915" i="1"/>
  <c r="F6787" i="1"/>
  <c r="F6659" i="1"/>
  <c r="F6531" i="1"/>
  <c r="F6403" i="1"/>
  <c r="F6275" i="1"/>
  <c r="F6147" i="1"/>
  <c r="F6019" i="1"/>
  <c r="F5891" i="1"/>
  <c r="F5763" i="1"/>
  <c r="F5635" i="1"/>
  <c r="F5507" i="1"/>
  <c r="F5153" i="1"/>
  <c r="F4795" i="1"/>
  <c r="F7440" i="1"/>
  <c r="F7312" i="1"/>
  <c r="F7184" i="1"/>
  <c r="F7056" i="1"/>
  <c r="F6928" i="1"/>
  <c r="F6800" i="1"/>
  <c r="F6672" i="1"/>
  <c r="F6544" i="1"/>
  <c r="F6416" i="1"/>
  <c r="F6288" i="1"/>
  <c r="F6160" i="1"/>
  <c r="F6032" i="1"/>
  <c r="F5904" i="1"/>
  <c r="F5776" i="1"/>
  <c r="F5648" i="1"/>
  <c r="F5520" i="1"/>
  <c r="F5413" i="1"/>
  <c r="F5194" i="1"/>
  <c r="F4723" i="1"/>
  <c r="F5366" i="1"/>
  <c r="F5185" i="1"/>
  <c r="F4961" i="1"/>
  <c r="F4718" i="1"/>
  <c r="F4107" i="1"/>
  <c r="F4180" i="1"/>
  <c r="F4175" i="1"/>
  <c r="F3285" i="1"/>
  <c r="F3355" i="1"/>
  <c r="F3427" i="1"/>
  <c r="F5187" i="1"/>
  <c r="F5006" i="1"/>
  <c r="F4785" i="1"/>
  <c r="F4505" i="1"/>
  <c r="F4067" i="1"/>
  <c r="F5443" i="1"/>
  <c r="F5379" i="1"/>
  <c r="F5223" i="1"/>
  <c r="F5035" i="1"/>
  <c r="F4810" i="1"/>
  <c r="F4534" i="1"/>
  <c r="F4063" i="1"/>
  <c r="F5345" i="1"/>
  <c r="F5165" i="1"/>
  <c r="F4931" i="1"/>
  <c r="F4635" i="1"/>
  <c r="F4087" i="1"/>
  <c r="F4435" i="1"/>
  <c r="F4195" i="1"/>
  <c r="F3802" i="1"/>
  <c r="F3290" i="1"/>
  <c r="F3167" i="1"/>
  <c r="F4909" i="1"/>
  <c r="F4767" i="1"/>
  <c r="F4682" i="1"/>
  <c r="F4597" i="1"/>
  <c r="F4511" i="1"/>
  <c r="F4328" i="1"/>
  <c r="F4047" i="1"/>
  <c r="F3574" i="1"/>
  <c r="F3226" i="1"/>
  <c r="F4430" i="1"/>
  <c r="F4188" i="1"/>
  <c r="F3858" i="1"/>
  <c r="F3346" i="1"/>
  <c r="F5335" i="1"/>
  <c r="F5181" i="1"/>
  <c r="F5007" i="1"/>
  <c r="F4838" i="1"/>
  <c r="F4733" i="1"/>
  <c r="F4647" i="1"/>
  <c r="F4562" i="1"/>
  <c r="F4464" i="1"/>
  <c r="F4231" i="1"/>
  <c r="F3839" i="1"/>
  <c r="F3327" i="1"/>
  <c r="F3788" i="1"/>
  <c r="F3532" i="1"/>
  <c r="F3276" i="1"/>
  <c r="F2901" i="1"/>
  <c r="F2495" i="1"/>
  <c r="F2380" i="1"/>
  <c r="F2700" i="1"/>
  <c r="F2923" i="1"/>
  <c r="F2823" i="1"/>
  <c r="F2242" i="1"/>
  <c r="F3957" i="1"/>
  <c r="F3701" i="1"/>
  <c r="F3445" i="1"/>
  <c r="F3155" i="1"/>
  <c r="F2508" i="1"/>
  <c r="F4372" i="1"/>
  <c r="F4287" i="1"/>
  <c r="F4202" i="1"/>
  <c r="F4068" i="1"/>
  <c r="F3908" i="1"/>
  <c r="F3652" i="1"/>
  <c r="F3396" i="1"/>
  <c r="F3068" i="1"/>
  <c r="F2773" i="1"/>
  <c r="F5312" i="1"/>
  <c r="F5248" i="1"/>
  <c r="F5184" i="1"/>
  <c r="F5120" i="1"/>
  <c r="F5056" i="1"/>
  <c r="F4992" i="1"/>
  <c r="F4928" i="1"/>
  <c r="F4864" i="1"/>
  <c r="F4800" i="1"/>
  <c r="F4736" i="1"/>
  <c r="F4672" i="1"/>
  <c r="F4608" i="1"/>
  <c r="F4544" i="1"/>
  <c r="F4460" i="1"/>
  <c r="F3862" i="1"/>
  <c r="F3606" i="1"/>
  <c r="F3350" i="1"/>
  <c r="F3025" i="1"/>
  <c r="F3941" i="1"/>
  <c r="F3813" i="1"/>
  <c r="F3685" i="1"/>
  <c r="F3557" i="1"/>
  <c r="F3429" i="1"/>
  <c r="F3301" i="1"/>
  <c r="F3152" i="1"/>
  <c r="F2949" i="1"/>
  <c r="F2462" i="1"/>
  <c r="F1332" i="1"/>
  <c r="F4150" i="1"/>
  <c r="F4086" i="1"/>
  <c r="F4022" i="1"/>
  <c r="F3947" i="1"/>
  <c r="F3819" i="1"/>
  <c r="F3691" i="1"/>
  <c r="F3563" i="1"/>
  <c r="F3435" i="1"/>
  <c r="F3307" i="1"/>
  <c r="F3185" i="1"/>
  <c r="F2951" i="1"/>
  <c r="F2828" i="1"/>
  <c r="F2578" i="1"/>
  <c r="F2008" i="1"/>
  <c r="F3896" i="1"/>
  <c r="F3768" i="1"/>
  <c r="F3640" i="1"/>
  <c r="F3512" i="1"/>
  <c r="F3384" i="1"/>
  <c r="F3256" i="1"/>
  <c r="F3075" i="1"/>
  <c r="F2720" i="1"/>
  <c r="F2195" i="1"/>
  <c r="F4453" i="1"/>
  <c r="F4389" i="1"/>
  <c r="F4325" i="1"/>
  <c r="F4261" i="1"/>
  <c r="F4197" i="1"/>
  <c r="F4133" i="1"/>
  <c r="F4069" i="1"/>
  <c r="F4005" i="1"/>
  <c r="F3914" i="1"/>
  <c r="F3786" i="1"/>
  <c r="F3658" i="1"/>
  <c r="F3530" i="1"/>
  <c r="F3402" i="1"/>
  <c r="F3274" i="1"/>
  <c r="F3127" i="1"/>
  <c r="F2912" i="1"/>
  <c r="F2799" i="1"/>
  <c r="F2394" i="1"/>
  <c r="F2545" i="1"/>
  <c r="F2312" i="1"/>
  <c r="F2039" i="1"/>
  <c r="F2549" i="1"/>
  <c r="F2971" i="1"/>
  <c r="F2984" i="1"/>
  <c r="F1971" i="1"/>
  <c r="F2076" i="1"/>
  <c r="F1863" i="1"/>
  <c r="F2370" i="1"/>
  <c r="F2187" i="1"/>
  <c r="F2862" i="1"/>
  <c r="F2160" i="1"/>
  <c r="F1667" i="1"/>
  <c r="F1602" i="1"/>
  <c r="F1052" i="1"/>
  <c r="F1610" i="1"/>
  <c r="F1893" i="1"/>
  <c r="F938" i="1"/>
  <c r="F776" i="1"/>
  <c r="F890" i="1"/>
  <c r="F1257" i="1"/>
  <c r="F575" i="1"/>
  <c r="F439" i="1"/>
  <c r="F550" i="1"/>
  <c r="F435" i="1"/>
  <c r="F147" i="1"/>
  <c r="G13651" i="1"/>
  <c r="G13499" i="1"/>
  <c r="G13924" i="1"/>
  <c r="G13692" i="1"/>
  <c r="G13532" i="1"/>
  <c r="G14822" i="1"/>
  <c r="G14212" i="1"/>
  <c r="G14364" i="1"/>
  <c r="G13376" i="1"/>
  <c r="G11221" i="1"/>
  <c r="G10921" i="1"/>
  <c r="G10833" i="1"/>
  <c r="G12979" i="1"/>
  <c r="G13932" i="1"/>
  <c r="G12595" i="1"/>
  <c r="G14513" i="1"/>
  <c r="G13278" i="1"/>
  <c r="G14913" i="1"/>
  <c r="G13983" i="1"/>
  <c r="G12698" i="1"/>
  <c r="G12491" i="1"/>
  <c r="G10502" i="1"/>
  <c r="G9914" i="1"/>
  <c r="G12624" i="1"/>
  <c r="G11120" i="1"/>
  <c r="G12863" i="1"/>
  <c r="G11570" i="1"/>
  <c r="G14031" i="1"/>
  <c r="G13007" i="1"/>
  <c r="G11730" i="1"/>
  <c r="G9125" i="1"/>
  <c r="G10262" i="1"/>
  <c r="G9205" i="1"/>
  <c r="G10996" i="1"/>
  <c r="G12202" i="1"/>
  <c r="G11178" i="1"/>
  <c r="G9899" i="1"/>
  <c r="G12462" i="1"/>
  <c r="G11438" i="1"/>
  <c r="G7196" i="1"/>
  <c r="G8018" i="1"/>
  <c r="G9741" i="1"/>
  <c r="G3561" i="1"/>
  <c r="F11221" i="1"/>
  <c r="F11157" i="1"/>
  <c r="F11093" i="1"/>
  <c r="F11029" i="1"/>
  <c r="F10965" i="1"/>
  <c r="F10901" i="1"/>
  <c r="F10837" i="1"/>
  <c r="F10773" i="1"/>
  <c r="F10709" i="1"/>
  <c r="F10645" i="1"/>
  <c r="F10581" i="1"/>
  <c r="F10517" i="1"/>
  <c r="F10453" i="1"/>
  <c r="F10389" i="1"/>
  <c r="F10318" i="1"/>
  <c r="F10233" i="1"/>
  <c r="F10148" i="1"/>
  <c r="F10062" i="1"/>
  <c r="F9977" i="1"/>
  <c r="F9892" i="1"/>
  <c r="F9806" i="1"/>
  <c r="F9721" i="1"/>
  <c r="F9570" i="1"/>
  <c r="F9392" i="1"/>
  <c r="F9225" i="1"/>
  <c r="F8349" i="1"/>
  <c r="F8017" i="1"/>
  <c r="F7772" i="1"/>
  <c r="F8589" i="1"/>
  <c r="F8420" i="1"/>
  <c r="F8246" i="1"/>
  <c r="F8077" i="1"/>
  <c r="F7972" i="1"/>
  <c r="F7836" i="1"/>
  <c r="F7671" i="1"/>
  <c r="F7406" i="1"/>
  <c r="F7124" i="1"/>
  <c r="F6721" i="1"/>
  <c r="F6209" i="1"/>
  <c r="F7343" i="1"/>
  <c r="F7058" i="1"/>
  <c r="F6574" i="1"/>
  <c r="F7548" i="1"/>
  <c r="F7259" i="1"/>
  <c r="F6921" i="1"/>
  <c r="F6409" i="1"/>
  <c r="F7465" i="1"/>
  <c r="F7174" i="1"/>
  <c r="F6774" i="1"/>
  <c r="F6262" i="1"/>
  <c r="F7380" i="1"/>
  <c r="F7077" i="1"/>
  <c r="F6639" i="1"/>
  <c r="F9212" i="1"/>
  <c r="F9148" i="1"/>
  <c r="F9084" i="1"/>
  <c r="F9020" i="1"/>
  <c r="F8956" i="1"/>
  <c r="F8892" i="1"/>
  <c r="F8828" i="1"/>
  <c r="F8764" i="1"/>
  <c r="F8700" i="1"/>
  <c r="F8586" i="1"/>
  <c r="F8417" i="1"/>
  <c r="F8248" i="1"/>
  <c r="F8074" i="1"/>
  <c r="F7808" i="1"/>
  <c r="F7630" i="1"/>
  <c r="F7421" i="1"/>
  <c r="F7160" i="1"/>
  <c r="F6766" i="1"/>
  <c r="F6254" i="1"/>
  <c r="F8517" i="1"/>
  <c r="F8348" i="1"/>
  <c r="F8174" i="1"/>
  <c r="F8021" i="1"/>
  <c r="F7923" i="1"/>
  <c r="F7746" i="1"/>
  <c r="F7599" i="1"/>
  <c r="F7285" i="1"/>
  <c r="F7003" i="1"/>
  <c r="F6528" i="1"/>
  <c r="F10299" i="1"/>
  <c r="F10235" i="1"/>
  <c r="F10171" i="1"/>
  <c r="F10107" i="1"/>
  <c r="F10043" i="1"/>
  <c r="F9979" i="1"/>
  <c r="F9915" i="1"/>
  <c r="F9851" i="1"/>
  <c r="F9787" i="1"/>
  <c r="F9723" i="1"/>
  <c r="F9659" i="1"/>
  <c r="F9595" i="1"/>
  <c r="F9531" i="1"/>
  <c r="F9467" i="1"/>
  <c r="F9403" i="1"/>
  <c r="F9339" i="1"/>
  <c r="F9275" i="1"/>
  <c r="F9211" i="1"/>
  <c r="F9147" i="1"/>
  <c r="F9083" i="1"/>
  <c r="F9019" i="1"/>
  <c r="F8955" i="1"/>
  <c r="F8891" i="1"/>
  <c r="F8827" i="1"/>
  <c r="F8763" i="1"/>
  <c r="F8699" i="1"/>
  <c r="F8585" i="1"/>
  <c r="F8416" i="1"/>
  <c r="F8242" i="1"/>
  <c r="F8073" i="1"/>
  <c r="F7806" i="1"/>
  <c r="F7635" i="1"/>
  <c r="F7378" i="1"/>
  <c r="F7117" i="1"/>
  <c r="F6710" i="1"/>
  <c r="F6198" i="1"/>
  <c r="F7568" i="1"/>
  <c r="F7433" i="1"/>
  <c r="F7297" i="1"/>
  <c r="F7151" i="1"/>
  <c r="F6986" i="1"/>
  <c r="F6779" i="1"/>
  <c r="F6523" i="1"/>
  <c r="F6267" i="1"/>
  <c r="F6011" i="1"/>
  <c r="F5755" i="1"/>
  <c r="F5499" i="1"/>
  <c r="F6017" i="1"/>
  <c r="F5761" i="1"/>
  <c r="F5505" i="1"/>
  <c r="F5025" i="1"/>
  <c r="F5907" i="1"/>
  <c r="F5651" i="1"/>
  <c r="F5169" i="1"/>
  <c r="F5970" i="1"/>
  <c r="F5714" i="1"/>
  <c r="F5458" i="1"/>
  <c r="F6043" i="1"/>
  <c r="F5787" i="1"/>
  <c r="F5531" i="1"/>
  <c r="F7547" i="1"/>
  <c r="F7404" i="1"/>
  <c r="F7263" i="1"/>
  <c r="F7127" i="1"/>
  <c r="F6940" i="1"/>
  <c r="F6689" i="1"/>
  <c r="F6433" i="1"/>
  <c r="F6177" i="1"/>
  <c r="F5921" i="1"/>
  <c r="F5665" i="1"/>
  <c r="F5433" i="1"/>
  <c r="F7921" i="1"/>
  <c r="F7793" i="1"/>
  <c r="F7665" i="1"/>
  <c r="F7537" i="1"/>
  <c r="F7419" i="1"/>
  <c r="F7262" i="1"/>
  <c r="F7116" i="1"/>
  <c r="F6952" i="1"/>
  <c r="F6716" i="1"/>
  <c r="F6460" i="1"/>
  <c r="F6204" i="1"/>
  <c r="F5948" i="1"/>
  <c r="F5692" i="1"/>
  <c r="F5242" i="1"/>
  <c r="F8623" i="1"/>
  <c r="F8559" i="1"/>
  <c r="F8495" i="1"/>
  <c r="F8431" i="1"/>
  <c r="F8367" i="1"/>
  <c r="F8303" i="1"/>
  <c r="F8239" i="1"/>
  <c r="F8175" i="1"/>
  <c r="F8111" i="1"/>
  <c r="F8047" i="1"/>
  <c r="F7983" i="1"/>
  <c r="F7898" i="1"/>
  <c r="F7770" i="1"/>
  <c r="F7642" i="1"/>
  <c r="F7514" i="1"/>
  <c r="F7371" i="1"/>
  <c r="F7214" i="1"/>
  <c r="F7078" i="1"/>
  <c r="F6889" i="1"/>
  <c r="F6633" i="1"/>
  <c r="F6377" i="1"/>
  <c r="F6121" i="1"/>
  <c r="F5865" i="1"/>
  <c r="F5609" i="1"/>
  <c r="F5400" i="1"/>
  <c r="F6886" i="1"/>
  <c r="F6758" i="1"/>
  <c r="F6630" i="1"/>
  <c r="F6502" i="1"/>
  <c r="F6374" i="1"/>
  <c r="F6246" i="1"/>
  <c r="F6118" i="1"/>
  <c r="F5990" i="1"/>
  <c r="F5862" i="1"/>
  <c r="F5734" i="1"/>
  <c r="F5606" i="1"/>
  <c r="F5478" i="1"/>
  <c r="F5058" i="1"/>
  <c r="F4364" i="1"/>
  <c r="F4587" i="1"/>
  <c r="F4702" i="1"/>
  <c r="F4874" i="1"/>
  <c r="F4348" i="1"/>
  <c r="F4312" i="1"/>
  <c r="F6824" i="1"/>
  <c r="F6696" i="1"/>
  <c r="F6568" i="1"/>
  <c r="F6440" i="1"/>
  <c r="F6312" i="1"/>
  <c r="F6184" i="1"/>
  <c r="F6056" i="1"/>
  <c r="F5928" i="1"/>
  <c r="F5800" i="1"/>
  <c r="F5672" i="1"/>
  <c r="F5544" i="1"/>
  <c r="F5430" i="1"/>
  <c r="F5282" i="1"/>
  <c r="F4885" i="1"/>
  <c r="F7038" i="1"/>
  <c r="F6910" i="1"/>
  <c r="F6782" i="1"/>
  <c r="F6654" i="1"/>
  <c r="F6526" i="1"/>
  <c r="F6398" i="1"/>
  <c r="F6270" i="1"/>
  <c r="F6142" i="1"/>
  <c r="F6014" i="1"/>
  <c r="F5886" i="1"/>
  <c r="F5758" i="1"/>
  <c r="F5630" i="1"/>
  <c r="F5502" i="1"/>
  <c r="F5122" i="1"/>
  <c r="F4753" i="1"/>
  <c r="F7431" i="1"/>
  <c r="F7303" i="1"/>
  <c r="F7175" i="1"/>
  <c r="F7047" i="1"/>
  <c r="F6919" i="1"/>
  <c r="F6791" i="1"/>
  <c r="F6663" i="1"/>
  <c r="F6535" i="1"/>
  <c r="F6407" i="1"/>
  <c r="F6279" i="1"/>
  <c r="F6151" i="1"/>
  <c r="F6023" i="1"/>
  <c r="F5895" i="1"/>
  <c r="F5767" i="1"/>
  <c r="F5639" i="1"/>
  <c r="F5511" i="1"/>
  <c r="F5408" i="1"/>
  <c r="F5163" i="1"/>
  <c r="F4675" i="1"/>
  <c r="F5362" i="1"/>
  <c r="F5159" i="1"/>
  <c r="F4955" i="1"/>
  <c r="F4694" i="1"/>
  <c r="F4056" i="1"/>
  <c r="F4159" i="1"/>
  <c r="F4127" i="1"/>
  <c r="F4194" i="1"/>
  <c r="F3282" i="1"/>
  <c r="F3354" i="1"/>
  <c r="F5182" i="1"/>
  <c r="F4994" i="1"/>
  <c r="F4763" i="1"/>
  <c r="F4494" i="1"/>
  <c r="F4016" i="1"/>
  <c r="F5439" i="1"/>
  <c r="F5375" i="1"/>
  <c r="F5218" i="1"/>
  <c r="F5011" i="1"/>
  <c r="F4798" i="1"/>
  <c r="F4523" i="1"/>
  <c r="F4035" i="1"/>
  <c r="F5336" i="1"/>
  <c r="F5123" i="1"/>
  <c r="F4919" i="1"/>
  <c r="F4627" i="1"/>
  <c r="F4059" i="1"/>
  <c r="F4427" i="1"/>
  <c r="F4187" i="1"/>
  <c r="F3747" i="1"/>
  <c r="F3235" i="1"/>
  <c r="F3125" i="1"/>
  <c r="F4895" i="1"/>
  <c r="F4762" i="1"/>
  <c r="F4677" i="1"/>
  <c r="F4591" i="1"/>
  <c r="F4506" i="1"/>
  <c r="F4304" i="1"/>
  <c r="F4032" i="1"/>
  <c r="F3519" i="1"/>
  <c r="F3187" i="1"/>
  <c r="F4422" i="1"/>
  <c r="F4168" i="1"/>
  <c r="F3803" i="1"/>
  <c r="F3291" i="1"/>
  <c r="F5331" i="1"/>
  <c r="F5167" i="1"/>
  <c r="F4998" i="1"/>
  <c r="F4829" i="1"/>
  <c r="F4727" i="1"/>
  <c r="F4642" i="1"/>
  <c r="F4557" i="1"/>
  <c r="F4458" i="1"/>
  <c r="F4222" i="1"/>
  <c r="F3821" i="1"/>
  <c r="F3309" i="1"/>
  <c r="F3779" i="1"/>
  <c r="F3523" i="1"/>
  <c r="F3267" i="1"/>
  <c r="F2887" i="1"/>
  <c r="F2458" i="1"/>
  <c r="F2343" i="1"/>
  <c r="F2649" i="1"/>
  <c r="F2745" i="1"/>
  <c r="F2809" i="1"/>
  <c r="F2169" i="1"/>
  <c r="F3920" i="1"/>
  <c r="F3664" i="1"/>
  <c r="F3408" i="1"/>
  <c r="F3144" i="1"/>
  <c r="F2435" i="1"/>
  <c r="F4367" i="1"/>
  <c r="F4282" i="1"/>
  <c r="F4196" i="1"/>
  <c r="F4060" i="1"/>
  <c r="F3899" i="1"/>
  <c r="F3643" i="1"/>
  <c r="F3387" i="1"/>
  <c r="F3057" i="1"/>
  <c r="F2713" i="1"/>
  <c r="F5308" i="1"/>
  <c r="F5244" i="1"/>
  <c r="F5180" i="1"/>
  <c r="F5116" i="1"/>
  <c r="F5052" i="1"/>
  <c r="F4988" i="1"/>
  <c r="F4924" i="1"/>
  <c r="F4860" i="1"/>
  <c r="F4796" i="1"/>
  <c r="F4732" i="1"/>
  <c r="F4668" i="1"/>
  <c r="F4604" i="1"/>
  <c r="F4540" i="1"/>
  <c r="F4451" i="1"/>
  <c r="F3853" i="1"/>
  <c r="F3597" i="1"/>
  <c r="F3341" i="1"/>
  <c r="F2965" i="1"/>
  <c r="F3936" i="1"/>
  <c r="F3808" i="1"/>
  <c r="F3680" i="1"/>
  <c r="F3552" i="1"/>
  <c r="F3424" i="1"/>
  <c r="F3296" i="1"/>
  <c r="F3147" i="1"/>
  <c r="F2931" i="1"/>
  <c r="F2444" i="1"/>
  <c r="F1828" i="1"/>
  <c r="F4146" i="1"/>
  <c r="F4082" i="1"/>
  <c r="F4018" i="1"/>
  <c r="F3938" i="1"/>
  <c r="F3810" i="1"/>
  <c r="F3682" i="1"/>
  <c r="F3554" i="1"/>
  <c r="F3426" i="1"/>
  <c r="F3298" i="1"/>
  <c r="F3180" i="1"/>
  <c r="F2945" i="1"/>
  <c r="F2821" i="1"/>
  <c r="F2560" i="1"/>
  <c r="F1959" i="1"/>
  <c r="F3887" i="1"/>
  <c r="F3759" i="1"/>
  <c r="F3631" i="1"/>
  <c r="F3503" i="1"/>
  <c r="F3375" i="1"/>
  <c r="F3247" i="1"/>
  <c r="F3049" i="1"/>
  <c r="F2705" i="1"/>
  <c r="F2056" i="1"/>
  <c r="F4449" i="1"/>
  <c r="F4385" i="1"/>
  <c r="F4321" i="1"/>
  <c r="F4257" i="1"/>
  <c r="F4193" i="1"/>
  <c r="F4129" i="1"/>
  <c r="F4065" i="1"/>
  <c r="F4001" i="1"/>
  <c r="F3905" i="1"/>
  <c r="F3777" i="1"/>
  <c r="F3649" i="1"/>
  <c r="F3521" i="1"/>
  <c r="F3393" i="1"/>
  <c r="F3265" i="1"/>
  <c r="F3121" i="1"/>
  <c r="F2905" i="1"/>
  <c r="F2791" i="1"/>
  <c r="F2376" i="1"/>
  <c r="F2536" i="1"/>
  <c r="F2301" i="1"/>
  <c r="F2014" i="1"/>
  <c r="F2540" i="1"/>
  <c r="F2957" i="1"/>
  <c r="F2975" i="1"/>
  <c r="F1922" i="1"/>
  <c r="F2070" i="1"/>
  <c r="F1688" i="1"/>
  <c r="F2361" i="1"/>
  <c r="F2171" i="1"/>
  <c r="F2858" i="1"/>
  <c r="F2154" i="1"/>
  <c r="F1648" i="1"/>
  <c r="F1556" i="1"/>
  <c r="F1043" i="1"/>
  <c r="F1596" i="1"/>
  <c r="F1889" i="1"/>
  <c r="F929" i="1"/>
  <c r="F771" i="1"/>
  <c r="F881" i="1"/>
  <c r="F1253" i="1"/>
  <c r="F567" i="1"/>
  <c r="F418" i="1"/>
  <c r="F541" i="1"/>
  <c r="F430" i="1"/>
  <c r="F138" i="1"/>
  <c r="G13609" i="1"/>
  <c r="G13478" i="1"/>
  <c r="G14932" i="1"/>
  <c r="G13661" i="1"/>
  <c r="G13501" i="1"/>
  <c r="G14815" i="1"/>
  <c r="G14203" i="1"/>
  <c r="G14360" i="1"/>
  <c r="G13371" i="1"/>
  <c r="G11166" i="1"/>
  <c r="G10899" i="1"/>
  <c r="G10811" i="1"/>
  <c r="G12973" i="1"/>
  <c r="G13927" i="1"/>
  <c r="G12574" i="1"/>
  <c r="G14505" i="1"/>
  <c r="G13273" i="1"/>
  <c r="G14905" i="1"/>
  <c r="G13946" i="1"/>
  <c r="G12689" i="1"/>
  <c r="G12486" i="1"/>
  <c r="G10477" i="1"/>
  <c r="G9859" i="1"/>
  <c r="G12608" i="1"/>
  <c r="G11083" i="1"/>
  <c r="G12858" i="1"/>
  <c r="G11564" i="1"/>
  <c r="G14026" i="1"/>
  <c r="G13002" i="1"/>
  <c r="G11724" i="1"/>
  <c r="G9053" i="1"/>
  <c r="G10254" i="1"/>
  <c r="G9181" i="1"/>
  <c r="G10991" i="1"/>
  <c r="G12193" i="1"/>
  <c r="G11169" i="1"/>
  <c r="G9890" i="1"/>
  <c r="G12453" i="1"/>
  <c r="G11429" i="1"/>
  <c r="G7178" i="1"/>
  <c r="G8011" i="1"/>
  <c r="G9737" i="1"/>
  <c r="G8026" i="1"/>
  <c r="F6703" i="1"/>
  <c r="F6191" i="1"/>
  <c r="F7322" i="1"/>
  <c r="F7034" i="1"/>
  <c r="F6556" i="1"/>
  <c r="F7539" i="1"/>
  <c r="F7217" i="1"/>
  <c r="F6903" i="1"/>
  <c r="F6391" i="1"/>
  <c r="F7456" i="1"/>
  <c r="F7164" i="1"/>
  <c r="F6756" i="1"/>
  <c r="F6244" i="1"/>
  <c r="F7349" i="1"/>
  <c r="F7053" i="1"/>
  <c r="F6602" i="1"/>
  <c r="F9208" i="1"/>
  <c r="F9144" i="1"/>
  <c r="F9080" i="1"/>
  <c r="F9016" i="1"/>
  <c r="F8952" i="1"/>
  <c r="F8888" i="1"/>
  <c r="F8824" i="1"/>
  <c r="F8760" i="1"/>
  <c r="F8696" i="1"/>
  <c r="F8577" i="1"/>
  <c r="F8408" i="1"/>
  <c r="F8234" i="1"/>
  <c r="F8065" i="1"/>
  <c r="F7801" i="1"/>
  <c r="F7622" i="1"/>
  <c r="F7411" i="1"/>
  <c r="F7118" i="1"/>
  <c r="F6748" i="1"/>
  <c r="F6236" i="1"/>
  <c r="F8508" i="1"/>
  <c r="F8334" i="1"/>
  <c r="F8165" i="1"/>
  <c r="F8016" i="1"/>
  <c r="F7917" i="1"/>
  <c r="F7740" i="1"/>
  <c r="F7562" i="1"/>
  <c r="F7274" i="1"/>
  <c r="F6990" i="1"/>
  <c r="F6473" i="1"/>
  <c r="F10295" i="1"/>
  <c r="F10231" i="1"/>
  <c r="F10167" i="1"/>
  <c r="F10103" i="1"/>
  <c r="F10039" i="1"/>
  <c r="F9975" i="1"/>
  <c r="F9911" i="1"/>
  <c r="F9847" i="1"/>
  <c r="F9783" i="1"/>
  <c r="F9719" i="1"/>
  <c r="F9655" i="1"/>
  <c r="F9591" i="1"/>
  <c r="F9527" i="1"/>
  <c r="F9463" i="1"/>
  <c r="F9399" i="1"/>
  <c r="F9335" i="1"/>
  <c r="F9271" i="1"/>
  <c r="F9207" i="1"/>
  <c r="F9143" i="1"/>
  <c r="F9079" i="1"/>
  <c r="F9015" i="1"/>
  <c r="F8951" i="1"/>
  <c r="F8887" i="1"/>
  <c r="F8823" i="1"/>
  <c r="F8759" i="1"/>
  <c r="F8695" i="1"/>
  <c r="F8576" i="1"/>
  <c r="F8402" i="1"/>
  <c r="F8233" i="1"/>
  <c r="F8064" i="1"/>
  <c r="F7800" i="1"/>
  <c r="F7627" i="1"/>
  <c r="F7368" i="1"/>
  <c r="F7107" i="1"/>
  <c r="F6692" i="1"/>
  <c r="F6180" i="1"/>
  <c r="F7559" i="1"/>
  <c r="F7428" i="1"/>
  <c r="F7292" i="1"/>
  <c r="F7130" i="1"/>
  <c r="F6975" i="1"/>
  <c r="F6742" i="1"/>
  <c r="F6486" i="1"/>
  <c r="F6230" i="1"/>
  <c r="F5974" i="1"/>
  <c r="F5718" i="1"/>
  <c r="F5462" i="1"/>
  <c r="F6008" i="1"/>
  <c r="F5752" i="1"/>
  <c r="F5496" i="1"/>
  <c r="F6126" i="1"/>
  <c r="F5870" i="1"/>
  <c r="F5614" i="1"/>
  <c r="F5127" i="1"/>
  <c r="F5961" i="1"/>
  <c r="F5705" i="1"/>
  <c r="F5448" i="1"/>
  <c r="F6006" i="1"/>
  <c r="F5750" i="1"/>
  <c r="F5494" i="1"/>
  <c r="F7538" i="1"/>
  <c r="F7398" i="1"/>
  <c r="F7252" i="1"/>
  <c r="F7090" i="1"/>
  <c r="F6934" i="1"/>
  <c r="F6680" i="1"/>
  <c r="F6424" i="1"/>
  <c r="F6168" i="1"/>
  <c r="F5912" i="1"/>
  <c r="F5656" i="1"/>
  <c r="F5422" i="1"/>
  <c r="F7912" i="1"/>
  <c r="F7784" i="1"/>
  <c r="F7656" i="1"/>
  <c r="F7528" i="1"/>
  <c r="F7403" i="1"/>
  <c r="F7246" i="1"/>
  <c r="F7110" i="1"/>
  <c r="F6945" i="1"/>
  <c r="F6707" i="1"/>
  <c r="F6451" i="1"/>
  <c r="F6195" i="1"/>
  <c r="F5939" i="1"/>
  <c r="F5683" i="1"/>
  <c r="F5221" i="1"/>
  <c r="F8619" i="1"/>
  <c r="F8555" i="1"/>
  <c r="F8491" i="1"/>
  <c r="F8427" i="1"/>
  <c r="F8363" i="1"/>
  <c r="F8299" i="1"/>
  <c r="F8235" i="1"/>
  <c r="F8171" i="1"/>
  <c r="F8107" i="1"/>
  <c r="F8043" i="1"/>
  <c r="F7979" i="1"/>
  <c r="F7893" i="1"/>
  <c r="F7765" i="1"/>
  <c r="F7637" i="1"/>
  <c r="F7509" i="1"/>
  <c r="F7350" i="1"/>
  <c r="F7209" i="1"/>
  <c r="F7067" i="1"/>
  <c r="F6880" i="1"/>
  <c r="F6624" i="1"/>
  <c r="F6368" i="1"/>
  <c r="F6112" i="1"/>
  <c r="F5856" i="1"/>
  <c r="F5600" i="1"/>
  <c r="F5389" i="1"/>
  <c r="F6877" i="1"/>
  <c r="F6749" i="1"/>
  <c r="F6621" i="1"/>
  <c r="F6493" i="1"/>
  <c r="F6365" i="1"/>
  <c r="F6237" i="1"/>
  <c r="F6109" i="1"/>
  <c r="F5981" i="1"/>
  <c r="F5853" i="1"/>
  <c r="F5725" i="1"/>
  <c r="F5597" i="1"/>
  <c r="F5469" i="1"/>
  <c r="F5047" i="1"/>
  <c r="F4331" i="1"/>
  <c r="F4482" i="1"/>
  <c r="F4667" i="1"/>
  <c r="F4862" i="1"/>
  <c r="F4315" i="1"/>
  <c r="F4279" i="1"/>
  <c r="F6815" i="1"/>
  <c r="F6687" i="1"/>
  <c r="F6559" i="1"/>
  <c r="F6431" i="1"/>
  <c r="F6303" i="1"/>
  <c r="F6175" i="1"/>
  <c r="F6047" i="1"/>
  <c r="F5919" i="1"/>
  <c r="F5791" i="1"/>
  <c r="F5663" i="1"/>
  <c r="F5535" i="1"/>
  <c r="F5425" i="1"/>
  <c r="F5271" i="1"/>
  <c r="F4873" i="1"/>
  <c r="F7029" i="1"/>
  <c r="F6901" i="1"/>
  <c r="F6773" i="1"/>
  <c r="F6645" i="1"/>
  <c r="F6517" i="1"/>
  <c r="F6389" i="1"/>
  <c r="F6261" i="1"/>
  <c r="F6133" i="1"/>
  <c r="F6005" i="1"/>
  <c r="F5877" i="1"/>
  <c r="F5749" i="1"/>
  <c r="F5621" i="1"/>
  <c r="F5493" i="1"/>
  <c r="F5111" i="1"/>
  <c r="F4710" i="1"/>
  <c r="F7426" i="1"/>
  <c r="F7298" i="1"/>
  <c r="F7170" i="1"/>
  <c r="F7042" i="1"/>
  <c r="F6914" i="1"/>
  <c r="F6786" i="1"/>
  <c r="F6658" i="1"/>
  <c r="F6530" i="1"/>
  <c r="F6402" i="1"/>
  <c r="F6274" i="1"/>
  <c r="F6146" i="1"/>
  <c r="F6018" i="1"/>
  <c r="F5890" i="1"/>
  <c r="F5762" i="1"/>
  <c r="F5634" i="1"/>
  <c r="F5506" i="1"/>
  <c r="F5402" i="1"/>
  <c r="F5142" i="1"/>
  <c r="F4641" i="1"/>
  <c r="F5358" i="1"/>
  <c r="F5154" i="1"/>
  <c r="F4949" i="1"/>
  <c r="F4686" i="1"/>
  <c r="F4007" i="1"/>
  <c r="F4131" i="1"/>
  <c r="F4099" i="1"/>
  <c r="F4151" i="1"/>
  <c r="F4192" i="1"/>
  <c r="F3281" i="1"/>
  <c r="F5177" i="1"/>
  <c r="F4963" i="1"/>
  <c r="F4742" i="1"/>
  <c r="F4467" i="1"/>
  <c r="F3934" i="1"/>
  <c r="F5435" i="1"/>
  <c r="F5371" i="1"/>
  <c r="F5207" i="1"/>
  <c r="F4999" i="1"/>
  <c r="F4777" i="1"/>
  <c r="F4513" i="1"/>
  <c r="F3984" i="1"/>
  <c r="F5311" i="1"/>
  <c r="F5118" i="1"/>
  <c r="F4913" i="1"/>
  <c r="F4593" i="1"/>
  <c r="F4008" i="1"/>
  <c r="F4384" i="1"/>
  <c r="F4167" i="1"/>
  <c r="F3729" i="1"/>
  <c r="F3217" i="1"/>
  <c r="F3063" i="1"/>
  <c r="F4886" i="1"/>
  <c r="F4757" i="1"/>
  <c r="F4671" i="1"/>
  <c r="F4586" i="1"/>
  <c r="F4501" i="1"/>
  <c r="F4295" i="1"/>
  <c r="F4019" i="1"/>
  <c r="F3501" i="1"/>
  <c r="F3145" i="1"/>
  <c r="F4414" i="1"/>
  <c r="F4155" i="1"/>
  <c r="F3785" i="1"/>
  <c r="F3273" i="1"/>
  <c r="F5327" i="1"/>
  <c r="F5158" i="1"/>
  <c r="F4989" i="1"/>
  <c r="F4815" i="1"/>
  <c r="F4722" i="1"/>
  <c r="F4637" i="1"/>
  <c r="F4551" i="1"/>
  <c r="F4450" i="1"/>
  <c r="F4198" i="1"/>
  <c r="F3784" i="1"/>
  <c r="F3272" i="1"/>
  <c r="F3770" i="1"/>
  <c r="F3514" i="1"/>
  <c r="F3258" i="1"/>
  <c r="F2873" i="1"/>
  <c r="F2385" i="1"/>
  <c r="F2111" i="1"/>
  <c r="F2551" i="1"/>
  <c r="F2673" i="1"/>
  <c r="F2795" i="1"/>
  <c r="F4484" i="1"/>
  <c r="F3911" i="1"/>
  <c r="F3655" i="1"/>
  <c r="F3399" i="1"/>
  <c r="F3113" i="1"/>
  <c r="F2398" i="1"/>
  <c r="F4362" i="1"/>
  <c r="F4276" i="1"/>
  <c r="F4191" i="1"/>
  <c r="F4052" i="1"/>
  <c r="F3890" i="1"/>
  <c r="F3634" i="1"/>
  <c r="F3378" i="1"/>
  <c r="F3047" i="1"/>
  <c r="F2664" i="1"/>
  <c r="F5304" i="1"/>
  <c r="F5240" i="1"/>
  <c r="F5176" i="1"/>
  <c r="F5112" i="1"/>
  <c r="F5048" i="1"/>
  <c r="F4984" i="1"/>
  <c r="F4920" i="1"/>
  <c r="F4856" i="1"/>
  <c r="F4792" i="1"/>
  <c r="F4728" i="1"/>
  <c r="F4664" i="1"/>
  <c r="F4600" i="1"/>
  <c r="F4536" i="1"/>
  <c r="F4442" i="1"/>
  <c r="F3816" i="1"/>
  <c r="F3560" i="1"/>
  <c r="F3304" i="1"/>
  <c r="F2941" i="1"/>
  <c r="F3927" i="1"/>
  <c r="F3799" i="1"/>
  <c r="F3671" i="1"/>
  <c r="F3543" i="1"/>
  <c r="F3415" i="1"/>
  <c r="F3287" i="1"/>
  <c r="F3105" i="1"/>
  <c r="F2924" i="1"/>
  <c r="F2389" i="1"/>
  <c r="F1652" i="1"/>
  <c r="F4142" i="1"/>
  <c r="F4078" i="1"/>
  <c r="F4014" i="1"/>
  <c r="F3929" i="1"/>
  <c r="F3801" i="1"/>
  <c r="F3673" i="1"/>
  <c r="F3545" i="1"/>
  <c r="F3417" i="1"/>
  <c r="F3289" i="1"/>
  <c r="F3175" i="1"/>
  <c r="F2927" i="1"/>
  <c r="F2815" i="1"/>
  <c r="F2505" i="1"/>
  <c r="F1911" i="1"/>
  <c r="F3878" i="1"/>
  <c r="F3750" i="1"/>
  <c r="F3622" i="1"/>
  <c r="F3494" i="1"/>
  <c r="F3366" i="1"/>
  <c r="F3238" i="1"/>
  <c r="F3033" i="1"/>
  <c r="F2692" i="1"/>
  <c r="F1910" i="1"/>
  <c r="F4445" i="1"/>
  <c r="F4381" i="1"/>
  <c r="F4317" i="1"/>
  <c r="F4253" i="1"/>
  <c r="F4189" i="1"/>
  <c r="F4125" i="1"/>
  <c r="F4061" i="1"/>
  <c r="F3997" i="1"/>
  <c r="F3900" i="1"/>
  <c r="F3772" i="1"/>
  <c r="F3644" i="1"/>
  <c r="F3516" i="1"/>
  <c r="F3388" i="1"/>
  <c r="F3260" i="1"/>
  <c r="F3116" i="1"/>
  <c r="F2897" i="1"/>
  <c r="F2784" i="1"/>
  <c r="F2338" i="1"/>
  <c r="F2527" i="1"/>
  <c r="F2290" i="1"/>
  <c r="F1990" i="1"/>
  <c r="F2531" i="1"/>
  <c r="F2769" i="1"/>
  <c r="F2920" i="1"/>
  <c r="F1727" i="1"/>
  <c r="F1972" i="1"/>
  <c r="F1676" i="1"/>
  <c r="F2273" i="1"/>
  <c r="F1974" i="1"/>
  <c r="F2798" i="1"/>
  <c r="F1943" i="1"/>
  <c r="F1315" i="1"/>
  <c r="F1236" i="1"/>
  <c r="F1015" i="1"/>
  <c r="F1436" i="1"/>
  <c r="F1829" i="1"/>
  <c r="F1035" i="1"/>
  <c r="F423" i="1"/>
  <c r="F732" i="1"/>
  <c r="F1182" i="1"/>
  <c r="F267" i="1"/>
  <c r="F668" i="1"/>
  <c r="F410" i="1"/>
  <c r="F305" i="1"/>
  <c r="F54" i="1"/>
  <c r="G14832" i="1"/>
  <c r="G13205" i="1"/>
  <c r="G14315" i="1"/>
  <c r="G13389" i="1"/>
  <c r="G13229" i="1"/>
  <c r="G14231" i="1"/>
  <c r="G13939" i="1"/>
  <c r="G14300" i="1"/>
  <c r="G13214" i="1"/>
  <c r="G13122" i="1"/>
  <c r="G13084" i="1"/>
  <c r="G13023" i="1"/>
  <c r="G12793" i="1"/>
  <c r="G13796" i="1"/>
  <c r="G12329" i="1"/>
  <c r="G14385" i="1"/>
  <c r="G13118" i="1"/>
  <c r="G14785" i="1"/>
  <c r="G13821" i="1"/>
  <c r="G12447" i="1"/>
  <c r="G12342" i="1"/>
  <c r="G10213" i="1"/>
  <c r="G9410" i="1"/>
  <c r="G12467" i="1"/>
  <c r="G10883" i="1"/>
  <c r="G12722" i="1"/>
  <c r="G11328" i="1"/>
  <c r="G13903" i="1"/>
  <c r="G12873" i="1"/>
  <c r="G11541" i="1"/>
  <c r="G8610" i="1"/>
  <c r="G10014" i="1"/>
  <c r="G8820" i="1"/>
  <c r="G10494" i="1"/>
  <c r="G12074" i="1"/>
  <c r="G11050" i="1"/>
  <c r="G9584" i="1"/>
  <c r="G12334" i="1"/>
  <c r="G11310" i="1"/>
  <c r="G9578" i="1"/>
  <c r="G5947" i="1"/>
  <c r="G9197" i="1"/>
  <c r="G7011" i="1"/>
  <c r="F8332" i="1"/>
  <c r="F7997" i="1"/>
  <c r="F7725" i="1"/>
  <c r="F9629" i="1"/>
  <c r="F9462" i="1"/>
  <c r="F9284" i="1"/>
  <c r="F9141" i="1"/>
  <c r="F9013" i="1"/>
  <c r="F8885" i="1"/>
  <c r="F8757" i="1"/>
  <c r="F8569" i="1"/>
  <c r="F8240" i="1"/>
  <c r="F7809" i="1"/>
  <c r="F11661" i="1"/>
  <c r="F11597" i="1"/>
  <c r="F11533" i="1"/>
  <c r="F11469" i="1"/>
  <c r="F11405" i="1"/>
  <c r="F11341" i="1"/>
  <c r="F11277" i="1"/>
  <c r="F11213" i="1"/>
  <c r="F11149" i="1"/>
  <c r="F11085" i="1"/>
  <c r="F11021" i="1"/>
  <c r="F10957" i="1"/>
  <c r="F10893" i="1"/>
  <c r="F10829" i="1"/>
  <c r="F10765" i="1"/>
  <c r="F10701" i="1"/>
  <c r="F10637" i="1"/>
  <c r="F10573" i="1"/>
  <c r="F10509" i="1"/>
  <c r="F10445" i="1"/>
  <c r="F10381" i="1"/>
  <c r="F10308" i="1"/>
  <c r="F10222" i="1"/>
  <c r="F10137" i="1"/>
  <c r="F10052" i="1"/>
  <c r="F9966" i="1"/>
  <c r="F9881" i="1"/>
  <c r="F9796" i="1"/>
  <c r="F9710" i="1"/>
  <c r="F9545" i="1"/>
  <c r="F9378" i="1"/>
  <c r="F8660" i="1"/>
  <c r="F8294" i="1"/>
  <c r="F7996" i="1"/>
  <c r="F7723" i="1"/>
  <c r="F8566" i="1"/>
  <c r="F8397" i="1"/>
  <c r="F8228" i="1"/>
  <c r="F8054" i="1"/>
  <c r="F7961" i="1"/>
  <c r="F7812" i="1"/>
  <c r="F7620" i="1"/>
  <c r="F7375" i="1"/>
  <c r="F7082" i="1"/>
  <c r="F6666" i="1"/>
  <c r="F6134" i="1"/>
  <c r="F7301" i="1"/>
  <c r="F7009" i="1"/>
  <c r="F6501" i="1"/>
  <c r="F7530" i="1"/>
  <c r="F7206" i="1"/>
  <c r="F6866" i="1"/>
  <c r="F6354" i="1"/>
  <c r="F7446" i="1"/>
  <c r="F7122" i="1"/>
  <c r="F6701" i="1"/>
  <c r="F6189" i="1"/>
  <c r="F7338" i="1"/>
  <c r="F7028" i="1"/>
  <c r="F6584" i="1"/>
  <c r="F9204" i="1"/>
  <c r="F9140" i="1"/>
  <c r="F9076" i="1"/>
  <c r="F9012" i="1"/>
  <c r="F8948" i="1"/>
  <c r="F8884" i="1"/>
  <c r="F8820" i="1"/>
  <c r="F8756" i="1"/>
  <c r="F8692" i="1"/>
  <c r="F8568" i="1"/>
  <c r="F8394" i="1"/>
  <c r="F8225" i="1"/>
  <c r="F8056" i="1"/>
  <c r="F7790" i="1"/>
  <c r="F7593" i="1"/>
  <c r="F7390" i="1"/>
  <c r="F7108" i="1"/>
  <c r="F6693" i="1"/>
  <c r="F6181" i="1"/>
  <c r="F8494" i="1"/>
  <c r="F8325" i="1"/>
  <c r="F8156" i="1"/>
  <c r="F8010" i="1"/>
  <c r="F7899" i="1"/>
  <c r="F7722" i="1"/>
  <c r="F7525" i="1"/>
  <c r="F7264" i="1"/>
  <c r="F6966" i="1"/>
  <c r="F6455" i="1"/>
  <c r="F10291" i="1"/>
  <c r="F10227" i="1"/>
  <c r="F10163" i="1"/>
  <c r="F10099" i="1"/>
  <c r="F10035" i="1"/>
  <c r="F9971" i="1"/>
  <c r="F9907" i="1"/>
  <c r="F9843" i="1"/>
  <c r="F9779" i="1"/>
  <c r="F9715" i="1"/>
  <c r="F9651" i="1"/>
  <c r="F9587" i="1"/>
  <c r="F9523" i="1"/>
  <c r="F9459" i="1"/>
  <c r="F9395" i="1"/>
  <c r="F9331" i="1"/>
  <c r="F9267" i="1"/>
  <c r="F9203" i="1"/>
  <c r="F9139" i="1"/>
  <c r="F9075" i="1"/>
  <c r="F9011" i="1"/>
  <c r="F8947" i="1"/>
  <c r="F8883" i="1"/>
  <c r="F8819" i="1"/>
  <c r="F8755" i="1"/>
  <c r="F8691" i="1"/>
  <c r="F8562" i="1"/>
  <c r="F8393" i="1"/>
  <c r="F8224" i="1"/>
  <c r="F8050" i="1"/>
  <c r="F7782" i="1"/>
  <c r="F7584" i="1"/>
  <c r="F7357" i="1"/>
  <c r="F7096" i="1"/>
  <c r="F6637" i="1"/>
  <c r="F6070" i="1"/>
  <c r="F7550" i="1"/>
  <c r="F7423" i="1"/>
  <c r="F7287" i="1"/>
  <c r="F7125" i="1"/>
  <c r="F6968" i="1"/>
  <c r="F6733" i="1"/>
  <c r="F6477" i="1"/>
  <c r="F6221" i="1"/>
  <c r="F5965" i="1"/>
  <c r="F5709" i="1"/>
  <c r="F5303" i="1"/>
  <c r="F5999" i="1"/>
  <c r="F5743" i="1"/>
  <c r="F5487" i="1"/>
  <c r="F6117" i="1"/>
  <c r="F5861" i="1"/>
  <c r="F5605" i="1"/>
  <c r="F5106" i="1"/>
  <c r="F5952" i="1"/>
  <c r="F5696" i="1"/>
  <c r="F5437" i="1"/>
  <c r="F5997" i="1"/>
  <c r="F5741" i="1"/>
  <c r="F5485" i="1"/>
  <c r="F7533" i="1"/>
  <c r="F7393" i="1"/>
  <c r="F7247" i="1"/>
  <c r="F7085" i="1"/>
  <c r="F6927" i="1"/>
  <c r="F6671" i="1"/>
  <c r="F6415" i="1"/>
  <c r="F6159" i="1"/>
  <c r="F5903" i="1"/>
  <c r="F5647" i="1"/>
  <c r="F5412" i="1"/>
  <c r="F7903" i="1"/>
  <c r="F7775" i="1"/>
  <c r="F7647" i="1"/>
  <c r="F7519" i="1"/>
  <c r="F7382" i="1"/>
  <c r="F7241" i="1"/>
  <c r="F7105" i="1"/>
  <c r="F6926" i="1"/>
  <c r="F6670" i="1"/>
  <c r="F6414" i="1"/>
  <c r="F6158" i="1"/>
  <c r="F5902" i="1"/>
  <c r="F5646" i="1"/>
  <c r="F5179" i="1"/>
  <c r="F8615" i="1"/>
  <c r="F8551" i="1"/>
  <c r="F8487" i="1"/>
  <c r="F8423" i="1"/>
  <c r="F8359" i="1"/>
  <c r="F8295" i="1"/>
  <c r="F8231" i="1"/>
  <c r="F8167" i="1"/>
  <c r="F8103" i="1"/>
  <c r="F8039" i="1"/>
  <c r="F7975" i="1"/>
  <c r="F7884" i="1"/>
  <c r="F7756" i="1"/>
  <c r="F7628" i="1"/>
  <c r="F7500" i="1"/>
  <c r="F7345" i="1"/>
  <c r="F7204" i="1"/>
  <c r="F7060" i="1"/>
  <c r="F6871" i="1"/>
  <c r="F6615" i="1"/>
  <c r="F6359" i="1"/>
  <c r="F6103" i="1"/>
  <c r="F5847" i="1"/>
  <c r="F5591" i="1"/>
  <c r="F5377" i="1"/>
  <c r="F6868" i="1"/>
  <c r="F6740" i="1"/>
  <c r="F6612" i="1"/>
  <c r="F6484" i="1"/>
  <c r="F6356" i="1"/>
  <c r="F6228" i="1"/>
  <c r="F6100" i="1"/>
  <c r="F5972" i="1"/>
  <c r="F5844" i="1"/>
  <c r="F5716" i="1"/>
  <c r="F5588" i="1"/>
  <c r="F5460" i="1"/>
  <c r="F5037" i="1"/>
  <c r="F4227" i="1"/>
  <c r="F4423" i="1"/>
  <c r="F4617" i="1"/>
  <c r="F4850" i="1"/>
  <c r="F4211" i="1"/>
  <c r="F4246" i="1"/>
  <c r="F6810" i="1"/>
  <c r="F6682" i="1"/>
  <c r="F6554" i="1"/>
  <c r="F6426" i="1"/>
  <c r="F6298" i="1"/>
  <c r="F6170" i="1"/>
  <c r="F6042" i="1"/>
  <c r="F5914" i="1"/>
  <c r="F5786" i="1"/>
  <c r="F5658" i="1"/>
  <c r="F5530" i="1"/>
  <c r="F5420" i="1"/>
  <c r="F5261" i="1"/>
  <c r="F4771" i="1"/>
  <c r="F7020" i="1"/>
  <c r="F6892" i="1"/>
  <c r="F6764" i="1"/>
  <c r="F6636" i="1"/>
  <c r="F6508" i="1"/>
  <c r="F6380" i="1"/>
  <c r="F6252" i="1"/>
  <c r="F6124" i="1"/>
  <c r="F5996" i="1"/>
  <c r="F5868" i="1"/>
  <c r="F5740" i="1"/>
  <c r="F5612" i="1"/>
  <c r="F5484" i="1"/>
  <c r="F5101" i="1"/>
  <c r="F4659" i="1"/>
  <c r="F7417" i="1"/>
  <c r="F7289" i="1"/>
  <c r="F7161" i="1"/>
  <c r="F7033" i="1"/>
  <c r="F6905" i="1"/>
  <c r="F6777" i="1"/>
  <c r="F6649" i="1"/>
  <c r="F6521" i="1"/>
  <c r="F6393" i="1"/>
  <c r="F6265" i="1"/>
  <c r="F6137" i="1"/>
  <c r="F6009" i="1"/>
  <c r="F5881" i="1"/>
  <c r="F5753" i="1"/>
  <c r="F5625" i="1"/>
  <c r="F5497" i="1"/>
  <c r="F5397" i="1"/>
  <c r="F5121" i="1"/>
  <c r="F4590" i="1"/>
  <c r="F5349" i="1"/>
  <c r="F5143" i="1"/>
  <c r="F4937" i="1"/>
  <c r="F4651" i="1"/>
  <c r="F3979" i="1"/>
  <c r="F4080" i="1"/>
  <c r="F4048" i="1"/>
  <c r="F4123" i="1"/>
  <c r="F4120" i="1"/>
  <c r="F5346" i="1"/>
  <c r="F5171" i="1"/>
  <c r="F4951" i="1"/>
  <c r="F4721" i="1"/>
  <c r="F4408" i="1"/>
  <c r="F3861" i="1"/>
  <c r="F5431" i="1"/>
  <c r="F5367" i="1"/>
  <c r="F5202" i="1"/>
  <c r="F4993" i="1"/>
  <c r="F4755" i="1"/>
  <c r="F4502" i="1"/>
  <c r="F3958" i="1"/>
  <c r="F5306" i="1"/>
  <c r="F5113" i="1"/>
  <c r="F4907" i="1"/>
  <c r="F4585" i="1"/>
  <c r="F3922" i="1"/>
  <c r="F4375" i="1"/>
  <c r="F4152" i="1"/>
  <c r="F3692" i="1"/>
  <c r="F3197" i="1"/>
  <c r="F3008" i="1"/>
  <c r="F4877" i="1"/>
  <c r="F4751" i="1"/>
  <c r="F4666" i="1"/>
  <c r="F4581" i="1"/>
  <c r="F4495" i="1"/>
  <c r="F4286" i="1"/>
  <c r="F3983" i="1"/>
  <c r="F3464" i="1"/>
  <c r="F3124" i="1"/>
  <c r="F4376" i="1"/>
  <c r="F4119" i="1"/>
  <c r="F3748" i="1"/>
  <c r="F3236" i="1"/>
  <c r="F5318" i="1"/>
  <c r="F5149" i="1"/>
  <c r="F4975" i="1"/>
  <c r="F4806" i="1"/>
  <c r="F4717" i="1"/>
  <c r="F4631" i="1"/>
  <c r="F4546" i="1"/>
  <c r="F4407" i="1"/>
  <c r="F4176" i="1"/>
  <c r="F3766" i="1"/>
  <c r="F3254" i="1"/>
  <c r="F3761" i="1"/>
  <c r="F3505" i="1"/>
  <c r="F3249" i="1"/>
  <c r="F2859" i="1"/>
  <c r="F2306" i="1"/>
  <c r="F2911" i="1"/>
  <c r="F2514" i="1"/>
  <c r="F2623" i="1"/>
  <c r="F2780" i="1"/>
  <c r="F4475" i="1"/>
  <c r="F3902" i="1"/>
  <c r="F3646" i="1"/>
  <c r="F3390" i="1"/>
  <c r="F3092" i="1"/>
  <c r="F2279" i="1"/>
  <c r="F4356" i="1"/>
  <c r="F4271" i="1"/>
  <c r="F4184" i="1"/>
  <c r="F4044" i="1"/>
  <c r="F3881" i="1"/>
  <c r="F3625" i="1"/>
  <c r="F3369" i="1"/>
  <c r="F3015" i="1"/>
  <c r="F2636" i="1"/>
  <c r="F5300" i="1"/>
  <c r="F5236" i="1"/>
  <c r="F5172" i="1"/>
  <c r="F5108" i="1"/>
  <c r="F5044" i="1"/>
  <c r="F4980" i="1"/>
  <c r="F4916" i="1"/>
  <c r="F4852" i="1"/>
  <c r="F4788" i="1"/>
  <c r="F4724" i="1"/>
  <c r="F4660" i="1"/>
  <c r="F4596" i="1"/>
  <c r="F4532" i="1"/>
  <c r="F4428" i="1"/>
  <c r="F3807" i="1"/>
  <c r="F3551" i="1"/>
  <c r="F3295" i="1"/>
  <c r="F2755" i="1"/>
  <c r="F3918" i="1"/>
  <c r="F3790" i="1"/>
  <c r="F3662" i="1"/>
  <c r="F3534" i="1"/>
  <c r="F3406" i="1"/>
  <c r="F3278" i="1"/>
  <c r="F3100" i="1"/>
  <c r="F2775" i="1"/>
  <c r="F2371" i="1"/>
  <c r="F1879" i="1"/>
  <c r="F4138" i="1"/>
  <c r="F4074" i="1"/>
  <c r="F4010" i="1"/>
  <c r="F3924" i="1"/>
  <c r="F3796" i="1"/>
  <c r="F3668" i="1"/>
  <c r="F3540" i="1"/>
  <c r="F3412" i="1"/>
  <c r="F3284" i="1"/>
  <c r="F3133" i="1"/>
  <c r="F2921" i="1"/>
  <c r="F2807" i="1"/>
  <c r="F2487" i="1"/>
  <c r="F1858" i="1"/>
  <c r="F3869" i="1"/>
  <c r="F3741" i="1"/>
  <c r="F3613" i="1"/>
  <c r="F3485" i="1"/>
  <c r="F3357" i="1"/>
  <c r="F3229" i="1"/>
  <c r="F3028" i="1"/>
  <c r="F2656" i="1"/>
  <c r="F1791" i="1"/>
  <c r="F4441" i="1"/>
  <c r="F4377" i="1"/>
  <c r="F4313" i="1"/>
  <c r="F4249" i="1"/>
  <c r="F4185" i="1"/>
  <c r="F4121" i="1"/>
  <c r="F4057" i="1"/>
  <c r="F3993" i="1"/>
  <c r="F3891" i="1"/>
  <c r="F3763" i="1"/>
  <c r="F3635" i="1"/>
  <c r="F3507" i="1"/>
  <c r="F3379" i="1"/>
  <c r="F3251" i="1"/>
  <c r="F3111" i="1"/>
  <c r="F2891" i="1"/>
  <c r="F2748" i="1"/>
  <c r="F2317" i="1"/>
  <c r="F2490" i="1"/>
  <c r="F2280" i="1"/>
  <c r="F1966" i="1"/>
  <c r="F2494" i="1"/>
  <c r="F2717" i="1"/>
  <c r="F2899" i="1"/>
  <c r="F1456" i="1"/>
  <c r="F1942" i="1"/>
  <c r="F1475" i="1"/>
  <c r="F2268" i="1"/>
  <c r="F1962" i="1"/>
  <c r="F2794" i="1"/>
  <c r="F1936" i="1"/>
  <c r="F1274" i="1"/>
  <c r="F1227" i="1"/>
  <c r="F1006" i="1"/>
  <c r="F1427" i="1"/>
  <c r="F1825" i="1"/>
  <c r="F1026" i="1"/>
  <c r="F340" i="1"/>
  <c r="F727" i="1"/>
  <c r="F1173" i="1"/>
  <c r="F255" i="1"/>
  <c r="F663" i="1"/>
  <c r="F405" i="1"/>
  <c r="F299" i="1"/>
  <c r="F49" i="1"/>
  <c r="G14814" i="1"/>
  <c r="G13180" i="1"/>
  <c r="G14283" i="1"/>
  <c r="G13379" i="1"/>
  <c r="G13219" i="1"/>
  <c r="G14222" i="1"/>
  <c r="G13918" i="1"/>
  <c r="G14296" i="1"/>
  <c r="G13196" i="1"/>
  <c r="G13104" i="1"/>
  <c r="G13078" i="1"/>
  <c r="G13017" i="1"/>
  <c r="G12767" i="1"/>
  <c r="G13791" i="1"/>
  <c r="G12305" i="1"/>
  <c r="G14377" i="1"/>
  <c r="G13100" i="1"/>
  <c r="G14777" i="1"/>
  <c r="G13810" i="1"/>
  <c r="G12437" i="1"/>
  <c r="G12324" i="1"/>
  <c r="G10159" i="1"/>
  <c r="G9388" i="1"/>
  <c r="G12451" i="1"/>
  <c r="G10873" i="1"/>
  <c r="G12717" i="1"/>
  <c r="G11291" i="1"/>
  <c r="G13898" i="1"/>
  <c r="G12868" i="1"/>
  <c r="G11533" i="1"/>
  <c r="G8555" i="1"/>
  <c r="G9968" i="1"/>
  <c r="G8802" i="1"/>
  <c r="G10487" i="1"/>
  <c r="G12065" i="1"/>
  <c r="G11041" i="1"/>
  <c r="G9574" i="1"/>
  <c r="G12325" i="1"/>
  <c r="G11301" i="1"/>
  <c r="G9572" i="1"/>
  <c r="G5926" i="1"/>
  <c r="G9192" i="1"/>
  <c r="G7002" i="1"/>
  <c r="F8652" i="1"/>
  <c r="F8286" i="1"/>
  <c r="F7986" i="1"/>
  <c r="F7700" i="1"/>
  <c r="F9622" i="1"/>
  <c r="F9444" i="1"/>
  <c r="F9277" i="1"/>
  <c r="F9133" i="1"/>
  <c r="F9005" i="1"/>
  <c r="F8877" i="1"/>
  <c r="F8749" i="1"/>
  <c r="F8560" i="1"/>
  <c r="F8194" i="1"/>
  <c r="F7785" i="1"/>
  <c r="F11657" i="1"/>
  <c r="F11593" i="1"/>
  <c r="F11529" i="1"/>
  <c r="F11465" i="1"/>
  <c r="F11401" i="1"/>
  <c r="F11337" i="1"/>
  <c r="F11273" i="1"/>
  <c r="F11209" i="1"/>
  <c r="F11145" i="1"/>
  <c r="F11081" i="1"/>
  <c r="F11017" i="1"/>
  <c r="F10953" i="1"/>
  <c r="F10889" i="1"/>
  <c r="F10825" i="1"/>
  <c r="F10761" i="1"/>
  <c r="F10697" i="1"/>
  <c r="F10633" i="1"/>
  <c r="F10569" i="1"/>
  <c r="F10505" i="1"/>
  <c r="F10441" i="1"/>
  <c r="F10377" i="1"/>
  <c r="F10302" i="1"/>
  <c r="F10217" i="1"/>
  <c r="F10132" i="1"/>
  <c r="F10046" i="1"/>
  <c r="F9961" i="1"/>
  <c r="F9876" i="1"/>
  <c r="F9790" i="1"/>
  <c r="F9705" i="1"/>
  <c r="F9538" i="1"/>
  <c r="F9360" i="1"/>
  <c r="F8614" i="1"/>
  <c r="F8285" i="1"/>
  <c r="F7985" i="1"/>
  <c r="F7699" i="1"/>
  <c r="F8557" i="1"/>
  <c r="F8388" i="1"/>
  <c r="F8214" i="1"/>
  <c r="F8045" i="1"/>
  <c r="F7956" i="1"/>
  <c r="F7805" i="1"/>
  <c r="F7612" i="1"/>
  <c r="F7354" i="1"/>
  <c r="F7059" i="1"/>
  <c r="F6648" i="1"/>
  <c r="F7575" i="1"/>
  <c r="F7291" i="1"/>
  <c r="F6985" i="1"/>
  <c r="F6483" i="1"/>
  <c r="F7493" i="1"/>
  <c r="F7196" i="1"/>
  <c r="F6848" i="1"/>
  <c r="F6336" i="1"/>
  <c r="F7436" i="1"/>
  <c r="F7112" i="1"/>
  <c r="F6683" i="1"/>
  <c r="F6171" i="1"/>
  <c r="F7328" i="1"/>
  <c r="F7004" i="1"/>
  <c r="F6529" i="1"/>
  <c r="F9200" i="1"/>
  <c r="F9136" i="1"/>
  <c r="F9072" i="1"/>
  <c r="F9008" i="1"/>
  <c r="F8944" i="1"/>
  <c r="F8880" i="1"/>
  <c r="F8816" i="1"/>
  <c r="F8752" i="1"/>
  <c r="F8688" i="1"/>
  <c r="F8554" i="1"/>
  <c r="F8385" i="1"/>
  <c r="F8216" i="1"/>
  <c r="F8042" i="1"/>
  <c r="F7783" i="1"/>
  <c r="F7585" i="1"/>
  <c r="F7369" i="1"/>
  <c r="F7087" i="1"/>
  <c r="F6675" i="1"/>
  <c r="F8654" i="1"/>
  <c r="F8485" i="1"/>
  <c r="F8316" i="1"/>
  <c r="F8142" i="1"/>
  <c r="F8005" i="1"/>
  <c r="F7892" i="1"/>
  <c r="F7716" i="1"/>
  <c r="F7516" i="1"/>
  <c r="F7243" i="1"/>
  <c r="F6941" i="1"/>
  <c r="F6418" i="1"/>
  <c r="F10287" i="1"/>
  <c r="F10223" i="1"/>
  <c r="F10159" i="1"/>
  <c r="F10095" i="1"/>
  <c r="F10031" i="1"/>
  <c r="F9967" i="1"/>
  <c r="F9903" i="1"/>
  <c r="F9839" i="1"/>
  <c r="F9775" i="1"/>
  <c r="F9711" i="1"/>
  <c r="F9647" i="1"/>
  <c r="F9583" i="1"/>
  <c r="F9519" i="1"/>
  <c r="F9455" i="1"/>
  <c r="F9391" i="1"/>
  <c r="F9327" i="1"/>
  <c r="F9263" i="1"/>
  <c r="F9199" i="1"/>
  <c r="F9135" i="1"/>
  <c r="F9071" i="1"/>
  <c r="F9007" i="1"/>
  <c r="F8943" i="1"/>
  <c r="F8879" i="1"/>
  <c r="F8815" i="1"/>
  <c r="F8751" i="1"/>
  <c r="F8687" i="1"/>
  <c r="F8553" i="1"/>
  <c r="F8384" i="1"/>
  <c r="F8210" i="1"/>
  <c r="F8041" i="1"/>
  <c r="F7776" i="1"/>
  <c r="F7576" i="1"/>
  <c r="F7347" i="1"/>
  <c r="F7063" i="1"/>
  <c r="F6619" i="1"/>
  <c r="F7673" i="1"/>
  <c r="F7545" i="1"/>
  <c r="F7412" i="1"/>
  <c r="F7250" i="1"/>
  <c r="F7114" i="1"/>
  <c r="F6962" i="1"/>
  <c r="F6724" i="1"/>
  <c r="F6468" i="1"/>
  <c r="F6212" i="1"/>
  <c r="F5956" i="1"/>
  <c r="F5700" i="1"/>
  <c r="F5241" i="1"/>
  <c r="F5962" i="1"/>
  <c r="F5706" i="1"/>
  <c r="F5449" i="1"/>
  <c r="F6108" i="1"/>
  <c r="F5852" i="1"/>
  <c r="F5596" i="1"/>
  <c r="F5043" i="1"/>
  <c r="F5943" i="1"/>
  <c r="F5687" i="1"/>
  <c r="F5426" i="1"/>
  <c r="F5988" i="1"/>
  <c r="F5732" i="1"/>
  <c r="F5476" i="1"/>
  <c r="F7524" i="1"/>
  <c r="F7388" i="1"/>
  <c r="F7226" i="1"/>
  <c r="F7080" i="1"/>
  <c r="F6890" i="1"/>
  <c r="F6634" i="1"/>
  <c r="F6378" i="1"/>
  <c r="F6122" i="1"/>
  <c r="F5866" i="1"/>
  <c r="F5610" i="1"/>
  <c r="F5401" i="1"/>
  <c r="F7894" i="1"/>
  <c r="F7766" i="1"/>
  <c r="F7638" i="1"/>
  <c r="F7510" i="1"/>
  <c r="F7377" i="1"/>
  <c r="F7236" i="1"/>
  <c r="F7100" i="1"/>
  <c r="F6917" i="1"/>
  <c r="F6661" i="1"/>
  <c r="F6405" i="1"/>
  <c r="F6149" i="1"/>
  <c r="F5893" i="1"/>
  <c r="F5637" i="1"/>
  <c r="F5054" i="1"/>
  <c r="F8611" i="1"/>
  <c r="F8547" i="1"/>
  <c r="F8483" i="1"/>
  <c r="F8419" i="1"/>
  <c r="F8355" i="1"/>
  <c r="F8291" i="1"/>
  <c r="F8227" i="1"/>
  <c r="F8163" i="1"/>
  <c r="F8099" i="1"/>
  <c r="F8035" i="1"/>
  <c r="F7971" i="1"/>
  <c r="F7875" i="1"/>
  <c r="F7747" i="1"/>
  <c r="F7619" i="1"/>
  <c r="F7491" i="1"/>
  <c r="F7340" i="1"/>
  <c r="F7199" i="1"/>
  <c r="F7054" i="1"/>
  <c r="F6834" i="1"/>
  <c r="F6578" i="1"/>
  <c r="F6322" i="1"/>
  <c r="F6066" i="1"/>
  <c r="F5810" i="1"/>
  <c r="F5554" i="1"/>
  <c r="F5361" i="1"/>
  <c r="F6859" i="1"/>
  <c r="F6731" i="1"/>
  <c r="F6603" i="1"/>
  <c r="F6475" i="1"/>
  <c r="F6347" i="1"/>
  <c r="F6219" i="1"/>
  <c r="F6091" i="1"/>
  <c r="F5963" i="1"/>
  <c r="F5835" i="1"/>
  <c r="F5707" i="1"/>
  <c r="F5579" i="1"/>
  <c r="F5338" i="1"/>
  <c r="F5026" i="1"/>
  <c r="F5013" i="1"/>
  <c r="F4363" i="1"/>
  <c r="F4582" i="1"/>
  <c r="F4801" i="1"/>
  <c r="F4971" i="1"/>
  <c r="F6929" i="1"/>
  <c r="F6801" i="1"/>
  <c r="F6673" i="1"/>
  <c r="F6545" i="1"/>
  <c r="F6417" i="1"/>
  <c r="F6289" i="1"/>
  <c r="F6161" i="1"/>
  <c r="F6033" i="1"/>
  <c r="F5905" i="1"/>
  <c r="F5777" i="1"/>
  <c r="F5649" i="1"/>
  <c r="F5521" i="1"/>
  <c r="F5414" i="1"/>
  <c r="F5219" i="1"/>
  <c r="F4729" i="1"/>
  <c r="F7011" i="1"/>
  <c r="F6883" i="1"/>
  <c r="F6755" i="1"/>
  <c r="F6627" i="1"/>
  <c r="F6499" i="1"/>
  <c r="F6371" i="1"/>
  <c r="F6243" i="1"/>
  <c r="F6115" i="1"/>
  <c r="F5987" i="1"/>
  <c r="F5859" i="1"/>
  <c r="F5731" i="1"/>
  <c r="F5603" i="1"/>
  <c r="F5475" i="1"/>
  <c r="F5059" i="1"/>
  <c r="F4625" i="1"/>
  <c r="F7408" i="1"/>
  <c r="F7280" i="1"/>
  <c r="F7152" i="1"/>
  <c r="F7024" i="1"/>
  <c r="F6896" i="1"/>
  <c r="F6768" i="1"/>
  <c r="F6640" i="1"/>
  <c r="F6512" i="1"/>
  <c r="F6384" i="1"/>
  <c r="F6256" i="1"/>
  <c r="F6128" i="1"/>
  <c r="F6000" i="1"/>
  <c r="F5872" i="1"/>
  <c r="F5744" i="1"/>
  <c r="F5616" i="1"/>
  <c r="F5488" i="1"/>
  <c r="F5392" i="1"/>
  <c r="F5090" i="1"/>
  <c r="F4571" i="1"/>
  <c r="F5340" i="1"/>
  <c r="F5138" i="1"/>
  <c r="F4906" i="1"/>
  <c r="F4643" i="1"/>
  <c r="F3952" i="1"/>
  <c r="F4031" i="1"/>
  <c r="F3999" i="1"/>
  <c r="F4072" i="1"/>
  <c r="F4071" i="1"/>
  <c r="F5337" i="1"/>
  <c r="F5166" i="1"/>
  <c r="F4945" i="1"/>
  <c r="F4689" i="1"/>
  <c r="F4394" i="1"/>
  <c r="F3824" i="1"/>
  <c r="F5427" i="1"/>
  <c r="F5363" i="1"/>
  <c r="F5197" i="1"/>
  <c r="F4987" i="1"/>
  <c r="F4734" i="1"/>
  <c r="F4491" i="1"/>
  <c r="F3925" i="1"/>
  <c r="F5301" i="1"/>
  <c r="F5107" i="1"/>
  <c r="F4901" i="1"/>
  <c r="F4448" i="1"/>
  <c r="F3849" i="1"/>
  <c r="F4366" i="1"/>
  <c r="F4139" i="1"/>
  <c r="F3674" i="1"/>
  <c r="F3176" i="1"/>
  <c r="F2959" i="1"/>
  <c r="F4863" i="1"/>
  <c r="F4746" i="1"/>
  <c r="F4661" i="1"/>
  <c r="F4575" i="1"/>
  <c r="F4490" i="1"/>
  <c r="F4262" i="1"/>
  <c r="F3953" i="1"/>
  <c r="F3446" i="1"/>
  <c r="F3103" i="1"/>
  <c r="F4352" i="1"/>
  <c r="F4104" i="1"/>
  <c r="F3730" i="1"/>
  <c r="F3218" i="1"/>
  <c r="F5309" i="1"/>
  <c r="F5135" i="1"/>
  <c r="F4966" i="1"/>
  <c r="F4797" i="1"/>
  <c r="F4711" i="1"/>
  <c r="F4626" i="1"/>
  <c r="F4541" i="1"/>
  <c r="F4399" i="1"/>
  <c r="F4143" i="1"/>
  <c r="F3711" i="1"/>
  <c r="F3177" i="1"/>
  <c r="F3724" i="1"/>
  <c r="F3468" i="1"/>
  <c r="F3212" i="1"/>
  <c r="F2844" i="1"/>
  <c r="F2264" i="1"/>
  <c r="F2896" i="1"/>
  <c r="F2441" i="1"/>
  <c r="F2587" i="1"/>
  <c r="F2764" i="1"/>
  <c r="F4466" i="1"/>
  <c r="F3893" i="1"/>
  <c r="F3637" i="1"/>
  <c r="F3381" i="1"/>
  <c r="F3071" i="1"/>
  <c r="F4488" i="1"/>
  <c r="F4351" i="1"/>
  <c r="F4266" i="1"/>
  <c r="F4164" i="1"/>
  <c r="F4036" i="1"/>
  <c r="F3844" i="1"/>
  <c r="F3588" i="1"/>
  <c r="F3332" i="1"/>
  <c r="F2991" i="1"/>
  <c r="F2569" i="1"/>
  <c r="F5296" i="1"/>
  <c r="F5232" i="1"/>
  <c r="F5168" i="1"/>
  <c r="F5104" i="1"/>
  <c r="F5040" i="1"/>
  <c r="F4976" i="1"/>
  <c r="F4912" i="1"/>
  <c r="F4848" i="1"/>
  <c r="F4784" i="1"/>
  <c r="F4720" i="1"/>
  <c r="F4656" i="1"/>
  <c r="F4592" i="1"/>
  <c r="F4528" i="1"/>
  <c r="F4419" i="1"/>
  <c r="F3798" i="1"/>
  <c r="F3542" i="1"/>
  <c r="F3286" i="1"/>
  <c r="F2735" i="1"/>
  <c r="F3909" i="1"/>
  <c r="F3781" i="1"/>
  <c r="F3653" i="1"/>
  <c r="F3525" i="1"/>
  <c r="F3397" i="1"/>
  <c r="F3269" i="1"/>
  <c r="F3095" i="1"/>
  <c r="F2767" i="1"/>
  <c r="F2311" i="1"/>
  <c r="F1820" i="1"/>
  <c r="F4134" i="1"/>
  <c r="F4070" i="1"/>
  <c r="F4006" i="1"/>
  <c r="F3915" i="1"/>
  <c r="F3787" i="1"/>
  <c r="F3659" i="1"/>
  <c r="F3531" i="1"/>
  <c r="F3403" i="1"/>
  <c r="F3275" i="1"/>
  <c r="F3128" i="1"/>
  <c r="F2913" i="1"/>
  <c r="F2800" i="1"/>
  <c r="F2450" i="1"/>
  <c r="F1704" i="1"/>
  <c r="F3864" i="1"/>
  <c r="F3736" i="1"/>
  <c r="F3608" i="1"/>
  <c r="F3480" i="1"/>
  <c r="F3352" i="1"/>
  <c r="F3224" i="1"/>
  <c r="F3023" i="1"/>
  <c r="F2641" i="1"/>
  <c r="F1703" i="1"/>
  <c r="F4437" i="1"/>
  <c r="F4373" i="1"/>
  <c r="F4309" i="1"/>
  <c r="F4245" i="1"/>
  <c r="F4181" i="1"/>
  <c r="F4117" i="1"/>
  <c r="F4053" i="1"/>
  <c r="F3989" i="1"/>
  <c r="F3882" i="1"/>
  <c r="F3754" i="1"/>
  <c r="F3626" i="1"/>
  <c r="F3498" i="1"/>
  <c r="F3370" i="1"/>
  <c r="F3242" i="1"/>
  <c r="F3069" i="1"/>
  <c r="F2884" i="1"/>
  <c r="F2728" i="1"/>
  <c r="F2296" i="1"/>
  <c r="F2481" i="1"/>
  <c r="F2269" i="1"/>
  <c r="F1803" i="1"/>
  <c r="F2485" i="1"/>
  <c r="F2669" i="1"/>
  <c r="F2867" i="1"/>
  <c r="F2588" i="1"/>
  <c r="F1812" i="1"/>
  <c r="F2183" i="1"/>
  <c r="F2188" i="1"/>
  <c r="F1634" i="1"/>
  <c r="F2734" i="1"/>
  <c r="F1755" i="1"/>
  <c r="F1451" i="1"/>
  <c r="F1572" i="1"/>
  <c r="F1738" i="1"/>
  <c r="F1267" i="1"/>
  <c r="F1765" i="1"/>
  <c r="F907" i="1"/>
  <c r="F697" i="1"/>
  <c r="F166" i="1"/>
  <c r="F1054" i="1"/>
  <c r="F560" i="1"/>
  <c r="F497" i="1"/>
  <c r="F223" i="1"/>
  <c r="F162" i="1"/>
  <c r="F107" i="1"/>
  <c r="G14654" i="1"/>
  <c r="G13746" i="1"/>
  <c r="G14198" i="1"/>
  <c r="G14851" i="1"/>
  <c r="G14470" i="1"/>
  <c r="G13971" i="1"/>
  <c r="G13636" i="1"/>
  <c r="G14236" i="1"/>
  <c r="G13037" i="1"/>
  <c r="G12945" i="1"/>
  <c r="G12908" i="1"/>
  <c r="G12861" i="1"/>
  <c r="G12483" i="1"/>
  <c r="G13634" i="1"/>
  <c r="G11976" i="1"/>
  <c r="G14265" i="1"/>
  <c r="G12941" i="1"/>
  <c r="G14665" i="1"/>
  <c r="G13675" i="1"/>
  <c r="G12169" i="1"/>
  <c r="G12166" i="1"/>
  <c r="G9303" i="1"/>
  <c r="G10714" i="1"/>
  <c r="G12314" i="1"/>
  <c r="G10713" i="1"/>
  <c r="G12576" i="1"/>
  <c r="G11072" i="1"/>
  <c r="G13775" i="1"/>
  <c r="G12711" i="1"/>
  <c r="G11281" i="1"/>
  <c r="G11428" i="1"/>
  <c r="G9648" i="1"/>
  <c r="G11764" i="1"/>
  <c r="G10338" i="1"/>
  <c r="G11946" i="1"/>
  <c r="G10925" i="1"/>
  <c r="G9414" i="1"/>
  <c r="G12206" i="1"/>
  <c r="G11182" i="1"/>
  <c r="G8258" i="1"/>
  <c r="G5575" i="1"/>
  <c r="G8145" i="1"/>
  <c r="G5803" i="1"/>
  <c r="F10446" i="1"/>
  <c r="F10382" i="1"/>
  <c r="F10304" i="1"/>
  <c r="F10218" i="1"/>
  <c r="F10133" i="1"/>
  <c r="F10048" i="1"/>
  <c r="F9962" i="1"/>
  <c r="F9877" i="1"/>
  <c r="F9792" i="1"/>
  <c r="F9706" i="1"/>
  <c r="F9528" i="1"/>
  <c r="F9361" i="1"/>
  <c r="F8606" i="1"/>
  <c r="F8277" i="1"/>
  <c r="F7976" i="1"/>
  <c r="F7676" i="1"/>
  <c r="F9604" i="1"/>
  <c r="F9437" i="1"/>
  <c r="F9270" i="1"/>
  <c r="F9125" i="1"/>
  <c r="F8997" i="1"/>
  <c r="F8869" i="1"/>
  <c r="F8741" i="1"/>
  <c r="F8514" i="1"/>
  <c r="F8185" i="1"/>
  <c r="F7760" i="1"/>
  <c r="F11653" i="1"/>
  <c r="F11589" i="1"/>
  <c r="F11525" i="1"/>
  <c r="F11461" i="1"/>
  <c r="F11397" i="1"/>
  <c r="F11333" i="1"/>
  <c r="F11269" i="1"/>
  <c r="F11205" i="1"/>
  <c r="F11141" i="1"/>
  <c r="F11077" i="1"/>
  <c r="F11013" i="1"/>
  <c r="F10949" i="1"/>
  <c r="F10885" i="1"/>
  <c r="F10821" i="1"/>
  <c r="F10757" i="1"/>
  <c r="F10693" i="1"/>
  <c r="F10629" i="1"/>
  <c r="F10565" i="1"/>
  <c r="F10501" i="1"/>
  <c r="F10437" i="1"/>
  <c r="F10373" i="1"/>
  <c r="F10297" i="1"/>
  <c r="F10212" i="1"/>
  <c r="F10126" i="1"/>
  <c r="F10041" i="1"/>
  <c r="F9956" i="1"/>
  <c r="F9870" i="1"/>
  <c r="F9785" i="1"/>
  <c r="F9698" i="1"/>
  <c r="F9520" i="1"/>
  <c r="F9353" i="1"/>
  <c r="F8605" i="1"/>
  <c r="F8276" i="1"/>
  <c r="F7974" i="1"/>
  <c r="F7675" i="1"/>
  <c r="F8548" i="1"/>
  <c r="F8374" i="1"/>
  <c r="F8205" i="1"/>
  <c r="F8036" i="1"/>
  <c r="F7950" i="1"/>
  <c r="F7794" i="1"/>
  <c r="F7604" i="1"/>
  <c r="F7333" i="1"/>
  <c r="F7046" i="1"/>
  <c r="F6593" i="1"/>
  <c r="F7567" i="1"/>
  <c r="F7249" i="1"/>
  <c r="F6961" i="1"/>
  <c r="F6446" i="1"/>
  <c r="F7484" i="1"/>
  <c r="F7154" i="1"/>
  <c r="F6793" i="1"/>
  <c r="F6281" i="1"/>
  <c r="F7425" i="1"/>
  <c r="F7101" i="1"/>
  <c r="F6646" i="1"/>
  <c r="F6107" i="1"/>
  <c r="F7307" i="1"/>
  <c r="F6980" i="1"/>
  <c r="F6511" i="1"/>
  <c r="F9196" i="1"/>
  <c r="F9132" i="1"/>
  <c r="F9068" i="1"/>
  <c r="F9004" i="1"/>
  <c r="F8940" i="1"/>
  <c r="F8876" i="1"/>
  <c r="F8812" i="1"/>
  <c r="F8748" i="1"/>
  <c r="F8684" i="1"/>
  <c r="F8545" i="1"/>
  <c r="F8376" i="1"/>
  <c r="F8202" i="1"/>
  <c r="F7936" i="1"/>
  <c r="F7777" i="1"/>
  <c r="F7579" i="1"/>
  <c r="F7359" i="1"/>
  <c r="F7064" i="1"/>
  <c r="F6638" i="1"/>
  <c r="F8645" i="1"/>
  <c r="F8476" i="1"/>
  <c r="F8302" i="1"/>
  <c r="F8133" i="1"/>
  <c r="F8000" i="1"/>
  <c r="F7874" i="1"/>
  <c r="F7709" i="1"/>
  <c r="F7507" i="1"/>
  <c r="F7222" i="1"/>
  <c r="F6912" i="1"/>
  <c r="F6400" i="1"/>
  <c r="F10283" i="1"/>
  <c r="F10219" i="1"/>
  <c r="F10155" i="1"/>
  <c r="F10091" i="1"/>
  <c r="F10027" i="1"/>
  <c r="F9963" i="1"/>
  <c r="F9899" i="1"/>
  <c r="F9835" i="1"/>
  <c r="F9771" i="1"/>
  <c r="F9707" i="1"/>
  <c r="F9643" i="1"/>
  <c r="F9579" i="1"/>
  <c r="F9515" i="1"/>
  <c r="F9451" i="1"/>
  <c r="F9387" i="1"/>
  <c r="F9323" i="1"/>
  <c r="F9259" i="1"/>
  <c r="F9195" i="1"/>
  <c r="F9131" i="1"/>
  <c r="F9067" i="1"/>
  <c r="F9003" i="1"/>
  <c r="F8939" i="1"/>
  <c r="F8875" i="1"/>
  <c r="F8811" i="1"/>
  <c r="F8747" i="1"/>
  <c r="F8683" i="1"/>
  <c r="F8544" i="1"/>
  <c r="F8370" i="1"/>
  <c r="F8201" i="1"/>
  <c r="F7934" i="1"/>
  <c r="F7769" i="1"/>
  <c r="F7570" i="1"/>
  <c r="F7326" i="1"/>
  <c r="F7050" i="1"/>
  <c r="F6582" i="1"/>
  <c r="F7664" i="1"/>
  <c r="F7536" i="1"/>
  <c r="F7407" i="1"/>
  <c r="F7245" i="1"/>
  <c r="F7109" i="1"/>
  <c r="F6944" i="1"/>
  <c r="F6715" i="1"/>
  <c r="F6459" i="1"/>
  <c r="F6203" i="1"/>
  <c r="F5947" i="1"/>
  <c r="F5691" i="1"/>
  <c r="F5178" i="1"/>
  <c r="F5953" i="1"/>
  <c r="F5697" i="1"/>
  <c r="F5438" i="1"/>
  <c r="F6099" i="1"/>
  <c r="F5843" i="1"/>
  <c r="F5587" i="1"/>
  <c r="F6162" i="1"/>
  <c r="F5906" i="1"/>
  <c r="F5650" i="1"/>
  <c r="F5416" i="1"/>
  <c r="F5979" i="1"/>
  <c r="F5723" i="1"/>
  <c r="F5467" i="1"/>
  <c r="F7515" i="1"/>
  <c r="F7383" i="1"/>
  <c r="F7221" i="1"/>
  <c r="F7068" i="1"/>
  <c r="F6881" i="1"/>
  <c r="F6625" i="1"/>
  <c r="F6369" i="1"/>
  <c r="F6113" i="1"/>
  <c r="F5857" i="1"/>
  <c r="F5601" i="1"/>
  <c r="F5390" i="1"/>
  <c r="F7889" i="1"/>
  <c r="F7761" i="1"/>
  <c r="F7633" i="1"/>
  <c r="F7505" i="1"/>
  <c r="F7372" i="1"/>
  <c r="F7231" i="1"/>
  <c r="F7095" i="1"/>
  <c r="F6908" i="1"/>
  <c r="F6652" i="1"/>
  <c r="F6396" i="1"/>
  <c r="F6140" i="1"/>
  <c r="F5884" i="1"/>
  <c r="F5628" i="1"/>
  <c r="F5033" i="1"/>
  <c r="F8607" i="1"/>
  <c r="F8543" i="1"/>
  <c r="F8479" i="1"/>
  <c r="F8415" i="1"/>
  <c r="F8351" i="1"/>
  <c r="F8287" i="1"/>
  <c r="F8223" i="1"/>
  <c r="F8159" i="1"/>
  <c r="F8095" i="1"/>
  <c r="F8031" i="1"/>
  <c r="F7967" i="1"/>
  <c r="F7866" i="1"/>
  <c r="F7738" i="1"/>
  <c r="F7610" i="1"/>
  <c r="F7482" i="1"/>
  <c r="F7334" i="1"/>
  <c r="F7188" i="1"/>
  <c r="F7036" i="1"/>
  <c r="F6825" i="1"/>
  <c r="F6569" i="1"/>
  <c r="F6313" i="1"/>
  <c r="F6057" i="1"/>
  <c r="F5801" i="1"/>
  <c r="F5545" i="1"/>
  <c r="F5325" i="1"/>
  <c r="F6854" i="1"/>
  <c r="F6726" i="1"/>
  <c r="F6598" i="1"/>
  <c r="F6470" i="1"/>
  <c r="F6342" i="1"/>
  <c r="F6214" i="1"/>
  <c r="F6086" i="1"/>
  <c r="F5958" i="1"/>
  <c r="F5830" i="1"/>
  <c r="F5702" i="1"/>
  <c r="F5574" i="1"/>
  <c r="F5329" i="1"/>
  <c r="F4977" i="1"/>
  <c r="F5001" i="1"/>
  <c r="F4259" i="1"/>
  <c r="F4563" i="1"/>
  <c r="F4787" i="1"/>
  <c r="F4922" i="1"/>
  <c r="F6920" i="1"/>
  <c r="F6792" i="1"/>
  <c r="F6664" i="1"/>
  <c r="F6536" i="1"/>
  <c r="F6408" i="1"/>
  <c r="F6280" i="1"/>
  <c r="F6152" i="1"/>
  <c r="F6024" i="1"/>
  <c r="F5896" i="1"/>
  <c r="F5768" i="1"/>
  <c r="F5640" i="1"/>
  <c r="F5512" i="1"/>
  <c r="F5409" i="1"/>
  <c r="F5209" i="1"/>
  <c r="F4665" i="1"/>
  <c r="F7006" i="1"/>
  <c r="F6878" i="1"/>
  <c r="F6750" i="1"/>
  <c r="F6622" i="1"/>
  <c r="F6494" i="1"/>
  <c r="F6366" i="1"/>
  <c r="F6238" i="1"/>
  <c r="F6110" i="1"/>
  <c r="F5982" i="1"/>
  <c r="F5854" i="1"/>
  <c r="F5726" i="1"/>
  <c r="F5598" i="1"/>
  <c r="F5470" i="1"/>
  <c r="F5049" i="1"/>
  <c r="F4574" i="1"/>
  <c r="F7399" i="1"/>
  <c r="F7271" i="1"/>
  <c r="F7143" i="1"/>
  <c r="F7015" i="1"/>
  <c r="F6887" i="1"/>
  <c r="F6759" i="1"/>
  <c r="F6631" i="1"/>
  <c r="F6503" i="1"/>
  <c r="F6375" i="1"/>
  <c r="F6247" i="1"/>
  <c r="F6119" i="1"/>
  <c r="F5991" i="1"/>
  <c r="F5863" i="1"/>
  <c r="F5735" i="1"/>
  <c r="F5607" i="1"/>
  <c r="F5479" i="1"/>
  <c r="F5386" i="1"/>
  <c r="F5079" i="1"/>
  <c r="F4550" i="1"/>
  <c r="F5326" i="1"/>
  <c r="F5133" i="1"/>
  <c r="F4894" i="1"/>
  <c r="F4609" i="1"/>
  <c r="F3921" i="1"/>
  <c r="F4003" i="1"/>
  <c r="F3971" i="1"/>
  <c r="F4023" i="1"/>
  <c r="F4043" i="1"/>
  <c r="F5328" i="1"/>
  <c r="F5161" i="1"/>
  <c r="F4939" i="1"/>
  <c r="F4681" i="1"/>
  <c r="F4379" i="1"/>
  <c r="F3751" i="1"/>
  <c r="F5423" i="1"/>
  <c r="F5359" i="1"/>
  <c r="F5155" i="1"/>
  <c r="F4981" i="1"/>
  <c r="F4713" i="1"/>
  <c r="F4463" i="1"/>
  <c r="F3888" i="1"/>
  <c r="F5290" i="1"/>
  <c r="F5102" i="1"/>
  <c r="F4889" i="1"/>
  <c r="F4432" i="1"/>
  <c r="F3812" i="1"/>
  <c r="F4342" i="1"/>
  <c r="F4103" i="1"/>
  <c r="F3619" i="1"/>
  <c r="F3072" i="1"/>
  <c r="F5023" i="1"/>
  <c r="F4854" i="1"/>
  <c r="F4741" i="1"/>
  <c r="F4655" i="1"/>
  <c r="F4570" i="1"/>
  <c r="F4476" i="1"/>
  <c r="F4252" i="1"/>
  <c r="F3903" i="1"/>
  <c r="F3391" i="1"/>
  <c r="F3061" i="1"/>
  <c r="F4343" i="1"/>
  <c r="F4091" i="1"/>
  <c r="F3675" i="1"/>
  <c r="F3136" i="1"/>
  <c r="F5295" i="1"/>
  <c r="F5126" i="1"/>
  <c r="F4957" i="1"/>
  <c r="F4791" i="1"/>
  <c r="F4706" i="1"/>
  <c r="F4621" i="1"/>
  <c r="F4535" i="1"/>
  <c r="F4391" i="1"/>
  <c r="F4128" i="1"/>
  <c r="F3693" i="1"/>
  <c r="F3156" i="1"/>
  <c r="F3715" i="1"/>
  <c r="F3459" i="1"/>
  <c r="F3192" i="1"/>
  <c r="F2831" i="1"/>
  <c r="F2212" i="1"/>
  <c r="F2881" i="1"/>
  <c r="F2368" i="1"/>
  <c r="F2550" i="1"/>
  <c r="F2743" i="1"/>
  <c r="F4452" i="1"/>
  <c r="F3856" i="1"/>
  <c r="F3600" i="1"/>
  <c r="F3344" i="1"/>
  <c r="F3040" i="1"/>
  <c r="F4479" i="1"/>
  <c r="F4346" i="1"/>
  <c r="F4260" i="1"/>
  <c r="F4156" i="1"/>
  <c r="F4028" i="1"/>
  <c r="F3835" i="1"/>
  <c r="F3579" i="1"/>
  <c r="F3323" i="1"/>
  <c r="F2967" i="1"/>
  <c r="F2496" i="1"/>
  <c r="F5292" i="1"/>
  <c r="F5228" i="1"/>
  <c r="F5164" i="1"/>
  <c r="F5100" i="1"/>
  <c r="F5036" i="1"/>
  <c r="F4972" i="1"/>
  <c r="F4908" i="1"/>
  <c r="F4844" i="1"/>
  <c r="F4780" i="1"/>
  <c r="F4716" i="1"/>
  <c r="F4652" i="1"/>
  <c r="F4588" i="1"/>
  <c r="F4524" i="1"/>
  <c r="F4410" i="1"/>
  <c r="F3789" i="1"/>
  <c r="F3533" i="1"/>
  <c r="F3277" i="1"/>
  <c r="F2688" i="1"/>
  <c r="F3904" i="1"/>
  <c r="F3776" i="1"/>
  <c r="F3648" i="1"/>
  <c r="F3520" i="1"/>
  <c r="F3392" i="1"/>
  <c r="F3264" i="1"/>
  <c r="F3089" i="1"/>
  <c r="F2759" i="1"/>
  <c r="F2247" i="1"/>
  <c r="F1740" i="1"/>
  <c r="F4130" i="1"/>
  <c r="F4066" i="1"/>
  <c r="F4002" i="1"/>
  <c r="F3906" i="1"/>
  <c r="F3778" i="1"/>
  <c r="F3650" i="1"/>
  <c r="F3522" i="1"/>
  <c r="F3394" i="1"/>
  <c r="F3266" i="1"/>
  <c r="F3123" i="1"/>
  <c r="F2907" i="1"/>
  <c r="F2793" i="1"/>
  <c r="F2432" i="1"/>
  <c r="F1415" i="1"/>
  <c r="F3855" i="1"/>
  <c r="F3727" i="1"/>
  <c r="F3599" i="1"/>
  <c r="F3471" i="1"/>
  <c r="F3343" i="1"/>
  <c r="F3215" i="1"/>
  <c r="F3011" i="1"/>
  <c r="F2614" i="1"/>
  <c r="F1580" i="1"/>
  <c r="F4433" i="1"/>
  <c r="F4369" i="1"/>
  <c r="F4305" i="1"/>
  <c r="F4241" i="1"/>
  <c r="F4177" i="1"/>
  <c r="F4113" i="1"/>
  <c r="F4049" i="1"/>
  <c r="F3985" i="1"/>
  <c r="F3873" i="1"/>
  <c r="F3745" i="1"/>
  <c r="F3617" i="1"/>
  <c r="F3489" i="1"/>
  <c r="F3361" i="1"/>
  <c r="F3233" i="1"/>
  <c r="F3064" i="1"/>
  <c r="F2876" i="1"/>
  <c r="F2716" i="1"/>
  <c r="F2274" i="1"/>
  <c r="F2472" i="1"/>
  <c r="F2258" i="1"/>
  <c r="F1603" i="1"/>
  <c r="F2412" i="1"/>
  <c r="F2661" i="1"/>
  <c r="F2861" i="1"/>
  <c r="F2579" i="1"/>
  <c r="F1794" i="1"/>
  <c r="F2167" i="1"/>
  <c r="F2182" i="1"/>
  <c r="F1612" i="1"/>
  <c r="F2730" i="1"/>
  <c r="F1719" i="1"/>
  <c r="F1439" i="1"/>
  <c r="F1563" i="1"/>
  <c r="F1734" i="1"/>
  <c r="F1258" i="1"/>
  <c r="F1761" i="1"/>
  <c r="F898" i="1"/>
  <c r="F692" i="1"/>
  <c r="F1637" i="1"/>
  <c r="F1045" i="1"/>
  <c r="F552" i="1"/>
  <c r="F488" i="1"/>
  <c r="F217" i="1"/>
  <c r="F156" i="1"/>
  <c r="F103" i="1"/>
  <c r="G14230" i="1"/>
  <c r="G13736" i="1"/>
  <c r="G14161" i="1"/>
  <c r="G14819" i="1"/>
  <c r="G14438" i="1"/>
  <c r="G13950" i="1"/>
  <c r="G13594" i="1"/>
  <c r="G14227" i="1"/>
  <c r="G13019" i="1"/>
  <c r="G12927" i="1"/>
  <c r="G12901" i="1"/>
  <c r="G12835" i="1"/>
  <c r="G12473" i="1"/>
  <c r="G13629" i="1"/>
  <c r="G11963" i="1"/>
  <c r="G14257" i="1"/>
  <c r="G12923" i="1"/>
  <c r="G14657" i="1"/>
  <c r="G13669" i="1"/>
  <c r="G12145" i="1"/>
  <c r="G12159" i="1"/>
  <c r="G10793" i="1"/>
  <c r="G10703" i="1"/>
  <c r="G12296" i="1"/>
  <c r="G10702" i="1"/>
  <c r="G12555" i="1"/>
  <c r="G11035" i="1"/>
  <c r="G13770" i="1"/>
  <c r="G12706" i="1"/>
  <c r="G11272" i="1"/>
  <c r="G11423" i="1"/>
  <c r="G9639" i="1"/>
  <c r="G11759" i="1"/>
  <c r="G10330" i="1"/>
  <c r="G11937" i="1"/>
  <c r="G10919" i="1"/>
  <c r="G9403" i="1"/>
  <c r="G12197" i="1"/>
  <c r="G11173" i="1"/>
  <c r="G8237" i="1"/>
  <c r="G5546" i="1"/>
  <c r="G8140" i="1"/>
  <c r="G5792" i="1"/>
  <c r="F10506" i="1"/>
  <c r="F10442" i="1"/>
  <c r="F10378" i="1"/>
  <c r="F10298" i="1"/>
  <c r="F10213" i="1"/>
  <c r="F10128" i="1"/>
  <c r="F10042" i="1"/>
  <c r="F9957" i="1"/>
  <c r="F9872" i="1"/>
  <c r="F9786" i="1"/>
  <c r="F9688" i="1"/>
  <c r="F9521" i="1"/>
  <c r="F9354" i="1"/>
  <c r="F8597" i="1"/>
  <c r="F8268" i="1"/>
  <c r="F7965" i="1"/>
  <c r="F7662" i="1"/>
  <c r="F9597" i="1"/>
  <c r="F9430" i="1"/>
  <c r="F9252" i="1"/>
  <c r="F9117" i="1"/>
  <c r="F8989" i="1"/>
  <c r="F8861" i="1"/>
  <c r="F8733" i="1"/>
  <c r="F8505" i="1"/>
  <c r="F8176" i="1"/>
  <c r="F7736" i="1"/>
  <c r="F11649" i="1"/>
  <c r="F11585" i="1"/>
  <c r="F11521" i="1"/>
  <c r="F11457" i="1"/>
  <c r="F11393" i="1"/>
  <c r="F11329" i="1"/>
  <c r="F11265" i="1"/>
  <c r="F11201" i="1"/>
  <c r="F11137" i="1"/>
  <c r="F11073" i="1"/>
  <c r="F11009" i="1"/>
  <c r="F10945" i="1"/>
  <c r="F10881" i="1"/>
  <c r="F10817" i="1"/>
  <c r="F10753" i="1"/>
  <c r="F10689" i="1"/>
  <c r="F10625" i="1"/>
  <c r="F10561" i="1"/>
  <c r="F10497" i="1"/>
  <c r="F10433" i="1"/>
  <c r="F10369" i="1"/>
  <c r="F10292" i="1"/>
  <c r="F10206" i="1"/>
  <c r="F10121" i="1"/>
  <c r="F10036" i="1"/>
  <c r="F9950" i="1"/>
  <c r="F9865" i="1"/>
  <c r="F9780" i="1"/>
  <c r="F9680" i="1"/>
  <c r="F9513" i="1"/>
  <c r="F9346" i="1"/>
  <c r="F8596" i="1"/>
  <c r="F8230" i="1"/>
  <c r="F7964" i="1"/>
  <c r="F7659" i="1"/>
  <c r="F8534" i="1"/>
  <c r="F8365" i="1"/>
  <c r="F8196" i="1"/>
  <c r="F8030" i="1"/>
  <c r="F7945" i="1"/>
  <c r="F7787" i="1"/>
  <c r="F7598" i="1"/>
  <c r="F7323" i="1"/>
  <c r="F7035" i="1"/>
  <c r="F6575" i="1"/>
  <c r="F7558" i="1"/>
  <c r="F7238" i="1"/>
  <c r="F6936" i="1"/>
  <c r="F6428" i="1"/>
  <c r="F7475" i="1"/>
  <c r="F7144" i="1"/>
  <c r="F6775" i="1"/>
  <c r="F6263" i="1"/>
  <c r="F7415" i="1"/>
  <c r="F7091" i="1"/>
  <c r="F6628" i="1"/>
  <c r="F7563" i="1"/>
  <c r="F7286" i="1"/>
  <c r="F6955" i="1"/>
  <c r="F6474" i="1"/>
  <c r="F9192" i="1"/>
  <c r="F9128" i="1"/>
  <c r="F9064" i="1"/>
  <c r="F9000" i="1"/>
  <c r="F8936" i="1"/>
  <c r="F8872" i="1"/>
  <c r="F8808" i="1"/>
  <c r="F8744" i="1"/>
  <c r="F8680" i="1"/>
  <c r="F8536" i="1"/>
  <c r="F8362" i="1"/>
  <c r="F8193" i="1"/>
  <c r="F7929" i="1"/>
  <c r="F7759" i="1"/>
  <c r="F7571" i="1"/>
  <c r="F7348" i="1"/>
  <c r="F7040" i="1"/>
  <c r="F6620" i="1"/>
  <c r="F8636" i="1"/>
  <c r="F8462" i="1"/>
  <c r="F8293" i="1"/>
  <c r="F8124" i="1"/>
  <c r="F7994" i="1"/>
  <c r="F7868" i="1"/>
  <c r="F7698" i="1"/>
  <c r="F7498" i="1"/>
  <c r="F7212" i="1"/>
  <c r="F6857" i="1"/>
  <c r="F6345" i="1"/>
  <c r="F10279" i="1"/>
  <c r="F10215" i="1"/>
  <c r="F10151" i="1"/>
  <c r="F10087" i="1"/>
  <c r="F10023" i="1"/>
  <c r="F9959" i="1"/>
  <c r="F9895" i="1"/>
  <c r="F9831" i="1"/>
  <c r="F9767" i="1"/>
  <c r="F9703" i="1"/>
  <c r="F9639" i="1"/>
  <c r="F9575" i="1"/>
  <c r="F9511" i="1"/>
  <c r="F9447" i="1"/>
  <c r="F9383" i="1"/>
  <c r="F9319" i="1"/>
  <c r="F9255" i="1"/>
  <c r="F9191" i="1"/>
  <c r="F9127" i="1"/>
  <c r="F9063" i="1"/>
  <c r="F8999" i="1"/>
  <c r="F8935" i="1"/>
  <c r="F8871" i="1"/>
  <c r="F8807" i="1"/>
  <c r="F8743" i="1"/>
  <c r="F8679" i="1"/>
  <c r="F8530" i="1"/>
  <c r="F8361" i="1"/>
  <c r="F8192" i="1"/>
  <c r="F7928" i="1"/>
  <c r="F7758" i="1"/>
  <c r="F7561" i="1"/>
  <c r="F7305" i="1"/>
  <c r="F7039" i="1"/>
  <c r="F6564" i="1"/>
  <c r="F7655" i="1"/>
  <c r="F7527" i="1"/>
  <c r="F7386" i="1"/>
  <c r="F7240" i="1"/>
  <c r="F7104" i="1"/>
  <c r="F6938" i="1"/>
  <c r="F6678" i="1"/>
  <c r="F6422" i="1"/>
  <c r="F6166" i="1"/>
  <c r="F5910" i="1"/>
  <c r="F5654" i="1"/>
  <c r="F5157" i="1"/>
  <c r="F5944" i="1"/>
  <c r="F5688" i="1"/>
  <c r="F5428" i="1"/>
  <c r="F6062" i="1"/>
  <c r="F5806" i="1"/>
  <c r="F5550" i="1"/>
  <c r="F6153" i="1"/>
  <c r="F5897" i="1"/>
  <c r="F5641" i="1"/>
  <c r="F5405" i="1"/>
  <c r="F5942" i="1"/>
  <c r="F5686" i="1"/>
  <c r="F5352" i="1"/>
  <c r="F7506" i="1"/>
  <c r="F7346" i="1"/>
  <c r="F7210" i="1"/>
  <c r="F7062" i="1"/>
  <c r="F6872" i="1"/>
  <c r="F6616" i="1"/>
  <c r="F6360" i="1"/>
  <c r="F6104" i="1"/>
  <c r="F5848" i="1"/>
  <c r="F5592" i="1"/>
  <c r="F5380" i="1"/>
  <c r="F7880" i="1"/>
  <c r="F7752" i="1"/>
  <c r="F7624" i="1"/>
  <c r="F7496" i="1"/>
  <c r="F7366" i="1"/>
  <c r="F7220" i="1"/>
  <c r="F7073" i="1"/>
  <c r="F6899" i="1"/>
  <c r="F6643" i="1"/>
  <c r="F6387" i="1"/>
  <c r="F6131" i="1"/>
  <c r="F5875" i="1"/>
  <c r="F5619" i="1"/>
  <c r="F4995" i="1"/>
  <c r="F8603" i="1"/>
  <c r="F8539" i="1"/>
  <c r="F8475" i="1"/>
  <c r="F8411" i="1"/>
  <c r="F8347" i="1"/>
  <c r="F8283" i="1"/>
  <c r="F8219" i="1"/>
  <c r="F8155" i="1"/>
  <c r="F8091" i="1"/>
  <c r="F8027" i="1"/>
  <c r="F7963" i="1"/>
  <c r="F7861" i="1"/>
  <c r="F7733" i="1"/>
  <c r="F7605" i="1"/>
  <c r="F7477" i="1"/>
  <c r="F7329" i="1"/>
  <c r="F7183" i="1"/>
  <c r="F7030" i="1"/>
  <c r="F6816" i="1"/>
  <c r="F6560" i="1"/>
  <c r="F6304" i="1"/>
  <c r="F6048" i="1"/>
  <c r="F5792" i="1"/>
  <c r="F5536" i="1"/>
  <c r="F5283" i="1"/>
  <c r="F6845" i="1"/>
  <c r="F6717" i="1"/>
  <c r="F6589" i="1"/>
  <c r="F6461" i="1"/>
  <c r="F6333" i="1"/>
  <c r="F6205" i="1"/>
  <c r="F6077" i="1"/>
  <c r="F5949" i="1"/>
  <c r="F5821" i="1"/>
  <c r="F5693" i="1"/>
  <c r="F5565" i="1"/>
  <c r="F5319" i="1"/>
  <c r="F4965" i="1"/>
  <c r="F4915" i="1"/>
  <c r="F4226" i="1"/>
  <c r="F4542" i="1"/>
  <c r="F4745" i="1"/>
  <c r="F4910" i="1"/>
  <c r="F6911" i="1"/>
  <c r="F6783" i="1"/>
  <c r="F6655" i="1"/>
  <c r="F6527" i="1"/>
  <c r="F6399" i="1"/>
  <c r="F6271" i="1"/>
  <c r="F6143" i="1"/>
  <c r="F6015" i="1"/>
  <c r="F5887" i="1"/>
  <c r="F5759" i="1"/>
  <c r="F5631" i="1"/>
  <c r="F5503" i="1"/>
  <c r="F5404" i="1"/>
  <c r="F5198" i="1"/>
  <c r="F4630" i="1"/>
  <c r="F6997" i="1"/>
  <c r="F6869" i="1"/>
  <c r="F6741" i="1"/>
  <c r="F6613" i="1"/>
  <c r="F6485" i="1"/>
  <c r="F6357" i="1"/>
  <c r="F6229" i="1"/>
  <c r="F6101" i="1"/>
  <c r="F5973" i="1"/>
  <c r="F5845" i="1"/>
  <c r="F5717" i="1"/>
  <c r="F5589" i="1"/>
  <c r="F5461" i="1"/>
  <c r="F5038" i="1"/>
  <c r="F4553" i="1"/>
  <c r="F7394" i="1"/>
  <c r="F7266" i="1"/>
  <c r="F7138" i="1"/>
  <c r="F7010" i="1"/>
  <c r="F6882" i="1"/>
  <c r="F6754" i="1"/>
  <c r="F6626" i="1"/>
  <c r="F6498" i="1"/>
  <c r="F6370" i="1"/>
  <c r="F6242" i="1"/>
  <c r="F6114" i="1"/>
  <c r="F5986" i="1"/>
  <c r="F5858" i="1"/>
  <c r="F5730" i="1"/>
  <c r="F5602" i="1"/>
  <c r="F5474" i="1"/>
  <c r="F5381" i="1"/>
  <c r="F5069" i="1"/>
  <c r="F4529" i="1"/>
  <c r="F5321" i="1"/>
  <c r="F5091" i="1"/>
  <c r="F4882" i="1"/>
  <c r="F4601" i="1"/>
  <c r="F3884" i="1"/>
  <c r="F3879" i="1"/>
  <c r="F3943" i="1"/>
  <c r="F3995" i="1"/>
  <c r="F3992" i="1"/>
  <c r="F5323" i="1"/>
  <c r="F5119" i="1"/>
  <c r="F4933" i="1"/>
  <c r="F4646" i="1"/>
  <c r="F4360" i="1"/>
  <c r="F3678" i="1"/>
  <c r="F5419" i="1"/>
  <c r="F5350" i="1"/>
  <c r="F5150" i="1"/>
  <c r="F4969" i="1"/>
  <c r="F4705" i="1"/>
  <c r="F4404" i="1"/>
  <c r="F3815" i="1"/>
  <c r="F5285" i="1"/>
  <c r="F5097" i="1"/>
  <c r="F4858" i="1"/>
  <c r="F4418" i="1"/>
  <c r="F3739" i="1"/>
  <c r="F4332" i="1"/>
  <c r="F4088" i="1"/>
  <c r="F3601" i="1"/>
  <c r="F3051" i="1"/>
  <c r="F5014" i="1"/>
  <c r="F4845" i="1"/>
  <c r="F4735" i="1"/>
  <c r="F4650" i="1"/>
  <c r="F4565" i="1"/>
  <c r="F4468" i="1"/>
  <c r="F4243" i="1"/>
  <c r="F3885" i="1"/>
  <c r="F3373" i="1"/>
  <c r="F3239" i="1"/>
  <c r="F4334" i="1"/>
  <c r="F4055" i="1"/>
  <c r="F3657" i="1"/>
  <c r="F3115" i="1"/>
  <c r="F5286" i="1"/>
  <c r="F5117" i="1"/>
  <c r="F4943" i="1"/>
  <c r="F4786" i="1"/>
  <c r="F4701" i="1"/>
  <c r="F4615" i="1"/>
  <c r="F4530" i="1"/>
  <c r="F4368" i="1"/>
  <c r="F4115" i="1"/>
  <c r="F3656" i="1"/>
  <c r="F3135" i="1"/>
  <c r="F3706" i="1"/>
  <c r="F3450" i="1"/>
  <c r="F3171" i="1"/>
  <c r="F2816" i="1"/>
  <c r="F3024" i="1"/>
  <c r="F2868" i="1"/>
  <c r="F2329" i="1"/>
  <c r="F2477" i="1"/>
  <c r="F2723" i="1"/>
  <c r="F4443" i="1"/>
  <c r="F3847" i="1"/>
  <c r="F3591" i="1"/>
  <c r="F3335" i="1"/>
  <c r="F3029" i="1"/>
  <c r="F4470" i="1"/>
  <c r="F4340" i="1"/>
  <c r="F4255" i="1"/>
  <c r="F4148" i="1"/>
  <c r="F4020" i="1"/>
  <c r="F3826" i="1"/>
  <c r="F3570" i="1"/>
  <c r="F3314" i="1"/>
  <c r="F2917" i="1"/>
  <c r="F2423" i="1"/>
  <c r="F5288" i="1"/>
  <c r="F5224" i="1"/>
  <c r="F5160" i="1"/>
  <c r="F5096" i="1"/>
  <c r="F5032" i="1"/>
  <c r="F4968" i="1"/>
  <c r="F4904" i="1"/>
  <c r="F4840" i="1"/>
  <c r="F4776" i="1"/>
  <c r="F4712" i="1"/>
  <c r="F4648" i="1"/>
  <c r="F4584" i="1"/>
  <c r="F4520" i="1"/>
  <c r="F4396" i="1"/>
  <c r="F3752" i="1"/>
  <c r="F3496" i="1"/>
  <c r="F3240" i="1"/>
  <c r="F2660" i="1"/>
  <c r="F3895" i="1"/>
  <c r="F3767" i="1"/>
  <c r="F3639" i="1"/>
  <c r="F3511" i="1"/>
  <c r="F3383" i="1"/>
  <c r="F3255" i="1"/>
  <c r="F3084" i="1"/>
  <c r="F2736" i="1"/>
  <c r="F2179" i="1"/>
  <c r="F1643" i="1"/>
  <c r="F4126" i="1"/>
  <c r="F4062" i="1"/>
  <c r="F3998" i="1"/>
  <c r="F3897" i="1"/>
  <c r="F3769" i="1"/>
  <c r="F3641" i="1"/>
  <c r="F3513" i="1"/>
  <c r="F3385" i="1"/>
  <c r="F3257" i="1"/>
  <c r="F3112" i="1"/>
  <c r="F2900" i="1"/>
  <c r="F2785" i="1"/>
  <c r="F2377" i="1"/>
  <c r="F1224" i="1"/>
  <c r="F3846" i="1"/>
  <c r="F3718" i="1"/>
  <c r="F3590" i="1"/>
  <c r="F3462" i="1"/>
  <c r="F3334" i="1"/>
  <c r="F3169" i="1"/>
  <c r="F3005" i="1"/>
  <c r="F2596" i="1"/>
  <c r="F1215" i="1"/>
  <c r="F4429" i="1"/>
  <c r="F4365" i="1"/>
  <c r="F4301" i="1"/>
  <c r="F4237" i="1"/>
  <c r="F4173" i="1"/>
  <c r="F4109" i="1"/>
  <c r="F4045" i="1"/>
  <c r="F3981" i="1"/>
  <c r="F3868" i="1"/>
  <c r="F3740" i="1"/>
  <c r="F3612" i="1"/>
  <c r="F3484" i="1"/>
  <c r="F3356" i="1"/>
  <c r="F3228" i="1"/>
  <c r="F3059" i="1"/>
  <c r="F2869" i="1"/>
  <c r="F2680" i="1"/>
  <c r="F2253" i="1"/>
  <c r="F2463" i="1"/>
  <c r="F2248" i="1"/>
  <c r="F1520" i="1"/>
  <c r="F2366" i="1"/>
  <c r="F2601" i="1"/>
  <c r="F2835" i="1"/>
  <c r="F2542" i="1"/>
  <c r="F1680" i="1"/>
  <c r="F1951" i="1"/>
  <c r="F2030" i="1"/>
  <c r="F3182" i="1"/>
  <c r="F2670" i="1"/>
  <c r="F1250" i="1"/>
  <c r="F1084" i="1"/>
  <c r="F1403" i="1"/>
  <c r="F1674" i="1"/>
  <c r="F1108" i="1"/>
  <c r="F1701" i="1"/>
  <c r="F752" i="1"/>
  <c r="F1078" i="1"/>
  <c r="F1577" i="1"/>
  <c r="F926" i="1"/>
  <c r="F302" i="1"/>
  <c r="F261" i="1"/>
  <c r="F591" i="1"/>
  <c r="F36" i="1"/>
  <c r="F43" i="1"/>
  <c r="G13980" i="1"/>
  <c r="G13433" i="1"/>
  <c r="G14874" i="1"/>
  <c r="G14302" i="1"/>
  <c r="G14123" i="1"/>
  <c r="G14930" i="1"/>
  <c r="G13375" i="1"/>
  <c r="G14097" i="1"/>
  <c r="G12865" i="1"/>
  <c r="G12755" i="1"/>
  <c r="G12720" i="1"/>
  <c r="G12620" i="1"/>
  <c r="G12150" i="1"/>
  <c r="G13488" i="1"/>
  <c r="G11648" i="1"/>
  <c r="G14030" i="1"/>
  <c r="G12692" i="1"/>
  <c r="G14549" i="1"/>
  <c r="G13539" i="1"/>
  <c r="G11816" i="1"/>
  <c r="G12007" i="1"/>
  <c r="G10633" i="1"/>
  <c r="G10497" i="1"/>
  <c r="G12144" i="1"/>
  <c r="G10507" i="1"/>
  <c r="G12419" i="1"/>
  <c r="G10859" i="1"/>
  <c r="G13647" i="1"/>
  <c r="G12575" i="1"/>
  <c r="G11025" i="1"/>
  <c r="G11300" i="1"/>
  <c r="G8953" i="1"/>
  <c r="G11636" i="1"/>
  <c r="G10210" i="1"/>
  <c r="G11818" i="1"/>
  <c r="G10839" i="1"/>
  <c r="G9240" i="1"/>
  <c r="G12078" i="1"/>
  <c r="G11054" i="1"/>
  <c r="G10636" i="1"/>
  <c r="G8928" i="1"/>
  <c r="G6104" i="1"/>
  <c r="G5226" i="1"/>
  <c r="F10502" i="1"/>
  <c r="F10438" i="1"/>
  <c r="F10374" i="1"/>
  <c r="F10293" i="1"/>
  <c r="F10208" i="1"/>
  <c r="F10122" i="1"/>
  <c r="F10037" i="1"/>
  <c r="F9952" i="1"/>
  <c r="F9866" i="1"/>
  <c r="F9781" i="1"/>
  <c r="F9681" i="1"/>
  <c r="F9514" i="1"/>
  <c r="F9336" i="1"/>
  <c r="F8588" i="1"/>
  <c r="F8222" i="1"/>
  <c r="F7954" i="1"/>
  <c r="F7617" i="1"/>
  <c r="F9590" i="1"/>
  <c r="F9412" i="1"/>
  <c r="F9245" i="1"/>
  <c r="F9109" i="1"/>
  <c r="F8981" i="1"/>
  <c r="F8853" i="1"/>
  <c r="F8725" i="1"/>
  <c r="F8496" i="1"/>
  <c r="F8130" i="1"/>
  <c r="F7712" i="1"/>
  <c r="F11645" i="1"/>
  <c r="F11581" i="1"/>
  <c r="F11517" i="1"/>
  <c r="F11453" i="1"/>
  <c r="F11389" i="1"/>
  <c r="F11325" i="1"/>
  <c r="F11261" i="1"/>
  <c r="F11197" i="1"/>
  <c r="F11133" i="1"/>
  <c r="F11069" i="1"/>
  <c r="F11005" i="1"/>
  <c r="F10941" i="1"/>
  <c r="F10877" i="1"/>
  <c r="F10813" i="1"/>
  <c r="F10749" i="1"/>
  <c r="F10685" i="1"/>
  <c r="F10621" i="1"/>
  <c r="F10557" i="1"/>
  <c r="F10493" i="1"/>
  <c r="F10429" i="1"/>
  <c r="F10365" i="1"/>
  <c r="F10286" i="1"/>
  <c r="F10201" i="1"/>
  <c r="F10116" i="1"/>
  <c r="F10030" i="1"/>
  <c r="F9945" i="1"/>
  <c r="F9860" i="1"/>
  <c r="F9774" i="1"/>
  <c r="F9673" i="1"/>
  <c r="F9506" i="1"/>
  <c r="F9328" i="1"/>
  <c r="F8550" i="1"/>
  <c r="F8221" i="1"/>
  <c r="F7953" i="1"/>
  <c r="F7616" i="1"/>
  <c r="F8525" i="1"/>
  <c r="F8356" i="1"/>
  <c r="F8182" i="1"/>
  <c r="F8025" i="1"/>
  <c r="F7940" i="1"/>
  <c r="F7781" i="1"/>
  <c r="F7590" i="1"/>
  <c r="F7281" i="1"/>
  <c r="F7022" i="1"/>
  <c r="F6538" i="1"/>
  <c r="F7521" i="1"/>
  <c r="F7228" i="1"/>
  <c r="F6885" i="1"/>
  <c r="F6373" i="1"/>
  <c r="F7466" i="1"/>
  <c r="F7133" i="1"/>
  <c r="F6738" i="1"/>
  <c r="F6226" i="1"/>
  <c r="F7373" i="1"/>
  <c r="F7057" i="1"/>
  <c r="F6573" i="1"/>
  <c r="F7554" i="1"/>
  <c r="F7276" i="1"/>
  <c r="F6931" i="1"/>
  <c r="F6456" i="1"/>
  <c r="F9188" i="1"/>
  <c r="F9124" i="1"/>
  <c r="F9060" i="1"/>
  <c r="F8996" i="1"/>
  <c r="F8932" i="1"/>
  <c r="F8868" i="1"/>
  <c r="F8804" i="1"/>
  <c r="F8740" i="1"/>
  <c r="F8676" i="1"/>
  <c r="F8522" i="1"/>
  <c r="F8353" i="1"/>
  <c r="F8184" i="1"/>
  <c r="F7918" i="1"/>
  <c r="F7753" i="1"/>
  <c r="F7553" i="1"/>
  <c r="F7317" i="1"/>
  <c r="F7016" i="1"/>
  <c r="F6565" i="1"/>
  <c r="F8622" i="1"/>
  <c r="F8453" i="1"/>
  <c r="F8284" i="1"/>
  <c r="F8110" i="1"/>
  <c r="F7989" i="1"/>
  <c r="F7850" i="1"/>
  <c r="F7691" i="1"/>
  <c r="F7461" i="1"/>
  <c r="F7201" i="1"/>
  <c r="F6839" i="1"/>
  <c r="F6327" i="1"/>
  <c r="F10275" i="1"/>
  <c r="F10211" i="1"/>
  <c r="F10147" i="1"/>
  <c r="F10083" i="1"/>
  <c r="F10019" i="1"/>
  <c r="F9955" i="1"/>
  <c r="F9891" i="1"/>
  <c r="F9827" i="1"/>
  <c r="F9763" i="1"/>
  <c r="F9699" i="1"/>
  <c r="F9635" i="1"/>
  <c r="F9571" i="1"/>
  <c r="F9507" i="1"/>
  <c r="F9443" i="1"/>
  <c r="F9379" i="1"/>
  <c r="F9315" i="1"/>
  <c r="F9251" i="1"/>
  <c r="F9187" i="1"/>
  <c r="F9123" i="1"/>
  <c r="F9059" i="1"/>
  <c r="F8995" i="1"/>
  <c r="F8931" i="1"/>
  <c r="F8867" i="1"/>
  <c r="F8803" i="1"/>
  <c r="F8739" i="1"/>
  <c r="F8675" i="1"/>
  <c r="F8521" i="1"/>
  <c r="F8352" i="1"/>
  <c r="F8178" i="1"/>
  <c r="F7910" i="1"/>
  <c r="F7751" i="1"/>
  <c r="F7552" i="1"/>
  <c r="F7295" i="1"/>
  <c r="F7026" i="1"/>
  <c r="F6509" i="1"/>
  <c r="F7646" i="1"/>
  <c r="F7518" i="1"/>
  <c r="F7381" i="1"/>
  <c r="F7235" i="1"/>
  <c r="F7099" i="1"/>
  <c r="F6925" i="1"/>
  <c r="F6669" i="1"/>
  <c r="F6413" i="1"/>
  <c r="F6157" i="1"/>
  <c r="F5901" i="1"/>
  <c r="F5645" i="1"/>
  <c r="F5115" i="1"/>
  <c r="F5935" i="1"/>
  <c r="F5679" i="1"/>
  <c r="F5417" i="1"/>
  <c r="F6053" i="1"/>
  <c r="F5797" i="1"/>
  <c r="F5541" i="1"/>
  <c r="F6144" i="1"/>
  <c r="F5888" i="1"/>
  <c r="F5632" i="1"/>
  <c r="F5394" i="1"/>
  <c r="F5933" i="1"/>
  <c r="F5677" i="1"/>
  <c r="F5314" i="1"/>
  <c r="F7501" i="1"/>
  <c r="F7341" i="1"/>
  <c r="F7205" i="1"/>
  <c r="F7044" i="1"/>
  <c r="F6863" i="1"/>
  <c r="F6607" i="1"/>
  <c r="F6351" i="1"/>
  <c r="F6095" i="1"/>
  <c r="F5839" i="1"/>
  <c r="F5583" i="1"/>
  <c r="F5364" i="1"/>
  <c r="F7871" i="1"/>
  <c r="F7743" i="1"/>
  <c r="F7615" i="1"/>
  <c r="F7487" i="1"/>
  <c r="F7361" i="1"/>
  <c r="F7215" i="1"/>
  <c r="F7055" i="1"/>
  <c r="F6862" i="1"/>
  <c r="F6606" i="1"/>
  <c r="F6350" i="1"/>
  <c r="F6094" i="1"/>
  <c r="F5838" i="1"/>
  <c r="F5582" i="1"/>
  <c r="F8663" i="1"/>
  <c r="F8599" i="1"/>
  <c r="F8535" i="1"/>
  <c r="F8471" i="1"/>
  <c r="F8407" i="1"/>
  <c r="F8343" i="1"/>
  <c r="F8279" i="1"/>
  <c r="F8215" i="1"/>
  <c r="F8151" i="1"/>
  <c r="F8087" i="1"/>
  <c r="F8023" i="1"/>
  <c r="F7959" i="1"/>
  <c r="F7852" i="1"/>
  <c r="F7724" i="1"/>
  <c r="F7596" i="1"/>
  <c r="F7468" i="1"/>
  <c r="F7324" i="1"/>
  <c r="F7162" i="1"/>
  <c r="F7012" i="1"/>
  <c r="F6807" i="1"/>
  <c r="F6551" i="1"/>
  <c r="F6295" i="1"/>
  <c r="F6039" i="1"/>
  <c r="F5783" i="1"/>
  <c r="F5527" i="1"/>
  <c r="F5262" i="1"/>
  <c r="F6836" i="1"/>
  <c r="F6708" i="1"/>
  <c r="F6580" i="1"/>
  <c r="F6452" i="1"/>
  <c r="F6324" i="1"/>
  <c r="F6196" i="1"/>
  <c r="F6068" i="1"/>
  <c r="F5940" i="1"/>
  <c r="F5812" i="1"/>
  <c r="F5684" i="1"/>
  <c r="F5556" i="1"/>
  <c r="F5298" i="1"/>
  <c r="F4953" i="1"/>
  <c r="F4903" i="1"/>
  <c r="F4997" i="1"/>
  <c r="F4521" i="1"/>
  <c r="F4683" i="1"/>
  <c r="F4898" i="1"/>
  <c r="F6906" i="1"/>
  <c r="F6778" i="1"/>
  <c r="F6650" i="1"/>
  <c r="F6522" i="1"/>
  <c r="F6394" i="1"/>
  <c r="F6266" i="1"/>
  <c r="F6138" i="1"/>
  <c r="F6010" i="1"/>
  <c r="F5882" i="1"/>
  <c r="F5754" i="1"/>
  <c r="F5626" i="1"/>
  <c r="F5498" i="1"/>
  <c r="F5398" i="1"/>
  <c r="F5146" i="1"/>
  <c r="F4579" i="1"/>
  <c r="F6988" i="1"/>
  <c r="F6860" i="1"/>
  <c r="F6732" i="1"/>
  <c r="F6604" i="1"/>
  <c r="F6476" i="1"/>
  <c r="F6348" i="1"/>
  <c r="F6220" i="1"/>
  <c r="F6092" i="1"/>
  <c r="F5964" i="1"/>
  <c r="F5836" i="1"/>
  <c r="F5708" i="1"/>
  <c r="F5580" i="1"/>
  <c r="F5330" i="1"/>
  <c r="F5027" i="1"/>
  <c r="F4531" i="1"/>
  <c r="F7385" i="1"/>
  <c r="F7257" i="1"/>
  <c r="F7129" i="1"/>
  <c r="F7001" i="1"/>
  <c r="F6873" i="1"/>
  <c r="F6745" i="1"/>
  <c r="F6617" i="1"/>
  <c r="F6489" i="1"/>
  <c r="F6361" i="1"/>
  <c r="F6233" i="1"/>
  <c r="F6105" i="1"/>
  <c r="F5977" i="1"/>
  <c r="F5849" i="1"/>
  <c r="F5721" i="1"/>
  <c r="F5593" i="1"/>
  <c r="F5465" i="1"/>
  <c r="F5373" i="1"/>
  <c r="F5002" i="1"/>
  <c r="F4507" i="1"/>
  <c r="F5279" i="1"/>
  <c r="F5086" i="1"/>
  <c r="F4851" i="1"/>
  <c r="F4431" i="1"/>
  <c r="F3811" i="1"/>
  <c r="F3806" i="1"/>
  <c r="F3870" i="1"/>
  <c r="F3940" i="1"/>
  <c r="F3967" i="1"/>
  <c r="F5307" i="1"/>
  <c r="F5114" i="1"/>
  <c r="F4921" i="1"/>
  <c r="F4638" i="1"/>
  <c r="F4327" i="1"/>
  <c r="F3605" i="1"/>
  <c r="F5415" i="1"/>
  <c r="F5341" i="1"/>
  <c r="F5145" i="1"/>
  <c r="F4938" i="1"/>
  <c r="F4697" i="1"/>
  <c r="F4390" i="1"/>
  <c r="F3742" i="1"/>
  <c r="F5259" i="1"/>
  <c r="F5055" i="1"/>
  <c r="F4846" i="1"/>
  <c r="F4374" i="1"/>
  <c r="F3666" i="1"/>
  <c r="F4323" i="1"/>
  <c r="F4075" i="1"/>
  <c r="F3564" i="1"/>
  <c r="F3248" i="1"/>
  <c r="F5005" i="1"/>
  <c r="F4831" i="1"/>
  <c r="F4730" i="1"/>
  <c r="F4645" i="1"/>
  <c r="F4559" i="1"/>
  <c r="F4462" i="1"/>
  <c r="F4219" i="1"/>
  <c r="F3848" i="1"/>
  <c r="F3336" i="1"/>
  <c r="F3221" i="1"/>
  <c r="F4310" i="1"/>
  <c r="F4040" i="1"/>
  <c r="F3620" i="1"/>
  <c r="F3073" i="1"/>
  <c r="F5277" i="1"/>
  <c r="F5103" i="1"/>
  <c r="F4934" i="1"/>
  <c r="F4781" i="1"/>
  <c r="F4695" i="1"/>
  <c r="F4610" i="1"/>
  <c r="F4525" i="1"/>
  <c r="F4359" i="1"/>
  <c r="F4079" i="1"/>
  <c r="F3638" i="1"/>
  <c r="F3093" i="1"/>
  <c r="F3697" i="1"/>
  <c r="F3441" i="1"/>
  <c r="F3129" i="1"/>
  <c r="F2801" i="1"/>
  <c r="F3013" i="1"/>
  <c r="F2853" i="1"/>
  <c r="F2286" i="1"/>
  <c r="F2404" i="1"/>
  <c r="F2697" i="1"/>
  <c r="F4434" i="1"/>
  <c r="F3838" i="1"/>
  <c r="F3582" i="1"/>
  <c r="F3326" i="1"/>
  <c r="F3019" i="1"/>
  <c r="F4456" i="1"/>
  <c r="F4335" i="1"/>
  <c r="F4250" i="1"/>
  <c r="F4140" i="1"/>
  <c r="F4012" i="1"/>
  <c r="F3817" i="1"/>
  <c r="F3561" i="1"/>
  <c r="F3305" i="1"/>
  <c r="F2903" i="1"/>
  <c r="F2386" i="1"/>
  <c r="F5284" i="1"/>
  <c r="F5220" i="1"/>
  <c r="F5156" i="1"/>
  <c r="F5092" i="1"/>
  <c r="F5028" i="1"/>
  <c r="F4964" i="1"/>
  <c r="F4900" i="1"/>
  <c r="F4836" i="1"/>
  <c r="F4772" i="1"/>
  <c r="F4708" i="1"/>
  <c r="F4644" i="1"/>
  <c r="F4580" i="1"/>
  <c r="F4516" i="1"/>
  <c r="F4387" i="1"/>
  <c r="F3743" i="1"/>
  <c r="F3487" i="1"/>
  <c r="F3231" i="1"/>
  <c r="F2605" i="1"/>
  <c r="F3886" i="1"/>
  <c r="F3758" i="1"/>
  <c r="F3630" i="1"/>
  <c r="F3502" i="1"/>
  <c r="F3374" i="1"/>
  <c r="F3246" i="1"/>
  <c r="F3079" i="1"/>
  <c r="F2704" i="1"/>
  <c r="F2038" i="1"/>
  <c r="F1916" i="1"/>
  <c r="F4122" i="1"/>
  <c r="F4058" i="1"/>
  <c r="F3994" i="1"/>
  <c r="F3892" i="1"/>
  <c r="F3764" i="1"/>
  <c r="F3636" i="1"/>
  <c r="F3508" i="1"/>
  <c r="F3380" i="1"/>
  <c r="F3252" i="1"/>
  <c r="F3107" i="1"/>
  <c r="F2892" i="1"/>
  <c r="F2779" i="1"/>
  <c r="F2359" i="1"/>
  <c r="F3965" i="1"/>
  <c r="F3837" i="1"/>
  <c r="F3709" i="1"/>
  <c r="F3581" i="1"/>
  <c r="F3453" i="1"/>
  <c r="F3325" i="1"/>
  <c r="F3164" i="1"/>
  <c r="F2987" i="1"/>
  <c r="F2541" i="1"/>
  <c r="F4489" i="1"/>
  <c r="F4425" i="1"/>
  <c r="F4361" i="1"/>
  <c r="F4297" i="1"/>
  <c r="F4233" i="1"/>
  <c r="F4169" i="1"/>
  <c r="F4105" i="1"/>
  <c r="F4041" i="1"/>
  <c r="F3977" i="1"/>
  <c r="F3859" i="1"/>
  <c r="F3731" i="1"/>
  <c r="F3603" i="1"/>
  <c r="F3475" i="1"/>
  <c r="F3347" i="1"/>
  <c r="F3219" i="1"/>
  <c r="F3048" i="1"/>
  <c r="F2863" i="1"/>
  <c r="F2665" i="1"/>
  <c r="F2232" i="1"/>
  <c r="F2426" i="1"/>
  <c r="F2237" i="1"/>
  <c r="F2757" i="1"/>
  <c r="F2348" i="1"/>
  <c r="F2537" i="1"/>
  <c r="F2813" i="1"/>
  <c r="F2510" i="1"/>
  <c r="F1562" i="1"/>
  <c r="F1939" i="1"/>
  <c r="F2023" i="1"/>
  <c r="F3178" i="1"/>
  <c r="F2666" i="1"/>
  <c r="F1238" i="1"/>
  <c r="F2138" i="1"/>
  <c r="F1394" i="1"/>
  <c r="F1670" i="1"/>
  <c r="F1097" i="1"/>
  <c r="F1697" i="1"/>
  <c r="F747" i="1"/>
  <c r="F1069" i="1"/>
  <c r="F1573" i="1"/>
  <c r="F917" i="1"/>
  <c r="F290" i="1"/>
  <c r="F237" i="1"/>
  <c r="F586" i="1"/>
  <c r="F24" i="1"/>
  <c r="F39" i="1"/>
  <c r="G13949" i="1"/>
  <c r="G13422" i="1"/>
  <c r="G14842" i="1"/>
  <c r="G14262" i="1"/>
  <c r="G13987" i="1"/>
  <c r="G14923" i="1"/>
  <c r="G13333" i="1"/>
  <c r="G14092" i="1"/>
  <c r="G12856" i="1"/>
  <c r="G12746" i="1"/>
  <c r="G12703" i="1"/>
  <c r="G12578" i="1"/>
  <c r="G12126" i="1"/>
  <c r="G13483" i="1"/>
  <c r="G11619" i="1"/>
  <c r="G14025" i="1"/>
  <c r="G12666" i="1"/>
  <c r="G14541" i="1"/>
  <c r="G13523" i="1"/>
  <c r="G11803" i="1"/>
  <c r="G11989" i="1"/>
  <c r="G10622" i="1"/>
  <c r="G10483" i="1"/>
  <c r="G12137" i="1"/>
  <c r="G10482" i="1"/>
  <c r="G12414" i="1"/>
  <c r="G10849" i="1"/>
  <c r="G13642" i="1"/>
  <c r="G12570" i="1"/>
  <c r="G11016" i="1"/>
  <c r="G11295" i="1"/>
  <c r="G8920" i="1"/>
  <c r="G11631" i="1"/>
  <c r="G10192" i="1"/>
  <c r="G11809" i="1"/>
  <c r="G10834" i="1"/>
  <c r="G9216" i="1"/>
  <c r="G12069" i="1"/>
  <c r="G11045" i="1"/>
  <c r="G10632" i="1"/>
  <c r="G8919" i="1"/>
  <c r="G6086" i="1"/>
  <c r="G4955" i="1"/>
  <c r="F2476" i="1"/>
  <c r="F2099" i="1"/>
  <c r="F3117" i="1"/>
  <c r="F2948" i="1"/>
  <c r="F2653" i="1"/>
  <c r="F2409" i="1"/>
  <c r="F2206" i="1"/>
  <c r="F2961" i="1"/>
  <c r="F2856" i="1"/>
  <c r="F2756" i="1"/>
  <c r="F2436" i="1"/>
  <c r="F1898" i="1"/>
  <c r="F2574" i="1"/>
  <c r="F2446" i="1"/>
  <c r="F2287" i="1"/>
  <c r="F2058" i="1"/>
  <c r="F1764" i="1"/>
  <c r="F1133" i="1"/>
  <c r="F2135" i="1"/>
  <c r="F1927" i="1"/>
  <c r="F1640" i="1"/>
  <c r="F2151" i="1"/>
  <c r="F1908" i="1"/>
  <c r="F1552" i="1"/>
  <c r="F2683" i="1"/>
  <c r="F2608" i="1"/>
  <c r="F2480" i="1"/>
  <c r="F2352" i="1"/>
  <c r="F2262" i="1"/>
  <c r="F2177" i="1"/>
  <c r="F1999" i="1"/>
  <c r="F1778" i="1"/>
  <c r="F1110" i="1"/>
  <c r="F2507" i="1"/>
  <c r="F2379" i="1"/>
  <c r="F2155" i="1"/>
  <c r="F1931" i="1"/>
  <c r="F1590" i="1"/>
  <c r="F3174" i="1"/>
  <c r="F3110" i="1"/>
  <c r="F3046" i="1"/>
  <c r="F2982" i="1"/>
  <c r="F2918" i="1"/>
  <c r="F2854" i="1"/>
  <c r="F2790" i="1"/>
  <c r="F2726" i="1"/>
  <c r="F2662" i="1"/>
  <c r="F2561" i="1"/>
  <c r="F2433" i="1"/>
  <c r="F2320" i="1"/>
  <c r="F2234" i="1"/>
  <c r="F2149" i="1"/>
  <c r="F1918" i="1"/>
  <c r="F1707" i="1"/>
  <c r="F1228" i="1"/>
  <c r="F1535" i="1"/>
  <c r="F1153" i="1"/>
  <c r="F2020" i="1"/>
  <c r="F1840" i="1"/>
  <c r="F1630" i="1"/>
  <c r="F1264" i="1"/>
  <c r="F1407" i="1"/>
  <c r="F2124" i="1"/>
  <c r="F1955" i="1"/>
  <c r="F1771" i="1"/>
  <c r="F1448" i="1"/>
  <c r="F1100" i="1"/>
  <c r="F1547" i="1"/>
  <c r="F1218" i="1"/>
  <c r="F1554" i="1"/>
  <c r="F1380" i="1"/>
  <c r="F1211" i="1"/>
  <c r="F1047" i="1"/>
  <c r="F1019" i="1"/>
  <c r="F1007" i="1"/>
  <c r="F1034" i="1"/>
  <c r="F997" i="1"/>
  <c r="F1730" i="1"/>
  <c r="F1666" i="1"/>
  <c r="F1542" i="1"/>
  <c r="F1368" i="1"/>
  <c r="F1203" i="1"/>
  <c r="F1033" i="1"/>
  <c r="F1587" i="1"/>
  <c r="F1418" i="1"/>
  <c r="F1244" i="1"/>
  <c r="F1083" i="1"/>
  <c r="F2141" i="1"/>
  <c r="F2077" i="1"/>
  <c r="F2013" i="1"/>
  <c r="F1949" i="1"/>
  <c r="F1885" i="1"/>
  <c r="F1821" i="1"/>
  <c r="F1757" i="1"/>
  <c r="F1693" i="1"/>
  <c r="F1614" i="1"/>
  <c r="F1440" i="1"/>
  <c r="F1271" i="1"/>
  <c r="F1129" i="1"/>
  <c r="F892" i="1"/>
  <c r="F1017" i="1"/>
  <c r="F889" i="1"/>
  <c r="F741" i="1"/>
  <c r="F260" i="1"/>
  <c r="F704" i="1"/>
  <c r="F803" i="1"/>
  <c r="F598" i="1"/>
  <c r="F755" i="1"/>
  <c r="F292" i="1"/>
  <c r="F686" i="1"/>
  <c r="F1064" i="1"/>
  <c r="F936" i="1"/>
  <c r="F827" i="1"/>
  <c r="F561" i="1"/>
  <c r="F1004" i="1"/>
  <c r="F876" i="1"/>
  <c r="F706" i="1"/>
  <c r="F1633" i="1"/>
  <c r="F1569" i="1"/>
  <c r="F1505" i="1"/>
  <c r="F1441" i="1"/>
  <c r="F1377" i="1"/>
  <c r="F1313" i="1"/>
  <c r="F1249" i="1"/>
  <c r="F1168" i="1"/>
  <c r="F1040" i="1"/>
  <c r="F912" i="1"/>
  <c r="F768" i="1"/>
  <c r="F268" i="1"/>
  <c r="F524" i="1"/>
  <c r="F183" i="1"/>
  <c r="F546" i="1"/>
  <c r="F231" i="1"/>
  <c r="F544" i="1"/>
  <c r="F278" i="1"/>
  <c r="F588" i="1"/>
  <c r="F230" i="1"/>
  <c r="F769" i="1"/>
  <c r="F648" i="1"/>
  <c r="F408" i="1"/>
  <c r="F642" i="1"/>
  <c r="F479" i="1"/>
  <c r="F201" i="1"/>
  <c r="F440" i="1"/>
  <c r="F239" i="1"/>
  <c r="F40" i="1"/>
  <c r="F140" i="1"/>
  <c r="F532" i="1"/>
  <c r="F400" i="1"/>
  <c r="F205" i="1"/>
  <c r="F577" i="1"/>
  <c r="F451" i="1"/>
  <c r="F294" i="1"/>
  <c r="F82" i="1"/>
  <c r="F563" i="1"/>
  <c r="F419" i="1"/>
  <c r="F293" i="1"/>
  <c r="F150" i="1"/>
  <c r="F10" i="1"/>
  <c r="F379" i="1"/>
  <c r="F238" i="1"/>
  <c r="F68" i="1"/>
  <c r="F257" i="1"/>
  <c r="F129" i="1"/>
  <c r="F44" i="1"/>
  <c r="F99" i="1"/>
  <c r="F35" i="1"/>
  <c r="G14590" i="1"/>
  <c r="G14742" i="1"/>
  <c r="G14523" i="1"/>
  <c r="G13526" i="1"/>
  <c r="G13484" i="1"/>
  <c r="G14807" i="1"/>
  <c r="G14193" i="1"/>
  <c r="G13938" i="1"/>
  <c r="G13625" i="1"/>
  <c r="G13364" i="1"/>
  <c r="G14032" i="1"/>
  <c r="G13771" i="1"/>
  <c r="G13457" i="1"/>
  <c r="G13132" i="1"/>
  <c r="G13715" i="1"/>
  <c r="G13412" i="1"/>
  <c r="G14843" i="1"/>
  <c r="G13338" i="1"/>
  <c r="G14812" i="1"/>
  <c r="G14326" i="1"/>
  <c r="G14900" i="1"/>
  <c r="G14251" i="1"/>
  <c r="G14121" i="1"/>
  <c r="G14810" i="1"/>
  <c r="G14506" i="1"/>
  <c r="G14370" i="1"/>
  <c r="G14242" i="1"/>
  <c r="G13943" i="1"/>
  <c r="G13650" i="1"/>
  <c r="G13337" i="1"/>
  <c r="G14794" i="1"/>
  <c r="G14211" i="1"/>
  <c r="G14715" i="1"/>
  <c r="G14162" i="1"/>
  <c r="G14225" i="1"/>
  <c r="G14835" i="1"/>
  <c r="G13490" i="1"/>
  <c r="G13207" i="1"/>
  <c r="G14398" i="1"/>
  <c r="G14914" i="1"/>
  <c r="G14395" i="1"/>
  <c r="G14784" i="1"/>
  <c r="G13296" i="1"/>
  <c r="G14594" i="1"/>
  <c r="G14808" i="1"/>
  <c r="G14185" i="1"/>
  <c r="G13940" i="1"/>
  <c r="G14916" i="1"/>
  <c r="G14738" i="1"/>
  <c r="G14591" i="1"/>
  <c r="G14463" i="1"/>
  <c r="G14335" i="1"/>
  <c r="G14194" i="1"/>
  <c r="G13908" i="1"/>
  <c r="G13584" i="1"/>
  <c r="G13323" i="1"/>
  <c r="G14612" i="1"/>
  <c r="G14548" i="1"/>
  <c r="G14484" i="1"/>
  <c r="G14420" i="1"/>
  <c r="G14356" i="1"/>
  <c r="G14292" i="1"/>
  <c r="G14218" i="1"/>
  <c r="G14087" i="1"/>
  <c r="G13951" i="1"/>
  <c r="G13789" i="1"/>
  <c r="G13643" i="1"/>
  <c r="G13507" i="1"/>
  <c r="G13350" i="1"/>
  <c r="G13189" i="1"/>
  <c r="G13013" i="1"/>
  <c r="G12839" i="1"/>
  <c r="G12593" i="1"/>
  <c r="G12327" i="1"/>
  <c r="G11974" i="1"/>
  <c r="G11646" i="1"/>
  <c r="G11148" i="1"/>
  <c r="G13097" i="1"/>
  <c r="G12921" i="1"/>
  <c r="G12713" i="1"/>
  <c r="G12443" i="1"/>
  <c r="G12128" i="1"/>
  <c r="G11811" i="1"/>
  <c r="G11362" i="1"/>
  <c r="G10878" i="1"/>
  <c r="G13060" i="1"/>
  <c r="G12883" i="1"/>
  <c r="G12694" i="1"/>
  <c r="G12359" i="1"/>
  <c r="G12006" i="1"/>
  <c r="G11655" i="1"/>
  <c r="G11232" i="1"/>
  <c r="G13175" i="1"/>
  <c r="G13010" i="1"/>
  <c r="G12819" i="1"/>
  <c r="G12568" i="1"/>
  <c r="G12224" i="1"/>
  <c r="G11907" i="1"/>
  <c r="G11450" i="1"/>
  <c r="G10938" i="1"/>
  <c r="G12955" i="1"/>
  <c r="G12751" i="1"/>
  <c r="G12452" i="1"/>
  <c r="G12102" i="1"/>
  <c r="G11756" i="1"/>
  <c r="G11285" i="1"/>
  <c r="G14192" i="1"/>
  <c r="G14062" i="1"/>
  <c r="G13916" i="1"/>
  <c r="G13754" i="1"/>
  <c r="G13618" i="1"/>
  <c r="G13477" i="1"/>
  <c r="G13331" i="1"/>
  <c r="G13186" i="1"/>
  <c r="G13009" i="1"/>
  <c r="G12834" i="1"/>
  <c r="G12564" i="1"/>
  <c r="G12281" i="1"/>
  <c r="G11952" i="1"/>
  <c r="G11605" i="1"/>
  <c r="G11097" i="1"/>
  <c r="G14909" i="1"/>
  <c r="G14773" i="1"/>
  <c r="G14625" i="1"/>
  <c r="G14497" i="1"/>
  <c r="G14369" i="1"/>
  <c r="G14249" i="1"/>
  <c r="G14020" i="1"/>
  <c r="G13853" i="1"/>
  <c r="G13707" i="1"/>
  <c r="G13571" i="1"/>
  <c r="G13414" i="1"/>
  <c r="G13268" i="1"/>
  <c r="G13093" i="1"/>
  <c r="G12917" i="1"/>
  <c r="G12657" i="1"/>
  <c r="G12396" i="1"/>
  <c r="G12012" i="1"/>
  <c r="G11633" i="1"/>
  <c r="G11131" i="1"/>
  <c r="G14897" i="1"/>
  <c r="G14769" i="1"/>
  <c r="G14653" i="1"/>
  <c r="G14533" i="1"/>
  <c r="G14405" i="1"/>
  <c r="G14269" i="1"/>
  <c r="G14232" i="1"/>
  <c r="G14103" i="1"/>
  <c r="G13941" i="1"/>
  <c r="G13805" i="1"/>
  <c r="G13664" i="1"/>
  <c r="G13502" i="1"/>
  <c r="G13361" i="1"/>
  <c r="G13225" i="1"/>
  <c r="G13074" i="1"/>
  <c r="G12904" i="1"/>
  <c r="G12682" i="1"/>
  <c r="G12416" i="1"/>
  <c r="G12121" i="1"/>
  <c r="G11792" i="1"/>
  <c r="G11386" i="1"/>
  <c r="G10906" i="1"/>
  <c r="G12784" i="1"/>
  <c r="G12627" i="1"/>
  <c r="G12481" i="1"/>
  <c r="G12318" i="1"/>
  <c r="G12148" i="1"/>
  <c r="G11983" i="1"/>
  <c r="G11806" i="1"/>
  <c r="G11620" i="1"/>
  <c r="G11372" i="1"/>
  <c r="G11116" i="1"/>
  <c r="G10463" i="1"/>
  <c r="G10104" i="1"/>
  <c r="G10782" i="1"/>
  <c r="G10611" i="1"/>
  <c r="G10028" i="1"/>
  <c r="G9500" i="1"/>
  <c r="G10726" i="1"/>
  <c r="G10523" i="1"/>
  <c r="G9804" i="1"/>
  <c r="G9362" i="1"/>
  <c r="G10693" i="1"/>
  <c r="G10458" i="1"/>
  <c r="G9675" i="1"/>
  <c r="G9246" i="1"/>
  <c r="G10317" i="1"/>
  <c r="G9784" i="1"/>
  <c r="G12587" i="1"/>
  <c r="G12446" i="1"/>
  <c r="G12290" i="1"/>
  <c r="G12131" i="1"/>
  <c r="G11954" i="1"/>
  <c r="G11776" i="1"/>
  <c r="G11550" i="1"/>
  <c r="G11330" i="1"/>
  <c r="G11074" i="1"/>
  <c r="G10862" i="1"/>
  <c r="G10691" i="1"/>
  <c r="G10457" i="1"/>
  <c r="G9690" i="1"/>
  <c r="G9136" i="1"/>
  <c r="G13099" i="1"/>
  <c r="G12971" i="1"/>
  <c r="G12853" i="1"/>
  <c r="G12712" i="1"/>
  <c r="G12550" i="1"/>
  <c r="G12409" i="1"/>
  <c r="G12253" i="1"/>
  <c r="G12076" i="1"/>
  <c r="G11917" i="1"/>
  <c r="G11761" i="1"/>
  <c r="G11556" i="1"/>
  <c r="G11282" i="1"/>
  <c r="G11026" i="1"/>
  <c r="G10838" i="1"/>
  <c r="G10667" i="1"/>
  <c r="G10402" i="1"/>
  <c r="G9570" i="1"/>
  <c r="G14145" i="1"/>
  <c r="G14017" i="1"/>
  <c r="G13889" i="1"/>
  <c r="G13761" i="1"/>
  <c r="G13633" i="1"/>
  <c r="G13505" i="1"/>
  <c r="G13377" i="1"/>
  <c r="G13249" i="1"/>
  <c r="G13121" i="1"/>
  <c r="G12993" i="1"/>
  <c r="G12847" i="1"/>
  <c r="G12701" i="1"/>
  <c r="G12565" i="1"/>
  <c r="G12424" i="1"/>
  <c r="G12251" i="1"/>
  <c r="G12081" i="1"/>
  <c r="G11904" i="1"/>
  <c r="G11716" i="1"/>
  <c r="G11491" i="1"/>
  <c r="G11235" i="1"/>
  <c r="G10979" i="1"/>
  <c r="G10805" i="1"/>
  <c r="G10634" i="1"/>
  <c r="G10178" i="1"/>
  <c r="G9547" i="1"/>
  <c r="G9040" i="1"/>
  <c r="G8537" i="1"/>
  <c r="G11414" i="1"/>
  <c r="G11286" i="1"/>
  <c r="G11158" i="1"/>
  <c r="G11030" i="1"/>
  <c r="G10542" i="1"/>
  <c r="G10374" i="1"/>
  <c r="G10246" i="1"/>
  <c r="G9959" i="1"/>
  <c r="G9630" i="1"/>
  <c r="G8902" i="1"/>
  <c r="G9063" i="1"/>
  <c r="G8609" i="1"/>
  <c r="G9075" i="1"/>
  <c r="G8624" i="1"/>
  <c r="G9168" i="1"/>
  <c r="G8747" i="1"/>
  <c r="G11750" i="1"/>
  <c r="G11622" i="1"/>
  <c r="G11494" i="1"/>
  <c r="G11366" i="1"/>
  <c r="G11238" i="1"/>
  <c r="G11110" i="1"/>
  <c r="G10982" i="1"/>
  <c r="G10469" i="1"/>
  <c r="G10322" i="1"/>
  <c r="G10183" i="1"/>
  <c r="G9854" i="1"/>
  <c r="G9155" i="1"/>
  <c r="G8728" i="1"/>
  <c r="G12312" i="1"/>
  <c r="G12184" i="1"/>
  <c r="G12056" i="1"/>
  <c r="G11928" i="1"/>
  <c r="G11800" i="1"/>
  <c r="G11672" i="1"/>
  <c r="G11544" i="1"/>
  <c r="G11416" i="1"/>
  <c r="G11288" i="1"/>
  <c r="G11160" i="1"/>
  <c r="G11032" i="1"/>
  <c r="G10914" i="1"/>
  <c r="G10829" i="1"/>
  <c r="G10743" i="1"/>
  <c r="G10658" i="1"/>
  <c r="G10563" i="1"/>
  <c r="G10385" i="1"/>
  <c r="G9844" i="1"/>
  <c r="G9563" i="1"/>
  <c r="G9392" i="1"/>
  <c r="G9191" i="1"/>
  <c r="G8746" i="1"/>
  <c r="G12828" i="1"/>
  <c r="G12700" i="1"/>
  <c r="G12572" i="1"/>
  <c r="G12444" i="1"/>
  <c r="G12316" i="1"/>
  <c r="G12188" i="1"/>
  <c r="G12060" i="1"/>
  <c r="G11932" i="1"/>
  <c r="G11804" i="1"/>
  <c r="G11676" i="1"/>
  <c r="G11548" i="1"/>
  <c r="G11420" i="1"/>
  <c r="G11292" i="1"/>
  <c r="G11164" i="1"/>
  <c r="G11036" i="1"/>
  <c r="G10550" i="1"/>
  <c r="G10271" i="1"/>
  <c r="G8510" i="1"/>
  <c r="G8388" i="1"/>
  <c r="G8259" i="1"/>
  <c r="G9492" i="1"/>
  <c r="G7931" i="1"/>
  <c r="G10572" i="1"/>
  <c r="G9815" i="1"/>
  <c r="G7407" i="1"/>
  <c r="G9310" i="1"/>
  <c r="G7059" i="1"/>
  <c r="G7853" i="1"/>
  <c r="G6944" i="1"/>
  <c r="G6758" i="1"/>
  <c r="G8800" i="1"/>
  <c r="G7598" i="1"/>
  <c r="G8946" i="1"/>
  <c r="G7805" i="1"/>
  <c r="G10189" i="1"/>
  <c r="G9677" i="1"/>
  <c r="G9069" i="1"/>
  <c r="G8000" i="1"/>
  <c r="G7627" i="1"/>
  <c r="G6617" i="1"/>
  <c r="G3714" i="1"/>
  <c r="G4413" i="1"/>
  <c r="G6815" i="1"/>
  <c r="G7907" i="1"/>
  <c r="G6883" i="1"/>
  <c r="G5532" i="1"/>
  <c r="G6262" i="1"/>
  <c r="F2467" i="1"/>
  <c r="F2050" i="1"/>
  <c r="F3108" i="1"/>
  <c r="F2939" i="1"/>
  <c r="F2645" i="1"/>
  <c r="F2400" i="1"/>
  <c r="F2185" i="1"/>
  <c r="F2952" i="1"/>
  <c r="F2851" i="1"/>
  <c r="F2749" i="1"/>
  <c r="F2427" i="1"/>
  <c r="F1871" i="1"/>
  <c r="F2565" i="1"/>
  <c r="F2437" i="1"/>
  <c r="F2271" i="1"/>
  <c r="F2027" i="1"/>
  <c r="F1743" i="1"/>
  <c r="F2221" i="1"/>
  <c r="F2128" i="1"/>
  <c r="F1903" i="1"/>
  <c r="F1599" i="1"/>
  <c r="F2140" i="1"/>
  <c r="F1896" i="1"/>
  <c r="F1511" i="1"/>
  <c r="F2679" i="1"/>
  <c r="F2599" i="1"/>
  <c r="F2471" i="1"/>
  <c r="F2342" i="1"/>
  <c r="F2257" i="1"/>
  <c r="F2172" i="1"/>
  <c r="F1975" i="1"/>
  <c r="F1759" i="1"/>
  <c r="F2630" i="1"/>
  <c r="F2502" i="1"/>
  <c r="F2374" i="1"/>
  <c r="F2132" i="1"/>
  <c r="F1919" i="1"/>
  <c r="F1507" i="1"/>
  <c r="F3170" i="1"/>
  <c r="F3106" i="1"/>
  <c r="F3042" i="1"/>
  <c r="F2978" i="1"/>
  <c r="F2914" i="1"/>
  <c r="F2850" i="1"/>
  <c r="F2786" i="1"/>
  <c r="F2722" i="1"/>
  <c r="F2658" i="1"/>
  <c r="F2552" i="1"/>
  <c r="F2424" i="1"/>
  <c r="F2314" i="1"/>
  <c r="F2229" i="1"/>
  <c r="F2144" i="1"/>
  <c r="F1912" i="1"/>
  <c r="F1671" i="1"/>
  <c r="F1206" i="1"/>
  <c r="F1506" i="1"/>
  <c r="F1142" i="1"/>
  <c r="F2011" i="1"/>
  <c r="F1835" i="1"/>
  <c r="F1598" i="1"/>
  <c r="F1242" i="1"/>
  <c r="F1378" i="1"/>
  <c r="F2115" i="1"/>
  <c r="F1946" i="1"/>
  <c r="F1763" i="1"/>
  <c r="F1416" i="1"/>
  <c r="F1887" i="1"/>
  <c r="F1538" i="1"/>
  <c r="F1188" i="1"/>
  <c r="F1540" i="1"/>
  <c r="F1371" i="1"/>
  <c r="F1196" i="1"/>
  <c r="F1038" i="1"/>
  <c r="F1010" i="1"/>
  <c r="F998" i="1"/>
  <c r="F1025" i="1"/>
  <c r="F960" i="1"/>
  <c r="F1726" i="1"/>
  <c r="F1662" i="1"/>
  <c r="F1528" i="1"/>
  <c r="F1359" i="1"/>
  <c r="F1198" i="1"/>
  <c r="F996" i="1"/>
  <c r="F1578" i="1"/>
  <c r="F1404" i="1"/>
  <c r="F1235" i="1"/>
  <c r="F1075" i="1"/>
  <c r="F2137" i="1"/>
  <c r="F2073" i="1"/>
  <c r="F2009" i="1"/>
  <c r="F1945" i="1"/>
  <c r="F1881" i="1"/>
  <c r="F1817" i="1"/>
  <c r="F1753" i="1"/>
  <c r="F1689" i="1"/>
  <c r="F1600" i="1"/>
  <c r="F1431" i="1"/>
  <c r="F1262" i="1"/>
  <c r="F1113" i="1"/>
  <c r="F883" i="1"/>
  <c r="F1012" i="1"/>
  <c r="F884" i="1"/>
  <c r="F736" i="1"/>
  <c r="F212" i="1"/>
  <c r="F699" i="1"/>
  <c r="F766" i="1"/>
  <c r="F505" i="1"/>
  <c r="F734" i="1"/>
  <c r="F195" i="1"/>
  <c r="F681" i="1"/>
  <c r="F1055" i="1"/>
  <c r="F927" i="1"/>
  <c r="F806" i="1"/>
  <c r="F493" i="1"/>
  <c r="F995" i="1"/>
  <c r="F867" i="1"/>
  <c r="F701" i="1"/>
  <c r="F1629" i="1"/>
  <c r="F1565" i="1"/>
  <c r="F1501" i="1"/>
  <c r="F1437" i="1"/>
  <c r="F1373" i="1"/>
  <c r="F1309" i="1"/>
  <c r="F1245" i="1"/>
  <c r="F1159" i="1"/>
  <c r="F1031" i="1"/>
  <c r="F903" i="1"/>
  <c r="F763" i="1"/>
  <c r="F220" i="1"/>
  <c r="F515" i="1"/>
  <c r="F112" i="1"/>
  <c r="F538" i="1"/>
  <c r="F219" i="1"/>
  <c r="F510" i="1"/>
  <c r="F242" i="1"/>
  <c r="F580" i="1"/>
  <c r="F218" i="1"/>
  <c r="F760" i="1"/>
  <c r="F643" i="1"/>
  <c r="F397" i="1"/>
  <c r="F637" i="1"/>
  <c r="F459" i="1"/>
  <c r="F148" i="1"/>
  <c r="F429" i="1"/>
  <c r="F221" i="1"/>
  <c r="F32" i="1"/>
  <c r="F132" i="1"/>
  <c r="F523" i="1"/>
  <c r="F363" i="1"/>
  <c r="F199" i="1"/>
  <c r="F568" i="1"/>
  <c r="F446" i="1"/>
  <c r="F288" i="1"/>
  <c r="F74" i="1"/>
  <c r="F558" i="1"/>
  <c r="F414" i="1"/>
  <c r="F287" i="1"/>
  <c r="F144" i="1"/>
  <c r="F16" i="1"/>
  <c r="F370" i="1"/>
  <c r="F233" i="1"/>
  <c r="F56" i="1"/>
  <c r="F248" i="1"/>
  <c r="F124" i="1"/>
  <c r="F38" i="1"/>
  <c r="F95" i="1"/>
  <c r="F31" i="1"/>
  <c r="G14558" i="1"/>
  <c r="G14664" i="1"/>
  <c r="G14491" i="1"/>
  <c r="G14862" i="1"/>
  <c r="G13411" i="1"/>
  <c r="G14800" i="1"/>
  <c r="G14184" i="1"/>
  <c r="G13928" i="1"/>
  <c r="G13614" i="1"/>
  <c r="G13353" i="1"/>
  <c r="G14021" i="1"/>
  <c r="G13760" i="1"/>
  <c r="G13447" i="1"/>
  <c r="G13083" i="1"/>
  <c r="G13694" i="1"/>
  <c r="G13370" i="1"/>
  <c r="G14180" i="1"/>
  <c r="G13328" i="1"/>
  <c r="G14787" i="1"/>
  <c r="G14294" i="1"/>
  <c r="G14875" i="1"/>
  <c r="G14171" i="1"/>
  <c r="G14059" i="1"/>
  <c r="G14778" i="1"/>
  <c r="G14498" i="1"/>
  <c r="G14362" i="1"/>
  <c r="G14234" i="1"/>
  <c r="G13922" i="1"/>
  <c r="G13640" i="1"/>
  <c r="G13326" i="1"/>
  <c r="G14748" i="1"/>
  <c r="G14094" i="1"/>
  <c r="G14690" i="1"/>
  <c r="G14080" i="1"/>
  <c r="G14142" i="1"/>
  <c r="G14803" i="1"/>
  <c r="G13480" i="1"/>
  <c r="G13193" i="1"/>
  <c r="G14358" i="1"/>
  <c r="G14882" i="1"/>
  <c r="G14363" i="1"/>
  <c r="G14759" i="1"/>
  <c r="G13254" i="1"/>
  <c r="G14578" i="1"/>
  <c r="G14790" i="1"/>
  <c r="G14176" i="1"/>
  <c r="G13919" i="1"/>
  <c r="G14898" i="1"/>
  <c r="G14731" i="1"/>
  <c r="G14583" i="1"/>
  <c r="G14455" i="1"/>
  <c r="G14327" i="1"/>
  <c r="G14157" i="1"/>
  <c r="G13897" i="1"/>
  <c r="G13573" i="1"/>
  <c r="G13312" i="1"/>
  <c r="G14608" i="1"/>
  <c r="G14544" i="1"/>
  <c r="G14480" i="1"/>
  <c r="G14416" i="1"/>
  <c r="G14352" i="1"/>
  <c r="G14288" i="1"/>
  <c r="G14213" i="1"/>
  <c r="G14076" i="1"/>
  <c r="G13914" i="1"/>
  <c r="G13778" i="1"/>
  <c r="G13637" i="1"/>
  <c r="G13491" i="1"/>
  <c r="G13334" i="1"/>
  <c r="G13171" i="1"/>
  <c r="G13006" i="1"/>
  <c r="G12830" i="1"/>
  <c r="G12551" i="1"/>
  <c r="G12303" i="1"/>
  <c r="G11949" i="1"/>
  <c r="G11632" i="1"/>
  <c r="G11111" i="1"/>
  <c r="G13079" i="1"/>
  <c r="G12914" i="1"/>
  <c r="G12704" i="1"/>
  <c r="G12433" i="1"/>
  <c r="G12104" i="1"/>
  <c r="G11787" i="1"/>
  <c r="G11344" i="1"/>
  <c r="G10857" i="1"/>
  <c r="G13054" i="1"/>
  <c r="G12870" i="1"/>
  <c r="G12687" i="1"/>
  <c r="G12335" i="1"/>
  <c r="G11981" i="1"/>
  <c r="G11641" i="1"/>
  <c r="G11195" i="1"/>
  <c r="G13169" i="1"/>
  <c r="G12999" i="1"/>
  <c r="G12812" i="1"/>
  <c r="G12557" i="1"/>
  <c r="G12200" i="1"/>
  <c r="G11883" i="1"/>
  <c r="G11432" i="1"/>
  <c r="G10917" i="1"/>
  <c r="G12949" i="1"/>
  <c r="G12744" i="1"/>
  <c r="G12431" i="1"/>
  <c r="G12077" i="1"/>
  <c r="G11711" i="1"/>
  <c r="G11230" i="1"/>
  <c r="G14183" i="1"/>
  <c r="G14057" i="1"/>
  <c r="G13911" i="1"/>
  <c r="G13749" i="1"/>
  <c r="G13613" i="1"/>
  <c r="G13472" i="1"/>
  <c r="G13310" i="1"/>
  <c r="G13168" i="1"/>
  <c r="G12991" i="1"/>
  <c r="G12825" i="1"/>
  <c r="G12553" i="1"/>
  <c r="G12256" i="1"/>
  <c r="G11939" i="1"/>
  <c r="G11546" i="1"/>
  <c r="G11042" i="1"/>
  <c r="G14893" i="1"/>
  <c r="G14761" i="1"/>
  <c r="G14617" i="1"/>
  <c r="G14489" i="1"/>
  <c r="G14361" i="1"/>
  <c r="G14241" i="1"/>
  <c r="G14015" i="1"/>
  <c r="G13842" i="1"/>
  <c r="G13701" i="1"/>
  <c r="G13555" i="1"/>
  <c r="G13398" i="1"/>
  <c r="G13262" i="1"/>
  <c r="G13075" i="1"/>
  <c r="G12910" i="1"/>
  <c r="G12615" i="1"/>
  <c r="G12341" i="1"/>
  <c r="G11999" i="1"/>
  <c r="G11574" i="1"/>
  <c r="G11113" i="1"/>
  <c r="G14889" i="1"/>
  <c r="G14765" i="1"/>
  <c r="G14645" i="1"/>
  <c r="G14525" i="1"/>
  <c r="G14397" i="1"/>
  <c r="G14261" i="1"/>
  <c r="G14223" i="1"/>
  <c r="G14082" i="1"/>
  <c r="G13936" i="1"/>
  <c r="G13800" i="1"/>
  <c r="G13659" i="1"/>
  <c r="G13497" i="1"/>
  <c r="G13356" i="1"/>
  <c r="G13220" i="1"/>
  <c r="G13063" i="1"/>
  <c r="G12898" i="1"/>
  <c r="G12673" i="1"/>
  <c r="G12395" i="1"/>
  <c r="G12096" i="1"/>
  <c r="G11734" i="1"/>
  <c r="G11368" i="1"/>
  <c r="G10885" i="1"/>
  <c r="G12768" i="1"/>
  <c r="G12611" i="1"/>
  <c r="G12475" i="1"/>
  <c r="G12300" i="1"/>
  <c r="G12141" i="1"/>
  <c r="G11965" i="1"/>
  <c r="G11788" i="1"/>
  <c r="G11591" i="1"/>
  <c r="G11335" i="1"/>
  <c r="G11079" i="1"/>
  <c r="G10438" i="1"/>
  <c r="G10086" i="1"/>
  <c r="G10771" i="1"/>
  <c r="G10601" i="1"/>
  <c r="G10010" i="1"/>
  <c r="G9479" i="1"/>
  <c r="G10715" i="1"/>
  <c r="G10498" i="1"/>
  <c r="G9786" i="1"/>
  <c r="G9334" i="1"/>
  <c r="G10682" i="1"/>
  <c r="G10433" i="1"/>
  <c r="G9620" i="1"/>
  <c r="G9198" i="1"/>
  <c r="G10301" i="1"/>
  <c r="G9766" i="1"/>
  <c r="G12582" i="1"/>
  <c r="G12441" i="1"/>
  <c r="G12283" i="1"/>
  <c r="G12113" i="1"/>
  <c r="G11936" i="1"/>
  <c r="G11755" i="1"/>
  <c r="G11542" i="1"/>
  <c r="G11321" i="1"/>
  <c r="G11065" i="1"/>
  <c r="G10851" i="1"/>
  <c r="G10681" i="1"/>
  <c r="G10443" i="1"/>
  <c r="G9635" i="1"/>
  <c r="G9077" i="1"/>
  <c r="G13094" i="1"/>
  <c r="G12966" i="1"/>
  <c r="G12848" i="1"/>
  <c r="G12691" i="1"/>
  <c r="G12545" i="1"/>
  <c r="G12404" i="1"/>
  <c r="G12246" i="1"/>
  <c r="G12070" i="1"/>
  <c r="G11911" i="1"/>
  <c r="G11753" i="1"/>
  <c r="G11527" i="1"/>
  <c r="G11273" i="1"/>
  <c r="G11017" i="1"/>
  <c r="G10827" i="1"/>
  <c r="G10657" i="1"/>
  <c r="G10179" i="1"/>
  <c r="G9548" i="1"/>
  <c r="G14136" i="1"/>
  <c r="G14008" i="1"/>
  <c r="G13880" i="1"/>
  <c r="G13752" i="1"/>
  <c r="G13624" i="1"/>
  <c r="G13496" i="1"/>
  <c r="G13368" i="1"/>
  <c r="G13240" i="1"/>
  <c r="G13112" i="1"/>
  <c r="G12984" i="1"/>
  <c r="G12842" i="1"/>
  <c r="G12696" i="1"/>
  <c r="G12560" i="1"/>
  <c r="G12403" i="1"/>
  <c r="G12240" i="1"/>
  <c r="G12075" i="1"/>
  <c r="G11898" i="1"/>
  <c r="G11687" i="1"/>
  <c r="G11482" i="1"/>
  <c r="G11226" i="1"/>
  <c r="G10970" i="1"/>
  <c r="G10794" i="1"/>
  <c r="G10623" i="1"/>
  <c r="G10123" i="1"/>
  <c r="G9526" i="1"/>
  <c r="G9012" i="1"/>
  <c r="G8500" i="1"/>
  <c r="G11405" i="1"/>
  <c r="G11277" i="1"/>
  <c r="G11149" i="1"/>
  <c r="G11021" i="1"/>
  <c r="G10535" i="1"/>
  <c r="G10366" i="1"/>
  <c r="G10238" i="1"/>
  <c r="G9950" i="1"/>
  <c r="G9259" i="1"/>
  <c r="G8847" i="1"/>
  <c r="G9039" i="1"/>
  <c r="G8572" i="1"/>
  <c r="G9050" i="1"/>
  <c r="G8606" i="1"/>
  <c r="G9157" i="1"/>
  <c r="G8729" i="1"/>
  <c r="G11741" i="1"/>
  <c r="G11613" i="1"/>
  <c r="G11485" i="1"/>
  <c r="G11357" i="1"/>
  <c r="G11229" i="1"/>
  <c r="G11101" i="1"/>
  <c r="G10973" i="1"/>
  <c r="G10462" i="1"/>
  <c r="G10314" i="1"/>
  <c r="G10174" i="1"/>
  <c r="G9808" i="1"/>
  <c r="G9131" i="1"/>
  <c r="G8710" i="1"/>
  <c r="G12307" i="1"/>
  <c r="G12179" i="1"/>
  <c r="G12051" i="1"/>
  <c r="G11923" i="1"/>
  <c r="G11795" i="1"/>
  <c r="G11667" i="1"/>
  <c r="G11539" i="1"/>
  <c r="G11411" i="1"/>
  <c r="G11283" i="1"/>
  <c r="G11155" i="1"/>
  <c r="G11027" i="1"/>
  <c r="G10909" i="1"/>
  <c r="G10823" i="1"/>
  <c r="G10738" i="1"/>
  <c r="G10653" i="1"/>
  <c r="G10545" i="1"/>
  <c r="G10164" i="1"/>
  <c r="G9835" i="1"/>
  <c r="G9552" i="1"/>
  <c r="G9382" i="1"/>
  <c r="G9167" i="1"/>
  <c r="G8691" i="1"/>
  <c r="G12823" i="1"/>
  <c r="G12695" i="1"/>
  <c r="G12567" i="1"/>
  <c r="G12439" i="1"/>
  <c r="G12311" i="1"/>
  <c r="G12183" i="1"/>
  <c r="G12055" i="1"/>
  <c r="G11927" i="1"/>
  <c r="G11799" i="1"/>
  <c r="G11671" i="1"/>
  <c r="G11543" i="1"/>
  <c r="G11415" i="1"/>
  <c r="G11287" i="1"/>
  <c r="G11159" i="1"/>
  <c r="G11031" i="1"/>
  <c r="G10543" i="1"/>
  <c r="G10267" i="1"/>
  <c r="G8501" i="1"/>
  <c r="G8378" i="1"/>
  <c r="G8248" i="1"/>
  <c r="G9487" i="1"/>
  <c r="G7906" i="1"/>
  <c r="G10568" i="1"/>
  <c r="G9806" i="1"/>
  <c r="G7352" i="1"/>
  <c r="G9304" i="1"/>
  <c r="G7004" i="1"/>
  <c r="G7835" i="1"/>
  <c r="G6935" i="1"/>
  <c r="G6721" i="1"/>
  <c r="G8791" i="1"/>
  <c r="G7561" i="1"/>
  <c r="G8937" i="1"/>
  <c r="G7794" i="1"/>
  <c r="G10185" i="1"/>
  <c r="G9673" i="1"/>
  <c r="G9064" i="1"/>
  <c r="G7982" i="1"/>
  <c r="G7618" i="1"/>
  <c r="G6612" i="1"/>
  <c r="G5065" i="1"/>
  <c r="G4375" i="1"/>
  <c r="G6806" i="1"/>
  <c r="G7898" i="1"/>
  <c r="G6874" i="1"/>
  <c r="G5507" i="1"/>
  <c r="G6198" i="1"/>
  <c r="F2430" i="1"/>
  <c r="F2026" i="1"/>
  <c r="F3099" i="1"/>
  <c r="F2925" i="1"/>
  <c r="F2637" i="1"/>
  <c r="F2391" i="1"/>
  <c r="F2164" i="1"/>
  <c r="F2943" i="1"/>
  <c r="F2845" i="1"/>
  <c r="F2731" i="1"/>
  <c r="F2390" i="1"/>
  <c r="F1843" i="1"/>
  <c r="F2556" i="1"/>
  <c r="F2428" i="1"/>
  <c r="F2255" i="1"/>
  <c r="F2015" i="1"/>
  <c r="F1716" i="1"/>
  <c r="F2216" i="1"/>
  <c r="F2110" i="1"/>
  <c r="F1884" i="1"/>
  <c r="F1558" i="1"/>
  <c r="F2134" i="1"/>
  <c r="F1890" i="1"/>
  <c r="F1406" i="1"/>
  <c r="F2675" i="1"/>
  <c r="F2594" i="1"/>
  <c r="F2466" i="1"/>
  <c r="F2337" i="1"/>
  <c r="F2252" i="1"/>
  <c r="F2166" i="1"/>
  <c r="F1968" i="1"/>
  <c r="F1735" i="1"/>
  <c r="F2621" i="1"/>
  <c r="F2493" i="1"/>
  <c r="F2365" i="1"/>
  <c r="F2120" i="1"/>
  <c r="F1907" i="1"/>
  <c r="F1466" i="1"/>
  <c r="F3166" i="1"/>
  <c r="F3102" i="1"/>
  <c r="F3038" i="1"/>
  <c r="F2974" i="1"/>
  <c r="F2910" i="1"/>
  <c r="F2846" i="1"/>
  <c r="F2782" i="1"/>
  <c r="F2718" i="1"/>
  <c r="F2654" i="1"/>
  <c r="F2543" i="1"/>
  <c r="F2415" i="1"/>
  <c r="F2309" i="1"/>
  <c r="F2224" i="1"/>
  <c r="F2126" i="1"/>
  <c r="F1894" i="1"/>
  <c r="F1659" i="1"/>
  <c r="F1172" i="1"/>
  <c r="F1494" i="1"/>
  <c r="F1117" i="1"/>
  <c r="F2002" i="1"/>
  <c r="F1823" i="1"/>
  <c r="F1588" i="1"/>
  <c r="F1232" i="1"/>
  <c r="F1366" i="1"/>
  <c r="F2106" i="1"/>
  <c r="F1932" i="1"/>
  <c r="F1747" i="1"/>
  <c r="F1387" i="1"/>
  <c r="F1878" i="1"/>
  <c r="F1492" i="1"/>
  <c r="F1178" i="1"/>
  <c r="F1531" i="1"/>
  <c r="F1362" i="1"/>
  <c r="F1180" i="1"/>
  <c r="F1029" i="1"/>
  <c r="F1001" i="1"/>
  <c r="F989" i="1"/>
  <c r="F988" i="1"/>
  <c r="F951" i="1"/>
  <c r="F1722" i="1"/>
  <c r="F1658" i="1"/>
  <c r="F1519" i="1"/>
  <c r="F1350" i="1"/>
  <c r="F1193" i="1"/>
  <c r="F987" i="1"/>
  <c r="F1564" i="1"/>
  <c r="F1395" i="1"/>
  <c r="F1226" i="1"/>
  <c r="F1048" i="1"/>
  <c r="F2133" i="1"/>
  <c r="F2069" i="1"/>
  <c r="F2005" i="1"/>
  <c r="F1941" i="1"/>
  <c r="F1877" i="1"/>
  <c r="F1813" i="1"/>
  <c r="F1749" i="1"/>
  <c r="F1685" i="1"/>
  <c r="F1591" i="1"/>
  <c r="F1422" i="1"/>
  <c r="F1248" i="1"/>
  <c r="F1102" i="1"/>
  <c r="F874" i="1"/>
  <c r="F1003" i="1"/>
  <c r="F875" i="1"/>
  <c r="F731" i="1"/>
  <c r="F141" i="1"/>
  <c r="F678" i="1"/>
  <c r="F761" i="1"/>
  <c r="F385" i="1"/>
  <c r="F729" i="1"/>
  <c r="F104" i="1"/>
  <c r="F676" i="1"/>
  <c r="F1046" i="1"/>
  <c r="F918" i="1"/>
  <c r="F780" i="1"/>
  <c r="F413" i="1"/>
  <c r="F986" i="1"/>
  <c r="F826" i="1"/>
  <c r="F690" i="1"/>
  <c r="F1625" i="1"/>
  <c r="F1561" i="1"/>
  <c r="F1497" i="1"/>
  <c r="F1433" i="1"/>
  <c r="F1369" i="1"/>
  <c r="F1305" i="1"/>
  <c r="F1241" i="1"/>
  <c r="F1150" i="1"/>
  <c r="F1022" i="1"/>
  <c r="F894" i="1"/>
  <c r="F742" i="1"/>
  <c r="F662" i="1"/>
  <c r="F478" i="1"/>
  <c r="F46" i="1"/>
  <c r="F529" i="1"/>
  <c r="F208" i="1"/>
  <c r="F501" i="1"/>
  <c r="F206" i="1"/>
  <c r="F537" i="1"/>
  <c r="F126" i="1"/>
  <c r="F751" i="1"/>
  <c r="F606" i="1"/>
  <c r="F366" i="1"/>
  <c r="F632" i="1"/>
  <c r="F449" i="1"/>
  <c r="F53" i="1"/>
  <c r="F424" i="1"/>
  <c r="F209" i="1"/>
  <c r="F189" i="1"/>
  <c r="F125" i="1"/>
  <c r="F518" i="1"/>
  <c r="F358" i="1"/>
  <c r="F187" i="1"/>
  <c r="F559" i="1"/>
  <c r="F441" i="1"/>
  <c r="F282" i="1"/>
  <c r="F50" i="1"/>
  <c r="F549" i="1"/>
  <c r="F409" i="1"/>
  <c r="F276" i="1"/>
  <c r="F130" i="1"/>
  <c r="F9" i="1"/>
  <c r="F361" i="1"/>
  <c r="F228" i="1"/>
  <c r="F37" i="1"/>
  <c r="F243" i="1"/>
  <c r="F118" i="1"/>
  <c r="F33" i="1"/>
  <c r="F91" i="1"/>
  <c r="F27" i="1"/>
  <c r="G14518" i="1"/>
  <c r="G14208" i="1"/>
  <c r="G14459" i="1"/>
  <c r="G14830" i="1"/>
  <c r="G13358" i="1"/>
  <c r="G14782" i="1"/>
  <c r="G14175" i="1"/>
  <c r="G13907" i="1"/>
  <c r="G13604" i="1"/>
  <c r="G13343" i="1"/>
  <c r="G14011" i="1"/>
  <c r="G13718" i="1"/>
  <c r="G13436" i="1"/>
  <c r="G14728" i="1"/>
  <c r="G13684" i="1"/>
  <c r="G13360" i="1"/>
  <c r="G13767" i="1"/>
  <c r="G13317" i="1"/>
  <c r="G14755" i="1"/>
  <c r="G14254" i="1"/>
  <c r="G14740" i="1"/>
  <c r="G14091" i="1"/>
  <c r="G13870" i="1"/>
  <c r="G14739" i="1"/>
  <c r="G14490" i="1"/>
  <c r="G14354" i="1"/>
  <c r="G14197" i="1"/>
  <c r="G13901" i="1"/>
  <c r="G13619" i="1"/>
  <c r="G13316" i="1"/>
  <c r="G14698" i="1"/>
  <c r="G14888" i="1"/>
  <c r="G14658" i="1"/>
  <c r="G14028" i="1"/>
  <c r="G14069" i="1"/>
  <c r="G14771" i="1"/>
  <c r="G13459" i="1"/>
  <c r="G13150" i="1"/>
  <c r="G14318" i="1"/>
  <c r="G14850" i="1"/>
  <c r="G14331" i="1"/>
  <c r="G14727" i="1"/>
  <c r="G13223" i="1"/>
  <c r="G14562" i="1"/>
  <c r="G14783" i="1"/>
  <c r="G14167" i="1"/>
  <c r="G13877" i="1"/>
  <c r="G14891" i="1"/>
  <c r="G14724" i="1"/>
  <c r="G14575" i="1"/>
  <c r="G14447" i="1"/>
  <c r="G14319" i="1"/>
  <c r="G14148" i="1"/>
  <c r="G13887" i="1"/>
  <c r="G13563" i="1"/>
  <c r="G13270" i="1"/>
  <c r="G14604" i="1"/>
  <c r="G14540" i="1"/>
  <c r="G14476" i="1"/>
  <c r="G14412" i="1"/>
  <c r="G14348" i="1"/>
  <c r="G14284" i="1"/>
  <c r="G14204" i="1"/>
  <c r="G14071" i="1"/>
  <c r="G13909" i="1"/>
  <c r="G13773" i="1"/>
  <c r="G13632" i="1"/>
  <c r="G13470" i="1"/>
  <c r="G13329" i="1"/>
  <c r="G13165" i="1"/>
  <c r="G12995" i="1"/>
  <c r="G12781" i="1"/>
  <c r="G12541" i="1"/>
  <c r="G12278" i="1"/>
  <c r="G11925" i="1"/>
  <c r="G11616" i="1"/>
  <c r="G11093" i="1"/>
  <c r="G13073" i="1"/>
  <c r="G12903" i="1"/>
  <c r="G12697" i="1"/>
  <c r="G12391" i="1"/>
  <c r="G12091" i="1"/>
  <c r="G11743" i="1"/>
  <c r="G11307" i="1"/>
  <c r="G10835" i="1"/>
  <c r="G13036" i="1"/>
  <c r="G12854" i="1"/>
  <c r="G12678" i="1"/>
  <c r="G12310" i="1"/>
  <c r="G11957" i="1"/>
  <c r="G11625" i="1"/>
  <c r="G11177" i="1"/>
  <c r="G13151" i="1"/>
  <c r="G12992" i="1"/>
  <c r="G12786" i="1"/>
  <c r="G12515" i="1"/>
  <c r="G12187" i="1"/>
  <c r="G11858" i="1"/>
  <c r="G11395" i="1"/>
  <c r="G10895" i="1"/>
  <c r="G12942" i="1"/>
  <c r="G12702" i="1"/>
  <c r="G12410" i="1"/>
  <c r="G12053" i="1"/>
  <c r="G11697" i="1"/>
  <c r="G11212" i="1"/>
  <c r="G14174" i="1"/>
  <c r="G14052" i="1"/>
  <c r="G13890" i="1"/>
  <c r="G13744" i="1"/>
  <c r="G13608" i="1"/>
  <c r="G13467" i="1"/>
  <c r="G13305" i="1"/>
  <c r="G13161" i="1"/>
  <c r="G12985" i="1"/>
  <c r="G12783" i="1"/>
  <c r="G12522" i="1"/>
  <c r="G12232" i="1"/>
  <c r="G11915" i="1"/>
  <c r="G11532" i="1"/>
  <c r="G11024" i="1"/>
  <c r="G14881" i="1"/>
  <c r="G14753" i="1"/>
  <c r="G14609" i="1"/>
  <c r="G14481" i="1"/>
  <c r="G14353" i="1"/>
  <c r="G14205" i="1"/>
  <c r="G13978" i="1"/>
  <c r="G13837" i="1"/>
  <c r="G13696" i="1"/>
  <c r="G13534" i="1"/>
  <c r="G13393" i="1"/>
  <c r="G13257" i="1"/>
  <c r="G13069" i="1"/>
  <c r="G12899" i="1"/>
  <c r="G12605" i="1"/>
  <c r="G12317" i="1"/>
  <c r="G11988" i="1"/>
  <c r="G11560" i="1"/>
  <c r="G11058" i="1"/>
  <c r="G14885" i="1"/>
  <c r="G14757" i="1"/>
  <c r="G14641" i="1"/>
  <c r="G14517" i="1"/>
  <c r="G14389" i="1"/>
  <c r="G14253" i="1"/>
  <c r="G14214" i="1"/>
  <c r="G14077" i="1"/>
  <c r="G13931" i="1"/>
  <c r="G13795" i="1"/>
  <c r="G13638" i="1"/>
  <c r="G13492" i="1"/>
  <c r="G13351" i="1"/>
  <c r="G13215" i="1"/>
  <c r="G13056" i="1"/>
  <c r="G12880" i="1"/>
  <c r="G12646" i="1"/>
  <c r="G12385" i="1"/>
  <c r="G12072" i="1"/>
  <c r="G11720" i="1"/>
  <c r="G11331" i="1"/>
  <c r="G10863" i="1"/>
  <c r="G12747" i="1"/>
  <c r="G12606" i="1"/>
  <c r="G12470" i="1"/>
  <c r="G12294" i="1"/>
  <c r="G12135" i="1"/>
  <c r="G11958" i="1"/>
  <c r="G11774" i="1"/>
  <c r="G11583" i="1"/>
  <c r="G11326" i="1"/>
  <c r="G11070" i="1"/>
  <c r="G10413" i="1"/>
  <c r="G10031" i="1"/>
  <c r="G10761" i="1"/>
  <c r="G10590" i="1"/>
  <c r="G9955" i="1"/>
  <c r="G9458" i="1"/>
  <c r="G10705" i="1"/>
  <c r="G10473" i="1"/>
  <c r="G9731" i="1"/>
  <c r="G9292" i="1"/>
  <c r="G10671" i="1"/>
  <c r="G10419" i="1"/>
  <c r="G9600" i="1"/>
  <c r="G9149" i="1"/>
  <c r="G10285" i="1"/>
  <c r="G9711" i="1"/>
  <c r="G12577" i="1"/>
  <c r="G12436" i="1"/>
  <c r="G12272" i="1"/>
  <c r="G12107" i="1"/>
  <c r="G11930" i="1"/>
  <c r="G11747" i="1"/>
  <c r="G11536" i="1"/>
  <c r="G11312" i="1"/>
  <c r="G11056" i="1"/>
  <c r="G10841" i="1"/>
  <c r="G10670" i="1"/>
  <c r="G10418" i="1"/>
  <c r="G9596" i="1"/>
  <c r="G13213" i="1"/>
  <c r="G13085" i="1"/>
  <c r="G12957" i="1"/>
  <c r="G12832" i="1"/>
  <c r="G12675" i="1"/>
  <c r="G12539" i="1"/>
  <c r="G12393" i="1"/>
  <c r="G12228" i="1"/>
  <c r="G12063" i="1"/>
  <c r="G11893" i="1"/>
  <c r="G11710" i="1"/>
  <c r="G11519" i="1"/>
  <c r="G11264" i="1"/>
  <c r="G11008" i="1"/>
  <c r="G10817" i="1"/>
  <c r="G10646" i="1"/>
  <c r="G10124" i="1"/>
  <c r="G9527" i="1"/>
  <c r="G14127" i="1"/>
  <c r="G13999" i="1"/>
  <c r="G13871" i="1"/>
  <c r="G13743" i="1"/>
  <c r="G13615" i="1"/>
  <c r="G13487" i="1"/>
  <c r="G13359" i="1"/>
  <c r="G13231" i="1"/>
  <c r="G13103" i="1"/>
  <c r="G12975" i="1"/>
  <c r="G12831" i="1"/>
  <c r="G12690" i="1"/>
  <c r="G12544" i="1"/>
  <c r="G12387" i="1"/>
  <c r="G12233" i="1"/>
  <c r="G12057" i="1"/>
  <c r="G11880" i="1"/>
  <c r="G11679" i="1"/>
  <c r="G11473" i="1"/>
  <c r="G11217" i="1"/>
  <c r="G10961" i="1"/>
  <c r="G10783" i="1"/>
  <c r="G10613" i="1"/>
  <c r="G10068" i="1"/>
  <c r="G9504" i="1"/>
  <c r="G8998" i="1"/>
  <c r="G8482" i="1"/>
  <c r="G11396" i="1"/>
  <c r="G11268" i="1"/>
  <c r="G11140" i="1"/>
  <c r="G11012" i="1"/>
  <c r="G10517" i="1"/>
  <c r="G10358" i="1"/>
  <c r="G10230" i="1"/>
  <c r="G9904" i="1"/>
  <c r="G9235" i="1"/>
  <c r="G8829" i="1"/>
  <c r="G9011" i="1"/>
  <c r="G8554" i="1"/>
  <c r="G9025" i="1"/>
  <c r="G8551" i="1"/>
  <c r="G9144" i="1"/>
  <c r="G8692" i="1"/>
  <c r="G11732" i="1"/>
  <c r="G11604" i="1"/>
  <c r="G11476" i="1"/>
  <c r="G11348" i="1"/>
  <c r="G11220" i="1"/>
  <c r="G11092" i="1"/>
  <c r="G10964" i="1"/>
  <c r="G10455" i="1"/>
  <c r="G10306" i="1"/>
  <c r="G10128" i="1"/>
  <c r="G9799" i="1"/>
  <c r="G9107" i="1"/>
  <c r="G8655" i="1"/>
  <c r="G12298" i="1"/>
  <c r="G12170" i="1"/>
  <c r="G12042" i="1"/>
  <c r="G11914" i="1"/>
  <c r="G11786" i="1"/>
  <c r="G11658" i="1"/>
  <c r="G11530" i="1"/>
  <c r="G11402" i="1"/>
  <c r="G11274" i="1"/>
  <c r="G11146" i="1"/>
  <c r="G11018" i="1"/>
  <c r="G10903" i="1"/>
  <c r="G10818" i="1"/>
  <c r="G10733" i="1"/>
  <c r="G10647" i="1"/>
  <c r="G10538" i="1"/>
  <c r="G10155" i="1"/>
  <c r="G9826" i="1"/>
  <c r="G9542" i="1"/>
  <c r="G9371" i="1"/>
  <c r="G9143" i="1"/>
  <c r="G8673" i="1"/>
  <c r="G12814" i="1"/>
  <c r="G12686" i="1"/>
  <c r="G12558" i="1"/>
  <c r="G12430" i="1"/>
  <c r="G12302" i="1"/>
  <c r="G12174" i="1"/>
  <c r="G12046" i="1"/>
  <c r="G11918" i="1"/>
  <c r="G11790" i="1"/>
  <c r="G11662" i="1"/>
  <c r="G11534" i="1"/>
  <c r="G11406" i="1"/>
  <c r="G11278" i="1"/>
  <c r="G11150" i="1"/>
  <c r="G11022" i="1"/>
  <c r="G10383" i="1"/>
  <c r="G10207" i="1"/>
  <c r="G8191" i="1"/>
  <c r="G8085" i="1"/>
  <c r="G7919" i="1"/>
  <c r="G9407" i="1"/>
  <c r="G7556" i="1"/>
  <c r="G10508" i="1"/>
  <c r="G9646" i="1"/>
  <c r="G10203" i="1"/>
  <c r="G9189" i="1"/>
  <c r="G8844" i="1"/>
  <c r="G7658" i="1"/>
  <c r="G6688" i="1"/>
  <c r="G6423" i="1"/>
  <c r="G8672" i="1"/>
  <c r="G7342" i="1"/>
  <c r="G8818" i="1"/>
  <c r="G7570" i="1"/>
  <c r="G10125" i="1"/>
  <c r="G9613" i="1"/>
  <c r="G8941" i="1"/>
  <c r="G7830" i="1"/>
  <c r="G7499" i="1"/>
  <c r="G6500" i="1"/>
  <c r="G4353" i="1"/>
  <c r="G7711" i="1"/>
  <c r="G6687" i="1"/>
  <c r="G7779" i="1"/>
  <c r="G6755" i="1"/>
  <c r="G5075" i="1"/>
  <c r="G4945" i="1"/>
  <c r="F2421" i="1"/>
  <c r="F1928" i="1"/>
  <c r="F3085" i="1"/>
  <c r="F2776" i="1"/>
  <c r="F2610" i="1"/>
  <c r="F2354" i="1"/>
  <c r="F2142" i="1"/>
  <c r="F2929" i="1"/>
  <c r="F2840" i="1"/>
  <c r="F2724" i="1"/>
  <c r="F2381" i="1"/>
  <c r="F1811" i="1"/>
  <c r="F2547" i="1"/>
  <c r="F2419" i="1"/>
  <c r="F2239" i="1"/>
  <c r="F2003" i="1"/>
  <c r="F1692" i="1"/>
  <c r="F2210" i="1"/>
  <c r="F2104" i="1"/>
  <c r="F1870" i="1"/>
  <c r="F1516" i="1"/>
  <c r="F2122" i="1"/>
  <c r="F1876" i="1"/>
  <c r="F1384" i="1"/>
  <c r="F2671" i="1"/>
  <c r="F2585" i="1"/>
  <c r="F2457" i="1"/>
  <c r="F2332" i="1"/>
  <c r="F2246" i="1"/>
  <c r="F2161" i="1"/>
  <c r="F1950" i="1"/>
  <c r="F1723" i="1"/>
  <c r="F2612" i="1"/>
  <c r="F2484" i="1"/>
  <c r="F2356" i="1"/>
  <c r="F2114" i="1"/>
  <c r="F1847" i="1"/>
  <c r="F1424" i="1"/>
  <c r="F3162" i="1"/>
  <c r="F3098" i="1"/>
  <c r="F3034" i="1"/>
  <c r="F2970" i="1"/>
  <c r="F2906" i="1"/>
  <c r="F2842" i="1"/>
  <c r="F2778" i="1"/>
  <c r="F2714" i="1"/>
  <c r="F2650" i="1"/>
  <c r="F2538" i="1"/>
  <c r="F2410" i="1"/>
  <c r="F2304" i="1"/>
  <c r="F2218" i="1"/>
  <c r="F2119" i="1"/>
  <c r="F1888" i="1"/>
  <c r="F1644" i="1"/>
  <c r="F1137" i="1"/>
  <c r="F1484" i="1"/>
  <c r="F1106" i="1"/>
  <c r="F1988" i="1"/>
  <c r="F1816" i="1"/>
  <c r="F1576" i="1"/>
  <c r="F1189" i="1"/>
  <c r="F1356" i="1"/>
  <c r="F2092" i="1"/>
  <c r="F1923" i="1"/>
  <c r="F1728" i="1"/>
  <c r="F1375" i="1"/>
  <c r="F1864" i="1"/>
  <c r="F1483" i="1"/>
  <c r="F1167" i="1"/>
  <c r="F1522" i="1"/>
  <c r="F1348" i="1"/>
  <c r="F1175" i="1"/>
  <c r="F992" i="1"/>
  <c r="F964" i="1"/>
  <c r="F952" i="1"/>
  <c r="F979" i="1"/>
  <c r="F942" i="1"/>
  <c r="F1718" i="1"/>
  <c r="F1654" i="1"/>
  <c r="F1510" i="1"/>
  <c r="F1336" i="1"/>
  <c r="F1177" i="1"/>
  <c r="F978" i="1"/>
  <c r="F1555" i="1"/>
  <c r="F1386" i="1"/>
  <c r="F1212" i="1"/>
  <c r="F1039" i="1"/>
  <c r="F2129" i="1"/>
  <c r="F2065" i="1"/>
  <c r="F2001" i="1"/>
  <c r="F1937" i="1"/>
  <c r="F1873" i="1"/>
  <c r="F1809" i="1"/>
  <c r="F1745" i="1"/>
  <c r="F1681" i="1"/>
  <c r="F1582" i="1"/>
  <c r="F1408" i="1"/>
  <c r="F1239" i="1"/>
  <c r="F1096" i="1"/>
  <c r="F865" i="1"/>
  <c r="F994" i="1"/>
  <c r="F866" i="1"/>
  <c r="F710" i="1"/>
  <c r="F840" i="1"/>
  <c r="F665" i="1"/>
  <c r="F756" i="1"/>
  <c r="F343" i="1"/>
  <c r="F724" i="1"/>
  <c r="F807" i="1"/>
  <c r="F671" i="1"/>
  <c r="F1037" i="1"/>
  <c r="F909" i="1"/>
  <c r="F775" i="1"/>
  <c r="F371" i="1"/>
  <c r="F977" i="1"/>
  <c r="F821" i="1"/>
  <c r="F685" i="1"/>
  <c r="F1621" i="1"/>
  <c r="F1557" i="1"/>
  <c r="F1493" i="1"/>
  <c r="F1429" i="1"/>
  <c r="F1365" i="1"/>
  <c r="F1301" i="1"/>
  <c r="F1237" i="1"/>
  <c r="F1141" i="1"/>
  <c r="F1013" i="1"/>
  <c r="F885" i="1"/>
  <c r="F726" i="1"/>
  <c r="F657" i="1"/>
  <c r="F469" i="1"/>
  <c r="F670" i="1"/>
  <c r="F520" i="1"/>
  <c r="F194" i="1"/>
  <c r="F492" i="1"/>
  <c r="F190" i="1"/>
  <c r="F528" i="1"/>
  <c r="F94" i="1"/>
  <c r="F746" i="1"/>
  <c r="F601" i="1"/>
  <c r="F355" i="1"/>
  <c r="F626" i="1"/>
  <c r="F438" i="1"/>
  <c r="F21" i="1"/>
  <c r="F403" i="1"/>
  <c r="F203" i="1"/>
  <c r="F177" i="1"/>
  <c r="F117" i="1"/>
  <c r="F509" i="1"/>
  <c r="F353" i="1"/>
  <c r="F175" i="1"/>
  <c r="F554" i="1"/>
  <c r="F436" i="1"/>
  <c r="F270" i="1"/>
  <c r="F41" i="1"/>
  <c r="F540" i="1"/>
  <c r="F404" i="1"/>
  <c r="F269" i="1"/>
  <c r="F89" i="1"/>
  <c r="F14" i="1"/>
  <c r="F352" i="1"/>
  <c r="F207" i="1"/>
  <c r="F25" i="1"/>
  <c r="F234" i="1"/>
  <c r="F113" i="1"/>
  <c r="F28" i="1"/>
  <c r="F87" i="1"/>
  <c r="F23" i="1"/>
  <c r="G14478" i="1"/>
  <c r="G14153" i="1"/>
  <c r="G14419" i="1"/>
  <c r="G14798" i="1"/>
  <c r="G13306" i="1"/>
  <c r="G14775" i="1"/>
  <c r="G14166" i="1"/>
  <c r="G13886" i="1"/>
  <c r="G13562" i="1"/>
  <c r="G13301" i="1"/>
  <c r="G13990" i="1"/>
  <c r="G13708" i="1"/>
  <c r="G13405" i="1"/>
  <c r="G14060" i="1"/>
  <c r="G13673" i="1"/>
  <c r="G13349" i="1"/>
  <c r="G13641" i="1"/>
  <c r="G13307" i="1"/>
  <c r="G14723" i="1"/>
  <c r="G14229" i="1"/>
  <c r="G14722" i="1"/>
  <c r="G13892" i="1"/>
  <c r="G13818" i="1"/>
  <c r="G14707" i="1"/>
  <c r="G14482" i="1"/>
  <c r="G14346" i="1"/>
  <c r="G14188" i="1"/>
  <c r="G13891" i="1"/>
  <c r="G13598" i="1"/>
  <c r="G13274" i="1"/>
  <c r="G14659" i="1"/>
  <c r="G14863" i="1"/>
  <c r="G14627" i="1"/>
  <c r="G13955" i="1"/>
  <c r="G14006" i="1"/>
  <c r="G14746" i="1"/>
  <c r="G13438" i="1"/>
  <c r="G13101" i="1"/>
  <c r="G14286" i="1"/>
  <c r="G14818" i="1"/>
  <c r="G14299" i="1"/>
  <c r="G14695" i="1"/>
  <c r="G14899" i="1"/>
  <c r="G14538" i="1"/>
  <c r="G14758" i="1"/>
  <c r="G14158" i="1"/>
  <c r="G13867" i="1"/>
  <c r="G14884" i="1"/>
  <c r="G14706" i="1"/>
  <c r="G14567" i="1"/>
  <c r="G14439" i="1"/>
  <c r="G14311" i="1"/>
  <c r="G14106" i="1"/>
  <c r="G13845" i="1"/>
  <c r="G13542" i="1"/>
  <c r="G13260" i="1"/>
  <c r="G14600" i="1"/>
  <c r="G14536" i="1"/>
  <c r="G14472" i="1"/>
  <c r="G14408" i="1"/>
  <c r="G14344" i="1"/>
  <c r="G14280" i="1"/>
  <c r="G14195" i="1"/>
  <c r="G14050" i="1"/>
  <c r="G13904" i="1"/>
  <c r="G13768" i="1"/>
  <c r="G13627" i="1"/>
  <c r="G13465" i="1"/>
  <c r="G13324" i="1"/>
  <c r="G13147" i="1"/>
  <c r="G12988" i="1"/>
  <c r="G12772" i="1"/>
  <c r="G12530" i="1"/>
  <c r="G12254" i="1"/>
  <c r="G11901" i="1"/>
  <c r="G11587" i="1"/>
  <c r="G11038" i="1"/>
  <c r="G13055" i="1"/>
  <c r="G12896" i="1"/>
  <c r="G12688" i="1"/>
  <c r="G12381" i="1"/>
  <c r="G12080" i="1"/>
  <c r="G11729" i="1"/>
  <c r="G11289" i="1"/>
  <c r="G10814" i="1"/>
  <c r="G13029" i="1"/>
  <c r="G12845" i="1"/>
  <c r="G12652" i="1"/>
  <c r="G12286" i="1"/>
  <c r="G11933" i="1"/>
  <c r="G11582" i="1"/>
  <c r="G11122" i="1"/>
  <c r="G13145" i="1"/>
  <c r="G12986" i="1"/>
  <c r="G12777" i="1"/>
  <c r="G12505" i="1"/>
  <c r="G12176" i="1"/>
  <c r="G11834" i="1"/>
  <c r="G11377" i="1"/>
  <c r="G10874" i="1"/>
  <c r="G12924" i="1"/>
  <c r="G12693" i="1"/>
  <c r="G12400" i="1"/>
  <c r="G12029" i="1"/>
  <c r="G11638" i="1"/>
  <c r="G11175" i="1"/>
  <c r="G14169" i="1"/>
  <c r="G14047" i="1"/>
  <c r="G13885" i="1"/>
  <c r="G13739" i="1"/>
  <c r="G13603" i="1"/>
  <c r="G13446" i="1"/>
  <c r="G13300" i="1"/>
  <c r="G13143" i="1"/>
  <c r="G12978" i="1"/>
  <c r="G12776" i="1"/>
  <c r="G12511" i="1"/>
  <c r="G12219" i="1"/>
  <c r="G11890" i="1"/>
  <c r="G11499" i="1"/>
  <c r="G10987" i="1"/>
  <c r="G14873" i="1"/>
  <c r="G14745" i="1"/>
  <c r="G14601" i="1"/>
  <c r="G14473" i="1"/>
  <c r="G14345" i="1"/>
  <c r="G14173" i="1"/>
  <c r="G13968" i="1"/>
  <c r="G13832" i="1"/>
  <c r="G13691" i="1"/>
  <c r="G13529" i="1"/>
  <c r="G13388" i="1"/>
  <c r="G13252" i="1"/>
  <c r="G13051" i="1"/>
  <c r="G12892" i="1"/>
  <c r="G12594" i="1"/>
  <c r="G12292" i="1"/>
  <c r="G11975" i="1"/>
  <c r="G11531" i="1"/>
  <c r="G11040" i="1"/>
  <c r="G14877" i="1"/>
  <c r="G14749" i="1"/>
  <c r="G14633" i="1"/>
  <c r="G14509" i="1"/>
  <c r="G14381" i="1"/>
  <c r="G14245" i="1"/>
  <c r="G14209" i="1"/>
  <c r="G14066" i="1"/>
  <c r="G13925" i="1"/>
  <c r="G13779" i="1"/>
  <c r="G13622" i="1"/>
  <c r="G13486" i="1"/>
  <c r="G13340" i="1"/>
  <c r="G13209" i="1"/>
  <c r="G13050" i="1"/>
  <c r="G12872" i="1"/>
  <c r="G12635" i="1"/>
  <c r="G12374" i="1"/>
  <c r="G12059" i="1"/>
  <c r="G11691" i="1"/>
  <c r="G11313" i="1"/>
  <c r="G10842" i="1"/>
  <c r="G12742" i="1"/>
  <c r="G12601" i="1"/>
  <c r="G12465" i="1"/>
  <c r="G12287" i="1"/>
  <c r="G12117" i="1"/>
  <c r="G11940" i="1"/>
  <c r="G11766" i="1"/>
  <c r="G11577" i="1"/>
  <c r="G11317" i="1"/>
  <c r="G11061" i="1"/>
  <c r="G10399" i="1"/>
  <c r="G9976" i="1"/>
  <c r="G10750" i="1"/>
  <c r="G10578" i="1"/>
  <c r="G9900" i="1"/>
  <c r="G9436" i="1"/>
  <c r="G10694" i="1"/>
  <c r="G10459" i="1"/>
  <c r="G9676" i="1"/>
  <c r="G9248" i="1"/>
  <c r="G10661" i="1"/>
  <c r="G10394" i="1"/>
  <c r="G9579" i="1"/>
  <c r="G10573" i="1"/>
  <c r="G10269" i="1"/>
  <c r="G9656" i="1"/>
  <c r="G12571" i="1"/>
  <c r="G12425" i="1"/>
  <c r="G12265" i="1"/>
  <c r="G12089" i="1"/>
  <c r="G11912" i="1"/>
  <c r="G11739" i="1"/>
  <c r="G11528" i="1"/>
  <c r="G11275" i="1"/>
  <c r="G11019" i="1"/>
  <c r="G10830" i="1"/>
  <c r="G10659" i="1"/>
  <c r="G10393" i="1"/>
  <c r="G9575" i="1"/>
  <c r="G13204" i="1"/>
  <c r="G13076" i="1"/>
  <c r="G12948" i="1"/>
  <c r="G12811" i="1"/>
  <c r="G12670" i="1"/>
  <c r="G12534" i="1"/>
  <c r="G12388" i="1"/>
  <c r="G12222" i="1"/>
  <c r="G12052" i="1"/>
  <c r="G11887" i="1"/>
  <c r="G11702" i="1"/>
  <c r="G11483" i="1"/>
  <c r="G11227" i="1"/>
  <c r="G10971" i="1"/>
  <c r="G10806" i="1"/>
  <c r="G10635" i="1"/>
  <c r="G10106" i="1"/>
  <c r="G9506" i="1"/>
  <c r="G14122" i="1"/>
  <c r="G13994" i="1"/>
  <c r="G13866" i="1"/>
  <c r="G13738" i="1"/>
  <c r="G13610" i="1"/>
  <c r="G13482" i="1"/>
  <c r="G13354" i="1"/>
  <c r="G13226" i="1"/>
  <c r="G13098" i="1"/>
  <c r="G12970" i="1"/>
  <c r="G12826" i="1"/>
  <c r="G12685" i="1"/>
  <c r="G12523" i="1"/>
  <c r="G12382" i="1"/>
  <c r="G12227" i="1"/>
  <c r="G12050" i="1"/>
  <c r="G11874" i="1"/>
  <c r="G11673" i="1"/>
  <c r="G11464" i="1"/>
  <c r="G11208" i="1"/>
  <c r="G10952" i="1"/>
  <c r="G10773" i="1"/>
  <c r="G10602" i="1"/>
  <c r="G10050" i="1"/>
  <c r="G9483" i="1"/>
  <c r="G8939" i="1"/>
  <c r="G8427" i="1"/>
  <c r="G11391" i="1"/>
  <c r="G11263" i="1"/>
  <c r="G11135" i="1"/>
  <c r="G11007" i="1"/>
  <c r="G10510" i="1"/>
  <c r="G10350" i="1"/>
  <c r="G10222" i="1"/>
  <c r="G9895" i="1"/>
  <c r="G9210" i="1"/>
  <c r="G8792" i="1"/>
  <c r="G8995" i="1"/>
  <c r="G8499" i="1"/>
  <c r="G9009" i="1"/>
  <c r="G8533" i="1"/>
  <c r="G9120" i="1"/>
  <c r="G8674" i="1"/>
  <c r="G11727" i="1"/>
  <c r="G11599" i="1"/>
  <c r="G11471" i="1"/>
  <c r="G11343" i="1"/>
  <c r="G11215" i="1"/>
  <c r="G11087" i="1"/>
  <c r="G10959" i="1"/>
  <c r="G10437" i="1"/>
  <c r="G10298" i="1"/>
  <c r="G10119" i="1"/>
  <c r="G9790" i="1"/>
  <c r="G9082" i="1"/>
  <c r="G8637" i="1"/>
  <c r="G12289" i="1"/>
  <c r="G12161" i="1"/>
  <c r="G12033" i="1"/>
  <c r="G11905" i="1"/>
  <c r="G11777" i="1"/>
  <c r="G11649" i="1"/>
  <c r="G11521" i="1"/>
  <c r="G11393" i="1"/>
  <c r="G11265" i="1"/>
  <c r="G11137" i="1"/>
  <c r="G11009" i="1"/>
  <c r="G10898" i="1"/>
  <c r="G10813" i="1"/>
  <c r="G10727" i="1"/>
  <c r="G10642" i="1"/>
  <c r="G10531" i="1"/>
  <c r="G10146" i="1"/>
  <c r="G9780" i="1"/>
  <c r="G9531" i="1"/>
  <c r="G9360" i="1"/>
  <c r="G9118" i="1"/>
  <c r="G8636" i="1"/>
  <c r="G12805" i="1"/>
  <c r="G12677" i="1"/>
  <c r="G12549" i="1"/>
  <c r="G12421" i="1"/>
  <c r="G12293" i="1"/>
  <c r="G12165" i="1"/>
  <c r="G12037" i="1"/>
  <c r="G11909" i="1"/>
  <c r="G11781" i="1"/>
  <c r="G11653" i="1"/>
  <c r="G11525" i="1"/>
  <c r="G11397" i="1"/>
  <c r="G11269" i="1"/>
  <c r="G11141" i="1"/>
  <c r="G11013" i="1"/>
  <c r="G10377" i="1"/>
  <c r="G10198" i="1"/>
  <c r="G8180" i="1"/>
  <c r="G8064" i="1"/>
  <c r="G7895" i="1"/>
  <c r="G9402" i="1"/>
  <c r="G7538" i="1"/>
  <c r="G10504" i="1"/>
  <c r="G9632" i="1"/>
  <c r="G10194" i="1"/>
  <c r="G9182" i="1"/>
  <c r="G8835" i="1"/>
  <c r="G7621" i="1"/>
  <c r="G6679" i="1"/>
  <c r="G6409" i="1"/>
  <c r="G8663" i="1"/>
  <c r="G7305" i="1"/>
  <c r="G8809" i="1"/>
  <c r="G7533" i="1"/>
  <c r="G10121" i="1"/>
  <c r="G9609" i="1"/>
  <c r="G8936" i="1"/>
  <c r="G7823" i="1"/>
  <c r="G7490" i="1"/>
  <c r="G6493" i="1"/>
  <c r="G4301" i="1"/>
  <c r="G7702" i="1"/>
  <c r="G6678" i="1"/>
  <c r="G7770" i="1"/>
  <c r="G6746" i="1"/>
  <c r="G5033" i="1"/>
  <c r="G4705" i="1"/>
  <c r="F2091" i="1"/>
  <c r="F1848" i="1"/>
  <c r="F1323" i="1"/>
  <c r="F2667" i="1"/>
  <c r="F2576" i="1"/>
  <c r="F2448" i="1"/>
  <c r="F2326" i="1"/>
  <c r="F2241" i="1"/>
  <c r="F2156" i="1"/>
  <c r="F1944" i="1"/>
  <c r="F1708" i="1"/>
  <c r="F2603" i="1"/>
  <c r="F2475" i="1"/>
  <c r="F2347" i="1"/>
  <c r="F2108" i="1"/>
  <c r="F1832" i="1"/>
  <c r="F1383" i="1"/>
  <c r="F3158" i="1"/>
  <c r="F3094" i="1"/>
  <c r="F3030" i="1"/>
  <c r="F2966" i="1"/>
  <c r="F2902" i="1"/>
  <c r="F2838" i="1"/>
  <c r="F2774" i="1"/>
  <c r="F2710" i="1"/>
  <c r="F2646" i="1"/>
  <c r="F2529" i="1"/>
  <c r="F2401" i="1"/>
  <c r="F2298" i="1"/>
  <c r="F2213" i="1"/>
  <c r="F2095" i="1"/>
  <c r="F1880" i="1"/>
  <c r="F1631" i="1"/>
  <c r="F1122" i="1"/>
  <c r="F1462" i="1"/>
  <c r="F1093" i="1"/>
  <c r="F1979" i="1"/>
  <c r="F1810" i="1"/>
  <c r="F1544" i="1"/>
  <c r="F1163" i="1"/>
  <c r="F1334" i="1"/>
  <c r="F2083" i="1"/>
  <c r="F1914" i="1"/>
  <c r="F1711" i="1"/>
  <c r="F1343" i="1"/>
  <c r="F1855" i="1"/>
  <c r="F1474" i="1"/>
  <c r="F1157" i="1"/>
  <c r="F1508" i="1"/>
  <c r="F1339" i="1"/>
  <c r="F1170" i="1"/>
  <c r="F983" i="1"/>
  <c r="F955" i="1"/>
  <c r="F943" i="1"/>
  <c r="F970" i="1"/>
  <c r="F933" i="1"/>
  <c r="F1714" i="1"/>
  <c r="F1650" i="1"/>
  <c r="F1496" i="1"/>
  <c r="F1327" i="1"/>
  <c r="F1156" i="1"/>
  <c r="F969" i="1"/>
  <c r="F1546" i="1"/>
  <c r="F1372" i="1"/>
  <c r="F1192" i="1"/>
  <c r="F1030" i="1"/>
  <c r="F2125" i="1"/>
  <c r="F2061" i="1"/>
  <c r="F1997" i="1"/>
  <c r="F1933" i="1"/>
  <c r="F1869" i="1"/>
  <c r="F1805" i="1"/>
  <c r="F1741" i="1"/>
  <c r="F1677" i="1"/>
  <c r="F1568" i="1"/>
  <c r="F1399" i="1"/>
  <c r="F1230" i="1"/>
  <c r="F1089" i="1"/>
  <c r="F855" i="1"/>
  <c r="F985" i="1"/>
  <c r="F851" i="1"/>
  <c r="F694" i="1"/>
  <c r="F835" i="1"/>
  <c r="F547" i="1"/>
  <c r="F750" i="1"/>
  <c r="F295" i="1"/>
  <c r="F718" i="1"/>
  <c r="F796" i="1"/>
  <c r="F615" i="1"/>
  <c r="F1032" i="1"/>
  <c r="F904" i="1"/>
  <c r="F764" i="1"/>
  <c r="F328" i="1"/>
  <c r="F972" i="1"/>
  <c r="F816" i="1"/>
  <c r="F680" i="1"/>
  <c r="F1617" i="1"/>
  <c r="F1553" i="1"/>
  <c r="F1489" i="1"/>
  <c r="F1425" i="1"/>
  <c r="F1361" i="1"/>
  <c r="F1297" i="1"/>
  <c r="F1233" i="1"/>
  <c r="F1136" i="1"/>
  <c r="F1008" i="1"/>
  <c r="F880" i="1"/>
  <c r="F721" i="1"/>
  <c r="F652" i="1"/>
  <c r="F427" i="1"/>
  <c r="F650" i="1"/>
  <c r="F511" i="1"/>
  <c r="F159" i="1"/>
  <c r="F483" i="1"/>
  <c r="F154" i="1"/>
  <c r="F519" i="1"/>
  <c r="F62" i="1"/>
  <c r="F737" i="1"/>
  <c r="F565" i="1"/>
  <c r="F345" i="1"/>
  <c r="F621" i="1"/>
  <c r="F428" i="1"/>
  <c r="F535" i="1"/>
  <c r="F398" i="1"/>
  <c r="F197" i="1"/>
  <c r="F171" i="1"/>
  <c r="F93" i="1"/>
  <c r="F500" i="1"/>
  <c r="F348" i="1"/>
  <c r="F169" i="1"/>
  <c r="F545" i="1"/>
  <c r="F420" i="1"/>
  <c r="F264" i="1"/>
  <c r="F659" i="1"/>
  <c r="F531" i="1"/>
  <c r="F388" i="1"/>
  <c r="F263" i="1"/>
  <c r="F73" i="1"/>
  <c r="F8" i="1"/>
  <c r="F347" i="1"/>
  <c r="F191" i="1"/>
  <c r="F13" i="1"/>
  <c r="F225" i="1"/>
  <c r="F108" i="1"/>
  <c r="F22" i="1"/>
  <c r="F83" i="1"/>
  <c r="F19" i="1"/>
  <c r="G14446" i="1"/>
  <c r="G14112" i="1"/>
  <c r="G14387" i="1"/>
  <c r="G14720" i="1"/>
  <c r="G14924" i="1"/>
  <c r="G14768" i="1"/>
  <c r="G14137" i="1"/>
  <c r="G13876" i="1"/>
  <c r="G13552" i="1"/>
  <c r="G13291" i="1"/>
  <c r="G13969" i="1"/>
  <c r="G13687" i="1"/>
  <c r="G13394" i="1"/>
  <c r="G13945" i="1"/>
  <c r="G13663" i="1"/>
  <c r="G13339" i="1"/>
  <c r="G13631" i="1"/>
  <c r="G13286" i="1"/>
  <c r="G14691" i="1"/>
  <c r="G14934" i="1"/>
  <c r="G14643" i="1"/>
  <c r="G13819" i="1"/>
  <c r="G13766" i="1"/>
  <c r="G14675" i="1"/>
  <c r="G14466" i="1"/>
  <c r="G14338" i="1"/>
  <c r="G14179" i="1"/>
  <c r="G13849" i="1"/>
  <c r="G13588" i="1"/>
  <c r="G13264" i="1"/>
  <c r="G14630" i="1"/>
  <c r="G14831" i="1"/>
  <c r="G14595" i="1"/>
  <c r="G13902" i="1"/>
  <c r="G13954" i="1"/>
  <c r="G14776" i="1"/>
  <c r="G13428" i="1"/>
  <c r="G12918" i="1"/>
  <c r="G14246" i="1"/>
  <c r="G14772" i="1"/>
  <c r="G14267" i="1"/>
  <c r="G14207" i="1"/>
  <c r="G14860" i="1"/>
  <c r="G14474" i="1"/>
  <c r="G14751" i="1"/>
  <c r="G14138" i="1"/>
  <c r="G13856" i="1"/>
  <c r="G14866" i="1"/>
  <c r="G14699" i="1"/>
  <c r="G14559" i="1"/>
  <c r="G14431" i="1"/>
  <c r="G14303" i="1"/>
  <c r="G14096" i="1"/>
  <c r="G13835" i="1"/>
  <c r="G13521" i="1"/>
  <c r="G13239" i="1"/>
  <c r="G14596" i="1"/>
  <c r="G14532" i="1"/>
  <c r="G14468" i="1"/>
  <c r="G14404" i="1"/>
  <c r="G14340" i="1"/>
  <c r="G14276" i="1"/>
  <c r="G14186" i="1"/>
  <c r="G14045" i="1"/>
  <c r="G13899" i="1"/>
  <c r="G13763" i="1"/>
  <c r="G13606" i="1"/>
  <c r="G13460" i="1"/>
  <c r="G13319" i="1"/>
  <c r="G13141" i="1"/>
  <c r="G12982" i="1"/>
  <c r="G12765" i="1"/>
  <c r="G12520" i="1"/>
  <c r="G12230" i="1"/>
  <c r="G11876" i="1"/>
  <c r="G11573" i="1"/>
  <c r="G11020" i="1"/>
  <c r="G13049" i="1"/>
  <c r="G12890" i="1"/>
  <c r="G12671" i="1"/>
  <c r="G12370" i="1"/>
  <c r="G12067" i="1"/>
  <c r="G11670" i="1"/>
  <c r="G11234" i="1"/>
  <c r="G13188" i="1"/>
  <c r="G13011" i="1"/>
  <c r="G12838" i="1"/>
  <c r="G12610" i="1"/>
  <c r="G12262" i="1"/>
  <c r="G11908" i="1"/>
  <c r="G11568" i="1"/>
  <c r="G11104" i="1"/>
  <c r="G13138" i="1"/>
  <c r="G12968" i="1"/>
  <c r="G12770" i="1"/>
  <c r="G12484" i="1"/>
  <c r="G12163" i="1"/>
  <c r="G11810" i="1"/>
  <c r="G11322" i="1"/>
  <c r="G10853" i="1"/>
  <c r="G12900" i="1"/>
  <c r="G12684" i="1"/>
  <c r="G12358" i="1"/>
  <c r="G12004" i="1"/>
  <c r="G11624" i="1"/>
  <c r="G11157" i="1"/>
  <c r="G14160" i="1"/>
  <c r="G14010" i="1"/>
  <c r="G13874" i="1"/>
  <c r="G13733" i="1"/>
  <c r="G13587" i="1"/>
  <c r="G13430" i="1"/>
  <c r="G13294" i="1"/>
  <c r="G13137" i="1"/>
  <c r="G12967" i="1"/>
  <c r="G12760" i="1"/>
  <c r="G12501" i="1"/>
  <c r="G12208" i="1"/>
  <c r="G11866" i="1"/>
  <c r="G11481" i="1"/>
  <c r="G10969" i="1"/>
  <c r="G14865" i="1"/>
  <c r="G14737" i="1"/>
  <c r="G14593" i="1"/>
  <c r="G14465" i="1"/>
  <c r="G14337" i="1"/>
  <c r="G14164" i="1"/>
  <c r="G13963" i="1"/>
  <c r="G13827" i="1"/>
  <c r="G13670" i="1"/>
  <c r="G13524" i="1"/>
  <c r="G13383" i="1"/>
  <c r="G13247" i="1"/>
  <c r="G13045" i="1"/>
  <c r="G12886" i="1"/>
  <c r="G12584" i="1"/>
  <c r="G12268" i="1"/>
  <c r="G11951" i="1"/>
  <c r="G11515" i="1"/>
  <c r="G11003" i="1"/>
  <c r="G14869" i="1"/>
  <c r="G14741" i="1"/>
  <c r="G14629" i="1"/>
  <c r="G14501" i="1"/>
  <c r="G14373" i="1"/>
  <c r="G14237" i="1"/>
  <c r="G14200" i="1"/>
  <c r="G14061" i="1"/>
  <c r="G13920" i="1"/>
  <c r="G13758" i="1"/>
  <c r="G13617" i="1"/>
  <c r="G13481" i="1"/>
  <c r="G13335" i="1"/>
  <c r="G13202" i="1"/>
  <c r="G13032" i="1"/>
  <c r="G12849" i="1"/>
  <c r="G12625" i="1"/>
  <c r="G12364" i="1"/>
  <c r="G12048" i="1"/>
  <c r="G11675" i="1"/>
  <c r="G11258" i="1"/>
  <c r="G10821" i="1"/>
  <c r="G12737" i="1"/>
  <c r="G12596" i="1"/>
  <c r="G12460" i="1"/>
  <c r="G12276" i="1"/>
  <c r="G12111" i="1"/>
  <c r="G11934" i="1"/>
  <c r="G11760" i="1"/>
  <c r="G11569" i="1"/>
  <c r="G11308" i="1"/>
  <c r="G11052" i="1"/>
  <c r="G10373" i="1"/>
  <c r="G9958" i="1"/>
  <c r="G10739" i="1"/>
  <c r="G10553" i="1"/>
  <c r="G9882" i="1"/>
  <c r="G9415" i="1"/>
  <c r="G10683" i="1"/>
  <c r="G10434" i="1"/>
  <c r="G9658" i="1"/>
  <c r="G9199" i="1"/>
  <c r="G10650" i="1"/>
  <c r="G10187" i="1"/>
  <c r="G9558" i="1"/>
  <c r="G10559" i="1"/>
  <c r="G10253" i="1"/>
  <c r="G9638" i="1"/>
  <c r="G12566" i="1"/>
  <c r="G12420" i="1"/>
  <c r="G12259" i="1"/>
  <c r="G12082" i="1"/>
  <c r="G11906" i="1"/>
  <c r="G11733" i="1"/>
  <c r="G11520" i="1"/>
  <c r="G11266" i="1"/>
  <c r="G11010" i="1"/>
  <c r="G10819" i="1"/>
  <c r="G10649" i="1"/>
  <c r="G10202" i="1"/>
  <c r="G9554" i="1"/>
  <c r="G13195" i="1"/>
  <c r="G13067" i="1"/>
  <c r="G12939" i="1"/>
  <c r="G12806" i="1"/>
  <c r="G12665" i="1"/>
  <c r="G12529" i="1"/>
  <c r="G12367" i="1"/>
  <c r="G12204" i="1"/>
  <c r="G12045" i="1"/>
  <c r="G11869" i="1"/>
  <c r="G11696" i="1"/>
  <c r="G11474" i="1"/>
  <c r="G11218" i="1"/>
  <c r="G10962" i="1"/>
  <c r="G10795" i="1"/>
  <c r="G10625" i="1"/>
  <c r="G10051" i="1"/>
  <c r="G9484" i="1"/>
  <c r="G14113" i="1"/>
  <c r="G13985" i="1"/>
  <c r="G13857" i="1"/>
  <c r="G13729" i="1"/>
  <c r="G13601" i="1"/>
  <c r="G13473" i="1"/>
  <c r="G13345" i="1"/>
  <c r="G13217" i="1"/>
  <c r="G13089" i="1"/>
  <c r="G12961" i="1"/>
  <c r="G12821" i="1"/>
  <c r="G12680" i="1"/>
  <c r="G12518" i="1"/>
  <c r="G12377" i="1"/>
  <c r="G12209" i="1"/>
  <c r="G12032" i="1"/>
  <c r="G11867" i="1"/>
  <c r="G11665" i="1"/>
  <c r="G11427" i="1"/>
  <c r="G11171" i="1"/>
  <c r="G10933" i="1"/>
  <c r="G10762" i="1"/>
  <c r="G10591" i="1"/>
  <c r="G9995" i="1"/>
  <c r="G9462" i="1"/>
  <c r="G8921" i="1"/>
  <c r="G11510" i="1"/>
  <c r="G11382" i="1"/>
  <c r="G11254" i="1"/>
  <c r="G11126" i="1"/>
  <c r="G10998" i="1"/>
  <c r="G10503" i="1"/>
  <c r="G10342" i="1"/>
  <c r="G10214" i="1"/>
  <c r="G9886" i="1"/>
  <c r="G9186" i="1"/>
  <c r="G8774" i="1"/>
  <c r="G8981" i="1"/>
  <c r="G8481" i="1"/>
  <c r="G8980" i="1"/>
  <c r="G8496" i="1"/>
  <c r="G9095" i="1"/>
  <c r="G8619" i="1"/>
  <c r="G11718" i="1"/>
  <c r="G11590" i="1"/>
  <c r="G11462" i="1"/>
  <c r="G11334" i="1"/>
  <c r="G11206" i="1"/>
  <c r="G11078" i="1"/>
  <c r="G10950" i="1"/>
  <c r="G10430" i="1"/>
  <c r="G10290" i="1"/>
  <c r="G10110" i="1"/>
  <c r="G9744" i="1"/>
  <c r="G9058" i="1"/>
  <c r="G8600" i="1"/>
  <c r="G12280" i="1"/>
  <c r="G12152" i="1"/>
  <c r="G12024" i="1"/>
  <c r="G11896" i="1"/>
  <c r="G11768" i="1"/>
  <c r="G11640" i="1"/>
  <c r="G11512" i="1"/>
  <c r="G11384" i="1"/>
  <c r="G11256" i="1"/>
  <c r="G11128" i="1"/>
  <c r="G11000" i="1"/>
  <c r="G10893" i="1"/>
  <c r="G10807" i="1"/>
  <c r="G10722" i="1"/>
  <c r="G10637" i="1"/>
  <c r="G10513" i="1"/>
  <c r="G10100" i="1"/>
  <c r="G9771" i="1"/>
  <c r="G9520" i="1"/>
  <c r="G9350" i="1"/>
  <c r="G9094" i="1"/>
  <c r="G8618" i="1"/>
  <c r="G12796" i="1"/>
  <c r="G12668" i="1"/>
  <c r="G12540" i="1"/>
  <c r="G12412" i="1"/>
  <c r="G12284" i="1"/>
  <c r="G12156" i="1"/>
  <c r="G12028" i="1"/>
  <c r="G11900" i="1"/>
  <c r="G11772" i="1"/>
  <c r="G11644" i="1"/>
  <c r="G11516" i="1"/>
  <c r="G11388" i="1"/>
  <c r="G11260" i="1"/>
  <c r="G11132" i="1"/>
  <c r="G11004" i="1"/>
  <c r="G10257" i="1"/>
  <c r="G10038" i="1"/>
  <c r="G7926" i="1"/>
  <c r="G7764" i="1"/>
  <c r="G7502" i="1"/>
  <c r="G9322" i="1"/>
  <c r="G7044" i="1"/>
  <c r="G10444" i="1"/>
  <c r="G9122" i="1"/>
  <c r="G10034" i="1"/>
  <c r="G8999" i="1"/>
  <c r="G8716" i="1"/>
  <c r="G7402" i="1"/>
  <c r="G6337" i="1"/>
  <c r="G5574" i="1"/>
  <c r="G8544" i="1"/>
  <c r="G7086" i="1"/>
  <c r="G8690" i="1"/>
  <c r="G7314" i="1"/>
  <c r="G10061" i="1"/>
  <c r="G9549" i="1"/>
  <c r="G8813" i="1"/>
  <c r="G7649" i="1"/>
  <c r="G7371" i="1"/>
  <c r="G6333" i="1"/>
  <c r="G4723" i="1"/>
  <c r="G7583" i="1"/>
  <c r="G6503" i="1"/>
  <c r="G7651" i="1"/>
  <c r="G6635" i="1"/>
  <c r="G4531" i="1"/>
  <c r="G5241" i="1"/>
  <c r="F2403" i="1"/>
  <c r="F1782" i="1"/>
  <c r="F3067" i="1"/>
  <c r="F2751" i="1"/>
  <c r="F2592" i="1"/>
  <c r="F2334" i="1"/>
  <c r="F2094" i="1"/>
  <c r="F2915" i="1"/>
  <c r="F2829" i="1"/>
  <c r="F2619" i="1"/>
  <c r="F2363" i="1"/>
  <c r="F1679" i="1"/>
  <c r="F2533" i="1"/>
  <c r="F2405" i="1"/>
  <c r="F2207" i="1"/>
  <c r="F1960" i="1"/>
  <c r="F1668" i="1"/>
  <c r="F2200" i="1"/>
  <c r="F2080" i="1"/>
  <c r="F1827" i="1"/>
  <c r="F1392" i="1"/>
  <c r="F2079" i="1"/>
  <c r="F1842" i="1"/>
  <c r="F1247" i="1"/>
  <c r="F2663" i="1"/>
  <c r="F2567" i="1"/>
  <c r="F2439" i="1"/>
  <c r="F2321" i="1"/>
  <c r="F2236" i="1"/>
  <c r="F2150" i="1"/>
  <c r="F1926" i="1"/>
  <c r="F1687" i="1"/>
  <c r="F2598" i="1"/>
  <c r="F2470" i="1"/>
  <c r="F2331" i="1"/>
  <c r="F2102" i="1"/>
  <c r="F1824" i="1"/>
  <c r="F1194" i="1"/>
  <c r="F3154" i="1"/>
  <c r="F3090" i="1"/>
  <c r="F3026" i="1"/>
  <c r="F2962" i="1"/>
  <c r="F2898" i="1"/>
  <c r="F2834" i="1"/>
  <c r="F2770" i="1"/>
  <c r="F2706" i="1"/>
  <c r="F2642" i="1"/>
  <c r="F2520" i="1"/>
  <c r="F2392" i="1"/>
  <c r="F2293" i="1"/>
  <c r="F2208" i="1"/>
  <c r="F2071" i="1"/>
  <c r="F1874" i="1"/>
  <c r="F1570" i="1"/>
  <c r="F1111" i="1"/>
  <c r="F1452" i="1"/>
  <c r="F2139" i="1"/>
  <c r="F1970" i="1"/>
  <c r="F1802" i="1"/>
  <c r="F1515" i="1"/>
  <c r="F1152" i="1"/>
  <c r="F1324" i="1"/>
  <c r="F2074" i="1"/>
  <c r="F1900" i="1"/>
  <c r="F1700" i="1"/>
  <c r="F1314" i="1"/>
  <c r="F1846" i="1"/>
  <c r="F1428" i="1"/>
  <c r="F1115" i="1"/>
  <c r="F1499" i="1"/>
  <c r="F1330" i="1"/>
  <c r="F1165" i="1"/>
  <c r="F974" i="1"/>
  <c r="F946" i="1"/>
  <c r="F934" i="1"/>
  <c r="F961" i="1"/>
  <c r="F896" i="1"/>
  <c r="F1710" i="1"/>
  <c r="F1646" i="1"/>
  <c r="F1487" i="1"/>
  <c r="F1318" i="1"/>
  <c r="F1151" i="1"/>
  <c r="F932" i="1"/>
  <c r="F1532" i="1"/>
  <c r="F1363" i="1"/>
  <c r="F1187" i="1"/>
  <c r="F1021" i="1"/>
  <c r="F2121" i="1"/>
  <c r="F2057" i="1"/>
  <c r="F1993" i="1"/>
  <c r="F1929" i="1"/>
  <c r="F1865" i="1"/>
  <c r="F1801" i="1"/>
  <c r="F1737" i="1"/>
  <c r="F1673" i="1"/>
  <c r="F1559" i="1"/>
  <c r="F1390" i="1"/>
  <c r="F1216" i="1"/>
  <c r="F1082" i="1"/>
  <c r="F812" i="1"/>
  <c r="F980" i="1"/>
  <c r="F830" i="1"/>
  <c r="F689" i="1"/>
  <c r="F819" i="1"/>
  <c r="F475" i="1"/>
  <c r="F745" i="1"/>
  <c r="F247" i="1"/>
  <c r="F713" i="1"/>
  <c r="F791" i="1"/>
  <c r="F592" i="1"/>
  <c r="F1023" i="1"/>
  <c r="F895" i="1"/>
  <c r="F759" i="1"/>
  <c r="F279" i="1"/>
  <c r="F963" i="1"/>
  <c r="F811" i="1"/>
  <c r="F675" i="1"/>
  <c r="F1613" i="1"/>
  <c r="F1549" i="1"/>
  <c r="F1485" i="1"/>
  <c r="F1421" i="1"/>
  <c r="F1357" i="1"/>
  <c r="F1293" i="1"/>
  <c r="F1229" i="1"/>
  <c r="F1127" i="1"/>
  <c r="F999" i="1"/>
  <c r="F871" i="1"/>
  <c r="F716" i="1"/>
  <c r="F647" i="1"/>
  <c r="F417" i="1"/>
  <c r="F634" i="1"/>
  <c r="F474" i="1"/>
  <c r="F660" i="1"/>
  <c r="F464" i="1"/>
  <c r="F128" i="1"/>
  <c r="F482" i="1"/>
  <c r="F29" i="1"/>
  <c r="F728" i="1"/>
  <c r="F557" i="1"/>
  <c r="F286" i="1"/>
  <c r="F616" i="1"/>
  <c r="F407" i="1"/>
  <c r="F530" i="1"/>
  <c r="F387" i="1"/>
  <c r="F185" i="1"/>
  <c r="F153" i="1"/>
  <c r="F84" i="1"/>
  <c r="F491" i="1"/>
  <c r="F342" i="1"/>
  <c r="F163" i="1"/>
  <c r="F536" i="1"/>
  <c r="F399" i="1"/>
  <c r="F258" i="1"/>
  <c r="F654" i="1"/>
  <c r="F526" i="1"/>
  <c r="F367" i="1"/>
  <c r="F251" i="1"/>
  <c r="F57" i="1"/>
  <c r="F466" i="1"/>
  <c r="F327" i="1"/>
  <c r="F186" i="1"/>
  <c r="F5" i="1"/>
  <c r="F216" i="1"/>
  <c r="F102" i="1"/>
  <c r="F17" i="1"/>
  <c r="F79" i="1"/>
  <c r="F15" i="1"/>
  <c r="G14406" i="1"/>
  <c r="G14070" i="1"/>
  <c r="G14355" i="1"/>
  <c r="G14688" i="1"/>
  <c r="G14892" i="1"/>
  <c r="G14750" i="1"/>
  <c r="G14126" i="1"/>
  <c r="G13865" i="1"/>
  <c r="G13541" i="1"/>
  <c r="G13280" i="1"/>
  <c r="G13959" i="1"/>
  <c r="G13666" i="1"/>
  <c r="G13384" i="1"/>
  <c r="G13934" i="1"/>
  <c r="G13621" i="1"/>
  <c r="G13318" i="1"/>
  <c r="G13589" i="1"/>
  <c r="G13265" i="1"/>
  <c r="G14646" i="1"/>
  <c r="G14856" i="1"/>
  <c r="G14611" i="1"/>
  <c r="G13683" i="1"/>
  <c r="G13724" i="1"/>
  <c r="G14650" i="1"/>
  <c r="G14458" i="1"/>
  <c r="G14330" i="1"/>
  <c r="G14170" i="1"/>
  <c r="G13838" i="1"/>
  <c r="G13577" i="1"/>
  <c r="G13253" i="1"/>
  <c r="G14598" i="1"/>
  <c r="G14806" i="1"/>
  <c r="G14563" i="1"/>
  <c r="G13850" i="1"/>
  <c r="G13860" i="1"/>
  <c r="G14117" i="1"/>
  <c r="G13417" i="1"/>
  <c r="G14915" i="1"/>
  <c r="G14220" i="1"/>
  <c r="G14754" i="1"/>
  <c r="G14235" i="1"/>
  <c r="G14132" i="1"/>
  <c r="G14828" i="1"/>
  <c r="G14918" i="1"/>
  <c r="G14744" i="1"/>
  <c r="G14128" i="1"/>
  <c r="G13814" i="1"/>
  <c r="G14859" i="1"/>
  <c r="G14692" i="1"/>
  <c r="G14551" i="1"/>
  <c r="G14423" i="1"/>
  <c r="G14295" i="1"/>
  <c r="G14085" i="1"/>
  <c r="G13824" i="1"/>
  <c r="G13511" i="1"/>
  <c r="G13218" i="1"/>
  <c r="G14592" i="1"/>
  <c r="G14528" i="1"/>
  <c r="G14464" i="1"/>
  <c r="G14400" i="1"/>
  <c r="G14336" i="1"/>
  <c r="G14272" i="1"/>
  <c r="G14181" i="1"/>
  <c r="G14034" i="1"/>
  <c r="G13893" i="1"/>
  <c r="G13747" i="1"/>
  <c r="G13590" i="1"/>
  <c r="G13454" i="1"/>
  <c r="G13308" i="1"/>
  <c r="G13134" i="1"/>
  <c r="G12964" i="1"/>
  <c r="G12756" i="1"/>
  <c r="G12499" i="1"/>
  <c r="G12205" i="1"/>
  <c r="G11852" i="1"/>
  <c r="G11495" i="1"/>
  <c r="G10983" i="1"/>
  <c r="G13042" i="1"/>
  <c r="G12877" i="1"/>
  <c r="G12662" i="1"/>
  <c r="G12360" i="1"/>
  <c r="G12043" i="1"/>
  <c r="G11656" i="1"/>
  <c r="G11216" i="1"/>
  <c r="G13182" i="1"/>
  <c r="G13005" i="1"/>
  <c r="G12829" i="1"/>
  <c r="G12600" i="1"/>
  <c r="G12237" i="1"/>
  <c r="G11884" i="1"/>
  <c r="G11552" i="1"/>
  <c r="G11067" i="1"/>
  <c r="G13127" i="1"/>
  <c r="G12962" i="1"/>
  <c r="G12761" i="1"/>
  <c r="G12463" i="1"/>
  <c r="G12139" i="1"/>
  <c r="G11785" i="1"/>
  <c r="G11304" i="1"/>
  <c r="G10831" i="1"/>
  <c r="G12894" i="1"/>
  <c r="G12667" i="1"/>
  <c r="G12333" i="1"/>
  <c r="G11980" i="1"/>
  <c r="G11595" i="1"/>
  <c r="G11102" i="1"/>
  <c r="G14151" i="1"/>
  <c r="G14005" i="1"/>
  <c r="G13869" i="1"/>
  <c r="G13728" i="1"/>
  <c r="G13566" i="1"/>
  <c r="G13425" i="1"/>
  <c r="G13289" i="1"/>
  <c r="G13119" i="1"/>
  <c r="G12960" i="1"/>
  <c r="G12734" i="1"/>
  <c r="G12480" i="1"/>
  <c r="G12195" i="1"/>
  <c r="G11842" i="1"/>
  <c r="G11426" i="1"/>
  <c r="G10931" i="1"/>
  <c r="G14857" i="1"/>
  <c r="G14729" i="1"/>
  <c r="G14585" i="1"/>
  <c r="G14457" i="1"/>
  <c r="G14329" i="1"/>
  <c r="G14140" i="1"/>
  <c r="G13957" i="1"/>
  <c r="G13811" i="1"/>
  <c r="G13654" i="1"/>
  <c r="G13518" i="1"/>
  <c r="G13372" i="1"/>
  <c r="G13203" i="1"/>
  <c r="G13038" i="1"/>
  <c r="G12866" i="1"/>
  <c r="G12563" i="1"/>
  <c r="G12255" i="1"/>
  <c r="G11926" i="1"/>
  <c r="G11497" i="1"/>
  <c r="G10985" i="1"/>
  <c r="G14861" i="1"/>
  <c r="G14733" i="1"/>
  <c r="G14621" i="1"/>
  <c r="G14493" i="1"/>
  <c r="G14365" i="1"/>
  <c r="G14228" i="1"/>
  <c r="G14191" i="1"/>
  <c r="G14056" i="1"/>
  <c r="G13915" i="1"/>
  <c r="G13753" i="1"/>
  <c r="G13612" i="1"/>
  <c r="G13476" i="1"/>
  <c r="G13314" i="1"/>
  <c r="G13191" i="1"/>
  <c r="G13026" i="1"/>
  <c r="G12840" i="1"/>
  <c r="G12583" i="1"/>
  <c r="G12352" i="1"/>
  <c r="G12035" i="1"/>
  <c r="G11661" i="1"/>
  <c r="G11240" i="1"/>
  <c r="G10799" i="1"/>
  <c r="G12731" i="1"/>
  <c r="G12585" i="1"/>
  <c r="G12423" i="1"/>
  <c r="G12269" i="1"/>
  <c r="G12093" i="1"/>
  <c r="G11916" i="1"/>
  <c r="G11752" i="1"/>
  <c r="G11561" i="1"/>
  <c r="G11271" i="1"/>
  <c r="G11015" i="1"/>
  <c r="G10357" i="1"/>
  <c r="G9903" i="1"/>
  <c r="G10729" i="1"/>
  <c r="G10539" i="1"/>
  <c r="G9827" i="1"/>
  <c r="G9394" i="1"/>
  <c r="G10673" i="1"/>
  <c r="G10409" i="1"/>
  <c r="G9602" i="1"/>
  <c r="G9150" i="1"/>
  <c r="G10639" i="1"/>
  <c r="G10132" i="1"/>
  <c r="G9536" i="1"/>
  <c r="G10534" i="1"/>
  <c r="G10237" i="1"/>
  <c r="G9383" i="1"/>
  <c r="G12561" i="1"/>
  <c r="G12399" i="1"/>
  <c r="G12241" i="1"/>
  <c r="G12064" i="1"/>
  <c r="G11899" i="1"/>
  <c r="G11725" i="1"/>
  <c r="G11513" i="1"/>
  <c r="G11257" i="1"/>
  <c r="G11001" i="1"/>
  <c r="G10809" i="1"/>
  <c r="G10638" i="1"/>
  <c r="G10147" i="1"/>
  <c r="G9532" i="1"/>
  <c r="G13190" i="1"/>
  <c r="G13062" i="1"/>
  <c r="G12934" i="1"/>
  <c r="G12801" i="1"/>
  <c r="G12660" i="1"/>
  <c r="G12524" i="1"/>
  <c r="G12362" i="1"/>
  <c r="G12198" i="1"/>
  <c r="G12039" i="1"/>
  <c r="G11862" i="1"/>
  <c r="G11688" i="1"/>
  <c r="G11465" i="1"/>
  <c r="G11209" i="1"/>
  <c r="G10953" i="1"/>
  <c r="G10785" i="1"/>
  <c r="G10614" i="1"/>
  <c r="G9996" i="1"/>
  <c r="G9463" i="1"/>
  <c r="G14104" i="1"/>
  <c r="G13976" i="1"/>
  <c r="G13848" i="1"/>
  <c r="G13720" i="1"/>
  <c r="G13592" i="1"/>
  <c r="G13464" i="1"/>
  <c r="G13336" i="1"/>
  <c r="G13208" i="1"/>
  <c r="G13080" i="1"/>
  <c r="G12952" i="1"/>
  <c r="G12816" i="1"/>
  <c r="G12659" i="1"/>
  <c r="G12513" i="1"/>
  <c r="G12372" i="1"/>
  <c r="G12203" i="1"/>
  <c r="G12026" i="1"/>
  <c r="G11856" i="1"/>
  <c r="G11657" i="1"/>
  <c r="G11418" i="1"/>
  <c r="G11162" i="1"/>
  <c r="G10922" i="1"/>
  <c r="G10751" i="1"/>
  <c r="G10579" i="1"/>
  <c r="G9940" i="1"/>
  <c r="G9440" i="1"/>
  <c r="G8884" i="1"/>
  <c r="G11501" i="1"/>
  <c r="G11373" i="1"/>
  <c r="G11245" i="1"/>
  <c r="G11117" i="1"/>
  <c r="G10989" i="1"/>
  <c r="G10485" i="1"/>
  <c r="G10334" i="1"/>
  <c r="G10206" i="1"/>
  <c r="G9840" i="1"/>
  <c r="G9162" i="1"/>
  <c r="G8719" i="1"/>
  <c r="G8952" i="1"/>
  <c r="G8444" i="1"/>
  <c r="G8966" i="1"/>
  <c r="G8478" i="1"/>
  <c r="G9071" i="1"/>
  <c r="G8601" i="1"/>
  <c r="G11709" i="1"/>
  <c r="G11581" i="1"/>
  <c r="G11453" i="1"/>
  <c r="G11325" i="1"/>
  <c r="G11197" i="1"/>
  <c r="G11069" i="1"/>
  <c r="G10941" i="1"/>
  <c r="G10423" i="1"/>
  <c r="G10282" i="1"/>
  <c r="G10064" i="1"/>
  <c r="G9735" i="1"/>
  <c r="G9034" i="1"/>
  <c r="G8582" i="1"/>
  <c r="G12275" i="1"/>
  <c r="G12147" i="1"/>
  <c r="G12019" i="1"/>
  <c r="G11891" i="1"/>
  <c r="G11763" i="1"/>
  <c r="G11635" i="1"/>
  <c r="G11507" i="1"/>
  <c r="G11379" i="1"/>
  <c r="G11251" i="1"/>
  <c r="G11123" i="1"/>
  <c r="G10995" i="1"/>
  <c r="G10887" i="1"/>
  <c r="G10802" i="1"/>
  <c r="G10717" i="1"/>
  <c r="G10631" i="1"/>
  <c r="G10506" i="1"/>
  <c r="G10091" i="1"/>
  <c r="G9762" i="1"/>
  <c r="G9510" i="1"/>
  <c r="G9339" i="1"/>
  <c r="G9070" i="1"/>
  <c r="G8563" i="1"/>
  <c r="G12791" i="1"/>
  <c r="G12663" i="1"/>
  <c r="G12535" i="1"/>
  <c r="G12407" i="1"/>
  <c r="G12279" i="1"/>
  <c r="G12151" i="1"/>
  <c r="G12023" i="1"/>
  <c r="G11895" i="1"/>
  <c r="G11767" i="1"/>
  <c r="G11639" i="1"/>
  <c r="G11511" i="1"/>
  <c r="G11383" i="1"/>
  <c r="G11255" i="1"/>
  <c r="G11127" i="1"/>
  <c r="G10999" i="1"/>
  <c r="G10249" i="1"/>
  <c r="G10024" i="1"/>
  <c r="G7913" i="1"/>
  <c r="G7750" i="1"/>
  <c r="G7465" i="1"/>
  <c r="G9316" i="1"/>
  <c r="G7026" i="1"/>
  <c r="G10440" i="1"/>
  <c r="G9116" i="1"/>
  <c r="G10020" i="1"/>
  <c r="G8993" i="1"/>
  <c r="G8707" i="1"/>
  <c r="G7365" i="1"/>
  <c r="G6312" i="1"/>
  <c r="G5538" i="1"/>
  <c r="G8535" i="1"/>
  <c r="G7049" i="1"/>
  <c r="G8681" i="1"/>
  <c r="G7277" i="1"/>
  <c r="G10057" i="1"/>
  <c r="G9545" i="1"/>
  <c r="G8808" i="1"/>
  <c r="G7640" i="1"/>
  <c r="G7362" i="1"/>
  <c r="G6315" i="1"/>
  <c r="G4699" i="1"/>
  <c r="G7574" i="1"/>
  <c r="G6496" i="1"/>
  <c r="G7642" i="1"/>
  <c r="G6629" i="1"/>
  <c r="G4475" i="1"/>
  <c r="G5095" i="1"/>
  <c r="F1739" i="1"/>
  <c r="F3053" i="1"/>
  <c r="F2744" i="1"/>
  <c r="F2583" i="1"/>
  <c r="F2324" i="1"/>
  <c r="F1872" i="1"/>
  <c r="F2909" i="1"/>
  <c r="F2824" i="1"/>
  <c r="F2582" i="1"/>
  <c r="F2323" i="1"/>
  <c r="F1622" i="1"/>
  <c r="F2524" i="1"/>
  <c r="F2396" i="1"/>
  <c r="F2191" i="1"/>
  <c r="F1954" i="1"/>
  <c r="F1656" i="1"/>
  <c r="F2194" i="1"/>
  <c r="F2062" i="1"/>
  <c r="F1819" i="1"/>
  <c r="F1370" i="1"/>
  <c r="F2067" i="1"/>
  <c r="F1826" i="1"/>
  <c r="F1158" i="1"/>
  <c r="F2659" i="1"/>
  <c r="F2562" i="1"/>
  <c r="F2434" i="1"/>
  <c r="F2316" i="1"/>
  <c r="F2230" i="1"/>
  <c r="F2145" i="1"/>
  <c r="F1920" i="1"/>
  <c r="F1672" i="1"/>
  <c r="F2589" i="1"/>
  <c r="F2461" i="1"/>
  <c r="F2315" i="1"/>
  <c r="F2090" i="1"/>
  <c r="F1806" i="1"/>
  <c r="F1147" i="1"/>
  <c r="F3150" i="1"/>
  <c r="F3086" i="1"/>
  <c r="F3022" i="1"/>
  <c r="F2958" i="1"/>
  <c r="F2894" i="1"/>
  <c r="F2830" i="1"/>
  <c r="F2766" i="1"/>
  <c r="F2702" i="1"/>
  <c r="F2638" i="1"/>
  <c r="F2511" i="1"/>
  <c r="F2383" i="1"/>
  <c r="F2288" i="1"/>
  <c r="F2202" i="1"/>
  <c r="F2064" i="1"/>
  <c r="F1867" i="1"/>
  <c r="F1548" i="1"/>
  <c r="F1287" i="1"/>
  <c r="F1411" i="1"/>
  <c r="F2130" i="1"/>
  <c r="F1956" i="1"/>
  <c r="F1787" i="1"/>
  <c r="F1503" i="1"/>
  <c r="F1116" i="1"/>
  <c r="F1283" i="1"/>
  <c r="F2060" i="1"/>
  <c r="F1891" i="1"/>
  <c r="F1683" i="1"/>
  <c r="F1302" i="1"/>
  <c r="F1815" i="1"/>
  <c r="F1419" i="1"/>
  <c r="F1105" i="1"/>
  <c r="F1490" i="1"/>
  <c r="F1316" i="1"/>
  <c r="F1154" i="1"/>
  <c r="F965" i="1"/>
  <c r="F937" i="1"/>
  <c r="F925" i="1"/>
  <c r="F924" i="1"/>
  <c r="F887" i="1"/>
  <c r="F1706" i="1"/>
  <c r="F1642" i="1"/>
  <c r="F1478" i="1"/>
  <c r="F1304" i="1"/>
  <c r="F1146" i="1"/>
  <c r="F923" i="1"/>
  <c r="F1523" i="1"/>
  <c r="F1354" i="1"/>
  <c r="F1176" i="1"/>
  <c r="F984" i="1"/>
  <c r="F2117" i="1"/>
  <c r="F2053" i="1"/>
  <c r="F1989" i="1"/>
  <c r="F1925" i="1"/>
  <c r="F1861" i="1"/>
  <c r="F1797" i="1"/>
  <c r="F1733" i="1"/>
  <c r="F1669" i="1"/>
  <c r="F1550" i="1"/>
  <c r="F1376" i="1"/>
  <c r="F1207" i="1"/>
  <c r="F1066" i="1"/>
  <c r="F1099" i="1"/>
  <c r="F971" i="1"/>
  <c r="F825" i="1"/>
  <c r="F684" i="1"/>
  <c r="F798" i="1"/>
  <c r="F392" i="1"/>
  <c r="F740" i="1"/>
  <c r="F196" i="1"/>
  <c r="F708" i="1"/>
  <c r="F770" i="1"/>
  <c r="F496" i="1"/>
  <c r="F1014" i="1"/>
  <c r="F886" i="1"/>
  <c r="F738" i="1"/>
  <c r="F232" i="1"/>
  <c r="F954" i="1"/>
  <c r="F805" i="1"/>
  <c r="F630" i="1"/>
  <c r="F1609" i="1"/>
  <c r="F1545" i="1"/>
  <c r="F1481" i="1"/>
  <c r="F1417" i="1"/>
  <c r="F1353" i="1"/>
  <c r="F1289" i="1"/>
  <c r="F1225" i="1"/>
  <c r="F1118" i="1"/>
  <c r="F990" i="1"/>
  <c r="F862" i="1"/>
  <c r="F711" i="1"/>
  <c r="F631" i="1"/>
  <c r="F406" i="1"/>
  <c r="F629" i="1"/>
  <c r="F454" i="1"/>
  <c r="F655" i="1"/>
  <c r="F422" i="1"/>
  <c r="F30" i="1"/>
  <c r="F473" i="1"/>
  <c r="F856" i="1"/>
  <c r="F719" i="1"/>
  <c r="F551" i="1"/>
  <c r="F262" i="1"/>
  <c r="F611" i="1"/>
  <c r="F386" i="1"/>
  <c r="F521" i="1"/>
  <c r="F382" i="1"/>
  <c r="F173" i="1"/>
  <c r="F133" i="1"/>
  <c r="F52" i="1"/>
  <c r="F486" i="1"/>
  <c r="F313" i="1"/>
  <c r="F151" i="1"/>
  <c r="F527" i="1"/>
  <c r="F394" i="1"/>
  <c r="F252" i="1"/>
  <c r="F645" i="1"/>
  <c r="F517" i="1"/>
  <c r="F362" i="1"/>
  <c r="F240" i="1"/>
  <c r="F18" i="1"/>
  <c r="F457" i="1"/>
  <c r="F322" i="1"/>
  <c r="F181" i="1"/>
  <c r="F339" i="1"/>
  <c r="F211" i="1"/>
  <c r="F97" i="1"/>
  <c r="F12" i="1"/>
  <c r="F75" i="1"/>
  <c r="F11" i="1"/>
  <c r="G14374" i="1"/>
  <c r="G13882" i="1"/>
  <c r="G14323" i="1"/>
  <c r="G14663" i="1"/>
  <c r="G14928" i="1"/>
  <c r="G14743" i="1"/>
  <c r="G14116" i="1"/>
  <c r="G13855" i="1"/>
  <c r="G13531" i="1"/>
  <c r="G13238" i="1"/>
  <c r="G13948" i="1"/>
  <c r="G13645" i="1"/>
  <c r="G13363" i="1"/>
  <c r="G13872" i="1"/>
  <c r="G13611" i="1"/>
  <c r="G13297" i="1"/>
  <c r="G13579" i="1"/>
  <c r="G13255" i="1"/>
  <c r="G14614" i="1"/>
  <c r="G14838" i="1"/>
  <c r="G14579" i="1"/>
  <c r="G14919" i="1"/>
  <c r="G13672" i="1"/>
  <c r="G14634" i="1"/>
  <c r="G14450" i="1"/>
  <c r="G14322" i="1"/>
  <c r="G14131" i="1"/>
  <c r="G13828" i="1"/>
  <c r="G13567" i="1"/>
  <c r="G13243" i="1"/>
  <c r="G14566" i="1"/>
  <c r="G14774" i="1"/>
  <c r="G14531" i="1"/>
  <c r="G13798" i="1"/>
  <c r="G13787" i="1"/>
  <c r="G13929" i="1"/>
  <c r="G13407" i="1"/>
  <c r="G14780" i="1"/>
  <c r="G14165" i="1"/>
  <c r="G14708" i="1"/>
  <c r="G14189" i="1"/>
  <c r="G14048" i="1"/>
  <c r="G14796" i="1"/>
  <c r="G14911" i="1"/>
  <c r="G14726" i="1"/>
  <c r="G14107" i="1"/>
  <c r="G13804" i="1"/>
  <c r="G14852" i="1"/>
  <c r="G14674" i="1"/>
  <c r="G14543" i="1"/>
  <c r="G14415" i="1"/>
  <c r="G14287" i="1"/>
  <c r="G14075" i="1"/>
  <c r="G13782" i="1"/>
  <c r="G13500" i="1"/>
  <c r="G13206" i="1"/>
  <c r="G14588" i="1"/>
  <c r="G14524" i="1"/>
  <c r="G14460" i="1"/>
  <c r="G14396" i="1"/>
  <c r="G14332" i="1"/>
  <c r="G14268" i="1"/>
  <c r="G14172" i="1"/>
  <c r="G14029" i="1"/>
  <c r="G13888" i="1"/>
  <c r="G13726" i="1"/>
  <c r="G13585" i="1"/>
  <c r="G13449" i="1"/>
  <c r="G13303" i="1"/>
  <c r="G13123" i="1"/>
  <c r="G12958" i="1"/>
  <c r="G12739" i="1"/>
  <c r="G12478" i="1"/>
  <c r="G12181" i="1"/>
  <c r="G11839" i="1"/>
  <c r="G11477" i="1"/>
  <c r="G10965" i="1"/>
  <c r="G13031" i="1"/>
  <c r="G12864" i="1"/>
  <c r="G12642" i="1"/>
  <c r="G12347" i="1"/>
  <c r="G12018" i="1"/>
  <c r="G11627" i="1"/>
  <c r="G11179" i="1"/>
  <c r="G13164" i="1"/>
  <c r="G12987" i="1"/>
  <c r="G12820" i="1"/>
  <c r="G12589" i="1"/>
  <c r="G12213" i="1"/>
  <c r="G11871" i="1"/>
  <c r="G11523" i="1"/>
  <c r="G11049" i="1"/>
  <c r="G13120" i="1"/>
  <c r="G12944" i="1"/>
  <c r="G12752" i="1"/>
  <c r="G12442" i="1"/>
  <c r="G12114" i="1"/>
  <c r="G11742" i="1"/>
  <c r="G11267" i="1"/>
  <c r="G10810" i="1"/>
  <c r="G12875" i="1"/>
  <c r="G12640" i="1"/>
  <c r="G12309" i="1"/>
  <c r="G11967" i="1"/>
  <c r="G11579" i="1"/>
  <c r="G11084" i="1"/>
  <c r="G14146" i="1"/>
  <c r="G14000" i="1"/>
  <c r="G13864" i="1"/>
  <c r="G13723" i="1"/>
  <c r="G13561" i="1"/>
  <c r="G13420" i="1"/>
  <c r="G13284" i="1"/>
  <c r="G13113" i="1"/>
  <c r="G12954" i="1"/>
  <c r="G12725" i="1"/>
  <c r="G12459" i="1"/>
  <c r="G12171" i="1"/>
  <c r="G11817" i="1"/>
  <c r="G11408" i="1"/>
  <c r="G10910" i="1"/>
  <c r="G14849" i="1"/>
  <c r="G14721" i="1"/>
  <c r="G14577" i="1"/>
  <c r="G14449" i="1"/>
  <c r="G14321" i="1"/>
  <c r="G14109" i="1"/>
  <c r="G13952" i="1"/>
  <c r="G13790" i="1"/>
  <c r="G13649" i="1"/>
  <c r="G13513" i="1"/>
  <c r="G13367" i="1"/>
  <c r="G13197" i="1"/>
  <c r="G13027" i="1"/>
  <c r="G12817" i="1"/>
  <c r="G12542" i="1"/>
  <c r="G12244" i="1"/>
  <c r="G11902" i="1"/>
  <c r="G11442" i="1"/>
  <c r="G10929" i="1"/>
  <c r="G14853" i="1"/>
  <c r="G14725" i="1"/>
  <c r="G14613" i="1"/>
  <c r="G14485" i="1"/>
  <c r="G14357" i="1"/>
  <c r="G14219" i="1"/>
  <c r="G14182" i="1"/>
  <c r="G14051" i="1"/>
  <c r="G13894" i="1"/>
  <c r="G13748" i="1"/>
  <c r="G13607" i="1"/>
  <c r="G13471" i="1"/>
  <c r="G13309" i="1"/>
  <c r="G13184" i="1"/>
  <c r="G13008" i="1"/>
  <c r="G12833" i="1"/>
  <c r="G12573" i="1"/>
  <c r="G12328" i="1"/>
  <c r="G12011" i="1"/>
  <c r="G11618" i="1"/>
  <c r="G11203" i="1"/>
  <c r="G12862" i="1"/>
  <c r="G12726" i="1"/>
  <c r="G12580" i="1"/>
  <c r="G12418" i="1"/>
  <c r="G12263" i="1"/>
  <c r="G12086" i="1"/>
  <c r="G11910" i="1"/>
  <c r="G11744" i="1"/>
  <c r="G11518" i="1"/>
  <c r="G11262" i="1"/>
  <c r="G11006" i="1"/>
  <c r="G10341" i="1"/>
  <c r="G9848" i="1"/>
  <c r="G10718" i="1"/>
  <c r="G10514" i="1"/>
  <c r="G9772" i="1"/>
  <c r="G9366" i="1"/>
  <c r="G10662" i="1"/>
  <c r="G10395" i="1"/>
  <c r="G9580" i="1"/>
  <c r="G9102" i="1"/>
  <c r="G10629" i="1"/>
  <c r="G10114" i="1"/>
  <c r="G9515" i="1"/>
  <c r="G10509" i="1"/>
  <c r="G10221" i="1"/>
  <c r="G9355" i="1"/>
  <c r="G12556" i="1"/>
  <c r="G12394" i="1"/>
  <c r="G12235" i="1"/>
  <c r="G12058" i="1"/>
  <c r="G11888" i="1"/>
  <c r="G11682" i="1"/>
  <c r="G11504" i="1"/>
  <c r="G11248" i="1"/>
  <c r="G10992" i="1"/>
  <c r="G10798" i="1"/>
  <c r="G10627" i="1"/>
  <c r="G10092" i="1"/>
  <c r="G9511" i="1"/>
  <c r="G13181" i="1"/>
  <c r="G13053" i="1"/>
  <c r="G12925" i="1"/>
  <c r="G12795" i="1"/>
  <c r="G12649" i="1"/>
  <c r="G12487" i="1"/>
  <c r="G12356" i="1"/>
  <c r="G12191" i="1"/>
  <c r="G12021" i="1"/>
  <c r="G11844" i="1"/>
  <c r="G11680" i="1"/>
  <c r="G11456" i="1"/>
  <c r="G11200" i="1"/>
  <c r="G10944" i="1"/>
  <c r="G10774" i="1"/>
  <c r="G10603" i="1"/>
  <c r="G9978" i="1"/>
  <c r="G9442" i="1"/>
  <c r="G14095" i="1"/>
  <c r="G13967" i="1"/>
  <c r="G13839" i="1"/>
  <c r="G13711" i="1"/>
  <c r="G13583" i="1"/>
  <c r="G13455" i="1"/>
  <c r="G13327" i="1"/>
  <c r="G13199" i="1"/>
  <c r="G13071" i="1"/>
  <c r="G12943" i="1"/>
  <c r="G12800" i="1"/>
  <c r="G12643" i="1"/>
  <c r="G12507" i="1"/>
  <c r="G12361" i="1"/>
  <c r="G12185" i="1"/>
  <c r="G12008" i="1"/>
  <c r="G11849" i="1"/>
  <c r="G11614" i="1"/>
  <c r="G11409" i="1"/>
  <c r="G11153" i="1"/>
  <c r="G10911" i="1"/>
  <c r="G10741" i="1"/>
  <c r="G10554" i="1"/>
  <c r="G9922" i="1"/>
  <c r="G9419" i="1"/>
  <c r="G8866" i="1"/>
  <c r="G11492" i="1"/>
  <c r="G11364" i="1"/>
  <c r="G11236" i="1"/>
  <c r="G11108" i="1"/>
  <c r="G10980" i="1"/>
  <c r="G10478" i="1"/>
  <c r="G10326" i="1"/>
  <c r="G10160" i="1"/>
  <c r="G9831" i="1"/>
  <c r="G9137" i="1"/>
  <c r="G8701" i="1"/>
  <c r="G8938" i="1"/>
  <c r="G8423" i="1"/>
  <c r="G8935" i="1"/>
  <c r="G9319" i="1"/>
  <c r="G9047" i="1"/>
  <c r="G8564" i="1"/>
  <c r="G11700" i="1"/>
  <c r="G11572" i="1"/>
  <c r="G11444" i="1"/>
  <c r="G11316" i="1"/>
  <c r="G11188" i="1"/>
  <c r="G11060" i="1"/>
  <c r="G10583" i="1"/>
  <c r="G10405" i="1"/>
  <c r="G10274" i="1"/>
  <c r="G10055" i="1"/>
  <c r="G9726" i="1"/>
  <c r="G9018" i="1"/>
  <c r="G8527" i="1"/>
  <c r="G12266" i="1"/>
  <c r="G12138" i="1"/>
  <c r="G12010" i="1"/>
  <c r="G11882" i="1"/>
  <c r="G11754" i="1"/>
  <c r="G11626" i="1"/>
  <c r="G11498" i="1"/>
  <c r="G11370" i="1"/>
  <c r="G11242" i="1"/>
  <c r="G11114" i="1"/>
  <c r="G10986" i="1"/>
  <c r="G10882" i="1"/>
  <c r="G10797" i="1"/>
  <c r="G10711" i="1"/>
  <c r="G10626" i="1"/>
  <c r="G10499" i="1"/>
  <c r="G10082" i="1"/>
  <c r="G9716" i="1"/>
  <c r="G9499" i="1"/>
  <c r="G9328" i="1"/>
  <c r="G9045" i="1"/>
  <c r="G8545" i="1"/>
  <c r="G12782" i="1"/>
  <c r="G12654" i="1"/>
  <c r="G12526" i="1"/>
  <c r="G12398" i="1"/>
  <c r="G12270" i="1"/>
  <c r="G12142" i="1"/>
  <c r="G12014" i="1"/>
  <c r="G11886" i="1"/>
  <c r="G11758" i="1"/>
  <c r="G11630" i="1"/>
  <c r="G11502" i="1"/>
  <c r="G11374" i="1"/>
  <c r="G11246" i="1"/>
  <c r="G11118" i="1"/>
  <c r="G10990" i="1"/>
  <c r="G10008" i="1"/>
  <c r="G9864" i="1"/>
  <c r="G7456" i="1"/>
  <c r="G7288" i="1"/>
  <c r="G6990" i="1"/>
  <c r="G9214" i="1"/>
  <c r="G10892" i="1"/>
  <c r="G10380" i="1"/>
  <c r="G8934" i="1"/>
  <c r="G9860" i="1"/>
  <c r="G8787" i="1"/>
  <c r="G8588" i="1"/>
  <c r="G7146" i="1"/>
  <c r="G6925" i="1"/>
  <c r="G6666" i="1"/>
  <c r="G8416" i="1"/>
  <c r="G6830" i="1"/>
  <c r="G8562" i="1"/>
  <c r="G7058" i="1"/>
  <c r="G9997" i="1"/>
  <c r="G9485" i="1"/>
  <c r="G8685" i="1"/>
  <c r="G7393" i="1"/>
  <c r="G7243" i="1"/>
  <c r="G6187" i="1"/>
  <c r="G5424" i="1"/>
  <c r="G7455" i="1"/>
  <c r="G6336" i="1"/>
  <c r="G7523" i="1"/>
  <c r="G6533" i="1"/>
  <c r="G8345" i="1"/>
  <c r="G4637" i="1"/>
  <c r="F2357" i="1"/>
  <c r="F1310" i="1"/>
  <c r="F3044" i="1"/>
  <c r="F2737" i="1"/>
  <c r="F2546" i="1"/>
  <c r="F2313" i="1"/>
  <c r="F1774" i="1"/>
  <c r="F2904" i="1"/>
  <c r="F2819" i="1"/>
  <c r="F2573" i="1"/>
  <c r="F2291" i="1"/>
  <c r="F1539" i="1"/>
  <c r="F2515" i="1"/>
  <c r="F2387" i="1"/>
  <c r="F2175" i="1"/>
  <c r="F1948" i="1"/>
  <c r="F1584" i="1"/>
  <c r="F2189" i="1"/>
  <c r="F2055" i="1"/>
  <c r="F1799" i="1"/>
  <c r="F1279" i="1"/>
  <c r="F2036" i="1"/>
  <c r="F1788" i="1"/>
  <c r="F2719" i="1"/>
  <c r="F2655" i="1"/>
  <c r="F2553" i="1"/>
  <c r="F2425" i="1"/>
  <c r="F2310" i="1"/>
  <c r="F2225" i="1"/>
  <c r="F2127" i="1"/>
  <c r="F1902" i="1"/>
  <c r="F1660" i="1"/>
  <c r="F2580" i="1"/>
  <c r="F2452" i="1"/>
  <c r="F2299" i="1"/>
  <c r="F2059" i="1"/>
  <c r="F1796" i="1"/>
  <c r="F1098" i="1"/>
  <c r="F3146" i="1"/>
  <c r="F3082" i="1"/>
  <c r="F3018" i="1"/>
  <c r="F2954" i="1"/>
  <c r="F2890" i="1"/>
  <c r="F2826" i="1"/>
  <c r="F2762" i="1"/>
  <c r="F2698" i="1"/>
  <c r="F2634" i="1"/>
  <c r="F2506" i="1"/>
  <c r="F2378" i="1"/>
  <c r="F2282" i="1"/>
  <c r="F2197" i="1"/>
  <c r="F2046" i="1"/>
  <c r="F1859" i="1"/>
  <c r="F1526" i="1"/>
  <c r="F1246" i="1"/>
  <c r="F1379" i="1"/>
  <c r="F2116" i="1"/>
  <c r="F1947" i="1"/>
  <c r="F1772" i="1"/>
  <c r="F1471" i="1"/>
  <c r="F1639" i="1"/>
  <c r="F1251" i="1"/>
  <c r="F2051" i="1"/>
  <c r="F1886" i="1"/>
  <c r="F1664" i="1"/>
  <c r="F1292" i="1"/>
  <c r="F1808" i="1"/>
  <c r="F1410" i="1"/>
  <c r="F1092" i="1"/>
  <c r="F1476" i="1"/>
  <c r="F1307" i="1"/>
  <c r="F1149" i="1"/>
  <c r="F928" i="1"/>
  <c r="F900" i="1"/>
  <c r="F888" i="1"/>
  <c r="F915" i="1"/>
  <c r="F878" i="1"/>
  <c r="F1702" i="1"/>
  <c r="F1638" i="1"/>
  <c r="F1464" i="1"/>
  <c r="F1295" i="1"/>
  <c r="F1140" i="1"/>
  <c r="F914" i="1"/>
  <c r="F1514" i="1"/>
  <c r="F1340" i="1"/>
  <c r="F1171" i="1"/>
  <c r="F975" i="1"/>
  <c r="F2113" i="1"/>
  <c r="F2049" i="1"/>
  <c r="F1985" i="1"/>
  <c r="F1921" i="1"/>
  <c r="F1857" i="1"/>
  <c r="F1793" i="1"/>
  <c r="F1729" i="1"/>
  <c r="F1665" i="1"/>
  <c r="F1536" i="1"/>
  <c r="F1367" i="1"/>
  <c r="F1202" i="1"/>
  <c r="F1057" i="1"/>
  <c r="F1090" i="1"/>
  <c r="F962" i="1"/>
  <c r="F820" i="1"/>
  <c r="F679" i="1"/>
  <c r="F793" i="1"/>
  <c r="F350" i="1"/>
  <c r="F735" i="1"/>
  <c r="F844" i="1"/>
  <c r="F703" i="1"/>
  <c r="F765" i="1"/>
  <c r="F458" i="1"/>
  <c r="F1005" i="1"/>
  <c r="F877" i="1"/>
  <c r="F733" i="1"/>
  <c r="F178" i="1"/>
  <c r="F945" i="1"/>
  <c r="F800" i="1"/>
  <c r="F584" i="1"/>
  <c r="F1605" i="1"/>
  <c r="F1541" i="1"/>
  <c r="F1477" i="1"/>
  <c r="F1413" i="1"/>
  <c r="F1349" i="1"/>
  <c r="F1285" i="1"/>
  <c r="F1221" i="1"/>
  <c r="F1109" i="1"/>
  <c r="F981" i="1"/>
  <c r="F857" i="1"/>
  <c r="F700" i="1"/>
  <c r="F610" i="1"/>
  <c r="F396" i="1"/>
  <c r="F624" i="1"/>
  <c r="F444" i="1"/>
  <c r="F649" i="1"/>
  <c r="F412" i="1"/>
  <c r="F669" i="1"/>
  <c r="F463" i="1"/>
  <c r="F847" i="1"/>
  <c r="F714" i="1"/>
  <c r="F543" i="1"/>
  <c r="F250" i="1"/>
  <c r="F600" i="1"/>
  <c r="F376" i="1"/>
  <c r="F512" i="1"/>
  <c r="F377" i="1"/>
  <c r="F167" i="1"/>
  <c r="F101" i="1"/>
  <c r="F20" i="1"/>
  <c r="F477" i="1"/>
  <c r="F277" i="1"/>
  <c r="F131" i="1"/>
  <c r="F522" i="1"/>
  <c r="F389" i="1"/>
  <c r="F246" i="1"/>
  <c r="F636" i="1"/>
  <c r="F508" i="1"/>
  <c r="F357" i="1"/>
  <c r="F227" i="1"/>
  <c r="F143" i="1"/>
  <c r="F448" i="1"/>
  <c r="F317" i="1"/>
  <c r="F176" i="1"/>
  <c r="F330" i="1"/>
  <c r="F202" i="1"/>
  <c r="F92" i="1"/>
  <c r="F4" i="1"/>
  <c r="F71" i="1"/>
  <c r="F7" i="1"/>
  <c r="G14342" i="1"/>
  <c r="G14868" i="1"/>
  <c r="G14291" i="1"/>
  <c r="G14216" i="1"/>
  <c r="G14910" i="1"/>
  <c r="G14736" i="1"/>
  <c r="G14074" i="1"/>
  <c r="G13813" i="1"/>
  <c r="G13510" i="1"/>
  <c r="G13228" i="1"/>
  <c r="G13917" i="1"/>
  <c r="G13635" i="1"/>
  <c r="G13342" i="1"/>
  <c r="G13861" i="1"/>
  <c r="G13600" i="1"/>
  <c r="G13287" i="1"/>
  <c r="G13568" i="1"/>
  <c r="G13244" i="1"/>
  <c r="G14574" i="1"/>
  <c r="G14799" i="1"/>
  <c r="G14547" i="1"/>
  <c r="G14887" i="1"/>
  <c r="G13630" i="1"/>
  <c r="G14618" i="1"/>
  <c r="G14442" i="1"/>
  <c r="G14314" i="1"/>
  <c r="G14110" i="1"/>
  <c r="G13786" i="1"/>
  <c r="G13525" i="1"/>
  <c r="G13222" i="1"/>
  <c r="G14534" i="1"/>
  <c r="G14696" i="1"/>
  <c r="G14499" i="1"/>
  <c r="G13704" i="1"/>
  <c r="G13693" i="1"/>
  <c r="G13783" i="1"/>
  <c r="G13365" i="1"/>
  <c r="G14730" i="1"/>
  <c r="G14927" i="1"/>
  <c r="G14683" i="1"/>
  <c r="G14143" i="1"/>
  <c r="G13975" i="1"/>
  <c r="G14764" i="1"/>
  <c r="G14904" i="1"/>
  <c r="G14719" i="1"/>
  <c r="G14086" i="1"/>
  <c r="G13762" i="1"/>
  <c r="G14834" i="1"/>
  <c r="G14667" i="1"/>
  <c r="G14535" i="1"/>
  <c r="G14407" i="1"/>
  <c r="G14279" i="1"/>
  <c r="G14054" i="1"/>
  <c r="G13772" i="1"/>
  <c r="G13469" i="1"/>
  <c r="G14648" i="1"/>
  <c r="G14584" i="1"/>
  <c r="G14520" i="1"/>
  <c r="G14456" i="1"/>
  <c r="G14392" i="1"/>
  <c r="G14328" i="1"/>
  <c r="G14264" i="1"/>
  <c r="G14163" i="1"/>
  <c r="G14024" i="1"/>
  <c r="G13883" i="1"/>
  <c r="G13721" i="1"/>
  <c r="G13580" i="1"/>
  <c r="G13444" i="1"/>
  <c r="G13282" i="1"/>
  <c r="G13116" i="1"/>
  <c r="G12940" i="1"/>
  <c r="G12730" i="1"/>
  <c r="G12468" i="1"/>
  <c r="G12157" i="1"/>
  <c r="G11828" i="1"/>
  <c r="G11422" i="1"/>
  <c r="G13183" i="1"/>
  <c r="G13024" i="1"/>
  <c r="G12822" i="1"/>
  <c r="G12632" i="1"/>
  <c r="G12336" i="1"/>
  <c r="G11994" i="1"/>
  <c r="G11611" i="1"/>
  <c r="G11161" i="1"/>
  <c r="G13157" i="1"/>
  <c r="G12981" i="1"/>
  <c r="G12803" i="1"/>
  <c r="G12547" i="1"/>
  <c r="G12189" i="1"/>
  <c r="G11860" i="1"/>
  <c r="G11506" i="1"/>
  <c r="G10994" i="1"/>
  <c r="G13114" i="1"/>
  <c r="G12937" i="1"/>
  <c r="G12735" i="1"/>
  <c r="G12432" i="1"/>
  <c r="G12090" i="1"/>
  <c r="G11728" i="1"/>
  <c r="G11249" i="1"/>
  <c r="G13059" i="1"/>
  <c r="G12867" i="1"/>
  <c r="G12619" i="1"/>
  <c r="G12285" i="1"/>
  <c r="G11956" i="1"/>
  <c r="G11565" i="1"/>
  <c r="G11047" i="1"/>
  <c r="G14141" i="1"/>
  <c r="G13995" i="1"/>
  <c r="G13859" i="1"/>
  <c r="G13702" i="1"/>
  <c r="G13556" i="1"/>
  <c r="G13415" i="1"/>
  <c r="G13279" i="1"/>
  <c r="G13106" i="1"/>
  <c r="G12936" i="1"/>
  <c r="G12699" i="1"/>
  <c r="G12449" i="1"/>
  <c r="G12146" i="1"/>
  <c r="G11793" i="1"/>
  <c r="G11371" i="1"/>
  <c r="G10889" i="1"/>
  <c r="G14841" i="1"/>
  <c r="G14709" i="1"/>
  <c r="G14569" i="1"/>
  <c r="G14441" i="1"/>
  <c r="G14317" i="1"/>
  <c r="G14098" i="1"/>
  <c r="G13947" i="1"/>
  <c r="G13785" i="1"/>
  <c r="G13644" i="1"/>
  <c r="G13508" i="1"/>
  <c r="G13346" i="1"/>
  <c r="G13179" i="1"/>
  <c r="G13020" i="1"/>
  <c r="G12808" i="1"/>
  <c r="G12532" i="1"/>
  <c r="G12231" i="1"/>
  <c r="G11878" i="1"/>
  <c r="G11424" i="1"/>
  <c r="G10907" i="1"/>
  <c r="G14845" i="1"/>
  <c r="G14717" i="1"/>
  <c r="G14605" i="1"/>
  <c r="G14477" i="1"/>
  <c r="G14349" i="1"/>
  <c r="G14210" i="1"/>
  <c r="G14177" i="1"/>
  <c r="G14035" i="1"/>
  <c r="G13878" i="1"/>
  <c r="G13742" i="1"/>
  <c r="G13596" i="1"/>
  <c r="G13434" i="1"/>
  <c r="G13298" i="1"/>
  <c r="G13178" i="1"/>
  <c r="G13001" i="1"/>
  <c r="G12824" i="1"/>
  <c r="G12562" i="1"/>
  <c r="G12315" i="1"/>
  <c r="G11986" i="1"/>
  <c r="G11602" i="1"/>
  <c r="G11185" i="1"/>
  <c r="G12857" i="1"/>
  <c r="G12721" i="1"/>
  <c r="G12559" i="1"/>
  <c r="G12413" i="1"/>
  <c r="G12245" i="1"/>
  <c r="G12068" i="1"/>
  <c r="G11903" i="1"/>
  <c r="G11723" i="1"/>
  <c r="G11509" i="1"/>
  <c r="G11253" i="1"/>
  <c r="G10997" i="1"/>
  <c r="G10325" i="1"/>
  <c r="G9830" i="1"/>
  <c r="G10707" i="1"/>
  <c r="G10489" i="1"/>
  <c r="G9754" i="1"/>
  <c r="G9335" i="1"/>
  <c r="G10651" i="1"/>
  <c r="G10188" i="1"/>
  <c r="G9559" i="1"/>
  <c r="G10789" i="1"/>
  <c r="G10618" i="1"/>
  <c r="G10059" i="1"/>
  <c r="G9494" i="1"/>
  <c r="G10495" i="1"/>
  <c r="G10168" i="1"/>
  <c r="G9324" i="1"/>
  <c r="G12519" i="1"/>
  <c r="G12383" i="1"/>
  <c r="G12217" i="1"/>
  <c r="G12040" i="1"/>
  <c r="G11881" i="1"/>
  <c r="G11674" i="1"/>
  <c r="G11467" i="1"/>
  <c r="G11211" i="1"/>
  <c r="G10955" i="1"/>
  <c r="G10787" i="1"/>
  <c r="G10617" i="1"/>
  <c r="G10074" i="1"/>
  <c r="G9490" i="1"/>
  <c r="G13172" i="1"/>
  <c r="G13044" i="1"/>
  <c r="G12916" i="1"/>
  <c r="G12790" i="1"/>
  <c r="G12644" i="1"/>
  <c r="G12482" i="1"/>
  <c r="G12350" i="1"/>
  <c r="G12180" i="1"/>
  <c r="G12015" i="1"/>
  <c r="G11838" i="1"/>
  <c r="G11659" i="1"/>
  <c r="G11419" i="1"/>
  <c r="G11163" i="1"/>
  <c r="G10934" i="1"/>
  <c r="G10763" i="1"/>
  <c r="G10593" i="1"/>
  <c r="G9923" i="1"/>
  <c r="G9420" i="1"/>
  <c r="G14090" i="1"/>
  <c r="G13962" i="1"/>
  <c r="G13834" i="1"/>
  <c r="G13706" i="1"/>
  <c r="G13578" i="1"/>
  <c r="G13450" i="1"/>
  <c r="G13322" i="1"/>
  <c r="G13194" i="1"/>
  <c r="G13066" i="1"/>
  <c r="G12938" i="1"/>
  <c r="G12779" i="1"/>
  <c r="G12638" i="1"/>
  <c r="G12502" i="1"/>
  <c r="G12355" i="1"/>
  <c r="G12178" i="1"/>
  <c r="G12002" i="1"/>
  <c r="G11843" i="1"/>
  <c r="G11606" i="1"/>
  <c r="G11400" i="1"/>
  <c r="G11144" i="1"/>
  <c r="G10901" i="1"/>
  <c r="G10730" i="1"/>
  <c r="G10529" i="1"/>
  <c r="G9867" i="1"/>
  <c r="G9398" i="1"/>
  <c r="G8811" i="1"/>
  <c r="G11487" i="1"/>
  <c r="G11359" i="1"/>
  <c r="G11231" i="1"/>
  <c r="G11103" i="1"/>
  <c r="G10975" i="1"/>
  <c r="G10471" i="1"/>
  <c r="G10318" i="1"/>
  <c r="G10151" i="1"/>
  <c r="G9822" i="1"/>
  <c r="G9113" i="1"/>
  <c r="G8664" i="1"/>
  <c r="G8883" i="1"/>
  <c r="G9258" i="1"/>
  <c r="G8917" i="1"/>
  <c r="G9308" i="1"/>
  <c r="G9020" i="1"/>
  <c r="G8546" i="1"/>
  <c r="G11695" i="1"/>
  <c r="G11567" i="1"/>
  <c r="G11439" i="1"/>
  <c r="G11311" i="1"/>
  <c r="G11183" i="1"/>
  <c r="G11055" i="1"/>
  <c r="G10565" i="1"/>
  <c r="G10398" i="1"/>
  <c r="G10266" i="1"/>
  <c r="G10046" i="1"/>
  <c r="G9680" i="1"/>
  <c r="G8975" i="1"/>
  <c r="G8509" i="1"/>
  <c r="G12257" i="1"/>
  <c r="G12129" i="1"/>
  <c r="G12001" i="1"/>
  <c r="G11873" i="1"/>
  <c r="G11745" i="1"/>
  <c r="G11617" i="1"/>
  <c r="G11489" i="1"/>
  <c r="G11361" i="1"/>
  <c r="G11233" i="1"/>
  <c r="G11105" i="1"/>
  <c r="G10977" i="1"/>
  <c r="G10877" i="1"/>
  <c r="G10791" i="1"/>
  <c r="G10706" i="1"/>
  <c r="G10621" i="1"/>
  <c r="G10481" i="1"/>
  <c r="G10036" i="1"/>
  <c r="G9707" i="1"/>
  <c r="G9488" i="1"/>
  <c r="G9318" i="1"/>
  <c r="G9003" i="1"/>
  <c r="G8508" i="1"/>
  <c r="G12773" i="1"/>
  <c r="G12645" i="1"/>
  <c r="G12517" i="1"/>
  <c r="G12389" i="1"/>
  <c r="G12261" i="1"/>
  <c r="G12133" i="1"/>
  <c r="G12005" i="1"/>
  <c r="G11877" i="1"/>
  <c r="G11749" i="1"/>
  <c r="G11621" i="1"/>
  <c r="G11493" i="1"/>
  <c r="G11365" i="1"/>
  <c r="G11237" i="1"/>
  <c r="G11109" i="1"/>
  <c r="G10981" i="1"/>
  <c r="G9999" i="1"/>
  <c r="G9855" i="1"/>
  <c r="G7438" i="1"/>
  <c r="G7270" i="1"/>
  <c r="G6953" i="1"/>
  <c r="G9208" i="1"/>
  <c r="G10888" i="1"/>
  <c r="G10376" i="1"/>
  <c r="G8925" i="1"/>
  <c r="G9851" i="1"/>
  <c r="G8778" i="1"/>
  <c r="G8579" i="1"/>
  <c r="G7109" i="1"/>
  <c r="G6916" i="1"/>
  <c r="G6637" i="1"/>
  <c r="G8407" i="1"/>
  <c r="G6793" i="1"/>
  <c r="G8553" i="1"/>
  <c r="G7021" i="1"/>
  <c r="G9993" i="1"/>
  <c r="G9481" i="1"/>
  <c r="G8680" i="1"/>
  <c r="G7384" i="1"/>
  <c r="G7234" i="1"/>
  <c r="G6178" i="1"/>
  <c r="G5411" i="1"/>
  <c r="G7446" i="1"/>
  <c r="G6329" i="1"/>
  <c r="G7514" i="1"/>
  <c r="G6515" i="1"/>
  <c r="G8336" i="1"/>
  <c r="G4434" i="1"/>
  <c r="F2184" i="1"/>
  <c r="F2031" i="1"/>
  <c r="F1780" i="1"/>
  <c r="F1256" i="1"/>
  <c r="F2024" i="1"/>
  <c r="F1779" i="1"/>
  <c r="F2715" i="1"/>
  <c r="F2651" i="1"/>
  <c r="F2544" i="1"/>
  <c r="F2416" i="1"/>
  <c r="F2305" i="1"/>
  <c r="F2220" i="1"/>
  <c r="F2103" i="1"/>
  <c r="F1895" i="1"/>
  <c r="F1571" i="1"/>
  <c r="F2571" i="1"/>
  <c r="F2443" i="1"/>
  <c r="F2283" i="1"/>
  <c r="F2047" i="1"/>
  <c r="F1767" i="1"/>
  <c r="F3206" i="1"/>
  <c r="F3142" i="1"/>
  <c r="F3078" i="1"/>
  <c r="F3014" i="1"/>
  <c r="F2950" i="1"/>
  <c r="F2886" i="1"/>
  <c r="F2822" i="1"/>
  <c r="F2758" i="1"/>
  <c r="F2694" i="1"/>
  <c r="F2625" i="1"/>
  <c r="F2497" i="1"/>
  <c r="F2369" i="1"/>
  <c r="F2277" i="1"/>
  <c r="F2192" i="1"/>
  <c r="F2040" i="1"/>
  <c r="F1831" i="1"/>
  <c r="F1443" i="1"/>
  <c r="F1214" i="1"/>
  <c r="F1338" i="1"/>
  <c r="F2107" i="1"/>
  <c r="F1938" i="1"/>
  <c r="F1766" i="1"/>
  <c r="F1442" i="1"/>
  <c r="F1607" i="1"/>
  <c r="F1210" i="1"/>
  <c r="F2042" i="1"/>
  <c r="F1860" i="1"/>
  <c r="F1647" i="1"/>
  <c r="F1270" i="1"/>
  <c r="F1790" i="1"/>
  <c r="F1364" i="1"/>
  <c r="F1636" i="1"/>
  <c r="F1467" i="1"/>
  <c r="F1298" i="1"/>
  <c r="F1128" i="1"/>
  <c r="F919" i="1"/>
  <c r="F891" i="1"/>
  <c r="F879" i="1"/>
  <c r="F906" i="1"/>
  <c r="F869" i="1"/>
  <c r="F1698" i="1"/>
  <c r="F1624" i="1"/>
  <c r="F1455" i="1"/>
  <c r="F1286" i="1"/>
  <c r="F1135" i="1"/>
  <c r="F905" i="1"/>
  <c r="F1500" i="1"/>
  <c r="F1331" i="1"/>
  <c r="F1166" i="1"/>
  <c r="F966" i="1"/>
  <c r="F2109" i="1"/>
  <c r="F2045" i="1"/>
  <c r="F1981" i="1"/>
  <c r="F1917" i="1"/>
  <c r="F1853" i="1"/>
  <c r="F1789" i="1"/>
  <c r="F1725" i="1"/>
  <c r="F1661" i="1"/>
  <c r="F1527" i="1"/>
  <c r="F1358" i="1"/>
  <c r="F1197" i="1"/>
  <c r="F1020" i="1"/>
  <c r="F1081" i="1"/>
  <c r="F953" i="1"/>
  <c r="F814" i="1"/>
  <c r="F666" i="1"/>
  <c r="F777" i="1"/>
  <c r="F304" i="1"/>
  <c r="F698" i="1"/>
  <c r="F839" i="1"/>
  <c r="F661" i="1"/>
  <c r="F754" i="1"/>
  <c r="F374" i="1"/>
  <c r="F1000" i="1"/>
  <c r="F872" i="1"/>
  <c r="F722" i="1"/>
  <c r="F1068" i="1"/>
  <c r="F940" i="1"/>
  <c r="F795" i="1"/>
  <c r="F487" i="1"/>
  <c r="F1601" i="1"/>
  <c r="F1537" i="1"/>
  <c r="F1473" i="1"/>
  <c r="F1409" i="1"/>
  <c r="F1345" i="1"/>
  <c r="F1281" i="1"/>
  <c r="F1217" i="1"/>
  <c r="F1104" i="1"/>
  <c r="F976" i="1"/>
  <c r="F852" i="1"/>
  <c r="F695" i="1"/>
  <c r="F605" i="1"/>
  <c r="F375" i="1"/>
  <c r="F619" i="1"/>
  <c r="F433" i="1"/>
  <c r="F644" i="1"/>
  <c r="F401" i="1"/>
  <c r="F638" i="1"/>
  <c r="F453" i="1"/>
  <c r="F842" i="1"/>
  <c r="F705" i="1"/>
  <c r="F534" i="1"/>
  <c r="F226" i="1"/>
  <c r="F593" i="1"/>
  <c r="F365" i="1"/>
  <c r="F503" i="1"/>
  <c r="F372" i="1"/>
  <c r="F155" i="1"/>
  <c r="F85" i="1"/>
  <c r="F596" i="1"/>
  <c r="F468" i="1"/>
  <c r="F271" i="1"/>
  <c r="F116" i="1"/>
  <c r="F513" i="1"/>
  <c r="F383" i="1"/>
  <c r="F222" i="1"/>
  <c r="F627" i="1"/>
  <c r="F499" i="1"/>
  <c r="F351" i="1"/>
  <c r="F215" i="1"/>
  <c r="F121" i="1"/>
  <c r="F443" i="1"/>
  <c r="F311" i="1"/>
  <c r="F165" i="1"/>
  <c r="F321" i="1"/>
  <c r="F193" i="1"/>
  <c r="F86" i="1"/>
  <c r="F6" i="1"/>
  <c r="F67" i="1"/>
  <c r="G2" i="1"/>
  <c r="G14310" i="1"/>
  <c r="G14836" i="1"/>
  <c r="G14259" i="1"/>
  <c r="G14152" i="1"/>
  <c r="G14896" i="1"/>
  <c r="G14718" i="1"/>
  <c r="G14064" i="1"/>
  <c r="G13803" i="1"/>
  <c r="G13489" i="1"/>
  <c r="G13187" i="1"/>
  <c r="G13906" i="1"/>
  <c r="G13593" i="1"/>
  <c r="G13332" i="1"/>
  <c r="G13851" i="1"/>
  <c r="G13558" i="1"/>
  <c r="G13276" i="1"/>
  <c r="G13516" i="1"/>
  <c r="G13212" i="1"/>
  <c r="G14550" i="1"/>
  <c r="G14760" i="1"/>
  <c r="G14515" i="1"/>
  <c r="G14855" i="1"/>
  <c r="G13547" i="1"/>
  <c r="G14602" i="1"/>
  <c r="G14434" i="1"/>
  <c r="G14306" i="1"/>
  <c r="G14100" i="1"/>
  <c r="G13776" i="1"/>
  <c r="G13515" i="1"/>
  <c r="G13211" i="1"/>
  <c r="G14502" i="1"/>
  <c r="G14190" i="1"/>
  <c r="G14467" i="1"/>
  <c r="G13652" i="1"/>
  <c r="G13620" i="1"/>
  <c r="G13689" i="1"/>
  <c r="G13355" i="1"/>
  <c r="G14684" i="1"/>
  <c r="G14824" i="1"/>
  <c r="G14635" i="1"/>
  <c r="G14101" i="1"/>
  <c r="G13933" i="1"/>
  <c r="G14732" i="1"/>
  <c r="G14886" i="1"/>
  <c r="G14712" i="1"/>
  <c r="G14065" i="1"/>
  <c r="G13741" i="1"/>
  <c r="G14827" i="1"/>
  <c r="G14660" i="1"/>
  <c r="G14527" i="1"/>
  <c r="G14399" i="1"/>
  <c r="G14271" i="1"/>
  <c r="G14033" i="1"/>
  <c r="G13751" i="1"/>
  <c r="G13458" i="1"/>
  <c r="G14644" i="1"/>
  <c r="G14580" i="1"/>
  <c r="G14516" i="1"/>
  <c r="G14452" i="1"/>
  <c r="G14388" i="1"/>
  <c r="G14324" i="1"/>
  <c r="G14260" i="1"/>
  <c r="G14154" i="1"/>
  <c r="G14019" i="1"/>
  <c r="G13862" i="1"/>
  <c r="G13716" i="1"/>
  <c r="G13575" i="1"/>
  <c r="G13439" i="1"/>
  <c r="G13277" i="1"/>
  <c r="G13110" i="1"/>
  <c r="G12933" i="1"/>
  <c r="G12723" i="1"/>
  <c r="G12457" i="1"/>
  <c r="G12132" i="1"/>
  <c r="G11815" i="1"/>
  <c r="G11404" i="1"/>
  <c r="G13177" i="1"/>
  <c r="G13018" i="1"/>
  <c r="G12813" i="1"/>
  <c r="G12621" i="1"/>
  <c r="G12323" i="1"/>
  <c r="G11970" i="1"/>
  <c r="G11597" i="1"/>
  <c r="G11106" i="1"/>
  <c r="G13139" i="1"/>
  <c r="G12974" i="1"/>
  <c r="G12787" i="1"/>
  <c r="G12537" i="1"/>
  <c r="G12164" i="1"/>
  <c r="G11847" i="1"/>
  <c r="G11488" i="1"/>
  <c r="G10976" i="1"/>
  <c r="G13096" i="1"/>
  <c r="G12919" i="1"/>
  <c r="G12719" i="1"/>
  <c r="G12390" i="1"/>
  <c r="G12066" i="1"/>
  <c r="G11712" i="1"/>
  <c r="G11194" i="1"/>
  <c r="G13052" i="1"/>
  <c r="G12851" i="1"/>
  <c r="G12609" i="1"/>
  <c r="G12260" i="1"/>
  <c r="G11943" i="1"/>
  <c r="G11522" i="1"/>
  <c r="G11029" i="1"/>
  <c r="G14130" i="1"/>
  <c r="G13989" i="1"/>
  <c r="G13843" i="1"/>
  <c r="G13686" i="1"/>
  <c r="G13550" i="1"/>
  <c r="G13404" i="1"/>
  <c r="G13242" i="1"/>
  <c r="G13095" i="1"/>
  <c r="G12930" i="1"/>
  <c r="G12683" i="1"/>
  <c r="G12438" i="1"/>
  <c r="G12122" i="1"/>
  <c r="G11780" i="1"/>
  <c r="G11353" i="1"/>
  <c r="G10867" i="1"/>
  <c r="G14837" i="1"/>
  <c r="G14701" i="1"/>
  <c r="G14561" i="1"/>
  <c r="G14433" i="1"/>
  <c r="G14309" i="1"/>
  <c r="G14093" i="1"/>
  <c r="G13926" i="1"/>
  <c r="G13780" i="1"/>
  <c r="G13639" i="1"/>
  <c r="G13503" i="1"/>
  <c r="G13341" i="1"/>
  <c r="G13173" i="1"/>
  <c r="G13014" i="1"/>
  <c r="G12792" i="1"/>
  <c r="G12521" i="1"/>
  <c r="G12207" i="1"/>
  <c r="G11853" i="1"/>
  <c r="G11387" i="1"/>
  <c r="G10886" i="1"/>
  <c r="G14833" i="1"/>
  <c r="G14713" i="1"/>
  <c r="G14597" i="1"/>
  <c r="G14469" i="1"/>
  <c r="G14341" i="1"/>
  <c r="G14196" i="1"/>
  <c r="G14168" i="1"/>
  <c r="G14014" i="1"/>
  <c r="G13873" i="1"/>
  <c r="G13737" i="1"/>
  <c r="G13591" i="1"/>
  <c r="G13429" i="1"/>
  <c r="G13293" i="1"/>
  <c r="G13160" i="1"/>
  <c r="G12983" i="1"/>
  <c r="G12807" i="1"/>
  <c r="G12552" i="1"/>
  <c r="G12304" i="1"/>
  <c r="G11962" i="1"/>
  <c r="G11588" i="1"/>
  <c r="G11130" i="1"/>
  <c r="G12852" i="1"/>
  <c r="G12716" i="1"/>
  <c r="G12554" i="1"/>
  <c r="G12408" i="1"/>
  <c r="G12239" i="1"/>
  <c r="G12062" i="1"/>
  <c r="G11892" i="1"/>
  <c r="G11715" i="1"/>
  <c r="G11500" i="1"/>
  <c r="G11244" i="1"/>
  <c r="G10988" i="1"/>
  <c r="G10309" i="1"/>
  <c r="G9775" i="1"/>
  <c r="G10697" i="1"/>
  <c r="G10475" i="1"/>
  <c r="G9699" i="1"/>
  <c r="G9302" i="1"/>
  <c r="G10641" i="1"/>
  <c r="G10170" i="1"/>
  <c r="G9538" i="1"/>
  <c r="G10778" i="1"/>
  <c r="G10607" i="1"/>
  <c r="G10004" i="1"/>
  <c r="G9472" i="1"/>
  <c r="G10470" i="1"/>
  <c r="G10150" i="1"/>
  <c r="G9282" i="1"/>
  <c r="G12514" i="1"/>
  <c r="G12378" i="1"/>
  <c r="G12210" i="1"/>
  <c r="G12034" i="1"/>
  <c r="G11875" i="1"/>
  <c r="G11666" i="1"/>
  <c r="G11458" i="1"/>
  <c r="G11202" i="1"/>
  <c r="G10946" i="1"/>
  <c r="G10777" i="1"/>
  <c r="G10606" i="1"/>
  <c r="G10019" i="1"/>
  <c r="G9468" i="1"/>
  <c r="G13163" i="1"/>
  <c r="G13035" i="1"/>
  <c r="G12907" i="1"/>
  <c r="G12785" i="1"/>
  <c r="G12623" i="1"/>
  <c r="G12477" i="1"/>
  <c r="G12332" i="1"/>
  <c r="G12173" i="1"/>
  <c r="G11997" i="1"/>
  <c r="G11820" i="1"/>
  <c r="G11651" i="1"/>
  <c r="G11410" i="1"/>
  <c r="G11154" i="1"/>
  <c r="G10923" i="1"/>
  <c r="G10753" i="1"/>
  <c r="G10569" i="1"/>
  <c r="G9868" i="1"/>
  <c r="G9399" i="1"/>
  <c r="G14081" i="1"/>
  <c r="G13953" i="1"/>
  <c r="G13825" i="1"/>
  <c r="G13697" i="1"/>
  <c r="G13569" i="1"/>
  <c r="G13441" i="1"/>
  <c r="G13313" i="1"/>
  <c r="G13185" i="1"/>
  <c r="G13057" i="1"/>
  <c r="G12929" i="1"/>
  <c r="G12774" i="1"/>
  <c r="G12633" i="1"/>
  <c r="G12497" i="1"/>
  <c r="G12337" i="1"/>
  <c r="G12160" i="1"/>
  <c r="G11995" i="1"/>
  <c r="G11825" i="1"/>
  <c r="G11600" i="1"/>
  <c r="G11363" i="1"/>
  <c r="G11107" i="1"/>
  <c r="G10890" i="1"/>
  <c r="G10719" i="1"/>
  <c r="G10515" i="1"/>
  <c r="G9812" i="1"/>
  <c r="G9372" i="1"/>
  <c r="G8793" i="1"/>
  <c r="G11478" i="1"/>
  <c r="G11350" i="1"/>
  <c r="G11222" i="1"/>
  <c r="G11094" i="1"/>
  <c r="G10966" i="1"/>
  <c r="G10453" i="1"/>
  <c r="G10310" i="1"/>
  <c r="G10142" i="1"/>
  <c r="G9776" i="1"/>
  <c r="G9100" i="1"/>
  <c r="G8646" i="1"/>
  <c r="G8865" i="1"/>
  <c r="G9233" i="1"/>
  <c r="G8880" i="1"/>
  <c r="G9298" i="1"/>
  <c r="G9004" i="1"/>
  <c r="G8491" i="1"/>
  <c r="G11686" i="1"/>
  <c r="G11558" i="1"/>
  <c r="G11430" i="1"/>
  <c r="G11302" i="1"/>
  <c r="G11174" i="1"/>
  <c r="G11046" i="1"/>
  <c r="G10558" i="1"/>
  <c r="G10391" i="1"/>
  <c r="G10258" i="1"/>
  <c r="G10000" i="1"/>
  <c r="G9671" i="1"/>
  <c r="G8961" i="1"/>
  <c r="G8472" i="1"/>
  <c r="G12248" i="1"/>
  <c r="G12120" i="1"/>
  <c r="G11992" i="1"/>
  <c r="G11864" i="1"/>
  <c r="G11736" i="1"/>
  <c r="G11608" i="1"/>
  <c r="G11480" i="1"/>
  <c r="G11352" i="1"/>
  <c r="G11224" i="1"/>
  <c r="G11096" i="1"/>
  <c r="G10968" i="1"/>
  <c r="G10871" i="1"/>
  <c r="G10786" i="1"/>
  <c r="G10701" i="1"/>
  <c r="G10615" i="1"/>
  <c r="G10474" i="1"/>
  <c r="G10027" i="1"/>
  <c r="G9698" i="1"/>
  <c r="G9478" i="1"/>
  <c r="G9307" i="1"/>
  <c r="G8989" i="1"/>
  <c r="G8490" i="1"/>
  <c r="G12764" i="1"/>
  <c r="G12636" i="1"/>
  <c r="G12508" i="1"/>
  <c r="G12380" i="1"/>
  <c r="G12252" i="1"/>
  <c r="G12124" i="1"/>
  <c r="G11996" i="1"/>
  <c r="G11868" i="1"/>
  <c r="G11740" i="1"/>
  <c r="G11612" i="1"/>
  <c r="G11484" i="1"/>
  <c r="G11356" i="1"/>
  <c r="G11228" i="1"/>
  <c r="G11100" i="1"/>
  <c r="G10972" i="1"/>
  <c r="G9679" i="1"/>
  <c r="G9695" i="1"/>
  <c r="G6940" i="1"/>
  <c r="G8398" i="1"/>
  <c r="G10058" i="1"/>
  <c r="G9038" i="1"/>
  <c r="G10828" i="1"/>
  <c r="G10316" i="1"/>
  <c r="G8678" i="1"/>
  <c r="G9691" i="1"/>
  <c r="G8531" i="1"/>
  <c r="G8460" i="1"/>
  <c r="G6890" i="1"/>
  <c r="G6669" i="1"/>
  <c r="G6396" i="1"/>
  <c r="G8277" i="1"/>
  <c r="G6511" i="1"/>
  <c r="G8434" i="1"/>
  <c r="G6802" i="1"/>
  <c r="G9933" i="1"/>
  <c r="G9421" i="1"/>
  <c r="G8557" i="1"/>
  <c r="G7137" i="1"/>
  <c r="G7115" i="1"/>
  <c r="G5927" i="1"/>
  <c r="G4868" i="1"/>
  <c r="G7327" i="1"/>
  <c r="G5690" i="1"/>
  <c r="G7395" i="1"/>
  <c r="G6355" i="1"/>
  <c r="G7993" i="1"/>
  <c r="G5146" i="1"/>
  <c r="F2327" i="1"/>
  <c r="F3195" i="1"/>
  <c r="F3021" i="1"/>
  <c r="F2709" i="1"/>
  <c r="F2528" i="1"/>
  <c r="F2292" i="1"/>
  <c r="F1288" i="1"/>
  <c r="F2893" i="1"/>
  <c r="F2808" i="1"/>
  <c r="F2555" i="1"/>
  <c r="F2226" i="1"/>
  <c r="F2629" i="1"/>
  <c r="F2501" i="1"/>
  <c r="F2373" i="1"/>
  <c r="F2143" i="1"/>
  <c r="F1930" i="1"/>
  <c r="F1479" i="1"/>
  <c r="F2178" i="1"/>
  <c r="F2007" i="1"/>
  <c r="F1770" i="1"/>
  <c r="F1169" i="1"/>
  <c r="F2018" i="1"/>
  <c r="F1768" i="1"/>
  <c r="F2711" i="1"/>
  <c r="F2647" i="1"/>
  <c r="F2535" i="1"/>
  <c r="F2407" i="1"/>
  <c r="F2300" i="1"/>
  <c r="F2214" i="1"/>
  <c r="F2096" i="1"/>
  <c r="F1883" i="1"/>
  <c r="F1530" i="1"/>
  <c r="F2566" i="1"/>
  <c r="F2438" i="1"/>
  <c r="F2267" i="1"/>
  <c r="F2035" i="1"/>
  <c r="F1756" i="1"/>
  <c r="F3202" i="1"/>
  <c r="F3138" i="1"/>
  <c r="F3074" i="1"/>
  <c r="F3010" i="1"/>
  <c r="F2946" i="1"/>
  <c r="F2882" i="1"/>
  <c r="F2818" i="1"/>
  <c r="F2754" i="1"/>
  <c r="F2690" i="1"/>
  <c r="F2616" i="1"/>
  <c r="F2488" i="1"/>
  <c r="F2360" i="1"/>
  <c r="F2272" i="1"/>
  <c r="F2186" i="1"/>
  <c r="F2022" i="1"/>
  <c r="F1814" i="1"/>
  <c r="F1402" i="1"/>
  <c r="F1190" i="1"/>
  <c r="F1328" i="1"/>
  <c r="F2098" i="1"/>
  <c r="F1924" i="1"/>
  <c r="F1748" i="1"/>
  <c r="F1430" i="1"/>
  <c r="F1566" i="1"/>
  <c r="F1199" i="1"/>
  <c r="F2028" i="1"/>
  <c r="F1844" i="1"/>
  <c r="F1626" i="1"/>
  <c r="F1260" i="1"/>
  <c r="F1783" i="1"/>
  <c r="F1355" i="1"/>
  <c r="F1627" i="1"/>
  <c r="F1458" i="1"/>
  <c r="F1284" i="1"/>
  <c r="F1123" i="1"/>
  <c r="F910" i="1"/>
  <c r="F882" i="1"/>
  <c r="F870" i="1"/>
  <c r="F897" i="1"/>
  <c r="F849" i="1"/>
  <c r="F1694" i="1"/>
  <c r="F1615" i="1"/>
  <c r="F1446" i="1"/>
  <c r="F1272" i="1"/>
  <c r="F1130" i="1"/>
  <c r="F868" i="1"/>
  <c r="F1491" i="1"/>
  <c r="F1322" i="1"/>
  <c r="F1161" i="1"/>
  <c r="F957" i="1"/>
  <c r="F2105" i="1"/>
  <c r="F2041" i="1"/>
  <c r="F1977" i="1"/>
  <c r="F1913" i="1"/>
  <c r="F1849" i="1"/>
  <c r="F1785" i="1"/>
  <c r="F1721" i="1"/>
  <c r="F1657" i="1"/>
  <c r="F1518" i="1"/>
  <c r="F1344" i="1"/>
  <c r="F1186" i="1"/>
  <c r="F1011" i="1"/>
  <c r="F1076" i="1"/>
  <c r="F948" i="1"/>
  <c r="F809" i="1"/>
  <c r="F646" i="1"/>
  <c r="F772" i="1"/>
  <c r="F256" i="1"/>
  <c r="F693" i="1"/>
  <c r="F828" i="1"/>
  <c r="F640" i="1"/>
  <c r="F749" i="1"/>
  <c r="F331" i="1"/>
  <c r="F991" i="1"/>
  <c r="F863" i="1"/>
  <c r="F717" i="1"/>
  <c r="F1059" i="1"/>
  <c r="F931" i="1"/>
  <c r="F774" i="1"/>
  <c r="F447" i="1"/>
  <c r="F1597" i="1"/>
  <c r="F1533" i="1"/>
  <c r="F1469" i="1"/>
  <c r="F1405" i="1"/>
  <c r="F1341" i="1"/>
  <c r="F1277" i="1"/>
  <c r="F1213" i="1"/>
  <c r="F1095" i="1"/>
  <c r="F967" i="1"/>
  <c r="F846" i="1"/>
  <c r="F674" i="1"/>
  <c r="F599" i="1"/>
  <c r="F354" i="1"/>
  <c r="F608" i="1"/>
  <c r="F391" i="1"/>
  <c r="F639" i="1"/>
  <c r="F359" i="1"/>
  <c r="F633" i="1"/>
  <c r="F442" i="1"/>
  <c r="F833" i="1"/>
  <c r="F696" i="1"/>
  <c r="F525" i="1"/>
  <c r="F214" i="1"/>
  <c r="F585" i="1"/>
  <c r="F333" i="1"/>
  <c r="F498" i="1"/>
  <c r="F356" i="1"/>
  <c r="F149" i="1"/>
  <c r="F77" i="1"/>
  <c r="F587" i="1"/>
  <c r="F452" i="1"/>
  <c r="F265" i="1"/>
  <c r="F100" i="1"/>
  <c r="F504" i="1"/>
  <c r="F378" i="1"/>
  <c r="F210" i="1"/>
  <c r="F622" i="1"/>
  <c r="F494" i="1"/>
  <c r="F346" i="1"/>
  <c r="F204" i="1"/>
  <c r="F109" i="1"/>
  <c r="F434" i="1"/>
  <c r="F306" i="1"/>
  <c r="F160" i="1"/>
  <c r="F312" i="1"/>
  <c r="F184" i="1"/>
  <c r="F81" i="1"/>
  <c r="F127" i="1"/>
  <c r="F63" i="1"/>
  <c r="G14890" i="1"/>
  <c r="G14278" i="1"/>
  <c r="G14811" i="1"/>
  <c r="G14226" i="1"/>
  <c r="G14111" i="1"/>
  <c r="G14878" i="1"/>
  <c r="G14711" i="1"/>
  <c r="G14053" i="1"/>
  <c r="G13792" i="1"/>
  <c r="G13479" i="1"/>
  <c r="G14844" i="1"/>
  <c r="G13896" i="1"/>
  <c r="G13582" i="1"/>
  <c r="G13321" i="1"/>
  <c r="G13830" i="1"/>
  <c r="G13548" i="1"/>
  <c r="G13245" i="1"/>
  <c r="G13495" i="1"/>
  <c r="G13200" i="1"/>
  <c r="G14526" i="1"/>
  <c r="G14735" i="1"/>
  <c r="G14483" i="1"/>
  <c r="G14816" i="1"/>
  <c r="G13463" i="1"/>
  <c r="G14586" i="1"/>
  <c r="G14426" i="1"/>
  <c r="G14298" i="1"/>
  <c r="G14089" i="1"/>
  <c r="G13765" i="1"/>
  <c r="G13504" i="1"/>
  <c r="G13156" i="1"/>
  <c r="G14462" i="1"/>
  <c r="G14133" i="1"/>
  <c r="G14435" i="1"/>
  <c r="G14912" i="1"/>
  <c r="G13536" i="1"/>
  <c r="G13626" i="1"/>
  <c r="G13344" i="1"/>
  <c r="G14652" i="1"/>
  <c r="G14792" i="1"/>
  <c r="G14603" i="1"/>
  <c r="G14038" i="1"/>
  <c r="G13881" i="1"/>
  <c r="G14714" i="1"/>
  <c r="G14879" i="1"/>
  <c r="G14694" i="1"/>
  <c r="G14055" i="1"/>
  <c r="G13731" i="1"/>
  <c r="G14820" i="1"/>
  <c r="G14647" i="1"/>
  <c r="G14519" i="1"/>
  <c r="G14391" i="1"/>
  <c r="G14263" i="1"/>
  <c r="G14023" i="1"/>
  <c r="G13730" i="1"/>
  <c r="G13448" i="1"/>
  <c r="G14640" i="1"/>
  <c r="G14576" i="1"/>
  <c r="G14512" i="1"/>
  <c r="G14448" i="1"/>
  <c r="G14384" i="1"/>
  <c r="G14320" i="1"/>
  <c r="G14256" i="1"/>
  <c r="G14149" i="1"/>
  <c r="G14003" i="1"/>
  <c r="G13846" i="1"/>
  <c r="G13710" i="1"/>
  <c r="G13564" i="1"/>
  <c r="G13402" i="1"/>
  <c r="G13266" i="1"/>
  <c r="G13092" i="1"/>
  <c r="G12915" i="1"/>
  <c r="G12714" i="1"/>
  <c r="G12426" i="1"/>
  <c r="G12108" i="1"/>
  <c r="G11791" i="1"/>
  <c r="G11367" i="1"/>
  <c r="G13170" i="1"/>
  <c r="G13000" i="1"/>
  <c r="G12804" i="1"/>
  <c r="G12579" i="1"/>
  <c r="G12299" i="1"/>
  <c r="G11945" i="1"/>
  <c r="G11554" i="1"/>
  <c r="G11088" i="1"/>
  <c r="G13133" i="1"/>
  <c r="G12963" i="1"/>
  <c r="G12778" i="1"/>
  <c r="G12516" i="1"/>
  <c r="G12140" i="1"/>
  <c r="G11823" i="1"/>
  <c r="G11451" i="1"/>
  <c r="G10939" i="1"/>
  <c r="G13090" i="1"/>
  <c r="G12913" i="1"/>
  <c r="G12710" i="1"/>
  <c r="G12379" i="1"/>
  <c r="G12041" i="1"/>
  <c r="G11683" i="1"/>
  <c r="G11176" i="1"/>
  <c r="G13046" i="1"/>
  <c r="G12844" i="1"/>
  <c r="G12598" i="1"/>
  <c r="G12236" i="1"/>
  <c r="G11919" i="1"/>
  <c r="G11486" i="1"/>
  <c r="G10974" i="1"/>
  <c r="G14125" i="1"/>
  <c r="G13984" i="1"/>
  <c r="G13822" i="1"/>
  <c r="G13681" i="1"/>
  <c r="G13545" i="1"/>
  <c r="G13399" i="1"/>
  <c r="G13237" i="1"/>
  <c r="G13088" i="1"/>
  <c r="G12912" i="1"/>
  <c r="G12676" i="1"/>
  <c r="G12428" i="1"/>
  <c r="G12098" i="1"/>
  <c r="G11751" i="1"/>
  <c r="G11298" i="1"/>
  <c r="G10846" i="1"/>
  <c r="G14829" i="1"/>
  <c r="G14693" i="1"/>
  <c r="G14553" i="1"/>
  <c r="G14425" i="1"/>
  <c r="G14305" i="1"/>
  <c r="G14088" i="1"/>
  <c r="G13910" i="1"/>
  <c r="G13774" i="1"/>
  <c r="G13628" i="1"/>
  <c r="G13466" i="1"/>
  <c r="G13330" i="1"/>
  <c r="G13166" i="1"/>
  <c r="G12996" i="1"/>
  <c r="G12775" i="1"/>
  <c r="G12490" i="1"/>
  <c r="G12182" i="1"/>
  <c r="G11829" i="1"/>
  <c r="G11369" i="1"/>
  <c r="G10865" i="1"/>
  <c r="G14825" i="1"/>
  <c r="G14705" i="1"/>
  <c r="G14589" i="1"/>
  <c r="G14461" i="1"/>
  <c r="G14333" i="1"/>
  <c r="G14187" i="1"/>
  <c r="G14159" i="1"/>
  <c r="G14009" i="1"/>
  <c r="G13868" i="1"/>
  <c r="G13732" i="1"/>
  <c r="G13570" i="1"/>
  <c r="G13424" i="1"/>
  <c r="G13288" i="1"/>
  <c r="G13154" i="1"/>
  <c r="G12977" i="1"/>
  <c r="G12798" i="1"/>
  <c r="G12531" i="1"/>
  <c r="G12291" i="1"/>
  <c r="G11938" i="1"/>
  <c r="G11559" i="1"/>
  <c r="G11112" i="1"/>
  <c r="G12841" i="1"/>
  <c r="G12679" i="1"/>
  <c r="G12543" i="1"/>
  <c r="G12402" i="1"/>
  <c r="G12221" i="1"/>
  <c r="G12044" i="1"/>
  <c r="G11885" i="1"/>
  <c r="G11707" i="1"/>
  <c r="G11463" i="1"/>
  <c r="G11207" i="1"/>
  <c r="G10951" i="1"/>
  <c r="G10293" i="1"/>
  <c r="G9720" i="1"/>
  <c r="G10686" i="1"/>
  <c r="G10450" i="1"/>
  <c r="G9644" i="1"/>
  <c r="G9112" i="1"/>
  <c r="G10630" i="1"/>
  <c r="G10115" i="1"/>
  <c r="G9516" i="1"/>
  <c r="G10767" i="1"/>
  <c r="G10597" i="1"/>
  <c r="G9986" i="1"/>
  <c r="G9451" i="1"/>
  <c r="G10445" i="1"/>
  <c r="G10095" i="1"/>
  <c r="G12655" i="1"/>
  <c r="G12509" i="1"/>
  <c r="G12373" i="1"/>
  <c r="G12192" i="1"/>
  <c r="G12027" i="1"/>
  <c r="G11857" i="1"/>
  <c r="G11660" i="1"/>
  <c r="G11449" i="1"/>
  <c r="G11193" i="1"/>
  <c r="G10937" i="1"/>
  <c r="G10766" i="1"/>
  <c r="G10595" i="1"/>
  <c r="G9964" i="1"/>
  <c r="G9447" i="1"/>
  <c r="G13158" i="1"/>
  <c r="G13030" i="1"/>
  <c r="G12902" i="1"/>
  <c r="G12780" i="1"/>
  <c r="G12618" i="1"/>
  <c r="G12472" i="1"/>
  <c r="G12326" i="1"/>
  <c r="G12167" i="1"/>
  <c r="G11990" i="1"/>
  <c r="G11814" i="1"/>
  <c r="G11643" i="1"/>
  <c r="G11401" i="1"/>
  <c r="G11145" i="1"/>
  <c r="G10913" i="1"/>
  <c r="G10742" i="1"/>
  <c r="G10555" i="1"/>
  <c r="G9850" i="1"/>
  <c r="G9376" i="1"/>
  <c r="G14072" i="1"/>
  <c r="G13944" i="1"/>
  <c r="G13816" i="1"/>
  <c r="G13688" i="1"/>
  <c r="G13560" i="1"/>
  <c r="G13432" i="1"/>
  <c r="G13304" i="1"/>
  <c r="G13176" i="1"/>
  <c r="G13048" i="1"/>
  <c r="G12920" i="1"/>
  <c r="G12769" i="1"/>
  <c r="G12628" i="1"/>
  <c r="G12492" i="1"/>
  <c r="G12331" i="1"/>
  <c r="G12154" i="1"/>
  <c r="G11984" i="1"/>
  <c r="G11819" i="1"/>
  <c r="G11592" i="1"/>
  <c r="G11354" i="1"/>
  <c r="G11098" i="1"/>
  <c r="G10879" i="1"/>
  <c r="G10709" i="1"/>
  <c r="G10490" i="1"/>
  <c r="G9794" i="1"/>
  <c r="G9344" i="1"/>
  <c r="G8756" i="1"/>
  <c r="G11469" i="1"/>
  <c r="G11341" i="1"/>
  <c r="G11213" i="1"/>
  <c r="G11085" i="1"/>
  <c r="G10957" i="1"/>
  <c r="G10446" i="1"/>
  <c r="G10302" i="1"/>
  <c r="G10096" i="1"/>
  <c r="G9767" i="1"/>
  <c r="G9089" i="1"/>
  <c r="G8591" i="1"/>
  <c r="G8828" i="1"/>
  <c r="G9209" i="1"/>
  <c r="G8862" i="1"/>
  <c r="G9287" i="1"/>
  <c r="G8990" i="1"/>
  <c r="G8473" i="1"/>
  <c r="G11677" i="1"/>
  <c r="G11549" i="1"/>
  <c r="G11421" i="1"/>
  <c r="G11293" i="1"/>
  <c r="G11165" i="1"/>
  <c r="G11037" i="1"/>
  <c r="G10551" i="1"/>
  <c r="G10378" i="1"/>
  <c r="G10250" i="1"/>
  <c r="G9991" i="1"/>
  <c r="G9662" i="1"/>
  <c r="G8945" i="1"/>
  <c r="G8454" i="1"/>
  <c r="G12243" i="1"/>
  <c r="G12115" i="1"/>
  <c r="G11987" i="1"/>
  <c r="G11859" i="1"/>
  <c r="G11731" i="1"/>
  <c r="G11603" i="1"/>
  <c r="G11475" i="1"/>
  <c r="G11347" i="1"/>
  <c r="G11219" i="1"/>
  <c r="G11091" i="1"/>
  <c r="G10963" i="1"/>
  <c r="G10866" i="1"/>
  <c r="G10781" i="1"/>
  <c r="G10695" i="1"/>
  <c r="G10610" i="1"/>
  <c r="G10467" i="1"/>
  <c r="G10018" i="1"/>
  <c r="G9652" i="1"/>
  <c r="G9467" i="1"/>
  <c r="G9296" i="1"/>
  <c r="G8944" i="1"/>
  <c r="G8435" i="1"/>
  <c r="G12759" i="1"/>
  <c r="G12631" i="1"/>
  <c r="G12503" i="1"/>
  <c r="G12375" i="1"/>
  <c r="G12247" i="1"/>
  <c r="G12119" i="1"/>
  <c r="G11991" i="1"/>
  <c r="G11863" i="1"/>
  <c r="G11735" i="1"/>
  <c r="G11607" i="1"/>
  <c r="G11479" i="1"/>
  <c r="G11351" i="1"/>
  <c r="G11223" i="1"/>
  <c r="G11095" i="1"/>
  <c r="G10967" i="1"/>
  <c r="G9670" i="1"/>
  <c r="G9686" i="1"/>
  <c r="G6876" i="1"/>
  <c r="G8356" i="1"/>
  <c r="G10044" i="1"/>
  <c r="G9016" i="1"/>
  <c r="G10824" i="1"/>
  <c r="G10312" i="1"/>
  <c r="G8669" i="1"/>
  <c r="G9682" i="1"/>
  <c r="G8522" i="1"/>
  <c r="G8451" i="1"/>
  <c r="G6853" i="1"/>
  <c r="G6660" i="1"/>
  <c r="G6371" i="1"/>
  <c r="G8261" i="1"/>
  <c r="G6497" i="1"/>
  <c r="G8425" i="1"/>
  <c r="G6765" i="1"/>
  <c r="G9929" i="1"/>
  <c r="G9417" i="1"/>
  <c r="G8552" i="1"/>
  <c r="G7128" i="1"/>
  <c r="G7106" i="1"/>
  <c r="G5916" i="1"/>
  <c r="G4847" i="1"/>
  <c r="G7318" i="1"/>
  <c r="G5679" i="1"/>
  <c r="G7386" i="1"/>
  <c r="G6348" i="1"/>
  <c r="G7870" i="1"/>
  <c r="G5000" i="1"/>
  <c r="F2295" i="1"/>
  <c r="F3181" i="1"/>
  <c r="F3012" i="1"/>
  <c r="F2701" i="1"/>
  <c r="F2519" i="1"/>
  <c r="F2281" i="1"/>
  <c r="F1132" i="1"/>
  <c r="F2888" i="1"/>
  <c r="F2803" i="1"/>
  <c r="F2518" i="1"/>
  <c r="F2163" i="1"/>
  <c r="F2620" i="1"/>
  <c r="F2492" i="1"/>
  <c r="F2364" i="1"/>
  <c r="F2131" i="1"/>
  <c r="F1899" i="1"/>
  <c r="F1438" i="1"/>
  <c r="F2173" i="1"/>
  <c r="F2000" i="1"/>
  <c r="F1760" i="1"/>
  <c r="F1121" i="1"/>
  <c r="F2012" i="1"/>
  <c r="F1699" i="1"/>
  <c r="F2707" i="1"/>
  <c r="F2643" i="1"/>
  <c r="F2530" i="1"/>
  <c r="F2402" i="1"/>
  <c r="F2294" i="1"/>
  <c r="F2209" i="1"/>
  <c r="F2078" i="1"/>
  <c r="F1875" i="1"/>
  <c r="F1488" i="1"/>
  <c r="F2557" i="1"/>
  <c r="F2429" i="1"/>
  <c r="F2251" i="1"/>
  <c r="F2004" i="1"/>
  <c r="F1744" i="1"/>
  <c r="F3198" i="1"/>
  <c r="F3134" i="1"/>
  <c r="F3070" i="1"/>
  <c r="F3006" i="1"/>
  <c r="F2942" i="1"/>
  <c r="F2878" i="1"/>
  <c r="F2814" i="1"/>
  <c r="F2750" i="1"/>
  <c r="F2686" i="1"/>
  <c r="F2607" i="1"/>
  <c r="F2479" i="1"/>
  <c r="F2351" i="1"/>
  <c r="F2266" i="1"/>
  <c r="F2181" i="1"/>
  <c r="F2016" i="1"/>
  <c r="F1804" i="1"/>
  <c r="F1360" i="1"/>
  <c r="F1179" i="1"/>
  <c r="F1306" i="1"/>
  <c r="F2084" i="1"/>
  <c r="F1915" i="1"/>
  <c r="F1731" i="1"/>
  <c r="F1420" i="1"/>
  <c r="F1534" i="1"/>
  <c r="F1185" i="1"/>
  <c r="F2019" i="1"/>
  <c r="F1839" i="1"/>
  <c r="F1616" i="1"/>
  <c r="F1219" i="1"/>
  <c r="F1776" i="1"/>
  <c r="F1346" i="1"/>
  <c r="F1618" i="1"/>
  <c r="F1444" i="1"/>
  <c r="F1275" i="1"/>
  <c r="F1112" i="1"/>
  <c r="F901" i="1"/>
  <c r="F873" i="1"/>
  <c r="F861" i="1"/>
  <c r="F860" i="1"/>
  <c r="F1754" i="1"/>
  <c r="F1690" i="1"/>
  <c r="F1606" i="1"/>
  <c r="F1432" i="1"/>
  <c r="F1263" i="1"/>
  <c r="F1125" i="1"/>
  <c r="F859" i="1"/>
  <c r="F1482" i="1"/>
  <c r="F1308" i="1"/>
  <c r="F1145" i="1"/>
  <c r="F920" i="1"/>
  <c r="F2101" i="1"/>
  <c r="F2037" i="1"/>
  <c r="F1973" i="1"/>
  <c r="F1909" i="1"/>
  <c r="F1845" i="1"/>
  <c r="F1781" i="1"/>
  <c r="F1717" i="1"/>
  <c r="F1653" i="1"/>
  <c r="F1504" i="1"/>
  <c r="F1335" i="1"/>
  <c r="F1181" i="1"/>
  <c r="F1002" i="1"/>
  <c r="F1067" i="1"/>
  <c r="F939" i="1"/>
  <c r="F804" i="1"/>
  <c r="F625" i="1"/>
  <c r="F767" i="1"/>
  <c r="F135" i="1"/>
  <c r="F688" i="1"/>
  <c r="F823" i="1"/>
  <c r="F569" i="1"/>
  <c r="F744" i="1"/>
  <c r="F283" i="1"/>
  <c r="F982" i="1"/>
  <c r="F858" i="1"/>
  <c r="F712" i="1"/>
  <c r="F1050" i="1"/>
  <c r="F922" i="1"/>
  <c r="F758" i="1"/>
  <c r="F364" i="1"/>
  <c r="F1593" i="1"/>
  <c r="F1529" i="1"/>
  <c r="F1465" i="1"/>
  <c r="F1401" i="1"/>
  <c r="F1337" i="1"/>
  <c r="F1273" i="1"/>
  <c r="F1209" i="1"/>
  <c r="F1086" i="1"/>
  <c r="F958" i="1"/>
  <c r="F841" i="1"/>
  <c r="F667" i="1"/>
  <c r="F578" i="1"/>
  <c r="F344" i="1"/>
  <c r="F603" i="1"/>
  <c r="F381" i="1"/>
  <c r="F618" i="1"/>
  <c r="F349" i="1"/>
  <c r="F628" i="1"/>
  <c r="F432" i="1"/>
  <c r="F824" i="1"/>
  <c r="F687" i="1"/>
  <c r="F516" i="1"/>
  <c r="F188" i="1"/>
  <c r="F579" i="1"/>
  <c r="F309" i="1"/>
  <c r="F489" i="1"/>
  <c r="F334" i="1"/>
  <c r="F142" i="1"/>
  <c r="F69" i="1"/>
  <c r="F582" i="1"/>
  <c r="F431" i="1"/>
  <c r="F253" i="1"/>
  <c r="F58" i="1"/>
  <c r="F495" i="1"/>
  <c r="F373" i="1"/>
  <c r="F174" i="1"/>
  <c r="F613" i="1"/>
  <c r="F485" i="1"/>
  <c r="F341" i="1"/>
  <c r="F198" i="1"/>
  <c r="F90" i="1"/>
  <c r="F425" i="1"/>
  <c r="F301" i="1"/>
  <c r="F139" i="1"/>
  <c r="F307" i="1"/>
  <c r="F179" i="1"/>
  <c r="F76" i="1"/>
  <c r="F123" i="1"/>
  <c r="F59" i="1"/>
  <c r="G14826" i="1"/>
  <c r="G14238" i="1"/>
  <c r="G14786" i="1"/>
  <c r="G14007" i="1"/>
  <c r="G13996" i="1"/>
  <c r="G14871" i="1"/>
  <c r="G14704" i="1"/>
  <c r="G14043" i="1"/>
  <c r="G13750" i="1"/>
  <c r="G13468" i="1"/>
  <c r="G14430" i="1"/>
  <c r="G13875" i="1"/>
  <c r="G13572" i="1"/>
  <c r="G13311" i="1"/>
  <c r="G13809" i="1"/>
  <c r="G13527" i="1"/>
  <c r="G13234" i="1"/>
  <c r="G13474" i="1"/>
  <c r="G13070" i="1"/>
  <c r="G14494" i="1"/>
  <c r="G14703" i="1"/>
  <c r="G14451" i="1"/>
  <c r="G14791" i="1"/>
  <c r="G13369" i="1"/>
  <c r="G14570" i="1"/>
  <c r="G14418" i="1"/>
  <c r="G14290" i="1"/>
  <c r="G14079" i="1"/>
  <c r="G13755" i="1"/>
  <c r="G13462" i="1"/>
  <c r="G13107" i="1"/>
  <c r="G14422" i="1"/>
  <c r="G14039" i="1"/>
  <c r="G14403" i="1"/>
  <c r="G14880" i="1"/>
  <c r="G13421" i="1"/>
  <c r="G13595" i="1"/>
  <c r="G13302" i="1"/>
  <c r="G14622" i="1"/>
  <c r="G14767" i="1"/>
  <c r="G14571" i="1"/>
  <c r="G13986" i="1"/>
  <c r="G13797" i="1"/>
  <c r="G14700" i="1"/>
  <c r="G14872" i="1"/>
  <c r="G14687" i="1"/>
  <c r="G14044" i="1"/>
  <c r="G13678" i="1"/>
  <c r="G14802" i="1"/>
  <c r="G14639" i="1"/>
  <c r="G14511" i="1"/>
  <c r="G14383" i="1"/>
  <c r="G14255" i="1"/>
  <c r="G14012" i="1"/>
  <c r="G13709" i="1"/>
  <c r="G13427" i="1"/>
  <c r="G14636" i="1"/>
  <c r="G14572" i="1"/>
  <c r="G14508" i="1"/>
  <c r="G14444" i="1"/>
  <c r="G14380" i="1"/>
  <c r="G14316" i="1"/>
  <c r="G14252" i="1"/>
  <c r="G14144" i="1"/>
  <c r="G13982" i="1"/>
  <c r="G13841" i="1"/>
  <c r="G13705" i="1"/>
  <c r="G13559" i="1"/>
  <c r="G13397" i="1"/>
  <c r="G13261" i="1"/>
  <c r="G13086" i="1"/>
  <c r="G12909" i="1"/>
  <c r="G12705" i="1"/>
  <c r="G12415" i="1"/>
  <c r="G12095" i="1"/>
  <c r="G11778" i="1"/>
  <c r="G11349" i="1"/>
  <c r="G13159" i="1"/>
  <c r="G12994" i="1"/>
  <c r="G12797" i="1"/>
  <c r="G12569" i="1"/>
  <c r="G12274" i="1"/>
  <c r="G11921" i="1"/>
  <c r="G11538" i="1"/>
  <c r="G11051" i="1"/>
  <c r="G13115" i="1"/>
  <c r="G12956" i="1"/>
  <c r="G12754" i="1"/>
  <c r="G12495" i="1"/>
  <c r="G12127" i="1"/>
  <c r="G11798" i="1"/>
  <c r="G11433" i="1"/>
  <c r="G10918" i="1"/>
  <c r="G13072" i="1"/>
  <c r="G12895" i="1"/>
  <c r="G12661" i="1"/>
  <c r="G12369" i="1"/>
  <c r="G12017" i="1"/>
  <c r="G11669" i="1"/>
  <c r="G11139" i="1"/>
  <c r="G13028" i="1"/>
  <c r="G12827" i="1"/>
  <c r="G12588" i="1"/>
  <c r="G12223" i="1"/>
  <c r="G11894" i="1"/>
  <c r="G11468" i="1"/>
  <c r="G10956" i="1"/>
  <c r="G14120" i="1"/>
  <c r="G13979" i="1"/>
  <c r="G13817" i="1"/>
  <c r="G13676" i="1"/>
  <c r="G13540" i="1"/>
  <c r="G13378" i="1"/>
  <c r="G13232" i="1"/>
  <c r="G13082" i="1"/>
  <c r="G12905" i="1"/>
  <c r="G12647" i="1"/>
  <c r="G12386" i="1"/>
  <c r="G12073" i="1"/>
  <c r="G11737" i="1"/>
  <c r="G11280" i="1"/>
  <c r="G10825" i="1"/>
  <c r="G14821" i="1"/>
  <c r="G14685" i="1"/>
  <c r="G14545" i="1"/>
  <c r="G14417" i="1"/>
  <c r="G14297" i="1"/>
  <c r="G14067" i="1"/>
  <c r="G13905" i="1"/>
  <c r="G13769" i="1"/>
  <c r="G13623" i="1"/>
  <c r="G13461" i="1"/>
  <c r="G13325" i="1"/>
  <c r="G13155" i="1"/>
  <c r="G12990" i="1"/>
  <c r="G12766" i="1"/>
  <c r="G12479" i="1"/>
  <c r="G12158" i="1"/>
  <c r="G11805" i="1"/>
  <c r="G11314" i="1"/>
  <c r="G10843" i="1"/>
  <c r="G14817" i="1"/>
  <c r="G14697" i="1"/>
  <c r="G14581" i="1"/>
  <c r="G14453" i="1"/>
  <c r="G14325" i="1"/>
  <c r="G14178" i="1"/>
  <c r="G14150" i="1"/>
  <c r="G14004" i="1"/>
  <c r="G13863" i="1"/>
  <c r="G13727" i="1"/>
  <c r="G13565" i="1"/>
  <c r="G13419" i="1"/>
  <c r="G13283" i="1"/>
  <c r="G13136" i="1"/>
  <c r="G12959" i="1"/>
  <c r="G12749" i="1"/>
  <c r="G12510" i="1"/>
  <c r="G12267" i="1"/>
  <c r="G11913" i="1"/>
  <c r="G11545" i="1"/>
  <c r="G11075" i="1"/>
  <c r="G12836" i="1"/>
  <c r="G12674" i="1"/>
  <c r="G12538" i="1"/>
  <c r="G12397" i="1"/>
  <c r="G12214" i="1"/>
  <c r="G12038" i="1"/>
  <c r="G11879" i="1"/>
  <c r="G11701" i="1"/>
  <c r="G11454" i="1"/>
  <c r="G11198" i="1"/>
  <c r="G10942" i="1"/>
  <c r="G10277" i="1"/>
  <c r="G9702" i="1"/>
  <c r="G10675" i="1"/>
  <c r="G10425" i="1"/>
  <c r="G9626" i="1"/>
  <c r="G10790" i="1"/>
  <c r="G10619" i="1"/>
  <c r="G10060" i="1"/>
  <c r="G9495" i="1"/>
  <c r="G10757" i="1"/>
  <c r="G10586" i="1"/>
  <c r="G9931" i="1"/>
  <c r="G9430" i="1"/>
  <c r="G10431" i="1"/>
  <c r="G10040" i="1"/>
  <c r="G12650" i="1"/>
  <c r="G12504" i="1"/>
  <c r="G12368" i="1"/>
  <c r="G12186" i="1"/>
  <c r="G12016" i="1"/>
  <c r="G11851" i="1"/>
  <c r="G11652" i="1"/>
  <c r="G11440" i="1"/>
  <c r="G11184" i="1"/>
  <c r="G10926" i="1"/>
  <c r="G10755" i="1"/>
  <c r="G10585" i="1"/>
  <c r="G9946" i="1"/>
  <c r="G9426" i="1"/>
  <c r="G13149" i="1"/>
  <c r="G13021" i="1"/>
  <c r="G12893" i="1"/>
  <c r="G12743" i="1"/>
  <c r="G12607" i="1"/>
  <c r="G12466" i="1"/>
  <c r="G12319" i="1"/>
  <c r="G12149" i="1"/>
  <c r="G11972" i="1"/>
  <c r="G11807" i="1"/>
  <c r="G11637" i="1"/>
  <c r="G11392" i="1"/>
  <c r="G11136" i="1"/>
  <c r="G10902" i="1"/>
  <c r="G10731" i="1"/>
  <c r="G10530" i="1"/>
  <c r="G9795" i="1"/>
  <c r="G9346" i="1"/>
  <c r="G14063" i="1"/>
  <c r="G13935" i="1"/>
  <c r="G13807" i="1"/>
  <c r="G13679" i="1"/>
  <c r="G13551" i="1"/>
  <c r="G13423" i="1"/>
  <c r="G13295" i="1"/>
  <c r="G13167" i="1"/>
  <c r="G13039" i="1"/>
  <c r="G12911" i="1"/>
  <c r="G12763" i="1"/>
  <c r="G12617" i="1"/>
  <c r="G12455" i="1"/>
  <c r="G12313" i="1"/>
  <c r="G12136" i="1"/>
  <c r="G11977" i="1"/>
  <c r="G11801" i="1"/>
  <c r="G11584" i="1"/>
  <c r="G11345" i="1"/>
  <c r="G11089" i="1"/>
  <c r="G10869" i="1"/>
  <c r="G10698" i="1"/>
  <c r="G10465" i="1"/>
  <c r="G9739" i="1"/>
  <c r="G9312" i="1"/>
  <c r="G8738" i="1"/>
  <c r="G11460" i="1"/>
  <c r="G11332" i="1"/>
  <c r="G11204" i="1"/>
  <c r="G11076" i="1"/>
  <c r="G10948" i="1"/>
  <c r="G10439" i="1"/>
  <c r="G10294" i="1"/>
  <c r="G10087" i="1"/>
  <c r="G9758" i="1"/>
  <c r="G9076" i="1"/>
  <c r="G8573" i="1"/>
  <c r="G8810" i="1"/>
  <c r="G9196" i="1"/>
  <c r="G8807" i="1"/>
  <c r="G9276" i="1"/>
  <c r="G8947" i="1"/>
  <c r="G8436" i="1"/>
  <c r="G11668" i="1"/>
  <c r="G11540" i="1"/>
  <c r="G11412" i="1"/>
  <c r="G11284" i="1"/>
  <c r="G11156" i="1"/>
  <c r="G11028" i="1"/>
  <c r="G10533" i="1"/>
  <c r="G10370" i="1"/>
  <c r="G10242" i="1"/>
  <c r="G9982" i="1"/>
  <c r="G9616" i="1"/>
  <c r="G8911" i="1"/>
  <c r="G8405" i="1"/>
  <c r="G12234" i="1"/>
  <c r="G12106" i="1"/>
  <c r="G11978" i="1"/>
  <c r="G11850" i="1"/>
  <c r="G11722" i="1"/>
  <c r="G11594" i="1"/>
  <c r="G11466" i="1"/>
  <c r="G11338" i="1"/>
  <c r="G11210" i="1"/>
  <c r="G11082" i="1"/>
  <c r="G10954" i="1"/>
  <c r="G10861" i="1"/>
  <c r="G10775" i="1"/>
  <c r="G10690" i="1"/>
  <c r="G10605" i="1"/>
  <c r="G10449" i="1"/>
  <c r="G9972" i="1"/>
  <c r="G9643" i="1"/>
  <c r="G9456" i="1"/>
  <c r="G9286" i="1"/>
  <c r="G8929" i="1"/>
  <c r="G12878" i="1"/>
  <c r="G12750" i="1"/>
  <c r="G12622" i="1"/>
  <c r="G12494" i="1"/>
  <c r="G12366" i="1"/>
  <c r="G12238" i="1"/>
  <c r="G12110" i="1"/>
  <c r="G11982" i="1"/>
  <c r="G11854" i="1"/>
  <c r="G11726" i="1"/>
  <c r="G11598" i="1"/>
  <c r="G11470" i="1"/>
  <c r="G11342" i="1"/>
  <c r="G11214" i="1"/>
  <c r="G11086" i="1"/>
  <c r="G10958" i="1"/>
  <c r="G9017" i="1"/>
  <c r="G9169" i="1"/>
  <c r="G8148" i="1"/>
  <c r="G8074" i="1"/>
  <c r="G9884" i="1"/>
  <c r="G8779" i="1"/>
  <c r="G10764" i="1"/>
  <c r="G10252" i="1"/>
  <c r="G8422" i="1"/>
  <c r="G9566" i="1"/>
  <c r="G8267" i="1"/>
  <c r="G8301" i="1"/>
  <c r="G6632" i="1"/>
  <c r="G6452" i="1"/>
  <c r="G5979" i="1"/>
  <c r="G8131" i="1"/>
  <c r="G5729" i="1"/>
  <c r="G8282" i="1"/>
  <c r="G6548" i="1"/>
  <c r="G9869" i="1"/>
  <c r="G9357" i="1"/>
  <c r="G8429" i="1"/>
  <c r="G6881" i="1"/>
  <c r="G6987" i="1"/>
  <c r="G5756" i="1"/>
  <c r="G4219" i="1"/>
  <c r="G7199" i="1"/>
  <c r="G5326" i="1"/>
  <c r="G7267" i="1"/>
  <c r="G6215" i="1"/>
  <c r="G6969" i="1"/>
  <c r="G3314" i="1"/>
  <c r="F2263" i="1"/>
  <c r="F3172" i="1"/>
  <c r="F3003" i="1"/>
  <c r="F2693" i="1"/>
  <c r="F2482" i="1"/>
  <c r="F2270" i="1"/>
  <c r="F3016" i="1"/>
  <c r="F2883" i="1"/>
  <c r="F2797" i="1"/>
  <c r="F2509" i="1"/>
  <c r="F2068" i="1"/>
  <c r="F2611" i="1"/>
  <c r="F2483" i="1"/>
  <c r="F2355" i="1"/>
  <c r="F2100" i="1"/>
  <c r="F1866" i="1"/>
  <c r="F1396" i="1"/>
  <c r="F2168" i="1"/>
  <c r="F1982" i="1"/>
  <c r="F1751" i="1"/>
  <c r="F2231" i="1"/>
  <c r="F2006" i="1"/>
  <c r="F1675" i="1"/>
  <c r="F2703" i="1"/>
  <c r="F2639" i="1"/>
  <c r="F2521" i="1"/>
  <c r="F2393" i="1"/>
  <c r="F2289" i="1"/>
  <c r="F2204" i="1"/>
  <c r="F2072" i="1"/>
  <c r="F1868" i="1"/>
  <c r="F1447" i="1"/>
  <c r="F2548" i="1"/>
  <c r="F2420" i="1"/>
  <c r="F2235" i="1"/>
  <c r="F1992" i="1"/>
  <c r="F1732" i="1"/>
  <c r="F3194" i="1"/>
  <c r="F3130" i="1"/>
  <c r="F3066" i="1"/>
  <c r="F3002" i="1"/>
  <c r="F2938" i="1"/>
  <c r="F2874" i="1"/>
  <c r="F2810" i="1"/>
  <c r="F2746" i="1"/>
  <c r="F2682" i="1"/>
  <c r="F2602" i="1"/>
  <c r="F2474" i="1"/>
  <c r="F2346" i="1"/>
  <c r="F2261" i="1"/>
  <c r="F2176" i="1"/>
  <c r="F1998" i="1"/>
  <c r="F1795" i="1"/>
  <c r="F1319" i="1"/>
  <c r="F1131" i="1"/>
  <c r="F1296" i="1"/>
  <c r="F2075" i="1"/>
  <c r="F1906" i="1"/>
  <c r="F1712" i="1"/>
  <c r="F1398" i="1"/>
  <c r="F1524" i="1"/>
  <c r="F1174" i="1"/>
  <c r="F2010" i="1"/>
  <c r="F1834" i="1"/>
  <c r="F1575" i="1"/>
  <c r="F1195" i="1"/>
  <c r="F1758" i="1"/>
  <c r="F1300" i="1"/>
  <c r="F1604" i="1"/>
  <c r="F1435" i="1"/>
  <c r="F1266" i="1"/>
  <c r="F1107" i="1"/>
  <c r="F864" i="1"/>
  <c r="F1079" i="1"/>
  <c r="F850" i="1"/>
  <c r="F1070" i="1"/>
  <c r="F1750" i="1"/>
  <c r="F1686" i="1"/>
  <c r="F1592" i="1"/>
  <c r="F1423" i="1"/>
  <c r="F1254" i="1"/>
  <c r="F1103" i="1"/>
  <c r="F822" i="1"/>
  <c r="F1468" i="1"/>
  <c r="F1299" i="1"/>
  <c r="F1124" i="1"/>
  <c r="F911" i="1"/>
  <c r="F2097" i="1"/>
  <c r="F2033" i="1"/>
  <c r="F1969" i="1"/>
  <c r="F1905" i="1"/>
  <c r="F1841" i="1"/>
  <c r="F1777" i="1"/>
  <c r="F1713" i="1"/>
  <c r="F1649" i="1"/>
  <c r="F1495" i="1"/>
  <c r="F1326" i="1"/>
  <c r="F1160" i="1"/>
  <c r="F993" i="1"/>
  <c r="F1058" i="1"/>
  <c r="F930" i="1"/>
  <c r="F799" i="1"/>
  <c r="F576" i="1"/>
  <c r="F730" i="1"/>
  <c r="F834" i="1"/>
  <c r="F683" i="1"/>
  <c r="F802" i="1"/>
  <c r="F539" i="1"/>
  <c r="F739" i="1"/>
  <c r="F236" i="1"/>
  <c r="F973" i="1"/>
  <c r="F853" i="1"/>
  <c r="F707" i="1"/>
  <c r="F1041" i="1"/>
  <c r="F913" i="1"/>
  <c r="F753" i="1"/>
  <c r="F319" i="1"/>
  <c r="F1589" i="1"/>
  <c r="F1525" i="1"/>
  <c r="F1461" i="1"/>
  <c r="F1397" i="1"/>
  <c r="F1333" i="1"/>
  <c r="F1269" i="1"/>
  <c r="F1205" i="1"/>
  <c r="F1077" i="1"/>
  <c r="F949" i="1"/>
  <c r="F836" i="1"/>
  <c r="F651" i="1"/>
  <c r="F570" i="1"/>
  <c r="F332" i="1"/>
  <c r="F597" i="1"/>
  <c r="F360" i="1"/>
  <c r="F602" i="1"/>
  <c r="F338" i="1"/>
  <c r="F623" i="1"/>
  <c r="F390" i="1"/>
  <c r="F815" i="1"/>
  <c r="F682" i="1"/>
  <c r="F507" i="1"/>
  <c r="F172" i="1"/>
  <c r="F571" i="1"/>
  <c r="F297" i="1"/>
  <c r="F480" i="1"/>
  <c r="F316" i="1"/>
  <c r="F136" i="1"/>
  <c r="F61" i="1"/>
  <c r="F573" i="1"/>
  <c r="F426" i="1"/>
  <c r="F241" i="1"/>
  <c r="F42" i="1"/>
  <c r="F490" i="1"/>
  <c r="F368" i="1"/>
  <c r="F157" i="1"/>
  <c r="F604" i="1"/>
  <c r="F476" i="1"/>
  <c r="F335" i="1"/>
  <c r="F192" i="1"/>
  <c r="F78" i="1"/>
  <c r="F416" i="1"/>
  <c r="F296" i="1"/>
  <c r="F134" i="1"/>
  <c r="F298" i="1"/>
  <c r="F170" i="1"/>
  <c r="F70" i="1"/>
  <c r="F119" i="1"/>
  <c r="F55" i="1"/>
  <c r="G14762" i="1"/>
  <c r="G14202" i="1"/>
  <c r="G14676" i="1"/>
  <c r="G13965" i="1"/>
  <c r="G13923" i="1"/>
  <c r="G14864" i="1"/>
  <c r="G14686" i="1"/>
  <c r="G14022" i="1"/>
  <c r="G13740" i="1"/>
  <c r="G13437" i="1"/>
  <c r="G14270" i="1"/>
  <c r="G13854" i="1"/>
  <c r="G13530" i="1"/>
  <c r="G13269" i="1"/>
  <c r="G13799" i="1"/>
  <c r="G13506" i="1"/>
  <c r="G13224" i="1"/>
  <c r="G13453" i="1"/>
  <c r="G14894" i="1"/>
  <c r="G14486" i="1"/>
  <c r="G14671" i="1"/>
  <c r="G14411" i="1"/>
  <c r="G14766" i="1"/>
  <c r="G13285" i="1"/>
  <c r="G14554" i="1"/>
  <c r="G14410" i="1"/>
  <c r="G14282" i="1"/>
  <c r="G14037" i="1"/>
  <c r="G13734" i="1"/>
  <c r="G13452" i="1"/>
  <c r="G12931" i="1"/>
  <c r="G14390" i="1"/>
  <c r="G13997" i="1"/>
  <c r="G14371" i="1"/>
  <c r="G14848" i="1"/>
  <c r="G13348" i="1"/>
  <c r="G13574" i="1"/>
  <c r="G13292" i="1"/>
  <c r="G14582" i="1"/>
  <c r="G14710" i="1"/>
  <c r="G14539" i="1"/>
  <c r="G13829" i="1"/>
  <c r="G13745" i="1"/>
  <c r="G14682" i="1"/>
  <c r="G14854" i="1"/>
  <c r="G14680" i="1"/>
  <c r="G14013" i="1"/>
  <c r="G13668" i="1"/>
  <c r="G14795" i="1"/>
  <c r="G14631" i="1"/>
  <c r="G14503" i="1"/>
  <c r="G14375" i="1"/>
  <c r="G14247" i="1"/>
  <c r="G13981" i="1"/>
  <c r="G13699" i="1"/>
  <c r="G13406" i="1"/>
  <c r="G14632" i="1"/>
  <c r="G14568" i="1"/>
  <c r="G14504" i="1"/>
  <c r="G14440" i="1"/>
  <c r="G14376" i="1"/>
  <c r="G14312" i="1"/>
  <c r="G14248" i="1"/>
  <c r="G14139" i="1"/>
  <c r="G13977" i="1"/>
  <c r="G13836" i="1"/>
  <c r="G13700" i="1"/>
  <c r="G13538" i="1"/>
  <c r="G13392" i="1"/>
  <c r="G13256" i="1"/>
  <c r="G13068" i="1"/>
  <c r="G12891" i="1"/>
  <c r="G12681" i="1"/>
  <c r="G12405" i="1"/>
  <c r="G12084" i="1"/>
  <c r="G11762" i="1"/>
  <c r="G11294" i="1"/>
  <c r="G13152" i="1"/>
  <c r="G12976" i="1"/>
  <c r="G12788" i="1"/>
  <c r="G12548" i="1"/>
  <c r="G12250" i="1"/>
  <c r="G11897" i="1"/>
  <c r="G11524" i="1"/>
  <c r="G11033" i="1"/>
  <c r="G13109" i="1"/>
  <c r="G12950" i="1"/>
  <c r="G12745" i="1"/>
  <c r="G12474" i="1"/>
  <c r="G12116" i="1"/>
  <c r="G11771" i="1"/>
  <c r="G11378" i="1"/>
  <c r="G10897" i="1"/>
  <c r="G13065" i="1"/>
  <c r="G12889" i="1"/>
  <c r="G12651" i="1"/>
  <c r="G12346" i="1"/>
  <c r="G11993" i="1"/>
  <c r="G11610" i="1"/>
  <c r="G11121" i="1"/>
  <c r="G13022" i="1"/>
  <c r="G12818" i="1"/>
  <c r="G12546" i="1"/>
  <c r="G12212" i="1"/>
  <c r="G11870" i="1"/>
  <c r="G11431" i="1"/>
  <c r="G14233" i="1"/>
  <c r="G14115" i="1"/>
  <c r="G13958" i="1"/>
  <c r="G13812" i="1"/>
  <c r="G13671" i="1"/>
  <c r="G13535" i="1"/>
  <c r="G13373" i="1"/>
  <c r="G13227" i="1"/>
  <c r="G13064" i="1"/>
  <c r="G12887" i="1"/>
  <c r="G12637" i="1"/>
  <c r="G12376" i="1"/>
  <c r="G12049" i="1"/>
  <c r="G11721" i="1"/>
  <c r="G11243" i="1"/>
  <c r="G10803" i="1"/>
  <c r="G14813" i="1"/>
  <c r="G14677" i="1"/>
  <c r="G14537" i="1"/>
  <c r="G14409" i="1"/>
  <c r="G14289" i="1"/>
  <c r="G14046" i="1"/>
  <c r="G13900" i="1"/>
  <c r="G13764" i="1"/>
  <c r="G13602" i="1"/>
  <c r="G13456" i="1"/>
  <c r="G13320" i="1"/>
  <c r="G13148" i="1"/>
  <c r="G12972" i="1"/>
  <c r="G12757" i="1"/>
  <c r="G12469" i="1"/>
  <c r="G12134" i="1"/>
  <c r="G11779" i="1"/>
  <c r="G11296" i="1"/>
  <c r="G10822" i="1"/>
  <c r="G14809" i="1"/>
  <c r="G14689" i="1"/>
  <c r="G14573" i="1"/>
  <c r="G14445" i="1"/>
  <c r="G14313" i="1"/>
  <c r="G14155" i="1"/>
  <c r="G14134" i="1"/>
  <c r="G13998" i="1"/>
  <c r="G13852" i="1"/>
  <c r="G13690" i="1"/>
  <c r="G13554" i="1"/>
  <c r="G13413" i="1"/>
  <c r="G13267" i="1"/>
  <c r="G13129" i="1"/>
  <c r="G12953" i="1"/>
  <c r="G12740" i="1"/>
  <c r="G12500" i="1"/>
  <c r="G12242" i="1"/>
  <c r="G11889" i="1"/>
  <c r="G11529" i="1"/>
  <c r="G11057" i="1"/>
  <c r="G12815" i="1"/>
  <c r="G12669" i="1"/>
  <c r="G12533" i="1"/>
  <c r="G12392" i="1"/>
  <c r="G12196" i="1"/>
  <c r="G12031" i="1"/>
  <c r="G11861" i="1"/>
  <c r="G11693" i="1"/>
  <c r="G11445" i="1"/>
  <c r="G11189" i="1"/>
  <c r="G10566" i="1"/>
  <c r="G10261" i="1"/>
  <c r="G9647" i="1"/>
  <c r="G10665" i="1"/>
  <c r="G10411" i="1"/>
  <c r="G9607" i="1"/>
  <c r="G10779" i="1"/>
  <c r="G10609" i="1"/>
  <c r="G10042" i="1"/>
  <c r="G9474" i="1"/>
  <c r="G10746" i="1"/>
  <c r="G10561" i="1"/>
  <c r="G9876" i="1"/>
  <c r="G9408" i="1"/>
  <c r="G10406" i="1"/>
  <c r="G10022" i="1"/>
  <c r="G12639" i="1"/>
  <c r="G12498" i="1"/>
  <c r="G12345" i="1"/>
  <c r="G12168" i="1"/>
  <c r="G12009" i="1"/>
  <c r="G11833" i="1"/>
  <c r="G11623" i="1"/>
  <c r="G11403" i="1"/>
  <c r="G11147" i="1"/>
  <c r="G10915" i="1"/>
  <c r="G10745" i="1"/>
  <c r="G10571" i="1"/>
  <c r="G9891" i="1"/>
  <c r="G9404" i="1"/>
  <c r="G13140" i="1"/>
  <c r="G13012" i="1"/>
  <c r="G12884" i="1"/>
  <c r="G12738" i="1"/>
  <c r="G12602" i="1"/>
  <c r="G12461" i="1"/>
  <c r="G12308" i="1"/>
  <c r="G12143" i="1"/>
  <c r="G11966" i="1"/>
  <c r="G11796" i="1"/>
  <c r="G11629" i="1"/>
  <c r="G11355" i="1"/>
  <c r="G11099" i="1"/>
  <c r="G10891" i="1"/>
  <c r="G10721" i="1"/>
  <c r="G10505" i="1"/>
  <c r="G9740" i="1"/>
  <c r="G9314" i="1"/>
  <c r="G14058" i="1"/>
  <c r="G13930" i="1"/>
  <c r="G13802" i="1"/>
  <c r="G13674" i="1"/>
  <c r="G13546" i="1"/>
  <c r="G13418" i="1"/>
  <c r="G13290" i="1"/>
  <c r="G13162" i="1"/>
  <c r="G13034" i="1"/>
  <c r="G12906" i="1"/>
  <c r="G12758" i="1"/>
  <c r="G12612" i="1"/>
  <c r="G12450" i="1"/>
  <c r="G12306" i="1"/>
  <c r="G12130" i="1"/>
  <c r="G11971" i="1"/>
  <c r="G11794" i="1"/>
  <c r="G11563" i="1"/>
  <c r="G11336" i="1"/>
  <c r="G11080" i="1"/>
  <c r="G10858" i="1"/>
  <c r="G10687" i="1"/>
  <c r="G10451" i="1"/>
  <c r="G9684" i="1"/>
  <c r="G9270" i="1"/>
  <c r="G8683" i="1"/>
  <c r="G11455" i="1"/>
  <c r="G11327" i="1"/>
  <c r="G11199" i="1"/>
  <c r="G11071" i="1"/>
  <c r="G10943" i="1"/>
  <c r="G10421" i="1"/>
  <c r="G10286" i="1"/>
  <c r="G10078" i="1"/>
  <c r="G9712" i="1"/>
  <c r="G9052" i="1"/>
  <c r="G8536" i="1"/>
  <c r="G8755" i="1"/>
  <c r="G9185" i="1"/>
  <c r="G8789" i="1"/>
  <c r="G9266" i="1"/>
  <c r="G8930" i="1"/>
  <c r="G8414" i="1"/>
  <c r="G11663" i="1"/>
  <c r="G11535" i="1"/>
  <c r="G11407" i="1"/>
  <c r="G11279" i="1"/>
  <c r="G11151" i="1"/>
  <c r="G11023" i="1"/>
  <c r="G10526" i="1"/>
  <c r="G10362" i="1"/>
  <c r="G10234" i="1"/>
  <c r="G9936" i="1"/>
  <c r="G9241" i="1"/>
  <c r="G8893" i="1"/>
  <c r="G12353" i="1"/>
  <c r="G12225" i="1"/>
  <c r="G12097" i="1"/>
  <c r="G11969" i="1"/>
  <c r="G11841" i="1"/>
  <c r="G11713" i="1"/>
  <c r="G11585" i="1"/>
  <c r="G11457" i="1"/>
  <c r="G11329" i="1"/>
  <c r="G11201" i="1"/>
  <c r="G11073" i="1"/>
  <c r="G10945" i="1"/>
  <c r="G10855" i="1"/>
  <c r="G10770" i="1"/>
  <c r="G10685" i="1"/>
  <c r="G10599" i="1"/>
  <c r="G10442" i="1"/>
  <c r="G9963" i="1"/>
  <c r="G9634" i="1"/>
  <c r="G9446" i="1"/>
  <c r="G9275" i="1"/>
  <c r="G8892" i="1"/>
  <c r="G12869" i="1"/>
  <c r="G12741" i="1"/>
  <c r="G12613" i="1"/>
  <c r="G12485" i="1"/>
  <c r="G12357" i="1"/>
  <c r="G12229" i="1"/>
  <c r="G12101" i="1"/>
  <c r="G11973" i="1"/>
  <c r="G11845" i="1"/>
  <c r="G11717" i="1"/>
  <c r="G11589" i="1"/>
  <c r="G11461" i="1"/>
  <c r="G11333" i="1"/>
  <c r="G11205" i="1"/>
  <c r="G11077" i="1"/>
  <c r="G10949" i="1"/>
  <c r="G8988" i="1"/>
  <c r="G9163" i="1"/>
  <c r="G8138" i="1"/>
  <c r="G8053" i="1"/>
  <c r="G9875" i="1"/>
  <c r="G8770" i="1"/>
  <c r="G10760" i="1"/>
  <c r="G10248" i="1"/>
  <c r="G8413" i="1"/>
  <c r="G9560" i="1"/>
  <c r="G8236" i="1"/>
  <c r="G8296" i="1"/>
  <c r="G6621" i="1"/>
  <c r="G6427" i="1"/>
  <c r="G5958" i="1"/>
  <c r="G8125" i="1"/>
  <c r="G5631" i="1"/>
  <c r="G8276" i="1"/>
  <c r="G6523" i="1"/>
  <c r="G9865" i="1"/>
  <c r="G9353" i="1"/>
  <c r="G8424" i="1"/>
  <c r="G6872" i="1"/>
  <c r="G6978" i="1"/>
  <c r="G5746" i="1"/>
  <c r="G4113" i="1"/>
  <c r="G7190" i="1"/>
  <c r="G5305" i="1"/>
  <c r="G7258" i="1"/>
  <c r="G6207" i="1"/>
  <c r="G6846" i="1"/>
  <c r="G3586" i="1"/>
  <c r="F2228" i="1"/>
  <c r="F3163" i="1"/>
  <c r="F2989" i="1"/>
  <c r="F2685" i="1"/>
  <c r="F2473" i="1"/>
  <c r="F2260" i="1"/>
  <c r="F3007" i="1"/>
  <c r="F2877" i="1"/>
  <c r="F2792" i="1"/>
  <c r="F2500" i="1"/>
  <c r="F2044" i="1"/>
  <c r="F2606" i="1"/>
  <c r="F2478" i="1"/>
  <c r="F2350" i="1"/>
  <c r="F2088" i="1"/>
  <c r="F1852" i="1"/>
  <c r="F1352" i="1"/>
  <c r="F2162" i="1"/>
  <c r="F1976" i="1"/>
  <c r="F1736" i="1"/>
  <c r="F2215" i="1"/>
  <c r="F1994" i="1"/>
  <c r="F1663" i="1"/>
  <c r="F2699" i="1"/>
  <c r="F2635" i="1"/>
  <c r="F2512" i="1"/>
  <c r="F2384" i="1"/>
  <c r="F2284" i="1"/>
  <c r="F2198" i="1"/>
  <c r="F2054" i="1"/>
  <c r="F1862" i="1"/>
  <c r="F1342" i="1"/>
  <c r="F2539" i="1"/>
  <c r="F2411" i="1"/>
  <c r="F2219" i="1"/>
  <c r="F1986" i="1"/>
  <c r="F1720" i="1"/>
  <c r="F3190" i="1"/>
  <c r="F3126" i="1"/>
  <c r="F3062" i="1"/>
  <c r="F2998" i="1"/>
  <c r="F2934" i="1"/>
  <c r="F2870" i="1"/>
  <c r="F2806" i="1"/>
  <c r="F2742" i="1"/>
  <c r="F2678" i="1"/>
  <c r="F2593" i="1"/>
  <c r="F2465" i="1"/>
  <c r="F2341" i="1"/>
  <c r="F2256" i="1"/>
  <c r="F2170" i="1"/>
  <c r="F1991" i="1"/>
  <c r="F1784" i="1"/>
  <c r="F1143" i="1"/>
  <c r="F1120" i="1"/>
  <c r="F1255" i="1"/>
  <c r="F2066" i="1"/>
  <c r="F1892" i="1"/>
  <c r="F1695" i="1"/>
  <c r="F1388" i="1"/>
  <c r="F1512" i="1"/>
  <c r="F1138" i="1"/>
  <c r="F1996" i="1"/>
  <c r="F1822" i="1"/>
  <c r="F1543" i="1"/>
  <c r="F1184" i="1"/>
  <c r="F1620" i="1"/>
  <c r="F1291" i="1"/>
  <c r="F1595" i="1"/>
  <c r="F1426" i="1"/>
  <c r="F1252" i="1"/>
  <c r="F1088" i="1"/>
  <c r="F854" i="1"/>
  <c r="F1071" i="1"/>
  <c r="F838" i="1"/>
  <c r="F1061" i="1"/>
  <c r="F1746" i="1"/>
  <c r="F1682" i="1"/>
  <c r="F1583" i="1"/>
  <c r="F1414" i="1"/>
  <c r="F1240" i="1"/>
  <c r="F1091" i="1"/>
  <c r="F1628" i="1"/>
  <c r="F1459" i="1"/>
  <c r="F1290" i="1"/>
  <c r="F1119" i="1"/>
  <c r="F902" i="1"/>
  <c r="F2093" i="1"/>
  <c r="F2029" i="1"/>
  <c r="F1965" i="1"/>
  <c r="F1901" i="1"/>
  <c r="F1837" i="1"/>
  <c r="F1773" i="1"/>
  <c r="F1709" i="1"/>
  <c r="F1645" i="1"/>
  <c r="F1486" i="1"/>
  <c r="F1312" i="1"/>
  <c r="F1155" i="1"/>
  <c r="F956" i="1"/>
  <c r="F1049" i="1"/>
  <c r="F921" i="1"/>
  <c r="F762" i="1"/>
  <c r="F514" i="1"/>
  <c r="F725" i="1"/>
  <c r="F829" i="1"/>
  <c r="F677" i="1"/>
  <c r="F797" i="1"/>
  <c r="F502" i="1"/>
  <c r="F723" i="1"/>
  <c r="F182" i="1"/>
  <c r="F968" i="1"/>
  <c r="F848" i="1"/>
  <c r="F691" i="1"/>
  <c r="F1036" i="1"/>
  <c r="F908" i="1"/>
  <c r="F748" i="1"/>
  <c r="F272" i="1"/>
  <c r="F1585" i="1"/>
  <c r="F1521" i="1"/>
  <c r="F1457" i="1"/>
  <c r="F1393" i="1"/>
  <c r="F1329" i="1"/>
  <c r="F1265" i="1"/>
  <c r="F1200" i="1"/>
  <c r="F1072" i="1"/>
  <c r="F944" i="1"/>
  <c r="F831" i="1"/>
  <c r="F609" i="1"/>
  <c r="F562" i="1"/>
  <c r="F320" i="1"/>
  <c r="F589" i="1"/>
  <c r="F303" i="1"/>
  <c r="F574" i="1"/>
  <c r="F326" i="1"/>
  <c r="F617" i="1"/>
  <c r="F380" i="1"/>
  <c r="F810" i="1"/>
  <c r="F673" i="1"/>
  <c r="F470" i="1"/>
  <c r="F120" i="1"/>
  <c r="F542" i="1"/>
  <c r="F285" i="1"/>
  <c r="F471" i="1"/>
  <c r="F310" i="1"/>
  <c r="F105" i="1"/>
  <c r="F45" i="1"/>
  <c r="F564" i="1"/>
  <c r="F421" i="1"/>
  <c r="F235" i="1"/>
  <c r="F34" i="1"/>
  <c r="F481" i="1"/>
  <c r="F336" i="1"/>
  <c r="F145" i="1"/>
  <c r="F595" i="1"/>
  <c r="F461" i="1"/>
  <c r="F329" i="1"/>
  <c r="F180" i="1"/>
  <c r="F66" i="1"/>
  <c r="F411" i="1"/>
  <c r="F259" i="1"/>
  <c r="F122" i="1"/>
  <c r="F289" i="1"/>
  <c r="F161" i="1"/>
  <c r="F65" i="1"/>
  <c r="F115" i="1"/>
  <c r="F51" i="1"/>
  <c r="G14716" i="1"/>
  <c r="G14105" i="1"/>
  <c r="G14651" i="1"/>
  <c r="G13913" i="1"/>
  <c r="G13808" i="1"/>
  <c r="G14846" i="1"/>
  <c r="G14679" i="1"/>
  <c r="G14001" i="1"/>
  <c r="G13719" i="1"/>
  <c r="G13426" i="1"/>
  <c r="G14156" i="1"/>
  <c r="G13844" i="1"/>
  <c r="G13520" i="1"/>
  <c r="G13259" i="1"/>
  <c r="G13788" i="1"/>
  <c r="G13485" i="1"/>
  <c r="G13201" i="1"/>
  <c r="G13443" i="1"/>
  <c r="G13682" i="1"/>
  <c r="G14454" i="1"/>
  <c r="G14199" i="1"/>
  <c r="G14379" i="1"/>
  <c r="G14702" i="1"/>
  <c r="G13233" i="1"/>
  <c r="G14546" i="1"/>
  <c r="G14402" i="1"/>
  <c r="G14274" i="1"/>
  <c r="G14027" i="1"/>
  <c r="G13713" i="1"/>
  <c r="G13431" i="1"/>
  <c r="G14908" i="1"/>
  <c r="G14366" i="1"/>
  <c r="G14907" i="1"/>
  <c r="G14339" i="1"/>
  <c r="G14823" i="1"/>
  <c r="G13275" i="1"/>
  <c r="G13553" i="1"/>
  <c r="G13271" i="1"/>
  <c r="G14542" i="1"/>
  <c r="G14678" i="1"/>
  <c r="G14507" i="1"/>
  <c r="G13777" i="1"/>
  <c r="G13599" i="1"/>
  <c r="G14668" i="1"/>
  <c r="G14847" i="1"/>
  <c r="G14662" i="1"/>
  <c r="G14002" i="1"/>
  <c r="G13616" i="1"/>
  <c r="G14788" i="1"/>
  <c r="G14623" i="1"/>
  <c r="G14495" i="1"/>
  <c r="G14367" i="1"/>
  <c r="G14239" i="1"/>
  <c r="G13970" i="1"/>
  <c r="G13657" i="1"/>
  <c r="G13396" i="1"/>
  <c r="G14628" i="1"/>
  <c r="G14564" i="1"/>
  <c r="G14500" i="1"/>
  <c r="G14436" i="1"/>
  <c r="G14372" i="1"/>
  <c r="G14308" i="1"/>
  <c r="G14244" i="1"/>
  <c r="G14118" i="1"/>
  <c r="G13972" i="1"/>
  <c r="G13831" i="1"/>
  <c r="G13695" i="1"/>
  <c r="G13533" i="1"/>
  <c r="G13387" i="1"/>
  <c r="G13251" i="1"/>
  <c r="G13061" i="1"/>
  <c r="G12885" i="1"/>
  <c r="G12672" i="1"/>
  <c r="G12384" i="1"/>
  <c r="G12071" i="1"/>
  <c r="G11748" i="1"/>
  <c r="G11276" i="1"/>
  <c r="G13146" i="1"/>
  <c r="G12969" i="1"/>
  <c r="G12771" i="1"/>
  <c r="G12527" i="1"/>
  <c r="G12226" i="1"/>
  <c r="G11872" i="1"/>
  <c r="G11490" i="1"/>
  <c r="G10978" i="1"/>
  <c r="G13102" i="1"/>
  <c r="G12932" i="1"/>
  <c r="G12736" i="1"/>
  <c r="G12464" i="1"/>
  <c r="G12103" i="1"/>
  <c r="G11757" i="1"/>
  <c r="G11360" i="1"/>
  <c r="G10875" i="1"/>
  <c r="G13047" i="1"/>
  <c r="G12882" i="1"/>
  <c r="G12641" i="1"/>
  <c r="G12322" i="1"/>
  <c r="G11968" i="1"/>
  <c r="G11596" i="1"/>
  <c r="G11066" i="1"/>
  <c r="G13004" i="1"/>
  <c r="G12809" i="1"/>
  <c r="G12536" i="1"/>
  <c r="G12199" i="1"/>
  <c r="G11846" i="1"/>
  <c r="G11413" i="1"/>
  <c r="G14224" i="1"/>
  <c r="G14099" i="1"/>
  <c r="G13942" i="1"/>
  <c r="G13806" i="1"/>
  <c r="G13660" i="1"/>
  <c r="G13498" i="1"/>
  <c r="G13362" i="1"/>
  <c r="G13221" i="1"/>
  <c r="G13058" i="1"/>
  <c r="G12881" i="1"/>
  <c r="G12626" i="1"/>
  <c r="G12365" i="1"/>
  <c r="G12025" i="1"/>
  <c r="G11678" i="1"/>
  <c r="G11225" i="1"/>
  <c r="G14933" i="1"/>
  <c r="G14805" i="1"/>
  <c r="G14669" i="1"/>
  <c r="G14529" i="1"/>
  <c r="G14401" i="1"/>
  <c r="G14281" i="1"/>
  <c r="G14041" i="1"/>
  <c r="G13895" i="1"/>
  <c r="G13759" i="1"/>
  <c r="G13597" i="1"/>
  <c r="G13451" i="1"/>
  <c r="G13315" i="1"/>
  <c r="G13142" i="1"/>
  <c r="G12965" i="1"/>
  <c r="G12715" i="1"/>
  <c r="G12448" i="1"/>
  <c r="G12109" i="1"/>
  <c r="G11765" i="1"/>
  <c r="G11259" i="1"/>
  <c r="G10801" i="1"/>
  <c r="G14801" i="1"/>
  <c r="G14681" i="1"/>
  <c r="G14565" i="1"/>
  <c r="G14437" i="1"/>
  <c r="G14301" i="1"/>
  <c r="G14135" i="1"/>
  <c r="G14129" i="1"/>
  <c r="G13993" i="1"/>
  <c r="G13847" i="1"/>
  <c r="G13685" i="1"/>
  <c r="G13549" i="1"/>
  <c r="G13408" i="1"/>
  <c r="G13246" i="1"/>
  <c r="G13111" i="1"/>
  <c r="G12946" i="1"/>
  <c r="G12724" i="1"/>
  <c r="G12489" i="1"/>
  <c r="G12218" i="1"/>
  <c r="G11865" i="1"/>
  <c r="G11514" i="1"/>
  <c r="G11002" i="1"/>
  <c r="G12810" i="1"/>
  <c r="G12664" i="1"/>
  <c r="G12528" i="1"/>
  <c r="G12371" i="1"/>
  <c r="G12190" i="1"/>
  <c r="G12020" i="1"/>
  <c r="G11855" i="1"/>
  <c r="G11650" i="1"/>
  <c r="G11436" i="1"/>
  <c r="G11180" i="1"/>
  <c r="G10541" i="1"/>
  <c r="G10245" i="1"/>
  <c r="G9367" i="1"/>
  <c r="G10654" i="1"/>
  <c r="G10386" i="1"/>
  <c r="G9586" i="1"/>
  <c r="G10769" i="1"/>
  <c r="G10598" i="1"/>
  <c r="G9987" i="1"/>
  <c r="G9452" i="1"/>
  <c r="G10735" i="1"/>
  <c r="G10547" i="1"/>
  <c r="G9858" i="1"/>
  <c r="G9387" i="1"/>
  <c r="G10381" i="1"/>
  <c r="G9967" i="1"/>
  <c r="G12634" i="1"/>
  <c r="G12493" i="1"/>
  <c r="G12338" i="1"/>
  <c r="G12162" i="1"/>
  <c r="G12003" i="1"/>
  <c r="G11826" i="1"/>
  <c r="G11615" i="1"/>
  <c r="G11394" i="1"/>
  <c r="G11138" i="1"/>
  <c r="G10905" i="1"/>
  <c r="G10734" i="1"/>
  <c r="G10546" i="1"/>
  <c r="G9836" i="1"/>
  <c r="G9378" i="1"/>
  <c r="G13131" i="1"/>
  <c r="G13003" i="1"/>
  <c r="G12879" i="1"/>
  <c r="G12733" i="1"/>
  <c r="G12597" i="1"/>
  <c r="G12456" i="1"/>
  <c r="G12301" i="1"/>
  <c r="G12125" i="1"/>
  <c r="G11948" i="1"/>
  <c r="G11789" i="1"/>
  <c r="G11586" i="1"/>
  <c r="G11346" i="1"/>
  <c r="G11090" i="1"/>
  <c r="G10881" i="1"/>
  <c r="G10710" i="1"/>
  <c r="G10491" i="1"/>
  <c r="G9722" i="1"/>
  <c r="G9271" i="1"/>
  <c r="G14049" i="1"/>
  <c r="G13921" i="1"/>
  <c r="G13793" i="1"/>
  <c r="G13665" i="1"/>
  <c r="G13537" i="1"/>
  <c r="G13409" i="1"/>
  <c r="G13281" i="1"/>
  <c r="G13153" i="1"/>
  <c r="G13025" i="1"/>
  <c r="G12897" i="1"/>
  <c r="G12753" i="1"/>
  <c r="G12591" i="1"/>
  <c r="G12445" i="1"/>
  <c r="G12288" i="1"/>
  <c r="G12123" i="1"/>
  <c r="G11953" i="1"/>
  <c r="G11746" i="1"/>
  <c r="G11555" i="1"/>
  <c r="G11299" i="1"/>
  <c r="G11043" i="1"/>
  <c r="G10847" i="1"/>
  <c r="G10677" i="1"/>
  <c r="G10426" i="1"/>
  <c r="G9666" i="1"/>
  <c r="G9222" i="1"/>
  <c r="G8665" i="1"/>
  <c r="G11446" i="1"/>
  <c r="G11318" i="1"/>
  <c r="G11190" i="1"/>
  <c r="G11062" i="1"/>
  <c r="G10581" i="1"/>
  <c r="G10414" i="1"/>
  <c r="G10278" i="1"/>
  <c r="G10032" i="1"/>
  <c r="G9703" i="1"/>
  <c r="G9026" i="1"/>
  <c r="G8518" i="1"/>
  <c r="G8737" i="1"/>
  <c r="G9172" i="1"/>
  <c r="G8752" i="1"/>
  <c r="G9254" i="1"/>
  <c r="G8875" i="1"/>
  <c r="G11782" i="1"/>
  <c r="G11654" i="1"/>
  <c r="G11526" i="1"/>
  <c r="G11398" i="1"/>
  <c r="G11270" i="1"/>
  <c r="G11142" i="1"/>
  <c r="G11014" i="1"/>
  <c r="G10519" i="1"/>
  <c r="G10354" i="1"/>
  <c r="G10226" i="1"/>
  <c r="G9927" i="1"/>
  <c r="G9228" i="1"/>
  <c r="G8856" i="1"/>
  <c r="G12344" i="1"/>
  <c r="G12216" i="1"/>
  <c r="G12088" i="1"/>
  <c r="G11960" i="1"/>
  <c r="G11832" i="1"/>
  <c r="G11704" i="1"/>
  <c r="G11576" i="1"/>
  <c r="G11448" i="1"/>
  <c r="G11320" i="1"/>
  <c r="G11192" i="1"/>
  <c r="G11064" i="1"/>
  <c r="G10935" i="1"/>
  <c r="G10850" i="1"/>
  <c r="G10765" i="1"/>
  <c r="G10679" i="1"/>
  <c r="G10594" i="1"/>
  <c r="G10435" i="1"/>
  <c r="G9954" i="1"/>
  <c r="G9606" i="1"/>
  <c r="G9435" i="1"/>
  <c r="G9264" i="1"/>
  <c r="G8874" i="1"/>
  <c r="G12860" i="1"/>
  <c r="G12732" i="1"/>
  <c r="G12604" i="1"/>
  <c r="G12476" i="1"/>
  <c r="G12348" i="1"/>
  <c r="G12220" i="1"/>
  <c r="G12092" i="1"/>
  <c r="G11964" i="1"/>
  <c r="G11836" i="1"/>
  <c r="G11708" i="1"/>
  <c r="G11580" i="1"/>
  <c r="G11452" i="1"/>
  <c r="G11324" i="1"/>
  <c r="G11196" i="1"/>
  <c r="G11068" i="1"/>
  <c r="G10940" i="1"/>
  <c r="G8542" i="1"/>
  <c r="G9013" i="1"/>
  <c r="G7851" i="1"/>
  <c r="G7735" i="1"/>
  <c r="G9715" i="1"/>
  <c r="G8523" i="1"/>
  <c r="G10700" i="1"/>
  <c r="G10158" i="1"/>
  <c r="G8184" i="1"/>
  <c r="G9480" i="1"/>
  <c r="G7965" i="1"/>
  <c r="G8160" i="1"/>
  <c r="G6364" i="1"/>
  <c r="G6082" i="1"/>
  <c r="G5294" i="1"/>
  <c r="G7983" i="1"/>
  <c r="G9202" i="1"/>
  <c r="G8146" i="1"/>
  <c r="G6216" i="1"/>
  <c r="G9805" i="1"/>
  <c r="G9293" i="1"/>
  <c r="G8307" i="1"/>
  <c r="G6622" i="1"/>
  <c r="G6859" i="1"/>
  <c r="G5429" i="1"/>
  <c r="G5582" i="1"/>
  <c r="G7071" i="1"/>
  <c r="G4711" i="1"/>
  <c r="G7139" i="1"/>
  <c r="G5974" i="1"/>
  <c r="G3421" i="1"/>
  <c r="G2648" i="1"/>
  <c r="F2211" i="1"/>
  <c r="F3149" i="1"/>
  <c r="F2980" i="1"/>
  <c r="F2677" i="1"/>
  <c r="F2464" i="1"/>
  <c r="F2249" i="1"/>
  <c r="F2993" i="1"/>
  <c r="F2872" i="1"/>
  <c r="F2787" i="1"/>
  <c r="F2491" i="1"/>
  <c r="F1995" i="1"/>
  <c r="F2597" i="1"/>
  <c r="F2469" i="1"/>
  <c r="F2335" i="1"/>
  <c r="F2082" i="1"/>
  <c r="F1838" i="1"/>
  <c r="F1311" i="1"/>
  <c r="F2157" i="1"/>
  <c r="F1958" i="1"/>
  <c r="F1724" i="1"/>
  <c r="F2199" i="1"/>
  <c r="F1963" i="1"/>
  <c r="F1651" i="1"/>
  <c r="F2695" i="1"/>
  <c r="F2631" i="1"/>
  <c r="F2503" i="1"/>
  <c r="F2375" i="1"/>
  <c r="F2278" i="1"/>
  <c r="F2193" i="1"/>
  <c r="F2048" i="1"/>
  <c r="F1854" i="1"/>
  <c r="F1320" i="1"/>
  <c r="F2534" i="1"/>
  <c r="F2406" i="1"/>
  <c r="F2203" i="1"/>
  <c r="F1980" i="1"/>
  <c r="F1696" i="1"/>
  <c r="F3186" i="1"/>
  <c r="F3122" i="1"/>
  <c r="F3058" i="1"/>
  <c r="F2994" i="1"/>
  <c r="F2930" i="1"/>
  <c r="F2866" i="1"/>
  <c r="F2802" i="1"/>
  <c r="F2738" i="1"/>
  <c r="F2674" i="1"/>
  <c r="F2584" i="1"/>
  <c r="F2456" i="1"/>
  <c r="F2336" i="1"/>
  <c r="F2250" i="1"/>
  <c r="F2165" i="1"/>
  <c r="F1967" i="1"/>
  <c r="F1775" i="1"/>
  <c r="F1094" i="1"/>
  <c r="F1608" i="1"/>
  <c r="F1223" i="1"/>
  <c r="F2052" i="1"/>
  <c r="F1882" i="1"/>
  <c r="F1684" i="1"/>
  <c r="F1347" i="1"/>
  <c r="F1480" i="1"/>
  <c r="F1101" i="1"/>
  <c r="F1987" i="1"/>
  <c r="F1807" i="1"/>
  <c r="F1502" i="1"/>
  <c r="F1162" i="1"/>
  <c r="F1611" i="1"/>
  <c r="F1282" i="1"/>
  <c r="F1586" i="1"/>
  <c r="F1412" i="1"/>
  <c r="F1243" i="1"/>
  <c r="F1080" i="1"/>
  <c r="F1073" i="1"/>
  <c r="F1062" i="1"/>
  <c r="F1085" i="1"/>
  <c r="F1024" i="1"/>
  <c r="F1742" i="1"/>
  <c r="F1678" i="1"/>
  <c r="F1574" i="1"/>
  <c r="F1400" i="1"/>
  <c r="F1231" i="1"/>
  <c r="F1060" i="1"/>
  <c r="F1619" i="1"/>
  <c r="F1450" i="1"/>
  <c r="F1276" i="1"/>
  <c r="F1114" i="1"/>
  <c r="F893" i="1"/>
  <c r="F2089" i="1"/>
  <c r="F2025" i="1"/>
  <c r="F1961" i="1"/>
  <c r="F1897" i="1"/>
  <c r="F1833" i="1"/>
  <c r="F1769" i="1"/>
  <c r="F1705" i="1"/>
  <c r="F1641" i="1"/>
  <c r="F1472" i="1"/>
  <c r="F1303" i="1"/>
  <c r="F1144" i="1"/>
  <c r="F947" i="1"/>
  <c r="F1044" i="1"/>
  <c r="F916" i="1"/>
  <c r="F757" i="1"/>
  <c r="F437" i="1"/>
  <c r="F720" i="1"/>
  <c r="F818" i="1"/>
  <c r="F672" i="1"/>
  <c r="F781" i="1"/>
  <c r="F465" i="1"/>
  <c r="F702" i="1"/>
  <c r="F1087" i="1"/>
  <c r="F959" i="1"/>
  <c r="F843" i="1"/>
  <c r="F656" i="1"/>
  <c r="F1027" i="1"/>
  <c r="F899" i="1"/>
  <c r="F743" i="1"/>
  <c r="F224" i="1"/>
  <c r="F1581" i="1"/>
  <c r="F1517" i="1"/>
  <c r="F1453" i="1"/>
  <c r="F1389" i="1"/>
  <c r="F1325" i="1"/>
  <c r="F1261" i="1"/>
  <c r="F1191" i="1"/>
  <c r="F1063" i="1"/>
  <c r="F935" i="1"/>
  <c r="F794" i="1"/>
  <c r="F553" i="1"/>
  <c r="F556" i="1"/>
  <c r="F284" i="1"/>
  <c r="F583" i="1"/>
  <c r="F291" i="1"/>
  <c r="F566" i="1"/>
  <c r="F314" i="1"/>
  <c r="F612" i="1"/>
  <c r="F369" i="1"/>
  <c r="F801" i="1"/>
  <c r="F664" i="1"/>
  <c r="F460" i="1"/>
  <c r="F88" i="1"/>
  <c r="F506" i="1"/>
  <c r="F273" i="1"/>
  <c r="F455" i="1"/>
  <c r="F281" i="1"/>
  <c r="F96" i="1"/>
  <c r="F164" i="1"/>
  <c r="F555" i="1"/>
  <c r="F415" i="1"/>
  <c r="F229" i="1"/>
  <c r="F26" i="1"/>
  <c r="F472" i="1"/>
  <c r="F324" i="1"/>
  <c r="F137" i="1"/>
  <c r="F590" i="1"/>
  <c r="F456" i="1"/>
  <c r="F323" i="1"/>
  <c r="F168" i="1"/>
  <c r="F48" i="1"/>
  <c r="F402" i="1"/>
  <c r="F254" i="1"/>
  <c r="F110" i="1"/>
  <c r="F280" i="1"/>
  <c r="F152" i="1"/>
  <c r="F60" i="1"/>
  <c r="F111" i="1"/>
  <c r="F47" i="1"/>
  <c r="G14666" i="1"/>
  <c r="G14920" i="1"/>
  <c r="G14619" i="1"/>
  <c r="G13840" i="1"/>
  <c r="G13735" i="1"/>
  <c r="G14839" i="1"/>
  <c r="G14672" i="1"/>
  <c r="G13991" i="1"/>
  <c r="G13698" i="1"/>
  <c r="G13416" i="1"/>
  <c r="G14147" i="1"/>
  <c r="G13833" i="1"/>
  <c r="G13509" i="1"/>
  <c r="G13248" i="1"/>
  <c r="G13757" i="1"/>
  <c r="G13475" i="1"/>
  <c r="G13174" i="1"/>
  <c r="G13401" i="1"/>
  <c r="G14922" i="1"/>
  <c r="G14414" i="1"/>
  <c r="G14018" i="1"/>
  <c r="G14347" i="1"/>
  <c r="G14656" i="1"/>
  <c r="G13198" i="1"/>
  <c r="G14530" i="1"/>
  <c r="G14394" i="1"/>
  <c r="G14266" i="1"/>
  <c r="G14016" i="1"/>
  <c r="G13703" i="1"/>
  <c r="G13410" i="1"/>
  <c r="G14883" i="1"/>
  <c r="G14334" i="1"/>
  <c r="G14804" i="1"/>
  <c r="G14307" i="1"/>
  <c r="G14752" i="1"/>
  <c r="G14931" i="1"/>
  <c r="G13543" i="1"/>
  <c r="G13250" i="1"/>
  <c r="G14510" i="1"/>
  <c r="G14217" i="1"/>
  <c r="G14475" i="1"/>
  <c r="G13714" i="1"/>
  <c r="G13557" i="1"/>
  <c r="G14642" i="1"/>
  <c r="G14840" i="1"/>
  <c r="G14655" i="1"/>
  <c r="G13992" i="1"/>
  <c r="G13605" i="1"/>
  <c r="G14770" i="1"/>
  <c r="G14615" i="1"/>
  <c r="G14487" i="1"/>
  <c r="G14359" i="1"/>
  <c r="G14221" i="1"/>
  <c r="G13960" i="1"/>
  <c r="G13646" i="1"/>
  <c r="G13385" i="1"/>
  <c r="G14624" i="1"/>
  <c r="G14560" i="1"/>
  <c r="G14496" i="1"/>
  <c r="G14432" i="1"/>
  <c r="G14368" i="1"/>
  <c r="G14304" i="1"/>
  <c r="G14240" i="1"/>
  <c r="G14102" i="1"/>
  <c r="G13966" i="1"/>
  <c r="G13820" i="1"/>
  <c r="G13658" i="1"/>
  <c r="G13522" i="1"/>
  <c r="G13381" i="1"/>
  <c r="G13235" i="1"/>
  <c r="G13043" i="1"/>
  <c r="G12871" i="1"/>
  <c r="G12656" i="1"/>
  <c r="G12363" i="1"/>
  <c r="G12047" i="1"/>
  <c r="G11719" i="1"/>
  <c r="G11239" i="1"/>
  <c r="G13128" i="1"/>
  <c r="G12951" i="1"/>
  <c r="G12762" i="1"/>
  <c r="G12506" i="1"/>
  <c r="G12201" i="1"/>
  <c r="G11848" i="1"/>
  <c r="G11472" i="1"/>
  <c r="G10960" i="1"/>
  <c r="G13091" i="1"/>
  <c r="G12926" i="1"/>
  <c r="G12729" i="1"/>
  <c r="G12422" i="1"/>
  <c r="G12079" i="1"/>
  <c r="G11714" i="1"/>
  <c r="G11323" i="1"/>
  <c r="G10854" i="1"/>
  <c r="G13041" i="1"/>
  <c r="G12876" i="1"/>
  <c r="G12630" i="1"/>
  <c r="G12297" i="1"/>
  <c r="G11944" i="1"/>
  <c r="G11551" i="1"/>
  <c r="G11048" i="1"/>
  <c r="G12997" i="1"/>
  <c r="G12802" i="1"/>
  <c r="G12525" i="1"/>
  <c r="G12175" i="1"/>
  <c r="G11821" i="1"/>
  <c r="G11358" i="1"/>
  <c r="G14215" i="1"/>
  <c r="G14078" i="1"/>
  <c r="G13937" i="1"/>
  <c r="G13801" i="1"/>
  <c r="G13655" i="1"/>
  <c r="G13493" i="1"/>
  <c r="G13357" i="1"/>
  <c r="G13216" i="1"/>
  <c r="G13040" i="1"/>
  <c r="G12859" i="1"/>
  <c r="G12616" i="1"/>
  <c r="G12354" i="1"/>
  <c r="G12000" i="1"/>
  <c r="G11664" i="1"/>
  <c r="G11170" i="1"/>
  <c r="G14929" i="1"/>
  <c r="G14797" i="1"/>
  <c r="G14661" i="1"/>
  <c r="G14521" i="1"/>
  <c r="G14393" i="1"/>
  <c r="G14273" i="1"/>
  <c r="G14036" i="1"/>
  <c r="G13884" i="1"/>
  <c r="G13722" i="1"/>
  <c r="G13586" i="1"/>
  <c r="G13445" i="1"/>
  <c r="G13299" i="1"/>
  <c r="G13124" i="1"/>
  <c r="G12947" i="1"/>
  <c r="G12708" i="1"/>
  <c r="G12427" i="1"/>
  <c r="G12085" i="1"/>
  <c r="G11706" i="1"/>
  <c r="G11241" i="1"/>
  <c r="G14925" i="1"/>
  <c r="G14793" i="1"/>
  <c r="G14673" i="1"/>
  <c r="G14557" i="1"/>
  <c r="G14429" i="1"/>
  <c r="G14293" i="1"/>
  <c r="G14114" i="1"/>
  <c r="G14124" i="1"/>
  <c r="G13988" i="1"/>
  <c r="G13826" i="1"/>
  <c r="G13680" i="1"/>
  <c r="G13544" i="1"/>
  <c r="G13403" i="1"/>
  <c r="G13241" i="1"/>
  <c r="G13105" i="1"/>
  <c r="G12935" i="1"/>
  <c r="G12707" i="1"/>
  <c r="G12458" i="1"/>
  <c r="G12194" i="1"/>
  <c r="G11840" i="1"/>
  <c r="G11496" i="1"/>
  <c r="G10984" i="1"/>
  <c r="G12799" i="1"/>
  <c r="G12658" i="1"/>
  <c r="G12512" i="1"/>
  <c r="G12349" i="1"/>
  <c r="G12172" i="1"/>
  <c r="G12013" i="1"/>
  <c r="G11837" i="1"/>
  <c r="G11642" i="1"/>
  <c r="G11399" i="1"/>
  <c r="G11143" i="1"/>
  <c r="G10527" i="1"/>
  <c r="G10229" i="1"/>
  <c r="G9340" i="1"/>
  <c r="G10643" i="1"/>
  <c r="G10156" i="1"/>
  <c r="G9564" i="1"/>
  <c r="G10758" i="1"/>
  <c r="G10587" i="1"/>
  <c r="G9932" i="1"/>
  <c r="G9431" i="1"/>
  <c r="G10725" i="1"/>
  <c r="G10522" i="1"/>
  <c r="G9803" i="1"/>
  <c r="G9356" i="1"/>
  <c r="G10365" i="1"/>
  <c r="G9912" i="1"/>
  <c r="G12629" i="1"/>
  <c r="G12488" i="1"/>
  <c r="G12320" i="1"/>
  <c r="G12155" i="1"/>
  <c r="G11985" i="1"/>
  <c r="G11808" i="1"/>
  <c r="G11609" i="1"/>
  <c r="G11385" i="1"/>
  <c r="G11129" i="1"/>
  <c r="G10894" i="1"/>
  <c r="G10723" i="1"/>
  <c r="G10521" i="1"/>
  <c r="G9818" i="1"/>
  <c r="G9351" i="1"/>
  <c r="G13126" i="1"/>
  <c r="G12998" i="1"/>
  <c r="G12874" i="1"/>
  <c r="G12728" i="1"/>
  <c r="G12592" i="1"/>
  <c r="G12435" i="1"/>
  <c r="G12295" i="1"/>
  <c r="G12118" i="1"/>
  <c r="G11942" i="1"/>
  <c r="G11783" i="1"/>
  <c r="G11578" i="1"/>
  <c r="G11337" i="1"/>
  <c r="G11081" i="1"/>
  <c r="G10870" i="1"/>
  <c r="G10699" i="1"/>
  <c r="G10466" i="1"/>
  <c r="G9667" i="1"/>
  <c r="G9223" i="1"/>
  <c r="G14040" i="1"/>
  <c r="G13912" i="1"/>
  <c r="G13784" i="1"/>
  <c r="G13656" i="1"/>
  <c r="G13528" i="1"/>
  <c r="G13400" i="1"/>
  <c r="G13272" i="1"/>
  <c r="G13144" i="1"/>
  <c r="G13016" i="1"/>
  <c r="G12888" i="1"/>
  <c r="G12748" i="1"/>
  <c r="G12586" i="1"/>
  <c r="G12440" i="1"/>
  <c r="G12282" i="1"/>
  <c r="G12112" i="1"/>
  <c r="G11947" i="1"/>
  <c r="G11738" i="1"/>
  <c r="G11547" i="1"/>
  <c r="G11290" i="1"/>
  <c r="G11034" i="1"/>
  <c r="G10837" i="1"/>
  <c r="G10666" i="1"/>
  <c r="G10401" i="1"/>
  <c r="G9611" i="1"/>
  <c r="G9173" i="1"/>
  <c r="G8628" i="1"/>
  <c r="G11437" i="1"/>
  <c r="G11309" i="1"/>
  <c r="G11181" i="1"/>
  <c r="G11053" i="1"/>
  <c r="G10574" i="1"/>
  <c r="G10407" i="1"/>
  <c r="G10270" i="1"/>
  <c r="G10023" i="1"/>
  <c r="G9694" i="1"/>
  <c r="G8967" i="1"/>
  <c r="G8463" i="1"/>
  <c r="G8700" i="1"/>
  <c r="G9148" i="1"/>
  <c r="G8734" i="1"/>
  <c r="G9230" i="1"/>
  <c r="G8857" i="1"/>
  <c r="G11773" i="1"/>
  <c r="G11645" i="1"/>
  <c r="G11517" i="1"/>
  <c r="G11389" i="1"/>
  <c r="G11261" i="1"/>
  <c r="G11133" i="1"/>
  <c r="G11005" i="1"/>
  <c r="G10501" i="1"/>
  <c r="G10346" i="1"/>
  <c r="G10218" i="1"/>
  <c r="G9918" i="1"/>
  <c r="G9217" i="1"/>
  <c r="G8838" i="1"/>
  <c r="G12339" i="1"/>
  <c r="G12211" i="1"/>
  <c r="G12083" i="1"/>
  <c r="G11955" i="1"/>
  <c r="G11827" i="1"/>
  <c r="G11699" i="1"/>
  <c r="G11571" i="1"/>
  <c r="G11443" i="1"/>
  <c r="G11315" i="1"/>
  <c r="G11187" i="1"/>
  <c r="G11059" i="1"/>
  <c r="G10930" i="1"/>
  <c r="G10845" i="1"/>
  <c r="G10759" i="1"/>
  <c r="G10674" i="1"/>
  <c r="G10589" i="1"/>
  <c r="G10417" i="1"/>
  <c r="G9908" i="1"/>
  <c r="G9595" i="1"/>
  <c r="G9424" i="1"/>
  <c r="G9253" i="1"/>
  <c r="G8819" i="1"/>
  <c r="G12855" i="1"/>
  <c r="G12727" i="1"/>
  <c r="G12599" i="1"/>
  <c r="G12471" i="1"/>
  <c r="G12343" i="1"/>
  <c r="G12215" i="1"/>
  <c r="G12087" i="1"/>
  <c r="G11959" i="1"/>
  <c r="G11831" i="1"/>
  <c r="G11703" i="1"/>
  <c r="G11575" i="1"/>
  <c r="G11447" i="1"/>
  <c r="G11319" i="1"/>
  <c r="G11191" i="1"/>
  <c r="G11063" i="1"/>
  <c r="G10582" i="1"/>
  <c r="G8487" i="1"/>
  <c r="G8984" i="1"/>
  <c r="G7827" i="1"/>
  <c r="G7690" i="1"/>
  <c r="G9706" i="1"/>
  <c r="G8514" i="1"/>
  <c r="G10696" i="1"/>
  <c r="G10144" i="1"/>
  <c r="G8174" i="1"/>
  <c r="G9475" i="1"/>
  <c r="G7954" i="1"/>
  <c r="G8155" i="1"/>
  <c r="G6339" i="1"/>
  <c r="G6027" i="1"/>
  <c r="G5211" i="1"/>
  <c r="G7977" i="1"/>
  <c r="G9193" i="1"/>
  <c r="G8130" i="1"/>
  <c r="G6200" i="1"/>
  <c r="G9801" i="1"/>
  <c r="G9289" i="1"/>
  <c r="G8302" i="1"/>
  <c r="G6590" i="1"/>
  <c r="G6850" i="1"/>
  <c r="G5400" i="1"/>
  <c r="G5557" i="1"/>
  <c r="G7062" i="1"/>
  <c r="G4640" i="1"/>
  <c r="G7130" i="1"/>
  <c r="G5963" i="1"/>
  <c r="G6217" i="1"/>
  <c r="G4487" i="1"/>
  <c r="G10525" i="1"/>
  <c r="G10369" i="1"/>
  <c r="G10241" i="1"/>
  <c r="G9990" i="1"/>
  <c r="G9624" i="1"/>
  <c r="G8972" i="1"/>
  <c r="G8469" i="1"/>
  <c r="G10327" i="1"/>
  <c r="G10263" i="1"/>
  <c r="G10184" i="1"/>
  <c r="G10015" i="1"/>
  <c r="G9846" i="1"/>
  <c r="G9672" i="1"/>
  <c r="G9145" i="1"/>
  <c r="G8976" i="1"/>
  <c r="G8720" i="1"/>
  <c r="G8464" i="1"/>
  <c r="G8170" i="1"/>
  <c r="G7889" i="1"/>
  <c r="G7401" i="1"/>
  <c r="G8418" i="1"/>
  <c r="G8117" i="1"/>
  <c r="G7803" i="1"/>
  <c r="G7309" i="1"/>
  <c r="G8367" i="1"/>
  <c r="G8054" i="1"/>
  <c r="G7721" i="1"/>
  <c r="G7233" i="1"/>
  <c r="G8346" i="1"/>
  <c r="G8032" i="1"/>
  <c r="G7653" i="1"/>
  <c r="G7141" i="1"/>
  <c r="G8238" i="1"/>
  <c r="G7871" i="1"/>
  <c r="G7447" i="1"/>
  <c r="G10204" i="1"/>
  <c r="G10035" i="1"/>
  <c r="G9866" i="1"/>
  <c r="G9692" i="1"/>
  <c r="G9567" i="1"/>
  <c r="G9482" i="1"/>
  <c r="G9396" i="1"/>
  <c r="G9311" i="1"/>
  <c r="G9190" i="1"/>
  <c r="G9008" i="1"/>
  <c r="G8761" i="1"/>
  <c r="G8505" i="1"/>
  <c r="G8227" i="1"/>
  <c r="G7882" i="1"/>
  <c r="G7501" i="1"/>
  <c r="G6989" i="1"/>
  <c r="G10884" i="1"/>
  <c r="G10820" i="1"/>
  <c r="G10756" i="1"/>
  <c r="G10692" i="1"/>
  <c r="G10628" i="1"/>
  <c r="G10564" i="1"/>
  <c r="G10500" i="1"/>
  <c r="G10436" i="1"/>
  <c r="G10372" i="1"/>
  <c r="G10308" i="1"/>
  <c r="G10244" i="1"/>
  <c r="G10135" i="1"/>
  <c r="G9966" i="1"/>
  <c r="G9792" i="1"/>
  <c r="G9623" i="1"/>
  <c r="G9098" i="1"/>
  <c r="G8888" i="1"/>
  <c r="G8632" i="1"/>
  <c r="G8393" i="1"/>
  <c r="G8132" i="1"/>
  <c r="G7808" i="1"/>
  <c r="G7334" i="1"/>
  <c r="G10180" i="1"/>
  <c r="G10011" i="1"/>
  <c r="G9842" i="1"/>
  <c r="G9668" i="1"/>
  <c r="G9555" i="1"/>
  <c r="G9470" i="1"/>
  <c r="G9384" i="1"/>
  <c r="G9299" i="1"/>
  <c r="G9176" i="1"/>
  <c r="G8985" i="1"/>
  <c r="G8769" i="1"/>
  <c r="G8513" i="1"/>
  <c r="G8225" i="1"/>
  <c r="G7941" i="1"/>
  <c r="G7498" i="1"/>
  <c r="G6986" i="1"/>
  <c r="G8826" i="1"/>
  <c r="G8698" i="1"/>
  <c r="G8570" i="1"/>
  <c r="G8442" i="1"/>
  <c r="G8291" i="1"/>
  <c r="G8150" i="1"/>
  <c r="G8005" i="1"/>
  <c r="G7828" i="1"/>
  <c r="G7612" i="1"/>
  <c r="G7356" i="1"/>
  <c r="G7100" i="1"/>
  <c r="G6844" i="1"/>
  <c r="G6611" i="1"/>
  <c r="G6325" i="1"/>
  <c r="G5904" i="1"/>
  <c r="G6926" i="1"/>
  <c r="G6670" i="1"/>
  <c r="G6287" i="1"/>
  <c r="G6907" i="1"/>
  <c r="G6651" i="1"/>
  <c r="G6413" i="1"/>
  <c r="G6007" i="1"/>
  <c r="G5448" i="1"/>
  <c r="G6712" i="1"/>
  <c r="G6384" i="1"/>
  <c r="G5477" i="1"/>
  <c r="G6627" i="1"/>
  <c r="G6357" i="1"/>
  <c r="G5936" i="1"/>
  <c r="G5127" i="1"/>
  <c r="G8910" i="1"/>
  <c r="G8782" i="1"/>
  <c r="G8654" i="1"/>
  <c r="G8526" i="1"/>
  <c r="G8397" i="1"/>
  <c r="G8256" i="1"/>
  <c r="G8120" i="1"/>
  <c r="G7959" i="1"/>
  <c r="G7782" i="1"/>
  <c r="G7552" i="1"/>
  <c r="G7296" i="1"/>
  <c r="G7040" i="1"/>
  <c r="G6784" i="1"/>
  <c r="G6472" i="1"/>
  <c r="G5598" i="1"/>
  <c r="G9188" i="1"/>
  <c r="G9060" i="1"/>
  <c r="G8932" i="1"/>
  <c r="G8804" i="1"/>
  <c r="G8676" i="1"/>
  <c r="G8548" i="1"/>
  <c r="G8420" i="1"/>
  <c r="G8271" i="1"/>
  <c r="G8109" i="1"/>
  <c r="G7946" i="1"/>
  <c r="G7787" i="1"/>
  <c r="G7524" i="1"/>
  <c r="G7268" i="1"/>
  <c r="G7012" i="1"/>
  <c r="G6756" i="1"/>
  <c r="G6509" i="1"/>
  <c r="G6164" i="1"/>
  <c r="G5755" i="1"/>
  <c r="G10181" i="1"/>
  <c r="G10117" i="1"/>
  <c r="G10053" i="1"/>
  <c r="G9989" i="1"/>
  <c r="G9925" i="1"/>
  <c r="G9861" i="1"/>
  <c r="G9797" i="1"/>
  <c r="G9733" i="1"/>
  <c r="G9669" i="1"/>
  <c r="G9605" i="1"/>
  <c r="G9541" i="1"/>
  <c r="G9477" i="1"/>
  <c r="G9413" i="1"/>
  <c r="G9349" i="1"/>
  <c r="G9285" i="1"/>
  <c r="G9183" i="1"/>
  <c r="G9055" i="1"/>
  <c r="G8927" i="1"/>
  <c r="G8799" i="1"/>
  <c r="G8671" i="1"/>
  <c r="G8543" i="1"/>
  <c r="G8415" i="1"/>
  <c r="G8265" i="1"/>
  <c r="G8129" i="1"/>
  <c r="G7976" i="1"/>
  <c r="G7817" i="1"/>
  <c r="G7631" i="1"/>
  <c r="G7375" i="1"/>
  <c r="G7119" i="1"/>
  <c r="G6863" i="1"/>
  <c r="G6544" i="1"/>
  <c r="G6031" i="1"/>
  <c r="G7613" i="1"/>
  <c r="G7485" i="1"/>
  <c r="G7357" i="1"/>
  <c r="G7229" i="1"/>
  <c r="G7101" i="1"/>
  <c r="G6973" i="1"/>
  <c r="G6845" i="1"/>
  <c r="G6717" i="1"/>
  <c r="G6607" i="1"/>
  <c r="G6475" i="1"/>
  <c r="G6308" i="1"/>
  <c r="G6132" i="1"/>
  <c r="G5906" i="1"/>
  <c r="G5734" i="1"/>
  <c r="G5358" i="1"/>
  <c r="G4794" i="1"/>
  <c r="G5044" i="1"/>
  <c r="G4187" i="1"/>
  <c r="G4674" i="1"/>
  <c r="G5390" i="1"/>
  <c r="G4826" i="1"/>
  <c r="G3999" i="1"/>
  <c r="G5533" i="1"/>
  <c r="G5034" i="1"/>
  <c r="G4271" i="1"/>
  <c r="G7697" i="1"/>
  <c r="G7569" i="1"/>
  <c r="G7441" i="1"/>
  <c r="G7313" i="1"/>
  <c r="G7185" i="1"/>
  <c r="G7057" i="1"/>
  <c r="G6929" i="1"/>
  <c r="G6801" i="1"/>
  <c r="G6673" i="1"/>
  <c r="G6489" i="1"/>
  <c r="G6311" i="1"/>
  <c r="G5666" i="1"/>
  <c r="G5243" i="1"/>
  <c r="G4615" i="1"/>
  <c r="G8021" i="1"/>
  <c r="G7893" i="1"/>
  <c r="G7765" i="1"/>
  <c r="G7637" i="1"/>
  <c r="G7509" i="1"/>
  <c r="G7381" i="1"/>
  <c r="G7253" i="1"/>
  <c r="G7125" i="1"/>
  <c r="G6997" i="1"/>
  <c r="G6869" i="1"/>
  <c r="G6741" i="1"/>
  <c r="G6624" i="1"/>
  <c r="G6508" i="1"/>
  <c r="G6341" i="1"/>
  <c r="G6199" i="1"/>
  <c r="G5952" i="1"/>
  <c r="G5782" i="1"/>
  <c r="G5483" i="1"/>
  <c r="G5012" i="1"/>
  <c r="G4322" i="1"/>
  <c r="G8327" i="1"/>
  <c r="G7865" i="1"/>
  <c r="G6841" i="1"/>
  <c r="G6213" i="1"/>
  <c r="G4566" i="1"/>
  <c r="G6034" i="1"/>
  <c r="G4092" i="1"/>
  <c r="G4938" i="1"/>
  <c r="G4192" i="1"/>
  <c r="G4859" i="1"/>
  <c r="G3100" i="1"/>
  <c r="G3700" i="1"/>
  <c r="G10518" i="1"/>
  <c r="G10361" i="1"/>
  <c r="G10233" i="1"/>
  <c r="G9944" i="1"/>
  <c r="G9615" i="1"/>
  <c r="G8958" i="1"/>
  <c r="G8432" i="1"/>
  <c r="G10323" i="1"/>
  <c r="G10259" i="1"/>
  <c r="G10175" i="1"/>
  <c r="G10006" i="1"/>
  <c r="G9832" i="1"/>
  <c r="G9663" i="1"/>
  <c r="G9139" i="1"/>
  <c r="G8970" i="1"/>
  <c r="G8711" i="1"/>
  <c r="G8455" i="1"/>
  <c r="G8149" i="1"/>
  <c r="G7864" i="1"/>
  <c r="G7383" i="1"/>
  <c r="G8409" i="1"/>
  <c r="G8096" i="1"/>
  <c r="G7778" i="1"/>
  <c r="G7291" i="1"/>
  <c r="G8325" i="1"/>
  <c r="G8043" i="1"/>
  <c r="G7707" i="1"/>
  <c r="G7215" i="1"/>
  <c r="G8335" i="1"/>
  <c r="G8020" i="1"/>
  <c r="G7635" i="1"/>
  <c r="G7123" i="1"/>
  <c r="G8196" i="1"/>
  <c r="G7846" i="1"/>
  <c r="G7392" i="1"/>
  <c r="G10195" i="1"/>
  <c r="G10026" i="1"/>
  <c r="G9852" i="1"/>
  <c r="G9683" i="1"/>
  <c r="G9562" i="1"/>
  <c r="G9476" i="1"/>
  <c r="G9391" i="1"/>
  <c r="G9306" i="1"/>
  <c r="G9184" i="1"/>
  <c r="G9002" i="1"/>
  <c r="G8724" i="1"/>
  <c r="G8468" i="1"/>
  <c r="G8216" i="1"/>
  <c r="G7869" i="1"/>
  <c r="G7483" i="1"/>
  <c r="G6971" i="1"/>
  <c r="G10880" i="1"/>
  <c r="G10816" i="1"/>
  <c r="G10752" i="1"/>
  <c r="G10688" i="1"/>
  <c r="G10624" i="1"/>
  <c r="G10560" i="1"/>
  <c r="G10496" i="1"/>
  <c r="G10432" i="1"/>
  <c r="G10368" i="1"/>
  <c r="G10304" i="1"/>
  <c r="G10240" i="1"/>
  <c r="G10126" i="1"/>
  <c r="G9952" i="1"/>
  <c r="G9783" i="1"/>
  <c r="G9614" i="1"/>
  <c r="G9091" i="1"/>
  <c r="G8879" i="1"/>
  <c r="G8623" i="1"/>
  <c r="G8383" i="1"/>
  <c r="G8122" i="1"/>
  <c r="G7784" i="1"/>
  <c r="G7297" i="1"/>
  <c r="G10171" i="1"/>
  <c r="G10002" i="1"/>
  <c r="G9828" i="1"/>
  <c r="G9659" i="1"/>
  <c r="G9550" i="1"/>
  <c r="G9464" i="1"/>
  <c r="G9379" i="1"/>
  <c r="G9294" i="1"/>
  <c r="G9158" i="1"/>
  <c r="G8977" i="1"/>
  <c r="G8732" i="1"/>
  <c r="G8476" i="1"/>
  <c r="G8215" i="1"/>
  <c r="G7917" i="1"/>
  <c r="G7461" i="1"/>
  <c r="G6885" i="1"/>
  <c r="G8817" i="1"/>
  <c r="G8689" i="1"/>
  <c r="G8561" i="1"/>
  <c r="G8433" i="1"/>
  <c r="G8285" i="1"/>
  <c r="G8139" i="1"/>
  <c r="G7987" i="1"/>
  <c r="G7810" i="1"/>
  <c r="G7603" i="1"/>
  <c r="G7347" i="1"/>
  <c r="G7091" i="1"/>
  <c r="G6835" i="1"/>
  <c r="G6600" i="1"/>
  <c r="G6300" i="1"/>
  <c r="G5883" i="1"/>
  <c r="G6889" i="1"/>
  <c r="G6642" i="1"/>
  <c r="G6192" i="1"/>
  <c r="G6898" i="1"/>
  <c r="G6641" i="1"/>
  <c r="G6388" i="1"/>
  <c r="G5986" i="1"/>
  <c r="G5399" i="1"/>
  <c r="G6703" i="1"/>
  <c r="G6359" i="1"/>
  <c r="G5441" i="1"/>
  <c r="G6616" i="1"/>
  <c r="G6332" i="1"/>
  <c r="G5915" i="1"/>
  <c r="G9029" i="1"/>
  <c r="G8901" i="1"/>
  <c r="G8773" i="1"/>
  <c r="G8645" i="1"/>
  <c r="G8517" i="1"/>
  <c r="G8392" i="1"/>
  <c r="G8251" i="1"/>
  <c r="G8115" i="1"/>
  <c r="G7953" i="1"/>
  <c r="G7776" i="1"/>
  <c r="G7543" i="1"/>
  <c r="G7287" i="1"/>
  <c r="G7031" i="1"/>
  <c r="G6775" i="1"/>
  <c r="G6447" i="1"/>
  <c r="G5562" i="1"/>
  <c r="G9179" i="1"/>
  <c r="G9051" i="1"/>
  <c r="G8923" i="1"/>
  <c r="G8795" i="1"/>
  <c r="G8667" i="1"/>
  <c r="G8539" i="1"/>
  <c r="G8411" i="1"/>
  <c r="G8266" i="1"/>
  <c r="G8104" i="1"/>
  <c r="G7940" i="1"/>
  <c r="G7781" i="1"/>
  <c r="G7515" i="1"/>
  <c r="G7259" i="1"/>
  <c r="G7003" i="1"/>
  <c r="G6747" i="1"/>
  <c r="G6484" i="1"/>
  <c r="G6146" i="1"/>
  <c r="G5721" i="1"/>
  <c r="G10177" i="1"/>
  <c r="G10113" i="1"/>
  <c r="G10049" i="1"/>
  <c r="G9985" i="1"/>
  <c r="G9921" i="1"/>
  <c r="G9857" i="1"/>
  <c r="G9793" i="1"/>
  <c r="G9729" i="1"/>
  <c r="G9665" i="1"/>
  <c r="G9601" i="1"/>
  <c r="G9537" i="1"/>
  <c r="G9473" i="1"/>
  <c r="G9409" i="1"/>
  <c r="G9345" i="1"/>
  <c r="G9281" i="1"/>
  <c r="G9174" i="1"/>
  <c r="G9046" i="1"/>
  <c r="G8918" i="1"/>
  <c r="G8790" i="1"/>
  <c r="G8662" i="1"/>
  <c r="G8534" i="1"/>
  <c r="G8406" i="1"/>
  <c r="G8260" i="1"/>
  <c r="G8124" i="1"/>
  <c r="G7969" i="1"/>
  <c r="G7799" i="1"/>
  <c r="G7622" i="1"/>
  <c r="G7366" i="1"/>
  <c r="G7110" i="1"/>
  <c r="G6854" i="1"/>
  <c r="G6519" i="1"/>
  <c r="G5656" i="1"/>
  <c r="G7604" i="1"/>
  <c r="G7476" i="1"/>
  <c r="G7348" i="1"/>
  <c r="G7220" i="1"/>
  <c r="G7092" i="1"/>
  <c r="G6964" i="1"/>
  <c r="G6836" i="1"/>
  <c r="G6708" i="1"/>
  <c r="G6601" i="1"/>
  <c r="G6468" i="1"/>
  <c r="G6301" i="1"/>
  <c r="G6123" i="1"/>
  <c r="G5895" i="1"/>
  <c r="G5710" i="1"/>
  <c r="G5337" i="1"/>
  <c r="G4772" i="1"/>
  <c r="G5002" i="1"/>
  <c r="G3967" i="1"/>
  <c r="G4651" i="1"/>
  <c r="G5369" i="1"/>
  <c r="G4805" i="1"/>
  <c r="G3767" i="1"/>
  <c r="G5509" i="1"/>
  <c r="G4951" i="1"/>
  <c r="G4218" i="1"/>
  <c r="G7688" i="1"/>
  <c r="G7560" i="1"/>
  <c r="G7432" i="1"/>
  <c r="G7304" i="1"/>
  <c r="G7176" i="1"/>
  <c r="G7048" i="1"/>
  <c r="G6920" i="1"/>
  <c r="G6792" i="1"/>
  <c r="G6664" i="1"/>
  <c r="G6471" i="1"/>
  <c r="G6304" i="1"/>
  <c r="G5642" i="1"/>
  <c r="G5201" i="1"/>
  <c r="G4504" i="1"/>
  <c r="G8012" i="1"/>
  <c r="G7884" i="1"/>
  <c r="G7756" i="1"/>
  <c r="G7628" i="1"/>
  <c r="G7500" i="1"/>
  <c r="G7372" i="1"/>
  <c r="G7244" i="1"/>
  <c r="G7116" i="1"/>
  <c r="G6988" i="1"/>
  <c r="G6860" i="1"/>
  <c r="G6732" i="1"/>
  <c r="G6619" i="1"/>
  <c r="G6501" i="1"/>
  <c r="G6323" i="1"/>
  <c r="G6172" i="1"/>
  <c r="G5942" i="1"/>
  <c r="G5771" i="1"/>
  <c r="G5470" i="1"/>
  <c r="G4970" i="1"/>
  <c r="G4208" i="1"/>
  <c r="G8318" i="1"/>
  <c r="G7742" i="1"/>
  <c r="G6718" i="1"/>
  <c r="G6083" i="1"/>
  <c r="G3946" i="1"/>
  <c r="G5940" i="1"/>
  <c r="G5354" i="1"/>
  <c r="G4802" i="1"/>
  <c r="G3889" i="1"/>
  <c r="G4720" i="1"/>
  <c r="G4431" i="1"/>
  <c r="G2350" i="1"/>
  <c r="G10511" i="1"/>
  <c r="G10353" i="1"/>
  <c r="G10225" i="1"/>
  <c r="G9935" i="1"/>
  <c r="G9251" i="1"/>
  <c r="G8926" i="1"/>
  <c r="G8384" i="1"/>
  <c r="G10319" i="1"/>
  <c r="G10255" i="1"/>
  <c r="G10166" i="1"/>
  <c r="G9992" i="1"/>
  <c r="G9823" i="1"/>
  <c r="G9654" i="1"/>
  <c r="G9132" i="1"/>
  <c r="G8962" i="1"/>
  <c r="G8702" i="1"/>
  <c r="G8446" i="1"/>
  <c r="G8128" i="1"/>
  <c r="G7840" i="1"/>
  <c r="G7328" i="1"/>
  <c r="G8399" i="1"/>
  <c r="G8086" i="1"/>
  <c r="G7736" i="1"/>
  <c r="G7236" i="1"/>
  <c r="G8315" i="1"/>
  <c r="G8022" i="1"/>
  <c r="G7672" i="1"/>
  <c r="G7160" i="1"/>
  <c r="G8293" i="1"/>
  <c r="G7996" i="1"/>
  <c r="G7580" i="1"/>
  <c r="G7068" i="1"/>
  <c r="G8186" i="1"/>
  <c r="G7822" i="1"/>
  <c r="G7374" i="1"/>
  <c r="G10186" i="1"/>
  <c r="G10012" i="1"/>
  <c r="G9843" i="1"/>
  <c r="G9674" i="1"/>
  <c r="G9556" i="1"/>
  <c r="G9471" i="1"/>
  <c r="G9386" i="1"/>
  <c r="G9300" i="1"/>
  <c r="G9166" i="1"/>
  <c r="G8994" i="1"/>
  <c r="G8715" i="1"/>
  <c r="G8459" i="1"/>
  <c r="G8206" i="1"/>
  <c r="G7858" i="1"/>
  <c r="G7428" i="1"/>
  <c r="G6950" i="1"/>
  <c r="G10876" i="1"/>
  <c r="G10812" i="1"/>
  <c r="G10748" i="1"/>
  <c r="G10684" i="1"/>
  <c r="G10620" i="1"/>
  <c r="G10556" i="1"/>
  <c r="G10492" i="1"/>
  <c r="G10428" i="1"/>
  <c r="G10364" i="1"/>
  <c r="G10300" i="1"/>
  <c r="G10236" i="1"/>
  <c r="G10112" i="1"/>
  <c r="G9943" i="1"/>
  <c r="G9774" i="1"/>
  <c r="G9250" i="1"/>
  <c r="G9073" i="1"/>
  <c r="G8870" i="1"/>
  <c r="G8614" i="1"/>
  <c r="G8372" i="1"/>
  <c r="G8111" i="1"/>
  <c r="G7758" i="1"/>
  <c r="G7279" i="1"/>
  <c r="G10162" i="1"/>
  <c r="G9988" i="1"/>
  <c r="G9819" i="1"/>
  <c r="G9650" i="1"/>
  <c r="G9544" i="1"/>
  <c r="G9459" i="1"/>
  <c r="G9374" i="1"/>
  <c r="G9288" i="1"/>
  <c r="G9152" i="1"/>
  <c r="G8956" i="1"/>
  <c r="G8723" i="1"/>
  <c r="G8467" i="1"/>
  <c r="G8194" i="1"/>
  <c r="G7892" i="1"/>
  <c r="G7443" i="1"/>
  <c r="G6812" i="1"/>
  <c r="G8812" i="1"/>
  <c r="G8684" i="1"/>
  <c r="G8556" i="1"/>
  <c r="G8428" i="1"/>
  <c r="G8280" i="1"/>
  <c r="G8134" i="1"/>
  <c r="G7981" i="1"/>
  <c r="G7804" i="1"/>
  <c r="G7594" i="1"/>
  <c r="G7338" i="1"/>
  <c r="G7082" i="1"/>
  <c r="G6826" i="1"/>
  <c r="G6589" i="1"/>
  <c r="G6275" i="1"/>
  <c r="G5862" i="1"/>
  <c r="G6880" i="1"/>
  <c r="G6610" i="1"/>
  <c r="G6174" i="1"/>
  <c r="G6861" i="1"/>
  <c r="G6631" i="1"/>
  <c r="G6363" i="1"/>
  <c r="G5964" i="1"/>
  <c r="G5148" i="1"/>
  <c r="G6694" i="1"/>
  <c r="G6345" i="1"/>
  <c r="G5378" i="1"/>
  <c r="G6605" i="1"/>
  <c r="G6307" i="1"/>
  <c r="G5894" i="1"/>
  <c r="G9024" i="1"/>
  <c r="G8896" i="1"/>
  <c r="G8768" i="1"/>
  <c r="G8640" i="1"/>
  <c r="G8512" i="1"/>
  <c r="G8387" i="1"/>
  <c r="G8246" i="1"/>
  <c r="G8110" i="1"/>
  <c r="G7935" i="1"/>
  <c r="G7763" i="1"/>
  <c r="G7534" i="1"/>
  <c r="G7278" i="1"/>
  <c r="G7022" i="1"/>
  <c r="G6766" i="1"/>
  <c r="G6433" i="1"/>
  <c r="G5501" i="1"/>
  <c r="G9170" i="1"/>
  <c r="G9042" i="1"/>
  <c r="G8914" i="1"/>
  <c r="G8786" i="1"/>
  <c r="G8658" i="1"/>
  <c r="G8530" i="1"/>
  <c r="G8402" i="1"/>
  <c r="G8245" i="1"/>
  <c r="G8099" i="1"/>
  <c r="G7933" i="1"/>
  <c r="G7748" i="1"/>
  <c r="G7506" i="1"/>
  <c r="G7250" i="1"/>
  <c r="G6994" i="1"/>
  <c r="G6738" i="1"/>
  <c r="G6459" i="1"/>
  <c r="G6091" i="1"/>
  <c r="G5660" i="1"/>
  <c r="G10173" i="1"/>
  <c r="G10109" i="1"/>
  <c r="G10045" i="1"/>
  <c r="G9981" i="1"/>
  <c r="G9917" i="1"/>
  <c r="G9853" i="1"/>
  <c r="G9789" i="1"/>
  <c r="G9725" i="1"/>
  <c r="G9661" i="1"/>
  <c r="G9597" i="1"/>
  <c r="G9533" i="1"/>
  <c r="G9469" i="1"/>
  <c r="G9405" i="1"/>
  <c r="G9341" i="1"/>
  <c r="G9277" i="1"/>
  <c r="G9165" i="1"/>
  <c r="G9037" i="1"/>
  <c r="G8909" i="1"/>
  <c r="G8781" i="1"/>
  <c r="G8653" i="1"/>
  <c r="G8525" i="1"/>
  <c r="G8401" i="1"/>
  <c r="G8255" i="1"/>
  <c r="G8119" i="1"/>
  <c r="G7958" i="1"/>
  <c r="G7793" i="1"/>
  <c r="G7585" i="1"/>
  <c r="G7329" i="1"/>
  <c r="G7073" i="1"/>
  <c r="G6817" i="1"/>
  <c r="G6505" i="1"/>
  <c r="G5525" i="1"/>
  <c r="G7595" i="1"/>
  <c r="G7467" i="1"/>
  <c r="G7339" i="1"/>
  <c r="G7211" i="1"/>
  <c r="G7083" i="1"/>
  <c r="G6955" i="1"/>
  <c r="G6827" i="1"/>
  <c r="G6699" i="1"/>
  <c r="G6596" i="1"/>
  <c r="G6461" i="1"/>
  <c r="G6283" i="1"/>
  <c r="G6114" i="1"/>
  <c r="G5884" i="1"/>
  <c r="G5685" i="1"/>
  <c r="G5275" i="1"/>
  <c r="G4724" i="1"/>
  <c r="G4919" i="1"/>
  <c r="G3905" i="1"/>
  <c r="G4627" i="1"/>
  <c r="G5307" i="1"/>
  <c r="G4784" i="1"/>
  <c r="G3662" i="1"/>
  <c r="G5484" i="1"/>
  <c r="G4909" i="1"/>
  <c r="G4165" i="1"/>
  <c r="G7679" i="1"/>
  <c r="G7551" i="1"/>
  <c r="G7423" i="1"/>
  <c r="G7295" i="1"/>
  <c r="G7167" i="1"/>
  <c r="G7039" i="1"/>
  <c r="G6911" i="1"/>
  <c r="G6783" i="1"/>
  <c r="G6655" i="1"/>
  <c r="G6464" i="1"/>
  <c r="G6297" i="1"/>
  <c r="G5617" i="1"/>
  <c r="G5180" i="1"/>
  <c r="G4476" i="1"/>
  <c r="G8003" i="1"/>
  <c r="G7875" i="1"/>
  <c r="G7747" i="1"/>
  <c r="G7619" i="1"/>
  <c r="G7491" i="1"/>
  <c r="G7363" i="1"/>
  <c r="G7235" i="1"/>
  <c r="G7107" i="1"/>
  <c r="G6979" i="1"/>
  <c r="G6851" i="1"/>
  <c r="G6723" i="1"/>
  <c r="G6613" i="1"/>
  <c r="G6483" i="1"/>
  <c r="G6316" i="1"/>
  <c r="G6163" i="1"/>
  <c r="G5931" i="1"/>
  <c r="G5760" i="1"/>
  <c r="G5459" i="1"/>
  <c r="G4887" i="1"/>
  <c r="G4102" i="1"/>
  <c r="G8313" i="1"/>
  <c r="G7737" i="1"/>
  <c r="G6713" i="1"/>
  <c r="G6074" i="1"/>
  <c r="G3644" i="1"/>
  <c r="G5855" i="1"/>
  <c r="G5218" i="1"/>
  <c r="G4632" i="1"/>
  <c r="G3465" i="1"/>
  <c r="G4570" i="1"/>
  <c r="G4269" i="1"/>
  <c r="G2816" i="1"/>
  <c r="G10493" i="1"/>
  <c r="G10345" i="1"/>
  <c r="G10217" i="1"/>
  <c r="G9926" i="1"/>
  <c r="G9227" i="1"/>
  <c r="G8871" i="1"/>
  <c r="G10379" i="1"/>
  <c r="G10315" i="1"/>
  <c r="G10251" i="1"/>
  <c r="G10152" i="1"/>
  <c r="G9983" i="1"/>
  <c r="G9814" i="1"/>
  <c r="G9640" i="1"/>
  <c r="G9121" i="1"/>
  <c r="G8954" i="1"/>
  <c r="G8693" i="1"/>
  <c r="G8437" i="1"/>
  <c r="G8118" i="1"/>
  <c r="G7816" i="1"/>
  <c r="G7310" i="1"/>
  <c r="G8357" i="1"/>
  <c r="G8075" i="1"/>
  <c r="G7722" i="1"/>
  <c r="G7218" i="1"/>
  <c r="G8294" i="1"/>
  <c r="G8009" i="1"/>
  <c r="G7654" i="1"/>
  <c r="G7142" i="1"/>
  <c r="G8283" i="1"/>
  <c r="G7972" i="1"/>
  <c r="G7562" i="1"/>
  <c r="G7050" i="1"/>
  <c r="G8175" i="1"/>
  <c r="G7809" i="1"/>
  <c r="G7337" i="1"/>
  <c r="G10172" i="1"/>
  <c r="G10003" i="1"/>
  <c r="G9834" i="1"/>
  <c r="G9660" i="1"/>
  <c r="G9551" i="1"/>
  <c r="G9466" i="1"/>
  <c r="G9380" i="1"/>
  <c r="G9295" i="1"/>
  <c r="G9159" i="1"/>
  <c r="G8986" i="1"/>
  <c r="G8706" i="1"/>
  <c r="G8450" i="1"/>
  <c r="G8164" i="1"/>
  <c r="G7845" i="1"/>
  <c r="G7410" i="1"/>
  <c r="G10936" i="1"/>
  <c r="G10872" i="1"/>
  <c r="G10808" i="1"/>
  <c r="G10744" i="1"/>
  <c r="G10680" i="1"/>
  <c r="G10616" i="1"/>
  <c r="G10552" i="1"/>
  <c r="G10488" i="1"/>
  <c r="G10424" i="1"/>
  <c r="G10360" i="1"/>
  <c r="G10296" i="1"/>
  <c r="G10232" i="1"/>
  <c r="G10103" i="1"/>
  <c r="G9934" i="1"/>
  <c r="G9760" i="1"/>
  <c r="G9244" i="1"/>
  <c r="G9067" i="1"/>
  <c r="G8861" i="1"/>
  <c r="G8605" i="1"/>
  <c r="G8362" i="1"/>
  <c r="G8069" i="1"/>
  <c r="G7713" i="1"/>
  <c r="G7224" i="1"/>
  <c r="G10148" i="1"/>
  <c r="G9979" i="1"/>
  <c r="G9810" i="1"/>
  <c r="G9636" i="1"/>
  <c r="G9539" i="1"/>
  <c r="G9454" i="1"/>
  <c r="G9368" i="1"/>
  <c r="G9283" i="1"/>
  <c r="G9134" i="1"/>
  <c r="G8948" i="1"/>
  <c r="G8714" i="1"/>
  <c r="G8458" i="1"/>
  <c r="G8173" i="1"/>
  <c r="G7868" i="1"/>
  <c r="G7388" i="1"/>
  <c r="G8931" i="1"/>
  <c r="G8803" i="1"/>
  <c r="G8675" i="1"/>
  <c r="G8547" i="1"/>
  <c r="G8419" i="1"/>
  <c r="G8275" i="1"/>
  <c r="G8113" i="1"/>
  <c r="G7963" i="1"/>
  <c r="G7786" i="1"/>
  <c r="G7557" i="1"/>
  <c r="G7301" i="1"/>
  <c r="G7045" i="1"/>
  <c r="G6789" i="1"/>
  <c r="G6579" i="1"/>
  <c r="G6259" i="1"/>
  <c r="G5840" i="1"/>
  <c r="G6871" i="1"/>
  <c r="G6578" i="1"/>
  <c r="G6119" i="1"/>
  <c r="G6852" i="1"/>
  <c r="G6620" i="1"/>
  <c r="G6349" i="1"/>
  <c r="G5943" i="1"/>
  <c r="G6913" i="1"/>
  <c r="G6657" i="1"/>
  <c r="G6320" i="1"/>
  <c r="G5295" i="1"/>
  <c r="G6595" i="1"/>
  <c r="G6293" i="1"/>
  <c r="G5872" i="1"/>
  <c r="G9015" i="1"/>
  <c r="G8887" i="1"/>
  <c r="G8759" i="1"/>
  <c r="G8631" i="1"/>
  <c r="G8503" i="1"/>
  <c r="G8381" i="1"/>
  <c r="G8235" i="1"/>
  <c r="G8073" i="1"/>
  <c r="G7928" i="1"/>
  <c r="G7755" i="1"/>
  <c r="G7497" i="1"/>
  <c r="G7241" i="1"/>
  <c r="G6985" i="1"/>
  <c r="G6729" i="1"/>
  <c r="G6408" i="1"/>
  <c r="G5465" i="1"/>
  <c r="G9161" i="1"/>
  <c r="G9033" i="1"/>
  <c r="G8905" i="1"/>
  <c r="G8777" i="1"/>
  <c r="G8649" i="1"/>
  <c r="G8521" i="1"/>
  <c r="G8386" i="1"/>
  <c r="G8229" i="1"/>
  <c r="G8093" i="1"/>
  <c r="G7922" i="1"/>
  <c r="G7740" i="1"/>
  <c r="G7469" i="1"/>
  <c r="G7213" i="1"/>
  <c r="G6957" i="1"/>
  <c r="G6701" i="1"/>
  <c r="G6445" i="1"/>
  <c r="G6036" i="1"/>
  <c r="G5624" i="1"/>
  <c r="G10169" i="1"/>
  <c r="G10105" i="1"/>
  <c r="G10041" i="1"/>
  <c r="G9977" i="1"/>
  <c r="G9913" i="1"/>
  <c r="G9849" i="1"/>
  <c r="G9785" i="1"/>
  <c r="G9721" i="1"/>
  <c r="G9657" i="1"/>
  <c r="G9593" i="1"/>
  <c r="G9529" i="1"/>
  <c r="G9465" i="1"/>
  <c r="G9401" i="1"/>
  <c r="G9337" i="1"/>
  <c r="G9273" i="1"/>
  <c r="G9160" i="1"/>
  <c r="G9032" i="1"/>
  <c r="G8904" i="1"/>
  <c r="G8776" i="1"/>
  <c r="G8648" i="1"/>
  <c r="G8520" i="1"/>
  <c r="G8396" i="1"/>
  <c r="G8250" i="1"/>
  <c r="G8114" i="1"/>
  <c r="G7951" i="1"/>
  <c r="G7775" i="1"/>
  <c r="G7576" i="1"/>
  <c r="G7320" i="1"/>
  <c r="G7064" i="1"/>
  <c r="G6808" i="1"/>
  <c r="G6480" i="1"/>
  <c r="G5489" i="1"/>
  <c r="G7586" i="1"/>
  <c r="G7458" i="1"/>
  <c r="G7330" i="1"/>
  <c r="G7202" i="1"/>
  <c r="G7074" i="1"/>
  <c r="G6946" i="1"/>
  <c r="G6818" i="1"/>
  <c r="G6690" i="1"/>
  <c r="G6591" i="1"/>
  <c r="G6443" i="1"/>
  <c r="G6276" i="1"/>
  <c r="G6068" i="1"/>
  <c r="G5874" i="1"/>
  <c r="G5661" i="1"/>
  <c r="G5233" i="1"/>
  <c r="G4700" i="1"/>
  <c r="G4877" i="1"/>
  <c r="G3795" i="1"/>
  <c r="G4600" i="1"/>
  <c r="G5265" i="1"/>
  <c r="G4713" i="1"/>
  <c r="G5772" i="1"/>
  <c r="G5460" i="1"/>
  <c r="G4888" i="1"/>
  <c r="G4104" i="1"/>
  <c r="G7670" i="1"/>
  <c r="G7542" i="1"/>
  <c r="G7414" i="1"/>
  <c r="G7286" i="1"/>
  <c r="G7158" i="1"/>
  <c r="G7030" i="1"/>
  <c r="G6902" i="1"/>
  <c r="G6774" i="1"/>
  <c r="G6646" i="1"/>
  <c r="G6457" i="1"/>
  <c r="G6279" i="1"/>
  <c r="G5593" i="1"/>
  <c r="G5159" i="1"/>
  <c r="G4412" i="1"/>
  <c r="G7994" i="1"/>
  <c r="G7866" i="1"/>
  <c r="G7738" i="1"/>
  <c r="G7610" i="1"/>
  <c r="G7482" i="1"/>
  <c r="G7354" i="1"/>
  <c r="G7226" i="1"/>
  <c r="G7098" i="1"/>
  <c r="G6970" i="1"/>
  <c r="G6842" i="1"/>
  <c r="G6714" i="1"/>
  <c r="G6608" i="1"/>
  <c r="G6476" i="1"/>
  <c r="G6309" i="1"/>
  <c r="G6154" i="1"/>
  <c r="G5920" i="1"/>
  <c r="G5750" i="1"/>
  <c r="G5446" i="1"/>
  <c r="G4845" i="1"/>
  <c r="G4041" i="1"/>
  <c r="G8304" i="1"/>
  <c r="G7614" i="1"/>
  <c r="G6552" i="1"/>
  <c r="G5966" i="1"/>
  <c r="G6062" i="1"/>
  <c r="G5770" i="1"/>
  <c r="G5072" i="1"/>
  <c r="G4427" i="1"/>
  <c r="G6165" i="1"/>
  <c r="G4348" i="1"/>
  <c r="G4128" i="1"/>
  <c r="G4716" i="1"/>
  <c r="G10486" i="1"/>
  <c r="G10337" i="1"/>
  <c r="G10209" i="1"/>
  <c r="G9880" i="1"/>
  <c r="G9203" i="1"/>
  <c r="G8853" i="1"/>
  <c r="G10375" i="1"/>
  <c r="G10311" i="1"/>
  <c r="G10247" i="1"/>
  <c r="G10143" i="1"/>
  <c r="G9974" i="1"/>
  <c r="G9800" i="1"/>
  <c r="G9631" i="1"/>
  <c r="G9114" i="1"/>
  <c r="G8912" i="1"/>
  <c r="G8656" i="1"/>
  <c r="G8389" i="1"/>
  <c r="G8107" i="1"/>
  <c r="G7791" i="1"/>
  <c r="G7273" i="1"/>
  <c r="G8347" i="1"/>
  <c r="G8044" i="1"/>
  <c r="G7693" i="1"/>
  <c r="G7181" i="1"/>
  <c r="G8273" i="1"/>
  <c r="G7985" i="1"/>
  <c r="G7617" i="1"/>
  <c r="G7105" i="1"/>
  <c r="G8262" i="1"/>
  <c r="G7947" i="1"/>
  <c r="G7525" i="1"/>
  <c r="G7013" i="1"/>
  <c r="G8133" i="1"/>
  <c r="G7798" i="1"/>
  <c r="G7319" i="1"/>
  <c r="G10163" i="1"/>
  <c r="G9994" i="1"/>
  <c r="G9820" i="1"/>
  <c r="G9651" i="1"/>
  <c r="G9546" i="1"/>
  <c r="G9460" i="1"/>
  <c r="G9375" i="1"/>
  <c r="G9290" i="1"/>
  <c r="G9141" i="1"/>
  <c r="G8943" i="1"/>
  <c r="G8697" i="1"/>
  <c r="G8441" i="1"/>
  <c r="G8154" i="1"/>
  <c r="G7821" i="1"/>
  <c r="G7373" i="1"/>
  <c r="G10932" i="1"/>
  <c r="G10868" i="1"/>
  <c r="G10804" i="1"/>
  <c r="G10740" i="1"/>
  <c r="G10676" i="1"/>
  <c r="G10612" i="1"/>
  <c r="G10548" i="1"/>
  <c r="G10484" i="1"/>
  <c r="G10420" i="1"/>
  <c r="G10356" i="1"/>
  <c r="G10292" i="1"/>
  <c r="G10228" i="1"/>
  <c r="G10094" i="1"/>
  <c r="G9920" i="1"/>
  <c r="G9751" i="1"/>
  <c r="G9226" i="1"/>
  <c r="G9049" i="1"/>
  <c r="G8824" i="1"/>
  <c r="G8568" i="1"/>
  <c r="G8341" i="1"/>
  <c r="G8059" i="1"/>
  <c r="G7699" i="1"/>
  <c r="G7206" i="1"/>
  <c r="G10139" i="1"/>
  <c r="G9970" i="1"/>
  <c r="G9796" i="1"/>
  <c r="G9627" i="1"/>
  <c r="G9534" i="1"/>
  <c r="G9448" i="1"/>
  <c r="G9363" i="1"/>
  <c r="G9278" i="1"/>
  <c r="G9127" i="1"/>
  <c r="G8940" i="1"/>
  <c r="G8705" i="1"/>
  <c r="G8449" i="1"/>
  <c r="G8163" i="1"/>
  <c r="G7844" i="1"/>
  <c r="G7370" i="1"/>
  <c r="G8922" i="1"/>
  <c r="G8794" i="1"/>
  <c r="G8666" i="1"/>
  <c r="G8538" i="1"/>
  <c r="G8410" i="1"/>
  <c r="G8270" i="1"/>
  <c r="G8108" i="1"/>
  <c r="G7956" i="1"/>
  <c r="G7780" i="1"/>
  <c r="G7548" i="1"/>
  <c r="G7292" i="1"/>
  <c r="G7036" i="1"/>
  <c r="G6780" i="1"/>
  <c r="G6568" i="1"/>
  <c r="G6243" i="1"/>
  <c r="G5819" i="1"/>
  <c r="G6862" i="1"/>
  <c r="G6543" i="1"/>
  <c r="G6064" i="1"/>
  <c r="G6843" i="1"/>
  <c r="G6609" i="1"/>
  <c r="G6324" i="1"/>
  <c r="G5922" i="1"/>
  <c r="G6904" i="1"/>
  <c r="G6648" i="1"/>
  <c r="G6295" i="1"/>
  <c r="G5128" i="1"/>
  <c r="G6584" i="1"/>
  <c r="G6267" i="1"/>
  <c r="G5851" i="1"/>
  <c r="G9006" i="1"/>
  <c r="G8878" i="1"/>
  <c r="G8750" i="1"/>
  <c r="G8622" i="1"/>
  <c r="G8494" i="1"/>
  <c r="G8376" i="1"/>
  <c r="G8230" i="1"/>
  <c r="G8068" i="1"/>
  <c r="G7910" i="1"/>
  <c r="G7712" i="1"/>
  <c r="G7488" i="1"/>
  <c r="G7232" i="1"/>
  <c r="G6976" i="1"/>
  <c r="G6720" i="1"/>
  <c r="G6383" i="1"/>
  <c r="G5274" i="1"/>
  <c r="G9156" i="1"/>
  <c r="G9028" i="1"/>
  <c r="G8900" i="1"/>
  <c r="G8772" i="1"/>
  <c r="G8644" i="1"/>
  <c r="G8516" i="1"/>
  <c r="G8365" i="1"/>
  <c r="G8224" i="1"/>
  <c r="G8088" i="1"/>
  <c r="G7915" i="1"/>
  <c r="G7732" i="1"/>
  <c r="G7460" i="1"/>
  <c r="G7204" i="1"/>
  <c r="G6948" i="1"/>
  <c r="G6692" i="1"/>
  <c r="G6420" i="1"/>
  <c r="G6018" i="1"/>
  <c r="G5594" i="1"/>
  <c r="G10165" i="1"/>
  <c r="G10101" i="1"/>
  <c r="G10037" i="1"/>
  <c r="G9973" i="1"/>
  <c r="G9909" i="1"/>
  <c r="G9845" i="1"/>
  <c r="G9781" i="1"/>
  <c r="G9717" i="1"/>
  <c r="G9653" i="1"/>
  <c r="G9589" i="1"/>
  <c r="G9525" i="1"/>
  <c r="G9461" i="1"/>
  <c r="G9397" i="1"/>
  <c r="G9333" i="1"/>
  <c r="G9269" i="1"/>
  <c r="G9151" i="1"/>
  <c r="G9023" i="1"/>
  <c r="G8895" i="1"/>
  <c r="G8767" i="1"/>
  <c r="G8639" i="1"/>
  <c r="G8511" i="1"/>
  <c r="G8385" i="1"/>
  <c r="G8244" i="1"/>
  <c r="G8098" i="1"/>
  <c r="G7945" i="1"/>
  <c r="G7768" i="1"/>
  <c r="G7567" i="1"/>
  <c r="G7311" i="1"/>
  <c r="G7055" i="1"/>
  <c r="G6799" i="1"/>
  <c r="G6455" i="1"/>
  <c r="G5416" i="1"/>
  <c r="G7581" i="1"/>
  <c r="G7453" i="1"/>
  <c r="G7325" i="1"/>
  <c r="G7197" i="1"/>
  <c r="G7069" i="1"/>
  <c r="G6941" i="1"/>
  <c r="G6813" i="1"/>
  <c r="G6685" i="1"/>
  <c r="G6585" i="1"/>
  <c r="G6436" i="1"/>
  <c r="G6268" i="1"/>
  <c r="G6059" i="1"/>
  <c r="G5863" i="1"/>
  <c r="G5637" i="1"/>
  <c r="G5212" i="1"/>
  <c r="G4603" i="1"/>
  <c r="G4856" i="1"/>
  <c r="G3699" i="1"/>
  <c r="G4545" i="1"/>
  <c r="G5244" i="1"/>
  <c r="G4689" i="1"/>
  <c r="G5762" i="1"/>
  <c r="G5436" i="1"/>
  <c r="G4846" i="1"/>
  <c r="G4051" i="1"/>
  <c r="G7665" i="1"/>
  <c r="G7537" i="1"/>
  <c r="G7409" i="1"/>
  <c r="G7281" i="1"/>
  <c r="G7153" i="1"/>
  <c r="G7025" i="1"/>
  <c r="G6897" i="1"/>
  <c r="G6769" i="1"/>
  <c r="G6630" i="1"/>
  <c r="G6439" i="1"/>
  <c r="G6191" i="1"/>
  <c r="G5569" i="1"/>
  <c r="G5138" i="1"/>
  <c r="G4374" i="1"/>
  <c r="G7989" i="1"/>
  <c r="G7861" i="1"/>
  <c r="G7733" i="1"/>
  <c r="G7605" i="1"/>
  <c r="G7477" i="1"/>
  <c r="G7349" i="1"/>
  <c r="G7221" i="1"/>
  <c r="G7093" i="1"/>
  <c r="G6965" i="1"/>
  <c r="G6837" i="1"/>
  <c r="G6709" i="1"/>
  <c r="G6603" i="1"/>
  <c r="G6469" i="1"/>
  <c r="G6291" i="1"/>
  <c r="G6108" i="1"/>
  <c r="G5910" i="1"/>
  <c r="G5739" i="1"/>
  <c r="G5422" i="1"/>
  <c r="G4824" i="1"/>
  <c r="G3988" i="1"/>
  <c r="G8295" i="1"/>
  <c r="G7609" i="1"/>
  <c r="G6545" i="1"/>
  <c r="G5960" i="1"/>
  <c r="G5610" i="1"/>
  <c r="G5628" i="1"/>
  <c r="G4910" i="1"/>
  <c r="G4151" i="1"/>
  <c r="G6101" i="1"/>
  <c r="G4034" i="1"/>
  <c r="G3992" i="1"/>
  <c r="G3692" i="1"/>
  <c r="G10479" i="1"/>
  <c r="G10329" i="1"/>
  <c r="G10200" i="1"/>
  <c r="G9871" i="1"/>
  <c r="G9178" i="1"/>
  <c r="G8816" i="1"/>
  <c r="G10371" i="1"/>
  <c r="G10307" i="1"/>
  <c r="G10243" i="1"/>
  <c r="G10134" i="1"/>
  <c r="G9960" i="1"/>
  <c r="G9791" i="1"/>
  <c r="G9622" i="1"/>
  <c r="G9108" i="1"/>
  <c r="G8903" i="1"/>
  <c r="G8647" i="1"/>
  <c r="G8379" i="1"/>
  <c r="G8076" i="1"/>
  <c r="G7767" i="1"/>
  <c r="G7255" i="1"/>
  <c r="G8326" i="1"/>
  <c r="G8033" i="1"/>
  <c r="G7675" i="1"/>
  <c r="G7163" i="1"/>
  <c r="G8252" i="1"/>
  <c r="G7960" i="1"/>
  <c r="G7599" i="1"/>
  <c r="G7087" i="1"/>
  <c r="G8241" i="1"/>
  <c r="G7923" i="1"/>
  <c r="G7507" i="1"/>
  <c r="G6995" i="1"/>
  <c r="G8123" i="1"/>
  <c r="G7785" i="1"/>
  <c r="G7264" i="1"/>
  <c r="G10154" i="1"/>
  <c r="G9980" i="1"/>
  <c r="G9811" i="1"/>
  <c r="G9642" i="1"/>
  <c r="G9540" i="1"/>
  <c r="G9455" i="1"/>
  <c r="G9370" i="1"/>
  <c r="G9284" i="1"/>
  <c r="G9135" i="1"/>
  <c r="G8916" i="1"/>
  <c r="G8660" i="1"/>
  <c r="G8404" i="1"/>
  <c r="G8143" i="1"/>
  <c r="G7796" i="1"/>
  <c r="G7355" i="1"/>
  <c r="G10928" i="1"/>
  <c r="G10864" i="1"/>
  <c r="G10800" i="1"/>
  <c r="G10736" i="1"/>
  <c r="G10672" i="1"/>
  <c r="G10608" i="1"/>
  <c r="G10544" i="1"/>
  <c r="G10480" i="1"/>
  <c r="G10416" i="1"/>
  <c r="G10352" i="1"/>
  <c r="G10288" i="1"/>
  <c r="G10224" i="1"/>
  <c r="G10080" i="1"/>
  <c r="G9911" i="1"/>
  <c r="G9742" i="1"/>
  <c r="G9219" i="1"/>
  <c r="G9043" i="1"/>
  <c r="G8815" i="1"/>
  <c r="G8559" i="1"/>
  <c r="G8320" i="1"/>
  <c r="G8038" i="1"/>
  <c r="G7681" i="1"/>
  <c r="G7169" i="1"/>
  <c r="G10130" i="1"/>
  <c r="G9956" i="1"/>
  <c r="G9787" i="1"/>
  <c r="G9618" i="1"/>
  <c r="G9528" i="1"/>
  <c r="G9443" i="1"/>
  <c r="G9358" i="1"/>
  <c r="G9272" i="1"/>
  <c r="G9109" i="1"/>
  <c r="G8924" i="1"/>
  <c r="G8668" i="1"/>
  <c r="G8412" i="1"/>
  <c r="G8152" i="1"/>
  <c r="G7819" i="1"/>
  <c r="G7333" i="1"/>
  <c r="G8913" i="1"/>
  <c r="G8785" i="1"/>
  <c r="G8657" i="1"/>
  <c r="G8529" i="1"/>
  <c r="G8395" i="1"/>
  <c r="G8233" i="1"/>
  <c r="G8097" i="1"/>
  <c r="G7938" i="1"/>
  <c r="G7773" i="1"/>
  <c r="G7539" i="1"/>
  <c r="G7283" i="1"/>
  <c r="G7027" i="1"/>
  <c r="G6771" i="1"/>
  <c r="G6556" i="1"/>
  <c r="G6227" i="1"/>
  <c r="G5798" i="1"/>
  <c r="G6825" i="1"/>
  <c r="G6529" i="1"/>
  <c r="G6046" i="1"/>
  <c r="G6834" i="1"/>
  <c r="G6599" i="1"/>
  <c r="G6299" i="1"/>
  <c r="G5900" i="1"/>
  <c r="G6895" i="1"/>
  <c r="G6638" i="1"/>
  <c r="G6281" i="1"/>
  <c r="G6803" i="1"/>
  <c r="G6573" i="1"/>
  <c r="G6251" i="1"/>
  <c r="G5830" i="1"/>
  <c r="G8997" i="1"/>
  <c r="G8869" i="1"/>
  <c r="G8741" i="1"/>
  <c r="G8613" i="1"/>
  <c r="G8485" i="1"/>
  <c r="G8371" i="1"/>
  <c r="G8209" i="1"/>
  <c r="G8063" i="1"/>
  <c r="G7904" i="1"/>
  <c r="G7704" i="1"/>
  <c r="G7479" i="1"/>
  <c r="G7223" i="1"/>
  <c r="G6967" i="1"/>
  <c r="G6711" i="1"/>
  <c r="G6369" i="1"/>
  <c r="G5190" i="1"/>
  <c r="G9147" i="1"/>
  <c r="G9019" i="1"/>
  <c r="G8891" i="1"/>
  <c r="G8763" i="1"/>
  <c r="G8635" i="1"/>
  <c r="G8507" i="1"/>
  <c r="G8360" i="1"/>
  <c r="G8219" i="1"/>
  <c r="G8083" i="1"/>
  <c r="G7909" i="1"/>
  <c r="G7726" i="1"/>
  <c r="G7451" i="1"/>
  <c r="G7195" i="1"/>
  <c r="G6939" i="1"/>
  <c r="G6683" i="1"/>
  <c r="G6395" i="1"/>
  <c r="G5996" i="1"/>
  <c r="G5497" i="1"/>
  <c r="G10161" i="1"/>
  <c r="G10097" i="1"/>
  <c r="G10033" i="1"/>
  <c r="G9969" i="1"/>
  <c r="G9905" i="1"/>
  <c r="G9841" i="1"/>
  <c r="G9777" i="1"/>
  <c r="G9713" i="1"/>
  <c r="G9649" i="1"/>
  <c r="G9585" i="1"/>
  <c r="G9521" i="1"/>
  <c r="G9457" i="1"/>
  <c r="G9393" i="1"/>
  <c r="G9329" i="1"/>
  <c r="G9265" i="1"/>
  <c r="G9142" i="1"/>
  <c r="G9014" i="1"/>
  <c r="G8886" i="1"/>
  <c r="G8758" i="1"/>
  <c r="G8630" i="1"/>
  <c r="G8502" i="1"/>
  <c r="G8380" i="1"/>
  <c r="G8239" i="1"/>
  <c r="G8077" i="1"/>
  <c r="G7927" i="1"/>
  <c r="G7762" i="1"/>
  <c r="G7558" i="1"/>
  <c r="G7302" i="1"/>
  <c r="G7046" i="1"/>
  <c r="G6790" i="1"/>
  <c r="G6441" i="1"/>
  <c r="G5253" i="1"/>
  <c r="G7572" i="1"/>
  <c r="G7444" i="1"/>
  <c r="G7316" i="1"/>
  <c r="G7188" i="1"/>
  <c r="G7060" i="1"/>
  <c r="G6932" i="1"/>
  <c r="G6804" i="1"/>
  <c r="G6676" i="1"/>
  <c r="G6580" i="1"/>
  <c r="G6429" i="1"/>
  <c r="G6260" i="1"/>
  <c r="G6050" i="1"/>
  <c r="G5852" i="1"/>
  <c r="G5612" i="1"/>
  <c r="G5191" i="1"/>
  <c r="G4546" i="1"/>
  <c r="G4814" i="1"/>
  <c r="G5085" i="1"/>
  <c r="G4489" i="1"/>
  <c r="G5223" i="1"/>
  <c r="G4665" i="1"/>
  <c r="G5751" i="1"/>
  <c r="G5410" i="1"/>
  <c r="G4825" i="1"/>
  <c r="G3831" i="1"/>
  <c r="G7656" i="1"/>
  <c r="G7528" i="1"/>
  <c r="G7400" i="1"/>
  <c r="G7272" i="1"/>
  <c r="G7144" i="1"/>
  <c r="G7016" i="1"/>
  <c r="G6888" i="1"/>
  <c r="G6760" i="1"/>
  <c r="G6614" i="1"/>
  <c r="G6432" i="1"/>
  <c r="G6182" i="1"/>
  <c r="G5544" i="1"/>
  <c r="G5117" i="1"/>
  <c r="G4270" i="1"/>
  <c r="G7980" i="1"/>
  <c r="G7852" i="1"/>
  <c r="G7724" i="1"/>
  <c r="G7596" i="1"/>
  <c r="G7468" i="1"/>
  <c r="G7340" i="1"/>
  <c r="G7212" i="1"/>
  <c r="G7084" i="1"/>
  <c r="G6956" i="1"/>
  <c r="G6828" i="1"/>
  <c r="G6700" i="1"/>
  <c r="G6597" i="1"/>
  <c r="G6451" i="1"/>
  <c r="G6284" i="1"/>
  <c r="G6099" i="1"/>
  <c r="G5899" i="1"/>
  <c r="G5726" i="1"/>
  <c r="G5409" i="1"/>
  <c r="G4782" i="1"/>
  <c r="G3751" i="1"/>
  <c r="G8286" i="1"/>
  <c r="G7486" i="1"/>
  <c r="G6385" i="1"/>
  <c r="G5880" i="1"/>
  <c r="G5433" i="1"/>
  <c r="G5451" i="1"/>
  <c r="G4779" i="1"/>
  <c r="G3858" i="1"/>
  <c r="G6037" i="1"/>
  <c r="G3705" i="1"/>
  <c r="G3830" i="1"/>
  <c r="G2932" i="1"/>
  <c r="G10461" i="1"/>
  <c r="G10321" i="1"/>
  <c r="G10191" i="1"/>
  <c r="G9862" i="1"/>
  <c r="G9154" i="1"/>
  <c r="G8798" i="1"/>
  <c r="G10367" i="1"/>
  <c r="G10303" i="1"/>
  <c r="G10239" i="1"/>
  <c r="G10120" i="1"/>
  <c r="G9951" i="1"/>
  <c r="G9782" i="1"/>
  <c r="G9260" i="1"/>
  <c r="G9090" i="1"/>
  <c r="G8894" i="1"/>
  <c r="G8638" i="1"/>
  <c r="G8358" i="1"/>
  <c r="G8065" i="1"/>
  <c r="G7708" i="1"/>
  <c r="G7200" i="1"/>
  <c r="G8305" i="1"/>
  <c r="G8010" i="1"/>
  <c r="G7620" i="1"/>
  <c r="G7108" i="1"/>
  <c r="G8242" i="1"/>
  <c r="G7936" i="1"/>
  <c r="G7544" i="1"/>
  <c r="G7032" i="1"/>
  <c r="G8220" i="1"/>
  <c r="G7899" i="1"/>
  <c r="G7452" i="1"/>
  <c r="G6922" i="1"/>
  <c r="G8102" i="1"/>
  <c r="G7759" i="1"/>
  <c r="G7246" i="1"/>
  <c r="G10140" i="1"/>
  <c r="G9971" i="1"/>
  <c r="G9802" i="1"/>
  <c r="G9628" i="1"/>
  <c r="G9535" i="1"/>
  <c r="G9450" i="1"/>
  <c r="G9364" i="1"/>
  <c r="G9279" i="1"/>
  <c r="G9117" i="1"/>
  <c r="G8907" i="1"/>
  <c r="G8651" i="1"/>
  <c r="G8394" i="1"/>
  <c r="G8101" i="1"/>
  <c r="G7772" i="1"/>
  <c r="G7300" i="1"/>
  <c r="G10924" i="1"/>
  <c r="G10860" i="1"/>
  <c r="G10796" i="1"/>
  <c r="G10732" i="1"/>
  <c r="G10668" i="1"/>
  <c r="G10604" i="1"/>
  <c r="G10540" i="1"/>
  <c r="G10476" i="1"/>
  <c r="G10412" i="1"/>
  <c r="G10348" i="1"/>
  <c r="G10284" i="1"/>
  <c r="G10220" i="1"/>
  <c r="G10071" i="1"/>
  <c r="G9902" i="1"/>
  <c r="G9728" i="1"/>
  <c r="G9201" i="1"/>
  <c r="G9036" i="1"/>
  <c r="G8806" i="1"/>
  <c r="G8550" i="1"/>
  <c r="G8310" i="1"/>
  <c r="G8015" i="1"/>
  <c r="G7663" i="1"/>
  <c r="G7151" i="1"/>
  <c r="G10116" i="1"/>
  <c r="G9947" i="1"/>
  <c r="G9778" i="1"/>
  <c r="G9608" i="1"/>
  <c r="G9523" i="1"/>
  <c r="G9438" i="1"/>
  <c r="G9352" i="1"/>
  <c r="G9267" i="1"/>
  <c r="G9103" i="1"/>
  <c r="G8915" i="1"/>
  <c r="G8659" i="1"/>
  <c r="G8403" i="1"/>
  <c r="G8142" i="1"/>
  <c r="G7795" i="1"/>
  <c r="G7315" i="1"/>
  <c r="G8908" i="1"/>
  <c r="G8780" i="1"/>
  <c r="G8652" i="1"/>
  <c r="G8524" i="1"/>
  <c r="G8390" i="1"/>
  <c r="G8228" i="1"/>
  <c r="G8092" i="1"/>
  <c r="G7932" i="1"/>
  <c r="G7753" i="1"/>
  <c r="G7530" i="1"/>
  <c r="G7274" i="1"/>
  <c r="G7018" i="1"/>
  <c r="G6762" i="1"/>
  <c r="G6531" i="1"/>
  <c r="G6211" i="1"/>
  <c r="G5776" i="1"/>
  <c r="G6816" i="1"/>
  <c r="G6504" i="1"/>
  <c r="G5744" i="1"/>
  <c r="G6797" i="1"/>
  <c r="G6588" i="1"/>
  <c r="G6285" i="1"/>
  <c r="G5879" i="1"/>
  <c r="G6886" i="1"/>
  <c r="G6606" i="1"/>
  <c r="G6168" i="1"/>
  <c r="G6794" i="1"/>
  <c r="G6563" i="1"/>
  <c r="G6235" i="1"/>
  <c r="G5808" i="1"/>
  <c r="G8992" i="1"/>
  <c r="G8864" i="1"/>
  <c r="G8736" i="1"/>
  <c r="G8608" i="1"/>
  <c r="G8480" i="1"/>
  <c r="G8366" i="1"/>
  <c r="G8204" i="1"/>
  <c r="G8058" i="1"/>
  <c r="G7886" i="1"/>
  <c r="G7698" i="1"/>
  <c r="G7470" i="1"/>
  <c r="G7214" i="1"/>
  <c r="G6958" i="1"/>
  <c r="G6702" i="1"/>
  <c r="G6344" i="1"/>
  <c r="G5107" i="1"/>
  <c r="G9138" i="1"/>
  <c r="G9010" i="1"/>
  <c r="G8882" i="1"/>
  <c r="G8754" i="1"/>
  <c r="G8626" i="1"/>
  <c r="G8498" i="1"/>
  <c r="G8355" i="1"/>
  <c r="G8214" i="1"/>
  <c r="G8078" i="1"/>
  <c r="G7891" i="1"/>
  <c r="G7718" i="1"/>
  <c r="G7442" i="1"/>
  <c r="G7186" i="1"/>
  <c r="G6930" i="1"/>
  <c r="G6674" i="1"/>
  <c r="G6381" i="1"/>
  <c r="G5975" i="1"/>
  <c r="G5428" i="1"/>
  <c r="G10157" i="1"/>
  <c r="G10093" i="1"/>
  <c r="G10029" i="1"/>
  <c r="G9965" i="1"/>
  <c r="G9901" i="1"/>
  <c r="G9837" i="1"/>
  <c r="G9773" i="1"/>
  <c r="G9709" i="1"/>
  <c r="G9645" i="1"/>
  <c r="G9581" i="1"/>
  <c r="G9517" i="1"/>
  <c r="G9453" i="1"/>
  <c r="G9389" i="1"/>
  <c r="G9325" i="1"/>
  <c r="G9261" i="1"/>
  <c r="G9133" i="1"/>
  <c r="G9005" i="1"/>
  <c r="G8877" i="1"/>
  <c r="G8749" i="1"/>
  <c r="G8621" i="1"/>
  <c r="G8493" i="1"/>
  <c r="G8375" i="1"/>
  <c r="G8234" i="1"/>
  <c r="G8072" i="1"/>
  <c r="G7921" i="1"/>
  <c r="G7754" i="1"/>
  <c r="G7521" i="1"/>
  <c r="G7265" i="1"/>
  <c r="G7009" i="1"/>
  <c r="G6753" i="1"/>
  <c r="G6416" i="1"/>
  <c r="G7691" i="1"/>
  <c r="G7563" i="1"/>
  <c r="G7435" i="1"/>
  <c r="G7307" i="1"/>
  <c r="G7179" i="1"/>
  <c r="G7051" i="1"/>
  <c r="G6923" i="1"/>
  <c r="G6795" i="1"/>
  <c r="G6667" i="1"/>
  <c r="G6575" i="1"/>
  <c r="G6411" i="1"/>
  <c r="G6252" i="1"/>
  <c r="G6012" i="1"/>
  <c r="G5842" i="1"/>
  <c r="G5588" i="1"/>
  <c r="G5170" i="1"/>
  <c r="G4519" i="1"/>
  <c r="G4793" i="1"/>
  <c r="G5023" i="1"/>
  <c r="G4351" i="1"/>
  <c r="G5202" i="1"/>
  <c r="G4641" i="1"/>
  <c r="G5740" i="1"/>
  <c r="G5348" i="1"/>
  <c r="G4760" i="1"/>
  <c r="G3623" i="1"/>
  <c r="G7647" i="1"/>
  <c r="G7519" i="1"/>
  <c r="G7391" i="1"/>
  <c r="G7263" i="1"/>
  <c r="G7135" i="1"/>
  <c r="G7007" i="1"/>
  <c r="G6879" i="1"/>
  <c r="G6751" i="1"/>
  <c r="G6598" i="1"/>
  <c r="G6425" i="1"/>
  <c r="G6136" i="1"/>
  <c r="G5520" i="1"/>
  <c r="G5055" i="1"/>
  <c r="G4217" i="1"/>
  <c r="G7971" i="1"/>
  <c r="G7843" i="1"/>
  <c r="G7715" i="1"/>
  <c r="G7587" i="1"/>
  <c r="G7459" i="1"/>
  <c r="G7331" i="1"/>
  <c r="G7203" i="1"/>
  <c r="G7075" i="1"/>
  <c r="G6947" i="1"/>
  <c r="G6819" i="1"/>
  <c r="G6691" i="1"/>
  <c r="G6592" i="1"/>
  <c r="G6444" i="1"/>
  <c r="G6277" i="1"/>
  <c r="G6090" i="1"/>
  <c r="G5888" i="1"/>
  <c r="G5715" i="1"/>
  <c r="G5346" i="1"/>
  <c r="G4758" i="1"/>
  <c r="G3484" i="1"/>
  <c r="G8281" i="1"/>
  <c r="G7481" i="1"/>
  <c r="G6367" i="1"/>
  <c r="G5875" i="1"/>
  <c r="G5113" i="1"/>
  <c r="G5207" i="1"/>
  <c r="G4583" i="1"/>
  <c r="G3473" i="1"/>
  <c r="G5973" i="1"/>
  <c r="G4590" i="1"/>
  <c r="G3585" i="1"/>
  <c r="G2234" i="1"/>
  <c r="G10454" i="1"/>
  <c r="G10313" i="1"/>
  <c r="G10182" i="1"/>
  <c r="G9816" i="1"/>
  <c r="G9130" i="1"/>
  <c r="G8743" i="1"/>
  <c r="G10363" i="1"/>
  <c r="G10299" i="1"/>
  <c r="G10235" i="1"/>
  <c r="G10111" i="1"/>
  <c r="G9942" i="1"/>
  <c r="G9768" i="1"/>
  <c r="G9249" i="1"/>
  <c r="G9084" i="1"/>
  <c r="G8885" i="1"/>
  <c r="G8629" i="1"/>
  <c r="G8337" i="1"/>
  <c r="G8055" i="1"/>
  <c r="G7694" i="1"/>
  <c r="G7182" i="1"/>
  <c r="G8284" i="1"/>
  <c r="G7997" i="1"/>
  <c r="G7602" i="1"/>
  <c r="G7090" i="1"/>
  <c r="G8200" i="1"/>
  <c r="G7912" i="1"/>
  <c r="G7526" i="1"/>
  <c r="G7014" i="1"/>
  <c r="G8210" i="1"/>
  <c r="G7874" i="1"/>
  <c r="G7434" i="1"/>
  <c r="G8374" i="1"/>
  <c r="G8081" i="1"/>
  <c r="G7716" i="1"/>
  <c r="G7209" i="1"/>
  <c r="G10131" i="1"/>
  <c r="G9962" i="1"/>
  <c r="G9788" i="1"/>
  <c r="G9619" i="1"/>
  <c r="G9530" i="1"/>
  <c r="G9444" i="1"/>
  <c r="G9359" i="1"/>
  <c r="G9274" i="1"/>
  <c r="G9111" i="1"/>
  <c r="G8898" i="1"/>
  <c r="G8642" i="1"/>
  <c r="G8373" i="1"/>
  <c r="G8091" i="1"/>
  <c r="G7744" i="1"/>
  <c r="G7282" i="1"/>
  <c r="G10920" i="1"/>
  <c r="G10856" i="1"/>
  <c r="G10792" i="1"/>
  <c r="G10728" i="1"/>
  <c r="G10664" i="1"/>
  <c r="G10600" i="1"/>
  <c r="G10536" i="1"/>
  <c r="G10472" i="1"/>
  <c r="G10408" i="1"/>
  <c r="G10344" i="1"/>
  <c r="G10280" i="1"/>
  <c r="G10216" i="1"/>
  <c r="G10062" i="1"/>
  <c r="G9888" i="1"/>
  <c r="G9719" i="1"/>
  <c r="G9195" i="1"/>
  <c r="G9030" i="1"/>
  <c r="G8797" i="1"/>
  <c r="G8541" i="1"/>
  <c r="G8299" i="1"/>
  <c r="G7991" i="1"/>
  <c r="G7608" i="1"/>
  <c r="G7096" i="1"/>
  <c r="G10107" i="1"/>
  <c r="G9938" i="1"/>
  <c r="G9764" i="1"/>
  <c r="G9603" i="1"/>
  <c r="G9518" i="1"/>
  <c r="G9432" i="1"/>
  <c r="G9347" i="1"/>
  <c r="G9262" i="1"/>
  <c r="G9085" i="1"/>
  <c r="G8906" i="1"/>
  <c r="G8650" i="1"/>
  <c r="G8361" i="1"/>
  <c r="G8100" i="1"/>
  <c r="G7771" i="1"/>
  <c r="G7260" i="1"/>
  <c r="G8899" i="1"/>
  <c r="G8771" i="1"/>
  <c r="G8643" i="1"/>
  <c r="G8515" i="1"/>
  <c r="G8369" i="1"/>
  <c r="G8223" i="1"/>
  <c r="G8087" i="1"/>
  <c r="G7914" i="1"/>
  <c r="G7745" i="1"/>
  <c r="G7493" i="1"/>
  <c r="G7237" i="1"/>
  <c r="G6981" i="1"/>
  <c r="G6725" i="1"/>
  <c r="G6517" i="1"/>
  <c r="G6195" i="1"/>
  <c r="G5684" i="1"/>
  <c r="G6807" i="1"/>
  <c r="G6479" i="1"/>
  <c r="G5680" i="1"/>
  <c r="G6788" i="1"/>
  <c r="G6577" i="1"/>
  <c r="G6272" i="1"/>
  <c r="G5858" i="1"/>
  <c r="G6849" i="1"/>
  <c r="G6574" i="1"/>
  <c r="G6150" i="1"/>
  <c r="G6757" i="1"/>
  <c r="G6549" i="1"/>
  <c r="G6219" i="1"/>
  <c r="G5787" i="1"/>
  <c r="G8983" i="1"/>
  <c r="G8855" i="1"/>
  <c r="G8727" i="1"/>
  <c r="G8599" i="1"/>
  <c r="G8471" i="1"/>
  <c r="G8329" i="1"/>
  <c r="G8193" i="1"/>
  <c r="G8052" i="1"/>
  <c r="G7880" i="1"/>
  <c r="G7689" i="1"/>
  <c r="G7433" i="1"/>
  <c r="G7177" i="1"/>
  <c r="G6921" i="1"/>
  <c r="G6665" i="1"/>
  <c r="G6319" i="1"/>
  <c r="G9257" i="1"/>
  <c r="G9129" i="1"/>
  <c r="G9001" i="1"/>
  <c r="G8873" i="1"/>
  <c r="G8745" i="1"/>
  <c r="G8617" i="1"/>
  <c r="G8489" i="1"/>
  <c r="G8349" i="1"/>
  <c r="G8203" i="1"/>
  <c r="G8041" i="1"/>
  <c r="G7885" i="1"/>
  <c r="G7661" i="1"/>
  <c r="G7405" i="1"/>
  <c r="G7149" i="1"/>
  <c r="G6893" i="1"/>
  <c r="G6636" i="1"/>
  <c r="G6356" i="1"/>
  <c r="G5954" i="1"/>
  <c r="G5357" i="1"/>
  <c r="G10153" i="1"/>
  <c r="G10089" i="1"/>
  <c r="G10025" i="1"/>
  <c r="G9961" i="1"/>
  <c r="G9897" i="1"/>
  <c r="G9833" i="1"/>
  <c r="G9769" i="1"/>
  <c r="G9705" i="1"/>
  <c r="G9641" i="1"/>
  <c r="G9577" i="1"/>
  <c r="G9513" i="1"/>
  <c r="G9449" i="1"/>
  <c r="G9385" i="1"/>
  <c r="G9321" i="1"/>
  <c r="G9256" i="1"/>
  <c r="G9128" i="1"/>
  <c r="G9000" i="1"/>
  <c r="G8872" i="1"/>
  <c r="G8744" i="1"/>
  <c r="G8616" i="1"/>
  <c r="G8488" i="1"/>
  <c r="G8370" i="1"/>
  <c r="G8213" i="1"/>
  <c r="G8067" i="1"/>
  <c r="G7903" i="1"/>
  <c r="G7746" i="1"/>
  <c r="G7512" i="1"/>
  <c r="G7256" i="1"/>
  <c r="G7000" i="1"/>
  <c r="G6744" i="1"/>
  <c r="G6391" i="1"/>
  <c r="G7682" i="1"/>
  <c r="G7554" i="1"/>
  <c r="G7426" i="1"/>
  <c r="G7298" i="1"/>
  <c r="G7170" i="1"/>
  <c r="G7042" i="1"/>
  <c r="G6914" i="1"/>
  <c r="G6786" i="1"/>
  <c r="G6658" i="1"/>
  <c r="G6569" i="1"/>
  <c r="G6404" i="1"/>
  <c r="G6244" i="1"/>
  <c r="G6002" i="1"/>
  <c r="G5831" i="1"/>
  <c r="G5564" i="1"/>
  <c r="G5149" i="1"/>
  <c r="G4490" i="1"/>
  <c r="G4747" i="1"/>
  <c r="G4960" i="1"/>
  <c r="G4292" i="1"/>
  <c r="G5181" i="1"/>
  <c r="G4617" i="1"/>
  <c r="G5716" i="1"/>
  <c r="G5327" i="1"/>
  <c r="G4736" i="1"/>
  <c r="G7766" i="1"/>
  <c r="G7638" i="1"/>
  <c r="G7510" i="1"/>
  <c r="G7382" i="1"/>
  <c r="G7254" i="1"/>
  <c r="G7126" i="1"/>
  <c r="G6998" i="1"/>
  <c r="G6870" i="1"/>
  <c r="G6742" i="1"/>
  <c r="G6582" i="1"/>
  <c r="G6407" i="1"/>
  <c r="G6127" i="1"/>
  <c r="G5496" i="1"/>
  <c r="G4992" i="1"/>
  <c r="G4156" i="1"/>
  <c r="G7962" i="1"/>
  <c r="G7834" i="1"/>
  <c r="G7706" i="1"/>
  <c r="G7578" i="1"/>
  <c r="G7450" i="1"/>
  <c r="G7322" i="1"/>
  <c r="G7194" i="1"/>
  <c r="G7066" i="1"/>
  <c r="G6938" i="1"/>
  <c r="G6810" i="1"/>
  <c r="G6682" i="1"/>
  <c r="G6587" i="1"/>
  <c r="G6437" i="1"/>
  <c r="G6271" i="1"/>
  <c r="G6044" i="1"/>
  <c r="G5878" i="1"/>
  <c r="G5702" i="1"/>
  <c r="G5284" i="1"/>
  <c r="G4735" i="1"/>
  <c r="G8400" i="1"/>
  <c r="G8272" i="1"/>
  <c r="G7358" i="1"/>
  <c r="G6032" i="1"/>
  <c r="G5795" i="1"/>
  <c r="G4852" i="1"/>
  <c r="G4914" i="1"/>
  <c r="G4366" i="1"/>
  <c r="G5650" i="1"/>
  <c r="G5909" i="1"/>
  <c r="G4454" i="1"/>
  <c r="G3164" i="1"/>
  <c r="G2087" i="1"/>
  <c r="G10447" i="1"/>
  <c r="G10305" i="1"/>
  <c r="G10136" i="1"/>
  <c r="G9807" i="1"/>
  <c r="G9105" i="1"/>
  <c r="G8725" i="1"/>
  <c r="G10359" i="1"/>
  <c r="G10295" i="1"/>
  <c r="G10231" i="1"/>
  <c r="G10102" i="1"/>
  <c r="G9928" i="1"/>
  <c r="G9759" i="1"/>
  <c r="G9242" i="1"/>
  <c r="G9066" i="1"/>
  <c r="G8848" i="1"/>
  <c r="G8592" i="1"/>
  <c r="G8316" i="1"/>
  <c r="G8034" i="1"/>
  <c r="G7657" i="1"/>
  <c r="G7145" i="1"/>
  <c r="G8274" i="1"/>
  <c r="G7986" i="1"/>
  <c r="G7565" i="1"/>
  <c r="G7053" i="1"/>
  <c r="G8189" i="1"/>
  <c r="G7887" i="1"/>
  <c r="G7489" i="1"/>
  <c r="G6977" i="1"/>
  <c r="G8168" i="1"/>
  <c r="G7850" i="1"/>
  <c r="G7397" i="1"/>
  <c r="G8363" i="1"/>
  <c r="G8060" i="1"/>
  <c r="G7700" i="1"/>
  <c r="G7191" i="1"/>
  <c r="G10122" i="1"/>
  <c r="G9948" i="1"/>
  <c r="G9779" i="1"/>
  <c r="G9610" i="1"/>
  <c r="G9524" i="1"/>
  <c r="G9439" i="1"/>
  <c r="G9354" i="1"/>
  <c r="G9268" i="1"/>
  <c r="G9104" i="1"/>
  <c r="G8889" i="1"/>
  <c r="G8633" i="1"/>
  <c r="G8352" i="1"/>
  <c r="G8070" i="1"/>
  <c r="G7730" i="1"/>
  <c r="G7245" i="1"/>
  <c r="G10916" i="1"/>
  <c r="G10852" i="1"/>
  <c r="G10788" i="1"/>
  <c r="G10724" i="1"/>
  <c r="G10660" i="1"/>
  <c r="G10596" i="1"/>
  <c r="G10532" i="1"/>
  <c r="G10468" i="1"/>
  <c r="G10404" i="1"/>
  <c r="G10340" i="1"/>
  <c r="G10276" i="1"/>
  <c r="G10212" i="1"/>
  <c r="G10048" i="1"/>
  <c r="G9879" i="1"/>
  <c r="G9710" i="1"/>
  <c r="G9177" i="1"/>
  <c r="G9022" i="1"/>
  <c r="G8760" i="1"/>
  <c r="G8504" i="1"/>
  <c r="G8268" i="1"/>
  <c r="G7967" i="1"/>
  <c r="G7590" i="1"/>
  <c r="G7078" i="1"/>
  <c r="G10098" i="1"/>
  <c r="G9924" i="1"/>
  <c r="G9755" i="1"/>
  <c r="G9598" i="1"/>
  <c r="G9512" i="1"/>
  <c r="G9427" i="1"/>
  <c r="G9342" i="1"/>
  <c r="G9255" i="1"/>
  <c r="G9079" i="1"/>
  <c r="G8897" i="1"/>
  <c r="G8641" i="1"/>
  <c r="G8351" i="1"/>
  <c r="G8090" i="1"/>
  <c r="G7757" i="1"/>
  <c r="G7242" i="1"/>
  <c r="G8890" i="1"/>
  <c r="G8762" i="1"/>
  <c r="G8634" i="1"/>
  <c r="G8506" i="1"/>
  <c r="G8364" i="1"/>
  <c r="G8218" i="1"/>
  <c r="G8082" i="1"/>
  <c r="G7908" i="1"/>
  <c r="G7739" i="1"/>
  <c r="G7484" i="1"/>
  <c r="G7228" i="1"/>
  <c r="G6972" i="1"/>
  <c r="G6716" i="1"/>
  <c r="G6492" i="1"/>
  <c r="G6140" i="1"/>
  <c r="G5648" i="1"/>
  <c r="G6798" i="1"/>
  <c r="G6465" i="1"/>
  <c r="G5583" i="1"/>
  <c r="G6779" i="1"/>
  <c r="G6567" i="1"/>
  <c r="G6256" i="1"/>
  <c r="G5836" i="1"/>
  <c r="G6840" i="1"/>
  <c r="G6551" i="1"/>
  <c r="G6095" i="1"/>
  <c r="G6748" i="1"/>
  <c r="G6524" i="1"/>
  <c r="G6203" i="1"/>
  <c r="G5733" i="1"/>
  <c r="G8974" i="1"/>
  <c r="G8846" i="1"/>
  <c r="G8718" i="1"/>
  <c r="G8590" i="1"/>
  <c r="G8462" i="1"/>
  <c r="G8324" i="1"/>
  <c r="G8188" i="1"/>
  <c r="G8047" i="1"/>
  <c r="G7873" i="1"/>
  <c r="G7680" i="1"/>
  <c r="G7424" i="1"/>
  <c r="G7168" i="1"/>
  <c r="G6912" i="1"/>
  <c r="G6656" i="1"/>
  <c r="G6305" i="1"/>
  <c r="G9252" i="1"/>
  <c r="G9124" i="1"/>
  <c r="G8996" i="1"/>
  <c r="G8868" i="1"/>
  <c r="G8740" i="1"/>
  <c r="G8612" i="1"/>
  <c r="G8484" i="1"/>
  <c r="G8344" i="1"/>
  <c r="G8198" i="1"/>
  <c r="G8036" i="1"/>
  <c r="G7867" i="1"/>
  <c r="G7652" i="1"/>
  <c r="G7396" i="1"/>
  <c r="G7140" i="1"/>
  <c r="G6884" i="1"/>
  <c r="G6625" i="1"/>
  <c r="G6331" i="1"/>
  <c r="G5932" i="1"/>
  <c r="G5273" i="1"/>
  <c r="G10149" i="1"/>
  <c r="G10085" i="1"/>
  <c r="G10021" i="1"/>
  <c r="G9957" i="1"/>
  <c r="G9893" i="1"/>
  <c r="G9829" i="1"/>
  <c r="G9765" i="1"/>
  <c r="G9701" i="1"/>
  <c r="G9637" i="1"/>
  <c r="G9573" i="1"/>
  <c r="G9509" i="1"/>
  <c r="G9445" i="1"/>
  <c r="G9381" i="1"/>
  <c r="G9317" i="1"/>
  <c r="G9247" i="1"/>
  <c r="G9119" i="1"/>
  <c r="G8991" i="1"/>
  <c r="G8863" i="1"/>
  <c r="G8735" i="1"/>
  <c r="G8607" i="1"/>
  <c r="G8479" i="1"/>
  <c r="G8354" i="1"/>
  <c r="G8197" i="1"/>
  <c r="G8061" i="1"/>
  <c r="G7896" i="1"/>
  <c r="G7725" i="1"/>
  <c r="G7503" i="1"/>
  <c r="G7247" i="1"/>
  <c r="G6991" i="1"/>
  <c r="G6735" i="1"/>
  <c r="G6377" i="1"/>
  <c r="G7677" i="1"/>
  <c r="G7549" i="1"/>
  <c r="G7421" i="1"/>
  <c r="G7293" i="1"/>
  <c r="G7165" i="1"/>
  <c r="G7037" i="1"/>
  <c r="G6909" i="1"/>
  <c r="G6781" i="1"/>
  <c r="G6653" i="1"/>
  <c r="G6564" i="1"/>
  <c r="G6397" i="1"/>
  <c r="G6236" i="1"/>
  <c r="G5991" i="1"/>
  <c r="G5820" i="1"/>
  <c r="G5539" i="1"/>
  <c r="G5087" i="1"/>
  <c r="G4463" i="1"/>
  <c r="G4676" i="1"/>
  <c r="G4939" i="1"/>
  <c r="G4239" i="1"/>
  <c r="G5119" i="1"/>
  <c r="G4589" i="1"/>
  <c r="G5692" i="1"/>
  <c r="G5306" i="1"/>
  <c r="G4688" i="1"/>
  <c r="G7761" i="1"/>
  <c r="G7633" i="1"/>
  <c r="G7505" i="1"/>
  <c r="G7377" i="1"/>
  <c r="G7249" i="1"/>
  <c r="G7121" i="1"/>
  <c r="G6993" i="1"/>
  <c r="G6865" i="1"/>
  <c r="G6737" i="1"/>
  <c r="G6566" i="1"/>
  <c r="G6400" i="1"/>
  <c r="G6118" i="1"/>
  <c r="G5471" i="1"/>
  <c r="G4971" i="1"/>
  <c r="G4103" i="1"/>
  <c r="G7957" i="1"/>
  <c r="G7829" i="1"/>
  <c r="G7701" i="1"/>
  <c r="G7573" i="1"/>
  <c r="G7445" i="1"/>
  <c r="G7317" i="1"/>
  <c r="G7189" i="1"/>
  <c r="G7061" i="1"/>
  <c r="G6933" i="1"/>
  <c r="G6805" i="1"/>
  <c r="G6677" i="1"/>
  <c r="G6581" i="1"/>
  <c r="G6419" i="1"/>
  <c r="G6263" i="1"/>
  <c r="G6035" i="1"/>
  <c r="G5867" i="1"/>
  <c r="G5678" i="1"/>
  <c r="G5263" i="1"/>
  <c r="G4710" i="1"/>
  <c r="G8391" i="1"/>
  <c r="G8263" i="1"/>
  <c r="G7353" i="1"/>
  <c r="G6023" i="1"/>
  <c r="G5790" i="1"/>
  <c r="G4554" i="1"/>
  <c r="G4622" i="1"/>
  <c r="G4105" i="1"/>
  <c r="G5522" i="1"/>
  <c r="G5845" i="1"/>
  <c r="G4313" i="1"/>
  <c r="G4352" i="1"/>
  <c r="G2767" i="1"/>
  <c r="G10429" i="1"/>
  <c r="G10297" i="1"/>
  <c r="G10127" i="1"/>
  <c r="G9798" i="1"/>
  <c r="G9081" i="1"/>
  <c r="G8688" i="1"/>
  <c r="G10355" i="1"/>
  <c r="G10291" i="1"/>
  <c r="G10227" i="1"/>
  <c r="G10088" i="1"/>
  <c r="G9919" i="1"/>
  <c r="G9750" i="1"/>
  <c r="G9236" i="1"/>
  <c r="G9059" i="1"/>
  <c r="G8839" i="1"/>
  <c r="G8583" i="1"/>
  <c r="G8306" i="1"/>
  <c r="G8023" i="1"/>
  <c r="G7639" i="1"/>
  <c r="G7127" i="1"/>
  <c r="G8232" i="1"/>
  <c r="G7973" i="1"/>
  <c r="G7547" i="1"/>
  <c r="G7035" i="1"/>
  <c r="G8179" i="1"/>
  <c r="G7863" i="1"/>
  <c r="G7471" i="1"/>
  <c r="G6959" i="1"/>
  <c r="G8157" i="1"/>
  <c r="G7837" i="1"/>
  <c r="G7379" i="1"/>
  <c r="G8332" i="1"/>
  <c r="G8050" i="1"/>
  <c r="G7648" i="1"/>
  <c r="G7136" i="1"/>
  <c r="G10108" i="1"/>
  <c r="G9939" i="1"/>
  <c r="G9770" i="1"/>
  <c r="G9604" i="1"/>
  <c r="G9519" i="1"/>
  <c r="G9434" i="1"/>
  <c r="G9348" i="1"/>
  <c r="G9263" i="1"/>
  <c r="G9093" i="1"/>
  <c r="G8852" i="1"/>
  <c r="G8596" i="1"/>
  <c r="G8342" i="1"/>
  <c r="G8049" i="1"/>
  <c r="G7714" i="1"/>
  <c r="G7227" i="1"/>
  <c r="G10912" i="1"/>
  <c r="G10848" i="1"/>
  <c r="G10784" i="1"/>
  <c r="G10720" i="1"/>
  <c r="G10656" i="1"/>
  <c r="G10592" i="1"/>
  <c r="G10528" i="1"/>
  <c r="G10464" i="1"/>
  <c r="G10400" i="1"/>
  <c r="G10336" i="1"/>
  <c r="G10272" i="1"/>
  <c r="G10208" i="1"/>
  <c r="G10039" i="1"/>
  <c r="G9870" i="1"/>
  <c r="G9696" i="1"/>
  <c r="G9171" i="1"/>
  <c r="G8979" i="1"/>
  <c r="G8751" i="1"/>
  <c r="G8495" i="1"/>
  <c r="G8257" i="1"/>
  <c r="G7942" i="1"/>
  <c r="G7553" i="1"/>
  <c r="G7041" i="1"/>
  <c r="G10084" i="1"/>
  <c r="G9915" i="1"/>
  <c r="G9746" i="1"/>
  <c r="G9592" i="1"/>
  <c r="G9507" i="1"/>
  <c r="G9422" i="1"/>
  <c r="G9336" i="1"/>
  <c r="G9237" i="1"/>
  <c r="G9072" i="1"/>
  <c r="G8860" i="1"/>
  <c r="G8604" i="1"/>
  <c r="G8340" i="1"/>
  <c r="G8079" i="1"/>
  <c r="G7741" i="1"/>
  <c r="G7205" i="1"/>
  <c r="G8881" i="1"/>
  <c r="G8753" i="1"/>
  <c r="G8625" i="1"/>
  <c r="G8497" i="1"/>
  <c r="G8353" i="1"/>
  <c r="G8212" i="1"/>
  <c r="G8066" i="1"/>
  <c r="G7901" i="1"/>
  <c r="G7731" i="1"/>
  <c r="G7475" i="1"/>
  <c r="G7219" i="1"/>
  <c r="G6963" i="1"/>
  <c r="G6707" i="1"/>
  <c r="G6467" i="1"/>
  <c r="G6122" i="1"/>
  <c r="G5587" i="1"/>
  <c r="G6761" i="1"/>
  <c r="G6440" i="1"/>
  <c r="G5550" i="1"/>
  <c r="G6770" i="1"/>
  <c r="G6555" i="1"/>
  <c r="G6240" i="1"/>
  <c r="G5815" i="1"/>
  <c r="G6831" i="1"/>
  <c r="G6537" i="1"/>
  <c r="G6040" i="1"/>
  <c r="G6739" i="1"/>
  <c r="G6499" i="1"/>
  <c r="G6186" i="1"/>
  <c r="G5697" i="1"/>
  <c r="G8965" i="1"/>
  <c r="G8837" i="1"/>
  <c r="G8709" i="1"/>
  <c r="G8581" i="1"/>
  <c r="G8453" i="1"/>
  <c r="G8319" i="1"/>
  <c r="G8183" i="1"/>
  <c r="G8042" i="1"/>
  <c r="G7862" i="1"/>
  <c r="G7671" i="1"/>
  <c r="G7415" i="1"/>
  <c r="G7159" i="1"/>
  <c r="G6903" i="1"/>
  <c r="G6647" i="1"/>
  <c r="G6280" i="1"/>
  <c r="G9243" i="1"/>
  <c r="G9115" i="1"/>
  <c r="G8987" i="1"/>
  <c r="G8859" i="1"/>
  <c r="G8731" i="1"/>
  <c r="G8603" i="1"/>
  <c r="G8475" i="1"/>
  <c r="G8339" i="1"/>
  <c r="G8177" i="1"/>
  <c r="G8031" i="1"/>
  <c r="G7860" i="1"/>
  <c r="G7643" i="1"/>
  <c r="G7387" i="1"/>
  <c r="G7131" i="1"/>
  <c r="G6875" i="1"/>
  <c r="G6615" i="1"/>
  <c r="G6317" i="1"/>
  <c r="G5911" i="1"/>
  <c r="G5106" i="1"/>
  <c r="G10145" i="1"/>
  <c r="G10081" i="1"/>
  <c r="G10017" i="1"/>
  <c r="G9953" i="1"/>
  <c r="G9889" i="1"/>
  <c r="G9825" i="1"/>
  <c r="G9761" i="1"/>
  <c r="G9697" i="1"/>
  <c r="G9633" i="1"/>
  <c r="G9569" i="1"/>
  <c r="G9505" i="1"/>
  <c r="G9441" i="1"/>
  <c r="G9377" i="1"/>
  <c r="G9313" i="1"/>
  <c r="G9238" i="1"/>
  <c r="G9110" i="1"/>
  <c r="G8982" i="1"/>
  <c r="G8854" i="1"/>
  <c r="G8726" i="1"/>
  <c r="G8598" i="1"/>
  <c r="G8470" i="1"/>
  <c r="G8333" i="1"/>
  <c r="G8192" i="1"/>
  <c r="G8056" i="1"/>
  <c r="G7878" i="1"/>
  <c r="G7717" i="1"/>
  <c r="G7494" i="1"/>
  <c r="G7238" i="1"/>
  <c r="G6982" i="1"/>
  <c r="G6726" i="1"/>
  <c r="G6352" i="1"/>
  <c r="G7668" i="1"/>
  <c r="G7540" i="1"/>
  <c r="G7412" i="1"/>
  <c r="G7284" i="1"/>
  <c r="G7156" i="1"/>
  <c r="G7028" i="1"/>
  <c r="G6900" i="1"/>
  <c r="G6772" i="1"/>
  <c r="G6644" i="1"/>
  <c r="G6557" i="1"/>
  <c r="G6379" i="1"/>
  <c r="G6228" i="1"/>
  <c r="G5980" i="1"/>
  <c r="G5810" i="1"/>
  <c r="G5515" i="1"/>
  <c r="G5024" i="1"/>
  <c r="G4430" i="1"/>
  <c r="G4601" i="1"/>
  <c r="G4918" i="1"/>
  <c r="G4186" i="1"/>
  <c r="G5056" i="1"/>
  <c r="G4505" i="1"/>
  <c r="G5667" i="1"/>
  <c r="G5285" i="1"/>
  <c r="G4664" i="1"/>
  <c r="G7752" i="1"/>
  <c r="G7624" i="1"/>
  <c r="G7496" i="1"/>
  <c r="G7368" i="1"/>
  <c r="G7240" i="1"/>
  <c r="G7112" i="1"/>
  <c r="G6984" i="1"/>
  <c r="G6856" i="1"/>
  <c r="G6728" i="1"/>
  <c r="G6560" i="1"/>
  <c r="G6393" i="1"/>
  <c r="G6072" i="1"/>
  <c r="G5447" i="1"/>
  <c r="G4950" i="1"/>
  <c r="G4050" i="1"/>
  <c r="G7948" i="1"/>
  <c r="G7820" i="1"/>
  <c r="G7692" i="1"/>
  <c r="G7564" i="1"/>
  <c r="G7436" i="1"/>
  <c r="G7308" i="1"/>
  <c r="G7180" i="1"/>
  <c r="G7052" i="1"/>
  <c r="G6924" i="1"/>
  <c r="G6796" i="1"/>
  <c r="G6668" i="1"/>
  <c r="G6576" i="1"/>
  <c r="G6412" i="1"/>
  <c r="G6255" i="1"/>
  <c r="G6026" i="1"/>
  <c r="G5856" i="1"/>
  <c r="G5653" i="1"/>
  <c r="G5242" i="1"/>
  <c r="G4687" i="1"/>
  <c r="G8382" i="1"/>
  <c r="G8254" i="1"/>
  <c r="G7230" i="1"/>
  <c r="G5455" i="1"/>
  <c r="G5669" i="1"/>
  <c r="G3873" i="1"/>
  <c r="G4009" i="1"/>
  <c r="G3810" i="1"/>
  <c r="G5392" i="1"/>
  <c r="G5781" i="1"/>
  <c r="G4167" i="1"/>
  <c r="G4216" i="1"/>
  <c r="G989" i="1"/>
  <c r="G10422" i="1"/>
  <c r="G10289" i="1"/>
  <c r="G10118" i="1"/>
  <c r="G9752" i="1"/>
  <c r="G9068" i="1"/>
  <c r="G8670" i="1"/>
  <c r="G10351" i="1"/>
  <c r="G10287" i="1"/>
  <c r="G10223" i="1"/>
  <c r="G10079" i="1"/>
  <c r="G9910" i="1"/>
  <c r="G9736" i="1"/>
  <c r="G9218" i="1"/>
  <c r="G9041" i="1"/>
  <c r="G8830" i="1"/>
  <c r="G8574" i="1"/>
  <c r="G8264" i="1"/>
  <c r="G7999" i="1"/>
  <c r="G7584" i="1"/>
  <c r="G7072" i="1"/>
  <c r="G8221" i="1"/>
  <c r="G7949" i="1"/>
  <c r="G7492" i="1"/>
  <c r="G6980" i="1"/>
  <c r="G8137" i="1"/>
  <c r="G7839" i="1"/>
  <c r="G7416" i="1"/>
  <c r="G6931" i="1"/>
  <c r="G8147" i="1"/>
  <c r="G7826" i="1"/>
  <c r="G7324" i="1"/>
  <c r="G8321" i="1"/>
  <c r="G8017" i="1"/>
  <c r="G7630" i="1"/>
  <c r="G7118" i="1"/>
  <c r="G10099" i="1"/>
  <c r="G9930" i="1"/>
  <c r="G9756" i="1"/>
  <c r="G9599" i="1"/>
  <c r="G9514" i="1"/>
  <c r="G9428" i="1"/>
  <c r="G9343" i="1"/>
  <c r="G9245" i="1"/>
  <c r="G9086" i="1"/>
  <c r="G8843" i="1"/>
  <c r="G8587" i="1"/>
  <c r="G8331" i="1"/>
  <c r="G8028" i="1"/>
  <c r="G7684" i="1"/>
  <c r="G7172" i="1"/>
  <c r="G10908" i="1"/>
  <c r="G10844" i="1"/>
  <c r="G10780" i="1"/>
  <c r="G10716" i="1"/>
  <c r="G10652" i="1"/>
  <c r="G10588" i="1"/>
  <c r="G10524" i="1"/>
  <c r="G10460" i="1"/>
  <c r="G10396" i="1"/>
  <c r="G10332" i="1"/>
  <c r="G10268" i="1"/>
  <c r="G10199" i="1"/>
  <c r="G10030" i="1"/>
  <c r="G9856" i="1"/>
  <c r="G9687" i="1"/>
  <c r="G9164" i="1"/>
  <c r="G8971" i="1"/>
  <c r="G8742" i="1"/>
  <c r="G8486" i="1"/>
  <c r="G8247" i="1"/>
  <c r="G7918" i="1"/>
  <c r="G7535" i="1"/>
  <c r="G7023" i="1"/>
  <c r="G10075" i="1"/>
  <c r="G9906" i="1"/>
  <c r="G9732" i="1"/>
  <c r="G9587" i="1"/>
  <c r="G9502" i="1"/>
  <c r="G9416" i="1"/>
  <c r="G9331" i="1"/>
  <c r="G9231" i="1"/>
  <c r="G9061" i="1"/>
  <c r="G8851" i="1"/>
  <c r="G8595" i="1"/>
  <c r="G8330" i="1"/>
  <c r="G8037" i="1"/>
  <c r="G7727" i="1"/>
  <c r="G7187" i="1"/>
  <c r="G8876" i="1"/>
  <c r="G8748" i="1"/>
  <c r="G8620" i="1"/>
  <c r="G8492" i="1"/>
  <c r="G8348" i="1"/>
  <c r="G8207" i="1"/>
  <c r="G8045" i="1"/>
  <c r="G7890" i="1"/>
  <c r="G7723" i="1"/>
  <c r="G7466" i="1"/>
  <c r="G7210" i="1"/>
  <c r="G6954" i="1"/>
  <c r="G6698" i="1"/>
  <c r="G6453" i="1"/>
  <c r="G6067" i="1"/>
  <c r="G5551" i="1"/>
  <c r="G6752" i="1"/>
  <c r="G6415" i="1"/>
  <c r="G5514" i="1"/>
  <c r="G6733" i="1"/>
  <c r="G6541" i="1"/>
  <c r="G6224" i="1"/>
  <c r="G5794" i="1"/>
  <c r="G6822" i="1"/>
  <c r="G6512" i="1"/>
  <c r="G6022" i="1"/>
  <c r="G6730" i="1"/>
  <c r="G6485" i="1"/>
  <c r="G6131" i="1"/>
  <c r="G5635" i="1"/>
  <c r="G8960" i="1"/>
  <c r="G8832" i="1"/>
  <c r="G8704" i="1"/>
  <c r="G8576" i="1"/>
  <c r="G8448" i="1"/>
  <c r="G8314" i="1"/>
  <c r="G8178" i="1"/>
  <c r="G8014" i="1"/>
  <c r="G7855" i="1"/>
  <c r="G7662" i="1"/>
  <c r="G7406" i="1"/>
  <c r="G7150" i="1"/>
  <c r="G6894" i="1"/>
  <c r="G6626" i="1"/>
  <c r="G6183" i="1"/>
  <c r="G9234" i="1"/>
  <c r="G9106" i="1"/>
  <c r="G8978" i="1"/>
  <c r="G8850" i="1"/>
  <c r="G8722" i="1"/>
  <c r="G8594" i="1"/>
  <c r="G8466" i="1"/>
  <c r="G8334" i="1"/>
  <c r="G8172" i="1"/>
  <c r="G8019" i="1"/>
  <c r="G7842" i="1"/>
  <c r="G7634" i="1"/>
  <c r="G7378" i="1"/>
  <c r="G7122" i="1"/>
  <c r="G6866" i="1"/>
  <c r="G6604" i="1"/>
  <c r="G6292" i="1"/>
  <c r="G5890" i="1"/>
  <c r="G10205" i="1"/>
  <c r="G10141" i="1"/>
  <c r="G10077" i="1"/>
  <c r="G10013" i="1"/>
  <c r="G9949" i="1"/>
  <c r="G9885" i="1"/>
  <c r="G9821" i="1"/>
  <c r="G9757" i="1"/>
  <c r="G9693" i="1"/>
  <c r="G9629" i="1"/>
  <c r="G9565" i="1"/>
  <c r="G9501" i="1"/>
  <c r="G9437" i="1"/>
  <c r="G9373" i="1"/>
  <c r="G9309" i="1"/>
  <c r="G9229" i="1"/>
  <c r="G9101" i="1"/>
  <c r="G8973" i="1"/>
  <c r="G8845" i="1"/>
  <c r="G8717" i="1"/>
  <c r="G8589" i="1"/>
  <c r="G8461" i="1"/>
  <c r="G8328" i="1"/>
  <c r="G8187" i="1"/>
  <c r="G8051" i="1"/>
  <c r="G7872" i="1"/>
  <c r="G7709" i="1"/>
  <c r="G7457" i="1"/>
  <c r="G7201" i="1"/>
  <c r="G6945" i="1"/>
  <c r="G6689" i="1"/>
  <c r="G6327" i="1"/>
  <c r="G7659" i="1"/>
  <c r="G7531" i="1"/>
  <c r="G7403" i="1"/>
  <c r="G7275" i="1"/>
  <c r="G7147" i="1"/>
  <c r="G7019" i="1"/>
  <c r="G6891" i="1"/>
  <c r="G6763" i="1"/>
  <c r="G6639" i="1"/>
  <c r="G6539" i="1"/>
  <c r="G6372" i="1"/>
  <c r="G6220" i="1"/>
  <c r="G5970" i="1"/>
  <c r="G5799" i="1"/>
  <c r="G5502" i="1"/>
  <c r="G5003" i="1"/>
  <c r="G4134" i="1"/>
  <c r="G4573" i="1"/>
  <c r="G4897" i="1"/>
  <c r="G4072" i="1"/>
  <c r="G5035" i="1"/>
  <c r="G4448" i="1"/>
  <c r="G5643" i="1"/>
  <c r="G5264" i="1"/>
  <c r="G4616" i="1"/>
  <c r="G7743" i="1"/>
  <c r="G7615" i="1"/>
  <c r="G7487" i="1"/>
  <c r="G7359" i="1"/>
  <c r="G7231" i="1"/>
  <c r="G7103" i="1"/>
  <c r="G6975" i="1"/>
  <c r="G6847" i="1"/>
  <c r="G6719" i="1"/>
  <c r="G6553" i="1"/>
  <c r="G6375" i="1"/>
  <c r="G6063" i="1"/>
  <c r="G5434" i="1"/>
  <c r="G4929" i="1"/>
  <c r="G3936" i="1"/>
  <c r="G7939" i="1"/>
  <c r="G7811" i="1"/>
  <c r="G7683" i="1"/>
  <c r="G7555" i="1"/>
  <c r="G7427" i="1"/>
  <c r="G7299" i="1"/>
  <c r="G7171" i="1"/>
  <c r="G7043" i="1"/>
  <c r="G6915" i="1"/>
  <c r="G6787" i="1"/>
  <c r="G6659" i="1"/>
  <c r="G6571" i="1"/>
  <c r="G6405" i="1"/>
  <c r="G6247" i="1"/>
  <c r="G6016" i="1"/>
  <c r="G5846" i="1"/>
  <c r="G5629" i="1"/>
  <c r="G5221" i="1"/>
  <c r="G4663" i="1"/>
  <c r="G8377" i="1"/>
  <c r="G8249" i="1"/>
  <c r="G7225" i="1"/>
  <c r="G5442" i="1"/>
  <c r="G5662" i="1"/>
  <c r="G6518" i="1"/>
  <c r="G6120" i="1"/>
  <c r="G2543" i="1"/>
  <c r="G5230" i="1"/>
  <c r="G5691" i="1"/>
  <c r="G4010" i="1"/>
  <c r="G4054" i="1"/>
  <c r="G2618" i="1"/>
  <c r="G10415" i="1"/>
  <c r="G10281" i="1"/>
  <c r="G10072" i="1"/>
  <c r="G9743" i="1"/>
  <c r="G9057" i="1"/>
  <c r="G8615" i="1"/>
  <c r="G10347" i="1"/>
  <c r="G10283" i="1"/>
  <c r="G10219" i="1"/>
  <c r="G10070" i="1"/>
  <c r="G9896" i="1"/>
  <c r="G9727" i="1"/>
  <c r="G9212" i="1"/>
  <c r="G9035" i="1"/>
  <c r="G8821" i="1"/>
  <c r="G8565" i="1"/>
  <c r="G8253" i="1"/>
  <c r="G7974" i="1"/>
  <c r="G7566" i="1"/>
  <c r="G7054" i="1"/>
  <c r="G8211" i="1"/>
  <c r="G7924" i="1"/>
  <c r="G7474" i="1"/>
  <c r="G6962" i="1"/>
  <c r="G8127" i="1"/>
  <c r="G7814" i="1"/>
  <c r="G7398" i="1"/>
  <c r="G6858" i="1"/>
  <c r="G8105" i="1"/>
  <c r="G7813" i="1"/>
  <c r="G7306" i="1"/>
  <c r="G8311" i="1"/>
  <c r="G7992" i="1"/>
  <c r="G7593" i="1"/>
  <c r="G7081" i="1"/>
  <c r="G10090" i="1"/>
  <c r="G9916" i="1"/>
  <c r="G9747" i="1"/>
  <c r="G9594" i="1"/>
  <c r="G9508" i="1"/>
  <c r="G9423" i="1"/>
  <c r="G9338" i="1"/>
  <c r="G9239" i="1"/>
  <c r="G9080" i="1"/>
  <c r="G8834" i="1"/>
  <c r="G8578" i="1"/>
  <c r="G8300" i="1"/>
  <c r="G8004" i="1"/>
  <c r="G7666" i="1"/>
  <c r="G7154" i="1"/>
  <c r="G10904" i="1"/>
  <c r="G10840" i="1"/>
  <c r="G10776" i="1"/>
  <c r="G10712" i="1"/>
  <c r="G10648" i="1"/>
  <c r="G10584" i="1"/>
  <c r="G10520" i="1"/>
  <c r="G10456" i="1"/>
  <c r="G10392" i="1"/>
  <c r="G10328" i="1"/>
  <c r="G10264" i="1"/>
  <c r="G10190" i="1"/>
  <c r="G10016" i="1"/>
  <c r="G9847" i="1"/>
  <c r="G9678" i="1"/>
  <c r="G9153" i="1"/>
  <c r="G8963" i="1"/>
  <c r="G8733" i="1"/>
  <c r="G8477" i="1"/>
  <c r="G8226" i="1"/>
  <c r="G7905" i="1"/>
  <c r="G7480" i="1"/>
  <c r="G6968" i="1"/>
  <c r="G10066" i="1"/>
  <c r="G9892" i="1"/>
  <c r="G9723" i="1"/>
  <c r="G9582" i="1"/>
  <c r="G9496" i="1"/>
  <c r="G9411" i="1"/>
  <c r="G9326" i="1"/>
  <c r="G9213" i="1"/>
  <c r="G9054" i="1"/>
  <c r="G8842" i="1"/>
  <c r="G8586" i="1"/>
  <c r="G8309" i="1"/>
  <c r="G8027" i="1"/>
  <c r="G7644" i="1"/>
  <c r="G7132" i="1"/>
  <c r="G8867" i="1"/>
  <c r="G8739" i="1"/>
  <c r="G8611" i="1"/>
  <c r="G8483" i="1"/>
  <c r="G8343" i="1"/>
  <c r="G8202" i="1"/>
  <c r="G8040" i="1"/>
  <c r="G7883" i="1"/>
  <c r="G7685" i="1"/>
  <c r="G7429" i="1"/>
  <c r="G7173" i="1"/>
  <c r="G6917" i="1"/>
  <c r="G6661" i="1"/>
  <c r="G6428" i="1"/>
  <c r="G6011" i="1"/>
  <c r="G5521" i="1"/>
  <c r="G6743" i="1"/>
  <c r="G6401" i="1"/>
  <c r="G5452" i="1"/>
  <c r="G6724" i="1"/>
  <c r="G6516" i="1"/>
  <c r="G6208" i="1"/>
  <c r="G5708" i="1"/>
  <c r="G6785" i="1"/>
  <c r="G6487" i="1"/>
  <c r="G5766" i="1"/>
  <c r="G6693" i="1"/>
  <c r="G6460" i="1"/>
  <c r="G6076" i="1"/>
  <c r="G5599" i="1"/>
  <c r="G8951" i="1"/>
  <c r="G8823" i="1"/>
  <c r="G8695" i="1"/>
  <c r="G8567" i="1"/>
  <c r="G8439" i="1"/>
  <c r="G8308" i="1"/>
  <c r="G8162" i="1"/>
  <c r="G8008" i="1"/>
  <c r="G7849" i="1"/>
  <c r="G7625" i="1"/>
  <c r="G7369" i="1"/>
  <c r="G7113" i="1"/>
  <c r="G6857" i="1"/>
  <c r="G6594" i="1"/>
  <c r="G6128" i="1"/>
  <c r="G9225" i="1"/>
  <c r="G9097" i="1"/>
  <c r="G8969" i="1"/>
  <c r="G8841" i="1"/>
  <c r="G8713" i="1"/>
  <c r="G8585" i="1"/>
  <c r="G8457" i="1"/>
  <c r="G8297" i="1"/>
  <c r="G8161" i="1"/>
  <c r="G8013" i="1"/>
  <c r="G7836" i="1"/>
  <c r="G7597" i="1"/>
  <c r="G7341" i="1"/>
  <c r="G7085" i="1"/>
  <c r="G6829" i="1"/>
  <c r="G6593" i="1"/>
  <c r="G6264" i="1"/>
  <c r="G5868" i="1"/>
  <c r="G10201" i="1"/>
  <c r="G10137" i="1"/>
  <c r="G10073" i="1"/>
  <c r="G10009" i="1"/>
  <c r="G9945" i="1"/>
  <c r="G9881" i="1"/>
  <c r="G9817" i="1"/>
  <c r="G9753" i="1"/>
  <c r="G9689" i="1"/>
  <c r="G9625" i="1"/>
  <c r="G9561" i="1"/>
  <c r="G9497" i="1"/>
  <c r="G9433" i="1"/>
  <c r="G9369" i="1"/>
  <c r="G9305" i="1"/>
  <c r="G9224" i="1"/>
  <c r="G9096" i="1"/>
  <c r="G8968" i="1"/>
  <c r="G8840" i="1"/>
  <c r="G8712" i="1"/>
  <c r="G8584" i="1"/>
  <c r="G8456" i="1"/>
  <c r="G8323" i="1"/>
  <c r="G8182" i="1"/>
  <c r="G8046" i="1"/>
  <c r="G7854" i="1"/>
  <c r="G7703" i="1"/>
  <c r="G7448" i="1"/>
  <c r="G7192" i="1"/>
  <c r="G6936" i="1"/>
  <c r="G6680" i="1"/>
  <c r="G6313" i="1"/>
  <c r="G7650" i="1"/>
  <c r="G7522" i="1"/>
  <c r="G7394" i="1"/>
  <c r="G7266" i="1"/>
  <c r="G7138" i="1"/>
  <c r="G7010" i="1"/>
  <c r="G6882" i="1"/>
  <c r="G6754" i="1"/>
  <c r="G6633" i="1"/>
  <c r="G6532" i="1"/>
  <c r="G6365" i="1"/>
  <c r="G6212" i="1"/>
  <c r="G5959" i="1"/>
  <c r="G5788" i="1"/>
  <c r="G5491" i="1"/>
  <c r="G4982" i="1"/>
  <c r="G4020" i="1"/>
  <c r="G4462" i="1"/>
  <c r="G4834" i="1"/>
  <c r="G4019" i="1"/>
  <c r="G5014" i="1"/>
  <c r="G4415" i="1"/>
  <c r="G5630" i="1"/>
  <c r="G5222" i="1"/>
  <c r="G4561" i="1"/>
  <c r="G7734" i="1"/>
  <c r="G7606" i="1"/>
  <c r="G7478" i="1"/>
  <c r="G7350" i="1"/>
  <c r="G7222" i="1"/>
  <c r="G7094" i="1"/>
  <c r="G6966" i="1"/>
  <c r="G6838" i="1"/>
  <c r="G6710" i="1"/>
  <c r="G6535" i="1"/>
  <c r="G6368" i="1"/>
  <c r="G6054" i="1"/>
  <c r="G5423" i="1"/>
  <c r="G4866" i="1"/>
  <c r="G3883" i="1"/>
  <c r="G7930" i="1"/>
  <c r="G7802" i="1"/>
  <c r="G7674" i="1"/>
  <c r="G7546" i="1"/>
  <c r="G7418" i="1"/>
  <c r="G7290" i="1"/>
  <c r="G7162" i="1"/>
  <c r="G7034" i="1"/>
  <c r="G6906" i="1"/>
  <c r="G6778" i="1"/>
  <c r="G6650" i="1"/>
  <c r="G6565" i="1"/>
  <c r="G6387" i="1"/>
  <c r="G6239" i="1"/>
  <c r="G6006" i="1"/>
  <c r="G5835" i="1"/>
  <c r="G5605" i="1"/>
  <c r="G5200" i="1"/>
  <c r="G4614" i="1"/>
  <c r="G8368" i="1"/>
  <c r="G8126" i="1"/>
  <c r="G7102" i="1"/>
  <c r="G4920" i="1"/>
  <c r="G5510" i="1"/>
  <c r="G6454" i="1"/>
  <c r="G5663" i="1"/>
  <c r="G4058" i="1"/>
  <c r="G5094" i="1"/>
  <c r="G5563" i="1"/>
  <c r="G3874" i="1"/>
  <c r="G3908" i="1"/>
  <c r="G3355" i="1"/>
  <c r="G10397" i="1"/>
  <c r="G10273" i="1"/>
  <c r="G10063" i="1"/>
  <c r="G9734" i="1"/>
  <c r="G9044" i="1"/>
  <c r="G8597" i="1"/>
  <c r="G10343" i="1"/>
  <c r="G10279" i="1"/>
  <c r="G10215" i="1"/>
  <c r="G10056" i="1"/>
  <c r="G9887" i="1"/>
  <c r="G9718" i="1"/>
  <c r="G9194" i="1"/>
  <c r="G9027" i="1"/>
  <c r="G8784" i="1"/>
  <c r="G8528" i="1"/>
  <c r="G8243" i="1"/>
  <c r="G7950" i="1"/>
  <c r="G7529" i="1"/>
  <c r="G7017" i="1"/>
  <c r="G8169" i="1"/>
  <c r="G7900" i="1"/>
  <c r="G7437" i="1"/>
  <c r="G6867" i="1"/>
  <c r="G8116" i="1"/>
  <c r="G7790" i="1"/>
  <c r="G7361" i="1"/>
  <c r="G8426" i="1"/>
  <c r="G8095" i="1"/>
  <c r="G7789" i="1"/>
  <c r="G7269" i="1"/>
  <c r="G8290" i="1"/>
  <c r="G7968" i="1"/>
  <c r="G7575" i="1"/>
  <c r="G7063" i="1"/>
  <c r="G10076" i="1"/>
  <c r="G9907" i="1"/>
  <c r="G9738" i="1"/>
  <c r="G9588" i="1"/>
  <c r="G9503" i="1"/>
  <c r="G9418" i="1"/>
  <c r="G9332" i="1"/>
  <c r="G9232" i="1"/>
  <c r="G9062" i="1"/>
  <c r="G8825" i="1"/>
  <c r="G8569" i="1"/>
  <c r="G8289" i="1"/>
  <c r="G7979" i="1"/>
  <c r="G7629" i="1"/>
  <c r="G7117" i="1"/>
  <c r="G10900" i="1"/>
  <c r="G10836" i="1"/>
  <c r="G10772" i="1"/>
  <c r="G10708" i="1"/>
  <c r="G10644" i="1"/>
  <c r="G10580" i="1"/>
  <c r="G10516" i="1"/>
  <c r="G10452" i="1"/>
  <c r="G10388" i="1"/>
  <c r="G10324" i="1"/>
  <c r="G10260" i="1"/>
  <c r="G10176" i="1"/>
  <c r="G10007" i="1"/>
  <c r="G9838" i="1"/>
  <c r="G9664" i="1"/>
  <c r="G9146" i="1"/>
  <c r="G8957" i="1"/>
  <c r="G8696" i="1"/>
  <c r="G8440" i="1"/>
  <c r="G8205" i="1"/>
  <c r="G7894" i="1"/>
  <c r="G7462" i="1"/>
  <c r="G6949" i="1"/>
  <c r="G10052" i="1"/>
  <c r="G9883" i="1"/>
  <c r="G9714" i="1"/>
  <c r="G9576" i="1"/>
  <c r="G9491" i="1"/>
  <c r="G9406" i="1"/>
  <c r="G9320" i="1"/>
  <c r="G9207" i="1"/>
  <c r="G9048" i="1"/>
  <c r="G8833" i="1"/>
  <c r="G8577" i="1"/>
  <c r="G8288" i="1"/>
  <c r="G8002" i="1"/>
  <c r="G7626" i="1"/>
  <c r="G7114" i="1"/>
  <c r="G8858" i="1"/>
  <c r="G8730" i="1"/>
  <c r="G8602" i="1"/>
  <c r="G8474" i="1"/>
  <c r="G8338" i="1"/>
  <c r="G8181" i="1"/>
  <c r="G8035" i="1"/>
  <c r="G7877" i="1"/>
  <c r="G7676" i="1"/>
  <c r="G7420" i="1"/>
  <c r="G7164" i="1"/>
  <c r="G6908" i="1"/>
  <c r="G6652" i="1"/>
  <c r="G6403" i="1"/>
  <c r="G5990" i="1"/>
  <c r="G5336" i="1"/>
  <c r="G6734" i="1"/>
  <c r="G6376" i="1"/>
  <c r="G5316" i="1"/>
  <c r="G6715" i="1"/>
  <c r="G6491" i="1"/>
  <c r="G6155" i="1"/>
  <c r="G5672" i="1"/>
  <c r="G6776" i="1"/>
  <c r="G6473" i="1"/>
  <c r="G5704" i="1"/>
  <c r="G6684" i="1"/>
  <c r="G6435" i="1"/>
  <c r="G6058" i="1"/>
  <c r="G5570" i="1"/>
  <c r="G8942" i="1"/>
  <c r="G8814" i="1"/>
  <c r="G8686" i="1"/>
  <c r="G8558" i="1"/>
  <c r="G8430" i="1"/>
  <c r="G8303" i="1"/>
  <c r="G8141" i="1"/>
  <c r="G8001" i="1"/>
  <c r="G7831" i="1"/>
  <c r="G7616" i="1"/>
  <c r="G7360" i="1"/>
  <c r="G7104" i="1"/>
  <c r="G6848" i="1"/>
  <c r="G6561" i="1"/>
  <c r="G6110" i="1"/>
  <c r="G9220" i="1"/>
  <c r="G9092" i="1"/>
  <c r="G8964" i="1"/>
  <c r="G8836" i="1"/>
  <c r="G8708" i="1"/>
  <c r="G8580" i="1"/>
  <c r="G8452" i="1"/>
  <c r="G8292" i="1"/>
  <c r="G8156" i="1"/>
  <c r="G7995" i="1"/>
  <c r="G7818" i="1"/>
  <c r="G7588" i="1"/>
  <c r="G7332" i="1"/>
  <c r="G7076" i="1"/>
  <c r="G6820" i="1"/>
  <c r="G6583" i="1"/>
  <c r="G6248" i="1"/>
  <c r="G5847" i="1"/>
  <c r="G10197" i="1"/>
  <c r="G10133" i="1"/>
  <c r="G10069" i="1"/>
  <c r="G10005" i="1"/>
  <c r="G9941" i="1"/>
  <c r="G9877" i="1"/>
  <c r="G9813" i="1"/>
  <c r="G9749" i="1"/>
  <c r="G9685" i="1"/>
  <c r="G9621" i="1"/>
  <c r="G9557" i="1"/>
  <c r="G9493" i="1"/>
  <c r="G9429" i="1"/>
  <c r="G9365" i="1"/>
  <c r="G9301" i="1"/>
  <c r="G9215" i="1"/>
  <c r="G9087" i="1"/>
  <c r="G8959" i="1"/>
  <c r="G8831" i="1"/>
  <c r="G8703" i="1"/>
  <c r="G8575" i="1"/>
  <c r="G8447" i="1"/>
  <c r="G8317" i="1"/>
  <c r="G8171" i="1"/>
  <c r="G8024" i="1"/>
  <c r="G7848" i="1"/>
  <c r="G7695" i="1"/>
  <c r="G7439" i="1"/>
  <c r="G7183" i="1"/>
  <c r="G6927" i="1"/>
  <c r="G6671" i="1"/>
  <c r="G6288" i="1"/>
  <c r="G7645" i="1"/>
  <c r="G7517" i="1"/>
  <c r="G7389" i="1"/>
  <c r="G7261" i="1"/>
  <c r="G7133" i="1"/>
  <c r="G7005" i="1"/>
  <c r="G6877" i="1"/>
  <c r="G6749" i="1"/>
  <c r="G6628" i="1"/>
  <c r="G6525" i="1"/>
  <c r="G6347" i="1"/>
  <c r="G6204" i="1"/>
  <c r="G5948" i="1"/>
  <c r="G5778" i="1"/>
  <c r="G5478" i="1"/>
  <c r="G4961" i="1"/>
  <c r="G3914" i="1"/>
  <c r="G4429" i="1"/>
  <c r="G4770" i="1"/>
  <c r="G3783" i="1"/>
  <c r="G4993" i="1"/>
  <c r="G4333" i="1"/>
  <c r="G5619" i="1"/>
  <c r="G5160" i="1"/>
  <c r="G4532" i="1"/>
  <c r="G7729" i="1"/>
  <c r="G7601" i="1"/>
  <c r="G7473" i="1"/>
  <c r="G7345" i="1"/>
  <c r="G7217" i="1"/>
  <c r="G7089" i="1"/>
  <c r="G6961" i="1"/>
  <c r="G6833" i="1"/>
  <c r="G6705" i="1"/>
  <c r="G6528" i="1"/>
  <c r="G6361" i="1"/>
  <c r="G5727" i="1"/>
  <c r="G5389" i="1"/>
  <c r="G4804" i="1"/>
  <c r="G3821" i="1"/>
  <c r="G7925" i="1"/>
  <c r="G7797" i="1"/>
  <c r="G7669" i="1"/>
  <c r="G7541" i="1"/>
  <c r="G7413" i="1"/>
  <c r="G7285" i="1"/>
  <c r="G7157" i="1"/>
  <c r="G7029" i="1"/>
  <c r="G6901" i="1"/>
  <c r="G6773" i="1"/>
  <c r="G6645" i="1"/>
  <c r="G6547" i="1"/>
  <c r="G6380" i="1"/>
  <c r="G6231" i="1"/>
  <c r="G5995" i="1"/>
  <c r="G5824" i="1"/>
  <c r="G5580" i="1"/>
  <c r="G5158" i="1"/>
  <c r="G4587" i="1"/>
  <c r="G8359" i="1"/>
  <c r="G8121" i="1"/>
  <c r="G7097" i="1"/>
  <c r="G4878" i="1"/>
  <c r="G5492" i="1"/>
  <c r="G6390" i="1"/>
  <c r="G5498" i="1"/>
  <c r="G3792" i="1"/>
  <c r="G4953" i="1"/>
  <c r="G5435" i="1"/>
  <c r="G3672" i="1"/>
  <c r="G3731" i="1"/>
  <c r="G2843" i="1"/>
  <c r="G10390" i="1"/>
  <c r="G10265" i="1"/>
  <c r="G10054" i="1"/>
  <c r="G9688" i="1"/>
  <c r="G9031" i="1"/>
  <c r="G8560" i="1"/>
  <c r="G10339" i="1"/>
  <c r="G10275" i="1"/>
  <c r="G10211" i="1"/>
  <c r="G10047" i="1"/>
  <c r="G9878" i="1"/>
  <c r="G9704" i="1"/>
  <c r="G9187" i="1"/>
  <c r="G9021" i="1"/>
  <c r="G8775" i="1"/>
  <c r="G8519" i="1"/>
  <c r="G8201" i="1"/>
  <c r="G7937" i="1"/>
  <c r="G7511" i="1"/>
  <c r="G6999" i="1"/>
  <c r="G8159" i="1"/>
  <c r="G7876" i="1"/>
  <c r="G7419" i="1"/>
  <c r="G8408" i="1"/>
  <c r="G8106" i="1"/>
  <c r="G7777" i="1"/>
  <c r="G7343" i="1"/>
  <c r="G8417" i="1"/>
  <c r="G8084" i="1"/>
  <c r="G7749" i="1"/>
  <c r="G7251" i="1"/>
  <c r="G8269" i="1"/>
  <c r="G7944" i="1"/>
  <c r="G7520" i="1"/>
  <c r="G7008" i="1"/>
  <c r="G10067" i="1"/>
  <c r="G9898" i="1"/>
  <c r="G9724" i="1"/>
  <c r="G9583" i="1"/>
  <c r="G9498" i="1"/>
  <c r="G9412" i="1"/>
  <c r="G9327" i="1"/>
  <c r="G9221" i="1"/>
  <c r="G9056" i="1"/>
  <c r="G8788" i="1"/>
  <c r="G8532" i="1"/>
  <c r="G8279" i="1"/>
  <c r="G7955" i="1"/>
  <c r="G7611" i="1"/>
  <c r="G7099" i="1"/>
  <c r="G10896" i="1"/>
  <c r="G10832" i="1"/>
  <c r="G10768" i="1"/>
  <c r="G10704" i="1"/>
  <c r="G10640" i="1"/>
  <c r="G10576" i="1"/>
  <c r="G10512" i="1"/>
  <c r="G10448" i="1"/>
  <c r="G10384" i="1"/>
  <c r="G10320" i="1"/>
  <c r="G10256" i="1"/>
  <c r="G10167" i="1"/>
  <c r="G9998" i="1"/>
  <c r="G9824" i="1"/>
  <c r="G9655" i="1"/>
  <c r="G9140" i="1"/>
  <c r="G8949" i="1"/>
  <c r="G8687" i="1"/>
  <c r="G8431" i="1"/>
  <c r="G8195" i="1"/>
  <c r="G7881" i="1"/>
  <c r="G7425" i="1"/>
  <c r="G6821" i="1"/>
  <c r="G10043" i="1"/>
  <c r="G9874" i="1"/>
  <c r="G9700" i="1"/>
  <c r="G9571" i="1"/>
  <c r="G9486" i="1"/>
  <c r="G9400" i="1"/>
  <c r="G9315" i="1"/>
  <c r="G9200" i="1"/>
  <c r="G9007" i="1"/>
  <c r="G8796" i="1"/>
  <c r="G8540" i="1"/>
  <c r="G8278" i="1"/>
  <c r="G7978" i="1"/>
  <c r="G7589" i="1"/>
  <c r="G7077" i="1"/>
  <c r="G8849" i="1"/>
  <c r="G8721" i="1"/>
  <c r="G8593" i="1"/>
  <c r="G8465" i="1"/>
  <c r="G8322" i="1"/>
  <c r="G8165" i="1"/>
  <c r="G8029" i="1"/>
  <c r="G7859" i="1"/>
  <c r="G7667" i="1"/>
  <c r="G7411" i="1"/>
  <c r="G7155" i="1"/>
  <c r="G6899" i="1"/>
  <c r="G6643" i="1"/>
  <c r="G6389" i="1"/>
  <c r="G5968" i="1"/>
  <c r="G5169" i="1"/>
  <c r="G6697" i="1"/>
  <c r="G6351" i="1"/>
  <c r="G5232" i="1"/>
  <c r="G6706" i="1"/>
  <c r="G6477" i="1"/>
  <c r="G6100" i="1"/>
  <c r="G5611" i="1"/>
  <c r="G6767" i="1"/>
  <c r="G6448" i="1"/>
  <c r="G5607" i="1"/>
  <c r="G6675" i="1"/>
  <c r="G6421" i="1"/>
  <c r="G6000" i="1"/>
  <c r="G5473" i="1"/>
  <c r="G8933" i="1"/>
  <c r="G8805" i="1"/>
  <c r="G8677" i="1"/>
  <c r="G8549" i="1"/>
  <c r="G8421" i="1"/>
  <c r="G8298" i="1"/>
  <c r="G8136" i="1"/>
  <c r="G7990" i="1"/>
  <c r="G7825" i="1"/>
  <c r="G7607" i="1"/>
  <c r="G7351" i="1"/>
  <c r="G7095" i="1"/>
  <c r="G6839" i="1"/>
  <c r="G6536" i="1"/>
  <c r="G6055" i="1"/>
  <c r="G9211" i="1"/>
  <c r="G9083" i="1"/>
  <c r="G8955" i="1"/>
  <c r="G8827" i="1"/>
  <c r="G8699" i="1"/>
  <c r="G8571" i="1"/>
  <c r="G8443" i="1"/>
  <c r="G8287" i="1"/>
  <c r="G8151" i="1"/>
  <c r="G7988" i="1"/>
  <c r="G7812" i="1"/>
  <c r="G7579" i="1"/>
  <c r="G7323" i="1"/>
  <c r="G7067" i="1"/>
  <c r="G6811" i="1"/>
  <c r="G6572" i="1"/>
  <c r="G6232" i="1"/>
  <c r="G5826" i="1"/>
  <c r="G10193" i="1"/>
  <c r="G10129" i="1"/>
  <c r="G10065" i="1"/>
  <c r="G10001" i="1"/>
  <c r="G9937" i="1"/>
  <c r="G9873" i="1"/>
  <c r="G9809" i="1"/>
  <c r="G9745" i="1"/>
  <c r="G9681" i="1"/>
  <c r="G9617" i="1"/>
  <c r="G9553" i="1"/>
  <c r="G9489" i="1"/>
  <c r="G9425" i="1"/>
  <c r="G9361" i="1"/>
  <c r="G9297" i="1"/>
  <c r="G9206" i="1"/>
  <c r="G9078" i="1"/>
  <c r="G8950" i="1"/>
  <c r="G8822" i="1"/>
  <c r="G8694" i="1"/>
  <c r="G8566" i="1"/>
  <c r="G8438" i="1"/>
  <c r="G8312" i="1"/>
  <c r="G8166" i="1"/>
  <c r="G8006" i="1"/>
  <c r="G7841" i="1"/>
  <c r="G7686" i="1"/>
  <c r="G7430" i="1"/>
  <c r="G7174" i="1"/>
  <c r="G6918" i="1"/>
  <c r="G6662" i="1"/>
  <c r="G6159" i="1"/>
  <c r="G7636" i="1"/>
  <c r="G7508" i="1"/>
  <c r="G7380" i="1"/>
  <c r="G7252" i="1"/>
  <c r="G7124" i="1"/>
  <c r="G6996" i="1"/>
  <c r="G6868" i="1"/>
  <c r="G6740" i="1"/>
  <c r="G6623" i="1"/>
  <c r="G6507" i="1"/>
  <c r="G6340" i="1"/>
  <c r="G6196" i="1"/>
  <c r="G5938" i="1"/>
  <c r="G5767" i="1"/>
  <c r="G5454" i="1"/>
  <c r="G4898" i="1"/>
  <c r="G3853" i="1"/>
  <c r="G4395" i="1"/>
  <c r="G4746" i="1"/>
  <c r="G3698" i="1"/>
  <c r="G4930" i="1"/>
  <c r="G4280" i="1"/>
  <c r="G5606" i="1"/>
  <c r="G5139" i="1"/>
  <c r="G4477" i="1"/>
  <c r="G7720" i="1"/>
  <c r="G7592" i="1"/>
  <c r="G7464" i="1"/>
  <c r="G7336" i="1"/>
  <c r="G7208" i="1"/>
  <c r="G7080" i="1"/>
  <c r="G6952" i="1"/>
  <c r="G6824" i="1"/>
  <c r="G6696" i="1"/>
  <c r="G6521" i="1"/>
  <c r="G6343" i="1"/>
  <c r="G5703" i="1"/>
  <c r="G5368" i="1"/>
  <c r="G4783" i="1"/>
  <c r="G3753" i="1"/>
  <c r="G7916" i="1"/>
  <c r="G7788" i="1"/>
  <c r="G7660" i="1"/>
  <c r="G7532" i="1"/>
  <c r="G7404" i="1"/>
  <c r="G7276" i="1"/>
  <c r="G7148" i="1"/>
  <c r="G7020" i="1"/>
  <c r="G6892" i="1"/>
  <c r="G6764" i="1"/>
  <c r="G6640" i="1"/>
  <c r="G6540" i="1"/>
  <c r="G6373" i="1"/>
  <c r="G6223" i="1"/>
  <c r="G5984" i="1"/>
  <c r="G5814" i="1"/>
  <c r="G5556" i="1"/>
  <c r="G5096" i="1"/>
  <c r="G4558" i="1"/>
  <c r="G8350" i="1"/>
  <c r="G7998" i="1"/>
  <c r="G6974" i="1"/>
  <c r="G3862" i="1"/>
  <c r="G5268" i="1"/>
  <c r="G6326" i="1"/>
  <c r="G5248" i="1"/>
  <c r="G5382" i="1"/>
  <c r="G4807" i="1"/>
  <c r="G5303" i="1"/>
  <c r="G3352" i="1"/>
  <c r="G3426" i="1"/>
  <c r="G944" i="1"/>
  <c r="G4944" i="1"/>
  <c r="G4552" i="1"/>
  <c r="G3863" i="1"/>
  <c r="G3534" i="1"/>
  <c r="G6048" i="1"/>
  <c r="G5592" i="1"/>
  <c r="G5415" i="1"/>
  <c r="G5103" i="1"/>
  <c r="G4810" i="1"/>
  <c r="G4526" i="1"/>
  <c r="G3842" i="1"/>
  <c r="G6514" i="1"/>
  <c r="G6450" i="1"/>
  <c r="G6386" i="1"/>
  <c r="G6322" i="1"/>
  <c r="G6258" i="1"/>
  <c r="G6194" i="1"/>
  <c r="G6020" i="1"/>
  <c r="G5935" i="1"/>
  <c r="G5850" i="1"/>
  <c r="G5764" i="1"/>
  <c r="G5621" i="1"/>
  <c r="G5445" i="1"/>
  <c r="G5165" i="1"/>
  <c r="G4904" i="1"/>
  <c r="G4609" i="1"/>
  <c r="G3978" i="1"/>
  <c r="G6111" i="1"/>
  <c r="G5657" i="1"/>
  <c r="G5487" i="1"/>
  <c r="G5227" i="1"/>
  <c r="G4934" i="1"/>
  <c r="G4669" i="1"/>
  <c r="G4061" i="1"/>
  <c r="G5349" i="1"/>
  <c r="G5213" i="1"/>
  <c r="G5067" i="1"/>
  <c r="G4905" i="1"/>
  <c r="G4773" i="1"/>
  <c r="G4562" i="1"/>
  <c r="G4356" i="1"/>
  <c r="G4095" i="1"/>
  <c r="G3798" i="1"/>
  <c r="G2209" i="1"/>
  <c r="G4037" i="1"/>
  <c r="G3777" i="1"/>
  <c r="G5377" i="1"/>
  <c r="G5236" i="1"/>
  <c r="G5074" i="1"/>
  <c r="G4933" i="1"/>
  <c r="G4797" i="1"/>
  <c r="G4626" i="1"/>
  <c r="G4418" i="1"/>
  <c r="G4109" i="1"/>
  <c r="G3848" i="1"/>
  <c r="G3442" i="1"/>
  <c r="G5641" i="1"/>
  <c r="G5513" i="1"/>
  <c r="G5387" i="1"/>
  <c r="G5225" i="1"/>
  <c r="G5089" i="1"/>
  <c r="G4948" i="1"/>
  <c r="G4786" i="1"/>
  <c r="G4613" i="1"/>
  <c r="G4426" i="1"/>
  <c r="G4171" i="1"/>
  <c r="G3878" i="1"/>
  <c r="G3378" i="1"/>
  <c r="G6161" i="1"/>
  <c r="G6097" i="1"/>
  <c r="G6033" i="1"/>
  <c r="G5969" i="1"/>
  <c r="G5905" i="1"/>
  <c r="G5841" i="1"/>
  <c r="G5777" i="1"/>
  <c r="G5686" i="1"/>
  <c r="G5558" i="1"/>
  <c r="G5430" i="1"/>
  <c r="G5287" i="1"/>
  <c r="G5130" i="1"/>
  <c r="G4994" i="1"/>
  <c r="G4848" i="1"/>
  <c r="G4714" i="1"/>
  <c r="G4563" i="1"/>
  <c r="G4327" i="1"/>
  <c r="G4024" i="1"/>
  <c r="G3687" i="1"/>
  <c r="G4585" i="1"/>
  <c r="G4449" i="1"/>
  <c r="G4308" i="1"/>
  <c r="G4146" i="1"/>
  <c r="G4005" i="1"/>
  <c r="G3869" i="1"/>
  <c r="G3663" i="1"/>
  <c r="G3328" i="1"/>
  <c r="G3289" i="1"/>
  <c r="G3577" i="1"/>
  <c r="G3065" i="1"/>
  <c r="G4410" i="1"/>
  <c r="G4264" i="1"/>
  <c r="G4123" i="1"/>
  <c r="G3987" i="1"/>
  <c r="G3825" i="1"/>
  <c r="G3576" i="1"/>
  <c r="G3120" i="1"/>
  <c r="G4347" i="1"/>
  <c r="G4211" i="1"/>
  <c r="G4049" i="1"/>
  <c r="G3903" i="1"/>
  <c r="G3694" i="1"/>
  <c r="G3416" i="1"/>
  <c r="G2481" i="1"/>
  <c r="G4466" i="1"/>
  <c r="G3691" i="1"/>
  <c r="G2287" i="1"/>
  <c r="G2805" i="1"/>
  <c r="G4707" i="1"/>
  <c r="G3683" i="1"/>
  <c r="G2918" i="1"/>
  <c r="G2223" i="1"/>
  <c r="G2066" i="1"/>
  <c r="G2758" i="1"/>
  <c r="G2765" i="1"/>
  <c r="G2613" i="1"/>
  <c r="G3351" i="1"/>
  <c r="G2839" i="1"/>
  <c r="G939" i="1"/>
  <c r="G8240" i="1"/>
  <c r="G8112" i="1"/>
  <c r="G7984" i="1"/>
  <c r="G7856" i="1"/>
  <c r="G7728" i="1"/>
  <c r="G7600" i="1"/>
  <c r="G7472" i="1"/>
  <c r="G7344" i="1"/>
  <c r="G7216" i="1"/>
  <c r="G7088" i="1"/>
  <c r="G6960" i="1"/>
  <c r="G6832" i="1"/>
  <c r="G6704" i="1"/>
  <c r="G6527" i="1"/>
  <c r="G6360" i="1"/>
  <c r="G5735" i="1"/>
  <c r="G5418" i="1"/>
  <c r="G4857" i="1"/>
  <c r="G6273" i="1"/>
  <c r="G6209" i="1"/>
  <c r="G6060" i="1"/>
  <c r="G5955" i="1"/>
  <c r="G5870" i="1"/>
  <c r="G5784" i="1"/>
  <c r="G5651" i="1"/>
  <c r="G5486" i="1"/>
  <c r="G5216" i="1"/>
  <c r="G4913" i="1"/>
  <c r="G4537" i="1"/>
  <c r="G3832" i="1"/>
  <c r="G3248" i="1"/>
  <c r="G6039" i="1"/>
  <c r="G5585" i="1"/>
  <c r="G5385" i="1"/>
  <c r="G5082" i="1"/>
  <c r="G4800" i="1"/>
  <c r="G4499" i="1"/>
  <c r="G3696" i="1"/>
  <c r="G6510" i="1"/>
  <c r="G6446" i="1"/>
  <c r="G6382" i="1"/>
  <c r="G6318" i="1"/>
  <c r="G6254" i="1"/>
  <c r="G6180" i="1"/>
  <c r="G6015" i="1"/>
  <c r="G5930" i="1"/>
  <c r="G5844" i="1"/>
  <c r="G5759" i="1"/>
  <c r="G5603" i="1"/>
  <c r="G5438" i="1"/>
  <c r="G5154" i="1"/>
  <c r="G4893" i="1"/>
  <c r="G4595" i="1"/>
  <c r="G3956" i="1"/>
  <c r="G6102" i="1"/>
  <c r="G5639" i="1"/>
  <c r="G5480" i="1"/>
  <c r="G5206" i="1"/>
  <c r="G4924" i="1"/>
  <c r="G4634" i="1"/>
  <c r="G4031" i="1"/>
  <c r="G5344" i="1"/>
  <c r="G5208" i="1"/>
  <c r="G5046" i="1"/>
  <c r="G4900" i="1"/>
  <c r="G4761" i="1"/>
  <c r="G4548" i="1"/>
  <c r="G4345" i="1"/>
  <c r="G4084" i="1"/>
  <c r="G3785" i="1"/>
  <c r="G4340" i="1"/>
  <c r="G4027" i="1"/>
  <c r="G3763" i="1"/>
  <c r="G5372" i="1"/>
  <c r="G5231" i="1"/>
  <c r="G5069" i="1"/>
  <c r="G4928" i="1"/>
  <c r="G4792" i="1"/>
  <c r="G4607" i="1"/>
  <c r="G4411" i="1"/>
  <c r="G4098" i="1"/>
  <c r="G3837" i="1"/>
  <c r="G3154" i="1"/>
  <c r="G5632" i="1"/>
  <c r="G5504" i="1"/>
  <c r="G5366" i="1"/>
  <c r="G5220" i="1"/>
  <c r="G5084" i="1"/>
  <c r="G4943" i="1"/>
  <c r="G4781" i="1"/>
  <c r="G4605" i="1"/>
  <c r="G4417" i="1"/>
  <c r="G4150" i="1"/>
  <c r="G3868" i="1"/>
  <c r="G3329" i="1"/>
  <c r="G6157" i="1"/>
  <c r="G6093" i="1"/>
  <c r="G6029" i="1"/>
  <c r="G5965" i="1"/>
  <c r="G5901" i="1"/>
  <c r="G5837" i="1"/>
  <c r="G5773" i="1"/>
  <c r="G5677" i="1"/>
  <c r="G5549" i="1"/>
  <c r="G5421" i="1"/>
  <c r="G5266" i="1"/>
  <c r="G5125" i="1"/>
  <c r="G4989" i="1"/>
  <c r="G4843" i="1"/>
  <c r="G4703" i="1"/>
  <c r="G4549" i="1"/>
  <c r="G4306" i="1"/>
  <c r="G3982" i="1"/>
  <c r="G3650" i="1"/>
  <c r="G4580" i="1"/>
  <c r="G4444" i="1"/>
  <c r="G4303" i="1"/>
  <c r="G4141" i="1"/>
  <c r="G4000" i="1"/>
  <c r="G3864" i="1"/>
  <c r="G3626" i="1"/>
  <c r="G3246" i="1"/>
  <c r="G3225" i="1"/>
  <c r="G3568" i="1"/>
  <c r="G2992" i="1"/>
  <c r="G4394" i="1"/>
  <c r="G4258" i="1"/>
  <c r="G4112" i="1"/>
  <c r="G3950" i="1"/>
  <c r="G3818" i="1"/>
  <c r="G3567" i="1"/>
  <c r="G3097" i="1"/>
  <c r="G4336" i="1"/>
  <c r="G4174" i="1"/>
  <c r="G4038" i="1"/>
  <c r="G3897" i="1"/>
  <c r="G3685" i="1"/>
  <c r="G3382" i="1"/>
  <c r="G1927" i="1"/>
  <c r="G4330" i="1"/>
  <c r="G3572" i="1"/>
  <c r="G2978" i="1"/>
  <c r="G2322" i="1"/>
  <c r="G4588" i="1"/>
  <c r="G3564" i="1"/>
  <c r="G2657" i="1"/>
  <c r="G1936" i="1"/>
  <c r="G3509" i="1"/>
  <c r="G2632" i="1"/>
  <c r="G2634" i="1"/>
  <c r="G2477" i="1"/>
  <c r="G3291" i="1"/>
  <c r="G1912" i="1"/>
  <c r="G801" i="1"/>
  <c r="G8231" i="1"/>
  <c r="G8103" i="1"/>
  <c r="G7975" i="1"/>
  <c r="G7847" i="1"/>
  <c r="G7719" i="1"/>
  <c r="G7591" i="1"/>
  <c r="G7463" i="1"/>
  <c r="G7335" i="1"/>
  <c r="G7207" i="1"/>
  <c r="G7079" i="1"/>
  <c r="G6951" i="1"/>
  <c r="G6823" i="1"/>
  <c r="G6695" i="1"/>
  <c r="G6520" i="1"/>
  <c r="G6353" i="1"/>
  <c r="G5722" i="1"/>
  <c r="G5380" i="1"/>
  <c r="G4795" i="1"/>
  <c r="G6269" i="1"/>
  <c r="G6205" i="1"/>
  <c r="G6051" i="1"/>
  <c r="G5950" i="1"/>
  <c r="G5864" i="1"/>
  <c r="G5779" i="1"/>
  <c r="G5644" i="1"/>
  <c r="G5468" i="1"/>
  <c r="G5195" i="1"/>
  <c r="G4902" i="1"/>
  <c r="G4482" i="1"/>
  <c r="G3717" i="1"/>
  <c r="G2439" i="1"/>
  <c r="G6030" i="1"/>
  <c r="G5567" i="1"/>
  <c r="G5375" i="1"/>
  <c r="G5061" i="1"/>
  <c r="G4778" i="1"/>
  <c r="G4471" i="1"/>
  <c r="G3364" i="1"/>
  <c r="G6506" i="1"/>
  <c r="G6442" i="1"/>
  <c r="G6378" i="1"/>
  <c r="G6314" i="1"/>
  <c r="G6250" i="1"/>
  <c r="G6171" i="1"/>
  <c r="G6010" i="1"/>
  <c r="G5924" i="1"/>
  <c r="G5839" i="1"/>
  <c r="G5754" i="1"/>
  <c r="G5597" i="1"/>
  <c r="G5427" i="1"/>
  <c r="G5144" i="1"/>
  <c r="G4883" i="1"/>
  <c r="G4553" i="1"/>
  <c r="G3895" i="1"/>
  <c r="G6088" i="1"/>
  <c r="G5633" i="1"/>
  <c r="G5474" i="1"/>
  <c r="G5185" i="1"/>
  <c r="G4903" i="1"/>
  <c r="G4594" i="1"/>
  <c r="G3947" i="1"/>
  <c r="G5339" i="1"/>
  <c r="G5203" i="1"/>
  <c r="G5041" i="1"/>
  <c r="G4895" i="1"/>
  <c r="G4744" i="1"/>
  <c r="G4541" i="1"/>
  <c r="G4335" i="1"/>
  <c r="G4042" i="1"/>
  <c r="G3770" i="1"/>
  <c r="G4298" i="1"/>
  <c r="G4016" i="1"/>
  <c r="G3746" i="1"/>
  <c r="G5367" i="1"/>
  <c r="G5210" i="1"/>
  <c r="G5064" i="1"/>
  <c r="G4923" i="1"/>
  <c r="G4787" i="1"/>
  <c r="G4593" i="1"/>
  <c r="G4391" i="1"/>
  <c r="G4088" i="1"/>
  <c r="G3827" i="1"/>
  <c r="G2355" i="1"/>
  <c r="G5623" i="1"/>
  <c r="G5495" i="1"/>
  <c r="G5361" i="1"/>
  <c r="G5215" i="1"/>
  <c r="G5079" i="1"/>
  <c r="G4922" i="1"/>
  <c r="G4775" i="1"/>
  <c r="G4599" i="1"/>
  <c r="G4409" i="1"/>
  <c r="G4129" i="1"/>
  <c r="G3847" i="1"/>
  <c r="G3280" i="1"/>
  <c r="G6153" i="1"/>
  <c r="G6089" i="1"/>
  <c r="G6025" i="1"/>
  <c r="G5961" i="1"/>
  <c r="G5897" i="1"/>
  <c r="G5833" i="1"/>
  <c r="G5769" i="1"/>
  <c r="G5668" i="1"/>
  <c r="G5540" i="1"/>
  <c r="G5412" i="1"/>
  <c r="G5261" i="1"/>
  <c r="G5120" i="1"/>
  <c r="G4984" i="1"/>
  <c r="G4822" i="1"/>
  <c r="G4690" i="1"/>
  <c r="G4528" i="1"/>
  <c r="G4296" i="1"/>
  <c r="G3972" i="1"/>
  <c r="G3632" i="1"/>
  <c r="G4575" i="1"/>
  <c r="G4439" i="1"/>
  <c r="G4282" i="1"/>
  <c r="G4136" i="1"/>
  <c r="G3995" i="1"/>
  <c r="G3859" i="1"/>
  <c r="G3617" i="1"/>
  <c r="G3228" i="1"/>
  <c r="G3170" i="1"/>
  <c r="G3559" i="1"/>
  <c r="G2882" i="1"/>
  <c r="G4389" i="1"/>
  <c r="G4253" i="1"/>
  <c r="G4107" i="1"/>
  <c r="G3945" i="1"/>
  <c r="G3807" i="1"/>
  <c r="G3530" i="1"/>
  <c r="G2990" i="1"/>
  <c r="G4331" i="1"/>
  <c r="G4169" i="1"/>
  <c r="G4033" i="1"/>
  <c r="G3892" i="1"/>
  <c r="G3676" i="1"/>
  <c r="G3357" i="1"/>
  <c r="G1443" i="1"/>
  <c r="G4325" i="1"/>
  <c r="G3563" i="1"/>
  <c r="G2969" i="1"/>
  <c r="G2301" i="1"/>
  <c r="G4579" i="1"/>
  <c r="G3555" i="1"/>
  <c r="G2615" i="1"/>
  <c r="G1871" i="1"/>
  <c r="G3500" i="1"/>
  <c r="G2621" i="1"/>
  <c r="G2629" i="1"/>
  <c r="G2472" i="1"/>
  <c r="G3287" i="1"/>
  <c r="G1879" i="1"/>
  <c r="G796" i="1"/>
  <c r="G8222" i="1"/>
  <c r="G8094" i="1"/>
  <c r="G7966" i="1"/>
  <c r="G7838" i="1"/>
  <c r="G7710" i="1"/>
  <c r="G7582" i="1"/>
  <c r="G7454" i="1"/>
  <c r="G7326" i="1"/>
  <c r="G7198" i="1"/>
  <c r="G7070" i="1"/>
  <c r="G6942" i="1"/>
  <c r="G6814" i="1"/>
  <c r="G6686" i="1"/>
  <c r="G6513" i="1"/>
  <c r="G6335" i="1"/>
  <c r="G5711" i="1"/>
  <c r="G5359" i="1"/>
  <c r="G4749" i="1"/>
  <c r="G6265" i="1"/>
  <c r="G6201" i="1"/>
  <c r="G6042" i="1"/>
  <c r="G5944" i="1"/>
  <c r="G5859" i="1"/>
  <c r="G5774" i="1"/>
  <c r="G5638" i="1"/>
  <c r="G5461" i="1"/>
  <c r="G5174" i="1"/>
  <c r="G4892" i="1"/>
  <c r="G4468" i="1"/>
  <c r="G3625" i="1"/>
  <c r="G6190" i="1"/>
  <c r="G5738" i="1"/>
  <c r="G5561" i="1"/>
  <c r="G5364" i="1"/>
  <c r="G5051" i="1"/>
  <c r="G4767" i="1"/>
  <c r="G4422" i="1"/>
  <c r="G2937" i="1"/>
  <c r="G6502" i="1"/>
  <c r="G6438" i="1"/>
  <c r="G6374" i="1"/>
  <c r="G6310" i="1"/>
  <c r="G6246" i="1"/>
  <c r="G6162" i="1"/>
  <c r="G6004" i="1"/>
  <c r="G5919" i="1"/>
  <c r="G5834" i="1"/>
  <c r="G5748" i="1"/>
  <c r="G5579" i="1"/>
  <c r="G5420" i="1"/>
  <c r="G5102" i="1"/>
  <c r="G4841" i="1"/>
  <c r="G4540" i="1"/>
  <c r="G3781" i="1"/>
  <c r="G6079" i="1"/>
  <c r="G5626" i="1"/>
  <c r="G5456" i="1"/>
  <c r="G5175" i="1"/>
  <c r="G4882" i="1"/>
  <c r="G4567" i="1"/>
  <c r="G3894" i="1"/>
  <c r="G5328" i="1"/>
  <c r="G5166" i="1"/>
  <c r="G5030" i="1"/>
  <c r="G4889" i="1"/>
  <c r="G4737" i="1"/>
  <c r="G4535" i="1"/>
  <c r="G4314" i="1"/>
  <c r="G4032" i="1"/>
  <c r="G3737" i="1"/>
  <c r="G4288" i="1"/>
  <c r="G3985" i="1"/>
  <c r="G3728" i="1"/>
  <c r="G5351" i="1"/>
  <c r="G5194" i="1"/>
  <c r="G5058" i="1"/>
  <c r="G4912" i="1"/>
  <c r="G4776" i="1"/>
  <c r="G4578" i="1"/>
  <c r="G4370" i="1"/>
  <c r="G4046" i="1"/>
  <c r="G3815" i="1"/>
  <c r="G2016" i="1"/>
  <c r="G5618" i="1"/>
  <c r="G5490" i="1"/>
  <c r="G5350" i="1"/>
  <c r="G5209" i="1"/>
  <c r="G5063" i="1"/>
  <c r="G4906" i="1"/>
  <c r="G4763" i="1"/>
  <c r="G4592" i="1"/>
  <c r="G4401" i="1"/>
  <c r="G4119" i="1"/>
  <c r="G3826" i="1"/>
  <c r="G3010" i="1"/>
  <c r="G6149" i="1"/>
  <c r="G6085" i="1"/>
  <c r="G6021" i="1"/>
  <c r="G5957" i="1"/>
  <c r="G5893" i="1"/>
  <c r="G5829" i="1"/>
  <c r="G5765" i="1"/>
  <c r="G5659" i="1"/>
  <c r="G5531" i="1"/>
  <c r="G5402" i="1"/>
  <c r="G5256" i="1"/>
  <c r="G5115" i="1"/>
  <c r="G4979" i="1"/>
  <c r="G4817" i="1"/>
  <c r="G4678" i="1"/>
  <c r="G4521" i="1"/>
  <c r="G4285" i="1"/>
  <c r="G3961" i="1"/>
  <c r="G3591" i="1"/>
  <c r="G4569" i="1"/>
  <c r="G4423" i="1"/>
  <c r="G4266" i="1"/>
  <c r="G4130" i="1"/>
  <c r="G3984" i="1"/>
  <c r="G3816" i="1"/>
  <c r="G3608" i="1"/>
  <c r="G3173" i="1"/>
  <c r="G3152" i="1"/>
  <c r="G3522" i="1"/>
  <c r="G2844" i="1"/>
  <c r="G4384" i="1"/>
  <c r="G4248" i="1"/>
  <c r="G4086" i="1"/>
  <c r="G3940" i="1"/>
  <c r="G3800" i="1"/>
  <c r="G3521" i="1"/>
  <c r="G2917" i="1"/>
  <c r="G4310" i="1"/>
  <c r="G4164" i="1"/>
  <c r="G4028" i="1"/>
  <c r="G3887" i="1"/>
  <c r="G3667" i="1"/>
  <c r="G3333" i="1"/>
  <c r="G5292" i="1"/>
  <c r="G4194" i="1"/>
  <c r="G3417" i="1"/>
  <c r="G2679" i="1"/>
  <c r="G3711" i="1"/>
  <c r="G4460" i="1"/>
  <c r="G3397" i="1"/>
  <c r="G2344" i="1"/>
  <c r="G3313" i="1"/>
  <c r="G3340" i="1"/>
  <c r="G2496" i="1"/>
  <c r="G2488" i="1"/>
  <c r="G2341" i="1"/>
  <c r="G3227" i="1"/>
  <c r="G1933" i="1"/>
  <c r="G883" i="1"/>
  <c r="G8217" i="1"/>
  <c r="G8089" i="1"/>
  <c r="G7961" i="1"/>
  <c r="G7833" i="1"/>
  <c r="G7705" i="1"/>
  <c r="G7577" i="1"/>
  <c r="G7449" i="1"/>
  <c r="G7321" i="1"/>
  <c r="G7193" i="1"/>
  <c r="G7065" i="1"/>
  <c r="G6937" i="1"/>
  <c r="G6809" i="1"/>
  <c r="G6681" i="1"/>
  <c r="G6495" i="1"/>
  <c r="G6328" i="1"/>
  <c r="G5698" i="1"/>
  <c r="G5338" i="1"/>
  <c r="G4677" i="1"/>
  <c r="G6261" i="1"/>
  <c r="G6197" i="1"/>
  <c r="G6028" i="1"/>
  <c r="G5939" i="1"/>
  <c r="G5854" i="1"/>
  <c r="G5768" i="1"/>
  <c r="G5620" i="1"/>
  <c r="G5443" i="1"/>
  <c r="G5153" i="1"/>
  <c r="G4871" i="1"/>
  <c r="G4453" i="1"/>
  <c r="G3505" i="1"/>
  <c r="G6176" i="1"/>
  <c r="G5720" i="1"/>
  <c r="G5543" i="1"/>
  <c r="G5322" i="1"/>
  <c r="G5040" i="1"/>
  <c r="G4755" i="1"/>
  <c r="G4406" i="1"/>
  <c r="G6562" i="1"/>
  <c r="G6498" i="1"/>
  <c r="G6434" i="1"/>
  <c r="G6370" i="1"/>
  <c r="G6306" i="1"/>
  <c r="G6242" i="1"/>
  <c r="G6148" i="1"/>
  <c r="G5999" i="1"/>
  <c r="G5914" i="1"/>
  <c r="G5828" i="1"/>
  <c r="G5743" i="1"/>
  <c r="G5573" i="1"/>
  <c r="G5414" i="1"/>
  <c r="G5092" i="1"/>
  <c r="G4831" i="1"/>
  <c r="G4498" i="1"/>
  <c r="G3735" i="1"/>
  <c r="G6070" i="1"/>
  <c r="G5615" i="1"/>
  <c r="G5450" i="1"/>
  <c r="G5133" i="1"/>
  <c r="G4872" i="1"/>
  <c r="G4539" i="1"/>
  <c r="G3841" i="1"/>
  <c r="G5323" i="1"/>
  <c r="G5161" i="1"/>
  <c r="G5025" i="1"/>
  <c r="G4884" i="1"/>
  <c r="G4708" i="1"/>
  <c r="G4527" i="1"/>
  <c r="G4293" i="1"/>
  <c r="G4011" i="1"/>
  <c r="G3719" i="1"/>
  <c r="G4267" i="1"/>
  <c r="G3974" i="1"/>
  <c r="G3673" i="1"/>
  <c r="G5330" i="1"/>
  <c r="G5189" i="1"/>
  <c r="G5053" i="1"/>
  <c r="G4907" i="1"/>
  <c r="G4740" i="1"/>
  <c r="G4572" i="1"/>
  <c r="G4360" i="1"/>
  <c r="G4036" i="1"/>
  <c r="G3803" i="1"/>
  <c r="G5737" i="1"/>
  <c r="G5609" i="1"/>
  <c r="G5481" i="1"/>
  <c r="G5345" i="1"/>
  <c r="G5204" i="1"/>
  <c r="G5042" i="1"/>
  <c r="G4901" i="1"/>
  <c r="G4751" i="1"/>
  <c r="G4557" i="1"/>
  <c r="G4390" i="1"/>
  <c r="G4077" i="1"/>
  <c r="G3802" i="1"/>
  <c r="G2864" i="1"/>
  <c r="G6145" i="1"/>
  <c r="G6081" i="1"/>
  <c r="G6017" i="1"/>
  <c r="G5953" i="1"/>
  <c r="G5889" i="1"/>
  <c r="G5825" i="1"/>
  <c r="G5761" i="1"/>
  <c r="G5654" i="1"/>
  <c r="G5526" i="1"/>
  <c r="G5386" i="1"/>
  <c r="G5250" i="1"/>
  <c r="G5104" i="1"/>
  <c r="G4942" i="1"/>
  <c r="G4806" i="1"/>
  <c r="G4667" i="1"/>
  <c r="G4514" i="1"/>
  <c r="G4275" i="1"/>
  <c r="G3951" i="1"/>
  <c r="G3570" i="1"/>
  <c r="G4564" i="1"/>
  <c r="G4402" i="1"/>
  <c r="G4261" i="1"/>
  <c r="G4125" i="1"/>
  <c r="G3979" i="1"/>
  <c r="G3809" i="1"/>
  <c r="G3599" i="1"/>
  <c r="G3109" i="1"/>
  <c r="G3036" i="1"/>
  <c r="G3512" i="1"/>
  <c r="G2801" i="1"/>
  <c r="G4379" i="1"/>
  <c r="G4243" i="1"/>
  <c r="G4081" i="1"/>
  <c r="G3935" i="1"/>
  <c r="G3794" i="1"/>
  <c r="G3469" i="1"/>
  <c r="G2666" i="1"/>
  <c r="G4305" i="1"/>
  <c r="G4159" i="1"/>
  <c r="G4023" i="1"/>
  <c r="G3866" i="1"/>
  <c r="G3630" i="1"/>
  <c r="G3309" i="1"/>
  <c r="G5283" i="1"/>
  <c r="G4189" i="1"/>
  <c r="G3412" i="1"/>
  <c r="G2596" i="1"/>
  <c r="G3706" i="1"/>
  <c r="G4451" i="1"/>
  <c r="G3373" i="1"/>
  <c r="G2333" i="1"/>
  <c r="G3304" i="1"/>
  <c r="G3326" i="1"/>
  <c r="G2459" i="1"/>
  <c r="G2467" i="1"/>
  <c r="G2336" i="1"/>
  <c r="G3223" i="1"/>
  <c r="G1926" i="1"/>
  <c r="G877" i="1"/>
  <c r="G8208" i="1"/>
  <c r="G8080" i="1"/>
  <c r="G7952" i="1"/>
  <c r="G7824" i="1"/>
  <c r="G7696" i="1"/>
  <c r="G7568" i="1"/>
  <c r="G7440" i="1"/>
  <c r="G7312" i="1"/>
  <c r="G7184" i="1"/>
  <c r="G7056" i="1"/>
  <c r="G6928" i="1"/>
  <c r="G6800" i="1"/>
  <c r="G6672" i="1"/>
  <c r="G6488" i="1"/>
  <c r="G6321" i="1"/>
  <c r="G5674" i="1"/>
  <c r="G5317" i="1"/>
  <c r="G4653" i="1"/>
  <c r="G6257" i="1"/>
  <c r="G6188" i="1"/>
  <c r="G6019" i="1"/>
  <c r="G5934" i="1"/>
  <c r="G5848" i="1"/>
  <c r="G5763" i="1"/>
  <c r="G5614" i="1"/>
  <c r="G5437" i="1"/>
  <c r="G5143" i="1"/>
  <c r="G4850" i="1"/>
  <c r="G4420" i="1"/>
  <c r="G3305" i="1"/>
  <c r="G6167" i="1"/>
  <c r="G5713" i="1"/>
  <c r="G5537" i="1"/>
  <c r="G5312" i="1"/>
  <c r="G5009" i="1"/>
  <c r="G4742" i="1"/>
  <c r="G4365" i="1"/>
  <c r="G6558" i="1"/>
  <c r="G6494" i="1"/>
  <c r="G6430" i="1"/>
  <c r="G6366" i="1"/>
  <c r="G6302" i="1"/>
  <c r="G6238" i="1"/>
  <c r="G6139" i="1"/>
  <c r="G5994" i="1"/>
  <c r="G5908" i="1"/>
  <c r="G5823" i="1"/>
  <c r="G5731" i="1"/>
  <c r="G5566" i="1"/>
  <c r="G5405" i="1"/>
  <c r="G5081" i="1"/>
  <c r="G4820" i="1"/>
  <c r="G4484" i="1"/>
  <c r="G3641" i="1"/>
  <c r="G6056" i="1"/>
  <c r="G5608" i="1"/>
  <c r="G5432" i="1"/>
  <c r="G5122" i="1"/>
  <c r="G4861" i="1"/>
  <c r="G4525" i="1"/>
  <c r="G3808" i="1"/>
  <c r="G5302" i="1"/>
  <c r="G5156" i="1"/>
  <c r="G5020" i="1"/>
  <c r="G4879" i="1"/>
  <c r="G4672" i="1"/>
  <c r="G4506" i="1"/>
  <c r="G4283" i="1"/>
  <c r="G3990" i="1"/>
  <c r="G3682" i="1"/>
  <c r="G4246" i="1"/>
  <c r="G3964" i="1"/>
  <c r="G3655" i="1"/>
  <c r="G5325" i="1"/>
  <c r="G5184" i="1"/>
  <c r="G5048" i="1"/>
  <c r="G4886" i="1"/>
  <c r="G4728" i="1"/>
  <c r="G4551" i="1"/>
  <c r="G4349" i="1"/>
  <c r="G4025" i="1"/>
  <c r="G3790" i="1"/>
  <c r="G5728" i="1"/>
  <c r="G5600" i="1"/>
  <c r="G5472" i="1"/>
  <c r="G5340" i="1"/>
  <c r="G5199" i="1"/>
  <c r="G5037" i="1"/>
  <c r="G4896" i="1"/>
  <c r="G4745" i="1"/>
  <c r="G4550" i="1"/>
  <c r="G4380" i="1"/>
  <c r="G4066" i="1"/>
  <c r="G3775" i="1"/>
  <c r="G2627" i="1"/>
  <c r="G6141" i="1"/>
  <c r="G6077" i="1"/>
  <c r="G6013" i="1"/>
  <c r="G5949" i="1"/>
  <c r="G5885" i="1"/>
  <c r="G5821" i="1"/>
  <c r="G5757" i="1"/>
  <c r="G5645" i="1"/>
  <c r="G5517" i="1"/>
  <c r="G5381" i="1"/>
  <c r="G5245" i="1"/>
  <c r="G5099" i="1"/>
  <c r="G4937" i="1"/>
  <c r="G4801" i="1"/>
  <c r="G4655" i="1"/>
  <c r="G4500" i="1"/>
  <c r="G4233" i="1"/>
  <c r="G3930" i="1"/>
  <c r="G3517" i="1"/>
  <c r="G4559" i="1"/>
  <c r="G4397" i="1"/>
  <c r="G4256" i="1"/>
  <c r="G4120" i="1"/>
  <c r="G3958" i="1"/>
  <c r="G3791" i="1"/>
  <c r="G3562" i="1"/>
  <c r="G3045" i="1"/>
  <c r="G2926" i="1"/>
  <c r="G3470" i="1"/>
  <c r="G2745" i="1"/>
  <c r="G4368" i="1"/>
  <c r="G4206" i="1"/>
  <c r="G4070" i="1"/>
  <c r="G3929" i="1"/>
  <c r="G3758" i="1"/>
  <c r="G3458" i="1"/>
  <c r="G2499" i="1"/>
  <c r="G4294" i="1"/>
  <c r="G4153" i="1"/>
  <c r="G4007" i="1"/>
  <c r="G3850" i="1"/>
  <c r="G3621" i="1"/>
  <c r="G3284" i="1"/>
  <c r="G5164" i="1"/>
  <c r="G4048" i="1"/>
  <c r="G3192" i="1"/>
  <c r="G2094" i="1"/>
  <c r="G3583" i="1"/>
  <c r="G4332" i="1"/>
  <c r="G3168" i="1"/>
  <c r="G2051" i="1"/>
  <c r="G3144" i="1"/>
  <c r="G3166" i="1"/>
  <c r="G2334" i="1"/>
  <c r="G2326" i="1"/>
  <c r="G2179" i="1"/>
  <c r="G3163" i="1"/>
  <c r="G2530" i="1"/>
  <c r="G1320" i="1"/>
  <c r="G8199" i="1"/>
  <c r="G8071" i="1"/>
  <c r="G7943" i="1"/>
  <c r="G7815" i="1"/>
  <c r="G7687" i="1"/>
  <c r="G7559" i="1"/>
  <c r="G7431" i="1"/>
  <c r="G7303" i="1"/>
  <c r="G7175" i="1"/>
  <c r="G7047" i="1"/>
  <c r="G6919" i="1"/>
  <c r="G6791" i="1"/>
  <c r="G6663" i="1"/>
  <c r="G6481" i="1"/>
  <c r="G6303" i="1"/>
  <c r="G5649" i="1"/>
  <c r="G5296" i="1"/>
  <c r="G4520" i="1"/>
  <c r="G6253" i="1"/>
  <c r="G6179" i="1"/>
  <c r="G6014" i="1"/>
  <c r="G5928" i="1"/>
  <c r="G5843" i="1"/>
  <c r="G5758" i="1"/>
  <c r="G5596" i="1"/>
  <c r="G5419" i="1"/>
  <c r="G5101" i="1"/>
  <c r="G4840" i="1"/>
  <c r="G4403" i="1"/>
  <c r="G3106" i="1"/>
  <c r="G6158" i="1"/>
  <c r="G5695" i="1"/>
  <c r="G5530" i="1"/>
  <c r="G5291" i="1"/>
  <c r="G4998" i="1"/>
  <c r="G4731" i="1"/>
  <c r="G4344" i="1"/>
  <c r="G6554" i="1"/>
  <c r="G6490" i="1"/>
  <c r="G6426" i="1"/>
  <c r="G6362" i="1"/>
  <c r="G6298" i="1"/>
  <c r="G6234" i="1"/>
  <c r="G6130" i="1"/>
  <c r="G5988" i="1"/>
  <c r="G5903" i="1"/>
  <c r="G5818" i="1"/>
  <c r="G5725" i="1"/>
  <c r="G5555" i="1"/>
  <c r="G5395" i="1"/>
  <c r="G5071" i="1"/>
  <c r="G4754" i="1"/>
  <c r="G4455" i="1"/>
  <c r="G3452" i="1"/>
  <c r="G6047" i="1"/>
  <c r="G5602" i="1"/>
  <c r="G5425" i="1"/>
  <c r="G5112" i="1"/>
  <c r="G4851" i="1"/>
  <c r="G4511" i="1"/>
  <c r="G3768" i="1"/>
  <c r="G5297" i="1"/>
  <c r="G5151" i="1"/>
  <c r="G5015" i="1"/>
  <c r="G4858" i="1"/>
  <c r="G4666" i="1"/>
  <c r="G4493" i="1"/>
  <c r="G4272" i="1"/>
  <c r="G3969" i="1"/>
  <c r="G3664" i="1"/>
  <c r="G4225" i="1"/>
  <c r="G3943" i="1"/>
  <c r="G3618" i="1"/>
  <c r="G5320" i="1"/>
  <c r="G5179" i="1"/>
  <c r="G5043" i="1"/>
  <c r="G4881" i="1"/>
  <c r="G4704" i="1"/>
  <c r="G4544" i="1"/>
  <c r="G4339" i="1"/>
  <c r="G4015" i="1"/>
  <c r="G3776" i="1"/>
  <c r="G5719" i="1"/>
  <c r="G5591" i="1"/>
  <c r="G5463" i="1"/>
  <c r="G5335" i="1"/>
  <c r="G5178" i="1"/>
  <c r="G5032" i="1"/>
  <c r="G4891" i="1"/>
  <c r="G4733" i="1"/>
  <c r="G4543" i="1"/>
  <c r="G4359" i="1"/>
  <c r="G4056" i="1"/>
  <c r="G3760" i="1"/>
  <c r="G2293" i="1"/>
  <c r="G6137" i="1"/>
  <c r="G6073" i="1"/>
  <c r="G6009" i="1"/>
  <c r="G5945" i="1"/>
  <c r="G5881" i="1"/>
  <c r="G5817" i="1"/>
  <c r="G5753" i="1"/>
  <c r="G5636" i="1"/>
  <c r="G5508" i="1"/>
  <c r="G5376" i="1"/>
  <c r="G5240" i="1"/>
  <c r="G5078" i="1"/>
  <c r="G4932" i="1"/>
  <c r="G4796" i="1"/>
  <c r="G4642" i="1"/>
  <c r="G4486" i="1"/>
  <c r="G4223" i="1"/>
  <c r="G3909" i="1"/>
  <c r="G3410" i="1"/>
  <c r="G4538" i="1"/>
  <c r="G4392" i="1"/>
  <c r="G4251" i="1"/>
  <c r="G4115" i="1"/>
  <c r="G3953" i="1"/>
  <c r="G3784" i="1"/>
  <c r="G3553" i="1"/>
  <c r="G2972" i="1"/>
  <c r="G2761" i="1"/>
  <c r="G3460" i="1"/>
  <c r="G2669" i="1"/>
  <c r="G4363" i="1"/>
  <c r="G4201" i="1"/>
  <c r="G4065" i="1"/>
  <c r="G3924" i="1"/>
  <c r="G3722" i="1"/>
  <c r="G3448" i="1"/>
  <c r="G2415" i="1"/>
  <c r="G4289" i="1"/>
  <c r="G4148" i="1"/>
  <c r="G3986" i="1"/>
  <c r="G3845" i="1"/>
  <c r="G3612" i="1"/>
  <c r="G3270" i="1"/>
  <c r="G5155" i="1"/>
  <c r="G4043" i="1"/>
  <c r="G3146" i="1"/>
  <c r="G2001" i="1"/>
  <c r="G3578" i="1"/>
  <c r="G4323" i="1"/>
  <c r="G3122" i="1"/>
  <c r="G2040" i="1"/>
  <c r="G3130" i="1"/>
  <c r="G3157" i="1"/>
  <c r="G2323" i="1"/>
  <c r="G2321" i="1"/>
  <c r="G2174" i="1"/>
  <c r="G3159" i="1"/>
  <c r="G2521" i="1"/>
  <c r="G1311" i="1"/>
  <c r="G8190" i="1"/>
  <c r="G8062" i="1"/>
  <c r="G7934" i="1"/>
  <c r="G7806" i="1"/>
  <c r="G7678" i="1"/>
  <c r="G7550" i="1"/>
  <c r="G7422" i="1"/>
  <c r="G7294" i="1"/>
  <c r="G7166" i="1"/>
  <c r="G7038" i="1"/>
  <c r="G6910" i="1"/>
  <c r="G6782" i="1"/>
  <c r="G6654" i="1"/>
  <c r="G6463" i="1"/>
  <c r="G6296" i="1"/>
  <c r="G5625" i="1"/>
  <c r="G5254" i="1"/>
  <c r="G4354" i="1"/>
  <c r="G6249" i="1"/>
  <c r="G6170" i="1"/>
  <c r="G6008" i="1"/>
  <c r="G5923" i="1"/>
  <c r="G5838" i="1"/>
  <c r="G5752" i="1"/>
  <c r="G5589" i="1"/>
  <c r="G5404" i="1"/>
  <c r="G5090" i="1"/>
  <c r="G4829" i="1"/>
  <c r="G4361" i="1"/>
  <c r="G2763" i="1"/>
  <c r="G6144" i="1"/>
  <c r="G5689" i="1"/>
  <c r="G5519" i="1"/>
  <c r="G5270" i="1"/>
  <c r="G4988" i="1"/>
  <c r="G4719" i="1"/>
  <c r="G4238" i="1"/>
  <c r="G6550" i="1"/>
  <c r="G6486" i="1"/>
  <c r="G6422" i="1"/>
  <c r="G6358" i="1"/>
  <c r="G6294" i="1"/>
  <c r="G6230" i="1"/>
  <c r="G6116" i="1"/>
  <c r="G5983" i="1"/>
  <c r="G5898" i="1"/>
  <c r="G5812" i="1"/>
  <c r="G5707" i="1"/>
  <c r="G5548" i="1"/>
  <c r="G5353" i="1"/>
  <c r="G5050" i="1"/>
  <c r="G4730" i="1"/>
  <c r="G4438" i="1"/>
  <c r="G3353" i="1"/>
  <c r="G6038" i="1"/>
  <c r="G5584" i="1"/>
  <c r="G5394" i="1"/>
  <c r="G5070" i="1"/>
  <c r="G4809" i="1"/>
  <c r="G4497" i="1"/>
  <c r="G3680" i="1"/>
  <c r="G5286" i="1"/>
  <c r="G5145" i="1"/>
  <c r="G4999" i="1"/>
  <c r="G4842" i="1"/>
  <c r="G4660" i="1"/>
  <c r="G4485" i="1"/>
  <c r="G4241" i="1"/>
  <c r="G3959" i="1"/>
  <c r="G3609" i="1"/>
  <c r="G4215" i="1"/>
  <c r="G3922" i="1"/>
  <c r="G3600" i="1"/>
  <c r="G5314" i="1"/>
  <c r="G5168" i="1"/>
  <c r="G5006" i="1"/>
  <c r="G4870" i="1"/>
  <c r="G4698" i="1"/>
  <c r="G4530" i="1"/>
  <c r="G4297" i="1"/>
  <c r="G3994" i="1"/>
  <c r="G3761" i="1"/>
  <c r="G5714" i="1"/>
  <c r="G5586" i="1"/>
  <c r="G5458" i="1"/>
  <c r="G5319" i="1"/>
  <c r="G5162" i="1"/>
  <c r="G5026" i="1"/>
  <c r="G4880" i="1"/>
  <c r="G4727" i="1"/>
  <c r="G4536" i="1"/>
  <c r="G4338" i="1"/>
  <c r="G4014" i="1"/>
  <c r="G3744" i="1"/>
  <c r="G1854" i="1"/>
  <c r="G6133" i="1"/>
  <c r="G6069" i="1"/>
  <c r="G6005" i="1"/>
  <c r="G5941" i="1"/>
  <c r="G5877" i="1"/>
  <c r="G5813" i="1"/>
  <c r="G5749" i="1"/>
  <c r="G5627" i="1"/>
  <c r="G5499" i="1"/>
  <c r="G5371" i="1"/>
  <c r="G5235" i="1"/>
  <c r="G5073" i="1"/>
  <c r="G4927" i="1"/>
  <c r="G4791" i="1"/>
  <c r="G4631" i="1"/>
  <c r="G4458" i="1"/>
  <c r="G4212" i="1"/>
  <c r="G3899" i="1"/>
  <c r="G3278" i="1"/>
  <c r="G4522" i="1"/>
  <c r="G4386" i="1"/>
  <c r="G4240" i="1"/>
  <c r="G4078" i="1"/>
  <c r="G3942" i="1"/>
  <c r="G3769" i="1"/>
  <c r="G3544" i="1"/>
  <c r="G2862" i="1"/>
  <c r="G2687" i="1"/>
  <c r="G3449" i="1"/>
  <c r="G2418" i="1"/>
  <c r="G4342" i="1"/>
  <c r="G4196" i="1"/>
  <c r="G4060" i="1"/>
  <c r="G3919" i="1"/>
  <c r="G3713" i="1"/>
  <c r="G3406" i="1"/>
  <c r="G2332" i="1"/>
  <c r="G4284" i="1"/>
  <c r="G4143" i="1"/>
  <c r="G3981" i="1"/>
  <c r="G3840" i="1"/>
  <c r="G3603" i="1"/>
  <c r="G3218" i="1"/>
  <c r="G5036" i="1"/>
  <c r="G3886" i="1"/>
  <c r="G2853" i="1"/>
  <c r="G3702" i="1"/>
  <c r="G3409" i="1"/>
  <c r="G4204" i="1"/>
  <c r="G2836" i="1"/>
  <c r="G3213" i="1"/>
  <c r="G2970" i="1"/>
  <c r="G2997" i="1"/>
  <c r="G2188" i="1"/>
  <c r="G2190" i="1"/>
  <c r="G2025" i="1"/>
  <c r="G3099" i="1"/>
  <c r="G1960" i="1"/>
  <c r="G832" i="1"/>
  <c r="G8185" i="1"/>
  <c r="G8057" i="1"/>
  <c r="G7929" i="1"/>
  <c r="G7801" i="1"/>
  <c r="G7673" i="1"/>
  <c r="G7545" i="1"/>
  <c r="G7417" i="1"/>
  <c r="G7289" i="1"/>
  <c r="G7161" i="1"/>
  <c r="G7033" i="1"/>
  <c r="G6905" i="1"/>
  <c r="G6777" i="1"/>
  <c r="G6649" i="1"/>
  <c r="G6456" i="1"/>
  <c r="G6289" i="1"/>
  <c r="G5601" i="1"/>
  <c r="G5192" i="1"/>
  <c r="G4302" i="1"/>
  <c r="G6245" i="1"/>
  <c r="G6156" i="1"/>
  <c r="G6003" i="1"/>
  <c r="G5918" i="1"/>
  <c r="G5832" i="1"/>
  <c r="G5747" i="1"/>
  <c r="G5571" i="1"/>
  <c r="G5383" i="1"/>
  <c r="G5080" i="1"/>
  <c r="G4819" i="1"/>
  <c r="G4250" i="1"/>
  <c r="G3554" i="1"/>
  <c r="G6135" i="1"/>
  <c r="G5671" i="1"/>
  <c r="G5512" i="1"/>
  <c r="G5249" i="1"/>
  <c r="G4967" i="1"/>
  <c r="G4695" i="1"/>
  <c r="G4177" i="1"/>
  <c r="G6546" i="1"/>
  <c r="G6482" i="1"/>
  <c r="G6418" i="1"/>
  <c r="G6354" i="1"/>
  <c r="G6290" i="1"/>
  <c r="G6226" i="1"/>
  <c r="G6107" i="1"/>
  <c r="G5978" i="1"/>
  <c r="G5892" i="1"/>
  <c r="G5807" i="1"/>
  <c r="G5701" i="1"/>
  <c r="G5542" i="1"/>
  <c r="G5343" i="1"/>
  <c r="G5029" i="1"/>
  <c r="G4718" i="1"/>
  <c r="G4385" i="1"/>
  <c r="G2928" i="1"/>
  <c r="G6024" i="1"/>
  <c r="G5578" i="1"/>
  <c r="G5384" i="1"/>
  <c r="G5060" i="1"/>
  <c r="G4799" i="1"/>
  <c r="G4421" i="1"/>
  <c r="G3580" i="1"/>
  <c r="G5281" i="1"/>
  <c r="G5140" i="1"/>
  <c r="G4978" i="1"/>
  <c r="G4837" i="1"/>
  <c r="G4648" i="1"/>
  <c r="G4479" i="1"/>
  <c r="G4230" i="1"/>
  <c r="G3917" i="1"/>
  <c r="G3589" i="1"/>
  <c r="G4173" i="1"/>
  <c r="G3912" i="1"/>
  <c r="G3527" i="1"/>
  <c r="G5309" i="1"/>
  <c r="G5163" i="1"/>
  <c r="G5001" i="1"/>
  <c r="G4865" i="1"/>
  <c r="G4692" i="1"/>
  <c r="G4523" i="1"/>
  <c r="G4287" i="1"/>
  <c r="G3973" i="1"/>
  <c r="G3726" i="1"/>
  <c r="G5705" i="1"/>
  <c r="G5577" i="1"/>
  <c r="G5449" i="1"/>
  <c r="G5298" i="1"/>
  <c r="G5157" i="1"/>
  <c r="G5021" i="1"/>
  <c r="G4875" i="1"/>
  <c r="G4721" i="1"/>
  <c r="G4494" i="1"/>
  <c r="G4328" i="1"/>
  <c r="G4004" i="1"/>
  <c r="G3689" i="1"/>
  <c r="G6193" i="1"/>
  <c r="G6129" i="1"/>
  <c r="G6065" i="1"/>
  <c r="G6001" i="1"/>
  <c r="G5937" i="1"/>
  <c r="G5873" i="1"/>
  <c r="G5809" i="1"/>
  <c r="G5745" i="1"/>
  <c r="G5622" i="1"/>
  <c r="G5494" i="1"/>
  <c r="G5360" i="1"/>
  <c r="G5198" i="1"/>
  <c r="G5062" i="1"/>
  <c r="G4921" i="1"/>
  <c r="G4768" i="1"/>
  <c r="G4625" i="1"/>
  <c r="G4442" i="1"/>
  <c r="G4170" i="1"/>
  <c r="G3888" i="1"/>
  <c r="G3209" i="1"/>
  <c r="G4517" i="1"/>
  <c r="G4381" i="1"/>
  <c r="G4235" i="1"/>
  <c r="G4073" i="1"/>
  <c r="G3937" i="1"/>
  <c r="G3762" i="1"/>
  <c r="G3535" i="1"/>
  <c r="G2776" i="1"/>
  <c r="G2604" i="1"/>
  <c r="G3418" i="1"/>
  <c r="G2167" i="1"/>
  <c r="G4337" i="1"/>
  <c r="G4191" i="1"/>
  <c r="G4055" i="1"/>
  <c r="G3898" i="1"/>
  <c r="G3704" i="1"/>
  <c r="G3394" i="1"/>
  <c r="G2165" i="1"/>
  <c r="G4279" i="1"/>
  <c r="G4122" i="1"/>
  <c r="G3976" i="1"/>
  <c r="G3835" i="1"/>
  <c r="G3566" i="1"/>
  <c r="G3200" i="1"/>
  <c r="G5027" i="1"/>
  <c r="G3881" i="1"/>
  <c r="G2842" i="1"/>
  <c r="G3693" i="1"/>
  <c r="G3392" i="1"/>
  <c r="G4195" i="1"/>
  <c r="G2825" i="1"/>
  <c r="G3204" i="1"/>
  <c r="G2961" i="1"/>
  <c r="G2988" i="1"/>
  <c r="G2182" i="1"/>
  <c r="G2185" i="1"/>
  <c r="G2002" i="1"/>
  <c r="G3095" i="1"/>
  <c r="G1950" i="1"/>
  <c r="G823" i="1"/>
  <c r="G8176" i="1"/>
  <c r="G8048" i="1"/>
  <c r="G7920" i="1"/>
  <c r="G7792" i="1"/>
  <c r="G7664" i="1"/>
  <c r="G7536" i="1"/>
  <c r="G7408" i="1"/>
  <c r="G7280" i="1"/>
  <c r="G7152" i="1"/>
  <c r="G7024" i="1"/>
  <c r="G6896" i="1"/>
  <c r="G6768" i="1"/>
  <c r="G6634" i="1"/>
  <c r="G6449" i="1"/>
  <c r="G6160" i="1"/>
  <c r="G5576" i="1"/>
  <c r="G5171" i="1"/>
  <c r="G4249" i="1"/>
  <c r="G6241" i="1"/>
  <c r="G6147" i="1"/>
  <c r="G5998" i="1"/>
  <c r="G5912" i="1"/>
  <c r="G5827" i="1"/>
  <c r="G5742" i="1"/>
  <c r="G5565" i="1"/>
  <c r="G5362" i="1"/>
  <c r="G5038" i="1"/>
  <c r="G4752" i="1"/>
  <c r="G4228" i="1"/>
  <c r="G3302" i="1"/>
  <c r="G6126" i="1"/>
  <c r="G5665" i="1"/>
  <c r="G5506" i="1"/>
  <c r="G5239" i="1"/>
  <c r="G4946" i="1"/>
  <c r="G4683" i="1"/>
  <c r="G4155" i="1"/>
  <c r="G6542" i="1"/>
  <c r="G6478" i="1"/>
  <c r="G6414" i="1"/>
  <c r="G6350" i="1"/>
  <c r="G6286" i="1"/>
  <c r="G6222" i="1"/>
  <c r="G6098" i="1"/>
  <c r="G5972" i="1"/>
  <c r="G5887" i="1"/>
  <c r="G5802" i="1"/>
  <c r="G5694" i="1"/>
  <c r="G5524" i="1"/>
  <c r="G5332" i="1"/>
  <c r="G5019" i="1"/>
  <c r="G4694" i="1"/>
  <c r="G4290" i="1"/>
  <c r="G6184" i="1"/>
  <c r="G5736" i="1"/>
  <c r="G5560" i="1"/>
  <c r="G5373" i="1"/>
  <c r="G5049" i="1"/>
  <c r="G4788" i="1"/>
  <c r="G4404" i="1"/>
  <c r="G2812" i="1"/>
  <c r="G5276" i="1"/>
  <c r="G5135" i="1"/>
  <c r="G4973" i="1"/>
  <c r="G4832" i="1"/>
  <c r="G4636" i="1"/>
  <c r="G4472" i="1"/>
  <c r="G4220" i="1"/>
  <c r="G3906" i="1"/>
  <c r="G3543" i="1"/>
  <c r="G4162" i="1"/>
  <c r="G3901" i="1"/>
  <c r="G3504" i="1"/>
  <c r="G5304" i="1"/>
  <c r="G5142" i="1"/>
  <c r="G4996" i="1"/>
  <c r="G4860" i="1"/>
  <c r="G4686" i="1"/>
  <c r="G4516" i="1"/>
  <c r="G4276" i="1"/>
  <c r="G3963" i="1"/>
  <c r="G3708" i="1"/>
  <c r="G5696" i="1"/>
  <c r="G5568" i="1"/>
  <c r="G5440" i="1"/>
  <c r="G5293" i="1"/>
  <c r="G5152" i="1"/>
  <c r="G5016" i="1"/>
  <c r="G4854" i="1"/>
  <c r="G4715" i="1"/>
  <c r="G4488" i="1"/>
  <c r="G4317" i="1"/>
  <c r="G3993" i="1"/>
  <c r="G3671" i="1"/>
  <c r="G6189" i="1"/>
  <c r="G6125" i="1"/>
  <c r="G6061" i="1"/>
  <c r="G5997" i="1"/>
  <c r="G5933" i="1"/>
  <c r="G5869" i="1"/>
  <c r="G5805" i="1"/>
  <c r="G5741" i="1"/>
  <c r="G5613" i="1"/>
  <c r="G5485" i="1"/>
  <c r="G5355" i="1"/>
  <c r="G5193" i="1"/>
  <c r="G5057" i="1"/>
  <c r="G4916" i="1"/>
  <c r="G4762" i="1"/>
  <c r="G4619" i="1"/>
  <c r="G4433" i="1"/>
  <c r="G4160" i="1"/>
  <c r="G3857" i="1"/>
  <c r="G3129" i="1"/>
  <c r="G4512" i="1"/>
  <c r="G4376" i="1"/>
  <c r="G4214" i="1"/>
  <c r="G4068" i="1"/>
  <c r="G3932" i="1"/>
  <c r="G3754" i="1"/>
  <c r="G3516" i="1"/>
  <c r="G2706" i="1"/>
  <c r="G2520" i="1"/>
  <c r="G3384" i="1"/>
  <c r="G2084" i="1"/>
  <c r="G4326" i="1"/>
  <c r="G4185" i="1"/>
  <c r="G4039" i="1"/>
  <c r="G3882" i="1"/>
  <c r="G3695" i="1"/>
  <c r="G3370" i="1"/>
  <c r="G2081" i="1"/>
  <c r="G4263" i="1"/>
  <c r="G4106" i="1"/>
  <c r="G3970" i="1"/>
  <c r="G3824" i="1"/>
  <c r="G3557" i="1"/>
  <c r="G3118" i="1"/>
  <c r="G4908" i="1"/>
  <c r="G3703" i="1"/>
  <c r="G2395" i="1"/>
  <c r="G3574" i="1"/>
  <c r="G3132" i="1"/>
  <c r="G4076" i="1"/>
  <c r="G2423" i="1"/>
  <c r="G3044" i="1"/>
  <c r="G2829" i="1"/>
  <c r="G2747" i="1"/>
  <c r="G2052" i="1"/>
  <c r="G2049" i="1"/>
  <c r="G1583" i="1"/>
  <c r="G3035" i="1"/>
  <c r="G1102" i="1"/>
  <c r="G90" i="1"/>
  <c r="G8167" i="1"/>
  <c r="G8039" i="1"/>
  <c r="G7911" i="1"/>
  <c r="G7783" i="1"/>
  <c r="G7655" i="1"/>
  <c r="G7527" i="1"/>
  <c r="G7399" i="1"/>
  <c r="G7271" i="1"/>
  <c r="G7143" i="1"/>
  <c r="G7015" i="1"/>
  <c r="G6887" i="1"/>
  <c r="G6759" i="1"/>
  <c r="G6618" i="1"/>
  <c r="G6431" i="1"/>
  <c r="G6151" i="1"/>
  <c r="G5552" i="1"/>
  <c r="G5129" i="1"/>
  <c r="G4135" i="1"/>
  <c r="G6237" i="1"/>
  <c r="G6138" i="1"/>
  <c r="G5992" i="1"/>
  <c r="G5907" i="1"/>
  <c r="G5822" i="1"/>
  <c r="G5724" i="1"/>
  <c r="G5547" i="1"/>
  <c r="G5352" i="1"/>
  <c r="G5028" i="1"/>
  <c r="G4681" i="1"/>
  <c r="G4197" i="1"/>
  <c r="G3607" i="1"/>
  <c r="G6112" i="1"/>
  <c r="G5658" i="1"/>
  <c r="G5488" i="1"/>
  <c r="G5197" i="1"/>
  <c r="G4936" i="1"/>
  <c r="G4659" i="1"/>
  <c r="G4124" i="1"/>
  <c r="G6538" i="1"/>
  <c r="G6474" i="1"/>
  <c r="G6410" i="1"/>
  <c r="G6346" i="1"/>
  <c r="G6282" i="1"/>
  <c r="G6218" i="1"/>
  <c r="G6084" i="1"/>
  <c r="G5967" i="1"/>
  <c r="G5882" i="1"/>
  <c r="G5796" i="1"/>
  <c r="G5683" i="1"/>
  <c r="G5518" i="1"/>
  <c r="G5290" i="1"/>
  <c r="G5008" i="1"/>
  <c r="G4682" i="1"/>
  <c r="G4260" i="1"/>
  <c r="G6175" i="1"/>
  <c r="G5730" i="1"/>
  <c r="G5553" i="1"/>
  <c r="G5363" i="1"/>
  <c r="G5039" i="1"/>
  <c r="G4777" i="1"/>
  <c r="G4343" i="1"/>
  <c r="G5407" i="1"/>
  <c r="G5271" i="1"/>
  <c r="G5114" i="1"/>
  <c r="G4968" i="1"/>
  <c r="G4827" i="1"/>
  <c r="G4630" i="1"/>
  <c r="G4464" i="1"/>
  <c r="G4199" i="1"/>
  <c r="G3896" i="1"/>
  <c r="G3462" i="1"/>
  <c r="G4152" i="1"/>
  <c r="G3891" i="1"/>
  <c r="G3444" i="1"/>
  <c r="G5299" i="1"/>
  <c r="G5137" i="1"/>
  <c r="G4991" i="1"/>
  <c r="G4855" i="1"/>
  <c r="G4680" i="1"/>
  <c r="G4509" i="1"/>
  <c r="G4234" i="1"/>
  <c r="G3952" i="1"/>
  <c r="G3653" i="1"/>
  <c r="G5687" i="1"/>
  <c r="G5559" i="1"/>
  <c r="G5431" i="1"/>
  <c r="G5288" i="1"/>
  <c r="G5147" i="1"/>
  <c r="G5011" i="1"/>
  <c r="G4849" i="1"/>
  <c r="G4709" i="1"/>
  <c r="G4480" i="1"/>
  <c r="G4307" i="1"/>
  <c r="G3983" i="1"/>
  <c r="G3634" i="1"/>
  <c r="G6185" i="1"/>
  <c r="G6121" i="1"/>
  <c r="G6057" i="1"/>
  <c r="G5993" i="1"/>
  <c r="G5929" i="1"/>
  <c r="G5865" i="1"/>
  <c r="G5801" i="1"/>
  <c r="G5732" i="1"/>
  <c r="G5604" i="1"/>
  <c r="G5476" i="1"/>
  <c r="G5334" i="1"/>
  <c r="G5188" i="1"/>
  <c r="G5052" i="1"/>
  <c r="G4911" i="1"/>
  <c r="G4756" i="1"/>
  <c r="G4612" i="1"/>
  <c r="G4425" i="1"/>
  <c r="G4139" i="1"/>
  <c r="G3846" i="1"/>
  <c r="G3001" i="1"/>
  <c r="G4507" i="1"/>
  <c r="G4371" i="1"/>
  <c r="G4209" i="1"/>
  <c r="G4063" i="1"/>
  <c r="G3927" i="1"/>
  <c r="G3745" i="1"/>
  <c r="G3474" i="1"/>
  <c r="G2541" i="1"/>
  <c r="G2353" i="1"/>
  <c r="G3360" i="1"/>
  <c r="G4457" i="1"/>
  <c r="G4321" i="1"/>
  <c r="G4180" i="1"/>
  <c r="G4018" i="1"/>
  <c r="G3877" i="1"/>
  <c r="G3658" i="1"/>
  <c r="G3346" i="1"/>
  <c r="G1614" i="1"/>
  <c r="G4242" i="1"/>
  <c r="G4101" i="1"/>
  <c r="G3965" i="1"/>
  <c r="G3812" i="1"/>
  <c r="G3548" i="1"/>
  <c r="G3056" i="1"/>
  <c r="G4899" i="1"/>
  <c r="G3666" i="1"/>
  <c r="G2374" i="1"/>
  <c r="G3565" i="1"/>
  <c r="G3086" i="1"/>
  <c r="G4067" i="1"/>
  <c r="G2340" i="1"/>
  <c r="G3030" i="1"/>
  <c r="G2824" i="1"/>
  <c r="G2738" i="1"/>
  <c r="G2029" i="1"/>
  <c r="G2044" i="1"/>
  <c r="G1532" i="1"/>
  <c r="G3031" i="1"/>
  <c r="G1097" i="1"/>
  <c r="G68" i="1"/>
  <c r="G8158" i="1"/>
  <c r="G8030" i="1"/>
  <c r="G7902" i="1"/>
  <c r="G7774" i="1"/>
  <c r="G7646" i="1"/>
  <c r="G7518" i="1"/>
  <c r="G7390" i="1"/>
  <c r="G7262" i="1"/>
  <c r="G7134" i="1"/>
  <c r="G7006" i="1"/>
  <c r="G6878" i="1"/>
  <c r="G6750" i="1"/>
  <c r="G6602" i="1"/>
  <c r="G6424" i="1"/>
  <c r="G6142" i="1"/>
  <c r="G5528" i="1"/>
  <c r="G5108" i="1"/>
  <c r="G4082" i="1"/>
  <c r="G6233" i="1"/>
  <c r="G6124" i="1"/>
  <c r="G5987" i="1"/>
  <c r="G5902" i="1"/>
  <c r="G5816" i="1"/>
  <c r="G5717" i="1"/>
  <c r="G5541" i="1"/>
  <c r="G5341" i="1"/>
  <c r="G5017" i="1"/>
  <c r="G4657" i="1"/>
  <c r="G4166" i="1"/>
  <c r="G3536" i="1"/>
  <c r="G6103" i="1"/>
  <c r="G5647" i="1"/>
  <c r="G5482" i="1"/>
  <c r="G5186" i="1"/>
  <c r="G4925" i="1"/>
  <c r="G4647" i="1"/>
  <c r="G4093" i="1"/>
  <c r="G6534" i="1"/>
  <c r="G6470" i="1"/>
  <c r="G6406" i="1"/>
  <c r="G6342" i="1"/>
  <c r="G6278" i="1"/>
  <c r="G6214" i="1"/>
  <c r="G6075" i="1"/>
  <c r="G5962" i="1"/>
  <c r="G5876" i="1"/>
  <c r="G5791" i="1"/>
  <c r="G5676" i="1"/>
  <c r="G5500" i="1"/>
  <c r="G5280" i="1"/>
  <c r="G4977" i="1"/>
  <c r="G4671" i="1"/>
  <c r="G4229" i="1"/>
  <c r="G6166" i="1"/>
  <c r="G5712" i="1"/>
  <c r="G5535" i="1"/>
  <c r="G5321" i="1"/>
  <c r="G5018" i="1"/>
  <c r="G4765" i="1"/>
  <c r="G4312" i="1"/>
  <c r="G5401" i="1"/>
  <c r="G5255" i="1"/>
  <c r="G5098" i="1"/>
  <c r="G4962" i="1"/>
  <c r="G4816" i="1"/>
  <c r="G4624" i="1"/>
  <c r="G4432" i="1"/>
  <c r="G4178" i="1"/>
  <c r="G3854" i="1"/>
  <c r="G3432" i="1"/>
  <c r="G4110" i="1"/>
  <c r="G3849" i="1"/>
  <c r="G3388" i="1"/>
  <c r="G5262" i="1"/>
  <c r="G5126" i="1"/>
  <c r="G4985" i="1"/>
  <c r="G4839" i="1"/>
  <c r="G4668" i="1"/>
  <c r="G4502" i="1"/>
  <c r="G4224" i="1"/>
  <c r="G3921" i="1"/>
  <c r="G3635" i="1"/>
  <c r="G5682" i="1"/>
  <c r="G5554" i="1"/>
  <c r="G5426" i="1"/>
  <c r="G5282" i="1"/>
  <c r="G5136" i="1"/>
  <c r="G4974" i="1"/>
  <c r="G4838" i="1"/>
  <c r="G4697" i="1"/>
  <c r="G4473" i="1"/>
  <c r="G4265" i="1"/>
  <c r="G3962" i="1"/>
  <c r="G3616" i="1"/>
  <c r="G6181" i="1"/>
  <c r="G6117" i="1"/>
  <c r="G6053" i="1"/>
  <c r="G5989" i="1"/>
  <c r="G5925" i="1"/>
  <c r="G5861" i="1"/>
  <c r="G5797" i="1"/>
  <c r="G5723" i="1"/>
  <c r="G5595" i="1"/>
  <c r="G5467" i="1"/>
  <c r="G5329" i="1"/>
  <c r="G5183" i="1"/>
  <c r="G5047" i="1"/>
  <c r="G4890" i="1"/>
  <c r="G4750" i="1"/>
  <c r="G4598" i="1"/>
  <c r="G4408" i="1"/>
  <c r="G4118" i="1"/>
  <c r="G3836" i="1"/>
  <c r="G2854" i="1"/>
  <c r="G4496" i="1"/>
  <c r="G4334" i="1"/>
  <c r="G4198" i="1"/>
  <c r="G4057" i="1"/>
  <c r="G3911" i="1"/>
  <c r="G3736" i="1"/>
  <c r="G3464" i="1"/>
  <c r="G2290" i="1"/>
  <c r="G2269" i="1"/>
  <c r="G3298" i="1"/>
  <c r="G4452" i="1"/>
  <c r="G4316" i="1"/>
  <c r="G4175" i="1"/>
  <c r="G4013" i="1"/>
  <c r="G3872" i="1"/>
  <c r="G3649" i="1"/>
  <c r="G3321" i="1"/>
  <c r="G4399" i="1"/>
  <c r="G4237" i="1"/>
  <c r="G4096" i="1"/>
  <c r="G3960" i="1"/>
  <c r="G3786" i="1"/>
  <c r="G3539" i="1"/>
  <c r="G2946" i="1"/>
  <c r="G4774" i="1"/>
  <c r="G3369" i="1"/>
  <c r="G3090" i="1"/>
  <c r="G3420" i="1"/>
  <c r="G2677" i="1"/>
  <c r="G3948" i="1"/>
  <c r="G1229" i="1"/>
  <c r="G2870" i="1"/>
  <c r="G2651" i="1"/>
  <c r="G2483" i="1"/>
  <c r="G1699" i="1"/>
  <c r="G1668" i="1"/>
  <c r="G3483" i="1"/>
  <c r="G2971" i="1"/>
  <c r="G1273" i="1"/>
  <c r="G585" i="1"/>
  <c r="G8153" i="1"/>
  <c r="G8025" i="1"/>
  <c r="G7897" i="1"/>
  <c r="G7769" i="1"/>
  <c r="G7641" i="1"/>
  <c r="G7513" i="1"/>
  <c r="G7385" i="1"/>
  <c r="G7257" i="1"/>
  <c r="G7129" i="1"/>
  <c r="G7001" i="1"/>
  <c r="G6873" i="1"/>
  <c r="G6745" i="1"/>
  <c r="G6586" i="1"/>
  <c r="G6417" i="1"/>
  <c r="G6096" i="1"/>
  <c r="G5503" i="1"/>
  <c r="G5066" i="1"/>
  <c r="G4029" i="1"/>
  <c r="G6229" i="1"/>
  <c r="G6115" i="1"/>
  <c r="G5982" i="1"/>
  <c r="G5896" i="1"/>
  <c r="G5811" i="1"/>
  <c r="G5699" i="1"/>
  <c r="G5534" i="1"/>
  <c r="G5331" i="1"/>
  <c r="G5007" i="1"/>
  <c r="G4645" i="1"/>
  <c r="G4144" i="1"/>
  <c r="G3264" i="1"/>
  <c r="G6094" i="1"/>
  <c r="G5640" i="1"/>
  <c r="G5464" i="1"/>
  <c r="G5176" i="1"/>
  <c r="G4915" i="1"/>
  <c r="G4596" i="1"/>
  <c r="G4071" i="1"/>
  <c r="G6530" i="1"/>
  <c r="G6466" i="1"/>
  <c r="G6402" i="1"/>
  <c r="G6338" i="1"/>
  <c r="G6274" i="1"/>
  <c r="G6210" i="1"/>
  <c r="G6066" i="1"/>
  <c r="G5956" i="1"/>
  <c r="G5871" i="1"/>
  <c r="G5786" i="1"/>
  <c r="G5670" i="1"/>
  <c r="G5493" i="1"/>
  <c r="G5259" i="1"/>
  <c r="G4966" i="1"/>
  <c r="G4658" i="1"/>
  <c r="G4207" i="1"/>
  <c r="G6152" i="1"/>
  <c r="G5706" i="1"/>
  <c r="G5529" i="1"/>
  <c r="G5311" i="1"/>
  <c r="G4997" i="1"/>
  <c r="G4753" i="1"/>
  <c r="G4281" i="1"/>
  <c r="G5396" i="1"/>
  <c r="G5234" i="1"/>
  <c r="G5093" i="1"/>
  <c r="G4957" i="1"/>
  <c r="G4811" i="1"/>
  <c r="G4618" i="1"/>
  <c r="G4424" i="1"/>
  <c r="G4168" i="1"/>
  <c r="G3844" i="1"/>
  <c r="G3402" i="1"/>
  <c r="G4100" i="1"/>
  <c r="G3839" i="1"/>
  <c r="G5413" i="1"/>
  <c r="G5257" i="1"/>
  <c r="G5121" i="1"/>
  <c r="G4980" i="1"/>
  <c r="G4818" i="1"/>
  <c r="G4662" i="1"/>
  <c r="G4495" i="1"/>
  <c r="G4203" i="1"/>
  <c r="G3910" i="1"/>
  <c r="G3598" i="1"/>
  <c r="G5673" i="1"/>
  <c r="G5545" i="1"/>
  <c r="G5417" i="1"/>
  <c r="G5277" i="1"/>
  <c r="G5131" i="1"/>
  <c r="G4969" i="1"/>
  <c r="G4833" i="1"/>
  <c r="G4685" i="1"/>
  <c r="G4467" i="1"/>
  <c r="G4255" i="1"/>
  <c r="G3941" i="1"/>
  <c r="G3571" i="1"/>
  <c r="G6177" i="1"/>
  <c r="G6113" i="1"/>
  <c r="G6049" i="1"/>
  <c r="G5985" i="1"/>
  <c r="G5921" i="1"/>
  <c r="G5857" i="1"/>
  <c r="G5793" i="1"/>
  <c r="G5718" i="1"/>
  <c r="G5590" i="1"/>
  <c r="G5462" i="1"/>
  <c r="G5318" i="1"/>
  <c r="G5177" i="1"/>
  <c r="G5031" i="1"/>
  <c r="G4874" i="1"/>
  <c r="G4738" i="1"/>
  <c r="G4591" i="1"/>
  <c r="G4400" i="1"/>
  <c r="G4097" i="1"/>
  <c r="G3813" i="1"/>
  <c r="G2606" i="1"/>
  <c r="G4491" i="1"/>
  <c r="G4329" i="1"/>
  <c r="G4193" i="1"/>
  <c r="G4052" i="1"/>
  <c r="G3890" i="1"/>
  <c r="G3727" i="1"/>
  <c r="G3453" i="1"/>
  <c r="G1838" i="1"/>
  <c r="G2102" i="1"/>
  <c r="G3257" i="1"/>
  <c r="G4447" i="1"/>
  <c r="G4311" i="1"/>
  <c r="G4154" i="1"/>
  <c r="G4008" i="1"/>
  <c r="G3867" i="1"/>
  <c r="G3640" i="1"/>
  <c r="G3297" i="1"/>
  <c r="G4378" i="1"/>
  <c r="G4232" i="1"/>
  <c r="G4091" i="1"/>
  <c r="G3955" i="1"/>
  <c r="G3772" i="1"/>
  <c r="G3510" i="1"/>
  <c r="G2873" i="1"/>
  <c r="G4769" i="1"/>
  <c r="G3344" i="1"/>
  <c r="G3081" i="1"/>
  <c r="G3398" i="1"/>
  <c r="G2656" i="1"/>
  <c r="G3939" i="1"/>
  <c r="G3261" i="1"/>
  <c r="G2861" i="1"/>
  <c r="G2641" i="1"/>
  <c r="G2473" i="1"/>
  <c r="G1678" i="1"/>
  <c r="G1647" i="1"/>
  <c r="G3479" i="1"/>
  <c r="G2967" i="1"/>
  <c r="G1268" i="1"/>
  <c r="G576" i="1"/>
  <c r="G8144" i="1"/>
  <c r="G8016" i="1"/>
  <c r="G7888" i="1"/>
  <c r="G7760" i="1"/>
  <c r="G7632" i="1"/>
  <c r="G7504" i="1"/>
  <c r="G7376" i="1"/>
  <c r="G7248" i="1"/>
  <c r="G7120" i="1"/>
  <c r="G6992" i="1"/>
  <c r="G6864" i="1"/>
  <c r="G6736" i="1"/>
  <c r="G6570" i="1"/>
  <c r="G6399" i="1"/>
  <c r="G6087" i="1"/>
  <c r="G5479" i="1"/>
  <c r="G4983" i="1"/>
  <c r="G3968" i="1"/>
  <c r="G6225" i="1"/>
  <c r="G6106" i="1"/>
  <c r="G5976" i="1"/>
  <c r="G5891" i="1"/>
  <c r="G5806" i="1"/>
  <c r="G5693" i="1"/>
  <c r="G5523" i="1"/>
  <c r="G5289" i="1"/>
  <c r="G4986" i="1"/>
  <c r="G4621" i="1"/>
  <c r="G4083" i="1"/>
  <c r="G3074" i="1"/>
  <c r="G6080" i="1"/>
  <c r="G5634" i="1"/>
  <c r="G5457" i="1"/>
  <c r="G5134" i="1"/>
  <c r="G4873" i="1"/>
  <c r="G4582" i="1"/>
  <c r="G3926" i="1"/>
  <c r="G6526" i="1"/>
  <c r="G6462" i="1"/>
  <c r="G6398" i="1"/>
  <c r="G6334" i="1"/>
  <c r="G6270" i="1"/>
  <c r="G6206" i="1"/>
  <c r="G6052" i="1"/>
  <c r="G5951" i="1"/>
  <c r="G5866" i="1"/>
  <c r="G5780" i="1"/>
  <c r="G5652" i="1"/>
  <c r="G5475" i="1"/>
  <c r="G5238" i="1"/>
  <c r="G4956" i="1"/>
  <c r="G4646" i="1"/>
  <c r="G4176" i="1"/>
  <c r="G6143" i="1"/>
  <c r="G5688" i="1"/>
  <c r="G5511" i="1"/>
  <c r="G5300" i="1"/>
  <c r="G4987" i="1"/>
  <c r="G4741" i="1"/>
  <c r="G4145" i="1"/>
  <c r="G5391" i="1"/>
  <c r="G5229" i="1"/>
  <c r="G5088" i="1"/>
  <c r="G4952" i="1"/>
  <c r="G4790" i="1"/>
  <c r="G4610" i="1"/>
  <c r="G4416" i="1"/>
  <c r="G4157" i="1"/>
  <c r="G3833" i="1"/>
  <c r="G3193" i="1"/>
  <c r="G4089" i="1"/>
  <c r="G3828" i="1"/>
  <c r="G5398" i="1"/>
  <c r="G5252" i="1"/>
  <c r="G5116" i="1"/>
  <c r="G4975" i="1"/>
  <c r="G4813" i="1"/>
  <c r="G4656" i="1"/>
  <c r="G4481" i="1"/>
  <c r="G4182" i="1"/>
  <c r="G3900" i="1"/>
  <c r="G3552" i="1"/>
  <c r="G5664" i="1"/>
  <c r="G5536" i="1"/>
  <c r="G5408" i="1"/>
  <c r="G5272" i="1"/>
  <c r="G5110" i="1"/>
  <c r="G4964" i="1"/>
  <c r="G4828" i="1"/>
  <c r="G4679" i="1"/>
  <c r="G4459" i="1"/>
  <c r="G4244" i="1"/>
  <c r="G3931" i="1"/>
  <c r="G3545" i="1"/>
  <c r="G6173" i="1"/>
  <c r="G6109" i="1"/>
  <c r="G6045" i="1"/>
  <c r="G5981" i="1"/>
  <c r="G5917" i="1"/>
  <c r="G5853" i="1"/>
  <c r="G5789" i="1"/>
  <c r="G5709" i="1"/>
  <c r="G5581" i="1"/>
  <c r="G5453" i="1"/>
  <c r="G5313" i="1"/>
  <c r="G5172" i="1"/>
  <c r="G5010" i="1"/>
  <c r="G4869" i="1"/>
  <c r="G4732" i="1"/>
  <c r="G4584" i="1"/>
  <c r="G4369" i="1"/>
  <c r="G4087" i="1"/>
  <c r="G3801" i="1"/>
  <c r="G2272" i="1"/>
  <c r="G4470" i="1"/>
  <c r="G4324" i="1"/>
  <c r="G4188" i="1"/>
  <c r="G4047" i="1"/>
  <c r="G3885" i="1"/>
  <c r="G3690" i="1"/>
  <c r="G3401" i="1"/>
  <c r="G3362" i="1"/>
  <c r="G2012" i="1"/>
  <c r="G3202" i="1"/>
  <c r="G4441" i="1"/>
  <c r="G4295" i="1"/>
  <c r="G4138" i="1"/>
  <c r="G4002" i="1"/>
  <c r="G3856" i="1"/>
  <c r="G3631" i="1"/>
  <c r="G3237" i="1"/>
  <c r="G4362" i="1"/>
  <c r="G4226" i="1"/>
  <c r="G4080" i="1"/>
  <c r="G3918" i="1"/>
  <c r="G3749" i="1"/>
  <c r="G3489" i="1"/>
  <c r="G2833" i="1"/>
  <c r="G4633" i="1"/>
  <c r="G1406" i="1"/>
  <c r="G2809" i="1"/>
  <c r="G3114" i="1"/>
  <c r="G2092" i="1"/>
  <c r="G3820" i="1"/>
  <c r="G3101" i="1"/>
  <c r="G2547" i="1"/>
  <c r="G2390" i="1"/>
  <c r="G2170" i="1"/>
  <c r="G1271" i="1"/>
  <c r="G2755" i="1"/>
  <c r="G3419" i="1"/>
  <c r="G2907" i="1"/>
  <c r="G985" i="1"/>
  <c r="G391" i="1"/>
  <c r="G8135" i="1"/>
  <c r="G8007" i="1"/>
  <c r="G7879" i="1"/>
  <c r="G7751" i="1"/>
  <c r="G7623" i="1"/>
  <c r="G7495" i="1"/>
  <c r="G7367" i="1"/>
  <c r="G7239" i="1"/>
  <c r="G7111" i="1"/>
  <c r="G6983" i="1"/>
  <c r="G6855" i="1"/>
  <c r="G6727" i="1"/>
  <c r="G6559" i="1"/>
  <c r="G6392" i="1"/>
  <c r="G6078" i="1"/>
  <c r="G5466" i="1"/>
  <c r="G4941" i="1"/>
  <c r="G3915" i="1"/>
  <c r="G6221" i="1"/>
  <c r="G6092" i="1"/>
  <c r="G5971" i="1"/>
  <c r="G5886" i="1"/>
  <c r="G5800" i="1"/>
  <c r="G5675" i="1"/>
  <c r="G5516" i="1"/>
  <c r="G5279" i="1"/>
  <c r="G4965" i="1"/>
  <c r="G4608" i="1"/>
  <c r="G3977" i="1"/>
  <c r="G2460" i="1"/>
  <c r="G6071" i="1"/>
  <c r="G5616" i="1"/>
  <c r="G5439" i="1"/>
  <c r="G5124" i="1"/>
  <c r="G4863" i="1"/>
  <c r="G4568" i="1"/>
  <c r="G3904" i="1"/>
  <c r="G6522" i="1"/>
  <c r="G6458" i="1"/>
  <c r="G6394" i="1"/>
  <c r="G6330" i="1"/>
  <c r="G6266" i="1"/>
  <c r="G6202" i="1"/>
  <c r="G6043" i="1"/>
  <c r="G5946" i="1"/>
  <c r="G5860" i="1"/>
  <c r="G5775" i="1"/>
  <c r="G5646" i="1"/>
  <c r="G5469" i="1"/>
  <c r="G5217" i="1"/>
  <c r="G4935" i="1"/>
  <c r="G4635" i="1"/>
  <c r="G4040" i="1"/>
  <c r="G6134" i="1"/>
  <c r="G5681" i="1"/>
  <c r="G5505" i="1"/>
  <c r="G5258" i="1"/>
  <c r="G4976" i="1"/>
  <c r="G4729" i="1"/>
  <c r="G4114" i="1"/>
  <c r="G5370" i="1"/>
  <c r="G5224" i="1"/>
  <c r="G5083" i="1"/>
  <c r="G4947" i="1"/>
  <c r="G4785" i="1"/>
  <c r="G4604" i="1"/>
  <c r="G4407" i="1"/>
  <c r="G4147" i="1"/>
  <c r="G3822" i="1"/>
  <c r="G2822" i="1"/>
  <c r="G4079" i="1"/>
  <c r="G3804" i="1"/>
  <c r="G5393" i="1"/>
  <c r="G5247" i="1"/>
  <c r="G5111" i="1"/>
  <c r="G4954" i="1"/>
  <c r="G4808" i="1"/>
  <c r="G4650" i="1"/>
  <c r="G4474" i="1"/>
  <c r="G4161" i="1"/>
  <c r="G3879" i="1"/>
  <c r="G3525" i="1"/>
  <c r="G5655" i="1"/>
  <c r="G5527" i="1"/>
  <c r="G5403" i="1"/>
  <c r="G5267" i="1"/>
  <c r="G5105" i="1"/>
  <c r="G4959" i="1"/>
  <c r="G4823" i="1"/>
  <c r="G4673" i="1"/>
  <c r="G4443" i="1"/>
  <c r="G4202" i="1"/>
  <c r="G3920" i="1"/>
  <c r="G3494" i="1"/>
  <c r="G6169" i="1"/>
  <c r="G6105" i="1"/>
  <c r="G6041" i="1"/>
  <c r="G5977" i="1"/>
  <c r="G5913" i="1"/>
  <c r="G5849" i="1"/>
  <c r="G5785" i="1"/>
  <c r="G5700" i="1"/>
  <c r="G5572" i="1"/>
  <c r="G5444" i="1"/>
  <c r="G5308" i="1"/>
  <c r="G5167" i="1"/>
  <c r="G5005" i="1"/>
  <c r="G4864" i="1"/>
  <c r="G4726" i="1"/>
  <c r="G4577" i="1"/>
  <c r="G4358" i="1"/>
  <c r="G4045" i="1"/>
  <c r="G3759" i="1"/>
  <c r="G1760" i="1"/>
  <c r="G4465" i="1"/>
  <c r="G4319" i="1"/>
  <c r="G4183" i="1"/>
  <c r="G4026" i="1"/>
  <c r="G3880" i="1"/>
  <c r="G3681" i="1"/>
  <c r="G3376" i="1"/>
  <c r="G3338" i="1"/>
  <c r="G1739" i="1"/>
  <c r="G3184" i="1"/>
  <c r="G4436" i="1"/>
  <c r="G4274" i="1"/>
  <c r="G4133" i="1"/>
  <c r="G3997" i="1"/>
  <c r="G3851" i="1"/>
  <c r="G3594" i="1"/>
  <c r="G3182" i="1"/>
  <c r="G4357" i="1"/>
  <c r="G4221" i="1"/>
  <c r="G4075" i="1"/>
  <c r="G3913" i="1"/>
  <c r="G3740" i="1"/>
  <c r="G3437" i="1"/>
  <c r="G2790" i="1"/>
  <c r="G4628" i="1"/>
  <c r="G3819" i="1"/>
  <c r="G2798" i="1"/>
  <c r="G3105" i="1"/>
  <c r="G2026" i="1"/>
  <c r="G3811" i="1"/>
  <c r="G3092" i="1"/>
  <c r="G2537" i="1"/>
  <c r="G2380" i="1"/>
  <c r="G2159" i="1"/>
  <c r="G1013" i="1"/>
  <c r="G2746" i="1"/>
  <c r="G3415" i="1"/>
  <c r="G2903" i="1"/>
  <c r="G973" i="1"/>
  <c r="G387" i="1"/>
  <c r="G5406" i="1"/>
  <c r="G5278" i="1"/>
  <c r="G5150" i="1"/>
  <c r="G5022" i="1"/>
  <c r="G4894" i="1"/>
  <c r="G4764" i="1"/>
  <c r="G4623" i="1"/>
  <c r="G4461" i="1"/>
  <c r="G4320" i="1"/>
  <c r="G4184" i="1"/>
  <c r="G4022" i="1"/>
  <c r="G3876" i="1"/>
  <c r="G3657" i="1"/>
  <c r="G3320" i="1"/>
  <c r="G3814" i="1"/>
  <c r="G3686" i="1"/>
  <c r="G3558" i="1"/>
  <c r="G3396" i="1"/>
  <c r="G3137" i="1"/>
  <c r="G2832" i="1"/>
  <c r="G2312" i="1"/>
  <c r="G3072" i="1"/>
  <c r="G2788" i="1"/>
  <c r="G2225" i="1"/>
  <c r="G2960" i="1"/>
  <c r="G2554" i="1"/>
  <c r="G1954" i="1"/>
  <c r="G3684" i="1"/>
  <c r="G3556" i="1"/>
  <c r="G3380" i="1"/>
  <c r="G3096" i="1"/>
  <c r="G2794" i="1"/>
  <c r="G2259" i="1"/>
  <c r="G3697" i="1"/>
  <c r="G3569" i="1"/>
  <c r="G3385" i="1"/>
  <c r="G3077" i="1"/>
  <c r="G2614" i="1"/>
  <c r="G1996" i="1"/>
  <c r="G4702" i="1"/>
  <c r="G4574" i="1"/>
  <c r="G4446" i="1"/>
  <c r="G4318" i="1"/>
  <c r="G4190" i="1"/>
  <c r="G4062" i="1"/>
  <c r="G3934" i="1"/>
  <c r="G3806" i="1"/>
  <c r="G3678" i="1"/>
  <c r="G3550" i="1"/>
  <c r="G3366" i="1"/>
  <c r="G3113" i="1"/>
  <c r="G2814" i="1"/>
  <c r="G2298" i="1"/>
  <c r="G3252" i="1"/>
  <c r="G3078" i="1"/>
  <c r="G2909" i="1"/>
  <c r="G2605" i="1"/>
  <c r="G2302" i="1"/>
  <c r="G2028" i="1"/>
  <c r="G3190" i="1"/>
  <c r="G3021" i="1"/>
  <c r="G2786" i="1"/>
  <c r="G2516" i="1"/>
  <c r="G2213" i="1"/>
  <c r="G1828" i="1"/>
  <c r="G3290" i="1"/>
  <c r="G3121" i="1"/>
  <c r="G2952" i="1"/>
  <c r="G2818" i="1"/>
  <c r="G2630" i="1"/>
  <c r="G2369" i="1"/>
  <c r="G2056" i="1"/>
  <c r="G3486" i="1"/>
  <c r="G3317" i="1"/>
  <c r="G3148" i="1"/>
  <c r="G2974" i="1"/>
  <c r="G2729" i="1"/>
  <c r="G2452" i="1"/>
  <c r="G2149" i="1"/>
  <c r="G2749" i="1"/>
  <c r="G2616" i="1"/>
  <c r="G2454" i="1"/>
  <c r="G2318" i="1"/>
  <c r="G2177" i="1"/>
  <c r="G2022" i="1"/>
  <c r="G1657" i="1"/>
  <c r="G1835" i="1"/>
  <c r="G2756" i="1"/>
  <c r="G2624" i="1"/>
  <c r="G2462" i="1"/>
  <c r="G2316" i="1"/>
  <c r="G2180" i="1"/>
  <c r="G2038" i="1"/>
  <c r="G1605" i="1"/>
  <c r="G2737" i="1"/>
  <c r="G2607" i="1"/>
  <c r="G2461" i="1"/>
  <c r="G2299" i="1"/>
  <c r="G2163" i="1"/>
  <c r="G1992" i="1"/>
  <c r="G1478" i="1"/>
  <c r="G3475" i="1"/>
  <c r="G3411" i="1"/>
  <c r="G3347" i="1"/>
  <c r="G3283" i="1"/>
  <c r="G3219" i="1"/>
  <c r="G3155" i="1"/>
  <c r="G3091" i="1"/>
  <c r="G3027" i="1"/>
  <c r="G2963" i="1"/>
  <c r="G2899" i="1"/>
  <c r="G2835" i="1"/>
  <c r="G1391" i="1"/>
  <c r="G1683" i="1"/>
  <c r="G2402" i="1"/>
  <c r="G1815" i="1"/>
  <c r="G933" i="1"/>
  <c r="G1127" i="1"/>
  <c r="G1904" i="1"/>
  <c r="G803" i="1"/>
  <c r="G654" i="1"/>
  <c r="G747" i="1"/>
  <c r="G1192" i="1"/>
  <c r="G694" i="1"/>
  <c r="G550" i="1"/>
  <c r="G416" i="1"/>
  <c r="G321" i="1"/>
  <c r="G5397" i="1"/>
  <c r="G5269" i="1"/>
  <c r="G5141" i="1"/>
  <c r="G5013" i="1"/>
  <c r="G4885" i="1"/>
  <c r="G4759" i="1"/>
  <c r="G4602" i="1"/>
  <c r="G4456" i="1"/>
  <c r="G4315" i="1"/>
  <c r="G4179" i="1"/>
  <c r="G4017" i="1"/>
  <c r="G3871" i="1"/>
  <c r="G3648" i="1"/>
  <c r="G3296" i="1"/>
  <c r="G3805" i="1"/>
  <c r="G3677" i="1"/>
  <c r="G3549" i="1"/>
  <c r="G3389" i="1"/>
  <c r="G3128" i="1"/>
  <c r="G2821" i="1"/>
  <c r="G2270" i="1"/>
  <c r="G3026" i="1"/>
  <c r="G2775" i="1"/>
  <c r="G2204" i="1"/>
  <c r="G2914" i="1"/>
  <c r="G2533" i="1"/>
  <c r="G1894" i="1"/>
  <c r="G3675" i="1"/>
  <c r="G3547" i="1"/>
  <c r="G3374" i="1"/>
  <c r="G3050" i="1"/>
  <c r="G2783" i="1"/>
  <c r="G2197" i="1"/>
  <c r="G3688" i="1"/>
  <c r="G3560" i="1"/>
  <c r="G3361" i="1"/>
  <c r="G3068" i="1"/>
  <c r="G2593" i="1"/>
  <c r="G1948" i="1"/>
  <c r="G4693" i="1"/>
  <c r="G4565" i="1"/>
  <c r="G4437" i="1"/>
  <c r="G4309" i="1"/>
  <c r="G4181" i="1"/>
  <c r="G4053" i="1"/>
  <c r="G3925" i="1"/>
  <c r="G3797" i="1"/>
  <c r="G3669" i="1"/>
  <c r="G3541" i="1"/>
  <c r="G3348" i="1"/>
  <c r="G3104" i="1"/>
  <c r="G2804" i="1"/>
  <c r="G2277" i="1"/>
  <c r="G3238" i="1"/>
  <c r="G3069" i="1"/>
  <c r="G2900" i="1"/>
  <c r="G2584" i="1"/>
  <c r="G2291" i="1"/>
  <c r="G2014" i="1"/>
  <c r="G3181" i="1"/>
  <c r="G3012" i="1"/>
  <c r="G2739" i="1"/>
  <c r="G2495" i="1"/>
  <c r="G2171" i="1"/>
  <c r="G1719" i="1"/>
  <c r="G3281" i="1"/>
  <c r="G3112" i="1"/>
  <c r="G2938" i="1"/>
  <c r="G2813" i="1"/>
  <c r="G2620" i="1"/>
  <c r="G2327" i="1"/>
  <c r="G2045" i="1"/>
  <c r="G3477" i="1"/>
  <c r="G3308" i="1"/>
  <c r="G3134" i="1"/>
  <c r="G2965" i="1"/>
  <c r="G2720" i="1"/>
  <c r="G2431" i="1"/>
  <c r="G2107" i="1"/>
  <c r="G2740" i="1"/>
  <c r="G2595" i="1"/>
  <c r="G2449" i="1"/>
  <c r="G2313" i="1"/>
  <c r="G2172" i="1"/>
  <c r="G2015" i="1"/>
  <c r="G1595" i="1"/>
  <c r="G1819" i="1"/>
  <c r="G2751" i="1"/>
  <c r="G2587" i="1"/>
  <c r="G2451" i="1"/>
  <c r="G2310" i="1"/>
  <c r="G2164" i="1"/>
  <c r="G2031" i="1"/>
  <c r="G1584" i="1"/>
  <c r="G2728" i="1"/>
  <c r="G2602" i="1"/>
  <c r="G2456" i="1"/>
  <c r="G2294" i="1"/>
  <c r="G2158" i="1"/>
  <c r="G1968" i="1"/>
  <c r="G1422" i="1"/>
  <c r="G3471" i="1"/>
  <c r="G3407" i="1"/>
  <c r="G3343" i="1"/>
  <c r="G3279" i="1"/>
  <c r="G3215" i="1"/>
  <c r="G3151" i="1"/>
  <c r="G3087" i="1"/>
  <c r="G3023" i="1"/>
  <c r="G2959" i="1"/>
  <c r="G2895" i="1"/>
  <c r="G2827" i="1"/>
  <c r="G1333" i="1"/>
  <c r="G1641" i="1"/>
  <c r="G2393" i="1"/>
  <c r="G1804" i="1"/>
  <c r="G922" i="1"/>
  <c r="G1106" i="1"/>
  <c r="G1899" i="1"/>
  <c r="G766" i="1"/>
  <c r="G640" i="1"/>
  <c r="G731" i="1"/>
  <c r="G1183" i="1"/>
  <c r="G689" i="1"/>
  <c r="G545" i="1"/>
  <c r="G402" i="1"/>
  <c r="G316" i="1"/>
  <c r="G5388" i="1"/>
  <c r="G5260" i="1"/>
  <c r="G5132" i="1"/>
  <c r="G5004" i="1"/>
  <c r="G4876" i="1"/>
  <c r="G4743" i="1"/>
  <c r="G4586" i="1"/>
  <c r="G4450" i="1"/>
  <c r="G4304" i="1"/>
  <c r="G4142" i="1"/>
  <c r="G4006" i="1"/>
  <c r="G3865" i="1"/>
  <c r="G3639" i="1"/>
  <c r="G3234" i="1"/>
  <c r="G3796" i="1"/>
  <c r="G3668" i="1"/>
  <c r="G3540" i="1"/>
  <c r="G3365" i="1"/>
  <c r="G3082" i="1"/>
  <c r="G2810" i="1"/>
  <c r="G2249" i="1"/>
  <c r="G3017" i="1"/>
  <c r="G2722" i="1"/>
  <c r="G2183" i="1"/>
  <c r="G2905" i="1"/>
  <c r="G2491" i="1"/>
  <c r="G1328" i="1"/>
  <c r="G3670" i="1"/>
  <c r="G3542" i="1"/>
  <c r="G3356" i="1"/>
  <c r="G3041" i="1"/>
  <c r="G2770" i="1"/>
  <c r="G2176" i="1"/>
  <c r="G3679" i="1"/>
  <c r="G3551" i="1"/>
  <c r="G3337" i="1"/>
  <c r="G3022" i="1"/>
  <c r="G2551" i="1"/>
  <c r="G1788" i="1"/>
  <c r="G4684" i="1"/>
  <c r="G4556" i="1"/>
  <c r="G4428" i="1"/>
  <c r="G4300" i="1"/>
  <c r="G4172" i="1"/>
  <c r="G4044" i="1"/>
  <c r="G3916" i="1"/>
  <c r="G3788" i="1"/>
  <c r="G3660" i="1"/>
  <c r="G3532" i="1"/>
  <c r="G3342" i="1"/>
  <c r="G3058" i="1"/>
  <c r="G2793" i="1"/>
  <c r="G2235" i="1"/>
  <c r="G3229" i="1"/>
  <c r="G3060" i="1"/>
  <c r="G2886" i="1"/>
  <c r="G2563" i="1"/>
  <c r="G2281" i="1"/>
  <c r="G1997" i="1"/>
  <c r="G3172" i="1"/>
  <c r="G2998" i="1"/>
  <c r="G2730" i="1"/>
  <c r="G2485" i="1"/>
  <c r="G2161" i="1"/>
  <c r="G1662" i="1"/>
  <c r="G3272" i="1"/>
  <c r="G3098" i="1"/>
  <c r="G2929" i="1"/>
  <c r="G2808" i="1"/>
  <c r="G2599" i="1"/>
  <c r="G2317" i="1"/>
  <c r="G2006" i="1"/>
  <c r="G3468" i="1"/>
  <c r="G3294" i="1"/>
  <c r="G3125" i="1"/>
  <c r="G2956" i="1"/>
  <c r="G2682" i="1"/>
  <c r="G2421" i="1"/>
  <c r="G2097" i="1"/>
  <c r="G2735" i="1"/>
  <c r="G2590" i="1"/>
  <c r="G2444" i="1"/>
  <c r="G2308" i="1"/>
  <c r="G2151" i="1"/>
  <c r="G2007" i="1"/>
  <c r="G1468" i="1"/>
  <c r="G1798" i="1"/>
  <c r="G2742" i="1"/>
  <c r="G2582" i="1"/>
  <c r="G2446" i="1"/>
  <c r="G2305" i="1"/>
  <c r="G2143" i="1"/>
  <c r="G2011" i="1"/>
  <c r="G1537" i="1"/>
  <c r="G2723" i="1"/>
  <c r="G2597" i="1"/>
  <c r="G2435" i="1"/>
  <c r="G2289" i="1"/>
  <c r="G2153" i="1"/>
  <c r="G1943" i="1"/>
  <c r="G1395" i="1"/>
  <c r="G3467" i="1"/>
  <c r="G3403" i="1"/>
  <c r="G3339" i="1"/>
  <c r="G3275" i="1"/>
  <c r="G3211" i="1"/>
  <c r="G3147" i="1"/>
  <c r="G3083" i="1"/>
  <c r="G3019" i="1"/>
  <c r="G2955" i="1"/>
  <c r="G2891" i="1"/>
  <c r="G2819" i="1"/>
  <c r="G1803" i="1"/>
  <c r="G1390" i="1"/>
  <c r="G2274" i="1"/>
  <c r="G1679" i="1"/>
  <c r="G1117" i="1"/>
  <c r="G974" i="1"/>
  <c r="G1742" i="1"/>
  <c r="G644" i="1"/>
  <c r="G811" i="1"/>
  <c r="G433" i="1"/>
  <c r="G1064" i="1"/>
  <c r="G426" i="1"/>
  <c r="G372" i="1"/>
  <c r="G214" i="1"/>
  <c r="G205" i="1"/>
  <c r="G5379" i="1"/>
  <c r="G5251" i="1"/>
  <c r="G5123" i="1"/>
  <c r="G4995" i="1"/>
  <c r="G4867" i="1"/>
  <c r="G4722" i="1"/>
  <c r="G4581" i="1"/>
  <c r="G4445" i="1"/>
  <c r="G4299" i="1"/>
  <c r="G4137" i="1"/>
  <c r="G4001" i="1"/>
  <c r="G3860" i="1"/>
  <c r="G3602" i="1"/>
  <c r="G3216" i="1"/>
  <c r="G3787" i="1"/>
  <c r="G3659" i="1"/>
  <c r="G3531" i="1"/>
  <c r="G3341" i="1"/>
  <c r="G3073" i="1"/>
  <c r="G2800" i="1"/>
  <c r="G2228" i="1"/>
  <c r="G3008" i="1"/>
  <c r="G2704" i="1"/>
  <c r="G2162" i="1"/>
  <c r="G2896" i="1"/>
  <c r="G2470" i="1"/>
  <c r="G3789" i="1"/>
  <c r="G3661" i="1"/>
  <c r="G3533" i="1"/>
  <c r="G3350" i="1"/>
  <c r="G3032" i="1"/>
  <c r="G2734" i="1"/>
  <c r="G2134" i="1"/>
  <c r="G3674" i="1"/>
  <c r="G3546" i="1"/>
  <c r="G3330" i="1"/>
  <c r="G3013" i="1"/>
  <c r="G2468" i="1"/>
  <c r="G1677" i="1"/>
  <c r="G4675" i="1"/>
  <c r="G4547" i="1"/>
  <c r="G4419" i="1"/>
  <c r="G4291" i="1"/>
  <c r="G4163" i="1"/>
  <c r="G4035" i="1"/>
  <c r="G3907" i="1"/>
  <c r="G3779" i="1"/>
  <c r="G3651" i="1"/>
  <c r="G3523" i="1"/>
  <c r="G3324" i="1"/>
  <c r="G3049" i="1"/>
  <c r="G2781" i="1"/>
  <c r="G2214" i="1"/>
  <c r="G3220" i="1"/>
  <c r="G3046" i="1"/>
  <c r="G2877" i="1"/>
  <c r="G2542" i="1"/>
  <c r="G2260" i="1"/>
  <c r="G1949" i="1"/>
  <c r="G3158" i="1"/>
  <c r="G2989" i="1"/>
  <c r="G2721" i="1"/>
  <c r="G2474" i="1"/>
  <c r="G2150" i="1"/>
  <c r="G1593" i="1"/>
  <c r="G3258" i="1"/>
  <c r="G3089" i="1"/>
  <c r="G2920" i="1"/>
  <c r="G2802" i="1"/>
  <c r="G2578" i="1"/>
  <c r="G2296" i="1"/>
  <c r="G1934" i="1"/>
  <c r="G3454" i="1"/>
  <c r="G3285" i="1"/>
  <c r="G3116" i="1"/>
  <c r="G2942" i="1"/>
  <c r="G2671" i="1"/>
  <c r="G2410" i="1"/>
  <c r="G2086" i="1"/>
  <c r="G2726" i="1"/>
  <c r="G2579" i="1"/>
  <c r="G2438" i="1"/>
  <c r="G2292" i="1"/>
  <c r="G2135" i="1"/>
  <c r="G1998" i="1"/>
  <c r="G1412" i="1"/>
  <c r="G1715" i="1"/>
  <c r="G2733" i="1"/>
  <c r="G2577" i="1"/>
  <c r="G2441" i="1"/>
  <c r="G2300" i="1"/>
  <c r="G2138" i="1"/>
  <c r="G2004" i="1"/>
  <c r="G1426" i="1"/>
  <c r="G2714" i="1"/>
  <c r="G2592" i="1"/>
  <c r="G2430" i="1"/>
  <c r="G2284" i="1"/>
  <c r="G2148" i="1"/>
  <c r="G1880" i="1"/>
  <c r="G1339" i="1"/>
  <c r="G3463" i="1"/>
  <c r="G3399" i="1"/>
  <c r="G3335" i="1"/>
  <c r="G3271" i="1"/>
  <c r="G3207" i="1"/>
  <c r="G3143" i="1"/>
  <c r="G3079" i="1"/>
  <c r="G3015" i="1"/>
  <c r="G2951" i="1"/>
  <c r="G2887" i="1"/>
  <c r="G2815" i="1"/>
  <c r="G1782" i="1"/>
  <c r="G1380" i="1"/>
  <c r="G2265" i="1"/>
  <c r="G1642" i="1"/>
  <c r="G1112" i="1"/>
  <c r="G966" i="1"/>
  <c r="G1737" i="1"/>
  <c r="G632" i="1"/>
  <c r="G795" i="1"/>
  <c r="G380" i="1"/>
  <c r="G1055" i="1"/>
  <c r="G405" i="1"/>
  <c r="G365" i="1"/>
  <c r="G197" i="1"/>
  <c r="G198" i="1"/>
  <c r="G5374" i="1"/>
  <c r="G5246" i="1"/>
  <c r="G5118" i="1"/>
  <c r="G4990" i="1"/>
  <c r="G4862" i="1"/>
  <c r="G4717" i="1"/>
  <c r="G4576" i="1"/>
  <c r="G4440" i="1"/>
  <c r="G4278" i="1"/>
  <c r="G4132" i="1"/>
  <c r="G3996" i="1"/>
  <c r="G3855" i="1"/>
  <c r="G3593" i="1"/>
  <c r="G3161" i="1"/>
  <c r="G3782" i="1"/>
  <c r="G3654" i="1"/>
  <c r="G3526" i="1"/>
  <c r="G3334" i="1"/>
  <c r="G3064" i="1"/>
  <c r="G2789" i="1"/>
  <c r="G2207" i="1"/>
  <c r="G2962" i="1"/>
  <c r="G2664" i="1"/>
  <c r="G2141" i="1"/>
  <c r="G2849" i="1"/>
  <c r="G2408" i="1"/>
  <c r="G3780" i="1"/>
  <c r="G3652" i="1"/>
  <c r="G3524" i="1"/>
  <c r="G3332" i="1"/>
  <c r="G2986" i="1"/>
  <c r="G2716" i="1"/>
  <c r="G2113" i="1"/>
  <c r="G3665" i="1"/>
  <c r="G3537" i="1"/>
  <c r="G3312" i="1"/>
  <c r="G3004" i="1"/>
  <c r="G2426" i="1"/>
  <c r="G1520" i="1"/>
  <c r="G4670" i="1"/>
  <c r="G4542" i="1"/>
  <c r="G4414" i="1"/>
  <c r="G4286" i="1"/>
  <c r="G4158" i="1"/>
  <c r="G4030" i="1"/>
  <c r="G3902" i="1"/>
  <c r="G3774" i="1"/>
  <c r="G3646" i="1"/>
  <c r="G3502" i="1"/>
  <c r="G3318" i="1"/>
  <c r="G3040" i="1"/>
  <c r="G2768" i="1"/>
  <c r="G2152" i="1"/>
  <c r="G3206" i="1"/>
  <c r="G3037" i="1"/>
  <c r="G2868" i="1"/>
  <c r="G2532" i="1"/>
  <c r="G2239" i="1"/>
  <c r="G1802" i="1"/>
  <c r="G3149" i="1"/>
  <c r="G2980" i="1"/>
  <c r="G2712" i="1"/>
  <c r="G2464" i="1"/>
  <c r="G2140" i="1"/>
  <c r="G1490" i="1"/>
  <c r="G3249" i="1"/>
  <c r="G3080" i="1"/>
  <c r="G2906" i="1"/>
  <c r="G2797" i="1"/>
  <c r="G2568" i="1"/>
  <c r="G2275" i="1"/>
  <c r="G1903" i="1"/>
  <c r="G3445" i="1"/>
  <c r="G3276" i="1"/>
  <c r="G3102" i="1"/>
  <c r="G2933" i="1"/>
  <c r="G2661" i="1"/>
  <c r="G2400" i="1"/>
  <c r="G2076" i="1"/>
  <c r="G2717" i="1"/>
  <c r="G2574" i="1"/>
  <c r="G2433" i="1"/>
  <c r="G2271" i="1"/>
  <c r="G2130" i="1"/>
  <c r="G1988" i="1"/>
  <c r="G1354" i="1"/>
  <c r="G1673" i="1"/>
  <c r="G2724" i="1"/>
  <c r="G2572" i="1"/>
  <c r="G2436" i="1"/>
  <c r="G2279" i="1"/>
  <c r="G2133" i="1"/>
  <c r="G1993" i="1"/>
  <c r="G1396" i="1"/>
  <c r="G2705" i="1"/>
  <c r="G2555" i="1"/>
  <c r="G2419" i="1"/>
  <c r="G2278" i="1"/>
  <c r="G2132" i="1"/>
  <c r="G1863" i="1"/>
  <c r="G926" i="1"/>
  <c r="G3459" i="1"/>
  <c r="G3395" i="1"/>
  <c r="G3331" i="1"/>
  <c r="G3267" i="1"/>
  <c r="G3203" i="1"/>
  <c r="G3139" i="1"/>
  <c r="G3075" i="1"/>
  <c r="G3011" i="1"/>
  <c r="G2947" i="1"/>
  <c r="G2883" i="1"/>
  <c r="G2718" i="1"/>
  <c r="G1510" i="1"/>
  <c r="G863" i="1"/>
  <c r="G2146" i="1"/>
  <c r="G1517" i="1"/>
  <c r="G975" i="1"/>
  <c r="G1748" i="1"/>
  <c r="G1601" i="1"/>
  <c r="G860" i="1"/>
  <c r="G617" i="1"/>
  <c r="G1955" i="1"/>
  <c r="G929" i="1"/>
  <c r="G614" i="1"/>
  <c r="G89" i="1"/>
  <c r="G48" i="1"/>
  <c r="G38" i="1"/>
  <c r="G5365" i="1"/>
  <c r="G5237" i="1"/>
  <c r="G5109" i="1"/>
  <c r="G4981" i="1"/>
  <c r="G4853" i="1"/>
  <c r="G4712" i="1"/>
  <c r="G4571" i="1"/>
  <c r="G4435" i="1"/>
  <c r="G4273" i="1"/>
  <c r="G4127" i="1"/>
  <c r="G3991" i="1"/>
  <c r="G3834" i="1"/>
  <c r="G3584" i="1"/>
  <c r="G3138" i="1"/>
  <c r="G3773" i="1"/>
  <c r="G3645" i="1"/>
  <c r="G3506" i="1"/>
  <c r="G3316" i="1"/>
  <c r="G3018" i="1"/>
  <c r="G2743" i="1"/>
  <c r="G2186" i="1"/>
  <c r="G2953" i="1"/>
  <c r="G2622" i="1"/>
  <c r="G2099" i="1"/>
  <c r="G2838" i="1"/>
  <c r="G2366" i="1"/>
  <c r="G3771" i="1"/>
  <c r="G3643" i="1"/>
  <c r="G3514" i="1"/>
  <c r="G3325" i="1"/>
  <c r="G2977" i="1"/>
  <c r="G2636" i="1"/>
  <c r="G2071" i="1"/>
  <c r="G3656" i="1"/>
  <c r="G3528" i="1"/>
  <c r="G3306" i="1"/>
  <c r="G2958" i="1"/>
  <c r="G2405" i="1"/>
  <c r="G1276" i="1"/>
  <c r="G4661" i="1"/>
  <c r="G4533" i="1"/>
  <c r="G4405" i="1"/>
  <c r="G4277" i="1"/>
  <c r="G4149" i="1"/>
  <c r="G4021" i="1"/>
  <c r="G3893" i="1"/>
  <c r="G3765" i="1"/>
  <c r="G3637" i="1"/>
  <c r="G3497" i="1"/>
  <c r="G3300" i="1"/>
  <c r="G2994" i="1"/>
  <c r="G2731" i="1"/>
  <c r="G2110" i="1"/>
  <c r="G3197" i="1"/>
  <c r="G3028" i="1"/>
  <c r="G2784" i="1"/>
  <c r="G2490" i="1"/>
  <c r="G2229" i="1"/>
  <c r="G1746" i="1"/>
  <c r="G3140" i="1"/>
  <c r="G2966" i="1"/>
  <c r="G2683" i="1"/>
  <c r="G2422" i="1"/>
  <c r="G2119" i="1"/>
  <c r="G1202" i="1"/>
  <c r="G3240" i="1"/>
  <c r="G3066" i="1"/>
  <c r="G2897" i="1"/>
  <c r="G2792" i="1"/>
  <c r="G2557" i="1"/>
  <c r="G2254" i="1"/>
  <c r="G1870" i="1"/>
  <c r="G3436" i="1"/>
  <c r="G3262" i="1"/>
  <c r="G3093" i="1"/>
  <c r="G2924" i="1"/>
  <c r="G2619" i="1"/>
  <c r="G2358" i="1"/>
  <c r="G2055" i="1"/>
  <c r="G2708" i="1"/>
  <c r="G2569" i="1"/>
  <c r="G2428" i="1"/>
  <c r="G2266" i="1"/>
  <c r="G2125" i="1"/>
  <c r="G1976" i="1"/>
  <c r="G1323" i="1"/>
  <c r="G1652" i="1"/>
  <c r="G2719" i="1"/>
  <c r="G2566" i="1"/>
  <c r="G2420" i="1"/>
  <c r="G2263" i="1"/>
  <c r="G2127" i="1"/>
  <c r="G1970" i="1"/>
  <c r="G1342" i="1"/>
  <c r="G2696" i="1"/>
  <c r="G2550" i="1"/>
  <c r="G2414" i="1"/>
  <c r="G2273" i="1"/>
  <c r="G2111" i="1"/>
  <c r="G1845" i="1"/>
  <c r="G3519" i="1"/>
  <c r="G3455" i="1"/>
  <c r="G3391" i="1"/>
  <c r="G3327" i="1"/>
  <c r="G3263" i="1"/>
  <c r="G3199" i="1"/>
  <c r="G3135" i="1"/>
  <c r="G3071" i="1"/>
  <c r="G3007" i="1"/>
  <c r="G2943" i="1"/>
  <c r="G2879" i="1"/>
  <c r="G2709" i="1"/>
  <c r="G1500" i="1"/>
  <c r="G2000" i="1"/>
  <c r="G2137" i="1"/>
  <c r="G1506" i="1"/>
  <c r="G967" i="1"/>
  <c r="G1743" i="1"/>
  <c r="G1596" i="1"/>
  <c r="G854" i="1"/>
  <c r="G584" i="1"/>
  <c r="G1951" i="1"/>
  <c r="G924" i="1"/>
  <c r="G605" i="1"/>
  <c r="G66" i="1"/>
  <c r="G41" i="1"/>
  <c r="G20" i="1"/>
  <c r="G5356" i="1"/>
  <c r="G5228" i="1"/>
  <c r="G5100" i="1"/>
  <c r="G4972" i="1"/>
  <c r="G4844" i="1"/>
  <c r="G4706" i="1"/>
  <c r="G4560" i="1"/>
  <c r="G4398" i="1"/>
  <c r="G4262" i="1"/>
  <c r="G4121" i="1"/>
  <c r="G3975" i="1"/>
  <c r="G3823" i="1"/>
  <c r="G3575" i="1"/>
  <c r="G3054" i="1"/>
  <c r="G3764" i="1"/>
  <c r="G3636" i="1"/>
  <c r="G3501" i="1"/>
  <c r="G3310" i="1"/>
  <c r="G3009" i="1"/>
  <c r="G2725" i="1"/>
  <c r="G2124" i="1"/>
  <c r="G2944" i="1"/>
  <c r="G2601" i="1"/>
  <c r="G2035" i="1"/>
  <c r="G2828" i="1"/>
  <c r="G2345" i="1"/>
  <c r="G3766" i="1"/>
  <c r="G3638" i="1"/>
  <c r="G3498" i="1"/>
  <c r="G3301" i="1"/>
  <c r="G2968" i="1"/>
  <c r="G2573" i="1"/>
  <c r="G1886" i="1"/>
  <c r="G3647" i="1"/>
  <c r="G3513" i="1"/>
  <c r="G3288" i="1"/>
  <c r="G2949" i="1"/>
  <c r="G2363" i="1"/>
  <c r="G4780" i="1"/>
  <c r="G4652" i="1"/>
  <c r="G4524" i="1"/>
  <c r="G4396" i="1"/>
  <c r="G4268" i="1"/>
  <c r="G4140" i="1"/>
  <c r="G4012" i="1"/>
  <c r="G3884" i="1"/>
  <c r="G3756" i="1"/>
  <c r="G3628" i="1"/>
  <c r="G3492" i="1"/>
  <c r="G3293" i="1"/>
  <c r="G2985" i="1"/>
  <c r="G2713" i="1"/>
  <c r="G2089" i="1"/>
  <c r="G3188" i="1"/>
  <c r="G3014" i="1"/>
  <c r="G2777" i="1"/>
  <c r="G2479" i="1"/>
  <c r="G2218" i="1"/>
  <c r="G1697" i="1"/>
  <c r="G3126" i="1"/>
  <c r="G2957" i="1"/>
  <c r="G2673" i="1"/>
  <c r="G2412" i="1"/>
  <c r="G2098" i="1"/>
  <c r="G3400" i="1"/>
  <c r="G3226" i="1"/>
  <c r="G3057" i="1"/>
  <c r="G2888" i="1"/>
  <c r="G2780" i="1"/>
  <c r="G2526" i="1"/>
  <c r="G2244" i="1"/>
  <c r="G1821" i="1"/>
  <c r="G3422" i="1"/>
  <c r="G3253" i="1"/>
  <c r="G3084" i="1"/>
  <c r="G2910" i="1"/>
  <c r="G2609" i="1"/>
  <c r="G2348" i="1"/>
  <c r="G2020" i="1"/>
  <c r="G2703" i="1"/>
  <c r="G2564" i="1"/>
  <c r="G2407" i="1"/>
  <c r="G2261" i="1"/>
  <c r="G2120" i="1"/>
  <c r="G1952" i="1"/>
  <c r="G1281" i="1"/>
  <c r="G1610" i="1"/>
  <c r="G2710" i="1"/>
  <c r="G2561" i="1"/>
  <c r="G2399" i="1"/>
  <c r="G2258" i="1"/>
  <c r="G2122" i="1"/>
  <c r="G1944" i="1"/>
  <c r="G1302" i="1"/>
  <c r="G2691" i="1"/>
  <c r="G2545" i="1"/>
  <c r="G2409" i="1"/>
  <c r="G2268" i="1"/>
  <c r="G2106" i="1"/>
  <c r="G1829" i="1"/>
  <c r="G3515" i="1"/>
  <c r="G3451" i="1"/>
  <c r="G3387" i="1"/>
  <c r="G3323" i="1"/>
  <c r="G3259" i="1"/>
  <c r="G3195" i="1"/>
  <c r="G3131" i="1"/>
  <c r="G3067" i="1"/>
  <c r="G3003" i="1"/>
  <c r="G2939" i="1"/>
  <c r="G2875" i="1"/>
  <c r="G2575" i="1"/>
  <c r="G1228" i="1"/>
  <c r="G1859" i="1"/>
  <c r="G2018" i="1"/>
  <c r="G1371" i="1"/>
  <c r="G1853" i="1"/>
  <c r="G1586" i="1"/>
  <c r="G1465" i="1"/>
  <c r="G708" i="1"/>
  <c r="G983" i="1"/>
  <c r="G1832" i="1"/>
  <c r="G772" i="1"/>
  <c r="G413" i="1"/>
  <c r="G513" i="1"/>
  <c r="G124" i="1"/>
  <c r="G303" i="1"/>
  <c r="G5347" i="1"/>
  <c r="G5219" i="1"/>
  <c r="G5091" i="1"/>
  <c r="G4963" i="1"/>
  <c r="G4835" i="1"/>
  <c r="G4701" i="1"/>
  <c r="G4555" i="1"/>
  <c r="G4393" i="1"/>
  <c r="G4257" i="1"/>
  <c r="G4116" i="1"/>
  <c r="G3954" i="1"/>
  <c r="G3817" i="1"/>
  <c r="G3538" i="1"/>
  <c r="G2981" i="1"/>
  <c r="G3755" i="1"/>
  <c r="G3627" i="1"/>
  <c r="G3496" i="1"/>
  <c r="G3292" i="1"/>
  <c r="G3000" i="1"/>
  <c r="G2688" i="1"/>
  <c r="G2061" i="1"/>
  <c r="G2898" i="1"/>
  <c r="G2580" i="1"/>
  <c r="G1837" i="1"/>
  <c r="G2817" i="1"/>
  <c r="G2324" i="1"/>
  <c r="G3757" i="1"/>
  <c r="G3629" i="1"/>
  <c r="G3493" i="1"/>
  <c r="G3269" i="1"/>
  <c r="G2922" i="1"/>
  <c r="G2552" i="1"/>
  <c r="G1527" i="1"/>
  <c r="G3642" i="1"/>
  <c r="G3508" i="1"/>
  <c r="G3282" i="1"/>
  <c r="G2940" i="1"/>
  <c r="G2342" i="1"/>
  <c r="G4771" i="1"/>
  <c r="G4643" i="1"/>
  <c r="G4515" i="1"/>
  <c r="G4387" i="1"/>
  <c r="G4259" i="1"/>
  <c r="G4131" i="1"/>
  <c r="G4003" i="1"/>
  <c r="G3875" i="1"/>
  <c r="G3747" i="1"/>
  <c r="G3619" i="1"/>
  <c r="G3481" i="1"/>
  <c r="G3274" i="1"/>
  <c r="G2976" i="1"/>
  <c r="G2674" i="1"/>
  <c r="G2068" i="1"/>
  <c r="G3174" i="1"/>
  <c r="G3005" i="1"/>
  <c r="G2762" i="1"/>
  <c r="G2469" i="1"/>
  <c r="G2208" i="1"/>
  <c r="G1635" i="1"/>
  <c r="G3117" i="1"/>
  <c r="G2948" i="1"/>
  <c r="G2662" i="1"/>
  <c r="G2401" i="1"/>
  <c r="G2088" i="1"/>
  <c r="G3386" i="1"/>
  <c r="G3217" i="1"/>
  <c r="G3048" i="1"/>
  <c r="G2874" i="1"/>
  <c r="G2774" i="1"/>
  <c r="G2515" i="1"/>
  <c r="G2202" i="1"/>
  <c r="G1767" i="1"/>
  <c r="G3413" i="1"/>
  <c r="G3244" i="1"/>
  <c r="G3070" i="1"/>
  <c r="G2901" i="1"/>
  <c r="G2598" i="1"/>
  <c r="G2337" i="1"/>
  <c r="G2005" i="1"/>
  <c r="G2694" i="1"/>
  <c r="G2548" i="1"/>
  <c r="G2391" i="1"/>
  <c r="G2255" i="1"/>
  <c r="G2109" i="1"/>
  <c r="G1923" i="1"/>
  <c r="G1634" i="1"/>
  <c r="G1589" i="1"/>
  <c r="G2701" i="1"/>
  <c r="G2556" i="1"/>
  <c r="G2394" i="1"/>
  <c r="G2253" i="1"/>
  <c r="G2117" i="1"/>
  <c r="G1931" i="1"/>
  <c r="G1260" i="1"/>
  <c r="G2686" i="1"/>
  <c r="G2540" i="1"/>
  <c r="G2404" i="1"/>
  <c r="G2247" i="1"/>
  <c r="G2101" i="1"/>
  <c r="G1792" i="1"/>
  <c r="G3511" i="1"/>
  <c r="G3447" i="1"/>
  <c r="G3383" i="1"/>
  <c r="G3319" i="1"/>
  <c r="G3255" i="1"/>
  <c r="G3191" i="1"/>
  <c r="G3127" i="1"/>
  <c r="G3063" i="1"/>
  <c r="G2999" i="1"/>
  <c r="G2935" i="1"/>
  <c r="G2871" i="1"/>
  <c r="G2570" i="1"/>
  <c r="G1213" i="1"/>
  <c r="G1842" i="1"/>
  <c r="G2009" i="1"/>
  <c r="G1365" i="1"/>
  <c r="G1848" i="1"/>
  <c r="G1581" i="1"/>
  <c r="G1460" i="1"/>
  <c r="G703" i="1"/>
  <c r="G978" i="1"/>
  <c r="G1823" i="1"/>
  <c r="G767" i="1"/>
  <c r="G408" i="1"/>
  <c r="G508" i="1"/>
  <c r="G117" i="1"/>
  <c r="G299" i="1"/>
  <c r="G5342" i="1"/>
  <c r="G5214" i="1"/>
  <c r="G5086" i="1"/>
  <c r="G4958" i="1"/>
  <c r="G4830" i="1"/>
  <c r="G4696" i="1"/>
  <c r="G4534" i="1"/>
  <c r="G4388" i="1"/>
  <c r="G4252" i="1"/>
  <c r="G4111" i="1"/>
  <c r="G3949" i="1"/>
  <c r="G3799" i="1"/>
  <c r="G3529" i="1"/>
  <c r="G2908" i="1"/>
  <c r="G3750" i="1"/>
  <c r="G3622" i="1"/>
  <c r="G3490" i="1"/>
  <c r="G3286" i="1"/>
  <c r="G2954" i="1"/>
  <c r="G2646" i="1"/>
  <c r="G2039" i="1"/>
  <c r="G2889" i="1"/>
  <c r="G2559" i="1"/>
  <c r="G1725" i="1"/>
  <c r="G2806" i="1"/>
  <c r="G2303" i="1"/>
  <c r="G3748" i="1"/>
  <c r="G3620" i="1"/>
  <c r="G3488" i="1"/>
  <c r="G3242" i="1"/>
  <c r="G2913" i="1"/>
  <c r="G2531" i="1"/>
  <c r="G1286" i="1"/>
  <c r="G3633" i="1"/>
  <c r="G3482" i="1"/>
  <c r="G3260" i="1"/>
  <c r="G2894" i="1"/>
  <c r="G2280" i="1"/>
  <c r="G4766" i="1"/>
  <c r="G4638" i="1"/>
  <c r="G4510" i="1"/>
  <c r="G4382" i="1"/>
  <c r="G4254" i="1"/>
  <c r="G4126" i="1"/>
  <c r="G3998" i="1"/>
  <c r="G3870" i="1"/>
  <c r="G3742" i="1"/>
  <c r="G3614" i="1"/>
  <c r="G3476" i="1"/>
  <c r="G3266" i="1"/>
  <c r="G2930" i="1"/>
  <c r="G2653" i="1"/>
  <c r="G2047" i="1"/>
  <c r="G3165" i="1"/>
  <c r="G2996" i="1"/>
  <c r="G2753" i="1"/>
  <c r="G2427" i="1"/>
  <c r="G2166" i="1"/>
  <c r="G3277" i="1"/>
  <c r="G3108" i="1"/>
  <c r="G2934" i="1"/>
  <c r="G2652" i="1"/>
  <c r="G2359" i="1"/>
  <c r="G2077" i="1"/>
  <c r="G3377" i="1"/>
  <c r="G3208" i="1"/>
  <c r="G3034" i="1"/>
  <c r="G2865" i="1"/>
  <c r="G2766" i="1"/>
  <c r="G2505" i="1"/>
  <c r="G2191" i="1"/>
  <c r="G1718" i="1"/>
  <c r="G3404" i="1"/>
  <c r="G3230" i="1"/>
  <c r="G3061" i="1"/>
  <c r="G2892" i="1"/>
  <c r="G2588" i="1"/>
  <c r="G2295" i="1"/>
  <c r="G1985" i="1"/>
  <c r="G2689" i="1"/>
  <c r="G2527" i="1"/>
  <c r="G2386" i="1"/>
  <c r="G2250" i="1"/>
  <c r="G2104" i="1"/>
  <c r="G1907" i="1"/>
  <c r="G1572" i="1"/>
  <c r="G1541" i="1"/>
  <c r="G2692" i="1"/>
  <c r="G2535" i="1"/>
  <c r="G2389" i="1"/>
  <c r="G2248" i="1"/>
  <c r="G2112" i="1"/>
  <c r="G1881" i="1"/>
  <c r="G1140" i="1"/>
  <c r="G2675" i="1"/>
  <c r="G2534" i="1"/>
  <c r="G2388" i="1"/>
  <c r="G2231" i="1"/>
  <c r="G2095" i="1"/>
  <c r="G1771" i="1"/>
  <c r="G3507" i="1"/>
  <c r="G3443" i="1"/>
  <c r="G3379" i="1"/>
  <c r="G3315" i="1"/>
  <c r="G3251" i="1"/>
  <c r="G3187" i="1"/>
  <c r="G3123" i="1"/>
  <c r="G3059" i="1"/>
  <c r="G2995" i="1"/>
  <c r="G2931" i="1"/>
  <c r="G2867" i="1"/>
  <c r="G2429" i="1"/>
  <c r="G1093" i="1"/>
  <c r="G1536" i="1"/>
  <c r="G1755" i="1"/>
  <c r="G1235" i="1"/>
  <c r="G1712" i="1"/>
  <c r="G1440" i="1"/>
  <c r="G1319" i="1"/>
  <c r="G341" i="1"/>
  <c r="G847" i="1"/>
  <c r="G1704" i="1"/>
  <c r="G613" i="1"/>
  <c r="G144" i="1"/>
  <c r="G314" i="1"/>
  <c r="G583" i="1"/>
  <c r="G239" i="1"/>
  <c r="G5333" i="1"/>
  <c r="G5205" i="1"/>
  <c r="G5077" i="1"/>
  <c r="G4949" i="1"/>
  <c r="G4821" i="1"/>
  <c r="G4691" i="1"/>
  <c r="G4529" i="1"/>
  <c r="G4383" i="1"/>
  <c r="G4247" i="1"/>
  <c r="G4090" i="1"/>
  <c r="G3944" i="1"/>
  <c r="G3793" i="1"/>
  <c r="G3520" i="1"/>
  <c r="G2478" i="1"/>
  <c r="G3741" i="1"/>
  <c r="G3613" i="1"/>
  <c r="G3485" i="1"/>
  <c r="G3273" i="1"/>
  <c r="G2945" i="1"/>
  <c r="G2625" i="1"/>
  <c r="G2013" i="1"/>
  <c r="G2880" i="1"/>
  <c r="G2538" i="1"/>
  <c r="G1600" i="1"/>
  <c r="G2796" i="1"/>
  <c r="G2282" i="1"/>
  <c r="G3739" i="1"/>
  <c r="G3611" i="1"/>
  <c r="G3472" i="1"/>
  <c r="G3233" i="1"/>
  <c r="G2904" i="1"/>
  <c r="G2510" i="1"/>
  <c r="G3752" i="1"/>
  <c r="G3624" i="1"/>
  <c r="G3466" i="1"/>
  <c r="G3214" i="1"/>
  <c r="G2885" i="1"/>
  <c r="G2238" i="1"/>
  <c r="G4757" i="1"/>
  <c r="G4629" i="1"/>
  <c r="G4501" i="1"/>
  <c r="G4373" i="1"/>
  <c r="G4245" i="1"/>
  <c r="G4117" i="1"/>
  <c r="G3989" i="1"/>
  <c r="G3861" i="1"/>
  <c r="G3733" i="1"/>
  <c r="G3605" i="1"/>
  <c r="G3450" i="1"/>
  <c r="G3250" i="1"/>
  <c r="G2921" i="1"/>
  <c r="G2611" i="1"/>
  <c r="G2023" i="1"/>
  <c r="G3156" i="1"/>
  <c r="G2982" i="1"/>
  <c r="G2744" i="1"/>
  <c r="G2417" i="1"/>
  <c r="G2156" i="1"/>
  <c r="G3268" i="1"/>
  <c r="G3094" i="1"/>
  <c r="G2925" i="1"/>
  <c r="G2631" i="1"/>
  <c r="G2349" i="1"/>
  <c r="G2046" i="1"/>
  <c r="G3368" i="1"/>
  <c r="G3194" i="1"/>
  <c r="G3025" i="1"/>
  <c r="G2856" i="1"/>
  <c r="G2757" i="1"/>
  <c r="G2484" i="1"/>
  <c r="G2181" i="1"/>
  <c r="G1656" i="1"/>
  <c r="G3390" i="1"/>
  <c r="G3221" i="1"/>
  <c r="G3052" i="1"/>
  <c r="G2878" i="1"/>
  <c r="G2567" i="1"/>
  <c r="G2285" i="1"/>
  <c r="G1961" i="1"/>
  <c r="G2684" i="1"/>
  <c r="G2522" i="1"/>
  <c r="G2381" i="1"/>
  <c r="G2245" i="1"/>
  <c r="G2083" i="1"/>
  <c r="G1890" i="1"/>
  <c r="G1542" i="1"/>
  <c r="G1511" i="1"/>
  <c r="G2676" i="1"/>
  <c r="G2519" i="1"/>
  <c r="G2383" i="1"/>
  <c r="G2237" i="1"/>
  <c r="G2075" i="1"/>
  <c r="G1865" i="1"/>
  <c r="G962" i="1"/>
  <c r="G2670" i="1"/>
  <c r="G2529" i="1"/>
  <c r="G2367" i="1"/>
  <c r="G2226" i="1"/>
  <c r="G2090" i="1"/>
  <c r="G1750" i="1"/>
  <c r="G3503" i="1"/>
  <c r="G3439" i="1"/>
  <c r="G3375" i="1"/>
  <c r="G3311" i="1"/>
  <c r="G3247" i="1"/>
  <c r="G3183" i="1"/>
  <c r="G3119" i="1"/>
  <c r="G3055" i="1"/>
  <c r="G2991" i="1"/>
  <c r="G2927" i="1"/>
  <c r="G2863" i="1"/>
  <c r="G2424" i="1"/>
  <c r="G1072" i="1"/>
  <c r="G1525" i="1"/>
  <c r="G1744" i="1"/>
  <c r="G1219" i="1"/>
  <c r="G1707" i="1"/>
  <c r="G1435" i="1"/>
  <c r="G1298" i="1"/>
  <c r="G320" i="1"/>
  <c r="G836" i="1"/>
  <c r="G1695" i="1"/>
  <c r="G590" i="1"/>
  <c r="G120" i="1"/>
  <c r="G290" i="1"/>
  <c r="G579" i="1"/>
  <c r="G235" i="1"/>
  <c r="G5324" i="1"/>
  <c r="G5196" i="1"/>
  <c r="G5068" i="1"/>
  <c r="G4940" i="1"/>
  <c r="G4812" i="1"/>
  <c r="G4654" i="1"/>
  <c r="G4518" i="1"/>
  <c r="G4377" i="1"/>
  <c r="G4231" i="1"/>
  <c r="G4074" i="1"/>
  <c r="G3938" i="1"/>
  <c r="G3778" i="1"/>
  <c r="G3478" i="1"/>
  <c r="G2311" i="1"/>
  <c r="G3732" i="1"/>
  <c r="G3604" i="1"/>
  <c r="G3480" i="1"/>
  <c r="G3265" i="1"/>
  <c r="G2936" i="1"/>
  <c r="G2583" i="1"/>
  <c r="G1973" i="1"/>
  <c r="G2852" i="1"/>
  <c r="G2476" i="1"/>
  <c r="G3088" i="1"/>
  <c r="G2771" i="1"/>
  <c r="G2220" i="1"/>
  <c r="G3734" i="1"/>
  <c r="G3606" i="1"/>
  <c r="G3446" i="1"/>
  <c r="G3224" i="1"/>
  <c r="G2858" i="1"/>
  <c r="G2447" i="1"/>
  <c r="G3743" i="1"/>
  <c r="G3615" i="1"/>
  <c r="G3461" i="1"/>
  <c r="G3205" i="1"/>
  <c r="G2876" i="1"/>
  <c r="G2217" i="1"/>
  <c r="G4748" i="1"/>
  <c r="G4620" i="1"/>
  <c r="G4492" i="1"/>
  <c r="G4364" i="1"/>
  <c r="G4236" i="1"/>
  <c r="G4108" i="1"/>
  <c r="G3980" i="1"/>
  <c r="G3852" i="1"/>
  <c r="G3724" i="1"/>
  <c r="G3596" i="1"/>
  <c r="G3434" i="1"/>
  <c r="G3241" i="1"/>
  <c r="G2912" i="1"/>
  <c r="G2549" i="1"/>
  <c r="G1990" i="1"/>
  <c r="G3142" i="1"/>
  <c r="G2973" i="1"/>
  <c r="G2707" i="1"/>
  <c r="G2406" i="1"/>
  <c r="G2145" i="1"/>
  <c r="G3254" i="1"/>
  <c r="G3085" i="1"/>
  <c r="G2916" i="1"/>
  <c r="G2610" i="1"/>
  <c r="G2328" i="1"/>
  <c r="G2034" i="1"/>
  <c r="G3354" i="1"/>
  <c r="G3185" i="1"/>
  <c r="G3016" i="1"/>
  <c r="G2850" i="1"/>
  <c r="G2748" i="1"/>
  <c r="G2463" i="1"/>
  <c r="G2139" i="1"/>
  <c r="G1579" i="1"/>
  <c r="G3381" i="1"/>
  <c r="G3212" i="1"/>
  <c r="G3038" i="1"/>
  <c r="G2869" i="1"/>
  <c r="G2546" i="1"/>
  <c r="G2264" i="1"/>
  <c r="G1902" i="1"/>
  <c r="G2663" i="1"/>
  <c r="G2517" i="1"/>
  <c r="G2376" i="1"/>
  <c r="G2240" i="1"/>
  <c r="G2078" i="1"/>
  <c r="G1856" i="1"/>
  <c r="G1516" i="1"/>
  <c r="G1485" i="1"/>
  <c r="G2655" i="1"/>
  <c r="G2514" i="1"/>
  <c r="G2378" i="1"/>
  <c r="G2232" i="1"/>
  <c r="G2070" i="1"/>
  <c r="G1814" i="1"/>
  <c r="G2787" i="1"/>
  <c r="G2665" i="1"/>
  <c r="G2524" i="1"/>
  <c r="G2362" i="1"/>
  <c r="G2221" i="1"/>
  <c r="G2085" i="1"/>
  <c r="G1729" i="1"/>
  <c r="G3499" i="1"/>
  <c r="G3435" i="1"/>
  <c r="G3371" i="1"/>
  <c r="G3307" i="1"/>
  <c r="G3243" i="1"/>
  <c r="G3179" i="1"/>
  <c r="G3115" i="1"/>
  <c r="G3051" i="1"/>
  <c r="G2987" i="1"/>
  <c r="G2923" i="1"/>
  <c r="G2859" i="1"/>
  <c r="G2267" i="1"/>
  <c r="G1363" i="1"/>
  <c r="G1275" i="1"/>
  <c r="G1441" i="1"/>
  <c r="G1078" i="1"/>
  <c r="G1550" i="1"/>
  <c r="G1304" i="1"/>
  <c r="G1157" i="1"/>
  <c r="G744" i="1"/>
  <c r="G688" i="1"/>
  <c r="G1576" i="1"/>
  <c r="G37" i="1"/>
  <c r="G566" i="1"/>
  <c r="G26" i="1"/>
  <c r="G519" i="1"/>
  <c r="G175" i="1"/>
  <c r="G5315" i="1"/>
  <c r="G5187" i="1"/>
  <c r="G5059" i="1"/>
  <c r="G4931" i="1"/>
  <c r="G4803" i="1"/>
  <c r="G4649" i="1"/>
  <c r="G4513" i="1"/>
  <c r="G4372" i="1"/>
  <c r="G4210" i="1"/>
  <c r="G4069" i="1"/>
  <c r="G3933" i="1"/>
  <c r="G3730" i="1"/>
  <c r="G3457" i="1"/>
  <c r="G2227" i="1"/>
  <c r="G3723" i="1"/>
  <c r="G3595" i="1"/>
  <c r="G3438" i="1"/>
  <c r="G3256" i="1"/>
  <c r="G2890" i="1"/>
  <c r="G2500" i="1"/>
  <c r="G1844" i="1"/>
  <c r="G2841" i="1"/>
  <c r="G2413" i="1"/>
  <c r="G3042" i="1"/>
  <c r="G2754" i="1"/>
  <c r="G2157" i="1"/>
  <c r="G3725" i="1"/>
  <c r="G3597" i="1"/>
  <c r="G3441" i="1"/>
  <c r="G3178" i="1"/>
  <c r="G2848" i="1"/>
  <c r="G2385" i="1"/>
  <c r="G3738" i="1"/>
  <c r="G3610" i="1"/>
  <c r="G3456" i="1"/>
  <c r="G3196" i="1"/>
  <c r="G2752" i="1"/>
  <c r="G2196" i="1"/>
  <c r="G4739" i="1"/>
  <c r="G4611" i="1"/>
  <c r="G4483" i="1"/>
  <c r="G4355" i="1"/>
  <c r="G4227" i="1"/>
  <c r="G4099" i="1"/>
  <c r="G3971" i="1"/>
  <c r="G3843" i="1"/>
  <c r="G3715" i="1"/>
  <c r="G3587" i="1"/>
  <c r="G3429" i="1"/>
  <c r="G3232" i="1"/>
  <c r="G2866" i="1"/>
  <c r="G2528" i="1"/>
  <c r="G1941" i="1"/>
  <c r="G3133" i="1"/>
  <c r="G2964" i="1"/>
  <c r="G2698" i="1"/>
  <c r="G2396" i="1"/>
  <c r="G2103" i="1"/>
  <c r="G3245" i="1"/>
  <c r="G3076" i="1"/>
  <c r="G2902" i="1"/>
  <c r="G2600" i="1"/>
  <c r="G2307" i="1"/>
  <c r="G2021" i="1"/>
  <c r="G3345" i="1"/>
  <c r="G3176" i="1"/>
  <c r="G3002" i="1"/>
  <c r="G2845" i="1"/>
  <c r="G2711" i="1"/>
  <c r="G2453" i="1"/>
  <c r="G2129" i="1"/>
  <c r="G1469" i="1"/>
  <c r="G3372" i="1"/>
  <c r="G3198" i="1"/>
  <c r="G3029" i="1"/>
  <c r="G2860" i="1"/>
  <c r="G2536" i="1"/>
  <c r="G2243" i="1"/>
  <c r="G1464" i="1"/>
  <c r="G2647" i="1"/>
  <c r="G2511" i="1"/>
  <c r="G2365" i="1"/>
  <c r="G2203" i="1"/>
  <c r="G2067" i="1"/>
  <c r="G1783" i="1"/>
  <c r="G1459" i="1"/>
  <c r="G1401" i="1"/>
  <c r="G2650" i="1"/>
  <c r="G2509" i="1"/>
  <c r="G2373" i="1"/>
  <c r="G2211" i="1"/>
  <c r="G2065" i="1"/>
  <c r="G1793" i="1"/>
  <c r="G2778" i="1"/>
  <c r="G2660" i="1"/>
  <c r="G2503" i="1"/>
  <c r="G2357" i="1"/>
  <c r="G2216" i="1"/>
  <c r="G2080" i="1"/>
  <c r="G1708" i="1"/>
  <c r="G3495" i="1"/>
  <c r="G3431" i="1"/>
  <c r="G3367" i="1"/>
  <c r="G3303" i="1"/>
  <c r="G3239" i="1"/>
  <c r="G3175" i="1"/>
  <c r="G3111" i="1"/>
  <c r="G3047" i="1"/>
  <c r="G2983" i="1"/>
  <c r="G2919" i="1"/>
  <c r="G2855" i="1"/>
  <c r="G2262" i="1"/>
  <c r="G1321" i="1"/>
  <c r="G1264" i="1"/>
  <c r="G1431" i="1"/>
  <c r="G1062" i="1"/>
  <c r="G1545" i="1"/>
  <c r="G1299" i="1"/>
  <c r="G1152" i="1"/>
  <c r="G739" i="1"/>
  <c r="G682" i="1"/>
  <c r="G1567" i="1"/>
  <c r="G253" i="1"/>
  <c r="G561" i="1"/>
  <c r="G12" i="1"/>
  <c r="G515" i="1"/>
  <c r="G171" i="1"/>
  <c r="G2397" i="1"/>
  <c r="G5310" i="1"/>
  <c r="G5182" i="1"/>
  <c r="G5054" i="1"/>
  <c r="G4926" i="1"/>
  <c r="G4798" i="1"/>
  <c r="G4644" i="1"/>
  <c r="G4508" i="1"/>
  <c r="G4367" i="1"/>
  <c r="G4205" i="1"/>
  <c r="G4064" i="1"/>
  <c r="G3928" i="1"/>
  <c r="G3721" i="1"/>
  <c r="G3405" i="1"/>
  <c r="G2144" i="1"/>
  <c r="G3718" i="1"/>
  <c r="G3590" i="1"/>
  <c r="G3433" i="1"/>
  <c r="G3210" i="1"/>
  <c r="G2881" i="1"/>
  <c r="G2458" i="1"/>
  <c r="G3145" i="1"/>
  <c r="G2830" i="1"/>
  <c r="G2392" i="1"/>
  <c r="G3033" i="1"/>
  <c r="G2736" i="1"/>
  <c r="G2136" i="1"/>
  <c r="G3716" i="1"/>
  <c r="G3588" i="1"/>
  <c r="G3430" i="1"/>
  <c r="G3169" i="1"/>
  <c r="G2837" i="1"/>
  <c r="G2364" i="1"/>
  <c r="G3729" i="1"/>
  <c r="G3601" i="1"/>
  <c r="G3440" i="1"/>
  <c r="G3150" i="1"/>
  <c r="G2715" i="1"/>
  <c r="G2175" i="1"/>
  <c r="G4734" i="1"/>
  <c r="G4606" i="1"/>
  <c r="G4478" i="1"/>
  <c r="G4350" i="1"/>
  <c r="G4222" i="1"/>
  <c r="G4094" i="1"/>
  <c r="G3966" i="1"/>
  <c r="G3838" i="1"/>
  <c r="G3710" i="1"/>
  <c r="G3582" i="1"/>
  <c r="G3424" i="1"/>
  <c r="G3186" i="1"/>
  <c r="G2857" i="1"/>
  <c r="G2486" i="1"/>
  <c r="G1781" i="1"/>
  <c r="G3124" i="1"/>
  <c r="G2950" i="1"/>
  <c r="G2678" i="1"/>
  <c r="G2375" i="1"/>
  <c r="G2093" i="1"/>
  <c r="G3236" i="1"/>
  <c r="G3062" i="1"/>
  <c r="G2893" i="1"/>
  <c r="G2589" i="1"/>
  <c r="G2286" i="1"/>
  <c r="G1986" i="1"/>
  <c r="G3336" i="1"/>
  <c r="G3162" i="1"/>
  <c r="G2993" i="1"/>
  <c r="G2840" i="1"/>
  <c r="G2702" i="1"/>
  <c r="G2442" i="1"/>
  <c r="G2118" i="1"/>
  <c r="G1077" i="1"/>
  <c r="G3358" i="1"/>
  <c r="G3189" i="1"/>
  <c r="G3020" i="1"/>
  <c r="G2785" i="1"/>
  <c r="G2525" i="1"/>
  <c r="G2222" i="1"/>
  <c r="G1353" i="1"/>
  <c r="G2642" i="1"/>
  <c r="G2506" i="1"/>
  <c r="G2360" i="1"/>
  <c r="G2198" i="1"/>
  <c r="G2062" i="1"/>
  <c r="G1741" i="1"/>
  <c r="G1405" i="1"/>
  <c r="G1344" i="1"/>
  <c r="G2645" i="1"/>
  <c r="G2504" i="1"/>
  <c r="G2368" i="1"/>
  <c r="G2206" i="1"/>
  <c r="G2060" i="1"/>
  <c r="G1772" i="1"/>
  <c r="G2769" i="1"/>
  <c r="G2644" i="1"/>
  <c r="G2487" i="1"/>
  <c r="G2351" i="1"/>
  <c r="G2205" i="1"/>
  <c r="G2043" i="1"/>
  <c r="G1666" i="1"/>
  <c r="G3491" i="1"/>
  <c r="G3427" i="1"/>
  <c r="G3363" i="1"/>
  <c r="G3299" i="1"/>
  <c r="G3235" i="1"/>
  <c r="G3171" i="1"/>
  <c r="G3107" i="1"/>
  <c r="G3043" i="1"/>
  <c r="G2979" i="1"/>
  <c r="G2915" i="1"/>
  <c r="G2851" i="1"/>
  <c r="G2131" i="1"/>
  <c r="G1255" i="1"/>
  <c r="G2658" i="1"/>
  <c r="G1124" i="1"/>
  <c r="G906" i="1"/>
  <c r="G1409" i="1"/>
  <c r="G1163" i="1"/>
  <c r="G1021" i="1"/>
  <c r="G454" i="1"/>
  <c r="G396" i="1"/>
  <c r="G1448" i="1"/>
  <c r="G93" i="1"/>
  <c r="G360" i="1"/>
  <c r="G216" i="1"/>
  <c r="G455" i="1"/>
  <c r="G111" i="1"/>
  <c r="G2230" i="1"/>
  <c r="G5301" i="1"/>
  <c r="G5173" i="1"/>
  <c r="G5045" i="1"/>
  <c r="G4917" i="1"/>
  <c r="G4789" i="1"/>
  <c r="G4639" i="1"/>
  <c r="G4503" i="1"/>
  <c r="G4346" i="1"/>
  <c r="G4200" i="1"/>
  <c r="G4059" i="1"/>
  <c r="G3923" i="1"/>
  <c r="G3712" i="1"/>
  <c r="G3393" i="1"/>
  <c r="G1918" i="1"/>
  <c r="G3709" i="1"/>
  <c r="G3581" i="1"/>
  <c r="G3428" i="1"/>
  <c r="G3201" i="1"/>
  <c r="G2872" i="1"/>
  <c r="G2437" i="1"/>
  <c r="G3136" i="1"/>
  <c r="G2820" i="1"/>
  <c r="G2371" i="1"/>
  <c r="G3024" i="1"/>
  <c r="G2699" i="1"/>
  <c r="G2115" i="1"/>
  <c r="G3707" i="1"/>
  <c r="G3579" i="1"/>
  <c r="G3425" i="1"/>
  <c r="G3160" i="1"/>
  <c r="G2826" i="1"/>
  <c r="G2343" i="1"/>
  <c r="G3720" i="1"/>
  <c r="G3592" i="1"/>
  <c r="G3414" i="1"/>
  <c r="G3141" i="1"/>
  <c r="G2697" i="1"/>
  <c r="G2154" i="1"/>
  <c r="G4725" i="1"/>
  <c r="G4597" i="1"/>
  <c r="G4469" i="1"/>
  <c r="G4341" i="1"/>
  <c r="G4213" i="1"/>
  <c r="G4085" i="1"/>
  <c r="G3957" i="1"/>
  <c r="G3829" i="1"/>
  <c r="G3701" i="1"/>
  <c r="G3573" i="1"/>
  <c r="G3408" i="1"/>
  <c r="G3177" i="1"/>
  <c r="G2846" i="1"/>
  <c r="G2465" i="1"/>
  <c r="G1676" i="1"/>
  <c r="G3110" i="1"/>
  <c r="G2941" i="1"/>
  <c r="G2668" i="1"/>
  <c r="G2354" i="1"/>
  <c r="G2072" i="1"/>
  <c r="G3222" i="1"/>
  <c r="G3053" i="1"/>
  <c r="G2884" i="1"/>
  <c r="G2558" i="1"/>
  <c r="G2276" i="1"/>
  <c r="G1962" i="1"/>
  <c r="G3322" i="1"/>
  <c r="G3153" i="1"/>
  <c r="G2984" i="1"/>
  <c r="G2834" i="1"/>
  <c r="G2693" i="1"/>
  <c r="G2432" i="1"/>
  <c r="G2108" i="1"/>
  <c r="G3518" i="1"/>
  <c r="G3349" i="1"/>
  <c r="G3180" i="1"/>
  <c r="G3006" i="1"/>
  <c r="G2779" i="1"/>
  <c r="G2494" i="1"/>
  <c r="G2212" i="1"/>
  <c r="G2772" i="1"/>
  <c r="G2637" i="1"/>
  <c r="G2501" i="1"/>
  <c r="G2339" i="1"/>
  <c r="G2193" i="1"/>
  <c r="G2057" i="1"/>
  <c r="G1720" i="1"/>
  <c r="G1349" i="1"/>
  <c r="G1161" i="1"/>
  <c r="G2639" i="1"/>
  <c r="G2493" i="1"/>
  <c r="G2331" i="1"/>
  <c r="G2195" i="1"/>
  <c r="G2054" i="1"/>
  <c r="G1730" i="1"/>
  <c r="G2760" i="1"/>
  <c r="G2623" i="1"/>
  <c r="G2482" i="1"/>
  <c r="G2346" i="1"/>
  <c r="G2200" i="1"/>
  <c r="G2037" i="1"/>
  <c r="G1604" i="1"/>
  <c r="G3487" i="1"/>
  <c r="G3423" i="1"/>
  <c r="G3359" i="1"/>
  <c r="G3295" i="1"/>
  <c r="G3231" i="1"/>
  <c r="G3167" i="1"/>
  <c r="G3103" i="1"/>
  <c r="G3039" i="1"/>
  <c r="G2975" i="1"/>
  <c r="G2911" i="1"/>
  <c r="G2847" i="1"/>
  <c r="G2126" i="1"/>
  <c r="G1234" i="1"/>
  <c r="G2649" i="1"/>
  <c r="G1103" i="1"/>
  <c r="G885" i="1"/>
  <c r="G1404" i="1"/>
  <c r="G1142" i="1"/>
  <c r="G1003" i="1"/>
  <c r="G442" i="1"/>
  <c r="G350" i="1"/>
  <c r="G1439" i="1"/>
  <c r="G72" i="1"/>
  <c r="G354" i="1"/>
  <c r="G208" i="1"/>
  <c r="G451" i="1"/>
  <c r="G107" i="1"/>
  <c r="G2823" i="1"/>
  <c r="G2727" i="1"/>
  <c r="G2581" i="1"/>
  <c r="G2440" i="1"/>
  <c r="G2304" i="1"/>
  <c r="G2142" i="1"/>
  <c r="G1942" i="1"/>
  <c r="G1417" i="1"/>
  <c r="G1813" i="1"/>
  <c r="G1552" i="1"/>
  <c r="G1239" i="1"/>
  <c r="G1135" i="1"/>
  <c r="G1373" i="1"/>
  <c r="G955" i="1"/>
  <c r="G1966" i="1"/>
  <c r="G1693" i="1"/>
  <c r="G1411" i="1"/>
  <c r="G947" i="1"/>
  <c r="G1866" i="1"/>
  <c r="G1546" i="1"/>
  <c r="G1285" i="1"/>
  <c r="G2667" i="1"/>
  <c r="G2539" i="1"/>
  <c r="G2411" i="1"/>
  <c r="G2283" i="1"/>
  <c r="G2155" i="1"/>
  <c r="G2027" i="1"/>
  <c r="G1765" i="1"/>
  <c r="G1462" i="1"/>
  <c r="G1186" i="1"/>
  <c r="G1969" i="1"/>
  <c r="G1820" i="1"/>
  <c r="G1684" i="1"/>
  <c r="G1522" i="1"/>
  <c r="G1376" i="1"/>
  <c r="G1240" i="1"/>
  <c r="G1099" i="1"/>
  <c r="G927" i="1"/>
  <c r="G1123" i="1"/>
  <c r="G953" i="1"/>
  <c r="G1122" i="1"/>
  <c r="G987" i="1"/>
  <c r="G1858" i="1"/>
  <c r="G1717" i="1"/>
  <c r="G1571" i="1"/>
  <c r="G1414" i="1"/>
  <c r="G1278" i="1"/>
  <c r="G1132" i="1"/>
  <c r="G980" i="1"/>
  <c r="G1753" i="1"/>
  <c r="G1607" i="1"/>
  <c r="G1445" i="1"/>
  <c r="G1309" i="1"/>
  <c r="G1168" i="1"/>
  <c r="G1016" i="1"/>
  <c r="G1909" i="1"/>
  <c r="G1763" i="1"/>
  <c r="G1606" i="1"/>
  <c r="G1470" i="1"/>
  <c r="G1324" i="1"/>
  <c r="G1162" i="1"/>
  <c r="G1026" i="1"/>
  <c r="G949" i="1"/>
  <c r="G808" i="1"/>
  <c r="G650" i="1"/>
  <c r="G106" i="1"/>
  <c r="G719" i="1"/>
  <c r="G356" i="1"/>
  <c r="G749" i="1"/>
  <c r="G552" i="1"/>
  <c r="G806" i="1"/>
  <c r="G660" i="1"/>
  <c r="G816" i="1"/>
  <c r="G627" i="1"/>
  <c r="G992" i="1"/>
  <c r="G852" i="1"/>
  <c r="G695" i="1"/>
  <c r="G410" i="1"/>
  <c r="G888" i="1"/>
  <c r="G752" i="1"/>
  <c r="G449" i="1"/>
  <c r="G1959" i="1"/>
  <c r="G1841" i="1"/>
  <c r="G1713" i="1"/>
  <c r="G1585" i="1"/>
  <c r="G1457" i="1"/>
  <c r="G1329" i="1"/>
  <c r="G1201" i="1"/>
  <c r="G1073" i="1"/>
  <c r="G934" i="1"/>
  <c r="G793" i="1"/>
  <c r="G623" i="1"/>
  <c r="G62" i="1"/>
  <c r="G140" i="1"/>
  <c r="G841" i="1"/>
  <c r="G704" i="1"/>
  <c r="G468" i="1"/>
  <c r="G619" i="1"/>
  <c r="G418" i="1"/>
  <c r="G153" i="1"/>
  <c r="G572" i="1"/>
  <c r="G378" i="1"/>
  <c r="G101" i="1"/>
  <c r="G592" i="1"/>
  <c r="G388" i="1"/>
  <c r="G112" i="1"/>
  <c r="G518" i="1"/>
  <c r="G322" i="1"/>
  <c r="G40" i="1"/>
  <c r="G224" i="1"/>
  <c r="G594" i="1"/>
  <c r="G425" i="1"/>
  <c r="G222" i="1"/>
  <c r="G18" i="1"/>
  <c r="G142" i="1"/>
  <c r="G587" i="1"/>
  <c r="G523" i="1"/>
  <c r="G459" i="1"/>
  <c r="G395" i="1"/>
  <c r="G326" i="1"/>
  <c r="G212" i="1"/>
  <c r="G45" i="1"/>
  <c r="G307" i="1"/>
  <c r="G243" i="1"/>
  <c r="G179" i="1"/>
  <c r="G115" i="1"/>
  <c r="G51" i="1"/>
  <c r="G47" i="1"/>
  <c r="G43" i="1"/>
  <c r="G2811" i="1"/>
  <c r="G2700" i="1"/>
  <c r="G2565" i="1"/>
  <c r="G2403" i="1"/>
  <c r="G2257" i="1"/>
  <c r="G2121" i="1"/>
  <c r="G1861" i="1"/>
  <c r="G1098" i="1"/>
  <c r="G1761" i="1"/>
  <c r="G1479" i="1"/>
  <c r="G1181" i="1"/>
  <c r="G1030" i="1"/>
  <c r="G1310" i="1"/>
  <c r="G1223" i="1"/>
  <c r="G1910" i="1"/>
  <c r="G1630" i="1"/>
  <c r="G1369" i="1"/>
  <c r="G1994" i="1"/>
  <c r="G1817" i="1"/>
  <c r="G1515" i="1"/>
  <c r="G1218" i="1"/>
  <c r="G2640" i="1"/>
  <c r="G2512" i="1"/>
  <c r="G2384" i="1"/>
  <c r="G2256" i="1"/>
  <c r="G2128" i="1"/>
  <c r="G1982" i="1"/>
  <c r="G1702" i="1"/>
  <c r="G1420" i="1"/>
  <c r="G1061" i="1"/>
  <c r="G1945" i="1"/>
  <c r="G1799" i="1"/>
  <c r="G1637" i="1"/>
  <c r="G1501" i="1"/>
  <c r="G1360" i="1"/>
  <c r="G1198" i="1"/>
  <c r="G1057" i="1"/>
  <c r="G875" i="1"/>
  <c r="G1092" i="1"/>
  <c r="G912" i="1"/>
  <c r="G1107" i="1"/>
  <c r="G943" i="1"/>
  <c r="G1843" i="1"/>
  <c r="G1686" i="1"/>
  <c r="G1540" i="1"/>
  <c r="G1399" i="1"/>
  <c r="G1263" i="1"/>
  <c r="G1101" i="1"/>
  <c r="G952" i="1"/>
  <c r="G1706" i="1"/>
  <c r="G1570" i="1"/>
  <c r="G1429" i="1"/>
  <c r="G1283" i="1"/>
  <c r="G1126" i="1"/>
  <c r="G941" i="1"/>
  <c r="G1878" i="1"/>
  <c r="G1732" i="1"/>
  <c r="G1591" i="1"/>
  <c r="G1455" i="1"/>
  <c r="G1293" i="1"/>
  <c r="G1147" i="1"/>
  <c r="G997" i="1"/>
  <c r="G923" i="1"/>
  <c r="G761" i="1"/>
  <c r="G622" i="1"/>
  <c r="G849" i="1"/>
  <c r="G697" i="1"/>
  <c r="G296" i="1"/>
  <c r="G718" i="1"/>
  <c r="G428" i="1"/>
  <c r="G780" i="1"/>
  <c r="G608" i="1"/>
  <c r="G774" i="1"/>
  <c r="G573" i="1"/>
  <c r="G969" i="1"/>
  <c r="G831" i="1"/>
  <c r="G671" i="1"/>
  <c r="G328" i="1"/>
  <c r="G872" i="1"/>
  <c r="G710" i="1"/>
  <c r="G345" i="1"/>
  <c r="G1946" i="1"/>
  <c r="G1818" i="1"/>
  <c r="G1690" i="1"/>
  <c r="G1562" i="1"/>
  <c r="G1434" i="1"/>
  <c r="G1306" i="1"/>
  <c r="G1178" i="1"/>
  <c r="G1050" i="1"/>
  <c r="G918" i="1"/>
  <c r="G746" i="1"/>
  <c r="G568" i="1"/>
  <c r="G209" i="1"/>
  <c r="G946" i="1"/>
  <c r="G818" i="1"/>
  <c r="G678" i="1"/>
  <c r="G373" i="1"/>
  <c r="G596" i="1"/>
  <c r="G397" i="1"/>
  <c r="G98" i="1"/>
  <c r="G556" i="1"/>
  <c r="G333" i="1"/>
  <c r="G693" i="1"/>
  <c r="G540" i="1"/>
  <c r="G340" i="1"/>
  <c r="G56" i="1"/>
  <c r="G502" i="1"/>
  <c r="G282" i="1"/>
  <c r="G366" i="1"/>
  <c r="G146" i="1"/>
  <c r="G562" i="1"/>
  <c r="G393" i="1"/>
  <c r="G189" i="1"/>
  <c r="G34" i="1"/>
  <c r="G110" i="1"/>
  <c r="G575" i="1"/>
  <c r="G511" i="1"/>
  <c r="G447" i="1"/>
  <c r="G383" i="1"/>
  <c r="G310" i="1"/>
  <c r="G180" i="1"/>
  <c r="G13" i="1"/>
  <c r="G295" i="1"/>
  <c r="G231" i="1"/>
  <c r="G167" i="1"/>
  <c r="G103" i="1"/>
  <c r="G39" i="1"/>
  <c r="G2807" i="1"/>
  <c r="G2695" i="1"/>
  <c r="G2560" i="1"/>
  <c r="G2398" i="1"/>
  <c r="G2252" i="1"/>
  <c r="G2116" i="1"/>
  <c r="G1812" i="1"/>
  <c r="G2017" i="1"/>
  <c r="G1751" i="1"/>
  <c r="G1458" i="1"/>
  <c r="G1118" i="1"/>
  <c r="G956" i="1"/>
  <c r="G1300" i="1"/>
  <c r="G1208" i="1"/>
  <c r="G1885" i="1"/>
  <c r="G1620" i="1"/>
  <c r="G1359" i="1"/>
  <c r="G1989" i="1"/>
  <c r="G1797" i="1"/>
  <c r="G1494" i="1"/>
  <c r="G1206" i="1"/>
  <c r="G2635" i="1"/>
  <c r="G2507" i="1"/>
  <c r="G2379" i="1"/>
  <c r="G2251" i="1"/>
  <c r="G2123" i="1"/>
  <c r="G1964" i="1"/>
  <c r="G1692" i="1"/>
  <c r="G1389" i="1"/>
  <c r="G1040" i="1"/>
  <c r="G1940" i="1"/>
  <c r="G1778" i="1"/>
  <c r="G1632" i="1"/>
  <c r="G1496" i="1"/>
  <c r="G1355" i="1"/>
  <c r="G1193" i="1"/>
  <c r="G1052" i="1"/>
  <c r="G1222" i="1"/>
  <c r="G1086" i="1"/>
  <c r="G891" i="1"/>
  <c r="G1091" i="1"/>
  <c r="G932" i="1"/>
  <c r="G1827" i="1"/>
  <c r="G1670" i="1"/>
  <c r="G1534" i="1"/>
  <c r="G1388" i="1"/>
  <c r="G1226" i="1"/>
  <c r="G1090" i="1"/>
  <c r="G942" i="1"/>
  <c r="G1701" i="1"/>
  <c r="G1565" i="1"/>
  <c r="G1424" i="1"/>
  <c r="G1262" i="1"/>
  <c r="G1121" i="1"/>
  <c r="G931" i="1"/>
  <c r="G1862" i="1"/>
  <c r="G1726" i="1"/>
  <c r="G1580" i="1"/>
  <c r="G1418" i="1"/>
  <c r="G1282" i="1"/>
  <c r="G1141" i="1"/>
  <c r="G990" i="1"/>
  <c r="G902" i="1"/>
  <c r="G756" i="1"/>
  <c r="G600" i="1"/>
  <c r="G844" i="1"/>
  <c r="G680" i="1"/>
  <c r="G277" i="1"/>
  <c r="G702" i="1"/>
  <c r="G386" i="1"/>
  <c r="G775" i="1"/>
  <c r="G598" i="1"/>
  <c r="G769" i="1"/>
  <c r="G525" i="1"/>
  <c r="G960" i="1"/>
  <c r="G810" i="1"/>
  <c r="G659" i="1"/>
  <c r="G309" i="1"/>
  <c r="G867" i="1"/>
  <c r="G705" i="1"/>
  <c r="G304" i="1"/>
  <c r="G1937" i="1"/>
  <c r="G1809" i="1"/>
  <c r="G1681" i="1"/>
  <c r="G1553" i="1"/>
  <c r="G1425" i="1"/>
  <c r="G1297" i="1"/>
  <c r="G1169" i="1"/>
  <c r="G1041" i="1"/>
  <c r="G913" i="1"/>
  <c r="G741" i="1"/>
  <c r="G532" i="1"/>
  <c r="G185" i="1"/>
  <c r="G937" i="1"/>
  <c r="G809" i="1"/>
  <c r="G673" i="1"/>
  <c r="G349" i="1"/>
  <c r="G580" i="1"/>
  <c r="G392" i="1"/>
  <c r="G74" i="1"/>
  <c r="G514" i="1"/>
  <c r="G325" i="1"/>
  <c r="G684" i="1"/>
  <c r="G534" i="1"/>
  <c r="G308" i="1"/>
  <c r="G29" i="1"/>
  <c r="G497" i="1"/>
  <c r="G246" i="1"/>
  <c r="G357" i="1"/>
  <c r="G138" i="1"/>
  <c r="G553" i="1"/>
  <c r="G384" i="1"/>
  <c r="G172" i="1"/>
  <c r="G16" i="1"/>
  <c r="G92" i="1"/>
  <c r="G571" i="1"/>
  <c r="G507" i="1"/>
  <c r="G443" i="1"/>
  <c r="G379" i="1"/>
  <c r="G305" i="1"/>
  <c r="G173" i="1"/>
  <c r="G6" i="1"/>
  <c r="G291" i="1"/>
  <c r="G227" i="1"/>
  <c r="G163" i="1"/>
  <c r="G99" i="1"/>
  <c r="G35" i="1"/>
  <c r="G2803" i="1"/>
  <c r="G2685" i="1"/>
  <c r="G2523" i="1"/>
  <c r="G2387" i="1"/>
  <c r="G2246" i="1"/>
  <c r="G2100" i="1"/>
  <c r="G1770" i="1"/>
  <c r="G2008" i="1"/>
  <c r="G1740" i="1"/>
  <c r="G1437" i="1"/>
  <c r="G1056" i="1"/>
  <c r="G916" i="1"/>
  <c r="G1258" i="1"/>
  <c r="G1150" i="1"/>
  <c r="G1876" i="1"/>
  <c r="G1578" i="1"/>
  <c r="G1317" i="1"/>
  <c r="G1984" i="1"/>
  <c r="G1787" i="1"/>
  <c r="G1473" i="1"/>
  <c r="G1187" i="1"/>
  <c r="G2626" i="1"/>
  <c r="G2498" i="1"/>
  <c r="G2370" i="1"/>
  <c r="G2242" i="1"/>
  <c r="G2114" i="1"/>
  <c r="G1958" i="1"/>
  <c r="G1671" i="1"/>
  <c r="G1378" i="1"/>
  <c r="G1019" i="1"/>
  <c r="G1935" i="1"/>
  <c r="G1773" i="1"/>
  <c r="G1627" i="1"/>
  <c r="G1491" i="1"/>
  <c r="G1334" i="1"/>
  <c r="G1188" i="1"/>
  <c r="G1047" i="1"/>
  <c r="G1217" i="1"/>
  <c r="G1081" i="1"/>
  <c r="G870" i="1"/>
  <c r="G1070" i="1"/>
  <c r="G901" i="1"/>
  <c r="G1806" i="1"/>
  <c r="G1665" i="1"/>
  <c r="G1529" i="1"/>
  <c r="G1383" i="1"/>
  <c r="G1221" i="1"/>
  <c r="G1085" i="1"/>
  <c r="G921" i="1"/>
  <c r="G1696" i="1"/>
  <c r="G1560" i="1"/>
  <c r="G1419" i="1"/>
  <c r="G1257" i="1"/>
  <c r="G1116" i="1"/>
  <c r="G910" i="1"/>
  <c r="G1857" i="1"/>
  <c r="G1721" i="1"/>
  <c r="G1575" i="1"/>
  <c r="G1413" i="1"/>
  <c r="G1277" i="1"/>
  <c r="G1136" i="1"/>
  <c r="G979" i="1"/>
  <c r="G897" i="1"/>
  <c r="G751" i="1"/>
  <c r="G589" i="1"/>
  <c r="G839" i="1"/>
  <c r="G641" i="1"/>
  <c r="G196" i="1"/>
  <c r="G691" i="1"/>
  <c r="G369" i="1"/>
  <c r="G738" i="1"/>
  <c r="G548" i="1"/>
  <c r="G764" i="1"/>
  <c r="G464" i="1"/>
  <c r="G951" i="1"/>
  <c r="G805" i="1"/>
  <c r="G653" i="1"/>
  <c r="G286" i="1"/>
  <c r="G846" i="1"/>
  <c r="G700" i="1"/>
  <c r="G280" i="1"/>
  <c r="G1928" i="1"/>
  <c r="G1800" i="1"/>
  <c r="G1672" i="1"/>
  <c r="G1544" i="1"/>
  <c r="G1416" i="1"/>
  <c r="G1288" i="1"/>
  <c r="G1160" i="1"/>
  <c r="G1032" i="1"/>
  <c r="G908" i="1"/>
  <c r="G730" i="1"/>
  <c r="G506" i="1"/>
  <c r="G162" i="1"/>
  <c r="G928" i="1"/>
  <c r="G800" i="1"/>
  <c r="G668" i="1"/>
  <c r="G317" i="1"/>
  <c r="G554" i="1"/>
  <c r="G364" i="1"/>
  <c r="G64" i="1"/>
  <c r="G509" i="1"/>
  <c r="G301" i="1"/>
  <c r="G675" i="1"/>
  <c r="G529" i="1"/>
  <c r="G298" i="1"/>
  <c r="G642" i="1"/>
  <c r="G492" i="1"/>
  <c r="G236" i="1"/>
  <c r="G348" i="1"/>
  <c r="G130" i="1"/>
  <c r="G544" i="1"/>
  <c r="G370" i="1"/>
  <c r="G164" i="1"/>
  <c r="G9" i="1"/>
  <c r="G85" i="1"/>
  <c r="G567" i="1"/>
  <c r="G503" i="1"/>
  <c r="G439" i="1"/>
  <c r="G375" i="1"/>
  <c r="G300" i="1"/>
  <c r="G166" i="1"/>
  <c r="G5" i="1"/>
  <c r="G287" i="1"/>
  <c r="G223" i="1"/>
  <c r="G159" i="1"/>
  <c r="G95" i="1"/>
  <c r="G31" i="1"/>
  <c r="G2799" i="1"/>
  <c r="G2680" i="1"/>
  <c r="G2518" i="1"/>
  <c r="G2382" i="1"/>
  <c r="G2241" i="1"/>
  <c r="G2079" i="1"/>
  <c r="G1749" i="1"/>
  <c r="G1981" i="1"/>
  <c r="G1709" i="1"/>
  <c r="G1427" i="1"/>
  <c r="G1035" i="1"/>
  <c r="G874" i="1"/>
  <c r="G1248" i="1"/>
  <c r="G1088" i="1"/>
  <c r="G1868" i="1"/>
  <c r="G1568" i="1"/>
  <c r="G1307" i="1"/>
  <c r="G1977" i="1"/>
  <c r="G1776" i="1"/>
  <c r="G1463" i="1"/>
  <c r="G1166" i="1"/>
  <c r="G2617" i="1"/>
  <c r="G2489" i="1"/>
  <c r="G2361" i="1"/>
  <c r="G2233" i="1"/>
  <c r="G2105" i="1"/>
  <c r="G1938" i="1"/>
  <c r="G1650" i="1"/>
  <c r="G1368" i="1"/>
  <c r="G994" i="1"/>
  <c r="G1898" i="1"/>
  <c r="G1762" i="1"/>
  <c r="G1621" i="1"/>
  <c r="G1475" i="1"/>
  <c r="G1318" i="1"/>
  <c r="G1182" i="1"/>
  <c r="G1036" i="1"/>
  <c r="G1212" i="1"/>
  <c r="G1076" i="1"/>
  <c r="G859" i="1"/>
  <c r="G1065" i="1"/>
  <c r="G890" i="1"/>
  <c r="G1801" i="1"/>
  <c r="G1660" i="1"/>
  <c r="G1524" i="1"/>
  <c r="G1362" i="1"/>
  <c r="G1216" i="1"/>
  <c r="G1080" i="1"/>
  <c r="G911" i="1"/>
  <c r="G1691" i="1"/>
  <c r="G1555" i="1"/>
  <c r="G1398" i="1"/>
  <c r="G1252" i="1"/>
  <c r="G1111" i="1"/>
  <c r="G889" i="1"/>
  <c r="G1852" i="1"/>
  <c r="G1716" i="1"/>
  <c r="G1554" i="1"/>
  <c r="G1408" i="1"/>
  <c r="G1272" i="1"/>
  <c r="G1131" i="1"/>
  <c r="G965" i="1"/>
  <c r="G892" i="1"/>
  <c r="G740" i="1"/>
  <c r="G578" i="1"/>
  <c r="G802" i="1"/>
  <c r="G609" i="1"/>
  <c r="G150" i="1"/>
  <c r="G685" i="1"/>
  <c r="G313" i="1"/>
  <c r="G733" i="1"/>
  <c r="G537" i="1"/>
  <c r="G758" i="1"/>
  <c r="G453" i="1"/>
  <c r="G930" i="1"/>
  <c r="G794" i="1"/>
  <c r="G636" i="1"/>
  <c r="G261" i="1"/>
  <c r="G830" i="1"/>
  <c r="G676" i="1"/>
  <c r="G217" i="1"/>
  <c r="G1919" i="1"/>
  <c r="G1791" i="1"/>
  <c r="G1663" i="1"/>
  <c r="G1535" i="1"/>
  <c r="G1407" i="1"/>
  <c r="G1279" i="1"/>
  <c r="G1151" i="1"/>
  <c r="G1023" i="1"/>
  <c r="G903" i="1"/>
  <c r="G725" i="1"/>
  <c r="G484" i="1"/>
  <c r="G73" i="1"/>
  <c r="G919" i="1"/>
  <c r="G791" i="1"/>
  <c r="G663" i="1"/>
  <c r="G285" i="1"/>
  <c r="G549" i="1"/>
  <c r="G358" i="1"/>
  <c r="G50" i="1"/>
  <c r="G504" i="1"/>
  <c r="G292" i="1"/>
  <c r="G670" i="1"/>
  <c r="G524" i="1"/>
  <c r="G274" i="1"/>
  <c r="G633" i="1"/>
  <c r="G450" i="1"/>
  <c r="G225" i="1"/>
  <c r="G330" i="1"/>
  <c r="G121" i="1"/>
  <c r="G530" i="1"/>
  <c r="G361" i="1"/>
  <c r="G154" i="1"/>
  <c r="G245" i="1"/>
  <c r="G78" i="1"/>
  <c r="G563" i="1"/>
  <c r="G499" i="1"/>
  <c r="G435" i="1"/>
  <c r="G371" i="1"/>
  <c r="G294" i="1"/>
  <c r="G148" i="1"/>
  <c r="G4" i="1"/>
  <c r="G283" i="1"/>
  <c r="G219" i="1"/>
  <c r="G155" i="1"/>
  <c r="G91" i="1"/>
  <c r="G27" i="1"/>
  <c r="G2795" i="1"/>
  <c r="G2659" i="1"/>
  <c r="G2513" i="1"/>
  <c r="G2377" i="1"/>
  <c r="G2236" i="1"/>
  <c r="G2074" i="1"/>
  <c r="G1687" i="1"/>
  <c r="G1957" i="1"/>
  <c r="G1698" i="1"/>
  <c r="G1385" i="1"/>
  <c r="G884" i="1"/>
  <c r="G1561" i="1"/>
  <c r="G1237" i="1"/>
  <c r="G1067" i="1"/>
  <c r="G1860" i="1"/>
  <c r="G1557" i="1"/>
  <c r="G1296" i="1"/>
  <c r="G1953" i="1"/>
  <c r="G1734" i="1"/>
  <c r="G1452" i="1"/>
  <c r="G1145" i="1"/>
  <c r="G2608" i="1"/>
  <c r="G2480" i="1"/>
  <c r="G2352" i="1"/>
  <c r="G2224" i="1"/>
  <c r="G2096" i="1"/>
  <c r="G1924" i="1"/>
  <c r="G1629" i="1"/>
  <c r="G1347" i="1"/>
  <c r="G936" i="1"/>
  <c r="G1893" i="1"/>
  <c r="G1757" i="1"/>
  <c r="G1616" i="1"/>
  <c r="G1454" i="1"/>
  <c r="G1313" i="1"/>
  <c r="G1177" i="1"/>
  <c r="G1031" i="1"/>
  <c r="G1207" i="1"/>
  <c r="G1071" i="1"/>
  <c r="G838" i="1"/>
  <c r="G1060" i="1"/>
  <c r="G880" i="1"/>
  <c r="G1796" i="1"/>
  <c r="G1655" i="1"/>
  <c r="G1519" i="1"/>
  <c r="G1357" i="1"/>
  <c r="G1211" i="1"/>
  <c r="G1075" i="1"/>
  <c r="G900" i="1"/>
  <c r="G1685" i="1"/>
  <c r="G1539" i="1"/>
  <c r="G1382" i="1"/>
  <c r="G1246" i="1"/>
  <c r="G1100" i="1"/>
  <c r="G879" i="1"/>
  <c r="G1847" i="1"/>
  <c r="G1711" i="1"/>
  <c r="G1549" i="1"/>
  <c r="G1403" i="1"/>
  <c r="G1267" i="1"/>
  <c r="G1110" i="1"/>
  <c r="G957" i="1"/>
  <c r="G886" i="1"/>
  <c r="G735" i="1"/>
  <c r="G542" i="1"/>
  <c r="G797" i="1"/>
  <c r="G564" i="1"/>
  <c r="G58" i="1"/>
  <c r="G679" i="1"/>
  <c r="G272" i="1"/>
  <c r="G728" i="1"/>
  <c r="G526" i="1"/>
  <c r="G753" i="1"/>
  <c r="G438" i="1"/>
  <c r="G925" i="1"/>
  <c r="G779" i="1"/>
  <c r="G626" i="1"/>
  <c r="G218" i="1"/>
  <c r="G825" i="1"/>
  <c r="G664" i="1"/>
  <c r="G170" i="1"/>
  <c r="G1914" i="1"/>
  <c r="G1786" i="1"/>
  <c r="G1658" i="1"/>
  <c r="G1530" i="1"/>
  <c r="G1402" i="1"/>
  <c r="G1274" i="1"/>
  <c r="G1146" i="1"/>
  <c r="G1018" i="1"/>
  <c r="G866" i="1"/>
  <c r="G720" i="1"/>
  <c r="G473" i="1"/>
  <c r="G49" i="1"/>
  <c r="G914" i="1"/>
  <c r="G777" i="1"/>
  <c r="G647" i="1"/>
  <c r="G252" i="1"/>
  <c r="G538" i="1"/>
  <c r="G338" i="1"/>
  <c r="G25" i="1"/>
  <c r="G493" i="1"/>
  <c r="G260" i="1"/>
  <c r="G661" i="1"/>
  <c r="G482" i="1"/>
  <c r="G266" i="1"/>
  <c r="G624" i="1"/>
  <c r="G445" i="1"/>
  <c r="G190" i="1"/>
  <c r="G318" i="1"/>
  <c r="G113" i="1"/>
  <c r="G521" i="1"/>
  <c r="G352" i="1"/>
  <c r="G129" i="1"/>
  <c r="G238" i="1"/>
  <c r="G60" i="1"/>
  <c r="G559" i="1"/>
  <c r="G495" i="1"/>
  <c r="G431" i="1"/>
  <c r="G367" i="1"/>
  <c r="G289" i="1"/>
  <c r="G141" i="1"/>
  <c r="G343" i="1"/>
  <c r="G279" i="1"/>
  <c r="G215" i="1"/>
  <c r="G151" i="1"/>
  <c r="G87" i="1"/>
  <c r="G23" i="1"/>
  <c r="G2791" i="1"/>
  <c r="G2654" i="1"/>
  <c r="G2508" i="1"/>
  <c r="G2372" i="1"/>
  <c r="G2215" i="1"/>
  <c r="G2069" i="1"/>
  <c r="G1645" i="1"/>
  <c r="G1929" i="1"/>
  <c r="G1688" i="1"/>
  <c r="G1374" i="1"/>
  <c r="G1332" i="1"/>
  <c r="G1551" i="1"/>
  <c r="G1197" i="1"/>
  <c r="G1046" i="1"/>
  <c r="G1851" i="1"/>
  <c r="G1547" i="1"/>
  <c r="G1254" i="1"/>
  <c r="G1947" i="1"/>
  <c r="G1724" i="1"/>
  <c r="G1421" i="1"/>
  <c r="G1083" i="1"/>
  <c r="G2603" i="1"/>
  <c r="G2475" i="1"/>
  <c r="G2347" i="1"/>
  <c r="G2219" i="1"/>
  <c r="G2091" i="1"/>
  <c r="G1891" i="1"/>
  <c r="G1619" i="1"/>
  <c r="G1326" i="1"/>
  <c r="G894" i="1"/>
  <c r="G1888" i="1"/>
  <c r="G1752" i="1"/>
  <c r="G1611" i="1"/>
  <c r="G1449" i="1"/>
  <c r="G1308" i="1"/>
  <c r="G1172" i="1"/>
  <c r="G1014" i="1"/>
  <c r="G1196" i="1"/>
  <c r="G1034" i="1"/>
  <c r="G1190" i="1"/>
  <c r="G1054" i="1"/>
  <c r="G837" i="1"/>
  <c r="G1790" i="1"/>
  <c r="G1644" i="1"/>
  <c r="G1482" i="1"/>
  <c r="G1346" i="1"/>
  <c r="G1205" i="1"/>
  <c r="G1059" i="1"/>
  <c r="G869" i="1"/>
  <c r="G1680" i="1"/>
  <c r="G1518" i="1"/>
  <c r="G1377" i="1"/>
  <c r="G1241" i="1"/>
  <c r="G1095" i="1"/>
  <c r="G868" i="1"/>
  <c r="G1836" i="1"/>
  <c r="G1674" i="1"/>
  <c r="G1538" i="1"/>
  <c r="G1397" i="1"/>
  <c r="G1251" i="1"/>
  <c r="G1094" i="1"/>
  <c r="G938" i="1"/>
  <c r="G881" i="1"/>
  <c r="G714" i="1"/>
  <c r="G517" i="1"/>
  <c r="G792" i="1"/>
  <c r="G516" i="1"/>
  <c r="G822" i="1"/>
  <c r="G667" i="1"/>
  <c r="G240" i="1"/>
  <c r="G723" i="1"/>
  <c r="G501" i="1"/>
  <c r="G748" i="1"/>
  <c r="G381" i="1"/>
  <c r="G920" i="1"/>
  <c r="G763" i="1"/>
  <c r="G569" i="1"/>
  <c r="G126" i="1"/>
  <c r="G820" i="1"/>
  <c r="G658" i="1"/>
  <c r="G81" i="1"/>
  <c r="G1905" i="1"/>
  <c r="G1777" i="1"/>
  <c r="G1649" i="1"/>
  <c r="G1521" i="1"/>
  <c r="G1393" i="1"/>
  <c r="G1265" i="1"/>
  <c r="G1137" i="1"/>
  <c r="G1009" i="1"/>
  <c r="G861" i="1"/>
  <c r="G715" i="1"/>
  <c r="G421" i="1"/>
  <c r="G437" i="1"/>
  <c r="G905" i="1"/>
  <c r="G768" i="1"/>
  <c r="G630" i="1"/>
  <c r="G184" i="1"/>
  <c r="G533" i="1"/>
  <c r="G329" i="1"/>
  <c r="G639" i="1"/>
  <c r="G488" i="1"/>
  <c r="G250" i="1"/>
  <c r="G652" i="1"/>
  <c r="G477" i="1"/>
  <c r="G258" i="1"/>
  <c r="G615" i="1"/>
  <c r="G440" i="1"/>
  <c r="G168" i="1"/>
  <c r="G306" i="1"/>
  <c r="G105" i="1"/>
  <c r="G512" i="1"/>
  <c r="G336" i="1"/>
  <c r="G104" i="1"/>
  <c r="G220" i="1"/>
  <c r="G53" i="1"/>
  <c r="G555" i="1"/>
  <c r="G491" i="1"/>
  <c r="G427" i="1"/>
  <c r="G363" i="1"/>
  <c r="G284" i="1"/>
  <c r="G134" i="1"/>
  <c r="G339" i="1"/>
  <c r="G275" i="1"/>
  <c r="G211" i="1"/>
  <c r="G147" i="1"/>
  <c r="G83" i="1"/>
  <c r="G19" i="1"/>
  <c r="G2782" i="1"/>
  <c r="G2643" i="1"/>
  <c r="G2502" i="1"/>
  <c r="G2356" i="1"/>
  <c r="G2199" i="1"/>
  <c r="G2063" i="1"/>
  <c r="G1624" i="1"/>
  <c r="G1922" i="1"/>
  <c r="G1667" i="1"/>
  <c r="G1364" i="1"/>
  <c r="G1290" i="1"/>
  <c r="G1509" i="1"/>
  <c r="G1176" i="1"/>
  <c r="G1025" i="1"/>
  <c r="G1834" i="1"/>
  <c r="G1526" i="1"/>
  <c r="G1244" i="1"/>
  <c r="G1939" i="1"/>
  <c r="G1703" i="1"/>
  <c r="G1410" i="1"/>
  <c r="G1020" i="1"/>
  <c r="G2594" i="1"/>
  <c r="G2466" i="1"/>
  <c r="G2338" i="1"/>
  <c r="G2210" i="1"/>
  <c r="G2082" i="1"/>
  <c r="G1875" i="1"/>
  <c r="G1577" i="1"/>
  <c r="G1316" i="1"/>
  <c r="G842" i="1"/>
  <c r="G1883" i="1"/>
  <c r="G1747" i="1"/>
  <c r="G1590" i="1"/>
  <c r="G1444" i="1"/>
  <c r="G1303" i="1"/>
  <c r="G1167" i="1"/>
  <c r="G1008" i="1"/>
  <c r="G1191" i="1"/>
  <c r="G1029" i="1"/>
  <c r="G1185" i="1"/>
  <c r="G1049" i="1"/>
  <c r="G1921" i="1"/>
  <c r="G1785" i="1"/>
  <c r="G1639" i="1"/>
  <c r="G1477" i="1"/>
  <c r="G1341" i="1"/>
  <c r="G1200" i="1"/>
  <c r="G1038" i="1"/>
  <c r="G833" i="1"/>
  <c r="G1675" i="1"/>
  <c r="G1513" i="1"/>
  <c r="G1372" i="1"/>
  <c r="G1236" i="1"/>
  <c r="G1074" i="1"/>
  <c r="G1974" i="1"/>
  <c r="G1831" i="1"/>
  <c r="G1669" i="1"/>
  <c r="G1533" i="1"/>
  <c r="G1392" i="1"/>
  <c r="G1230" i="1"/>
  <c r="G1089" i="1"/>
  <c r="G917" i="1"/>
  <c r="G876" i="1"/>
  <c r="G709" i="1"/>
  <c r="G444" i="1"/>
  <c r="G781" i="1"/>
  <c r="G505" i="1"/>
  <c r="G817" i="1"/>
  <c r="G655" i="1"/>
  <c r="G194" i="1"/>
  <c r="G717" i="1"/>
  <c r="G490" i="1"/>
  <c r="G743" i="1"/>
  <c r="G368" i="1"/>
  <c r="G915" i="1"/>
  <c r="G742" i="1"/>
  <c r="G558" i="1"/>
  <c r="G36" i="1"/>
  <c r="G815" i="1"/>
  <c r="G645" i="1"/>
  <c r="G30" i="1"/>
  <c r="G1896" i="1"/>
  <c r="G1768" i="1"/>
  <c r="G1640" i="1"/>
  <c r="G1512" i="1"/>
  <c r="G1384" i="1"/>
  <c r="G1256" i="1"/>
  <c r="G1128" i="1"/>
  <c r="G1000" i="1"/>
  <c r="G856" i="1"/>
  <c r="G699" i="1"/>
  <c r="G406" i="1"/>
  <c r="G385" i="1"/>
  <c r="G896" i="1"/>
  <c r="G759" i="1"/>
  <c r="G621" i="1"/>
  <c r="G160" i="1"/>
  <c r="G528" i="1"/>
  <c r="G297" i="1"/>
  <c r="G634" i="1"/>
  <c r="G462" i="1"/>
  <c r="G228" i="1"/>
  <c r="G643" i="1"/>
  <c r="G472" i="1"/>
  <c r="G248" i="1"/>
  <c r="G610" i="1"/>
  <c r="G429" i="1"/>
  <c r="G157" i="1"/>
  <c r="G288" i="1"/>
  <c r="G96" i="1"/>
  <c r="G498" i="1"/>
  <c r="G324" i="1"/>
  <c r="G94" i="1"/>
  <c r="G213" i="1"/>
  <c r="G46" i="1"/>
  <c r="G551" i="1"/>
  <c r="G487" i="1"/>
  <c r="G423" i="1"/>
  <c r="G359" i="1"/>
  <c r="G278" i="1"/>
  <c r="G116" i="1"/>
  <c r="G335" i="1"/>
  <c r="G271" i="1"/>
  <c r="G207" i="1"/>
  <c r="G143" i="1"/>
  <c r="G79" i="1"/>
  <c r="G15" i="1"/>
  <c r="G2773" i="1"/>
  <c r="G2638" i="1"/>
  <c r="G2497" i="1"/>
  <c r="G2335" i="1"/>
  <c r="G2194" i="1"/>
  <c r="G2058" i="1"/>
  <c r="G1603" i="1"/>
  <c r="G1913" i="1"/>
  <c r="G1646" i="1"/>
  <c r="G1322" i="1"/>
  <c r="G1280" i="1"/>
  <c r="G1499" i="1"/>
  <c r="G1155" i="1"/>
  <c r="G2042" i="1"/>
  <c r="G1826" i="1"/>
  <c r="G1505" i="1"/>
  <c r="G1171" i="1"/>
  <c r="G1932" i="1"/>
  <c r="G1682" i="1"/>
  <c r="G1400" i="1"/>
  <c r="G995" i="1"/>
  <c r="G2585" i="1"/>
  <c r="G2457" i="1"/>
  <c r="G2329" i="1"/>
  <c r="G2201" i="1"/>
  <c r="G2073" i="1"/>
  <c r="G1849" i="1"/>
  <c r="G1566" i="1"/>
  <c r="G1305" i="1"/>
  <c r="G2003" i="1"/>
  <c r="G1877" i="1"/>
  <c r="G1731" i="1"/>
  <c r="G1574" i="1"/>
  <c r="G1438" i="1"/>
  <c r="G1292" i="1"/>
  <c r="G1130" i="1"/>
  <c r="G1002" i="1"/>
  <c r="G1170" i="1"/>
  <c r="G1024" i="1"/>
  <c r="G1180" i="1"/>
  <c r="G1044" i="1"/>
  <c r="G1916" i="1"/>
  <c r="G1780" i="1"/>
  <c r="G1618" i="1"/>
  <c r="G1472" i="1"/>
  <c r="G1336" i="1"/>
  <c r="G1195" i="1"/>
  <c r="G1033" i="1"/>
  <c r="G1811" i="1"/>
  <c r="G1654" i="1"/>
  <c r="G1508" i="1"/>
  <c r="G1367" i="1"/>
  <c r="G1231" i="1"/>
  <c r="G1069" i="1"/>
  <c r="G1965" i="1"/>
  <c r="G1810" i="1"/>
  <c r="G1664" i="1"/>
  <c r="G1528" i="1"/>
  <c r="G1387" i="1"/>
  <c r="G1225" i="1"/>
  <c r="G1084" i="1"/>
  <c r="G907" i="1"/>
  <c r="G871" i="1"/>
  <c r="G698" i="1"/>
  <c r="G432" i="1"/>
  <c r="G776" i="1"/>
  <c r="G494" i="1"/>
  <c r="G812" i="1"/>
  <c r="G649" i="1"/>
  <c r="G57" i="1"/>
  <c r="G712" i="1"/>
  <c r="G412" i="1"/>
  <c r="G706" i="1"/>
  <c r="G176" i="1"/>
  <c r="G909" i="1"/>
  <c r="G737" i="1"/>
  <c r="G536" i="1"/>
  <c r="G950" i="1"/>
  <c r="G804" i="1"/>
  <c r="G604" i="1"/>
  <c r="G1983" i="1"/>
  <c r="G1887" i="1"/>
  <c r="G1759" i="1"/>
  <c r="G1631" i="1"/>
  <c r="G1503" i="1"/>
  <c r="G1375" i="1"/>
  <c r="G1247" i="1"/>
  <c r="G1119" i="1"/>
  <c r="G991" i="1"/>
  <c r="G851" i="1"/>
  <c r="G687" i="1"/>
  <c r="G165" i="1"/>
  <c r="G362" i="1"/>
  <c r="G887" i="1"/>
  <c r="G754" i="1"/>
  <c r="G612" i="1"/>
  <c r="G137" i="1"/>
  <c r="G486" i="1"/>
  <c r="G265" i="1"/>
  <c r="G625" i="1"/>
  <c r="G446" i="1"/>
  <c r="G204" i="1"/>
  <c r="G638" i="1"/>
  <c r="G461" i="1"/>
  <c r="G226" i="1"/>
  <c r="G601" i="1"/>
  <c r="G424" i="1"/>
  <c r="G133" i="1"/>
  <c r="G276" i="1"/>
  <c r="G88" i="1"/>
  <c r="G489" i="1"/>
  <c r="G312" i="1"/>
  <c r="G86" i="1"/>
  <c r="G206" i="1"/>
  <c r="G28" i="1"/>
  <c r="G547" i="1"/>
  <c r="G483" i="1"/>
  <c r="G419" i="1"/>
  <c r="G355" i="1"/>
  <c r="G273" i="1"/>
  <c r="G109" i="1"/>
  <c r="G331" i="1"/>
  <c r="G267" i="1"/>
  <c r="G203" i="1"/>
  <c r="G139" i="1"/>
  <c r="G75" i="1"/>
  <c r="G11" i="1"/>
  <c r="G2764" i="1"/>
  <c r="G2633" i="1"/>
  <c r="G2492" i="1"/>
  <c r="G2330" i="1"/>
  <c r="G2189" i="1"/>
  <c r="G2053" i="1"/>
  <c r="G1582" i="1"/>
  <c r="G1906" i="1"/>
  <c r="G1636" i="1"/>
  <c r="G1312" i="1"/>
  <c r="G1269" i="1"/>
  <c r="G1488" i="1"/>
  <c r="G1134" i="1"/>
  <c r="G2033" i="1"/>
  <c r="G1808" i="1"/>
  <c r="G1495" i="1"/>
  <c r="G1129" i="1"/>
  <c r="G1917" i="1"/>
  <c r="G1661" i="1"/>
  <c r="G1379" i="1"/>
  <c r="G970" i="1"/>
  <c r="G2576" i="1"/>
  <c r="G2448" i="1"/>
  <c r="G2320" i="1"/>
  <c r="G2192" i="1"/>
  <c r="G2064" i="1"/>
  <c r="G1840" i="1"/>
  <c r="G1556" i="1"/>
  <c r="G1295" i="1"/>
  <c r="G1999" i="1"/>
  <c r="G1872" i="1"/>
  <c r="G1710" i="1"/>
  <c r="G1569" i="1"/>
  <c r="G1433" i="1"/>
  <c r="G1287" i="1"/>
  <c r="G1125" i="1"/>
  <c r="G996" i="1"/>
  <c r="G1165" i="1"/>
  <c r="G1012" i="1"/>
  <c r="G1175" i="1"/>
  <c r="G1039" i="1"/>
  <c r="G1911" i="1"/>
  <c r="G1775" i="1"/>
  <c r="G1613" i="1"/>
  <c r="G1467" i="1"/>
  <c r="G1331" i="1"/>
  <c r="G1174" i="1"/>
  <c r="G1028" i="1"/>
  <c r="G1795" i="1"/>
  <c r="G1638" i="1"/>
  <c r="G1502" i="1"/>
  <c r="G1356" i="1"/>
  <c r="G1194" i="1"/>
  <c r="G1058" i="1"/>
  <c r="G1956" i="1"/>
  <c r="G1805" i="1"/>
  <c r="G1659" i="1"/>
  <c r="G1523" i="1"/>
  <c r="G1366" i="1"/>
  <c r="G1220" i="1"/>
  <c r="G1079" i="1"/>
  <c r="G865" i="1"/>
  <c r="G834" i="1"/>
  <c r="G692" i="1"/>
  <c r="G390" i="1"/>
  <c r="G771" i="1"/>
  <c r="G469" i="1"/>
  <c r="G807" i="1"/>
  <c r="G631" i="1"/>
  <c r="G858" i="1"/>
  <c r="G707" i="1"/>
  <c r="G400" i="1"/>
  <c r="G701" i="1"/>
  <c r="G128" i="1"/>
  <c r="G904" i="1"/>
  <c r="G732" i="1"/>
  <c r="G522" i="1"/>
  <c r="G945" i="1"/>
  <c r="G799" i="1"/>
  <c r="G557" i="1"/>
  <c r="G1979" i="1"/>
  <c r="G1882" i="1"/>
  <c r="G1754" i="1"/>
  <c r="G1626" i="1"/>
  <c r="G1498" i="1"/>
  <c r="G1370" i="1"/>
  <c r="G1242" i="1"/>
  <c r="G1114" i="1"/>
  <c r="G986" i="1"/>
  <c r="G845" i="1"/>
  <c r="G681" i="1"/>
  <c r="G118" i="1"/>
  <c r="G334" i="1"/>
  <c r="G882" i="1"/>
  <c r="G745" i="1"/>
  <c r="G603" i="1"/>
  <c r="G114" i="1"/>
  <c r="G481" i="1"/>
  <c r="G254" i="1"/>
  <c r="G616" i="1"/>
  <c r="G441" i="1"/>
  <c r="G193" i="1"/>
  <c r="G629" i="1"/>
  <c r="G456" i="1"/>
  <c r="G202" i="1"/>
  <c r="G586" i="1"/>
  <c r="G398" i="1"/>
  <c r="G122" i="1"/>
  <c r="G264" i="1"/>
  <c r="G80" i="1"/>
  <c r="G480" i="1"/>
  <c r="G293" i="1"/>
  <c r="G69" i="1"/>
  <c r="G188" i="1"/>
  <c r="G21" i="1"/>
  <c r="G543" i="1"/>
  <c r="G479" i="1"/>
  <c r="G415" i="1"/>
  <c r="G351" i="1"/>
  <c r="G268" i="1"/>
  <c r="G102" i="1"/>
  <c r="G327" i="1"/>
  <c r="G263" i="1"/>
  <c r="G199" i="1"/>
  <c r="G135" i="1"/>
  <c r="G71" i="1"/>
  <c r="G7" i="1"/>
  <c r="G2759" i="1"/>
  <c r="G2628" i="1"/>
  <c r="G2471" i="1"/>
  <c r="G2325" i="1"/>
  <c r="G2184" i="1"/>
  <c r="G2048" i="1"/>
  <c r="G1558" i="1"/>
  <c r="G1897" i="1"/>
  <c r="G1625" i="1"/>
  <c r="G1301" i="1"/>
  <c r="G1259" i="1"/>
  <c r="G1446" i="1"/>
  <c r="G1113" i="1"/>
  <c r="G2024" i="1"/>
  <c r="G1766" i="1"/>
  <c r="G1484" i="1"/>
  <c r="G1108" i="1"/>
  <c r="G1908" i="1"/>
  <c r="G1651" i="1"/>
  <c r="G1358" i="1"/>
  <c r="G895" i="1"/>
  <c r="G2571" i="1"/>
  <c r="G2443" i="1"/>
  <c r="G2315" i="1"/>
  <c r="G2187" i="1"/>
  <c r="G2059" i="1"/>
  <c r="G1833" i="1"/>
  <c r="G1514" i="1"/>
  <c r="G1253" i="1"/>
  <c r="G1995" i="1"/>
  <c r="G1867" i="1"/>
  <c r="G1705" i="1"/>
  <c r="G1564" i="1"/>
  <c r="G1428" i="1"/>
  <c r="G1266" i="1"/>
  <c r="G1120" i="1"/>
  <c r="G984" i="1"/>
  <c r="G1154" i="1"/>
  <c r="G1006" i="1"/>
  <c r="G1164" i="1"/>
  <c r="G1017" i="1"/>
  <c r="G1900" i="1"/>
  <c r="G1738" i="1"/>
  <c r="G1602" i="1"/>
  <c r="G1461" i="1"/>
  <c r="G1315" i="1"/>
  <c r="G1158" i="1"/>
  <c r="G1022" i="1"/>
  <c r="G1774" i="1"/>
  <c r="G1633" i="1"/>
  <c r="G1497" i="1"/>
  <c r="G1351" i="1"/>
  <c r="G1189" i="1"/>
  <c r="G1053" i="1"/>
  <c r="G1930" i="1"/>
  <c r="G1794" i="1"/>
  <c r="G1653" i="1"/>
  <c r="G1507" i="1"/>
  <c r="G1350" i="1"/>
  <c r="G1214" i="1"/>
  <c r="G1068" i="1"/>
  <c r="G828" i="1"/>
  <c r="G829" i="1"/>
  <c r="G686" i="1"/>
  <c r="G376" i="1"/>
  <c r="G750" i="1"/>
  <c r="G458" i="1"/>
  <c r="G770" i="1"/>
  <c r="G618" i="1"/>
  <c r="G853" i="1"/>
  <c r="G696" i="1"/>
  <c r="G186" i="1"/>
  <c r="G683" i="1"/>
  <c r="G82" i="1"/>
  <c r="G899" i="1"/>
  <c r="G726" i="1"/>
  <c r="G500" i="1"/>
  <c r="G940" i="1"/>
  <c r="G778" i="1"/>
  <c r="G546" i="1"/>
  <c r="G1975" i="1"/>
  <c r="G1873" i="1"/>
  <c r="G1745" i="1"/>
  <c r="G1617" i="1"/>
  <c r="G1489" i="1"/>
  <c r="G1361" i="1"/>
  <c r="G1233" i="1"/>
  <c r="G1105" i="1"/>
  <c r="G977" i="1"/>
  <c r="G840" i="1"/>
  <c r="G669" i="1"/>
  <c r="G221" i="1"/>
  <c r="G302" i="1"/>
  <c r="G873" i="1"/>
  <c r="G736" i="1"/>
  <c r="G593" i="1"/>
  <c r="G17" i="1"/>
  <c r="G476" i="1"/>
  <c r="G234" i="1"/>
  <c r="G607" i="1"/>
  <c r="G436" i="1"/>
  <c r="G182" i="1"/>
  <c r="G620" i="1"/>
  <c r="G430" i="1"/>
  <c r="G192" i="1"/>
  <c r="G581" i="1"/>
  <c r="G382" i="1"/>
  <c r="G100" i="1"/>
  <c r="G257" i="1"/>
  <c r="G44" i="1"/>
  <c r="G466" i="1"/>
  <c r="G281" i="1"/>
  <c r="G61" i="1"/>
  <c r="G181" i="1"/>
  <c r="G14" i="1"/>
  <c r="G539" i="1"/>
  <c r="G475" i="1"/>
  <c r="G411" i="1"/>
  <c r="G347" i="1"/>
  <c r="G262" i="1"/>
  <c r="G84" i="1"/>
  <c r="G323" i="1"/>
  <c r="G259" i="1"/>
  <c r="G195" i="1"/>
  <c r="G131" i="1"/>
  <c r="G67" i="1"/>
  <c r="G3" i="1"/>
  <c r="G2750" i="1"/>
  <c r="G2612" i="1"/>
  <c r="G2455" i="1"/>
  <c r="G2319" i="1"/>
  <c r="G2173" i="1"/>
  <c r="G2036" i="1"/>
  <c r="G1531" i="1"/>
  <c r="G1889" i="1"/>
  <c r="G1615" i="1"/>
  <c r="G1291" i="1"/>
  <c r="G1238" i="1"/>
  <c r="G1436" i="1"/>
  <c r="G1051" i="1"/>
  <c r="G2019" i="1"/>
  <c r="G1756" i="1"/>
  <c r="G1453" i="1"/>
  <c r="G1066" i="1"/>
  <c r="G1901" i="1"/>
  <c r="G1609" i="1"/>
  <c r="G1348" i="1"/>
  <c r="G2690" i="1"/>
  <c r="G2562" i="1"/>
  <c r="G2434" i="1"/>
  <c r="G2306" i="1"/>
  <c r="G2178" i="1"/>
  <c r="G2050" i="1"/>
  <c r="G1824" i="1"/>
  <c r="G1504" i="1"/>
  <c r="G1243" i="1"/>
  <c r="G1991" i="1"/>
  <c r="G1846" i="1"/>
  <c r="G1700" i="1"/>
  <c r="G1559" i="1"/>
  <c r="G1423" i="1"/>
  <c r="G1261" i="1"/>
  <c r="G1115" i="1"/>
  <c r="G971" i="1"/>
  <c r="G1149" i="1"/>
  <c r="G988" i="1"/>
  <c r="G1159" i="1"/>
  <c r="G1005" i="1"/>
  <c r="G1895" i="1"/>
  <c r="G1733" i="1"/>
  <c r="G1597" i="1"/>
  <c r="G1456" i="1"/>
  <c r="G1294" i="1"/>
  <c r="G1153" i="1"/>
  <c r="G1011" i="1"/>
  <c r="G1769" i="1"/>
  <c r="G1628" i="1"/>
  <c r="G1492" i="1"/>
  <c r="G1330" i="1"/>
  <c r="G1184" i="1"/>
  <c r="G1048" i="1"/>
  <c r="G1925" i="1"/>
  <c r="G1789" i="1"/>
  <c r="G1648" i="1"/>
  <c r="G1486" i="1"/>
  <c r="G1345" i="1"/>
  <c r="G1209" i="1"/>
  <c r="G1063" i="1"/>
  <c r="G972" i="1"/>
  <c r="G824" i="1"/>
  <c r="G674" i="1"/>
  <c r="G344" i="1"/>
  <c r="G734" i="1"/>
  <c r="G417" i="1"/>
  <c r="G765" i="1"/>
  <c r="G599" i="1"/>
  <c r="G848" i="1"/>
  <c r="G690" i="1"/>
  <c r="G97" i="1"/>
  <c r="G677" i="1"/>
  <c r="G1015" i="1"/>
  <c r="G878" i="1"/>
  <c r="G721" i="1"/>
  <c r="G474" i="1"/>
  <c r="G935" i="1"/>
  <c r="G773" i="1"/>
  <c r="G510" i="1"/>
  <c r="G1971" i="1"/>
  <c r="G1864" i="1"/>
  <c r="G1736" i="1"/>
  <c r="G1608" i="1"/>
  <c r="G1480" i="1"/>
  <c r="G1352" i="1"/>
  <c r="G1224" i="1"/>
  <c r="G1096" i="1"/>
  <c r="G968" i="1"/>
  <c r="G835" i="1"/>
  <c r="G657" i="1"/>
  <c r="G200" i="1"/>
  <c r="G270" i="1"/>
  <c r="G864" i="1"/>
  <c r="G727" i="1"/>
  <c r="G541" i="1"/>
  <c r="G646" i="1"/>
  <c r="G470" i="1"/>
  <c r="G210" i="1"/>
  <c r="G602" i="1"/>
  <c r="G420" i="1"/>
  <c r="G158" i="1"/>
  <c r="G611" i="1"/>
  <c r="G414" i="1"/>
  <c r="G178" i="1"/>
  <c r="G570" i="1"/>
  <c r="G377" i="1"/>
  <c r="G76" i="1"/>
  <c r="G249" i="1"/>
  <c r="G33" i="1"/>
  <c r="G457" i="1"/>
  <c r="G269" i="1"/>
  <c r="G42" i="1"/>
  <c r="G174" i="1"/>
  <c r="G8" i="1"/>
  <c r="G535" i="1"/>
  <c r="G471" i="1"/>
  <c r="G407" i="1"/>
  <c r="G342" i="1"/>
  <c r="G244" i="1"/>
  <c r="G77" i="1"/>
  <c r="G319" i="1"/>
  <c r="G255" i="1"/>
  <c r="G191" i="1"/>
  <c r="G127" i="1"/>
  <c r="G63" i="1"/>
  <c r="G2831" i="1"/>
  <c r="G2741" i="1"/>
  <c r="G2591" i="1"/>
  <c r="G2450" i="1"/>
  <c r="G2314" i="1"/>
  <c r="G2168" i="1"/>
  <c r="G2030" i="1"/>
  <c r="G1474" i="1"/>
  <c r="G1839" i="1"/>
  <c r="G1573" i="1"/>
  <c r="G1270" i="1"/>
  <c r="G1227" i="1"/>
  <c r="G1415" i="1"/>
  <c r="G1007" i="1"/>
  <c r="G2010" i="1"/>
  <c r="G1735" i="1"/>
  <c r="G1442" i="1"/>
  <c r="G1045" i="1"/>
  <c r="G1892" i="1"/>
  <c r="G1598" i="1"/>
  <c r="G1337" i="1"/>
  <c r="G2681" i="1"/>
  <c r="G2553" i="1"/>
  <c r="G2425" i="1"/>
  <c r="G2297" i="1"/>
  <c r="G2169" i="1"/>
  <c r="G2041" i="1"/>
  <c r="G1816" i="1"/>
  <c r="G1493" i="1"/>
  <c r="G1232" i="1"/>
  <c r="G1987" i="1"/>
  <c r="G1830" i="1"/>
  <c r="G1694" i="1"/>
  <c r="G1548" i="1"/>
  <c r="G1386" i="1"/>
  <c r="G1250" i="1"/>
  <c r="G1109" i="1"/>
  <c r="G964" i="1"/>
  <c r="G1144" i="1"/>
  <c r="G981" i="1"/>
  <c r="G1138" i="1"/>
  <c r="G999" i="1"/>
  <c r="G1874" i="1"/>
  <c r="G1728" i="1"/>
  <c r="G1592" i="1"/>
  <c r="G1451" i="1"/>
  <c r="G1289" i="1"/>
  <c r="G1148" i="1"/>
  <c r="G1004" i="1"/>
  <c r="G1764" i="1"/>
  <c r="G1623" i="1"/>
  <c r="G1487" i="1"/>
  <c r="G1325" i="1"/>
  <c r="G1179" i="1"/>
  <c r="G1043" i="1"/>
  <c r="G1920" i="1"/>
  <c r="G1784" i="1"/>
  <c r="G1643" i="1"/>
  <c r="G1481" i="1"/>
  <c r="G1340" i="1"/>
  <c r="G1204" i="1"/>
  <c r="G1042" i="1"/>
  <c r="G963" i="1"/>
  <c r="G819" i="1"/>
  <c r="G662" i="1"/>
  <c r="G242" i="1"/>
  <c r="G729" i="1"/>
  <c r="G401" i="1"/>
  <c r="G760" i="1"/>
  <c r="G588" i="1"/>
  <c r="G843" i="1"/>
  <c r="G672" i="1"/>
  <c r="G826" i="1"/>
  <c r="G665" i="1"/>
  <c r="G1010" i="1"/>
  <c r="G862" i="1"/>
  <c r="G716" i="1"/>
  <c r="G452" i="1"/>
  <c r="G898" i="1"/>
  <c r="G762" i="1"/>
  <c r="G496" i="1"/>
  <c r="G1967" i="1"/>
  <c r="G1855" i="1"/>
  <c r="G1727" i="1"/>
  <c r="G1599" i="1"/>
  <c r="G1471" i="1"/>
  <c r="G1343" i="1"/>
  <c r="G1215" i="1"/>
  <c r="G1087" i="1"/>
  <c r="G959" i="1"/>
  <c r="G814" i="1"/>
  <c r="G651" i="1"/>
  <c r="G132" i="1"/>
  <c r="G229" i="1"/>
  <c r="G855" i="1"/>
  <c r="G722" i="1"/>
  <c r="G520" i="1"/>
  <c r="G637" i="1"/>
  <c r="G465" i="1"/>
  <c r="G201" i="1"/>
  <c r="G582" i="1"/>
  <c r="G394" i="1"/>
  <c r="G136" i="1"/>
  <c r="G606" i="1"/>
  <c r="G409" i="1"/>
  <c r="G169" i="1"/>
  <c r="G565" i="1"/>
  <c r="G353" i="1"/>
  <c r="G65" i="1"/>
  <c r="G241" i="1"/>
  <c r="G24" i="1"/>
  <c r="G448" i="1"/>
  <c r="G256" i="1"/>
  <c r="G32" i="1"/>
  <c r="G156" i="1"/>
  <c r="G595" i="1"/>
  <c r="G531" i="1"/>
  <c r="G467" i="1"/>
  <c r="G403" i="1"/>
  <c r="G337" i="1"/>
  <c r="G237" i="1"/>
  <c r="G70" i="1"/>
  <c r="G315" i="1"/>
  <c r="G251" i="1"/>
  <c r="G187" i="1"/>
  <c r="G123" i="1"/>
  <c r="G59" i="1"/>
  <c r="G2732" i="1"/>
  <c r="G2586" i="1"/>
  <c r="G2445" i="1"/>
  <c r="G2309" i="1"/>
  <c r="G2147" i="1"/>
  <c r="G1980" i="1"/>
  <c r="G1447" i="1"/>
  <c r="G1822" i="1"/>
  <c r="G1563" i="1"/>
  <c r="G1249" i="1"/>
  <c r="G1156" i="1"/>
  <c r="G1394" i="1"/>
  <c r="G982" i="1"/>
  <c r="G1972" i="1"/>
  <c r="G1714" i="1"/>
  <c r="G1432" i="1"/>
  <c r="G976" i="1"/>
  <c r="G1884" i="1"/>
  <c r="G1588" i="1"/>
  <c r="G1327" i="1"/>
  <c r="G2672" i="1"/>
  <c r="G2544" i="1"/>
  <c r="G2416" i="1"/>
  <c r="G2288" i="1"/>
  <c r="G2160" i="1"/>
  <c r="G2032" i="1"/>
  <c r="G1807" i="1"/>
  <c r="G1483" i="1"/>
  <c r="G1203" i="1"/>
  <c r="G1978" i="1"/>
  <c r="G1825" i="1"/>
  <c r="G1689" i="1"/>
  <c r="G1543" i="1"/>
  <c r="G1381" i="1"/>
  <c r="G1245" i="1"/>
  <c r="G1104" i="1"/>
  <c r="G948" i="1"/>
  <c r="G1139" i="1"/>
  <c r="G961" i="1"/>
  <c r="G1133" i="1"/>
  <c r="G993" i="1"/>
  <c r="G1869" i="1"/>
  <c r="G1723" i="1"/>
  <c r="G1587" i="1"/>
  <c r="G1430" i="1"/>
  <c r="G1284" i="1"/>
  <c r="G1143" i="1"/>
  <c r="G998" i="1"/>
  <c r="G1758" i="1"/>
  <c r="G1612" i="1"/>
  <c r="G1450" i="1"/>
  <c r="G1314" i="1"/>
  <c r="G1173" i="1"/>
  <c r="G1027" i="1"/>
  <c r="G1915" i="1"/>
  <c r="G1779" i="1"/>
  <c r="G1622" i="1"/>
  <c r="G1476" i="1"/>
  <c r="G1335" i="1"/>
  <c r="G1199" i="1"/>
  <c r="G1037" i="1"/>
  <c r="G958" i="1"/>
  <c r="G813" i="1"/>
  <c r="G656" i="1"/>
  <c r="G152" i="1"/>
  <c r="G724" i="1"/>
  <c r="G374" i="1"/>
  <c r="G755" i="1"/>
  <c r="G574" i="1"/>
  <c r="G827" i="1"/>
  <c r="G666" i="1"/>
  <c r="G821" i="1"/>
  <c r="G648" i="1"/>
  <c r="G1001" i="1"/>
  <c r="G857" i="1"/>
  <c r="G711" i="1"/>
  <c r="G422" i="1"/>
  <c r="G893" i="1"/>
  <c r="G757" i="1"/>
  <c r="G485" i="1"/>
  <c r="G1963" i="1"/>
  <c r="G1850" i="1"/>
  <c r="G1722" i="1"/>
  <c r="G1594" i="1"/>
  <c r="G1466" i="1"/>
  <c r="G1338" i="1"/>
  <c r="G1210" i="1"/>
  <c r="G1082" i="1"/>
  <c r="G954" i="1"/>
  <c r="G798" i="1"/>
  <c r="G635" i="1"/>
  <c r="G108" i="1"/>
  <c r="G161" i="1"/>
  <c r="G850" i="1"/>
  <c r="G713" i="1"/>
  <c r="G478" i="1"/>
  <c r="G628" i="1"/>
  <c r="G460" i="1"/>
  <c r="G177" i="1"/>
  <c r="G577" i="1"/>
  <c r="G389" i="1"/>
  <c r="G125" i="1"/>
  <c r="G597" i="1"/>
  <c r="G404" i="1"/>
  <c r="G145" i="1"/>
  <c r="G560" i="1"/>
  <c r="G346" i="1"/>
  <c r="G54" i="1"/>
  <c r="G233" i="1"/>
  <c r="G10" i="1"/>
  <c r="G434" i="1"/>
  <c r="G232" i="1"/>
  <c r="G22" i="1"/>
  <c r="G149" i="1"/>
  <c r="G591" i="1"/>
  <c r="G527" i="1"/>
  <c r="G463" i="1"/>
  <c r="G399" i="1"/>
  <c r="G332" i="1"/>
  <c r="G230" i="1"/>
  <c r="G52" i="1"/>
  <c r="G311" i="1"/>
  <c r="G247" i="1"/>
  <c r="G183" i="1"/>
  <c r="G119" i="1"/>
  <c r="G55" i="1"/>
  <c r="F3" i="1"/>
  <c r="J16" i="1" l="1"/>
  <c r="J20" i="1"/>
  <c r="J3" i="1"/>
  <c r="J33" i="1" s="1"/>
  <c r="O10" i="1"/>
  <c r="J6" i="1"/>
  <c r="J9" i="1"/>
  <c r="J27" i="1"/>
  <c r="O9" i="1"/>
  <c r="O8" i="1"/>
  <c r="O7" i="1"/>
  <c r="O6" i="1"/>
  <c r="O5" i="1"/>
  <c r="J32" i="1"/>
  <c r="L14" i="1"/>
  <c r="L19" i="1"/>
  <c r="L21" i="1"/>
  <c r="L5" i="1"/>
  <c r="L27" i="1"/>
  <c r="L28" i="1"/>
  <c r="L10" i="1"/>
  <c r="L12" i="1"/>
  <c r="L3" i="1"/>
  <c r="L30" i="1"/>
  <c r="L25" i="1"/>
  <c r="L31" i="1"/>
  <c r="L23" i="1"/>
  <c r="L18" i="1"/>
  <c r="L15" i="1"/>
  <c r="L26" i="1"/>
  <c r="L7" i="1"/>
  <c r="L22" i="1"/>
  <c r="L6" i="1"/>
  <c r="L17" i="1"/>
  <c r="L24" i="1"/>
  <c r="L29" i="1"/>
  <c r="L4" i="1"/>
  <c r="L9" i="1"/>
  <c r="L16" i="1"/>
  <c r="L13" i="1"/>
  <c r="L20" i="1"/>
  <c r="L8" i="1"/>
  <c r="L1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<sst xmlns="http://schemas.openxmlformats.org/spreadsheetml/2006/main" count="30700" uniqueCount="2211">
  <si>
    <t>id</t>
  </si>
  <si>
    <t>satisfaction</t>
  </si>
  <si>
    <t>satisfaction score</t>
  </si>
  <si>
    <t>voice of customer</t>
  </si>
  <si>
    <t>neutral or dissatisfied</t>
  </si>
  <si>
    <t>NIL</t>
  </si>
  <si>
    <t>The emotional toll of the experience was overwhelming, and I felt the airline had failed to meet my expectations.</t>
  </si>
  <si>
    <t>The extended wait for flight arrival was highly inconvenient for me.</t>
  </si>
  <si>
    <t>The airline did not provide any updates during the prolonged delay.</t>
  </si>
  <si>
    <t>The airline did not provide any compensation for the delayed flight.</t>
  </si>
  <si>
    <t>The airline charged excessive fees for baggage.</t>
  </si>
  <si>
    <t>I had an important occasion to celebrate, but the delay in arrival dampened the mood.</t>
  </si>
  <si>
    <t>I encountered a lack of designated areas or assistance for oversized or special baggage.</t>
  </si>
  <si>
    <t>The flight attendants did not assist with finding alternative flights for missed connections.</t>
  </si>
  <si>
    <t>I faced challenges understanding the airline's complex travel insurance policy, resulting in confusion and difficulties in obtaining coverage.</t>
  </si>
  <si>
    <t>The arrival delay reflects the airline's lack of respect for its passengers.</t>
  </si>
  <si>
    <t>The flight delay made me miss a critical appointment. The airline's fault.</t>
  </si>
  <si>
    <t>The flight attendants seemed overworked and exhausted, impacting their service quality.</t>
  </si>
  <si>
    <t>I had a well-planned itinerary, but the delay in departure threw everything off track.</t>
  </si>
  <si>
    <t>The airline's ticket change process was convoluted and time-consuming, causing unnecessary stress and inconvenience.</t>
  </si>
  <si>
    <t>The flight was noisy, and it was difficult to have a conversation or rest during the journey.</t>
  </si>
  <si>
    <t>The flight was excessively noisy due to mechanical issues, causing discomfort throughout the journey.</t>
  </si>
  <si>
    <t>The legroom was insufficient, and it made the journey cramped and uncomfortable.</t>
  </si>
  <si>
    <t>I was served in-flight meals of poor quality that left me unsatisfied and hungry.</t>
  </si>
  <si>
    <t>I felt a profound sense of disappointment and disillusionment with the airline's level of service.</t>
  </si>
  <si>
    <t>The air crew was rude to me and had poor communication skills.</t>
  </si>
  <si>
    <t>The airline failed to accommodate my dietary restrictions despite prior notification.</t>
  </si>
  <si>
    <t>The airline did not provide any assistance during the extended delay.</t>
  </si>
  <si>
    <t>The delayed arrival is an inconvenience I should never have to endure. I demand justice!</t>
  </si>
  <si>
    <t>The airline's customer service email responses were slow and unhelpful, providing generic and uninformative replies.</t>
  </si>
  <si>
    <t>The airline's constant delays have left me feeling cheated and dissatisfied.</t>
  </si>
  <si>
    <t>I'm deeply dissatisfied with the airline's inability to manage timely departures.</t>
  </si>
  <si>
    <t>This airline's delays have me fuming! They are completely incompetent and deserve my anger!</t>
  </si>
  <si>
    <t>The airline did not provide adequate assistance during a flight disruption.</t>
  </si>
  <si>
    <t>The continuous delays throughout my journey made me question the airline's reliability.</t>
  </si>
  <si>
    <t>The airline failed to enforce mask-wearing protocols consistently, compromising passenger safety.</t>
  </si>
  <si>
    <t>I expected better from the airline, considering the delay in flight departure.</t>
  </si>
  <si>
    <t>The baggage claim area lacked sufficient staff to handle the number of passengers.</t>
  </si>
  <si>
    <t>The flight attendants seemed disinterested and lacked basic courtesy.</t>
  </si>
  <si>
    <t>The airline did not provide clear instructions for baggage claim, causing confusion and delays.</t>
  </si>
  <si>
    <t>This delayed departure is an insult to my time and patience. I deserve better!</t>
  </si>
  <si>
    <t>I felt the airline should have offered complimentary access to calming music or meditation apps to help passengers relax during the turbulent flight.</t>
  </si>
  <si>
    <t>The baggage policy of the airline was confusing and resulted in unexpected fees.</t>
  </si>
  <si>
    <t>Limited space for carry-on luggage, causing passengers to struggle with storage and accessibility.</t>
  </si>
  <si>
    <t>The delayed flight departure resulted in me missing important connections at my destination.</t>
  </si>
  <si>
    <t>I faced difficulties and confusion when trying to navigate the airport.</t>
  </si>
  <si>
    <t>I felt a surge of anger and helplessness as the flight departure was repeatedly postponed without explanation.</t>
  </si>
  <si>
    <t>I had important business meetings, but the flight delay made me miss them all.</t>
  </si>
  <si>
    <t>I was dissatisfied with the lengthy wait for flight departure.</t>
  </si>
  <si>
    <t>The airline did not provide clear instructions during the emergency evacuation drill.</t>
  </si>
  <si>
    <t>The prolonged delay in flight arrival left me frustrated and dissatisfied with the airline.</t>
  </si>
  <si>
    <t>I was disappointed with the significant delay in our flight departure.</t>
  </si>
  <si>
    <t>There were no power outlets on the aircraft, which made it impossible to charge my devices.</t>
  </si>
  <si>
    <t>Departure was postponed, inconveniencing passengers and causing dissatisfaction.</t>
  </si>
  <si>
    <t>I found unclean or sticky surfaces on the seat armrests.</t>
  </si>
  <si>
    <t>The flight attendants did not address safety concerns appropriately.</t>
  </si>
  <si>
    <t>The flight attendant was unfriendly and displayed a lack of professionalism.</t>
  </si>
  <si>
    <t>The airline didn't have proper facilities for families traveling with young children, making the journey more challenging.</t>
  </si>
  <si>
    <t>I felt cramped and uncomfortable throughout the flight due to limited legroom.</t>
  </si>
  <si>
    <t>The airline did not properly maintain their aircraft.</t>
  </si>
  <si>
    <t>The flight was continuously plagued by turbulence, making it an uncomfortable experience.</t>
  </si>
  <si>
    <t>The frequent flyer program offered limited benefits, leaving me unsatisfied with the rewards.</t>
  </si>
  <si>
    <t>I encountered unclean or unsanitary footrests in the seats.</t>
  </si>
  <si>
    <t>I expected better punctuality from the airline, but the departure was repeatedly delayed.</t>
  </si>
  <si>
    <t>I experienced a whirlwind of emotions during the lengthy wait for flight departure, from frustration to sadness.</t>
  </si>
  <si>
    <t>The lengthy wait for flight arrival left me feeling emotionally exhausted and let down.</t>
  </si>
  <si>
    <t>The flight delay inconvenienced passengers and affected their travel experience.</t>
  </si>
  <si>
    <t>I expect the airline to provide a solution for the departure delay. This is absurd!</t>
  </si>
  <si>
    <t>The flight attendants lacked professionalism.</t>
  </si>
  <si>
    <t>I faced challenges understanding the airline's complex infant travel policy, resulting in confusion and difficulties in arranging travel for infants.</t>
  </si>
  <si>
    <t>The flight had malfunctioning seatback screens, depriving passengers of in-flight entertainment options.</t>
  </si>
  <si>
    <t>The entire experience was emotionally taxing, and I felt let down by the airline's lack of customer-centricity.</t>
  </si>
  <si>
    <t>The prolonged wait for flight arrival triggered significant emotional turmoil and anxiety.</t>
  </si>
  <si>
    <t>I was heartbroken by the significant delay in our flight departure, as it ruined my special event.</t>
  </si>
  <si>
    <t>The prolonged wait for flight arrival caused me significant emotional distress and robbed me of enjoyment.</t>
  </si>
  <si>
    <t>Cramped seating arrangement made it impossible to relax or sleep during the flight.</t>
  </si>
  <si>
    <t>The airline didn't provide updates or explanations for a delayed departure, leaving passengers in the dark.</t>
  </si>
  <si>
    <t>The baggage handling staff mishandled my sports equipment, causing irreparable damage.</t>
  </si>
  <si>
    <t>I felt a mix of anger and sadness during the long wait for flight departure, which took an emotional toll on me.</t>
  </si>
  <si>
    <t>The airline did not provide sufficient support for passengers with medical conditions.</t>
  </si>
  <si>
    <t>The turbulence during the flight was unexpected and made the journey uncomfortable.</t>
  </si>
  <si>
    <t>The flight experienced multiple delays throughout the journey.</t>
  </si>
  <si>
    <t>The flight was delayed, and the airline did not offer any explanation.</t>
  </si>
  <si>
    <t>The lack of proper coordination between the airline and the ground staff resulted in a significant delay in our departure, causing frustration and dissatisfaction among passengers.</t>
  </si>
  <si>
    <t>The repeated delays in flight departure made me question the airline's reliability.</t>
  </si>
  <si>
    <t>I noticed unclean or dusty seatbelt buckles.</t>
  </si>
  <si>
    <t>Difficulties in reaching customer service.</t>
  </si>
  <si>
    <t>The airline did not prioritize customer satisfaction during delays.</t>
  </si>
  <si>
    <t>I received my bag with broken locks or security seals.</t>
  </si>
  <si>
    <t>Flight attendants were unresponsive to passenger requests, disregarding their needs and concerns.</t>
  </si>
  <si>
    <t>The delayed arrival meant that I had to incur additional expenses for accommodation and transportation at my destination, as I arrived much later than anticipated.</t>
  </si>
  <si>
    <t>The delay in arrival caused me to miss a crucial business meeting. Unacceptable.</t>
  </si>
  <si>
    <t>The customer service representative was uncooperative and unwilling to find a solution.</t>
  </si>
  <si>
    <t>The heavy fog during the flight resulted in low visibility, and it was concerning for passengers.</t>
  </si>
  <si>
    <t>My flight arrived significantly later than scheduled.</t>
  </si>
  <si>
    <t>There was limited overhead storage space, making it difficult to find room for my belongings.</t>
  </si>
  <si>
    <t>The food options on my flight were unsatisfactory and lacked variety.</t>
  </si>
  <si>
    <t>The absence of reclining seats on the flight made it impossible to find a comfortable position.</t>
  </si>
  <si>
    <t>The delayed flight arrival disrupted my plans and caused unnecessary inconvenience.</t>
  </si>
  <si>
    <t>The extended delay disrupted my travel plans.</t>
  </si>
  <si>
    <t>I had to wait at the airport for hours due to the flight delay. Annoying and exhausting.</t>
  </si>
  <si>
    <t>The staff displayed a lack of professionalism and courtesy towards passengers.</t>
  </si>
  <si>
    <t>The turbulence was prolonged and rough, making it impossible to engage in any conversation or relaxation during the flight.</t>
  </si>
  <si>
    <t>I experienced a lack of fresh and healthy food options onboard.</t>
  </si>
  <si>
    <t>I encountered a delay in receiving my requested special dietary meal.</t>
  </si>
  <si>
    <t>The cabin had an unpleasant and unclean smell.</t>
  </si>
  <si>
    <t>The delayed flight arrival disrupted my plans, and I felt inconvenienced and disappointed.</t>
  </si>
  <si>
    <t>I was dissatisfied with the cleanliness of the restrooms.</t>
  </si>
  <si>
    <t>The airline's customer service hotline had long wait times and unhelpful representatives, making it challenging to resolve issues or get assistance.</t>
  </si>
  <si>
    <t>How can the airline justify the repeated delays? This is an affront to passengers like me!</t>
  </si>
  <si>
    <t>I was disappointed with the lack of compensation for the delayed flight.</t>
  </si>
  <si>
    <t>The airline did not offer any complimentary amenity kits for long-haul flights.</t>
  </si>
  <si>
    <t>The flight attendants did not provide clear and accurate information about the flight.</t>
  </si>
  <si>
    <t>I witnessed other passengers gripping their armrests tightly and praying during the turbulence, and the airline did not offer any comforting measures.</t>
  </si>
  <si>
    <t>The extended wait for flight arrival was frustrating.</t>
  </si>
  <si>
    <t>I was assigned a cramped seat.</t>
  </si>
  <si>
    <t>The customer service agent was uninterested in resolving my issue and did not offer any alternatives.</t>
  </si>
  <si>
    <t>The flight crew lacked professionalism and didn't prioritize customer satisfaction.</t>
  </si>
  <si>
    <t>The customer service representative was unable to provide a satisfactory explanation for the issue.</t>
  </si>
  <si>
    <t>The airline's lack of compensation for the delay made the situation worse.</t>
  </si>
  <si>
    <t>The flight lacked proper accessibility for passengers with mobility challenges.</t>
  </si>
  <si>
    <t>The flight attendants were unapproachable and unfriendly.</t>
  </si>
  <si>
    <t>Inadequate support for passengers with allergies.</t>
  </si>
  <si>
    <t>The extended delay in flight arrival caused frustration and impacted my itinerary.</t>
  </si>
  <si>
    <t>The airline didn't offer any onboard charging options for electronic devices, limiting passengers' access to power.</t>
  </si>
  <si>
    <t>The airline's ticket rebooking process was convoluted and time-consuming, causing unnecessary stress and inconvenience.</t>
  </si>
  <si>
    <t>The flight attendant forgot to bring me a requested beverage refill.</t>
  </si>
  <si>
    <t>The delayed flight arrival caused significant inconvenience for me.</t>
  </si>
  <si>
    <t>The prolonged delay in flight arrival disrupted my plans and left me dissatisfied.</t>
  </si>
  <si>
    <t>The staff showed a lack of attention to detail and organizational skills.</t>
  </si>
  <si>
    <t>The prolonged delay in our flight's departure resulted in a domino effect, causing us to miss connecting flights and disrupting our entire travel itinerary, leaving us stressed and exhausted.</t>
  </si>
  <si>
    <t>I demand compensation for the departure delay. This is an affront to my plans!</t>
  </si>
  <si>
    <t>The lavatory waste bins were overflowing and not promptly emptied.</t>
  </si>
  <si>
    <t>The onboard entertainment system was faulty and unreliable, providing a subpar experience.</t>
  </si>
  <si>
    <t>The turbulence was so intense that it caused turbulence-related injuries, and the airline did not take adequate responsibility.</t>
  </si>
  <si>
    <t>I was annoyed by the excessive delay in our flight departure.</t>
  </si>
  <si>
    <t>I faced challenges and confusion due to lack of clear signage and directions.</t>
  </si>
  <si>
    <t>The airline provided insufficient assistance for passengers with hearing impairments, causing communication difficulties.</t>
  </si>
  <si>
    <t>I was disappointed with the outdated and insufficient in-flight entertainment options.</t>
  </si>
  <si>
    <t>The flight was delayed, causing me to miss important events.</t>
  </si>
  <si>
    <t>The turbulence was so severe that overhead compartments opened, and bags fell, posing a safety risk to passengers.</t>
  </si>
  <si>
    <t>The flight was significantly delayed due to a technical issue that could have been avoided.</t>
  </si>
  <si>
    <t>Limited selection of in-flight beverages, leaving passengers with few options.</t>
  </si>
  <si>
    <t>The airline's lack of communication and empathy towards my missed connection caused immense stress and disappointment.</t>
  </si>
  <si>
    <t>The condition of the in-flight toilets was unsanitary, and it was unpleasant to use them.</t>
  </si>
  <si>
    <t>The online check-in process was frustrating and caused unnecessary stress before my flight.</t>
  </si>
  <si>
    <t>The extended delay caused me to miss important engagements.</t>
  </si>
  <si>
    <t>The airline did not communicate the revised departure time effectively.</t>
  </si>
  <si>
    <t>The prolonged delay in flight arrival left me feeling overwhelmed and filled with disappointment.</t>
  </si>
  <si>
    <t>How can the airline justify the delay in departure? This is an outrage!</t>
  </si>
  <si>
    <t>Issues with the online booking system.</t>
  </si>
  <si>
    <t>The airline's failure to communicate effectively during the delay added to my frustration.</t>
  </si>
  <si>
    <t>The delayed flight arrival disrupted my plans, and I felt inconvenienced and frustrated.</t>
  </si>
  <si>
    <t>I found the gate announcements to be inconsistent and lacking important updates, leading to confusion and delays.</t>
  </si>
  <si>
    <t>The airline's online refund request process was confusing and cumbersome, requiring excessive documentation and time.</t>
  </si>
  <si>
    <t>I encountered difficulties in receiving timely updates about flight status.</t>
  </si>
  <si>
    <t>The flight attendants did not assist with overhead bin space for late-boarding passengers.</t>
  </si>
  <si>
    <t>The staff provided unprofessional and unsatisfactory assistance during boarding.</t>
  </si>
  <si>
    <t>The airline's prices were inflated compared to other carriers offering similar services.</t>
  </si>
  <si>
    <t>The airline's in-flight announcements were delivered in a rushed manner, making it difficult to understand and follow the information provided.</t>
  </si>
  <si>
    <t>The arrival delay resulted in missed transportation options.</t>
  </si>
  <si>
    <t>I had a medical appointment upon arrival, but the delay made me reschedule.</t>
  </si>
  <si>
    <t>The continuous delays in flight departure made me question the airline's efficiency.</t>
  </si>
  <si>
    <t>The staff provided inadequate and unsatisfactory solutions to passenger issues.</t>
  </si>
  <si>
    <t>The delay in departure created unnecessary wait times.</t>
  </si>
  <si>
    <t>My in-flight entertainment system was faulty and didn't work.</t>
  </si>
  <si>
    <t>The lack of compensation for the inconvenience caused by the delays disappointed me.</t>
  </si>
  <si>
    <t>The quality of the meals served on the flight was below par and didn't meet my expectations.</t>
  </si>
  <si>
    <t>The airline's inability to manage the delays efficiently made me lose confidence in their services.</t>
  </si>
  <si>
    <t>The airline's onboard beverage options were limited and often out of stock, leaving passengers with few choices.</t>
  </si>
  <si>
    <t>Lack of privacy screens between seats.</t>
  </si>
  <si>
    <t>I expected the airline to provide accurate and timely information about the delays.</t>
  </si>
  <si>
    <t>The flight attendants did not address passenger concerns promptly.</t>
  </si>
  <si>
    <t>The in-flight toilets were filthy and lacked necessary supplies.</t>
  </si>
  <si>
    <t>The airline's inability to adhere to the schedule has deeply disappointed me.</t>
  </si>
  <si>
    <t>I encountered difficulties in redeeming my airline miles and faced restrictions on reward availability.</t>
  </si>
  <si>
    <t>The flight's excessive delay in arrival deeply impacted my mood and overall travel experience.</t>
  </si>
  <si>
    <t>The airline did not provide any assistance during the prolonged delay.</t>
  </si>
  <si>
    <t>I experienced delays and inconvenience due to the airline's complicated and time-consuming seat selection process.</t>
  </si>
  <si>
    <t>The flight delay resulted in missed connections and added travel stress. Unacceptable.</t>
  </si>
  <si>
    <t>I was dissatisfied with the limited selection of in-flight beverages.</t>
  </si>
  <si>
    <t>The airline's failure to minimize the delays made me question their reliability.</t>
  </si>
  <si>
    <t>The lack of communication during turbulence made me feel uneasy and unsafe.</t>
  </si>
  <si>
    <t>This delay is unacceptable! I demand an explanation for the incompetence of this airline!</t>
  </si>
  <si>
    <t>I expect the airline to compensate me for the departure delay. This is my right!</t>
  </si>
  <si>
    <t>Arrival was delayed, negatively impacting my overall experience.</t>
  </si>
  <si>
    <t>The extended delay inconvenienced passengers on board.</t>
  </si>
  <si>
    <t>The flight experienced constant turbulence, which made the journey uncomfortable and unsettling.</t>
  </si>
  <si>
    <t>The constant delays on this flight are an insult to passengers like me.</t>
  </si>
  <si>
    <t>This airline's incompetence and delays have me boiling with anger! They should be ashamed!</t>
  </si>
  <si>
    <t>The flight attendants displayed an unfriendly and unapproachable attitude.</t>
  </si>
  <si>
    <t>The extended delay impacted my plans at the destination.</t>
  </si>
  <si>
    <t>The airline didn't provide any vegan meal options, disregarding passengers with dietary restrictions.</t>
  </si>
  <si>
    <t>The flight had a late departure due to issues with the aircraft, inconveniencing passengers' schedules.</t>
  </si>
  <si>
    <t>The flight attendants did not provide assistance to elderly passengers with carrying their luggage.</t>
  </si>
  <si>
    <t>The flight departure was delayed for an unacceptable amount of time.</t>
  </si>
  <si>
    <t>The significant delay in flight arrival affected my schedule and left me dissatisfied.</t>
  </si>
  <si>
    <t>The flight arrival was significantly delayed, affecting my schedule.</t>
  </si>
  <si>
    <t>I expected the airline to handle the delays more efficiently and proactively.</t>
  </si>
  <si>
    <t>The flight's prolonged delay in arrival left me frustrated and dissatisfied.</t>
  </si>
  <si>
    <t>The airline's lack of assistance during the delay left me feeling stranded and frustrated.</t>
  </si>
  <si>
    <t>The flight attendants lacked proper language skills, causing difficulties in communication.</t>
  </si>
  <si>
    <t>The prolonged delay in flight departure created inconvenience and frustration for me.</t>
  </si>
  <si>
    <t>Restroom cleanliness was below acceptable standards, making it an unpleasant experience.</t>
  </si>
  <si>
    <t>I received inadequate assistance from the flight attendant during turbulence.</t>
  </si>
  <si>
    <t>The airline's disregard for punctuality had a significant impact on my travel experience.</t>
  </si>
  <si>
    <t>I was disappointed with the lack of clear instructions during the pre-flight safety demonstration, leaving me unsure about emergency procedures.</t>
  </si>
  <si>
    <t>The flight attendants lacked empathy and failed to address my concerns and complaints.</t>
  </si>
  <si>
    <t>The flight lacked proper entertainment options for children.</t>
  </si>
  <si>
    <t>I had to wait for a long time for my bag to be brought to the aircraft after landing.</t>
  </si>
  <si>
    <t>The airline did not have enough space for passengers to stretch their legs during the flight.</t>
  </si>
  <si>
    <t>Insufficient support for passengers with medical conditions.</t>
  </si>
  <si>
    <t>The flight experienced excessive turbulence, causing discomfort and anxiety for the duration of the journey.</t>
  </si>
  <si>
    <t>The delay in departure disrupted my plans and caused unnecessary stress.</t>
  </si>
  <si>
    <t>The arrival delay resulted in additional travel expenses.</t>
  </si>
  <si>
    <t>I received my bag with broken or damaged locks.</t>
  </si>
  <si>
    <t>I had to rearrange my plans due to the prolonged delay in flight departure.</t>
  </si>
  <si>
    <t>I found the airline's frequent flyer program to be confusing, with complicated rules and restrictions that made it hard to redeem rewards.</t>
  </si>
  <si>
    <t>I was dissatisfied with the significant delay in our flight departure.</t>
  </si>
  <si>
    <t>Flight announcements were unclear and difficult to comprehend.</t>
  </si>
  <si>
    <t>The turbulence was continuous and turbulent, making it difficult to rest or find any comfort throughout the entire flight.</t>
  </si>
  <si>
    <t>I was devastated by the significant delay in our flight departure, causing me to miss important plans.</t>
  </si>
  <si>
    <t>The flight attendant ignored my request for a specific dietary accommodation.</t>
  </si>
  <si>
    <t>The flight attendants showed a lack of empathy towards passengers.</t>
  </si>
  <si>
    <t>The turbulence was continuous and rough, causing constant jolts and discomfort throughout the flight.</t>
  </si>
  <si>
    <t>The airline did not accommodate passengers with allergies, causing discomfort and health risks.</t>
  </si>
  <si>
    <t>The delayed arrival tarnished my travel experience. The airline should be ashamed!</t>
  </si>
  <si>
    <t>I encountered a lack of responsiveness and attentiveness from the airline staff.</t>
  </si>
  <si>
    <t>I encountered difficulties in requesting seat upgrades.</t>
  </si>
  <si>
    <t>The prolonged delay in flight arrival deeply affected my mood and overall travel experience.</t>
  </si>
  <si>
    <t>The flight arrival was significantly delayed, affecting my plans.</t>
  </si>
  <si>
    <t>This airline's delays have made me see red! I will never forgive them for this incompetence!</t>
  </si>
  <si>
    <t>The delayed flight departure disrupted my plans and caused unnecessary stress.</t>
  </si>
  <si>
    <t>The airline did not offer any complimentary snacks during the flight.</t>
  </si>
  <si>
    <t>The delay in departure made me lose a day of productivity. Frustrating and wasteful.</t>
  </si>
  <si>
    <t>Lack of support for passengers with language barriers.</t>
  </si>
  <si>
    <t>The assistance and amenities for families traveling with children were insufficient, making the journey challenging.</t>
  </si>
  <si>
    <t>I received a meal that did not match the description on the menu.</t>
  </si>
  <si>
    <t>The extended wait for flight arrival heightened my frustration and diminished my excitement.</t>
  </si>
  <si>
    <t>The significant delay in flight arrival dashed my hopes and spoiled my travel experience.</t>
  </si>
  <si>
    <t>Despite the expensive fare, the flight did not provide any exclusive or unique features.</t>
  </si>
  <si>
    <t>I experienced a lack of hand sanitizers or hygiene supplies onboard.</t>
  </si>
  <si>
    <t>The assistance for passengers with disabilities was inadequate, making my travel experience challenging.</t>
  </si>
  <si>
    <t>I encountered unclean or unsanitary surfaces on the seat headrests.</t>
  </si>
  <si>
    <t>The delay in departure messed up my entire schedule for the day.</t>
  </si>
  <si>
    <t>I expected the airline to prioritize customer satisfaction by minimizing delays.</t>
  </si>
  <si>
    <t>The airline didn't provide any assistance for passengers with language barriers, making communication difficult.</t>
  </si>
  <si>
    <t>I am absolutely seething with anger! These delays are inexcusable and infuriating!</t>
  </si>
  <si>
    <t>The prolonged wait for flight arrival was highly frustrating.</t>
  </si>
  <si>
    <t>The extended delay in flight arrival left me feeling disheartened and filled with regret.</t>
  </si>
  <si>
    <t>I expected better customer support from the airline during the extended delay.</t>
  </si>
  <si>
    <t>The flight delay caused inconvenience for passengers.</t>
  </si>
  <si>
    <t>The flight's excessive delay in arrival was unacceptable.</t>
  </si>
  <si>
    <t>The airline did not offer any compensation for a damaged or lost personal item.</t>
  </si>
  <si>
    <t>I encountered a delay in receiving my pre-ordered special meal.</t>
  </si>
  <si>
    <t>The airline's lack of punctuality negatively impacted my travel experience.</t>
  </si>
  <si>
    <t>I experienced long wait times for customer service support.</t>
  </si>
  <si>
    <t>The airline did not provide sufficient compensation for a significant delay.</t>
  </si>
  <si>
    <t>I deserve a full refund for the delayed arrival. This is an utter disappointment!</t>
  </si>
  <si>
    <t>The delay in departure disrupted my personal plans.</t>
  </si>
  <si>
    <t>The constant delays and unexplained changes in departure gates left me feeling helpless and angry.</t>
  </si>
  <si>
    <t>Challenges in changing flight reservations created inconvenience and additional fees.</t>
  </si>
  <si>
    <t>The airline's mobile app was glitchy and difficult to navigate, causing frustration and inconvenience in managing travel arrangements.</t>
  </si>
  <si>
    <t>I was overcome with a mix of sadness and frustration as the flight departure was continuously delayed.</t>
  </si>
  <si>
    <t>The flight's extended delay in arrival had a profound impact on my mood and enjoyment of the trip.</t>
  </si>
  <si>
    <t>The staff showed a lack of professionalism and accountability.</t>
  </si>
  <si>
    <t>Problems with the airline's baggage policy.</t>
  </si>
  <si>
    <t>I expected better communication from the airline regarding the status of the delayed flight.</t>
  </si>
  <si>
    <t>The in-flight Wi-Fi was not functioning, despite being advertised.</t>
  </si>
  <si>
    <t>The flight departure was delayed, disrupting my plans.</t>
  </si>
  <si>
    <t>The turbulence was so intense that it disrupted meal service, and the flight attendants seemed overwhelmed and unprepared.</t>
  </si>
  <si>
    <t>The airline didn't provide proper assistance for elderly passengers, neglecting their specific needs and comfort.</t>
  </si>
  <si>
    <t>The airplane lacked proper air conditioning, resulting in an uncomfortably hot cabin temperature.</t>
  </si>
  <si>
    <t>The emotional strain caused by the airline's negligence and lack of consideration was truly disheartening.</t>
  </si>
  <si>
    <t>The airplane experienced significant turbulence, and the flight crew did not offer any reassurance or updates.</t>
  </si>
  <si>
    <t>Noise insulation issues on the flight.</t>
  </si>
  <si>
    <t>The air crew seemed untrained in handling challenging situations with passengers.</t>
  </si>
  <si>
    <t>The arrival delay robbed me of valuable opportunities. I demand restitution!</t>
  </si>
  <si>
    <t>The tray tables were sticky and unclean.</t>
  </si>
  <si>
    <t>The airline did not provide any updates during a long delay, leaving passengers uninformed.</t>
  </si>
  <si>
    <t>Lack of coordination during boarding and deplaning caused congestion and delays.</t>
  </si>
  <si>
    <t>The flight attendants did not offer any pillows or blankets upon request.</t>
  </si>
  <si>
    <t>I was on the verge of tears as the flight departure was continuously pushed back without clear updates.</t>
  </si>
  <si>
    <t>The flight attendants seemed untrained and inexperienced, unable to handle my requests efficiently.</t>
  </si>
  <si>
    <t>The delayed flight arrival caused inconvenience and impacted my overall travel experience.</t>
  </si>
  <si>
    <t>I was devastated by the significant delay in our flight departure, as it disrupted my important plans.</t>
  </si>
  <si>
    <t>The turbulent weather conditions made it difficult to rest or sleep during the flight.</t>
  </si>
  <si>
    <t>I was dissatisfied with the quality of the in-flight meals.</t>
  </si>
  <si>
    <t>I received poor customer service from the flight attendants.</t>
  </si>
  <si>
    <t>Outdated and uninteresting onboard magazine.</t>
  </si>
  <si>
    <t>The flight delay caused inconvenience for all passengers.</t>
  </si>
  <si>
    <t>The airline's inability to stick to the schedule is an insult to passengers like me.</t>
  </si>
  <si>
    <t>The baggage claim area was understaffed, leading to long wait times.</t>
  </si>
  <si>
    <t>Arrival was significantly later than expected, causing disappointment.</t>
  </si>
  <si>
    <t>The flight attendants did not enforce mask-wearing properly.</t>
  </si>
  <si>
    <t>I was emotionally crushed by the significant delay in our flight departure, disrupting my plans.</t>
  </si>
  <si>
    <t>I received inconsistent and contradictory information from different staff members.</t>
  </si>
  <si>
    <t>The never-ending delays of this airline have pushed me to my limit! I'm absolutely livid!</t>
  </si>
  <si>
    <t>I experienced long wait times and delays at the customer service desk.</t>
  </si>
  <si>
    <t>I had to endure a lengthy delay in flight departure without clear updates from the airline.</t>
  </si>
  <si>
    <t>The flight departure was postponed due to weather conditions.</t>
  </si>
  <si>
    <t>The continuous delays throughout my journey made me question the airline's professionalism.</t>
  </si>
  <si>
    <t>The flight's excessive delay in arrival took an emotional toll on me, leaving me feeling drained.</t>
  </si>
  <si>
    <t>I had a once-in-a-lifetime opportunity, but the flight delay made me miss it.</t>
  </si>
  <si>
    <t>Insufficient support for passengers traveling with pets, making the experience challenging and stressful.</t>
  </si>
  <si>
    <t>The significant delay in flight arrival was a source of distress and frustration for me.</t>
  </si>
  <si>
    <t>The flight crew failed to enforce social distancing measures during the pandemic.</t>
  </si>
  <si>
    <t>The excessive delay in flight arrival disrupted my plans and left me feeling stressed and upset.</t>
  </si>
  <si>
    <t>I felt inconvenienced and disappointed by the prolonged wait for flight departure.</t>
  </si>
  <si>
    <t>I experienced difficulties in adding extra baggage to my reservation.</t>
  </si>
  <si>
    <t>The boarding process was delayed due to the airline's inefficient and slow boarding pass distribution procedures.</t>
  </si>
  <si>
    <t>I encountered difficulties understanding the airline's complex oversized baggage policy, resulting in confusion and additional charges.</t>
  </si>
  <si>
    <t>The flight experienced a lengthy delay without proper explanations.</t>
  </si>
  <si>
    <t>Lack of cleanliness in the cabin created an unhygienic environment.</t>
  </si>
  <si>
    <t>The in-flight Wi-Fi was slow and unreliable.</t>
  </si>
  <si>
    <t>The extended delay created dissatisfaction among passengers.</t>
  </si>
  <si>
    <t>I encountered challenges in navigating the airport terminals due to poor signage and directions.</t>
  </si>
  <si>
    <t>I felt a whirlwind of emotions during the long wait for flight departure, from anger to sadness.</t>
  </si>
  <si>
    <t>The airline's pricing structure seemed disproportionate to the value offered.</t>
  </si>
  <si>
    <t>The flight departure was delayed without proper communication.</t>
  </si>
  <si>
    <t>I couldn't help but feel a strong sense of dissatisfaction and emotional distress throughout the entire journey.</t>
  </si>
  <si>
    <t>The flight attendant forgot to bring me requested items.</t>
  </si>
  <si>
    <t>I felt frustrated by the lack of transparency regarding the estimated arrival time.</t>
  </si>
  <si>
    <t>The flight attendants were unfriendly, impolite, and showed a lack of empathy towards passengers.</t>
  </si>
  <si>
    <t>The airline provided insufficient support for passengers with medical conditions, compromising their well-being.</t>
  </si>
  <si>
    <t>The prolonged delay in our flight's arrival meant that I had to spend an entire night at the airport, with no proper facilities or support provided by the airline to make the situation more bearable.</t>
  </si>
  <si>
    <t>I had chosen this airline for its reputation of timeliness, but the departure delay shattered my confidence in their ability to provide a smooth and reliable travel experience.</t>
  </si>
  <si>
    <t>The delay in arrival caused me to miss an important family milestone. Heartbreaking.</t>
  </si>
  <si>
    <t>I had to rearrange my entire itinerary due to the flight delay. Inconvenient and annoying.</t>
  </si>
  <si>
    <t>I experienced rude behavior from the ground staff.</t>
  </si>
  <si>
    <t>The airline did not offer any complimentary amenities, despite the high cost of the ticket.</t>
  </si>
  <si>
    <t>I felt inconvenienced and dissatisfied by the long delay in our flight departure.</t>
  </si>
  <si>
    <t>There were limited overhead reading lights, making it difficult to read or work during the flight.</t>
  </si>
  <si>
    <t>The food was lackluster and bland.</t>
  </si>
  <si>
    <t>I experienced a rollercoaster of emotions during the long wait for flight departure.</t>
  </si>
  <si>
    <t>I am fuming with anger! The constant delays from this airline have ruined my travel plans!</t>
  </si>
  <si>
    <t>The lack of compensation for the inconvenience caused by the delayed flight disappointed me.</t>
  </si>
  <si>
    <t>I had a special occasion to attend, but the delay in departure made me miss it.</t>
  </si>
  <si>
    <t>The aircraft's lavatories were not adequately cleaned between flights.</t>
  </si>
  <si>
    <t>The flight delay caused me to miss a connecting flight, and the airline provided no assistance.</t>
  </si>
  <si>
    <t>The flight had uncomfortable headrests that did not provide proper neck support.</t>
  </si>
  <si>
    <t>The delays from this airline have made me furious! I will never fly with them again!</t>
  </si>
  <si>
    <t>The onboard restrooms were poorly maintained and unhygienic throughout the entire flight.</t>
  </si>
  <si>
    <t>The flight departure was delayed due to technical issues.</t>
  </si>
  <si>
    <t>The prolonged delay in our flight's arrival caused me to miss a family event that I had been looking forward to, leaving me deeply disappointed and saddened.</t>
  </si>
  <si>
    <t>The turbulence was so severe that it caused delays in serving meals and drinks, resulting in inconvenience and hunger.</t>
  </si>
  <si>
    <t>The flight attendant was dismissive and showed a lack of empathy towards passenger needs.</t>
  </si>
  <si>
    <t>The flight arrival was delayed, leading to inconveniences.</t>
  </si>
  <si>
    <t>The flight attendants were slow in providing beverage service.</t>
  </si>
  <si>
    <t>The flight experienced an extended delay on the tarmac.</t>
  </si>
  <si>
    <t>Cramped and uncomfortable seating arrangement.</t>
  </si>
  <si>
    <t>The extended delay impacted my work and personal commitments.</t>
  </si>
  <si>
    <t>The airline didn't have enough space for passengers to stretch their legs during the flight, causing discomfort.</t>
  </si>
  <si>
    <t>Despite the inconvenience caused by the departure delay, the airline provided no compensation or gesture of goodwill to acknowledge the frustration and inconvenience experienced by passengers.</t>
  </si>
  <si>
    <t>Absence of power outlets on the aircraft.</t>
  </si>
  <si>
    <t>The arrival delay resulted in inconvenience and disappointment for passengers.</t>
  </si>
  <si>
    <t>I was heartbroken by the significant delay in our flight departure, which impacted my special occasion.</t>
  </si>
  <si>
    <t>The airline did not accommodate my special dietary requirements.</t>
  </si>
  <si>
    <t>The flight delay caused me to arrive too late for an important family celebration.</t>
  </si>
  <si>
    <t>I had a connecting flight, but the delay in arrival made me miss it. Inconvenient.</t>
  </si>
  <si>
    <t>No reclining seats on the flight.</t>
  </si>
  <si>
    <t>The arrival delay disrupted my onward travel arrangements.</t>
  </si>
  <si>
    <t>The extended delay in flight arrival left me feeling disheartened and robbed of valuable time.</t>
  </si>
  <si>
    <t>The lack of transparency regarding the expected departure time made the delay more frustrating.</t>
  </si>
  <si>
    <t>The flight attendants were unfriendly and unapproachable, making me hesitant to ask for assistance.</t>
  </si>
  <si>
    <t>The frequent flyer program had limited redemption options, making it difficult to benefit from my earned points.</t>
  </si>
  <si>
    <t>The in-flight entertainment options were limited, and I was disappointed with the lack of variety.</t>
  </si>
  <si>
    <t>The prolonged delay in flight arrival resulted in wasted time and frustration.</t>
  </si>
  <si>
    <t>The flight departure was delayed without any clear reason.</t>
  </si>
  <si>
    <t>The staff provided inconsistent and unreliable information.</t>
  </si>
  <si>
    <t>The airline did not provide assistance to passengers with connecting flights, resulting in missed connections.</t>
  </si>
  <si>
    <t>The turbulence was so intense that it caused delays in serving in-flight meals, leaving passengers hungry and dissatisfied.</t>
  </si>
  <si>
    <t>The airline did not prioritize on-time arrivals.</t>
  </si>
  <si>
    <t>The airline did not offer any alternative solutions for the missed connection.</t>
  </si>
  <si>
    <t>The seats on the plane were worn out and uncomfortable, causing discomfort throughout the journey.</t>
  </si>
  <si>
    <t>The lavatory supplies were not replenished throughout the flight.</t>
  </si>
  <si>
    <t>The flight was constantly delayed due to frequent gate changes and lack of proper communication.</t>
  </si>
  <si>
    <t>I found unclean or smelly blankets and pillows in the overhead compartments.</t>
  </si>
  <si>
    <t>I witnessed other passengers experiencing injuries during the turbulence, and the airline did not provide immediate medical assistance.</t>
  </si>
  <si>
    <t>I experienced a lack of transparency and honesty from the airline.</t>
  </si>
  <si>
    <t>The flight departure was postponed, causing inconvenience.</t>
  </si>
  <si>
    <t>The flight delay caused me to miss a family event. I'm deeply disappointed.</t>
  </si>
  <si>
    <t>The customer service agent provided incorrect information, leading to unnecessary confusion.</t>
  </si>
  <si>
    <t>The airline failed to manage unexpected delays efficiently.</t>
  </si>
  <si>
    <t>The flight departure was delayed due to crew availability issues.</t>
  </si>
  <si>
    <t>The airline did not take immediate action to minimize the delay.</t>
  </si>
  <si>
    <t>I was frustrated with the lack of clear instructions during the in-flight beverage service, resulting in confusion and delays.</t>
  </si>
  <si>
    <t>The airline didn't offer any complimentary snacks or drinks during delays, leaving passengers hungry and thirsty.</t>
  </si>
  <si>
    <t>The airline did not handle my complaint with the seriousness it deserved.</t>
  </si>
  <si>
    <t>I expected better assistance for families traveling with children.</t>
  </si>
  <si>
    <t>The airline's lack of updates and transparency about the delay was infuriating.</t>
  </si>
  <si>
    <t>Inefficiencies in the lost and found process made it challenging to retrieve lost belongings.</t>
  </si>
  <si>
    <t>I was overcome with a sense of sadness and frustration as the flight departure was repeatedly postponed.</t>
  </si>
  <si>
    <t>I was on the verge of tears as the flight departure was delayed for over an hour without explanation.</t>
  </si>
  <si>
    <t>I felt a sense of defeat and disappointment due to the flight's excessive departure delay.</t>
  </si>
  <si>
    <t>I experienced a long wait for the snack cart to be restocked.</t>
  </si>
  <si>
    <t>Inefficient baggage handling causing delays.</t>
  </si>
  <si>
    <t>The air crew did not handle my baggage with care.</t>
  </si>
  <si>
    <t>There were not enough overhead compartments, causing a delay in stowing carry-on luggage.</t>
  </si>
  <si>
    <t>The prolonged wait for flight arrival was emotionally draining and left me feeling exhausted.</t>
  </si>
  <si>
    <t>The airline's lack of compensation for the delay is disappointing and unfair.</t>
  </si>
  <si>
    <t>I'm extremely frustrated with the constant delays that ruined my travel plans.</t>
  </si>
  <si>
    <t>I was frustrated with the lack of clear instructions during the pre-boarding process, leading to confusion and delays.</t>
  </si>
  <si>
    <t>The extended wait for flight arrival intensified my frustration and dampened my excitement.</t>
  </si>
  <si>
    <t>The airplane lacked proper air conditioning, making the cabin temperature unbearable.</t>
  </si>
  <si>
    <t>The airline did not prioritize the comfort or well-being of passengers.</t>
  </si>
  <si>
    <t>The arrival delay forced me to spend hours waiting at the airport, with no proper facilities or assistance provided by the airline to alleviate the discomfort and inconvenience.</t>
  </si>
  <si>
    <t>I was frustrated by the extended delay in our flight departure.</t>
  </si>
  <si>
    <t>I experienced a mixture of disappointment and anger during the extended wait for flight departure.</t>
  </si>
  <si>
    <t>The delayed flight departure resulted in a wasted day and unnecessary stress.</t>
  </si>
  <si>
    <t>I felt stranded and helpless during the extended delay in flight departure.</t>
  </si>
  <si>
    <t>How dare the airline subject me to the inconvenience of a delayed departure!</t>
  </si>
  <si>
    <t>I expected the airline to prioritize punctuality and provide a seamless travel experience.</t>
  </si>
  <si>
    <t>The airline's incompetence caused the unnecessary inconvenience of an arrival delay.</t>
  </si>
  <si>
    <t>I demand immediate action to rectify the departure delay. This is outrageous!</t>
  </si>
  <si>
    <t>The flight experienced unexplained delays on multiple occasions.</t>
  </si>
  <si>
    <t>The flight delay caused me to lose a day of my vacation. I'm extremely unhappy.</t>
  </si>
  <si>
    <t>I felt frustrated and let down by the airline's lack of transparency regarding the delays.</t>
  </si>
  <si>
    <t>The air crew seemed untrained and did not address passenger concerns adequately.</t>
  </si>
  <si>
    <t>The flight was delayed, causing me to miss a connecting flight.</t>
  </si>
  <si>
    <t>I was overcome with sadness and frustration as the flight departure was repeatedly pushed back.</t>
  </si>
  <si>
    <t>The airline did not prioritize on-time departures.</t>
  </si>
  <si>
    <t>The flight attendant was rude and unhelpful.</t>
  </si>
  <si>
    <t>I expected the airline to offer complimentary access to calming videos or guided meditations to help passengers relax during the turbulent flight.</t>
  </si>
  <si>
    <t>I noticed unclean or stained carpets in the cabin.</t>
  </si>
  <si>
    <t>The prolonged delay in flight arrival left me feeling overwhelmed and filled with regret.</t>
  </si>
  <si>
    <t>I anticipated better assistance from the airline during the prolonged delay.</t>
  </si>
  <si>
    <t>I am furious beyond words! This airline's delays have caused me immense stress and anger!</t>
  </si>
  <si>
    <t>I received a meal that was expired or past its freshness date.</t>
  </si>
  <si>
    <t>I received unsatisfactory service from the flight attendant, who did not address my seating issue.</t>
  </si>
  <si>
    <t>The airline's lack of communication during the turbulence made the experience even more frightening and confusing.</t>
  </si>
  <si>
    <t>The airline did not provide any vegan meal options.</t>
  </si>
  <si>
    <t>The flight's delay in arrival disrupted my travel arrangements.</t>
  </si>
  <si>
    <t>The delayed flight departure resulted in me missing important appointments at my destination.</t>
  </si>
  <si>
    <t>I received poor assistance from the airline's customer service hotline.</t>
  </si>
  <si>
    <t>The cleanliness of the airplane was below standard, and it gave an unfavorable impression.</t>
  </si>
  <si>
    <t>The flight experienced an unexpected delay, causing frustration.</t>
  </si>
  <si>
    <t>The cabin temperature was excessively hot, causing discomfort throughout the journey.</t>
  </si>
  <si>
    <t>I noticed unclean or dusty surfaces on the seat armrests.</t>
  </si>
  <si>
    <t>The arrival delay has cost me valuable time and money. Compensation is in order!</t>
  </si>
  <si>
    <t>The flight attendants were impolite and lacked empathy when addressing passenger concerns.</t>
  </si>
  <si>
    <t>The airline's onboard restroom facilities were poorly maintained and often out of order, causing discomfort and inconvenience for passengers.</t>
  </si>
  <si>
    <t>The airline failed to provide efficient and effective customer support.</t>
  </si>
  <si>
    <t>The cabin lacked proper disposal for used coffee cups or beverage containers.</t>
  </si>
  <si>
    <t>The delay in arrival disrupted my plans to surprise a loved one. Disappointed.</t>
  </si>
  <si>
    <t>I received unsatisfactory service from the flight attendant.</t>
  </si>
  <si>
    <t>The flight's tardiness in arrival caused unnecessary inconvenience.</t>
  </si>
  <si>
    <t>I encountered difficulties understanding the airline's complex international baggage policy, resulting in confusion and unexpected charges.</t>
  </si>
  <si>
    <t>The flight attendants didn't provide adequate assistance for passengers with mobility challenges, hindering their travel experience.</t>
  </si>
  <si>
    <t>The ventilation in the cabin was poor, making the air stuffy and uncomfortable.</t>
  </si>
  <si>
    <t>I encountered a lack of staff at the baggage claim area for assistance.</t>
  </si>
  <si>
    <t>I am seething with anger at this airline's lack of respect for its passengers' time!</t>
  </si>
  <si>
    <t>Unhelpful and uninformed gate agents.</t>
  </si>
  <si>
    <t>Limited benefits from the frequent flyer program.</t>
  </si>
  <si>
    <t>The flight attendant was impolite and dismissive of my requests.</t>
  </si>
  <si>
    <t>The seat recline buttons were visibly dirty or unclean.</t>
  </si>
  <si>
    <t>I found the food to be poorly cooked and unappetizing.</t>
  </si>
  <si>
    <t>The flight attendants didn't address unruly or disruptive passengers, compromising the overall flight experience.</t>
  </si>
  <si>
    <t>Despite no flight cancellations, the airline failed to provide smooth and seamless travel experience.</t>
  </si>
  <si>
    <t>The airline did not provide adequate assistance for families traveling with infants.</t>
  </si>
  <si>
    <t>The frequent flyer program had limited redemption options, making it difficult to utilize my earned points.</t>
  </si>
  <si>
    <t>The lack of signage and directions within the aircraft caused confusion and difficulties in finding amenities.</t>
  </si>
  <si>
    <t>I felt the airline should have provided more frequent updates on the expected duration and intensity of the turbulence to manage passenger expectations.</t>
  </si>
  <si>
    <t>The bad weather made the landing rough. I expected better from such a reputable airline company.</t>
  </si>
  <si>
    <t>I expected the airline to offer complimentary snacks or beverages as a small gesture of apology for the turbulent flight.</t>
  </si>
  <si>
    <t>The airline did not provide any assistance during the delayed arrival.</t>
  </si>
  <si>
    <t>The heavy rain during the flight affected visibility, and it created a sense of unease.</t>
  </si>
  <si>
    <t>The delay in arrival affected my plans with friends. Upsetting and inconvenient.</t>
  </si>
  <si>
    <t>The aircraft's interior had visible dirt or grime.</t>
  </si>
  <si>
    <t>The lighting in the airplane cabin was inadequate, making it difficult to read or work.</t>
  </si>
  <si>
    <t>The seat pockets were filled with trash and waste.</t>
  </si>
  <si>
    <t>The flight was delayed, causing me to miss an important connection.</t>
  </si>
  <si>
    <t>I received no assistance from the airline staff when I needed it.</t>
  </si>
  <si>
    <t>Departure was postponed, causing me to miss a family gathering.</t>
  </si>
  <si>
    <t>The flight encountered unexpected delays, causing frustration.</t>
  </si>
  <si>
    <t>The customer service representative was unhelpful and failed to provide a solution to my problem.</t>
  </si>
  <si>
    <t>I can't believe the flight was delayed again! This airline is a complete disappointment!</t>
  </si>
  <si>
    <t>Despite having a confirmed reservation, the delayed arrival meant that I had to wait for an extended period of time before being able to retrieve my checked baggage, further adding to my frustration.</t>
  </si>
  <si>
    <t>The flight's extended delay in arrival deeply affected my mood and enjoyment of the trip.</t>
  </si>
  <si>
    <t>The prolonged delay in flight arrival inconvenienced me and affected my travel arrangements.</t>
  </si>
  <si>
    <t>The flight attendants were unresponsive to my requests for assistance.</t>
  </si>
  <si>
    <t>The overhead storage compartments were full, and I couldn't find space for my carry-on bag.</t>
  </si>
  <si>
    <t>I felt anxious and stressed due to the unexpected delays in both flight arrival and departure.</t>
  </si>
  <si>
    <t>The delayed flight arrival disrupted my plans, and I felt inconvenienced and let down.</t>
  </si>
  <si>
    <t>The flight attendants were unresponsive to passenger requests.</t>
  </si>
  <si>
    <t>The delay in departure made me feel like the airline didn't care about its passengers.</t>
  </si>
  <si>
    <t>I had to pay excessive baggage fees despite meeting the weight requirements.</t>
  </si>
  <si>
    <t>The airline did not provide any charging ports for electronic devices.</t>
  </si>
  <si>
    <t>The overall cost of the journey, including additional fees, made the trip unreasonably expensive.</t>
  </si>
  <si>
    <t>The flight lacked proper announcement translations for international passengers.</t>
  </si>
  <si>
    <t>I expected better communication and updates from the airline during the prolonged delay.</t>
  </si>
  <si>
    <t>The inconsistent updates from the airline regarding the delay caused confusion and frustration.</t>
  </si>
  <si>
    <t>I was served a meal with undercooked or raw food.</t>
  </si>
  <si>
    <t>The departure delay ruined my plans. The airline owes me an explanation!</t>
  </si>
  <si>
    <t>The airline did not offer any complimentary entertainment options.</t>
  </si>
  <si>
    <t>The airline didn't provide any pillows or blankets for a long-haul flight, compromising comfort.</t>
  </si>
  <si>
    <t>The seats were hard and uncomfortable.</t>
  </si>
  <si>
    <t>The airline did not have enough staff at the check-in counters, resulting in long queues.</t>
  </si>
  <si>
    <t>I felt the airline should have provided more information about the weather conditions and potential turbulence before the flight for better preparation.</t>
  </si>
  <si>
    <t>I saw mold or mildew in the lavatory or on the walls.</t>
  </si>
  <si>
    <t>There were no reclining seats on the flight, making it impossible to find a comfortable position.</t>
  </si>
  <si>
    <t>The flight attendant lacked basic customer service skills and friendliness.</t>
  </si>
  <si>
    <t>The landing of the plane was so violent that I thought I was done for.</t>
  </si>
  <si>
    <t>I witnessed other passengers experiencing panic attacks during the turbulence, and the airline did not offer any support or assistance.</t>
  </si>
  <si>
    <t>The flight departure was postponed, leading to inconvenience.</t>
  </si>
  <si>
    <t>The takeoff and landing of the plane was questionable. I didn't think I would make it back home alive.</t>
  </si>
  <si>
    <t>The flight lacked clear announcements regarding turbulence or other disruptions, leaving passengers anxious.</t>
  </si>
  <si>
    <t>Delays in receiving checked baggage.</t>
  </si>
  <si>
    <t>The flight attendants were inattentive and did not respond promptly to passenger requests.</t>
  </si>
  <si>
    <t>I witnessed other passengers expressing their concerns and fear during the turbulence, and the airline did not address them effectively.</t>
  </si>
  <si>
    <t>The airline did not offer any complimentary snacks or drinks during delays.</t>
  </si>
  <si>
    <t>The airline's repeated delays show a complete disregard for passengers' time.</t>
  </si>
  <si>
    <t>I encountered difficulties in navigating the airline's website for flight bookings.</t>
  </si>
  <si>
    <t>The airline failed to communicate gate changes effectively, causing confusion and rushing.</t>
  </si>
  <si>
    <t>The airline's lack of accountability for the delay left me feeling disappointed and dissatisfied.</t>
  </si>
  <si>
    <t>Despite the expensive fare, the onboard entertainment options were outdated and limited.</t>
  </si>
  <si>
    <t>The airline did not provide any extra assistance for passengers with young children.</t>
  </si>
  <si>
    <t>The airline's baggage fees were excessive, adding an unnecessary financial burden to the trip.</t>
  </si>
  <si>
    <t>The air crew did not prioritize passenger comfort and satisfaction.</t>
  </si>
  <si>
    <t>I encountered insects or pests during the flight.</t>
  </si>
  <si>
    <t>I was devastated by the significant delay in our flight departure, which had a domino effect on my plans.</t>
  </si>
  <si>
    <t>The airline did not take responsibility for the mishandling of my baggage.</t>
  </si>
  <si>
    <t>I witnessed other passengers losing their balance and falling during the turbulence, and the airline did not provide immediate assistance or medical attention.</t>
  </si>
  <si>
    <t>The flight lacked proper noise insulation, resulting in discomfort.</t>
  </si>
  <si>
    <t>Flight attendants displayed a lack of empathy and failed to address passenger concerns.</t>
  </si>
  <si>
    <t>I received my bag with visible signs of tampering or unauthorized opening.</t>
  </si>
  <si>
    <t>I received insufficient support and guidance for my unaccompanied minor, causing anxiety and uncertainty.</t>
  </si>
  <si>
    <t>The airline failed to provide a clear explanation for the delayed baggage.</t>
  </si>
  <si>
    <t>The flight lacked proper air conditioning.</t>
  </si>
  <si>
    <t>I am boiling with anger at the incompetence of this airline! These delays are unforgivable!</t>
  </si>
  <si>
    <t>The airline should have allowed passengers to deplane during the extended delay caused by the bad weather.</t>
  </si>
  <si>
    <t>The airplane smelled unpleasant, and the cabin wasn't clean.</t>
  </si>
  <si>
    <t>The arrival delay demonstrated the airline's complete disregard for its passengers.</t>
  </si>
  <si>
    <t>The cabin lacked proper disposal for used newspapers or magazines.</t>
  </si>
  <si>
    <t>The airline's ticket refund process was convoluted and time-consuming, causing unnecessary stress and delays in receiving a refund.</t>
  </si>
  <si>
    <t>The turbulence was prolonged and rough, causing continuous discomfort and unease for the duration of the flight.</t>
  </si>
  <si>
    <t>Departure was postponed, affecting my plans for the day.</t>
  </si>
  <si>
    <t>Inconsiderate flight attendants towards passenger comfort.</t>
  </si>
  <si>
    <t>Unresponsive flight attendants to passenger requests.</t>
  </si>
  <si>
    <t>The flight was noisy and disruptive.</t>
  </si>
  <si>
    <t>I found the gate area to be disorganized and lacking clear signage, causing confusion and delays in finding the correct gate.</t>
  </si>
  <si>
    <t>I had to navigate through a confusing and poorly organized baggage pickup process.</t>
  </si>
  <si>
    <t>The airline failed to respect my schedule with the departure delay.</t>
  </si>
  <si>
    <t>The airline provided limited in-flight snacks, leaving me unsatisfied and hungry during the journey.</t>
  </si>
  <si>
    <t>The flight attendants displayed a dismissive attitude towards passenger complaints, ignoring their concerns.</t>
  </si>
  <si>
    <t>The airline's boarding procedure lacked proper organization and resulted in a chaotic and stressful experience for passengers.</t>
  </si>
  <si>
    <t>I experienced difficulties in rescheduling my missed flight.</t>
  </si>
  <si>
    <t>I had a time-sensitive event, but the delay in departure made it impossible to attend.</t>
  </si>
  <si>
    <t>The airplane appeared outdated, and it raised concerns about the overall safety of the aircraft.</t>
  </si>
  <si>
    <t>The turbulence was unexpected and severe, causing many passengers to scream and cry, and the airline's response was inadequate.</t>
  </si>
  <si>
    <t>The delay in departure caused unnecessary waiting time and dissatisfaction.</t>
  </si>
  <si>
    <t>The boarding process was delayed due to the airline's inefficient and slow passenger document verification procedures.</t>
  </si>
  <si>
    <t>I was emotionally exhausted by the lack of accountability and responsibility demonstrated by the airline.</t>
  </si>
  <si>
    <t>The flight attendants did not make an effort to ensure a pleasant flight experience.</t>
  </si>
  <si>
    <t>The flight attendants didn't provide adequate assistance with seating or comfort for elderly passengers like myself.</t>
  </si>
  <si>
    <t>Challenges in requesting seat upgrades.</t>
  </si>
  <si>
    <t>The flight had a late departure due to issues with the aircraft.</t>
  </si>
  <si>
    <t>Limited availability of overhead reading lights.</t>
  </si>
  <si>
    <t>The baggage handling staff mishandled my musical instrument, causing damage.</t>
  </si>
  <si>
    <t>The postponed flight departure wasted my time and caused unnecessary frustration.</t>
  </si>
  <si>
    <t>The lack of compensation for the delayed flight departure added to my dissatisfaction.</t>
  </si>
  <si>
    <t>The wait time at the airport restaurant was incredibly long. I had to wait for an extended period just to get a simple meal, which was frustrating and disrupted my travel schedule.</t>
  </si>
  <si>
    <t>The customer service agent provided incorrect information.</t>
  </si>
  <si>
    <t>I encountered unclean or soiled window frames in the cabin.</t>
  </si>
  <si>
    <t>I felt a deep sense of disappointment and frustration due to the flight's excessive departure delay.</t>
  </si>
  <si>
    <t>The airline did not offer any compensation or alternative arrangements for inconveniences faced during the flight.</t>
  </si>
  <si>
    <t>I received my bag with a strong odor or unpleasant smell.</t>
  </si>
  <si>
    <t>The airline did not provide any alternative flight options during inclement weather.</t>
  </si>
  <si>
    <t>The flight attendants didn't offer any hot beverage options during the flight, depriving passengers of choices.</t>
  </si>
  <si>
    <t>The legroom was insufficient for a long-haul flight, considering the high cost of the ticket.</t>
  </si>
  <si>
    <t>The restrooms on the aircraft were unclean, creating an unpleasant environment.</t>
  </si>
  <si>
    <t>The cabin temperature was too hot throughout the flight.</t>
  </si>
  <si>
    <t>The flight lacked proper seating arrangements for families.</t>
  </si>
  <si>
    <t>I found unclean or sticky surfaces on the seat recline buttons.</t>
  </si>
  <si>
    <t>The loyalty program had complicated rules and restrictions, making it difficult to enjoy the benefits.</t>
  </si>
  <si>
    <t>I had to search for available baggage carts as there were none readily accessible.</t>
  </si>
  <si>
    <t>I was disappointed with the lack of clear instructions during the onboard entertainment system setup, resulting in confusion and wasted time.</t>
  </si>
  <si>
    <t>The flight attendant was unresponsive and seemed disengaged.</t>
  </si>
  <si>
    <t>I experienced a lack of variety and options in the onboard menu.</t>
  </si>
  <si>
    <t>The flight attendant neglected to offer beverage refills to passengers.</t>
  </si>
  <si>
    <t>I felt a wave of disappointment and anger as the flight departure was continuously delayed.</t>
  </si>
  <si>
    <t>The delayed flight arrival disrupted my plans, and I felt inconvenienced and dissatisfied.</t>
  </si>
  <si>
    <t>I found the food to be poorly seasoned and lacking flavor.</t>
  </si>
  <si>
    <t>I faced difficulties in requesting special assistance for elderly passengers, making their travel experience challenging.</t>
  </si>
  <si>
    <t>The flight attendants didn't enforce proper mask-wearing, compromising the safety of passengers.</t>
  </si>
  <si>
    <t>Lack of onboard reading material options.</t>
  </si>
  <si>
    <t>The airline's boarding gate was poorly organized, with limited seating and inadequate information displays.</t>
  </si>
  <si>
    <t>The takeoff and taxi phase took forever. If I wanted to sit in a taxi I would've just taken an Uber or something.</t>
  </si>
  <si>
    <t>The landing and departure phase took an unreasonably long time. It felt like I was stuck on the plane forever.</t>
  </si>
  <si>
    <t>Lack of entertainment options for children.</t>
  </si>
  <si>
    <t>I was emotionally drained by the lack of empathy and understanding from the airline staff.</t>
  </si>
  <si>
    <t>The air vents above the seats were not functioning correctly, affecting the airflow and temperature.</t>
  </si>
  <si>
    <t>The flight arrived much later than expected, causing inconvenience.</t>
  </si>
  <si>
    <t>The air crew displayed a lack of empathy towards passenger discomfort.</t>
  </si>
  <si>
    <t>The airline failed to enforce mask-wearing protocols properly, compromising passenger safety.</t>
  </si>
  <si>
    <t>The flight announcements were unclear, leaving me confused and unsure about important details.</t>
  </si>
  <si>
    <t>The absence of power outlets made it impossible to charge electronic devices.</t>
  </si>
  <si>
    <t>The in-flight Wi-Fi was slow and unreliable, failing to meet my expectations.</t>
  </si>
  <si>
    <t>The air crew was negligent in attending to passenger needs.</t>
  </si>
  <si>
    <t>The airline did not offer any compensation for the delayed flight.</t>
  </si>
  <si>
    <t>The airline's website lacked user-friendly features, making it difficult to manage bookings or access important travel information.</t>
  </si>
  <si>
    <t>The flight attendant was impolite and had a condescending attitude.</t>
  </si>
  <si>
    <t>The flight departure was delayed, causing frustration and inconvenience for all.</t>
  </si>
  <si>
    <t>I was disappointed by the prolonged delay in our flight departure.</t>
  </si>
  <si>
    <t>The flight's arrival delay ruined my entire day. I deserve compensation!</t>
  </si>
  <si>
    <t>Limited legroom made the entire journey uncomfortable.</t>
  </si>
  <si>
    <t>The arrival delay had a cascading effect on my entire travel plans, as I had to reschedule connecting flights, accommodations, and activities, resulting in a major disruption to my trip.</t>
  </si>
  <si>
    <t>The wait time for the airline's shuttle service was unacceptably long. I had to wait for an excessive amount of time, which was inconvenient and made me question the airline's commitment to customer satisfaction.</t>
  </si>
  <si>
    <t>I had to navigate through a crowded and chaotic baggage collection area.</t>
  </si>
  <si>
    <t>The delayed flight arrival inconvenienced me and affected my overall travel experience.</t>
  </si>
  <si>
    <t>The baggage claim area was chaotic and overcrowded.</t>
  </si>
  <si>
    <t>The flight attendants displayed a lack of professionalism and courtesy, making the overall experience unpleasant.</t>
  </si>
  <si>
    <t>I experienced a long wait for the beverage cart to be restocked.</t>
  </si>
  <si>
    <t>The flight had malfunctioning seatbelt buckles.</t>
  </si>
  <si>
    <t>The airline did not provide any halal snack options.</t>
  </si>
  <si>
    <t>The airline's lack of proper communication and updates during the departure delay left passengers feeling abandoned and disregarded, with no information about when the situation would be resolved.</t>
  </si>
  <si>
    <t>The airline's ticket upgrade process was convoluted and difficult to navigate, causing frustration and difficulties in obtaining a better seat.</t>
  </si>
  <si>
    <t>The lavatory trash bins were overflowing and not emptied.</t>
  </si>
  <si>
    <t>I faced complications and delays in canceling or changing my flights due to restrictive policies.</t>
  </si>
  <si>
    <t>The flight attendant was unhelpful and did not provide adequate service during the flight.</t>
  </si>
  <si>
    <t>I felt emotionally disconnected and unimportant during the entire journey with the airline.</t>
  </si>
  <si>
    <t>The flight attendants didn't assist with overhead bin space for late-boarding passengers, causing delays and inconvenience.</t>
  </si>
  <si>
    <t>I encountered unclean or poorly maintained magazine pockets.</t>
  </si>
  <si>
    <t>I was heartbroken when the airline lost my irreplaceable personal items, and their lack of urgency in resolving the issue was disheartening.</t>
  </si>
  <si>
    <t>The airline did not provide clear instructions for connecting flights.</t>
  </si>
  <si>
    <t>The customer service representative was uninterested in resolving my issue.</t>
  </si>
  <si>
    <t>The emotional toll of the journey was immense, and I was left questioning the airline's commitment to passenger satisfaction.</t>
  </si>
  <si>
    <t>The noise level on the flight was excessive and disruptive to my comfort.</t>
  </si>
  <si>
    <t>Difficulties in adding extra baggage to reservations.</t>
  </si>
  <si>
    <t>The flight lacked sufficient overhead storage space.</t>
  </si>
  <si>
    <t>The baggage handling staff mishandled my artwork or paintings, resulting in irreparable damage.</t>
  </si>
  <si>
    <t>I was emotionally devastated by the lack of accountability and responsibility demonstrated by the airline.</t>
  </si>
  <si>
    <t>The announcements made during the flight were unclear, and it caused confusion among passengers.</t>
  </si>
  <si>
    <t>I felt devastated and betrayed when the airline's frequent flyer program denied me access to the benefits I had earned, despite my loyalty and dedication to their services.</t>
  </si>
  <si>
    <t>The onboard restrooms ran out of essential supplies like toilet paper, inconveniencing passengers.</t>
  </si>
  <si>
    <t>I experienced delays and inconvenience due to the airline's complicated and time-consuming upgrade process.</t>
  </si>
  <si>
    <t>The extended delay caused me to miss an important appointment.</t>
  </si>
  <si>
    <t>The flight was bumpy, and the crew did not take appropriate measures to ensure passenger comfort.</t>
  </si>
  <si>
    <t>I had to struggle with retrieving my bag from the overhead compartment due to lack of assistance.</t>
  </si>
  <si>
    <t>The expensive fare did not include any added convenience or personalized services.</t>
  </si>
  <si>
    <t>The airline's failure to provide a satisfactory solution for the delays disappointed me.</t>
  </si>
  <si>
    <t>The airline did not provide any entertainment options for children, making the journey difficult for parents.</t>
  </si>
  <si>
    <t>The airline's onboard announcements were incomprehensible.</t>
  </si>
  <si>
    <t>The airline charged exorbitant prices for basic amenities like blankets and pillows.</t>
  </si>
  <si>
    <t>I found unclean or smelly surfaces on the seatback trays.</t>
  </si>
  <si>
    <t>The prolonged delay in flight arrival affected my schedule and overall travel experience.</t>
  </si>
  <si>
    <t>Our flight was delayed due to a technical issue, but the lack of prompt communication from the airline about the situation left me feeling frustrated and anxious.</t>
  </si>
  <si>
    <t>I was disappointed with the overall lack of onboard amenities.</t>
  </si>
  <si>
    <t>I had plans for a romantic evening, but the delay in arrival spoiled everything.</t>
  </si>
  <si>
    <t>The unexplained and prolonged delay in receiving my checked baggage made me feel anxious and worried about the security of my belongings.</t>
  </si>
  <si>
    <t>The flight was delayed due to maintenance issues, which should have been addressed beforehand.</t>
  </si>
  <si>
    <t>The flight delay caused inconvenience and frustration among passengers.</t>
  </si>
  <si>
    <t>Despite the airline's promises of punctuality, the departure delay meant that I had to rush to catch a connecting flight, adding unnecessary stress to my journey.</t>
  </si>
  <si>
    <t>The flight crew did not handle a disruptive passenger situation promptly or effectively.</t>
  </si>
  <si>
    <t>The airline did not provide assistance to elderly passengers with mobility issues.</t>
  </si>
  <si>
    <t>The onboard announcements were primarily made in a foreign language, causing confusion among non-native speakers.</t>
  </si>
  <si>
    <t>The overhead reading lights on the plane were not functioning, causing inconvenience during the flight.</t>
  </si>
  <si>
    <t>The lack of attention to detail and the dismissive attitude of the airline staff made me question my decision to fly with them.</t>
  </si>
  <si>
    <t>The lavatories were not regularly restocked with toilet paper.</t>
  </si>
  <si>
    <t>I am fuming with anger! This airline's delays have completely ruined my travel experience!</t>
  </si>
  <si>
    <t>The airline's lack of accountability for the delays left me disappointed and dissatisfied.</t>
  </si>
  <si>
    <t>The air crew seemed untrained in handling passenger complaints and requests.</t>
  </si>
  <si>
    <t>The excessive wait for flight arrival disrupted my travel plans.</t>
  </si>
  <si>
    <t>The boarding passes provided by the airline were difficult to read and understand, causing confusion during the boarding process.</t>
  </si>
  <si>
    <t>Limited selection of in-flight snacks, leaving passengers hungry and dissatisfied.</t>
  </si>
  <si>
    <t>The airline did not provide any nut-free beverage options.</t>
  </si>
  <si>
    <t>The airline's poor management of the delay situation left me feeling frustrated and let down.</t>
  </si>
  <si>
    <t>The delayed flight arrival threw off my entire schedule, and I felt frustrated and inconvenienced.</t>
  </si>
  <si>
    <t>I felt a deep sense of frustration and dissatisfaction with the overall experience provided by the airline.</t>
  </si>
  <si>
    <t>The turbulence was so intense that it caused the cabin crew to lose control of the beverage cart, resulting in spills and potential injuries.</t>
  </si>
  <si>
    <t>The airline charged exorbitant fees for additional baggage.</t>
  </si>
  <si>
    <t>The airline did not offer any lactose-free snack options.</t>
  </si>
  <si>
    <t>The cabin crew did not handle a disruptive passenger situation appropriately.</t>
  </si>
  <si>
    <t>The airline charged exorbitant fees for baggage, leaving me dissatisfied with the service.</t>
  </si>
  <si>
    <t>I had to wait for hours at the airport due to the flight delay. A waste of time.</t>
  </si>
  <si>
    <t>The airline's negligence regarding timely departures is unacceptable.</t>
  </si>
  <si>
    <t>I was devastated when the airline mistakenly boarded me on the wrong flight, causing distress and confusion upon arrival at the wrong destination.</t>
  </si>
  <si>
    <t>The flight attendant was dismissive and showed a lack of empathy towards passenger concerns.</t>
  </si>
  <si>
    <t>My flight arrival was significantly delayed, causing inconvenience and wasted time.</t>
  </si>
  <si>
    <t>The delay in arrival made me miss an opportunity to attend a major concert. Unfortunate.</t>
  </si>
  <si>
    <t>The airline's neglect of timely communication during the delay led to increased frustration.</t>
  </si>
  <si>
    <t>I felt frustrated and inconvenienced by the lack of clear updates during the delay.</t>
  </si>
  <si>
    <t>The flight departed earlier than scheduled without prior notification.</t>
  </si>
  <si>
    <t>I had to search for a baggage cart as none were readily available.</t>
  </si>
  <si>
    <t>The flight had a late departure due to issues with the aircraft, causing inconvenience and disrupting plans.</t>
  </si>
  <si>
    <t>I found unclean or sticky surfaces on the folding tray mechanisms.</t>
  </si>
  <si>
    <t>The boarding process was disorganized, leading to chaos and delays.</t>
  </si>
  <si>
    <t>The staff displayed a lack of knowledge and competence in their roles.</t>
  </si>
  <si>
    <t>The airline's lack of communication about the delay added to my frustration.</t>
  </si>
  <si>
    <t>Lack of signage and directions within the aircraft.</t>
  </si>
  <si>
    <t>Inadequate seating arrangements for families.</t>
  </si>
  <si>
    <t>I experienced a long wait time for food and beverage service.</t>
  </si>
  <si>
    <t>The seat armrests were sticky or had visible dirt.</t>
  </si>
  <si>
    <t>The airline didn't offer any complimentary amenity kits for long-haul flights, neglecting passenger comfort.</t>
  </si>
  <si>
    <t>The overhead reading lights were not functioning.</t>
  </si>
  <si>
    <t>The delay in departure disrupted my plans with friends. Upsetting and frustrating.</t>
  </si>
  <si>
    <t>I experienced discomfort and unease during the flight due to the airline's negligence in addressing passenger needs.</t>
  </si>
  <si>
    <t>The aircraft's lavatories were not properly disinfected.</t>
  </si>
  <si>
    <t>Lack of communication about gate changes.</t>
  </si>
  <si>
    <t>I encountered a lack of clear communication regarding the retrieval of oversized or special baggage.</t>
  </si>
  <si>
    <t>The airline did not provide any allergy-friendly meal options.</t>
  </si>
  <si>
    <t>I encountered difficulties in booking seats together with my travel companions.</t>
  </si>
  <si>
    <t>The noise insulation on the flight was poor, making it difficult to rest or concentrate.</t>
  </si>
  <si>
    <t>I encountered a delay in receiving my requested vegetarian or vegan meal.</t>
  </si>
  <si>
    <t>Difficulties in rescheduling missed flights.</t>
  </si>
  <si>
    <t>Unsatisfactory quality of in-flight meals.</t>
  </si>
  <si>
    <t>The flight attendants did not provide clear instructions during emergencies.</t>
  </si>
  <si>
    <t>I was disappointed with the lack of compensation for the delayed flight, which caused me stress.</t>
  </si>
  <si>
    <t>The airline didn't have adequate customer service representatives at the gate, resulting in poor assistance and support.</t>
  </si>
  <si>
    <t>The airline did not provide clear instructions for baggage claim, leading to confusion and delays.</t>
  </si>
  <si>
    <t>The boarding gate was poorly staffed, leading to delays and confusion among passengers.</t>
  </si>
  <si>
    <t>The prolonged wait for flight arrival wasted a significant amount of my time.</t>
  </si>
  <si>
    <t>The significant delay in flight arrival was a source of distress and disappointment for me.</t>
  </si>
  <si>
    <t>The airline did not provide proper assistance for elderly passengers.</t>
  </si>
  <si>
    <t>The customer service representative was unhelpful and provided no solutions.</t>
  </si>
  <si>
    <t>The airline ran out of food options before reaching my seat.</t>
  </si>
  <si>
    <t>The arrival delay resulted in frustration and inconvenience among passengers.</t>
  </si>
  <si>
    <t>The extended delay caused me to miss a scheduled event.</t>
  </si>
  <si>
    <t>The airline's onboard temperature was uncomfortable, with the cabin being too hot or too cold, making it challenging to find comfort during the flight.</t>
  </si>
  <si>
    <t>I expected better service and comfort for the significant amount I paid for the flight.</t>
  </si>
  <si>
    <t>The flight delay caused me to lose valuable business opportunities. Unreliable and frustrating.</t>
  </si>
  <si>
    <t>I felt the aircraft was not properly maintained or equipped to handle turbulence, leading to a turbulent and unsettling flight experience.</t>
  </si>
  <si>
    <t>The airline provided vague or incomplete information regarding the status of my delayed baggage.</t>
  </si>
  <si>
    <t>The airline mishandled my luggage temporarily, causing inconvenience.</t>
  </si>
  <si>
    <t>The delay in arrival impacted my work schedule and caused significant inconvenience.</t>
  </si>
  <si>
    <t>I encountered difficulties understanding the in-flight announcements as they were unclear and delivered with poor audio quality.</t>
  </si>
  <si>
    <t>The flight departure was delayed due to unforeseen circumstances.</t>
  </si>
  <si>
    <t>The flight had a strong odor that was unpleasant.</t>
  </si>
  <si>
    <t>I expected better organization during the boarding process.</t>
  </si>
  <si>
    <t>Arrival was significantly later than scheduled, inconveniencing passengers.</t>
  </si>
  <si>
    <t>The flight attendants lacked attentiveness and did not provide the level of service expected for the price paid.</t>
  </si>
  <si>
    <t>The flight arrival was delayed, disrupting my plans.</t>
  </si>
  <si>
    <t>The seats on the flight didn't recline, leaving me unable to find a comfortable position to rest.</t>
  </si>
  <si>
    <t>I encountered difficulties understanding the airline's complex sports equipment baggage policy, resulting in confusion and additional charges.</t>
  </si>
  <si>
    <t>I received an incorrect meal that I did not order.</t>
  </si>
  <si>
    <t>The airline did not have proper facilities for families traveling with young children.</t>
  </si>
  <si>
    <t>The flight attendants mishandled a medical emergency, causing distress to affected passengers.</t>
  </si>
  <si>
    <t>The flight attendants did not offer enough water during the flight.</t>
  </si>
  <si>
    <t>The delay in departure caused me to miss a connecting flight.</t>
  </si>
  <si>
    <t>I observed unclean or stained curtains in the aircraft.</t>
  </si>
  <si>
    <t>I felt let down by the extended delay in flight arrival.</t>
  </si>
  <si>
    <t>Untrained and inexperienced flight attendants.</t>
  </si>
  <si>
    <t>I demand immediate action regarding the delayed arrival. This is my right!</t>
  </si>
  <si>
    <t>The flight was overbooked, and I had to give up my seat, causing a major inconvenience.</t>
  </si>
  <si>
    <t>I encountered unclean or poorly maintained seatback pockets.</t>
  </si>
  <si>
    <t>The lavatory sinks were dirty and appeared unsanitary.</t>
  </si>
  <si>
    <t>The staff lacked empathy and understanding towards passengers' needs.</t>
  </si>
  <si>
    <t>I expect better treatment than a delayed departure. This is unacceptable!</t>
  </si>
  <si>
    <t>The airline failed to accommodate my dietary restrictions.</t>
  </si>
  <si>
    <t>The repeated delays in flight departure made me question the airline's commitment to punctuality.</t>
  </si>
  <si>
    <t>I expected a more comfortable and luxurious experience for the expensive fare I paid.</t>
  </si>
  <si>
    <t>Poor restroom cleanliness.</t>
  </si>
  <si>
    <t>Problems with the airline's lost and found process.</t>
  </si>
  <si>
    <t>The flight announcements were unclear and difficult to understand.</t>
  </si>
  <si>
    <t>The flight attendants did not prioritize passenger safety.</t>
  </si>
  <si>
    <t>The seats on the plane were uncomfortable and provided no back support.</t>
  </si>
  <si>
    <t>The aircraft's overall hygiene standards were unsatisfactory.</t>
  </si>
  <si>
    <t>The airline's onboard announcements were unclear and difficult to hear, making it challenging to understand important information.</t>
  </si>
  <si>
    <t>The airline did not accommodate my request for a vegetarian meal, despite prior notification.</t>
  </si>
  <si>
    <t>I found unclean or dusty surfaces on the seat controls.</t>
  </si>
  <si>
    <t>Limited availability of vegetarian meal options.</t>
  </si>
  <si>
    <t>The prolonged wait for flight departure was unacceptable.</t>
  </si>
  <si>
    <t>I encountered difficulties in redeeming my airline miles.</t>
  </si>
  <si>
    <t>I expected the airline to have better contingency plans in place for flying in adverse weather conditions.</t>
  </si>
  <si>
    <t>The lack of cleanliness in the cabin made me question the hygiene standards of the airline.</t>
  </si>
  <si>
    <t>The flight attendants were more engaged in personal conversations rather than attending to passengers.</t>
  </si>
  <si>
    <t>The seat headrests were visibly dirty or unkempt.</t>
  </si>
  <si>
    <t>I was served a meal with overcooked and dry food.</t>
  </si>
  <si>
    <t>The seating arrangement was cramped, leaving me no room to relax or move comfortably.</t>
  </si>
  <si>
    <t>I experienced a lack of options for snacks or meals suitable for children.</t>
  </si>
  <si>
    <t>I felt frustrated and let down by the airline's failure to handle the delays effectively.</t>
  </si>
  <si>
    <t>The airline did not provide sufficient assistance during a flight disruption.</t>
  </si>
  <si>
    <t>The turbulence was so intense that it caused flight attendants to lose their balance and stumble, raising concerns about their training and preparedness.</t>
  </si>
  <si>
    <t>I felt the airline should have provided more frequent updates and explanations about the turbulence to alleviate passenger concerns.</t>
  </si>
  <si>
    <t>The flight had a shortage of vegetarian meal options.</t>
  </si>
  <si>
    <t>The delay in departure caused unnecessary inconvenience.</t>
  </si>
  <si>
    <t>I experienced difficulties with the online check-in process.</t>
  </si>
  <si>
    <t>The flight crew did not handle a disruptive passenger situation effectively, causing distress to other passengers.</t>
  </si>
  <si>
    <t>The flight attendant was inattentive and did not offer assistance when needed.</t>
  </si>
  <si>
    <t>The air crew did not provide timely updates or announcements during the flight.</t>
  </si>
  <si>
    <t>The airline did not provide any pillows or blankets for a long-haul flight.</t>
  </si>
  <si>
    <t>I felt neglected and disregarded by the airline's handling of the delays.</t>
  </si>
  <si>
    <t>The flight delay made me miss an important family gathering. Disappointed and upset.</t>
  </si>
  <si>
    <t>The airline did not provide sufficient assistance to passengers with disabilities.</t>
  </si>
  <si>
    <t>I was concerned that the flight crew did not communicate effectively about the weather-related delays.</t>
  </si>
  <si>
    <t>The arrival was delayed, causing inconvenience.</t>
  </si>
  <si>
    <t>The flight attendants did not enforce the airline's policies consistently.</t>
  </si>
  <si>
    <t>The airline's lack of responsiveness to passenger needs left me feeling ignored and undervalued.</t>
  </si>
  <si>
    <t>The airline's disregard for punctuality and the delay in arrival ruined my plans.</t>
  </si>
  <si>
    <t>The aircraft's interior appeared neglected and unhygienic.</t>
  </si>
  <si>
    <t>Lack of signage and directions within the aircraft, causing confusion and difficulties finding amenities.</t>
  </si>
  <si>
    <t>I was frustrated with the lack of clear instructions during the onboard duty-free shopping, resulting in confusion and delays.</t>
  </si>
  <si>
    <t>The flight attendant seemed disorganized and overwhelmed during the service.</t>
  </si>
  <si>
    <t>Difficulties in redeeming airline miles and restrictions on reward availability were frustrating.</t>
  </si>
  <si>
    <t>I felt inconvenienced and dissatisfied by the excessive delay in our flight departure.</t>
  </si>
  <si>
    <t>The flight attendants were unfriendly and impolite.</t>
  </si>
  <si>
    <t>I received someone else's bag instead of mine.</t>
  </si>
  <si>
    <t>I felt the airline should have provided more comfortable seating or pillows to help passengers relax during the turbulent flight.</t>
  </si>
  <si>
    <t>The prolonged wait for flight arrival caused me significant emotional distress and anxiety.</t>
  </si>
  <si>
    <t>The airline's customer service was unresponsive and provided no assistance during my flight.</t>
  </si>
  <si>
    <t>The flight attendants lacked proper language proficiency for international flights.</t>
  </si>
  <si>
    <t>The turbulence was so intense that I was thrown out of my seat, causing physical discomfort and distress.</t>
  </si>
  <si>
    <t>I noticed unclean or dusty surfaces in the cabin.</t>
  </si>
  <si>
    <t>I found the food to be overpriced for its quality and taste.</t>
  </si>
  <si>
    <t>The airline did not take prompt action to minimize the delay.</t>
  </si>
  <si>
    <t>Insufficient support for elderly passengers.</t>
  </si>
  <si>
    <t>The flight attendants did not address disruptive passengers.</t>
  </si>
  <si>
    <t>The baggage claim area was understaffed, leading to long wait times and frustration.</t>
  </si>
  <si>
    <t>The airline's online check-in process was confusing and prone to errors, causing unnecessary stress and inconvenience.</t>
  </si>
  <si>
    <t>This is outrageous! The constant delays have ruined my travel plans and I am beyond angry!</t>
  </si>
  <si>
    <t>The airline offered insufficient assistance and amenities for elderly passengers, making their travel experience difficult.</t>
  </si>
  <si>
    <t>The flight attendant was inattentive and failed to address passenger requests.</t>
  </si>
  <si>
    <t>The flight attendant forgot to bring me a requested utensil.</t>
  </si>
  <si>
    <t>The flight had a malfunctioning audio system for in-flight announcements.</t>
  </si>
  <si>
    <t>The flight was full of crying babies, and the crew did not take any measures to mitigate the noise.</t>
  </si>
  <si>
    <t>The air crew lacked professionalism and did not maintain a calm atmosphere during the flight.</t>
  </si>
  <si>
    <t>The complexities of the airline's refund policy made it challenging to receive a refund for a canceled flight.</t>
  </si>
  <si>
    <t>The airline didn't offer any gluten-free meal options, disregarding passengers with dietary restrictions.</t>
  </si>
  <si>
    <t>The airline did not cater to dietary restrictions, leaving passengers with limited food options.</t>
  </si>
  <si>
    <t>The flight attendants did not address unruly or disruptive passengers.</t>
  </si>
  <si>
    <t>The airline did not provide any compensation or discounts for the high cost of the ticket.</t>
  </si>
  <si>
    <t>I encountered difficulties understanding the airline's complex baggage claim procedures, resulting in confusion and delays in receiving my luggage.</t>
  </si>
  <si>
    <t>The aircraft's cleanliness fell below acceptable standards.</t>
  </si>
  <si>
    <t>The overall experience left me feeling emotionally shattered and betrayed by the airline.</t>
  </si>
  <si>
    <t>The airline didn't provide any charging ports or outlets for electronic devices, inconveniencing passengers.</t>
  </si>
  <si>
    <t>The airline's frequent flyer program website was difficult to navigate, with complex menus and confusing terminology.</t>
  </si>
  <si>
    <t>The delay in arrival forced me to miss an important family reunion. Disappointed.</t>
  </si>
  <si>
    <t>I expected better punctuality for the flight departure.</t>
  </si>
  <si>
    <t>Lack of empathy from flight attendants.</t>
  </si>
  <si>
    <t>The airline did not consider passengers with allergies, and the in-flight meals posed a health risk.</t>
  </si>
  <si>
    <t>The flight's delay in arrival disrupted my schedule.</t>
  </si>
  <si>
    <t>These delays are absolutely unforgivable! I am filled with rage and disappointment!</t>
  </si>
  <si>
    <t>The turbulence during the flight was excessive and made me uneasy.</t>
  </si>
  <si>
    <t>I expected the airline to offer complimentary access to guided mindfulness exercises or relaxation techniques to help passengers cope with the turbulent flight.</t>
  </si>
  <si>
    <t>I felt let down and frustrated when the airline's lack of proper maintenance caused multiple malfunctions during the flight, leading to unnecessary stress and inconvenience.</t>
  </si>
  <si>
    <t>The airline's baggage handling was inefficient and caused delays.</t>
  </si>
  <si>
    <t>The boarding process was disorganized and chaotic, causing unnecessary stress.</t>
  </si>
  <si>
    <t>I experienced discomfort and inconvenience due to the lack of assistance for pregnant passengers.</t>
  </si>
  <si>
    <t>I expected the airline to have better contingency plans in place for managing turbulence and ensuring passenger safety.</t>
  </si>
  <si>
    <t>The flight attendants were unresponsive to my requests and seemed indifferent.</t>
  </si>
  <si>
    <t>Some flight attendants seem to be new and unsure what they are doing.</t>
  </si>
  <si>
    <t>The flight attendants were unapproachable and unresponsive.</t>
  </si>
  <si>
    <t>These delays are infuriating! I demand compensation for the time and frustration caused!</t>
  </si>
  <si>
    <t>I am seething with rage at this airline's constant delays! They have ruined my plans!</t>
  </si>
  <si>
    <t>The airplane lacked proper ventilation, leading to a stuffy and suffocating environment.</t>
  </si>
  <si>
    <t>The expensive fare did not result in an extraordinary or exceptional travel experience.</t>
  </si>
  <si>
    <t>This airline's delays have pushed me to the brink of rage! I will never fly with them again!</t>
  </si>
  <si>
    <t>The airline's continuous delays have severely affected my trust and satisfaction.</t>
  </si>
  <si>
    <t>Departure was postponed, resulting in missed connections.</t>
  </si>
  <si>
    <t>I encountered a lack of professionalism from the airline staff.</t>
  </si>
  <si>
    <t>Inadequate translations for international passengers.</t>
  </si>
  <si>
    <t>The cabin crew did not handle a disruptive passenger situation appropriately, making the flight stressful.</t>
  </si>
  <si>
    <t>Flight attendants lacking language proficiency.</t>
  </si>
  <si>
    <t>The airline failed to manage the unexpected delay efficiently.</t>
  </si>
  <si>
    <t>I faced challenges understanding the airline's complex ticket cancellation policy, resulting in confusion and delays in receiving a refund.</t>
  </si>
  <si>
    <t>The flight attendants were inattentive and seemed disinterested.</t>
  </si>
  <si>
    <t>I am boiling with rage! This airline's delays have caused me immense frustration and anger!</t>
  </si>
  <si>
    <t>I encountered a delay in receiving my requested alcoholic beverage.</t>
  </si>
  <si>
    <t>The airline did not offer any complimentary beverages during the flight.</t>
  </si>
  <si>
    <t>The flight had uncomfortable headrests that were non-adjustable.</t>
  </si>
  <si>
    <t>The airline did not provide adequate assistance to passengers with disabilities or special needs.</t>
  </si>
  <si>
    <t>The airline's customer service was unresponsive and left me feeling ignored during the journey.</t>
  </si>
  <si>
    <t>The lack of cleanliness and hygiene standards in the cabin was unacceptable.</t>
  </si>
  <si>
    <t>The staff showed a lack of professionalism and courtesy.</t>
  </si>
  <si>
    <t>Accessibility for passengers with mobility challenges was inadequate, hindering their travel experience.</t>
  </si>
  <si>
    <t>I expected better contingency plans from the airline to minimize the impact of the bad weather.</t>
  </si>
  <si>
    <t>The airline did not provide adequate compensation for the lost or damaged items in my bag.</t>
  </si>
  <si>
    <t>The airline did not provide clear instructions during the safety demonstration, leaving passengers confused.</t>
  </si>
  <si>
    <t>The flight attendant displayed a lack of empathy and attentiveness.</t>
  </si>
  <si>
    <t>The flight attendants were rude and inattentive, showing no regard for my needs.</t>
  </si>
  <si>
    <t>The baggage claim area lacked proper signage and direction.</t>
  </si>
  <si>
    <t>The airline didn't offer any complimentary amenity kits for long-haul flights, neglecting passenger comfort and needs.</t>
  </si>
  <si>
    <t>The airline failed to provide appropriate updates on the status of my delayed baggage.</t>
  </si>
  <si>
    <t>I felt extremely frustrated when the airline lost my luggage and made me wait for hours to resolve the issue.</t>
  </si>
  <si>
    <t>The airline didn't provide clear instructions for connecting flights, causing confusion and potential missed connections.</t>
  </si>
  <si>
    <t>I had difficulties in rescheduling missed flights due to complex procedures and high change fees.</t>
  </si>
  <si>
    <t>The airline did not offer any onboard charging options for electronic devices.</t>
  </si>
  <si>
    <t>I was on the verge of tears as the flight departure was continuously pushed back without clear communication.</t>
  </si>
  <si>
    <t>I encountered unclean or unsanitary tray table surfaces.</t>
  </si>
  <si>
    <t>The delay in departure made me question my decision to choose this airline.</t>
  </si>
  <si>
    <t>The flight attendant ignored my requests for assistance.</t>
  </si>
  <si>
    <t>I expected timely updates from the airline during the prolonged delay, but they were lacking.</t>
  </si>
  <si>
    <t>I was frustrated by the long wait times at the airline's baggage drop-off counter. It seemed like there was a lack of staff or an inefficient process, resulting in unnecessary delays and frustration.</t>
  </si>
  <si>
    <t>The lavatory paper towel dispensers were empty or malfunctioning.</t>
  </si>
  <si>
    <t>I received poor assistance when trying to resolve a baggage issue.</t>
  </si>
  <si>
    <t>The cabin temperature was unbearable, making my entire experience unpleasant.</t>
  </si>
  <si>
    <t>The customer service representative was dismissive and unprofessional.</t>
  </si>
  <si>
    <t>The airline did not offer any options for upgrading seats.</t>
  </si>
  <si>
    <t>Departure was postponed, affecting my schedule.</t>
  </si>
  <si>
    <t>I encountered issues with the online booking system.</t>
  </si>
  <si>
    <t>I expected the airline to offer a sincere apology and take immediate action to investigate the cause of the turbulent flight.</t>
  </si>
  <si>
    <t>The airline did not offer any compensation for the inconvenience and frustration caused by the mishandling of my baggage.</t>
  </si>
  <si>
    <t>I am beyond angry at this airline's repeated delays! They have no regard for their customers!</t>
  </si>
  <si>
    <t>I was not informed about gate changes, causing me to rush and fear missing my flight.</t>
  </si>
  <si>
    <t>The flight had uncomfortable headrests that provided no neck support, causing discomfort and pain.</t>
  </si>
  <si>
    <t>The aircraft's cleanliness fell short of expectations.</t>
  </si>
  <si>
    <t>The customer service agent provided incorrect information that caused unnecessary inconvenience.</t>
  </si>
  <si>
    <t>The lack of power outlets on the aircraft was inconvenient.</t>
  </si>
  <si>
    <t>The customer service representative was unresponsive and did not provide a satisfactory resolution.</t>
  </si>
  <si>
    <t>The arrival delay led to additional waiting time at the airport.</t>
  </si>
  <si>
    <t>The turbulence was unexpected and violent, and the lack of communication and reassurance from the flight attendants worsened the situation.</t>
  </si>
  <si>
    <t>The flight attendants didn't offer any alternative meal options for passengers with allergies or dietary restrictions.</t>
  </si>
  <si>
    <t>The baggage handling staff mishandled my delicate items, causing them to be irreparably damaged.</t>
  </si>
  <si>
    <t>The flight was delayed without any clear explanation from the airline, causing frustration and inconvenience.</t>
  </si>
  <si>
    <t>I had to rearrange my entire itinerary due to the prolonged delay in flight arrival.</t>
  </si>
  <si>
    <t>The airline did not offer any gluten-free dessert options.</t>
  </si>
  <si>
    <t>The extended delay in flight arrival inconvenienced me greatly.</t>
  </si>
  <si>
    <t>I encountered unclean or poorly maintained seatback screens.</t>
  </si>
  <si>
    <t>The air crew appeared disinterested in providing a pleasant flight experience.</t>
  </si>
  <si>
    <t>The airline mishandled my baggage, and it took an extensive effort to locate and retrieve it.</t>
  </si>
  <si>
    <t>The airline's inflight magazine was outdated and poorly organized, offering little value or interesting content.</t>
  </si>
  <si>
    <t>The prolonged wait for flight arrival negatively impacted my schedule.</t>
  </si>
  <si>
    <t>I felt let down by the airline's failure to provide a satisfactory explanation for the delays.</t>
  </si>
  <si>
    <t>Inadequate accessibility for passengers with mobility challenges.</t>
  </si>
  <si>
    <t>The flight attendants seemed untrained and inexperienced, unable to assist passengers properly.</t>
  </si>
  <si>
    <t>The boarding process was delayed due to the airline's inefficient and slow boarding pass scanning procedures.</t>
  </si>
  <si>
    <t>The flight attendants were slow in responding to passenger requests and seemed uninterested.</t>
  </si>
  <si>
    <t>The flight's delay in arrival caused unnecessary stress.</t>
  </si>
  <si>
    <t>My flight was delayed, and it caused me a lot of inconvenience.</t>
  </si>
  <si>
    <t>The seats were worn out and uncomfortable.</t>
  </si>
  <si>
    <t>The flight's significant delay in arrival disrupted my plans.</t>
  </si>
  <si>
    <t>The flight attendants did not assist with locating missing baggage.</t>
  </si>
  <si>
    <t>The gate agents were unhelpful and uninformed, providing little assistance and leaving me uninformed.</t>
  </si>
  <si>
    <t>The turbulence was unexpected and violent, and the flight attendants appeared disoriented and unsure of how to handle the situation.</t>
  </si>
  <si>
    <t>The airline provided no compensation for the inconvenience caused by mishandled baggage.</t>
  </si>
  <si>
    <t>The arrival delay resulted in missed public transportation options.</t>
  </si>
  <si>
    <t>I found food residue or spills on the seat belts.</t>
  </si>
  <si>
    <t>The air crew failed to address passenger complaints effectively.</t>
  </si>
  <si>
    <t>The flight attendants lacked professionalism and were unresponsive to passenger requests.</t>
  </si>
  <si>
    <t>The lengthy wait for flight arrival was emotionally exhausting and left me feeling drained.</t>
  </si>
  <si>
    <t>The baggage claim process was disorganized and time-consuming.</t>
  </si>
  <si>
    <t>The significant delay in flight arrival caused significant distress and frustration for me.</t>
  </si>
  <si>
    <t>I encountered difficulties in obtaining a refund for a canceled flight.</t>
  </si>
  <si>
    <t>The airline's flight information displays at the airport were outdated and inaccurate, causing confusion and misinformation.</t>
  </si>
  <si>
    <t>The gate change announcement was made at the last minute, causing me to rush and barely make it to the new gate on time.</t>
  </si>
  <si>
    <t>I struggled to find space for my carry-on bag as the overhead compartments were full.</t>
  </si>
  <si>
    <t>I had to endure an unexpected and lengthy layover.</t>
  </si>
  <si>
    <t>The flight was delayed, causing unnecessary stress.</t>
  </si>
  <si>
    <t>The lavatory doors were sticky and appeared unclean.</t>
  </si>
  <si>
    <t>I am absolutely fed up with these delays! This airline deserves every ounce of my anger!</t>
  </si>
  <si>
    <t>I had connecting flights, but the delay in departure made me miss all of them.</t>
  </si>
  <si>
    <t>I encountered issues with the airline's refund policy, facing difficulties in receiving the compensation I deserved.</t>
  </si>
  <si>
    <t>The airline did not provide any gluten-free meal options.</t>
  </si>
  <si>
    <t>I was disappointed with the lack of legroom on the flight.</t>
  </si>
  <si>
    <t>I faced challenges understanding the airline's complex baggage allowance policy, resulting in unexpected fees and frustrations.</t>
  </si>
  <si>
    <t>The flight had a long wait time on the tarmac before takeoff, causing frustration and discomfort.</t>
  </si>
  <si>
    <t>Despite notifying the airline, my special dietary requirements were not accommodated.</t>
  </si>
  <si>
    <t>Lack of assistance for passengers with language barriers, leading to communication difficulties.</t>
  </si>
  <si>
    <t>I received inadequate assistance from the flight attendant when my overhead bin was full.</t>
  </si>
  <si>
    <t>The baggage handling staff mishandled my fragile items, leading to irreparable damage.</t>
  </si>
  <si>
    <t>The airline did not compensate for a damaged or lost personal item, despite being responsible for it.</t>
  </si>
  <si>
    <t>I had to wait for hours with no updates or information about the flight delay. Frustrating.</t>
  </si>
  <si>
    <t>The flight attendants did not enforce mask-wearing properly, compromising the health and safety of passengers.</t>
  </si>
  <si>
    <t>The airline didn't offer any pre-boarding for passengers with special needs, lacking inclusive practices.</t>
  </si>
  <si>
    <t>The insensitivity displayed by the airline staff left me feeling dejected and unimportant.</t>
  </si>
  <si>
    <t>Challenges in canceling or changing flights due to restrictive policies and high fees.</t>
  </si>
  <si>
    <t>The flight attendants seemed overwhelmed, leading to a decline in service quality.</t>
  </si>
  <si>
    <t>The lavatory floors were wet and slippery.</t>
  </si>
  <si>
    <t>The limited availability of vegetarian meal options left me with few or no suitable choices for my dietary preferences.</t>
  </si>
  <si>
    <t>The airline provided insufficient support and guidance for unaccompanied minors, causing anxiety and uncertainty.</t>
  </si>
  <si>
    <t>Insufficient support and accommodations for elderly passengers made their travel experience difficult.</t>
  </si>
  <si>
    <t>The delays from this airline are maddening! I am absolutely furious and will never fly with them again!</t>
  </si>
  <si>
    <t>The airline's lack of contingency plans or alternate arrangements during the arrival delay displayed a lack of preparedness and consideration for passengers' time and convenience.</t>
  </si>
  <si>
    <t>The flight attendant ignored my request for a dietary accommodation.</t>
  </si>
  <si>
    <t>The airline's refund policy was complicated and delayed, making it difficult to receive the compensation I deserved.</t>
  </si>
  <si>
    <t>The prolonged wait for flight arrival was a waste of time.</t>
  </si>
  <si>
    <t>I received unhelpful and dismissive responses from the flight attendant.</t>
  </si>
  <si>
    <t>The airline's website navigation was confusing and cluttered, making it challenging to find important information or manage bookings.</t>
  </si>
  <si>
    <t>I found the food to be stale and of poor quality.</t>
  </si>
  <si>
    <t>I'm appalled by the continuous delays, which affected my travel plans severely.</t>
  </si>
  <si>
    <t>The power outlets in the cabin were not operational, limiting passengers' ability to charge devices.</t>
  </si>
  <si>
    <t>I witnessed other passengers panicking and crying during the turbulence, and the airline's response was lacking.</t>
  </si>
  <si>
    <t>The airline did not provide adequate accommodations for passengers with mobility challenges, hindering their travel experience.</t>
  </si>
  <si>
    <t>I experienced a lack of professionalism from the flight attendant.</t>
  </si>
  <si>
    <t>I was disappointed that the airline did not offer any compensation or alternatives for the weather-related inconvenience.</t>
  </si>
  <si>
    <t>I expected better assistance for passengers with anxiety or fear of flying.</t>
  </si>
  <si>
    <t>I felt the airline did not take appropriate measures to ensure passenger comfort and well-being during the turbulent flight.</t>
  </si>
  <si>
    <t>The airline did not provide any assistance for passengers with language barriers.</t>
  </si>
  <si>
    <t>The airline's onboard announcements were rushed and unclear, making it difficult to comprehend important information.</t>
  </si>
  <si>
    <t>Difficulties in requesting special assistance for elderly passengers.</t>
  </si>
  <si>
    <t>The air crew displayed a lack of professionalism and did not prioritize passenger comfort.</t>
  </si>
  <si>
    <t>The customer service agent was unhelpful and seemed uninterested in resolving my problem.</t>
  </si>
  <si>
    <t>I encountered challenges and insufficient support for traveling with my pet, making the experience stressful.</t>
  </si>
  <si>
    <t>The flight was significantly delayed, causing me to miss an important event or connection.</t>
  </si>
  <si>
    <t>I experienced delays in receiving my checked baggage.</t>
  </si>
  <si>
    <t>The airline did not take responsibility for the mishandling and damage caused to my baggage.</t>
  </si>
  <si>
    <t>The flight departure was postponed due to technical issues.</t>
  </si>
  <si>
    <t>The airline's flight change policy was complicated and restrictive, making it challenging to modify travel plans when needed.</t>
  </si>
  <si>
    <t>The airline misplaced my bag and delivered it to the wrong destination.</t>
  </si>
  <si>
    <t>Onboard Wi-Fi was advertised but was not functional throughout the flight.</t>
  </si>
  <si>
    <t>Difficulties in reaching customer service, experiencing long wait times or unhelpful responses.</t>
  </si>
  <si>
    <t>The delayed flight departure created unnecessary stress and anxiety for me.</t>
  </si>
  <si>
    <t>I was dissatisfied with the lack of reclining seats on the flight.</t>
  </si>
  <si>
    <t>The airline did not compensate for the delayed departure.</t>
  </si>
  <si>
    <t>The airline's onboard entertainment system was faulty and unreliable.</t>
  </si>
  <si>
    <t>The airline did not offer any non-dairy milk options for coffee or tea.</t>
  </si>
  <si>
    <t>The flight attendant was unhelpful and did not provide assistance when requested.</t>
  </si>
  <si>
    <t>I faced difficulties in adding extra baggage to my reservation, resulting in confusion and extra charges.</t>
  </si>
  <si>
    <t>I noticed unclean or dusty air vents in the aircraft.</t>
  </si>
  <si>
    <t>The customer service agent was slow to respond and did not provide a satisfactory resolution.</t>
  </si>
  <si>
    <t>Arrival was delayed, resulting in missed connecting flights.</t>
  </si>
  <si>
    <t>The airline's constant delays have shattered my trust and loyalty.</t>
  </si>
  <si>
    <t>I encountered a delay in receiving my requested hot beverage.</t>
  </si>
  <si>
    <t>The staff showed a lack of professionalism and integrity.</t>
  </si>
  <si>
    <t>The absence of onboard reading material options left me bored and unentertained during the flight.</t>
  </si>
  <si>
    <t>I understand that unforeseen circumstances can lead to delays, but the lack of empathy and assistance from the airline staff during the departure delay was disheartening.</t>
  </si>
  <si>
    <t>The airline failed to provide timely updates or information.</t>
  </si>
  <si>
    <t>The flight was overcrowded, and there was no space to move around or stretch.</t>
  </si>
  <si>
    <t>I was counting on a timely arrival, but the delay left me disappointed.</t>
  </si>
  <si>
    <t>Despite being a loyal customer, the repeated delays in both departure and arrival on this flight have made me question my choice of airline and contemplate switching to a more reliable option.</t>
  </si>
  <si>
    <t>The flight attendants did not handle passenger complaints or requests efficiently.</t>
  </si>
  <si>
    <t>The flight delay caused inconvenience to all passengers on board.</t>
  </si>
  <si>
    <t>The airline did not offer any halal dessert options.</t>
  </si>
  <si>
    <t>I encountered a lack of courtesy and politeness from the flight attendant.</t>
  </si>
  <si>
    <t>The turbulence was unexpected and violent, and the lack of communication from the flight deck increased my anxiety and unease.</t>
  </si>
  <si>
    <t>The delayed arrival forced me to miss an important meeting at my destination, causing me significant professional and financial loss.</t>
  </si>
  <si>
    <t>The turbulence was constant and lasted for a significant duration, making the entire journey uncomfortable and nerve-wracking.</t>
  </si>
  <si>
    <t>Few redemption options in the frequent flyer program.</t>
  </si>
  <si>
    <t>The lavatory supplies, such as soap or paper towels, were inadequate.</t>
  </si>
  <si>
    <t>I was dissatisfied with the limited availability of vegetarian meal options.</t>
  </si>
  <si>
    <t>These delays are driving me crazy! This airline deserves my anger and frustration!</t>
  </si>
  <si>
    <t>The air crew lacked proper training in customer service.</t>
  </si>
  <si>
    <t>Arrival was delayed, impacting passengers' schedules and causing dissatisfaction.</t>
  </si>
  <si>
    <t>The airline's pricing policy lacked transparency and seemed inflated.</t>
  </si>
  <si>
    <t>The boarding process was disorganized and chaotic, causing delays and confusion.</t>
  </si>
  <si>
    <t>The flight attendants often forget my requests. I have to call for them multiple times.</t>
  </si>
  <si>
    <t>The flight experienced constant lightning, and it created a sense of unease among passengers.</t>
  </si>
  <si>
    <t>The boarding gate information provided by the airline was incorrect, causing me to rush to the wrong gate and almost miss my flight.</t>
  </si>
  <si>
    <t>Issues with the airline's refund policy.</t>
  </si>
  <si>
    <t>Flight attendants lacked proper training and were unable to handle passenger requests efficiently.</t>
  </si>
  <si>
    <t>I noticed unclean or smelly cabin dividers.</t>
  </si>
  <si>
    <t>The cabin lacked proper disposal for used food trays or utensils.</t>
  </si>
  <si>
    <t>The onboard Wi-Fi was advertised but didn't work at all throughout the flight.</t>
  </si>
  <si>
    <t>I was emotionally distraught by the poor service and lack of professionalism exhibited by the airline.</t>
  </si>
  <si>
    <t>The flight was delayed, wasting my precious time. Unbelievable!</t>
  </si>
  <si>
    <t>The boarding process was delayed due to the airline's inefficient and slow boarding pass printing procedures.</t>
  </si>
  <si>
    <t>I had plans for a family reunion, but the delay in arrival ruined the gathering.</t>
  </si>
  <si>
    <t>The turbulence was unexpected and severe, and the flight attendants appeared overwhelmed and unable to manage the situation effectively.</t>
  </si>
  <si>
    <t>The airline did not offer any compensation or alternative arrangements for a canceled flight.</t>
  </si>
  <si>
    <t>The turbulence during the flight was excessive and unsettling.</t>
  </si>
  <si>
    <t>I had plans for a special occasion, but the delay in arrival made me miss it entirely.</t>
  </si>
  <si>
    <t>The airline didn't offer any options for upgrading seats, missing an opportunity for passenger satisfaction.</t>
  </si>
  <si>
    <t>The onboard restrooms were dirty and unkempt throughout the entire journey.</t>
  </si>
  <si>
    <t>Arrival was significantly later than anticipated, disappointing passengers.</t>
  </si>
  <si>
    <t>The flight had a long wait time on the tarmac before takeoff.</t>
  </si>
  <si>
    <t>The baggage claim area was overcrowded and lacked sufficient space for passengers.</t>
  </si>
  <si>
    <t>The airline did not offer any kosher meal options.</t>
  </si>
  <si>
    <t>I faced difficulties in reaching customer service, experiencing long wait times or receiving unhelpful responses.</t>
  </si>
  <si>
    <t>I experienced a lack of respect and courtesy from the airline staff.</t>
  </si>
  <si>
    <t>I encountered difficulties in locating the baggage claim area upon arrival.</t>
  </si>
  <si>
    <t>I received my suitcase with torn or ripped fabric.</t>
  </si>
  <si>
    <t>The flight was noisy, and the constant announcements were disruptive.</t>
  </si>
  <si>
    <t>The expensive ticket did not translate into a superior or more comfortable flying experience.</t>
  </si>
  <si>
    <t>The airline's lack of empathy and disregard for passenger well-being left me feeling emotionally drained.</t>
  </si>
  <si>
    <t>The flight attendants were rude and inattentive.</t>
  </si>
  <si>
    <t>I expected the airline to offer complimentary access to calming exercises or breathing techniques to help passengers cope with the turbulent flight.</t>
  </si>
  <si>
    <t>Are you kidding me? Another delay? This airline has no respect for its passengers!</t>
  </si>
  <si>
    <t>The flight had a noisy engine that was disruptive throughout the journey.</t>
  </si>
  <si>
    <t>The legroom was insufficient for a comfortable journey.</t>
  </si>
  <si>
    <t>I felt frustrated and stranded during the extended delay in flight departure.</t>
  </si>
  <si>
    <t>Insufficient assistance for passengers with hearing impairments.</t>
  </si>
  <si>
    <t>I was frustrated with the flight departure delay. It disrupted my entire schedule.</t>
  </si>
  <si>
    <t>The arrival delay led to increased travel fatigue.</t>
  </si>
  <si>
    <t>The airline did not offer any nut-free dessert options.</t>
  </si>
  <si>
    <t>I found the boarding gate to be poorly organized, with long queues and inadequate seating for passengers.</t>
  </si>
  <si>
    <t>I encountered difficulties understanding the airline's complex excess baggage fee policy, resulting in unexpected charges and frustrations.</t>
  </si>
  <si>
    <t>The airline provided insufficient support for passengers with anxiety or fear of flying, exacerbating their discomfort.</t>
  </si>
  <si>
    <t>The air crew did not address passenger complaints or concerns appropriately.</t>
  </si>
  <si>
    <t>Inadequate support for passengers with anxiety or fear of flying.</t>
  </si>
  <si>
    <t>The flight attendants were inattentive, disinterested, and lacked the willingness to assist passengers.</t>
  </si>
  <si>
    <t>The prolonged delay in our flight's departure led to discomfort and fatigue among passengers, as we were confined to the cramped airplane cabin without any updates.</t>
  </si>
  <si>
    <t>The flight crew did not enforce social distancing measures, posing a risk during the pandemic.</t>
  </si>
  <si>
    <t>Inconsistent enforcement of mask-wearing protocols compromised passenger safety.</t>
  </si>
  <si>
    <t>Despite being informed of the departure delay, the airline failed to provide adequate amenities or compensation to mitigate the inconvenience caused to passengers during the wait.</t>
  </si>
  <si>
    <t>Unapproachable and unfriendly flight attendants.</t>
  </si>
  <si>
    <t>I was frustrated with the lack of clear instructions during the in-flight meal selection, resulting in confusion and delays.</t>
  </si>
  <si>
    <t>I was disappointed with the lack of clear instructions during the inflight meal service, leading to confusion and delays.</t>
  </si>
  <si>
    <t>The flight attendants were impolite and discourteous.</t>
  </si>
  <si>
    <t>The airline did not provide any gluten-free beverage options.</t>
  </si>
  <si>
    <t>The airline didn't accommodate my seat preferences despite prior requests, disregarding passenger preferences.</t>
  </si>
  <si>
    <t>The airline's customer service was unresponsive and unprofessional.</t>
  </si>
  <si>
    <t>The seating arrangement was so cramped that I could barely move or find a comfortable position.</t>
  </si>
  <si>
    <t>The flight departure was postponed without clear communication.</t>
  </si>
  <si>
    <t>I was disappointed with the lengthy delay in our flight departure.</t>
  </si>
  <si>
    <t>I faced challenges understanding the airline's complex special assistance policy, resulting in confusion and difficulties in arranging travel for individuals with special needs.</t>
  </si>
  <si>
    <t>I encountered technical issues with the online booking system, wasting my time and causing frustration.</t>
  </si>
  <si>
    <t>The flight attendants were unprofessional and discourteous, making the overall experience unpleasant.</t>
  </si>
  <si>
    <t>Non-functional onboard Wi-Fi.</t>
  </si>
  <si>
    <t>The onboard announcements were made in a foreign language, leaving many passengers confused.</t>
  </si>
  <si>
    <t>The onboard power outlets were not functioning, limiting passengers' ability to charge devices.</t>
  </si>
  <si>
    <t>I had a special event to attend, but the flight delay made me arrive too late.</t>
  </si>
  <si>
    <t>The flight attendants didn't assist with rebooking missed connections, leaving passengers stranded and frustrated.</t>
  </si>
  <si>
    <t>The bad weather conditions led to a rough landing, and it was a nerve-wracking experience.</t>
  </si>
  <si>
    <t>I expected better communication regarding gate changes.</t>
  </si>
  <si>
    <t>The baggage tags were improperly attached, causing confusion.</t>
  </si>
  <si>
    <t>The flight experienced unexplained delays, affecting passengers.</t>
  </si>
  <si>
    <t>The flight attendants did not address passenger concerns or complaints adequately.</t>
  </si>
  <si>
    <t>The delay in departure disrupted my connecting flight schedule.</t>
  </si>
  <si>
    <t>I encountered dirty or clogged air vents.</t>
  </si>
  <si>
    <t>I faced challenges understanding the airline's complex refund policy, resulting in confusion and delays in receiving a refund.</t>
  </si>
  <si>
    <t>The flight attendants lacked professionalism and failed to provide a welcoming and friendly environment.</t>
  </si>
  <si>
    <t>The flight attendants displayed an inconsiderate attitude towards passenger comfort and needs.</t>
  </si>
  <si>
    <t>I felt a mix of anger and helplessness as the flight departure was postponed for an extended period.</t>
  </si>
  <si>
    <t>I received my bag with a strong chemical odor or unpleasant smell.</t>
  </si>
  <si>
    <t>The delayed arrival meant that I had to endure long hours of discomfort and restlessness on the airplane, with limited amenities and no clear timeline for when we would reach our destination.</t>
  </si>
  <si>
    <t>The departure delay inconvenienced me. I expect better treatment.</t>
  </si>
  <si>
    <t>The airline's lack of compensation for the inconvenience caused by the delays disappointed me.</t>
  </si>
  <si>
    <t>The air crew did not provide clear instructions or updates during the flight.</t>
  </si>
  <si>
    <t>The flight attendants didn't enforce the use of headphones for audio entertainment, causing disturbance to others.</t>
  </si>
  <si>
    <t>I encountered difficulties understanding the airline's complex musical instrument baggage policy, resulting in confusion and concerns about transporting my instrument.</t>
  </si>
  <si>
    <t>The flight delay made me miss a once-in-a-lifetime event. I'm devastated.</t>
  </si>
  <si>
    <t>The seat upholstery was stained and unsanitary.</t>
  </si>
  <si>
    <t>I am beyond furious with this airline's lack of professionalism and constant delays!</t>
  </si>
  <si>
    <t>The staff displayed a lack of accountability and responsibility.</t>
  </si>
  <si>
    <t>I observed unhygienic practices by the cabin crew.</t>
  </si>
  <si>
    <t>Limited availability of power outlets in the cabin.</t>
  </si>
  <si>
    <t>The online check-in process was cumbersome and caused unnecessary delays.</t>
  </si>
  <si>
    <t>The legroom was insufficient, making it uncomfortable for taller passengers like myself.</t>
  </si>
  <si>
    <t>The flight delay made me miss an important meeting. This is unacceptable.</t>
  </si>
  <si>
    <t>The flight attendants did not address passenger needs or inquiries promptly.</t>
  </si>
  <si>
    <t>The airline's baggage claim process was disorganized.</t>
  </si>
  <si>
    <t>The frequent flyer program had limited benefits and did not offer substantial rewards.</t>
  </si>
  <si>
    <t>I had meticulously planned my travel itinerary, but the arrival delay meant that I had to rearrange my entire schedule, wasting valuable time and disrupting my plans.</t>
  </si>
  <si>
    <t>The cabin temperature was too cold, and despite my request, the flight attendants did not adjust it.</t>
  </si>
  <si>
    <t>The flight attendants lacked empathy and failed to address my concerns and needs.</t>
  </si>
  <si>
    <t>Onboard amenities were lacking, making the journey uncomfortable and boring.</t>
  </si>
  <si>
    <t>The turbulence was prolonged, and it was uncomfortable to remain seated for an extended period.</t>
  </si>
  <si>
    <t>The prolonged delay in flight arrival had a profound impact on my mood and overall travel experience.</t>
  </si>
  <si>
    <t>I was emotionally devastated by the significant delay in our flight departure, which disrupted my plans.</t>
  </si>
  <si>
    <t>The flight attendants did not distribute immigration forms in a timely manner, causing delays at the destination.</t>
  </si>
  <si>
    <t>I had to wait a significant amount of time for my bag to be unloaded from the plane.</t>
  </si>
  <si>
    <t>The flight attendants didn't offer enough water during the flight, leaving passengers dehydrated.</t>
  </si>
  <si>
    <t>The in-flight meals were of poor quality and did not meet basic standards.</t>
  </si>
  <si>
    <t>The flight's significant delay in arrival caused major inconvenience for me.</t>
  </si>
  <si>
    <t>I found hair or other foreign objects on the seats.</t>
  </si>
  <si>
    <t>The airline did not provide timely updates regarding the weather delay.</t>
  </si>
  <si>
    <t>The airline did not provide adequate maintenance for their aircraft.</t>
  </si>
  <si>
    <t>The flight experienced strong crosswinds, and it made the landing challenging and unsettling.</t>
  </si>
  <si>
    <t>I am beyond furious with this airline's utter disregard for its passengers!</t>
  </si>
  <si>
    <t>The turbulence was continuous, making it impossible to rest or relax during the entire flight.</t>
  </si>
  <si>
    <t>The lack of coordination during boarding and deplaning caused congestion and delays.</t>
  </si>
  <si>
    <t>This airline's delays are a blatant disregard for its passengers! I am beyond furious!</t>
  </si>
  <si>
    <t>The strong gusts of wind during the flight were unsettling and made me feel uneasy.</t>
  </si>
  <si>
    <t>The airline's baggage claim process was confusing, with insufficient staff available to provide assistance or answer questions.</t>
  </si>
  <si>
    <t>The airline's lack of communication about the delay left me feeling ignored and frustrated.</t>
  </si>
  <si>
    <t>The airline did not accommodate dietary restrictions, leaving many passengers without suitable meal options.</t>
  </si>
  <si>
    <t>The airline did not provide sufficient information about travel restrictions.</t>
  </si>
  <si>
    <t>The flight departure was postponed, resulting in wasted time.</t>
  </si>
  <si>
    <t>The air crew did not provide sufficient information during the flight, causing confusion.</t>
  </si>
  <si>
    <t>The airplane seats were uncomfortable.</t>
  </si>
  <si>
    <t>The flight attendants struggled with language barriers, hindering effective communication with passengers.</t>
  </si>
  <si>
    <t>I witnessed other passengers visibly shaking and holding onto their seats tightly during the turbulence, and the airline did not provide reassurance.</t>
  </si>
  <si>
    <t>The flight had a malfunctioning recline feature on the seats.</t>
  </si>
  <si>
    <t>Arrival was significantly later than scheduled, disappointing me.</t>
  </si>
  <si>
    <t>The flight delay was a major inconvenience.</t>
  </si>
  <si>
    <t>The cleanliness of the aircraft fell short, and the lavatories were dirty.</t>
  </si>
  <si>
    <t>The airline lost my luggage, and the process to track and retrieve it was a nightmare.</t>
  </si>
  <si>
    <t>Inadequate translations for international passengers created communication barriers.</t>
  </si>
  <si>
    <t>The airline provided insufficient assistance for families traveling with children, adding stress to the journey.</t>
  </si>
  <si>
    <t>I experienced difficulties with the airline's refund policy.</t>
  </si>
  <si>
    <t>The turbulence was unexpected and severe, and the lack of coordination between the flight attendants exacerbated the passengers' fear and discomfort.</t>
  </si>
  <si>
    <t>The selection of in-flight beverages was limited, leaving me with few options.</t>
  </si>
  <si>
    <t>The turbulence during the flight was intense, and it made the journey uncomfortable and unsettling.</t>
  </si>
  <si>
    <t>The flight attendants seemed untrained and inexperienced.</t>
  </si>
  <si>
    <t>I expected the airline to offer complimentary access to calming podcasts or audiobooks to help passengers relax during the turbulent flight.</t>
  </si>
  <si>
    <t>The cabin lacked proper disposal for used snack wrappers or packaging.</t>
  </si>
  <si>
    <t>The delay in departure inconvenienced passengers without proper explanation.</t>
  </si>
  <si>
    <t>The airline's baggage handling system appeared disorganized, leading to delays and misplaced luggage.</t>
  </si>
  <si>
    <t>The airline didn't offer any complimentary Wi-Fi during the flight, limiting connectivity options for passengers.</t>
  </si>
  <si>
    <t>The airline's failure to honor my confirmed seat reservation for a special occasion left me feeling betrayed and disappointed.</t>
  </si>
  <si>
    <t>I paid a premium price for the flight, but the overall experience did not meet my expectations.</t>
  </si>
  <si>
    <t>I encountered challenges in navigating the airline's website for bookings and managing my reservations.</t>
  </si>
  <si>
    <t>The airline did not provide any vegetarian meal options.</t>
  </si>
  <si>
    <t>I felt frustrated and inconvenienced by the excessive delay in our flight departure.</t>
  </si>
  <si>
    <t>The selection of in-flight beverages was limited, leaving me with few choices and disappointed.</t>
  </si>
  <si>
    <t>The flight departure was delayed without any explanation provided.</t>
  </si>
  <si>
    <t>The postponement of the flight departure disrupted my plans, and I felt helpless.</t>
  </si>
  <si>
    <t>The cabin temperature was too hot.</t>
  </si>
  <si>
    <t>I expected the airline to have advanced technology and equipment to navigate through bad weather.</t>
  </si>
  <si>
    <t>The customer service agent was unresponsive and did not follow up on my issue.</t>
  </si>
  <si>
    <t>The airline did not offer any vegetarian meal options.</t>
  </si>
  <si>
    <t>I received poor service from the flight attendant during the flight.</t>
  </si>
  <si>
    <t>The flight experienced poor turbulence management, making the journey uncomfortable and unsettling.</t>
  </si>
  <si>
    <t>I felt stranded and helpless due to the flight delay.</t>
  </si>
  <si>
    <t>The flight was delayed without any clear explanation or updates from the airline.</t>
  </si>
  <si>
    <t>The airline's website lacked clear information about onboard amenities and services, leaving me uncertain about what to expect.</t>
  </si>
  <si>
    <t>The flight was excessively noisy due to engine or mechanical issues.</t>
  </si>
  <si>
    <t>I experienced technical issues with the online booking system, wasting my time and causing frustration.</t>
  </si>
  <si>
    <t>The flight departure was delayed due to operational issues.</t>
  </si>
  <si>
    <t>Challenges in navigating the airline's website for bookings.</t>
  </si>
  <si>
    <t>The baggage claim area was poorly lit and difficult to navigate.</t>
  </si>
  <si>
    <t>The airline's onboard announcements were muffled and difficult to hear, making it challenging to understand important information or updates.</t>
  </si>
  <si>
    <t>The flight departure was delayed without clear explanations.</t>
  </si>
  <si>
    <t>The lavatory waste bins had a foul smell and were not emptied promptly.</t>
  </si>
  <si>
    <t>The airline's onboard power outlets were limited or non-functional, preventing passengers from charging their electronic devices.</t>
  </si>
  <si>
    <t>The airline provided no assistance for passengers with language barriers, leading to communication difficulties.</t>
  </si>
  <si>
    <t>Inadequate assistance for passengers with disabilities.</t>
  </si>
  <si>
    <t>The flight departure was delayed without clear communication.</t>
  </si>
  <si>
    <t>I am absolutely livid with this airline's continuous delays! They have wasted my time and patience!</t>
  </si>
  <si>
    <t>I was disappointed by the long queues at the airline's customer service desk. It seemed like there was not enough staff to handle the volume of passengers, resulting in frustratingly long wait times.</t>
  </si>
  <si>
    <t>Lack of onboard amenities.</t>
  </si>
  <si>
    <t>I was served a meal with limited options for people with allergies.</t>
  </si>
  <si>
    <t>I had to spend extra hours at the airport due to the flight delay. Exhausting and frustrating.</t>
  </si>
  <si>
    <t>The flight delay caused me to miss a job interview. Unprofessional and disappointing.</t>
  </si>
  <si>
    <t>The airline did not provide any kosher dessert options.</t>
  </si>
  <si>
    <t>The turbulence was severe, causing me to spill my drink and feel nauseous throughout the entire journey.</t>
  </si>
  <si>
    <t>I encountered unclean or wet bathroom floors.</t>
  </si>
  <si>
    <t>I found the gate area to be overcrowded and lacking proper seating arrangements, causing discomfort and inconvenience for passengers.</t>
  </si>
  <si>
    <t>The extended wait for flight arrival was highly inconvenient.</t>
  </si>
  <si>
    <t>There was a shortage of overhead storage space, and I struggled to find room for my carry-on luggage.</t>
  </si>
  <si>
    <t>The blankets provided were unclean and appeared used.</t>
  </si>
  <si>
    <t>The onboard magazine offered limited reading material, leaving passengers with few options.</t>
  </si>
  <si>
    <t>The flight delay made me miss out on valuable networking opportunities. Frustrating.</t>
  </si>
  <si>
    <t>Challenges in obtaining refunds for canceled flights.</t>
  </si>
  <si>
    <t>I understand that delays happen, but the lack of transparency from the airline about the reasons behind the departure delay only added to my frustration and disappointment.</t>
  </si>
  <si>
    <t>The airline did not provide proper assistance for passengers with allergies.</t>
  </si>
  <si>
    <t>The insensitive and unprofessional behavior of the flight attendants made me feel devalued and upset throughout the entire journey.</t>
  </si>
  <si>
    <t>I found the gate area to be poorly maintained and lacking basic amenities, such as clean restrooms or seating areas.</t>
  </si>
  <si>
    <t>The boarding process was delayed due to the airline's inefficient and slow identity verification procedures.</t>
  </si>
  <si>
    <t>The never-ending delays from this airline have left me in a state of pure rage!</t>
  </si>
  <si>
    <t>I felt the airline should have provided better training to the flight crew on handling turbulence and passenger anxiety.</t>
  </si>
  <si>
    <t>There were no power outlets available onboard, leaving me unable to charge my electronic devices.</t>
  </si>
  <si>
    <t>The flight delay inconvenienced me greatly.</t>
  </si>
  <si>
    <t>The airline did not provide any vegetarian meal options, despite prior requests.</t>
  </si>
  <si>
    <t>I experienced difficulties in reaching the airline's customer service.</t>
  </si>
  <si>
    <t>The airline did not accommodate passengers with seat preferences.</t>
  </si>
  <si>
    <t>The airline's ticket rescheduling process was convoluted and time-consuming, causing unnecessary stress and inconvenience.</t>
  </si>
  <si>
    <t>The flight attendant seemed untrained and unfamiliar with the menu.</t>
  </si>
  <si>
    <t>I encountered a lack of responsiveness and empathy from the airline staff.</t>
  </si>
  <si>
    <t>I encountered challenges in requesting seat upgrades, despite availability and eligibility.</t>
  </si>
  <si>
    <t>I demand compensation for the arrival delay. I deserve better!</t>
  </si>
  <si>
    <t>The baggage handling staff mishandled my fragile souvenirs, leading to their complete destruction.</t>
  </si>
  <si>
    <t>I noticed unclean or dusty cabin lighting fixtures.</t>
  </si>
  <si>
    <t>I received poor assistance when trying to resolve an issue with my ticket.</t>
  </si>
  <si>
    <t>I was disappointed with the lack of clear instructions during the onboard duty-free shopping, resulting in confusion and delays.</t>
  </si>
  <si>
    <t>I found the food to be poorly presented and unappealing.</t>
  </si>
  <si>
    <t>The delay in arrival resulted in additional expenses for alternate transportation. Inconvenient.</t>
  </si>
  <si>
    <t>The airline did not offer any compensation or reimbursement for the lost or damaged luggage.</t>
  </si>
  <si>
    <t>The emotional toll of the experience was immense, and I felt the airline had failed to prioritize passenger happiness.</t>
  </si>
  <si>
    <t>The airline did not provide any additional amenities or services to alleviate the discomfort caused by the bad weather.</t>
  </si>
  <si>
    <t>I experienced long wait times at the boarding gate, causing unnecessary inconvenience.</t>
  </si>
  <si>
    <t>The airline did not provide adequate assistance for passengers with disabilities.</t>
  </si>
  <si>
    <t>The flight attendants didn't assist with rebooking missed connections, leaving passengers stranded.</t>
  </si>
  <si>
    <t>The overall cost of the journey far exceeded the level of service and comfort provided.</t>
  </si>
  <si>
    <t>The additional charges for baggage and other services made the overall cost of the trip exorbitant.</t>
  </si>
  <si>
    <t>The flight attendants lacked professionalism and courtesy, negatively impacting my overall experience.</t>
  </si>
  <si>
    <t>The flight attendants ran out of food options, and I had to settle for a meal I did not prefer.</t>
  </si>
  <si>
    <t>The customer service representative was uncooperative and did not provide satisfactory assistance.</t>
  </si>
  <si>
    <t>The expensive ticket did not guarantee a seamless or hassle-free journey.</t>
  </si>
  <si>
    <t>The flight attendants did not assist with locating lost items.</t>
  </si>
  <si>
    <t>The flight departure was delayed, leading to inconvenience and dissatisfaction.</t>
  </si>
  <si>
    <t>I was disappointed with the lack of clear instructions during the in-flight meal service, causing confusion and delays.</t>
  </si>
  <si>
    <t>I was emotionally drained and disenchanted with the overall experience provided by the airline.</t>
  </si>
  <si>
    <t>The airline's customer service was unhelpful and uncooperative.</t>
  </si>
  <si>
    <t>The airline did not prioritize customer satisfaction or loyalty.</t>
  </si>
  <si>
    <t>I was on the verge of tears as the flight departure was continuously delayed without clear communication.</t>
  </si>
  <si>
    <t>Uncomfortable cabin temperature.</t>
  </si>
  <si>
    <t>The airline did not provide any nut-free meal options.</t>
  </si>
  <si>
    <t>The flight attendants lacked empathy towards passenger concerns.</t>
  </si>
  <si>
    <t>The turbulence was so severe that it caused damage to the cabin, and the airline did not address the issue promptly.</t>
  </si>
  <si>
    <t>The customer service representative was uncooperative and unfriendly.</t>
  </si>
  <si>
    <t>The airline did not provide sufficient assistance during flight disruptions.</t>
  </si>
  <si>
    <t>The airline did not provide adequate support for passengers with pets.</t>
  </si>
  <si>
    <t>I experienced delays and inconvenience due to the airline's complicated and slow online check-in process.</t>
  </si>
  <si>
    <t>I felt betrayed when the airline downgraded my seating without any prior notification or explanation.</t>
  </si>
  <si>
    <t>I was frustrated with the lack of clear instructions during the in-flight duty-free shopping, resulting in confusion and delays.</t>
  </si>
  <si>
    <t>The flight delay threw off my entire day's plans.</t>
  </si>
  <si>
    <t>The flight attendant forgot to bring me a requested condiment.</t>
  </si>
  <si>
    <t>The airline's continuous delays have eroded my confidence in their services.</t>
  </si>
  <si>
    <t>The cabin windows had visible dirt or smudges.</t>
  </si>
  <si>
    <t>I received my luggage with items missing or stolen.</t>
  </si>
  <si>
    <t>I experienced difficulties in canceling or changing my flight.</t>
  </si>
  <si>
    <t>The flight was consistently delayed without clear justifications.</t>
  </si>
  <si>
    <t>The flight attendants did not offer any alternative meal options for those with allergies.</t>
  </si>
  <si>
    <t>Inattentive flight attendants.</t>
  </si>
  <si>
    <t>The air crew did not demonstrate proper customer service skills and were indifferent to passenger needs.</t>
  </si>
  <si>
    <t>I found the cabin to be unclean and poorly maintained.</t>
  </si>
  <si>
    <t>The airline's pricing structure did not justify the expensive fare for the standard services provided.</t>
  </si>
  <si>
    <t>The turbulence was so intense that it caused overhead bins to open, and items fell, posing a danger to passengers.</t>
  </si>
  <si>
    <t>The flight had a strong odor that was unpleasant and made the journey unpleasant.</t>
  </si>
  <si>
    <t>The turbulence was unexpected and violent, and the lack of empathy and support from the flight attendants was disheartening.</t>
  </si>
  <si>
    <t>The overhead reading lights were not functional, making it challenging to read during the flight.</t>
  </si>
  <si>
    <t>The customer service agent was unable to resolve my issue satisfactorily.</t>
  </si>
  <si>
    <t>Disorganized baggage claim process resulted in delays and confusion upon arrival.</t>
  </si>
  <si>
    <t>The airline's baggage policy was unclear and resulted in unexpected fees.</t>
  </si>
  <si>
    <t>The airline's frequent flyer program had limited benefits.</t>
  </si>
  <si>
    <t>The airline did not provide any lactose-free dessert options.</t>
  </si>
  <si>
    <t>I observed unclean or stained bulkhead walls in the cabin.</t>
  </si>
  <si>
    <t>The airline's onboard magazine was outdated and uninteresting.</t>
  </si>
  <si>
    <t>The onboard amenities were lacking, making my journey dull and uncomfortable.</t>
  </si>
  <si>
    <t>The airline's inability to stick to the schedule has caused me significant inconvenience.</t>
  </si>
  <si>
    <t>I expected better coordination during the boarding and deplaning process.</t>
  </si>
  <si>
    <t>I was disappointed with the lack of clear instructions during the disembarkation process, causing confusion and delays.</t>
  </si>
  <si>
    <t>I couldn't understand why the flight departure was consistently delayed without proper explanations.</t>
  </si>
  <si>
    <t>Insufficient legroom on the flight.</t>
  </si>
  <si>
    <t>The airline mishandled my oversized baggage and caused inconvenience.</t>
  </si>
  <si>
    <t>I encountered difficulties in retrieving my oversized or heavy baggage without any assistance.</t>
  </si>
  <si>
    <t>The flight was consistently delayed without clear reasons.</t>
  </si>
  <si>
    <t>The airline failed to provide adequate updates regarding the arrival delay, leaving me waiting at the destination airport for an extended period of time with no information.</t>
  </si>
  <si>
    <t>The flight departure was delayed, leading to inconvenience.</t>
  </si>
  <si>
    <t>The absence of onboard reading material options made the journey dull and unengaging.</t>
  </si>
  <si>
    <t>I faced challenges understanding the airline's complex carry-on baggage policy, resulting in confusion and difficulties in complying with the restrictions.</t>
  </si>
  <si>
    <t>I had to sit at the airport for hours because of the flight delay. Not a pleasant experience.</t>
  </si>
  <si>
    <t>Arrival was delayed, causing inconvenience to all passengers.</t>
  </si>
  <si>
    <t>The airline's failure to manage the departure delay efficiently led to a chaotic boarding process, with passengers waiting in long queues without any clear instructions.</t>
  </si>
  <si>
    <t>The flight delay inconvenienced passengers and affected their overall travel experience.</t>
  </si>
  <si>
    <t>Despite the hefty price tag, the flight lacked attention to detail and did not feel luxurious.</t>
  </si>
  <si>
    <t>Inadequate assistance during flight disruptions caused frustration and anxiety.</t>
  </si>
  <si>
    <t>The ventilation in the cabin was poor, leaving the air stale and uncomfortable to breathe.</t>
  </si>
  <si>
    <t>I faced language barriers as the airline did not offer adequate assistance for passengers with language difficulties.</t>
  </si>
  <si>
    <t>The wait time at the security checkpoint was ridiculously long. I had to stand in line for hours, and it made me feel anxious and stressed about making it to my gate on time.</t>
  </si>
  <si>
    <t>I encountered difficulties understanding the airline's baggage handling procedures, resulting in misplaced or delayed luggage.</t>
  </si>
  <si>
    <t>The delay in departure made me feel like my time was not valued.</t>
  </si>
  <si>
    <t>The in-flight entertainment system was not working throughout the entire journey, leaving us bored and frustrated.</t>
  </si>
  <si>
    <t>The flight lacked proper signage and directions within the aircraft.</t>
  </si>
  <si>
    <t>The flight attendants did not enforce quiet hours during overnight flights.</t>
  </si>
  <si>
    <t>The flight had a malfunctioning audio system for in-flight announcements, making it difficult to stay informed.</t>
  </si>
  <si>
    <t>The air crew failed to provide clear instructions or guidance to passengers.</t>
  </si>
  <si>
    <t>The lack of entertainment options for children made the journey challenging and boring for my family.</t>
  </si>
  <si>
    <t>Insufficient assistance and amenities for families traveling with children made the journey stressful.</t>
  </si>
  <si>
    <t>I found the gate area to be crowded and lacking proper queuing systems, causing confusion and delays in boarding.</t>
  </si>
  <si>
    <t>I faced challenges understanding the airline's complex seat upgrade policy, resulting in confusion and difficulties in obtaining a better seat.</t>
  </si>
  <si>
    <t>The boarding process was delayed due to the airline's inefficient and slow boarding pass validation procedures.</t>
  </si>
  <si>
    <t>Limited availability of vegetarian meal options, leaving passengers with few or no suitable choices.</t>
  </si>
  <si>
    <t>The delay in departure caused frustration and dissatisfaction among passengers.</t>
  </si>
  <si>
    <t>The flight had a noisy engine that was disruptive throughout the journey, causing discomfort and unease.</t>
  </si>
  <si>
    <t>I encountered challenges in obtaining refunds for canceled flights due to lengthy processing times and bureaucracy.</t>
  </si>
  <si>
    <t>The delay in departure left me sitting at the gate with no explanation. Unprofessional.</t>
  </si>
  <si>
    <t>The flight attendants did not properly handle a passenger's medical emergency.</t>
  </si>
  <si>
    <t>The delay in departure resulted in wasted time at the airport.</t>
  </si>
  <si>
    <t>The flight attendant neglected to offer drink refills to passengers.</t>
  </si>
  <si>
    <t>I had a family gathering to attend, but the delay in arrival made me miss it.</t>
  </si>
  <si>
    <t>The flight crew failed to provide any explanation for the delay.</t>
  </si>
  <si>
    <t>The customer service representative was unresponsive to my inquiries.</t>
  </si>
  <si>
    <t>The airline did not provide any halal beverage options.</t>
  </si>
  <si>
    <t>The airline provided no updates or information regarding my delayed baggage.</t>
  </si>
  <si>
    <t>The airline did not provide adequate assistance to families traveling with young children.</t>
  </si>
  <si>
    <t>I felt incredibly frustrated and anxious as the flight departure was delayed for over an hour.</t>
  </si>
  <si>
    <t>I couldn't help but feel a deep sense of dissatisfaction and frustration throughout the entire journey.</t>
  </si>
  <si>
    <t>The turbulence was unexpected and violent, and the flight attendants seemed overwhelmed and unable to provide proper assistance or reassurance.</t>
  </si>
  <si>
    <t>The airline did not provide adequate compensation for inconveniences.</t>
  </si>
  <si>
    <t>In-flight entertainment options were outdated and insufficient for a long-haul flight.</t>
  </si>
  <si>
    <t>I received my bag with broken or damaged wheels, making it difficult to transport.</t>
  </si>
  <si>
    <t>The flight lacked proper ventilation, resulting in discomfort.</t>
  </si>
  <si>
    <t>The airline's seating arrangements for families were inadequate, making it hard to stay together during the flight.</t>
  </si>
  <si>
    <t>The airline did not have a proper procedure for handling passenger complaints.</t>
  </si>
  <si>
    <t>I had time-sensitive plans, but the delay in departure made it impossible to fulfill them.</t>
  </si>
  <si>
    <t>I encountered difficulties understanding the airline's complex pet travel policy, resulting in confusion and extra expenses.</t>
  </si>
  <si>
    <t>The wait times at the boarding gate were excessively long, causing frustration and impatience.</t>
  </si>
  <si>
    <t>I couldn't believe how long I had to wait at the boarding gate before being allowed to board the aircraft. It was an unnecessary delay that disrupted my travel plans.</t>
  </si>
  <si>
    <t>Insufficient information about connecting flights.</t>
  </si>
  <si>
    <t>The airline did not take responsibility for their mistakes or shortcomings.</t>
  </si>
  <si>
    <t>I encountered difficulties in upgrading my seat on the flight, despite availability and eligibility.</t>
  </si>
  <si>
    <t>The airline did not provide proper assistance for passengers with language barriers.</t>
  </si>
  <si>
    <t>The airline didn't have adequate customer service representatives at the gate, resulting in poor assistance.</t>
  </si>
  <si>
    <t>The baggage claim area lacked proper ventilation, causing discomfort for passengers.</t>
  </si>
  <si>
    <t>Challenges in canceling or changing flights.</t>
  </si>
  <si>
    <t>The airline charged exorbitant fees for additional baggage, which was an unpleasant surprise.</t>
  </si>
  <si>
    <t>I encountered a lack of assistance from the airline staff when I needed it the most.</t>
  </si>
  <si>
    <t>I encountered unclean or unsanitary seatback screens.</t>
  </si>
  <si>
    <t>The delay in serving meals was excessive, and many passengers went hungry.</t>
  </si>
  <si>
    <t>I received my bag with crushed or flattened items.</t>
  </si>
  <si>
    <t>The airline's communication was inadequate for passengers with language barriers, leading to difficulties in understanding important information.</t>
  </si>
  <si>
    <t>I was emotionally devastated by the lack of professionalism and disregard for passenger satisfaction displayed by the airline.</t>
  </si>
  <si>
    <t>The lack of transparency regarding the reasons behind the delays left me frustrated and confused.</t>
  </si>
  <si>
    <t>The airline did not offer any reimbursement for the inconvenience caused by mishandled baggage.</t>
  </si>
  <si>
    <t>The flight attendants were inattentive to passenger needs.</t>
  </si>
  <si>
    <t>The seats were worn out and in poor condition, causing discomfort throughout the flight.</t>
  </si>
  <si>
    <t>I expected better preparation from the airline to handle the adverse weather conditions.</t>
  </si>
  <si>
    <t>The onboard restrooms ran out of toilet paper.</t>
  </si>
  <si>
    <t>I received poor service from the flight attendant, who ignored my request for a blanket.</t>
  </si>
  <si>
    <t>The flight attendants were rude and inattentive, showing no concern for my needs.</t>
  </si>
  <si>
    <t>The flight attendants did not enforce the use of headphones for audio entertainment.</t>
  </si>
  <si>
    <t>The airline's refusal to provide a refund or alternative flight option after canceling my reservation left me devastated and financially burdened.</t>
  </si>
  <si>
    <t>I am enraged by the continual delays! This airline is beyond incompetent and infuriating!</t>
  </si>
  <si>
    <t>The airline did not provide any alternatives or options when facing issues.</t>
  </si>
  <si>
    <t>The flight attendants did not assist with stowing oversized carry-on items.</t>
  </si>
  <si>
    <t>Arrival was significantly later than expected, inconveniencing me.</t>
  </si>
  <si>
    <t>I noticed unclean or smelly seat cushions.</t>
  </si>
  <si>
    <t>The onboard magazine was outdated and had limited reading material.</t>
  </si>
  <si>
    <t>I expected better customer service from the airline in handling the delayed flight situation.</t>
  </si>
  <si>
    <t>The flight attendants did not enforce airline policies consistently.</t>
  </si>
  <si>
    <t>Delays in receiving flight updates and lack of timely information caused uncertainty and frustration.</t>
  </si>
  <si>
    <t>I expected better assistance for pregnant passengers.</t>
  </si>
  <si>
    <t>The airline's website had technical glitches, causing errors and delays in managing bookings or accessing travel information.</t>
  </si>
  <si>
    <t>The airline did not provide sufficient seating for passengers during a layover.</t>
  </si>
  <si>
    <t>The flight announcement system was too loud and disruptive.</t>
  </si>
  <si>
    <t>I noticed a foul odor throughout the aircraft.</t>
  </si>
  <si>
    <t>The flight crew did not provide clear instructions or explanations about the weather-related delays.</t>
  </si>
  <si>
    <t>The cabin lacked proper disposal for used cups or containers.</t>
  </si>
  <si>
    <t>Lack of assistance for families traveling with children.</t>
  </si>
  <si>
    <t>The aircraft's general cleanliness standards were subpar.</t>
  </si>
  <si>
    <t>I experienced delays in receiving flight updates and a lack of timely information, leading to uncertainty and frustration.</t>
  </si>
  <si>
    <t>The airline's prices were unreasonably high compared to competitors offering similar routes.</t>
  </si>
  <si>
    <t>The airline failed to provide clear instructions for filing a baggage claim.</t>
  </si>
  <si>
    <t>The airline failed to manage the multiple delays efficiently.</t>
  </si>
  <si>
    <t>The airline did not have adequate customer service representatives at the gate.</t>
  </si>
  <si>
    <t>The airline's customer service was unresponsive and unhelpful.</t>
  </si>
  <si>
    <t>The website and mobile app were unreliable, causing inconvenience and difficulty accessing information.</t>
  </si>
  <si>
    <t>The flight had a prolonged wait for baggage retrieval upon arrival.</t>
  </si>
  <si>
    <t>The customer service agent was unapologetic and did not take ownership of the issue.</t>
  </si>
  <si>
    <t>I was devastated when the airline canceled my flight at the last minute, causing me to miss a once-in-a-lifetime event that I had been eagerly anticipating.</t>
  </si>
  <si>
    <t>I observed unclean or stained seatback pocket zippers.</t>
  </si>
  <si>
    <t>The air crew did not prioritize passenger comfort and failed to address seating concerns.</t>
  </si>
  <si>
    <t>Departure was postponed, resulting in missed opportunities.</t>
  </si>
  <si>
    <t>The airline did not prioritize timely and effective communication with passengers.</t>
  </si>
  <si>
    <t>Unreliable website and mobile app made it difficult to access essential flight information.</t>
  </si>
  <si>
    <t>I experienced a lack of variety in the snack options onboard.</t>
  </si>
  <si>
    <t>The flight attendants didn't assist with locating personal belongings left on the plane, causing distress.</t>
  </si>
  <si>
    <t>The onboard magazine was outdated and uninteresting, providing no value during the journey.</t>
  </si>
  <si>
    <t>I experienced a lack of transparency and honesty in the airline's operations.</t>
  </si>
  <si>
    <t>I witnessed other passengers losing their belongings during the turbulence, and the airline did not assist in retrieving or securing them.</t>
  </si>
  <si>
    <t>I encountered difficulties in locating the baggage claim area due to lack of signage.</t>
  </si>
  <si>
    <t>I had a time-sensitive commitment, but the delay in departure made it impossible.</t>
  </si>
  <si>
    <t>The emotional impact of the journey was significant, and I felt deeply disappointed by the airline's performance.</t>
  </si>
  <si>
    <t>I expected the airline to offer complimentary access to relaxation apps or guided breathing exercises to help passengers calm their nerves during the turbulent flight.</t>
  </si>
  <si>
    <t>I found the wait time at the airline's gate to be excessively long. It caused unnecessary stress and discomfort, and it made me question the airline's ability to efficiently manage their operations.</t>
  </si>
  <si>
    <t>The prolonged wait for flight arrival was frustrating.</t>
  </si>
  <si>
    <t>The overhead reading lights were not working, making it difficult to read or work during the flight.</t>
  </si>
  <si>
    <t>The lack of privacy screens between seats infringed upon my personal space and comfort.</t>
  </si>
  <si>
    <t>The flight attendants did not assist elderly passengers with carrying their luggage, which was disappointing.</t>
  </si>
  <si>
    <t>The airline's gate agents were unhelpful and uninformative.</t>
  </si>
  <si>
    <t>I was deeply upset when the airline's negligence resulted in my missed connection, causing significant disruptions to my travel plans.</t>
  </si>
  <si>
    <t>The seat cushions had visible dirt or stains.</t>
  </si>
  <si>
    <t>The flight arrival was delayed, disrupting my travel arrangements.</t>
  </si>
  <si>
    <t>The flight experienced frequent turbulence, and it made the journey uncomfortable and nerve-wracking.</t>
  </si>
  <si>
    <t>Despite the turbulence, the flight attendants continued with their routine, neglecting passenger safety and comfort.</t>
  </si>
  <si>
    <t>I expected better onboard reading material options.</t>
  </si>
  <si>
    <t>The airline provided insufficient information about connecting flights, leaving me anxious and unsure.</t>
  </si>
  <si>
    <t>Departure was postponed, inconveniencing passengers and affecting their plans.</t>
  </si>
  <si>
    <t>The delay in arrival caused me to miss an important ceremony. Disheartening.</t>
  </si>
  <si>
    <t>The delay in departure resulted in frustration and inconvenience for passengers.</t>
  </si>
  <si>
    <t>The repeated delays in flight departure made me question the airline's professionalism.</t>
  </si>
  <si>
    <t>The in-flight meals were of poor quality and failed to meet my basic expectations.</t>
  </si>
  <si>
    <t>The food options were limited and unsatisfactory.</t>
  </si>
  <si>
    <t>Difficulties in upgrading seats on the flight.</t>
  </si>
  <si>
    <t>Departure was delayed, causing unnecessary stress.</t>
  </si>
  <si>
    <t>The departure was delayed without clear explanation.</t>
  </si>
  <si>
    <t>The airline did not provide adequate support for passengers with special needs.</t>
  </si>
  <si>
    <t>The lavatories did not have functioning hand dryers.</t>
  </si>
  <si>
    <t>The delay in departure left me feeling stranded and abandoned at the airport.</t>
  </si>
  <si>
    <t>The airline failed to accommodate my special dietary requirements, despite prior notification.</t>
  </si>
  <si>
    <t>The lack of communication from the airline during turbulence heightened my anxiety and fear.</t>
  </si>
  <si>
    <t>The flight was delayed by several hours, causing inconvenience.</t>
  </si>
  <si>
    <t>I experienced difficulties and delays when trying to rebook a missed connection.</t>
  </si>
  <si>
    <t>Unclear and confusing flight announcements.</t>
  </si>
  <si>
    <t>The turbulence was continuous and unsettling, making it impossible to sleep or relax during the flight.</t>
  </si>
  <si>
    <t>The flight attendants seemed disinterested and did not provide satisfactory customer service.</t>
  </si>
  <si>
    <t>Long wait times at the boarding gate.</t>
  </si>
  <si>
    <t>The customer service representatives were unhelpful and did not address my concerns regarding the expensive ticket.</t>
  </si>
  <si>
    <t>The boarding process was disorganized and chaotic.</t>
  </si>
  <si>
    <t>I found the seats to be extremely uncomfortable, and it made it difficult to relax during the flight.</t>
  </si>
  <si>
    <t>I was served a meal with limited options for people with dietary restrictions.</t>
  </si>
  <si>
    <t>I expected the flight attendants to provide more frequent updates and reassurance during the turbulence.</t>
  </si>
  <si>
    <t>I received my bag with wet or water-damaged contents.</t>
  </si>
  <si>
    <t>I encountered difficulties understanding the airline's complex baggage restriction policy, resulting in confusion and extra charges.</t>
  </si>
  <si>
    <t>I received unsatisfactory assistance from the flight attendant when I needed help with my luggage.</t>
  </si>
  <si>
    <t>I was disappointed with the lack of clear signage and information at the airport, making it difficult to navigate and find my way.</t>
  </si>
  <si>
    <t>I faced difficulties and delays when trying to check-in online.</t>
  </si>
  <si>
    <t>I encountered a lack of assistance from the airline staff.</t>
  </si>
  <si>
    <t>The flight attendants were unresponsive to urgent passenger needs.</t>
  </si>
  <si>
    <t>I've had enough of these delays! This airline is a disgrace and deserves my anger!</t>
  </si>
  <si>
    <t>The in-flight Wi-Fi did not work, despite being advertised as available on the flight.</t>
  </si>
  <si>
    <t>I felt emotionally overwhelmed and let down by the subpar service and lack of attention to passenger needs.</t>
  </si>
  <si>
    <t>The airline did not offer any pre-boarding for passengers with special needs.</t>
  </si>
  <si>
    <t>Inadequate ventilation in the cabin.</t>
  </si>
  <si>
    <t>I expected better customer service in handling the delays from the airline.</t>
  </si>
  <si>
    <t>The flight attendants lacked basic communication skills.</t>
  </si>
  <si>
    <t>The flight was repeatedly delayed, leading to frustration.</t>
  </si>
  <si>
    <t>The baggage handling staff was rude and unhelpful.</t>
  </si>
  <si>
    <t>I encountered challenges in obtaining refunds for canceled flights due to lengthy processing times and bureaucratic procedures.</t>
  </si>
  <si>
    <t>The overall experience left me feeling frustrated and disheartened, as the airline failed to meet my expectations.</t>
  </si>
  <si>
    <t>Inadequate support for passengers with anxiety or fear of flying, exacerbating their discomfort.</t>
  </si>
  <si>
    <t>The service and variety of food and drinks available could be better.</t>
  </si>
  <si>
    <t>My suitcase was mishandled and arrived with visible dents and scratches.</t>
  </si>
  <si>
    <t>I received my bag with stains or marks that were difficult to remove.</t>
  </si>
  <si>
    <t>The flight delay ruined the purpose of my trip. I'm deeply dissatisfied.</t>
  </si>
  <si>
    <t>Lack of cleanliness and hygiene standards.</t>
  </si>
  <si>
    <t>The flight attendants were rude, unhelpful, and lacked basic courtesy.</t>
  </si>
  <si>
    <t>The flight attendant overlooked my request for a specific beverage brand.</t>
  </si>
  <si>
    <t>I received my bag with missing or misplaced baggage tags.</t>
  </si>
  <si>
    <t>I received my bag with ripped or torn fabric that rendered it unusable.</t>
  </si>
  <si>
    <t>The airline did not provide assistance to elderly passengers with mobility challenges.</t>
  </si>
  <si>
    <t>The significant delay in flight arrival shattered my excitement and anticipation for the trip.</t>
  </si>
  <si>
    <t>The flight attendants lacked proper training in handling medical emergencies.</t>
  </si>
  <si>
    <t>The boarding process was delayed due to the airline's inefficient and slow boarding pass scanning procedure.</t>
  </si>
  <si>
    <t>Difficulties in rescheduling missed flights due to complex procedures and high change fees.</t>
  </si>
  <si>
    <t>The customer service representative was dismissive of my concerns.</t>
  </si>
  <si>
    <t>The boarding process was delayed due to the airline's inefficient and slow security screening procedures.</t>
  </si>
  <si>
    <t>The airplane lacked proper lighting, making it difficult to read or work.</t>
  </si>
  <si>
    <t>The airline didn't provide extra assistance for passengers with young children, making travel more challenging.</t>
  </si>
  <si>
    <t>I faced challenges in canceling or changing my flights due to complex procedures and high fees.</t>
  </si>
  <si>
    <t>The flight attendants didn't assist with storing carry-on bags properly, leading to overcrowded aisles.</t>
  </si>
  <si>
    <t>I encountered unclean or poorly maintained baby changing tables.</t>
  </si>
  <si>
    <t>The food served onboard was subpar, and I expected better quality for the price paid.</t>
  </si>
  <si>
    <t>The emotional distress caused by the airline's negligence and lack of care was truly disheartening.</t>
  </si>
  <si>
    <t>The airline provided limited assistance or support in tracking my delayed baggage.</t>
  </si>
  <si>
    <t>I encountered a lack of courtesy and respect from the flight attendant.</t>
  </si>
  <si>
    <t>The airline did not offer any compensation or resolution for the mishandling of my baggage.</t>
  </si>
  <si>
    <t>The aircon was too cold. I requested multiple times to increase the temperature but nothing was done.</t>
  </si>
  <si>
    <t>I felt the turbulence was avoidable if the airline had chosen a different flight path or adjusted altitude.</t>
  </si>
  <si>
    <t>I expected better assistance for unaccompanied minors.</t>
  </si>
  <si>
    <t>I found foreign objects in the food served onboard.</t>
  </si>
  <si>
    <t>The airline did not offer any kosher beverage options.</t>
  </si>
  <si>
    <t>The flight experienced an unanticipated delay, causing frustration.</t>
  </si>
  <si>
    <t>The flight had a malfunctioning lavatory door.</t>
  </si>
  <si>
    <t>The flight had a malfunctioning lavatory door, causing inconvenience and privacy concerns for passengers.</t>
  </si>
  <si>
    <t>I found unclean or smelly headrest covers on the seats.</t>
  </si>
  <si>
    <t>The delay in arrival disrupted my plans to surprise a loved one. Heartbreaking.</t>
  </si>
  <si>
    <t>The airline didn't offer any complimentary entertainment options, leaving passengers bored and unengaged.</t>
  </si>
  <si>
    <t>The airline's gate agents appeared overwhelmed and unprepared, leading to delays and frustrated passengers.</t>
  </si>
  <si>
    <t>The flight delay left me frustrated and regretting choosing this airline.</t>
  </si>
  <si>
    <t>I had plans with friends, but the delay in departure made me miss out on the fun.</t>
  </si>
  <si>
    <t>I arrived at the airport on time, but the flight was delayed by several hours, disrupting my entire schedule and causing significant inconvenience.</t>
  </si>
  <si>
    <t>I experienced a lack of vegetarian or vegan options in the onboard menu.</t>
  </si>
  <si>
    <t>The staff did not provide clear and accurate information about flight changes.</t>
  </si>
  <si>
    <t>The airline didn't provide adequate assistance for families traveling with infants and young children.</t>
  </si>
  <si>
    <t>The flight attendant was rude to me.</t>
  </si>
  <si>
    <t>I faced difficulties in rescheduling my missed flight due to complex procedures and high change fees.</t>
  </si>
  <si>
    <t>I faced difficulties and delays when trying to reach a customer service representative.</t>
  </si>
  <si>
    <t>The flight attendant seemed inattentive and disorganized.</t>
  </si>
  <si>
    <t>I was frustrated by the excessive delay in our flight departure.</t>
  </si>
  <si>
    <t>The meals served onboard were delayed, and many passengers, including myself, were left hungry.</t>
  </si>
  <si>
    <t>The expensive fare did not translate into exceptional customer service or satisfaction.</t>
  </si>
  <si>
    <t>I received my bag with stains or marks that were not present before.</t>
  </si>
  <si>
    <t>The flight delay caused me to miss my loved one's birthday celebration. Heartbreaking.</t>
  </si>
  <si>
    <t>The turbulence was unexpected and violent, causing objects to fly around the cabin and endangering passengers.</t>
  </si>
  <si>
    <t>I received my bag with spilled or leaked items.</t>
  </si>
  <si>
    <t>The flight delay inconvenienced passengers on board.</t>
  </si>
  <si>
    <t>I received inconsistent and contradictory information from different airline representatives.</t>
  </si>
  <si>
    <t>The airline provided inconsistent or incorrect information regarding my delayed baggage.</t>
  </si>
  <si>
    <t>I had important commitments waiting for me at my destination, but the departure delay caused me to miss those opportunities and left me feeling helpless and angry.</t>
  </si>
  <si>
    <t>Insufficient information about connecting flights caused anxiety and confusion.</t>
  </si>
  <si>
    <t>Delays in receiving flight updates.</t>
  </si>
  <si>
    <t>The airline provided insufficient assistance for passengers with disabilities, making the journey challenging.</t>
  </si>
  <si>
    <t>Departure was postponed, impacting my work commitments.</t>
  </si>
  <si>
    <t>The flight delay disrupted my sleep schedule and caused unnecessary fatigue.</t>
  </si>
  <si>
    <t>The turbulence caused me to lose my balance and fall, resulting in injuries, and the airline did not provide adequate assistance or medical attention.</t>
  </si>
  <si>
    <t>I received inadequate assistance from the flight attendant during an emergency situation.</t>
  </si>
  <si>
    <t>Complicated rules and restrictions in the loyalty program made it difficult to enjoy the benefits.</t>
  </si>
  <si>
    <t>I noticed unclean or dusty overhead reading lights.</t>
  </si>
  <si>
    <t>The airline's website and mobile app were unreliable, causing inconvenience and difficulty accessing information.</t>
  </si>
  <si>
    <t>The flight had malfunctioning seatbelt buckles, compromising the safety of passengers.</t>
  </si>
  <si>
    <t>I received unprofessional behavior from the flight attendant.</t>
  </si>
  <si>
    <t>I was devastated to find out that the airline overbooked the flight, leaving me stranded at the airport with no alternatives.</t>
  </si>
  <si>
    <t>The staff displayed a lack of empathy and understanding towards passengers.</t>
  </si>
  <si>
    <t>The flight's extended delay in arrival left me feeling disheartened and discouraged.</t>
  </si>
  <si>
    <t>I encountered difficulties understanding the airline's pet travel policy, resulting in confusion and extra expenses.</t>
  </si>
  <si>
    <t>I received my bag with missing or damaged pockets and compartments.</t>
  </si>
  <si>
    <t>The airline did not provide adequate legroom for taller passengers.</t>
  </si>
  <si>
    <t>The airline should have provided alternate routes or options to avoid the severe weather conditions.</t>
  </si>
  <si>
    <t>The airline's inability to effectively handle the departure delay resulted in a loss of trust and confidence in their commitment to providing a reliable and timely service.</t>
  </si>
  <si>
    <t>The onboard Wi-Fi, which was advertised, did not work throughout the entire flight.</t>
  </si>
  <si>
    <t>The airline did not offer any assistance or compensation for the inconvenience caused by mishandled baggage.</t>
  </si>
  <si>
    <t>I felt that the airline did not prioritize passenger safety when flying in adverse weather conditions.</t>
  </si>
  <si>
    <t>I encountered a lack of assistance in retrieving my oversized or heavy luggage.</t>
  </si>
  <si>
    <t>The flight crew did not provide proper guidance or instructions on how to prepare for the turbulent weather.</t>
  </si>
  <si>
    <t>The air crew did not handle passenger complaints or requests in a timely manner.</t>
  </si>
  <si>
    <t>I found the portion size of the meals to be insufficient.</t>
  </si>
  <si>
    <t>Arrival was delayed, resulting in missed opportunities at the destination.</t>
  </si>
  <si>
    <t>The flight experienced an avoidable delay due to technical issues, causing inconvenience to passengers.</t>
  </si>
  <si>
    <t>I received my bag with signs of rough handling, such as visible dents and tears.</t>
  </si>
  <si>
    <t>The seatback screens were scratched and difficult to see, hampering the in-flight entertainment experience.</t>
  </si>
  <si>
    <t>The selection of in-flight snacks was limited, leaving me hungry and dissatisfied.</t>
  </si>
  <si>
    <t>The air crew appeared disorganized and overwhelmed during the flight.</t>
  </si>
  <si>
    <t>The flight departure was delayed, resulting in wasted time.</t>
  </si>
  <si>
    <t>The airplane lacked proper ventilation, leading to a stuffy and uncomfortable cabin environment.</t>
  </si>
  <si>
    <t>The flight attendant seemed disinterested and inattentive.</t>
  </si>
  <si>
    <t>I encountered a lack of professionalism from the flight attendant, who was chatting with colleagues instead of attending to passengers.</t>
  </si>
  <si>
    <t>The airline's mishandling of my fragile belongings made me feel heartbroken as sentimental items were irreparably damaged.</t>
  </si>
  <si>
    <t>The flight attendants were slow in responding to passenger requests.</t>
  </si>
  <si>
    <t>The customer service representative gave inconsistent information, causing further confusion.</t>
  </si>
  <si>
    <t>Arrival was significantly later than planned, causing frustration.</t>
  </si>
  <si>
    <t>I was given incorrect information by the customer service representatives.</t>
  </si>
  <si>
    <t>The airline did not provide proper assistance for passengers with mobility issues.</t>
  </si>
  <si>
    <t>The extended delay in flight arrival made me lose precious time with my loved ones.</t>
  </si>
  <si>
    <t>Complicated rules and restrictions in the loyalty program.</t>
  </si>
  <si>
    <t>The airline's failure to provide proper assistance to passengers with disabilities, including myself, left me feeling marginalized and unsupported throughout the journey.</t>
  </si>
  <si>
    <t>I was disappointed that the airline did not provide any updates or explanations regarding the bad weather conditions.</t>
  </si>
  <si>
    <t>The customer service agent provided contradictory information.</t>
  </si>
  <si>
    <t>Incomprehensible onboard announcements.</t>
  </si>
  <si>
    <t>The onboard amenities were lacking, making the journey dull and unenjoyable.</t>
  </si>
  <si>
    <t>The significant delay in flight arrival dashed my hopes and soured my travel experience.</t>
  </si>
  <si>
    <t>The flight was full of crying infants, and it was challenging to find peace or rest during the journey.</t>
  </si>
  <si>
    <t>I found it unacceptable that the airline did not provide any compensation or gesture of goodwill after the turbulent flight.</t>
  </si>
  <si>
    <t>The flight attendant spilled a beverage on me without apologizing.</t>
  </si>
  <si>
    <t>I was frustrated by the lack of clear communication from the airline regarding the boarding procedure and any changes.</t>
  </si>
  <si>
    <t>I received a meal that did not meet my expectations based on the menu.</t>
  </si>
  <si>
    <t>The overhead storage space was inadequate, forcing me to struggle to find room for my belongings.</t>
  </si>
  <si>
    <t>The flight attendant appeared indifferent and unresponsive to passenger needs.</t>
  </si>
  <si>
    <t>I was overcome with sadness and frustration as the flight departure was repeatedly postponed.</t>
  </si>
  <si>
    <t>The delay in arrival made me late for an important event. This ruined my day.</t>
  </si>
  <si>
    <t>The lavatory floors were unclean and showed signs of poor hygiene.</t>
  </si>
  <si>
    <t>The airline's pricing strategy did not align with the quality of service provided.</t>
  </si>
  <si>
    <t>The flight crew did not enforce proper mask-wearing, putting passengers at risk.</t>
  </si>
  <si>
    <t>The airline did not enforce proper mask-wearing protocols.</t>
  </si>
  <si>
    <t>The frequent flyer program offered limited redemption options, making it difficult to utilize earned points.</t>
  </si>
  <si>
    <t>I felt a surge of anger and helplessness as the flight departure was repeatedly delayed without explanation.</t>
  </si>
  <si>
    <t>The cabin lacked proper disposal for used tissues or wipes.</t>
  </si>
  <si>
    <t>I encountered difficulties reaching the airline's customer service, with long wait times and unhelpful representatives.</t>
  </si>
  <si>
    <t>The air crew displayed a lack of professionalism and failed to address passenger concerns.</t>
  </si>
  <si>
    <t>I encountered difficulties understanding the airline's in-flight Wi-Fi policy, resulting in unexpected charges and unreliable connectivity.</t>
  </si>
  <si>
    <t>I encountered difficulties in redeeming my airline miles, and the reward availability was restrictive.</t>
  </si>
  <si>
    <t>The airline didn't offer any complimentary beverages during the layover, leaving passengers thirsty and dissatisfied.</t>
  </si>
  <si>
    <t>The seatback screens were scratched and difficult to see.</t>
  </si>
  <si>
    <t>The arrival delay caused inconvenience and disappointment to all passengers.</t>
  </si>
  <si>
    <t>The turbulence was unexpected and violent, resulting in injuries for some passengers, and the airline did not handle the situation appropriately.</t>
  </si>
  <si>
    <t>I encountered difficulties in changing my flight reservation.</t>
  </si>
  <si>
    <t>The flight had inadequate seating, making it challenging to find a comfortable position throughout the journey.</t>
  </si>
  <si>
    <t>The flight attendants did not address passenger concerns or complaints.</t>
  </si>
  <si>
    <t>Disorganized boarding process.</t>
  </si>
  <si>
    <t>I faced delays in receiving my checked baggage, disrupting my travel plans.</t>
  </si>
  <si>
    <t>The aircraft's cleanliness did not meet basic hygiene standards.</t>
  </si>
  <si>
    <t>The air crew displayed a lack of professionalism and did not handle passenger complaints effectively.</t>
  </si>
  <si>
    <t>The onboard announcements were inaudible and unclear, making it difficult to understand important information.</t>
  </si>
  <si>
    <t>The flight attendant did not respond to my call button.</t>
  </si>
  <si>
    <t>I was dissatisfied with the limited availability of power outlets in the cabin.</t>
  </si>
  <si>
    <t>Long wait times at the boarding gate caused unnecessary inconvenience.</t>
  </si>
  <si>
    <t>The overhead air vents were malfunctioning, resulting in uncomfortable cabin temperature.</t>
  </si>
  <si>
    <t>The flight lacked proper cleanliness and hygiene standards.</t>
  </si>
  <si>
    <t>The rude and dismissive behavior of the airline staff left me feeling hurt and humiliated throughout the entire journey.</t>
  </si>
  <si>
    <t>Baggage handling was inefficient, resulting in delays in receiving checked luggage.</t>
  </si>
  <si>
    <t>The bad weather conditions led to a prolonged flight time, and it was exhausting for passengers.</t>
  </si>
  <si>
    <t>The airline's communication during delays and disruptions was lacking, leaving me feeling uninformed and frustrated.</t>
  </si>
  <si>
    <t>The wait time at the baggage claim area was unacceptable. After a long flight, I expected a quick and efficient process to retrieve my luggage, but instead, I had to wait for an extended period, wasting valuable time.</t>
  </si>
  <si>
    <t>The flight did not meet the standards one would expect for the premium price paid.</t>
  </si>
  <si>
    <t>The turbulence was prolonged and severe, making it difficult to remain seated and causing discomfort to passengers.</t>
  </si>
  <si>
    <t>I was dissatisfied with the limited selection of in-flight snacks.</t>
  </si>
  <si>
    <t>I am absolutely furious! The delays from this airline have cost me valuable time and money!</t>
  </si>
  <si>
    <t>I found the food presentation to be unappealing and poorly plated.</t>
  </si>
  <si>
    <t>Departure was postponed, leading to dissatisfaction among passengers.</t>
  </si>
  <si>
    <t>I expected the airline to offer complimentary drinks or snacks as a gesture of apology for the turbulent flight.</t>
  </si>
  <si>
    <t>The flight was overcrowded, and it was challenging to move around or stretch during the journey.</t>
  </si>
  <si>
    <t>I am absolutely livid with this airline's constant delays! They have wasted my time and energy!</t>
  </si>
  <si>
    <t>The flight delay inconvenienced passengers and disrupted travel plans.</t>
  </si>
  <si>
    <t>I was frustrated with the excessively long wait times at the airline's check-in counter. It took an unreasonable amount of time to get through the line, causing me to almost miss my flight.</t>
  </si>
  <si>
    <t>The delayed arrival meant that I had to cancel important reservations and bookings at my destination, incurring financial losses and ruining the plans I had eagerly anticipated.</t>
  </si>
  <si>
    <t>The airline's loyalty program terms and conditions were convoluted and difficult to navigate, making it hard to take advantage of the benefits.</t>
  </si>
  <si>
    <t>I found the check-in counters to be understaffed, resulting in long queues and extended waiting times.</t>
  </si>
  <si>
    <t>The airline failed to deliver my delayed baggage to my destination.</t>
  </si>
  <si>
    <t>I had chosen this airline for its reputed on-time performance, but the repeated delays in both departure and arrival have shattered my confidence in their ability to deliver a reliable service.</t>
  </si>
  <si>
    <t>The airline did not accommodate my allergy restrictions despite prior notification.</t>
  </si>
  <si>
    <t>The limited availability of overhead reading lights made it difficult to read or work during the flight.</t>
  </si>
  <si>
    <t>The flight delay resulted in extra expenses for accommodation. Unfair and inconvenient.</t>
  </si>
  <si>
    <t>I encountered issues with the airline's lost and found process.</t>
  </si>
  <si>
    <t>The airline didn't offer any allergy-friendly meal options, disregarding passengers' health needs.</t>
  </si>
  <si>
    <t>I can't help but feel let down by the airline's disregard for passenger comfort and satisfaction.</t>
  </si>
  <si>
    <t>The cabin lacked proper ventilation, causing discomfort.</t>
  </si>
  <si>
    <t>Disorganized baggage claim process.</t>
  </si>
  <si>
    <t>I faced challenges understanding the airline's complex rebooking policy, resulting in frustration and difficulties in changing my flight.</t>
  </si>
  <si>
    <t>The frequent flyer program offered limited benefits, leaving me dissatisfied with the rewards.</t>
  </si>
  <si>
    <t>The customer service representative was slow to respond to my inquiries.</t>
  </si>
  <si>
    <t>The flight attendants lacked enthusiasm and did not display a genuine interest in passenger well-being.</t>
  </si>
  <si>
    <t>The cabin temperature was unbearable, making me sweat profusely during the entire journey.</t>
  </si>
  <si>
    <t>I noticed unclean or dusty seat power outlets.</t>
  </si>
  <si>
    <t>I encountered difficulties in contacting the airline's customer service regarding my lost bag.</t>
  </si>
  <si>
    <t>The in-flight meals were overpriced and did not match the quality I anticipated.</t>
  </si>
  <si>
    <t>The airline did not offer any kosher snack options.</t>
  </si>
  <si>
    <t>The airline did not offer any complimentary beverages during the layover.</t>
  </si>
  <si>
    <t>I received poor service from the flight attendant, who ignored my special meal request.</t>
  </si>
  <si>
    <t>Despite the assurance of a quick resolution, the airline failed to provide a satisfactory explanation for the departure delay, leaving passengers feeling frustrated and disregarded.</t>
  </si>
  <si>
    <t>The lavatories were dirty and unpleasant to use.</t>
  </si>
  <si>
    <t>The airline didn't have enough overhead bin space for all passengers' bags, causing delays and frustration.</t>
  </si>
  <si>
    <t>I witnessed other passengers struggling to retrieve their belongings during the turbulence, and the airline did not assist in ensuring their safety.</t>
  </si>
  <si>
    <t>The arrival delay caused me to miss an important connection, forcing me to rearrange my travel plans and incurring additional costs for rescheduling flights.</t>
  </si>
  <si>
    <t>The air crew showed a disregard for passenger safety instructions.</t>
  </si>
  <si>
    <t>The flight lacked proper air conditioning, causing discomfort and making the journey unpleasant.</t>
  </si>
  <si>
    <t>Limited availability of onboard duty-free shopping.</t>
  </si>
  <si>
    <t>I was dissatisfied with the limited space for carry-on luggage.</t>
  </si>
  <si>
    <t>I was deeply saddened when the airline mishandled my emotional support animal, leading to unnecessary distress and discomfort for both of us.</t>
  </si>
  <si>
    <t>Difficulties in redeeming airline miles.</t>
  </si>
  <si>
    <t>The flight attendants did not prioritize passenger comfort or well-being.</t>
  </si>
  <si>
    <t>The flight encountered heavy rain, and it caused delays in takeoff and landing.</t>
  </si>
  <si>
    <t>The air crew did not prioritize passenger satisfaction or comfort.</t>
  </si>
  <si>
    <t>The airline's failure to provide accurate and timely updates during the departure delay created confusion and frustration among passengers, who were left in the dark about the progress of the situation.</t>
  </si>
  <si>
    <t>The extended delay disrupted passengers' schedules and impacted their plans.</t>
  </si>
  <si>
    <t>The flight departure was delayed due to poor weather conditions.</t>
  </si>
  <si>
    <t>The airline's customer service failed to address my concerns and left me feeling ignored.</t>
  </si>
  <si>
    <t>I received insufficient information about my connecting flights, leading to anxiety and confusion.</t>
  </si>
  <si>
    <t>I found the flight announcements to be unclear and difficult to understand.</t>
  </si>
  <si>
    <t>The high cost of the ticket did not result in a memorable or outstanding travel experience.</t>
  </si>
  <si>
    <t>The wait time for receiving assistance from the airline's customer support hotline was exasperatingly long. I spent an unreasonable amount of time on hold, only to receive unhelpful responses.</t>
  </si>
  <si>
    <t>The delayed flight arrival threw off my entire day's plans.</t>
  </si>
  <si>
    <t>I experienced difficulties with the airline's baggage policy.</t>
  </si>
  <si>
    <t>I am furious about the constant delays! This airline is a joke and a waste of my time!</t>
  </si>
  <si>
    <t>The turbulence was so intense that it caused passengers to scream in fear, and the airline's response did not alleviate their distress.</t>
  </si>
  <si>
    <t>The airline's onboard entertainment system was difficult to operate, with a confusing interface and limited content options.</t>
  </si>
  <si>
    <t>I felt that the airline did not adequately prepare for the bad weather, considering the forecast.</t>
  </si>
  <si>
    <t>Unreliable website and mobile app.</t>
  </si>
  <si>
    <t>The lavatory trash bins were not regularly emptied during the flight.</t>
  </si>
  <si>
    <t>The flight attendants did not offer appropriate assistance to elderly passengers.</t>
  </si>
  <si>
    <t>I received my bag with a broken or missing strap.</t>
  </si>
  <si>
    <t>The additional charges for seat selection and priority boarding felt like an unnecessary expense.</t>
  </si>
  <si>
    <t>The prolonged delay in flight departure caused me inconvenience and disrupted my travel plans.</t>
  </si>
  <si>
    <t>I found the gate announcements to be muffled and hard to understand, causing confusion and delays.</t>
  </si>
  <si>
    <t>The flight attendants did not handle passenger conflicts or issues effectively.</t>
  </si>
  <si>
    <t>The airline did not ensure timely updates during the prolonged delay.</t>
  </si>
  <si>
    <t>Flight attendants lacked professionalism and courtesy, making the overall experience unpleasant.</t>
  </si>
  <si>
    <t>The flight encountered severe thunderstorms, and it made the journey turbulent and stressful.</t>
  </si>
  <si>
    <t>The flight attendants didn't assist with locating missing baggage, causing inconvenience and anxiety.</t>
  </si>
  <si>
    <t>The bad weather resulted in a bumpy landing, and it was a nerve-wracking experience.</t>
  </si>
  <si>
    <t>I had plans for the evening, but the flight delay made me arrive too late.</t>
  </si>
  <si>
    <t>The airline didn't provide any alternative flight options during inclement weather, leaving passengers stranded.</t>
  </si>
  <si>
    <t>The airline did not prioritize punctuality in their operations.</t>
  </si>
  <si>
    <t>The extended delay caused me to incur additional expenses.</t>
  </si>
  <si>
    <t>I had a surprise planned for a loved one, but the delay in departure spoiled it.</t>
  </si>
  <si>
    <t>These delays are beyond infuriating! I will never fly with this airline again!</t>
  </si>
  <si>
    <t>The flight attendants lacked professionalism and courtesy.</t>
  </si>
  <si>
    <t>The landing was poor and shaky. I expected better from such a reputable airline.</t>
  </si>
  <si>
    <t>I encountered a lack of helpfulness and understanding from the airline staff.</t>
  </si>
  <si>
    <t>The airline did not offer any vegetarian or vegan snack options.</t>
  </si>
  <si>
    <t>The flight experienced unexpected delays, causing frustration.</t>
  </si>
  <si>
    <t>The flight attendants were dismissive of my concerns.</t>
  </si>
  <si>
    <t>Lack of overhead storage space.</t>
  </si>
  <si>
    <t>I felt unsafe during the flight due to the challenging weather conditions, and it heightened my anxiety.</t>
  </si>
  <si>
    <t>The staff displayed a lack of knowledge and competence.</t>
  </si>
  <si>
    <t>The airline did not provide any additional perks or benefits to justify the high price of the ticket.</t>
  </si>
  <si>
    <t>The flight announcement system was excessively loud and disruptive, disturbing passengers' peace.</t>
  </si>
  <si>
    <t>I was frustrated with the lack of clear instructions during the pre-boarding process, resulting in confusion and delays.</t>
  </si>
  <si>
    <t>Rude and inattentive flight attendants.</t>
  </si>
  <si>
    <t>I was dissatisfied with the limited availability of onboard duty-free shopping.</t>
  </si>
  <si>
    <t>The airline did not offer any compensation or resolution for the mishandling and inconvenience caused by my baggage.</t>
  </si>
  <si>
    <t>The flight attendants were inconsiderate towards passengers' comfort.</t>
  </si>
  <si>
    <t>The flight attendants ran out of food options halfway through the journey.</t>
  </si>
  <si>
    <t>I encountered a delay in receiving my requested vegetarian meal.</t>
  </si>
  <si>
    <t>I encountered a delay in receiving my pre-ordered children's meal.</t>
  </si>
  <si>
    <t>The customer service representative provided inconsistent information, causing confusion.</t>
  </si>
  <si>
    <t>The flight attendants did not offer any hot beverage options during the flight.</t>
  </si>
  <si>
    <t>I was devastated by the significant delay in our flight departure, as it impacted my important engagement.</t>
  </si>
  <si>
    <t>My plans were disrupted due to the delayed arrival. This is outrageous!</t>
  </si>
  <si>
    <t>I received my bag with torn or damaged inner lining.</t>
  </si>
  <si>
    <t>I experienced a long wait for the beverage cart to reach my row.</t>
  </si>
  <si>
    <t>I found used or dirty earphones in the seat pockets.</t>
  </si>
  <si>
    <t>The flight departure was postponed due to unforeseen circumstances.</t>
  </si>
  <si>
    <t>Multiple delays during my flight made me question the airline's reliability.</t>
  </si>
  <si>
    <t>The turbulence was continuous and turbulent, causing discomfort and unease throughout the entire flight.</t>
  </si>
  <si>
    <t>I had to navigate through a crowded and disorganized baggage pickup area with no clear direction.</t>
  </si>
  <si>
    <t>The flight attendants failed to distribute immigration forms promptly, causing delays at the destination.</t>
  </si>
  <si>
    <t>The flight attendants did not assist with storing carry-on bags properly.</t>
  </si>
  <si>
    <t>Departure was postponed, causing me to rearrange my itinerary.</t>
  </si>
  <si>
    <t>I experienced a lack of communication and coordination among the staff.</t>
  </si>
  <si>
    <t>The airline's policy for flight changes and cancellations was rigid and accompanied by high fees.</t>
  </si>
  <si>
    <t>I faced challenges understanding the airline's complex flight change policy, resulting in confusion and additional fees.</t>
  </si>
  <si>
    <t>I found the boarding announcements to be inconsistent and unclear, making it challenging to know when and where to board.</t>
  </si>
  <si>
    <t>The airline lost my checked bag and failed to locate it.</t>
  </si>
  <si>
    <t>My luggage was damaged during the flight.</t>
  </si>
  <si>
    <t>The delay in departure caused unnecessary stress and anxiety.</t>
  </si>
  <si>
    <t>The limited availability of onboard duty-free shopping was disappointing and did not meet my expectations.</t>
  </si>
  <si>
    <t>I observed unclean or smudged windows in the aircraft.</t>
  </si>
  <si>
    <t>Insufficient support for passengers with medical conditions, compromising their well-being.</t>
  </si>
  <si>
    <t>The delayed arrival deprived me of spending quality time with my loved ones at my destination, as I had to endure hours of waiting at the airport due to the airline's inefficiency.</t>
  </si>
  <si>
    <t>Insufficient assistance for pregnant passengers.</t>
  </si>
  <si>
    <t>Unhelpful and uninformed gate agents provided little assistance and left passengers uninformed.</t>
  </si>
  <si>
    <t>The flight attendants were unhelpful and seemed more interested in chatting among themselves.</t>
  </si>
  <si>
    <t>I found the food packaging to be unhygienic and unsanitary.</t>
  </si>
  <si>
    <t>The airline did not offer any assistance during a flight disruption.</t>
  </si>
  <si>
    <t>The flight delay resulted in missed opportunities for networking and growth. Frustrating.</t>
  </si>
  <si>
    <t>I encountered difficulties understanding the airline's complex fragile item baggage policy, resulting in confusion and concerns about the safety of my fragile belongings.</t>
  </si>
  <si>
    <t>Limited availability of overhead reading lights, making it difficult to read or work during the flight.</t>
  </si>
  <si>
    <t>I witnessed other passengers praying and holding onto their loved ones tightly during the turbulence, and the airline did not provide emotional support.</t>
  </si>
  <si>
    <t>The flight was delayed due to unspecified technical issues.</t>
  </si>
  <si>
    <t>I had an important family event to attend, but the delay in departure made it impossible.</t>
  </si>
  <si>
    <t>The lengthy wait for flight arrival left me feeling emotionally exhausted and disappointed.</t>
  </si>
  <si>
    <t>Flight attendants displayed unfriendly attitudes and were unapproachable.</t>
  </si>
  <si>
    <t>I encountered a delay in receiving my requested beverage.</t>
  </si>
  <si>
    <t>The flight lacked proper privacy screens between seats.</t>
  </si>
  <si>
    <t>The flight experienced multiple delays, leading to frustration.</t>
  </si>
  <si>
    <t>I received a meal that did not meet my dietary preferences.</t>
  </si>
  <si>
    <t>The restrooms were dirty and unkempt, making it an unpleasant experience to use them.</t>
  </si>
  <si>
    <t>I found the gate announcements to be inconsistent and lacking important information, causing confusion and delays.</t>
  </si>
  <si>
    <t>Technical issues with the online booking system caused frustration and wasted time.</t>
  </si>
  <si>
    <t>Despite no flight delays, I experienced a significant delay in receiving my checked baggage.</t>
  </si>
  <si>
    <t>The baggage handling was inefficient, resulting in delays in receiving my checked luggage.</t>
  </si>
  <si>
    <t>The flight delay made me feel like my travel plans didn't matter to the airline.</t>
  </si>
  <si>
    <t>The airline failed to provide adequate assistance for passengers with disabilities like myself.</t>
  </si>
  <si>
    <t>The air crew seemed untrained and ill-prepared to handle passenger inquiries.</t>
  </si>
  <si>
    <t>I faced challenges understanding the airline's complex ticket fare structure, resulting in unexpected charges and frustrations.</t>
  </si>
  <si>
    <t>I faced challenges in changing my flight reservations, leading to inconvenience and additional fees.</t>
  </si>
  <si>
    <t>The airline's onboard reading materials were outdated and limited in variety, offering little entertainment value for passengers.</t>
  </si>
  <si>
    <t>The flight encountered frequent turbulence, and the crew did not offer reassurance or updates.</t>
  </si>
  <si>
    <t>I had an important meeting, but the delay in arrival made me arrive too late.</t>
  </si>
  <si>
    <t>Insufficient support and guidance for unaccompanied minors, causing anxiety and uncertainty.</t>
  </si>
  <si>
    <t>The airline did not offer any lactose-free beverage options.</t>
  </si>
  <si>
    <t>The flight lacked proper communication during turbulence.</t>
  </si>
  <si>
    <t>I faced challenges and stress due to the airline's inadequate support for passengers traveling with pets.</t>
  </si>
  <si>
    <t>The flight delay disrupted my travel plans.</t>
  </si>
  <si>
    <t>The significantly delayed flight arrival inconvenienced me and affected my plans.</t>
  </si>
  <si>
    <t>The seats were broken and uncomfortable, causing back pain.</t>
  </si>
  <si>
    <t>The airline's disregard for punctuality made me question their commitment to customer satisfaction.</t>
  </si>
  <si>
    <t>Departure was postponed, impacting my personal commitments.</t>
  </si>
  <si>
    <t>Flight attendants displayed inattentiveness and seemed disinterested in passenger needs.</t>
  </si>
  <si>
    <t>These delays are driving me insane! This airline deserves every ounce of my anger and frustration!</t>
  </si>
  <si>
    <t>The flight announcements were unclear and hard to understand.</t>
  </si>
  <si>
    <t>The airline did not offer any gluten-free meal options.</t>
  </si>
  <si>
    <t>The aircraft windows were dirty and obstructed the view.</t>
  </si>
  <si>
    <t>I was heartbroken when the airline's mishandling of my beloved pet during transport resulted in their injury, causing unnecessary pain and anguish.</t>
  </si>
  <si>
    <t>Lack of communication during turbulence left passengers feeling uneasy and unsafe.</t>
  </si>
  <si>
    <t>The delay in departure made me anxious and stressed about missing my destination.</t>
  </si>
  <si>
    <t>The flight delay caused me to miss an opportunity for a job interview. Unacceptable.</t>
  </si>
  <si>
    <t>Arrival was significantly later than anticipated.</t>
  </si>
  <si>
    <t>I felt anxious and unsafe during the turbulence, as the flight attendants did not provide clear instructions or reassurance.</t>
  </si>
  <si>
    <t>The airline did not offer any reimbursement for the lost or damaged items inside my luggage.</t>
  </si>
  <si>
    <t>The onboard Wi-Fi did not work as advertised.</t>
  </si>
  <si>
    <t>I witnessed other passengers struggling to fasten their seatbelts and secure their belongings during the turbulence, and the airline did not provide assistance.</t>
  </si>
  <si>
    <t>Challenges in booking seats together with travel companions.</t>
  </si>
  <si>
    <t>The boarding process was disorganized, causing unnecessary delays and frustration.</t>
  </si>
  <si>
    <t>I expected the airline to have better technology and systems to anticipate and minimize turbulence for a smoother flight.</t>
  </si>
  <si>
    <t>The turbulence was so intense that it caused passengers to scream and cry, and the airline's response was insufficient in addressing their distress.</t>
  </si>
  <si>
    <t>The airline did not offer any compensation for inconveniences caused by their mistakes.</t>
  </si>
  <si>
    <t>I encountered difficulties in filing a baggage claim with the airline.</t>
  </si>
  <si>
    <t>I had plans for a romantic getaway, but the delay in departure ruined the experience.</t>
  </si>
  <si>
    <t>The prolonged delay in our flight's arrival not only inconvenienced me but also affected my travel companions, who had made plans based on the expected arrival time.</t>
  </si>
  <si>
    <t>The boarding process was delayed due to the airline's inefficient and slow passenger identity verification procedures.</t>
  </si>
  <si>
    <t>I wasn't notified in advance when the flight departed earlier than scheduled.</t>
  </si>
  <si>
    <t>I felt a profound sense of disappointment and regret for choosing this airline for my journey.</t>
  </si>
  <si>
    <t>I experienced delays in receiving my checked baggage, disrupting my travel plans.</t>
  </si>
  <si>
    <t>I was disappointed with the lack of clear instructions during the inflight duty-free shopping, resulting in confusion and delays.</t>
  </si>
  <si>
    <t>The cabin lacked proper disposal for used tissues or napkins.</t>
  </si>
  <si>
    <t>I found the food to be excessively salty or oily.</t>
  </si>
  <si>
    <t>I was devastated when the airline canceled my pre-booked seat without any explanation or alternative arrangement.</t>
  </si>
  <si>
    <t>The delay in departure made me miss out on a job opportunity. Unreliable airline.</t>
  </si>
  <si>
    <t>Departure was postponed, affecting passengers' schedules.</t>
  </si>
  <si>
    <t>The airline did not provide any nut-free snack options.</t>
  </si>
  <si>
    <t>I am furious! This airline's delays are an insult to its passengers!</t>
  </si>
  <si>
    <t>I felt the airline should have provided more informative announcements about the turbulence to keep passengers informed and reassured.</t>
  </si>
  <si>
    <t>The boarding process was delayed due to the airline's inefficient and slow document verification procedures.</t>
  </si>
  <si>
    <t>The quality of the meals served was poor.</t>
  </si>
  <si>
    <t>The online check-in process was frustrating and caused unnecessary delays.</t>
  </si>
  <si>
    <t>Inadequate ventilation in the cabin made the air stale and uncomfortable.</t>
  </si>
  <si>
    <t>Dismissive attitude of flight attendants towards passenger complaints.</t>
  </si>
  <si>
    <t>The flight crew should have provided more frequent updates regarding the weather situation.</t>
  </si>
  <si>
    <t>The airline staff was unhelpful and unfriendly.</t>
  </si>
  <si>
    <t>Departure was postponed, causing frustration among passengers.</t>
  </si>
  <si>
    <t>The flight attendants didn't assist with stowing oversized carry-on items, creating clutter and safety hazards.</t>
  </si>
  <si>
    <t>The flight had a lack of announcements regarding turbulence or other disruptions.</t>
  </si>
  <si>
    <t>My special meal request was ignored.</t>
  </si>
  <si>
    <t>The loyalty program had complicated rules and restrictions, making it challenging to enjoy the benefits.</t>
  </si>
  <si>
    <t>The turbulence was unexpected and violent, and the lack of support and empathy from the flight attendants was disappointing.</t>
  </si>
  <si>
    <t>The flight delay resulted in additional transportation costs. Inconvenient and costly.</t>
  </si>
  <si>
    <t>The flight attendants were unresponsive to my requests.</t>
  </si>
  <si>
    <t>Lack of coordination during boarding and deplaning.</t>
  </si>
  <si>
    <t>The flight delay made me miss an important deadline. Unprofessional and disappointing.</t>
  </si>
  <si>
    <t>The air crew appeared disorganized and did not manage passenger requests effectively.</t>
  </si>
  <si>
    <t>The cabin crew failed to provide adequate assistance during an emergency situation.</t>
  </si>
  <si>
    <t>The airline provided limited communication regarding the delay and delivery of my baggage.</t>
  </si>
  <si>
    <t>I encountered unclean or unsanitary seatback pockets.</t>
  </si>
  <si>
    <t>I found unclean or sticky surfaces on the entertainment screens.</t>
  </si>
  <si>
    <t>The cabin lacked proper waste disposal facilities.</t>
  </si>
  <si>
    <t>The airline's in-flight announcements were inaudible and unclear, making it challenging to receive important information or updates.</t>
  </si>
  <si>
    <t>The airline didn't offer any vegetarian meal options, neglecting passengers with dietary preferences.</t>
  </si>
  <si>
    <t>I felt let down by the significant delay in our flight departure.</t>
  </si>
  <si>
    <t>The overall experience was emotionally draining, and I felt my trust in the airline had been betrayed.</t>
  </si>
  <si>
    <t>The delay in departure resulted in wasted time for passengers.</t>
  </si>
  <si>
    <t>I faced challenges understanding the airline's complex seating assignment policy, resulting in confusion and inconvenience.</t>
  </si>
  <si>
    <t>The arrival delay resulted in lost vacation time.</t>
  </si>
  <si>
    <t>I was served a meal with expired or spoiled ingredients.</t>
  </si>
  <si>
    <t>I had to carry my bags for a long distance without any trolleys or carts available.</t>
  </si>
  <si>
    <t>The boarding process was delayed due to the airline's inefficient and slow passenger boarding verification procedures.</t>
  </si>
  <si>
    <t>The airline did not ensure proper contingency plans for delays.</t>
  </si>
  <si>
    <t>The airline did not provide any halal meal options.</t>
  </si>
  <si>
    <t>I was dissatisfied with the limited availability of overhead reading lights.</t>
  </si>
  <si>
    <t>The flight attendant was inattentive and seemed uninterested in assisting passengers.</t>
  </si>
  <si>
    <t>I experienced a lack of clear communication from the airline staff.</t>
  </si>
  <si>
    <t>The airline's ticket cancellation process was convoluted and time-consuming, causing unnecessary stress and delays in receiving a refund.</t>
  </si>
  <si>
    <t>The flight attendants were rude and inattentive to passenger needs.</t>
  </si>
  <si>
    <t>The airline did not provide adequate information about connecting flights.</t>
  </si>
  <si>
    <t>The flight was significantly delayed, causing me to miss an important event.</t>
  </si>
  <si>
    <t>The noise insulation on the flight was inadequate, making it hard to rest or concentrate.</t>
  </si>
  <si>
    <t>I experienced a range of emotions during the lengthy wait for flight departure, from frustration to sadness.</t>
  </si>
  <si>
    <t>The arrival delay resulted in lost time and inconvenience.</t>
  </si>
  <si>
    <t>The flight attendants did not provide adequate assistance during boarding.</t>
  </si>
  <si>
    <t>The airline did not provide updates or explanations for a delayed departure.</t>
  </si>
  <si>
    <t>The turbulence was so intense that it caused overhead compartments to open, and bags fell, creating a dangerous situation for passengers.</t>
  </si>
  <si>
    <t>Inadequate information about travel restrictions.</t>
  </si>
  <si>
    <t>I had an early morning commitment, but the flight delay made me miss it entirely.</t>
  </si>
  <si>
    <t>The flight attendants did not handle an in-flight emergency situation efficiently, which was concerning.</t>
  </si>
  <si>
    <t>The airline did not handle complaints or issues effectively.</t>
  </si>
  <si>
    <t>I struggled to understand the boarding announcements as they were muffled and unclear, leading to confusion among passengers.</t>
  </si>
  <si>
    <t>I was served a meal with limited options for people with specific dietary needs.</t>
  </si>
  <si>
    <t>The lavatory floors were sticky and appeared unclean.</t>
  </si>
  <si>
    <t>I experienced difficulties in requesting special assistance for elderly passengers.</t>
  </si>
  <si>
    <t>Noise insulation on the flight was inadequate, making it challenging to rest or concentrate.</t>
  </si>
  <si>
    <t>The lavatories were dirty and unpleasant.</t>
  </si>
  <si>
    <t>The flight arrival delay was unacceptable.</t>
  </si>
  <si>
    <t>The flight delay caused me to miss an important family gathering. I'm upset.</t>
  </si>
  <si>
    <t>The airline's seating arrangement was cramped and uncomfortable.</t>
  </si>
  <si>
    <t>The delay in departure led to missed business opportunities.</t>
  </si>
  <si>
    <t>The flight attendants were seen gossiping instead of attending to passengers' needs.</t>
  </si>
  <si>
    <t>The flight crew seemed indifferent and uninterested in customer satisfaction.</t>
  </si>
  <si>
    <t>The flight attendants lacked empathy and failed to address my concerns and complaints during the journey.</t>
  </si>
  <si>
    <t>Departure delay? This is unacceptable! I won't tolerate such incompetence!</t>
  </si>
  <si>
    <t>The airline's frequent flyer program had limited redemption options.</t>
  </si>
  <si>
    <t>The staff failed to handle difficult situations professionally.</t>
  </si>
  <si>
    <t>I faced challenges understanding the airline's complex unaccompanied minor policy, resulting in confusion and difficulties in arranging travel for children.</t>
  </si>
  <si>
    <t>I found the food to be undercooked and unsafe to eat.</t>
  </si>
  <si>
    <t>I couldn't help but feel a deep sense of disappointment and emotional turmoil throughout the entire journey.</t>
  </si>
  <si>
    <t>The flight lacked proper ventilation.</t>
  </si>
  <si>
    <t>The flight attendants appeared disinterested and did not prioritize passenger satisfaction.</t>
  </si>
  <si>
    <t>The airline did not have sufficient overhead bin space for all passengers' bags.</t>
  </si>
  <si>
    <t>I am seething with anger! The constant delays have made me lose faith in this airline entirely!</t>
  </si>
  <si>
    <t>Lack of overhead storage space resulted in passengers struggling to find room for their belongings.</t>
  </si>
  <si>
    <t>I had to wait a long time at the baggage carousel for my luggage.</t>
  </si>
  <si>
    <t>I observed unclean or stained seatbelt buckles.</t>
  </si>
  <si>
    <t>The flight attendants did not offer appropriate assistance during a medical emergency.</t>
  </si>
  <si>
    <t>The customer service representative was unresponsive and did not follow up on my inquiry.</t>
  </si>
  <si>
    <t>There was a child playing and running around while his mother was sleeping. The flight attendants did nothing to stop him.</t>
  </si>
  <si>
    <t>The extended delay disrupted passengers' travel plans and caused frustration.</t>
  </si>
  <si>
    <t>Difficulties in upgrading seats on the flight despite availability and eligibility.</t>
  </si>
  <si>
    <t>I found the gate area to be overcrowded and lacking sufficient seating, causing discomfort and inconvenience for passengers.</t>
  </si>
  <si>
    <t>The flight attendants were rude and unhelpful.</t>
  </si>
  <si>
    <t>I experienced a lack of healthy and nutritious snack options onboard.</t>
  </si>
  <si>
    <t>The flight was consistently delayed, causing inconvenience.</t>
  </si>
  <si>
    <t>The baggage handling staff mishandled my fragile glassware, resulting in irreparable damage.</t>
  </si>
  <si>
    <t>I expected the airline to prioritize passenger safety by offering clear instructions and guidance during the turbulent flight.</t>
  </si>
  <si>
    <t>I had to carry my heavy bags for a long distance due to lack of assistance.</t>
  </si>
  <si>
    <t>The flight attendant displayed a lack of professionalism and courtesy.</t>
  </si>
  <si>
    <t>The flight had a shortage of vegetarian meal options, limiting choices for passengers with dietary preferences.</t>
  </si>
  <si>
    <t>The customer service agent was unapologetic and did not take responsibility for the issue.</t>
  </si>
  <si>
    <t>I encountered difficulties in obtaining assistance for my oversized or irregularly shaped baggage.</t>
  </si>
  <si>
    <t>I am seething with anger! The delays from this airline have caused me nothing but frustration!</t>
  </si>
  <si>
    <t>Poor customer service from the airline.</t>
  </si>
  <si>
    <t>I was deeply disappointed by the lack of empathy and understanding from the airline staff during the entire journey.</t>
  </si>
  <si>
    <t>The flight attendants did not treat all passengers fairly.</t>
  </si>
  <si>
    <t>The delay in departure inconvenienced passengers.</t>
  </si>
  <si>
    <t>I received inadequate assistance during flight disruptions, causing frustration and anxiety.</t>
  </si>
  <si>
    <t>I felt the pilot did not effectively navigate through the turbulence, resulting in a bumpy and unsettling flight.</t>
  </si>
  <si>
    <t>The lack of empathy and understanding from the airline staff left me feeling disheartened and disrespected.</t>
  </si>
  <si>
    <t>The flight attendants were slow in providing beverage service and seemed inattentive.</t>
  </si>
  <si>
    <t>Limited space for carry-on luggage.</t>
  </si>
  <si>
    <t>I noticed unclean or dusty overhead compartments.</t>
  </si>
  <si>
    <t>The airline did not provide any updates or explanations for a prolonged delay, leaving passengers uninformed.</t>
  </si>
  <si>
    <t>The airline didn't provide any allergy-friendly meal options, disregarding passengers' health and well-being.</t>
  </si>
  <si>
    <t>I had important plans upon arrival, and the flight delay ruined everything.</t>
  </si>
  <si>
    <t>Inadequate seating arrangements for families made it challenging to stay together during the flight.</t>
  </si>
  <si>
    <t>The customer service agent provided incorrect information that led to additional complications.</t>
  </si>
  <si>
    <t>Difficulties with online check-in process.</t>
  </si>
  <si>
    <t>The turbulence was so intense that it caused passengers to gasp and scream, and the airline's response was inadequate in addressing their concerns.</t>
  </si>
  <si>
    <t>I encountered difficulties in upgrading my seat on the flight.</t>
  </si>
  <si>
    <t>I found the check-in process to be lengthy and confusing, with unclear instructions and unhelpful staff.</t>
  </si>
  <si>
    <t>The airline lost my luggage temporarily.</t>
  </si>
  <si>
    <t>The flight departure was delayed, resulting in missed connections for passengers.</t>
  </si>
  <si>
    <t>I experienced extreme anxiety and fear during the turbulence, and the airline did not offer any support or calming measures.</t>
  </si>
  <si>
    <t>The staff displayed a lack of professionalism and competence.</t>
  </si>
  <si>
    <t>I encountered a delay in receiving my requested non-alcoholic beverage.</t>
  </si>
  <si>
    <t>The airline's inflight meals were of poor quality, with unappetizing options and insufficient portion sizes.</t>
  </si>
  <si>
    <t>The delay in departure resulted in missed opportunities and financial loss.</t>
  </si>
  <si>
    <t>The staff at the gate was unorganized and disoriented.</t>
  </si>
  <si>
    <t>The food served onboard was of poor quality and tasteless.</t>
  </si>
  <si>
    <t>The lavatory soap dispensers were empty or not functioning.</t>
  </si>
  <si>
    <t>Delays in receiving checked baggage disrupted travel plans and caused inconvenience.</t>
  </si>
  <si>
    <t>The departure delay resulted in a missed opportunity for me to attend an important family gathering, leaving me feeling deeply disappointed and resentful towards the airline.</t>
  </si>
  <si>
    <t>The airline didn't provide sufficient seating for passengers during a layover, causing inconvenience.</t>
  </si>
  <si>
    <t>I experienced a lack of courtesy and respect from the airline staff.</t>
  </si>
  <si>
    <t>The delays from this airline have left me in a state of complete outrage!</t>
  </si>
  <si>
    <t>The departure was delayed without any clear explanation, leaving me stranded at the gate and uncertain about when I would be able to board the plane.</t>
  </si>
  <si>
    <t>The flight did not provide any exclusive benefits or privileges for the high price paid.</t>
  </si>
  <si>
    <t>I received my bag with broken or damaged zippers.</t>
  </si>
  <si>
    <t>The cabin temperature was too hot, and the flight attendants seemed unconcerned about it.</t>
  </si>
  <si>
    <t>The lavatory mirrors were dirty and not properly cleaned.</t>
  </si>
  <si>
    <t>I faced challenges understanding the airline's complex group booking policy, resulting in confusion and difficulties in arranging travel for a large group.</t>
  </si>
  <si>
    <t>The insensitive and disrespectful treatment I received from the airline's customer service agents left me feeling hurt and emotionally drained.</t>
  </si>
  <si>
    <t>The flight was consistently delayed without proper explanations.</t>
  </si>
  <si>
    <t>The airline's customer service was unhelpful and unsatisfactory.</t>
  </si>
  <si>
    <t>The limited space for carry-on luggage resulted in passengers struggling to find room for their belongings.</t>
  </si>
  <si>
    <t>I had problems with the airline's baggage policy, resulting in unexpected fees and confusion.</t>
  </si>
  <si>
    <t>Flight attendants displayed a lack of professionalism and were indifferent to passenger needs.</t>
  </si>
  <si>
    <t>I found unclean or sticky surfaces on the cabin window shades.</t>
  </si>
  <si>
    <t>The flight attendants were unresponsive to my requests, disregarding my needs and concerns.</t>
  </si>
  <si>
    <t>The boarding process was disorganized, causing chaos and delays.</t>
  </si>
  <si>
    <t>The airline didn't offer any complimentary snacks or beverages during the flight, disappointing passengers.</t>
  </si>
  <si>
    <t>The airline did not assist passengers with connecting flights, leading to missed connections.</t>
  </si>
  <si>
    <t>The behavior of the flight attendants was unprofessional, and they lacked courtesy towards passengers.</t>
  </si>
  <si>
    <t>The staff showed a lack of professionalism and empathy towards passengers.</t>
  </si>
  <si>
    <t>Inadequate enforcement of mask-wearing protocols.</t>
  </si>
  <si>
    <t>The baggage claim process was disorganized, causing delays and confusion upon arrival.</t>
  </si>
  <si>
    <t>The flight departure was delayed due to logistical challenges.</t>
  </si>
  <si>
    <t>The airline mishandled my fragile items, and they arrived broken.</t>
  </si>
  <si>
    <t>The extended delay in flight arrival left me feeling disheartened and robbed of precious time.</t>
  </si>
  <si>
    <t>The staff showed a lack of empathy and understanding towards passenger frustrations.</t>
  </si>
  <si>
    <t>The flight delay resulted in lost productivity for me.</t>
  </si>
  <si>
    <t>The flight had uncomfortable headrests that were non-adjustable, causing discomfort and neck strain.</t>
  </si>
  <si>
    <t>The staff provided inadequate explanations for flight delays or disruptions.</t>
  </si>
  <si>
    <t>The airline provided inconsistent or conflicting information regarding the whereabouts of my delayed baggage.</t>
  </si>
  <si>
    <t>The flight delay inconvenienced passengers and disrupted their travel arrangements.</t>
  </si>
  <si>
    <t>The flight attendants didn't assist with locating personal belongings left on the plane, causing distress and frustration.</t>
  </si>
  <si>
    <t>The airplane was outdated and in poor condition, raising safety concerns.</t>
  </si>
  <si>
    <t>The flight attendants didn't enforce the use of headphones for audio entertainment, disturbing other passengers.</t>
  </si>
  <si>
    <t>The flight delay caused me to lose valuable time with my loved ones. Upsetting.</t>
  </si>
  <si>
    <t>The flight lacked clear announcements regarding turbulence or other disruptions, causing anxiety and unease among passengers.</t>
  </si>
  <si>
    <t>The airline's customer service representatives were unresponsive and unhelpful, providing little assistance in resolving issues or answering questions.</t>
  </si>
  <si>
    <t>I received inadequate information about travel restrictions, leading to confusion and potential complications.</t>
  </si>
  <si>
    <t>The airline's baggage drop-off process was time-consuming and confusing, resulting in unnecessary stress and delays.</t>
  </si>
  <si>
    <t>The airline failed to properly manage unexpected delays.</t>
  </si>
  <si>
    <t>I was frustrated with the lack of clear instructions during the in-flight entertainment setup, resulting in wasted time and frustration.</t>
  </si>
  <si>
    <t>The flight attendants were inattentive and lacked professionalism.</t>
  </si>
  <si>
    <t>The airline did not prioritize passenger comfort or satisfaction.</t>
  </si>
  <si>
    <t>The airline provided inadequate updates regarding the delayed departure.</t>
  </si>
  <si>
    <t>The flight attendants lacked proper training to handle medical situations or emergencies.</t>
  </si>
  <si>
    <t>I encountered unclean or soiled seat belts.</t>
  </si>
  <si>
    <t>How dare this airline repeatedly delay flights? I'm seething with anger and frustration!</t>
  </si>
  <si>
    <t>The airline did not provide any gluten-free snack options.</t>
  </si>
  <si>
    <t>The airline didn't have enough space for passengers to stretch their legs during the flight, leading to discomfort.</t>
  </si>
  <si>
    <t>The seats were extremely uncomfortable, making it impossible to get any rest during the long flight.</t>
  </si>
  <si>
    <t>The flight attendants did not make an effort to ensure passenger satisfaction.</t>
  </si>
  <si>
    <t>The baggage claim area lacked clear instructions on how to report mishandled baggage.</t>
  </si>
  <si>
    <t>I'm furious about the delay in arrival, as it affected my business commitments.</t>
  </si>
  <si>
    <t>Despite the high ticket price, the flight experience felt average and unremarkable.</t>
  </si>
  <si>
    <t>I was extremely frustrated by the long delay in flight arrival.</t>
  </si>
  <si>
    <t>The staff was untrained and inexperienced.</t>
  </si>
  <si>
    <t>I expected better in-flight entertainment options.</t>
  </si>
  <si>
    <t>The airline failed to communicate the revised departure time.</t>
  </si>
  <si>
    <t>The lavatory doors were dirty and showed signs of poor maintenance.</t>
  </si>
  <si>
    <t>The turbulence was so intense that it triggered motion sickness for many passengers, and the airline did not offer appropriate remedies.</t>
  </si>
  <si>
    <t>I received a cold and tasteless meal on the flight.</t>
  </si>
  <si>
    <t>The staff at the check-in counter was slow and inefficient.</t>
  </si>
  <si>
    <t>I encountered long wait times at the boarding gate.</t>
  </si>
  <si>
    <t>The extended delay disrupted passengers' plans and caused inconvenience for all.</t>
  </si>
  <si>
    <t>The flight had a lack of announcements regarding turbulence or other disruptions, leaving passengers uninformed.</t>
  </si>
  <si>
    <t>I observed unclean or stained window shades in the aircraft.</t>
  </si>
  <si>
    <t>The lavatory countertops were dirty and not properly sanitized.</t>
  </si>
  <si>
    <t>I felt the airline should have offered complimentary access to noise-canceling headphones to help passengers cope with the turbulent flight.</t>
  </si>
  <si>
    <t>Inadequate communication regarding gate changes led to confusion and rushing.</t>
  </si>
  <si>
    <t>I experienced a long wait for the food cart to reach my row.</t>
  </si>
  <si>
    <t>I was given a seat with limited legroom.</t>
  </si>
  <si>
    <t>The flight had a strong smell of cleaning chemicals.</t>
  </si>
  <si>
    <t>The arrival delay disrupted my plans for the evening.</t>
  </si>
  <si>
    <t>The airline provided insufficient support and guidance during flight disruptions, leaving me frustrated and stranded.</t>
  </si>
  <si>
    <t>The airline's in-flight announcements were delivered in a monotone voice and lacked enthusiasm, making it difficult to engage with the information.</t>
  </si>
  <si>
    <t>Complications with the airline's refund policy made it challenging to receive the deserved compensation.</t>
  </si>
  <si>
    <t>The airline's online booking system was cumbersome and confusing, making it difficult to select preferred seats or add extra services.</t>
  </si>
  <si>
    <t>The flight attendant rushed through the meal service without proper explanation.</t>
  </si>
  <si>
    <t>The airline did not handle my complaint with urgency or care.</t>
  </si>
  <si>
    <t>I encountered difficulties in finding a trolley or assistance for my heavy baggage.</t>
  </si>
  <si>
    <t>The customer service agent was unapologetic and unsympathetic towards my issue.</t>
  </si>
  <si>
    <t>The prolonged delay in flight arrival left me feeling disappointed and exhausted.</t>
  </si>
  <si>
    <t>The delays from this airline have made me see red! I will make sure everyone knows about their incompetence!</t>
  </si>
  <si>
    <t>I had a limited vacation time, but the delay in departure wasted precious days.</t>
  </si>
  <si>
    <t>I was deeply disappointed when the airline failed to accommodate my special meal request, causing discomfort throughout the journey.</t>
  </si>
  <si>
    <t>The airline did not offer any complimentary Wi-Fi during the flight.</t>
  </si>
  <si>
    <t>I faced challenges in changing my flight reservations, experiencing inconvenience and additional fees.</t>
  </si>
  <si>
    <t>The air crew showed a lack of attentiveness to passenger requests and needs.</t>
  </si>
  <si>
    <t>The cleanliness of the aircraft was subpar.</t>
  </si>
  <si>
    <t>I had to carry my bags up and down stairs due to the absence of elevators or escalators.</t>
  </si>
  <si>
    <t>Assistance for passengers with disabilities was insufficient, making the journey challenging.</t>
  </si>
  <si>
    <t>The overall experience left me feeling emotionally depleted and disillusioned with the airline's level of service.</t>
  </si>
  <si>
    <t>The lack of communication during turbulence left me feeling uneasy and unsafe.</t>
  </si>
  <si>
    <t>I found the food quality to be below standard and unappetizing.</t>
  </si>
  <si>
    <t>I found the gate announcements to be inconsistent and lacking clear instructions, causing confusion and delays.</t>
  </si>
  <si>
    <t>The flight attendants did not assist with rebooking missed connections.</t>
  </si>
  <si>
    <t>The airline's loyalty program had complicated rules and restrictions.</t>
  </si>
  <si>
    <t>The customer service agent was unresponsive and provided vague answers.</t>
  </si>
  <si>
    <t>Limited selection of in-flight beverages.</t>
  </si>
  <si>
    <t>The airline provided insufficient support for passengers with anxiety or fear of flying, exacerbating my discomfort.</t>
  </si>
  <si>
    <t>The flight announcements were inaudible, and we missed important instructions.</t>
  </si>
  <si>
    <t>I received incorrect and misleading information from the airline staff.</t>
  </si>
  <si>
    <t>I encountered a complicated and lengthy security screening process that seemed inefficient and poorly managed.</t>
  </si>
  <si>
    <t>The flight attendants didn't enforce quiet hours during overnight flights, disrupting passengers' sleep.</t>
  </si>
  <si>
    <t>I felt the airline should have offered complimentary access to in-flight entertainment or Wi-Fi to distract passengers during the turbulent flight.</t>
  </si>
  <si>
    <t>Limited in-flight entertainment options.</t>
  </si>
  <si>
    <t>Disorganized boarding process created chaos and delays.</t>
  </si>
  <si>
    <t>The cabin temperature was uncomfortable throughout the journey.</t>
  </si>
  <si>
    <t>The airline provided minimal information or updates regarding the status of my delayed baggage.</t>
  </si>
  <si>
    <t>The turbulence was unexpected and severe, and the lack of communication and updates from the flight deck heightened my anxiety and fear.</t>
  </si>
  <si>
    <t>I had difficulties reaching customer service, experiencing long wait times or unhelpful responses.</t>
  </si>
  <si>
    <t>I expected better assistance for passengers with disabilities.</t>
  </si>
  <si>
    <t>I received a meal with bland and tasteless flavors.</t>
  </si>
  <si>
    <t>The lack of care and consideration from the airline made me feel like just another inconsequential passenger.</t>
  </si>
  <si>
    <t>The airline did not prioritize passengers' well-being or comfort.</t>
  </si>
  <si>
    <t>Unprofessional and discourteous flight attendants.</t>
  </si>
  <si>
    <t>Arrival was delayed, inconveniencing passengers and causing dissatisfaction.</t>
  </si>
  <si>
    <t>The flight attendant appeared overwhelmed and unable to handle requests.</t>
  </si>
  <si>
    <t>The airline didn't have enough staff at the check-in counters, resulting in long queues and delays.</t>
  </si>
  <si>
    <t>I received my bag with crushed or squashed belongings.</t>
  </si>
  <si>
    <t>I observed unclean or stained seatback screens.</t>
  </si>
  <si>
    <t>Non-compliance with special dietary requirements.</t>
  </si>
  <si>
    <t>I encountered difficulties understanding the airline's complex pet travel documentation requirements, resulting in confusion and extra expenses.</t>
  </si>
  <si>
    <t>I experienced a long wait for the snack cart to reach my row.</t>
  </si>
  <si>
    <t>The flight's tardiness in arrival created unnecessary stress for me.</t>
  </si>
  <si>
    <t>I found hair in my food served onboard.</t>
  </si>
  <si>
    <t>The flight was repeatedly delayed due to frequent gate changes and lack of proper communication.</t>
  </si>
  <si>
    <t>Despite notifying the airline about my special dietary requirements, they failed to accommodate them.</t>
  </si>
  <si>
    <t>I experienced a long wait at the baggage drop-off counter.</t>
  </si>
  <si>
    <t>Insufficient assistance for unaccompanied minors.</t>
  </si>
  <si>
    <t>The lack of value for money was evident throughout the entire flight experience.</t>
  </si>
  <si>
    <t>The baggage handling staff mishandled my valuable electronics, resulting in damage.</t>
  </si>
  <si>
    <t>The flight was turbulent, and the crew did not provide proper updates or reassurance.</t>
  </si>
  <si>
    <t>The flight attendants did not assist with locating personal belongings left on the plane.</t>
  </si>
  <si>
    <t>I received unsatisfactory assistance from the flight attendant during a medical emergency.</t>
  </si>
  <si>
    <t>I observed food debris left on the tray tables.</t>
  </si>
  <si>
    <t>I felt the airline should have offered compensation or alternative arrangements for the traumatic and turbulent flight experience.</t>
  </si>
  <si>
    <t>I faced inefficiencies in the lost and found process, making it challenging to retrieve my lost belongings.</t>
  </si>
  <si>
    <t>Service feels lackluster for the exhorbitant amount I paid.</t>
  </si>
  <si>
    <t>The baggage handling was inefficient, resulting in delays and a long wait for my checked luggage.</t>
  </si>
  <si>
    <t>The airline did not provide any charging stations at the gate area.</t>
  </si>
  <si>
    <t>The flight attendant was impatient and inattentive.</t>
  </si>
  <si>
    <t>The flight had a bumpy landing that caused discomfort.</t>
  </si>
  <si>
    <t>Insufficient support for passengers with pets.</t>
  </si>
  <si>
    <t>The flight encountered heavy snowfall, and it caused delays and disruptions to the travel schedule.</t>
  </si>
  <si>
    <t>The baggage claim area lacked sufficient seating or waiting areas for passengers.</t>
  </si>
  <si>
    <t>I had a scheduled appointment, but the flight delay made me reschedule everything.</t>
  </si>
  <si>
    <t>Lack of communication during turbulence.</t>
  </si>
  <si>
    <t>The turbulence was continuous and unsettling, making it difficult to focus on any activities or work during the flight.</t>
  </si>
  <si>
    <t>I was heartbroken by the significant delay in our flight departure, which ruined my special occasion.</t>
  </si>
  <si>
    <t>The flight encountered multiple delays, causing frustration.</t>
  </si>
  <si>
    <t>The cabin lacked proper disposal for used plastic bottles or cups.</t>
  </si>
  <si>
    <t>The airline's disregard for my safety and comfort during severe turbulence made me fear for my life and question their commitment to passenger well-being.</t>
  </si>
  <si>
    <t>I experienced discomfort and fear during the turbulence, and the airline did not offer any support or assistance.</t>
  </si>
  <si>
    <t>The airline did not offer any lactose-free meal options.</t>
  </si>
  <si>
    <t>The turbulence was continuous and unsettling, making it challenging to enjoy any in-flight entertainment or activities.</t>
  </si>
  <si>
    <t>I received unprofessional treatment from the flight attendant.</t>
  </si>
  <si>
    <t>The airline's onboard Wi-Fi service was unreliable and slow, failing to meet passengers' expectations for connectivity.</t>
  </si>
  <si>
    <t>The air crew showed a lack of professionalism and attention to detail.</t>
  </si>
  <si>
    <t>I encountered a delay in receiving my requested in-flight meal.</t>
  </si>
  <si>
    <t>I had a connecting flight, but the delay made me miss it. Terrible experience.</t>
  </si>
  <si>
    <t>The flight crew did not demonstrate confidence or reassurance during the challenging weather conditions.</t>
  </si>
  <si>
    <t>The flight delay created unnecessary hassle.</t>
  </si>
  <si>
    <t>I felt emotionally drained and disheartened when the airline failed to provide proper assistance to my elderly family member during the flight.</t>
  </si>
  <si>
    <t>The baggage handling staff mishandled my valuable items and caused damage.</t>
  </si>
  <si>
    <t>I found the gate area to be lacking amenities such as charging ports or comfortable seating, causing inconvenience for passengers.</t>
  </si>
  <si>
    <t>The airline's onboard food options were limited and unappetizing, offering little variety or quality for passengers.</t>
  </si>
  <si>
    <t>The boarding procedure was chaotic and disorganized, leaving me feeling frustrated and rushed.</t>
  </si>
  <si>
    <t>I had a tight schedule, and the flight delay disrupted everything. Very frustrating.</t>
  </si>
  <si>
    <t>The baggage handling staff mishandled my fragile items, causing them to shatter.</t>
  </si>
  <si>
    <t>The turbulence was prolonged and turbulent, causing discomfort and unease throughout the entire journey.</t>
  </si>
  <si>
    <t>I encountered a lack of helpfulness from the airline staff.</t>
  </si>
  <si>
    <t>I expected better assistance for passengers with hearing impairments.</t>
  </si>
  <si>
    <t>The flight encountered strong winds, and it caused turbulence throughout the journey.</t>
  </si>
  <si>
    <t>The flight did not offer any premium services or amenities that would justify the high price.</t>
  </si>
  <si>
    <t>Challenges in changing flight reservations.</t>
  </si>
  <si>
    <t>Challenges in obtaining refunds for canceled flights due to lengthy processing times and bureaucracy.</t>
  </si>
  <si>
    <t>The flight attendants didn't offer any pillows or blankets upon request, compromising passenger comfort.</t>
  </si>
  <si>
    <t>The flight was overbooked, and I was forced to give up my seat, causing inconvenience.</t>
  </si>
  <si>
    <t>I felt the airline did not prioritize passenger safety and comfort, as the turbulence was not adequately managed.</t>
  </si>
  <si>
    <t>The airline's in-flight announcements were delivered too quickly and with an accent that made it difficult to understand, causing confusion among passengers.</t>
  </si>
  <si>
    <t>The air crew displayed a lack of empathy towards passenger concerns.</t>
  </si>
  <si>
    <t>The airline provided limited updates or information regarding the status of my delayed baggage.</t>
  </si>
  <si>
    <t>I was served a meal with limited options for vegetarians or vegans.</t>
  </si>
  <si>
    <t>The airline's disregard for my dietary restrictions and allergies, despite prior notification, left me feeling unsafe and exposed to potential health risks.</t>
  </si>
  <si>
    <t>The airline provided inadequate assistance during flight disruptions, causing frustration and anxiety.</t>
  </si>
  <si>
    <t>I received my bag with a broken handle or wheels.</t>
  </si>
  <si>
    <t>The airline provided insufficient assistance for passengers with allergies, compromising their well-being.</t>
  </si>
  <si>
    <t>The flight attendants were impolite and displayed a lack of empathy towards passengers.</t>
  </si>
  <si>
    <t>The in-flight entertainment system was not working.</t>
  </si>
  <si>
    <t>I felt crushed when the airline refused to provide compensation or alternative arrangements after my flight was delayed for an unreasonable amount of time, causing significant disruptions to my travel plans.</t>
  </si>
  <si>
    <t>Limited selection of in-flight snacks.</t>
  </si>
  <si>
    <t>The flight lacked proper ventilation, leading to discomfort and stuffiness.</t>
  </si>
  <si>
    <t>The lack of assistance and support from the airline when I fell ill during the flight left me feeling scared and vulnerable.</t>
  </si>
  <si>
    <t>The airline did not have a clear process for handling lost baggage.</t>
  </si>
  <si>
    <t>I encountered difficulties understanding the airline's complex change fee policy, resulting in unexpected charges and frustrations.</t>
  </si>
  <si>
    <t>The airline did not provide adequate seating arrangements for families, making it challenging to stay together during the flight.</t>
  </si>
  <si>
    <t>The airline didn't offer any complimentary beverages during the layover, leaving passengers thirsty.</t>
  </si>
  <si>
    <t>I expected better communication from the flight crew about the weather conditions and their impact on the flight.</t>
  </si>
  <si>
    <t>The customer service agent gave incorrect information that led to confusion.</t>
  </si>
  <si>
    <t>The flight attendants were dismissive of passenger complaints.</t>
  </si>
  <si>
    <t>I cannot believe the flight arrived late. Unacceptable service!</t>
  </si>
  <si>
    <t>Arrival was delayed, disrupting my plans for the day.</t>
  </si>
  <si>
    <t>The airline lost my luggage and provided no assistance.</t>
  </si>
  <si>
    <t>The air crew lacked proper communication with passengers.</t>
  </si>
  <si>
    <t>The flight departure was delayed due to maintenance issues.</t>
  </si>
  <si>
    <t>The airline's website and mobile app were unreliable.</t>
  </si>
  <si>
    <t>Insufficient assistance during flight disruptions.</t>
  </si>
  <si>
    <t>I had to endure a lengthy delay in flight departure without any clear updates from the airline.</t>
  </si>
  <si>
    <t>I am boiling with anger! This airline's delays have ruined my travel experience!</t>
  </si>
  <si>
    <t>The airline charged excessive prices for basic amenities like blankets and pillows.</t>
  </si>
  <si>
    <t>Faulty and unreliable onboard entertainment system.</t>
  </si>
  <si>
    <t>The cabin lacked proper disposal for used napkins or wipes.</t>
  </si>
  <si>
    <t>The airline lacked efficiency in managing flight schedules.</t>
  </si>
  <si>
    <t>I encountered a delay in receiving my requested special meal for medical reasons.</t>
  </si>
  <si>
    <t>The flight had a lack of space for passengers to stretch their legs, causing discomfort and restlessness.</t>
  </si>
  <si>
    <t>Comments</t>
  </si>
  <si>
    <t>Main Category</t>
  </si>
  <si>
    <t>SubCategory</t>
  </si>
  <si>
    <t>Time-related issues</t>
  </si>
  <si>
    <t>Difficulties and challenges</t>
  </si>
  <si>
    <t>Service inadequacy</t>
  </si>
  <si>
    <t>Main Categories</t>
  </si>
  <si>
    <t>Professionalism and behavior issues</t>
  </si>
  <si>
    <t>Pricing and policy issues</t>
  </si>
  <si>
    <t>Communication and understanding issues</t>
  </si>
  <si>
    <t>Others</t>
  </si>
  <si>
    <t>Sub Categories</t>
  </si>
  <si>
    <t>Flight delays</t>
  </si>
  <si>
    <t>Long waits</t>
  </si>
  <si>
    <t>Postponed departures</t>
  </si>
  <si>
    <t>Unclear flight announcements</t>
  </si>
  <si>
    <t>Inadequate information about travel restrictions</t>
  </si>
  <si>
    <t>Inconsistent information from staff</t>
  </si>
  <si>
    <t>Cleanliness issues</t>
  </si>
  <si>
    <t>Food and beverage issues</t>
  </si>
  <si>
    <t>In-flight entertainment issues</t>
  </si>
  <si>
    <t>Baggage issues</t>
  </si>
  <si>
    <t>Seating issues</t>
  </si>
  <si>
    <t>Online services issues</t>
  </si>
  <si>
    <t>Customer service issues</t>
  </si>
  <si>
    <t>Technical difficulties</t>
  </si>
  <si>
    <t>Difficulties with special services</t>
  </si>
  <si>
    <t>Difficulties with flight changes and upgrades</t>
  </si>
  <si>
    <t>Difficulties with loyalty program</t>
  </si>
  <si>
    <t>Unprofessional behavior</t>
  </si>
  <si>
    <t>Rudeness</t>
  </si>
  <si>
    <t>Dismissiveness</t>
  </si>
  <si>
    <t>Inattentiveness</t>
  </si>
  <si>
    <t>Neglecting</t>
  </si>
  <si>
    <t>Emergencies</t>
  </si>
  <si>
    <t>Disruptions</t>
  </si>
  <si>
    <t>High ticket prices</t>
  </si>
  <si>
    <t>Unexpected fees</t>
  </si>
  <si>
    <t>Overbooking</t>
  </si>
  <si>
    <t>Cancellation</t>
  </si>
  <si>
    <t>Refund</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</si>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</sst>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3">
    <xf numFmtId="0" fontId="0" fillId="0" borderId="0" xfId="0"/>
    <xf numFmtId="0" fontId="16" fillId="0" borderId="0" xfId="0"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styles" Target="styles.xml"/><Relationship Id="rId7"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17/10/relationships/person" Target="persons/person.xml"/><Relationship Id="rId11" Type="http://schemas.microsoft.com/office/2006/relationships/vbaProject" Target="vbaProject.bin"/><Relationship Id="rId5" Type="http://schemas.openxmlformats.org/officeDocument/2006/relationships/sheetMetadata" Target="metadata.xml"/><Relationship Id="rId10" Type="http://schemas.openxmlformats.org/officeDocument/2006/relationships/customXml" Target="../customXml/item3.xml"/><Relationship Id="rId4" Type="http://schemas.openxmlformats.org/officeDocument/2006/relationships/sharedStrings" Target="sharedStrings.xml"/><Relationship Id="rId9" Type="http://schemas.openxmlformats.org/officeDocument/2006/relationships/customXml" Target="../customXml/item2.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Negative Comments</cx:v>
        </cx:txData>
      </cx:tx>
      <cx:txPr>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Calibri" panose="020F0502020204030204"/>
            </a:rPr>
            <a:t>Negative Comments</a:t>
          </a:r>
        </a:p>
      </cx:txPr>
    </cx:title>
    <cx:plotArea>
      <cx:plotAreaRegion>
        <cx:series layoutId="waterfall" uniqueId="{E93AC18C-56E1-2C42-8544-0EEA8B8E276D}" formatIdx="0">
          <cx:dataPt idx="7"/>
          <cx:dataLabels pos="outEnd">
            <cx:visibility seriesName="0" categoryName="0" value="1"/>
          </cx:dataLabels>
          <cx:dataId val="0"/>
          <cx:layoutPr>
            <cx:subtotals>
              <cx:idx val="7"/>
            </cx:subtotals>
          </cx:layoutPr>
        </cx:series>
      </cx:plotAreaRegion>
      <cx:axis id="0">
        <cx:catScaling gapWidth="0.5"/>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12</xdr:col>
      <xdr:colOff>152397</xdr:colOff>
      <xdr:row>11</xdr:row>
      <xdr:rowOff>133350</xdr:rowOff>
    </xdr:from>
    <xdr:to>
      <xdr:col>21</xdr:col>
      <xdr:colOff>522339</xdr:colOff>
      <xdr:row>32</xdr:row>
      <xdr:rowOff>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BF85BF59-0DDF-B6AC-B669-3486AEC8AE9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8866913" y="2499237"/>
              <a:ext cx="7836313" cy="4383344"/>
            </a:xfrm>
            <a:prstGeom prst="rect">
              <a:avLst/>
            </a:prstGeom>
            <a:solidFill>
              <a:prstClr val="white"/>
            </a:solidFill>
            <a:ln w="1">
              <a:solidFill>
                <a:prstClr val="green"/>
              </a:solidFill>
            </a:ln>
          </xdr:spPr>
          <xdr:txBody>
            <a:bodyPr vertOverflow="clip" horzOverflow="clip"/>
            <a:lstStyle/>
            <a:p>
              <a:r>
                <a:rPr lang="en-SG" sz="1100"/>
                <a:t>This chart isn't available in your version of Excel.
Editing this shape or saving this workbook into a different file format will permanently break the chart.</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O14934"/>
  <sheetViews>
    <sheetView tabSelected="1" topLeftCell="I1" zoomScale="50" zoomScaleNormal="67" workbookViewId="0">
      <selection activeCell="Y57" sqref="Y57"/>
    </sheetView>
  </sheetViews>
  <sheetFormatPr defaultColWidth="11" defaultRowHeight="15.75" x14ac:dyDescent="0.25"/>
  <cols>
    <col min="1" max="1" width="7.125" bestFit="1" customWidth="1"/>
    <col min="2" max="2" width="19.125" bestFit="1" customWidth="1"/>
    <col min="3" max="3" width="15.5" bestFit="1" customWidth="1"/>
    <col min="4" max="4" width="183" bestFit="1" customWidth="1"/>
    <col min="5" max="5" width="95.875" customWidth="1"/>
    <col min="6" max="6" width="35.875" bestFit="1" customWidth="1"/>
    <col min="7" max="7" width="41.375" bestFit="1" customWidth="1"/>
    <col min="9" max="9" width="35.875" bestFit="1" customWidth="1"/>
    <col min="11" max="11" width="41.375" bestFit="1" customWidth="1"/>
  </cols>
  <sheetData>
    <row r="1" spans="1:15" x14ac:dyDescent="0.25">
      <c r="A1" t="s">
        <v>0</v>
      </c>
      <c r="B1" t="s">
        <v>1</v>
      </c>
      <c r="C1" t="s">
        <v>2</v>
      </c>
      <c r="D1" t="s">
        <v>3</v>
      </c>
      <c r="E1" t="s">
        <v>2169</v>
      </c>
      <c r="F1" t="s">
        <v>2170</v>
      </c>
      <c r="G1" t="s">
        <v>2171</v>
      </c>
    </row>
    <row r="2" spans="1:15" x14ac:dyDescent="0.25">
      <c r="A2">
        <v>17946</v>
      </c>
      <c r="B2" t="s">
        <v>4</v>
      </c>
      <c r="C2">
        <v>4</v>
      </c>
      <c r="D2" t="s">
        <v>354</v>
      </c>
      <c r="E2" t="s">
        <v>354</v>
      </c>
      <c r="F2" t="str" cm="1">
        <f t="array" ref="F2">CategorizeComment(E2)</f>
        <v>Other</v>
      </c>
      <c r="G2" t="str" cm="1">
        <f t="array" ref="G2">SubCategorizeComment(E2)</f>
        <v>Other</v>
      </c>
      <c r="I2" s="1" t="s">
        <v>2175</v>
      </c>
      <c r="K2" s="1" t="s">
        <v>2180</v>
      </c>
    </row>
    <row r="3" spans="1:15" x14ac:dyDescent="0.25">
      <c r="A3">
        <v>45565</v>
      </c>
      <c r="B3" t="s">
        <v>4</v>
      </c>
      <c r="C3">
        <v>4</v>
      </c>
      <c r="D3" t="s">
        <v>864</v>
      </c>
      <c r="E3" t="s">
        <v>864</v>
      </c>
      <c r="F3" t="str" cm="1">
        <f t="array" ref="F3">CategorizeComment(E3)</f>
        <v>Difficulties and challenges</v>
      </c>
      <c r="G3" t="str" cm="1">
        <f t="array" ref="G3">SubCategorizeComment(E3)</f>
        <v>Other</v>
      </c>
      <c r="I3" s="2" t="s">
        <v>2172</v>
      </c>
      <c r="J3" s="4">
        <f>COUNTIF(F2:F781,"Time-related issues")</f>
        <v>264</v>
      </c>
      <c r="K3" s="3" t="s">
        <v>2181</v>
      </c>
      <c r="L3" s="4">
        <f>COUNTIF($G$2:$G$781, "Flight delays")</f>
        <v>215</v>
      </c>
    </row>
    <row r="4" spans="1:15" x14ac:dyDescent="0.25">
      <c r="A4">
        <v>56631</v>
      </c>
      <c r="B4" t="s">
        <v>4</v>
      </c>
      <c r="C4">
        <v>3</v>
      </c>
      <c r="D4" t="s">
        <v>1056</v>
      </c>
      <c r="E4" t="s">
        <v>1056</v>
      </c>
      <c r="F4" t="str" cm="1">
        <f t="array" ref="F4">CategorizeComment(E4)</f>
        <v>Time-related issues</v>
      </c>
      <c r="G4" t="str" cm="1">
        <f t="array" ref="G4">SubCategorizeComment(E4)</f>
        <v>Flight delays</v>
      </c>
      <c r="I4" s="5"/>
      <c r="J4" s="6"/>
      <c r="K4" t="s">
        <v>2182</v>
      </c>
      <c r="L4" s="6">
        <f>COUNTIF($G$2:$G$781, "Long waits")</f>
        <v>32</v>
      </c>
      <c r="N4" s="2" t="s">
        <v>2172</v>
      </c>
      <c r="O4" s="4">
        <f>COUNTIF(K3:K782,"Time-related issues")</f>
        <v>0</v>
      </c>
    </row>
    <row r="5" spans="1:15" x14ac:dyDescent="0.25">
      <c r="A5">
        <v>71586</v>
      </c>
      <c r="B5" t="s">
        <v>4</v>
      </c>
      <c r="C5">
        <v>4</v>
      </c>
      <c r="D5" t="s">
        <v>1303</v>
      </c>
      <c r="E5" t="s">
        <v>1303</v>
      </c>
      <c r="F5" t="str" cm="1">
        <f t="array" ref="F5">CategorizeComment(E5)</f>
        <v>Time-related issues</v>
      </c>
      <c r="G5" t="str" cm="1">
        <f t="array" ref="G5">SubCategorizeComment(E5)</f>
        <v>Flight delays</v>
      </c>
      <c r="I5" s="7"/>
      <c r="J5" s="9"/>
      <c r="K5" s="8" t="s">
        <v>2183</v>
      </c>
      <c r="L5" s="9">
        <f>COUNTIF($G$2:$G$781, "Postponed departures")</f>
        <v>17</v>
      </c>
      <c r="N5" s="2" t="s">
        <v>2178</v>
      </c>
      <c r="O5" s="4">
        <f>COUNTIF($F$2:$F$781,"Communication and understanding issues")</f>
        <v>36</v>
      </c>
    </row>
    <row r="6" spans="1:15" x14ac:dyDescent="0.25">
      <c r="A6">
        <v>128609</v>
      </c>
      <c r="B6" t="s">
        <v>4</v>
      </c>
      <c r="C6">
        <v>4</v>
      </c>
      <c r="D6" t="s">
        <v>2155</v>
      </c>
      <c r="E6" t="s">
        <v>2155</v>
      </c>
      <c r="F6" t="str" cm="1">
        <f t="array" ref="F6">CategorizeComment(E6)</f>
        <v>Time-related issues</v>
      </c>
      <c r="G6" t="str" cm="1">
        <f t="array" ref="G6">SubCategorizeComment(E6)</f>
        <v>Flight delays</v>
      </c>
      <c r="I6" s="2" t="s">
        <v>2178</v>
      </c>
      <c r="J6" s="4">
        <f>COUNTIF($F$2:$F$781,"Communication and understanding issues")</f>
        <v>36</v>
      </c>
      <c r="K6" s="3" t="s">
        <v>2184</v>
      </c>
      <c r="L6" s="4">
        <f>COUNTIF($G$2:$G$781, "Unclear flight announcements")</f>
        <v>6</v>
      </c>
      <c r="N6" s="2" t="s">
        <v>2174</v>
      </c>
      <c r="O6" s="4">
        <f>COUNTIF($F$2:$F$781,"Service inadequacy")</f>
        <v>211</v>
      </c>
    </row>
    <row r="7" spans="1:15" x14ac:dyDescent="0.25">
      <c r="A7">
        <v>54497</v>
      </c>
      <c r="B7" t="s">
        <v>4</v>
      </c>
      <c r="C7">
        <v>4</v>
      </c>
      <c r="D7" t="s">
        <v>1022</v>
      </c>
      <c r="E7" t="s">
        <v>1022</v>
      </c>
      <c r="F7" t="str" cm="1">
        <f t="array" ref="F7">CategorizeComment(E7)</f>
        <v>Time-related issues</v>
      </c>
      <c r="G7" t="str" cm="1">
        <f t="array" ref="G7">SubCategorizeComment(E7)</f>
        <v>Flight delays</v>
      </c>
      <c r="I7" s="5"/>
      <c r="J7" s="6"/>
      <c r="K7" t="s">
        <v>2185</v>
      </c>
      <c r="L7" s="6">
        <f>COUNTIF($G$2:$G$781, "Inadequate information about travel restrictions")</f>
        <v>27</v>
      </c>
      <c r="N7" s="2" t="s">
        <v>2173</v>
      </c>
      <c r="O7" s="4">
        <f>COUNTIF($F$2:$F$781,"Difficulties and challenges")</f>
        <v>24</v>
      </c>
    </row>
    <row r="8" spans="1:15" x14ac:dyDescent="0.25">
      <c r="A8">
        <v>122818</v>
      </c>
      <c r="B8" t="s">
        <v>4</v>
      </c>
      <c r="C8">
        <v>4</v>
      </c>
      <c r="D8" t="s">
        <v>2069</v>
      </c>
      <c r="E8" t="s">
        <v>2069</v>
      </c>
      <c r="F8" t="str" cm="1">
        <f t="array" ref="F8">CategorizeComment(E8)</f>
        <v>Time-related issues</v>
      </c>
      <c r="G8" t="str" cm="1">
        <f t="array" ref="G8">SubCategorizeComment(E8)</f>
        <v>Flight delays</v>
      </c>
      <c r="I8" s="7"/>
      <c r="J8" s="9"/>
      <c r="K8" s="8" t="s">
        <v>2186</v>
      </c>
      <c r="L8" s="9">
        <f>COUNTIF($G$2:$G$781, "Inconsistent information from staff")</f>
        <v>3</v>
      </c>
      <c r="N8" s="2" t="s">
        <v>2176</v>
      </c>
      <c r="O8" s="4">
        <f>COUNTIF($F$2:$F$781,"Professionalism and behavior issues")</f>
        <v>6</v>
      </c>
    </row>
    <row r="9" spans="1:15" x14ac:dyDescent="0.25">
      <c r="A9">
        <v>9288</v>
      </c>
      <c r="B9" t="s">
        <v>4</v>
      </c>
      <c r="C9">
        <v>4</v>
      </c>
      <c r="D9" t="s">
        <v>185</v>
      </c>
      <c r="E9" t="s">
        <v>185</v>
      </c>
      <c r="F9" t="str" cm="1">
        <f t="array" ref="F9">CategorizeComment(E9)</f>
        <v>Time-related issues</v>
      </c>
      <c r="G9" t="str" cm="1">
        <f t="array" ref="G9">SubCategorizeComment(E9)</f>
        <v>Flight delays</v>
      </c>
      <c r="I9" s="2" t="s">
        <v>2174</v>
      </c>
      <c r="J9" s="4">
        <f>COUNTIF($F$2:$F$781,"Service inadequacy")</f>
        <v>211</v>
      </c>
      <c r="K9" s="3" t="s">
        <v>2187</v>
      </c>
      <c r="L9" s="4">
        <f>COUNTIF($G$2:$G$781, "Cleanliness issues")</f>
        <v>40</v>
      </c>
      <c r="N9" s="2" t="s">
        <v>2177</v>
      </c>
      <c r="O9" s="4">
        <f>COUNTIF($F$2:$F$781,"Pricing and policy issues")</f>
        <v>6</v>
      </c>
    </row>
    <row r="10" spans="1:15" x14ac:dyDescent="0.25">
      <c r="A10">
        <v>53554</v>
      </c>
      <c r="B10" t="s">
        <v>4</v>
      </c>
      <c r="C10">
        <v>4</v>
      </c>
      <c r="D10" t="s">
        <v>1000</v>
      </c>
      <c r="E10" t="s">
        <v>1000</v>
      </c>
      <c r="F10" t="str" cm="1">
        <f t="array" ref="F10">CategorizeComment(E10)</f>
        <v>Time-related issues</v>
      </c>
      <c r="G10" t="str" cm="1">
        <f t="array" ref="G10">SubCategorizeComment(E10)</f>
        <v>Flight delays</v>
      </c>
      <c r="I10" s="5"/>
      <c r="J10" s="6"/>
      <c r="K10" t="s">
        <v>2188</v>
      </c>
      <c r="L10" s="6">
        <f>COUNTIF($G$2:$G$781, "Food and beverage issues")</f>
        <v>17</v>
      </c>
      <c r="N10" s="10" t="s">
        <v>2179</v>
      </c>
      <c r="O10" s="12">
        <f>COUNTIF($F$2:$F$781,"Other")</f>
        <v>233</v>
      </c>
    </row>
    <row r="11" spans="1:15" x14ac:dyDescent="0.25">
      <c r="A11">
        <v>89287</v>
      </c>
      <c r="B11" t="s">
        <v>4</v>
      </c>
      <c r="C11">
        <v>4</v>
      </c>
      <c r="D11" t="s">
        <v>1559</v>
      </c>
      <c r="E11" t="s">
        <v>1559</v>
      </c>
      <c r="F11" t="str" cm="1">
        <f t="array" ref="F11">CategorizeComment(E11)</f>
        <v>Time-related issues</v>
      </c>
      <c r="G11" t="str" cm="1">
        <f t="array" ref="G11">SubCategorizeComment(E11)</f>
        <v>Flight delays</v>
      </c>
      <c r="I11" s="5"/>
      <c r="J11" s="6"/>
      <c r="K11" t="s">
        <v>2189</v>
      </c>
      <c r="L11" s="6">
        <f>COUNTIF($G$2:$G$781, "In-flight entertainment issues")</f>
        <v>11</v>
      </c>
      <c r="N11" t="s">
        <v>2210</v>
      </c>
      <c r="O11" t="e">
        <f>SUM(#REF!)</f>
        <v>#REF!</v>
      </c>
    </row>
    <row r="12" spans="1:15" x14ac:dyDescent="0.25">
      <c r="A12">
        <v>55800</v>
      </c>
      <c r="B12" t="s">
        <v>4</v>
      </c>
      <c r="C12">
        <v>3</v>
      </c>
      <c r="D12" t="s">
        <v>1043</v>
      </c>
      <c r="E12" t="s">
        <v>1043</v>
      </c>
      <c r="F12" t="str" cm="1">
        <f t="array" ref="F12">CategorizeComment(E12)</f>
        <v>Service inadequacy</v>
      </c>
      <c r="G12" t="str" cm="1">
        <f t="array" ref="G12">SubCategorizeComment(E12)</f>
        <v>Other</v>
      </c>
      <c r="I12" s="5"/>
      <c r="J12" s="6"/>
      <c r="K12" t="s">
        <v>2190</v>
      </c>
      <c r="L12" s="6">
        <f>COUNTIF($G$2:$G$781, "Baggage issues")</f>
        <v>23</v>
      </c>
    </row>
    <row r="13" spans="1:15" x14ac:dyDescent="0.25">
      <c r="A13">
        <v>105254</v>
      </c>
      <c r="B13" t="s">
        <v>4</v>
      </c>
      <c r="C13">
        <v>4</v>
      </c>
      <c r="D13" t="s">
        <v>1799</v>
      </c>
      <c r="E13" t="s">
        <v>1799</v>
      </c>
      <c r="F13" t="str" cm="1">
        <f t="array" ref="F13">CategorizeComment(E13)</f>
        <v>Other</v>
      </c>
      <c r="G13" t="str" cm="1">
        <f t="array" ref="G13">SubCategorizeComment(E13)</f>
        <v>Other</v>
      </c>
      <c r="I13" s="5"/>
      <c r="J13" s="6"/>
      <c r="K13" t="s">
        <v>2191</v>
      </c>
      <c r="L13" s="6">
        <f>COUNTIF($G$2:$G$781, "Seating issues")</f>
        <v>12</v>
      </c>
    </row>
    <row r="14" spans="1:15" x14ac:dyDescent="0.25">
      <c r="A14">
        <v>15316</v>
      </c>
      <c r="B14" t="s">
        <v>4</v>
      </c>
      <c r="C14">
        <v>4</v>
      </c>
      <c r="D14" t="s">
        <v>293</v>
      </c>
      <c r="E14" t="s">
        <v>293</v>
      </c>
      <c r="F14" t="str" cm="1">
        <f t="array" ref="F14">CategorizeComment(E14)</f>
        <v>Service inadequacy</v>
      </c>
      <c r="G14" t="str" cm="1">
        <f t="array" ref="G14">SubCategorizeComment(E14)</f>
        <v>Other</v>
      </c>
      <c r="I14" s="5"/>
      <c r="J14" s="6"/>
      <c r="K14" t="s">
        <v>2192</v>
      </c>
      <c r="L14" s="6">
        <f>COUNTIF($G$2:$G$781, "Online services issues")</f>
        <v>6</v>
      </c>
    </row>
    <row r="15" spans="1:15" x14ac:dyDescent="0.25">
      <c r="A15">
        <v>76204</v>
      </c>
      <c r="B15" t="s">
        <v>4</v>
      </c>
      <c r="C15">
        <v>3</v>
      </c>
      <c r="D15" t="s">
        <v>1377</v>
      </c>
      <c r="E15" t="s">
        <v>1377</v>
      </c>
      <c r="F15" t="str" cm="1">
        <f t="array" ref="F15">CategorizeComment(E15)</f>
        <v>Other</v>
      </c>
      <c r="G15" t="str" cm="1">
        <f t="array" ref="G15">SubCategorizeComment(E15)</f>
        <v>Other</v>
      </c>
      <c r="I15" s="7"/>
      <c r="J15" s="9"/>
      <c r="K15" s="8" t="s">
        <v>2193</v>
      </c>
      <c r="L15" s="9">
        <f>COUNTIF($G$2:$G$781, "Customer service issues")</f>
        <v>16</v>
      </c>
    </row>
    <row r="16" spans="1:15" x14ac:dyDescent="0.25">
      <c r="A16">
        <v>90130</v>
      </c>
      <c r="B16" t="s">
        <v>4</v>
      </c>
      <c r="C16">
        <v>4</v>
      </c>
      <c r="D16" t="s">
        <v>1572</v>
      </c>
      <c r="E16" t="s">
        <v>1572</v>
      </c>
      <c r="F16" t="str" cm="1">
        <f t="array" ref="F16">CategorizeComment(E16)</f>
        <v>Other</v>
      </c>
      <c r="G16" t="str" cm="1">
        <f t="array" ref="G16">SubCategorizeComment(E16)</f>
        <v>Other</v>
      </c>
      <c r="I16" s="2" t="s">
        <v>2173</v>
      </c>
      <c r="J16" s="4">
        <f>COUNTIF($F$2:$F$781,"Difficulties and challenges")</f>
        <v>24</v>
      </c>
      <c r="K16" s="3" t="s">
        <v>2194</v>
      </c>
      <c r="L16" s="4">
        <f>COUNTIF($G$2:$G$781, "Technical difficulties")</f>
        <v>0</v>
      </c>
    </row>
    <row r="17" spans="1:12" x14ac:dyDescent="0.25">
      <c r="A17">
        <v>62041</v>
      </c>
      <c r="B17" t="s">
        <v>4</v>
      </c>
      <c r="C17">
        <v>4</v>
      </c>
      <c r="D17" t="s">
        <v>1153</v>
      </c>
      <c r="E17" t="s">
        <v>1153</v>
      </c>
      <c r="F17" t="str" cm="1">
        <f t="array" ref="F17">CategorizeComment(E17)</f>
        <v>Service inadequacy</v>
      </c>
      <c r="G17" t="str" cm="1">
        <f t="array" ref="G17">SubCategorizeComment(E17)</f>
        <v>Other</v>
      </c>
      <c r="I17" s="5"/>
      <c r="J17" s="6"/>
      <c r="K17" t="s">
        <v>2195</v>
      </c>
      <c r="L17" s="6">
        <f>COUNTIF($G$2:$G$781, "Difficulties with special services")</f>
        <v>0</v>
      </c>
    </row>
    <row r="18" spans="1:12" x14ac:dyDescent="0.25">
      <c r="A18">
        <v>38031</v>
      </c>
      <c r="B18" t="s">
        <v>4</v>
      </c>
      <c r="C18">
        <v>3</v>
      </c>
      <c r="D18" t="s">
        <v>729</v>
      </c>
      <c r="E18" t="s">
        <v>729</v>
      </c>
      <c r="F18" t="str" cm="1">
        <f t="array" ref="F18">CategorizeComment(E18)</f>
        <v>Other</v>
      </c>
      <c r="G18" t="str" cm="1">
        <f t="array" ref="G18">SubCategorizeComment(E18)</f>
        <v>Other</v>
      </c>
      <c r="I18" s="5"/>
      <c r="J18" s="6"/>
      <c r="K18" t="s">
        <v>2196</v>
      </c>
      <c r="L18" s="6">
        <f>COUNTIF($G$2:$G$781, "Difficulties with flight changes and upgrades")</f>
        <v>0</v>
      </c>
    </row>
    <row r="19" spans="1:12" x14ac:dyDescent="0.25">
      <c r="A19">
        <v>121505</v>
      </c>
      <c r="B19" t="s">
        <v>4</v>
      </c>
      <c r="C19">
        <v>3</v>
      </c>
      <c r="D19" t="s">
        <v>2043</v>
      </c>
      <c r="E19" t="s">
        <v>2043</v>
      </c>
      <c r="F19" t="str" cm="1">
        <f t="array" ref="F19">CategorizeComment(E19)</f>
        <v>Service inadequacy</v>
      </c>
      <c r="G19" t="str" cm="1">
        <f t="array" ref="G19">SubCategorizeComment(E19)</f>
        <v>Other</v>
      </c>
      <c r="I19" s="7"/>
      <c r="J19" s="9"/>
      <c r="K19" s="8" t="s">
        <v>2197</v>
      </c>
      <c r="L19" s="9">
        <f>COUNTIF($G$2:$G$781, "Difficulties with loyalty program")</f>
        <v>2</v>
      </c>
    </row>
    <row r="20" spans="1:12" x14ac:dyDescent="0.25">
      <c r="A20">
        <v>92790</v>
      </c>
      <c r="B20" t="s">
        <v>4</v>
      </c>
      <c r="C20">
        <v>2</v>
      </c>
      <c r="D20" t="s">
        <v>1621</v>
      </c>
      <c r="E20" t="s">
        <v>1621</v>
      </c>
      <c r="F20" t="str" cm="1">
        <f t="array" ref="F20">CategorizeComment(E20)</f>
        <v>Time-related issues</v>
      </c>
      <c r="G20" t="str" cm="1">
        <f t="array" ref="G20">SubCategorizeComment(E20)</f>
        <v>Flight delays</v>
      </c>
      <c r="I20" s="2" t="s">
        <v>2176</v>
      </c>
      <c r="J20" s="4">
        <f>COUNTIF($F$2:$F$781,"Professionalism and behavior issues")</f>
        <v>6</v>
      </c>
      <c r="K20" s="3" t="s">
        <v>2198</v>
      </c>
      <c r="L20" s="4">
        <f>COUNTIF($G$2:$G$781, "Unprofessional behavior")</f>
        <v>0</v>
      </c>
    </row>
    <row r="21" spans="1:12" x14ac:dyDescent="0.25">
      <c r="A21">
        <v>105535</v>
      </c>
      <c r="B21" t="s">
        <v>4</v>
      </c>
      <c r="C21">
        <v>4</v>
      </c>
      <c r="D21" t="s">
        <v>1804</v>
      </c>
      <c r="E21" t="s">
        <v>1804</v>
      </c>
      <c r="F21" t="str" cm="1">
        <f t="array" ref="F21">CategorizeComment(E21)</f>
        <v>Difficulties and challenges</v>
      </c>
      <c r="G21" t="str" cm="1">
        <f t="array" ref="G21">SubCategorizeComment(E21)</f>
        <v>Other</v>
      </c>
      <c r="I21" s="5"/>
      <c r="J21" s="6"/>
      <c r="K21" t="s">
        <v>2199</v>
      </c>
      <c r="L21" s="6">
        <f>COUNTIF($G$2:$G$781, "Rudeness")</f>
        <v>0</v>
      </c>
    </row>
    <row r="22" spans="1:12" x14ac:dyDescent="0.25">
      <c r="A22">
        <v>50709</v>
      </c>
      <c r="B22" t="s">
        <v>4</v>
      </c>
      <c r="C22">
        <v>4</v>
      </c>
      <c r="D22" t="s">
        <v>955</v>
      </c>
      <c r="E22" t="s">
        <v>955</v>
      </c>
      <c r="F22" t="str" cm="1">
        <f t="array" ref="F22">CategorizeComment(E22)</f>
        <v>Difficulties and challenges</v>
      </c>
      <c r="G22" t="str" cm="1">
        <f t="array" ref="G22">SubCategorizeComment(E22)</f>
        <v>Other</v>
      </c>
      <c r="I22" s="5"/>
      <c r="J22" s="6"/>
      <c r="K22" t="s">
        <v>2200</v>
      </c>
      <c r="L22" s="6">
        <f>COUNTIF($G$2:$G$781, "Dismissiveness")</f>
        <v>0</v>
      </c>
    </row>
    <row r="23" spans="1:12" x14ac:dyDescent="0.25">
      <c r="A23">
        <v>75032</v>
      </c>
      <c r="B23" t="s">
        <v>4</v>
      </c>
      <c r="C23">
        <v>3</v>
      </c>
      <c r="D23" t="s">
        <v>1356</v>
      </c>
      <c r="E23" t="s">
        <v>1356</v>
      </c>
      <c r="F23" t="str" cm="1">
        <f t="array" ref="F23">CategorizeComment(E23)</f>
        <v>Difficulties and challenges</v>
      </c>
      <c r="G23" t="str" cm="1">
        <f t="array" ref="G23">SubCategorizeComment(E23)</f>
        <v>Other</v>
      </c>
      <c r="I23" s="5"/>
      <c r="J23" s="6"/>
      <c r="K23" t="s">
        <v>2201</v>
      </c>
      <c r="L23" s="6">
        <f>COUNTIF($G$2:$G$781, "Inattentiveness")</f>
        <v>0</v>
      </c>
    </row>
    <row r="24" spans="1:12" x14ac:dyDescent="0.25">
      <c r="A24">
        <v>13256</v>
      </c>
      <c r="B24" t="s">
        <v>4</v>
      </c>
      <c r="C24">
        <v>3</v>
      </c>
      <c r="D24" t="s">
        <v>261</v>
      </c>
      <c r="E24" t="s">
        <v>261</v>
      </c>
      <c r="F24" t="str" cm="1">
        <f t="array" ref="F24">CategorizeComment(E24)</f>
        <v>Difficulties and challenges</v>
      </c>
      <c r="G24" t="str" cm="1">
        <f t="array" ref="G24">SubCategorizeComment(E24)</f>
        <v>Other</v>
      </c>
      <c r="I24" s="5"/>
      <c r="J24" s="6"/>
      <c r="K24" t="s">
        <v>2202</v>
      </c>
      <c r="L24" s="6">
        <f>COUNTIF($G$2:$G$781, "Neglecting")</f>
        <v>0</v>
      </c>
    </row>
    <row r="25" spans="1:12" x14ac:dyDescent="0.25">
      <c r="A25">
        <v>126748</v>
      </c>
      <c r="B25" t="s">
        <v>4</v>
      </c>
      <c r="C25">
        <v>1</v>
      </c>
      <c r="D25" t="s">
        <v>2128</v>
      </c>
      <c r="E25" t="s">
        <v>2128</v>
      </c>
      <c r="F25" t="str" cm="1">
        <f t="array" ref="F25">CategorizeComment(E25)</f>
        <v>Difficulties and challenges</v>
      </c>
      <c r="G25" t="str" cm="1">
        <f t="array" ref="G25">SubCategorizeComment(E25)</f>
        <v>Other</v>
      </c>
      <c r="I25" s="5"/>
      <c r="J25" s="6"/>
      <c r="K25" t="s">
        <v>2203</v>
      </c>
      <c r="L25" s="6">
        <f>COUNTIF($G$2:$G$781, "Emergencies")</f>
        <v>0</v>
      </c>
    </row>
    <row r="26" spans="1:12" x14ac:dyDescent="0.25">
      <c r="A26">
        <v>63642</v>
      </c>
      <c r="B26" t="s">
        <v>4</v>
      </c>
      <c r="C26">
        <v>4</v>
      </c>
      <c r="D26" t="s">
        <v>1189</v>
      </c>
      <c r="E26" t="s">
        <v>1189</v>
      </c>
      <c r="F26" t="str" cm="1">
        <f t="array" ref="F26">CategorizeComment(E26)</f>
        <v>Difficulties and challenges</v>
      </c>
      <c r="G26" t="str" cm="1">
        <f t="array" ref="G26">SubCategorizeComment(E26)</f>
        <v>Other</v>
      </c>
      <c r="I26" s="7"/>
      <c r="J26" s="9"/>
      <c r="K26" s="8" t="s">
        <v>2204</v>
      </c>
      <c r="L26" s="9">
        <f>COUNTIF($G$2:$G$781, "Disruptions")</f>
        <v>0</v>
      </c>
    </row>
    <row r="27" spans="1:12" x14ac:dyDescent="0.25">
      <c r="A27">
        <v>127021</v>
      </c>
      <c r="B27" t="s">
        <v>4</v>
      </c>
      <c r="C27">
        <v>4</v>
      </c>
      <c r="D27" t="s">
        <v>2129</v>
      </c>
      <c r="E27" t="s">
        <v>2129</v>
      </c>
      <c r="F27" t="str" cm="1">
        <f t="array" ref="F27">CategorizeComment(E27)</f>
        <v>Difficulties and challenges</v>
      </c>
      <c r="G27" t="str" cm="1">
        <f t="array" ref="G27">SubCategorizeComment(E27)</f>
        <v>Other</v>
      </c>
      <c r="I27" s="2" t="s">
        <v>2177</v>
      </c>
      <c r="J27" s="4">
        <f>COUNTIF($F$2:$F$781,"Pricing and policy issues")</f>
        <v>6</v>
      </c>
      <c r="K27" s="3" t="s">
        <v>2205</v>
      </c>
      <c r="L27" s="4">
        <f>COUNTIF($G$2:$G$781, "High ticket prices")</f>
        <v>0</v>
      </c>
    </row>
    <row r="28" spans="1:12" x14ac:dyDescent="0.25">
      <c r="A28">
        <v>65409</v>
      </c>
      <c r="B28" t="s">
        <v>4</v>
      </c>
      <c r="C28">
        <v>3</v>
      </c>
      <c r="D28" t="s">
        <v>1213</v>
      </c>
      <c r="E28" t="s">
        <v>1213</v>
      </c>
      <c r="F28" t="str" cm="1">
        <f t="array" ref="F28">CategorizeComment(E28)</f>
        <v>Difficulties and challenges</v>
      </c>
      <c r="G28" t="str" cm="1">
        <f t="array" ref="G28">SubCategorizeComment(E28)</f>
        <v>Other</v>
      </c>
      <c r="I28" s="5"/>
      <c r="J28" s="6"/>
      <c r="K28" t="s">
        <v>2206</v>
      </c>
      <c r="L28" s="6">
        <f>COUNTIF($G$2:$G$781, "Unexpected fees")</f>
        <v>0</v>
      </c>
    </row>
    <row r="29" spans="1:12" x14ac:dyDescent="0.25">
      <c r="A29">
        <v>27992</v>
      </c>
      <c r="B29" t="s">
        <v>4</v>
      </c>
      <c r="C29">
        <v>2</v>
      </c>
      <c r="D29" t="s">
        <v>555</v>
      </c>
      <c r="E29" t="s">
        <v>555</v>
      </c>
      <c r="F29" t="str" cm="1">
        <f t="array" ref="F29">CategorizeComment(E29)</f>
        <v>Difficulties and challenges</v>
      </c>
      <c r="G29" t="str" cm="1">
        <f t="array" ref="G29">SubCategorizeComment(E29)</f>
        <v>Other</v>
      </c>
      <c r="I29" s="5"/>
      <c r="J29" s="6"/>
      <c r="K29" t="s">
        <v>2207</v>
      </c>
      <c r="L29" s="6">
        <f>COUNTIF($G$2:$G$781, "Cancellation")</f>
        <v>0</v>
      </c>
    </row>
    <row r="30" spans="1:12" x14ac:dyDescent="0.25">
      <c r="A30">
        <v>88231</v>
      </c>
      <c r="B30" t="s">
        <v>4</v>
      </c>
      <c r="C30">
        <v>3</v>
      </c>
      <c r="D30" t="s">
        <v>1539</v>
      </c>
      <c r="E30" t="s">
        <v>1539</v>
      </c>
      <c r="F30" t="str" cm="1">
        <f t="array" ref="F30">CategorizeComment(E30)</f>
        <v>Difficulties and challenges</v>
      </c>
      <c r="G30" t="str" cm="1">
        <f t="array" ref="G30">SubCategorizeComment(E30)</f>
        <v>Difficulties with loyalty program</v>
      </c>
      <c r="I30" s="5"/>
      <c r="J30" s="6"/>
      <c r="K30" t="s">
        <v>2208</v>
      </c>
      <c r="L30" s="6">
        <f>COUNTIF($G$2:$G$781, "Cancellation")</f>
        <v>0</v>
      </c>
    </row>
    <row r="31" spans="1:12" x14ac:dyDescent="0.25">
      <c r="A31">
        <v>90616</v>
      </c>
      <c r="B31" t="s">
        <v>4</v>
      </c>
      <c r="C31">
        <v>0</v>
      </c>
      <c r="D31" t="s">
        <v>1576</v>
      </c>
      <c r="E31" t="s">
        <v>1576</v>
      </c>
      <c r="F31" t="str" cm="1">
        <f t="array" ref="F31">CategorizeComment(E31)</f>
        <v>Difficulties and challenges</v>
      </c>
      <c r="G31" t="str" cm="1">
        <f t="array" ref="G31">SubCategorizeComment(E31)</f>
        <v>Difficulties with loyalty program</v>
      </c>
      <c r="I31" s="7"/>
      <c r="J31" s="9"/>
      <c r="K31" s="8" t="s">
        <v>2209</v>
      </c>
      <c r="L31" s="9">
        <f>COUNTIF($G$2:$G$781, "Refund")</f>
        <v>0</v>
      </c>
    </row>
    <row r="32" spans="1:12" x14ac:dyDescent="0.25">
      <c r="A32">
        <v>120420</v>
      </c>
      <c r="B32" t="s">
        <v>4</v>
      </c>
      <c r="C32">
        <v>4</v>
      </c>
      <c r="D32" t="s">
        <v>2028</v>
      </c>
      <c r="E32" t="s">
        <v>2028</v>
      </c>
      <c r="F32" t="str" cm="1">
        <f t="array" ref="F32">CategorizeComment(E32)</f>
        <v>Pricing and policy issues</v>
      </c>
      <c r="G32" t="str" cm="1">
        <f t="array" ref="G32">SubCategorizeComment(E32)</f>
        <v>Other</v>
      </c>
      <c r="I32" s="10" t="s">
        <v>2179</v>
      </c>
      <c r="J32" s="12">
        <f>COUNTIF($F$2:$F$781,"Other")</f>
        <v>233</v>
      </c>
      <c r="K32" s="11"/>
      <c r="L32" s="12"/>
    </row>
    <row r="33" spans="1:10" x14ac:dyDescent="0.25">
      <c r="A33">
        <v>17741</v>
      </c>
      <c r="B33" t="s">
        <v>4</v>
      </c>
      <c r="C33">
        <v>4</v>
      </c>
      <c r="D33" t="s">
        <v>350</v>
      </c>
      <c r="E33" t="s">
        <v>350</v>
      </c>
      <c r="F33" t="str" cm="1">
        <f t="array" ref="F33">CategorizeComment(E33)</f>
        <v>Service inadequacy</v>
      </c>
      <c r="G33" t="str" cm="1">
        <f t="array" ref="G33">SubCategorizeComment(E33)</f>
        <v>Seating issues</v>
      </c>
      <c r="I33" t="s">
        <v>2210</v>
      </c>
      <c r="J33">
        <f>SUM(J3:J32)</f>
        <v>780</v>
      </c>
    </row>
    <row r="34" spans="1:10" x14ac:dyDescent="0.25">
      <c r="A34">
        <v>3564</v>
      </c>
      <c r="B34" t="s">
        <v>4</v>
      </c>
      <c r="C34">
        <v>3</v>
      </c>
      <c r="D34" t="s">
        <v>75</v>
      </c>
      <c r="E34" t="s">
        <v>75</v>
      </c>
      <c r="F34" t="str" cm="1">
        <f t="array" ref="F34">CategorizeComment(E34)</f>
        <v>Service inadequacy</v>
      </c>
      <c r="G34" t="str" cm="1">
        <f t="array" ref="G34">SubCategorizeComment(E34)</f>
        <v>Seating issues</v>
      </c>
    </row>
    <row r="35" spans="1:10" x14ac:dyDescent="0.25">
      <c r="A35">
        <v>115169</v>
      </c>
      <c r="B35" t="s">
        <v>4</v>
      </c>
      <c r="C35">
        <v>4</v>
      </c>
      <c r="D35" t="s">
        <v>1949</v>
      </c>
      <c r="E35" t="s">
        <v>1949</v>
      </c>
      <c r="F35" t="str" cm="1">
        <f t="array" ref="F35">CategorizeComment(E35)</f>
        <v>Time-related issues</v>
      </c>
      <c r="G35" t="str" cm="1">
        <f t="array" ref="G35">SubCategorizeComment(E35)</f>
        <v>Flight delays</v>
      </c>
    </row>
    <row r="36" spans="1:10" x14ac:dyDescent="0.25">
      <c r="A36">
        <v>24950</v>
      </c>
      <c r="B36" t="s">
        <v>4</v>
      </c>
      <c r="C36">
        <v>4</v>
      </c>
      <c r="D36" t="s">
        <v>507</v>
      </c>
      <c r="E36" t="s">
        <v>507</v>
      </c>
      <c r="F36" t="str" cm="1">
        <f t="array" ref="F36">CategorizeComment(E36)</f>
        <v>Time-related issues</v>
      </c>
      <c r="G36" t="str" cm="1">
        <f t="array" ref="G36">SubCategorizeComment(E36)</f>
        <v>Flight delays</v>
      </c>
    </row>
    <row r="37" spans="1:10" x14ac:dyDescent="0.25">
      <c r="A37">
        <v>76383</v>
      </c>
      <c r="B37" t="s">
        <v>4</v>
      </c>
      <c r="C37">
        <v>3</v>
      </c>
      <c r="D37" t="s">
        <v>1382</v>
      </c>
      <c r="E37" t="s">
        <v>1382</v>
      </c>
      <c r="F37" t="str" cm="1">
        <f t="array" ref="F37">CategorizeComment(E37)</f>
        <v>Time-related issues</v>
      </c>
      <c r="G37" t="str" cm="1">
        <f t="array" ref="G37">SubCategorizeComment(E37)</f>
        <v>Flight delays</v>
      </c>
    </row>
    <row r="38" spans="1:10" x14ac:dyDescent="0.25">
      <c r="A38">
        <v>87732</v>
      </c>
      <c r="B38" t="s">
        <v>4</v>
      </c>
      <c r="C38">
        <v>4</v>
      </c>
      <c r="D38" t="s">
        <v>1533</v>
      </c>
      <c r="E38" t="s">
        <v>1533</v>
      </c>
      <c r="F38" t="str" cm="1">
        <f t="array" ref="F38">CategorizeComment(E38)</f>
        <v>Time-related issues</v>
      </c>
      <c r="G38" t="str" cm="1">
        <f t="array" ref="G38">SubCategorizeComment(E38)</f>
        <v>Flight delays</v>
      </c>
    </row>
    <row r="39" spans="1:10" x14ac:dyDescent="0.25">
      <c r="A39">
        <v>110492</v>
      </c>
      <c r="B39" t="s">
        <v>4</v>
      </c>
      <c r="C39">
        <v>3</v>
      </c>
      <c r="D39" t="s">
        <v>1890</v>
      </c>
      <c r="E39" t="s">
        <v>1890</v>
      </c>
      <c r="F39" t="str" cm="1">
        <f t="array" ref="F39">CategorizeComment(E39)</f>
        <v>Time-related issues</v>
      </c>
      <c r="G39" t="str" cm="1">
        <f t="array" ref="G39">SubCategorizeComment(E39)</f>
        <v>Flight delays</v>
      </c>
    </row>
    <row r="40" spans="1:10" x14ac:dyDescent="0.25">
      <c r="A40">
        <v>80109</v>
      </c>
      <c r="B40" t="s">
        <v>4</v>
      </c>
      <c r="C40">
        <v>4</v>
      </c>
      <c r="D40" t="s">
        <v>1436</v>
      </c>
      <c r="E40" t="s">
        <v>1436</v>
      </c>
      <c r="F40" t="str" cm="1">
        <f t="array" ref="F40">CategorizeComment(E40)</f>
        <v>Time-related issues</v>
      </c>
      <c r="G40" t="str" cm="1">
        <f t="array" ref="G40">SubCategorizeComment(E40)</f>
        <v>Flight delays</v>
      </c>
    </row>
    <row r="41" spans="1:10" x14ac:dyDescent="0.25">
      <c r="A41">
        <v>27109</v>
      </c>
      <c r="B41" t="s">
        <v>4</v>
      </c>
      <c r="C41">
        <v>3</v>
      </c>
      <c r="D41" t="s">
        <v>536</v>
      </c>
      <c r="E41" t="s">
        <v>536</v>
      </c>
      <c r="F41" t="str" cm="1">
        <f t="array" ref="F41">CategorizeComment(E41)</f>
        <v>Time-related issues</v>
      </c>
      <c r="G41" t="str" cm="1">
        <f t="array" ref="G41">SubCategorizeComment(E41)</f>
        <v>Postponed departures</v>
      </c>
    </row>
    <row r="42" spans="1:10" x14ac:dyDescent="0.25">
      <c r="A42">
        <v>46778</v>
      </c>
      <c r="B42" t="s">
        <v>4</v>
      </c>
      <c r="C42">
        <v>3</v>
      </c>
      <c r="D42" t="s">
        <v>888</v>
      </c>
      <c r="E42" t="s">
        <v>888</v>
      </c>
      <c r="F42" t="str" cm="1">
        <f t="array" ref="F42">CategorizeComment(E42)</f>
        <v>Time-related issues</v>
      </c>
      <c r="G42" t="str" cm="1">
        <f t="array" ref="G42">SubCategorizeComment(E42)</f>
        <v>Postponed departures</v>
      </c>
    </row>
    <row r="43" spans="1:10" x14ac:dyDescent="0.25">
      <c r="A43">
        <v>106503</v>
      </c>
      <c r="B43" t="s">
        <v>4</v>
      </c>
      <c r="C43">
        <v>4</v>
      </c>
      <c r="D43" t="s">
        <v>1821</v>
      </c>
      <c r="E43" t="s">
        <v>1821</v>
      </c>
      <c r="F43" t="str" cm="1">
        <f t="array" ref="F43">CategorizeComment(E43)</f>
        <v>Time-related issues</v>
      </c>
      <c r="G43" t="str" cm="1">
        <f t="array" ref="G43">SubCategorizeComment(E43)</f>
        <v>Postponed departures</v>
      </c>
    </row>
    <row r="44" spans="1:10" x14ac:dyDescent="0.25">
      <c r="A44">
        <v>107049</v>
      </c>
      <c r="B44" t="s">
        <v>4</v>
      </c>
      <c r="C44">
        <v>4</v>
      </c>
      <c r="D44" t="s">
        <v>1832</v>
      </c>
      <c r="E44" t="s">
        <v>1832</v>
      </c>
      <c r="F44" t="str" cm="1">
        <f t="array" ref="F44">CategorizeComment(E44)</f>
        <v>Time-related issues</v>
      </c>
      <c r="G44" t="str" cm="1">
        <f t="array" ref="G44">SubCategorizeComment(E44)</f>
        <v>Postponed departures</v>
      </c>
    </row>
    <row r="45" spans="1:10" x14ac:dyDescent="0.25">
      <c r="A45">
        <v>23235</v>
      </c>
      <c r="B45" t="s">
        <v>4</v>
      </c>
      <c r="C45">
        <v>4</v>
      </c>
      <c r="D45" t="s">
        <v>473</v>
      </c>
      <c r="E45" t="s">
        <v>473</v>
      </c>
      <c r="F45" t="str" cm="1">
        <f t="array" ref="F45">CategorizeComment(E45)</f>
        <v>Time-related issues</v>
      </c>
      <c r="G45" t="str" cm="1">
        <f t="array" ref="G45">SubCategorizeComment(E45)</f>
        <v>Postponed departures</v>
      </c>
    </row>
    <row r="46" spans="1:10" x14ac:dyDescent="0.25">
      <c r="A46">
        <v>101663</v>
      </c>
      <c r="B46" t="s">
        <v>4</v>
      </c>
      <c r="C46">
        <v>1</v>
      </c>
      <c r="D46" t="s">
        <v>1739</v>
      </c>
      <c r="E46" t="s">
        <v>1739</v>
      </c>
      <c r="F46" t="str" cm="1">
        <f t="array" ref="F46">CategorizeComment(E46)</f>
        <v>Time-related issues</v>
      </c>
      <c r="G46" t="str" cm="1">
        <f t="array" ref="G46">SubCategorizeComment(E46)</f>
        <v>Postponed departures</v>
      </c>
    </row>
    <row r="47" spans="1:10" x14ac:dyDescent="0.25">
      <c r="A47">
        <v>104749</v>
      </c>
      <c r="B47" t="s">
        <v>4</v>
      </c>
      <c r="C47">
        <v>3</v>
      </c>
      <c r="D47" t="s">
        <v>1789</v>
      </c>
      <c r="E47" t="s">
        <v>1789</v>
      </c>
      <c r="F47" t="str" cm="1">
        <f t="array" ref="F47">CategorizeComment(E47)</f>
        <v>Time-related issues</v>
      </c>
      <c r="G47" t="str" cm="1">
        <f t="array" ref="G47">SubCategorizeComment(E47)</f>
        <v>Postponed departures</v>
      </c>
    </row>
    <row r="48" spans="1:10" x14ac:dyDescent="0.25">
      <c r="A48">
        <v>87795</v>
      </c>
      <c r="B48" t="s">
        <v>4</v>
      </c>
      <c r="C48">
        <v>4</v>
      </c>
      <c r="D48" t="s">
        <v>1535</v>
      </c>
      <c r="E48" t="s">
        <v>1535</v>
      </c>
      <c r="F48" t="str" cm="1">
        <f t="array" ref="F48">CategorizeComment(E48)</f>
        <v>Time-related issues</v>
      </c>
      <c r="G48" t="str" cm="1">
        <f t="array" ref="G48">SubCategorizeComment(E48)</f>
        <v>Postponed departures</v>
      </c>
    </row>
    <row r="49" spans="1:7" x14ac:dyDescent="0.25">
      <c r="A49">
        <v>79905</v>
      </c>
      <c r="B49" t="s">
        <v>4</v>
      </c>
      <c r="C49">
        <v>4</v>
      </c>
      <c r="D49" t="s">
        <v>1429</v>
      </c>
      <c r="E49" t="s">
        <v>1429</v>
      </c>
      <c r="F49" t="str" cm="1">
        <f t="array" ref="F49">CategorizeComment(E49)</f>
        <v>Time-related issues</v>
      </c>
      <c r="G49" t="str" cm="1">
        <f t="array" ref="G49">SubCategorizeComment(E49)</f>
        <v>Postponed departures</v>
      </c>
    </row>
    <row r="50" spans="1:7" x14ac:dyDescent="0.25">
      <c r="A50">
        <v>2292</v>
      </c>
      <c r="B50" t="s">
        <v>4</v>
      </c>
      <c r="C50">
        <v>3</v>
      </c>
      <c r="D50" t="s">
        <v>53</v>
      </c>
      <c r="E50" t="s">
        <v>53</v>
      </c>
      <c r="F50" t="str" cm="1">
        <f t="array" ref="F50">CategorizeComment(E50)</f>
        <v>Time-related issues</v>
      </c>
      <c r="G50" t="str" cm="1">
        <f t="array" ref="G50">SubCategorizeComment(E50)</f>
        <v>Postponed departures</v>
      </c>
    </row>
    <row r="51" spans="1:7" x14ac:dyDescent="0.25">
      <c r="A51">
        <v>93355</v>
      </c>
      <c r="B51" t="s">
        <v>4</v>
      </c>
      <c r="C51">
        <v>4</v>
      </c>
      <c r="D51" t="s">
        <v>1630</v>
      </c>
      <c r="E51" t="s">
        <v>1630</v>
      </c>
      <c r="F51" t="str" cm="1">
        <f t="array" ref="F51">CategorizeComment(E51)</f>
        <v>Time-related issues</v>
      </c>
      <c r="G51" t="str" cm="1">
        <f t="array" ref="G51">SubCategorizeComment(E51)</f>
        <v>Postponed departures</v>
      </c>
    </row>
    <row r="52" spans="1:7" x14ac:dyDescent="0.25">
      <c r="A52">
        <v>44927</v>
      </c>
      <c r="B52" t="s">
        <v>4</v>
      </c>
      <c r="C52">
        <v>3</v>
      </c>
      <c r="D52" t="s">
        <v>848</v>
      </c>
      <c r="E52" t="s">
        <v>848</v>
      </c>
      <c r="F52" t="str" cm="1">
        <f t="array" ref="F52">CategorizeComment(E52)</f>
        <v>Time-related issues</v>
      </c>
      <c r="G52" t="str" cm="1">
        <f t="array" ref="G52">SubCategorizeComment(E52)</f>
        <v>Postponed departures</v>
      </c>
    </row>
    <row r="53" spans="1:7" x14ac:dyDescent="0.25">
      <c r="A53">
        <v>78245</v>
      </c>
      <c r="B53" t="s">
        <v>4</v>
      </c>
      <c r="C53">
        <v>3</v>
      </c>
      <c r="D53" t="s">
        <v>1404</v>
      </c>
      <c r="E53" t="s">
        <v>1404</v>
      </c>
      <c r="F53" t="str" cm="1">
        <f t="array" ref="F53">CategorizeComment(E53)</f>
        <v>Time-related issues</v>
      </c>
      <c r="G53" t="str" cm="1">
        <f t="array" ref="G53">SubCategorizeComment(E53)</f>
        <v>Postponed departures</v>
      </c>
    </row>
    <row r="54" spans="1:7" x14ac:dyDescent="0.25">
      <c r="A54">
        <v>53965</v>
      </c>
      <c r="B54" t="s">
        <v>4</v>
      </c>
      <c r="C54">
        <v>3</v>
      </c>
      <c r="D54" t="s">
        <v>1009</v>
      </c>
      <c r="E54" t="s">
        <v>1009</v>
      </c>
      <c r="F54" t="str" cm="1">
        <f t="array" ref="F54">CategorizeComment(E54)</f>
        <v>Time-related issues</v>
      </c>
      <c r="G54" t="str" cm="1">
        <f t="array" ref="G54">SubCategorizeComment(E54)</f>
        <v>Flight delays</v>
      </c>
    </row>
    <row r="55" spans="1:7" x14ac:dyDescent="0.25">
      <c r="A55">
        <v>57346</v>
      </c>
      <c r="B55" t="s">
        <v>4</v>
      </c>
      <c r="C55">
        <v>3</v>
      </c>
      <c r="D55" t="s">
        <v>1073</v>
      </c>
      <c r="E55" t="s">
        <v>1073</v>
      </c>
      <c r="F55" t="str" cm="1">
        <f t="array" ref="F55">CategorizeComment(E55)</f>
        <v>Time-related issues</v>
      </c>
      <c r="G55" t="str" cm="1">
        <f t="array" ref="G55">SubCategorizeComment(E55)</f>
        <v>Flight delays</v>
      </c>
    </row>
    <row r="56" spans="1:7" x14ac:dyDescent="0.25">
      <c r="A56">
        <v>23388</v>
      </c>
      <c r="B56" t="s">
        <v>4</v>
      </c>
      <c r="C56">
        <v>4</v>
      </c>
      <c r="D56" t="s">
        <v>477</v>
      </c>
      <c r="E56" t="s">
        <v>477</v>
      </c>
      <c r="F56" t="str" cm="1">
        <f t="array" ref="F56">CategorizeComment(E56)</f>
        <v>Time-related issues</v>
      </c>
      <c r="G56" t="str" cm="1">
        <f t="array" ref="G56">SubCategorizeComment(E56)</f>
        <v>Flight delays</v>
      </c>
    </row>
    <row r="57" spans="1:7" x14ac:dyDescent="0.25">
      <c r="A57">
        <v>22504</v>
      </c>
      <c r="B57" t="s">
        <v>4</v>
      </c>
      <c r="C57">
        <v>4</v>
      </c>
      <c r="D57" t="s">
        <v>458</v>
      </c>
      <c r="E57" t="s">
        <v>458</v>
      </c>
      <c r="F57" t="str" cm="1">
        <f t="array" ref="F57">CategorizeComment(E57)</f>
        <v>Pricing and policy issues</v>
      </c>
      <c r="G57" t="str" cm="1">
        <f t="array" ref="G57">SubCategorizeComment(E57)</f>
        <v>Other</v>
      </c>
    </row>
    <row r="58" spans="1:7" x14ac:dyDescent="0.25">
      <c r="A58">
        <v>104020</v>
      </c>
      <c r="B58" t="s">
        <v>4</v>
      </c>
      <c r="C58">
        <v>2</v>
      </c>
      <c r="D58" t="s">
        <v>1771</v>
      </c>
      <c r="E58" t="s">
        <v>1771</v>
      </c>
      <c r="F58" t="str" cm="1">
        <f t="array" ref="F58">CategorizeComment(E58)</f>
        <v>Time-related issues</v>
      </c>
      <c r="G58" t="str" cm="1">
        <f t="array" ref="G58">SubCategorizeComment(E58)</f>
        <v>Flight delays</v>
      </c>
    </row>
    <row r="59" spans="1:7" x14ac:dyDescent="0.25">
      <c r="A59">
        <v>123388</v>
      </c>
      <c r="B59" t="s">
        <v>4</v>
      </c>
      <c r="C59">
        <v>3</v>
      </c>
      <c r="D59" t="s">
        <v>2080</v>
      </c>
      <c r="E59" t="s">
        <v>2080</v>
      </c>
      <c r="F59" t="str" cm="1">
        <f t="array" ref="F59">CategorizeComment(E59)</f>
        <v>Other</v>
      </c>
      <c r="G59" t="str" cm="1">
        <f t="array" ref="G59">SubCategorizeComment(E59)</f>
        <v>Other</v>
      </c>
    </row>
    <row r="60" spans="1:7" x14ac:dyDescent="0.25">
      <c r="A60">
        <v>50402</v>
      </c>
      <c r="B60" t="s">
        <v>4</v>
      </c>
      <c r="C60">
        <v>3</v>
      </c>
      <c r="D60" t="s">
        <v>946</v>
      </c>
      <c r="E60" t="s">
        <v>946</v>
      </c>
      <c r="F60" t="str" cm="1">
        <f t="array" ref="F60">CategorizeComment(E60)</f>
        <v>Other</v>
      </c>
      <c r="G60" t="str" cm="1">
        <f t="array" ref="G60">SubCategorizeComment(E60)</f>
        <v>Other</v>
      </c>
    </row>
    <row r="61" spans="1:7" x14ac:dyDescent="0.25">
      <c r="A61">
        <v>34314</v>
      </c>
      <c r="B61" t="s">
        <v>4</v>
      </c>
      <c r="C61">
        <v>4</v>
      </c>
      <c r="D61" t="s">
        <v>652</v>
      </c>
      <c r="E61" t="s">
        <v>652</v>
      </c>
      <c r="F61" t="str" cm="1">
        <f t="array" ref="F61">CategorizeComment(E61)</f>
        <v>Time-related issues</v>
      </c>
      <c r="G61" t="str" cm="1">
        <f t="array" ref="G61">SubCategorizeComment(E61)</f>
        <v>Flight delays</v>
      </c>
    </row>
    <row r="62" spans="1:7" x14ac:dyDescent="0.25">
      <c r="A62">
        <v>95709</v>
      </c>
      <c r="B62" t="s">
        <v>4</v>
      </c>
      <c r="C62">
        <v>3</v>
      </c>
      <c r="D62" t="s">
        <v>1660</v>
      </c>
      <c r="E62" t="s">
        <v>1660</v>
      </c>
      <c r="F62" t="str" cm="1">
        <f t="array" ref="F62">CategorizeComment(E62)</f>
        <v>Time-related issues</v>
      </c>
      <c r="G62" t="str" cm="1">
        <f t="array" ref="G62">SubCategorizeComment(E62)</f>
        <v>Flight delays</v>
      </c>
    </row>
    <row r="63" spans="1:7" x14ac:dyDescent="0.25">
      <c r="A63">
        <v>12323</v>
      </c>
      <c r="B63" t="s">
        <v>4</v>
      </c>
      <c r="C63">
        <v>4</v>
      </c>
      <c r="D63" t="s">
        <v>240</v>
      </c>
      <c r="E63" t="s">
        <v>240</v>
      </c>
      <c r="F63" t="str" cm="1">
        <f t="array" ref="F63">CategorizeComment(E63)</f>
        <v>Other</v>
      </c>
      <c r="G63" t="str" cm="1">
        <f t="array" ref="G63">SubCategorizeComment(E63)</f>
        <v>Other</v>
      </c>
    </row>
    <row r="64" spans="1:7" x14ac:dyDescent="0.25">
      <c r="A64">
        <v>25667</v>
      </c>
      <c r="B64" t="s">
        <v>4</v>
      </c>
      <c r="C64">
        <v>4</v>
      </c>
      <c r="D64" t="s">
        <v>515</v>
      </c>
      <c r="E64" t="s">
        <v>515</v>
      </c>
      <c r="F64" t="str" cm="1">
        <f t="array" ref="F64">CategorizeComment(E64)</f>
        <v>Other</v>
      </c>
      <c r="G64" t="str" cm="1">
        <f t="array" ref="G64">SubCategorizeComment(E64)</f>
        <v>In-flight entertainment issues</v>
      </c>
    </row>
    <row r="65" spans="1:7" x14ac:dyDescent="0.25">
      <c r="A65">
        <v>71737</v>
      </c>
      <c r="B65" t="s">
        <v>4</v>
      </c>
      <c r="C65">
        <v>4</v>
      </c>
      <c r="D65" t="s">
        <v>1306</v>
      </c>
      <c r="E65" t="s">
        <v>1306</v>
      </c>
      <c r="F65" t="str" cm="1">
        <f t="array" ref="F65">CategorizeComment(E65)</f>
        <v>Service inadequacy</v>
      </c>
      <c r="G65" t="str" cm="1">
        <f t="array" ref="G65">SubCategorizeComment(E65)</f>
        <v>Other</v>
      </c>
    </row>
    <row r="66" spans="1:7" x14ac:dyDescent="0.25">
      <c r="A66">
        <v>118645</v>
      </c>
      <c r="B66" t="s">
        <v>4</v>
      </c>
      <c r="C66">
        <v>4</v>
      </c>
      <c r="D66" t="s">
        <v>2006</v>
      </c>
      <c r="E66" t="s">
        <v>2006</v>
      </c>
      <c r="F66" t="str" cm="1">
        <f t="array" ref="F66">CategorizeComment(E66)</f>
        <v>Other</v>
      </c>
      <c r="G66" t="str" cm="1">
        <f t="array" ref="G66">SubCategorizeComment(E66)</f>
        <v>Other</v>
      </c>
    </row>
    <row r="67" spans="1:7" x14ac:dyDescent="0.25">
      <c r="A67">
        <v>17929</v>
      </c>
      <c r="B67" t="s">
        <v>4</v>
      </c>
      <c r="C67">
        <v>4</v>
      </c>
      <c r="D67" t="s">
        <v>353</v>
      </c>
      <c r="E67" t="s">
        <v>353</v>
      </c>
      <c r="F67" t="str" cm="1">
        <f t="array" ref="F67">CategorizeComment(E67)</f>
        <v>Time-related issues</v>
      </c>
      <c r="G67" t="str" cm="1">
        <f t="array" ref="G67">SubCategorizeComment(E67)</f>
        <v>Flight delays</v>
      </c>
    </row>
    <row r="68" spans="1:7" x14ac:dyDescent="0.25">
      <c r="A68">
        <v>79738</v>
      </c>
      <c r="B68" t="s">
        <v>4</v>
      </c>
      <c r="C68">
        <v>4</v>
      </c>
      <c r="D68" t="s">
        <v>1426</v>
      </c>
      <c r="E68" t="s">
        <v>1426</v>
      </c>
      <c r="F68" t="str" cm="1">
        <f t="array" ref="F68">CategorizeComment(E68)</f>
        <v>Professionalism and behavior issues</v>
      </c>
      <c r="G68" t="str" cm="1">
        <f t="array" ref="G68">SubCategorizeComment(E68)</f>
        <v>Other</v>
      </c>
    </row>
    <row r="69" spans="1:7" x14ac:dyDescent="0.25">
      <c r="A69">
        <v>32693</v>
      </c>
      <c r="B69" t="s">
        <v>4</v>
      </c>
      <c r="C69">
        <v>3</v>
      </c>
      <c r="D69" t="s">
        <v>628</v>
      </c>
      <c r="E69" t="s">
        <v>628</v>
      </c>
      <c r="F69" t="str" cm="1">
        <f t="array" ref="F69">CategorizeComment(E69)</f>
        <v>Service inadequacy</v>
      </c>
      <c r="G69" t="str" cm="1">
        <f t="array" ref="G69">SubCategorizeComment(E69)</f>
        <v>Baggage issues</v>
      </c>
    </row>
    <row r="70" spans="1:7" x14ac:dyDescent="0.25">
      <c r="A70">
        <v>53108</v>
      </c>
      <c r="B70" t="s">
        <v>4</v>
      </c>
      <c r="C70">
        <v>4</v>
      </c>
      <c r="D70" t="s">
        <v>990</v>
      </c>
      <c r="E70" t="s">
        <v>990</v>
      </c>
      <c r="F70" t="str" cm="1">
        <f t="array" ref="F70">CategorizeComment(E70)</f>
        <v>Time-related issues</v>
      </c>
      <c r="G70" t="str" cm="1">
        <f t="array" ref="G70">SubCategorizeComment(E70)</f>
        <v>Long waits</v>
      </c>
    </row>
    <row r="71" spans="1:7" x14ac:dyDescent="0.25">
      <c r="A71">
        <v>4024</v>
      </c>
      <c r="B71" t="s">
        <v>4</v>
      </c>
      <c r="C71">
        <v>3</v>
      </c>
      <c r="D71" t="s">
        <v>86</v>
      </c>
      <c r="E71" t="s">
        <v>86</v>
      </c>
      <c r="F71" t="str" cm="1">
        <f t="array" ref="F71">CategorizeComment(E71)</f>
        <v>Other</v>
      </c>
      <c r="G71" t="str" cm="1">
        <f t="array" ref="G71">SubCategorizeComment(E71)</f>
        <v>Customer service issues</v>
      </c>
    </row>
    <row r="72" spans="1:7" x14ac:dyDescent="0.25">
      <c r="A72">
        <v>42255</v>
      </c>
      <c r="B72" t="s">
        <v>4</v>
      </c>
      <c r="C72">
        <v>4</v>
      </c>
      <c r="D72" t="s">
        <v>793</v>
      </c>
      <c r="E72" t="s">
        <v>793</v>
      </c>
      <c r="F72" t="str" cm="1">
        <f t="array" ref="F72">CategorizeComment(E72)</f>
        <v>Other</v>
      </c>
      <c r="G72" t="str" cm="1">
        <f t="array" ref="G72">SubCategorizeComment(E72)</f>
        <v>Other</v>
      </c>
    </row>
    <row r="73" spans="1:7" x14ac:dyDescent="0.25">
      <c r="A73">
        <v>96630</v>
      </c>
      <c r="B73" t="s">
        <v>4</v>
      </c>
      <c r="C73">
        <v>4</v>
      </c>
      <c r="D73" t="s">
        <v>1670</v>
      </c>
      <c r="E73" t="s">
        <v>1670</v>
      </c>
      <c r="F73" t="str" cm="1">
        <f t="array" ref="F73">CategorizeComment(E73)</f>
        <v>Other</v>
      </c>
      <c r="G73" t="str" cm="1">
        <f t="array" ref="G73">SubCategorizeComment(E73)</f>
        <v>Other</v>
      </c>
    </row>
    <row r="74" spans="1:7" x14ac:dyDescent="0.25">
      <c r="A74">
        <v>52445</v>
      </c>
      <c r="B74" t="s">
        <v>4</v>
      </c>
      <c r="C74">
        <v>0</v>
      </c>
      <c r="D74" t="s">
        <v>979</v>
      </c>
      <c r="E74" t="s">
        <v>979</v>
      </c>
      <c r="F74" t="str" cm="1">
        <f t="array" ref="F74">CategorizeComment(E74)</f>
        <v>Service inadequacy</v>
      </c>
      <c r="G74" t="str" cm="1">
        <f t="array" ref="G74">SubCategorizeComment(E74)</f>
        <v>Other</v>
      </c>
    </row>
    <row r="75" spans="1:7" x14ac:dyDescent="0.25">
      <c r="A75">
        <v>84179</v>
      </c>
      <c r="B75" t="s">
        <v>4</v>
      </c>
      <c r="C75">
        <v>4</v>
      </c>
      <c r="D75" t="s">
        <v>1486</v>
      </c>
      <c r="E75" t="s">
        <v>1486</v>
      </c>
      <c r="F75" t="str" cm="1">
        <f t="array" ref="F75">CategorizeComment(E75)</f>
        <v>Other</v>
      </c>
      <c r="G75" t="str" cm="1">
        <f t="array" ref="G75">SubCategorizeComment(E75)</f>
        <v>Other</v>
      </c>
    </row>
    <row r="76" spans="1:7" x14ac:dyDescent="0.25">
      <c r="A76">
        <v>36587</v>
      </c>
      <c r="B76" t="s">
        <v>4</v>
      </c>
      <c r="C76">
        <v>4</v>
      </c>
      <c r="D76" t="s">
        <v>704</v>
      </c>
      <c r="E76" t="s">
        <v>704</v>
      </c>
      <c r="F76" t="str" cm="1">
        <f t="array" ref="F76">CategorizeComment(E76)</f>
        <v>Other</v>
      </c>
      <c r="G76" t="str" cm="1">
        <f t="array" ref="G76">SubCategorizeComment(E76)</f>
        <v>Other</v>
      </c>
    </row>
    <row r="77" spans="1:7" x14ac:dyDescent="0.25">
      <c r="A77">
        <v>111782</v>
      </c>
      <c r="B77" t="s">
        <v>4</v>
      </c>
      <c r="C77">
        <v>4</v>
      </c>
      <c r="D77" t="s">
        <v>1907</v>
      </c>
      <c r="E77" t="s">
        <v>1907</v>
      </c>
      <c r="F77" t="str" cm="1">
        <f t="array" ref="F77">CategorizeComment(E77)</f>
        <v>Other</v>
      </c>
      <c r="G77" t="str" cm="1">
        <f t="array" ref="G77">SubCategorizeComment(E77)</f>
        <v>Other</v>
      </c>
    </row>
    <row r="78" spans="1:7" x14ac:dyDescent="0.25">
      <c r="A78">
        <v>80086</v>
      </c>
      <c r="B78" t="s">
        <v>4</v>
      </c>
      <c r="C78">
        <v>4</v>
      </c>
      <c r="D78" t="s">
        <v>1435</v>
      </c>
      <c r="E78" t="s">
        <v>1435</v>
      </c>
      <c r="F78" t="str" cm="1">
        <f t="array" ref="F78">CategorizeComment(E78)</f>
        <v>Other</v>
      </c>
      <c r="G78" t="str" cm="1">
        <f t="array" ref="G78">SubCategorizeComment(E78)</f>
        <v>Other</v>
      </c>
    </row>
    <row r="79" spans="1:7" x14ac:dyDescent="0.25">
      <c r="A79">
        <v>113664</v>
      </c>
      <c r="B79" t="s">
        <v>4</v>
      </c>
      <c r="C79">
        <v>4</v>
      </c>
      <c r="D79" t="s">
        <v>1935</v>
      </c>
      <c r="E79" t="s">
        <v>1935</v>
      </c>
      <c r="F79" t="str" cm="1">
        <f t="array" ref="F79">CategorizeComment(E79)</f>
        <v>Service inadequacy</v>
      </c>
      <c r="G79" t="str" cm="1">
        <f t="array" ref="G79">SubCategorizeComment(E79)</f>
        <v>Online services issues</v>
      </c>
    </row>
    <row r="80" spans="1:7" x14ac:dyDescent="0.25">
      <c r="A80">
        <v>106984</v>
      </c>
      <c r="B80" t="s">
        <v>4</v>
      </c>
      <c r="C80">
        <v>4</v>
      </c>
      <c r="D80" t="s">
        <v>1829</v>
      </c>
      <c r="E80" t="s">
        <v>1829</v>
      </c>
      <c r="F80" t="str" cm="1">
        <f t="array" ref="F80">CategorizeComment(E80)</f>
        <v>Other</v>
      </c>
      <c r="G80" t="str" cm="1">
        <f t="array" ref="G80">SubCategorizeComment(E80)</f>
        <v>Other</v>
      </c>
    </row>
    <row r="81" spans="1:7" x14ac:dyDescent="0.25">
      <c r="A81">
        <v>70372</v>
      </c>
      <c r="B81" t="s">
        <v>4</v>
      </c>
      <c r="C81">
        <v>3</v>
      </c>
      <c r="D81" t="s">
        <v>1283</v>
      </c>
      <c r="E81" t="s">
        <v>1283</v>
      </c>
      <c r="F81" t="str" cm="1">
        <f t="array" ref="F81">CategorizeComment(E81)</f>
        <v>Time-related issues</v>
      </c>
      <c r="G81" t="str" cm="1">
        <f t="array" ref="G81">SubCategorizeComment(E81)</f>
        <v>Flight delays</v>
      </c>
    </row>
    <row r="82" spans="1:7" x14ac:dyDescent="0.25">
      <c r="A82">
        <v>94730</v>
      </c>
      <c r="B82" t="s">
        <v>4</v>
      </c>
      <c r="C82">
        <v>4</v>
      </c>
      <c r="D82" t="s">
        <v>1648</v>
      </c>
      <c r="E82" t="s">
        <v>1648</v>
      </c>
      <c r="F82" t="str" cm="1">
        <f t="array" ref="F82">CategorizeComment(E82)</f>
        <v>Service inadequacy</v>
      </c>
      <c r="G82" t="str" cm="1">
        <f t="array" ref="G82">SubCategorizeComment(E82)</f>
        <v>Baggage issues</v>
      </c>
    </row>
    <row r="83" spans="1:7" x14ac:dyDescent="0.25">
      <c r="A83">
        <v>122327</v>
      </c>
      <c r="B83" t="s">
        <v>4</v>
      </c>
      <c r="C83">
        <v>3</v>
      </c>
      <c r="D83" t="s">
        <v>2059</v>
      </c>
      <c r="E83" t="s">
        <v>2059</v>
      </c>
      <c r="F83" t="str" cm="1">
        <f t="array" ref="F83">CategorizeComment(E83)</f>
        <v>Time-related issues</v>
      </c>
      <c r="G83" t="str" cm="1">
        <f t="array" ref="G83">SubCategorizeComment(E83)</f>
        <v>Flight delays</v>
      </c>
    </row>
    <row r="84" spans="1:7" x14ac:dyDescent="0.25">
      <c r="A84">
        <v>92139</v>
      </c>
      <c r="B84" t="s">
        <v>4</v>
      </c>
      <c r="C84">
        <v>4</v>
      </c>
      <c r="D84" t="s">
        <v>1610</v>
      </c>
      <c r="E84" t="s">
        <v>1610</v>
      </c>
      <c r="F84" t="str" cm="1">
        <f t="array" ref="F84">CategorizeComment(E84)</f>
        <v>Other</v>
      </c>
      <c r="G84" t="str" cm="1">
        <f t="array" ref="G84">SubCategorizeComment(E84)</f>
        <v>Other</v>
      </c>
    </row>
    <row r="85" spans="1:7" x14ac:dyDescent="0.25">
      <c r="A85">
        <v>129647</v>
      </c>
      <c r="B85" t="s">
        <v>4</v>
      </c>
      <c r="C85">
        <v>3</v>
      </c>
      <c r="D85" t="s">
        <v>2164</v>
      </c>
      <c r="E85" t="s">
        <v>2164</v>
      </c>
      <c r="F85" t="str" cm="1">
        <f t="array" ref="F85">CategorizeComment(E85)</f>
        <v>Other</v>
      </c>
      <c r="G85" t="str" cm="1">
        <f t="array" ref="G85">SubCategorizeComment(E85)</f>
        <v>In-flight entertainment issues</v>
      </c>
    </row>
    <row r="86" spans="1:7" x14ac:dyDescent="0.25">
      <c r="A86">
        <v>54391</v>
      </c>
      <c r="B86" t="s">
        <v>4</v>
      </c>
      <c r="C86">
        <v>3</v>
      </c>
      <c r="D86" t="s">
        <v>1017</v>
      </c>
      <c r="E86" t="s">
        <v>1017</v>
      </c>
      <c r="F86" t="str" cm="1">
        <f t="array" ref="F86">CategorizeComment(E86)</f>
        <v>Other</v>
      </c>
      <c r="G86" t="str" cm="1">
        <f t="array" ref="G86">SubCategorizeComment(E86)</f>
        <v>Other</v>
      </c>
    </row>
    <row r="87" spans="1:7" x14ac:dyDescent="0.25">
      <c r="A87">
        <v>10941</v>
      </c>
      <c r="B87" t="s">
        <v>4</v>
      </c>
      <c r="C87">
        <v>2</v>
      </c>
      <c r="D87" t="s">
        <v>219</v>
      </c>
      <c r="E87" t="s">
        <v>219</v>
      </c>
      <c r="F87" t="str" cm="1">
        <f t="array" ref="F87">CategorizeComment(E87)</f>
        <v>Communication and understanding issues</v>
      </c>
      <c r="G87" t="str" cm="1">
        <f t="array" ref="G87">SubCategorizeComment(E87)</f>
        <v>Unclear flight announcements</v>
      </c>
    </row>
    <row r="88" spans="1:7" x14ac:dyDescent="0.25">
      <c r="A88">
        <v>26312</v>
      </c>
      <c r="B88" t="s">
        <v>4</v>
      </c>
      <c r="C88">
        <v>4</v>
      </c>
      <c r="D88" t="s">
        <v>524</v>
      </c>
      <c r="E88" t="s">
        <v>524</v>
      </c>
      <c r="F88" t="str" cm="1">
        <f t="array" ref="F88">CategorizeComment(E88)</f>
        <v>Service inadequacy</v>
      </c>
      <c r="G88" t="str" cm="1">
        <f t="array" ref="G88">SubCategorizeComment(E88)</f>
        <v>Other</v>
      </c>
    </row>
    <row r="89" spans="1:7" x14ac:dyDescent="0.25">
      <c r="A89">
        <v>115708</v>
      </c>
      <c r="B89" t="s">
        <v>4</v>
      </c>
      <c r="C89">
        <v>4</v>
      </c>
      <c r="D89" t="s">
        <v>1965</v>
      </c>
      <c r="E89" t="s">
        <v>1965</v>
      </c>
      <c r="F89" t="str" cm="1">
        <f t="array" ref="F89">CategorizeComment(E89)</f>
        <v>Service inadequacy</v>
      </c>
      <c r="G89" t="str" cm="1">
        <f t="array" ref="G89">SubCategorizeComment(E89)</f>
        <v>Other</v>
      </c>
    </row>
    <row r="90" spans="1:7" x14ac:dyDescent="0.25">
      <c r="A90">
        <v>104833</v>
      </c>
      <c r="B90" t="s">
        <v>4</v>
      </c>
      <c r="C90">
        <v>4</v>
      </c>
      <c r="D90" t="s">
        <v>1790</v>
      </c>
      <c r="E90" t="s">
        <v>1790</v>
      </c>
      <c r="F90" t="str" cm="1">
        <f t="array" ref="F90">CategorizeComment(E90)</f>
        <v>Professionalism and behavior issues</v>
      </c>
      <c r="G90" t="str" cm="1">
        <f t="array" ref="G90">SubCategorizeComment(E90)</f>
        <v>Other</v>
      </c>
    </row>
    <row r="91" spans="1:7" x14ac:dyDescent="0.25">
      <c r="A91">
        <v>103317</v>
      </c>
      <c r="B91" t="s">
        <v>4</v>
      </c>
      <c r="C91">
        <v>3</v>
      </c>
      <c r="D91" t="s">
        <v>1763</v>
      </c>
      <c r="E91" t="s">
        <v>1763</v>
      </c>
      <c r="F91" t="str" cm="1">
        <f t="array" ref="F91">CategorizeComment(E91)</f>
        <v>Other</v>
      </c>
      <c r="G91" t="str" cm="1">
        <f t="array" ref="G91">SubCategorizeComment(E91)</f>
        <v>Other</v>
      </c>
    </row>
    <row r="92" spans="1:7" x14ac:dyDescent="0.25">
      <c r="A92">
        <v>97818</v>
      </c>
      <c r="B92" t="s">
        <v>4</v>
      </c>
      <c r="C92">
        <v>4</v>
      </c>
      <c r="D92" t="s">
        <v>1697</v>
      </c>
      <c r="E92" t="s">
        <v>1697</v>
      </c>
      <c r="F92" t="str" cm="1">
        <f t="array" ref="F92">CategorizeComment(E92)</f>
        <v>Service inadequacy</v>
      </c>
      <c r="G92" t="str" cm="1">
        <f t="array" ref="G92">SubCategorizeComment(E92)</f>
        <v>Other</v>
      </c>
    </row>
    <row r="93" spans="1:7" x14ac:dyDescent="0.25">
      <c r="A93">
        <v>54862</v>
      </c>
      <c r="B93" t="s">
        <v>4</v>
      </c>
      <c r="C93">
        <v>4</v>
      </c>
      <c r="D93" t="s">
        <v>1029</v>
      </c>
      <c r="E93" t="s">
        <v>1029</v>
      </c>
      <c r="F93" t="str" cm="1">
        <f t="array" ref="F93">CategorizeComment(E93)</f>
        <v>Service inadequacy</v>
      </c>
      <c r="G93" t="str" cm="1">
        <f t="array" ref="G93">SubCategorizeComment(E93)</f>
        <v>Other</v>
      </c>
    </row>
    <row r="94" spans="1:7" x14ac:dyDescent="0.25">
      <c r="A94">
        <v>45065</v>
      </c>
      <c r="B94" t="s">
        <v>4</v>
      </c>
      <c r="C94">
        <v>3</v>
      </c>
      <c r="D94" t="s">
        <v>852</v>
      </c>
      <c r="E94" t="s">
        <v>852</v>
      </c>
      <c r="F94" t="str" cm="1">
        <f t="array" ref="F94">CategorizeComment(E94)</f>
        <v>Service inadequacy</v>
      </c>
      <c r="G94" t="str" cm="1">
        <f t="array" ref="G94">SubCategorizeComment(E94)</f>
        <v>Other</v>
      </c>
    </row>
    <row r="95" spans="1:7" x14ac:dyDescent="0.25">
      <c r="A95">
        <v>4211</v>
      </c>
      <c r="B95" t="s">
        <v>4</v>
      </c>
      <c r="C95">
        <v>3</v>
      </c>
      <c r="D95" t="s">
        <v>89</v>
      </c>
      <c r="E95" t="s">
        <v>89</v>
      </c>
      <c r="F95" t="str" cm="1">
        <f t="array" ref="F95">CategorizeComment(E95)</f>
        <v>Other</v>
      </c>
      <c r="G95" t="str" cm="1">
        <f t="array" ref="G95">SubCategorizeComment(E95)</f>
        <v>Other</v>
      </c>
    </row>
    <row r="96" spans="1:7" x14ac:dyDescent="0.25">
      <c r="A96">
        <v>7307</v>
      </c>
      <c r="B96" t="s">
        <v>4</v>
      </c>
      <c r="C96">
        <v>3</v>
      </c>
      <c r="D96" t="s">
        <v>149</v>
      </c>
      <c r="E96" t="s">
        <v>149</v>
      </c>
      <c r="F96" t="str" cm="1">
        <f t="array" ref="F96">CategorizeComment(E96)</f>
        <v>Time-related issues</v>
      </c>
      <c r="G96" t="str" cm="1">
        <f t="array" ref="G96">SubCategorizeComment(E96)</f>
        <v>Flight delays</v>
      </c>
    </row>
    <row r="97" spans="1:7" x14ac:dyDescent="0.25">
      <c r="A97">
        <v>5082</v>
      </c>
      <c r="B97" t="s">
        <v>4</v>
      </c>
      <c r="C97">
        <v>4</v>
      </c>
      <c r="D97" t="s">
        <v>109</v>
      </c>
      <c r="E97" t="s">
        <v>109</v>
      </c>
      <c r="F97" t="str" cm="1">
        <f t="array" ref="F97">CategorizeComment(E97)</f>
        <v>Time-related issues</v>
      </c>
      <c r="G97" t="str" cm="1">
        <f t="array" ref="G97">SubCategorizeComment(E97)</f>
        <v>Flight delays</v>
      </c>
    </row>
    <row r="98" spans="1:7" x14ac:dyDescent="0.25">
      <c r="A98">
        <v>20239</v>
      </c>
      <c r="B98" t="s">
        <v>4</v>
      </c>
      <c r="C98">
        <v>4</v>
      </c>
      <c r="D98" t="s">
        <v>411</v>
      </c>
      <c r="E98" t="s">
        <v>411</v>
      </c>
      <c r="F98" t="str" cm="1">
        <f t="array" ref="F98">CategorizeComment(E98)</f>
        <v>Time-related issues</v>
      </c>
      <c r="G98" t="str" cm="1">
        <f t="array" ref="G98">SubCategorizeComment(E98)</f>
        <v>Flight delays</v>
      </c>
    </row>
    <row r="99" spans="1:7" x14ac:dyDescent="0.25">
      <c r="A99">
        <v>118188</v>
      </c>
      <c r="B99" t="s">
        <v>4</v>
      </c>
      <c r="C99">
        <v>3</v>
      </c>
      <c r="D99" t="s">
        <v>1999</v>
      </c>
      <c r="E99" t="s">
        <v>1999</v>
      </c>
      <c r="F99" t="str" cm="1">
        <f t="array" ref="F99">CategorizeComment(E99)</f>
        <v>Time-related issues</v>
      </c>
      <c r="G99" t="str" cm="1">
        <f t="array" ref="G99">SubCategorizeComment(E99)</f>
        <v>Flight delays</v>
      </c>
    </row>
    <row r="100" spans="1:7" x14ac:dyDescent="0.25">
      <c r="A100">
        <v>50206</v>
      </c>
      <c r="B100" t="s">
        <v>4</v>
      </c>
      <c r="C100">
        <v>3</v>
      </c>
      <c r="D100" t="s">
        <v>939</v>
      </c>
      <c r="E100" t="s">
        <v>939</v>
      </c>
      <c r="F100" t="str" cm="1">
        <f t="array" ref="F100">CategorizeComment(E100)</f>
        <v>Time-related issues</v>
      </c>
      <c r="G100" t="str" cm="1">
        <f t="array" ref="G100">SubCategorizeComment(E100)</f>
        <v>Flight delays</v>
      </c>
    </row>
    <row r="101" spans="1:7" x14ac:dyDescent="0.25">
      <c r="A101">
        <v>93294</v>
      </c>
      <c r="B101" t="s">
        <v>4</v>
      </c>
      <c r="C101">
        <v>3</v>
      </c>
      <c r="D101" t="s">
        <v>1628</v>
      </c>
      <c r="E101" t="s">
        <v>1628</v>
      </c>
      <c r="F101" t="str" cm="1">
        <f t="array" ref="F101">CategorizeComment(E101)</f>
        <v>Time-related issues</v>
      </c>
      <c r="G101" t="str" cm="1">
        <f t="array" ref="G101">SubCategorizeComment(E101)</f>
        <v>Flight delays</v>
      </c>
    </row>
    <row r="102" spans="1:7" x14ac:dyDescent="0.25">
      <c r="A102">
        <v>93464</v>
      </c>
      <c r="B102" t="s">
        <v>4</v>
      </c>
      <c r="C102">
        <v>3</v>
      </c>
      <c r="D102" t="s">
        <v>1633</v>
      </c>
      <c r="E102" t="s">
        <v>1633</v>
      </c>
      <c r="F102" t="str" cm="1">
        <f t="array" ref="F102">CategorizeComment(E102)</f>
        <v>Time-related issues</v>
      </c>
      <c r="G102" t="str" cm="1">
        <f t="array" ref="G102">SubCategorizeComment(E102)</f>
        <v>Flight delays</v>
      </c>
    </row>
    <row r="103" spans="1:7" x14ac:dyDescent="0.25">
      <c r="A103">
        <v>64186</v>
      </c>
      <c r="B103" t="s">
        <v>4</v>
      </c>
      <c r="C103">
        <v>4</v>
      </c>
      <c r="D103" t="s">
        <v>1198</v>
      </c>
      <c r="E103" t="s">
        <v>1198</v>
      </c>
      <c r="F103" t="str" cm="1">
        <f t="array" ref="F103">CategorizeComment(E103)</f>
        <v>Time-related issues</v>
      </c>
      <c r="G103" t="str" cm="1">
        <f t="array" ref="G103">SubCategorizeComment(E103)</f>
        <v>Flight delays</v>
      </c>
    </row>
    <row r="104" spans="1:7" x14ac:dyDescent="0.25">
      <c r="A104">
        <v>12495</v>
      </c>
      <c r="B104" t="s">
        <v>4</v>
      </c>
      <c r="C104">
        <v>3</v>
      </c>
      <c r="D104" t="s">
        <v>247</v>
      </c>
      <c r="E104" t="s">
        <v>247</v>
      </c>
      <c r="F104" t="str" cm="1">
        <f t="array" ref="F104">CategorizeComment(E104)</f>
        <v>Time-related issues</v>
      </c>
      <c r="G104" t="str" cm="1">
        <f t="array" ref="G104">SubCategorizeComment(E104)</f>
        <v>Flight delays</v>
      </c>
    </row>
    <row r="105" spans="1:7" x14ac:dyDescent="0.25">
      <c r="A105">
        <v>46891</v>
      </c>
      <c r="B105" t="s">
        <v>4</v>
      </c>
      <c r="C105">
        <v>3</v>
      </c>
      <c r="D105" t="s">
        <v>892</v>
      </c>
      <c r="E105" t="s">
        <v>892</v>
      </c>
      <c r="F105" t="str" cm="1">
        <f t="array" ref="F105">CategorizeComment(E105)</f>
        <v>Time-related issues</v>
      </c>
      <c r="G105" t="str" cm="1">
        <f t="array" ref="G105">SubCategorizeComment(E105)</f>
        <v>Flight delays</v>
      </c>
    </row>
    <row r="106" spans="1:7" x14ac:dyDescent="0.25">
      <c r="A106">
        <v>59626</v>
      </c>
      <c r="B106" t="s">
        <v>4</v>
      </c>
      <c r="C106">
        <v>3</v>
      </c>
      <c r="D106" t="s">
        <v>1112</v>
      </c>
      <c r="E106" t="s">
        <v>1112</v>
      </c>
      <c r="F106" t="str" cm="1">
        <f t="array" ref="F106">CategorizeComment(E106)</f>
        <v>Time-related issues</v>
      </c>
      <c r="G106" t="str" cm="1">
        <f t="array" ref="G106">SubCategorizeComment(E106)</f>
        <v>Flight delays</v>
      </c>
    </row>
    <row r="107" spans="1:7" x14ac:dyDescent="0.25">
      <c r="A107">
        <v>61017</v>
      </c>
      <c r="B107" t="s">
        <v>4</v>
      </c>
      <c r="C107">
        <v>3</v>
      </c>
      <c r="D107" t="s">
        <v>1138</v>
      </c>
      <c r="E107" t="s">
        <v>1138</v>
      </c>
      <c r="F107" t="str" cm="1">
        <f t="array" ref="F107">CategorizeComment(E107)</f>
        <v>Other</v>
      </c>
      <c r="G107" t="str" cm="1">
        <f t="array" ref="G107">SubCategorizeComment(E107)</f>
        <v>Other</v>
      </c>
    </row>
    <row r="108" spans="1:7" x14ac:dyDescent="0.25">
      <c r="A108">
        <v>26505</v>
      </c>
      <c r="B108" t="s">
        <v>4</v>
      </c>
      <c r="C108">
        <v>3</v>
      </c>
      <c r="D108" t="s">
        <v>529</v>
      </c>
      <c r="E108" t="s">
        <v>529</v>
      </c>
      <c r="F108" t="str" cm="1">
        <f t="array" ref="F108">CategorizeComment(E108)</f>
        <v>Time-related issues</v>
      </c>
      <c r="G108" t="str" cm="1">
        <f t="array" ref="G108">SubCategorizeComment(E108)</f>
        <v>Flight delays</v>
      </c>
    </row>
    <row r="109" spans="1:7" x14ac:dyDescent="0.25">
      <c r="A109">
        <v>129157</v>
      </c>
      <c r="B109" t="s">
        <v>4</v>
      </c>
      <c r="C109">
        <v>3</v>
      </c>
      <c r="D109" t="s">
        <v>2162</v>
      </c>
      <c r="E109" t="s">
        <v>2162</v>
      </c>
      <c r="F109" t="str" cm="1">
        <f t="array" ref="F109">CategorizeComment(E109)</f>
        <v>Time-related issues</v>
      </c>
      <c r="G109" t="str" cm="1">
        <f t="array" ref="G109">SubCategorizeComment(E109)</f>
        <v>Flight delays</v>
      </c>
    </row>
    <row r="110" spans="1:7" x14ac:dyDescent="0.25">
      <c r="A110">
        <v>45238</v>
      </c>
      <c r="B110" t="s">
        <v>4</v>
      </c>
      <c r="C110">
        <v>3</v>
      </c>
      <c r="D110" t="s">
        <v>856</v>
      </c>
      <c r="E110" t="s">
        <v>856</v>
      </c>
      <c r="F110" t="str" cm="1">
        <f t="array" ref="F110">CategorizeComment(E110)</f>
        <v>Time-related issues</v>
      </c>
      <c r="G110" t="str" cm="1">
        <f t="array" ref="G110">SubCategorizeComment(E110)</f>
        <v>Flight delays</v>
      </c>
    </row>
    <row r="111" spans="1:7" x14ac:dyDescent="0.25">
      <c r="A111">
        <v>76020</v>
      </c>
      <c r="B111" t="s">
        <v>4</v>
      </c>
      <c r="C111">
        <v>4</v>
      </c>
      <c r="D111" t="s">
        <v>1374</v>
      </c>
      <c r="E111" t="s">
        <v>1374</v>
      </c>
      <c r="F111" t="str" cm="1">
        <f t="array" ref="F111">CategorizeComment(E111)</f>
        <v>Time-related issues</v>
      </c>
      <c r="G111" t="str" cm="1">
        <f t="array" ref="G111">SubCategorizeComment(E111)</f>
        <v>Flight delays</v>
      </c>
    </row>
    <row r="112" spans="1:7" x14ac:dyDescent="0.25">
      <c r="A112">
        <v>17076</v>
      </c>
      <c r="B112" t="s">
        <v>4</v>
      </c>
      <c r="C112">
        <v>3</v>
      </c>
      <c r="D112" t="s">
        <v>335</v>
      </c>
      <c r="E112" t="s">
        <v>335</v>
      </c>
      <c r="F112" t="str" cm="1">
        <f t="array" ref="F112">CategorizeComment(E112)</f>
        <v>Time-related issues</v>
      </c>
      <c r="G112" t="str" cm="1">
        <f t="array" ref="G112">SubCategorizeComment(E112)</f>
        <v>Flight delays</v>
      </c>
    </row>
    <row r="113" spans="1:7" x14ac:dyDescent="0.25">
      <c r="A113">
        <v>34537</v>
      </c>
      <c r="B113" t="s">
        <v>4</v>
      </c>
      <c r="C113">
        <v>3</v>
      </c>
      <c r="D113" t="s">
        <v>659</v>
      </c>
      <c r="E113" t="s">
        <v>659</v>
      </c>
      <c r="F113" t="str" cm="1">
        <f t="array" ref="F113">CategorizeComment(E113)</f>
        <v>Time-related issues</v>
      </c>
      <c r="G113" t="str" cm="1">
        <f t="array" ref="G113">SubCategorizeComment(E113)</f>
        <v>Flight delays</v>
      </c>
    </row>
    <row r="114" spans="1:7" x14ac:dyDescent="0.25">
      <c r="A114">
        <v>97249</v>
      </c>
      <c r="B114" t="s">
        <v>4</v>
      </c>
      <c r="C114">
        <v>4</v>
      </c>
      <c r="D114" t="s">
        <v>1684</v>
      </c>
      <c r="E114" t="s">
        <v>1684</v>
      </c>
      <c r="F114" t="str" cm="1">
        <f t="array" ref="F114">CategorizeComment(E114)</f>
        <v>Time-related issues</v>
      </c>
      <c r="G114" t="str" cm="1">
        <f t="array" ref="G114">SubCategorizeComment(E114)</f>
        <v>Flight delays</v>
      </c>
    </row>
    <row r="115" spans="1:7" x14ac:dyDescent="0.25">
      <c r="A115">
        <v>20935</v>
      </c>
      <c r="B115" t="s">
        <v>4</v>
      </c>
      <c r="C115">
        <v>3</v>
      </c>
      <c r="D115" t="s">
        <v>427</v>
      </c>
      <c r="E115" t="s">
        <v>427</v>
      </c>
      <c r="F115" t="str" cm="1">
        <f t="array" ref="F115">CategorizeComment(E115)</f>
        <v>Time-related issues</v>
      </c>
      <c r="G115" t="str" cm="1">
        <f t="array" ref="G115">SubCategorizeComment(E115)</f>
        <v>Flight delays</v>
      </c>
    </row>
    <row r="116" spans="1:7" x14ac:dyDescent="0.25">
      <c r="A116">
        <v>106557</v>
      </c>
      <c r="B116" t="s">
        <v>4</v>
      </c>
      <c r="C116">
        <v>4</v>
      </c>
      <c r="D116" t="s">
        <v>1823</v>
      </c>
      <c r="E116" t="s">
        <v>1823</v>
      </c>
      <c r="F116" t="str" cm="1">
        <f t="array" ref="F116">CategorizeComment(E116)</f>
        <v>Time-related issues</v>
      </c>
      <c r="G116" t="str" cm="1">
        <f t="array" ref="G116">SubCategorizeComment(E116)</f>
        <v>Flight delays</v>
      </c>
    </row>
    <row r="117" spans="1:7" x14ac:dyDescent="0.25">
      <c r="A117">
        <v>21940</v>
      </c>
      <c r="B117" t="s">
        <v>4</v>
      </c>
      <c r="C117">
        <v>4</v>
      </c>
      <c r="D117" t="s">
        <v>451</v>
      </c>
      <c r="E117" t="s">
        <v>451</v>
      </c>
      <c r="F117" t="str" cm="1">
        <f t="array" ref="F117">CategorizeComment(E117)</f>
        <v>Service inadequacy</v>
      </c>
      <c r="G117" t="str" cm="1">
        <f t="array" ref="G117">SubCategorizeComment(E117)</f>
        <v>Other</v>
      </c>
    </row>
    <row r="118" spans="1:7" x14ac:dyDescent="0.25">
      <c r="A118">
        <v>110823</v>
      </c>
      <c r="B118" t="s">
        <v>4</v>
      </c>
      <c r="C118">
        <v>4</v>
      </c>
      <c r="D118" t="s">
        <v>1899</v>
      </c>
      <c r="E118" t="s">
        <v>1899</v>
      </c>
      <c r="F118" t="str" cm="1">
        <f t="array" ref="F118">CategorizeComment(E118)</f>
        <v>Time-related issues</v>
      </c>
      <c r="G118" t="str" cm="1">
        <f t="array" ref="G118">SubCategorizeComment(E118)</f>
        <v>Flight delays</v>
      </c>
    </row>
    <row r="119" spans="1:7" x14ac:dyDescent="0.25">
      <c r="A119">
        <v>112635</v>
      </c>
      <c r="B119" t="s">
        <v>4</v>
      </c>
      <c r="C119">
        <v>4</v>
      </c>
      <c r="D119" t="s">
        <v>1919</v>
      </c>
      <c r="E119" t="s">
        <v>1919</v>
      </c>
      <c r="F119" t="str" cm="1">
        <f t="array" ref="F119">CategorizeComment(E119)</f>
        <v>Time-related issues</v>
      </c>
      <c r="G119" t="str" cm="1">
        <f t="array" ref="G119">SubCategorizeComment(E119)</f>
        <v>Flight delays</v>
      </c>
    </row>
    <row r="120" spans="1:7" x14ac:dyDescent="0.25">
      <c r="A120">
        <v>44695</v>
      </c>
      <c r="B120" t="s">
        <v>4</v>
      </c>
      <c r="C120">
        <v>4</v>
      </c>
      <c r="D120" t="s">
        <v>843</v>
      </c>
      <c r="E120" t="s">
        <v>843</v>
      </c>
      <c r="F120" t="str" cm="1">
        <f t="array" ref="F120">CategorizeComment(E120)</f>
        <v>Time-related issues</v>
      </c>
      <c r="G120" t="str" cm="1">
        <f t="array" ref="G120">SubCategorizeComment(E120)</f>
        <v>Flight delays</v>
      </c>
    </row>
    <row r="121" spans="1:7" x14ac:dyDescent="0.25">
      <c r="A121">
        <v>20916</v>
      </c>
      <c r="B121" t="s">
        <v>4</v>
      </c>
      <c r="C121">
        <v>4</v>
      </c>
      <c r="D121" t="s">
        <v>426</v>
      </c>
      <c r="E121" t="s">
        <v>426</v>
      </c>
      <c r="F121" t="str" cm="1">
        <f t="array" ref="F121">CategorizeComment(E121)</f>
        <v>Time-related issues</v>
      </c>
      <c r="G121" t="str" cm="1">
        <f t="array" ref="G121">SubCategorizeComment(E121)</f>
        <v>Flight delays</v>
      </c>
    </row>
    <row r="122" spans="1:7" x14ac:dyDescent="0.25">
      <c r="A122">
        <v>86428</v>
      </c>
      <c r="B122" t="s">
        <v>4</v>
      </c>
      <c r="C122">
        <v>3</v>
      </c>
      <c r="D122" t="s">
        <v>1513</v>
      </c>
      <c r="E122" t="s">
        <v>1513</v>
      </c>
      <c r="F122" t="str" cm="1">
        <f t="array" ref="F122">CategorizeComment(E122)</f>
        <v>Time-related issues</v>
      </c>
      <c r="G122" t="str" cm="1">
        <f t="array" ref="G122">SubCategorizeComment(E122)</f>
        <v>Flight delays</v>
      </c>
    </row>
    <row r="123" spans="1:7" x14ac:dyDescent="0.25">
      <c r="A123">
        <v>23341</v>
      </c>
      <c r="B123" t="s">
        <v>4</v>
      </c>
      <c r="C123">
        <v>3</v>
      </c>
      <c r="D123" t="s">
        <v>476</v>
      </c>
      <c r="E123" t="s">
        <v>476</v>
      </c>
      <c r="F123" t="str" cm="1">
        <f t="array" ref="F123">CategorizeComment(E123)</f>
        <v>Time-related issues</v>
      </c>
      <c r="G123" t="str" cm="1">
        <f t="array" ref="G123">SubCategorizeComment(E123)</f>
        <v>Flight delays</v>
      </c>
    </row>
    <row r="124" spans="1:7" x14ac:dyDescent="0.25">
      <c r="A124">
        <v>94719</v>
      </c>
      <c r="B124" t="s">
        <v>4</v>
      </c>
      <c r="C124">
        <v>3</v>
      </c>
      <c r="D124" t="s">
        <v>1646</v>
      </c>
      <c r="E124" t="s">
        <v>1646</v>
      </c>
      <c r="F124" t="str" cm="1">
        <f t="array" ref="F124">CategorizeComment(E124)</f>
        <v>Other</v>
      </c>
      <c r="G124" t="str" cm="1">
        <f t="array" ref="G124">SubCategorizeComment(E124)</f>
        <v>Other</v>
      </c>
    </row>
    <row r="125" spans="1:7" x14ac:dyDescent="0.25">
      <c r="A125">
        <v>128563</v>
      </c>
      <c r="B125" t="s">
        <v>4</v>
      </c>
      <c r="C125">
        <v>4</v>
      </c>
      <c r="D125" t="s">
        <v>2154</v>
      </c>
      <c r="E125" t="s">
        <v>2154</v>
      </c>
      <c r="F125" t="str" cm="1">
        <f t="array" ref="F125">CategorizeComment(E125)</f>
        <v>Other</v>
      </c>
      <c r="G125" t="str" cm="1">
        <f t="array" ref="G125">SubCategorizeComment(E125)</f>
        <v>Customer service issues</v>
      </c>
    </row>
    <row r="126" spans="1:7" x14ac:dyDescent="0.25">
      <c r="A126">
        <v>74280</v>
      </c>
      <c r="B126" t="s">
        <v>4</v>
      </c>
      <c r="C126">
        <v>4</v>
      </c>
      <c r="D126" t="s">
        <v>1349</v>
      </c>
      <c r="E126" t="s">
        <v>1349</v>
      </c>
      <c r="F126" t="str" cm="1">
        <f t="array" ref="F126">CategorizeComment(E126)</f>
        <v>Time-related issues</v>
      </c>
      <c r="G126" t="str" cm="1">
        <f t="array" ref="G126">SubCategorizeComment(E126)</f>
        <v>Flight delays</v>
      </c>
    </row>
    <row r="127" spans="1:7" x14ac:dyDescent="0.25">
      <c r="A127">
        <v>110714</v>
      </c>
      <c r="B127" t="s">
        <v>4</v>
      </c>
      <c r="C127">
        <v>4</v>
      </c>
      <c r="D127" t="s">
        <v>1895</v>
      </c>
      <c r="E127" t="s">
        <v>1895</v>
      </c>
      <c r="F127" t="str" cm="1">
        <f t="array" ref="F127">CategorizeComment(E127)</f>
        <v>Service inadequacy</v>
      </c>
      <c r="G127" t="str" cm="1">
        <f t="array" ref="G127">SubCategorizeComment(E127)</f>
        <v>Other</v>
      </c>
    </row>
    <row r="128" spans="1:7" x14ac:dyDescent="0.25">
      <c r="A128">
        <v>73484</v>
      </c>
      <c r="B128" t="s">
        <v>4</v>
      </c>
      <c r="C128">
        <v>3</v>
      </c>
      <c r="D128" t="s">
        <v>1338</v>
      </c>
      <c r="E128" t="s">
        <v>1338</v>
      </c>
      <c r="F128" t="str" cm="1">
        <f t="array" ref="F128">CategorizeComment(E128)</f>
        <v>Other</v>
      </c>
      <c r="G128" t="str" cm="1">
        <f t="array" ref="G128">SubCategorizeComment(E128)</f>
        <v>Other</v>
      </c>
    </row>
    <row r="129" spans="1:7" x14ac:dyDescent="0.25">
      <c r="A129">
        <v>16246</v>
      </c>
      <c r="B129" t="s">
        <v>4</v>
      </c>
      <c r="C129">
        <v>3</v>
      </c>
      <c r="D129" t="s">
        <v>320</v>
      </c>
      <c r="E129" t="s">
        <v>320</v>
      </c>
      <c r="F129" t="str" cm="1">
        <f t="array" ref="F129">CategorizeComment(E129)</f>
        <v>Other</v>
      </c>
      <c r="G129" t="str" cm="1">
        <f t="array" ref="G129">SubCategorizeComment(E129)</f>
        <v>Other</v>
      </c>
    </row>
    <row r="130" spans="1:7" x14ac:dyDescent="0.25">
      <c r="A130">
        <v>70996</v>
      </c>
      <c r="B130" t="s">
        <v>4</v>
      </c>
      <c r="C130">
        <v>4</v>
      </c>
      <c r="D130" t="s">
        <v>1293</v>
      </c>
      <c r="E130" t="s">
        <v>1293</v>
      </c>
      <c r="F130" t="str" cm="1">
        <f t="array" ref="F130">CategorizeComment(E130)</f>
        <v>Time-related issues</v>
      </c>
      <c r="G130" t="str" cm="1">
        <f t="array" ref="G130">SubCategorizeComment(E130)</f>
        <v>Flight delays</v>
      </c>
    </row>
    <row r="131" spans="1:7" x14ac:dyDescent="0.25">
      <c r="A131">
        <v>66739</v>
      </c>
      <c r="B131" t="s">
        <v>4</v>
      </c>
      <c r="C131">
        <v>3</v>
      </c>
      <c r="D131" t="s">
        <v>1230</v>
      </c>
      <c r="E131" t="s">
        <v>1230</v>
      </c>
      <c r="F131" t="str" cm="1">
        <f t="array" ref="F131">CategorizeComment(E131)</f>
        <v>Time-related issues</v>
      </c>
      <c r="G131" t="str" cm="1">
        <f t="array" ref="G131">SubCategorizeComment(E131)</f>
        <v>Flight delays</v>
      </c>
    </row>
    <row r="132" spans="1:7" x14ac:dyDescent="0.25">
      <c r="A132">
        <v>6516</v>
      </c>
      <c r="B132" t="s">
        <v>4</v>
      </c>
      <c r="C132">
        <v>4</v>
      </c>
      <c r="D132" t="s">
        <v>131</v>
      </c>
      <c r="E132" t="s">
        <v>131</v>
      </c>
      <c r="F132" t="str" cm="1">
        <f t="array" ref="F132">CategorizeComment(E132)</f>
        <v>Time-related issues</v>
      </c>
      <c r="G132" t="str" cm="1">
        <f t="array" ref="G132">SubCategorizeComment(E132)</f>
        <v>Flight delays</v>
      </c>
    </row>
    <row r="133" spans="1:7" x14ac:dyDescent="0.25">
      <c r="A133">
        <v>38547</v>
      </c>
      <c r="B133" t="s">
        <v>4</v>
      </c>
      <c r="C133">
        <v>3</v>
      </c>
      <c r="D133" t="s">
        <v>742</v>
      </c>
      <c r="E133" t="s">
        <v>742</v>
      </c>
      <c r="F133" t="str" cm="1">
        <f t="array" ref="F133">CategorizeComment(E133)</f>
        <v>Time-related issues</v>
      </c>
      <c r="G133" t="str" cm="1">
        <f t="array" ref="G133">SubCategorizeComment(E133)</f>
        <v>Flight delays</v>
      </c>
    </row>
    <row r="134" spans="1:7" x14ac:dyDescent="0.25">
      <c r="A134">
        <v>20383</v>
      </c>
      <c r="B134" t="s">
        <v>4</v>
      </c>
      <c r="C134">
        <v>3</v>
      </c>
      <c r="D134" t="s">
        <v>414</v>
      </c>
      <c r="E134" t="s">
        <v>414</v>
      </c>
      <c r="F134" t="str" cm="1">
        <f t="array" ref="F134">CategorizeComment(E134)</f>
        <v>Time-related issues</v>
      </c>
      <c r="G134" t="str" cm="1">
        <f t="array" ref="G134">SubCategorizeComment(E134)</f>
        <v>Flight delays</v>
      </c>
    </row>
    <row r="135" spans="1:7" x14ac:dyDescent="0.25">
      <c r="A135">
        <v>13147</v>
      </c>
      <c r="B135" t="s">
        <v>4</v>
      </c>
      <c r="C135">
        <v>3</v>
      </c>
      <c r="D135" t="s">
        <v>258</v>
      </c>
      <c r="E135" t="s">
        <v>258</v>
      </c>
      <c r="F135" t="str" cm="1">
        <f t="array" ref="F135">CategorizeComment(E135)</f>
        <v>Time-related issues</v>
      </c>
      <c r="G135" t="str" cm="1">
        <f t="array" ref="G135">SubCategorizeComment(E135)</f>
        <v>Flight delays</v>
      </c>
    </row>
    <row r="136" spans="1:7" x14ac:dyDescent="0.25">
      <c r="A136">
        <v>122213</v>
      </c>
      <c r="B136" t="s">
        <v>4</v>
      </c>
      <c r="C136">
        <v>3</v>
      </c>
      <c r="D136" t="s">
        <v>2055</v>
      </c>
      <c r="E136" t="s">
        <v>2055</v>
      </c>
      <c r="F136" t="str" cm="1">
        <f t="array" ref="F136">CategorizeComment(E136)</f>
        <v>Other</v>
      </c>
      <c r="G136" t="str" cm="1">
        <f t="array" ref="G136">SubCategorizeComment(E136)</f>
        <v>Other</v>
      </c>
    </row>
    <row r="137" spans="1:7" x14ac:dyDescent="0.25">
      <c r="A137">
        <v>100012</v>
      </c>
      <c r="B137" t="s">
        <v>4</v>
      </c>
      <c r="C137">
        <v>3</v>
      </c>
      <c r="D137" t="s">
        <v>1725</v>
      </c>
      <c r="E137" t="s">
        <v>1725</v>
      </c>
      <c r="F137" t="str" cm="1">
        <f t="array" ref="F137">CategorizeComment(E137)</f>
        <v>Time-related issues</v>
      </c>
      <c r="G137" t="str" cm="1">
        <f t="array" ref="G137">SubCategorizeComment(E137)</f>
        <v>Flight delays</v>
      </c>
    </row>
    <row r="138" spans="1:7" x14ac:dyDescent="0.25">
      <c r="A138">
        <v>12911</v>
      </c>
      <c r="B138" t="s">
        <v>4</v>
      </c>
      <c r="C138">
        <v>4</v>
      </c>
      <c r="D138" t="s">
        <v>254</v>
      </c>
      <c r="E138" t="s">
        <v>254</v>
      </c>
      <c r="F138" t="str" cm="1">
        <f t="array" ref="F138">CategorizeComment(E138)</f>
        <v>Time-related issues</v>
      </c>
      <c r="G138" t="str" cm="1">
        <f t="array" ref="G138">SubCategorizeComment(E138)</f>
        <v>Flight delays</v>
      </c>
    </row>
    <row r="139" spans="1:7" x14ac:dyDescent="0.25">
      <c r="A139">
        <v>45256</v>
      </c>
      <c r="B139" t="s">
        <v>4</v>
      </c>
      <c r="C139">
        <v>0</v>
      </c>
      <c r="D139" t="s">
        <v>857</v>
      </c>
      <c r="E139" t="s">
        <v>857</v>
      </c>
      <c r="F139" t="str" cm="1">
        <f t="array" ref="F139">CategorizeComment(E139)</f>
        <v>Time-related issues</v>
      </c>
      <c r="G139" t="str" cm="1">
        <f t="array" ref="G139">SubCategorizeComment(E139)</f>
        <v>Flight delays</v>
      </c>
    </row>
    <row r="140" spans="1:7" x14ac:dyDescent="0.25">
      <c r="A140">
        <v>103508</v>
      </c>
      <c r="B140" t="s">
        <v>4</v>
      </c>
      <c r="C140">
        <v>4</v>
      </c>
      <c r="D140" t="s">
        <v>1764</v>
      </c>
      <c r="E140" t="s">
        <v>1764</v>
      </c>
      <c r="F140" t="str" cm="1">
        <f t="array" ref="F140">CategorizeComment(E140)</f>
        <v>Time-related issues</v>
      </c>
      <c r="G140" t="str" cm="1">
        <f t="array" ref="G140">SubCategorizeComment(E140)</f>
        <v>Flight delays</v>
      </c>
    </row>
    <row r="141" spans="1:7" x14ac:dyDescent="0.25">
      <c r="A141">
        <v>53632</v>
      </c>
      <c r="B141" t="s">
        <v>4</v>
      </c>
      <c r="C141">
        <v>3</v>
      </c>
      <c r="D141" t="s">
        <v>1002</v>
      </c>
      <c r="E141" t="s">
        <v>1002</v>
      </c>
      <c r="F141" t="str" cm="1">
        <f t="array" ref="F141">CategorizeComment(E141)</f>
        <v>Time-related issues</v>
      </c>
      <c r="G141" t="str" cm="1">
        <f t="array" ref="G141">SubCategorizeComment(E141)</f>
        <v>Flight delays</v>
      </c>
    </row>
    <row r="142" spans="1:7" x14ac:dyDescent="0.25">
      <c r="A142">
        <v>125677</v>
      </c>
      <c r="B142" t="s">
        <v>4</v>
      </c>
      <c r="C142">
        <v>4</v>
      </c>
      <c r="D142" t="s">
        <v>2112</v>
      </c>
      <c r="E142" t="s">
        <v>2112</v>
      </c>
      <c r="F142" t="str" cm="1">
        <f t="array" ref="F142">CategorizeComment(E142)</f>
        <v>Time-related issues</v>
      </c>
      <c r="G142" t="str" cm="1">
        <f t="array" ref="G142">SubCategorizeComment(E142)</f>
        <v>Flight delays</v>
      </c>
    </row>
    <row r="143" spans="1:7" x14ac:dyDescent="0.25">
      <c r="A143">
        <v>114231</v>
      </c>
      <c r="B143" t="s">
        <v>4</v>
      </c>
      <c r="C143">
        <v>3</v>
      </c>
      <c r="D143" t="s">
        <v>1943</v>
      </c>
      <c r="E143" t="s">
        <v>1943</v>
      </c>
      <c r="F143" t="str" cm="1">
        <f t="array" ref="F143">CategorizeComment(E143)</f>
        <v>Time-related issues</v>
      </c>
      <c r="G143" t="str" cm="1">
        <f t="array" ref="G143">SubCategorizeComment(E143)</f>
        <v>Flight delays</v>
      </c>
    </row>
    <row r="144" spans="1:7" x14ac:dyDescent="0.25">
      <c r="A144">
        <v>4995</v>
      </c>
      <c r="B144" t="s">
        <v>4</v>
      </c>
      <c r="C144">
        <v>4</v>
      </c>
      <c r="D144" t="s">
        <v>104</v>
      </c>
      <c r="E144" t="s">
        <v>104</v>
      </c>
      <c r="F144" t="str" cm="1">
        <f t="array" ref="F144">CategorizeComment(E144)</f>
        <v>Time-related issues</v>
      </c>
      <c r="G144" t="str" cm="1">
        <f t="array" ref="G144">SubCategorizeComment(E144)</f>
        <v>Flight delays</v>
      </c>
    </row>
    <row r="145" spans="1:7" x14ac:dyDescent="0.25">
      <c r="A145">
        <v>129814</v>
      </c>
      <c r="B145" t="s">
        <v>4</v>
      </c>
      <c r="C145">
        <v>4</v>
      </c>
      <c r="D145" t="s">
        <v>2167</v>
      </c>
      <c r="E145" t="s">
        <v>2167</v>
      </c>
      <c r="F145" t="str" cm="1">
        <f t="array" ref="F145">CategorizeComment(E145)</f>
        <v>Time-related issues</v>
      </c>
      <c r="G145" t="str" cm="1">
        <f t="array" ref="G145">SubCategorizeComment(E145)</f>
        <v>Flight delays</v>
      </c>
    </row>
    <row r="146" spans="1:7" x14ac:dyDescent="0.25">
      <c r="A146">
        <v>99980</v>
      </c>
      <c r="B146" t="s">
        <v>4</v>
      </c>
      <c r="C146">
        <v>4</v>
      </c>
      <c r="D146" t="s">
        <v>1724</v>
      </c>
      <c r="E146" t="s">
        <v>1724</v>
      </c>
      <c r="F146" t="str" cm="1">
        <f t="array" ref="F146">CategorizeComment(E146)</f>
        <v>Time-related issues</v>
      </c>
      <c r="G146" t="str" cm="1">
        <f t="array" ref="G146">SubCategorizeComment(E146)</f>
        <v>Flight delays</v>
      </c>
    </row>
    <row r="147" spans="1:7" x14ac:dyDescent="0.25">
      <c r="A147">
        <v>36576</v>
      </c>
      <c r="B147" t="s">
        <v>4</v>
      </c>
      <c r="C147">
        <v>3</v>
      </c>
      <c r="D147" t="s">
        <v>703</v>
      </c>
      <c r="E147" t="s">
        <v>703</v>
      </c>
      <c r="F147" t="str" cm="1">
        <f t="array" ref="F147">CategorizeComment(E147)</f>
        <v>Time-related issues</v>
      </c>
      <c r="G147" t="str" cm="1">
        <f t="array" ref="G147">SubCategorizeComment(E147)</f>
        <v>Flight delays</v>
      </c>
    </row>
    <row r="148" spans="1:7" x14ac:dyDescent="0.25">
      <c r="A148">
        <v>75072</v>
      </c>
      <c r="B148" t="s">
        <v>4</v>
      </c>
      <c r="C148">
        <v>3</v>
      </c>
      <c r="D148" t="s">
        <v>1358</v>
      </c>
      <c r="E148" t="s">
        <v>1358</v>
      </c>
      <c r="F148" t="str" cm="1">
        <f t="array" ref="F148">CategorizeComment(E148)</f>
        <v>Service inadequacy</v>
      </c>
      <c r="G148" t="str" cm="1">
        <f t="array" ref="G148">SubCategorizeComment(E148)</f>
        <v>Other</v>
      </c>
    </row>
    <row r="149" spans="1:7" x14ac:dyDescent="0.25">
      <c r="A149">
        <v>81977</v>
      </c>
      <c r="B149" t="s">
        <v>4</v>
      </c>
      <c r="C149">
        <v>3</v>
      </c>
      <c r="D149" t="s">
        <v>1459</v>
      </c>
      <c r="E149" t="s">
        <v>1459</v>
      </c>
      <c r="F149" t="str" cm="1">
        <f t="array" ref="F149">CategorizeComment(E149)</f>
        <v>Service inadequacy</v>
      </c>
      <c r="G149" t="str" cm="1">
        <f t="array" ref="G149">SubCategorizeComment(E149)</f>
        <v>Other</v>
      </c>
    </row>
    <row r="150" spans="1:7" x14ac:dyDescent="0.25">
      <c r="A150">
        <v>89019</v>
      </c>
      <c r="B150" t="s">
        <v>4</v>
      </c>
      <c r="C150">
        <v>4</v>
      </c>
      <c r="D150" t="s">
        <v>1555</v>
      </c>
      <c r="E150" t="s">
        <v>1555</v>
      </c>
      <c r="F150" t="str" cm="1">
        <f t="array" ref="F150">CategorizeComment(E150)</f>
        <v>Service inadequacy</v>
      </c>
      <c r="G150" t="str" cm="1">
        <f t="array" ref="G150">SubCategorizeComment(E150)</f>
        <v>Other</v>
      </c>
    </row>
    <row r="151" spans="1:7" x14ac:dyDescent="0.25">
      <c r="A151">
        <v>36511</v>
      </c>
      <c r="B151" t="s">
        <v>4</v>
      </c>
      <c r="C151">
        <v>4</v>
      </c>
      <c r="D151" t="s">
        <v>699</v>
      </c>
      <c r="E151" t="s">
        <v>699</v>
      </c>
      <c r="F151" t="str" cm="1">
        <f t="array" ref="F151">CategorizeComment(E151)</f>
        <v>Service inadequacy</v>
      </c>
      <c r="G151" t="str" cm="1">
        <f t="array" ref="G151">SubCategorizeComment(E151)</f>
        <v>Baggage issues</v>
      </c>
    </row>
    <row r="152" spans="1:7" x14ac:dyDescent="0.25">
      <c r="A152">
        <v>54159</v>
      </c>
      <c r="B152" t="s">
        <v>4</v>
      </c>
      <c r="C152">
        <v>3</v>
      </c>
      <c r="D152" t="s">
        <v>1013</v>
      </c>
      <c r="E152" t="s">
        <v>1013</v>
      </c>
      <c r="F152" t="str" cm="1">
        <f t="array" ref="F152">CategorizeComment(E152)</f>
        <v>Service inadequacy</v>
      </c>
      <c r="G152" t="str" cm="1">
        <f t="array" ref="G152">SubCategorizeComment(E152)</f>
        <v>Other</v>
      </c>
    </row>
    <row r="153" spans="1:7" x14ac:dyDescent="0.25">
      <c r="A153">
        <v>85352</v>
      </c>
      <c r="B153" t="s">
        <v>4</v>
      </c>
      <c r="C153">
        <v>3</v>
      </c>
      <c r="D153" t="s">
        <v>1497</v>
      </c>
      <c r="E153" t="s">
        <v>1497</v>
      </c>
      <c r="F153" t="str" cm="1">
        <f t="array" ref="F153">CategorizeComment(E153)</f>
        <v>Service inadequacy</v>
      </c>
      <c r="G153" t="str" cm="1">
        <f t="array" ref="G153">SubCategorizeComment(E153)</f>
        <v>Other</v>
      </c>
    </row>
    <row r="154" spans="1:7" x14ac:dyDescent="0.25">
      <c r="A154">
        <v>263</v>
      </c>
      <c r="B154" t="s">
        <v>4</v>
      </c>
      <c r="C154">
        <v>4</v>
      </c>
      <c r="D154" t="s">
        <v>12</v>
      </c>
      <c r="E154" t="s">
        <v>12</v>
      </c>
      <c r="F154" t="str" cm="1">
        <f t="array" ref="F154">CategorizeComment(E154)</f>
        <v>Service inadequacy</v>
      </c>
      <c r="G154" t="str" cm="1">
        <f t="array" ref="G154">SubCategorizeComment(E154)</f>
        <v>Baggage issues</v>
      </c>
    </row>
    <row r="155" spans="1:7" x14ac:dyDescent="0.25">
      <c r="A155">
        <v>98713</v>
      </c>
      <c r="B155" t="s">
        <v>4</v>
      </c>
      <c r="C155">
        <v>4</v>
      </c>
      <c r="D155" t="s">
        <v>1709</v>
      </c>
      <c r="E155" t="s">
        <v>1709</v>
      </c>
      <c r="F155" t="str" cm="1">
        <f t="array" ref="F155">CategorizeComment(E155)</f>
        <v>Communication and understanding issues</v>
      </c>
      <c r="G155" t="str" cm="1">
        <f t="array" ref="G155">SubCategorizeComment(E155)</f>
        <v>Inadequate information about travel restrictions</v>
      </c>
    </row>
    <row r="156" spans="1:7" x14ac:dyDescent="0.25">
      <c r="A156">
        <v>126298</v>
      </c>
      <c r="B156" t="s">
        <v>4</v>
      </c>
      <c r="C156">
        <v>3</v>
      </c>
      <c r="D156" t="s">
        <v>2124</v>
      </c>
      <c r="E156" t="s">
        <v>2124</v>
      </c>
      <c r="F156" t="str" cm="1">
        <f t="array" ref="F156">CategorizeComment(E156)</f>
        <v>Service inadequacy</v>
      </c>
      <c r="G156" t="str" cm="1">
        <f t="array" ref="G156">SubCategorizeComment(E156)</f>
        <v>Other</v>
      </c>
    </row>
    <row r="157" spans="1:7" x14ac:dyDescent="0.25">
      <c r="A157">
        <v>44948</v>
      </c>
      <c r="B157" t="s">
        <v>4</v>
      </c>
      <c r="C157">
        <v>3</v>
      </c>
      <c r="D157" t="s">
        <v>849</v>
      </c>
      <c r="E157" t="s">
        <v>849</v>
      </c>
      <c r="F157" t="str" cm="1">
        <f t="array" ref="F157">CategorizeComment(E157)</f>
        <v>Service inadequacy</v>
      </c>
      <c r="G157" t="str" cm="1">
        <f t="array" ref="G157">SubCategorizeComment(E157)</f>
        <v>Other</v>
      </c>
    </row>
    <row r="158" spans="1:7" x14ac:dyDescent="0.25">
      <c r="A158">
        <v>90098</v>
      </c>
      <c r="B158" t="s">
        <v>4</v>
      </c>
      <c r="C158">
        <v>4</v>
      </c>
      <c r="D158" t="s">
        <v>1568</v>
      </c>
      <c r="E158" t="s">
        <v>1568</v>
      </c>
      <c r="F158" t="str" cm="1">
        <f t="array" ref="F158">CategorizeComment(E158)</f>
        <v>Service inadequacy</v>
      </c>
      <c r="G158" t="str" cm="1">
        <f t="array" ref="G158">SubCategorizeComment(E158)</f>
        <v>Other</v>
      </c>
    </row>
    <row r="159" spans="1:7" x14ac:dyDescent="0.25">
      <c r="A159">
        <v>11599</v>
      </c>
      <c r="B159" t="s">
        <v>4</v>
      </c>
      <c r="C159">
        <v>4</v>
      </c>
      <c r="D159" t="s">
        <v>227</v>
      </c>
      <c r="E159" t="s">
        <v>227</v>
      </c>
      <c r="F159" t="str" cm="1">
        <f t="array" ref="F159">CategorizeComment(E159)</f>
        <v>Service inadequacy</v>
      </c>
      <c r="G159" t="str" cm="1">
        <f t="array" ref="G159">SubCategorizeComment(E159)</f>
        <v>Other</v>
      </c>
    </row>
    <row r="160" spans="1:7" x14ac:dyDescent="0.25">
      <c r="A160">
        <v>66690</v>
      </c>
      <c r="B160" t="s">
        <v>4</v>
      </c>
      <c r="C160">
        <v>3</v>
      </c>
      <c r="D160" t="s">
        <v>1228</v>
      </c>
      <c r="E160" t="s">
        <v>1228</v>
      </c>
      <c r="F160" t="str" cm="1">
        <f t="array" ref="F160">CategorizeComment(E160)</f>
        <v>Service inadequacy</v>
      </c>
      <c r="G160" t="str" cm="1">
        <f t="array" ref="G160">SubCategorizeComment(E160)</f>
        <v>Other</v>
      </c>
    </row>
    <row r="161" spans="1:7" x14ac:dyDescent="0.25">
      <c r="A161">
        <v>21939</v>
      </c>
      <c r="B161" t="s">
        <v>4</v>
      </c>
      <c r="C161">
        <v>3</v>
      </c>
      <c r="D161" t="s">
        <v>450</v>
      </c>
      <c r="E161" t="s">
        <v>450</v>
      </c>
      <c r="F161" t="str" cm="1">
        <f t="array" ref="F161">CategorizeComment(E161)</f>
        <v>Service inadequacy</v>
      </c>
      <c r="G161" t="str" cm="1">
        <f t="array" ref="G161">SubCategorizeComment(E161)</f>
        <v>Baggage issues</v>
      </c>
    </row>
    <row r="162" spans="1:7" x14ac:dyDescent="0.25">
      <c r="A162">
        <v>52608</v>
      </c>
      <c r="B162" t="s">
        <v>4</v>
      </c>
      <c r="C162">
        <v>4</v>
      </c>
      <c r="D162" t="s">
        <v>982</v>
      </c>
      <c r="E162" t="s">
        <v>982</v>
      </c>
      <c r="F162" t="str" cm="1">
        <f t="array" ref="F162">CategorizeComment(E162)</f>
        <v>Difficulties and challenges</v>
      </c>
      <c r="G162" t="str" cm="1">
        <f t="array" ref="G162">SubCategorizeComment(E162)</f>
        <v>Other</v>
      </c>
    </row>
    <row r="163" spans="1:7" x14ac:dyDescent="0.25">
      <c r="A163">
        <v>62767</v>
      </c>
      <c r="B163" t="s">
        <v>4</v>
      </c>
      <c r="C163">
        <v>3</v>
      </c>
      <c r="D163" t="s">
        <v>1171</v>
      </c>
      <c r="E163" t="s">
        <v>1171</v>
      </c>
      <c r="F163" t="str" cm="1">
        <f t="array" ref="F163">CategorizeComment(E163)</f>
        <v>Difficulties and challenges</v>
      </c>
      <c r="G163" t="str" cm="1">
        <f t="array" ref="G163">SubCategorizeComment(E163)</f>
        <v>Other</v>
      </c>
    </row>
    <row r="164" spans="1:7" x14ac:dyDescent="0.25">
      <c r="A164">
        <v>16056</v>
      </c>
      <c r="B164" t="s">
        <v>4</v>
      </c>
      <c r="C164">
        <v>4</v>
      </c>
      <c r="D164" t="s">
        <v>316</v>
      </c>
      <c r="E164" t="s">
        <v>316</v>
      </c>
      <c r="F164" t="str" cm="1">
        <f t="array" ref="F164">CategorizeComment(E164)</f>
        <v>Difficulties and challenges</v>
      </c>
      <c r="G164" t="str" cm="1">
        <f t="array" ref="G164">SubCategorizeComment(E164)</f>
        <v>Other</v>
      </c>
    </row>
    <row r="165" spans="1:7" x14ac:dyDescent="0.25">
      <c r="A165">
        <v>72902</v>
      </c>
      <c r="B165" t="s">
        <v>4</v>
      </c>
      <c r="C165">
        <v>3</v>
      </c>
      <c r="D165" t="s">
        <v>1326</v>
      </c>
      <c r="E165" t="s">
        <v>1326</v>
      </c>
      <c r="F165" t="str" cm="1">
        <f t="array" ref="F165">CategorizeComment(E165)</f>
        <v>Difficulties and challenges</v>
      </c>
      <c r="G165" t="str" cm="1">
        <f t="array" ref="G165">SubCategorizeComment(E165)</f>
        <v>Other</v>
      </c>
    </row>
    <row r="166" spans="1:7" x14ac:dyDescent="0.25">
      <c r="A166">
        <v>82851</v>
      </c>
      <c r="B166" t="s">
        <v>4</v>
      </c>
      <c r="C166">
        <v>1</v>
      </c>
      <c r="D166" t="s">
        <v>1470</v>
      </c>
      <c r="E166" t="s">
        <v>1470</v>
      </c>
      <c r="F166" t="str" cm="1">
        <f t="array" ref="F166">CategorizeComment(E166)</f>
        <v>Difficulties and challenges</v>
      </c>
      <c r="G166" t="str" cm="1">
        <f t="array" ref="G166">SubCategorizeComment(E166)</f>
        <v>Other</v>
      </c>
    </row>
    <row r="167" spans="1:7" x14ac:dyDescent="0.25">
      <c r="A167">
        <v>66695</v>
      </c>
      <c r="B167" t="s">
        <v>4</v>
      </c>
      <c r="C167">
        <v>4</v>
      </c>
      <c r="D167" t="s">
        <v>1229</v>
      </c>
      <c r="E167" t="s">
        <v>1229</v>
      </c>
      <c r="F167" t="str" cm="1">
        <f t="array" ref="F167">CategorizeComment(E167)</f>
        <v>Difficulties and challenges</v>
      </c>
      <c r="G167" t="str" cm="1">
        <f t="array" ref="G167">SubCategorizeComment(E167)</f>
        <v>Other</v>
      </c>
    </row>
    <row r="168" spans="1:7" x14ac:dyDescent="0.25">
      <c r="A168">
        <v>36529</v>
      </c>
      <c r="B168" t="s">
        <v>4</v>
      </c>
      <c r="C168">
        <v>3</v>
      </c>
      <c r="D168" t="s">
        <v>701</v>
      </c>
      <c r="E168" t="s">
        <v>701</v>
      </c>
      <c r="F168" t="str" cm="1">
        <f t="array" ref="F168">CategorizeComment(E168)</f>
        <v>Other</v>
      </c>
      <c r="G168" t="str" cm="1">
        <f t="array" ref="G168">SubCategorizeComment(E168)</f>
        <v>Other</v>
      </c>
    </row>
    <row r="169" spans="1:7" x14ac:dyDescent="0.25">
      <c r="A169">
        <v>92069</v>
      </c>
      <c r="B169" t="s">
        <v>4</v>
      </c>
      <c r="C169">
        <v>3</v>
      </c>
      <c r="D169" t="s">
        <v>1607</v>
      </c>
      <c r="E169" t="s">
        <v>1607</v>
      </c>
      <c r="F169" t="str" cm="1">
        <f t="array" ref="F169">CategorizeComment(E169)</f>
        <v>Other</v>
      </c>
      <c r="G169" t="str" cm="1">
        <f t="array" ref="G169">SubCategorizeComment(E169)</f>
        <v>Other</v>
      </c>
    </row>
    <row r="170" spans="1:7" x14ac:dyDescent="0.25">
      <c r="A170">
        <v>95302</v>
      </c>
      <c r="B170" t="s">
        <v>4</v>
      </c>
      <c r="C170">
        <v>3</v>
      </c>
      <c r="D170" t="s">
        <v>1655</v>
      </c>
      <c r="E170" t="s">
        <v>1655</v>
      </c>
      <c r="F170" t="str" cm="1">
        <f t="array" ref="F170">CategorizeComment(E170)</f>
        <v>Other</v>
      </c>
      <c r="G170" t="str" cm="1">
        <f t="array" ref="G170">SubCategorizeComment(E170)</f>
        <v>Customer service issues</v>
      </c>
    </row>
    <row r="171" spans="1:7" x14ac:dyDescent="0.25">
      <c r="A171">
        <v>105943</v>
      </c>
      <c r="B171" t="s">
        <v>4</v>
      </c>
      <c r="C171">
        <v>4</v>
      </c>
      <c r="D171" t="s">
        <v>1809</v>
      </c>
      <c r="E171" t="s">
        <v>1809</v>
      </c>
      <c r="F171" t="str" cm="1">
        <f t="array" ref="F171">CategorizeComment(E171)</f>
        <v>Service inadequacy</v>
      </c>
      <c r="G171" t="str" cm="1">
        <f t="array" ref="G171">SubCategorizeComment(E171)</f>
        <v>Baggage issues</v>
      </c>
    </row>
    <row r="172" spans="1:7" x14ac:dyDescent="0.25">
      <c r="A172">
        <v>120846</v>
      </c>
      <c r="B172" t="s">
        <v>4</v>
      </c>
      <c r="C172">
        <v>3</v>
      </c>
      <c r="D172" t="s">
        <v>2032</v>
      </c>
      <c r="E172" t="s">
        <v>2032</v>
      </c>
      <c r="F172" t="str" cm="1">
        <f t="array" ref="F172">CategorizeComment(E172)</f>
        <v>Service inadequacy</v>
      </c>
      <c r="G172" t="str" cm="1">
        <f t="array" ref="G172">SubCategorizeComment(E172)</f>
        <v>Baggage issues</v>
      </c>
    </row>
    <row r="173" spans="1:7" x14ac:dyDescent="0.25">
      <c r="A173">
        <v>78704</v>
      </c>
      <c r="B173" t="s">
        <v>4</v>
      </c>
      <c r="C173">
        <v>3</v>
      </c>
      <c r="D173" t="s">
        <v>1412</v>
      </c>
      <c r="E173" t="s">
        <v>1412</v>
      </c>
      <c r="F173" t="str" cm="1">
        <f t="array" ref="F173">CategorizeComment(E173)</f>
        <v>Service inadequacy</v>
      </c>
      <c r="G173" t="str" cm="1">
        <f t="array" ref="G173">SubCategorizeComment(E173)</f>
        <v>Baggage issues</v>
      </c>
    </row>
    <row r="174" spans="1:7" x14ac:dyDescent="0.25">
      <c r="A174">
        <v>56184</v>
      </c>
      <c r="B174" t="s">
        <v>4</v>
      </c>
      <c r="C174">
        <v>4</v>
      </c>
      <c r="D174" t="s">
        <v>1049</v>
      </c>
      <c r="E174" t="s">
        <v>1049</v>
      </c>
      <c r="F174" t="str" cm="1">
        <f t="array" ref="F174">CategorizeComment(E174)</f>
        <v>Service inadequacy</v>
      </c>
      <c r="G174" t="str" cm="1">
        <f t="array" ref="G174">SubCategorizeComment(E174)</f>
        <v>Baggage issues</v>
      </c>
    </row>
    <row r="175" spans="1:7" x14ac:dyDescent="0.25">
      <c r="A175">
        <v>25236</v>
      </c>
      <c r="B175" t="s">
        <v>4</v>
      </c>
      <c r="C175">
        <v>3</v>
      </c>
      <c r="D175" t="s">
        <v>512</v>
      </c>
      <c r="E175" t="s">
        <v>512</v>
      </c>
      <c r="F175" t="str" cm="1">
        <f t="array" ref="F175">CategorizeComment(E175)</f>
        <v>Other</v>
      </c>
      <c r="G175" t="str" cm="1">
        <f t="array" ref="G175">SubCategorizeComment(E175)</f>
        <v>Other</v>
      </c>
    </row>
    <row r="176" spans="1:7" x14ac:dyDescent="0.25">
      <c r="A176">
        <v>49998</v>
      </c>
      <c r="B176" t="s">
        <v>4</v>
      </c>
      <c r="C176">
        <v>3</v>
      </c>
      <c r="D176" t="s">
        <v>932</v>
      </c>
      <c r="E176" t="s">
        <v>932</v>
      </c>
      <c r="F176" t="str" cm="1">
        <f t="array" ref="F176">CategorizeComment(E176)</f>
        <v>Pricing and policy issues</v>
      </c>
      <c r="G176" t="str" cm="1">
        <f t="array" ref="G176">SubCategorizeComment(E176)</f>
        <v>Other</v>
      </c>
    </row>
    <row r="177" spans="1:7" x14ac:dyDescent="0.25">
      <c r="A177">
        <v>112512</v>
      </c>
      <c r="B177" t="s">
        <v>4</v>
      </c>
      <c r="C177">
        <v>4</v>
      </c>
      <c r="D177" t="s">
        <v>1918</v>
      </c>
      <c r="E177" t="s">
        <v>1918</v>
      </c>
      <c r="F177" t="str" cm="1">
        <f t="array" ref="F177">CategorizeComment(E177)</f>
        <v>Service inadequacy</v>
      </c>
      <c r="G177" t="str" cm="1">
        <f t="array" ref="G177">SubCategorizeComment(E177)</f>
        <v>Baggage issues</v>
      </c>
    </row>
    <row r="178" spans="1:7" x14ac:dyDescent="0.25">
      <c r="A178">
        <v>7619</v>
      </c>
      <c r="B178" t="s">
        <v>4</v>
      </c>
      <c r="C178">
        <v>3</v>
      </c>
      <c r="D178" t="s">
        <v>155</v>
      </c>
      <c r="E178" t="s">
        <v>155</v>
      </c>
      <c r="F178" t="str" cm="1">
        <f t="array" ref="F178">CategorizeComment(E178)</f>
        <v>Other</v>
      </c>
      <c r="G178" t="str" cm="1">
        <f t="array" ref="G178">SubCategorizeComment(E178)</f>
        <v>Other</v>
      </c>
    </row>
    <row r="179" spans="1:7" x14ac:dyDescent="0.25">
      <c r="A179">
        <v>8768</v>
      </c>
      <c r="B179" t="s">
        <v>4</v>
      </c>
      <c r="C179">
        <v>4</v>
      </c>
      <c r="D179" t="s">
        <v>175</v>
      </c>
      <c r="E179" t="s">
        <v>175</v>
      </c>
      <c r="F179" t="str" cm="1">
        <f t="array" ref="F179">CategorizeComment(E179)</f>
        <v>Other</v>
      </c>
      <c r="G179" t="str" cm="1">
        <f t="array" ref="G179">SubCategorizeComment(E179)</f>
        <v>Other</v>
      </c>
    </row>
    <row r="180" spans="1:7" x14ac:dyDescent="0.25">
      <c r="A180">
        <v>91687</v>
      </c>
      <c r="B180" t="s">
        <v>4</v>
      </c>
      <c r="C180">
        <v>4</v>
      </c>
      <c r="D180" t="s">
        <v>1602</v>
      </c>
      <c r="E180" t="s">
        <v>1602</v>
      </c>
      <c r="F180" t="str" cm="1">
        <f t="array" ref="F180">CategorizeComment(E180)</f>
        <v>Other</v>
      </c>
      <c r="G180" t="str" cm="1">
        <f t="array" ref="G180">SubCategorizeComment(E180)</f>
        <v>Other</v>
      </c>
    </row>
    <row r="181" spans="1:7" x14ac:dyDescent="0.25">
      <c r="A181">
        <v>39933</v>
      </c>
      <c r="B181" t="s">
        <v>4</v>
      </c>
      <c r="C181">
        <v>4</v>
      </c>
      <c r="D181" t="s">
        <v>762</v>
      </c>
      <c r="E181" t="s">
        <v>762</v>
      </c>
      <c r="F181" t="str" cm="1">
        <f t="array" ref="F181">CategorizeComment(E181)</f>
        <v>Other</v>
      </c>
      <c r="G181" t="str" cm="1">
        <f t="array" ref="G181">SubCategorizeComment(E181)</f>
        <v>Other</v>
      </c>
    </row>
    <row r="182" spans="1:7" x14ac:dyDescent="0.25">
      <c r="A182">
        <v>11667</v>
      </c>
      <c r="B182" t="s">
        <v>4</v>
      </c>
      <c r="C182">
        <v>4</v>
      </c>
      <c r="D182" t="s">
        <v>228</v>
      </c>
      <c r="E182" t="s">
        <v>228</v>
      </c>
      <c r="F182" t="str" cm="1">
        <f t="array" ref="F182">CategorizeComment(E182)</f>
        <v>Difficulties and challenges</v>
      </c>
      <c r="G182" t="str" cm="1">
        <f t="array" ref="G182">SubCategorizeComment(E182)</f>
        <v>Other</v>
      </c>
    </row>
    <row r="183" spans="1:7" x14ac:dyDescent="0.25">
      <c r="A183">
        <v>71093</v>
      </c>
      <c r="B183" t="s">
        <v>4</v>
      </c>
      <c r="C183">
        <v>4</v>
      </c>
      <c r="D183" t="s">
        <v>1296</v>
      </c>
      <c r="E183" t="s">
        <v>1296</v>
      </c>
      <c r="F183" t="str" cm="1">
        <f t="array" ref="F183">CategorizeComment(E183)</f>
        <v>Service inadequacy</v>
      </c>
      <c r="G183" t="str" cm="1">
        <f t="array" ref="G183">SubCategorizeComment(E183)</f>
        <v>Baggage issues</v>
      </c>
    </row>
    <row r="184" spans="1:7" x14ac:dyDescent="0.25">
      <c r="A184">
        <v>74578</v>
      </c>
      <c r="B184" t="s">
        <v>4</v>
      </c>
      <c r="C184">
        <v>1</v>
      </c>
      <c r="D184" t="s">
        <v>1352</v>
      </c>
      <c r="E184" t="s">
        <v>1352</v>
      </c>
      <c r="F184" t="str" cm="1">
        <f t="array" ref="F184">CategorizeComment(E184)</f>
        <v>Other</v>
      </c>
      <c r="G184" t="str" cm="1">
        <f t="array" ref="G184">SubCategorizeComment(E184)</f>
        <v>Other</v>
      </c>
    </row>
    <row r="185" spans="1:7" x14ac:dyDescent="0.25">
      <c r="A185">
        <v>113833</v>
      </c>
      <c r="B185" t="s">
        <v>4</v>
      </c>
      <c r="C185">
        <v>3</v>
      </c>
      <c r="D185" t="s">
        <v>1937</v>
      </c>
      <c r="E185" t="s">
        <v>1937</v>
      </c>
      <c r="F185" t="str" cm="1">
        <f t="array" ref="F185">CategorizeComment(E185)</f>
        <v>Other</v>
      </c>
      <c r="G185" t="str" cm="1">
        <f t="array" ref="G185">SubCategorizeComment(E185)</f>
        <v>Other</v>
      </c>
    </row>
    <row r="186" spans="1:7" x14ac:dyDescent="0.25">
      <c r="A186">
        <v>91542</v>
      </c>
      <c r="B186" t="s">
        <v>4</v>
      </c>
      <c r="C186">
        <v>4</v>
      </c>
      <c r="D186" t="s">
        <v>1599</v>
      </c>
      <c r="E186" t="s">
        <v>1599</v>
      </c>
      <c r="F186" t="str" cm="1">
        <f t="array" ref="F186">CategorizeComment(E186)</f>
        <v>Time-related issues</v>
      </c>
      <c r="G186" t="str" cm="1">
        <f t="array" ref="G186">SubCategorizeComment(E186)</f>
        <v>Long waits</v>
      </c>
    </row>
    <row r="187" spans="1:7" x14ac:dyDescent="0.25">
      <c r="A187">
        <v>71974</v>
      </c>
      <c r="B187" t="s">
        <v>4</v>
      </c>
      <c r="C187">
        <v>3</v>
      </c>
      <c r="D187" t="s">
        <v>1311</v>
      </c>
      <c r="E187" t="s">
        <v>1311</v>
      </c>
      <c r="F187" t="str" cm="1">
        <f t="array" ref="F187">CategorizeComment(E187)</f>
        <v>Time-related issues</v>
      </c>
      <c r="G187" t="str" cm="1">
        <f t="array" ref="G187">SubCategorizeComment(E187)</f>
        <v>Flight delays</v>
      </c>
    </row>
    <row r="188" spans="1:7" x14ac:dyDescent="0.25">
      <c r="A188">
        <v>43617</v>
      </c>
      <c r="B188" t="s">
        <v>4</v>
      </c>
      <c r="C188">
        <v>4</v>
      </c>
      <c r="D188" t="s">
        <v>821</v>
      </c>
      <c r="E188" t="s">
        <v>821</v>
      </c>
      <c r="F188" t="str" cm="1">
        <f t="array" ref="F188">CategorizeComment(E188)</f>
        <v>Time-related issues</v>
      </c>
      <c r="G188" t="str" cm="1">
        <f t="array" ref="G188">SubCategorizeComment(E188)</f>
        <v>Flight delays</v>
      </c>
    </row>
    <row r="189" spans="1:7" x14ac:dyDescent="0.25">
      <c r="A189">
        <v>81676</v>
      </c>
      <c r="B189" t="s">
        <v>4</v>
      </c>
      <c r="C189">
        <v>4</v>
      </c>
      <c r="D189" t="s">
        <v>1455</v>
      </c>
      <c r="E189" t="s">
        <v>1455</v>
      </c>
      <c r="F189" t="str" cm="1">
        <f t="array" ref="F189">CategorizeComment(E189)</f>
        <v>Communication and understanding issues</v>
      </c>
      <c r="G189" t="str" cm="1">
        <f t="array" ref="G189">SubCategorizeComment(E189)</f>
        <v>Inadequate information about travel restrictions</v>
      </c>
    </row>
    <row r="190" spans="1:7" x14ac:dyDescent="0.25">
      <c r="A190">
        <v>128185</v>
      </c>
      <c r="B190" t="s">
        <v>4</v>
      </c>
      <c r="C190">
        <v>3</v>
      </c>
      <c r="D190" t="s">
        <v>2148</v>
      </c>
      <c r="E190" t="s">
        <v>2148</v>
      </c>
      <c r="F190" t="str" cm="1">
        <f t="array" ref="F190">CategorizeComment(E190)</f>
        <v>Communication and understanding issues</v>
      </c>
      <c r="G190" t="str" cm="1">
        <f t="array" ref="G190">SubCategorizeComment(E190)</f>
        <v>Inadequate information about travel restrictions</v>
      </c>
    </row>
    <row r="191" spans="1:7" x14ac:dyDescent="0.25">
      <c r="A191">
        <v>57054</v>
      </c>
      <c r="B191" t="s">
        <v>4</v>
      </c>
      <c r="C191">
        <v>4</v>
      </c>
      <c r="D191" t="s">
        <v>1065</v>
      </c>
      <c r="E191" t="s">
        <v>1065</v>
      </c>
      <c r="F191" t="str" cm="1">
        <f t="array" ref="F191">CategorizeComment(E191)</f>
        <v>Communication and understanding issues</v>
      </c>
      <c r="G191" t="str" cm="1">
        <f t="array" ref="G191">SubCategorizeComment(E191)</f>
        <v>Inadequate information about travel restrictions</v>
      </c>
    </row>
    <row r="192" spans="1:7" x14ac:dyDescent="0.25">
      <c r="A192">
        <v>102904</v>
      </c>
      <c r="B192" t="s">
        <v>4</v>
      </c>
      <c r="C192">
        <v>3</v>
      </c>
      <c r="D192" t="s">
        <v>1757</v>
      </c>
      <c r="E192" t="s">
        <v>1757</v>
      </c>
      <c r="F192" t="str" cm="1">
        <f t="array" ref="F192">CategorizeComment(E192)</f>
        <v>Communication and understanding issues</v>
      </c>
      <c r="G192" t="str" cm="1">
        <f t="array" ref="G192">SubCategorizeComment(E192)</f>
        <v>Inadequate information about travel restrictions</v>
      </c>
    </row>
    <row r="193" spans="1:7" x14ac:dyDescent="0.25">
      <c r="A193">
        <v>21895</v>
      </c>
      <c r="B193" t="s">
        <v>4</v>
      </c>
      <c r="C193">
        <v>4</v>
      </c>
      <c r="D193" t="s">
        <v>447</v>
      </c>
      <c r="E193" t="s">
        <v>447</v>
      </c>
      <c r="F193" t="str" cm="1">
        <f t="array" ref="F193">CategorizeComment(E193)</f>
        <v>Communication and understanding issues</v>
      </c>
      <c r="G193" t="str" cm="1">
        <f t="array" ref="G193">SubCategorizeComment(E193)</f>
        <v>Inadequate information about travel restrictions</v>
      </c>
    </row>
    <row r="194" spans="1:7" x14ac:dyDescent="0.25">
      <c r="A194">
        <v>59387</v>
      </c>
      <c r="B194" t="s">
        <v>4</v>
      </c>
      <c r="C194">
        <v>3</v>
      </c>
      <c r="D194" t="s">
        <v>1109</v>
      </c>
      <c r="E194" t="s">
        <v>1109</v>
      </c>
      <c r="F194" t="str" cm="1">
        <f t="array" ref="F194">CategorizeComment(E194)</f>
        <v>Communication and understanding issues</v>
      </c>
      <c r="G194" t="str" cm="1">
        <f t="array" ref="G194">SubCategorizeComment(E194)</f>
        <v>Inadequate information about travel restrictions</v>
      </c>
    </row>
    <row r="195" spans="1:7" x14ac:dyDescent="0.25">
      <c r="A195">
        <v>15805</v>
      </c>
      <c r="B195" t="s">
        <v>4</v>
      </c>
      <c r="C195">
        <v>4</v>
      </c>
      <c r="D195" t="s">
        <v>311</v>
      </c>
      <c r="E195" t="s">
        <v>311</v>
      </c>
      <c r="F195" t="str" cm="1">
        <f t="array" ref="F195">CategorizeComment(E195)</f>
        <v>Communication and understanding issues</v>
      </c>
      <c r="G195" t="str" cm="1">
        <f t="array" ref="G195">SubCategorizeComment(E195)</f>
        <v>Inadequate information about travel restrictions</v>
      </c>
    </row>
    <row r="196" spans="1:7" x14ac:dyDescent="0.25">
      <c r="A196">
        <v>123188</v>
      </c>
      <c r="B196" t="s">
        <v>4</v>
      </c>
      <c r="C196">
        <v>4</v>
      </c>
      <c r="D196" t="s">
        <v>2075</v>
      </c>
      <c r="E196" t="s">
        <v>2075</v>
      </c>
      <c r="F196" t="str" cm="1">
        <f t="array" ref="F196">CategorizeComment(E196)</f>
        <v>Communication and understanding issues</v>
      </c>
      <c r="G196" t="str" cm="1">
        <f t="array" ref="G196">SubCategorizeComment(E196)</f>
        <v>Inadequate information about travel restrictions</v>
      </c>
    </row>
    <row r="197" spans="1:7" x14ac:dyDescent="0.25">
      <c r="A197">
        <v>74250</v>
      </c>
      <c r="B197" t="s">
        <v>4</v>
      </c>
      <c r="C197">
        <v>3</v>
      </c>
      <c r="D197" t="s">
        <v>1347</v>
      </c>
      <c r="E197" t="s">
        <v>1347</v>
      </c>
      <c r="F197" t="str" cm="1">
        <f t="array" ref="F197">CategorizeComment(E197)</f>
        <v>Communication and understanding issues</v>
      </c>
      <c r="G197" t="str" cm="1">
        <f t="array" ref="G197">SubCategorizeComment(E197)</f>
        <v>Inadequate information about travel restrictions</v>
      </c>
    </row>
    <row r="198" spans="1:7" x14ac:dyDescent="0.25">
      <c r="A198">
        <v>38107</v>
      </c>
      <c r="B198" t="s">
        <v>4</v>
      </c>
      <c r="C198">
        <v>4</v>
      </c>
      <c r="D198" t="s">
        <v>733</v>
      </c>
      <c r="E198" t="s">
        <v>733</v>
      </c>
      <c r="F198" t="str" cm="1">
        <f t="array" ref="F198">CategorizeComment(E198)</f>
        <v>Communication and understanding issues</v>
      </c>
      <c r="G198" t="str" cm="1">
        <f t="array" ref="G198">SubCategorizeComment(E198)</f>
        <v>Inadequate information about travel restrictions</v>
      </c>
    </row>
    <row r="199" spans="1:7" x14ac:dyDescent="0.25">
      <c r="A199">
        <v>91634</v>
      </c>
      <c r="B199" t="s">
        <v>4</v>
      </c>
      <c r="C199">
        <v>4</v>
      </c>
      <c r="D199" t="s">
        <v>1601</v>
      </c>
      <c r="E199" t="s">
        <v>1601</v>
      </c>
      <c r="F199" t="str" cm="1">
        <f t="array" ref="F199">CategorizeComment(E199)</f>
        <v>Communication and understanding issues</v>
      </c>
      <c r="G199" t="str" cm="1">
        <f t="array" ref="G199">SubCategorizeComment(E199)</f>
        <v>Inadequate information about travel restrictions</v>
      </c>
    </row>
    <row r="200" spans="1:7" x14ac:dyDescent="0.25">
      <c r="A200">
        <v>88491</v>
      </c>
      <c r="B200" t="s">
        <v>4</v>
      </c>
      <c r="C200">
        <v>4</v>
      </c>
      <c r="D200" t="s">
        <v>1547</v>
      </c>
      <c r="E200" t="s">
        <v>1547</v>
      </c>
      <c r="F200" t="str" cm="1">
        <f t="array" ref="F200">CategorizeComment(E200)</f>
        <v>Communication and understanding issues</v>
      </c>
      <c r="G200" t="str" cm="1">
        <f t="array" ref="G200">SubCategorizeComment(E200)</f>
        <v>Inadequate information about travel restrictions</v>
      </c>
    </row>
    <row r="201" spans="1:7" x14ac:dyDescent="0.25">
      <c r="A201">
        <v>37858</v>
      </c>
      <c r="B201" t="s">
        <v>4</v>
      </c>
      <c r="C201">
        <v>3</v>
      </c>
      <c r="D201" t="s">
        <v>725</v>
      </c>
      <c r="E201" t="s">
        <v>725</v>
      </c>
      <c r="F201" t="str" cm="1">
        <f t="array" ref="F201">CategorizeComment(E201)</f>
        <v>Communication and understanding issues</v>
      </c>
      <c r="G201" t="str" cm="1">
        <f t="array" ref="G201">SubCategorizeComment(E201)</f>
        <v>Unclear flight announcements</v>
      </c>
    </row>
    <row r="202" spans="1:7" x14ac:dyDescent="0.25">
      <c r="A202">
        <v>58897</v>
      </c>
      <c r="B202" t="s">
        <v>4</v>
      </c>
      <c r="C202">
        <v>4</v>
      </c>
      <c r="D202" t="s">
        <v>1098</v>
      </c>
      <c r="E202" t="s">
        <v>1098</v>
      </c>
      <c r="F202" t="str" cm="1">
        <f t="array" ref="F202">CategorizeComment(E202)</f>
        <v>Other</v>
      </c>
      <c r="G202" t="str" cm="1">
        <f t="array" ref="G202">SubCategorizeComment(E202)</f>
        <v>Other</v>
      </c>
    </row>
    <row r="203" spans="1:7" x14ac:dyDescent="0.25">
      <c r="A203">
        <v>26036</v>
      </c>
      <c r="B203" t="s">
        <v>4</v>
      </c>
      <c r="C203">
        <v>4</v>
      </c>
      <c r="D203" t="s">
        <v>519</v>
      </c>
      <c r="E203" t="s">
        <v>519</v>
      </c>
      <c r="F203" t="str" cm="1">
        <f t="array" ref="F203">CategorizeComment(E203)</f>
        <v>Other</v>
      </c>
      <c r="G203" t="str" cm="1">
        <f t="array" ref="G203">SubCategorizeComment(E203)</f>
        <v>Other</v>
      </c>
    </row>
    <row r="204" spans="1:7" x14ac:dyDescent="0.25">
      <c r="A204">
        <v>94630</v>
      </c>
      <c r="B204" t="s">
        <v>4</v>
      </c>
      <c r="C204">
        <v>4</v>
      </c>
      <c r="D204" t="s">
        <v>1644</v>
      </c>
      <c r="E204" t="s">
        <v>1644</v>
      </c>
      <c r="F204" t="str" cm="1">
        <f t="array" ref="F204">CategorizeComment(E204)</f>
        <v>Other</v>
      </c>
      <c r="G204" t="str" cm="1">
        <f t="array" ref="G204">SubCategorizeComment(E204)</f>
        <v>Other</v>
      </c>
    </row>
    <row r="205" spans="1:7" x14ac:dyDescent="0.25">
      <c r="A205">
        <v>50224</v>
      </c>
      <c r="B205" t="s">
        <v>4</v>
      </c>
      <c r="C205">
        <v>4</v>
      </c>
      <c r="D205" t="s">
        <v>941</v>
      </c>
      <c r="E205" t="s">
        <v>941</v>
      </c>
      <c r="F205" t="str" cm="1">
        <f t="array" ref="F205">CategorizeComment(E205)</f>
        <v>Pricing and policy issues</v>
      </c>
      <c r="G205" t="str" cm="1">
        <f t="array" ref="G205">SubCategorizeComment(E205)</f>
        <v>Other</v>
      </c>
    </row>
    <row r="206" spans="1:7" x14ac:dyDescent="0.25">
      <c r="A206">
        <v>46793</v>
      </c>
      <c r="B206" t="s">
        <v>4</v>
      </c>
      <c r="C206">
        <v>4</v>
      </c>
      <c r="D206" t="s">
        <v>889</v>
      </c>
      <c r="E206" t="s">
        <v>889</v>
      </c>
      <c r="F206" t="str" cm="1">
        <f t="array" ref="F206">CategorizeComment(E206)</f>
        <v>Service inadequacy</v>
      </c>
      <c r="G206" t="str" cm="1">
        <f t="array" ref="G206">SubCategorizeComment(E206)</f>
        <v>Online services issues</v>
      </c>
    </row>
    <row r="207" spans="1:7" x14ac:dyDescent="0.25">
      <c r="A207">
        <v>119220</v>
      </c>
      <c r="B207" t="s">
        <v>4</v>
      </c>
      <c r="C207">
        <v>3</v>
      </c>
      <c r="D207" t="s">
        <v>2015</v>
      </c>
      <c r="E207" t="s">
        <v>2015</v>
      </c>
      <c r="F207" t="str" cm="1">
        <f t="array" ref="F207">CategorizeComment(E207)</f>
        <v>Time-related issues</v>
      </c>
      <c r="G207" t="str" cm="1">
        <f t="array" ref="G207">SubCategorizeComment(E207)</f>
        <v>Long waits</v>
      </c>
    </row>
    <row r="208" spans="1:7" x14ac:dyDescent="0.25">
      <c r="A208">
        <v>58191</v>
      </c>
      <c r="B208" t="s">
        <v>4</v>
      </c>
      <c r="C208">
        <v>3</v>
      </c>
      <c r="D208" t="s">
        <v>1085</v>
      </c>
      <c r="E208" t="s">
        <v>1085</v>
      </c>
      <c r="F208" t="str" cm="1">
        <f t="array" ref="F208">CategorizeComment(E208)</f>
        <v>Service inadequacy</v>
      </c>
      <c r="G208" t="str" cm="1">
        <f t="array" ref="G208">SubCategorizeComment(E208)</f>
        <v>Online services issues</v>
      </c>
    </row>
    <row r="209" spans="1:7" x14ac:dyDescent="0.25">
      <c r="A209">
        <v>84698</v>
      </c>
      <c r="B209" t="s">
        <v>4</v>
      </c>
      <c r="C209">
        <v>4</v>
      </c>
      <c r="D209" t="s">
        <v>1493</v>
      </c>
      <c r="E209" t="s">
        <v>1493</v>
      </c>
      <c r="F209" t="str" cm="1">
        <f t="array" ref="F209">CategorizeComment(E209)</f>
        <v>Service inadequacy</v>
      </c>
      <c r="G209" t="str" cm="1">
        <f t="array" ref="G209">SubCategorizeComment(E209)</f>
        <v>Cleanliness issues</v>
      </c>
    </row>
    <row r="210" spans="1:7" x14ac:dyDescent="0.25">
      <c r="A210">
        <v>32465</v>
      </c>
      <c r="B210" t="s">
        <v>4</v>
      </c>
      <c r="C210">
        <v>4</v>
      </c>
      <c r="D210" t="s">
        <v>622</v>
      </c>
      <c r="E210" t="s">
        <v>622</v>
      </c>
      <c r="F210" t="str" cm="1">
        <f t="array" ref="F210">CategorizeComment(E210)</f>
        <v>Service inadequacy</v>
      </c>
      <c r="G210" t="str" cm="1">
        <f t="array" ref="G210">SubCategorizeComment(E210)</f>
        <v>Cleanliness issues</v>
      </c>
    </row>
    <row r="211" spans="1:7" x14ac:dyDescent="0.25">
      <c r="A211">
        <v>38574</v>
      </c>
      <c r="B211" t="s">
        <v>4</v>
      </c>
      <c r="C211">
        <v>3</v>
      </c>
      <c r="D211" t="s">
        <v>744</v>
      </c>
      <c r="E211" t="s">
        <v>744</v>
      </c>
      <c r="F211" t="str" cm="1">
        <f t="array" ref="F211">CategorizeComment(E211)</f>
        <v>Service inadequacy</v>
      </c>
      <c r="G211" t="str" cm="1">
        <f t="array" ref="G211">SubCategorizeComment(E211)</f>
        <v>Cleanliness issues</v>
      </c>
    </row>
    <row r="212" spans="1:7" x14ac:dyDescent="0.25">
      <c r="A212">
        <v>48189</v>
      </c>
      <c r="B212" t="s">
        <v>4</v>
      </c>
      <c r="C212">
        <v>4</v>
      </c>
      <c r="D212" t="s">
        <v>907</v>
      </c>
      <c r="E212" t="s">
        <v>907</v>
      </c>
      <c r="F212" t="str" cm="1">
        <f t="array" ref="F212">CategorizeComment(E212)</f>
        <v>Service inadequacy</v>
      </c>
      <c r="G212" t="str" cm="1">
        <f t="array" ref="G212">SubCategorizeComment(E212)</f>
        <v>Cleanliness issues</v>
      </c>
    </row>
    <row r="213" spans="1:7" x14ac:dyDescent="0.25">
      <c r="A213">
        <v>118158</v>
      </c>
      <c r="B213" t="s">
        <v>4</v>
      </c>
      <c r="C213">
        <v>3</v>
      </c>
      <c r="D213" t="s">
        <v>1998</v>
      </c>
      <c r="E213" t="s">
        <v>1998</v>
      </c>
      <c r="F213" t="str" cm="1">
        <f t="array" ref="F213">CategorizeComment(E213)</f>
        <v>Service inadequacy</v>
      </c>
      <c r="G213" t="str" cm="1">
        <f t="array" ref="G213">SubCategorizeComment(E213)</f>
        <v>Cleanliness issues</v>
      </c>
    </row>
    <row r="214" spans="1:7" x14ac:dyDescent="0.25">
      <c r="A214">
        <v>28529</v>
      </c>
      <c r="B214" t="s">
        <v>4</v>
      </c>
      <c r="C214">
        <v>4</v>
      </c>
      <c r="D214" t="s">
        <v>563</v>
      </c>
      <c r="E214" t="s">
        <v>563</v>
      </c>
      <c r="F214" t="str" cm="1">
        <f t="array" ref="F214">CategorizeComment(E214)</f>
        <v>Service inadequacy</v>
      </c>
      <c r="G214" t="str" cm="1">
        <f t="array" ref="G214">SubCategorizeComment(E214)</f>
        <v>Cleanliness issues</v>
      </c>
    </row>
    <row r="215" spans="1:7" x14ac:dyDescent="0.25">
      <c r="A215">
        <v>3046</v>
      </c>
      <c r="B215" t="s">
        <v>4</v>
      </c>
      <c r="C215">
        <v>4</v>
      </c>
      <c r="D215" t="s">
        <v>62</v>
      </c>
      <c r="E215" t="s">
        <v>62</v>
      </c>
      <c r="F215" t="str" cm="1">
        <f t="array" ref="F215">CategorizeComment(E215)</f>
        <v>Service inadequacy</v>
      </c>
      <c r="G215" t="str" cm="1">
        <f t="array" ref="G215">SubCategorizeComment(E215)</f>
        <v>Cleanliness issues</v>
      </c>
    </row>
    <row r="216" spans="1:7" x14ac:dyDescent="0.25">
      <c r="A216">
        <v>108005</v>
      </c>
      <c r="B216" t="s">
        <v>4</v>
      </c>
      <c r="C216">
        <v>4</v>
      </c>
      <c r="D216" t="s">
        <v>1845</v>
      </c>
      <c r="E216" t="s">
        <v>1845</v>
      </c>
      <c r="F216" t="str" cm="1">
        <f t="array" ref="F216">CategorizeComment(E216)</f>
        <v>Service inadequacy</v>
      </c>
      <c r="G216" t="str" cm="1">
        <f t="array" ref="G216">SubCategorizeComment(E216)</f>
        <v>Cleanliness issues</v>
      </c>
    </row>
    <row r="217" spans="1:7" x14ac:dyDescent="0.25">
      <c r="A217">
        <v>75118</v>
      </c>
      <c r="B217" t="s">
        <v>4</v>
      </c>
      <c r="C217">
        <v>3</v>
      </c>
      <c r="D217" t="s">
        <v>1359</v>
      </c>
      <c r="E217" t="s">
        <v>1359</v>
      </c>
      <c r="F217" t="str" cm="1">
        <f t="array" ref="F217">CategorizeComment(E217)</f>
        <v>Service inadequacy</v>
      </c>
      <c r="G217" t="str" cm="1">
        <f t="array" ref="G217">SubCategorizeComment(E217)</f>
        <v>Cleanliness issues</v>
      </c>
    </row>
    <row r="218" spans="1:7" x14ac:dyDescent="0.25">
      <c r="A218">
        <v>12371</v>
      </c>
      <c r="B218" t="s">
        <v>4</v>
      </c>
      <c r="C218">
        <v>4</v>
      </c>
      <c r="D218" t="s">
        <v>243</v>
      </c>
      <c r="E218" t="s">
        <v>243</v>
      </c>
      <c r="F218" t="str" cm="1">
        <f t="array" ref="F218">CategorizeComment(E218)</f>
        <v>Service inadequacy</v>
      </c>
      <c r="G218" t="str" cm="1">
        <f t="array" ref="G218">SubCategorizeComment(E218)</f>
        <v>Cleanliness issues</v>
      </c>
    </row>
    <row r="219" spans="1:7" x14ac:dyDescent="0.25">
      <c r="A219">
        <v>46415</v>
      </c>
      <c r="B219" t="s">
        <v>4</v>
      </c>
      <c r="C219">
        <v>4</v>
      </c>
      <c r="D219" t="s">
        <v>878</v>
      </c>
      <c r="E219" t="s">
        <v>878</v>
      </c>
      <c r="F219" t="str" cm="1">
        <f t="array" ref="F219">CategorizeComment(E219)</f>
        <v>Service inadequacy</v>
      </c>
      <c r="G219" t="str" cm="1">
        <f t="array" ref="G219">SubCategorizeComment(E219)</f>
        <v>Cleanliness issues</v>
      </c>
    </row>
    <row r="220" spans="1:7" x14ac:dyDescent="0.25">
      <c r="A220">
        <v>64908</v>
      </c>
      <c r="B220" t="s">
        <v>4</v>
      </c>
      <c r="C220">
        <v>3</v>
      </c>
      <c r="D220" t="s">
        <v>1206</v>
      </c>
      <c r="E220" t="s">
        <v>1206</v>
      </c>
      <c r="F220" t="str" cm="1">
        <f t="array" ref="F220">CategorizeComment(E220)</f>
        <v>Service inadequacy</v>
      </c>
      <c r="G220" t="str" cm="1">
        <f t="array" ref="G220">SubCategorizeComment(E220)</f>
        <v>Cleanliness issues</v>
      </c>
    </row>
    <row r="221" spans="1:7" x14ac:dyDescent="0.25">
      <c r="A221">
        <v>38992</v>
      </c>
      <c r="B221" t="s">
        <v>4</v>
      </c>
      <c r="C221">
        <v>4</v>
      </c>
      <c r="D221" t="s">
        <v>747</v>
      </c>
      <c r="E221" t="s">
        <v>747</v>
      </c>
      <c r="F221" t="str" cm="1">
        <f t="array" ref="F221">CategorizeComment(E221)</f>
        <v>Time-related issues</v>
      </c>
      <c r="G221" t="str" cm="1">
        <f t="array" ref="G221">SubCategorizeComment(E221)</f>
        <v>Flight delays</v>
      </c>
    </row>
    <row r="222" spans="1:7" x14ac:dyDescent="0.25">
      <c r="A222">
        <v>9240</v>
      </c>
      <c r="B222" t="s">
        <v>4</v>
      </c>
      <c r="C222">
        <v>4</v>
      </c>
      <c r="D222" t="s">
        <v>184</v>
      </c>
      <c r="E222" t="s">
        <v>184</v>
      </c>
      <c r="F222" t="str" cm="1">
        <f t="array" ref="F222">CategorizeComment(E222)</f>
        <v>Time-related issues</v>
      </c>
      <c r="G222" t="str" cm="1">
        <f t="array" ref="G222">SubCategorizeComment(E222)</f>
        <v>Flight delays</v>
      </c>
    </row>
    <row r="223" spans="1:7" x14ac:dyDescent="0.25">
      <c r="A223">
        <v>3294</v>
      </c>
      <c r="B223" t="s">
        <v>4</v>
      </c>
      <c r="C223">
        <v>3</v>
      </c>
      <c r="D223" t="s">
        <v>67</v>
      </c>
      <c r="E223" t="s">
        <v>67</v>
      </c>
      <c r="F223" t="str" cm="1">
        <f t="array" ref="F223">CategorizeComment(E223)</f>
        <v>Time-related issues</v>
      </c>
      <c r="G223" t="str" cm="1">
        <f t="array" ref="G223">SubCategorizeComment(E223)</f>
        <v>Flight delays</v>
      </c>
    </row>
    <row r="224" spans="1:7" x14ac:dyDescent="0.25">
      <c r="A224">
        <v>39065</v>
      </c>
      <c r="B224" t="s">
        <v>4</v>
      </c>
      <c r="C224">
        <v>3</v>
      </c>
      <c r="D224" t="s">
        <v>750</v>
      </c>
      <c r="E224" t="s">
        <v>750</v>
      </c>
      <c r="F224" t="str" cm="1">
        <f t="array" ref="F224">CategorizeComment(E224)</f>
        <v>Other</v>
      </c>
      <c r="G224" t="str" cm="1">
        <f t="array" ref="G224">SubCategorizeComment(E224)</f>
        <v>Other</v>
      </c>
    </row>
    <row r="225" spans="1:7" x14ac:dyDescent="0.25">
      <c r="A225">
        <v>19355</v>
      </c>
      <c r="B225" t="s">
        <v>4</v>
      </c>
      <c r="C225">
        <v>4</v>
      </c>
      <c r="D225" t="s">
        <v>389</v>
      </c>
      <c r="E225" t="s">
        <v>389</v>
      </c>
      <c r="F225" t="str" cm="1">
        <f t="array" ref="F225">CategorizeComment(E225)</f>
        <v>Service inadequacy</v>
      </c>
      <c r="G225" t="str" cm="1">
        <f t="array" ref="G225">SubCategorizeComment(E225)</f>
        <v>Other</v>
      </c>
    </row>
    <row r="226" spans="1:7" x14ac:dyDescent="0.25">
      <c r="A226">
        <v>52094</v>
      </c>
      <c r="B226" t="s">
        <v>4</v>
      </c>
      <c r="C226">
        <v>3</v>
      </c>
      <c r="D226" t="s">
        <v>975</v>
      </c>
      <c r="E226" t="s">
        <v>975</v>
      </c>
      <c r="F226" t="str" cm="1">
        <f t="array" ref="F226">CategorizeComment(E226)</f>
        <v>Service inadequacy</v>
      </c>
      <c r="G226" t="str" cm="1">
        <f t="array" ref="G226">SubCategorizeComment(E226)</f>
        <v>Other</v>
      </c>
    </row>
    <row r="227" spans="1:7" x14ac:dyDescent="0.25">
      <c r="A227">
        <v>122598</v>
      </c>
      <c r="B227" t="s">
        <v>4</v>
      </c>
      <c r="C227">
        <v>1</v>
      </c>
      <c r="D227" t="s">
        <v>2064</v>
      </c>
      <c r="E227" t="s">
        <v>2064</v>
      </c>
      <c r="F227" t="str" cm="1">
        <f t="array" ref="F227">CategorizeComment(E227)</f>
        <v>Service inadequacy</v>
      </c>
      <c r="G227" t="str" cm="1">
        <f t="array" ref="G227">SubCategorizeComment(E227)</f>
        <v>Other</v>
      </c>
    </row>
    <row r="228" spans="1:7" x14ac:dyDescent="0.25">
      <c r="A228">
        <v>126577</v>
      </c>
      <c r="B228" t="s">
        <v>4</v>
      </c>
      <c r="C228">
        <v>4</v>
      </c>
      <c r="D228" t="s">
        <v>2125</v>
      </c>
      <c r="E228" t="s">
        <v>2125</v>
      </c>
      <c r="F228" t="str" cm="1">
        <f t="array" ref="F228">CategorizeComment(E228)</f>
        <v>Service inadequacy</v>
      </c>
      <c r="G228" t="str" cm="1">
        <f t="array" ref="G228">SubCategorizeComment(E228)</f>
        <v>Other</v>
      </c>
    </row>
    <row r="229" spans="1:7" x14ac:dyDescent="0.25">
      <c r="A229">
        <v>76427</v>
      </c>
      <c r="B229" t="s">
        <v>4</v>
      </c>
      <c r="C229">
        <v>3</v>
      </c>
      <c r="D229" t="s">
        <v>1383</v>
      </c>
      <c r="E229" t="s">
        <v>1383</v>
      </c>
      <c r="F229" t="str" cm="1">
        <f t="array" ref="F229">CategorizeComment(E229)</f>
        <v>Service inadequacy</v>
      </c>
      <c r="G229" t="str" cm="1">
        <f t="array" ref="G229">SubCategorizeComment(E229)</f>
        <v>Other</v>
      </c>
    </row>
    <row r="230" spans="1:7" x14ac:dyDescent="0.25">
      <c r="A230">
        <v>85604</v>
      </c>
      <c r="B230" t="s">
        <v>4</v>
      </c>
      <c r="C230">
        <v>3</v>
      </c>
      <c r="D230" t="s">
        <v>1501</v>
      </c>
      <c r="E230" t="s">
        <v>1501</v>
      </c>
      <c r="F230" t="str" cm="1">
        <f t="array" ref="F230">CategorizeComment(E230)</f>
        <v>Service inadequacy</v>
      </c>
      <c r="G230" t="str" cm="1">
        <f t="array" ref="G230">SubCategorizeComment(E230)</f>
        <v>Other</v>
      </c>
    </row>
    <row r="231" spans="1:7" x14ac:dyDescent="0.25">
      <c r="A231">
        <v>23973</v>
      </c>
      <c r="B231" t="s">
        <v>4</v>
      </c>
      <c r="C231">
        <v>3</v>
      </c>
      <c r="D231" t="s">
        <v>490</v>
      </c>
      <c r="E231" t="s">
        <v>490</v>
      </c>
      <c r="F231" t="str" cm="1">
        <f t="array" ref="F231">CategorizeComment(E231)</f>
        <v>Time-related issues</v>
      </c>
      <c r="G231" t="str" cm="1">
        <f t="array" ref="G231">SubCategorizeComment(E231)</f>
        <v>Flight delays</v>
      </c>
    </row>
    <row r="232" spans="1:7" x14ac:dyDescent="0.25">
      <c r="A232">
        <v>13428</v>
      </c>
      <c r="B232" t="s">
        <v>4</v>
      </c>
      <c r="C232">
        <v>3</v>
      </c>
      <c r="D232" t="s">
        <v>267</v>
      </c>
      <c r="E232" t="s">
        <v>267</v>
      </c>
      <c r="F232" t="str" cm="1">
        <f t="array" ref="F232">CategorizeComment(E232)</f>
        <v>Time-related issues</v>
      </c>
      <c r="G232" t="str" cm="1">
        <f t="array" ref="G232">SubCategorizeComment(E232)</f>
        <v>Flight delays</v>
      </c>
    </row>
    <row r="233" spans="1:7" x14ac:dyDescent="0.25">
      <c r="A233">
        <v>128388</v>
      </c>
      <c r="B233" t="s">
        <v>4</v>
      </c>
      <c r="C233">
        <v>3</v>
      </c>
      <c r="D233" t="s">
        <v>2151</v>
      </c>
      <c r="E233" t="s">
        <v>2151</v>
      </c>
      <c r="F233" t="str" cm="1">
        <f t="array" ref="F233">CategorizeComment(E233)</f>
        <v>Other</v>
      </c>
      <c r="G233" t="str" cm="1">
        <f t="array" ref="G233">SubCategorizeComment(E233)</f>
        <v>Other</v>
      </c>
    </row>
    <row r="234" spans="1:7" x14ac:dyDescent="0.25">
      <c r="A234">
        <v>58621</v>
      </c>
      <c r="B234" t="s">
        <v>4</v>
      </c>
      <c r="C234">
        <v>3</v>
      </c>
      <c r="D234" t="s">
        <v>1093</v>
      </c>
      <c r="E234" t="s">
        <v>1093</v>
      </c>
      <c r="F234" t="str" cm="1">
        <f t="array" ref="F234">CategorizeComment(E234)</f>
        <v>Other</v>
      </c>
      <c r="G234" t="str" cm="1">
        <f t="array" ref="G234">SubCategorizeComment(E234)</f>
        <v>Other</v>
      </c>
    </row>
    <row r="235" spans="1:7" x14ac:dyDescent="0.25">
      <c r="A235">
        <v>45577</v>
      </c>
      <c r="B235" t="s">
        <v>4</v>
      </c>
      <c r="C235">
        <v>3</v>
      </c>
      <c r="D235" t="s">
        <v>865</v>
      </c>
      <c r="E235" t="s">
        <v>865</v>
      </c>
      <c r="F235" t="str" cm="1">
        <f t="array" ref="F235">CategorizeComment(E235)</f>
        <v>Other</v>
      </c>
      <c r="G235" t="str" cm="1">
        <f t="array" ref="G235">SubCategorizeComment(E235)</f>
        <v>Other</v>
      </c>
    </row>
    <row r="236" spans="1:7" x14ac:dyDescent="0.25">
      <c r="A236">
        <v>70935</v>
      </c>
      <c r="B236" t="s">
        <v>4</v>
      </c>
      <c r="C236">
        <v>3</v>
      </c>
      <c r="D236" t="s">
        <v>1291</v>
      </c>
      <c r="E236" t="s">
        <v>1291</v>
      </c>
      <c r="F236" t="str" cm="1">
        <f t="array" ref="F236">CategorizeComment(E236)</f>
        <v>Other</v>
      </c>
      <c r="G236" t="str" cm="1">
        <f t="array" ref="G236">SubCategorizeComment(E236)</f>
        <v>Other</v>
      </c>
    </row>
    <row r="237" spans="1:7" x14ac:dyDescent="0.25">
      <c r="A237">
        <v>76313</v>
      </c>
      <c r="B237" t="s">
        <v>4</v>
      </c>
      <c r="C237">
        <v>4</v>
      </c>
      <c r="D237" t="s">
        <v>1380</v>
      </c>
      <c r="E237" t="s">
        <v>1380</v>
      </c>
      <c r="F237" t="str" cm="1">
        <f t="array" ref="F237">CategorizeComment(E237)</f>
        <v>Time-related issues</v>
      </c>
      <c r="G237" t="str" cm="1">
        <f t="array" ref="G237">SubCategorizeComment(E237)</f>
        <v>Flight delays</v>
      </c>
    </row>
    <row r="238" spans="1:7" x14ac:dyDescent="0.25">
      <c r="A238">
        <v>82547</v>
      </c>
      <c r="B238" t="s">
        <v>4</v>
      </c>
      <c r="C238">
        <v>4</v>
      </c>
      <c r="D238" t="s">
        <v>1466</v>
      </c>
      <c r="E238" t="s">
        <v>1466</v>
      </c>
      <c r="F238" t="str" cm="1">
        <f t="array" ref="F238">CategorizeComment(E238)</f>
        <v>Time-related issues</v>
      </c>
      <c r="G238" t="str" cm="1">
        <f t="array" ref="G238">SubCategorizeComment(E238)</f>
        <v>Flight delays</v>
      </c>
    </row>
    <row r="239" spans="1:7" x14ac:dyDescent="0.25">
      <c r="A239">
        <v>12770</v>
      </c>
      <c r="B239" t="s">
        <v>4</v>
      </c>
      <c r="C239">
        <v>4</v>
      </c>
      <c r="D239" t="s">
        <v>250</v>
      </c>
      <c r="E239" t="s">
        <v>250</v>
      </c>
      <c r="F239" t="str" cm="1">
        <f t="array" ref="F239">CategorizeComment(E239)</f>
        <v>Time-related issues</v>
      </c>
      <c r="G239" t="str" cm="1">
        <f t="array" ref="G239">SubCategorizeComment(E239)</f>
        <v>Flight delays</v>
      </c>
    </row>
    <row r="240" spans="1:7" x14ac:dyDescent="0.25">
      <c r="A240">
        <v>1369</v>
      </c>
      <c r="B240" t="s">
        <v>4</v>
      </c>
      <c r="C240">
        <v>4</v>
      </c>
      <c r="D240" t="s">
        <v>36</v>
      </c>
      <c r="E240" t="s">
        <v>36</v>
      </c>
      <c r="F240" t="str" cm="1">
        <f t="array" ref="F240">CategorizeComment(E240)</f>
        <v>Time-related issues</v>
      </c>
      <c r="G240" t="str" cm="1">
        <f t="array" ref="G240">SubCategorizeComment(E240)</f>
        <v>Flight delays</v>
      </c>
    </row>
    <row r="241" spans="1:7" x14ac:dyDescent="0.25">
      <c r="A241">
        <v>118708</v>
      </c>
      <c r="B241" t="s">
        <v>4</v>
      </c>
      <c r="C241">
        <v>3</v>
      </c>
      <c r="D241" t="s">
        <v>2009</v>
      </c>
      <c r="E241" t="s">
        <v>2009</v>
      </c>
      <c r="F241" t="str" cm="1">
        <f t="array" ref="F241">CategorizeComment(E241)</f>
        <v>Other</v>
      </c>
      <c r="G241" t="str" cm="1">
        <f t="array" ref="G241">SubCategorizeComment(E241)</f>
        <v>In-flight entertainment issues</v>
      </c>
    </row>
    <row r="242" spans="1:7" x14ac:dyDescent="0.25">
      <c r="A242">
        <v>79745</v>
      </c>
      <c r="B242" t="s">
        <v>4</v>
      </c>
      <c r="C242">
        <v>2</v>
      </c>
      <c r="D242" t="s">
        <v>1427</v>
      </c>
      <c r="E242" t="s">
        <v>1427</v>
      </c>
      <c r="F242" t="str" cm="1">
        <f t="array" ref="F242">CategorizeComment(E242)</f>
        <v>Other</v>
      </c>
      <c r="G242" t="str" cm="1">
        <f t="array" ref="G242">SubCategorizeComment(E242)</f>
        <v>Other</v>
      </c>
    </row>
    <row r="243" spans="1:7" x14ac:dyDescent="0.25">
      <c r="A243">
        <v>37968</v>
      </c>
      <c r="B243" t="s">
        <v>4</v>
      </c>
      <c r="C243">
        <v>3</v>
      </c>
      <c r="D243" t="s">
        <v>728</v>
      </c>
      <c r="E243" t="s">
        <v>728</v>
      </c>
      <c r="F243" t="str" cm="1">
        <f t="array" ref="F243">CategorizeComment(E243)</f>
        <v>Other</v>
      </c>
      <c r="G243" t="str" cm="1">
        <f t="array" ref="G243">SubCategorizeComment(E243)</f>
        <v>Other</v>
      </c>
    </row>
    <row r="244" spans="1:7" x14ac:dyDescent="0.25">
      <c r="A244">
        <v>75579</v>
      </c>
      <c r="B244" t="s">
        <v>4</v>
      </c>
      <c r="C244">
        <v>3</v>
      </c>
      <c r="D244" t="s">
        <v>1368</v>
      </c>
      <c r="E244" t="s">
        <v>1368</v>
      </c>
      <c r="F244" t="str" cm="1">
        <f t="array" ref="F244">CategorizeComment(E244)</f>
        <v>Other</v>
      </c>
      <c r="G244" t="str" cm="1">
        <f t="array" ref="G244">SubCategorizeComment(E244)</f>
        <v>Other</v>
      </c>
    </row>
    <row r="245" spans="1:7" x14ac:dyDescent="0.25">
      <c r="A245">
        <v>43919</v>
      </c>
      <c r="B245" t="s">
        <v>4</v>
      </c>
      <c r="C245">
        <v>4</v>
      </c>
      <c r="D245" t="s">
        <v>827</v>
      </c>
      <c r="E245" t="s">
        <v>827</v>
      </c>
      <c r="F245" t="str" cm="1">
        <f t="array" ref="F245">CategorizeComment(E245)</f>
        <v>Other</v>
      </c>
      <c r="G245" t="str" cm="1">
        <f t="array" ref="G245">SubCategorizeComment(E245)</f>
        <v>Other</v>
      </c>
    </row>
    <row r="246" spans="1:7" x14ac:dyDescent="0.25">
      <c r="A246">
        <v>3191</v>
      </c>
      <c r="B246" t="s">
        <v>4</v>
      </c>
      <c r="C246">
        <v>3</v>
      </c>
      <c r="D246" t="s">
        <v>63</v>
      </c>
      <c r="E246" t="s">
        <v>63</v>
      </c>
      <c r="F246" t="str" cm="1">
        <f t="array" ref="F246">CategorizeComment(E246)</f>
        <v>Time-related issues</v>
      </c>
      <c r="G246" t="str" cm="1">
        <f t="array" ref="G246">SubCategorizeComment(E246)</f>
        <v>Flight delays</v>
      </c>
    </row>
    <row r="247" spans="1:7" x14ac:dyDescent="0.25">
      <c r="A247">
        <v>37444</v>
      </c>
      <c r="B247" t="s">
        <v>4</v>
      </c>
      <c r="C247">
        <v>4</v>
      </c>
      <c r="D247" t="s">
        <v>719</v>
      </c>
      <c r="E247" t="s">
        <v>719</v>
      </c>
      <c r="F247" t="str" cm="1">
        <f t="array" ref="F247">CategorizeComment(E247)</f>
        <v>Other</v>
      </c>
      <c r="G247" t="str" cm="1">
        <f t="array" ref="G247">SubCategorizeComment(E247)</f>
        <v>Customer service issues</v>
      </c>
    </row>
    <row r="248" spans="1:7" x14ac:dyDescent="0.25">
      <c r="A248">
        <v>9974</v>
      </c>
      <c r="B248" t="s">
        <v>4</v>
      </c>
      <c r="C248">
        <v>3</v>
      </c>
      <c r="D248" t="s">
        <v>198</v>
      </c>
      <c r="E248" t="s">
        <v>198</v>
      </c>
      <c r="F248" t="str" cm="1">
        <f t="array" ref="F248">CategorizeComment(E248)</f>
        <v>Time-related issues</v>
      </c>
      <c r="G248" t="str" cm="1">
        <f t="array" ref="G248">SubCategorizeComment(E248)</f>
        <v>Flight delays</v>
      </c>
    </row>
    <row r="249" spans="1:7" x14ac:dyDescent="0.25">
      <c r="A249">
        <v>63211</v>
      </c>
      <c r="B249" t="s">
        <v>4</v>
      </c>
      <c r="C249">
        <v>4</v>
      </c>
      <c r="D249" t="s">
        <v>1178</v>
      </c>
      <c r="E249" t="s">
        <v>1178</v>
      </c>
      <c r="F249" t="str" cm="1">
        <f t="array" ref="F249">CategorizeComment(E249)</f>
        <v>Other</v>
      </c>
      <c r="G249" t="str" cm="1">
        <f t="array" ref="G249">SubCategorizeComment(E249)</f>
        <v>Other</v>
      </c>
    </row>
    <row r="250" spans="1:7" x14ac:dyDescent="0.25">
      <c r="A250">
        <v>39959</v>
      </c>
      <c r="B250" t="s">
        <v>4</v>
      </c>
      <c r="C250">
        <v>4</v>
      </c>
      <c r="D250" t="s">
        <v>763</v>
      </c>
      <c r="E250" t="s">
        <v>763</v>
      </c>
      <c r="F250" t="str" cm="1">
        <f t="array" ref="F250">CategorizeComment(E250)</f>
        <v>Other</v>
      </c>
      <c r="G250" t="str" cm="1">
        <f t="array" ref="G250">SubCategorizeComment(E250)</f>
        <v>Other</v>
      </c>
    </row>
    <row r="251" spans="1:7" x14ac:dyDescent="0.25">
      <c r="A251">
        <v>44449</v>
      </c>
      <c r="B251" t="s">
        <v>4</v>
      </c>
      <c r="C251">
        <v>4</v>
      </c>
      <c r="D251" t="s">
        <v>838</v>
      </c>
      <c r="E251" t="s">
        <v>838</v>
      </c>
      <c r="F251" t="str" cm="1">
        <f t="array" ref="F251">CategorizeComment(E251)</f>
        <v>Other</v>
      </c>
      <c r="G251" t="str" cm="1">
        <f t="array" ref="G251">SubCategorizeComment(E251)</f>
        <v>Other</v>
      </c>
    </row>
    <row r="252" spans="1:7" x14ac:dyDescent="0.25">
      <c r="A252">
        <v>105572</v>
      </c>
      <c r="B252" t="s">
        <v>4</v>
      </c>
      <c r="C252">
        <v>4</v>
      </c>
      <c r="D252" t="s">
        <v>1806</v>
      </c>
      <c r="E252" t="s">
        <v>1806</v>
      </c>
      <c r="F252" t="str" cm="1">
        <f t="array" ref="F252">CategorizeComment(E252)</f>
        <v>Other</v>
      </c>
      <c r="G252" t="str" cm="1">
        <f t="array" ref="G252">SubCategorizeComment(E252)</f>
        <v>Other</v>
      </c>
    </row>
    <row r="253" spans="1:7" x14ac:dyDescent="0.25">
      <c r="A253">
        <v>46864</v>
      </c>
      <c r="B253" t="s">
        <v>4</v>
      </c>
      <c r="C253">
        <v>4</v>
      </c>
      <c r="D253" t="s">
        <v>890</v>
      </c>
      <c r="E253" t="s">
        <v>890</v>
      </c>
      <c r="F253" t="str" cm="1">
        <f t="array" ref="F253">CategorizeComment(E253)</f>
        <v>Other</v>
      </c>
      <c r="G253" t="str" cm="1">
        <f t="array" ref="G253">SubCategorizeComment(E253)</f>
        <v>Other</v>
      </c>
    </row>
    <row r="254" spans="1:7" x14ac:dyDescent="0.25">
      <c r="A254">
        <v>56628</v>
      </c>
      <c r="B254" t="s">
        <v>4</v>
      </c>
      <c r="C254">
        <v>4</v>
      </c>
      <c r="D254" t="s">
        <v>1055</v>
      </c>
      <c r="E254" t="s">
        <v>1055</v>
      </c>
      <c r="F254" t="str" cm="1">
        <f t="array" ref="F254">CategorizeComment(E254)</f>
        <v>Other</v>
      </c>
      <c r="G254" t="str" cm="1">
        <f t="array" ref="G254">SubCategorizeComment(E254)</f>
        <v>Other</v>
      </c>
    </row>
    <row r="255" spans="1:7" x14ac:dyDescent="0.25">
      <c r="A255">
        <v>62321</v>
      </c>
      <c r="B255" t="s">
        <v>4</v>
      </c>
      <c r="C255">
        <v>4</v>
      </c>
      <c r="D255" t="s">
        <v>1164</v>
      </c>
      <c r="E255" t="s">
        <v>1164</v>
      </c>
      <c r="F255" t="str" cm="1">
        <f t="array" ref="F255">CategorizeComment(E255)</f>
        <v>Other</v>
      </c>
      <c r="G255" t="str" cm="1">
        <f t="array" ref="G255">SubCategorizeComment(E255)</f>
        <v>Other</v>
      </c>
    </row>
    <row r="256" spans="1:7" x14ac:dyDescent="0.25">
      <c r="A256">
        <v>20747</v>
      </c>
      <c r="B256" t="s">
        <v>4</v>
      </c>
      <c r="C256">
        <v>4</v>
      </c>
      <c r="D256" t="s">
        <v>423</v>
      </c>
      <c r="E256" t="s">
        <v>423</v>
      </c>
      <c r="F256" t="str" cm="1">
        <f t="array" ref="F256">CategorizeComment(E256)</f>
        <v>Other</v>
      </c>
      <c r="G256" t="str" cm="1">
        <f t="array" ref="G256">SubCategorizeComment(E256)</f>
        <v>Other</v>
      </c>
    </row>
    <row r="257" spans="1:7" x14ac:dyDescent="0.25">
      <c r="A257">
        <v>44242</v>
      </c>
      <c r="B257" t="s">
        <v>4</v>
      </c>
      <c r="C257">
        <v>4</v>
      </c>
      <c r="D257" t="s">
        <v>833</v>
      </c>
      <c r="E257" t="s">
        <v>833</v>
      </c>
      <c r="F257" t="str" cm="1">
        <f t="array" ref="F257">CategorizeComment(E257)</f>
        <v>Other</v>
      </c>
      <c r="G257" t="str" cm="1">
        <f t="array" ref="G257">SubCategorizeComment(E257)</f>
        <v>Other</v>
      </c>
    </row>
    <row r="258" spans="1:7" x14ac:dyDescent="0.25">
      <c r="A258">
        <v>78849</v>
      </c>
      <c r="B258" t="s">
        <v>4</v>
      </c>
      <c r="C258">
        <v>4</v>
      </c>
      <c r="D258" t="s">
        <v>1415</v>
      </c>
      <c r="E258" t="s">
        <v>1415</v>
      </c>
      <c r="F258" t="str" cm="1">
        <f t="array" ref="F258">CategorizeComment(E258)</f>
        <v>Other</v>
      </c>
      <c r="G258" t="str" cm="1">
        <f t="array" ref="G258">SubCategorizeComment(E258)</f>
        <v>Other</v>
      </c>
    </row>
    <row r="259" spans="1:7" x14ac:dyDescent="0.25">
      <c r="A259">
        <v>93372</v>
      </c>
      <c r="B259" t="s">
        <v>4</v>
      </c>
      <c r="C259">
        <v>3</v>
      </c>
      <c r="D259" t="s">
        <v>1631</v>
      </c>
      <c r="E259" t="s">
        <v>1631</v>
      </c>
      <c r="F259" t="str" cm="1">
        <f t="array" ref="F259">CategorizeComment(E259)</f>
        <v>Other</v>
      </c>
      <c r="G259" t="str" cm="1">
        <f t="array" ref="G259">SubCategorizeComment(E259)</f>
        <v>Other</v>
      </c>
    </row>
    <row r="260" spans="1:7" x14ac:dyDescent="0.25">
      <c r="A260">
        <v>22848</v>
      </c>
      <c r="B260" t="s">
        <v>4</v>
      </c>
      <c r="C260">
        <v>3</v>
      </c>
      <c r="D260" t="s">
        <v>464</v>
      </c>
      <c r="E260" t="s">
        <v>464</v>
      </c>
      <c r="F260" t="str" cm="1">
        <f t="array" ref="F260">CategorizeComment(E260)</f>
        <v>Other</v>
      </c>
      <c r="G260" t="str" cm="1">
        <f t="array" ref="G260">SubCategorizeComment(E260)</f>
        <v>Other</v>
      </c>
    </row>
    <row r="261" spans="1:7" x14ac:dyDescent="0.25">
      <c r="A261">
        <v>12429</v>
      </c>
      <c r="B261" t="s">
        <v>4</v>
      </c>
      <c r="C261">
        <v>4</v>
      </c>
      <c r="D261" t="s">
        <v>245</v>
      </c>
      <c r="E261" t="s">
        <v>245</v>
      </c>
      <c r="F261" t="str" cm="1">
        <f t="array" ref="F261">CategorizeComment(E261)</f>
        <v>Time-related issues</v>
      </c>
      <c r="G261" t="str" cm="1">
        <f t="array" ref="G261">SubCategorizeComment(E261)</f>
        <v>Flight delays</v>
      </c>
    </row>
    <row r="262" spans="1:7" x14ac:dyDescent="0.25">
      <c r="A262">
        <v>112231</v>
      </c>
      <c r="B262" t="s">
        <v>4</v>
      </c>
      <c r="C262">
        <v>3</v>
      </c>
      <c r="D262" t="s">
        <v>1913</v>
      </c>
      <c r="E262" t="s">
        <v>1913</v>
      </c>
      <c r="F262" t="str" cm="1">
        <f t="array" ref="F262">CategorizeComment(E262)</f>
        <v>Other</v>
      </c>
      <c r="G262" t="str" cm="1">
        <f t="array" ref="G262">SubCategorizeComment(E262)</f>
        <v>Other</v>
      </c>
    </row>
    <row r="263" spans="1:7" x14ac:dyDescent="0.25">
      <c r="A263">
        <v>20327</v>
      </c>
      <c r="B263" t="s">
        <v>4</v>
      </c>
      <c r="C263">
        <v>3</v>
      </c>
      <c r="D263" t="s">
        <v>412</v>
      </c>
      <c r="E263" t="s">
        <v>412</v>
      </c>
      <c r="F263" t="str" cm="1">
        <f t="array" ref="F263">CategorizeComment(E263)</f>
        <v>Other</v>
      </c>
      <c r="G263" t="str" cm="1">
        <f t="array" ref="G263">SubCategorizeComment(E263)</f>
        <v>Other</v>
      </c>
    </row>
    <row r="264" spans="1:7" x14ac:dyDescent="0.25">
      <c r="A264">
        <v>8516</v>
      </c>
      <c r="B264" t="s">
        <v>4</v>
      </c>
      <c r="C264">
        <v>4</v>
      </c>
      <c r="D264" t="s">
        <v>171</v>
      </c>
      <c r="E264" t="s">
        <v>171</v>
      </c>
      <c r="F264" t="str" cm="1">
        <f t="array" ref="F264">CategorizeComment(E264)</f>
        <v>Time-related issues</v>
      </c>
      <c r="G264" t="str" cm="1">
        <f t="array" ref="G264">SubCategorizeComment(E264)</f>
        <v>Flight delays</v>
      </c>
    </row>
    <row r="265" spans="1:7" x14ac:dyDescent="0.25">
      <c r="A265">
        <v>81275</v>
      </c>
      <c r="B265" t="s">
        <v>4</v>
      </c>
      <c r="C265">
        <v>3</v>
      </c>
      <c r="D265" t="s">
        <v>1453</v>
      </c>
      <c r="E265" t="s">
        <v>1453</v>
      </c>
      <c r="F265" t="str" cm="1">
        <f t="array" ref="F265">CategorizeComment(E265)</f>
        <v>Other</v>
      </c>
      <c r="G265" t="str" cm="1">
        <f t="array" ref="G265">SubCategorizeComment(E265)</f>
        <v>Other</v>
      </c>
    </row>
    <row r="266" spans="1:7" x14ac:dyDescent="0.25">
      <c r="A266">
        <v>46515</v>
      </c>
      <c r="B266" t="s">
        <v>4</v>
      </c>
      <c r="C266">
        <v>3</v>
      </c>
      <c r="D266" t="s">
        <v>881</v>
      </c>
      <c r="E266" t="s">
        <v>881</v>
      </c>
      <c r="F266" t="str" cm="1">
        <f t="array" ref="F266">CategorizeComment(E266)</f>
        <v>Time-related issues</v>
      </c>
      <c r="G266" t="str" cm="1">
        <f t="array" ref="G266">SubCategorizeComment(E266)</f>
        <v>Flight delays</v>
      </c>
    </row>
    <row r="267" spans="1:7" x14ac:dyDescent="0.25">
      <c r="A267">
        <v>109077</v>
      </c>
      <c r="B267" t="s">
        <v>4</v>
      </c>
      <c r="C267">
        <v>3</v>
      </c>
      <c r="D267" t="s">
        <v>1862</v>
      </c>
      <c r="E267" t="s">
        <v>1862</v>
      </c>
      <c r="F267" t="str" cm="1">
        <f t="array" ref="F267">CategorizeComment(E267)</f>
        <v>Service inadequacy</v>
      </c>
      <c r="G267" t="str" cm="1">
        <f t="array" ref="G267">SubCategorizeComment(E267)</f>
        <v>Other</v>
      </c>
    </row>
    <row r="268" spans="1:7" x14ac:dyDescent="0.25">
      <c r="A268">
        <v>101673</v>
      </c>
      <c r="B268" t="s">
        <v>4</v>
      </c>
      <c r="C268">
        <v>4</v>
      </c>
      <c r="D268" t="s">
        <v>1740</v>
      </c>
      <c r="E268" t="s">
        <v>1740</v>
      </c>
      <c r="F268" t="str" cm="1">
        <f t="array" ref="F268">CategorizeComment(E268)</f>
        <v>Service inadequacy</v>
      </c>
      <c r="G268" t="str" cm="1">
        <f t="array" ref="G268">SubCategorizeComment(E268)</f>
        <v>Other</v>
      </c>
    </row>
    <row r="269" spans="1:7" x14ac:dyDescent="0.25">
      <c r="A269">
        <v>115387</v>
      </c>
      <c r="B269" t="s">
        <v>4</v>
      </c>
      <c r="C269">
        <v>3</v>
      </c>
      <c r="D269" t="s">
        <v>1952</v>
      </c>
      <c r="E269" t="s">
        <v>1952</v>
      </c>
      <c r="F269" t="str" cm="1">
        <f t="array" ref="F269">CategorizeComment(E269)</f>
        <v>Service inadequacy</v>
      </c>
      <c r="G269" t="str" cm="1">
        <f t="array" ref="G269">SubCategorizeComment(E269)</f>
        <v>Other</v>
      </c>
    </row>
    <row r="270" spans="1:7" x14ac:dyDescent="0.25">
      <c r="A270">
        <v>4969</v>
      </c>
      <c r="B270" t="s">
        <v>4</v>
      </c>
      <c r="C270">
        <v>4</v>
      </c>
      <c r="D270" t="s">
        <v>103</v>
      </c>
      <c r="E270" t="s">
        <v>103</v>
      </c>
      <c r="F270" t="str" cm="1">
        <f t="array" ref="F270">CategorizeComment(E270)</f>
        <v>Service inadequacy</v>
      </c>
      <c r="G270" t="str" cm="1">
        <f t="array" ref="G270">SubCategorizeComment(E270)</f>
        <v>Food and beverage issues</v>
      </c>
    </row>
    <row r="271" spans="1:7" x14ac:dyDescent="0.25">
      <c r="A271">
        <v>12341</v>
      </c>
      <c r="B271" t="s">
        <v>4</v>
      </c>
      <c r="C271">
        <v>4</v>
      </c>
      <c r="D271" t="s">
        <v>241</v>
      </c>
      <c r="E271" t="s">
        <v>241</v>
      </c>
      <c r="F271" t="str" cm="1">
        <f t="array" ref="F271">CategorizeComment(E271)</f>
        <v>Service inadequacy</v>
      </c>
      <c r="G271" t="str" cm="1">
        <f t="array" ref="G271">SubCategorizeComment(E271)</f>
        <v>Other</v>
      </c>
    </row>
    <row r="272" spans="1:7" x14ac:dyDescent="0.25">
      <c r="A272">
        <v>112146</v>
      </c>
      <c r="B272" t="s">
        <v>4</v>
      </c>
      <c r="C272">
        <v>3</v>
      </c>
      <c r="D272" t="s">
        <v>1910</v>
      </c>
      <c r="E272" t="s">
        <v>1910</v>
      </c>
      <c r="F272" t="str" cm="1">
        <f t="array" ref="F272">CategorizeComment(E272)</f>
        <v>Service inadequacy</v>
      </c>
      <c r="G272" t="str" cm="1">
        <f t="array" ref="G272">SubCategorizeComment(E272)</f>
        <v>Other</v>
      </c>
    </row>
    <row r="273" spans="1:7" x14ac:dyDescent="0.25">
      <c r="A273">
        <v>40399</v>
      </c>
      <c r="B273" t="s">
        <v>4</v>
      </c>
      <c r="C273">
        <v>3</v>
      </c>
      <c r="D273" t="s">
        <v>769</v>
      </c>
      <c r="E273" t="s">
        <v>769</v>
      </c>
      <c r="F273" t="str" cm="1">
        <f t="array" ref="F273">CategorizeComment(E273)</f>
        <v>Service inadequacy</v>
      </c>
      <c r="G273" t="str" cm="1">
        <f t="array" ref="G273">SubCategorizeComment(E273)</f>
        <v>Other</v>
      </c>
    </row>
    <row r="274" spans="1:7" x14ac:dyDescent="0.25">
      <c r="A274">
        <v>52029</v>
      </c>
      <c r="B274" t="s">
        <v>4</v>
      </c>
      <c r="C274">
        <v>3</v>
      </c>
      <c r="D274" t="s">
        <v>973</v>
      </c>
      <c r="E274" t="s">
        <v>973</v>
      </c>
      <c r="F274" t="str" cm="1">
        <f t="array" ref="F274">CategorizeComment(E274)</f>
        <v>Service inadequacy</v>
      </c>
      <c r="G274" t="str" cm="1">
        <f t="array" ref="G274">SubCategorizeComment(E274)</f>
        <v>Other</v>
      </c>
    </row>
    <row r="275" spans="1:7" x14ac:dyDescent="0.25">
      <c r="A275">
        <v>56086</v>
      </c>
      <c r="B275" t="s">
        <v>4</v>
      </c>
      <c r="C275">
        <v>3</v>
      </c>
      <c r="D275" t="s">
        <v>1048</v>
      </c>
      <c r="E275" t="s">
        <v>1048</v>
      </c>
      <c r="F275" t="str" cm="1">
        <f t="array" ref="F275">CategorizeComment(E275)</f>
        <v>Service inadequacy</v>
      </c>
      <c r="G275" t="str" cm="1">
        <f t="array" ref="G275">SubCategorizeComment(E275)</f>
        <v>Other</v>
      </c>
    </row>
    <row r="276" spans="1:7" x14ac:dyDescent="0.25">
      <c r="A276">
        <v>18938</v>
      </c>
      <c r="B276" t="s">
        <v>4</v>
      </c>
      <c r="C276">
        <v>4</v>
      </c>
      <c r="D276" t="s">
        <v>379</v>
      </c>
      <c r="E276" t="s">
        <v>379</v>
      </c>
      <c r="F276" t="str" cm="1">
        <f t="array" ref="F276">CategorizeComment(E276)</f>
        <v>Service inadequacy</v>
      </c>
      <c r="G276" t="str" cm="1">
        <f t="array" ref="G276">SubCategorizeComment(E276)</f>
        <v>Other</v>
      </c>
    </row>
    <row r="277" spans="1:7" x14ac:dyDescent="0.25">
      <c r="A277">
        <v>78631</v>
      </c>
      <c r="B277" t="s">
        <v>4</v>
      </c>
      <c r="C277">
        <v>4</v>
      </c>
      <c r="D277" t="s">
        <v>1410</v>
      </c>
      <c r="E277" t="s">
        <v>1410</v>
      </c>
      <c r="F277" t="str" cm="1">
        <f t="array" ref="F277">CategorizeComment(E277)</f>
        <v>Service inadequacy</v>
      </c>
      <c r="G277" t="str" cm="1">
        <f t="array" ref="G277">SubCategorizeComment(E277)</f>
        <v>Other</v>
      </c>
    </row>
    <row r="278" spans="1:7" x14ac:dyDescent="0.25">
      <c r="A278">
        <v>29425</v>
      </c>
      <c r="B278" t="s">
        <v>4</v>
      </c>
      <c r="C278">
        <v>3</v>
      </c>
      <c r="D278" t="s">
        <v>578</v>
      </c>
      <c r="E278" t="s">
        <v>578</v>
      </c>
      <c r="F278" t="str" cm="1">
        <f t="array" ref="F278">CategorizeComment(E278)</f>
        <v>Service inadequacy</v>
      </c>
      <c r="G278" t="str" cm="1">
        <f t="array" ref="G278">SubCategorizeComment(E278)</f>
        <v>Other</v>
      </c>
    </row>
    <row r="279" spans="1:7" x14ac:dyDescent="0.25">
      <c r="A279">
        <v>78418</v>
      </c>
      <c r="B279" t="s">
        <v>4</v>
      </c>
      <c r="C279">
        <v>4</v>
      </c>
      <c r="D279" t="s">
        <v>1407</v>
      </c>
      <c r="E279" t="s">
        <v>1407</v>
      </c>
      <c r="F279" t="str" cm="1">
        <f t="array" ref="F279">CategorizeComment(E279)</f>
        <v>Service inadequacy</v>
      </c>
      <c r="G279" t="str" cm="1">
        <f t="array" ref="G279">SubCategorizeComment(E279)</f>
        <v>Other</v>
      </c>
    </row>
    <row r="280" spans="1:7" x14ac:dyDescent="0.25">
      <c r="A280">
        <v>86458</v>
      </c>
      <c r="B280" t="s">
        <v>4</v>
      </c>
      <c r="C280">
        <v>3</v>
      </c>
      <c r="D280" t="s">
        <v>1514</v>
      </c>
      <c r="E280" t="s">
        <v>1514</v>
      </c>
      <c r="F280" t="str" cm="1">
        <f t="array" ref="F280">CategorizeComment(E280)</f>
        <v>Service inadequacy</v>
      </c>
      <c r="G280" t="str" cm="1">
        <f t="array" ref="G280">SubCategorizeComment(E280)</f>
        <v>Other</v>
      </c>
    </row>
    <row r="281" spans="1:7" x14ac:dyDescent="0.25">
      <c r="A281">
        <v>123515</v>
      </c>
      <c r="B281" t="s">
        <v>4</v>
      </c>
      <c r="C281">
        <v>3</v>
      </c>
      <c r="D281" t="s">
        <v>2081</v>
      </c>
      <c r="E281" t="s">
        <v>2081</v>
      </c>
      <c r="F281" t="str" cm="1">
        <f t="array" ref="F281">CategorizeComment(E281)</f>
        <v>Time-related issues</v>
      </c>
      <c r="G281" t="str" cm="1">
        <f t="array" ref="G281">SubCategorizeComment(E281)</f>
        <v>Long waits</v>
      </c>
    </row>
    <row r="282" spans="1:7" x14ac:dyDescent="0.25">
      <c r="A282">
        <v>31665</v>
      </c>
      <c r="B282" t="s">
        <v>4</v>
      </c>
      <c r="C282">
        <v>4</v>
      </c>
      <c r="D282" t="s">
        <v>612</v>
      </c>
      <c r="E282" t="s">
        <v>612</v>
      </c>
      <c r="F282" t="str" cm="1">
        <f t="array" ref="F282">CategorizeComment(E282)</f>
        <v>Time-related issues</v>
      </c>
      <c r="G282" t="str" cm="1">
        <f t="array" ref="G282">SubCategorizeComment(E282)</f>
        <v>Long waits</v>
      </c>
    </row>
    <row r="283" spans="1:7" x14ac:dyDescent="0.25">
      <c r="A283">
        <v>100637</v>
      </c>
      <c r="B283" t="s">
        <v>4</v>
      </c>
      <c r="C283">
        <v>4</v>
      </c>
      <c r="D283" t="s">
        <v>1731</v>
      </c>
      <c r="E283" t="s">
        <v>1731</v>
      </c>
      <c r="F283" t="str" cm="1">
        <f t="array" ref="F283">CategorizeComment(E283)</f>
        <v>Time-related issues</v>
      </c>
      <c r="G283" t="str" cm="1">
        <f t="array" ref="G283">SubCategorizeComment(E283)</f>
        <v>Long waits</v>
      </c>
    </row>
    <row r="284" spans="1:7" x14ac:dyDescent="0.25">
      <c r="A284">
        <v>119773</v>
      </c>
      <c r="B284" t="s">
        <v>4</v>
      </c>
      <c r="C284">
        <v>4</v>
      </c>
      <c r="D284" t="s">
        <v>2022</v>
      </c>
      <c r="E284" t="s">
        <v>2022</v>
      </c>
      <c r="F284" t="str" cm="1">
        <f t="array" ref="F284">CategorizeComment(E284)</f>
        <v>Time-related issues</v>
      </c>
      <c r="G284" t="str" cm="1">
        <f t="array" ref="G284">SubCategorizeComment(E284)</f>
        <v>Long waits</v>
      </c>
    </row>
    <row r="285" spans="1:7" x14ac:dyDescent="0.25">
      <c r="A285">
        <v>19596</v>
      </c>
      <c r="B285" t="s">
        <v>4</v>
      </c>
      <c r="C285">
        <v>3</v>
      </c>
      <c r="D285" t="s">
        <v>395</v>
      </c>
      <c r="E285" t="s">
        <v>395</v>
      </c>
      <c r="F285" t="str" cm="1">
        <f t="array" ref="F285">CategorizeComment(E285)</f>
        <v>Time-related issues</v>
      </c>
      <c r="G285" t="str" cm="1">
        <f t="array" ref="G285">SubCategorizeComment(E285)</f>
        <v>Long waits</v>
      </c>
    </row>
    <row r="286" spans="1:7" x14ac:dyDescent="0.25">
      <c r="A286">
        <v>123211</v>
      </c>
      <c r="B286" t="s">
        <v>4</v>
      </c>
      <c r="C286">
        <v>4</v>
      </c>
      <c r="D286" t="s">
        <v>2076</v>
      </c>
      <c r="E286" t="s">
        <v>2076</v>
      </c>
      <c r="F286" t="str" cm="1">
        <f t="array" ref="F286">CategorizeComment(E286)</f>
        <v>Time-related issues</v>
      </c>
      <c r="G286" t="str" cm="1">
        <f t="array" ref="G286">SubCategorizeComment(E286)</f>
        <v>Long waits</v>
      </c>
    </row>
    <row r="287" spans="1:7" x14ac:dyDescent="0.25">
      <c r="A287">
        <v>36154</v>
      </c>
      <c r="B287" t="s">
        <v>4</v>
      </c>
      <c r="C287">
        <v>3</v>
      </c>
      <c r="D287" t="s">
        <v>691</v>
      </c>
      <c r="E287" t="s">
        <v>691</v>
      </c>
      <c r="F287" t="str" cm="1">
        <f t="array" ref="F287">CategorizeComment(E287)</f>
        <v>Time-related issues</v>
      </c>
      <c r="G287" t="str" cm="1">
        <f t="array" ref="G287">SubCategorizeComment(E287)</f>
        <v>Long waits</v>
      </c>
    </row>
    <row r="288" spans="1:7" x14ac:dyDescent="0.25">
      <c r="A288">
        <v>20125</v>
      </c>
      <c r="B288" t="s">
        <v>4</v>
      </c>
      <c r="C288">
        <v>4</v>
      </c>
      <c r="D288" t="s">
        <v>408</v>
      </c>
      <c r="E288" t="s">
        <v>408</v>
      </c>
      <c r="F288" t="str" cm="1">
        <f t="array" ref="F288">CategorizeComment(E288)</f>
        <v>Time-related issues</v>
      </c>
      <c r="G288" t="str" cm="1">
        <f t="array" ref="G288">SubCategorizeComment(E288)</f>
        <v>Long waits</v>
      </c>
    </row>
    <row r="289" spans="1:7" x14ac:dyDescent="0.25">
      <c r="A289">
        <v>109381</v>
      </c>
      <c r="B289" t="s">
        <v>4</v>
      </c>
      <c r="C289">
        <v>4</v>
      </c>
      <c r="D289" t="s">
        <v>1868</v>
      </c>
      <c r="E289" t="s">
        <v>1868</v>
      </c>
      <c r="F289" t="str" cm="1">
        <f t="array" ref="F289">CategorizeComment(E289)</f>
        <v>Time-related issues</v>
      </c>
      <c r="G289" t="str" cm="1">
        <f t="array" ref="G289">SubCategorizeComment(E289)</f>
        <v>Long waits</v>
      </c>
    </row>
    <row r="290" spans="1:7" x14ac:dyDescent="0.25">
      <c r="A290">
        <v>17075</v>
      </c>
      <c r="B290" t="s">
        <v>4</v>
      </c>
      <c r="C290">
        <v>3</v>
      </c>
      <c r="D290" t="s">
        <v>334</v>
      </c>
      <c r="E290" t="s">
        <v>334</v>
      </c>
      <c r="F290" t="str" cm="1">
        <f t="array" ref="F290">CategorizeComment(E290)</f>
        <v>Time-related issues</v>
      </c>
      <c r="G290" t="str" cm="1">
        <f t="array" ref="G290">SubCategorizeComment(E290)</f>
        <v>Long waits</v>
      </c>
    </row>
    <row r="291" spans="1:7" x14ac:dyDescent="0.25">
      <c r="A291">
        <v>3214</v>
      </c>
      <c r="B291" t="s">
        <v>4</v>
      </c>
      <c r="C291">
        <v>4</v>
      </c>
      <c r="D291" t="s">
        <v>64</v>
      </c>
      <c r="E291" t="s">
        <v>64</v>
      </c>
      <c r="F291" t="str" cm="1">
        <f t="array" ref="F291">CategorizeComment(E291)</f>
        <v>Time-related issues</v>
      </c>
      <c r="G291" t="str" cm="1">
        <f t="array" ref="G291">SubCategorizeComment(E291)</f>
        <v>Long waits</v>
      </c>
    </row>
    <row r="292" spans="1:7" x14ac:dyDescent="0.25">
      <c r="A292">
        <v>69054</v>
      </c>
      <c r="B292" t="s">
        <v>4</v>
      </c>
      <c r="C292">
        <v>3</v>
      </c>
      <c r="D292" t="s">
        <v>1263</v>
      </c>
      <c r="E292" t="s">
        <v>1263</v>
      </c>
      <c r="F292" t="str" cm="1">
        <f t="array" ref="F292">CategorizeComment(E292)</f>
        <v>Time-related issues</v>
      </c>
      <c r="G292" t="str" cm="1">
        <f t="array" ref="G292">SubCategorizeComment(E292)</f>
        <v>Flight delays</v>
      </c>
    </row>
    <row r="293" spans="1:7" x14ac:dyDescent="0.25">
      <c r="A293">
        <v>9058</v>
      </c>
      <c r="B293" t="s">
        <v>4</v>
      </c>
      <c r="C293">
        <v>4</v>
      </c>
      <c r="D293" t="s">
        <v>178</v>
      </c>
      <c r="E293" t="s">
        <v>178</v>
      </c>
      <c r="F293" t="str" cm="1">
        <f t="array" ref="F293">CategorizeComment(E293)</f>
        <v>Time-related issues</v>
      </c>
      <c r="G293" t="str" cm="1">
        <f t="array" ref="G293">SubCategorizeComment(E293)</f>
        <v>Flight delays</v>
      </c>
    </row>
    <row r="294" spans="1:7" x14ac:dyDescent="0.25">
      <c r="A294">
        <v>33038</v>
      </c>
      <c r="B294" t="s">
        <v>4</v>
      </c>
      <c r="C294">
        <v>4</v>
      </c>
      <c r="D294" t="s">
        <v>635</v>
      </c>
      <c r="E294" t="s">
        <v>635</v>
      </c>
      <c r="F294" t="str" cm="1">
        <f t="array" ref="F294">CategorizeComment(E294)</f>
        <v>Time-related issues</v>
      </c>
      <c r="G294" t="str" cm="1">
        <f t="array" ref="G294">SubCategorizeComment(E294)</f>
        <v>Flight delays</v>
      </c>
    </row>
    <row r="295" spans="1:7" x14ac:dyDescent="0.25">
      <c r="A295">
        <v>77497</v>
      </c>
      <c r="B295" t="s">
        <v>4</v>
      </c>
      <c r="C295">
        <v>3</v>
      </c>
      <c r="D295" t="s">
        <v>1392</v>
      </c>
      <c r="E295" t="s">
        <v>1392</v>
      </c>
      <c r="F295" t="str" cm="1">
        <f t="array" ref="F295">CategorizeComment(E295)</f>
        <v>Time-related issues</v>
      </c>
      <c r="G295" t="str" cm="1">
        <f t="array" ref="G295">SubCategorizeComment(E295)</f>
        <v>Flight delays</v>
      </c>
    </row>
    <row r="296" spans="1:7" x14ac:dyDescent="0.25">
      <c r="A296">
        <v>106313</v>
      </c>
      <c r="B296" t="s">
        <v>4</v>
      </c>
      <c r="C296">
        <v>3</v>
      </c>
      <c r="D296" t="s">
        <v>1815</v>
      </c>
      <c r="E296" t="s">
        <v>1815</v>
      </c>
      <c r="F296" t="str" cm="1">
        <f t="array" ref="F296">CategorizeComment(E296)</f>
        <v>Time-related issues</v>
      </c>
      <c r="G296" t="str" cm="1">
        <f t="array" ref="G296">SubCategorizeComment(E296)</f>
        <v>Flight delays</v>
      </c>
    </row>
    <row r="297" spans="1:7" x14ac:dyDescent="0.25">
      <c r="A297">
        <v>52732</v>
      </c>
      <c r="B297" t="s">
        <v>4</v>
      </c>
      <c r="C297">
        <v>4</v>
      </c>
      <c r="D297" t="s">
        <v>984</v>
      </c>
      <c r="E297" t="s">
        <v>984</v>
      </c>
      <c r="F297" t="str" cm="1">
        <f t="array" ref="F297">CategorizeComment(E297)</f>
        <v>Time-related issues</v>
      </c>
      <c r="G297" t="str" cm="1">
        <f t="array" ref="G297">SubCategorizeComment(E297)</f>
        <v>Flight delays</v>
      </c>
    </row>
    <row r="298" spans="1:7" x14ac:dyDescent="0.25">
      <c r="A298">
        <v>80525</v>
      </c>
      <c r="B298" t="s">
        <v>4</v>
      </c>
      <c r="C298">
        <v>3</v>
      </c>
      <c r="D298" t="s">
        <v>1444</v>
      </c>
      <c r="E298" t="s">
        <v>1444</v>
      </c>
      <c r="F298" t="str" cm="1">
        <f t="array" ref="F298">CategorizeComment(E298)</f>
        <v>Time-related issues</v>
      </c>
      <c r="G298" t="str" cm="1">
        <f t="array" ref="G298">SubCategorizeComment(E298)</f>
        <v>Flight delays</v>
      </c>
    </row>
    <row r="299" spans="1:7" x14ac:dyDescent="0.25">
      <c r="A299">
        <v>15750</v>
      </c>
      <c r="B299" t="s">
        <v>4</v>
      </c>
      <c r="C299">
        <v>3</v>
      </c>
      <c r="D299" t="s">
        <v>309</v>
      </c>
      <c r="E299" t="s">
        <v>309</v>
      </c>
      <c r="F299" t="str" cm="1">
        <f t="array" ref="F299">CategorizeComment(E299)</f>
        <v>Service inadequacy</v>
      </c>
      <c r="G299" t="str" cm="1">
        <f t="array" ref="G299">SubCategorizeComment(E299)</f>
        <v>Baggage issues</v>
      </c>
    </row>
    <row r="300" spans="1:7" x14ac:dyDescent="0.25">
      <c r="A300">
        <v>69561</v>
      </c>
      <c r="B300" t="s">
        <v>4</v>
      </c>
      <c r="C300">
        <v>3</v>
      </c>
      <c r="D300" t="s">
        <v>1271</v>
      </c>
      <c r="E300" t="s">
        <v>1271</v>
      </c>
      <c r="F300" t="str" cm="1">
        <f t="array" ref="F300">CategorizeComment(E300)</f>
        <v>Other</v>
      </c>
      <c r="G300" t="str" cm="1">
        <f t="array" ref="G300">SubCategorizeComment(E300)</f>
        <v>Other</v>
      </c>
    </row>
    <row r="301" spans="1:7" x14ac:dyDescent="0.25">
      <c r="A301">
        <v>66249</v>
      </c>
      <c r="B301" t="s">
        <v>4</v>
      </c>
      <c r="C301">
        <v>4</v>
      </c>
      <c r="D301" t="s">
        <v>1224</v>
      </c>
      <c r="E301" t="s">
        <v>1224</v>
      </c>
      <c r="F301" t="str" cm="1">
        <f t="array" ref="F301">CategorizeComment(E301)</f>
        <v>Other</v>
      </c>
      <c r="G301" t="str" cm="1">
        <f t="array" ref="G301">SubCategorizeComment(E301)</f>
        <v>Customer service issues</v>
      </c>
    </row>
    <row r="302" spans="1:7" x14ac:dyDescent="0.25">
      <c r="A302">
        <v>110031</v>
      </c>
      <c r="B302" t="s">
        <v>4</v>
      </c>
      <c r="C302">
        <v>3</v>
      </c>
      <c r="D302" t="s">
        <v>1880</v>
      </c>
      <c r="E302" t="s">
        <v>1880</v>
      </c>
      <c r="F302" t="str" cm="1">
        <f t="array" ref="F302">CategorizeComment(E302)</f>
        <v>Service inadequacy</v>
      </c>
      <c r="G302" t="str" cm="1">
        <f t="array" ref="G302">SubCategorizeComment(E302)</f>
        <v>Other</v>
      </c>
    </row>
    <row r="303" spans="1:7" x14ac:dyDescent="0.25">
      <c r="A303">
        <v>27496</v>
      </c>
      <c r="B303" t="s">
        <v>4</v>
      </c>
      <c r="C303">
        <v>4</v>
      </c>
      <c r="D303" t="s">
        <v>546</v>
      </c>
      <c r="E303" t="s">
        <v>546</v>
      </c>
      <c r="F303" t="str" cm="1">
        <f t="array" ref="F303">CategorizeComment(E303)</f>
        <v>Other</v>
      </c>
      <c r="G303" t="str" cm="1">
        <f t="array" ref="G303">SubCategorizeComment(E303)</f>
        <v>Other</v>
      </c>
    </row>
    <row r="304" spans="1:7" x14ac:dyDescent="0.25">
      <c r="A304">
        <v>97146</v>
      </c>
      <c r="B304" t="s">
        <v>4</v>
      </c>
      <c r="C304">
        <v>3</v>
      </c>
      <c r="D304" t="s">
        <v>1683</v>
      </c>
      <c r="E304" t="s">
        <v>1683</v>
      </c>
      <c r="F304" t="str" cm="1">
        <f t="array" ref="F304">CategorizeComment(E304)</f>
        <v>Service inadequacy</v>
      </c>
      <c r="G304" t="str" cm="1">
        <f t="array" ref="G304">SubCategorizeComment(E304)</f>
        <v>Baggage issues</v>
      </c>
    </row>
    <row r="305" spans="1:7" x14ac:dyDescent="0.25">
      <c r="A305">
        <v>62194</v>
      </c>
      <c r="B305" t="s">
        <v>4</v>
      </c>
      <c r="C305">
        <v>3</v>
      </c>
      <c r="D305" t="s">
        <v>1159</v>
      </c>
      <c r="E305" t="s">
        <v>1159</v>
      </c>
      <c r="F305" t="str" cm="1">
        <f t="array" ref="F305">CategorizeComment(E305)</f>
        <v>Pricing and policy issues</v>
      </c>
      <c r="G305" t="str" cm="1">
        <f t="array" ref="G305">SubCategorizeComment(E305)</f>
        <v>Other</v>
      </c>
    </row>
    <row r="306" spans="1:7" x14ac:dyDescent="0.25">
      <c r="A306">
        <v>41076</v>
      </c>
      <c r="B306" t="s">
        <v>4</v>
      </c>
      <c r="C306">
        <v>3</v>
      </c>
      <c r="D306" t="s">
        <v>776</v>
      </c>
      <c r="E306" t="s">
        <v>776</v>
      </c>
      <c r="F306" t="str" cm="1">
        <f t="array" ref="F306">CategorizeComment(E306)</f>
        <v>Service inadequacy</v>
      </c>
      <c r="G306" t="str" cm="1">
        <f t="array" ref="G306">SubCategorizeComment(E306)</f>
        <v>Online services issues</v>
      </c>
    </row>
    <row r="307" spans="1:7" x14ac:dyDescent="0.25">
      <c r="A307">
        <v>125039</v>
      </c>
      <c r="B307" t="s">
        <v>4</v>
      </c>
      <c r="C307">
        <v>4</v>
      </c>
      <c r="D307" t="s">
        <v>2106</v>
      </c>
      <c r="E307" t="s">
        <v>2106</v>
      </c>
      <c r="F307" t="str" cm="1">
        <f t="array" ref="F307">CategorizeComment(E307)</f>
        <v>Service inadequacy</v>
      </c>
      <c r="G307" t="str" cm="1">
        <f t="array" ref="G307">SubCategorizeComment(E307)</f>
        <v>Other</v>
      </c>
    </row>
    <row r="308" spans="1:7" x14ac:dyDescent="0.25">
      <c r="A308">
        <v>44368</v>
      </c>
      <c r="B308" t="s">
        <v>4</v>
      </c>
      <c r="C308">
        <v>2</v>
      </c>
      <c r="D308" t="s">
        <v>837</v>
      </c>
      <c r="E308" t="s">
        <v>837</v>
      </c>
      <c r="F308" t="str" cm="1">
        <f t="array" ref="F308">CategorizeComment(E308)</f>
        <v>Service inadequacy</v>
      </c>
      <c r="G308" t="str" cm="1">
        <f t="array" ref="G308">SubCategorizeComment(E308)</f>
        <v>Other</v>
      </c>
    </row>
    <row r="309" spans="1:7" x14ac:dyDescent="0.25">
      <c r="A309">
        <v>36423</v>
      </c>
      <c r="B309" t="s">
        <v>4</v>
      </c>
      <c r="C309">
        <v>3</v>
      </c>
      <c r="D309" t="s">
        <v>696</v>
      </c>
      <c r="E309" t="s">
        <v>696</v>
      </c>
      <c r="F309" t="str" cm="1">
        <f t="array" ref="F309">CategorizeComment(E309)</f>
        <v>Other</v>
      </c>
      <c r="G309" t="str" cm="1">
        <f t="array" ref="G309">SubCategorizeComment(E309)</f>
        <v>Other</v>
      </c>
    </row>
    <row r="310" spans="1:7" x14ac:dyDescent="0.25">
      <c r="A310">
        <v>114213</v>
      </c>
      <c r="B310" t="s">
        <v>4</v>
      </c>
      <c r="C310">
        <v>3</v>
      </c>
      <c r="D310" t="s">
        <v>1941</v>
      </c>
      <c r="E310" t="s">
        <v>1941</v>
      </c>
      <c r="F310" t="str" cm="1">
        <f t="array" ref="F310">CategorizeComment(E310)</f>
        <v>Other</v>
      </c>
      <c r="G310" t="str" cm="1">
        <f t="array" ref="G310">SubCategorizeComment(E310)</f>
        <v>Other</v>
      </c>
    </row>
    <row r="311" spans="1:7" x14ac:dyDescent="0.25">
      <c r="A311">
        <v>15507</v>
      </c>
      <c r="B311" t="s">
        <v>4</v>
      </c>
      <c r="C311">
        <v>4</v>
      </c>
      <c r="D311" t="s">
        <v>298</v>
      </c>
      <c r="E311" t="s">
        <v>298</v>
      </c>
      <c r="F311" t="str" cm="1">
        <f t="array" ref="F311">CategorizeComment(E311)</f>
        <v>Time-related issues</v>
      </c>
      <c r="G311" t="str" cm="1">
        <f t="array" ref="G311">SubCategorizeComment(E311)</f>
        <v>Flight delays</v>
      </c>
    </row>
    <row r="312" spans="1:7" x14ac:dyDescent="0.25">
      <c r="A312">
        <v>67656</v>
      </c>
      <c r="B312" t="s">
        <v>4</v>
      </c>
      <c r="C312">
        <v>4</v>
      </c>
      <c r="D312" t="s">
        <v>1240</v>
      </c>
      <c r="E312" t="s">
        <v>1240</v>
      </c>
      <c r="F312" t="str" cm="1">
        <f t="array" ref="F312">CategorizeComment(E312)</f>
        <v>Time-related issues</v>
      </c>
      <c r="G312" t="str" cm="1">
        <f t="array" ref="G312">SubCategorizeComment(E312)</f>
        <v>Long waits</v>
      </c>
    </row>
    <row r="313" spans="1:7" x14ac:dyDescent="0.25">
      <c r="A313">
        <v>13105</v>
      </c>
      <c r="B313" t="s">
        <v>4</v>
      </c>
      <c r="C313">
        <v>4</v>
      </c>
      <c r="D313" t="s">
        <v>256</v>
      </c>
      <c r="E313" t="s">
        <v>256</v>
      </c>
      <c r="F313" t="str" cm="1">
        <f t="array" ref="F313">CategorizeComment(E313)</f>
        <v>Time-related issues</v>
      </c>
      <c r="G313" t="str" cm="1">
        <f t="array" ref="G313">SubCategorizeComment(E313)</f>
        <v>Long waits</v>
      </c>
    </row>
    <row r="314" spans="1:7" x14ac:dyDescent="0.25">
      <c r="A314">
        <v>16946</v>
      </c>
      <c r="B314" t="s">
        <v>4</v>
      </c>
      <c r="C314">
        <v>4</v>
      </c>
      <c r="D314" t="s">
        <v>329</v>
      </c>
      <c r="E314" t="s">
        <v>329</v>
      </c>
      <c r="F314" t="str" cm="1">
        <f t="array" ref="F314">CategorizeComment(E314)</f>
        <v>Professionalism and behavior issues</v>
      </c>
      <c r="G314" t="str" cm="1">
        <f t="array" ref="G314">SubCategorizeComment(E314)</f>
        <v>Other</v>
      </c>
    </row>
    <row r="315" spans="1:7" x14ac:dyDescent="0.25">
      <c r="A315">
        <v>63586</v>
      </c>
      <c r="B315" t="s">
        <v>4</v>
      </c>
      <c r="C315">
        <v>3</v>
      </c>
      <c r="D315" t="s">
        <v>1187</v>
      </c>
      <c r="E315" t="s">
        <v>1187</v>
      </c>
      <c r="F315" t="str" cm="1">
        <f t="array" ref="F315">CategorizeComment(E315)</f>
        <v>Service inadequacy</v>
      </c>
      <c r="G315" t="str" cm="1">
        <f t="array" ref="G315">SubCategorizeComment(E315)</f>
        <v>Online services issues</v>
      </c>
    </row>
    <row r="316" spans="1:7" x14ac:dyDescent="0.25">
      <c r="A316">
        <v>6606</v>
      </c>
      <c r="B316" t="s">
        <v>4</v>
      </c>
      <c r="C316">
        <v>3</v>
      </c>
      <c r="D316" t="s">
        <v>136</v>
      </c>
      <c r="E316" t="s">
        <v>136</v>
      </c>
      <c r="F316" t="str" cm="1">
        <f t="array" ref="F316">CategorizeComment(E316)</f>
        <v>Service inadequacy</v>
      </c>
      <c r="G316" t="str" cm="1">
        <f t="array" ref="G316">SubCategorizeComment(E316)</f>
        <v>Other</v>
      </c>
    </row>
    <row r="317" spans="1:7" x14ac:dyDescent="0.25">
      <c r="A317">
        <v>104581</v>
      </c>
      <c r="B317" t="s">
        <v>4</v>
      </c>
      <c r="C317">
        <v>4</v>
      </c>
      <c r="D317" t="s">
        <v>1784</v>
      </c>
      <c r="E317" t="s">
        <v>1784</v>
      </c>
      <c r="F317" t="str" cm="1">
        <f t="array" ref="F317">CategorizeComment(E317)</f>
        <v>Difficulties and challenges</v>
      </c>
      <c r="G317" t="str" cm="1">
        <f t="array" ref="G317">SubCategorizeComment(E317)</f>
        <v>Other</v>
      </c>
    </row>
    <row r="318" spans="1:7" x14ac:dyDescent="0.25">
      <c r="A318">
        <v>84504</v>
      </c>
      <c r="B318" t="s">
        <v>4</v>
      </c>
      <c r="C318">
        <v>3</v>
      </c>
      <c r="D318" t="s">
        <v>1491</v>
      </c>
      <c r="E318" t="s">
        <v>1491</v>
      </c>
      <c r="F318" t="str" cm="1">
        <f t="array" ref="F318">CategorizeComment(E318)</f>
        <v>Difficulties and challenges</v>
      </c>
      <c r="G318" t="str" cm="1">
        <f t="array" ref="G318">SubCategorizeComment(E318)</f>
        <v>Other</v>
      </c>
    </row>
    <row r="319" spans="1:7" x14ac:dyDescent="0.25">
      <c r="A319">
        <v>121368</v>
      </c>
      <c r="B319" t="s">
        <v>4</v>
      </c>
      <c r="C319">
        <v>4</v>
      </c>
      <c r="D319" t="s">
        <v>2039</v>
      </c>
      <c r="E319" t="s">
        <v>2039</v>
      </c>
      <c r="F319" t="str" cm="1">
        <f t="array" ref="F319">CategorizeComment(E319)</f>
        <v>Difficulties and challenges</v>
      </c>
      <c r="G319" t="str" cm="1">
        <f t="array" ref="G319">SubCategorizeComment(E319)</f>
        <v>Other</v>
      </c>
    </row>
    <row r="320" spans="1:7" x14ac:dyDescent="0.25">
      <c r="A320">
        <v>104228</v>
      </c>
      <c r="B320" t="s">
        <v>4</v>
      </c>
      <c r="C320">
        <v>3</v>
      </c>
      <c r="D320" t="s">
        <v>1777</v>
      </c>
      <c r="E320" t="s">
        <v>1777</v>
      </c>
      <c r="F320" t="str" cm="1">
        <f t="array" ref="F320">CategorizeComment(E320)</f>
        <v>Difficulties and challenges</v>
      </c>
      <c r="G320" t="str" cm="1">
        <f t="array" ref="G320">SubCategorizeComment(E320)</f>
        <v>Other</v>
      </c>
    </row>
    <row r="321" spans="1:7" x14ac:dyDescent="0.25">
      <c r="A321">
        <v>50347</v>
      </c>
      <c r="B321" t="s">
        <v>4</v>
      </c>
      <c r="C321">
        <v>4</v>
      </c>
      <c r="D321" t="s">
        <v>944</v>
      </c>
      <c r="E321" t="s">
        <v>944</v>
      </c>
      <c r="F321" t="str" cm="1">
        <f t="array" ref="F321">CategorizeComment(E321)</f>
        <v>Communication and understanding issues</v>
      </c>
      <c r="G321" t="str" cm="1">
        <f t="array" ref="G321">SubCategorizeComment(E321)</f>
        <v>Inadequate information about travel restrictions</v>
      </c>
    </row>
    <row r="322" spans="1:7" x14ac:dyDescent="0.25">
      <c r="A322">
        <v>71480</v>
      </c>
      <c r="B322" t="s">
        <v>4</v>
      </c>
      <c r="C322">
        <v>4</v>
      </c>
      <c r="D322" t="s">
        <v>1301</v>
      </c>
      <c r="E322" t="s">
        <v>1301</v>
      </c>
      <c r="F322" t="str" cm="1">
        <f t="array" ref="F322">CategorizeComment(E322)</f>
        <v>Communication and understanding issues</v>
      </c>
      <c r="G322" t="str" cm="1">
        <f t="array" ref="G322">SubCategorizeComment(E322)</f>
        <v>Inadequate information about travel restrictions</v>
      </c>
    </row>
    <row r="323" spans="1:7" x14ac:dyDescent="0.25">
      <c r="A323">
        <v>101812</v>
      </c>
      <c r="B323" t="s">
        <v>4</v>
      </c>
      <c r="C323">
        <v>4</v>
      </c>
      <c r="D323" t="s">
        <v>1742</v>
      </c>
      <c r="E323" t="s">
        <v>1742</v>
      </c>
      <c r="F323" t="str" cm="1">
        <f t="array" ref="F323">CategorizeComment(E323)</f>
        <v>Communication and understanding issues</v>
      </c>
      <c r="G323" t="str" cm="1">
        <f t="array" ref="G323">SubCategorizeComment(E323)</f>
        <v>Inadequate information about travel restrictions</v>
      </c>
    </row>
    <row r="324" spans="1:7" x14ac:dyDescent="0.25">
      <c r="A324">
        <v>115553</v>
      </c>
      <c r="B324" t="s">
        <v>4</v>
      </c>
      <c r="C324">
        <v>3</v>
      </c>
      <c r="D324" t="s">
        <v>1959</v>
      </c>
      <c r="E324" t="s">
        <v>1959</v>
      </c>
      <c r="F324" t="str" cm="1">
        <f t="array" ref="F324">CategorizeComment(E324)</f>
        <v>Communication and understanding issues</v>
      </c>
      <c r="G324" t="str" cm="1">
        <f t="array" ref="G324">SubCategorizeComment(E324)</f>
        <v>Inadequate information about travel restrictions</v>
      </c>
    </row>
    <row r="325" spans="1:7" x14ac:dyDescent="0.25">
      <c r="A325">
        <v>3376</v>
      </c>
      <c r="B325" t="s">
        <v>4</v>
      </c>
      <c r="C325">
        <v>4</v>
      </c>
      <c r="D325" t="s">
        <v>69</v>
      </c>
      <c r="E325" t="s">
        <v>69</v>
      </c>
      <c r="F325" t="str" cm="1">
        <f t="array" ref="F325">CategorizeComment(E325)</f>
        <v>Communication and understanding issues</v>
      </c>
      <c r="G325" t="str" cm="1">
        <f t="array" ref="G325">SubCategorizeComment(E325)</f>
        <v>Inadequate information about travel restrictions</v>
      </c>
    </row>
    <row r="326" spans="1:7" x14ac:dyDescent="0.25">
      <c r="A326">
        <v>94776</v>
      </c>
      <c r="B326" t="s">
        <v>4</v>
      </c>
      <c r="C326">
        <v>4</v>
      </c>
      <c r="D326" t="s">
        <v>1649</v>
      </c>
      <c r="E326" t="s">
        <v>1649</v>
      </c>
      <c r="F326" t="str" cm="1">
        <f t="array" ref="F326">CategorizeComment(E326)</f>
        <v>Communication and understanding issues</v>
      </c>
      <c r="G326" t="str" cm="1">
        <f t="array" ref="G326">SubCategorizeComment(E326)</f>
        <v>Inadequate information about travel restrictions</v>
      </c>
    </row>
    <row r="327" spans="1:7" x14ac:dyDescent="0.25">
      <c r="A327">
        <v>59058</v>
      </c>
      <c r="B327" t="s">
        <v>4</v>
      </c>
      <c r="C327">
        <v>4</v>
      </c>
      <c r="D327" t="s">
        <v>1099</v>
      </c>
      <c r="E327" t="s">
        <v>1099</v>
      </c>
      <c r="F327" t="str" cm="1">
        <f t="array" ref="F327">CategorizeComment(E327)</f>
        <v>Time-related issues</v>
      </c>
      <c r="G327" t="str" cm="1">
        <f t="array" ref="G327">SubCategorizeComment(E327)</f>
        <v>Flight delays</v>
      </c>
    </row>
    <row r="328" spans="1:7" x14ac:dyDescent="0.25">
      <c r="A328">
        <v>72544</v>
      </c>
      <c r="B328" t="s">
        <v>4</v>
      </c>
      <c r="C328">
        <v>4</v>
      </c>
      <c r="D328" t="s">
        <v>1321</v>
      </c>
      <c r="E328" t="s">
        <v>1321</v>
      </c>
      <c r="F328" t="str" cm="1">
        <f t="array" ref="F328">CategorizeComment(E328)</f>
        <v>Communication and understanding issues</v>
      </c>
      <c r="G328" t="str" cm="1">
        <f t="array" ref="G328">SubCategorizeComment(E328)</f>
        <v>Inadequate information about travel restrictions</v>
      </c>
    </row>
    <row r="329" spans="1:7" x14ac:dyDescent="0.25">
      <c r="A329">
        <v>108604</v>
      </c>
      <c r="B329" t="s">
        <v>4</v>
      </c>
      <c r="C329">
        <v>3</v>
      </c>
      <c r="D329" t="s">
        <v>1853</v>
      </c>
      <c r="E329" t="s">
        <v>1853</v>
      </c>
      <c r="F329" t="str" cm="1">
        <f t="array" ref="F329">CategorizeComment(E329)</f>
        <v>Communication and understanding issues</v>
      </c>
      <c r="G329" t="str" cm="1">
        <f t="array" ref="G329">SubCategorizeComment(E329)</f>
        <v>Inadequate information about travel restrictions</v>
      </c>
    </row>
    <row r="330" spans="1:7" x14ac:dyDescent="0.25">
      <c r="A330">
        <v>58154</v>
      </c>
      <c r="B330" t="s">
        <v>4</v>
      </c>
      <c r="C330">
        <v>4</v>
      </c>
      <c r="D330" t="s">
        <v>1084</v>
      </c>
      <c r="E330" t="s">
        <v>1084</v>
      </c>
      <c r="F330" t="str" cm="1">
        <f t="array" ref="F330">CategorizeComment(E330)</f>
        <v>Communication and understanding issues</v>
      </c>
      <c r="G330" t="str" cm="1">
        <f t="array" ref="G330">SubCategorizeComment(E330)</f>
        <v>Inadequate information about travel restrictions</v>
      </c>
    </row>
    <row r="331" spans="1:7" x14ac:dyDescent="0.25">
      <c r="A331">
        <v>45195</v>
      </c>
      <c r="B331" t="s">
        <v>4</v>
      </c>
      <c r="C331">
        <v>4</v>
      </c>
      <c r="D331" t="s">
        <v>854</v>
      </c>
      <c r="E331" t="s">
        <v>854</v>
      </c>
      <c r="F331" t="str" cm="1">
        <f t="array" ref="F331">CategorizeComment(E331)</f>
        <v>Time-related issues</v>
      </c>
      <c r="G331" t="str" cm="1">
        <f t="array" ref="G331">SubCategorizeComment(E331)</f>
        <v>Flight delays</v>
      </c>
    </row>
    <row r="332" spans="1:7" x14ac:dyDescent="0.25">
      <c r="A332">
        <v>104227</v>
      </c>
      <c r="B332" t="s">
        <v>4</v>
      </c>
      <c r="C332">
        <v>3</v>
      </c>
      <c r="D332" t="s">
        <v>1776</v>
      </c>
      <c r="E332" t="s">
        <v>1776</v>
      </c>
      <c r="F332" t="str" cm="1">
        <f t="array" ref="F332">CategorizeComment(E332)</f>
        <v>Communication and understanding issues</v>
      </c>
      <c r="G332" t="str" cm="1">
        <f t="array" ref="G332">SubCategorizeComment(E332)</f>
        <v>Inadequate information about travel restrictions</v>
      </c>
    </row>
    <row r="333" spans="1:7" x14ac:dyDescent="0.25">
      <c r="A333">
        <v>329</v>
      </c>
      <c r="B333" t="s">
        <v>4</v>
      </c>
      <c r="C333">
        <v>4</v>
      </c>
      <c r="D333" t="s">
        <v>14</v>
      </c>
      <c r="E333" t="s">
        <v>14</v>
      </c>
      <c r="F333" t="str" cm="1">
        <f t="array" ref="F333">CategorizeComment(E333)</f>
        <v>Communication and understanding issues</v>
      </c>
      <c r="G333" t="str" cm="1">
        <f t="array" ref="G333">SubCategorizeComment(E333)</f>
        <v>Inadequate information about travel restrictions</v>
      </c>
    </row>
    <row r="334" spans="1:7" x14ac:dyDescent="0.25">
      <c r="A334">
        <v>110667</v>
      </c>
      <c r="B334" t="s">
        <v>4</v>
      </c>
      <c r="C334">
        <v>2</v>
      </c>
      <c r="D334" t="s">
        <v>1893</v>
      </c>
      <c r="E334" t="s">
        <v>1893</v>
      </c>
      <c r="F334" t="str" cm="1">
        <f t="array" ref="F334">CategorizeComment(E334)</f>
        <v>Communication and understanding issues</v>
      </c>
      <c r="G334" t="str" cm="1">
        <f t="array" ref="G334">SubCategorizeComment(E334)</f>
        <v>Inadequate information about travel restrictions</v>
      </c>
    </row>
    <row r="335" spans="1:7" x14ac:dyDescent="0.25">
      <c r="A335">
        <v>32221</v>
      </c>
      <c r="B335" t="s">
        <v>4</v>
      </c>
      <c r="C335">
        <v>4</v>
      </c>
      <c r="D335" t="s">
        <v>618</v>
      </c>
      <c r="E335" t="s">
        <v>618</v>
      </c>
      <c r="F335" t="str" cm="1">
        <f t="array" ref="F335">CategorizeComment(E335)</f>
        <v>Time-related issues</v>
      </c>
      <c r="G335" t="str" cm="1">
        <f t="array" ref="G335">SubCategorizeComment(E335)</f>
        <v>Flight delays</v>
      </c>
    </row>
    <row r="336" spans="1:7" x14ac:dyDescent="0.25">
      <c r="A336">
        <v>92149</v>
      </c>
      <c r="B336" t="s">
        <v>4</v>
      </c>
      <c r="C336">
        <v>0</v>
      </c>
      <c r="D336" t="s">
        <v>1611</v>
      </c>
      <c r="E336" t="s">
        <v>1611</v>
      </c>
      <c r="F336" t="str" cm="1">
        <f t="array" ref="F336">CategorizeComment(E336)</f>
        <v>Time-related issues</v>
      </c>
      <c r="G336" t="str" cm="1">
        <f t="array" ref="G336">SubCategorizeComment(E336)</f>
        <v>Flight delays</v>
      </c>
    </row>
    <row r="337" spans="1:7" x14ac:dyDescent="0.25">
      <c r="A337">
        <v>1780</v>
      </c>
      <c r="B337" t="s">
        <v>4</v>
      </c>
      <c r="C337">
        <v>4</v>
      </c>
      <c r="D337" t="s">
        <v>45</v>
      </c>
      <c r="E337" t="s">
        <v>45</v>
      </c>
      <c r="F337" t="str" cm="1">
        <f t="array" ref="F337">CategorizeComment(E337)</f>
        <v>Other</v>
      </c>
      <c r="G337" t="str" cm="1">
        <f t="array" ref="G337">SubCategorizeComment(E337)</f>
        <v>Other</v>
      </c>
    </row>
    <row r="338" spans="1:7" x14ac:dyDescent="0.25">
      <c r="A338">
        <v>81909</v>
      </c>
      <c r="B338" t="s">
        <v>4</v>
      </c>
      <c r="C338">
        <v>3</v>
      </c>
      <c r="D338" t="s">
        <v>1458</v>
      </c>
      <c r="E338" t="s">
        <v>1458</v>
      </c>
      <c r="F338" t="str" cm="1">
        <f t="array" ref="F338">CategorizeComment(E338)</f>
        <v>Time-related issues</v>
      </c>
      <c r="G338" t="str" cm="1">
        <f t="array" ref="G338">SubCategorizeComment(E338)</f>
        <v>Flight delays</v>
      </c>
    </row>
    <row r="339" spans="1:7" x14ac:dyDescent="0.25">
      <c r="A339">
        <v>87067</v>
      </c>
      <c r="B339" t="s">
        <v>4</v>
      </c>
      <c r="C339">
        <v>4</v>
      </c>
      <c r="D339" t="s">
        <v>1519</v>
      </c>
      <c r="E339" t="s">
        <v>1519</v>
      </c>
      <c r="F339" t="str" cm="1">
        <f t="array" ref="F339">CategorizeComment(E339)</f>
        <v>Time-related issues</v>
      </c>
      <c r="G339" t="str" cm="1">
        <f t="array" ref="G339">SubCategorizeComment(E339)</f>
        <v>Flight delays</v>
      </c>
    </row>
    <row r="340" spans="1:7" x14ac:dyDescent="0.25">
      <c r="A340">
        <v>53468</v>
      </c>
      <c r="B340" t="s">
        <v>4</v>
      </c>
      <c r="C340">
        <v>3</v>
      </c>
      <c r="D340" t="s">
        <v>997</v>
      </c>
      <c r="E340" t="s">
        <v>997</v>
      </c>
      <c r="F340" t="str" cm="1">
        <f t="array" ref="F340">CategorizeComment(E340)</f>
        <v>Service inadequacy</v>
      </c>
      <c r="G340" t="str" cm="1">
        <f t="array" ref="G340">SubCategorizeComment(E340)</f>
        <v>Baggage issues</v>
      </c>
    </row>
    <row r="341" spans="1:7" x14ac:dyDescent="0.25">
      <c r="A341">
        <v>56071</v>
      </c>
      <c r="B341" t="s">
        <v>4</v>
      </c>
      <c r="C341">
        <v>4</v>
      </c>
      <c r="D341" t="s">
        <v>1047</v>
      </c>
      <c r="E341" t="s">
        <v>1047</v>
      </c>
      <c r="F341" t="str" cm="1">
        <f t="array" ref="F341">CategorizeComment(E341)</f>
        <v>Time-related issues</v>
      </c>
      <c r="G341" t="str" cm="1">
        <f t="array" ref="G341">SubCategorizeComment(E341)</f>
        <v>Long waits</v>
      </c>
    </row>
    <row r="342" spans="1:7" x14ac:dyDescent="0.25">
      <c r="A342">
        <v>29990</v>
      </c>
      <c r="B342" t="s">
        <v>4</v>
      </c>
      <c r="C342">
        <v>3</v>
      </c>
      <c r="D342" t="s">
        <v>583</v>
      </c>
      <c r="E342" t="s">
        <v>583</v>
      </c>
      <c r="F342" t="str" cm="1">
        <f t="array" ref="F342">CategorizeComment(E342)</f>
        <v>Service inadequacy</v>
      </c>
      <c r="G342" t="str" cm="1">
        <f t="array" ref="G342">SubCategorizeComment(E342)</f>
        <v>Other</v>
      </c>
    </row>
    <row r="343" spans="1:7" x14ac:dyDescent="0.25">
      <c r="A343">
        <v>86910</v>
      </c>
      <c r="B343" t="s">
        <v>4</v>
      </c>
      <c r="C343">
        <v>4</v>
      </c>
      <c r="D343" t="s">
        <v>1518</v>
      </c>
      <c r="E343" t="s">
        <v>1518</v>
      </c>
      <c r="F343" t="str" cm="1">
        <f t="array" ref="F343">CategorizeComment(E343)</f>
        <v>Other</v>
      </c>
      <c r="G343" t="str" cm="1">
        <f t="array" ref="G343">SubCategorizeComment(E343)</f>
        <v>Other</v>
      </c>
    </row>
    <row r="344" spans="1:7" x14ac:dyDescent="0.25">
      <c r="A344">
        <v>124217</v>
      </c>
      <c r="B344" t="s">
        <v>4</v>
      </c>
      <c r="C344">
        <v>4</v>
      </c>
      <c r="D344" t="s">
        <v>2090</v>
      </c>
      <c r="E344" t="s">
        <v>2090</v>
      </c>
      <c r="F344" t="str" cm="1">
        <f t="array" ref="F344">CategorizeComment(E344)</f>
        <v>Other</v>
      </c>
      <c r="G344" t="str" cm="1">
        <f t="array" ref="G344">SubCategorizeComment(E344)</f>
        <v>Other</v>
      </c>
    </row>
    <row r="345" spans="1:7" x14ac:dyDescent="0.25">
      <c r="A345">
        <v>71862</v>
      </c>
      <c r="B345" t="s">
        <v>4</v>
      </c>
      <c r="C345">
        <v>4</v>
      </c>
      <c r="D345" t="s">
        <v>1309</v>
      </c>
      <c r="E345" t="s">
        <v>1309</v>
      </c>
      <c r="F345" t="str" cm="1">
        <f t="array" ref="F345">CategorizeComment(E345)</f>
        <v>Service inadequacy</v>
      </c>
      <c r="G345" t="str" cm="1">
        <f t="array" ref="G345">SubCategorizeComment(E345)</f>
        <v>Other</v>
      </c>
    </row>
    <row r="346" spans="1:7" x14ac:dyDescent="0.25">
      <c r="A346">
        <v>28638</v>
      </c>
      <c r="B346" t="s">
        <v>4</v>
      </c>
      <c r="C346">
        <v>4</v>
      </c>
      <c r="D346" t="s">
        <v>564</v>
      </c>
      <c r="E346" t="s">
        <v>564</v>
      </c>
      <c r="F346" t="str" cm="1">
        <f t="array" ref="F346">CategorizeComment(E346)</f>
        <v>Time-related issues</v>
      </c>
      <c r="G346" t="str" cm="1">
        <f t="array" ref="G346">SubCategorizeComment(E346)</f>
        <v>Flight delays</v>
      </c>
    </row>
    <row r="347" spans="1:7" x14ac:dyDescent="0.25">
      <c r="A347">
        <v>35192</v>
      </c>
      <c r="B347" t="s">
        <v>4</v>
      </c>
      <c r="C347">
        <v>4</v>
      </c>
      <c r="D347" t="s">
        <v>668</v>
      </c>
      <c r="E347" t="s">
        <v>668</v>
      </c>
      <c r="F347" t="str" cm="1">
        <f t="array" ref="F347">CategorizeComment(E347)</f>
        <v>Other</v>
      </c>
      <c r="G347" t="str" cm="1">
        <f t="array" ref="G347">SubCategorizeComment(E347)</f>
        <v>Other</v>
      </c>
    </row>
    <row r="348" spans="1:7" x14ac:dyDescent="0.25">
      <c r="A348">
        <v>59086</v>
      </c>
      <c r="B348" t="s">
        <v>4</v>
      </c>
      <c r="C348">
        <v>3</v>
      </c>
      <c r="D348" t="s">
        <v>1102</v>
      </c>
      <c r="E348" t="s">
        <v>1102</v>
      </c>
      <c r="F348" t="str" cm="1">
        <f t="array" ref="F348">CategorizeComment(E348)</f>
        <v>Time-related issues</v>
      </c>
      <c r="G348" t="str" cm="1">
        <f t="array" ref="G348">SubCategorizeComment(E348)</f>
        <v>Postponed departures</v>
      </c>
    </row>
    <row r="349" spans="1:7" x14ac:dyDescent="0.25">
      <c r="A349">
        <v>3755</v>
      </c>
      <c r="B349" t="s">
        <v>4</v>
      </c>
      <c r="C349">
        <v>4</v>
      </c>
      <c r="D349" t="s">
        <v>78</v>
      </c>
      <c r="E349" t="s">
        <v>78</v>
      </c>
      <c r="F349" t="str" cm="1">
        <f t="array" ref="F349">CategorizeComment(E349)</f>
        <v>Time-related issues</v>
      </c>
      <c r="G349" t="str" cm="1">
        <f t="array" ref="G349">SubCategorizeComment(E349)</f>
        <v>Long waits</v>
      </c>
    </row>
    <row r="350" spans="1:7" x14ac:dyDescent="0.25">
      <c r="A350">
        <v>896</v>
      </c>
      <c r="B350" t="s">
        <v>4</v>
      </c>
      <c r="C350">
        <v>4</v>
      </c>
      <c r="D350" t="s">
        <v>24</v>
      </c>
      <c r="E350" t="s">
        <v>24</v>
      </c>
      <c r="F350" t="str" cm="1">
        <f t="array" ref="F350">CategorizeComment(E350)</f>
        <v>Service inadequacy</v>
      </c>
      <c r="G350" t="str" cm="1">
        <f t="array" ref="G350">SubCategorizeComment(E350)</f>
        <v>Customer service issues</v>
      </c>
    </row>
    <row r="351" spans="1:7" x14ac:dyDescent="0.25">
      <c r="A351">
        <v>106270</v>
      </c>
      <c r="B351" t="s">
        <v>4</v>
      </c>
      <c r="C351">
        <v>4</v>
      </c>
      <c r="D351" t="s">
        <v>1814</v>
      </c>
      <c r="E351" t="s">
        <v>1814</v>
      </c>
      <c r="F351" t="str" cm="1">
        <f t="array" ref="F351">CategorizeComment(E351)</f>
        <v>Service inadequacy</v>
      </c>
      <c r="G351" t="str" cm="1">
        <f t="array" ref="G351">SubCategorizeComment(E351)</f>
        <v>Other</v>
      </c>
    </row>
    <row r="352" spans="1:7" x14ac:dyDescent="0.25">
      <c r="A352">
        <v>19553</v>
      </c>
      <c r="B352" t="s">
        <v>4</v>
      </c>
      <c r="C352">
        <v>3</v>
      </c>
      <c r="D352" t="s">
        <v>394</v>
      </c>
      <c r="E352" t="s">
        <v>394</v>
      </c>
      <c r="F352" t="str" cm="1">
        <f t="array" ref="F352">CategorizeComment(E352)</f>
        <v>Time-related issues</v>
      </c>
      <c r="G352" t="str" cm="1">
        <f t="array" ref="G352">SubCategorizeComment(E352)</f>
        <v>Flight delays</v>
      </c>
    </row>
    <row r="353" spans="1:7" x14ac:dyDescent="0.25">
      <c r="A353">
        <v>91466</v>
      </c>
      <c r="B353" t="s">
        <v>4</v>
      </c>
      <c r="C353">
        <v>3</v>
      </c>
      <c r="D353" t="s">
        <v>1597</v>
      </c>
      <c r="E353" t="s">
        <v>1597</v>
      </c>
      <c r="F353" t="str" cm="1">
        <f t="array" ref="F353">CategorizeComment(E353)</f>
        <v>Time-related issues</v>
      </c>
      <c r="G353" t="str" cm="1">
        <f t="array" ref="G353">SubCategorizeComment(E353)</f>
        <v>Flight delays</v>
      </c>
    </row>
    <row r="354" spans="1:7" x14ac:dyDescent="0.25">
      <c r="A354">
        <v>1835</v>
      </c>
      <c r="B354" t="s">
        <v>4</v>
      </c>
      <c r="C354">
        <v>3</v>
      </c>
      <c r="D354" t="s">
        <v>46</v>
      </c>
      <c r="E354" t="s">
        <v>46</v>
      </c>
      <c r="F354" t="str" cm="1">
        <f t="array" ref="F354">CategorizeComment(E354)</f>
        <v>Time-related issues</v>
      </c>
      <c r="G354" t="str" cm="1">
        <f t="array" ref="G354">SubCategorizeComment(E354)</f>
        <v>Postponed departures</v>
      </c>
    </row>
    <row r="355" spans="1:7" x14ac:dyDescent="0.25">
      <c r="A355">
        <v>29859</v>
      </c>
      <c r="B355" t="s">
        <v>4</v>
      </c>
      <c r="C355">
        <v>3</v>
      </c>
      <c r="D355" t="s">
        <v>580</v>
      </c>
      <c r="E355" t="s">
        <v>580</v>
      </c>
      <c r="F355" t="str" cm="1">
        <f t="array" ref="F355">CategorizeComment(E355)</f>
        <v>Time-related issues</v>
      </c>
      <c r="G355" t="str" cm="1">
        <f t="array" ref="G355">SubCategorizeComment(E355)</f>
        <v>Flight delays</v>
      </c>
    </row>
    <row r="356" spans="1:7" x14ac:dyDescent="0.25">
      <c r="A356">
        <v>16093</v>
      </c>
      <c r="B356" t="s">
        <v>4</v>
      </c>
      <c r="C356">
        <v>4</v>
      </c>
      <c r="D356" t="s">
        <v>317</v>
      </c>
      <c r="E356" t="s">
        <v>317</v>
      </c>
      <c r="F356" t="str" cm="1">
        <f t="array" ref="F356">CategorizeComment(E356)</f>
        <v>Time-related issues</v>
      </c>
      <c r="G356" t="str" cm="1">
        <f t="array" ref="G356">SubCategorizeComment(E356)</f>
        <v>Long waits</v>
      </c>
    </row>
    <row r="357" spans="1:7" x14ac:dyDescent="0.25">
      <c r="A357">
        <v>23611</v>
      </c>
      <c r="B357" t="s">
        <v>4</v>
      </c>
      <c r="C357">
        <v>3</v>
      </c>
      <c r="D357" t="s">
        <v>482</v>
      </c>
      <c r="E357" t="s">
        <v>482</v>
      </c>
      <c r="F357" t="str" cm="1">
        <f t="array" ref="F357">CategorizeComment(E357)</f>
        <v>Time-related issues</v>
      </c>
      <c r="G357" t="str" cm="1">
        <f t="array" ref="G357">SubCategorizeComment(E357)</f>
        <v>Flight delays</v>
      </c>
    </row>
    <row r="358" spans="1:7" x14ac:dyDescent="0.25">
      <c r="A358">
        <v>105271</v>
      </c>
      <c r="B358" t="s">
        <v>4</v>
      </c>
      <c r="C358">
        <v>4</v>
      </c>
      <c r="D358" t="s">
        <v>1800</v>
      </c>
      <c r="E358" t="s">
        <v>1800</v>
      </c>
      <c r="F358" t="str" cm="1">
        <f t="array" ref="F358">CategorizeComment(E358)</f>
        <v>Other</v>
      </c>
      <c r="G358" t="str" cm="1">
        <f t="array" ref="G358">SubCategorizeComment(E358)</f>
        <v>Other</v>
      </c>
    </row>
    <row r="359" spans="1:7" x14ac:dyDescent="0.25">
      <c r="A359">
        <v>69132</v>
      </c>
      <c r="B359" t="s">
        <v>4</v>
      </c>
      <c r="C359">
        <v>4</v>
      </c>
      <c r="D359" t="s">
        <v>1264</v>
      </c>
      <c r="E359" t="s">
        <v>1264</v>
      </c>
      <c r="F359" t="str" cm="1">
        <f t="array" ref="F359">CategorizeComment(E359)</f>
        <v>Service inadequacy</v>
      </c>
      <c r="G359" t="str" cm="1">
        <f t="array" ref="G359">SubCategorizeComment(E359)</f>
        <v>Seating issues</v>
      </c>
    </row>
    <row r="360" spans="1:7" x14ac:dyDescent="0.25">
      <c r="A360">
        <v>2578</v>
      </c>
      <c r="B360" t="s">
        <v>4</v>
      </c>
      <c r="C360">
        <v>4</v>
      </c>
      <c r="D360" t="s">
        <v>58</v>
      </c>
      <c r="E360" t="s">
        <v>58</v>
      </c>
      <c r="F360" t="str" cm="1">
        <f t="array" ref="F360">CategorizeComment(E360)</f>
        <v>Other</v>
      </c>
      <c r="G360" t="str" cm="1">
        <f t="array" ref="G360">SubCategorizeComment(E360)</f>
        <v>Other</v>
      </c>
    </row>
    <row r="361" spans="1:7" x14ac:dyDescent="0.25">
      <c r="A361">
        <v>127969</v>
      </c>
      <c r="B361" t="s">
        <v>4</v>
      </c>
      <c r="C361">
        <v>3</v>
      </c>
      <c r="D361" t="s">
        <v>2143</v>
      </c>
      <c r="E361" t="s">
        <v>2143</v>
      </c>
      <c r="F361" t="str" cm="1">
        <f t="array" ref="F361">CategorizeComment(E361)</f>
        <v>Time-related issues</v>
      </c>
      <c r="G361" t="str" cm="1">
        <f t="array" ref="G361">SubCategorizeComment(E361)</f>
        <v>Flight delays</v>
      </c>
    </row>
    <row r="362" spans="1:7" x14ac:dyDescent="0.25">
      <c r="A362">
        <v>32768</v>
      </c>
      <c r="B362" t="s">
        <v>4</v>
      </c>
      <c r="C362">
        <v>4</v>
      </c>
      <c r="D362" t="s">
        <v>633</v>
      </c>
      <c r="E362" t="s">
        <v>633</v>
      </c>
      <c r="F362" t="str" cm="1">
        <f t="array" ref="F362">CategorizeComment(E362)</f>
        <v>Other</v>
      </c>
      <c r="G362" t="str" cm="1">
        <f t="array" ref="G362">SubCategorizeComment(E362)</f>
        <v>Customer service issues</v>
      </c>
    </row>
    <row r="363" spans="1:7" x14ac:dyDescent="0.25">
      <c r="A363">
        <v>32390</v>
      </c>
      <c r="B363" t="s">
        <v>4</v>
      </c>
      <c r="C363">
        <v>3</v>
      </c>
      <c r="D363" t="s">
        <v>620</v>
      </c>
      <c r="E363" t="s">
        <v>620</v>
      </c>
      <c r="F363" t="str" cm="1">
        <f t="array" ref="F363">CategorizeComment(E363)</f>
        <v>Other</v>
      </c>
      <c r="G363" t="str" cm="1">
        <f t="array" ref="G363">SubCategorizeComment(E363)</f>
        <v>Other</v>
      </c>
    </row>
    <row r="364" spans="1:7" x14ac:dyDescent="0.25">
      <c r="A364">
        <v>125846</v>
      </c>
      <c r="B364" t="s">
        <v>4</v>
      </c>
      <c r="C364">
        <v>3</v>
      </c>
      <c r="D364" t="s">
        <v>2116</v>
      </c>
      <c r="E364" t="s">
        <v>2116</v>
      </c>
      <c r="F364" t="str" cm="1">
        <f t="array" ref="F364">CategorizeComment(E364)</f>
        <v>Service inadequacy</v>
      </c>
      <c r="G364" t="str" cm="1">
        <f t="array" ref="G364">SubCategorizeComment(E364)</f>
        <v>Other</v>
      </c>
    </row>
    <row r="365" spans="1:7" x14ac:dyDescent="0.25">
      <c r="A365">
        <v>82013</v>
      </c>
      <c r="B365" t="s">
        <v>4</v>
      </c>
      <c r="C365">
        <v>4</v>
      </c>
      <c r="D365" t="s">
        <v>1463</v>
      </c>
      <c r="E365" t="s">
        <v>1463</v>
      </c>
      <c r="F365" t="str" cm="1">
        <f t="array" ref="F365">CategorizeComment(E365)</f>
        <v>Service inadequacy</v>
      </c>
      <c r="G365" t="str" cm="1">
        <f t="array" ref="G365">SubCategorizeComment(E365)</f>
        <v>Customer service issues</v>
      </c>
    </row>
    <row r="366" spans="1:7" x14ac:dyDescent="0.25">
      <c r="A366">
        <v>46027</v>
      </c>
      <c r="B366" t="s">
        <v>4</v>
      </c>
      <c r="C366">
        <v>3</v>
      </c>
      <c r="D366" t="s">
        <v>873</v>
      </c>
      <c r="E366" t="s">
        <v>873</v>
      </c>
      <c r="F366" t="str" cm="1">
        <f t="array" ref="F366">CategorizeComment(E366)</f>
        <v>Time-related issues</v>
      </c>
      <c r="G366" t="str" cm="1">
        <f t="array" ref="G366">SubCategorizeComment(E366)</f>
        <v>Long waits</v>
      </c>
    </row>
    <row r="367" spans="1:7" x14ac:dyDescent="0.25">
      <c r="A367">
        <v>62770</v>
      </c>
      <c r="B367" t="s">
        <v>4</v>
      </c>
      <c r="C367">
        <v>3</v>
      </c>
      <c r="D367" t="s">
        <v>1173</v>
      </c>
      <c r="E367" t="s">
        <v>1173</v>
      </c>
      <c r="F367" t="str" cm="1">
        <f t="array" ref="F367">CategorizeComment(E367)</f>
        <v>Time-related issues</v>
      </c>
      <c r="G367" t="str" cm="1">
        <f t="array" ref="G367">SubCategorizeComment(E367)</f>
        <v>Flight delays</v>
      </c>
    </row>
    <row r="368" spans="1:7" x14ac:dyDescent="0.25">
      <c r="A368">
        <v>35785</v>
      </c>
      <c r="B368" t="s">
        <v>4</v>
      </c>
      <c r="C368">
        <v>4</v>
      </c>
      <c r="D368" t="s">
        <v>681</v>
      </c>
      <c r="E368" t="s">
        <v>681</v>
      </c>
      <c r="F368" t="str" cm="1">
        <f t="array" ref="F368">CategorizeComment(E368)</f>
        <v>Time-related issues</v>
      </c>
      <c r="G368" t="str" cm="1">
        <f t="array" ref="G368">SubCategorizeComment(E368)</f>
        <v>Flight delays</v>
      </c>
    </row>
    <row r="369" spans="1:7" x14ac:dyDescent="0.25">
      <c r="A369">
        <v>40539</v>
      </c>
      <c r="B369" t="s">
        <v>4</v>
      </c>
      <c r="C369">
        <v>4</v>
      </c>
      <c r="D369" t="s">
        <v>770</v>
      </c>
      <c r="E369" t="s">
        <v>770</v>
      </c>
      <c r="F369" t="str" cm="1">
        <f t="array" ref="F369">CategorizeComment(E369)</f>
        <v>Time-related issues</v>
      </c>
      <c r="G369" t="str" cm="1">
        <f t="array" ref="G369">SubCategorizeComment(E369)</f>
        <v>Flight delays</v>
      </c>
    </row>
    <row r="370" spans="1:7" x14ac:dyDescent="0.25">
      <c r="A370">
        <v>20551</v>
      </c>
      <c r="B370" t="s">
        <v>4</v>
      </c>
      <c r="C370">
        <v>3</v>
      </c>
      <c r="D370" t="s">
        <v>417</v>
      </c>
      <c r="E370" t="s">
        <v>417</v>
      </c>
      <c r="F370" t="str" cm="1">
        <f t="array" ref="F370">CategorizeComment(E370)</f>
        <v>Time-related issues</v>
      </c>
      <c r="G370" t="str" cm="1">
        <f t="array" ref="G370">SubCategorizeComment(E370)</f>
        <v>Flight delays</v>
      </c>
    </row>
    <row r="371" spans="1:7" x14ac:dyDescent="0.25">
      <c r="A371">
        <v>56776</v>
      </c>
      <c r="B371" t="s">
        <v>4</v>
      </c>
      <c r="C371">
        <v>4</v>
      </c>
      <c r="D371" t="s">
        <v>1059</v>
      </c>
      <c r="E371" t="s">
        <v>1059</v>
      </c>
      <c r="F371" t="str" cm="1">
        <f t="array" ref="F371">CategorizeComment(E371)</f>
        <v>Time-related issues</v>
      </c>
      <c r="G371" t="str" cm="1">
        <f t="array" ref="G371">SubCategorizeComment(E371)</f>
        <v>Flight delays</v>
      </c>
    </row>
    <row r="372" spans="1:7" x14ac:dyDescent="0.25">
      <c r="A372">
        <v>16449</v>
      </c>
      <c r="B372" t="s">
        <v>4</v>
      </c>
      <c r="C372">
        <v>4</v>
      </c>
      <c r="D372" t="s">
        <v>322</v>
      </c>
      <c r="E372" t="s">
        <v>322</v>
      </c>
      <c r="F372" t="str" cm="1">
        <f t="array" ref="F372">CategorizeComment(E372)</f>
        <v>Service inadequacy</v>
      </c>
      <c r="G372" t="str" cm="1">
        <f t="array" ref="G372">SubCategorizeComment(E372)</f>
        <v>Other</v>
      </c>
    </row>
    <row r="373" spans="1:7" x14ac:dyDescent="0.25">
      <c r="A373">
        <v>15748</v>
      </c>
      <c r="B373" t="s">
        <v>4</v>
      </c>
      <c r="C373">
        <v>3</v>
      </c>
      <c r="D373" t="s">
        <v>308</v>
      </c>
      <c r="E373" t="s">
        <v>308</v>
      </c>
      <c r="F373" t="str" cm="1">
        <f t="array" ref="F373">CategorizeComment(E373)</f>
        <v>Time-related issues</v>
      </c>
      <c r="G373" t="str" cm="1">
        <f t="array" ref="G373">SubCategorizeComment(E373)</f>
        <v>Long waits</v>
      </c>
    </row>
    <row r="374" spans="1:7" x14ac:dyDescent="0.25">
      <c r="A374">
        <v>42279</v>
      </c>
      <c r="B374" t="s">
        <v>4</v>
      </c>
      <c r="C374">
        <v>4</v>
      </c>
      <c r="D374" t="s">
        <v>794</v>
      </c>
      <c r="E374" t="s">
        <v>794</v>
      </c>
      <c r="F374" t="str" cm="1">
        <f t="array" ref="F374">CategorizeComment(E374)</f>
        <v>Time-related issues</v>
      </c>
      <c r="G374" t="str" cm="1">
        <f t="array" ref="G374">SubCategorizeComment(E374)</f>
        <v>Flight delays</v>
      </c>
    </row>
    <row r="375" spans="1:7" x14ac:dyDescent="0.25">
      <c r="A375">
        <v>17034</v>
      </c>
      <c r="B375" t="s">
        <v>4</v>
      </c>
      <c r="C375">
        <v>3</v>
      </c>
      <c r="D375" t="s">
        <v>331</v>
      </c>
      <c r="E375" t="s">
        <v>331</v>
      </c>
      <c r="F375" t="str" cm="1">
        <f t="array" ref="F375">CategorizeComment(E375)</f>
        <v>Time-related issues</v>
      </c>
      <c r="G375" t="str" cm="1">
        <f t="array" ref="G375">SubCategorizeComment(E375)</f>
        <v>Flight delays</v>
      </c>
    </row>
    <row r="376" spans="1:7" x14ac:dyDescent="0.25">
      <c r="A376">
        <v>73412</v>
      </c>
      <c r="B376" t="s">
        <v>4</v>
      </c>
      <c r="C376">
        <v>4</v>
      </c>
      <c r="D376" t="s">
        <v>1337</v>
      </c>
      <c r="E376" t="s">
        <v>1337</v>
      </c>
      <c r="F376" t="str" cm="1">
        <f t="array" ref="F376">CategorizeComment(E376)</f>
        <v>Time-related issues</v>
      </c>
      <c r="G376" t="str" cm="1">
        <f t="array" ref="G376">SubCategorizeComment(E376)</f>
        <v>Flight delays</v>
      </c>
    </row>
    <row r="377" spans="1:7" x14ac:dyDescent="0.25">
      <c r="A377">
        <v>44271</v>
      </c>
      <c r="B377" t="s">
        <v>4</v>
      </c>
      <c r="C377">
        <v>4</v>
      </c>
      <c r="D377" t="s">
        <v>834</v>
      </c>
      <c r="E377" t="s">
        <v>834</v>
      </c>
      <c r="F377" t="str" cm="1">
        <f t="array" ref="F377">CategorizeComment(E377)</f>
        <v>Service inadequacy</v>
      </c>
      <c r="G377" t="str" cm="1">
        <f t="array" ref="G377">SubCategorizeComment(E377)</f>
        <v>Other</v>
      </c>
    </row>
    <row r="378" spans="1:7" x14ac:dyDescent="0.25">
      <c r="A378">
        <v>48750</v>
      </c>
      <c r="B378" t="s">
        <v>4</v>
      </c>
      <c r="C378">
        <v>4</v>
      </c>
      <c r="D378" t="s">
        <v>912</v>
      </c>
      <c r="E378" t="s">
        <v>912</v>
      </c>
      <c r="F378" t="str" cm="1">
        <f t="array" ref="F378">CategorizeComment(E378)</f>
        <v>Time-related issues</v>
      </c>
      <c r="G378" t="str" cm="1">
        <f t="array" ref="G378">SubCategorizeComment(E378)</f>
        <v>Flight delays</v>
      </c>
    </row>
    <row r="379" spans="1:7" x14ac:dyDescent="0.25">
      <c r="A379">
        <v>38373</v>
      </c>
      <c r="B379" t="s">
        <v>4</v>
      </c>
      <c r="C379">
        <v>3</v>
      </c>
      <c r="D379" t="s">
        <v>740</v>
      </c>
      <c r="E379" t="s">
        <v>740</v>
      </c>
      <c r="F379" t="str" cm="1">
        <f t="array" ref="F379">CategorizeComment(E379)</f>
        <v>Time-related issues</v>
      </c>
      <c r="G379" t="str" cm="1">
        <f t="array" ref="G379">SubCategorizeComment(E379)</f>
        <v>Flight delays</v>
      </c>
    </row>
    <row r="380" spans="1:7" x14ac:dyDescent="0.25">
      <c r="A380">
        <v>108451</v>
      </c>
      <c r="B380" t="s">
        <v>4</v>
      </c>
      <c r="C380">
        <v>4</v>
      </c>
      <c r="D380" t="s">
        <v>1850</v>
      </c>
      <c r="E380" t="s">
        <v>1850</v>
      </c>
      <c r="F380" t="str" cm="1">
        <f t="array" ref="F380">CategorizeComment(E380)</f>
        <v>Time-related issues</v>
      </c>
      <c r="G380" t="str" cm="1">
        <f t="array" ref="G380">SubCategorizeComment(E380)</f>
        <v>Flight delays</v>
      </c>
    </row>
    <row r="381" spans="1:7" x14ac:dyDescent="0.25">
      <c r="A381">
        <v>41332</v>
      </c>
      <c r="B381" t="s">
        <v>4</v>
      </c>
      <c r="C381">
        <v>3</v>
      </c>
      <c r="D381" t="s">
        <v>781</v>
      </c>
      <c r="E381" t="s">
        <v>781</v>
      </c>
      <c r="F381" t="str" cm="1">
        <f t="array" ref="F381">CategorizeComment(E381)</f>
        <v>Time-related issues</v>
      </c>
      <c r="G381" t="str" cm="1">
        <f t="array" ref="G381">SubCategorizeComment(E381)</f>
        <v>Flight delays</v>
      </c>
    </row>
    <row r="382" spans="1:7" x14ac:dyDescent="0.25">
      <c r="A382">
        <v>63501</v>
      </c>
      <c r="B382" t="s">
        <v>4</v>
      </c>
      <c r="C382">
        <v>4</v>
      </c>
      <c r="D382" t="s">
        <v>1183</v>
      </c>
      <c r="E382" t="s">
        <v>1183</v>
      </c>
      <c r="F382" t="str" cm="1">
        <f t="array" ref="F382">CategorizeComment(E382)</f>
        <v>Time-related issues</v>
      </c>
      <c r="G382" t="str" cm="1">
        <f t="array" ref="G382">SubCategorizeComment(E382)</f>
        <v>Flight delays</v>
      </c>
    </row>
    <row r="383" spans="1:7" x14ac:dyDescent="0.25">
      <c r="A383">
        <v>20232</v>
      </c>
      <c r="B383" t="s">
        <v>4</v>
      </c>
      <c r="C383">
        <v>3</v>
      </c>
      <c r="D383" t="s">
        <v>410</v>
      </c>
      <c r="E383" t="s">
        <v>410</v>
      </c>
      <c r="F383" t="str" cm="1">
        <f t="array" ref="F383">CategorizeComment(E383)</f>
        <v>Time-related issues</v>
      </c>
      <c r="G383" t="str" cm="1">
        <f t="array" ref="G383">SubCategorizeComment(E383)</f>
        <v>Flight delays</v>
      </c>
    </row>
    <row r="384" spans="1:7" x14ac:dyDescent="0.25">
      <c r="A384">
        <v>97382</v>
      </c>
      <c r="B384" t="s">
        <v>4</v>
      </c>
      <c r="C384">
        <v>3</v>
      </c>
      <c r="D384" t="s">
        <v>1687</v>
      </c>
      <c r="E384" t="s">
        <v>1687</v>
      </c>
      <c r="F384" t="str" cm="1">
        <f t="array" ref="F384">CategorizeComment(E384)</f>
        <v>Other</v>
      </c>
      <c r="G384" t="str" cm="1">
        <f t="array" ref="G384">SubCategorizeComment(E384)</f>
        <v>Other</v>
      </c>
    </row>
    <row r="385" spans="1:7" x14ac:dyDescent="0.25">
      <c r="A385">
        <v>88988</v>
      </c>
      <c r="B385" t="s">
        <v>4</v>
      </c>
      <c r="C385">
        <v>0</v>
      </c>
      <c r="D385" t="s">
        <v>1554</v>
      </c>
      <c r="E385" t="s">
        <v>1554</v>
      </c>
      <c r="F385" t="str" cm="1">
        <f t="array" ref="F385">CategorizeComment(E385)</f>
        <v>Other</v>
      </c>
      <c r="G385" t="str" cm="1">
        <f t="array" ref="G385">SubCategorizeComment(E385)</f>
        <v>Other</v>
      </c>
    </row>
    <row r="386" spans="1:7" x14ac:dyDescent="0.25">
      <c r="A386">
        <v>37571</v>
      </c>
      <c r="B386" t="s">
        <v>4</v>
      </c>
      <c r="C386">
        <v>4</v>
      </c>
      <c r="D386" t="s">
        <v>721</v>
      </c>
      <c r="E386" t="s">
        <v>721</v>
      </c>
      <c r="F386" t="str" cm="1">
        <f t="array" ref="F386">CategorizeComment(E386)</f>
        <v>Other</v>
      </c>
      <c r="G386" t="str" cm="1">
        <f t="array" ref="G386">SubCategorizeComment(E386)</f>
        <v>Other</v>
      </c>
    </row>
    <row r="387" spans="1:7" x14ac:dyDescent="0.25">
      <c r="A387">
        <v>127093</v>
      </c>
      <c r="B387" t="s">
        <v>4</v>
      </c>
      <c r="C387">
        <v>4</v>
      </c>
      <c r="D387" t="s">
        <v>2132</v>
      </c>
      <c r="E387" t="s">
        <v>2132</v>
      </c>
      <c r="F387" t="str" cm="1">
        <f t="array" ref="F387">CategorizeComment(E387)</f>
        <v>Other</v>
      </c>
      <c r="G387" t="str" cm="1">
        <f t="array" ref="G387">SubCategorizeComment(E387)</f>
        <v>Other</v>
      </c>
    </row>
    <row r="388" spans="1:7" x14ac:dyDescent="0.25">
      <c r="A388">
        <v>52275</v>
      </c>
      <c r="B388" t="s">
        <v>4</v>
      </c>
      <c r="C388">
        <v>2</v>
      </c>
      <c r="D388" t="s">
        <v>976</v>
      </c>
      <c r="E388" t="s">
        <v>976</v>
      </c>
      <c r="F388" t="str" cm="1">
        <f t="array" ref="F388">CategorizeComment(E388)</f>
        <v>Other</v>
      </c>
      <c r="G388" t="str" cm="1">
        <f t="array" ref="G388">SubCategorizeComment(E388)</f>
        <v>Other</v>
      </c>
    </row>
    <row r="389" spans="1:7" x14ac:dyDescent="0.25">
      <c r="A389">
        <v>124063</v>
      </c>
      <c r="B389" t="s">
        <v>4</v>
      </c>
      <c r="C389">
        <v>4</v>
      </c>
      <c r="D389" t="s">
        <v>2089</v>
      </c>
      <c r="E389" t="s">
        <v>2089</v>
      </c>
      <c r="F389" t="str" cm="1">
        <f t="array" ref="F389">CategorizeComment(E389)</f>
        <v>Other</v>
      </c>
      <c r="G389" t="str" cm="1">
        <f t="array" ref="G389">SubCategorizeComment(E389)</f>
        <v>Other</v>
      </c>
    </row>
    <row r="390" spans="1:7" x14ac:dyDescent="0.25">
      <c r="A390">
        <v>1559</v>
      </c>
      <c r="B390" t="s">
        <v>4</v>
      </c>
      <c r="C390">
        <v>3</v>
      </c>
      <c r="D390" t="s">
        <v>41</v>
      </c>
      <c r="E390" t="s">
        <v>41</v>
      </c>
      <c r="F390" t="str" cm="1">
        <f t="array" ref="F390">CategorizeComment(E390)</f>
        <v>Other</v>
      </c>
      <c r="G390" t="str" cm="1">
        <f t="array" ref="G390">SubCategorizeComment(E390)</f>
        <v>Other</v>
      </c>
    </row>
    <row r="391" spans="1:7" x14ac:dyDescent="0.25">
      <c r="A391">
        <v>122234</v>
      </c>
      <c r="B391" t="s">
        <v>4</v>
      </c>
      <c r="C391">
        <v>3</v>
      </c>
      <c r="D391" t="s">
        <v>2057</v>
      </c>
      <c r="E391" t="s">
        <v>2057</v>
      </c>
      <c r="F391" t="str" cm="1">
        <f t="array" ref="F391">CategorizeComment(E391)</f>
        <v>Other</v>
      </c>
      <c r="G391" t="str" cm="1">
        <f t="array" ref="G391">SubCategorizeComment(E391)</f>
        <v>In-flight entertainment issues</v>
      </c>
    </row>
    <row r="392" spans="1:7" x14ac:dyDescent="0.25">
      <c r="A392">
        <v>119729</v>
      </c>
      <c r="B392" t="s">
        <v>4</v>
      </c>
      <c r="C392">
        <v>3</v>
      </c>
      <c r="D392" t="s">
        <v>2020</v>
      </c>
      <c r="E392" t="s">
        <v>2020</v>
      </c>
      <c r="F392" t="str" cm="1">
        <f t="array" ref="F392">CategorizeComment(E392)</f>
        <v>Other</v>
      </c>
      <c r="G392" t="str" cm="1">
        <f t="array" ref="G392">SubCategorizeComment(E392)</f>
        <v>Other</v>
      </c>
    </row>
    <row r="393" spans="1:7" x14ac:dyDescent="0.25">
      <c r="A393">
        <v>66173</v>
      </c>
      <c r="B393" t="s">
        <v>4</v>
      </c>
      <c r="C393">
        <v>4</v>
      </c>
      <c r="D393" t="s">
        <v>1220</v>
      </c>
      <c r="E393" t="s">
        <v>1220</v>
      </c>
      <c r="F393" t="str" cm="1">
        <f t="array" ref="F393">CategorizeComment(E393)</f>
        <v>Other</v>
      </c>
      <c r="G393" t="str" cm="1">
        <f t="array" ref="G393">SubCategorizeComment(E393)</f>
        <v>Other</v>
      </c>
    </row>
    <row r="394" spans="1:7" x14ac:dyDescent="0.25">
      <c r="A394">
        <v>42345</v>
      </c>
      <c r="B394" t="s">
        <v>4</v>
      </c>
      <c r="C394">
        <v>4</v>
      </c>
      <c r="D394" t="s">
        <v>797</v>
      </c>
      <c r="E394" t="s">
        <v>797</v>
      </c>
      <c r="F394" t="str" cm="1">
        <f t="array" ref="F394">CategorizeComment(E394)</f>
        <v>Service inadequacy</v>
      </c>
      <c r="G394" t="str" cm="1">
        <f t="array" ref="G394">SubCategorizeComment(E394)</f>
        <v>Seating issues</v>
      </c>
    </row>
    <row r="395" spans="1:7" x14ac:dyDescent="0.25">
      <c r="A395">
        <v>40935</v>
      </c>
      <c r="B395" t="s">
        <v>4</v>
      </c>
      <c r="C395">
        <v>3</v>
      </c>
      <c r="D395" t="s">
        <v>773</v>
      </c>
      <c r="E395" t="s">
        <v>773</v>
      </c>
      <c r="F395" t="str" cm="1">
        <f t="array" ref="F395">CategorizeComment(E395)</f>
        <v>Other</v>
      </c>
      <c r="G395" t="str" cm="1">
        <f t="array" ref="G395">SubCategorizeComment(E395)</f>
        <v>Other</v>
      </c>
    </row>
    <row r="396" spans="1:7" x14ac:dyDescent="0.25">
      <c r="A396">
        <v>22692</v>
      </c>
      <c r="B396" t="s">
        <v>4</v>
      </c>
      <c r="C396">
        <v>4</v>
      </c>
      <c r="D396" t="s">
        <v>462</v>
      </c>
      <c r="E396" t="s">
        <v>462</v>
      </c>
      <c r="F396" t="str" cm="1">
        <f t="array" ref="F396">CategorizeComment(E396)</f>
        <v>Other</v>
      </c>
      <c r="G396" t="str" cm="1">
        <f t="array" ref="G396">SubCategorizeComment(E396)</f>
        <v>Other</v>
      </c>
    </row>
    <row r="397" spans="1:7" x14ac:dyDescent="0.25">
      <c r="A397">
        <v>24604</v>
      </c>
      <c r="B397" t="s">
        <v>4</v>
      </c>
      <c r="C397">
        <v>4</v>
      </c>
      <c r="D397" t="s">
        <v>498</v>
      </c>
      <c r="E397" t="s">
        <v>498</v>
      </c>
      <c r="F397" t="str" cm="1">
        <f t="array" ref="F397">CategorizeComment(E397)</f>
        <v>Other</v>
      </c>
      <c r="G397" t="str" cm="1">
        <f t="array" ref="G397">SubCategorizeComment(E397)</f>
        <v>Other</v>
      </c>
    </row>
    <row r="398" spans="1:7" x14ac:dyDescent="0.25">
      <c r="A398">
        <v>106701</v>
      </c>
      <c r="B398" t="s">
        <v>4</v>
      </c>
      <c r="C398">
        <v>4</v>
      </c>
      <c r="D398" t="s">
        <v>1824</v>
      </c>
      <c r="E398" t="s">
        <v>1824</v>
      </c>
      <c r="F398" t="str" cm="1">
        <f t="array" ref="F398">CategorizeComment(E398)</f>
        <v>Other</v>
      </c>
      <c r="G398" t="str" cm="1">
        <f t="array" ref="G398">SubCategorizeComment(E398)</f>
        <v>Other</v>
      </c>
    </row>
    <row r="399" spans="1:7" x14ac:dyDescent="0.25">
      <c r="A399">
        <v>113020</v>
      </c>
      <c r="B399" t="s">
        <v>4</v>
      </c>
      <c r="C399">
        <v>3</v>
      </c>
      <c r="D399" t="s">
        <v>1925</v>
      </c>
      <c r="E399" t="s">
        <v>1925</v>
      </c>
      <c r="F399" t="str" cm="1">
        <f t="array" ref="F399">CategorizeComment(E399)</f>
        <v>Other</v>
      </c>
      <c r="G399" t="str" cm="1">
        <f t="array" ref="G399">SubCategorizeComment(E399)</f>
        <v>Other</v>
      </c>
    </row>
    <row r="400" spans="1:7" x14ac:dyDescent="0.25">
      <c r="A400">
        <v>85563</v>
      </c>
      <c r="B400" t="s">
        <v>4</v>
      </c>
      <c r="C400">
        <v>4</v>
      </c>
      <c r="D400" t="s">
        <v>1500</v>
      </c>
      <c r="E400" t="s">
        <v>1500</v>
      </c>
      <c r="F400" t="str" cm="1">
        <f t="array" ref="F400">CategorizeComment(E400)</f>
        <v>Other</v>
      </c>
      <c r="G400" t="str" cm="1">
        <f t="array" ref="G400">SubCategorizeComment(E400)</f>
        <v>Other</v>
      </c>
    </row>
    <row r="401" spans="1:7" x14ac:dyDescent="0.25">
      <c r="A401">
        <v>99007</v>
      </c>
      <c r="B401" t="s">
        <v>4</v>
      </c>
      <c r="C401">
        <v>3</v>
      </c>
      <c r="D401" t="s">
        <v>1714</v>
      </c>
      <c r="E401" t="s">
        <v>1714</v>
      </c>
      <c r="F401" t="str" cm="1">
        <f t="array" ref="F401">CategorizeComment(E401)</f>
        <v>Other</v>
      </c>
      <c r="G401" t="str" cm="1">
        <f t="array" ref="G401">SubCategorizeComment(E401)</f>
        <v>Other</v>
      </c>
    </row>
    <row r="402" spans="1:7" x14ac:dyDescent="0.25">
      <c r="A402">
        <v>49861</v>
      </c>
      <c r="B402" t="s">
        <v>4</v>
      </c>
      <c r="C402">
        <v>3</v>
      </c>
      <c r="D402" t="s">
        <v>926</v>
      </c>
      <c r="E402" t="s">
        <v>926</v>
      </c>
      <c r="F402" t="str" cm="1">
        <f t="array" ref="F402">CategorizeComment(E402)</f>
        <v>Service inadequacy</v>
      </c>
      <c r="G402" t="str" cm="1">
        <f t="array" ref="G402">SubCategorizeComment(E402)</f>
        <v>Food and beverage issues</v>
      </c>
    </row>
    <row r="403" spans="1:7" x14ac:dyDescent="0.25">
      <c r="A403">
        <v>85626</v>
      </c>
      <c r="B403" t="s">
        <v>4</v>
      </c>
      <c r="C403">
        <v>2</v>
      </c>
      <c r="D403" t="s">
        <v>1502</v>
      </c>
      <c r="E403" t="s">
        <v>1502</v>
      </c>
      <c r="F403" t="str" cm="1">
        <f t="array" ref="F403">CategorizeComment(E403)</f>
        <v>Service inadequacy</v>
      </c>
      <c r="G403" t="str" cm="1">
        <f t="array" ref="G403">SubCategorizeComment(E403)</f>
        <v>Food and beverage issues</v>
      </c>
    </row>
    <row r="404" spans="1:7" x14ac:dyDescent="0.25">
      <c r="A404">
        <v>123342</v>
      </c>
      <c r="B404" t="s">
        <v>4</v>
      </c>
      <c r="C404">
        <v>4</v>
      </c>
      <c r="D404" t="s">
        <v>2078</v>
      </c>
      <c r="E404" t="s">
        <v>2078</v>
      </c>
      <c r="F404" t="str" cm="1">
        <f t="array" ref="F404">CategorizeComment(E404)</f>
        <v>Service inadequacy</v>
      </c>
      <c r="G404" t="str" cm="1">
        <f t="array" ref="G404">SubCategorizeComment(E404)</f>
        <v>Food and beverage issues</v>
      </c>
    </row>
    <row r="405" spans="1:7" x14ac:dyDescent="0.25">
      <c r="A405">
        <v>60708</v>
      </c>
      <c r="B405" t="s">
        <v>4</v>
      </c>
      <c r="C405">
        <v>3</v>
      </c>
      <c r="D405" t="s">
        <v>1134</v>
      </c>
      <c r="E405" t="s">
        <v>1134</v>
      </c>
      <c r="F405" t="str" cm="1">
        <f t="array" ref="F405">CategorizeComment(E405)</f>
        <v>Other</v>
      </c>
      <c r="G405" t="str" cm="1">
        <f t="array" ref="G405">SubCategorizeComment(E405)</f>
        <v>Other</v>
      </c>
    </row>
    <row r="406" spans="1:7" x14ac:dyDescent="0.25">
      <c r="A406">
        <v>90903</v>
      </c>
      <c r="B406" t="s">
        <v>4</v>
      </c>
      <c r="C406">
        <v>4</v>
      </c>
      <c r="D406" t="s">
        <v>1584</v>
      </c>
      <c r="E406" t="s">
        <v>1584</v>
      </c>
      <c r="F406" t="str" cm="1">
        <f t="array" ref="F406">CategorizeComment(E406)</f>
        <v>Other</v>
      </c>
      <c r="G406" t="str" cm="1">
        <f t="array" ref="G406">SubCategorizeComment(E406)</f>
        <v>Other</v>
      </c>
    </row>
    <row r="407" spans="1:7" x14ac:dyDescent="0.25">
      <c r="A407">
        <v>10906</v>
      </c>
      <c r="B407" t="s">
        <v>4</v>
      </c>
      <c r="C407">
        <v>4</v>
      </c>
      <c r="D407" t="s">
        <v>217</v>
      </c>
      <c r="E407" t="s">
        <v>217</v>
      </c>
      <c r="F407" t="str" cm="1">
        <f t="array" ref="F407">CategorizeComment(E407)</f>
        <v>Other</v>
      </c>
      <c r="G407" t="str" cm="1">
        <f t="array" ref="G407">SubCategorizeComment(E407)</f>
        <v>Other</v>
      </c>
    </row>
    <row r="408" spans="1:7" x14ac:dyDescent="0.25">
      <c r="A408">
        <v>101818</v>
      </c>
      <c r="B408" t="s">
        <v>4</v>
      </c>
      <c r="C408">
        <v>4</v>
      </c>
      <c r="D408" t="s">
        <v>1743</v>
      </c>
      <c r="E408" t="s">
        <v>1743</v>
      </c>
      <c r="F408" t="str" cm="1">
        <f t="array" ref="F408">CategorizeComment(E408)</f>
        <v>Communication and understanding issues</v>
      </c>
      <c r="G408" t="str" cm="1">
        <f t="array" ref="G408">SubCategorizeComment(E408)</f>
        <v>Unclear flight announcements</v>
      </c>
    </row>
    <row r="409" spans="1:7" x14ac:dyDescent="0.25">
      <c r="A409">
        <v>57020</v>
      </c>
      <c r="B409" t="s">
        <v>4</v>
      </c>
      <c r="C409">
        <v>3</v>
      </c>
      <c r="D409" t="s">
        <v>1064</v>
      </c>
      <c r="E409" t="s">
        <v>1064</v>
      </c>
      <c r="F409" t="str" cm="1">
        <f t="array" ref="F409">CategorizeComment(E409)</f>
        <v>Service inadequacy</v>
      </c>
      <c r="G409" t="str" cm="1">
        <f t="array" ref="G409">SubCategorizeComment(E409)</f>
        <v>Seating issues</v>
      </c>
    </row>
    <row r="410" spans="1:7" x14ac:dyDescent="0.25">
      <c r="A410">
        <v>70164</v>
      </c>
      <c r="B410" t="s">
        <v>4</v>
      </c>
      <c r="C410">
        <v>4</v>
      </c>
      <c r="D410" t="s">
        <v>1276</v>
      </c>
      <c r="E410" t="s">
        <v>1276</v>
      </c>
      <c r="F410" t="str" cm="1">
        <f t="array" ref="F410">CategorizeComment(E410)</f>
        <v>Service inadequacy</v>
      </c>
      <c r="G410" t="str" cm="1">
        <f t="array" ref="G410">SubCategorizeComment(E410)</f>
        <v>Cleanliness issues</v>
      </c>
    </row>
    <row r="411" spans="1:7" x14ac:dyDescent="0.25">
      <c r="A411">
        <v>93674</v>
      </c>
      <c r="B411" t="s">
        <v>4</v>
      </c>
      <c r="C411">
        <v>3</v>
      </c>
      <c r="D411" t="s">
        <v>1638</v>
      </c>
      <c r="E411" t="s">
        <v>1638</v>
      </c>
      <c r="F411" t="str" cm="1">
        <f t="array" ref="F411">CategorizeComment(E411)</f>
        <v>Time-related issues</v>
      </c>
      <c r="G411" t="str" cm="1">
        <f t="array" ref="G411">SubCategorizeComment(E411)</f>
        <v>Long waits</v>
      </c>
    </row>
    <row r="412" spans="1:7" x14ac:dyDescent="0.25">
      <c r="A412">
        <v>113895</v>
      </c>
      <c r="B412" t="s">
        <v>4</v>
      </c>
      <c r="C412">
        <v>4</v>
      </c>
      <c r="D412" t="s">
        <v>1938</v>
      </c>
      <c r="E412" t="s">
        <v>1938</v>
      </c>
      <c r="F412" t="str" cm="1">
        <f t="array" ref="F412">CategorizeComment(E412)</f>
        <v>Communication and understanding issues</v>
      </c>
      <c r="G412" t="str" cm="1">
        <f t="array" ref="G412">SubCategorizeComment(E412)</f>
        <v>Unclear flight announcements</v>
      </c>
    </row>
    <row r="413" spans="1:7" x14ac:dyDescent="0.25">
      <c r="A413">
        <v>97092</v>
      </c>
      <c r="B413" t="s">
        <v>4</v>
      </c>
      <c r="C413">
        <v>4</v>
      </c>
      <c r="D413" t="s">
        <v>1679</v>
      </c>
      <c r="E413" t="s">
        <v>1679</v>
      </c>
      <c r="F413" t="str" cm="1">
        <f t="array" ref="F413">CategorizeComment(E413)</f>
        <v>Communication and understanding issues</v>
      </c>
      <c r="G413" t="str" cm="1">
        <f t="array" ref="G413">SubCategorizeComment(E413)</f>
        <v>Unclear flight announcements</v>
      </c>
    </row>
    <row r="414" spans="1:7" x14ac:dyDescent="0.25">
      <c r="A414">
        <v>102366</v>
      </c>
      <c r="B414" t="s">
        <v>4</v>
      </c>
      <c r="C414">
        <v>2</v>
      </c>
      <c r="D414" t="s">
        <v>1754</v>
      </c>
      <c r="E414" t="s">
        <v>1754</v>
      </c>
      <c r="F414" t="str" cm="1">
        <f t="array" ref="F414">CategorizeComment(E414)</f>
        <v>Service inadequacy</v>
      </c>
      <c r="G414" t="str" cm="1">
        <f t="array" ref="G414">SubCategorizeComment(E414)</f>
        <v>Food and beverage issues</v>
      </c>
    </row>
    <row r="415" spans="1:7" x14ac:dyDescent="0.25">
      <c r="A415">
        <v>93296</v>
      </c>
      <c r="B415" t="s">
        <v>4</v>
      </c>
      <c r="C415">
        <v>3</v>
      </c>
      <c r="D415" t="s">
        <v>1629</v>
      </c>
      <c r="E415" t="s">
        <v>1629</v>
      </c>
      <c r="F415" t="str" cm="1">
        <f t="array" ref="F415">CategorizeComment(E415)</f>
        <v>Service inadequacy</v>
      </c>
      <c r="G415" t="str" cm="1">
        <f t="array" ref="G415">SubCategorizeComment(E415)</f>
        <v>Food and beverage issues</v>
      </c>
    </row>
    <row r="416" spans="1:7" x14ac:dyDescent="0.25">
      <c r="A416">
        <v>121670</v>
      </c>
      <c r="B416" t="s">
        <v>4</v>
      </c>
      <c r="C416">
        <v>3</v>
      </c>
      <c r="D416" t="s">
        <v>2046</v>
      </c>
      <c r="E416" t="s">
        <v>2046</v>
      </c>
      <c r="F416" t="str" cm="1">
        <f t="array" ref="F416">CategorizeComment(E416)</f>
        <v>Service inadequacy</v>
      </c>
      <c r="G416" t="str" cm="1">
        <f t="array" ref="G416">SubCategorizeComment(E416)</f>
        <v>Food and beverage issues</v>
      </c>
    </row>
    <row r="417" spans="1:7" x14ac:dyDescent="0.25">
      <c r="A417">
        <v>106458</v>
      </c>
      <c r="B417" t="s">
        <v>4</v>
      </c>
      <c r="C417">
        <v>3</v>
      </c>
      <c r="D417" t="s">
        <v>1818</v>
      </c>
      <c r="E417" t="s">
        <v>1818</v>
      </c>
      <c r="F417" t="str" cm="1">
        <f t="array" ref="F417">CategorizeComment(E417)</f>
        <v>Service inadequacy</v>
      </c>
      <c r="G417" t="str" cm="1">
        <f t="array" ref="G417">SubCategorizeComment(E417)</f>
        <v>Food and beverage issues</v>
      </c>
    </row>
    <row r="418" spans="1:7" x14ac:dyDescent="0.25">
      <c r="A418">
        <v>42701</v>
      </c>
      <c r="B418" t="s">
        <v>4</v>
      </c>
      <c r="C418">
        <v>4</v>
      </c>
      <c r="D418" t="s">
        <v>803</v>
      </c>
      <c r="E418" t="s">
        <v>803</v>
      </c>
      <c r="F418" t="str" cm="1">
        <f t="array" ref="F418">CategorizeComment(E418)</f>
        <v>Service inadequacy</v>
      </c>
      <c r="G418" t="str" cm="1">
        <f t="array" ref="G418">SubCategorizeComment(E418)</f>
        <v>Food and beverage issues</v>
      </c>
    </row>
    <row r="419" spans="1:7" x14ac:dyDescent="0.25">
      <c r="A419">
        <v>22243</v>
      </c>
      <c r="B419" t="s">
        <v>4</v>
      </c>
      <c r="C419">
        <v>3</v>
      </c>
      <c r="D419" t="s">
        <v>456</v>
      </c>
      <c r="E419" t="s">
        <v>456</v>
      </c>
      <c r="F419" t="str" cm="1">
        <f t="array" ref="F419">CategorizeComment(E419)</f>
        <v>Service inadequacy</v>
      </c>
      <c r="G419" t="str" cm="1">
        <f t="array" ref="G419">SubCategorizeComment(E419)</f>
        <v>Food and beverage issues</v>
      </c>
    </row>
    <row r="420" spans="1:7" x14ac:dyDescent="0.25">
      <c r="A420">
        <v>67050</v>
      </c>
      <c r="B420" t="s">
        <v>4</v>
      </c>
      <c r="C420">
        <v>4</v>
      </c>
      <c r="D420" t="s">
        <v>1235</v>
      </c>
      <c r="E420" t="s">
        <v>1235</v>
      </c>
      <c r="F420" t="str" cm="1">
        <f t="array" ref="F420">CategorizeComment(E420)</f>
        <v>Service inadequacy</v>
      </c>
      <c r="G420" t="str" cm="1">
        <f t="array" ref="G420">SubCategorizeComment(E420)</f>
        <v>Food and beverage issues</v>
      </c>
    </row>
    <row r="421" spans="1:7" x14ac:dyDescent="0.25">
      <c r="A421">
        <v>29946</v>
      </c>
      <c r="B421" t="s">
        <v>4</v>
      </c>
      <c r="C421">
        <v>4</v>
      </c>
      <c r="D421" t="s">
        <v>582</v>
      </c>
      <c r="E421" t="s">
        <v>582</v>
      </c>
      <c r="F421" t="str" cm="1">
        <f t="array" ref="F421">CategorizeComment(E421)</f>
        <v>Service inadequacy</v>
      </c>
      <c r="G421" t="str" cm="1">
        <f t="array" ref="G421">SubCategorizeComment(E421)</f>
        <v>Food and beverage issues</v>
      </c>
    </row>
    <row r="422" spans="1:7" x14ac:dyDescent="0.25">
      <c r="A422">
        <v>51738</v>
      </c>
      <c r="B422" t="s">
        <v>4</v>
      </c>
      <c r="C422">
        <v>4</v>
      </c>
      <c r="D422" t="s">
        <v>968</v>
      </c>
      <c r="E422" t="s">
        <v>968</v>
      </c>
      <c r="F422" t="str" cm="1">
        <f t="array" ref="F422">CategorizeComment(E422)</f>
        <v>Service inadequacy</v>
      </c>
      <c r="G422" t="str" cm="1">
        <f t="array" ref="G422">SubCategorizeComment(E422)</f>
        <v>Food and beverage issues</v>
      </c>
    </row>
    <row r="423" spans="1:7" x14ac:dyDescent="0.25">
      <c r="A423">
        <v>110674</v>
      </c>
      <c r="B423" t="s">
        <v>4</v>
      </c>
      <c r="C423">
        <v>4</v>
      </c>
      <c r="D423" t="s">
        <v>1894</v>
      </c>
      <c r="E423" t="s">
        <v>1894</v>
      </c>
      <c r="F423" t="str" cm="1">
        <f t="array" ref="F423">CategorizeComment(E423)</f>
        <v>Service inadequacy</v>
      </c>
      <c r="G423" t="str" cm="1">
        <f t="array" ref="G423">SubCategorizeComment(E423)</f>
        <v>Food and beverage issues</v>
      </c>
    </row>
    <row r="424" spans="1:7" x14ac:dyDescent="0.25">
      <c r="A424">
        <v>121731</v>
      </c>
      <c r="B424" t="s">
        <v>4</v>
      </c>
      <c r="C424">
        <v>4</v>
      </c>
      <c r="D424" t="s">
        <v>2047</v>
      </c>
      <c r="E424" t="s">
        <v>2047</v>
      </c>
      <c r="F424" t="str" cm="1">
        <f t="array" ref="F424">CategorizeComment(E424)</f>
        <v>Time-related issues</v>
      </c>
      <c r="G424" t="str" cm="1">
        <f t="array" ref="G424">SubCategorizeComment(E424)</f>
        <v>Flight delays</v>
      </c>
    </row>
    <row r="425" spans="1:7" x14ac:dyDescent="0.25">
      <c r="A425">
        <v>103992</v>
      </c>
      <c r="B425" t="s">
        <v>4</v>
      </c>
      <c r="C425">
        <v>2</v>
      </c>
      <c r="D425" t="s">
        <v>1769</v>
      </c>
      <c r="E425" t="s">
        <v>1769</v>
      </c>
      <c r="F425" t="str" cm="1">
        <f t="array" ref="F425">CategorizeComment(E425)</f>
        <v>Time-related issues</v>
      </c>
      <c r="G425" t="str" cm="1">
        <f t="array" ref="G425">SubCategorizeComment(E425)</f>
        <v>Flight delays</v>
      </c>
    </row>
    <row r="426" spans="1:7" x14ac:dyDescent="0.25">
      <c r="A426">
        <v>7526</v>
      </c>
      <c r="B426" t="s">
        <v>4</v>
      </c>
      <c r="C426">
        <v>3</v>
      </c>
      <c r="D426" t="s">
        <v>153</v>
      </c>
      <c r="E426" t="s">
        <v>153</v>
      </c>
      <c r="F426" t="str" cm="1">
        <f t="array" ref="F426">CategorizeComment(E426)</f>
        <v>Time-related issues</v>
      </c>
      <c r="G426" t="str" cm="1">
        <f t="array" ref="G426">SubCategorizeComment(E426)</f>
        <v>Flight delays</v>
      </c>
    </row>
    <row r="427" spans="1:7" x14ac:dyDescent="0.25">
      <c r="A427">
        <v>97588</v>
      </c>
      <c r="B427" t="s">
        <v>4</v>
      </c>
      <c r="C427">
        <v>4</v>
      </c>
      <c r="D427" t="s">
        <v>1694</v>
      </c>
      <c r="E427" t="s">
        <v>1694</v>
      </c>
      <c r="F427" t="str" cm="1">
        <f t="array" ref="F427">CategorizeComment(E427)</f>
        <v>Time-related issues</v>
      </c>
      <c r="G427" t="str" cm="1">
        <f t="array" ref="G427">SubCategorizeComment(E427)</f>
        <v>Flight delays</v>
      </c>
    </row>
    <row r="428" spans="1:7" x14ac:dyDescent="0.25">
      <c r="A428">
        <v>72537</v>
      </c>
      <c r="B428" t="s">
        <v>4</v>
      </c>
      <c r="C428">
        <v>4</v>
      </c>
      <c r="D428" t="s">
        <v>1320</v>
      </c>
      <c r="E428" t="s">
        <v>1320</v>
      </c>
      <c r="F428" t="str" cm="1">
        <f t="array" ref="F428">CategorizeComment(E428)</f>
        <v>Time-related issues</v>
      </c>
      <c r="G428" t="str" cm="1">
        <f t="array" ref="G428">SubCategorizeComment(E428)</f>
        <v>Flight delays</v>
      </c>
    </row>
    <row r="429" spans="1:7" x14ac:dyDescent="0.25">
      <c r="A429">
        <v>27284</v>
      </c>
      <c r="B429" t="s">
        <v>4</v>
      </c>
      <c r="C429">
        <v>4</v>
      </c>
      <c r="D429" t="s">
        <v>540</v>
      </c>
      <c r="E429" t="s">
        <v>540</v>
      </c>
      <c r="F429" t="str" cm="1">
        <f t="array" ref="F429">CategorizeComment(E429)</f>
        <v>Time-related issues</v>
      </c>
      <c r="G429" t="str" cm="1">
        <f t="array" ref="G429">SubCategorizeComment(E429)</f>
        <v>Flight delays</v>
      </c>
    </row>
    <row r="430" spans="1:7" x14ac:dyDescent="0.25">
      <c r="A430">
        <v>125982</v>
      </c>
      <c r="B430" t="s">
        <v>4</v>
      </c>
      <c r="C430">
        <v>3</v>
      </c>
      <c r="D430" t="s">
        <v>2118</v>
      </c>
      <c r="E430" t="s">
        <v>2118</v>
      </c>
      <c r="F430" t="str" cm="1">
        <f t="array" ref="F430">CategorizeComment(E430)</f>
        <v>Service inadequacy</v>
      </c>
      <c r="G430" t="str" cm="1">
        <f t="array" ref="G430">SubCategorizeComment(E430)</f>
        <v>Seating issues</v>
      </c>
    </row>
    <row r="431" spans="1:7" x14ac:dyDescent="0.25">
      <c r="A431">
        <v>65019</v>
      </c>
      <c r="B431" t="s">
        <v>4</v>
      </c>
      <c r="C431">
        <v>4</v>
      </c>
      <c r="D431" t="s">
        <v>1207</v>
      </c>
      <c r="E431" t="s">
        <v>1207</v>
      </c>
      <c r="F431" t="str" cm="1">
        <f t="array" ref="F431">CategorizeComment(E431)</f>
        <v>Service inadequacy</v>
      </c>
      <c r="G431" t="str" cm="1">
        <f t="array" ref="G431">SubCategorizeComment(E431)</f>
        <v>Seating issues</v>
      </c>
    </row>
    <row r="432" spans="1:7" x14ac:dyDescent="0.25">
      <c r="A432">
        <v>112024</v>
      </c>
      <c r="B432" t="s">
        <v>4</v>
      </c>
      <c r="C432">
        <v>3</v>
      </c>
      <c r="D432" t="s">
        <v>1908</v>
      </c>
      <c r="E432" t="s">
        <v>1908</v>
      </c>
      <c r="F432" t="str" cm="1">
        <f t="array" ref="F432">CategorizeComment(E432)</f>
        <v>Service inadequacy</v>
      </c>
      <c r="G432" t="str" cm="1">
        <f t="array" ref="G432">SubCategorizeComment(E432)</f>
        <v>Seating issues</v>
      </c>
    </row>
    <row r="433" spans="1:7" x14ac:dyDescent="0.25">
      <c r="A433">
        <v>65711</v>
      </c>
      <c r="B433" t="s">
        <v>4</v>
      </c>
      <c r="C433">
        <v>4</v>
      </c>
      <c r="D433" t="s">
        <v>1217</v>
      </c>
      <c r="E433" t="s">
        <v>1217</v>
      </c>
      <c r="F433" t="str" cm="1">
        <f t="array" ref="F433">CategorizeComment(E433)</f>
        <v>Service inadequacy</v>
      </c>
      <c r="G433" t="str" cm="1">
        <f t="array" ref="G433">SubCategorizeComment(E433)</f>
        <v>Seating issues</v>
      </c>
    </row>
    <row r="434" spans="1:7" x14ac:dyDescent="0.25">
      <c r="A434">
        <v>89283</v>
      </c>
      <c r="B434" t="s">
        <v>4</v>
      </c>
      <c r="C434">
        <v>4</v>
      </c>
      <c r="D434" t="s">
        <v>1558</v>
      </c>
      <c r="E434" t="s">
        <v>1558</v>
      </c>
      <c r="F434" t="str" cm="1">
        <f t="array" ref="F434">CategorizeComment(E434)</f>
        <v>Other</v>
      </c>
      <c r="G434" t="str" cm="1">
        <f t="array" ref="G434">SubCategorizeComment(E434)</f>
        <v>Other</v>
      </c>
    </row>
    <row r="435" spans="1:7" x14ac:dyDescent="0.25">
      <c r="A435">
        <v>80994</v>
      </c>
      <c r="B435" t="s">
        <v>4</v>
      </c>
      <c r="C435">
        <v>4</v>
      </c>
      <c r="D435" t="s">
        <v>1451</v>
      </c>
      <c r="E435" t="s">
        <v>1451</v>
      </c>
      <c r="F435" t="str" cm="1">
        <f t="array" ref="F435">CategorizeComment(E435)</f>
        <v>Other</v>
      </c>
      <c r="G435" t="str" cm="1">
        <f t="array" ref="G435">SubCategorizeComment(E435)</f>
        <v>Other</v>
      </c>
    </row>
    <row r="436" spans="1:7" x14ac:dyDescent="0.25">
      <c r="A436">
        <v>79006</v>
      </c>
      <c r="B436" t="s">
        <v>4</v>
      </c>
      <c r="C436">
        <v>4</v>
      </c>
      <c r="D436" t="s">
        <v>1416</v>
      </c>
      <c r="E436" t="s">
        <v>1416</v>
      </c>
      <c r="F436" t="str" cm="1">
        <f t="array" ref="F436">CategorizeComment(E436)</f>
        <v>Time-related issues</v>
      </c>
      <c r="G436" t="str" cm="1">
        <f t="array" ref="G436">SubCategorizeComment(E436)</f>
        <v>Long waits</v>
      </c>
    </row>
    <row r="437" spans="1:7" x14ac:dyDescent="0.25">
      <c r="A437">
        <v>39788</v>
      </c>
      <c r="B437" t="s">
        <v>4</v>
      </c>
      <c r="C437">
        <v>4</v>
      </c>
      <c r="D437" t="s">
        <v>759</v>
      </c>
      <c r="E437" t="s">
        <v>759</v>
      </c>
      <c r="F437" t="str" cm="1">
        <f t="array" ref="F437">CategorizeComment(E437)</f>
        <v>Service inadequacy</v>
      </c>
      <c r="G437" t="str" cm="1">
        <f t="array" ref="G437">SubCategorizeComment(E437)</f>
        <v>Cleanliness issues</v>
      </c>
    </row>
    <row r="438" spans="1:7" x14ac:dyDescent="0.25">
      <c r="A438">
        <v>18856</v>
      </c>
      <c r="B438" t="s">
        <v>4</v>
      </c>
      <c r="C438">
        <v>3</v>
      </c>
      <c r="D438" t="s">
        <v>377</v>
      </c>
      <c r="E438" t="s">
        <v>377</v>
      </c>
      <c r="F438" t="str" cm="1">
        <f t="array" ref="F438">CategorizeComment(E438)</f>
        <v>Service inadequacy</v>
      </c>
      <c r="G438" t="str" cm="1">
        <f t="array" ref="G438">SubCategorizeComment(E438)</f>
        <v>Cleanliness issues</v>
      </c>
    </row>
    <row r="439" spans="1:7" x14ac:dyDescent="0.25">
      <c r="A439">
        <v>85913</v>
      </c>
      <c r="B439" t="s">
        <v>4</v>
      </c>
      <c r="C439">
        <v>3</v>
      </c>
      <c r="D439" t="s">
        <v>1507</v>
      </c>
      <c r="E439" t="s">
        <v>1507</v>
      </c>
      <c r="F439" t="str" cm="1">
        <f t="array" ref="F439">CategorizeComment(E439)</f>
        <v>Service inadequacy</v>
      </c>
      <c r="G439" t="str" cm="1">
        <f t="array" ref="G439">SubCategorizeComment(E439)</f>
        <v>Cleanliness issues</v>
      </c>
    </row>
    <row r="440" spans="1:7" x14ac:dyDescent="0.25">
      <c r="A440">
        <v>33938</v>
      </c>
      <c r="B440" t="s">
        <v>4</v>
      </c>
      <c r="C440">
        <v>3</v>
      </c>
      <c r="D440" t="s">
        <v>644</v>
      </c>
      <c r="E440" t="s">
        <v>644</v>
      </c>
      <c r="F440" t="str" cm="1">
        <f t="array" ref="F440">CategorizeComment(E440)</f>
        <v>Service inadequacy</v>
      </c>
      <c r="G440" t="str" cm="1">
        <f t="array" ref="G440">SubCategorizeComment(E440)</f>
        <v>Cleanliness issues</v>
      </c>
    </row>
    <row r="441" spans="1:7" x14ac:dyDescent="0.25">
      <c r="A441">
        <v>115766</v>
      </c>
      <c r="B441" t="s">
        <v>4</v>
      </c>
      <c r="C441">
        <v>3</v>
      </c>
      <c r="D441" t="s">
        <v>1966</v>
      </c>
      <c r="E441" t="s">
        <v>1966</v>
      </c>
      <c r="F441" t="str" cm="1">
        <f t="array" ref="F441">CategorizeComment(E441)</f>
        <v>Service inadequacy</v>
      </c>
      <c r="G441" t="str" cm="1">
        <f t="array" ref="G441">SubCategorizeComment(E441)</f>
        <v>Cleanliness issues</v>
      </c>
    </row>
    <row r="442" spans="1:7" x14ac:dyDescent="0.25">
      <c r="A442">
        <v>108015</v>
      </c>
      <c r="B442" t="s">
        <v>4</v>
      </c>
      <c r="C442">
        <v>3</v>
      </c>
      <c r="D442" t="s">
        <v>1846</v>
      </c>
      <c r="E442" t="s">
        <v>1846</v>
      </c>
      <c r="F442" t="str" cm="1">
        <f t="array" ref="F442">CategorizeComment(E442)</f>
        <v>Service inadequacy</v>
      </c>
      <c r="G442" t="str" cm="1">
        <f t="array" ref="G442">SubCategorizeComment(E442)</f>
        <v>Cleanliness issues</v>
      </c>
    </row>
    <row r="443" spans="1:7" x14ac:dyDescent="0.25">
      <c r="A443">
        <v>35807</v>
      </c>
      <c r="B443" t="s">
        <v>4</v>
      </c>
      <c r="C443">
        <v>3</v>
      </c>
      <c r="D443" t="s">
        <v>685</v>
      </c>
      <c r="E443" t="s">
        <v>685</v>
      </c>
      <c r="F443" t="str" cm="1">
        <f t="array" ref="F443">CategorizeComment(E443)</f>
        <v>Service inadequacy</v>
      </c>
      <c r="G443" t="str" cm="1">
        <f t="array" ref="G443">SubCategorizeComment(E443)</f>
        <v>Cleanliness issues</v>
      </c>
    </row>
    <row r="444" spans="1:7" x14ac:dyDescent="0.25">
      <c r="A444">
        <v>2308</v>
      </c>
      <c r="B444" t="s">
        <v>4</v>
      </c>
      <c r="C444">
        <v>3</v>
      </c>
      <c r="D444" t="s">
        <v>54</v>
      </c>
      <c r="E444" t="s">
        <v>54</v>
      </c>
      <c r="F444" t="str" cm="1">
        <f t="array" ref="F444">CategorizeComment(E444)</f>
        <v>Service inadequacy</v>
      </c>
      <c r="G444" t="str" cm="1">
        <f t="array" ref="G444">SubCategorizeComment(E444)</f>
        <v>Cleanliness issues</v>
      </c>
    </row>
    <row r="445" spans="1:7" x14ac:dyDescent="0.25">
      <c r="A445">
        <v>28957</v>
      </c>
      <c r="B445" t="s">
        <v>4</v>
      </c>
      <c r="C445">
        <v>3</v>
      </c>
      <c r="D445" t="s">
        <v>573</v>
      </c>
      <c r="E445" t="s">
        <v>573</v>
      </c>
      <c r="F445" t="str" cm="1">
        <f t="array" ref="F445">CategorizeComment(E445)</f>
        <v>Service inadequacy</v>
      </c>
      <c r="G445" t="str" cm="1">
        <f t="array" ref="G445">SubCategorizeComment(E445)</f>
        <v>Cleanliness issues</v>
      </c>
    </row>
    <row r="446" spans="1:7" x14ac:dyDescent="0.25">
      <c r="A446">
        <v>100749</v>
      </c>
      <c r="B446" t="s">
        <v>4</v>
      </c>
      <c r="C446">
        <v>3</v>
      </c>
      <c r="D446" t="s">
        <v>1732</v>
      </c>
      <c r="E446" t="s">
        <v>1732</v>
      </c>
      <c r="F446" t="str" cm="1">
        <f t="array" ref="F446">CategorizeComment(E446)</f>
        <v>Other</v>
      </c>
      <c r="G446" t="str" cm="1">
        <f t="array" ref="G446">SubCategorizeComment(E446)</f>
        <v>Other</v>
      </c>
    </row>
    <row r="447" spans="1:7" x14ac:dyDescent="0.25">
      <c r="A447">
        <v>18070</v>
      </c>
      <c r="B447" t="s">
        <v>4</v>
      </c>
      <c r="C447">
        <v>4</v>
      </c>
      <c r="D447" t="s">
        <v>359</v>
      </c>
      <c r="E447" t="s">
        <v>359</v>
      </c>
      <c r="F447" t="str" cm="1">
        <f t="array" ref="F447">CategorizeComment(E447)</f>
        <v>Time-related issues</v>
      </c>
      <c r="G447" t="str" cm="1">
        <f t="array" ref="G447">SubCategorizeComment(E447)</f>
        <v>Flight delays</v>
      </c>
    </row>
    <row r="448" spans="1:7" x14ac:dyDescent="0.25">
      <c r="A448">
        <v>125705</v>
      </c>
      <c r="B448" t="s">
        <v>4</v>
      </c>
      <c r="C448">
        <v>3</v>
      </c>
      <c r="D448" t="s">
        <v>2113</v>
      </c>
      <c r="E448" t="s">
        <v>2113</v>
      </c>
      <c r="F448" t="str" cm="1">
        <f t="array" ref="F448">CategorizeComment(E448)</f>
        <v>Time-related issues</v>
      </c>
      <c r="G448" t="str" cm="1">
        <f t="array" ref="G448">SubCategorizeComment(E448)</f>
        <v>Flight delays</v>
      </c>
    </row>
    <row r="449" spans="1:7" x14ac:dyDescent="0.25">
      <c r="A449">
        <v>73168</v>
      </c>
      <c r="B449" t="s">
        <v>4</v>
      </c>
      <c r="C449">
        <v>3</v>
      </c>
      <c r="D449" t="s">
        <v>1331</v>
      </c>
      <c r="E449" t="s">
        <v>1331</v>
      </c>
      <c r="F449" t="str" cm="1">
        <f t="array" ref="F449">CategorizeComment(E449)</f>
        <v>Time-related issues</v>
      </c>
      <c r="G449" t="str" cm="1">
        <f t="array" ref="G449">SubCategorizeComment(E449)</f>
        <v>Flight delays</v>
      </c>
    </row>
    <row r="450" spans="1:7" x14ac:dyDescent="0.25">
      <c r="A450">
        <v>121240</v>
      </c>
      <c r="B450" t="s">
        <v>4</v>
      </c>
      <c r="C450">
        <v>3</v>
      </c>
      <c r="D450" t="s">
        <v>2036</v>
      </c>
      <c r="E450" t="s">
        <v>2036</v>
      </c>
      <c r="F450" t="str" cm="1">
        <f t="array" ref="F450">CategorizeComment(E450)</f>
        <v>Time-related issues</v>
      </c>
      <c r="G450" t="str" cm="1">
        <f t="array" ref="G450">SubCategorizeComment(E450)</f>
        <v>Flight delays</v>
      </c>
    </row>
    <row r="451" spans="1:7" x14ac:dyDescent="0.25">
      <c r="A451">
        <v>7976</v>
      </c>
      <c r="B451" t="s">
        <v>4</v>
      </c>
      <c r="C451">
        <v>4</v>
      </c>
      <c r="D451" t="s">
        <v>161</v>
      </c>
      <c r="E451" t="s">
        <v>161</v>
      </c>
      <c r="F451" t="str" cm="1">
        <f t="array" ref="F451">CategorizeComment(E451)</f>
        <v>Time-related issues</v>
      </c>
      <c r="G451" t="str" cm="1">
        <f t="array" ref="G451">SubCategorizeComment(E451)</f>
        <v>Flight delays</v>
      </c>
    </row>
    <row r="452" spans="1:7" x14ac:dyDescent="0.25">
      <c r="A452">
        <v>15653</v>
      </c>
      <c r="B452" t="s">
        <v>4</v>
      </c>
      <c r="C452">
        <v>3</v>
      </c>
      <c r="D452" t="s">
        <v>303</v>
      </c>
      <c r="E452" t="s">
        <v>303</v>
      </c>
      <c r="F452" t="str" cm="1">
        <f t="array" ref="F452">CategorizeComment(E452)</f>
        <v>Time-related issues</v>
      </c>
      <c r="G452" t="str" cm="1">
        <f t="array" ref="G452">SubCategorizeComment(E452)</f>
        <v>Flight delays</v>
      </c>
    </row>
    <row r="453" spans="1:7" x14ac:dyDescent="0.25">
      <c r="A453">
        <v>124573</v>
      </c>
      <c r="B453" t="s">
        <v>4</v>
      </c>
      <c r="C453">
        <v>4</v>
      </c>
      <c r="D453" t="s">
        <v>2099</v>
      </c>
      <c r="E453" t="s">
        <v>2099</v>
      </c>
      <c r="F453" t="str" cm="1">
        <f t="array" ref="F453">CategorizeComment(E453)</f>
        <v>Time-related issues</v>
      </c>
      <c r="G453" t="str" cm="1">
        <f t="array" ref="G453">SubCategorizeComment(E453)</f>
        <v>Flight delays</v>
      </c>
    </row>
    <row r="454" spans="1:7" x14ac:dyDescent="0.25">
      <c r="A454">
        <v>58418</v>
      </c>
      <c r="B454" t="s">
        <v>4</v>
      </c>
      <c r="C454">
        <v>3</v>
      </c>
      <c r="D454" t="s">
        <v>1090</v>
      </c>
      <c r="E454" t="s">
        <v>1090</v>
      </c>
      <c r="F454" t="str" cm="1">
        <f t="array" ref="F454">CategorizeComment(E454)</f>
        <v>Time-related issues</v>
      </c>
      <c r="G454" t="str" cm="1">
        <f t="array" ref="G454">SubCategorizeComment(E454)</f>
        <v>Flight delays</v>
      </c>
    </row>
    <row r="455" spans="1:7" x14ac:dyDescent="0.25">
      <c r="A455">
        <v>17105</v>
      </c>
      <c r="B455" t="s">
        <v>4</v>
      </c>
      <c r="C455">
        <v>4</v>
      </c>
      <c r="D455" t="s">
        <v>337</v>
      </c>
      <c r="E455" t="s">
        <v>337</v>
      </c>
      <c r="F455" t="str" cm="1">
        <f t="array" ref="F455">CategorizeComment(E455)</f>
        <v>Time-related issues</v>
      </c>
      <c r="G455" t="str" cm="1">
        <f t="array" ref="G455">SubCategorizeComment(E455)</f>
        <v>Flight delays</v>
      </c>
    </row>
    <row r="456" spans="1:7" x14ac:dyDescent="0.25">
      <c r="A456">
        <v>98321</v>
      </c>
      <c r="B456" t="s">
        <v>4</v>
      </c>
      <c r="C456">
        <v>4</v>
      </c>
      <c r="D456" t="s">
        <v>1705</v>
      </c>
      <c r="E456" t="s">
        <v>1705</v>
      </c>
      <c r="F456" t="str" cm="1">
        <f t="array" ref="F456">CategorizeComment(E456)</f>
        <v>Time-related issues</v>
      </c>
      <c r="G456" t="str" cm="1">
        <f t="array" ref="G456">SubCategorizeComment(E456)</f>
        <v>Flight delays</v>
      </c>
    </row>
    <row r="457" spans="1:7" x14ac:dyDescent="0.25">
      <c r="A457">
        <v>126102</v>
      </c>
      <c r="B457" t="s">
        <v>4</v>
      </c>
      <c r="C457">
        <v>4</v>
      </c>
      <c r="D457" t="s">
        <v>2121</v>
      </c>
      <c r="E457" t="s">
        <v>2121</v>
      </c>
      <c r="F457" t="str" cm="1">
        <f t="array" ref="F457">CategorizeComment(E457)</f>
        <v>Time-related issues</v>
      </c>
      <c r="G457" t="str" cm="1">
        <f t="array" ref="G457">SubCategorizeComment(E457)</f>
        <v>Flight delays</v>
      </c>
    </row>
    <row r="458" spans="1:7" x14ac:dyDescent="0.25">
      <c r="A458">
        <v>78756</v>
      </c>
      <c r="B458" t="s">
        <v>4</v>
      </c>
      <c r="C458">
        <v>3</v>
      </c>
      <c r="D458" t="s">
        <v>1413</v>
      </c>
      <c r="E458" t="s">
        <v>1413</v>
      </c>
      <c r="F458" t="str" cm="1">
        <f t="array" ref="F458">CategorizeComment(E458)</f>
        <v>Time-related issues</v>
      </c>
      <c r="G458" t="str" cm="1">
        <f t="array" ref="G458">SubCategorizeComment(E458)</f>
        <v>Flight delays</v>
      </c>
    </row>
    <row r="459" spans="1:7" x14ac:dyDescent="0.25">
      <c r="A459">
        <v>27512</v>
      </c>
      <c r="B459" t="s">
        <v>4</v>
      </c>
      <c r="C459">
        <v>3</v>
      </c>
      <c r="D459" t="s">
        <v>547</v>
      </c>
      <c r="E459" t="s">
        <v>547</v>
      </c>
      <c r="F459" t="str" cm="1">
        <f t="array" ref="F459">CategorizeComment(E459)</f>
        <v>Time-related issues</v>
      </c>
      <c r="G459" t="str" cm="1">
        <f t="array" ref="G459">SubCategorizeComment(E459)</f>
        <v>Flight delays</v>
      </c>
    </row>
    <row r="460" spans="1:7" x14ac:dyDescent="0.25">
      <c r="A460">
        <v>716</v>
      </c>
      <c r="B460" t="s">
        <v>4</v>
      </c>
      <c r="C460">
        <v>3</v>
      </c>
      <c r="D460" t="s">
        <v>18</v>
      </c>
      <c r="E460" t="s">
        <v>18</v>
      </c>
      <c r="F460" t="str" cm="1">
        <f t="array" ref="F460">CategorizeComment(E460)</f>
        <v>Time-related issues</v>
      </c>
      <c r="G460" t="str" cm="1">
        <f t="array" ref="G460">SubCategorizeComment(E460)</f>
        <v>Flight delays</v>
      </c>
    </row>
    <row r="461" spans="1:7" x14ac:dyDescent="0.25">
      <c r="A461">
        <v>109771</v>
      </c>
      <c r="B461" t="s">
        <v>4</v>
      </c>
      <c r="C461">
        <v>3</v>
      </c>
      <c r="D461" t="s">
        <v>1874</v>
      </c>
      <c r="E461" t="s">
        <v>1874</v>
      </c>
      <c r="F461" t="str" cm="1">
        <f t="array" ref="F461">CategorizeComment(E461)</f>
        <v>Time-related issues</v>
      </c>
      <c r="G461" t="str" cm="1">
        <f t="array" ref="G461">SubCategorizeComment(E461)</f>
        <v>Flight delays</v>
      </c>
    </row>
    <row r="462" spans="1:7" x14ac:dyDescent="0.25">
      <c r="A462">
        <v>103116</v>
      </c>
      <c r="B462" t="s">
        <v>4</v>
      </c>
      <c r="C462">
        <v>4</v>
      </c>
      <c r="D462" t="s">
        <v>1761</v>
      </c>
      <c r="E462" t="s">
        <v>1761</v>
      </c>
      <c r="F462" t="str" cm="1">
        <f t="array" ref="F462">CategorizeComment(E462)</f>
        <v>Time-related issues</v>
      </c>
      <c r="G462" t="str" cm="1">
        <f t="array" ref="G462">SubCategorizeComment(E462)</f>
        <v>Flight delays</v>
      </c>
    </row>
    <row r="463" spans="1:7" x14ac:dyDescent="0.25">
      <c r="A463">
        <v>104444</v>
      </c>
      <c r="B463" t="s">
        <v>4</v>
      </c>
      <c r="C463">
        <v>3</v>
      </c>
      <c r="D463" t="s">
        <v>1780</v>
      </c>
      <c r="E463" t="s">
        <v>1780</v>
      </c>
      <c r="F463" t="str" cm="1">
        <f t="array" ref="F463">CategorizeComment(E463)</f>
        <v>Time-related issues</v>
      </c>
      <c r="G463" t="str" cm="1">
        <f t="array" ref="G463">SubCategorizeComment(E463)</f>
        <v>Flight delays</v>
      </c>
    </row>
    <row r="464" spans="1:7" x14ac:dyDescent="0.25">
      <c r="A464">
        <v>251</v>
      </c>
      <c r="B464" t="s">
        <v>4</v>
      </c>
      <c r="C464">
        <v>4</v>
      </c>
      <c r="D464" t="s">
        <v>11</v>
      </c>
      <c r="E464" t="s">
        <v>11</v>
      </c>
      <c r="F464" t="str" cm="1">
        <f t="array" ref="F464">CategorizeComment(E464)</f>
        <v>Time-related issues</v>
      </c>
      <c r="G464" t="str" cm="1">
        <f t="array" ref="G464">SubCategorizeComment(E464)</f>
        <v>Flight delays</v>
      </c>
    </row>
    <row r="465" spans="1:7" x14ac:dyDescent="0.25">
      <c r="A465">
        <v>16648</v>
      </c>
      <c r="B465" t="s">
        <v>4</v>
      </c>
      <c r="C465">
        <v>4</v>
      </c>
      <c r="D465" t="s">
        <v>326</v>
      </c>
      <c r="E465" t="s">
        <v>326</v>
      </c>
      <c r="F465" t="str" cm="1">
        <f t="array" ref="F465">CategorizeComment(E465)</f>
        <v>Time-related issues</v>
      </c>
      <c r="G465" t="str" cm="1">
        <f t="array" ref="G465">SubCategorizeComment(E465)</f>
        <v>Flight delays</v>
      </c>
    </row>
    <row r="466" spans="1:7" x14ac:dyDescent="0.25">
      <c r="A466">
        <v>93753</v>
      </c>
      <c r="B466" t="s">
        <v>4</v>
      </c>
      <c r="C466">
        <v>4</v>
      </c>
      <c r="D466" t="s">
        <v>1640</v>
      </c>
      <c r="E466" t="s">
        <v>1640</v>
      </c>
      <c r="F466" t="str" cm="1">
        <f t="array" ref="F466">CategorizeComment(E466)</f>
        <v>Time-related issues</v>
      </c>
      <c r="G466" t="str" cm="1">
        <f t="array" ref="G466">SubCategorizeComment(E466)</f>
        <v>Flight delays</v>
      </c>
    </row>
    <row r="467" spans="1:7" x14ac:dyDescent="0.25">
      <c r="A467">
        <v>50221</v>
      </c>
      <c r="B467" t="s">
        <v>4</v>
      </c>
      <c r="C467">
        <v>4</v>
      </c>
      <c r="D467" t="s">
        <v>940</v>
      </c>
      <c r="E467" t="s">
        <v>940</v>
      </c>
      <c r="F467" t="str" cm="1">
        <f t="array" ref="F467">CategorizeComment(E467)</f>
        <v>Time-related issues</v>
      </c>
      <c r="G467" t="str" cm="1">
        <f t="array" ref="G467">SubCategorizeComment(E467)</f>
        <v>Flight delays</v>
      </c>
    </row>
    <row r="468" spans="1:7" x14ac:dyDescent="0.25">
      <c r="A468">
        <v>46181</v>
      </c>
      <c r="B468" t="s">
        <v>4</v>
      </c>
      <c r="C468">
        <v>3</v>
      </c>
      <c r="D468" t="s">
        <v>875</v>
      </c>
      <c r="E468" t="s">
        <v>875</v>
      </c>
      <c r="F468" t="str" cm="1">
        <f t="array" ref="F468">CategorizeComment(E468)</f>
        <v>Other</v>
      </c>
      <c r="G468" t="str" cm="1">
        <f t="array" ref="G468">SubCategorizeComment(E468)</f>
        <v>Other</v>
      </c>
    </row>
    <row r="469" spans="1:7" x14ac:dyDescent="0.25">
      <c r="A469">
        <v>122546</v>
      </c>
      <c r="B469" t="s">
        <v>4</v>
      </c>
      <c r="C469">
        <v>4</v>
      </c>
      <c r="D469" t="s">
        <v>2063</v>
      </c>
      <c r="E469" t="s">
        <v>2063</v>
      </c>
      <c r="F469" t="str" cm="1">
        <f t="array" ref="F469">CategorizeComment(E469)</f>
        <v>Time-related issues</v>
      </c>
      <c r="G469" t="str" cm="1">
        <f t="array" ref="G469">SubCategorizeComment(E469)</f>
        <v>Long waits</v>
      </c>
    </row>
    <row r="470" spans="1:7" x14ac:dyDescent="0.25">
      <c r="A470">
        <v>1956</v>
      </c>
      <c r="B470" t="s">
        <v>4</v>
      </c>
      <c r="C470">
        <v>3</v>
      </c>
      <c r="D470" t="s">
        <v>47</v>
      </c>
      <c r="E470" t="s">
        <v>47</v>
      </c>
      <c r="F470" t="str" cm="1">
        <f t="array" ref="F470">CategorizeComment(E470)</f>
        <v>Time-related issues</v>
      </c>
      <c r="G470" t="str" cm="1">
        <f t="array" ref="G470">SubCategorizeComment(E470)</f>
        <v>Flight delays</v>
      </c>
    </row>
    <row r="471" spans="1:7" x14ac:dyDescent="0.25">
      <c r="A471">
        <v>87706</v>
      </c>
      <c r="B471" t="s">
        <v>4</v>
      </c>
      <c r="C471">
        <v>3</v>
      </c>
      <c r="D471" t="s">
        <v>1531</v>
      </c>
      <c r="E471" t="s">
        <v>1531</v>
      </c>
      <c r="F471" t="str" cm="1">
        <f t="array" ref="F471">CategorizeComment(E471)</f>
        <v>Time-related issues</v>
      </c>
      <c r="G471" t="str" cm="1">
        <f t="array" ref="G471">SubCategorizeComment(E471)</f>
        <v>Flight delays</v>
      </c>
    </row>
    <row r="472" spans="1:7" x14ac:dyDescent="0.25">
      <c r="A472">
        <v>113571</v>
      </c>
      <c r="B472" t="s">
        <v>4</v>
      </c>
      <c r="C472">
        <v>3</v>
      </c>
      <c r="D472" t="s">
        <v>1932</v>
      </c>
      <c r="E472" t="s">
        <v>1932</v>
      </c>
      <c r="F472" t="str" cm="1">
        <f t="array" ref="F472">CategorizeComment(E472)</f>
        <v>Time-related issues</v>
      </c>
      <c r="G472" t="str" cm="1">
        <f t="array" ref="G472">SubCategorizeComment(E472)</f>
        <v>Flight delays</v>
      </c>
    </row>
    <row r="473" spans="1:7" x14ac:dyDescent="0.25">
      <c r="A473">
        <v>60290</v>
      </c>
      <c r="B473" t="s">
        <v>4</v>
      </c>
      <c r="C473">
        <v>4</v>
      </c>
      <c r="D473" t="s">
        <v>1122</v>
      </c>
      <c r="E473" t="s">
        <v>1122</v>
      </c>
      <c r="F473" t="str" cm="1">
        <f t="array" ref="F473">CategorizeComment(E473)</f>
        <v>Time-related issues</v>
      </c>
      <c r="G473" t="str" cm="1">
        <f t="array" ref="G473">SubCategorizeComment(E473)</f>
        <v>Flight delays</v>
      </c>
    </row>
    <row r="474" spans="1:7" x14ac:dyDescent="0.25">
      <c r="A474">
        <v>55254</v>
      </c>
      <c r="B474" t="s">
        <v>4</v>
      </c>
      <c r="C474">
        <v>3</v>
      </c>
      <c r="D474" t="s">
        <v>1036</v>
      </c>
      <c r="E474" t="s">
        <v>1036</v>
      </c>
      <c r="F474" t="str" cm="1">
        <f t="array" ref="F474">CategorizeComment(E474)</f>
        <v>Time-related issues</v>
      </c>
      <c r="G474" t="str" cm="1">
        <f t="array" ref="G474">SubCategorizeComment(E474)</f>
        <v>Flight delays</v>
      </c>
    </row>
    <row r="475" spans="1:7" x14ac:dyDescent="0.25">
      <c r="A475">
        <v>34124</v>
      </c>
      <c r="B475" t="s">
        <v>4</v>
      </c>
      <c r="C475">
        <v>3</v>
      </c>
      <c r="D475" t="s">
        <v>648</v>
      </c>
      <c r="E475" t="s">
        <v>648</v>
      </c>
      <c r="F475" t="str" cm="1">
        <f t="array" ref="F475">CategorizeComment(E475)</f>
        <v>Time-related issues</v>
      </c>
      <c r="G475" t="str" cm="1">
        <f t="array" ref="G475">SubCategorizeComment(E475)</f>
        <v>Flight delays</v>
      </c>
    </row>
    <row r="476" spans="1:7" x14ac:dyDescent="0.25">
      <c r="A476">
        <v>105973</v>
      </c>
      <c r="B476" t="s">
        <v>4</v>
      </c>
      <c r="C476">
        <v>4</v>
      </c>
      <c r="D476" t="s">
        <v>1810</v>
      </c>
      <c r="E476" t="s">
        <v>1810</v>
      </c>
      <c r="F476" t="str" cm="1">
        <f t="array" ref="F476">CategorizeComment(E476)</f>
        <v>Time-related issues</v>
      </c>
      <c r="G476" t="str" cm="1">
        <f t="array" ref="G476">SubCategorizeComment(E476)</f>
        <v>Flight delays</v>
      </c>
    </row>
    <row r="477" spans="1:7" x14ac:dyDescent="0.25">
      <c r="A477">
        <v>55632</v>
      </c>
      <c r="B477" t="s">
        <v>4</v>
      </c>
      <c r="C477">
        <v>3</v>
      </c>
      <c r="D477" t="s">
        <v>1040</v>
      </c>
      <c r="E477" t="s">
        <v>1040</v>
      </c>
      <c r="F477" t="str" cm="1">
        <f t="array" ref="F477">CategorizeComment(E477)</f>
        <v>Time-related issues</v>
      </c>
      <c r="G477" t="str" cm="1">
        <f t="array" ref="G477">SubCategorizeComment(E477)</f>
        <v>Flight delays</v>
      </c>
    </row>
    <row r="478" spans="1:7" x14ac:dyDescent="0.25">
      <c r="A478">
        <v>98002</v>
      </c>
      <c r="B478" t="s">
        <v>4</v>
      </c>
      <c r="C478">
        <v>3</v>
      </c>
      <c r="D478" t="s">
        <v>1701</v>
      </c>
      <c r="E478" t="s">
        <v>1701</v>
      </c>
      <c r="F478" t="str" cm="1">
        <f t="array" ref="F478">CategorizeComment(E478)</f>
        <v>Time-related issues</v>
      </c>
      <c r="G478" t="str" cm="1">
        <f t="array" ref="G478">SubCategorizeComment(E478)</f>
        <v>Flight delays</v>
      </c>
    </row>
    <row r="479" spans="1:7" x14ac:dyDescent="0.25">
      <c r="A479">
        <v>86257</v>
      </c>
      <c r="B479" t="s">
        <v>4</v>
      </c>
      <c r="C479">
        <v>3</v>
      </c>
      <c r="D479" t="s">
        <v>1512</v>
      </c>
      <c r="E479" t="s">
        <v>1512</v>
      </c>
      <c r="F479" t="str" cm="1">
        <f t="array" ref="F479">CategorizeComment(E479)</f>
        <v>Time-related issues</v>
      </c>
      <c r="G479" t="str" cm="1">
        <f t="array" ref="G479">SubCategorizeComment(E479)</f>
        <v>Flight delays</v>
      </c>
    </row>
    <row r="480" spans="1:7" x14ac:dyDescent="0.25">
      <c r="A480">
        <v>115707</v>
      </c>
      <c r="B480" t="s">
        <v>4</v>
      </c>
      <c r="C480">
        <v>3</v>
      </c>
      <c r="D480" t="s">
        <v>1964</v>
      </c>
      <c r="E480" t="s">
        <v>1964</v>
      </c>
      <c r="F480" t="str" cm="1">
        <f t="array" ref="F480">CategorizeComment(E480)</f>
        <v>Service inadequacy</v>
      </c>
      <c r="G480" t="str" cm="1">
        <f t="array" ref="G480">SubCategorizeComment(E480)</f>
        <v>Baggage issues</v>
      </c>
    </row>
    <row r="481" spans="1:7" x14ac:dyDescent="0.25">
      <c r="A481">
        <v>74221</v>
      </c>
      <c r="B481" t="s">
        <v>4</v>
      </c>
      <c r="C481">
        <v>3</v>
      </c>
      <c r="D481" t="s">
        <v>1346</v>
      </c>
      <c r="E481" t="s">
        <v>1346</v>
      </c>
      <c r="F481" t="str" cm="1">
        <f t="array" ref="F481">CategorizeComment(E481)</f>
        <v>Time-related issues</v>
      </c>
      <c r="G481" t="str" cm="1">
        <f t="array" ref="G481">SubCategorizeComment(E481)</f>
        <v>Flight delays</v>
      </c>
    </row>
    <row r="482" spans="1:7" x14ac:dyDescent="0.25">
      <c r="A482">
        <v>108784</v>
      </c>
      <c r="B482" t="s">
        <v>4</v>
      </c>
      <c r="C482">
        <v>4</v>
      </c>
      <c r="D482" t="s">
        <v>1856</v>
      </c>
      <c r="E482" t="s">
        <v>1856</v>
      </c>
      <c r="F482" t="str" cm="1">
        <f t="array" ref="F482">CategorizeComment(E482)</f>
        <v>Other</v>
      </c>
      <c r="G482" t="str" cm="1">
        <f t="array" ref="G482">SubCategorizeComment(E482)</f>
        <v>Other</v>
      </c>
    </row>
    <row r="483" spans="1:7" x14ac:dyDescent="0.25">
      <c r="A483">
        <v>121501</v>
      </c>
      <c r="B483" t="s">
        <v>4</v>
      </c>
      <c r="C483">
        <v>3</v>
      </c>
      <c r="D483" t="s">
        <v>2042</v>
      </c>
      <c r="E483" t="s">
        <v>2042</v>
      </c>
      <c r="F483" t="str" cm="1">
        <f t="array" ref="F483">CategorizeComment(E483)</f>
        <v>Other</v>
      </c>
      <c r="G483" t="str" cm="1">
        <f t="array" ref="G483">SubCategorizeComment(E483)</f>
        <v>Other</v>
      </c>
    </row>
    <row r="484" spans="1:7" x14ac:dyDescent="0.25">
      <c r="A484">
        <v>112254</v>
      </c>
      <c r="B484" t="s">
        <v>4</v>
      </c>
      <c r="C484">
        <v>4</v>
      </c>
      <c r="D484" t="s">
        <v>1914</v>
      </c>
      <c r="E484" t="s">
        <v>1914</v>
      </c>
      <c r="F484" t="str" cm="1">
        <f t="array" ref="F484">CategorizeComment(E484)</f>
        <v>Service inadequacy</v>
      </c>
      <c r="G484" t="str" cm="1">
        <f t="array" ref="G484">SubCategorizeComment(E484)</f>
        <v>Other</v>
      </c>
    </row>
    <row r="485" spans="1:7" x14ac:dyDescent="0.25">
      <c r="A485">
        <v>129122</v>
      </c>
      <c r="B485" t="s">
        <v>4</v>
      </c>
      <c r="C485">
        <v>3</v>
      </c>
      <c r="D485" t="s">
        <v>2161</v>
      </c>
      <c r="E485" t="s">
        <v>2161</v>
      </c>
      <c r="F485" t="str" cm="1">
        <f t="array" ref="F485">CategorizeComment(E485)</f>
        <v>Time-related issues</v>
      </c>
      <c r="G485" t="str" cm="1">
        <f t="array" ref="G485">SubCategorizeComment(E485)</f>
        <v>Flight delays</v>
      </c>
    </row>
    <row r="486" spans="1:7" x14ac:dyDescent="0.25">
      <c r="A486">
        <v>15541</v>
      </c>
      <c r="B486" t="s">
        <v>4</v>
      </c>
      <c r="C486">
        <v>4</v>
      </c>
      <c r="D486" t="s">
        <v>299</v>
      </c>
      <c r="E486" t="s">
        <v>299</v>
      </c>
      <c r="F486" t="str" cm="1">
        <f t="array" ref="F486">CategorizeComment(E486)</f>
        <v>Time-related issues</v>
      </c>
      <c r="G486" t="str" cm="1">
        <f t="array" ref="G486">SubCategorizeComment(E486)</f>
        <v>Flight delays</v>
      </c>
    </row>
    <row r="487" spans="1:7" x14ac:dyDescent="0.25">
      <c r="A487">
        <v>50108</v>
      </c>
      <c r="B487" t="s">
        <v>4</v>
      </c>
      <c r="C487">
        <v>4</v>
      </c>
      <c r="D487" t="s">
        <v>936</v>
      </c>
      <c r="E487" t="s">
        <v>936</v>
      </c>
      <c r="F487" t="str" cm="1">
        <f t="array" ref="F487">CategorizeComment(E487)</f>
        <v>Other</v>
      </c>
      <c r="G487" t="str" cm="1">
        <f t="array" ref="G487">SubCategorizeComment(E487)</f>
        <v>Other</v>
      </c>
    </row>
    <row r="488" spans="1:7" x14ac:dyDescent="0.25">
      <c r="A488">
        <v>27352</v>
      </c>
      <c r="B488" t="s">
        <v>4</v>
      </c>
      <c r="C488">
        <v>3</v>
      </c>
      <c r="D488" t="s">
        <v>541</v>
      </c>
      <c r="E488" t="s">
        <v>541</v>
      </c>
      <c r="F488" t="str" cm="1">
        <f t="array" ref="F488">CategorizeComment(E488)</f>
        <v>Service inadequacy</v>
      </c>
      <c r="G488" t="str" cm="1">
        <f t="array" ref="G488">SubCategorizeComment(E488)</f>
        <v>Baggage issues</v>
      </c>
    </row>
    <row r="489" spans="1:7" x14ac:dyDescent="0.25">
      <c r="A489">
        <v>31511</v>
      </c>
      <c r="B489" t="s">
        <v>4</v>
      </c>
      <c r="C489">
        <v>3</v>
      </c>
      <c r="D489" t="s">
        <v>608</v>
      </c>
      <c r="E489" t="s">
        <v>608</v>
      </c>
      <c r="F489" t="str" cm="1">
        <f t="array" ref="F489">CategorizeComment(E489)</f>
        <v>Service inadequacy</v>
      </c>
      <c r="G489" t="str" cm="1">
        <f t="array" ref="G489">SubCategorizeComment(E489)</f>
        <v>Baggage issues</v>
      </c>
    </row>
    <row r="490" spans="1:7" x14ac:dyDescent="0.25">
      <c r="A490">
        <v>101307</v>
      </c>
      <c r="B490" t="s">
        <v>4</v>
      </c>
      <c r="C490">
        <v>3</v>
      </c>
      <c r="D490" t="s">
        <v>1736</v>
      </c>
      <c r="E490" t="s">
        <v>1736</v>
      </c>
      <c r="F490" t="str" cm="1">
        <f t="array" ref="F490">CategorizeComment(E490)</f>
        <v>Service inadequacy</v>
      </c>
      <c r="G490" t="str" cm="1">
        <f t="array" ref="G490">SubCategorizeComment(E490)</f>
        <v>Baggage issues</v>
      </c>
    </row>
    <row r="491" spans="1:7" x14ac:dyDescent="0.25">
      <c r="A491">
        <v>23800</v>
      </c>
      <c r="B491" t="s">
        <v>4</v>
      </c>
      <c r="C491">
        <v>3</v>
      </c>
      <c r="D491" t="s">
        <v>486</v>
      </c>
      <c r="E491" t="s">
        <v>486</v>
      </c>
      <c r="F491" t="str" cm="1">
        <f t="array" ref="F491">CategorizeComment(E491)</f>
        <v>Service inadequacy</v>
      </c>
      <c r="G491" t="str" cm="1">
        <f t="array" ref="G491">SubCategorizeComment(E491)</f>
        <v>Baggage issues</v>
      </c>
    </row>
    <row r="492" spans="1:7" x14ac:dyDescent="0.25">
      <c r="A492">
        <v>16868</v>
      </c>
      <c r="B492" t="s">
        <v>4</v>
      </c>
      <c r="C492">
        <v>4</v>
      </c>
      <c r="D492" t="s">
        <v>328</v>
      </c>
      <c r="E492" t="s">
        <v>328</v>
      </c>
      <c r="F492" t="str" cm="1">
        <f t="array" ref="F492">CategorizeComment(E492)</f>
        <v>Time-related issues</v>
      </c>
      <c r="G492" t="str" cm="1">
        <f t="array" ref="G492">SubCategorizeComment(E492)</f>
        <v>Flight delays</v>
      </c>
    </row>
    <row r="493" spans="1:7" x14ac:dyDescent="0.25">
      <c r="A493">
        <v>47701</v>
      </c>
      <c r="B493" t="s">
        <v>4</v>
      </c>
      <c r="C493">
        <v>3</v>
      </c>
      <c r="D493" t="s">
        <v>904</v>
      </c>
      <c r="E493" t="s">
        <v>904</v>
      </c>
      <c r="F493" t="str" cm="1">
        <f t="array" ref="F493">CategorizeComment(E493)</f>
        <v>Time-related issues</v>
      </c>
      <c r="G493" t="str" cm="1">
        <f t="array" ref="G493">SubCategorizeComment(E493)</f>
        <v>Flight delays</v>
      </c>
    </row>
    <row r="494" spans="1:7" x14ac:dyDescent="0.25">
      <c r="A494">
        <v>10880</v>
      </c>
      <c r="B494" t="s">
        <v>4</v>
      </c>
      <c r="C494">
        <v>4</v>
      </c>
      <c r="D494" t="s">
        <v>216</v>
      </c>
      <c r="E494" t="s">
        <v>216</v>
      </c>
      <c r="F494" t="str" cm="1">
        <f t="array" ref="F494">CategorizeComment(E494)</f>
        <v>Time-related issues</v>
      </c>
      <c r="G494" t="str" cm="1">
        <f t="array" ref="G494">SubCategorizeComment(E494)</f>
        <v>Flight delays</v>
      </c>
    </row>
    <row r="495" spans="1:7" x14ac:dyDescent="0.25">
      <c r="A495">
        <v>35795</v>
      </c>
      <c r="B495" t="s">
        <v>4</v>
      </c>
      <c r="C495">
        <v>3</v>
      </c>
      <c r="D495" t="s">
        <v>683</v>
      </c>
      <c r="E495" t="s">
        <v>683</v>
      </c>
      <c r="F495" t="str" cm="1">
        <f t="array" ref="F495">CategorizeComment(E495)</f>
        <v>Service inadequacy</v>
      </c>
      <c r="G495" t="str" cm="1">
        <f t="array" ref="G495">SubCategorizeComment(E495)</f>
        <v>Baggage issues</v>
      </c>
    </row>
    <row r="496" spans="1:7" x14ac:dyDescent="0.25">
      <c r="A496">
        <v>29158</v>
      </c>
      <c r="B496" t="s">
        <v>4</v>
      </c>
      <c r="C496">
        <v>4</v>
      </c>
      <c r="D496" t="s">
        <v>575</v>
      </c>
      <c r="E496" t="s">
        <v>575</v>
      </c>
      <c r="F496" t="str" cm="1">
        <f t="array" ref="F496">CategorizeComment(E496)</f>
        <v>Service inadequacy</v>
      </c>
      <c r="G496" t="str" cm="1">
        <f t="array" ref="G496">SubCategorizeComment(E496)</f>
        <v>Baggage issues</v>
      </c>
    </row>
    <row r="497" spans="1:7" x14ac:dyDescent="0.25">
      <c r="A497">
        <v>71488</v>
      </c>
      <c r="B497" t="s">
        <v>4</v>
      </c>
      <c r="C497">
        <v>4</v>
      </c>
      <c r="D497" t="s">
        <v>1302</v>
      </c>
      <c r="E497" t="s">
        <v>1302</v>
      </c>
      <c r="F497" t="str" cm="1">
        <f t="array" ref="F497">CategorizeComment(E497)</f>
        <v>Time-related issues</v>
      </c>
      <c r="G497" t="str" cm="1">
        <f t="array" ref="G497">SubCategorizeComment(E497)</f>
        <v>Flight delays</v>
      </c>
    </row>
    <row r="498" spans="1:7" x14ac:dyDescent="0.25">
      <c r="A498">
        <v>64500</v>
      </c>
      <c r="B498" t="s">
        <v>4</v>
      </c>
      <c r="C498">
        <v>3</v>
      </c>
      <c r="D498" t="s">
        <v>1202</v>
      </c>
      <c r="E498" t="s">
        <v>1202</v>
      </c>
      <c r="F498" t="str" cm="1">
        <f t="array" ref="F498">CategorizeComment(E498)</f>
        <v>Time-related issues</v>
      </c>
      <c r="G498" t="str" cm="1">
        <f t="array" ref="G498">SubCategorizeComment(E498)</f>
        <v>Flight delays</v>
      </c>
    </row>
    <row r="499" spans="1:7" x14ac:dyDescent="0.25">
      <c r="A499">
        <v>33541</v>
      </c>
      <c r="B499" t="s">
        <v>4</v>
      </c>
      <c r="C499">
        <v>3</v>
      </c>
      <c r="D499" t="s">
        <v>638</v>
      </c>
      <c r="E499" t="s">
        <v>638</v>
      </c>
      <c r="F499" t="str" cm="1">
        <f t="array" ref="F499">CategorizeComment(E499)</f>
        <v>Service inadequacy</v>
      </c>
      <c r="G499" t="str" cm="1">
        <f t="array" ref="G499">SubCategorizeComment(E499)</f>
        <v>Other</v>
      </c>
    </row>
    <row r="500" spans="1:7" x14ac:dyDescent="0.25">
      <c r="A500">
        <v>111024</v>
      </c>
      <c r="B500" t="s">
        <v>4</v>
      </c>
      <c r="C500">
        <v>4</v>
      </c>
      <c r="D500" t="s">
        <v>1901</v>
      </c>
      <c r="E500" t="s">
        <v>1901</v>
      </c>
      <c r="F500" t="str" cm="1">
        <f t="array" ref="F500">CategorizeComment(E500)</f>
        <v>Time-related issues</v>
      </c>
      <c r="G500" t="str" cm="1">
        <f t="array" ref="G500">SubCategorizeComment(E500)</f>
        <v>Long waits</v>
      </c>
    </row>
    <row r="501" spans="1:7" x14ac:dyDescent="0.25">
      <c r="A501">
        <v>60566</v>
      </c>
      <c r="B501" t="s">
        <v>4</v>
      </c>
      <c r="C501">
        <v>0</v>
      </c>
      <c r="D501" t="s">
        <v>1130</v>
      </c>
      <c r="E501" t="s">
        <v>1130</v>
      </c>
      <c r="F501" t="str" cm="1">
        <f t="array" ref="F501">CategorizeComment(E501)</f>
        <v>Time-related issues</v>
      </c>
      <c r="G501" t="str" cm="1">
        <f t="array" ref="G501">SubCategorizeComment(E501)</f>
        <v>Long waits</v>
      </c>
    </row>
    <row r="502" spans="1:7" x14ac:dyDescent="0.25">
      <c r="A502">
        <v>4858</v>
      </c>
      <c r="B502" t="s">
        <v>4</v>
      </c>
      <c r="C502">
        <v>3</v>
      </c>
      <c r="D502" t="s">
        <v>100</v>
      </c>
      <c r="E502" t="s">
        <v>100</v>
      </c>
      <c r="F502" t="str" cm="1">
        <f t="array" ref="F502">CategorizeComment(E502)</f>
        <v>Time-related issues</v>
      </c>
      <c r="G502" t="str" cm="1">
        <f t="array" ref="G502">SubCategorizeComment(E502)</f>
        <v>Flight delays</v>
      </c>
    </row>
    <row r="503" spans="1:7" x14ac:dyDescent="0.25">
      <c r="A503">
        <v>10738</v>
      </c>
      <c r="B503" t="s">
        <v>4</v>
      </c>
      <c r="C503">
        <v>3</v>
      </c>
      <c r="D503" t="s">
        <v>209</v>
      </c>
      <c r="E503" t="s">
        <v>209</v>
      </c>
      <c r="F503" t="str" cm="1">
        <f t="array" ref="F503">CategorizeComment(E503)</f>
        <v>Time-related issues</v>
      </c>
      <c r="G503" t="str" cm="1">
        <f t="array" ref="G503">SubCategorizeComment(E503)</f>
        <v>Long waits</v>
      </c>
    </row>
    <row r="504" spans="1:7" x14ac:dyDescent="0.25">
      <c r="A504">
        <v>35356</v>
      </c>
      <c r="B504" t="s">
        <v>4</v>
      </c>
      <c r="C504">
        <v>4</v>
      </c>
      <c r="D504" t="s">
        <v>674</v>
      </c>
      <c r="E504" t="s">
        <v>674</v>
      </c>
      <c r="F504" t="str" cm="1">
        <f t="array" ref="F504">CategorizeComment(E504)</f>
        <v>Time-related issues</v>
      </c>
      <c r="G504" t="str" cm="1">
        <f t="array" ref="G504">SubCategorizeComment(E504)</f>
        <v>Flight delays</v>
      </c>
    </row>
    <row r="505" spans="1:7" x14ac:dyDescent="0.25">
      <c r="A505">
        <v>50579</v>
      </c>
      <c r="B505" t="s">
        <v>4</v>
      </c>
      <c r="C505">
        <v>3</v>
      </c>
      <c r="D505" t="s">
        <v>951</v>
      </c>
      <c r="E505" t="s">
        <v>951</v>
      </c>
      <c r="F505" t="str" cm="1">
        <f t="array" ref="F505">CategorizeComment(E505)</f>
        <v>Time-related issues</v>
      </c>
      <c r="G505" t="str" cm="1">
        <f t="array" ref="G505">SubCategorizeComment(E505)</f>
        <v>Flight delays</v>
      </c>
    </row>
    <row r="506" spans="1:7" x14ac:dyDescent="0.25">
      <c r="A506">
        <v>77030</v>
      </c>
      <c r="B506" t="s">
        <v>4</v>
      </c>
      <c r="C506">
        <v>4</v>
      </c>
      <c r="D506" t="s">
        <v>1387</v>
      </c>
      <c r="E506" t="s">
        <v>1387</v>
      </c>
      <c r="F506" t="str" cm="1">
        <f t="array" ref="F506">CategorizeComment(E506)</f>
        <v>Other</v>
      </c>
      <c r="G506" t="str" cm="1">
        <f t="array" ref="G506">SubCategorizeComment(E506)</f>
        <v>Other</v>
      </c>
    </row>
    <row r="507" spans="1:7" x14ac:dyDescent="0.25">
      <c r="A507">
        <v>53526</v>
      </c>
      <c r="B507" t="s">
        <v>4</v>
      </c>
      <c r="C507">
        <v>4</v>
      </c>
      <c r="D507" t="s">
        <v>998</v>
      </c>
      <c r="E507" t="s">
        <v>998</v>
      </c>
      <c r="F507" t="str" cm="1">
        <f t="array" ref="F507">CategorizeComment(E507)</f>
        <v>Service inadequacy</v>
      </c>
      <c r="G507" t="str" cm="1">
        <f t="array" ref="G507">SubCategorizeComment(E507)</f>
        <v>Cleanliness issues</v>
      </c>
    </row>
    <row r="508" spans="1:7" x14ac:dyDescent="0.25">
      <c r="A508">
        <v>66798</v>
      </c>
      <c r="B508" t="s">
        <v>4</v>
      </c>
      <c r="C508">
        <v>4</v>
      </c>
      <c r="D508" t="s">
        <v>1232</v>
      </c>
      <c r="E508" t="s">
        <v>1232</v>
      </c>
      <c r="F508" t="str" cm="1">
        <f t="array" ref="F508">CategorizeComment(E508)</f>
        <v>Service inadequacy</v>
      </c>
      <c r="G508" t="str" cm="1">
        <f t="array" ref="G508">SubCategorizeComment(E508)</f>
        <v>Cleanliness issues</v>
      </c>
    </row>
    <row r="509" spans="1:7" x14ac:dyDescent="0.25">
      <c r="A509">
        <v>113466</v>
      </c>
      <c r="B509" t="s">
        <v>4</v>
      </c>
      <c r="C509">
        <v>3</v>
      </c>
      <c r="D509" t="s">
        <v>1929</v>
      </c>
      <c r="E509" t="s">
        <v>1929</v>
      </c>
      <c r="F509" t="str" cm="1">
        <f t="array" ref="F509">CategorizeComment(E509)</f>
        <v>Service inadequacy</v>
      </c>
      <c r="G509" t="str" cm="1">
        <f t="array" ref="G509">SubCategorizeComment(E509)</f>
        <v>Cleanliness issues</v>
      </c>
    </row>
    <row r="510" spans="1:7" x14ac:dyDescent="0.25">
      <c r="A510">
        <v>88324</v>
      </c>
      <c r="B510" t="s">
        <v>4</v>
      </c>
      <c r="C510">
        <v>4</v>
      </c>
      <c r="D510" t="s">
        <v>1540</v>
      </c>
      <c r="E510" t="s">
        <v>1540</v>
      </c>
      <c r="F510" t="str" cm="1">
        <f t="array" ref="F510">CategorizeComment(E510)</f>
        <v>Service inadequacy</v>
      </c>
      <c r="G510" t="str" cm="1">
        <f t="array" ref="G510">SubCategorizeComment(E510)</f>
        <v>Cleanliness issues</v>
      </c>
    </row>
    <row r="511" spans="1:7" x14ac:dyDescent="0.25">
      <c r="A511">
        <v>95194</v>
      </c>
      <c r="B511" t="s">
        <v>4</v>
      </c>
      <c r="C511">
        <v>3</v>
      </c>
      <c r="D511" t="s">
        <v>1654</v>
      </c>
      <c r="E511" t="s">
        <v>1654</v>
      </c>
      <c r="F511" t="str" cm="1">
        <f t="array" ref="F511">CategorizeComment(E511)</f>
        <v>Service inadequacy</v>
      </c>
      <c r="G511" t="str" cm="1">
        <f t="array" ref="G511">SubCategorizeComment(E511)</f>
        <v>Cleanliness issues</v>
      </c>
    </row>
    <row r="512" spans="1:7" x14ac:dyDescent="0.25">
      <c r="A512">
        <v>3949</v>
      </c>
      <c r="B512" t="s">
        <v>4</v>
      </c>
      <c r="C512">
        <v>4</v>
      </c>
      <c r="D512" t="s">
        <v>85</v>
      </c>
      <c r="E512" t="s">
        <v>85</v>
      </c>
      <c r="F512" t="str" cm="1">
        <f t="array" ref="F512">CategorizeComment(E512)</f>
        <v>Service inadequacy</v>
      </c>
      <c r="G512" t="str" cm="1">
        <f t="array" ref="G512">SubCategorizeComment(E512)</f>
        <v>Cleanliness issues</v>
      </c>
    </row>
    <row r="513" spans="1:7" x14ac:dyDescent="0.25">
      <c r="A513">
        <v>42626</v>
      </c>
      <c r="B513" t="s">
        <v>4</v>
      </c>
      <c r="C513">
        <v>3</v>
      </c>
      <c r="D513" t="s">
        <v>802</v>
      </c>
      <c r="E513" t="s">
        <v>802</v>
      </c>
      <c r="F513" t="str" cm="1">
        <f t="array" ref="F513">CategorizeComment(E513)</f>
        <v>Service inadequacy</v>
      </c>
      <c r="G513" t="str" cm="1">
        <f t="array" ref="G513">SubCategorizeComment(E513)</f>
        <v>Cleanliness issues</v>
      </c>
    </row>
    <row r="514" spans="1:7" x14ac:dyDescent="0.25">
      <c r="A514">
        <v>21454</v>
      </c>
      <c r="B514" t="s">
        <v>4</v>
      </c>
      <c r="C514">
        <v>3</v>
      </c>
      <c r="D514" t="s">
        <v>438</v>
      </c>
      <c r="E514" t="s">
        <v>438</v>
      </c>
      <c r="F514" t="str" cm="1">
        <f t="array" ref="F514">CategorizeComment(E514)</f>
        <v>Service inadequacy</v>
      </c>
      <c r="G514" t="str" cm="1">
        <f t="array" ref="G514">SubCategorizeComment(E514)</f>
        <v>Cleanliness issues</v>
      </c>
    </row>
    <row r="515" spans="1:7" x14ac:dyDescent="0.25">
      <c r="A515">
        <v>54918</v>
      </c>
      <c r="B515" t="s">
        <v>4</v>
      </c>
      <c r="C515">
        <v>3</v>
      </c>
      <c r="D515" t="s">
        <v>1030</v>
      </c>
      <c r="E515" t="s">
        <v>1030</v>
      </c>
      <c r="F515" t="str" cm="1">
        <f t="array" ref="F515">CategorizeComment(E515)</f>
        <v>Service inadequacy</v>
      </c>
      <c r="G515" t="str" cm="1">
        <f t="array" ref="G515">SubCategorizeComment(E515)</f>
        <v>Cleanliness issues</v>
      </c>
    </row>
    <row r="516" spans="1:7" x14ac:dyDescent="0.25">
      <c r="A516">
        <v>76233</v>
      </c>
      <c r="B516" t="s">
        <v>4</v>
      </c>
      <c r="C516">
        <v>4</v>
      </c>
      <c r="D516" t="s">
        <v>1378</v>
      </c>
      <c r="E516" t="s">
        <v>1378</v>
      </c>
      <c r="F516" t="str" cm="1">
        <f t="array" ref="F516">CategorizeComment(E516)</f>
        <v>Service inadequacy</v>
      </c>
      <c r="G516" t="str" cm="1">
        <f t="array" ref="G516">SubCategorizeComment(E516)</f>
        <v>Cleanliness issues</v>
      </c>
    </row>
    <row r="517" spans="1:7" x14ac:dyDescent="0.25">
      <c r="A517">
        <v>20756</v>
      </c>
      <c r="B517" t="s">
        <v>4</v>
      </c>
      <c r="C517">
        <v>4</v>
      </c>
      <c r="D517" t="s">
        <v>424</v>
      </c>
      <c r="E517" t="s">
        <v>424</v>
      </c>
      <c r="F517" t="str" cm="1">
        <f t="array" ref="F517">CategorizeComment(E517)</f>
        <v>Service inadequacy</v>
      </c>
      <c r="G517" t="str" cm="1">
        <f t="array" ref="G517">SubCategorizeComment(E517)</f>
        <v>Cleanliness issues</v>
      </c>
    </row>
    <row r="518" spans="1:7" x14ac:dyDescent="0.25">
      <c r="A518">
        <v>124000</v>
      </c>
      <c r="B518" t="s">
        <v>4</v>
      </c>
      <c r="C518">
        <v>3</v>
      </c>
      <c r="D518" t="s">
        <v>2088</v>
      </c>
      <c r="E518" t="s">
        <v>2088</v>
      </c>
      <c r="F518" t="str" cm="1">
        <f t="array" ref="F518">CategorizeComment(E518)</f>
        <v>Service inadequacy</v>
      </c>
      <c r="G518" t="str" cm="1">
        <f t="array" ref="G518">SubCategorizeComment(E518)</f>
        <v>Food and beverage issues</v>
      </c>
    </row>
    <row r="519" spans="1:7" x14ac:dyDescent="0.25">
      <c r="A519">
        <v>102039</v>
      </c>
      <c r="B519" t="s">
        <v>4</v>
      </c>
      <c r="C519">
        <v>3</v>
      </c>
      <c r="D519" t="s">
        <v>1748</v>
      </c>
      <c r="E519" t="s">
        <v>1748</v>
      </c>
      <c r="F519" t="str" cm="1">
        <f t="array" ref="F519">CategorizeComment(E519)</f>
        <v>Service inadequacy</v>
      </c>
      <c r="G519" t="str" cm="1">
        <f t="array" ref="G519">SubCategorizeComment(E519)</f>
        <v>Cleanliness issues</v>
      </c>
    </row>
    <row r="520" spans="1:7" x14ac:dyDescent="0.25">
      <c r="A520">
        <v>70617</v>
      </c>
      <c r="B520" t="s">
        <v>4</v>
      </c>
      <c r="C520">
        <v>4</v>
      </c>
      <c r="D520" t="s">
        <v>1287</v>
      </c>
      <c r="E520" t="s">
        <v>1287</v>
      </c>
      <c r="F520" t="str" cm="1">
        <f t="array" ref="F520">CategorizeComment(E520)</f>
        <v>Service inadequacy</v>
      </c>
      <c r="G520" t="str" cm="1">
        <f t="array" ref="G520">SubCategorizeComment(E520)</f>
        <v>Cleanliness issues</v>
      </c>
    </row>
    <row r="521" spans="1:7" x14ac:dyDescent="0.25">
      <c r="A521">
        <v>38357</v>
      </c>
      <c r="B521" t="s">
        <v>4</v>
      </c>
      <c r="C521">
        <v>4</v>
      </c>
      <c r="D521" t="s">
        <v>739</v>
      </c>
      <c r="E521" t="s">
        <v>739</v>
      </c>
      <c r="F521" t="str" cm="1">
        <f t="array" ref="F521">CategorizeComment(E521)</f>
        <v>Service inadequacy</v>
      </c>
      <c r="G521" t="str" cm="1">
        <f t="array" ref="G521">SubCategorizeComment(E521)</f>
        <v>Cleanliness issues</v>
      </c>
    </row>
    <row r="522" spans="1:7" x14ac:dyDescent="0.25">
      <c r="A522">
        <v>78106</v>
      </c>
      <c r="B522" t="s">
        <v>4</v>
      </c>
      <c r="C522">
        <v>3</v>
      </c>
      <c r="D522" t="s">
        <v>1402</v>
      </c>
      <c r="E522" t="s">
        <v>1402</v>
      </c>
      <c r="F522" t="str" cm="1">
        <f t="array" ref="F522">CategorizeComment(E522)</f>
        <v>Service inadequacy</v>
      </c>
      <c r="G522" t="str" cm="1">
        <f t="array" ref="G522">SubCategorizeComment(E522)</f>
        <v>Cleanliness issues</v>
      </c>
    </row>
    <row r="523" spans="1:7" x14ac:dyDescent="0.25">
      <c r="A523">
        <v>123154</v>
      </c>
      <c r="B523" t="s">
        <v>4</v>
      </c>
      <c r="C523">
        <v>4</v>
      </c>
      <c r="D523" t="s">
        <v>2073</v>
      </c>
      <c r="E523" t="s">
        <v>2073</v>
      </c>
      <c r="F523" t="str" cm="1">
        <f t="array" ref="F523">CategorizeComment(E523)</f>
        <v>Service inadequacy</v>
      </c>
      <c r="G523" t="str" cm="1">
        <f t="array" ref="G523">SubCategorizeComment(E523)</f>
        <v>Cleanliness issues</v>
      </c>
    </row>
    <row r="524" spans="1:7" x14ac:dyDescent="0.25">
      <c r="A524">
        <v>111039</v>
      </c>
      <c r="B524" t="s">
        <v>4</v>
      </c>
      <c r="C524">
        <v>3</v>
      </c>
      <c r="D524" t="s">
        <v>1902</v>
      </c>
      <c r="E524" t="s">
        <v>1902</v>
      </c>
      <c r="F524" t="str" cm="1">
        <f t="array" ref="F524">CategorizeComment(E524)</f>
        <v>Service inadequacy</v>
      </c>
      <c r="G524" t="str" cm="1">
        <f t="array" ref="G524">SubCategorizeComment(E524)</f>
        <v>Cleanliness issues</v>
      </c>
    </row>
    <row r="525" spans="1:7" x14ac:dyDescent="0.25">
      <c r="A525">
        <v>119670</v>
      </c>
      <c r="B525" t="s">
        <v>4</v>
      </c>
      <c r="C525">
        <v>3</v>
      </c>
      <c r="D525" t="s">
        <v>2018</v>
      </c>
      <c r="E525" t="s">
        <v>2018</v>
      </c>
      <c r="F525" t="str" cm="1">
        <f t="array" ref="F525">CategorizeComment(E525)</f>
        <v>Service inadequacy</v>
      </c>
      <c r="G525" t="str" cm="1">
        <f t="array" ref="G525">SubCategorizeComment(E525)</f>
        <v>Cleanliness issues</v>
      </c>
    </row>
    <row r="526" spans="1:7" x14ac:dyDescent="0.25">
      <c r="A526">
        <v>59733</v>
      </c>
      <c r="B526" t="s">
        <v>4</v>
      </c>
      <c r="C526">
        <v>4</v>
      </c>
      <c r="D526" t="s">
        <v>1114</v>
      </c>
      <c r="E526" t="s">
        <v>1114</v>
      </c>
      <c r="F526" t="str" cm="1">
        <f t="array" ref="F526">CategorizeComment(E526)</f>
        <v>Other</v>
      </c>
      <c r="G526" t="str" cm="1">
        <f t="array" ref="G526">SubCategorizeComment(E526)</f>
        <v>Other</v>
      </c>
    </row>
    <row r="527" spans="1:7" x14ac:dyDescent="0.25">
      <c r="A527">
        <v>62737</v>
      </c>
      <c r="B527" t="s">
        <v>4</v>
      </c>
      <c r="C527">
        <v>4</v>
      </c>
      <c r="D527" t="s">
        <v>1170</v>
      </c>
      <c r="E527" t="s">
        <v>1170</v>
      </c>
      <c r="F527" t="str" cm="1">
        <f t="array" ref="F527">CategorizeComment(E527)</f>
        <v>Other</v>
      </c>
      <c r="G527" t="str" cm="1">
        <f t="array" ref="G527">SubCategorizeComment(E527)</f>
        <v>Other</v>
      </c>
    </row>
    <row r="528" spans="1:7" x14ac:dyDescent="0.25">
      <c r="A528">
        <v>118938</v>
      </c>
      <c r="B528" t="s">
        <v>4</v>
      </c>
      <c r="C528">
        <v>3</v>
      </c>
      <c r="D528" t="s">
        <v>2013</v>
      </c>
      <c r="E528" t="s">
        <v>2013</v>
      </c>
      <c r="F528" t="str" cm="1">
        <f t="array" ref="F528">CategorizeComment(E528)</f>
        <v>Other</v>
      </c>
      <c r="G528" t="str" cm="1">
        <f t="array" ref="G528">SubCategorizeComment(E528)</f>
        <v>Other</v>
      </c>
    </row>
    <row r="529" spans="1:7" x14ac:dyDescent="0.25">
      <c r="A529">
        <v>12022</v>
      </c>
      <c r="B529" t="s">
        <v>4</v>
      </c>
      <c r="C529">
        <v>4</v>
      </c>
      <c r="D529" t="s">
        <v>237</v>
      </c>
      <c r="E529" t="s">
        <v>237</v>
      </c>
      <c r="F529" t="str" cm="1">
        <f t="array" ref="F529">CategorizeComment(E529)</f>
        <v>Other</v>
      </c>
      <c r="G529" t="str" cm="1">
        <f t="array" ref="G529">SubCategorizeComment(E529)</f>
        <v>Other</v>
      </c>
    </row>
    <row r="530" spans="1:7" x14ac:dyDescent="0.25">
      <c r="A530">
        <v>103823</v>
      </c>
      <c r="B530" t="s">
        <v>4</v>
      </c>
      <c r="C530">
        <v>4</v>
      </c>
      <c r="D530" t="s">
        <v>1767</v>
      </c>
      <c r="E530" t="s">
        <v>1767</v>
      </c>
      <c r="F530" t="str" cm="1">
        <f t="array" ref="F530">CategorizeComment(E530)</f>
        <v>Other</v>
      </c>
      <c r="G530" t="str" cm="1">
        <f t="array" ref="G530">SubCategorizeComment(E530)</f>
        <v>Other</v>
      </c>
    </row>
    <row r="531" spans="1:7" x14ac:dyDescent="0.25">
      <c r="A531">
        <v>91032</v>
      </c>
      <c r="B531" t="s">
        <v>4</v>
      </c>
      <c r="C531">
        <v>4</v>
      </c>
      <c r="D531" t="s">
        <v>1587</v>
      </c>
      <c r="E531" t="s">
        <v>1587</v>
      </c>
      <c r="F531" t="str" cm="1">
        <f t="array" ref="F531">CategorizeComment(E531)</f>
        <v>Other</v>
      </c>
      <c r="G531" t="str" cm="1">
        <f t="array" ref="G531">SubCategorizeComment(E531)</f>
        <v>Other</v>
      </c>
    </row>
    <row r="532" spans="1:7" x14ac:dyDescent="0.25">
      <c r="A532">
        <v>21004</v>
      </c>
      <c r="B532" t="s">
        <v>4</v>
      </c>
      <c r="C532">
        <v>3</v>
      </c>
      <c r="D532" t="s">
        <v>428</v>
      </c>
      <c r="E532" t="s">
        <v>428</v>
      </c>
      <c r="F532" t="str" cm="1">
        <f t="array" ref="F532">CategorizeComment(E532)</f>
        <v>Other</v>
      </c>
      <c r="G532" t="str" cm="1">
        <f t="array" ref="G532">SubCategorizeComment(E532)</f>
        <v>Other</v>
      </c>
    </row>
    <row r="533" spans="1:7" x14ac:dyDescent="0.25">
      <c r="A533">
        <v>122665</v>
      </c>
      <c r="B533" t="s">
        <v>4</v>
      </c>
      <c r="C533">
        <v>3</v>
      </c>
      <c r="D533" t="s">
        <v>2065</v>
      </c>
      <c r="E533" t="s">
        <v>2065</v>
      </c>
      <c r="F533" t="str" cm="1">
        <f t="array" ref="F533">CategorizeComment(E533)</f>
        <v>Other</v>
      </c>
      <c r="G533" t="str" cm="1">
        <f t="array" ref="G533">SubCategorizeComment(E533)</f>
        <v>Other</v>
      </c>
    </row>
    <row r="534" spans="1:7" x14ac:dyDescent="0.25">
      <c r="A534">
        <v>38196</v>
      </c>
      <c r="B534" t="s">
        <v>4</v>
      </c>
      <c r="C534">
        <v>4</v>
      </c>
      <c r="D534" t="s">
        <v>734</v>
      </c>
      <c r="E534" t="s">
        <v>734</v>
      </c>
      <c r="F534" t="str" cm="1">
        <f t="array" ref="F534">CategorizeComment(E534)</f>
        <v>Other</v>
      </c>
      <c r="G534" t="str" cm="1">
        <f t="array" ref="G534">SubCategorizeComment(E534)</f>
        <v>Other</v>
      </c>
    </row>
    <row r="535" spans="1:7" x14ac:dyDescent="0.25">
      <c r="A535">
        <v>112923</v>
      </c>
      <c r="B535" t="s">
        <v>4</v>
      </c>
      <c r="C535">
        <v>3</v>
      </c>
      <c r="D535" t="s">
        <v>1924</v>
      </c>
      <c r="E535" t="s">
        <v>1924</v>
      </c>
      <c r="F535" t="str" cm="1">
        <f t="array" ref="F535">CategorizeComment(E535)</f>
        <v>Service inadequacy</v>
      </c>
      <c r="G535" t="str" cm="1">
        <f t="array" ref="G535">SubCategorizeComment(E535)</f>
        <v>Other</v>
      </c>
    </row>
    <row r="536" spans="1:7" x14ac:dyDescent="0.25">
      <c r="A536">
        <v>87926</v>
      </c>
      <c r="B536" t="s">
        <v>4</v>
      </c>
      <c r="C536">
        <v>3</v>
      </c>
      <c r="D536" t="s">
        <v>1538</v>
      </c>
      <c r="E536" t="s">
        <v>1538</v>
      </c>
      <c r="F536" t="str" cm="1">
        <f t="array" ref="F536">CategorizeComment(E536)</f>
        <v>Service inadequacy</v>
      </c>
      <c r="G536" t="str" cm="1">
        <f t="array" ref="G536">SubCategorizeComment(E536)</f>
        <v>Other</v>
      </c>
    </row>
    <row r="537" spans="1:7" x14ac:dyDescent="0.25">
      <c r="A537">
        <v>10174</v>
      </c>
      <c r="B537" t="s">
        <v>4</v>
      </c>
      <c r="C537">
        <v>3</v>
      </c>
      <c r="D537" t="s">
        <v>204</v>
      </c>
      <c r="E537" t="s">
        <v>204</v>
      </c>
      <c r="F537" t="str" cm="1">
        <f t="array" ref="F537">CategorizeComment(E537)</f>
        <v>Service inadequacy</v>
      </c>
      <c r="G537" t="str" cm="1">
        <f t="array" ref="G537">SubCategorizeComment(E537)</f>
        <v>Other</v>
      </c>
    </row>
    <row r="538" spans="1:7" x14ac:dyDescent="0.25">
      <c r="A538">
        <v>50477</v>
      </c>
      <c r="B538" t="s">
        <v>4</v>
      </c>
      <c r="C538">
        <v>4</v>
      </c>
      <c r="D538" t="s">
        <v>948</v>
      </c>
      <c r="E538" t="s">
        <v>948</v>
      </c>
      <c r="F538" t="str" cm="1">
        <f t="array" ref="F538">CategorizeComment(E538)</f>
        <v>Service inadequacy</v>
      </c>
      <c r="G538" t="str" cm="1">
        <f t="array" ref="G538">SubCategorizeComment(E538)</f>
        <v>Other</v>
      </c>
    </row>
    <row r="539" spans="1:7" x14ac:dyDescent="0.25">
      <c r="A539">
        <v>117599</v>
      </c>
      <c r="B539" t="s">
        <v>4</v>
      </c>
      <c r="C539">
        <v>4</v>
      </c>
      <c r="D539" t="s">
        <v>1990</v>
      </c>
      <c r="E539" t="s">
        <v>1990</v>
      </c>
      <c r="F539" t="str" cm="1">
        <f t="array" ref="F539">CategorizeComment(E539)</f>
        <v>Other</v>
      </c>
      <c r="G539" t="str" cm="1">
        <f t="array" ref="G539">SubCategorizeComment(E539)</f>
        <v>Other</v>
      </c>
    </row>
    <row r="540" spans="1:7" x14ac:dyDescent="0.25">
      <c r="A540">
        <v>87670</v>
      </c>
      <c r="B540" t="s">
        <v>4</v>
      </c>
      <c r="C540">
        <v>4</v>
      </c>
      <c r="D540" t="s">
        <v>1529</v>
      </c>
      <c r="E540" t="s">
        <v>1529</v>
      </c>
      <c r="F540" t="str" cm="1">
        <f t="array" ref="F540">CategorizeComment(E540)</f>
        <v>Communication and understanding issues</v>
      </c>
      <c r="G540" t="str" cm="1">
        <f t="array" ref="G540">SubCategorizeComment(E540)</f>
        <v>Inconsistent information from staff</v>
      </c>
    </row>
    <row r="541" spans="1:7" x14ac:dyDescent="0.25">
      <c r="A541">
        <v>15440</v>
      </c>
      <c r="B541" t="s">
        <v>4</v>
      </c>
      <c r="C541">
        <v>3</v>
      </c>
      <c r="D541" t="s">
        <v>296</v>
      </c>
      <c r="E541" t="s">
        <v>296</v>
      </c>
      <c r="F541" t="str" cm="1">
        <f t="array" ref="F541">CategorizeComment(E541)</f>
        <v>Communication and understanding issues</v>
      </c>
      <c r="G541" t="str" cm="1">
        <f t="array" ref="G541">SubCategorizeComment(E541)</f>
        <v>Inconsistent information from staff</v>
      </c>
    </row>
    <row r="542" spans="1:7" x14ac:dyDescent="0.25">
      <c r="A542">
        <v>122210</v>
      </c>
      <c r="B542" t="s">
        <v>4</v>
      </c>
      <c r="C542">
        <v>4</v>
      </c>
      <c r="D542" t="s">
        <v>2054</v>
      </c>
      <c r="E542" t="s">
        <v>2054</v>
      </c>
      <c r="F542" t="str" cm="1">
        <f t="array" ref="F542">CategorizeComment(E542)</f>
        <v>Other</v>
      </c>
      <c r="G542" t="str" cm="1">
        <f t="array" ref="G542">SubCategorizeComment(E542)</f>
        <v>Other</v>
      </c>
    </row>
    <row r="543" spans="1:7" x14ac:dyDescent="0.25">
      <c r="A543">
        <v>96987</v>
      </c>
      <c r="B543" t="s">
        <v>4</v>
      </c>
      <c r="C543">
        <v>4</v>
      </c>
      <c r="D543" t="s">
        <v>1678</v>
      </c>
      <c r="E543" t="s">
        <v>1678</v>
      </c>
      <c r="F543" t="str" cm="1">
        <f t="array" ref="F543">CategorizeComment(E543)</f>
        <v>Other</v>
      </c>
      <c r="G543" t="str" cm="1">
        <f t="array" ref="G543">SubCategorizeComment(E543)</f>
        <v>Other</v>
      </c>
    </row>
    <row r="544" spans="1:7" x14ac:dyDescent="0.25">
      <c r="A544">
        <v>26410</v>
      </c>
      <c r="B544" t="s">
        <v>4</v>
      </c>
      <c r="C544">
        <v>3</v>
      </c>
      <c r="D544" t="s">
        <v>526</v>
      </c>
      <c r="E544" t="s">
        <v>526</v>
      </c>
      <c r="F544" t="str" cm="1">
        <f t="array" ref="F544">CategorizeComment(E544)</f>
        <v>Other</v>
      </c>
      <c r="G544" t="str" cm="1">
        <f t="array" ref="G544">SubCategorizeComment(E544)</f>
        <v>Other</v>
      </c>
    </row>
    <row r="545" spans="1:7" x14ac:dyDescent="0.25">
      <c r="A545">
        <v>127557</v>
      </c>
      <c r="B545" t="s">
        <v>4</v>
      </c>
      <c r="C545">
        <v>4</v>
      </c>
      <c r="D545" t="s">
        <v>2139</v>
      </c>
      <c r="E545" t="s">
        <v>2139</v>
      </c>
      <c r="F545" t="str" cm="1">
        <f t="array" ref="F545">CategorizeComment(E545)</f>
        <v>Other</v>
      </c>
      <c r="G545" t="str" cm="1">
        <f t="array" ref="G545">SubCategorizeComment(E545)</f>
        <v>Other</v>
      </c>
    </row>
    <row r="546" spans="1:7" x14ac:dyDescent="0.25">
      <c r="A546">
        <v>97530</v>
      </c>
      <c r="B546" t="s">
        <v>4</v>
      </c>
      <c r="C546">
        <v>3</v>
      </c>
      <c r="D546" t="s">
        <v>1691</v>
      </c>
      <c r="E546" t="s">
        <v>1691</v>
      </c>
      <c r="F546" t="str" cm="1">
        <f t="array" ref="F546">CategorizeComment(E546)</f>
        <v>Other</v>
      </c>
      <c r="G546" t="str" cm="1">
        <f t="array" ref="G546">SubCategorizeComment(E546)</f>
        <v>Other</v>
      </c>
    </row>
    <row r="547" spans="1:7" x14ac:dyDescent="0.25">
      <c r="A547">
        <v>59109</v>
      </c>
      <c r="B547" t="s">
        <v>4</v>
      </c>
      <c r="C547">
        <v>3</v>
      </c>
      <c r="D547" t="s">
        <v>1103</v>
      </c>
      <c r="E547" t="s">
        <v>1103</v>
      </c>
      <c r="F547" t="str" cm="1">
        <f t="array" ref="F547">CategorizeComment(E547)</f>
        <v>Other</v>
      </c>
      <c r="G547" t="str" cm="1">
        <f t="array" ref="G547">SubCategorizeComment(E547)</f>
        <v>Other</v>
      </c>
    </row>
    <row r="548" spans="1:7" x14ac:dyDescent="0.25">
      <c r="A548">
        <v>28696</v>
      </c>
      <c r="B548" t="s">
        <v>4</v>
      </c>
      <c r="C548">
        <v>3</v>
      </c>
      <c r="D548" t="s">
        <v>566</v>
      </c>
      <c r="E548" t="s">
        <v>566</v>
      </c>
      <c r="F548" t="str" cm="1">
        <f t="array" ref="F548">CategorizeComment(E548)</f>
        <v>Other</v>
      </c>
      <c r="G548" t="str" cm="1">
        <f t="array" ref="G548">SubCategorizeComment(E548)</f>
        <v>Other</v>
      </c>
    </row>
    <row r="549" spans="1:7" x14ac:dyDescent="0.25">
      <c r="A549">
        <v>4073</v>
      </c>
      <c r="B549" t="s">
        <v>4</v>
      </c>
      <c r="C549">
        <v>3</v>
      </c>
      <c r="D549" t="s">
        <v>88</v>
      </c>
      <c r="E549" t="s">
        <v>88</v>
      </c>
      <c r="F549" t="str" cm="1">
        <f t="array" ref="F549">CategorizeComment(E549)</f>
        <v>Other</v>
      </c>
      <c r="G549" t="str" cm="1">
        <f t="array" ref="G549">SubCategorizeComment(E549)</f>
        <v>Other</v>
      </c>
    </row>
    <row r="550" spans="1:7" x14ac:dyDescent="0.25">
      <c r="A550">
        <v>10879</v>
      </c>
      <c r="B550" t="s">
        <v>4</v>
      </c>
      <c r="C550">
        <v>3</v>
      </c>
      <c r="D550" t="s">
        <v>215</v>
      </c>
      <c r="E550" t="s">
        <v>215</v>
      </c>
      <c r="F550" t="str" cm="1">
        <f t="array" ref="F550">CategorizeComment(E550)</f>
        <v>Other</v>
      </c>
      <c r="G550" t="str" cm="1">
        <f t="array" ref="G550">SubCategorizeComment(E550)</f>
        <v>Other</v>
      </c>
    </row>
    <row r="551" spans="1:7" x14ac:dyDescent="0.25">
      <c r="A551">
        <v>73949</v>
      </c>
      <c r="B551" t="s">
        <v>4</v>
      </c>
      <c r="C551">
        <v>3</v>
      </c>
      <c r="D551" t="s">
        <v>1342</v>
      </c>
      <c r="E551" t="s">
        <v>1342</v>
      </c>
      <c r="F551" t="str" cm="1">
        <f t="array" ref="F551">CategorizeComment(E551)</f>
        <v>Other</v>
      </c>
      <c r="G551" t="str" cm="1">
        <f t="array" ref="G551">SubCategorizeComment(E551)</f>
        <v>Other</v>
      </c>
    </row>
    <row r="552" spans="1:7" x14ac:dyDescent="0.25">
      <c r="A552">
        <v>115526</v>
      </c>
      <c r="B552" t="s">
        <v>4</v>
      </c>
      <c r="C552">
        <v>4</v>
      </c>
      <c r="D552" t="s">
        <v>1956</v>
      </c>
      <c r="E552" t="s">
        <v>1956</v>
      </c>
      <c r="F552" t="str" cm="1">
        <f t="array" ref="F552">CategorizeComment(E552)</f>
        <v>Other</v>
      </c>
      <c r="G552" t="str" cm="1">
        <f t="array" ref="G552">SubCategorizeComment(E552)</f>
        <v>Other</v>
      </c>
    </row>
    <row r="553" spans="1:7" x14ac:dyDescent="0.25">
      <c r="A553">
        <v>75184</v>
      </c>
      <c r="B553" t="s">
        <v>4</v>
      </c>
      <c r="C553">
        <v>3</v>
      </c>
      <c r="D553" t="s">
        <v>1361</v>
      </c>
      <c r="E553" t="s">
        <v>1361</v>
      </c>
      <c r="F553" t="str" cm="1">
        <f t="array" ref="F553">CategorizeComment(E553)</f>
        <v>Other</v>
      </c>
      <c r="G553" t="str" cm="1">
        <f t="array" ref="G553">SubCategorizeComment(E553)</f>
        <v>Other</v>
      </c>
    </row>
    <row r="554" spans="1:7" x14ac:dyDescent="0.25">
      <c r="A554">
        <v>123095</v>
      </c>
      <c r="B554" t="s">
        <v>4</v>
      </c>
      <c r="C554">
        <v>3</v>
      </c>
      <c r="D554" t="s">
        <v>2072</v>
      </c>
      <c r="E554" t="s">
        <v>2072</v>
      </c>
      <c r="F554" t="str" cm="1">
        <f t="array" ref="F554">CategorizeComment(E554)</f>
        <v>Other</v>
      </c>
      <c r="G554" t="str" cm="1">
        <f t="array" ref="G554">SubCategorizeComment(E554)</f>
        <v>Other</v>
      </c>
    </row>
    <row r="555" spans="1:7" x14ac:dyDescent="0.25">
      <c r="A555">
        <v>88546</v>
      </c>
      <c r="B555" t="s">
        <v>4</v>
      </c>
      <c r="C555">
        <v>3</v>
      </c>
      <c r="D555" t="s">
        <v>1548</v>
      </c>
      <c r="E555" t="s">
        <v>1548</v>
      </c>
      <c r="F555" t="str" cm="1">
        <f t="array" ref="F555">CategorizeComment(E555)</f>
        <v>Other</v>
      </c>
      <c r="G555" t="str" cm="1">
        <f t="array" ref="G555">SubCategorizeComment(E555)</f>
        <v>Other</v>
      </c>
    </row>
    <row r="556" spans="1:7" x14ac:dyDescent="0.25">
      <c r="A556">
        <v>83515</v>
      </c>
      <c r="B556" t="s">
        <v>4</v>
      </c>
      <c r="C556">
        <v>4</v>
      </c>
      <c r="D556" t="s">
        <v>1480</v>
      </c>
      <c r="E556" t="s">
        <v>1480</v>
      </c>
      <c r="F556" t="str" cm="1">
        <f t="array" ref="F556">CategorizeComment(E556)</f>
        <v>Service inadequacy</v>
      </c>
      <c r="G556" t="str" cm="1">
        <f t="array" ref="G556">SubCategorizeComment(E556)</f>
        <v>Baggage issues</v>
      </c>
    </row>
    <row r="557" spans="1:7" x14ac:dyDescent="0.25">
      <c r="A557">
        <v>83581</v>
      </c>
      <c r="B557" t="s">
        <v>4</v>
      </c>
      <c r="C557">
        <v>3</v>
      </c>
      <c r="D557" t="s">
        <v>1481</v>
      </c>
      <c r="E557" t="s">
        <v>1481</v>
      </c>
      <c r="F557" t="str" cm="1">
        <f t="array" ref="F557">CategorizeComment(E557)</f>
        <v>Other</v>
      </c>
      <c r="G557" t="str" cm="1">
        <f t="array" ref="G557">SubCategorizeComment(E557)</f>
        <v>Other</v>
      </c>
    </row>
    <row r="558" spans="1:7" x14ac:dyDescent="0.25">
      <c r="A558">
        <v>89347</v>
      </c>
      <c r="B558" t="s">
        <v>4</v>
      </c>
      <c r="C558">
        <v>3</v>
      </c>
      <c r="D558" t="s">
        <v>1561</v>
      </c>
      <c r="E558" t="s">
        <v>1561</v>
      </c>
      <c r="F558" t="str" cm="1">
        <f t="array" ref="F558">CategorizeComment(E558)</f>
        <v>Other</v>
      </c>
      <c r="G558" t="str" cm="1">
        <f t="array" ref="G558">SubCategorizeComment(E558)</f>
        <v>Other</v>
      </c>
    </row>
    <row r="559" spans="1:7" x14ac:dyDescent="0.25">
      <c r="A559">
        <v>87571</v>
      </c>
      <c r="B559" t="s">
        <v>4</v>
      </c>
      <c r="C559">
        <v>3</v>
      </c>
      <c r="D559" t="s">
        <v>1527</v>
      </c>
      <c r="E559" t="s">
        <v>1527</v>
      </c>
      <c r="F559" t="str" cm="1">
        <f t="array" ref="F559">CategorizeComment(E559)</f>
        <v>Other</v>
      </c>
      <c r="G559" t="str" cm="1">
        <f t="array" ref="G559">SubCategorizeComment(E559)</f>
        <v>Other</v>
      </c>
    </row>
    <row r="560" spans="1:7" x14ac:dyDescent="0.25">
      <c r="A560">
        <v>83115</v>
      </c>
      <c r="B560" t="s">
        <v>4</v>
      </c>
      <c r="C560">
        <v>4</v>
      </c>
      <c r="D560" t="s">
        <v>1475</v>
      </c>
      <c r="E560" t="s">
        <v>1475</v>
      </c>
      <c r="F560" t="str" cm="1">
        <f t="array" ref="F560">CategorizeComment(E560)</f>
        <v>Other</v>
      </c>
      <c r="G560" t="str" cm="1">
        <f t="array" ref="G560">SubCategorizeComment(E560)</f>
        <v>Other</v>
      </c>
    </row>
    <row r="561" spans="1:7" x14ac:dyDescent="0.25">
      <c r="A561">
        <v>87146</v>
      </c>
      <c r="B561" t="s">
        <v>4</v>
      </c>
      <c r="C561">
        <v>3</v>
      </c>
      <c r="D561" t="s">
        <v>1524</v>
      </c>
      <c r="E561" t="s">
        <v>1524</v>
      </c>
      <c r="F561" t="str" cm="1">
        <f t="array" ref="F561">CategorizeComment(E561)</f>
        <v>Other</v>
      </c>
      <c r="G561" t="str" cm="1">
        <f t="array" ref="G561">SubCategorizeComment(E561)</f>
        <v>Other</v>
      </c>
    </row>
    <row r="562" spans="1:7" x14ac:dyDescent="0.25">
      <c r="A562">
        <v>100579</v>
      </c>
      <c r="B562" t="s">
        <v>4</v>
      </c>
      <c r="C562">
        <v>3</v>
      </c>
      <c r="D562" t="s">
        <v>1730</v>
      </c>
      <c r="E562" t="s">
        <v>1730</v>
      </c>
      <c r="F562" t="str" cm="1">
        <f t="array" ref="F562">CategorizeComment(E562)</f>
        <v>Other</v>
      </c>
      <c r="G562" t="str" cm="1">
        <f t="array" ref="G562">SubCategorizeComment(E562)</f>
        <v>Other</v>
      </c>
    </row>
    <row r="563" spans="1:7" x14ac:dyDescent="0.25">
      <c r="A563">
        <v>26348</v>
      </c>
      <c r="B563" t="s">
        <v>4</v>
      </c>
      <c r="C563">
        <v>4</v>
      </c>
      <c r="D563" t="s">
        <v>525</v>
      </c>
      <c r="E563" t="s">
        <v>525</v>
      </c>
      <c r="F563" t="str" cm="1">
        <f t="array" ref="F563">CategorizeComment(E563)</f>
        <v>Other</v>
      </c>
      <c r="G563" t="str" cm="1">
        <f t="array" ref="G563">SubCategorizeComment(E563)</f>
        <v>Other</v>
      </c>
    </row>
    <row r="564" spans="1:7" x14ac:dyDescent="0.25">
      <c r="A564">
        <v>81424</v>
      </c>
      <c r="B564" t="s">
        <v>4</v>
      </c>
      <c r="C564">
        <v>4</v>
      </c>
      <c r="D564" t="s">
        <v>1454</v>
      </c>
      <c r="E564" t="s">
        <v>1454</v>
      </c>
      <c r="F564" t="str" cm="1">
        <f t="array" ref="F564">CategorizeComment(E564)</f>
        <v>Other</v>
      </c>
      <c r="G564" t="str" cm="1">
        <f t="array" ref="G564">SubCategorizeComment(E564)</f>
        <v>Other</v>
      </c>
    </row>
    <row r="565" spans="1:7" x14ac:dyDescent="0.25">
      <c r="A565">
        <v>69499</v>
      </c>
      <c r="B565" t="s">
        <v>4</v>
      </c>
      <c r="C565">
        <v>4</v>
      </c>
      <c r="D565" t="s">
        <v>1270</v>
      </c>
      <c r="E565" t="s">
        <v>1270</v>
      </c>
      <c r="F565" t="str" cm="1">
        <f t="array" ref="F565">CategorizeComment(E565)</f>
        <v>Other</v>
      </c>
      <c r="G565" t="str" cm="1">
        <f t="array" ref="G565">SubCategorizeComment(E565)</f>
        <v>Other</v>
      </c>
    </row>
    <row r="566" spans="1:7" x14ac:dyDescent="0.25">
      <c r="A566">
        <v>56280</v>
      </c>
      <c r="B566" t="s">
        <v>4</v>
      </c>
      <c r="C566">
        <v>3</v>
      </c>
      <c r="D566" t="s">
        <v>1050</v>
      </c>
      <c r="E566" t="s">
        <v>1050</v>
      </c>
      <c r="F566" t="str" cm="1">
        <f t="array" ref="F566">CategorizeComment(E566)</f>
        <v>Other</v>
      </c>
      <c r="G566" t="str" cm="1">
        <f t="array" ref="G566">SubCategorizeComment(E566)</f>
        <v>Other</v>
      </c>
    </row>
    <row r="567" spans="1:7" x14ac:dyDescent="0.25">
      <c r="A567">
        <v>23221</v>
      </c>
      <c r="B567" t="s">
        <v>4</v>
      </c>
      <c r="C567">
        <v>3</v>
      </c>
      <c r="D567" t="s">
        <v>472</v>
      </c>
      <c r="E567" t="s">
        <v>472</v>
      </c>
      <c r="F567" t="str" cm="1">
        <f t="array" ref="F567">CategorizeComment(E567)</f>
        <v>Service inadequacy</v>
      </c>
      <c r="G567" t="str" cm="1">
        <f t="array" ref="G567">SubCategorizeComment(E567)</f>
        <v>Other</v>
      </c>
    </row>
    <row r="568" spans="1:7" x14ac:dyDescent="0.25">
      <c r="A568">
        <v>21292</v>
      </c>
      <c r="B568" t="s">
        <v>4</v>
      </c>
      <c r="C568">
        <v>4</v>
      </c>
      <c r="D568" t="s">
        <v>434</v>
      </c>
      <c r="E568" t="s">
        <v>434</v>
      </c>
      <c r="F568" t="str" cm="1">
        <f t="array" ref="F568">CategorizeComment(E568)</f>
        <v>Service inadequacy</v>
      </c>
      <c r="G568" t="str" cm="1">
        <f t="array" ref="G568">SubCategorizeComment(E568)</f>
        <v>Customer service issues</v>
      </c>
    </row>
    <row r="569" spans="1:7" x14ac:dyDescent="0.25">
      <c r="A569">
        <v>46602</v>
      </c>
      <c r="B569" t="s">
        <v>4</v>
      </c>
      <c r="C569">
        <v>3</v>
      </c>
      <c r="D569" t="s">
        <v>884</v>
      </c>
      <c r="E569" t="s">
        <v>884</v>
      </c>
      <c r="F569" t="str" cm="1">
        <f t="array" ref="F569">CategorizeComment(E569)</f>
        <v>Service inadequacy</v>
      </c>
      <c r="G569" t="str" cm="1">
        <f t="array" ref="G569">SubCategorizeComment(E569)</f>
        <v>Baggage issues</v>
      </c>
    </row>
    <row r="570" spans="1:7" x14ac:dyDescent="0.25">
      <c r="A570">
        <v>66869</v>
      </c>
      <c r="B570" t="s">
        <v>4</v>
      </c>
      <c r="C570">
        <v>3</v>
      </c>
      <c r="D570" t="s">
        <v>1233</v>
      </c>
      <c r="E570" t="s">
        <v>1233</v>
      </c>
      <c r="F570" t="str" cm="1">
        <f t="array" ref="F570">CategorizeComment(E570)</f>
        <v>Service inadequacy</v>
      </c>
      <c r="G570" t="str" cm="1">
        <f t="array" ref="G570">SubCategorizeComment(E570)</f>
        <v>Other</v>
      </c>
    </row>
    <row r="571" spans="1:7" x14ac:dyDescent="0.25">
      <c r="A571">
        <v>14795</v>
      </c>
      <c r="B571" t="s">
        <v>4</v>
      </c>
      <c r="C571">
        <v>3</v>
      </c>
      <c r="D571" t="s">
        <v>288</v>
      </c>
      <c r="E571" t="s">
        <v>288</v>
      </c>
      <c r="F571" t="str" cm="1">
        <f t="array" ref="F571">CategorizeComment(E571)</f>
        <v>Other</v>
      </c>
      <c r="G571" t="str" cm="1">
        <f t="array" ref="G571">SubCategorizeComment(E571)</f>
        <v>Customer service issues</v>
      </c>
    </row>
    <row r="572" spans="1:7" x14ac:dyDescent="0.25">
      <c r="A572">
        <v>63417</v>
      </c>
      <c r="B572" t="s">
        <v>4</v>
      </c>
      <c r="C572">
        <v>4</v>
      </c>
      <c r="D572" t="s">
        <v>1181</v>
      </c>
      <c r="E572" t="s">
        <v>1181</v>
      </c>
      <c r="F572" t="str" cm="1">
        <f t="array" ref="F572">CategorizeComment(E572)</f>
        <v>Other</v>
      </c>
      <c r="G572" t="str" cm="1">
        <f t="array" ref="G572">SubCategorizeComment(E572)</f>
        <v>Customer service issues</v>
      </c>
    </row>
    <row r="573" spans="1:7" x14ac:dyDescent="0.25">
      <c r="A573">
        <v>75741</v>
      </c>
      <c r="B573" t="s">
        <v>4</v>
      </c>
      <c r="C573">
        <v>3</v>
      </c>
      <c r="D573" t="s">
        <v>1370</v>
      </c>
      <c r="E573" t="s">
        <v>1370</v>
      </c>
      <c r="F573" t="str" cm="1">
        <f t="array" ref="F573">CategorizeComment(E573)</f>
        <v>Other</v>
      </c>
      <c r="G573" t="str" cm="1">
        <f t="array" ref="G573">SubCategorizeComment(E573)</f>
        <v>Customer service issues</v>
      </c>
    </row>
    <row r="574" spans="1:7" x14ac:dyDescent="0.25">
      <c r="A574">
        <v>95558</v>
      </c>
      <c r="B574" t="s">
        <v>4</v>
      </c>
      <c r="C574">
        <v>3</v>
      </c>
      <c r="D574" t="s">
        <v>1659</v>
      </c>
      <c r="E574" t="s">
        <v>1659</v>
      </c>
      <c r="F574" t="str" cm="1">
        <f t="array" ref="F574">CategorizeComment(E574)</f>
        <v>Other</v>
      </c>
      <c r="G574" t="str" cm="1">
        <f t="array" ref="G574">SubCategorizeComment(E574)</f>
        <v>Customer service issues</v>
      </c>
    </row>
    <row r="575" spans="1:7" x14ac:dyDescent="0.25">
      <c r="A575">
        <v>42338</v>
      </c>
      <c r="B575" t="s">
        <v>4</v>
      </c>
      <c r="C575">
        <v>3</v>
      </c>
      <c r="D575" t="s">
        <v>796</v>
      </c>
      <c r="E575" t="s">
        <v>796</v>
      </c>
      <c r="F575" t="str" cm="1">
        <f t="array" ref="F575">CategorizeComment(E575)</f>
        <v>Other</v>
      </c>
      <c r="G575" t="str" cm="1">
        <f t="array" ref="G575">SubCategorizeComment(E575)</f>
        <v>Other</v>
      </c>
    </row>
    <row r="576" spans="1:7" x14ac:dyDescent="0.25">
      <c r="A576">
        <v>51523</v>
      </c>
      <c r="B576" t="s">
        <v>4</v>
      </c>
      <c r="C576">
        <v>4</v>
      </c>
      <c r="D576" t="s">
        <v>966</v>
      </c>
      <c r="E576" t="s">
        <v>966</v>
      </c>
      <c r="F576" t="str" cm="1">
        <f t="array" ref="F576">CategorizeComment(E576)</f>
        <v>Other</v>
      </c>
      <c r="G576" t="str" cm="1">
        <f t="array" ref="G576">SubCategorizeComment(E576)</f>
        <v>Other</v>
      </c>
    </row>
    <row r="577" spans="1:7" x14ac:dyDescent="0.25">
      <c r="A577">
        <v>88399</v>
      </c>
      <c r="B577" t="s">
        <v>4</v>
      </c>
      <c r="C577">
        <v>3</v>
      </c>
      <c r="D577" t="s">
        <v>1543</v>
      </c>
      <c r="E577" t="s">
        <v>1543</v>
      </c>
      <c r="F577" t="str" cm="1">
        <f t="array" ref="F577">CategorizeComment(E577)</f>
        <v>Professionalism and behavior issues</v>
      </c>
      <c r="G577" t="str" cm="1">
        <f t="array" ref="G577">SubCategorizeComment(E577)</f>
        <v>Other</v>
      </c>
    </row>
    <row r="578" spans="1:7" x14ac:dyDescent="0.25">
      <c r="A578">
        <v>125356</v>
      </c>
      <c r="B578" t="s">
        <v>4</v>
      </c>
      <c r="C578">
        <v>4</v>
      </c>
      <c r="D578" t="s">
        <v>2109</v>
      </c>
      <c r="E578" t="s">
        <v>2109</v>
      </c>
      <c r="F578" t="str" cm="1">
        <f t="array" ref="F578">CategorizeComment(E578)</f>
        <v>Professionalism and behavior issues</v>
      </c>
      <c r="G578" t="str" cm="1">
        <f t="array" ref="G578">SubCategorizeComment(E578)</f>
        <v>Other</v>
      </c>
    </row>
    <row r="579" spans="1:7" x14ac:dyDescent="0.25">
      <c r="A579">
        <v>123999</v>
      </c>
      <c r="B579" t="s">
        <v>4</v>
      </c>
      <c r="C579">
        <v>4</v>
      </c>
      <c r="D579" t="s">
        <v>2087</v>
      </c>
      <c r="E579" t="s">
        <v>2087</v>
      </c>
      <c r="F579" t="str" cm="1">
        <f t="array" ref="F579">CategorizeComment(E579)</f>
        <v>Service inadequacy</v>
      </c>
      <c r="G579" t="str" cm="1">
        <f t="array" ref="G579">SubCategorizeComment(E579)</f>
        <v>Other</v>
      </c>
    </row>
    <row r="580" spans="1:7" x14ac:dyDescent="0.25">
      <c r="A580">
        <v>81771</v>
      </c>
      <c r="B580" t="s">
        <v>4</v>
      </c>
      <c r="C580">
        <v>4</v>
      </c>
      <c r="D580" t="s">
        <v>1456</v>
      </c>
      <c r="E580" t="s">
        <v>1456</v>
      </c>
      <c r="F580" t="str" cm="1">
        <f t="array" ref="F580">CategorizeComment(E580)</f>
        <v>Service inadequacy</v>
      </c>
      <c r="G580" t="str" cm="1">
        <f t="array" ref="G580">SubCategorizeComment(E580)</f>
        <v>Other</v>
      </c>
    </row>
    <row r="581" spans="1:7" x14ac:dyDescent="0.25">
      <c r="A581">
        <v>21196</v>
      </c>
      <c r="B581" t="s">
        <v>4</v>
      </c>
      <c r="C581">
        <v>3</v>
      </c>
      <c r="D581" t="s">
        <v>429</v>
      </c>
      <c r="E581" t="s">
        <v>429</v>
      </c>
      <c r="F581" t="str" cm="1">
        <f t="array" ref="F581">CategorizeComment(E581)</f>
        <v>Service inadequacy</v>
      </c>
      <c r="G581" t="str" cm="1">
        <f t="array" ref="G581">SubCategorizeComment(E581)</f>
        <v>Seating issues</v>
      </c>
    </row>
    <row r="582" spans="1:7" x14ac:dyDescent="0.25">
      <c r="A582">
        <v>21693</v>
      </c>
      <c r="B582" t="s">
        <v>4</v>
      </c>
      <c r="C582">
        <v>3</v>
      </c>
      <c r="D582" t="s">
        <v>445</v>
      </c>
      <c r="E582" t="s">
        <v>445</v>
      </c>
      <c r="F582" t="str" cm="1">
        <f t="array" ref="F582">CategorizeComment(E582)</f>
        <v>Other</v>
      </c>
      <c r="G582" t="str" cm="1">
        <f t="array" ref="G582">SubCategorizeComment(E582)</f>
        <v>Customer service issues</v>
      </c>
    </row>
    <row r="583" spans="1:7" x14ac:dyDescent="0.25">
      <c r="A583">
        <v>24622</v>
      </c>
      <c r="B583" t="s">
        <v>4</v>
      </c>
      <c r="C583">
        <v>4</v>
      </c>
      <c r="D583" t="s">
        <v>499</v>
      </c>
      <c r="E583" t="s">
        <v>499</v>
      </c>
      <c r="F583" t="str" cm="1">
        <f t="array" ref="F583">CategorizeComment(E583)</f>
        <v>Other</v>
      </c>
      <c r="G583" t="str" cm="1">
        <f t="array" ref="G583">SubCategorizeComment(E583)</f>
        <v>Other</v>
      </c>
    </row>
    <row r="584" spans="1:7" x14ac:dyDescent="0.25">
      <c r="A584">
        <v>50017</v>
      </c>
      <c r="B584" t="s">
        <v>4</v>
      </c>
      <c r="C584">
        <v>4</v>
      </c>
      <c r="D584" t="s">
        <v>935</v>
      </c>
      <c r="E584" t="s">
        <v>935</v>
      </c>
      <c r="F584" t="str" cm="1">
        <f t="array" ref="F584">CategorizeComment(E584)</f>
        <v>Other</v>
      </c>
      <c r="G584" t="str" cm="1">
        <f t="array" ref="G584">SubCategorizeComment(E584)</f>
        <v>Other</v>
      </c>
    </row>
    <row r="585" spans="1:7" x14ac:dyDescent="0.25">
      <c r="A585">
        <v>109908</v>
      </c>
      <c r="B585" t="s">
        <v>4</v>
      </c>
      <c r="C585">
        <v>4</v>
      </c>
      <c r="D585" t="s">
        <v>1877</v>
      </c>
      <c r="E585" t="s">
        <v>1877</v>
      </c>
      <c r="F585" t="str" cm="1">
        <f t="array" ref="F585">CategorizeComment(E585)</f>
        <v>Communication and understanding issues</v>
      </c>
      <c r="G585" t="str" cm="1">
        <f t="array" ref="G585">SubCategorizeComment(E585)</f>
        <v>Unclear flight announcements</v>
      </c>
    </row>
    <row r="586" spans="1:7" x14ac:dyDescent="0.25">
      <c r="A586">
        <v>65513</v>
      </c>
      <c r="B586" t="s">
        <v>4</v>
      </c>
      <c r="C586">
        <v>4</v>
      </c>
      <c r="D586" t="s">
        <v>1214</v>
      </c>
      <c r="E586" t="s">
        <v>1214</v>
      </c>
      <c r="F586" t="str" cm="1">
        <f t="array" ref="F586">CategorizeComment(E586)</f>
        <v>Time-related issues</v>
      </c>
      <c r="G586" t="str" cm="1">
        <f t="array" ref="G586">SubCategorizeComment(E586)</f>
        <v>Flight delays</v>
      </c>
    </row>
    <row r="587" spans="1:7" x14ac:dyDescent="0.25">
      <c r="A587">
        <v>53728</v>
      </c>
      <c r="B587" t="s">
        <v>4</v>
      </c>
      <c r="C587">
        <v>4</v>
      </c>
      <c r="D587" t="s">
        <v>1005</v>
      </c>
      <c r="E587" t="s">
        <v>1005</v>
      </c>
      <c r="F587" t="str" cm="1">
        <f t="array" ref="F587">CategorizeComment(E587)</f>
        <v>Time-related issues</v>
      </c>
      <c r="G587" t="str" cm="1">
        <f t="array" ref="G587">SubCategorizeComment(E587)</f>
        <v>Flight delays</v>
      </c>
    </row>
    <row r="588" spans="1:7" x14ac:dyDescent="0.25">
      <c r="A588">
        <v>6586</v>
      </c>
      <c r="B588" t="s">
        <v>4</v>
      </c>
      <c r="C588">
        <v>4</v>
      </c>
      <c r="D588" t="s">
        <v>135</v>
      </c>
      <c r="E588" t="s">
        <v>135</v>
      </c>
      <c r="F588" t="str" cm="1">
        <f t="array" ref="F588">CategorizeComment(E588)</f>
        <v>Time-related issues</v>
      </c>
      <c r="G588" t="str" cm="1">
        <f t="array" ref="G588">SubCategorizeComment(E588)</f>
        <v>Flight delays</v>
      </c>
    </row>
    <row r="589" spans="1:7" x14ac:dyDescent="0.25">
      <c r="A589">
        <v>5688</v>
      </c>
      <c r="B589" t="s">
        <v>4</v>
      </c>
      <c r="C589">
        <v>3</v>
      </c>
      <c r="D589" t="s">
        <v>115</v>
      </c>
      <c r="E589" t="s">
        <v>115</v>
      </c>
      <c r="F589" t="str" cm="1">
        <f t="array" ref="F589">CategorizeComment(E589)</f>
        <v>Other</v>
      </c>
      <c r="G589" t="str" cm="1">
        <f t="array" ref="G589">SubCategorizeComment(E589)</f>
        <v>Other</v>
      </c>
    </row>
    <row r="590" spans="1:7" x14ac:dyDescent="0.25">
      <c r="A590">
        <v>41570</v>
      </c>
      <c r="B590" t="s">
        <v>4</v>
      </c>
      <c r="C590">
        <v>3</v>
      </c>
      <c r="D590" t="s">
        <v>784</v>
      </c>
      <c r="E590" t="s">
        <v>784</v>
      </c>
      <c r="F590" t="str" cm="1">
        <f t="array" ref="F590">CategorizeComment(E590)</f>
        <v>Time-related issues</v>
      </c>
      <c r="G590" t="str" cm="1">
        <f t="array" ref="G590">SubCategorizeComment(E590)</f>
        <v>Flight delays</v>
      </c>
    </row>
    <row r="591" spans="1:7" x14ac:dyDescent="0.25">
      <c r="A591">
        <v>53882</v>
      </c>
      <c r="B591" t="s">
        <v>4</v>
      </c>
      <c r="C591">
        <v>3</v>
      </c>
      <c r="D591" t="s">
        <v>1008</v>
      </c>
      <c r="E591" t="s">
        <v>1008</v>
      </c>
      <c r="F591" t="str" cm="1">
        <f t="array" ref="F591">CategorizeComment(E591)</f>
        <v>Time-related issues</v>
      </c>
      <c r="G591" t="str" cm="1">
        <f t="array" ref="G591">SubCategorizeComment(E591)</f>
        <v>Flight delays</v>
      </c>
    </row>
    <row r="592" spans="1:7" x14ac:dyDescent="0.25">
      <c r="A592">
        <v>112801</v>
      </c>
      <c r="B592" t="s">
        <v>4</v>
      </c>
      <c r="C592">
        <v>3</v>
      </c>
      <c r="D592" t="s">
        <v>1921</v>
      </c>
      <c r="E592" t="s">
        <v>1921</v>
      </c>
      <c r="F592" t="str" cm="1">
        <f t="array" ref="F592">CategorizeComment(E592)</f>
        <v>Communication and understanding issues</v>
      </c>
      <c r="G592" t="str" cm="1">
        <f t="array" ref="G592">SubCategorizeComment(E592)</f>
        <v>Inadequate information about travel restrictions</v>
      </c>
    </row>
    <row r="593" spans="1:7" x14ac:dyDescent="0.25">
      <c r="A593">
        <v>121330</v>
      </c>
      <c r="B593" t="s">
        <v>4</v>
      </c>
      <c r="C593">
        <v>3</v>
      </c>
      <c r="D593" t="s">
        <v>2037</v>
      </c>
      <c r="E593" t="s">
        <v>2037</v>
      </c>
      <c r="F593" t="str" cm="1">
        <f t="array" ref="F593">CategorizeComment(E593)</f>
        <v>Service inadequacy</v>
      </c>
      <c r="G593" t="str" cm="1">
        <f t="array" ref="G593">SubCategorizeComment(E593)</f>
        <v>Other</v>
      </c>
    </row>
    <row r="594" spans="1:7" x14ac:dyDescent="0.25">
      <c r="A594">
        <v>96508</v>
      </c>
      <c r="B594" t="s">
        <v>4</v>
      </c>
      <c r="C594">
        <v>4</v>
      </c>
      <c r="D594" t="s">
        <v>1669</v>
      </c>
      <c r="E594" t="s">
        <v>1669</v>
      </c>
      <c r="F594" t="str" cm="1">
        <f t="array" ref="F594">CategorizeComment(E594)</f>
        <v>Other</v>
      </c>
      <c r="G594" t="str" cm="1">
        <f t="array" ref="G594">SubCategorizeComment(E594)</f>
        <v>Other</v>
      </c>
    </row>
    <row r="595" spans="1:7" x14ac:dyDescent="0.25">
      <c r="A595">
        <v>79270</v>
      </c>
      <c r="B595" t="s">
        <v>4</v>
      </c>
      <c r="C595">
        <v>4</v>
      </c>
      <c r="D595" t="s">
        <v>1422</v>
      </c>
      <c r="E595" t="s">
        <v>1422</v>
      </c>
      <c r="F595" t="str" cm="1">
        <f t="array" ref="F595">CategorizeComment(E595)</f>
        <v>Professionalism and behavior issues</v>
      </c>
      <c r="G595" t="str" cm="1">
        <f t="array" ref="G595">SubCategorizeComment(E595)</f>
        <v>Other</v>
      </c>
    </row>
    <row r="596" spans="1:7" x14ac:dyDescent="0.25">
      <c r="A596">
        <v>14577</v>
      </c>
      <c r="B596" t="s">
        <v>4</v>
      </c>
      <c r="C596">
        <v>4</v>
      </c>
      <c r="D596" t="s">
        <v>285</v>
      </c>
      <c r="E596" t="s">
        <v>285</v>
      </c>
      <c r="F596" t="str" cm="1">
        <f t="array" ref="F596">CategorizeComment(E596)</f>
        <v>Time-related issues</v>
      </c>
      <c r="G596" t="str" cm="1">
        <f t="array" ref="G596">SubCategorizeComment(E596)</f>
        <v>Flight delays</v>
      </c>
    </row>
    <row r="597" spans="1:7" x14ac:dyDescent="0.25">
      <c r="A597">
        <v>100428</v>
      </c>
      <c r="B597" t="s">
        <v>4</v>
      </c>
      <c r="C597">
        <v>3</v>
      </c>
      <c r="D597" t="s">
        <v>1728</v>
      </c>
      <c r="E597" t="s">
        <v>1728</v>
      </c>
      <c r="F597" t="str" cm="1">
        <f t="array" ref="F597">CategorizeComment(E597)</f>
        <v>Time-related issues</v>
      </c>
      <c r="G597" t="str" cm="1">
        <f t="array" ref="G597">SubCategorizeComment(E597)</f>
        <v>Flight delays</v>
      </c>
    </row>
    <row r="598" spans="1:7" x14ac:dyDescent="0.25">
      <c r="A598">
        <v>11110</v>
      </c>
      <c r="B598" t="s">
        <v>4</v>
      </c>
      <c r="C598">
        <v>3</v>
      </c>
      <c r="D598" t="s">
        <v>221</v>
      </c>
      <c r="E598" t="s">
        <v>221</v>
      </c>
      <c r="F598" t="str" cm="1">
        <f t="array" ref="F598">CategorizeComment(E598)</f>
        <v>Time-related issues</v>
      </c>
      <c r="G598" t="str" cm="1">
        <f t="array" ref="G598">SubCategorizeComment(E598)</f>
        <v>Flight delays</v>
      </c>
    </row>
    <row r="599" spans="1:7" x14ac:dyDescent="0.25">
      <c r="A599">
        <v>26185</v>
      </c>
      <c r="B599" t="s">
        <v>4</v>
      </c>
      <c r="C599">
        <v>4</v>
      </c>
      <c r="D599" t="s">
        <v>520</v>
      </c>
      <c r="E599" t="s">
        <v>520</v>
      </c>
      <c r="F599" t="str" cm="1">
        <f t="array" ref="F599">CategorizeComment(E599)</f>
        <v>Time-related issues</v>
      </c>
      <c r="G599" t="str" cm="1">
        <f t="array" ref="G599">SubCategorizeComment(E599)</f>
        <v>Flight delays</v>
      </c>
    </row>
    <row r="600" spans="1:7" x14ac:dyDescent="0.25">
      <c r="A600">
        <v>88422</v>
      </c>
      <c r="B600" t="s">
        <v>4</v>
      </c>
      <c r="C600">
        <v>4</v>
      </c>
      <c r="D600" t="s">
        <v>1544</v>
      </c>
      <c r="E600" t="s">
        <v>1544</v>
      </c>
      <c r="F600" t="str" cm="1">
        <f t="array" ref="F600">CategorizeComment(E600)</f>
        <v>Other</v>
      </c>
      <c r="G600" t="str" cm="1">
        <f t="array" ref="G600">SubCategorizeComment(E600)</f>
        <v>Other</v>
      </c>
    </row>
    <row r="601" spans="1:7" x14ac:dyDescent="0.25">
      <c r="A601">
        <v>77860</v>
      </c>
      <c r="B601" t="s">
        <v>4</v>
      </c>
      <c r="C601">
        <v>4</v>
      </c>
      <c r="D601" t="s">
        <v>1401</v>
      </c>
      <c r="E601" t="s">
        <v>1401</v>
      </c>
      <c r="F601" t="str" cm="1">
        <f t="array" ref="F601">CategorizeComment(E601)</f>
        <v>Other</v>
      </c>
      <c r="G601" t="str" cm="1">
        <f t="array" ref="G601">SubCategorizeComment(E601)</f>
        <v>Other</v>
      </c>
    </row>
    <row r="602" spans="1:7" x14ac:dyDescent="0.25">
      <c r="A602">
        <v>106461</v>
      </c>
      <c r="B602" t="s">
        <v>4</v>
      </c>
      <c r="C602">
        <v>4</v>
      </c>
      <c r="D602" t="s">
        <v>1819</v>
      </c>
      <c r="E602" t="s">
        <v>1819</v>
      </c>
      <c r="F602" t="str" cm="1">
        <f t="array" ref="F602">CategorizeComment(E602)</f>
        <v>Other</v>
      </c>
      <c r="G602" t="str" cm="1">
        <f t="array" ref="G602">SubCategorizeComment(E602)</f>
        <v>Other</v>
      </c>
    </row>
    <row r="603" spans="1:7" x14ac:dyDescent="0.25">
      <c r="A603">
        <v>35473</v>
      </c>
      <c r="B603" t="s">
        <v>4</v>
      </c>
      <c r="C603">
        <v>4</v>
      </c>
      <c r="D603" t="s">
        <v>676</v>
      </c>
      <c r="E603" t="s">
        <v>676</v>
      </c>
      <c r="F603" t="str" cm="1">
        <f t="array" ref="F603">CategorizeComment(E603)</f>
        <v>Other</v>
      </c>
      <c r="G603" t="str" cm="1">
        <f t="array" ref="G603">SubCategorizeComment(E603)</f>
        <v>Other</v>
      </c>
    </row>
    <row r="604" spans="1:7" x14ac:dyDescent="0.25">
      <c r="A604">
        <v>64216</v>
      </c>
      <c r="B604" t="s">
        <v>4</v>
      </c>
      <c r="C604">
        <v>3</v>
      </c>
      <c r="D604" t="s">
        <v>1199</v>
      </c>
      <c r="E604" t="s">
        <v>1199</v>
      </c>
      <c r="F604" t="str" cm="1">
        <f t="array" ref="F604">CategorizeComment(E604)</f>
        <v>Time-related issues</v>
      </c>
      <c r="G604" t="str" cm="1">
        <f t="array" ref="G604">SubCategorizeComment(E604)</f>
        <v>Long waits</v>
      </c>
    </row>
    <row r="605" spans="1:7" x14ac:dyDescent="0.25">
      <c r="A605">
        <v>31181</v>
      </c>
      <c r="B605" t="s">
        <v>4</v>
      </c>
      <c r="C605">
        <v>3</v>
      </c>
      <c r="D605" t="s">
        <v>603</v>
      </c>
      <c r="E605" t="s">
        <v>603</v>
      </c>
      <c r="F605" t="str" cm="1">
        <f t="array" ref="F605">CategorizeComment(E605)</f>
        <v>Time-related issues</v>
      </c>
      <c r="G605" t="str" cm="1">
        <f t="array" ref="G605">SubCategorizeComment(E605)</f>
        <v>Flight delays</v>
      </c>
    </row>
    <row r="606" spans="1:7" x14ac:dyDescent="0.25">
      <c r="A606">
        <v>52080</v>
      </c>
      <c r="B606" t="s">
        <v>4</v>
      </c>
      <c r="C606">
        <v>4</v>
      </c>
      <c r="D606" t="s">
        <v>974</v>
      </c>
      <c r="E606" t="s">
        <v>974</v>
      </c>
      <c r="F606" t="str" cm="1">
        <f t="array" ref="F606">CategorizeComment(E606)</f>
        <v>Service inadequacy</v>
      </c>
      <c r="G606" t="str" cm="1">
        <f t="array" ref="G606">SubCategorizeComment(E606)</f>
        <v>Other</v>
      </c>
    </row>
    <row r="607" spans="1:7" x14ac:dyDescent="0.25">
      <c r="A607">
        <v>90743</v>
      </c>
      <c r="B607" t="s">
        <v>4</v>
      </c>
      <c r="C607">
        <v>3</v>
      </c>
      <c r="D607" t="s">
        <v>1578</v>
      </c>
      <c r="E607" t="s">
        <v>1578</v>
      </c>
      <c r="F607" t="str" cm="1">
        <f t="array" ref="F607">CategorizeComment(E607)</f>
        <v>Service inadequacy</v>
      </c>
      <c r="G607" t="str" cm="1">
        <f t="array" ref="G607">SubCategorizeComment(E607)</f>
        <v>Other</v>
      </c>
    </row>
    <row r="608" spans="1:7" x14ac:dyDescent="0.25">
      <c r="A608">
        <v>70966</v>
      </c>
      <c r="B608" t="s">
        <v>4</v>
      </c>
      <c r="C608">
        <v>4</v>
      </c>
      <c r="D608" t="s">
        <v>1292</v>
      </c>
      <c r="E608" t="s">
        <v>1292</v>
      </c>
      <c r="F608" t="str" cm="1">
        <f t="array" ref="F608">CategorizeComment(E608)</f>
        <v>Time-related issues</v>
      </c>
      <c r="G608" t="str" cm="1">
        <f t="array" ref="G608">SubCategorizeComment(E608)</f>
        <v>Flight delays</v>
      </c>
    </row>
    <row r="609" spans="1:7" x14ac:dyDescent="0.25">
      <c r="A609">
        <v>68301</v>
      </c>
      <c r="B609" t="s">
        <v>4</v>
      </c>
      <c r="C609">
        <v>3</v>
      </c>
      <c r="D609" t="s">
        <v>1251</v>
      </c>
      <c r="E609" t="s">
        <v>1251</v>
      </c>
      <c r="F609" t="str" cm="1">
        <f t="array" ref="F609">CategorizeComment(E609)</f>
        <v>Time-related issues</v>
      </c>
      <c r="G609" t="str" cm="1">
        <f t="array" ref="G609">SubCategorizeComment(E609)</f>
        <v>Flight delays</v>
      </c>
    </row>
    <row r="610" spans="1:7" x14ac:dyDescent="0.25">
      <c r="A610">
        <v>106338</v>
      </c>
      <c r="B610" t="s">
        <v>4</v>
      </c>
      <c r="C610">
        <v>3</v>
      </c>
      <c r="D610" t="s">
        <v>1816</v>
      </c>
      <c r="E610" t="s">
        <v>1816</v>
      </c>
      <c r="F610" t="str" cm="1">
        <f t="array" ref="F610">CategorizeComment(E610)</f>
        <v>Time-related issues</v>
      </c>
      <c r="G610" t="str" cm="1">
        <f t="array" ref="G610">SubCategorizeComment(E610)</f>
        <v>Flight delays</v>
      </c>
    </row>
    <row r="611" spans="1:7" x14ac:dyDescent="0.25">
      <c r="A611">
        <v>57715</v>
      </c>
      <c r="B611" t="s">
        <v>4</v>
      </c>
      <c r="C611">
        <v>4</v>
      </c>
      <c r="D611" t="s">
        <v>1076</v>
      </c>
      <c r="E611" t="s">
        <v>1076</v>
      </c>
      <c r="F611" t="str" cm="1">
        <f t="array" ref="F611">CategorizeComment(E611)</f>
        <v>Time-related issues</v>
      </c>
      <c r="G611" t="str" cm="1">
        <f t="array" ref="G611">SubCategorizeComment(E611)</f>
        <v>Flight delays</v>
      </c>
    </row>
    <row r="612" spans="1:7" x14ac:dyDescent="0.25">
      <c r="A612">
        <v>67004</v>
      </c>
      <c r="B612" t="s">
        <v>4</v>
      </c>
      <c r="C612">
        <v>3</v>
      </c>
      <c r="D612" t="s">
        <v>1234</v>
      </c>
      <c r="E612" t="s">
        <v>1234</v>
      </c>
      <c r="F612" t="str" cm="1">
        <f t="array" ref="F612">CategorizeComment(E612)</f>
        <v>Time-related issues</v>
      </c>
      <c r="G612" t="str" cm="1">
        <f t="array" ref="G612">SubCategorizeComment(E612)</f>
        <v>Flight delays</v>
      </c>
    </row>
    <row r="613" spans="1:7" x14ac:dyDescent="0.25">
      <c r="A613">
        <v>29387</v>
      </c>
      <c r="B613" t="s">
        <v>4</v>
      </c>
      <c r="C613">
        <v>3</v>
      </c>
      <c r="D613" t="s">
        <v>576</v>
      </c>
      <c r="E613" t="s">
        <v>576</v>
      </c>
      <c r="F613" t="str" cm="1">
        <f t="array" ref="F613">CategorizeComment(E613)</f>
        <v>Service inadequacy</v>
      </c>
      <c r="G613" t="str" cm="1">
        <f t="array" ref="G613">SubCategorizeComment(E613)</f>
        <v>In-flight entertainment issues</v>
      </c>
    </row>
    <row r="614" spans="1:7" x14ac:dyDescent="0.25">
      <c r="A614">
        <v>10564</v>
      </c>
      <c r="B614" t="s">
        <v>4</v>
      </c>
      <c r="C614">
        <v>3</v>
      </c>
      <c r="D614" t="s">
        <v>206</v>
      </c>
      <c r="E614" t="s">
        <v>206</v>
      </c>
      <c r="F614" t="str" cm="1">
        <f t="array" ref="F614">CategorizeComment(E614)</f>
        <v>Service inadequacy</v>
      </c>
      <c r="G614" t="str" cm="1">
        <f t="array" ref="G614">SubCategorizeComment(E614)</f>
        <v>Other</v>
      </c>
    </row>
    <row r="615" spans="1:7" x14ac:dyDescent="0.25">
      <c r="A615">
        <v>81805</v>
      </c>
      <c r="B615" t="s">
        <v>4</v>
      </c>
      <c r="C615">
        <v>3</v>
      </c>
      <c r="D615" t="s">
        <v>1457</v>
      </c>
      <c r="E615" t="s">
        <v>1457</v>
      </c>
      <c r="F615" t="str" cm="1">
        <f t="array" ref="F615">CategorizeComment(E615)</f>
        <v>Service inadequacy</v>
      </c>
      <c r="G615" t="str" cm="1">
        <f t="array" ref="G615">SubCategorizeComment(E615)</f>
        <v>Other</v>
      </c>
    </row>
    <row r="616" spans="1:7" x14ac:dyDescent="0.25">
      <c r="A616">
        <v>37023</v>
      </c>
      <c r="B616" t="s">
        <v>4</v>
      </c>
      <c r="C616">
        <v>4</v>
      </c>
      <c r="D616" t="s">
        <v>707</v>
      </c>
      <c r="E616" t="s">
        <v>707</v>
      </c>
      <c r="F616" t="str" cm="1">
        <f t="array" ref="F616">CategorizeComment(E616)</f>
        <v>Time-related issues</v>
      </c>
      <c r="G616" t="str" cm="1">
        <f t="array" ref="G616">SubCategorizeComment(E616)</f>
        <v>Flight delays</v>
      </c>
    </row>
    <row r="617" spans="1:7" x14ac:dyDescent="0.25">
      <c r="A617">
        <v>5131</v>
      </c>
      <c r="B617" t="s">
        <v>4</v>
      </c>
      <c r="C617">
        <v>3</v>
      </c>
      <c r="D617" t="s">
        <v>110</v>
      </c>
      <c r="E617" t="s">
        <v>110</v>
      </c>
      <c r="F617" t="str" cm="1">
        <f t="array" ref="F617">CategorizeComment(E617)</f>
        <v>Time-related issues</v>
      </c>
      <c r="G617" t="str" cm="1">
        <f t="array" ref="G617">SubCategorizeComment(E617)</f>
        <v>Flight delays</v>
      </c>
    </row>
    <row r="618" spans="1:7" x14ac:dyDescent="0.25">
      <c r="A618">
        <v>50271</v>
      </c>
      <c r="B618" t="s">
        <v>4</v>
      </c>
      <c r="C618">
        <v>3</v>
      </c>
      <c r="D618" t="s">
        <v>943</v>
      </c>
      <c r="E618" t="s">
        <v>943</v>
      </c>
      <c r="F618" t="str" cm="1">
        <f t="array" ref="F618">CategorizeComment(E618)</f>
        <v>Service inadequacy</v>
      </c>
      <c r="G618" t="str" cm="1">
        <f t="array" ref="G618">SubCategorizeComment(E618)</f>
        <v>Other</v>
      </c>
    </row>
    <row r="619" spans="1:7" x14ac:dyDescent="0.25">
      <c r="A619">
        <v>58097</v>
      </c>
      <c r="B619" t="s">
        <v>4</v>
      </c>
      <c r="C619">
        <v>4</v>
      </c>
      <c r="D619" t="s">
        <v>1083</v>
      </c>
      <c r="E619" t="s">
        <v>1083</v>
      </c>
      <c r="F619" t="str" cm="1">
        <f t="array" ref="F619">CategorizeComment(E619)</f>
        <v>Time-related issues</v>
      </c>
      <c r="G619" t="str" cm="1">
        <f t="array" ref="G619">SubCategorizeComment(E619)</f>
        <v>Flight delays</v>
      </c>
    </row>
    <row r="620" spans="1:7" x14ac:dyDescent="0.25">
      <c r="A620">
        <v>6857</v>
      </c>
      <c r="B620" t="s">
        <v>4</v>
      </c>
      <c r="C620">
        <v>3</v>
      </c>
      <c r="D620" t="s">
        <v>138</v>
      </c>
      <c r="E620" t="s">
        <v>138</v>
      </c>
      <c r="F620" t="str" cm="1">
        <f t="array" ref="F620">CategorizeComment(E620)</f>
        <v>Service inadequacy</v>
      </c>
      <c r="G620" t="str" cm="1">
        <f t="array" ref="G620">SubCategorizeComment(E620)</f>
        <v>In-flight entertainment issues</v>
      </c>
    </row>
    <row r="621" spans="1:7" x14ac:dyDescent="0.25">
      <c r="A621">
        <v>34057</v>
      </c>
      <c r="B621" t="s">
        <v>4</v>
      </c>
      <c r="C621">
        <v>4</v>
      </c>
      <c r="D621" t="s">
        <v>647</v>
      </c>
      <c r="E621" t="s">
        <v>647</v>
      </c>
      <c r="F621" t="str" cm="1">
        <f t="array" ref="F621">CategorizeComment(E621)</f>
        <v>Service inadequacy</v>
      </c>
      <c r="G621" t="str" cm="1">
        <f t="array" ref="G621">SubCategorizeComment(E621)</f>
        <v>Other</v>
      </c>
    </row>
    <row r="622" spans="1:7" x14ac:dyDescent="0.25">
      <c r="A622">
        <v>2247</v>
      </c>
      <c r="B622" t="s">
        <v>4</v>
      </c>
      <c r="C622">
        <v>4</v>
      </c>
      <c r="D622" t="s">
        <v>51</v>
      </c>
      <c r="E622" t="s">
        <v>51</v>
      </c>
      <c r="F622" t="str" cm="1">
        <f t="array" ref="F622">CategorizeComment(E622)</f>
        <v>Time-related issues</v>
      </c>
      <c r="G622" t="str" cm="1">
        <f t="array" ref="G622">SubCategorizeComment(E622)</f>
        <v>Flight delays</v>
      </c>
    </row>
    <row r="623" spans="1:7" x14ac:dyDescent="0.25">
      <c r="A623">
        <v>5078</v>
      </c>
      <c r="B623" t="s">
        <v>4</v>
      </c>
      <c r="C623">
        <v>4</v>
      </c>
      <c r="D623" t="s">
        <v>107</v>
      </c>
      <c r="E623" t="s">
        <v>107</v>
      </c>
      <c r="F623" t="str" cm="1">
        <f t="array" ref="F623">CategorizeComment(E623)</f>
        <v>Service inadequacy</v>
      </c>
      <c r="G623" t="str" cm="1">
        <f t="array" ref="G623">SubCategorizeComment(E623)</f>
        <v>Other</v>
      </c>
    </row>
    <row r="624" spans="1:7" x14ac:dyDescent="0.25">
      <c r="A624">
        <v>53229</v>
      </c>
      <c r="B624" t="s">
        <v>4</v>
      </c>
      <c r="C624">
        <v>4</v>
      </c>
      <c r="D624" t="s">
        <v>992</v>
      </c>
      <c r="E624" t="s">
        <v>992</v>
      </c>
      <c r="F624" t="str" cm="1">
        <f t="array" ref="F624">CategorizeComment(E624)</f>
        <v>Service inadequacy</v>
      </c>
      <c r="G624" t="str" cm="1">
        <f t="array" ref="G624">SubCategorizeComment(E624)</f>
        <v>Other</v>
      </c>
    </row>
    <row r="625" spans="1:7" x14ac:dyDescent="0.25">
      <c r="A625">
        <v>2074</v>
      </c>
      <c r="B625" t="s">
        <v>4</v>
      </c>
      <c r="C625">
        <v>3</v>
      </c>
      <c r="D625" t="s">
        <v>48</v>
      </c>
      <c r="E625" t="s">
        <v>48</v>
      </c>
      <c r="F625" t="str" cm="1">
        <f t="array" ref="F625">CategorizeComment(E625)</f>
        <v>Time-related issues</v>
      </c>
      <c r="G625" t="str" cm="1">
        <f t="array" ref="G625">SubCategorizeComment(E625)</f>
        <v>Long waits</v>
      </c>
    </row>
    <row r="626" spans="1:7" x14ac:dyDescent="0.25">
      <c r="A626">
        <v>99560</v>
      </c>
      <c r="B626" t="s">
        <v>4</v>
      </c>
      <c r="C626">
        <v>4</v>
      </c>
      <c r="D626" t="s">
        <v>1720</v>
      </c>
      <c r="E626" t="s">
        <v>1720</v>
      </c>
      <c r="F626" t="str" cm="1">
        <f t="array" ref="F626">CategorizeComment(E626)</f>
        <v>Other</v>
      </c>
      <c r="G626" t="str" cm="1">
        <f t="array" ref="G626">SubCategorizeComment(E626)</f>
        <v>Other</v>
      </c>
    </row>
    <row r="627" spans="1:7" x14ac:dyDescent="0.25">
      <c r="A627">
        <v>109060</v>
      </c>
      <c r="B627" t="s">
        <v>4</v>
      </c>
      <c r="C627">
        <v>3</v>
      </c>
      <c r="D627" t="s">
        <v>1860</v>
      </c>
      <c r="E627" t="s">
        <v>1860</v>
      </c>
      <c r="F627" t="str" cm="1">
        <f t="array" ref="F627">CategorizeComment(E627)</f>
        <v>Other</v>
      </c>
      <c r="G627" t="str" cm="1">
        <f t="array" ref="G627">SubCategorizeComment(E627)</f>
        <v>Other</v>
      </c>
    </row>
    <row r="628" spans="1:7" x14ac:dyDescent="0.25">
      <c r="A628">
        <v>92573</v>
      </c>
      <c r="B628" t="s">
        <v>4</v>
      </c>
      <c r="C628">
        <v>3</v>
      </c>
      <c r="D628" t="s">
        <v>1616</v>
      </c>
      <c r="E628" t="s">
        <v>1616</v>
      </c>
      <c r="F628" t="str" cm="1">
        <f t="array" ref="F628">CategorizeComment(E628)</f>
        <v>Other</v>
      </c>
      <c r="G628" t="str" cm="1">
        <f t="array" ref="G628">SubCategorizeComment(E628)</f>
        <v>Other</v>
      </c>
    </row>
    <row r="629" spans="1:7" x14ac:dyDescent="0.25">
      <c r="A629">
        <v>54417</v>
      </c>
      <c r="B629" t="s">
        <v>4</v>
      </c>
      <c r="C629">
        <v>4</v>
      </c>
      <c r="D629" t="s">
        <v>1019</v>
      </c>
      <c r="E629" t="s">
        <v>1019</v>
      </c>
      <c r="F629" t="str" cm="1">
        <f t="array" ref="F629">CategorizeComment(E629)</f>
        <v>Other</v>
      </c>
      <c r="G629" t="str" cm="1">
        <f t="array" ref="G629">SubCategorizeComment(E629)</f>
        <v>Other</v>
      </c>
    </row>
    <row r="630" spans="1:7" x14ac:dyDescent="0.25">
      <c r="A630">
        <v>9069</v>
      </c>
      <c r="B630" t="s">
        <v>4</v>
      </c>
      <c r="C630">
        <v>4</v>
      </c>
      <c r="D630" t="s">
        <v>180</v>
      </c>
      <c r="E630" t="s">
        <v>180</v>
      </c>
      <c r="F630" t="str" cm="1">
        <f t="array" ref="F630">CategorizeComment(E630)</f>
        <v>Other</v>
      </c>
      <c r="G630" t="str" cm="1">
        <f t="array" ref="G630">SubCategorizeComment(E630)</f>
        <v>Other</v>
      </c>
    </row>
    <row r="631" spans="1:7" x14ac:dyDescent="0.25">
      <c r="A631">
        <v>93185</v>
      </c>
      <c r="B631" t="s">
        <v>4</v>
      </c>
      <c r="C631">
        <v>4</v>
      </c>
      <c r="D631" t="s">
        <v>1627</v>
      </c>
      <c r="E631" t="s">
        <v>1627</v>
      </c>
      <c r="F631" t="str" cm="1">
        <f t="array" ref="F631">CategorizeComment(E631)</f>
        <v>Other</v>
      </c>
      <c r="G631" t="str" cm="1">
        <f t="array" ref="G631">SubCategorizeComment(E631)</f>
        <v>Other</v>
      </c>
    </row>
    <row r="632" spans="1:7" x14ac:dyDescent="0.25">
      <c r="A632">
        <v>96274</v>
      </c>
      <c r="B632" t="s">
        <v>4</v>
      </c>
      <c r="C632">
        <v>4</v>
      </c>
      <c r="D632" t="s">
        <v>1668</v>
      </c>
      <c r="E632" t="s">
        <v>1668</v>
      </c>
      <c r="F632" t="str" cm="1">
        <f t="array" ref="F632">CategorizeComment(E632)</f>
        <v>Other</v>
      </c>
      <c r="G632" t="str" cm="1">
        <f t="array" ref="G632">SubCategorizeComment(E632)</f>
        <v>Other</v>
      </c>
    </row>
    <row r="633" spans="1:7" x14ac:dyDescent="0.25">
      <c r="A633">
        <v>14638</v>
      </c>
      <c r="B633" t="s">
        <v>4</v>
      </c>
      <c r="C633">
        <v>3</v>
      </c>
      <c r="D633" t="s">
        <v>287</v>
      </c>
      <c r="E633" t="s">
        <v>287</v>
      </c>
      <c r="F633" t="str" cm="1">
        <f t="array" ref="F633">CategorizeComment(E633)</f>
        <v>Other</v>
      </c>
      <c r="G633" t="str" cm="1">
        <f t="array" ref="G633">SubCategorizeComment(E633)</f>
        <v>Other</v>
      </c>
    </row>
    <row r="634" spans="1:7" x14ac:dyDescent="0.25">
      <c r="A634">
        <v>10934</v>
      </c>
      <c r="B634" t="s">
        <v>4</v>
      </c>
      <c r="C634">
        <v>3</v>
      </c>
      <c r="D634" t="s">
        <v>218</v>
      </c>
      <c r="E634" t="s">
        <v>218</v>
      </c>
      <c r="F634" t="str" cm="1">
        <f t="array" ref="F634">CategorizeComment(E634)</f>
        <v>Time-related issues</v>
      </c>
      <c r="G634" t="str" cm="1">
        <f t="array" ref="G634">SubCategorizeComment(E634)</f>
        <v>Flight delays</v>
      </c>
    </row>
    <row r="635" spans="1:7" x14ac:dyDescent="0.25">
      <c r="A635">
        <v>15419</v>
      </c>
      <c r="B635" t="s">
        <v>4</v>
      </c>
      <c r="C635">
        <v>3</v>
      </c>
      <c r="D635" t="s">
        <v>295</v>
      </c>
      <c r="E635" t="s">
        <v>295</v>
      </c>
      <c r="F635" t="str" cm="1">
        <f t="array" ref="F635">CategorizeComment(E635)</f>
        <v>Time-related issues</v>
      </c>
      <c r="G635" t="str" cm="1">
        <f t="array" ref="G635">SubCategorizeComment(E635)</f>
        <v>Flight delays</v>
      </c>
    </row>
    <row r="636" spans="1:7" x14ac:dyDescent="0.25">
      <c r="A636">
        <v>32741</v>
      </c>
      <c r="B636" t="s">
        <v>4</v>
      </c>
      <c r="C636">
        <v>4</v>
      </c>
      <c r="D636" t="s">
        <v>631</v>
      </c>
      <c r="E636" t="s">
        <v>631</v>
      </c>
      <c r="F636" t="str" cm="1">
        <f t="array" ref="F636">CategorizeComment(E636)</f>
        <v>Service inadequacy</v>
      </c>
      <c r="G636" t="str" cm="1">
        <f t="array" ref="G636">SubCategorizeComment(E636)</f>
        <v>Other</v>
      </c>
    </row>
    <row r="637" spans="1:7" x14ac:dyDescent="0.25">
      <c r="A637">
        <v>75214</v>
      </c>
      <c r="B637" t="s">
        <v>4</v>
      </c>
      <c r="C637">
        <v>4</v>
      </c>
      <c r="D637" t="s">
        <v>1363</v>
      </c>
      <c r="E637" t="s">
        <v>1363</v>
      </c>
      <c r="F637" t="str" cm="1">
        <f t="array" ref="F637">CategorizeComment(E637)</f>
        <v>Service inadequacy</v>
      </c>
      <c r="G637" t="str" cm="1">
        <f t="array" ref="G637">SubCategorizeComment(E637)</f>
        <v>Other</v>
      </c>
    </row>
    <row r="638" spans="1:7" x14ac:dyDescent="0.25">
      <c r="A638">
        <v>60469</v>
      </c>
      <c r="B638" t="s">
        <v>4</v>
      </c>
      <c r="C638">
        <v>3</v>
      </c>
      <c r="D638" t="s">
        <v>1128</v>
      </c>
      <c r="E638" t="s">
        <v>1128</v>
      </c>
      <c r="F638" t="str" cm="1">
        <f t="array" ref="F638">CategorizeComment(E638)</f>
        <v>Time-related issues</v>
      </c>
      <c r="G638" t="str" cm="1">
        <f t="array" ref="G638">SubCategorizeComment(E638)</f>
        <v>Flight delays</v>
      </c>
    </row>
    <row r="639" spans="1:7" x14ac:dyDescent="0.25">
      <c r="A639">
        <v>55078</v>
      </c>
      <c r="B639" t="s">
        <v>4</v>
      </c>
      <c r="C639">
        <v>3</v>
      </c>
      <c r="D639" t="s">
        <v>1033</v>
      </c>
      <c r="E639" t="s">
        <v>1033</v>
      </c>
      <c r="F639" t="str" cm="1">
        <f t="array" ref="F639">CategorizeComment(E639)</f>
        <v>Service inadequacy</v>
      </c>
      <c r="G639" t="str" cm="1">
        <f t="array" ref="G639">SubCategorizeComment(E639)</f>
        <v>Customer service issues</v>
      </c>
    </row>
    <row r="640" spans="1:7" x14ac:dyDescent="0.25">
      <c r="A640">
        <v>68363</v>
      </c>
      <c r="B640" t="s">
        <v>4</v>
      </c>
      <c r="C640">
        <v>4</v>
      </c>
      <c r="D640" t="s">
        <v>1252</v>
      </c>
      <c r="E640" t="s">
        <v>1252</v>
      </c>
      <c r="F640" t="str" cm="1">
        <f t="array" ref="F640">CategorizeComment(E640)</f>
        <v>Other</v>
      </c>
      <c r="G640" t="str" cm="1">
        <f t="array" ref="G640">SubCategorizeComment(E640)</f>
        <v>Other</v>
      </c>
    </row>
    <row r="641" spans="1:7" x14ac:dyDescent="0.25">
      <c r="A641">
        <v>30264</v>
      </c>
      <c r="B641" t="s">
        <v>4</v>
      </c>
      <c r="C641">
        <v>4</v>
      </c>
      <c r="D641" t="s">
        <v>590</v>
      </c>
      <c r="E641" t="s">
        <v>590</v>
      </c>
      <c r="F641" t="str" cm="1">
        <f t="array" ref="F641">CategorizeComment(E641)</f>
        <v>Communication and understanding issues</v>
      </c>
      <c r="G641" t="str" cm="1">
        <f t="array" ref="G641">SubCategorizeComment(E641)</f>
        <v>Inadequate information about travel restrictions</v>
      </c>
    </row>
    <row r="642" spans="1:7" x14ac:dyDescent="0.25">
      <c r="A642">
        <v>27840</v>
      </c>
      <c r="B642" t="s">
        <v>4</v>
      </c>
      <c r="C642">
        <v>3</v>
      </c>
      <c r="D642" t="s">
        <v>552</v>
      </c>
      <c r="E642" t="s">
        <v>552</v>
      </c>
      <c r="F642" t="str" cm="1">
        <f t="array" ref="F642">CategorizeComment(E642)</f>
        <v>Service inadequacy</v>
      </c>
      <c r="G642" t="str" cm="1">
        <f t="array" ref="G642">SubCategorizeComment(E642)</f>
        <v>Other</v>
      </c>
    </row>
    <row r="643" spans="1:7" x14ac:dyDescent="0.25">
      <c r="A643">
        <v>118655</v>
      </c>
      <c r="B643" t="s">
        <v>4</v>
      </c>
      <c r="C643">
        <v>3</v>
      </c>
      <c r="D643" t="s">
        <v>2007</v>
      </c>
      <c r="E643" t="s">
        <v>2007</v>
      </c>
      <c r="F643" t="str" cm="1">
        <f t="array" ref="F643">CategorizeComment(E643)</f>
        <v>Time-related issues</v>
      </c>
      <c r="G643" t="str" cm="1">
        <f t="array" ref="G643">SubCategorizeComment(E643)</f>
        <v>Flight delays</v>
      </c>
    </row>
    <row r="644" spans="1:7" x14ac:dyDescent="0.25">
      <c r="A644">
        <v>87115</v>
      </c>
      <c r="B644" t="s">
        <v>4</v>
      </c>
      <c r="C644">
        <v>3</v>
      </c>
      <c r="D644" t="s">
        <v>1521</v>
      </c>
      <c r="E644" t="s">
        <v>1521</v>
      </c>
      <c r="F644" t="str" cm="1">
        <f t="array" ref="F644">CategorizeComment(E644)</f>
        <v>Time-related issues</v>
      </c>
      <c r="G644" t="str" cm="1">
        <f t="array" ref="G644">SubCategorizeComment(E644)</f>
        <v>Flight delays</v>
      </c>
    </row>
    <row r="645" spans="1:7" x14ac:dyDescent="0.25">
      <c r="A645">
        <v>20108</v>
      </c>
      <c r="B645" t="s">
        <v>4</v>
      </c>
      <c r="C645">
        <v>3</v>
      </c>
      <c r="D645" t="s">
        <v>407</v>
      </c>
      <c r="E645" t="s">
        <v>407</v>
      </c>
      <c r="F645" t="str" cm="1">
        <f t="array" ref="F645">CategorizeComment(E645)</f>
        <v>Time-related issues</v>
      </c>
      <c r="G645" t="str" cm="1">
        <f t="array" ref="G645">SubCategorizeComment(E645)</f>
        <v>Flight delays</v>
      </c>
    </row>
    <row r="646" spans="1:7" x14ac:dyDescent="0.25">
      <c r="A646">
        <v>91025</v>
      </c>
      <c r="B646" t="s">
        <v>4</v>
      </c>
      <c r="C646">
        <v>3</v>
      </c>
      <c r="D646" t="s">
        <v>1586</v>
      </c>
      <c r="E646" t="s">
        <v>1586</v>
      </c>
      <c r="F646" t="str" cm="1">
        <f t="array" ref="F646">CategorizeComment(E646)</f>
        <v>Service inadequacy</v>
      </c>
      <c r="G646" t="str" cm="1">
        <f t="array" ref="G646">SubCategorizeComment(E646)</f>
        <v>Other</v>
      </c>
    </row>
    <row r="647" spans="1:7" x14ac:dyDescent="0.25">
      <c r="A647">
        <v>46529</v>
      </c>
      <c r="B647" t="s">
        <v>4</v>
      </c>
      <c r="C647">
        <v>3</v>
      </c>
      <c r="D647" t="s">
        <v>882</v>
      </c>
      <c r="E647" t="s">
        <v>882</v>
      </c>
      <c r="F647" t="str" cm="1">
        <f t="array" ref="F647">CategorizeComment(E647)</f>
        <v>Time-related issues</v>
      </c>
      <c r="G647" t="str" cm="1">
        <f t="array" ref="G647">SubCategorizeComment(E647)</f>
        <v>Flight delays</v>
      </c>
    </row>
    <row r="648" spans="1:7" x14ac:dyDescent="0.25">
      <c r="A648">
        <v>93532</v>
      </c>
      <c r="B648" t="s">
        <v>4</v>
      </c>
      <c r="C648">
        <v>3</v>
      </c>
      <c r="D648" t="s">
        <v>1635</v>
      </c>
      <c r="E648" t="s">
        <v>1635</v>
      </c>
      <c r="F648" t="str" cm="1">
        <f t="array" ref="F648">CategorizeComment(E648)</f>
        <v>Time-related issues</v>
      </c>
      <c r="G648" t="str" cm="1">
        <f t="array" ref="G648">SubCategorizeComment(E648)</f>
        <v>Long waits</v>
      </c>
    </row>
    <row r="649" spans="1:7" x14ac:dyDescent="0.25">
      <c r="A649">
        <v>56818</v>
      </c>
      <c r="B649" t="s">
        <v>4</v>
      </c>
      <c r="C649">
        <v>4</v>
      </c>
      <c r="D649" t="s">
        <v>1061</v>
      </c>
      <c r="E649" t="s">
        <v>1061</v>
      </c>
      <c r="F649" t="str" cm="1">
        <f t="array" ref="F649">CategorizeComment(E649)</f>
        <v>Time-related issues</v>
      </c>
      <c r="G649" t="str" cm="1">
        <f t="array" ref="G649">SubCategorizeComment(E649)</f>
        <v>Flight delays</v>
      </c>
    </row>
    <row r="650" spans="1:7" x14ac:dyDescent="0.25">
      <c r="A650">
        <v>19163</v>
      </c>
      <c r="B650" t="s">
        <v>4</v>
      </c>
      <c r="C650">
        <v>4</v>
      </c>
      <c r="D650" t="s">
        <v>386</v>
      </c>
      <c r="E650" t="s">
        <v>386</v>
      </c>
      <c r="F650" t="str" cm="1">
        <f t="array" ref="F650">CategorizeComment(E650)</f>
        <v>Time-related issues</v>
      </c>
      <c r="G650" t="str" cm="1">
        <f t="array" ref="G650">SubCategorizeComment(E650)</f>
        <v>Flight delays</v>
      </c>
    </row>
    <row r="651" spans="1:7" x14ac:dyDescent="0.25">
      <c r="A651">
        <v>69142</v>
      </c>
      <c r="B651" t="s">
        <v>4</v>
      </c>
      <c r="C651">
        <v>3</v>
      </c>
      <c r="D651" t="s">
        <v>1265</v>
      </c>
      <c r="E651" t="s">
        <v>1265</v>
      </c>
      <c r="F651" t="str" cm="1">
        <f t="array" ref="F651">CategorizeComment(E651)</f>
        <v>Time-related issues</v>
      </c>
      <c r="G651" t="str" cm="1">
        <f t="array" ref="G651">SubCategorizeComment(E651)</f>
        <v>Flight delays</v>
      </c>
    </row>
    <row r="652" spans="1:7" x14ac:dyDescent="0.25">
      <c r="A652">
        <v>117797</v>
      </c>
      <c r="B652" t="s">
        <v>4</v>
      </c>
      <c r="C652">
        <v>3</v>
      </c>
      <c r="D652" t="s">
        <v>1993</v>
      </c>
      <c r="E652" t="s">
        <v>1993</v>
      </c>
      <c r="F652" t="str" cm="1">
        <f t="array" ref="F652">CategorizeComment(E652)</f>
        <v>Service inadequacy</v>
      </c>
      <c r="G652" t="str" cm="1">
        <f t="array" ref="G652">SubCategorizeComment(E652)</f>
        <v>In-flight entertainment issues</v>
      </c>
    </row>
    <row r="653" spans="1:7" x14ac:dyDescent="0.25">
      <c r="A653">
        <v>57634</v>
      </c>
      <c r="B653" t="s">
        <v>4</v>
      </c>
      <c r="C653">
        <v>4</v>
      </c>
      <c r="D653" t="s">
        <v>1075</v>
      </c>
      <c r="E653" t="s">
        <v>1075</v>
      </c>
      <c r="F653" t="str" cm="1">
        <f t="array" ref="F653">CategorizeComment(E653)</f>
        <v>Time-related issues</v>
      </c>
      <c r="G653" t="str" cm="1">
        <f t="array" ref="G653">SubCategorizeComment(E653)</f>
        <v>Flight delays</v>
      </c>
    </row>
    <row r="654" spans="1:7" x14ac:dyDescent="0.25">
      <c r="A654">
        <v>42147</v>
      </c>
      <c r="B654" t="s">
        <v>4</v>
      </c>
      <c r="C654">
        <v>3</v>
      </c>
      <c r="D654" t="s">
        <v>791</v>
      </c>
      <c r="E654" t="s">
        <v>791</v>
      </c>
      <c r="F654" t="str" cm="1">
        <f t="array" ref="F654">CategorizeComment(E654)</f>
        <v>Time-related issues</v>
      </c>
      <c r="G654" t="str" cm="1">
        <f t="array" ref="G654">SubCategorizeComment(E654)</f>
        <v>Flight delays</v>
      </c>
    </row>
    <row r="655" spans="1:7" x14ac:dyDescent="0.25">
      <c r="A655">
        <v>19830</v>
      </c>
      <c r="B655" t="s">
        <v>4</v>
      </c>
      <c r="C655">
        <v>3</v>
      </c>
      <c r="D655" t="s">
        <v>402</v>
      </c>
      <c r="E655" t="s">
        <v>402</v>
      </c>
      <c r="F655" t="str" cm="1">
        <f t="array" ref="F655">CategorizeComment(E655)</f>
        <v>Time-related issues</v>
      </c>
      <c r="G655" t="str" cm="1">
        <f t="array" ref="G655">SubCategorizeComment(E655)</f>
        <v>Flight delays</v>
      </c>
    </row>
    <row r="656" spans="1:7" x14ac:dyDescent="0.25">
      <c r="A656">
        <v>99308</v>
      </c>
      <c r="B656" t="s">
        <v>4</v>
      </c>
      <c r="C656">
        <v>3</v>
      </c>
      <c r="D656" t="s">
        <v>1718</v>
      </c>
      <c r="E656" t="s">
        <v>1718</v>
      </c>
      <c r="F656" t="str" cm="1">
        <f t="array" ref="F656">CategorizeComment(E656)</f>
        <v>Time-related issues</v>
      </c>
      <c r="G656" t="str" cm="1">
        <f t="array" ref="G656">SubCategorizeComment(E656)</f>
        <v>Flight delays</v>
      </c>
    </row>
    <row r="657" spans="1:7" x14ac:dyDescent="0.25">
      <c r="A657">
        <v>119978</v>
      </c>
      <c r="B657" t="s">
        <v>4</v>
      </c>
      <c r="C657">
        <v>4</v>
      </c>
      <c r="D657" t="s">
        <v>2023</v>
      </c>
      <c r="E657" t="s">
        <v>2023</v>
      </c>
      <c r="F657" t="str" cm="1">
        <f t="array" ref="F657">CategorizeComment(E657)</f>
        <v>Other</v>
      </c>
      <c r="G657" t="str" cm="1">
        <f t="array" ref="G657">SubCategorizeComment(E657)</f>
        <v>Other</v>
      </c>
    </row>
    <row r="658" spans="1:7" x14ac:dyDescent="0.25">
      <c r="A658">
        <v>90286</v>
      </c>
      <c r="B658" t="s">
        <v>4</v>
      </c>
      <c r="C658">
        <v>4</v>
      </c>
      <c r="D658" t="s">
        <v>1573</v>
      </c>
      <c r="E658" t="s">
        <v>1573</v>
      </c>
      <c r="F658" t="str" cm="1">
        <f t="array" ref="F658">CategorizeComment(E658)</f>
        <v>Other</v>
      </c>
      <c r="G658" t="str" cm="1">
        <f t="array" ref="G658">SubCategorizeComment(E658)</f>
        <v>Customer service issues</v>
      </c>
    </row>
    <row r="659" spans="1:7" x14ac:dyDescent="0.25">
      <c r="A659">
        <v>3559</v>
      </c>
      <c r="B659" t="s">
        <v>4</v>
      </c>
      <c r="C659">
        <v>3</v>
      </c>
      <c r="D659" t="s">
        <v>73</v>
      </c>
      <c r="E659" t="s">
        <v>73</v>
      </c>
      <c r="F659" t="str" cm="1">
        <f t="array" ref="F659">CategorizeComment(E659)</f>
        <v>Time-related issues</v>
      </c>
      <c r="G659" t="str" cm="1">
        <f t="array" ref="G659">SubCategorizeComment(E659)</f>
        <v>Flight delays</v>
      </c>
    </row>
    <row r="660" spans="1:7" x14ac:dyDescent="0.25">
      <c r="A660">
        <v>18022</v>
      </c>
      <c r="B660" t="s">
        <v>4</v>
      </c>
      <c r="C660">
        <v>3</v>
      </c>
      <c r="D660" t="s">
        <v>356</v>
      </c>
      <c r="E660" t="s">
        <v>356</v>
      </c>
      <c r="F660" t="str" cm="1">
        <f t="array" ref="F660">CategorizeComment(E660)</f>
        <v>Time-related issues</v>
      </c>
      <c r="G660" t="str" cm="1">
        <f t="array" ref="G660">SubCategorizeComment(E660)</f>
        <v>Flight delays</v>
      </c>
    </row>
    <row r="661" spans="1:7" x14ac:dyDescent="0.25">
      <c r="A661">
        <v>124773</v>
      </c>
      <c r="B661" t="s">
        <v>4</v>
      </c>
      <c r="C661">
        <v>3</v>
      </c>
      <c r="D661" t="s">
        <v>2102</v>
      </c>
      <c r="E661" t="s">
        <v>2102</v>
      </c>
      <c r="F661" t="str" cm="1">
        <f t="array" ref="F661">CategorizeComment(E661)</f>
        <v>Time-related issues</v>
      </c>
      <c r="G661" t="str" cm="1">
        <f t="array" ref="G661">SubCategorizeComment(E661)</f>
        <v>Flight delays</v>
      </c>
    </row>
    <row r="662" spans="1:7" x14ac:dyDescent="0.25">
      <c r="A662">
        <v>32489</v>
      </c>
      <c r="B662" t="s">
        <v>4</v>
      </c>
      <c r="C662">
        <v>4</v>
      </c>
      <c r="D662" t="s">
        <v>623</v>
      </c>
      <c r="E662" t="s">
        <v>623</v>
      </c>
      <c r="F662" t="str" cm="1">
        <f t="array" ref="F662">CategorizeComment(E662)</f>
        <v>Service inadequacy</v>
      </c>
      <c r="G662" t="str" cm="1">
        <f t="array" ref="G662">SubCategorizeComment(E662)</f>
        <v>Other</v>
      </c>
    </row>
    <row r="663" spans="1:7" x14ac:dyDescent="0.25">
      <c r="A663">
        <v>105031</v>
      </c>
      <c r="B663" t="s">
        <v>4</v>
      </c>
      <c r="C663">
        <v>3</v>
      </c>
      <c r="D663" t="s">
        <v>1795</v>
      </c>
      <c r="E663" t="s">
        <v>1795</v>
      </c>
      <c r="F663" t="str" cm="1">
        <f t="array" ref="F663">CategorizeComment(E663)</f>
        <v>Other</v>
      </c>
      <c r="G663" t="str" cm="1">
        <f t="array" ref="G663">SubCategorizeComment(E663)</f>
        <v>Other</v>
      </c>
    </row>
    <row r="664" spans="1:7" x14ac:dyDescent="0.25">
      <c r="A664">
        <v>46903</v>
      </c>
      <c r="B664" t="s">
        <v>4</v>
      </c>
      <c r="C664">
        <v>3</v>
      </c>
      <c r="D664" t="s">
        <v>893</v>
      </c>
      <c r="E664" t="s">
        <v>893</v>
      </c>
      <c r="F664" t="str" cm="1">
        <f t="array" ref="F664">CategorizeComment(E664)</f>
        <v>Other</v>
      </c>
      <c r="G664" t="str" cm="1">
        <f t="array" ref="G664">SubCategorizeComment(E664)</f>
        <v>Other</v>
      </c>
    </row>
    <row r="665" spans="1:7" x14ac:dyDescent="0.25">
      <c r="A665">
        <v>68669</v>
      </c>
      <c r="B665" t="s">
        <v>4</v>
      </c>
      <c r="C665">
        <v>3</v>
      </c>
      <c r="D665" t="s">
        <v>1255</v>
      </c>
      <c r="E665" t="s">
        <v>1255</v>
      </c>
      <c r="F665" t="str" cm="1">
        <f t="array" ref="F665">CategorizeComment(E665)</f>
        <v>Time-related issues</v>
      </c>
      <c r="G665" t="str" cm="1">
        <f t="array" ref="G665">SubCategorizeComment(E665)</f>
        <v>Flight delays</v>
      </c>
    </row>
    <row r="666" spans="1:7" x14ac:dyDescent="0.25">
      <c r="A666">
        <v>46274</v>
      </c>
      <c r="B666" t="s">
        <v>4</v>
      </c>
      <c r="C666">
        <v>4</v>
      </c>
      <c r="D666" t="s">
        <v>877</v>
      </c>
      <c r="E666" t="s">
        <v>877</v>
      </c>
      <c r="F666" t="str" cm="1">
        <f t="array" ref="F666">CategorizeComment(E666)</f>
        <v>Other</v>
      </c>
      <c r="G666" t="str" cm="1">
        <f t="array" ref="G666">SubCategorizeComment(E666)</f>
        <v>Other</v>
      </c>
    </row>
    <row r="667" spans="1:7" x14ac:dyDescent="0.25">
      <c r="A667">
        <v>14453</v>
      </c>
      <c r="B667" t="s">
        <v>4</v>
      </c>
      <c r="C667">
        <v>3</v>
      </c>
      <c r="D667" t="s">
        <v>282</v>
      </c>
      <c r="E667" t="s">
        <v>282</v>
      </c>
      <c r="F667" t="str" cm="1">
        <f t="array" ref="F667">CategorizeComment(E667)</f>
        <v>Other</v>
      </c>
      <c r="G667" t="str" cm="1">
        <f t="array" ref="G667">SubCategorizeComment(E667)</f>
        <v>Other</v>
      </c>
    </row>
    <row r="668" spans="1:7" x14ac:dyDescent="0.25">
      <c r="A668">
        <v>19504</v>
      </c>
      <c r="B668" t="s">
        <v>4</v>
      </c>
      <c r="C668">
        <v>4</v>
      </c>
      <c r="D668" t="s">
        <v>393</v>
      </c>
      <c r="E668" t="s">
        <v>393</v>
      </c>
      <c r="F668" t="str" cm="1">
        <f t="array" ref="F668">CategorizeComment(E668)</f>
        <v>Time-related issues</v>
      </c>
      <c r="G668" t="str" cm="1">
        <f t="array" ref="G668">SubCategorizeComment(E668)</f>
        <v>Flight delays</v>
      </c>
    </row>
    <row r="669" spans="1:7" x14ac:dyDescent="0.25">
      <c r="A669">
        <v>13345</v>
      </c>
      <c r="B669" t="s">
        <v>4</v>
      </c>
      <c r="C669">
        <v>4</v>
      </c>
      <c r="D669" t="s">
        <v>263</v>
      </c>
      <c r="E669" t="s">
        <v>263</v>
      </c>
      <c r="F669" t="str" cm="1">
        <f t="array" ref="F669">CategorizeComment(E669)</f>
        <v>Time-related issues</v>
      </c>
      <c r="G669" t="str" cm="1">
        <f t="array" ref="G669">SubCategorizeComment(E669)</f>
        <v>Flight delays</v>
      </c>
    </row>
    <row r="670" spans="1:7" x14ac:dyDescent="0.25">
      <c r="A670">
        <v>19472</v>
      </c>
      <c r="B670" t="s">
        <v>4</v>
      </c>
      <c r="C670">
        <v>3</v>
      </c>
      <c r="D670" t="s">
        <v>392</v>
      </c>
      <c r="E670" t="s">
        <v>392</v>
      </c>
      <c r="F670" t="str" cm="1">
        <f t="array" ref="F670">CategorizeComment(E670)</f>
        <v>Time-related issues</v>
      </c>
      <c r="G670" t="str" cm="1">
        <f t="array" ref="G670">SubCategorizeComment(E670)</f>
        <v>Postponed departures</v>
      </c>
    </row>
    <row r="671" spans="1:7" x14ac:dyDescent="0.25">
      <c r="A671">
        <v>91078</v>
      </c>
      <c r="B671" t="s">
        <v>4</v>
      </c>
      <c r="C671">
        <v>4</v>
      </c>
      <c r="D671" t="s">
        <v>1590</v>
      </c>
      <c r="E671" t="s">
        <v>1590</v>
      </c>
      <c r="F671" t="str" cm="1">
        <f t="array" ref="F671">CategorizeComment(E671)</f>
        <v>Time-related issues</v>
      </c>
      <c r="G671" t="str" cm="1">
        <f t="array" ref="G671">SubCategorizeComment(E671)</f>
        <v>Postponed departures</v>
      </c>
    </row>
    <row r="672" spans="1:7" x14ac:dyDescent="0.25">
      <c r="A672">
        <v>20695</v>
      </c>
      <c r="B672" t="s">
        <v>4</v>
      </c>
      <c r="C672">
        <v>4</v>
      </c>
      <c r="D672" t="s">
        <v>420</v>
      </c>
      <c r="E672" t="s">
        <v>420</v>
      </c>
      <c r="F672" t="str" cm="1">
        <f t="array" ref="F672">CategorizeComment(E672)</f>
        <v>Other</v>
      </c>
      <c r="G672" t="str" cm="1">
        <f t="array" ref="G672">SubCategorizeComment(E672)</f>
        <v>Other</v>
      </c>
    </row>
    <row r="673" spans="1:7" x14ac:dyDescent="0.25">
      <c r="A673">
        <v>108708</v>
      </c>
      <c r="B673" t="s">
        <v>4</v>
      </c>
      <c r="C673">
        <v>0</v>
      </c>
      <c r="D673" t="s">
        <v>1855</v>
      </c>
      <c r="E673" t="s">
        <v>1855</v>
      </c>
      <c r="F673" t="str" cm="1">
        <f t="array" ref="F673">CategorizeComment(E673)</f>
        <v>Other</v>
      </c>
      <c r="G673" t="str" cm="1">
        <f t="array" ref="G673">SubCategorizeComment(E673)</f>
        <v>Other</v>
      </c>
    </row>
    <row r="674" spans="1:7" x14ac:dyDescent="0.25">
      <c r="A674">
        <v>64308</v>
      </c>
      <c r="B674" t="s">
        <v>4</v>
      </c>
      <c r="C674">
        <v>4</v>
      </c>
      <c r="D674" t="s">
        <v>1201</v>
      </c>
      <c r="E674" t="s">
        <v>1201</v>
      </c>
      <c r="F674" t="str" cm="1">
        <f t="array" ref="F674">CategorizeComment(E674)</f>
        <v>Other</v>
      </c>
      <c r="G674" t="str" cm="1">
        <f t="array" ref="G674">SubCategorizeComment(E674)</f>
        <v>Other</v>
      </c>
    </row>
    <row r="675" spans="1:7" x14ac:dyDescent="0.25">
      <c r="A675">
        <v>81018</v>
      </c>
      <c r="B675" t="s">
        <v>4</v>
      </c>
      <c r="C675">
        <v>3</v>
      </c>
      <c r="D675" t="s">
        <v>1452</v>
      </c>
      <c r="E675" t="s">
        <v>1452</v>
      </c>
      <c r="F675" t="str" cm="1">
        <f t="array" ref="F675">CategorizeComment(E675)</f>
        <v>Other</v>
      </c>
      <c r="G675" t="str" cm="1">
        <f t="array" ref="G675">SubCategorizeComment(E675)</f>
        <v>Other</v>
      </c>
    </row>
    <row r="676" spans="1:7" x14ac:dyDescent="0.25">
      <c r="A676">
        <v>109978</v>
      </c>
      <c r="B676" t="s">
        <v>4</v>
      </c>
      <c r="C676">
        <v>4</v>
      </c>
      <c r="D676" t="s">
        <v>1878</v>
      </c>
      <c r="E676" t="s">
        <v>1878</v>
      </c>
      <c r="F676" t="str" cm="1">
        <f t="array" ref="F676">CategorizeComment(E676)</f>
        <v>Other</v>
      </c>
      <c r="G676" t="str" cm="1">
        <f t="array" ref="G676">SubCategorizeComment(E676)</f>
        <v>Other</v>
      </c>
    </row>
    <row r="677" spans="1:7" x14ac:dyDescent="0.25">
      <c r="A677">
        <v>127349</v>
      </c>
      <c r="B677" t="s">
        <v>4</v>
      </c>
      <c r="C677">
        <v>3</v>
      </c>
      <c r="D677" t="s">
        <v>2136</v>
      </c>
      <c r="E677" t="s">
        <v>2136</v>
      </c>
      <c r="F677" t="str" cm="1">
        <f t="array" ref="F677">CategorizeComment(E677)</f>
        <v>Other</v>
      </c>
      <c r="G677" t="str" cm="1">
        <f t="array" ref="G677">SubCategorizeComment(E677)</f>
        <v>Other</v>
      </c>
    </row>
    <row r="678" spans="1:7" x14ac:dyDescent="0.25">
      <c r="A678">
        <v>40269</v>
      </c>
      <c r="B678" t="s">
        <v>4</v>
      </c>
      <c r="C678">
        <v>4</v>
      </c>
      <c r="D678" t="s">
        <v>767</v>
      </c>
      <c r="E678" t="s">
        <v>767</v>
      </c>
      <c r="F678" t="str" cm="1">
        <f t="array" ref="F678">CategorizeComment(E678)</f>
        <v>Service inadequacy</v>
      </c>
      <c r="G678" t="str" cm="1">
        <f t="array" ref="G678">SubCategorizeComment(E678)</f>
        <v>Food and beverage issues</v>
      </c>
    </row>
    <row r="679" spans="1:7" x14ac:dyDescent="0.25">
      <c r="A679">
        <v>24115</v>
      </c>
      <c r="B679" t="s">
        <v>4</v>
      </c>
      <c r="C679">
        <v>4</v>
      </c>
      <c r="D679" t="s">
        <v>492</v>
      </c>
      <c r="E679" t="s">
        <v>492</v>
      </c>
      <c r="F679" t="str" cm="1">
        <f t="array" ref="F679">CategorizeComment(E679)</f>
        <v>Service inadequacy</v>
      </c>
      <c r="G679" t="str" cm="1">
        <f t="array" ref="G679">SubCategorizeComment(E679)</f>
        <v>Food and beverage issues</v>
      </c>
    </row>
    <row r="680" spans="1:7" x14ac:dyDescent="0.25">
      <c r="A680">
        <v>886</v>
      </c>
      <c r="B680" t="s">
        <v>4</v>
      </c>
      <c r="C680">
        <v>3</v>
      </c>
      <c r="D680" t="s">
        <v>23</v>
      </c>
      <c r="E680" t="s">
        <v>23</v>
      </c>
      <c r="F680" t="str" cm="1">
        <f t="array" ref="F680">CategorizeComment(E680)</f>
        <v>Other</v>
      </c>
      <c r="G680" t="str" cm="1">
        <f t="array" ref="G680">SubCategorizeComment(E680)</f>
        <v>Other</v>
      </c>
    </row>
    <row r="681" spans="1:7" x14ac:dyDescent="0.25">
      <c r="A681">
        <v>106199</v>
      </c>
      <c r="B681" t="s">
        <v>4</v>
      </c>
      <c r="C681">
        <v>4</v>
      </c>
      <c r="D681" t="s">
        <v>1813</v>
      </c>
      <c r="E681" t="s">
        <v>1813</v>
      </c>
      <c r="F681" t="str" cm="1">
        <f t="array" ref="F681">CategorizeComment(E681)</f>
        <v>Other</v>
      </c>
      <c r="G681" t="str" cm="1">
        <f t="array" ref="G681">SubCategorizeComment(E681)</f>
        <v>Other</v>
      </c>
    </row>
    <row r="682" spans="1:7" x14ac:dyDescent="0.25">
      <c r="A682">
        <v>18871</v>
      </c>
      <c r="B682" t="s">
        <v>4</v>
      </c>
      <c r="C682">
        <v>4</v>
      </c>
      <c r="D682" t="s">
        <v>378</v>
      </c>
      <c r="E682" t="s">
        <v>378</v>
      </c>
      <c r="F682" t="str" cm="1">
        <f t="array" ref="F682">CategorizeComment(E682)</f>
        <v>Service inadequacy</v>
      </c>
      <c r="G682" t="str" cm="1">
        <f t="array" ref="G682">SubCategorizeComment(E682)</f>
        <v>Other</v>
      </c>
    </row>
    <row r="683" spans="1:7" x14ac:dyDescent="0.25">
      <c r="A683">
        <v>24822</v>
      </c>
      <c r="B683" t="s">
        <v>4</v>
      </c>
      <c r="C683">
        <v>3</v>
      </c>
      <c r="D683" t="s">
        <v>503</v>
      </c>
      <c r="E683" t="s">
        <v>503</v>
      </c>
      <c r="F683" t="str" cm="1">
        <f t="array" ref="F683">CategorizeComment(E683)</f>
        <v>Service inadequacy</v>
      </c>
      <c r="G683" t="str" cm="1">
        <f t="array" ref="G683">SubCategorizeComment(E683)</f>
        <v>Other</v>
      </c>
    </row>
    <row r="684" spans="1:7" x14ac:dyDescent="0.25">
      <c r="A684">
        <v>25036</v>
      </c>
      <c r="B684" t="s">
        <v>4</v>
      </c>
      <c r="C684">
        <v>3</v>
      </c>
      <c r="D684" t="s">
        <v>509</v>
      </c>
      <c r="E684" t="s">
        <v>509</v>
      </c>
      <c r="F684" t="str" cm="1">
        <f t="array" ref="F684">CategorizeComment(E684)</f>
        <v>Other</v>
      </c>
      <c r="G684" t="str" cm="1">
        <f t="array" ref="G684">SubCategorizeComment(E684)</f>
        <v>Other</v>
      </c>
    </row>
    <row r="685" spans="1:7" x14ac:dyDescent="0.25">
      <c r="A685">
        <v>5420</v>
      </c>
      <c r="B685" t="s">
        <v>4</v>
      </c>
      <c r="C685">
        <v>3</v>
      </c>
      <c r="D685" t="s">
        <v>113</v>
      </c>
      <c r="E685" t="s">
        <v>113</v>
      </c>
      <c r="F685" t="str" cm="1">
        <f t="array" ref="F685">CategorizeComment(E685)</f>
        <v>Other</v>
      </c>
      <c r="G685" t="str" cm="1">
        <f t="array" ref="G685">SubCategorizeComment(E685)</f>
        <v>Other</v>
      </c>
    </row>
    <row r="686" spans="1:7" x14ac:dyDescent="0.25">
      <c r="A686">
        <v>26220</v>
      </c>
      <c r="B686" t="s">
        <v>4</v>
      </c>
      <c r="C686">
        <v>3</v>
      </c>
      <c r="D686" t="s">
        <v>522</v>
      </c>
      <c r="E686" t="s">
        <v>522</v>
      </c>
      <c r="F686" t="str" cm="1">
        <f t="array" ref="F686">CategorizeComment(E686)</f>
        <v>Service inadequacy</v>
      </c>
      <c r="G686" t="str" cm="1">
        <f t="array" ref="G686">SubCategorizeComment(E686)</f>
        <v>Other</v>
      </c>
    </row>
    <row r="687" spans="1:7" x14ac:dyDescent="0.25">
      <c r="A687">
        <v>78686</v>
      </c>
      <c r="B687" t="s">
        <v>4</v>
      </c>
      <c r="C687">
        <v>4</v>
      </c>
      <c r="D687" t="s">
        <v>1411</v>
      </c>
      <c r="E687" t="s">
        <v>1411</v>
      </c>
      <c r="F687" t="str" cm="1">
        <f t="array" ref="F687">CategorizeComment(E687)</f>
        <v>Other</v>
      </c>
      <c r="G687" t="str" cm="1">
        <f t="array" ref="G687">SubCategorizeComment(E687)</f>
        <v>Other</v>
      </c>
    </row>
    <row r="688" spans="1:7" x14ac:dyDescent="0.25">
      <c r="A688">
        <v>51893</v>
      </c>
      <c r="B688" t="s">
        <v>4</v>
      </c>
      <c r="C688">
        <v>0</v>
      </c>
      <c r="D688" t="s">
        <v>971</v>
      </c>
      <c r="E688" t="s">
        <v>971</v>
      </c>
      <c r="F688" t="str" cm="1">
        <f t="array" ref="F688">CategorizeComment(E688)</f>
        <v>Service inadequacy</v>
      </c>
      <c r="G688" t="str" cm="1">
        <f t="array" ref="G688">SubCategorizeComment(E688)</f>
        <v>Other</v>
      </c>
    </row>
    <row r="689" spans="1:7" x14ac:dyDescent="0.25">
      <c r="A689">
        <v>103026</v>
      </c>
      <c r="B689" t="s">
        <v>4</v>
      </c>
      <c r="C689">
        <v>3</v>
      </c>
      <c r="D689" t="s">
        <v>1759</v>
      </c>
      <c r="E689" t="s">
        <v>1759</v>
      </c>
      <c r="F689" t="str" cm="1">
        <f t="array" ref="F689">CategorizeComment(E689)</f>
        <v>Other</v>
      </c>
      <c r="G689" t="str" cm="1">
        <f t="array" ref="G689">SubCategorizeComment(E689)</f>
        <v>Other</v>
      </c>
    </row>
    <row r="690" spans="1:7" x14ac:dyDescent="0.25">
      <c r="A690">
        <v>105383</v>
      </c>
      <c r="B690" t="s">
        <v>4</v>
      </c>
      <c r="C690">
        <v>3</v>
      </c>
      <c r="D690" t="s">
        <v>1803</v>
      </c>
      <c r="E690" t="s">
        <v>1803</v>
      </c>
      <c r="F690" t="str" cm="1">
        <f t="array" ref="F690">CategorizeComment(E690)</f>
        <v>Service inadequacy</v>
      </c>
      <c r="G690" t="str" cm="1">
        <f t="array" ref="G690">SubCategorizeComment(E690)</f>
        <v>Other</v>
      </c>
    </row>
    <row r="691" spans="1:7" x14ac:dyDescent="0.25">
      <c r="A691">
        <v>96050</v>
      </c>
      <c r="B691" t="s">
        <v>4</v>
      </c>
      <c r="C691">
        <v>4</v>
      </c>
      <c r="D691" t="s">
        <v>1663</v>
      </c>
      <c r="E691" t="s">
        <v>1663</v>
      </c>
      <c r="F691" t="str" cm="1">
        <f t="array" ref="F691">CategorizeComment(E691)</f>
        <v>Other</v>
      </c>
      <c r="G691" t="str" cm="1">
        <f t="array" ref="G691">SubCategorizeComment(E691)</f>
        <v>Other</v>
      </c>
    </row>
    <row r="692" spans="1:7" x14ac:dyDescent="0.25">
      <c r="A692">
        <v>61947</v>
      </c>
      <c r="B692" t="s">
        <v>4</v>
      </c>
      <c r="C692">
        <v>4</v>
      </c>
      <c r="D692" t="s">
        <v>1151</v>
      </c>
      <c r="E692" t="s">
        <v>1151</v>
      </c>
      <c r="F692" t="str" cm="1">
        <f t="array" ref="F692">CategorizeComment(E692)</f>
        <v>Other</v>
      </c>
      <c r="G692" t="str" cm="1">
        <f t="array" ref="G692">SubCategorizeComment(E692)</f>
        <v>Other</v>
      </c>
    </row>
    <row r="693" spans="1:7" x14ac:dyDescent="0.25">
      <c r="A693">
        <v>51775</v>
      </c>
      <c r="B693" t="s">
        <v>4</v>
      </c>
      <c r="C693">
        <v>3</v>
      </c>
      <c r="D693" t="s">
        <v>969</v>
      </c>
      <c r="E693" t="s">
        <v>969</v>
      </c>
      <c r="F693" t="str" cm="1">
        <f t="array" ref="F693">CategorizeComment(E693)</f>
        <v>Time-related issues</v>
      </c>
      <c r="G693" t="str" cm="1">
        <f t="array" ref="G693">SubCategorizeComment(E693)</f>
        <v>Flight delays</v>
      </c>
    </row>
    <row r="694" spans="1:7" x14ac:dyDescent="0.25">
      <c r="A694">
        <v>1080</v>
      </c>
      <c r="B694" t="s">
        <v>4</v>
      </c>
      <c r="C694">
        <v>3</v>
      </c>
      <c r="D694" t="s">
        <v>31</v>
      </c>
      <c r="E694" t="s">
        <v>31</v>
      </c>
      <c r="F694" t="str" cm="1">
        <f t="array" ref="F694">CategorizeComment(E694)</f>
        <v>Other</v>
      </c>
      <c r="G694" t="str" cm="1">
        <f t="array" ref="G694">SubCategorizeComment(E694)</f>
        <v>Other</v>
      </c>
    </row>
    <row r="695" spans="1:7" x14ac:dyDescent="0.25">
      <c r="A695">
        <v>19778</v>
      </c>
      <c r="B695" t="s">
        <v>4</v>
      </c>
      <c r="C695">
        <v>3</v>
      </c>
      <c r="D695" t="s">
        <v>401</v>
      </c>
      <c r="E695" t="s">
        <v>401</v>
      </c>
      <c r="F695" t="str" cm="1">
        <f t="array" ref="F695">CategorizeComment(E695)</f>
        <v>Time-related issues</v>
      </c>
      <c r="G695" t="str" cm="1">
        <f t="array" ref="G695">SubCategorizeComment(E695)</f>
        <v>Flight delays</v>
      </c>
    </row>
    <row r="696" spans="1:7" x14ac:dyDescent="0.25">
      <c r="A696">
        <v>118629</v>
      </c>
      <c r="B696" t="s">
        <v>4</v>
      </c>
      <c r="C696">
        <v>3</v>
      </c>
      <c r="D696" t="s">
        <v>2005</v>
      </c>
      <c r="E696" t="s">
        <v>2005</v>
      </c>
      <c r="F696" t="str" cm="1">
        <f t="array" ref="F696">CategorizeComment(E696)</f>
        <v>Time-related issues</v>
      </c>
      <c r="G696" t="str" cm="1">
        <f t="array" ref="G696">SubCategorizeComment(E696)</f>
        <v>Flight delays</v>
      </c>
    </row>
    <row r="697" spans="1:7" x14ac:dyDescent="0.25">
      <c r="A697">
        <v>81984</v>
      </c>
      <c r="B697" t="s">
        <v>4</v>
      </c>
      <c r="C697">
        <v>3</v>
      </c>
      <c r="D697" t="s">
        <v>1461</v>
      </c>
      <c r="E697" t="s">
        <v>1461</v>
      </c>
      <c r="F697" t="str" cm="1">
        <f t="array" ref="F697">CategorizeComment(E697)</f>
        <v>Time-related issues</v>
      </c>
      <c r="G697" t="str" cm="1">
        <f t="array" ref="G697">SubCategorizeComment(E697)</f>
        <v>Flight delays</v>
      </c>
    </row>
    <row r="698" spans="1:7" x14ac:dyDescent="0.25">
      <c r="A698">
        <v>73944</v>
      </c>
      <c r="B698" t="s">
        <v>4</v>
      </c>
      <c r="C698">
        <v>3</v>
      </c>
      <c r="D698" t="s">
        <v>1341</v>
      </c>
      <c r="E698" t="s">
        <v>1341</v>
      </c>
      <c r="F698" t="str" cm="1">
        <f t="array" ref="F698">CategorizeComment(E698)</f>
        <v>Other</v>
      </c>
      <c r="G698" t="str" cm="1">
        <f t="array" ref="G698">SubCategorizeComment(E698)</f>
        <v>In-flight entertainment issues</v>
      </c>
    </row>
    <row r="699" spans="1:7" x14ac:dyDescent="0.25">
      <c r="A699">
        <v>48757</v>
      </c>
      <c r="B699" t="s">
        <v>4</v>
      </c>
      <c r="C699">
        <v>4</v>
      </c>
      <c r="D699" t="s">
        <v>913</v>
      </c>
      <c r="E699" t="s">
        <v>913</v>
      </c>
      <c r="F699" t="str" cm="1">
        <f t="array" ref="F699">CategorizeComment(E699)</f>
        <v>Difficulties and challenges</v>
      </c>
      <c r="G699" t="str" cm="1">
        <f t="array" ref="G699">SubCategorizeComment(E699)</f>
        <v>Other</v>
      </c>
    </row>
    <row r="700" spans="1:7" x14ac:dyDescent="0.25">
      <c r="A700">
        <v>71826</v>
      </c>
      <c r="B700" t="s">
        <v>4</v>
      </c>
      <c r="C700">
        <v>3</v>
      </c>
      <c r="D700" t="s">
        <v>1307</v>
      </c>
      <c r="E700" t="s">
        <v>1307</v>
      </c>
      <c r="F700" t="str" cm="1">
        <f t="array" ref="F700">CategorizeComment(E700)</f>
        <v>Service inadequacy</v>
      </c>
      <c r="G700" t="str" cm="1">
        <f t="array" ref="G700">SubCategorizeComment(E700)</f>
        <v>Other</v>
      </c>
    </row>
    <row r="701" spans="1:7" x14ac:dyDescent="0.25">
      <c r="A701">
        <v>64154</v>
      </c>
      <c r="B701" t="s">
        <v>4</v>
      </c>
      <c r="C701">
        <v>3</v>
      </c>
      <c r="D701" t="s">
        <v>1196</v>
      </c>
      <c r="E701" t="s">
        <v>1196</v>
      </c>
      <c r="F701" t="str" cm="1">
        <f t="array" ref="F701">CategorizeComment(E701)</f>
        <v>Service inadequacy</v>
      </c>
      <c r="G701" t="str" cm="1">
        <f t="array" ref="G701">SubCategorizeComment(E701)</f>
        <v>Other</v>
      </c>
    </row>
    <row r="702" spans="1:7" x14ac:dyDescent="0.25">
      <c r="A702">
        <v>119748</v>
      </c>
      <c r="B702" t="s">
        <v>4</v>
      </c>
      <c r="C702">
        <v>3</v>
      </c>
      <c r="D702" t="s">
        <v>2021</v>
      </c>
      <c r="E702" t="s">
        <v>2021</v>
      </c>
      <c r="F702" t="str" cm="1">
        <f t="array" ref="F702">CategorizeComment(E702)</f>
        <v>Other</v>
      </c>
      <c r="G702" t="str" cm="1">
        <f t="array" ref="G702">SubCategorizeComment(E702)</f>
        <v>Other</v>
      </c>
    </row>
    <row r="703" spans="1:7" x14ac:dyDescent="0.25">
      <c r="A703">
        <v>116667</v>
      </c>
      <c r="B703" t="s">
        <v>4</v>
      </c>
      <c r="C703">
        <v>4</v>
      </c>
      <c r="D703" t="s">
        <v>1973</v>
      </c>
      <c r="E703" t="s">
        <v>1973</v>
      </c>
      <c r="F703" t="str" cm="1">
        <f t="array" ref="F703">CategorizeComment(E703)</f>
        <v>Other</v>
      </c>
      <c r="G703" t="str" cm="1">
        <f t="array" ref="G703">SubCategorizeComment(E703)</f>
        <v>Other</v>
      </c>
    </row>
    <row r="704" spans="1:7" x14ac:dyDescent="0.25">
      <c r="A704">
        <v>109671</v>
      </c>
      <c r="B704" t="s">
        <v>4</v>
      </c>
      <c r="C704">
        <v>4</v>
      </c>
      <c r="D704" t="s">
        <v>1873</v>
      </c>
      <c r="E704" t="s">
        <v>1873</v>
      </c>
      <c r="F704" t="str" cm="1">
        <f t="array" ref="F704">CategorizeComment(E704)</f>
        <v>Other</v>
      </c>
      <c r="G704" t="str" cm="1">
        <f t="array" ref="G704">SubCategorizeComment(E704)</f>
        <v>Other</v>
      </c>
    </row>
    <row r="705" spans="1:7" x14ac:dyDescent="0.25">
      <c r="A705">
        <v>113572</v>
      </c>
      <c r="B705" t="s">
        <v>4</v>
      </c>
      <c r="C705">
        <v>3</v>
      </c>
      <c r="D705" t="s">
        <v>1933</v>
      </c>
      <c r="E705" t="s">
        <v>1933</v>
      </c>
      <c r="F705" t="str" cm="1">
        <f t="array" ref="F705">CategorizeComment(E705)</f>
        <v>Service inadequacy</v>
      </c>
      <c r="G705" t="str" cm="1">
        <f t="array" ref="G705">SubCategorizeComment(E705)</f>
        <v>Seating issues</v>
      </c>
    </row>
    <row r="706" spans="1:7" x14ac:dyDescent="0.25">
      <c r="A706">
        <v>36112</v>
      </c>
      <c r="B706" t="s">
        <v>4</v>
      </c>
      <c r="C706">
        <v>4</v>
      </c>
      <c r="D706" t="s">
        <v>690</v>
      </c>
      <c r="E706" t="s">
        <v>690</v>
      </c>
      <c r="F706" t="str" cm="1">
        <f t="array" ref="F706">CategorizeComment(E706)</f>
        <v>Service inadequacy</v>
      </c>
      <c r="G706" t="str" cm="1">
        <f t="array" ref="G706">SubCategorizeComment(E706)</f>
        <v>Seating issues</v>
      </c>
    </row>
    <row r="707" spans="1:7" x14ac:dyDescent="0.25">
      <c r="A707">
        <v>6275</v>
      </c>
      <c r="B707" t="s">
        <v>4</v>
      </c>
      <c r="C707">
        <v>4</v>
      </c>
      <c r="D707" t="s">
        <v>122</v>
      </c>
      <c r="E707" t="s">
        <v>122</v>
      </c>
      <c r="F707" t="str" cm="1">
        <f t="array" ref="F707">CategorizeComment(E707)</f>
        <v>Other</v>
      </c>
      <c r="G707" t="str" cm="1">
        <f t="array" ref="G707">SubCategorizeComment(E707)</f>
        <v>Other</v>
      </c>
    </row>
    <row r="708" spans="1:7" x14ac:dyDescent="0.25">
      <c r="A708">
        <v>82880</v>
      </c>
      <c r="B708" t="s">
        <v>4</v>
      </c>
      <c r="C708">
        <v>4</v>
      </c>
      <c r="D708" t="s">
        <v>1472</v>
      </c>
      <c r="E708" t="s">
        <v>1472</v>
      </c>
      <c r="F708" t="str" cm="1">
        <f t="array" ref="F708">CategorizeComment(E708)</f>
        <v>Other</v>
      </c>
      <c r="G708" t="str" cm="1">
        <f t="array" ref="G708">SubCategorizeComment(E708)</f>
        <v>Other</v>
      </c>
    </row>
    <row r="709" spans="1:7" x14ac:dyDescent="0.25">
      <c r="A709">
        <v>57196</v>
      </c>
      <c r="B709" t="s">
        <v>4</v>
      </c>
      <c r="C709">
        <v>4</v>
      </c>
      <c r="D709" t="s">
        <v>1068</v>
      </c>
      <c r="E709" t="s">
        <v>1068</v>
      </c>
      <c r="F709" t="str" cm="1">
        <f t="array" ref="F709">CategorizeComment(E709)</f>
        <v>Other</v>
      </c>
      <c r="G709" t="str" cm="1">
        <f t="array" ref="G709">SubCategorizeComment(E709)</f>
        <v>Other</v>
      </c>
    </row>
    <row r="710" spans="1:7" x14ac:dyDescent="0.25">
      <c r="A710">
        <v>62139</v>
      </c>
      <c r="B710" t="s">
        <v>4</v>
      </c>
      <c r="C710">
        <v>3</v>
      </c>
      <c r="D710" t="s">
        <v>1157</v>
      </c>
      <c r="E710" t="s">
        <v>1157</v>
      </c>
      <c r="F710" t="str" cm="1">
        <f t="array" ref="F710">CategorizeComment(E710)</f>
        <v>Other</v>
      </c>
      <c r="G710" t="str" cm="1">
        <f t="array" ref="G710">SubCategorizeComment(E710)</f>
        <v>Other</v>
      </c>
    </row>
    <row r="711" spans="1:7" x14ac:dyDescent="0.25">
      <c r="A711">
        <v>45012</v>
      </c>
      <c r="B711" t="s">
        <v>4</v>
      </c>
      <c r="C711">
        <v>4</v>
      </c>
      <c r="D711" t="s">
        <v>850</v>
      </c>
      <c r="E711" t="s">
        <v>850</v>
      </c>
      <c r="F711" t="str" cm="1">
        <f t="array" ref="F711">CategorizeComment(E711)</f>
        <v>Other</v>
      </c>
      <c r="G711" t="str" cm="1">
        <f t="array" ref="G711">SubCategorizeComment(E711)</f>
        <v>Other</v>
      </c>
    </row>
    <row r="712" spans="1:7" x14ac:dyDescent="0.25">
      <c r="A712">
        <v>106966</v>
      </c>
      <c r="B712" t="s">
        <v>4</v>
      </c>
      <c r="C712">
        <v>3</v>
      </c>
      <c r="D712" t="s">
        <v>1828</v>
      </c>
      <c r="E712" t="s">
        <v>1828</v>
      </c>
      <c r="F712" t="str" cm="1">
        <f t="array" ref="F712">CategorizeComment(E712)</f>
        <v>Other</v>
      </c>
      <c r="G712" t="str" cm="1">
        <f t="array" ref="G712">SubCategorizeComment(E712)</f>
        <v>Other</v>
      </c>
    </row>
    <row r="713" spans="1:7" x14ac:dyDescent="0.25">
      <c r="A713">
        <v>82356</v>
      </c>
      <c r="B713" t="s">
        <v>4</v>
      </c>
      <c r="C713">
        <v>3</v>
      </c>
      <c r="D713" t="s">
        <v>1465</v>
      </c>
      <c r="E713" t="s">
        <v>1465</v>
      </c>
      <c r="F713" t="str" cm="1">
        <f t="array" ref="F713">CategorizeComment(E713)</f>
        <v>Other</v>
      </c>
      <c r="G713" t="str" cm="1">
        <f t="array" ref="G713">SubCategorizeComment(E713)</f>
        <v>Other</v>
      </c>
    </row>
    <row r="714" spans="1:7" x14ac:dyDescent="0.25">
      <c r="A714">
        <v>69848</v>
      </c>
      <c r="B714" t="s">
        <v>4</v>
      </c>
      <c r="C714">
        <v>4</v>
      </c>
      <c r="D714" t="s">
        <v>1274</v>
      </c>
      <c r="E714" t="s">
        <v>1274</v>
      </c>
      <c r="F714" t="str" cm="1">
        <f t="array" ref="F714">CategorizeComment(E714)</f>
        <v>Other</v>
      </c>
      <c r="G714" t="str" cm="1">
        <f t="array" ref="G714">SubCategorizeComment(E714)</f>
        <v>Other</v>
      </c>
    </row>
    <row r="715" spans="1:7" x14ac:dyDescent="0.25">
      <c r="A715">
        <v>90757</v>
      </c>
      <c r="B715" t="s">
        <v>4</v>
      </c>
      <c r="C715">
        <v>3</v>
      </c>
      <c r="D715" t="s">
        <v>1580</v>
      </c>
      <c r="E715" t="s">
        <v>1580</v>
      </c>
      <c r="F715" t="str" cm="1">
        <f t="array" ref="F715">CategorizeComment(E715)</f>
        <v>Other</v>
      </c>
      <c r="G715" t="str" cm="1">
        <f t="array" ref="G715">SubCategorizeComment(E715)</f>
        <v>Other</v>
      </c>
    </row>
    <row r="716" spans="1:7" x14ac:dyDescent="0.25">
      <c r="A716">
        <v>27149</v>
      </c>
      <c r="B716" t="s">
        <v>4</v>
      </c>
      <c r="C716">
        <v>3</v>
      </c>
      <c r="D716" t="s">
        <v>537</v>
      </c>
      <c r="E716" t="s">
        <v>537</v>
      </c>
      <c r="F716" t="str" cm="1">
        <f t="array" ref="F716">CategorizeComment(E716)</f>
        <v>Other</v>
      </c>
      <c r="G716" t="str" cm="1">
        <f t="array" ref="G716">SubCategorizeComment(E716)</f>
        <v>Other</v>
      </c>
    </row>
    <row r="717" spans="1:7" x14ac:dyDescent="0.25">
      <c r="A717">
        <v>57290</v>
      </c>
      <c r="B717" t="s">
        <v>4</v>
      </c>
      <c r="C717">
        <v>3</v>
      </c>
      <c r="D717" t="s">
        <v>1072</v>
      </c>
      <c r="E717" t="s">
        <v>1072</v>
      </c>
      <c r="F717" t="str" cm="1">
        <f t="array" ref="F717">CategorizeComment(E717)</f>
        <v>Communication and understanding issues</v>
      </c>
      <c r="G717" t="str" cm="1">
        <f t="array" ref="G717">SubCategorizeComment(E717)</f>
        <v>Inconsistent information from staff</v>
      </c>
    </row>
    <row r="718" spans="1:7" x14ac:dyDescent="0.25">
      <c r="A718">
        <v>19434</v>
      </c>
      <c r="B718" t="s">
        <v>4</v>
      </c>
      <c r="C718">
        <v>3</v>
      </c>
      <c r="D718" t="s">
        <v>391</v>
      </c>
      <c r="E718" t="s">
        <v>391</v>
      </c>
      <c r="F718" t="str" cm="1">
        <f t="array" ref="F718">CategorizeComment(E718)</f>
        <v>Other</v>
      </c>
      <c r="G718" t="str" cm="1">
        <f t="array" ref="G718">SubCategorizeComment(E718)</f>
        <v>Other</v>
      </c>
    </row>
    <row r="719" spans="1:7" x14ac:dyDescent="0.25">
      <c r="A719">
        <v>19615</v>
      </c>
      <c r="B719" t="s">
        <v>4</v>
      </c>
      <c r="C719">
        <v>4</v>
      </c>
      <c r="D719" t="s">
        <v>396</v>
      </c>
      <c r="E719" t="s">
        <v>396</v>
      </c>
      <c r="F719" t="str" cm="1">
        <f t="array" ref="F719">CategorizeComment(E719)</f>
        <v>Time-related issues</v>
      </c>
      <c r="G719" t="str" cm="1">
        <f t="array" ref="G719">SubCategorizeComment(E719)</f>
        <v>Flight delays</v>
      </c>
    </row>
    <row r="720" spans="1:7" x14ac:dyDescent="0.25">
      <c r="A720">
        <v>72500</v>
      </c>
      <c r="B720" t="s">
        <v>4</v>
      </c>
      <c r="C720">
        <v>4</v>
      </c>
      <c r="D720" t="s">
        <v>1319</v>
      </c>
      <c r="E720" t="s">
        <v>1319</v>
      </c>
      <c r="F720" t="str" cm="1">
        <f t="array" ref="F720">CategorizeComment(E720)</f>
        <v>Service inadequacy</v>
      </c>
      <c r="G720" t="str" cm="1">
        <f t="array" ref="G720">SubCategorizeComment(E720)</f>
        <v>Other</v>
      </c>
    </row>
    <row r="721" spans="1:7" x14ac:dyDescent="0.25">
      <c r="A721">
        <v>129106</v>
      </c>
      <c r="B721" t="s">
        <v>4</v>
      </c>
      <c r="C721">
        <v>3</v>
      </c>
      <c r="D721" t="s">
        <v>2160</v>
      </c>
      <c r="E721" t="s">
        <v>2160</v>
      </c>
      <c r="F721" t="str" cm="1">
        <f t="array" ref="F721">CategorizeComment(E721)</f>
        <v>Service inadequacy</v>
      </c>
      <c r="G721" t="str" cm="1">
        <f t="array" ref="G721">SubCategorizeComment(E721)</f>
        <v>Other</v>
      </c>
    </row>
    <row r="722" spans="1:7" x14ac:dyDescent="0.25">
      <c r="A722">
        <v>56815</v>
      </c>
      <c r="B722" t="s">
        <v>4</v>
      </c>
      <c r="C722">
        <v>4</v>
      </c>
      <c r="D722" t="s">
        <v>1060</v>
      </c>
      <c r="E722" t="s">
        <v>1060</v>
      </c>
      <c r="F722" t="str" cm="1">
        <f t="array" ref="F722">CategorizeComment(E722)</f>
        <v>Service inadequacy</v>
      </c>
      <c r="G722" t="str" cm="1">
        <f t="array" ref="G722">SubCategorizeComment(E722)</f>
        <v>Other</v>
      </c>
    </row>
    <row r="723" spans="1:7" x14ac:dyDescent="0.25">
      <c r="A723">
        <v>102275</v>
      </c>
      <c r="B723" t="s">
        <v>4</v>
      </c>
      <c r="C723">
        <v>0</v>
      </c>
      <c r="D723" t="s">
        <v>1751</v>
      </c>
      <c r="E723" t="s">
        <v>1751</v>
      </c>
      <c r="F723" t="str" cm="1">
        <f t="array" ref="F723">CategorizeComment(E723)</f>
        <v>Service inadequacy</v>
      </c>
      <c r="G723" t="str" cm="1">
        <f t="array" ref="G723">SubCategorizeComment(E723)</f>
        <v>Other</v>
      </c>
    </row>
    <row r="724" spans="1:7" x14ac:dyDescent="0.25">
      <c r="A724">
        <v>123594</v>
      </c>
      <c r="B724" t="s">
        <v>4</v>
      </c>
      <c r="C724">
        <v>4</v>
      </c>
      <c r="D724" t="s">
        <v>2082</v>
      </c>
      <c r="E724" t="s">
        <v>2082</v>
      </c>
      <c r="F724" t="str" cm="1">
        <f t="array" ref="F724">CategorizeComment(E724)</f>
        <v>Service inadequacy</v>
      </c>
      <c r="G724" t="str" cm="1">
        <f t="array" ref="G724">SubCategorizeComment(E724)</f>
        <v>Other</v>
      </c>
    </row>
    <row r="725" spans="1:7" x14ac:dyDescent="0.25">
      <c r="A725">
        <v>87720</v>
      </c>
      <c r="B725" t="s">
        <v>4</v>
      </c>
      <c r="C725">
        <v>4</v>
      </c>
      <c r="D725" t="s">
        <v>1532</v>
      </c>
      <c r="E725" t="s">
        <v>1532</v>
      </c>
      <c r="F725" t="str" cm="1">
        <f t="array" ref="F725">CategorizeComment(E725)</f>
        <v>Other</v>
      </c>
      <c r="G725" t="str" cm="1">
        <f t="array" ref="G725">SubCategorizeComment(E725)</f>
        <v>Other</v>
      </c>
    </row>
    <row r="726" spans="1:7" x14ac:dyDescent="0.25">
      <c r="A726">
        <v>74527</v>
      </c>
      <c r="B726" t="s">
        <v>4</v>
      </c>
      <c r="C726">
        <v>3</v>
      </c>
      <c r="D726" t="s">
        <v>1350</v>
      </c>
      <c r="E726" t="s">
        <v>1350</v>
      </c>
      <c r="F726" t="str" cm="1">
        <f t="array" ref="F726">CategorizeComment(E726)</f>
        <v>Other</v>
      </c>
      <c r="G726" t="str" cm="1">
        <f t="array" ref="G726">SubCategorizeComment(E726)</f>
        <v>Other</v>
      </c>
    </row>
    <row r="727" spans="1:7" x14ac:dyDescent="0.25">
      <c r="A727">
        <v>71021</v>
      </c>
      <c r="B727" t="s">
        <v>4</v>
      </c>
      <c r="C727">
        <v>3</v>
      </c>
      <c r="D727" t="s">
        <v>1294</v>
      </c>
      <c r="E727" t="s">
        <v>1294</v>
      </c>
      <c r="F727" t="str" cm="1">
        <f t="array" ref="F727">CategorizeComment(E727)</f>
        <v>Other</v>
      </c>
      <c r="G727" t="str" cm="1">
        <f t="array" ref="G727">SubCategorizeComment(E727)</f>
        <v>Other</v>
      </c>
    </row>
    <row r="728" spans="1:7" x14ac:dyDescent="0.25">
      <c r="A728">
        <v>50972</v>
      </c>
      <c r="B728" t="s">
        <v>4</v>
      </c>
      <c r="C728">
        <v>3</v>
      </c>
      <c r="D728" t="s">
        <v>960</v>
      </c>
      <c r="E728" t="s">
        <v>960</v>
      </c>
      <c r="F728" t="str" cm="1">
        <f t="array" ref="F728">CategorizeComment(E728)</f>
        <v>Other</v>
      </c>
      <c r="G728" t="str" cm="1">
        <f t="array" ref="G728">SubCategorizeComment(E728)</f>
        <v>Other</v>
      </c>
    </row>
    <row r="729" spans="1:7" x14ac:dyDescent="0.25">
      <c r="A729">
        <v>104446</v>
      </c>
      <c r="B729" t="s">
        <v>4</v>
      </c>
      <c r="C729">
        <v>4</v>
      </c>
      <c r="D729" t="s">
        <v>1781</v>
      </c>
      <c r="E729" t="s">
        <v>1781</v>
      </c>
      <c r="F729" t="str" cm="1">
        <f t="array" ref="F729">CategorizeComment(E729)</f>
        <v>Other</v>
      </c>
      <c r="G729" t="str" cm="1">
        <f t="array" ref="G729">SubCategorizeComment(E729)</f>
        <v>Other</v>
      </c>
    </row>
    <row r="730" spans="1:7" x14ac:dyDescent="0.25">
      <c r="A730">
        <v>42719</v>
      </c>
      <c r="B730" t="s">
        <v>4</v>
      </c>
      <c r="C730">
        <v>3</v>
      </c>
      <c r="D730" t="s">
        <v>805</v>
      </c>
      <c r="E730" t="s">
        <v>805</v>
      </c>
      <c r="F730" t="str" cm="1">
        <f t="array" ref="F730">CategorizeComment(E730)</f>
        <v>Other</v>
      </c>
      <c r="G730" t="str" cm="1">
        <f t="array" ref="G730">SubCategorizeComment(E730)</f>
        <v>Other</v>
      </c>
    </row>
    <row r="731" spans="1:7" x14ac:dyDescent="0.25">
      <c r="A731">
        <v>15680</v>
      </c>
      <c r="B731" t="s">
        <v>4</v>
      </c>
      <c r="C731">
        <v>4</v>
      </c>
      <c r="D731" t="s">
        <v>304</v>
      </c>
      <c r="E731" t="s">
        <v>304</v>
      </c>
      <c r="F731" t="str" cm="1">
        <f t="array" ref="F731">CategorizeComment(E731)</f>
        <v>Other</v>
      </c>
      <c r="G731" t="str" cm="1">
        <f t="array" ref="G731">SubCategorizeComment(E731)</f>
        <v>Other</v>
      </c>
    </row>
    <row r="732" spans="1:7" x14ac:dyDescent="0.25">
      <c r="A732">
        <v>102243</v>
      </c>
      <c r="B732" t="s">
        <v>4</v>
      </c>
      <c r="C732">
        <v>3</v>
      </c>
      <c r="D732" t="s">
        <v>1749</v>
      </c>
      <c r="E732" t="s">
        <v>1749</v>
      </c>
      <c r="F732" t="str" cm="1">
        <f t="array" ref="F732">CategorizeComment(E732)</f>
        <v>Other</v>
      </c>
      <c r="G732" t="str" cm="1">
        <f t="array" ref="G732">SubCategorizeComment(E732)</f>
        <v>Other</v>
      </c>
    </row>
    <row r="733" spans="1:7" x14ac:dyDescent="0.25">
      <c r="A733">
        <v>10764</v>
      </c>
      <c r="B733" t="s">
        <v>4</v>
      </c>
      <c r="C733">
        <v>3</v>
      </c>
      <c r="D733" t="s">
        <v>211</v>
      </c>
      <c r="E733" t="s">
        <v>211</v>
      </c>
      <c r="F733" t="str" cm="1">
        <f t="array" ref="F733">CategorizeComment(E733)</f>
        <v>Other</v>
      </c>
      <c r="G733" t="str" cm="1">
        <f t="array" ref="G733">SubCategorizeComment(E733)</f>
        <v>Other</v>
      </c>
    </row>
    <row r="734" spans="1:7" x14ac:dyDescent="0.25">
      <c r="A734">
        <v>124531</v>
      </c>
      <c r="B734" t="s">
        <v>4</v>
      </c>
      <c r="C734">
        <v>4</v>
      </c>
      <c r="D734" t="s">
        <v>2096</v>
      </c>
      <c r="E734" t="s">
        <v>2096</v>
      </c>
      <c r="F734" t="str" cm="1">
        <f t="array" ref="F734">CategorizeComment(E734)</f>
        <v>Other</v>
      </c>
      <c r="G734" t="str" cm="1">
        <f t="array" ref="G734">SubCategorizeComment(E734)</f>
        <v>Other</v>
      </c>
    </row>
    <row r="735" spans="1:7" x14ac:dyDescent="0.25">
      <c r="A735">
        <v>54805</v>
      </c>
      <c r="B735" t="s">
        <v>4</v>
      </c>
      <c r="C735">
        <v>3</v>
      </c>
      <c r="D735" t="s">
        <v>1028</v>
      </c>
      <c r="E735" t="s">
        <v>1028</v>
      </c>
      <c r="F735" t="str" cm="1">
        <f t="array" ref="F735">CategorizeComment(E735)</f>
        <v>Pricing and policy issues</v>
      </c>
      <c r="G735" t="str" cm="1">
        <f t="array" ref="G735">SubCategorizeComment(E735)</f>
        <v>Other</v>
      </c>
    </row>
    <row r="736" spans="1:7" x14ac:dyDescent="0.25">
      <c r="A736">
        <v>7347</v>
      </c>
      <c r="B736" t="s">
        <v>4</v>
      </c>
      <c r="C736">
        <v>4</v>
      </c>
      <c r="D736" t="s">
        <v>150</v>
      </c>
      <c r="E736" t="s">
        <v>150</v>
      </c>
      <c r="F736" t="str" cm="1">
        <f t="array" ref="F736">CategorizeComment(E736)</f>
        <v>Service inadequacy</v>
      </c>
      <c r="G736" t="str" cm="1">
        <f t="array" ref="G736">SubCategorizeComment(E736)</f>
        <v>Online services issues</v>
      </c>
    </row>
    <row r="737" spans="1:7" x14ac:dyDescent="0.25">
      <c r="A737">
        <v>77279</v>
      </c>
      <c r="B737" t="s">
        <v>4</v>
      </c>
      <c r="C737">
        <v>3</v>
      </c>
      <c r="D737" t="s">
        <v>1390</v>
      </c>
      <c r="E737" t="s">
        <v>1390</v>
      </c>
      <c r="F737" t="str" cm="1">
        <f t="array" ref="F737">CategorizeComment(E737)</f>
        <v>Service inadequacy</v>
      </c>
      <c r="G737" t="str" cm="1">
        <f t="array" ref="G737">SubCategorizeComment(E737)</f>
        <v>Other</v>
      </c>
    </row>
    <row r="738" spans="1:7" x14ac:dyDescent="0.25">
      <c r="A738">
        <v>50462</v>
      </c>
      <c r="B738" t="s">
        <v>4</v>
      </c>
      <c r="C738">
        <v>3</v>
      </c>
      <c r="D738" t="s">
        <v>947</v>
      </c>
      <c r="E738" t="s">
        <v>947</v>
      </c>
      <c r="F738" t="str" cm="1">
        <f t="array" ref="F738">CategorizeComment(E738)</f>
        <v>Service inadequacy</v>
      </c>
      <c r="G738" t="str" cm="1">
        <f t="array" ref="G738">SubCategorizeComment(E738)</f>
        <v>Other</v>
      </c>
    </row>
    <row r="739" spans="1:7" x14ac:dyDescent="0.25">
      <c r="A739">
        <v>83265</v>
      </c>
      <c r="B739" t="s">
        <v>4</v>
      </c>
      <c r="C739">
        <v>3</v>
      </c>
      <c r="D739" t="s">
        <v>1477</v>
      </c>
      <c r="E739" t="s">
        <v>1477</v>
      </c>
      <c r="F739" t="str" cm="1">
        <f t="array" ref="F739">CategorizeComment(E739)</f>
        <v>Service inadequacy</v>
      </c>
      <c r="G739" t="str" cm="1">
        <f t="array" ref="G739">SubCategorizeComment(E739)</f>
        <v>Other</v>
      </c>
    </row>
    <row r="740" spans="1:7" x14ac:dyDescent="0.25">
      <c r="A740">
        <v>15928</v>
      </c>
      <c r="B740" t="s">
        <v>4</v>
      </c>
      <c r="C740">
        <v>4</v>
      </c>
      <c r="D740" t="s">
        <v>313</v>
      </c>
      <c r="E740" t="s">
        <v>313</v>
      </c>
      <c r="F740" t="str" cm="1">
        <f t="array" ref="F740">CategorizeComment(E740)</f>
        <v>Service inadequacy</v>
      </c>
      <c r="G740" t="str" cm="1">
        <f t="array" ref="G740">SubCategorizeComment(E740)</f>
        <v>Other</v>
      </c>
    </row>
    <row r="741" spans="1:7" x14ac:dyDescent="0.25">
      <c r="A741">
        <v>36453</v>
      </c>
      <c r="B741" t="s">
        <v>4</v>
      </c>
      <c r="C741">
        <v>4</v>
      </c>
      <c r="D741" t="s">
        <v>698</v>
      </c>
      <c r="E741" t="s">
        <v>698</v>
      </c>
      <c r="F741" t="str" cm="1">
        <f t="array" ref="F741">CategorizeComment(E741)</f>
        <v>Service inadequacy</v>
      </c>
      <c r="G741" t="str" cm="1">
        <f t="array" ref="G741">SubCategorizeComment(E741)</f>
        <v>Other</v>
      </c>
    </row>
    <row r="742" spans="1:7" x14ac:dyDescent="0.25">
      <c r="A742">
        <v>105135</v>
      </c>
      <c r="B742" t="s">
        <v>4</v>
      </c>
      <c r="C742">
        <v>3</v>
      </c>
      <c r="D742" t="s">
        <v>1796</v>
      </c>
      <c r="E742" t="s">
        <v>1796</v>
      </c>
      <c r="F742" t="str" cm="1">
        <f t="array" ref="F742">CategorizeComment(E742)</f>
        <v>Service inadequacy</v>
      </c>
      <c r="G742" t="str" cm="1">
        <f t="array" ref="G742">SubCategorizeComment(E742)</f>
        <v>Other</v>
      </c>
    </row>
    <row r="743" spans="1:7" x14ac:dyDescent="0.25">
      <c r="A743">
        <v>124635</v>
      </c>
      <c r="B743" t="s">
        <v>4</v>
      </c>
      <c r="C743">
        <v>3</v>
      </c>
      <c r="D743" t="s">
        <v>2100</v>
      </c>
      <c r="E743" t="s">
        <v>2100</v>
      </c>
      <c r="F743" t="str" cm="1">
        <f t="array" ref="F743">CategorizeComment(E743)</f>
        <v>Service inadequacy</v>
      </c>
      <c r="G743" t="str" cm="1">
        <f t="array" ref="G743">SubCategorizeComment(E743)</f>
        <v>Other</v>
      </c>
    </row>
    <row r="744" spans="1:7" x14ac:dyDescent="0.25">
      <c r="A744">
        <v>14355</v>
      </c>
      <c r="B744" t="s">
        <v>4</v>
      </c>
      <c r="C744">
        <v>4</v>
      </c>
      <c r="D744" t="s">
        <v>280</v>
      </c>
      <c r="E744" t="s">
        <v>280</v>
      </c>
      <c r="F744" t="str" cm="1">
        <f t="array" ref="F744">CategorizeComment(E744)</f>
        <v>Time-related issues</v>
      </c>
      <c r="G744" t="str" cm="1">
        <f t="array" ref="G744">SubCategorizeComment(E744)</f>
        <v>Flight delays</v>
      </c>
    </row>
    <row r="745" spans="1:7" x14ac:dyDescent="0.25">
      <c r="A745">
        <v>107714</v>
      </c>
      <c r="B745" t="s">
        <v>4</v>
      </c>
      <c r="C745">
        <v>3</v>
      </c>
      <c r="D745" t="s">
        <v>1840</v>
      </c>
      <c r="E745" t="s">
        <v>1840</v>
      </c>
      <c r="F745" t="str" cm="1">
        <f t="array" ref="F745">CategorizeComment(E745)</f>
        <v>Service inadequacy</v>
      </c>
      <c r="G745" t="str" cm="1">
        <f t="array" ref="G745">SubCategorizeComment(E745)</f>
        <v>Other</v>
      </c>
    </row>
    <row r="746" spans="1:7" x14ac:dyDescent="0.25">
      <c r="A746">
        <v>43922</v>
      </c>
      <c r="B746" t="s">
        <v>4</v>
      </c>
      <c r="C746">
        <v>4</v>
      </c>
      <c r="D746" t="s">
        <v>828</v>
      </c>
      <c r="E746" t="s">
        <v>828</v>
      </c>
      <c r="F746" t="str" cm="1">
        <f t="array" ref="F746">CategorizeComment(E746)</f>
        <v>Service inadequacy</v>
      </c>
      <c r="G746" t="str" cm="1">
        <f t="array" ref="G746">SubCategorizeComment(E746)</f>
        <v>Other</v>
      </c>
    </row>
    <row r="747" spans="1:7" x14ac:dyDescent="0.25">
      <c r="A747">
        <v>30195</v>
      </c>
      <c r="B747" t="s">
        <v>4</v>
      </c>
      <c r="C747">
        <v>3</v>
      </c>
      <c r="D747" t="s">
        <v>589</v>
      </c>
      <c r="E747" t="s">
        <v>589</v>
      </c>
      <c r="F747" t="str" cm="1">
        <f t="array" ref="F747">CategorizeComment(E747)</f>
        <v>Service inadequacy</v>
      </c>
      <c r="G747" t="str" cm="1">
        <f t="array" ref="G747">SubCategorizeComment(E747)</f>
        <v>In-flight entertainment issues</v>
      </c>
    </row>
    <row r="748" spans="1:7" x14ac:dyDescent="0.25">
      <c r="A748">
        <v>64242</v>
      </c>
      <c r="B748" t="s">
        <v>4</v>
      </c>
      <c r="C748">
        <v>3</v>
      </c>
      <c r="D748" t="s">
        <v>1200</v>
      </c>
      <c r="E748" t="s">
        <v>1200</v>
      </c>
      <c r="F748" t="str" cm="1">
        <f t="array" ref="F748">CategorizeComment(E748)</f>
        <v>Service inadequacy</v>
      </c>
      <c r="G748" t="str" cm="1">
        <f t="array" ref="G748">SubCategorizeComment(E748)</f>
        <v>Other</v>
      </c>
    </row>
    <row r="749" spans="1:7" x14ac:dyDescent="0.25">
      <c r="A749">
        <v>30006</v>
      </c>
      <c r="B749" t="s">
        <v>4</v>
      </c>
      <c r="C749">
        <v>4</v>
      </c>
      <c r="D749" t="s">
        <v>585</v>
      </c>
      <c r="E749" t="s">
        <v>585</v>
      </c>
      <c r="F749" t="str" cm="1">
        <f t="array" ref="F749">CategorizeComment(E749)</f>
        <v>Service inadequacy</v>
      </c>
      <c r="G749" t="str" cm="1">
        <f t="array" ref="G749">SubCategorizeComment(E749)</f>
        <v>Other</v>
      </c>
    </row>
    <row r="750" spans="1:7" x14ac:dyDescent="0.25">
      <c r="A750">
        <v>110906</v>
      </c>
      <c r="B750" t="s">
        <v>4</v>
      </c>
      <c r="C750">
        <v>4</v>
      </c>
      <c r="D750" t="s">
        <v>1900</v>
      </c>
      <c r="E750" t="s">
        <v>1900</v>
      </c>
      <c r="F750" t="str" cm="1">
        <f t="array" ref="F750">CategorizeComment(E750)</f>
        <v>Service inadequacy</v>
      </c>
      <c r="G750" t="str" cm="1">
        <f t="array" ref="G750">SubCategorizeComment(E750)</f>
        <v>Other</v>
      </c>
    </row>
    <row r="751" spans="1:7" x14ac:dyDescent="0.25">
      <c r="A751">
        <v>98935</v>
      </c>
      <c r="B751" t="s">
        <v>4</v>
      </c>
      <c r="C751">
        <v>3</v>
      </c>
      <c r="D751" t="s">
        <v>1713</v>
      </c>
      <c r="E751" t="s">
        <v>1713</v>
      </c>
      <c r="F751" t="str" cm="1">
        <f t="array" ref="F751">CategorizeComment(E751)</f>
        <v>Service inadequacy</v>
      </c>
      <c r="G751" t="str" cm="1">
        <f t="array" ref="G751">SubCategorizeComment(E751)</f>
        <v>Other</v>
      </c>
    </row>
    <row r="752" spans="1:7" x14ac:dyDescent="0.25">
      <c r="A752">
        <v>8495</v>
      </c>
      <c r="B752" t="s">
        <v>4</v>
      </c>
      <c r="C752">
        <v>3</v>
      </c>
      <c r="D752" t="s">
        <v>170</v>
      </c>
      <c r="E752" t="s">
        <v>170</v>
      </c>
      <c r="F752" t="str" cm="1">
        <f t="array" ref="F752">CategorizeComment(E752)</f>
        <v>Service inadequacy</v>
      </c>
      <c r="G752" t="str" cm="1">
        <f t="array" ref="G752">SubCategorizeComment(E752)</f>
        <v>Other</v>
      </c>
    </row>
    <row r="753" spans="1:7" x14ac:dyDescent="0.25">
      <c r="A753">
        <v>42101</v>
      </c>
      <c r="B753" t="s">
        <v>4</v>
      </c>
      <c r="C753">
        <v>4</v>
      </c>
      <c r="D753" t="s">
        <v>790</v>
      </c>
      <c r="E753" t="s">
        <v>790</v>
      </c>
      <c r="F753" t="str" cm="1">
        <f t="array" ref="F753">CategorizeComment(E753)</f>
        <v>Service inadequacy</v>
      </c>
      <c r="G753" t="str" cm="1">
        <f t="array" ref="G753">SubCategorizeComment(E753)</f>
        <v>Other</v>
      </c>
    </row>
    <row r="754" spans="1:7" x14ac:dyDescent="0.25">
      <c r="A754">
        <v>36040</v>
      </c>
      <c r="B754" t="s">
        <v>4</v>
      </c>
      <c r="C754">
        <v>3</v>
      </c>
      <c r="D754" t="s">
        <v>689</v>
      </c>
      <c r="E754" t="s">
        <v>689</v>
      </c>
      <c r="F754" t="str" cm="1">
        <f t="array" ref="F754">CategorizeComment(E754)</f>
        <v>Service inadequacy</v>
      </c>
      <c r="G754" t="str" cm="1">
        <f t="array" ref="G754">SubCategorizeComment(E754)</f>
        <v>Other</v>
      </c>
    </row>
    <row r="755" spans="1:7" x14ac:dyDescent="0.25">
      <c r="A755">
        <v>11941</v>
      </c>
      <c r="B755" t="s">
        <v>4</v>
      </c>
      <c r="C755">
        <v>3</v>
      </c>
      <c r="D755" t="s">
        <v>235</v>
      </c>
      <c r="E755" t="s">
        <v>235</v>
      </c>
      <c r="F755" t="str" cm="1">
        <f t="array" ref="F755">CategorizeComment(E755)</f>
        <v>Service inadequacy</v>
      </c>
      <c r="G755" t="str" cm="1">
        <f t="array" ref="G755">SubCategorizeComment(E755)</f>
        <v>Other</v>
      </c>
    </row>
    <row r="756" spans="1:7" x14ac:dyDescent="0.25">
      <c r="A756">
        <v>96239</v>
      </c>
      <c r="B756" t="s">
        <v>4</v>
      </c>
      <c r="C756">
        <v>4</v>
      </c>
      <c r="D756" t="s">
        <v>1667</v>
      </c>
      <c r="E756" t="s">
        <v>1667</v>
      </c>
      <c r="F756" t="str" cm="1">
        <f t="array" ref="F756">CategorizeComment(E756)</f>
        <v>Other</v>
      </c>
      <c r="G756" t="str" cm="1">
        <f t="array" ref="G756">SubCategorizeComment(E756)</f>
        <v>Other</v>
      </c>
    </row>
    <row r="757" spans="1:7" x14ac:dyDescent="0.25">
      <c r="A757">
        <v>103018</v>
      </c>
      <c r="B757" t="s">
        <v>4</v>
      </c>
      <c r="C757">
        <v>3</v>
      </c>
      <c r="D757" t="s">
        <v>1758</v>
      </c>
      <c r="E757" t="s">
        <v>1758</v>
      </c>
      <c r="F757" t="str" cm="1">
        <f t="array" ref="F757">CategorizeComment(E757)</f>
        <v>Other</v>
      </c>
      <c r="G757" t="str" cm="1">
        <f t="array" ref="G757">SubCategorizeComment(E757)</f>
        <v>Other</v>
      </c>
    </row>
    <row r="758" spans="1:7" x14ac:dyDescent="0.25">
      <c r="A758">
        <v>28144</v>
      </c>
      <c r="B758" t="s">
        <v>4</v>
      </c>
      <c r="C758">
        <v>4</v>
      </c>
      <c r="D758" t="s">
        <v>557</v>
      </c>
      <c r="E758" t="s">
        <v>557</v>
      </c>
      <c r="F758" t="str" cm="1">
        <f t="array" ref="F758">CategorizeComment(E758)</f>
        <v>Other</v>
      </c>
      <c r="G758" t="str" cm="1">
        <f t="array" ref="G758">SubCategorizeComment(E758)</f>
        <v>Other</v>
      </c>
    </row>
    <row r="759" spans="1:7" x14ac:dyDescent="0.25">
      <c r="A759">
        <v>59809</v>
      </c>
      <c r="B759" t="s">
        <v>4</v>
      </c>
      <c r="C759">
        <v>4</v>
      </c>
      <c r="D759" t="s">
        <v>1115</v>
      </c>
      <c r="E759" t="s">
        <v>1115</v>
      </c>
      <c r="F759" t="str" cm="1">
        <f t="array" ref="F759">CategorizeComment(E759)</f>
        <v>Other</v>
      </c>
      <c r="G759" t="str" cm="1">
        <f t="array" ref="G759">SubCategorizeComment(E759)</f>
        <v>Other</v>
      </c>
    </row>
    <row r="760" spans="1:7" x14ac:dyDescent="0.25">
      <c r="A760">
        <v>72587</v>
      </c>
      <c r="B760" t="s">
        <v>4</v>
      </c>
      <c r="C760">
        <v>4</v>
      </c>
      <c r="D760" t="s">
        <v>1323</v>
      </c>
      <c r="E760" t="s">
        <v>1323</v>
      </c>
      <c r="F760" t="str" cm="1">
        <f t="array" ref="F760">CategorizeComment(E760)</f>
        <v>Other</v>
      </c>
      <c r="G760" t="str" cm="1">
        <f t="array" ref="G760">SubCategorizeComment(E760)</f>
        <v>Other</v>
      </c>
    </row>
    <row r="761" spans="1:7" x14ac:dyDescent="0.25">
      <c r="A761">
        <v>39833</v>
      </c>
      <c r="B761" t="s">
        <v>4</v>
      </c>
      <c r="C761">
        <v>4</v>
      </c>
      <c r="D761" t="s">
        <v>760</v>
      </c>
      <c r="E761" t="s">
        <v>760</v>
      </c>
      <c r="F761" t="str" cm="1">
        <f t="array" ref="F761">CategorizeComment(E761)</f>
        <v>Other</v>
      </c>
      <c r="G761" t="str" cm="1">
        <f t="array" ref="G761">SubCategorizeComment(E761)</f>
        <v>Other</v>
      </c>
    </row>
    <row r="762" spans="1:7" x14ac:dyDescent="0.25">
      <c r="A762">
        <v>22054</v>
      </c>
      <c r="B762" t="s">
        <v>4</v>
      </c>
      <c r="C762">
        <v>3</v>
      </c>
      <c r="D762" t="s">
        <v>453</v>
      </c>
      <c r="E762" t="s">
        <v>453</v>
      </c>
      <c r="F762" t="str" cm="1">
        <f t="array" ref="F762">CategorizeComment(E762)</f>
        <v>Other</v>
      </c>
      <c r="G762" t="str" cm="1">
        <f t="array" ref="G762">SubCategorizeComment(E762)</f>
        <v>Other</v>
      </c>
    </row>
    <row r="763" spans="1:7" x14ac:dyDescent="0.25">
      <c r="A763">
        <v>122243</v>
      </c>
      <c r="B763" t="s">
        <v>4</v>
      </c>
      <c r="C763">
        <v>3</v>
      </c>
      <c r="D763" t="s">
        <v>2058</v>
      </c>
      <c r="E763" t="s">
        <v>2058</v>
      </c>
      <c r="F763" t="str" cm="1">
        <f t="array" ref="F763">CategorizeComment(E763)</f>
        <v>Other</v>
      </c>
      <c r="G763" t="str" cm="1">
        <f t="array" ref="G763">SubCategorizeComment(E763)</f>
        <v>In-flight entertainment issues</v>
      </c>
    </row>
    <row r="764" spans="1:7" x14ac:dyDescent="0.25">
      <c r="A764">
        <v>31440</v>
      </c>
      <c r="B764" t="s">
        <v>4</v>
      </c>
      <c r="C764">
        <v>3</v>
      </c>
      <c r="D764" t="s">
        <v>605</v>
      </c>
      <c r="E764" t="s">
        <v>605</v>
      </c>
      <c r="F764" t="str" cm="1">
        <f t="array" ref="F764">CategorizeComment(E764)</f>
        <v>Other</v>
      </c>
      <c r="G764" t="str" cm="1">
        <f t="array" ref="G764">SubCategorizeComment(E764)</f>
        <v>Other</v>
      </c>
    </row>
    <row r="765" spans="1:7" x14ac:dyDescent="0.25">
      <c r="A765">
        <v>7046</v>
      </c>
      <c r="B765" t="s">
        <v>4</v>
      </c>
      <c r="C765">
        <v>3</v>
      </c>
      <c r="D765" t="s">
        <v>142</v>
      </c>
      <c r="E765" t="s">
        <v>142</v>
      </c>
      <c r="F765" t="str" cm="1">
        <f t="array" ref="F765">CategorizeComment(E765)</f>
        <v>Other</v>
      </c>
      <c r="G765" t="str" cm="1">
        <f t="array" ref="G765">SubCategorizeComment(E765)</f>
        <v>Other</v>
      </c>
    </row>
    <row r="766" spans="1:7" x14ac:dyDescent="0.25">
      <c r="A766">
        <v>122035</v>
      </c>
      <c r="B766" t="s">
        <v>4</v>
      </c>
      <c r="C766">
        <v>4</v>
      </c>
      <c r="D766" t="s">
        <v>2051</v>
      </c>
      <c r="E766" t="s">
        <v>2051</v>
      </c>
      <c r="F766" t="str" cm="1">
        <f t="array" ref="F766">CategorizeComment(E766)</f>
        <v>Other</v>
      </c>
      <c r="G766" t="str" cm="1">
        <f t="array" ref="G766">SubCategorizeComment(E766)</f>
        <v>Other</v>
      </c>
    </row>
    <row r="767" spans="1:7" x14ac:dyDescent="0.25">
      <c r="A767">
        <v>34920</v>
      </c>
      <c r="B767" t="s">
        <v>4</v>
      </c>
      <c r="C767">
        <v>3</v>
      </c>
      <c r="D767" t="s">
        <v>664</v>
      </c>
      <c r="E767" t="s">
        <v>664</v>
      </c>
      <c r="F767" t="str" cm="1">
        <f t="array" ref="F767">CategorizeComment(E767)</f>
        <v>Other</v>
      </c>
      <c r="G767" t="str" cm="1">
        <f t="array" ref="G767">SubCategorizeComment(E767)</f>
        <v>Other</v>
      </c>
    </row>
    <row r="768" spans="1:7" x14ac:dyDescent="0.25">
      <c r="A768">
        <v>128036</v>
      </c>
      <c r="B768" t="s">
        <v>4</v>
      </c>
      <c r="C768">
        <v>3</v>
      </c>
      <c r="D768" t="s">
        <v>2144</v>
      </c>
      <c r="E768" t="s">
        <v>2144</v>
      </c>
      <c r="F768" t="str" cm="1">
        <f t="array" ref="F768">CategorizeComment(E768)</f>
        <v>Other</v>
      </c>
      <c r="G768" t="str" cm="1">
        <f t="array" ref="G768">SubCategorizeComment(E768)</f>
        <v>Other</v>
      </c>
    </row>
    <row r="769" spans="1:7" x14ac:dyDescent="0.25">
      <c r="A769">
        <v>1653</v>
      </c>
      <c r="B769" t="s">
        <v>4</v>
      </c>
      <c r="C769">
        <v>4</v>
      </c>
      <c r="D769" t="s">
        <v>43</v>
      </c>
      <c r="E769" t="s">
        <v>43</v>
      </c>
      <c r="F769" t="str" cm="1">
        <f t="array" ref="F769">CategorizeComment(E769)</f>
        <v>Other</v>
      </c>
      <c r="G769" t="str" cm="1">
        <f t="array" ref="G769">SubCategorizeComment(E769)</f>
        <v>Other</v>
      </c>
    </row>
    <row r="770" spans="1:7" x14ac:dyDescent="0.25">
      <c r="A770">
        <v>113326</v>
      </c>
      <c r="B770" t="s">
        <v>4</v>
      </c>
      <c r="C770">
        <v>3</v>
      </c>
      <c r="D770" t="s">
        <v>1928</v>
      </c>
      <c r="E770" t="s">
        <v>1928</v>
      </c>
      <c r="F770" t="str" cm="1">
        <f t="array" ref="F770">CategorizeComment(E770)</f>
        <v>Other</v>
      </c>
      <c r="G770" t="str" cm="1">
        <f t="array" ref="G770">SubCategorizeComment(E770)</f>
        <v>Other</v>
      </c>
    </row>
    <row r="771" spans="1:7" x14ac:dyDescent="0.25">
      <c r="A771">
        <v>92608</v>
      </c>
      <c r="B771" t="s">
        <v>4</v>
      </c>
      <c r="C771">
        <v>3</v>
      </c>
      <c r="D771" t="s">
        <v>1617</v>
      </c>
      <c r="E771" t="s">
        <v>1617</v>
      </c>
      <c r="F771" t="str" cm="1">
        <f t="array" ref="F771">CategorizeComment(E771)</f>
        <v>Time-related issues</v>
      </c>
      <c r="G771" t="str" cm="1">
        <f t="array" ref="G771">SubCategorizeComment(E771)</f>
        <v>Long waits</v>
      </c>
    </row>
    <row r="772" spans="1:7" x14ac:dyDescent="0.25">
      <c r="A772">
        <v>80834</v>
      </c>
      <c r="B772" t="s">
        <v>4</v>
      </c>
      <c r="C772">
        <v>3</v>
      </c>
      <c r="D772" t="s">
        <v>1448</v>
      </c>
      <c r="E772" t="s">
        <v>1448</v>
      </c>
      <c r="F772" t="str" cm="1">
        <f t="array" ref="F772">CategorizeComment(E772)</f>
        <v>Time-related issues</v>
      </c>
      <c r="G772" t="str" cm="1">
        <f t="array" ref="G772">SubCategorizeComment(E772)</f>
        <v>Long waits</v>
      </c>
    </row>
    <row r="773" spans="1:7" x14ac:dyDescent="0.25">
      <c r="A773">
        <v>101015</v>
      </c>
      <c r="B773" t="s">
        <v>4</v>
      </c>
      <c r="C773">
        <v>4</v>
      </c>
      <c r="D773" t="s">
        <v>1734</v>
      </c>
      <c r="E773" t="s">
        <v>1734</v>
      </c>
      <c r="F773" t="str" cm="1">
        <f t="array" ref="F773">CategorizeComment(E773)</f>
        <v>Time-related issues</v>
      </c>
      <c r="G773" t="str" cm="1">
        <f t="array" ref="G773">SubCategorizeComment(E773)</f>
        <v>Flight delays</v>
      </c>
    </row>
    <row r="774" spans="1:7" x14ac:dyDescent="0.25">
      <c r="A774">
        <v>35514</v>
      </c>
      <c r="B774" t="s">
        <v>4</v>
      </c>
      <c r="C774">
        <v>3</v>
      </c>
      <c r="D774" t="s">
        <v>678</v>
      </c>
      <c r="E774" t="s">
        <v>678</v>
      </c>
      <c r="F774" t="str" cm="1">
        <f t="array" ref="F774">CategorizeComment(E774)</f>
        <v>Time-related issues</v>
      </c>
      <c r="G774" t="str" cm="1">
        <f t="array" ref="G774">SubCategorizeComment(E774)</f>
        <v>Flight delays</v>
      </c>
    </row>
    <row r="775" spans="1:7" x14ac:dyDescent="0.25">
      <c r="A775">
        <v>4546</v>
      </c>
      <c r="B775" t="s">
        <v>4</v>
      </c>
      <c r="C775">
        <v>3</v>
      </c>
      <c r="D775" t="s">
        <v>94</v>
      </c>
      <c r="E775" t="s">
        <v>94</v>
      </c>
      <c r="F775" t="str" cm="1">
        <f t="array" ref="F775">CategorizeComment(E775)</f>
        <v>Other</v>
      </c>
      <c r="G775" t="str" cm="1">
        <f t="array" ref="G775">SubCategorizeComment(E775)</f>
        <v>Other</v>
      </c>
    </row>
    <row r="776" spans="1:7" x14ac:dyDescent="0.25">
      <c r="A776">
        <v>49097</v>
      </c>
      <c r="B776" t="s">
        <v>4</v>
      </c>
      <c r="C776">
        <v>3</v>
      </c>
      <c r="D776" t="s">
        <v>918</v>
      </c>
      <c r="E776" t="s">
        <v>918</v>
      </c>
      <c r="F776" t="str" cm="1">
        <f t="array" ref="F776">CategorizeComment(E776)</f>
        <v>Time-related issues</v>
      </c>
      <c r="G776" t="str" cm="1">
        <f t="array" ref="G776">SubCategorizeComment(E776)</f>
        <v>Flight delays</v>
      </c>
    </row>
    <row r="777" spans="1:7" x14ac:dyDescent="0.25">
      <c r="A777">
        <v>8416</v>
      </c>
      <c r="B777" t="s">
        <v>4</v>
      </c>
      <c r="C777">
        <v>3</v>
      </c>
      <c r="D777" t="s">
        <v>165</v>
      </c>
      <c r="E777" t="s">
        <v>165</v>
      </c>
      <c r="F777" t="str" cm="1">
        <f t="array" ref="F777">CategorizeComment(E777)</f>
        <v>Other</v>
      </c>
      <c r="G777" t="str" cm="1">
        <f t="array" ref="G777">SubCategorizeComment(E777)</f>
        <v>In-flight entertainment issues</v>
      </c>
    </row>
    <row r="778" spans="1:7" x14ac:dyDescent="0.25">
      <c r="A778">
        <v>101840</v>
      </c>
      <c r="B778" t="s">
        <v>4</v>
      </c>
      <c r="C778">
        <v>3</v>
      </c>
      <c r="D778" t="s">
        <v>1745</v>
      </c>
      <c r="E778" t="s">
        <v>1745</v>
      </c>
      <c r="F778" t="str" cm="1">
        <f t="array" ref="F778">CategorizeComment(E778)</f>
        <v>Other</v>
      </c>
      <c r="G778" t="str" cm="1">
        <f t="array" ref="G778">SubCategorizeComment(E778)</f>
        <v>Other</v>
      </c>
    </row>
    <row r="779" spans="1:7" x14ac:dyDescent="0.25">
      <c r="A779">
        <v>100515</v>
      </c>
      <c r="B779" t="s">
        <v>4</v>
      </c>
      <c r="C779">
        <v>3</v>
      </c>
      <c r="D779" t="s">
        <v>1729</v>
      </c>
      <c r="E779" t="s">
        <v>1729</v>
      </c>
      <c r="F779" t="str" cm="1">
        <f t="array" ref="F779">CategorizeComment(E779)</f>
        <v>Time-related issues</v>
      </c>
      <c r="G779" t="str" cm="1">
        <f t="array" ref="G779">SubCategorizeComment(E779)</f>
        <v>Flight delays</v>
      </c>
    </row>
    <row r="780" spans="1:7" x14ac:dyDescent="0.25">
      <c r="A780">
        <v>107396</v>
      </c>
      <c r="B780" t="s">
        <v>4</v>
      </c>
      <c r="C780">
        <v>4</v>
      </c>
      <c r="D780" t="s">
        <v>1835</v>
      </c>
      <c r="E780" t="s">
        <v>1835</v>
      </c>
      <c r="F780" t="str" cm="1">
        <f t="array" ref="F780">CategorizeComment(E780)</f>
        <v>Other</v>
      </c>
      <c r="G780" t="str" cm="1">
        <f t="array" ref="G780">SubCategorizeComment(E780)</f>
        <v>Other</v>
      </c>
    </row>
    <row r="781" spans="1:7" x14ac:dyDescent="0.25">
      <c r="A781">
        <v>83067</v>
      </c>
      <c r="B781" t="s">
        <v>4</v>
      </c>
      <c r="C781">
        <v>3</v>
      </c>
      <c r="D781" t="s">
        <v>1474</v>
      </c>
      <c r="E781" t="s">
        <v>1474</v>
      </c>
      <c r="F781" t="str" cm="1">
        <f t="array" ref="F781">CategorizeComment(E781)</f>
        <v>Other</v>
      </c>
      <c r="G781" t="str" cm="1">
        <f t="array" ref="G781">SubCategorizeComment(E781)</f>
        <v>Other</v>
      </c>
    </row>
    <row r="782" spans="1:7" x14ac:dyDescent="0.25">
      <c r="A782">
        <v>11</v>
      </c>
      <c r="B782" t="s">
        <v>4</v>
      </c>
      <c r="C782">
        <v>4</v>
      </c>
      <c r="D782" t="s">
        <v>5</v>
      </c>
    </row>
    <row r="783" spans="1:7" x14ac:dyDescent="0.25">
      <c r="A783">
        <v>12</v>
      </c>
      <c r="B783" t="s">
        <v>4</v>
      </c>
      <c r="C783">
        <v>3</v>
      </c>
      <c r="D783" t="s">
        <v>5</v>
      </c>
    </row>
    <row r="784" spans="1:7" x14ac:dyDescent="0.25">
      <c r="A784">
        <v>20</v>
      </c>
      <c r="B784" t="s">
        <v>4</v>
      </c>
      <c r="C784">
        <v>3</v>
      </c>
      <c r="D784" t="s">
        <v>5</v>
      </c>
    </row>
    <row r="785" spans="1:7" x14ac:dyDescent="0.25">
      <c r="A785">
        <v>22</v>
      </c>
      <c r="B785" t="s">
        <v>4</v>
      </c>
      <c r="C785">
        <v>4</v>
      </c>
      <c r="D785" t="s">
        <v>5</v>
      </c>
    </row>
    <row r="786" spans="1:7" x14ac:dyDescent="0.25">
      <c r="A786">
        <v>55</v>
      </c>
      <c r="B786" t="s">
        <v>4</v>
      </c>
      <c r="C786">
        <v>3</v>
      </c>
      <c r="D786" t="s">
        <v>5</v>
      </c>
    </row>
    <row r="787" spans="1:7" x14ac:dyDescent="0.25">
      <c r="A787">
        <v>69</v>
      </c>
      <c r="B787" t="s">
        <v>4</v>
      </c>
      <c r="C787">
        <v>4</v>
      </c>
      <c r="D787" t="s">
        <v>5</v>
      </c>
    </row>
    <row r="788" spans="1:7" x14ac:dyDescent="0.25">
      <c r="A788">
        <v>82</v>
      </c>
      <c r="B788" t="s">
        <v>4</v>
      </c>
      <c r="C788">
        <v>4</v>
      </c>
      <c r="D788" t="s">
        <v>5</v>
      </c>
    </row>
    <row r="789" spans="1:7" x14ac:dyDescent="0.25">
      <c r="A789">
        <v>85</v>
      </c>
      <c r="B789" t="s">
        <v>4</v>
      </c>
      <c r="C789">
        <v>3</v>
      </c>
      <c r="D789" t="s">
        <v>5</v>
      </c>
    </row>
    <row r="790" spans="1:7" x14ac:dyDescent="0.25">
      <c r="A790">
        <v>89</v>
      </c>
      <c r="B790" t="s">
        <v>4</v>
      </c>
      <c r="C790">
        <v>3</v>
      </c>
      <c r="D790" t="s">
        <v>5</v>
      </c>
    </row>
    <row r="791" spans="1:7" x14ac:dyDescent="0.25">
      <c r="A791">
        <v>94</v>
      </c>
      <c r="B791" t="s">
        <v>4</v>
      </c>
      <c r="C791">
        <v>3</v>
      </c>
      <c r="D791" t="s">
        <v>5</v>
      </c>
      <c r="F791" t="str" cm="1">
        <f t="array" ref="F791">CategorizeComment(E791)</f>
        <v>Other</v>
      </c>
      <c r="G791" t="str" cm="1">
        <f t="array" ref="G791">SubCategorizeComment(E791)</f>
        <v>Other</v>
      </c>
    </row>
    <row r="792" spans="1:7" x14ac:dyDescent="0.25">
      <c r="A792">
        <v>97</v>
      </c>
      <c r="B792" t="s">
        <v>4</v>
      </c>
      <c r="C792">
        <v>3</v>
      </c>
      <c r="D792" t="s">
        <v>5</v>
      </c>
      <c r="F792" t="str" cm="1">
        <f t="array" ref="F792">CategorizeComment(E792)</f>
        <v>Other</v>
      </c>
      <c r="G792" t="str" cm="1">
        <f t="array" ref="G792">SubCategorizeComment(E792)</f>
        <v>Other</v>
      </c>
    </row>
    <row r="793" spans="1:7" x14ac:dyDescent="0.25">
      <c r="A793">
        <v>116</v>
      </c>
      <c r="B793" t="s">
        <v>4</v>
      </c>
      <c r="C793">
        <v>3</v>
      </c>
      <c r="D793" t="s">
        <v>5</v>
      </c>
      <c r="F793" t="str" cm="1">
        <f t="array" ref="F793">CategorizeComment(E793)</f>
        <v>Other</v>
      </c>
      <c r="G793" t="str" cm="1">
        <f t="array" ref="G793">SubCategorizeComment(E793)</f>
        <v>Other</v>
      </c>
    </row>
    <row r="794" spans="1:7" x14ac:dyDescent="0.25">
      <c r="A794">
        <v>119</v>
      </c>
      <c r="B794" t="s">
        <v>4</v>
      </c>
      <c r="C794">
        <v>3</v>
      </c>
      <c r="D794" t="s">
        <v>5</v>
      </c>
      <c r="F794" t="str" cm="1">
        <f t="array" ref="F794">CategorizeComment(E794)</f>
        <v>Other</v>
      </c>
      <c r="G794" t="str" cm="1">
        <f t="array" ref="G794">SubCategorizeComment(E794)</f>
        <v>Other</v>
      </c>
    </row>
    <row r="795" spans="1:7" x14ac:dyDescent="0.25">
      <c r="A795">
        <v>120</v>
      </c>
      <c r="B795" t="s">
        <v>4</v>
      </c>
      <c r="C795">
        <v>3</v>
      </c>
      <c r="D795" t="s">
        <v>5</v>
      </c>
      <c r="F795" t="str" cm="1">
        <f t="array" ref="F795">CategorizeComment(E795)</f>
        <v>Other</v>
      </c>
      <c r="G795" t="str" cm="1">
        <f t="array" ref="G795">SubCategorizeComment(E795)</f>
        <v>Other</v>
      </c>
    </row>
    <row r="796" spans="1:7" x14ac:dyDescent="0.25">
      <c r="A796">
        <v>149</v>
      </c>
      <c r="B796" t="s">
        <v>4</v>
      </c>
      <c r="C796">
        <v>3</v>
      </c>
      <c r="D796" t="s">
        <v>5</v>
      </c>
      <c r="F796" t="str" cm="1">
        <f t="array" ref="F796">CategorizeComment(E796)</f>
        <v>Other</v>
      </c>
      <c r="G796" t="str" cm="1">
        <f t="array" ref="G796">SubCategorizeComment(E796)</f>
        <v>Other</v>
      </c>
    </row>
    <row r="797" spans="1:7" x14ac:dyDescent="0.25">
      <c r="A797">
        <v>157</v>
      </c>
      <c r="B797" t="s">
        <v>4</v>
      </c>
      <c r="C797">
        <v>3</v>
      </c>
      <c r="D797" t="s">
        <v>5</v>
      </c>
      <c r="F797" t="str" cm="1">
        <f t="array" ref="F797">CategorizeComment(E797)</f>
        <v>Other</v>
      </c>
      <c r="G797" t="str" cm="1">
        <f t="array" ref="G797">SubCategorizeComment(E797)</f>
        <v>Other</v>
      </c>
    </row>
    <row r="798" spans="1:7" x14ac:dyDescent="0.25">
      <c r="A798">
        <v>158</v>
      </c>
      <c r="B798" t="s">
        <v>4</v>
      </c>
      <c r="C798">
        <v>4</v>
      </c>
      <c r="D798" t="s">
        <v>5</v>
      </c>
      <c r="F798" t="str" cm="1">
        <f t="array" ref="F798">CategorizeComment(E798)</f>
        <v>Other</v>
      </c>
      <c r="G798" t="str" cm="1">
        <f t="array" ref="G798">SubCategorizeComment(E798)</f>
        <v>Other</v>
      </c>
    </row>
    <row r="799" spans="1:7" x14ac:dyDescent="0.25">
      <c r="A799">
        <v>177</v>
      </c>
      <c r="B799" t="s">
        <v>4</v>
      </c>
      <c r="C799">
        <v>4</v>
      </c>
      <c r="D799" t="s">
        <v>5</v>
      </c>
      <c r="F799" t="str" cm="1">
        <f t="array" ref="F799">CategorizeComment(E799)</f>
        <v>Other</v>
      </c>
      <c r="G799" t="str" cm="1">
        <f t="array" ref="G799">SubCategorizeComment(E799)</f>
        <v>Other</v>
      </c>
    </row>
    <row r="800" spans="1:7" x14ac:dyDescent="0.25">
      <c r="A800">
        <v>185</v>
      </c>
      <c r="B800" t="s">
        <v>4</v>
      </c>
      <c r="C800">
        <v>3</v>
      </c>
      <c r="D800" t="s">
        <v>5</v>
      </c>
      <c r="F800" t="str" cm="1">
        <f t="array" ref="F800">CategorizeComment(E800)</f>
        <v>Other</v>
      </c>
      <c r="G800" t="str" cm="1">
        <f t="array" ref="G800">SubCategorizeComment(E800)</f>
        <v>Other</v>
      </c>
    </row>
    <row r="801" spans="1:7" x14ac:dyDescent="0.25">
      <c r="A801">
        <v>200</v>
      </c>
      <c r="B801" t="s">
        <v>4</v>
      </c>
      <c r="C801">
        <v>3</v>
      </c>
      <c r="D801" t="s">
        <v>5</v>
      </c>
      <c r="F801" t="str" cm="1">
        <f t="array" ref="F801">CategorizeComment(E801)</f>
        <v>Other</v>
      </c>
      <c r="G801" t="str" cm="1">
        <f t="array" ref="G801">SubCategorizeComment(E801)</f>
        <v>Other</v>
      </c>
    </row>
    <row r="802" spans="1:7" x14ac:dyDescent="0.25">
      <c r="A802">
        <v>210</v>
      </c>
      <c r="B802" t="s">
        <v>4</v>
      </c>
      <c r="C802">
        <v>4</v>
      </c>
      <c r="D802" t="s">
        <v>5</v>
      </c>
      <c r="F802" t="str" cm="1">
        <f t="array" ref="F802">CategorizeComment(E802)</f>
        <v>Other</v>
      </c>
      <c r="G802" t="str" cm="1">
        <f t="array" ref="G802">SubCategorizeComment(E802)</f>
        <v>Other</v>
      </c>
    </row>
    <row r="803" spans="1:7" x14ac:dyDescent="0.25">
      <c r="A803">
        <v>222</v>
      </c>
      <c r="B803" t="s">
        <v>4</v>
      </c>
      <c r="C803">
        <v>3</v>
      </c>
      <c r="D803" t="s">
        <v>5</v>
      </c>
      <c r="F803" t="str" cm="1">
        <f t="array" ref="F803">CategorizeComment(E803)</f>
        <v>Other</v>
      </c>
      <c r="G803" t="str" cm="1">
        <f t="array" ref="G803">SubCategorizeComment(E803)</f>
        <v>Other</v>
      </c>
    </row>
    <row r="804" spans="1:7" x14ac:dyDescent="0.25">
      <c r="A804">
        <v>236</v>
      </c>
      <c r="B804" t="s">
        <v>4</v>
      </c>
      <c r="C804">
        <v>3</v>
      </c>
      <c r="D804" t="s">
        <v>5</v>
      </c>
      <c r="F804" t="str" cm="1">
        <f t="array" ref="F804">CategorizeComment(E804)</f>
        <v>Other</v>
      </c>
      <c r="G804" t="str" cm="1">
        <f t="array" ref="G804">SubCategorizeComment(E804)</f>
        <v>Other</v>
      </c>
    </row>
    <row r="805" spans="1:7" x14ac:dyDescent="0.25">
      <c r="A805">
        <v>243</v>
      </c>
      <c r="B805" t="s">
        <v>4</v>
      </c>
      <c r="C805">
        <v>4</v>
      </c>
      <c r="D805" t="s">
        <v>5</v>
      </c>
      <c r="F805" t="str" cm="1">
        <f t="array" ref="F805">CategorizeComment(E805)</f>
        <v>Other</v>
      </c>
      <c r="G805" t="str" cm="1">
        <f t="array" ref="G805">SubCategorizeComment(E805)</f>
        <v>Other</v>
      </c>
    </row>
    <row r="806" spans="1:7" x14ac:dyDescent="0.25">
      <c r="A806">
        <v>252</v>
      </c>
      <c r="B806" t="s">
        <v>4</v>
      </c>
      <c r="C806">
        <v>3</v>
      </c>
      <c r="D806" t="s">
        <v>5</v>
      </c>
      <c r="F806" t="str" cm="1">
        <f t="array" ref="F806">CategorizeComment(E806)</f>
        <v>Other</v>
      </c>
      <c r="G806" t="str" cm="1">
        <f t="array" ref="G806">SubCategorizeComment(E806)</f>
        <v>Other</v>
      </c>
    </row>
    <row r="807" spans="1:7" x14ac:dyDescent="0.25">
      <c r="A807">
        <v>273</v>
      </c>
      <c r="B807" t="s">
        <v>4</v>
      </c>
      <c r="C807">
        <v>3</v>
      </c>
      <c r="D807" t="s">
        <v>5</v>
      </c>
      <c r="F807" t="str" cm="1">
        <f t="array" ref="F807">CategorizeComment(E807)</f>
        <v>Other</v>
      </c>
      <c r="G807" t="str" cm="1">
        <f t="array" ref="G807">SubCategorizeComment(E807)</f>
        <v>Other</v>
      </c>
    </row>
    <row r="808" spans="1:7" x14ac:dyDescent="0.25">
      <c r="A808">
        <v>276</v>
      </c>
      <c r="B808" t="s">
        <v>4</v>
      </c>
      <c r="C808">
        <v>4</v>
      </c>
      <c r="D808" t="s">
        <v>5</v>
      </c>
      <c r="F808" t="str" cm="1">
        <f t="array" ref="F808">CategorizeComment(E808)</f>
        <v>Other</v>
      </c>
      <c r="G808" t="str" cm="1">
        <f t="array" ref="G808">SubCategorizeComment(E808)</f>
        <v>Other</v>
      </c>
    </row>
    <row r="809" spans="1:7" x14ac:dyDescent="0.25">
      <c r="A809">
        <v>285</v>
      </c>
      <c r="B809" t="s">
        <v>4</v>
      </c>
      <c r="C809">
        <v>4</v>
      </c>
      <c r="D809" t="s">
        <v>5</v>
      </c>
      <c r="F809" t="str" cm="1">
        <f t="array" ref="F809">CategorizeComment(E809)</f>
        <v>Other</v>
      </c>
      <c r="G809" t="str" cm="1">
        <f t="array" ref="G809">SubCategorizeComment(E809)</f>
        <v>Other</v>
      </c>
    </row>
    <row r="810" spans="1:7" x14ac:dyDescent="0.25">
      <c r="A810">
        <v>290</v>
      </c>
      <c r="B810" t="s">
        <v>4</v>
      </c>
      <c r="C810">
        <v>4</v>
      </c>
      <c r="D810" t="s">
        <v>5</v>
      </c>
      <c r="F810" t="str" cm="1">
        <f t="array" ref="F810">CategorizeComment(E810)</f>
        <v>Other</v>
      </c>
      <c r="G810" t="str" cm="1">
        <f t="array" ref="G810">SubCategorizeComment(E810)</f>
        <v>Other</v>
      </c>
    </row>
    <row r="811" spans="1:7" x14ac:dyDescent="0.25">
      <c r="A811">
        <v>294</v>
      </c>
      <c r="B811" t="s">
        <v>4</v>
      </c>
      <c r="C811">
        <v>3</v>
      </c>
      <c r="D811" t="s">
        <v>5</v>
      </c>
      <c r="F811" t="str" cm="1">
        <f t="array" ref="F811">CategorizeComment(E811)</f>
        <v>Other</v>
      </c>
      <c r="G811" t="str" cm="1">
        <f t="array" ref="G811">SubCategorizeComment(E811)</f>
        <v>Other</v>
      </c>
    </row>
    <row r="812" spans="1:7" x14ac:dyDescent="0.25">
      <c r="A812">
        <v>304</v>
      </c>
      <c r="B812" t="s">
        <v>4</v>
      </c>
      <c r="C812">
        <v>3</v>
      </c>
      <c r="D812" t="s">
        <v>5</v>
      </c>
      <c r="F812" t="str" cm="1">
        <f t="array" ref="F812">CategorizeComment(E812)</f>
        <v>Other</v>
      </c>
      <c r="G812" t="str" cm="1">
        <f t="array" ref="G812">SubCategorizeComment(E812)</f>
        <v>Other</v>
      </c>
    </row>
    <row r="813" spans="1:7" x14ac:dyDescent="0.25">
      <c r="A813">
        <v>318</v>
      </c>
      <c r="B813" t="s">
        <v>4</v>
      </c>
      <c r="C813">
        <v>3</v>
      </c>
      <c r="D813" t="s">
        <v>5</v>
      </c>
      <c r="F813" t="str" cm="1">
        <f t="array" ref="F813">CategorizeComment(E813)</f>
        <v>Other</v>
      </c>
      <c r="G813" t="str" cm="1">
        <f t="array" ref="G813">SubCategorizeComment(E813)</f>
        <v>Other</v>
      </c>
    </row>
    <row r="814" spans="1:7" x14ac:dyDescent="0.25">
      <c r="A814">
        <v>319</v>
      </c>
      <c r="B814" t="s">
        <v>4</v>
      </c>
      <c r="C814">
        <v>4</v>
      </c>
      <c r="D814" t="s">
        <v>5</v>
      </c>
      <c r="F814" t="str" cm="1">
        <f t="array" ref="F814">CategorizeComment(E814)</f>
        <v>Other</v>
      </c>
      <c r="G814" t="str" cm="1">
        <f t="array" ref="G814">SubCategorizeComment(E814)</f>
        <v>Other</v>
      </c>
    </row>
    <row r="815" spans="1:7" x14ac:dyDescent="0.25">
      <c r="A815">
        <v>321</v>
      </c>
      <c r="B815" t="s">
        <v>4</v>
      </c>
      <c r="C815">
        <v>3</v>
      </c>
      <c r="D815" t="s">
        <v>5</v>
      </c>
      <c r="F815" t="str" cm="1">
        <f t="array" ref="F815">CategorizeComment(E815)</f>
        <v>Other</v>
      </c>
      <c r="G815" t="str" cm="1">
        <f t="array" ref="G815">SubCategorizeComment(E815)</f>
        <v>Other</v>
      </c>
    </row>
    <row r="816" spans="1:7" x14ac:dyDescent="0.25">
      <c r="A816">
        <v>322</v>
      </c>
      <c r="B816" t="s">
        <v>4</v>
      </c>
      <c r="C816">
        <v>3</v>
      </c>
      <c r="D816" t="s">
        <v>5</v>
      </c>
      <c r="F816" t="str" cm="1">
        <f t="array" ref="F816">CategorizeComment(E816)</f>
        <v>Other</v>
      </c>
      <c r="G816" t="str" cm="1">
        <f t="array" ref="G816">SubCategorizeComment(E816)</f>
        <v>Other</v>
      </c>
    </row>
    <row r="817" spans="1:7" x14ac:dyDescent="0.25">
      <c r="A817">
        <v>327</v>
      </c>
      <c r="B817" t="s">
        <v>4</v>
      </c>
      <c r="C817">
        <v>4</v>
      </c>
      <c r="D817" t="s">
        <v>5</v>
      </c>
      <c r="F817" t="str" cm="1">
        <f t="array" ref="F817">CategorizeComment(E817)</f>
        <v>Other</v>
      </c>
      <c r="G817" t="str" cm="1">
        <f t="array" ref="G817">SubCategorizeComment(E817)</f>
        <v>Other</v>
      </c>
    </row>
    <row r="818" spans="1:7" x14ac:dyDescent="0.25">
      <c r="A818">
        <v>334</v>
      </c>
      <c r="B818" t="s">
        <v>4</v>
      </c>
      <c r="C818">
        <v>3</v>
      </c>
      <c r="D818" t="s">
        <v>5</v>
      </c>
      <c r="F818" t="str" cm="1">
        <f t="array" ref="F818">CategorizeComment(E818)</f>
        <v>Other</v>
      </c>
      <c r="G818" t="str" cm="1">
        <f t="array" ref="G818">SubCategorizeComment(E818)</f>
        <v>Other</v>
      </c>
    </row>
    <row r="819" spans="1:7" x14ac:dyDescent="0.25">
      <c r="A819">
        <v>335</v>
      </c>
      <c r="B819" t="s">
        <v>4</v>
      </c>
      <c r="C819">
        <v>3</v>
      </c>
      <c r="D819" t="s">
        <v>5</v>
      </c>
      <c r="F819" t="str" cm="1">
        <f t="array" ref="F819">CategorizeComment(E819)</f>
        <v>Other</v>
      </c>
      <c r="G819" t="str" cm="1">
        <f t="array" ref="G819">SubCategorizeComment(E819)</f>
        <v>Other</v>
      </c>
    </row>
    <row r="820" spans="1:7" x14ac:dyDescent="0.25">
      <c r="A820">
        <v>344</v>
      </c>
      <c r="B820" t="s">
        <v>4</v>
      </c>
      <c r="C820">
        <v>3</v>
      </c>
      <c r="D820" t="s">
        <v>5</v>
      </c>
      <c r="F820" t="str" cm="1">
        <f t="array" ref="F820">CategorizeComment(E820)</f>
        <v>Other</v>
      </c>
      <c r="G820" t="str" cm="1">
        <f t="array" ref="G820">SubCategorizeComment(E820)</f>
        <v>Other</v>
      </c>
    </row>
    <row r="821" spans="1:7" x14ac:dyDescent="0.25">
      <c r="A821">
        <v>345</v>
      </c>
      <c r="B821" t="s">
        <v>4</v>
      </c>
      <c r="C821">
        <v>3</v>
      </c>
      <c r="D821" t="s">
        <v>5</v>
      </c>
      <c r="F821" t="str" cm="1">
        <f t="array" ref="F821">CategorizeComment(E821)</f>
        <v>Other</v>
      </c>
      <c r="G821" t="str" cm="1">
        <f t="array" ref="G821">SubCategorizeComment(E821)</f>
        <v>Other</v>
      </c>
    </row>
    <row r="822" spans="1:7" x14ac:dyDescent="0.25">
      <c r="A822">
        <v>351</v>
      </c>
      <c r="B822" t="s">
        <v>4</v>
      </c>
      <c r="C822">
        <v>3</v>
      </c>
      <c r="D822" t="s">
        <v>5</v>
      </c>
      <c r="F822" t="str" cm="1">
        <f t="array" ref="F822">CategorizeComment(E822)</f>
        <v>Other</v>
      </c>
      <c r="G822" t="str" cm="1">
        <f t="array" ref="G822">SubCategorizeComment(E822)</f>
        <v>Other</v>
      </c>
    </row>
    <row r="823" spans="1:7" x14ac:dyDescent="0.25">
      <c r="A823">
        <v>407</v>
      </c>
      <c r="B823" t="s">
        <v>4</v>
      </c>
      <c r="C823">
        <v>3</v>
      </c>
      <c r="D823" t="s">
        <v>5</v>
      </c>
      <c r="F823" t="str" cm="1">
        <f t="array" ref="F823">CategorizeComment(E823)</f>
        <v>Other</v>
      </c>
      <c r="G823" t="str" cm="1">
        <f t="array" ref="G823">SubCategorizeComment(E823)</f>
        <v>Other</v>
      </c>
    </row>
    <row r="824" spans="1:7" x14ac:dyDescent="0.25">
      <c r="A824">
        <v>410</v>
      </c>
      <c r="B824" t="s">
        <v>4</v>
      </c>
      <c r="C824">
        <v>3</v>
      </c>
      <c r="D824" t="s">
        <v>5</v>
      </c>
      <c r="F824" t="str" cm="1">
        <f t="array" ref="F824">CategorizeComment(E824)</f>
        <v>Other</v>
      </c>
      <c r="G824" t="str" cm="1">
        <f t="array" ref="G824">SubCategorizeComment(E824)</f>
        <v>Other</v>
      </c>
    </row>
    <row r="825" spans="1:7" x14ac:dyDescent="0.25">
      <c r="A825">
        <v>412</v>
      </c>
      <c r="B825" t="s">
        <v>4</v>
      </c>
      <c r="C825">
        <v>4</v>
      </c>
      <c r="D825" t="s">
        <v>5</v>
      </c>
      <c r="F825" t="str" cm="1">
        <f t="array" ref="F825">CategorizeComment(E825)</f>
        <v>Other</v>
      </c>
      <c r="G825" t="str" cm="1">
        <f t="array" ref="G825">SubCategorizeComment(E825)</f>
        <v>Other</v>
      </c>
    </row>
    <row r="826" spans="1:7" x14ac:dyDescent="0.25">
      <c r="A826">
        <v>413</v>
      </c>
      <c r="B826" t="s">
        <v>4</v>
      </c>
      <c r="C826">
        <v>4</v>
      </c>
      <c r="D826" t="s">
        <v>5</v>
      </c>
      <c r="F826" t="str" cm="1">
        <f t="array" ref="F826">CategorizeComment(E826)</f>
        <v>Other</v>
      </c>
      <c r="G826" t="str" cm="1">
        <f t="array" ref="G826">SubCategorizeComment(E826)</f>
        <v>Other</v>
      </c>
    </row>
    <row r="827" spans="1:7" x14ac:dyDescent="0.25">
      <c r="A827">
        <v>427</v>
      </c>
      <c r="B827" t="s">
        <v>4</v>
      </c>
      <c r="C827">
        <v>4</v>
      </c>
      <c r="D827" t="s">
        <v>5</v>
      </c>
      <c r="F827" t="str" cm="1">
        <f t="array" ref="F827">CategorizeComment(E827)</f>
        <v>Other</v>
      </c>
      <c r="G827" t="str" cm="1">
        <f t="array" ref="G827">SubCategorizeComment(E827)</f>
        <v>Other</v>
      </c>
    </row>
    <row r="828" spans="1:7" x14ac:dyDescent="0.25">
      <c r="A828">
        <v>431</v>
      </c>
      <c r="B828" t="s">
        <v>4</v>
      </c>
      <c r="C828">
        <v>4</v>
      </c>
      <c r="D828" t="s">
        <v>5</v>
      </c>
      <c r="F828" t="str" cm="1">
        <f t="array" ref="F828">CategorizeComment(E828)</f>
        <v>Other</v>
      </c>
      <c r="G828" t="str" cm="1">
        <f t="array" ref="G828">SubCategorizeComment(E828)</f>
        <v>Other</v>
      </c>
    </row>
    <row r="829" spans="1:7" x14ac:dyDescent="0.25">
      <c r="A829">
        <v>521</v>
      </c>
      <c r="B829" t="s">
        <v>4</v>
      </c>
      <c r="C829">
        <v>4</v>
      </c>
      <c r="D829" t="s">
        <v>5</v>
      </c>
      <c r="F829" t="str" cm="1">
        <f t="array" ref="F829">CategorizeComment(E829)</f>
        <v>Other</v>
      </c>
      <c r="G829" t="str" cm="1">
        <f t="array" ref="G829">SubCategorizeComment(E829)</f>
        <v>Other</v>
      </c>
    </row>
    <row r="830" spans="1:7" x14ac:dyDescent="0.25">
      <c r="A830">
        <v>563</v>
      </c>
      <c r="B830" t="s">
        <v>4</v>
      </c>
      <c r="C830">
        <v>4</v>
      </c>
      <c r="D830" t="s">
        <v>5</v>
      </c>
      <c r="F830" t="str" cm="1">
        <f t="array" ref="F830">CategorizeComment(E830)</f>
        <v>Other</v>
      </c>
      <c r="G830" t="str" cm="1">
        <f t="array" ref="G830">SubCategorizeComment(E830)</f>
        <v>Other</v>
      </c>
    </row>
    <row r="831" spans="1:7" x14ac:dyDescent="0.25">
      <c r="A831">
        <v>584</v>
      </c>
      <c r="B831" t="s">
        <v>4</v>
      </c>
      <c r="C831">
        <v>3</v>
      </c>
      <c r="D831" t="s">
        <v>5</v>
      </c>
      <c r="F831" t="str" cm="1">
        <f t="array" ref="F831">CategorizeComment(E831)</f>
        <v>Other</v>
      </c>
      <c r="G831" t="str" cm="1">
        <f t="array" ref="G831">SubCategorizeComment(E831)</f>
        <v>Other</v>
      </c>
    </row>
    <row r="832" spans="1:7" x14ac:dyDescent="0.25">
      <c r="A832">
        <v>623</v>
      </c>
      <c r="B832" t="s">
        <v>4</v>
      </c>
      <c r="C832">
        <v>4</v>
      </c>
      <c r="D832" t="s">
        <v>5</v>
      </c>
      <c r="F832" t="str" cm="1">
        <f t="array" ref="F832">CategorizeComment(E832)</f>
        <v>Other</v>
      </c>
      <c r="G832" t="str" cm="1">
        <f t="array" ref="G832">SubCategorizeComment(E832)</f>
        <v>Other</v>
      </c>
    </row>
    <row r="833" spans="1:7" x14ac:dyDescent="0.25">
      <c r="A833">
        <v>657</v>
      </c>
      <c r="B833" t="s">
        <v>4</v>
      </c>
      <c r="C833">
        <v>3</v>
      </c>
      <c r="D833" t="s">
        <v>5</v>
      </c>
      <c r="F833" t="str" cm="1">
        <f t="array" ref="F833">CategorizeComment(E833)</f>
        <v>Other</v>
      </c>
      <c r="G833" t="str" cm="1">
        <f t="array" ref="G833">SubCategorizeComment(E833)</f>
        <v>Other</v>
      </c>
    </row>
    <row r="834" spans="1:7" x14ac:dyDescent="0.25">
      <c r="A834">
        <v>681</v>
      </c>
      <c r="B834" t="s">
        <v>4</v>
      </c>
      <c r="C834">
        <v>3</v>
      </c>
      <c r="D834" t="s">
        <v>5</v>
      </c>
      <c r="F834" t="str" cm="1">
        <f t="array" ref="F834">CategorizeComment(E834)</f>
        <v>Other</v>
      </c>
      <c r="G834" t="str" cm="1">
        <f t="array" ref="G834">SubCategorizeComment(E834)</f>
        <v>Other</v>
      </c>
    </row>
    <row r="835" spans="1:7" x14ac:dyDescent="0.25">
      <c r="A835">
        <v>682</v>
      </c>
      <c r="B835" t="s">
        <v>4</v>
      </c>
      <c r="C835">
        <v>3</v>
      </c>
      <c r="D835" t="s">
        <v>5</v>
      </c>
      <c r="F835" t="str" cm="1">
        <f t="array" ref="F835">CategorizeComment(E835)</f>
        <v>Other</v>
      </c>
      <c r="G835" t="str" cm="1">
        <f t="array" ref="G835">SubCategorizeComment(E835)</f>
        <v>Other</v>
      </c>
    </row>
    <row r="836" spans="1:7" x14ac:dyDescent="0.25">
      <c r="A836">
        <v>684</v>
      </c>
      <c r="B836" t="s">
        <v>4</v>
      </c>
      <c r="C836">
        <v>3</v>
      </c>
      <c r="D836" t="s">
        <v>5</v>
      </c>
      <c r="F836" t="str" cm="1">
        <f t="array" ref="F836">CategorizeComment(E836)</f>
        <v>Other</v>
      </c>
      <c r="G836" t="str" cm="1">
        <f t="array" ref="G836">SubCategorizeComment(E836)</f>
        <v>Other</v>
      </c>
    </row>
    <row r="837" spans="1:7" x14ac:dyDescent="0.25">
      <c r="A837">
        <v>698</v>
      </c>
      <c r="B837" t="s">
        <v>4</v>
      </c>
      <c r="C837">
        <v>4</v>
      </c>
      <c r="D837" t="s">
        <v>5</v>
      </c>
      <c r="F837" t="str" cm="1">
        <f t="array" ref="F837">CategorizeComment(E837)</f>
        <v>Other</v>
      </c>
      <c r="G837" t="str" cm="1">
        <f t="array" ref="G837">SubCategorizeComment(E837)</f>
        <v>Other</v>
      </c>
    </row>
    <row r="838" spans="1:7" x14ac:dyDescent="0.25">
      <c r="A838">
        <v>719</v>
      </c>
      <c r="B838" t="s">
        <v>4</v>
      </c>
      <c r="C838">
        <v>4</v>
      </c>
      <c r="D838" t="s">
        <v>5</v>
      </c>
      <c r="F838" t="str" cm="1">
        <f t="array" ref="F838">CategorizeComment(E838)</f>
        <v>Other</v>
      </c>
      <c r="G838" t="str" cm="1">
        <f t="array" ref="G838">SubCategorizeComment(E838)</f>
        <v>Other</v>
      </c>
    </row>
    <row r="839" spans="1:7" x14ac:dyDescent="0.25">
      <c r="A839">
        <v>724</v>
      </c>
      <c r="B839" t="s">
        <v>4</v>
      </c>
      <c r="C839">
        <v>3</v>
      </c>
      <c r="D839" t="s">
        <v>5</v>
      </c>
      <c r="F839" t="str" cm="1">
        <f t="array" ref="F839">CategorizeComment(E839)</f>
        <v>Other</v>
      </c>
      <c r="G839" t="str" cm="1">
        <f t="array" ref="G839">SubCategorizeComment(E839)</f>
        <v>Other</v>
      </c>
    </row>
    <row r="840" spans="1:7" x14ac:dyDescent="0.25">
      <c r="A840">
        <v>731</v>
      </c>
      <c r="B840" t="s">
        <v>4</v>
      </c>
      <c r="C840">
        <v>3</v>
      </c>
      <c r="D840" t="s">
        <v>5</v>
      </c>
      <c r="F840" t="str" cm="1">
        <f t="array" ref="F840">CategorizeComment(E840)</f>
        <v>Other</v>
      </c>
      <c r="G840" t="str" cm="1">
        <f t="array" ref="G840">SubCategorizeComment(E840)</f>
        <v>Other</v>
      </c>
    </row>
    <row r="841" spans="1:7" x14ac:dyDescent="0.25">
      <c r="A841">
        <v>732</v>
      </c>
      <c r="B841" t="s">
        <v>4</v>
      </c>
      <c r="C841">
        <v>4</v>
      </c>
      <c r="D841" t="s">
        <v>5</v>
      </c>
      <c r="F841" t="str" cm="1">
        <f t="array" ref="F841">CategorizeComment(E841)</f>
        <v>Other</v>
      </c>
      <c r="G841" t="str" cm="1">
        <f t="array" ref="G841">SubCategorizeComment(E841)</f>
        <v>Other</v>
      </c>
    </row>
    <row r="842" spans="1:7" x14ac:dyDescent="0.25">
      <c r="A842">
        <v>739</v>
      </c>
      <c r="B842" t="s">
        <v>4</v>
      </c>
      <c r="C842">
        <v>3</v>
      </c>
      <c r="D842" t="s">
        <v>5</v>
      </c>
      <c r="F842" t="str" cm="1">
        <f t="array" ref="F842">CategorizeComment(E842)</f>
        <v>Other</v>
      </c>
      <c r="G842" t="str" cm="1">
        <f t="array" ref="G842">SubCategorizeComment(E842)</f>
        <v>Other</v>
      </c>
    </row>
    <row r="843" spans="1:7" x14ac:dyDescent="0.25">
      <c r="A843">
        <v>742</v>
      </c>
      <c r="B843" t="s">
        <v>4</v>
      </c>
      <c r="C843">
        <v>3</v>
      </c>
      <c r="D843" t="s">
        <v>5</v>
      </c>
      <c r="F843" t="str" cm="1">
        <f t="array" ref="F843">CategorizeComment(E843)</f>
        <v>Other</v>
      </c>
      <c r="G843" t="str" cm="1">
        <f t="array" ref="G843">SubCategorizeComment(E843)</f>
        <v>Other</v>
      </c>
    </row>
    <row r="844" spans="1:7" x14ac:dyDescent="0.25">
      <c r="A844">
        <v>746</v>
      </c>
      <c r="B844" t="s">
        <v>4</v>
      </c>
      <c r="C844">
        <v>4</v>
      </c>
      <c r="D844" t="s">
        <v>5</v>
      </c>
      <c r="F844" t="str" cm="1">
        <f t="array" ref="F844">CategorizeComment(E844)</f>
        <v>Other</v>
      </c>
      <c r="G844" t="str" cm="1">
        <f t="array" ref="G844">SubCategorizeComment(E844)</f>
        <v>Other</v>
      </c>
    </row>
    <row r="845" spans="1:7" x14ac:dyDescent="0.25">
      <c r="A845">
        <v>773</v>
      </c>
      <c r="B845" t="s">
        <v>4</v>
      </c>
      <c r="C845">
        <v>3</v>
      </c>
      <c r="D845" t="s">
        <v>5</v>
      </c>
      <c r="F845" t="str" cm="1">
        <f t="array" ref="F845">CategorizeComment(E845)</f>
        <v>Other</v>
      </c>
      <c r="G845" t="str" cm="1">
        <f t="array" ref="G845">SubCategorizeComment(E845)</f>
        <v>Other</v>
      </c>
    </row>
    <row r="846" spans="1:7" x14ac:dyDescent="0.25">
      <c r="A846">
        <v>778</v>
      </c>
      <c r="B846" t="s">
        <v>4</v>
      </c>
      <c r="C846">
        <v>3</v>
      </c>
      <c r="D846" t="s">
        <v>5</v>
      </c>
      <c r="F846" t="str" cm="1">
        <f t="array" ref="F846">CategorizeComment(E846)</f>
        <v>Other</v>
      </c>
      <c r="G846" t="str" cm="1">
        <f t="array" ref="G846">SubCategorizeComment(E846)</f>
        <v>Other</v>
      </c>
    </row>
    <row r="847" spans="1:7" x14ac:dyDescent="0.25">
      <c r="A847">
        <v>804</v>
      </c>
      <c r="B847" t="s">
        <v>4</v>
      </c>
      <c r="C847">
        <v>4</v>
      </c>
      <c r="D847" t="s">
        <v>5</v>
      </c>
      <c r="F847" t="str" cm="1">
        <f t="array" ref="F847">CategorizeComment(E847)</f>
        <v>Other</v>
      </c>
      <c r="G847" t="str" cm="1">
        <f t="array" ref="G847">SubCategorizeComment(E847)</f>
        <v>Other</v>
      </c>
    </row>
    <row r="848" spans="1:7" x14ac:dyDescent="0.25">
      <c r="A848">
        <v>832</v>
      </c>
      <c r="B848" t="s">
        <v>4</v>
      </c>
      <c r="C848">
        <v>3</v>
      </c>
      <c r="D848" t="s">
        <v>5</v>
      </c>
      <c r="F848" t="str" cm="1">
        <f t="array" ref="F848">CategorizeComment(E848)</f>
        <v>Other</v>
      </c>
      <c r="G848" t="str" cm="1">
        <f t="array" ref="G848">SubCategorizeComment(E848)</f>
        <v>Other</v>
      </c>
    </row>
    <row r="849" spans="1:7" x14ac:dyDescent="0.25">
      <c r="A849">
        <v>835</v>
      </c>
      <c r="B849" t="s">
        <v>4</v>
      </c>
      <c r="C849">
        <v>3</v>
      </c>
      <c r="D849" t="s">
        <v>5</v>
      </c>
      <c r="F849" t="str" cm="1">
        <f t="array" ref="F849">CategorizeComment(E849)</f>
        <v>Other</v>
      </c>
      <c r="G849" t="str" cm="1">
        <f t="array" ref="G849">SubCategorizeComment(E849)</f>
        <v>Other</v>
      </c>
    </row>
    <row r="850" spans="1:7" x14ac:dyDescent="0.25">
      <c r="A850">
        <v>840</v>
      </c>
      <c r="B850" t="s">
        <v>4</v>
      </c>
      <c r="C850">
        <v>3</v>
      </c>
      <c r="D850" t="s">
        <v>5</v>
      </c>
      <c r="F850" t="str" cm="1">
        <f t="array" ref="F850">CategorizeComment(E850)</f>
        <v>Other</v>
      </c>
      <c r="G850" t="str" cm="1">
        <f t="array" ref="G850">SubCategorizeComment(E850)</f>
        <v>Other</v>
      </c>
    </row>
    <row r="851" spans="1:7" x14ac:dyDescent="0.25">
      <c r="A851">
        <v>852</v>
      </c>
      <c r="B851" t="s">
        <v>4</v>
      </c>
      <c r="C851">
        <v>4</v>
      </c>
      <c r="D851" t="s">
        <v>5</v>
      </c>
      <c r="F851" t="str" cm="1">
        <f t="array" ref="F851">CategorizeComment(E851)</f>
        <v>Other</v>
      </c>
      <c r="G851" t="str" cm="1">
        <f t="array" ref="G851">SubCategorizeComment(E851)</f>
        <v>Other</v>
      </c>
    </row>
    <row r="852" spans="1:7" x14ac:dyDescent="0.25">
      <c r="A852">
        <v>856</v>
      </c>
      <c r="B852" t="s">
        <v>4</v>
      </c>
      <c r="C852">
        <v>4</v>
      </c>
      <c r="D852" t="s">
        <v>5</v>
      </c>
      <c r="F852" t="str" cm="1">
        <f t="array" ref="F852">CategorizeComment(E852)</f>
        <v>Other</v>
      </c>
      <c r="G852" t="str" cm="1">
        <f t="array" ref="G852">SubCategorizeComment(E852)</f>
        <v>Other</v>
      </c>
    </row>
    <row r="853" spans="1:7" x14ac:dyDescent="0.25">
      <c r="A853">
        <v>868</v>
      </c>
      <c r="B853" t="s">
        <v>4</v>
      </c>
      <c r="C853">
        <v>3</v>
      </c>
      <c r="D853" t="s">
        <v>5</v>
      </c>
      <c r="F853" t="str" cm="1">
        <f t="array" ref="F853">CategorizeComment(E853)</f>
        <v>Other</v>
      </c>
      <c r="G853" t="str" cm="1">
        <f t="array" ref="G853">SubCategorizeComment(E853)</f>
        <v>Other</v>
      </c>
    </row>
    <row r="854" spans="1:7" x14ac:dyDescent="0.25">
      <c r="A854">
        <v>871</v>
      </c>
      <c r="B854" t="s">
        <v>4</v>
      </c>
      <c r="C854">
        <v>3</v>
      </c>
      <c r="D854" t="s">
        <v>5</v>
      </c>
      <c r="F854" t="str" cm="1">
        <f t="array" ref="F854">CategorizeComment(E854)</f>
        <v>Other</v>
      </c>
      <c r="G854" t="str" cm="1">
        <f t="array" ref="G854">SubCategorizeComment(E854)</f>
        <v>Other</v>
      </c>
    </row>
    <row r="855" spans="1:7" x14ac:dyDescent="0.25">
      <c r="A855">
        <v>872</v>
      </c>
      <c r="B855" t="s">
        <v>4</v>
      </c>
      <c r="C855">
        <v>3</v>
      </c>
      <c r="D855" t="s">
        <v>5</v>
      </c>
      <c r="F855" t="str" cm="1">
        <f t="array" ref="F855">CategorizeComment(E855)</f>
        <v>Other</v>
      </c>
      <c r="G855" t="str" cm="1">
        <f t="array" ref="G855">SubCategorizeComment(E855)</f>
        <v>Other</v>
      </c>
    </row>
    <row r="856" spans="1:7" x14ac:dyDescent="0.25">
      <c r="A856">
        <v>890</v>
      </c>
      <c r="B856" t="s">
        <v>4</v>
      </c>
      <c r="C856">
        <v>3</v>
      </c>
      <c r="D856" t="s">
        <v>5</v>
      </c>
      <c r="F856" t="str" cm="1">
        <f t="array" ref="F856">CategorizeComment(E856)</f>
        <v>Other</v>
      </c>
      <c r="G856" t="str" cm="1">
        <f t="array" ref="G856">SubCategorizeComment(E856)</f>
        <v>Other</v>
      </c>
    </row>
    <row r="857" spans="1:7" x14ac:dyDescent="0.25">
      <c r="A857">
        <v>893</v>
      </c>
      <c r="B857" t="s">
        <v>4</v>
      </c>
      <c r="C857">
        <v>3</v>
      </c>
      <c r="D857" t="s">
        <v>5</v>
      </c>
      <c r="F857" t="str" cm="1">
        <f t="array" ref="F857">CategorizeComment(E857)</f>
        <v>Other</v>
      </c>
      <c r="G857" t="str" cm="1">
        <f t="array" ref="G857">SubCategorizeComment(E857)</f>
        <v>Other</v>
      </c>
    </row>
    <row r="858" spans="1:7" x14ac:dyDescent="0.25">
      <c r="A858">
        <v>900</v>
      </c>
      <c r="B858" t="s">
        <v>4</v>
      </c>
      <c r="C858">
        <v>3</v>
      </c>
      <c r="D858" t="s">
        <v>5</v>
      </c>
      <c r="F858" t="str" cm="1">
        <f t="array" ref="F858">CategorizeComment(E858)</f>
        <v>Other</v>
      </c>
      <c r="G858" t="str" cm="1">
        <f t="array" ref="G858">SubCategorizeComment(E858)</f>
        <v>Other</v>
      </c>
    </row>
    <row r="859" spans="1:7" x14ac:dyDescent="0.25">
      <c r="A859">
        <v>902</v>
      </c>
      <c r="B859" t="s">
        <v>4</v>
      </c>
      <c r="C859">
        <v>4</v>
      </c>
      <c r="D859" t="s">
        <v>5</v>
      </c>
      <c r="F859" t="str" cm="1">
        <f t="array" ref="F859">CategorizeComment(E859)</f>
        <v>Other</v>
      </c>
      <c r="G859" t="str" cm="1">
        <f t="array" ref="G859">SubCategorizeComment(E859)</f>
        <v>Other</v>
      </c>
    </row>
    <row r="860" spans="1:7" x14ac:dyDescent="0.25">
      <c r="A860">
        <v>904</v>
      </c>
      <c r="B860" t="s">
        <v>4</v>
      </c>
      <c r="C860">
        <v>4</v>
      </c>
      <c r="D860" t="s">
        <v>5</v>
      </c>
      <c r="F860" t="str" cm="1">
        <f t="array" ref="F860">CategorizeComment(E860)</f>
        <v>Other</v>
      </c>
      <c r="G860" t="str" cm="1">
        <f t="array" ref="G860">SubCategorizeComment(E860)</f>
        <v>Other</v>
      </c>
    </row>
    <row r="861" spans="1:7" x14ac:dyDescent="0.25">
      <c r="A861">
        <v>905</v>
      </c>
      <c r="B861" t="s">
        <v>4</v>
      </c>
      <c r="C861">
        <v>4</v>
      </c>
      <c r="D861" t="s">
        <v>5</v>
      </c>
      <c r="F861" t="str" cm="1">
        <f t="array" ref="F861">CategorizeComment(E861)</f>
        <v>Other</v>
      </c>
      <c r="G861" t="str" cm="1">
        <f t="array" ref="G861">SubCategorizeComment(E861)</f>
        <v>Other</v>
      </c>
    </row>
    <row r="862" spans="1:7" x14ac:dyDescent="0.25">
      <c r="A862">
        <v>910</v>
      </c>
      <c r="B862" t="s">
        <v>4</v>
      </c>
      <c r="C862">
        <v>4</v>
      </c>
      <c r="D862" t="s">
        <v>5</v>
      </c>
      <c r="F862" t="str" cm="1">
        <f t="array" ref="F862">CategorizeComment(E862)</f>
        <v>Other</v>
      </c>
      <c r="G862" t="str" cm="1">
        <f t="array" ref="G862">SubCategorizeComment(E862)</f>
        <v>Other</v>
      </c>
    </row>
    <row r="863" spans="1:7" x14ac:dyDescent="0.25">
      <c r="A863">
        <v>914</v>
      </c>
      <c r="B863" t="s">
        <v>4</v>
      </c>
      <c r="C863">
        <v>3</v>
      </c>
      <c r="D863" t="s">
        <v>5</v>
      </c>
      <c r="F863" t="str" cm="1">
        <f t="array" ref="F863">CategorizeComment(E863)</f>
        <v>Other</v>
      </c>
      <c r="G863" t="str" cm="1">
        <f t="array" ref="G863">SubCategorizeComment(E863)</f>
        <v>Other</v>
      </c>
    </row>
    <row r="864" spans="1:7" x14ac:dyDescent="0.25">
      <c r="A864">
        <v>919</v>
      </c>
      <c r="B864" t="s">
        <v>4</v>
      </c>
      <c r="C864">
        <v>4</v>
      </c>
      <c r="D864" t="s">
        <v>5</v>
      </c>
      <c r="F864" t="str" cm="1">
        <f t="array" ref="F864">CategorizeComment(E864)</f>
        <v>Other</v>
      </c>
      <c r="G864" t="str" cm="1">
        <f t="array" ref="G864">SubCategorizeComment(E864)</f>
        <v>Other</v>
      </c>
    </row>
    <row r="865" spans="1:7" x14ac:dyDescent="0.25">
      <c r="A865">
        <v>931</v>
      </c>
      <c r="B865" t="s">
        <v>4</v>
      </c>
      <c r="C865">
        <v>4</v>
      </c>
      <c r="D865" t="s">
        <v>5</v>
      </c>
      <c r="F865" t="str" cm="1">
        <f t="array" ref="F865">CategorizeComment(E865)</f>
        <v>Other</v>
      </c>
      <c r="G865" t="str" cm="1">
        <f t="array" ref="G865">SubCategorizeComment(E865)</f>
        <v>Other</v>
      </c>
    </row>
    <row r="866" spans="1:7" x14ac:dyDescent="0.25">
      <c r="A866">
        <v>932</v>
      </c>
      <c r="B866" t="s">
        <v>4</v>
      </c>
      <c r="C866">
        <v>3</v>
      </c>
      <c r="D866" t="s">
        <v>5</v>
      </c>
      <c r="F866" t="str" cm="1">
        <f t="array" ref="F866">CategorizeComment(E866)</f>
        <v>Other</v>
      </c>
      <c r="G866" t="str" cm="1">
        <f t="array" ref="G866">SubCategorizeComment(E866)</f>
        <v>Other</v>
      </c>
    </row>
    <row r="867" spans="1:7" x14ac:dyDescent="0.25">
      <c r="A867">
        <v>933</v>
      </c>
      <c r="B867" t="s">
        <v>4</v>
      </c>
      <c r="C867">
        <v>4</v>
      </c>
      <c r="D867" t="s">
        <v>5</v>
      </c>
      <c r="F867" t="str" cm="1">
        <f t="array" ref="F867">CategorizeComment(E867)</f>
        <v>Other</v>
      </c>
      <c r="G867" t="str" cm="1">
        <f t="array" ref="G867">SubCategorizeComment(E867)</f>
        <v>Other</v>
      </c>
    </row>
    <row r="868" spans="1:7" x14ac:dyDescent="0.25">
      <c r="A868">
        <v>938</v>
      </c>
      <c r="B868" t="s">
        <v>4</v>
      </c>
      <c r="C868">
        <v>3</v>
      </c>
      <c r="D868" t="s">
        <v>5</v>
      </c>
      <c r="F868" t="str" cm="1">
        <f t="array" ref="F868">CategorizeComment(E868)</f>
        <v>Other</v>
      </c>
      <c r="G868" t="str" cm="1">
        <f t="array" ref="G868">SubCategorizeComment(E868)</f>
        <v>Other</v>
      </c>
    </row>
    <row r="869" spans="1:7" x14ac:dyDescent="0.25">
      <c r="A869">
        <v>940</v>
      </c>
      <c r="B869" t="s">
        <v>4</v>
      </c>
      <c r="C869">
        <v>3</v>
      </c>
      <c r="D869" t="s">
        <v>5</v>
      </c>
      <c r="F869" t="str" cm="1">
        <f t="array" ref="F869">CategorizeComment(E869)</f>
        <v>Other</v>
      </c>
      <c r="G869" t="str" cm="1">
        <f t="array" ref="G869">SubCategorizeComment(E869)</f>
        <v>Other</v>
      </c>
    </row>
    <row r="870" spans="1:7" x14ac:dyDescent="0.25">
      <c r="A870">
        <v>946</v>
      </c>
      <c r="B870" t="s">
        <v>4</v>
      </c>
      <c r="C870">
        <v>3</v>
      </c>
      <c r="D870" t="s">
        <v>5</v>
      </c>
      <c r="F870" t="str" cm="1">
        <f t="array" ref="F870">CategorizeComment(E870)</f>
        <v>Other</v>
      </c>
      <c r="G870" t="str" cm="1">
        <f t="array" ref="G870">SubCategorizeComment(E870)</f>
        <v>Other</v>
      </c>
    </row>
    <row r="871" spans="1:7" x14ac:dyDescent="0.25">
      <c r="A871">
        <v>947</v>
      </c>
      <c r="B871" t="s">
        <v>4</v>
      </c>
      <c r="C871">
        <v>4</v>
      </c>
      <c r="D871" t="s">
        <v>5</v>
      </c>
      <c r="F871" t="str" cm="1">
        <f t="array" ref="F871">CategorizeComment(E871)</f>
        <v>Other</v>
      </c>
      <c r="G871" t="str" cm="1">
        <f t="array" ref="G871">SubCategorizeComment(E871)</f>
        <v>Other</v>
      </c>
    </row>
    <row r="872" spans="1:7" x14ac:dyDescent="0.25">
      <c r="A872">
        <v>962</v>
      </c>
      <c r="B872" t="s">
        <v>4</v>
      </c>
      <c r="C872">
        <v>3</v>
      </c>
      <c r="D872" t="s">
        <v>5</v>
      </c>
      <c r="F872" t="str" cm="1">
        <f t="array" ref="F872">CategorizeComment(E872)</f>
        <v>Other</v>
      </c>
      <c r="G872" t="str" cm="1">
        <f t="array" ref="G872">SubCategorizeComment(E872)</f>
        <v>Other</v>
      </c>
    </row>
    <row r="873" spans="1:7" x14ac:dyDescent="0.25">
      <c r="A873">
        <v>964</v>
      </c>
      <c r="B873" t="s">
        <v>4</v>
      </c>
      <c r="C873">
        <v>4</v>
      </c>
      <c r="D873" t="s">
        <v>5</v>
      </c>
      <c r="F873" t="str" cm="1">
        <f t="array" ref="F873">CategorizeComment(E873)</f>
        <v>Other</v>
      </c>
      <c r="G873" t="str" cm="1">
        <f t="array" ref="G873">SubCategorizeComment(E873)</f>
        <v>Other</v>
      </c>
    </row>
    <row r="874" spans="1:7" x14ac:dyDescent="0.25">
      <c r="A874">
        <v>975</v>
      </c>
      <c r="B874" t="s">
        <v>4</v>
      </c>
      <c r="C874">
        <v>4</v>
      </c>
      <c r="D874" t="s">
        <v>5</v>
      </c>
      <c r="F874" t="str" cm="1">
        <f t="array" ref="F874">CategorizeComment(E874)</f>
        <v>Other</v>
      </c>
      <c r="G874" t="str" cm="1">
        <f t="array" ref="G874">SubCategorizeComment(E874)</f>
        <v>Other</v>
      </c>
    </row>
    <row r="875" spans="1:7" x14ac:dyDescent="0.25">
      <c r="A875">
        <v>976</v>
      </c>
      <c r="B875" t="s">
        <v>4</v>
      </c>
      <c r="C875">
        <v>3</v>
      </c>
      <c r="D875" t="s">
        <v>5</v>
      </c>
      <c r="F875" t="str" cm="1">
        <f t="array" ref="F875">CategorizeComment(E875)</f>
        <v>Other</v>
      </c>
      <c r="G875" t="str" cm="1">
        <f t="array" ref="G875">SubCategorizeComment(E875)</f>
        <v>Other</v>
      </c>
    </row>
    <row r="876" spans="1:7" x14ac:dyDescent="0.25">
      <c r="A876">
        <v>977</v>
      </c>
      <c r="B876" t="s">
        <v>4</v>
      </c>
      <c r="C876">
        <v>4</v>
      </c>
      <c r="D876" t="s">
        <v>5</v>
      </c>
      <c r="F876" t="str" cm="1">
        <f t="array" ref="F876">CategorizeComment(E876)</f>
        <v>Other</v>
      </c>
      <c r="G876" t="str" cm="1">
        <f t="array" ref="G876">SubCategorizeComment(E876)</f>
        <v>Other</v>
      </c>
    </row>
    <row r="877" spans="1:7" x14ac:dyDescent="0.25">
      <c r="A877">
        <v>985</v>
      </c>
      <c r="B877" t="s">
        <v>4</v>
      </c>
      <c r="C877">
        <v>3</v>
      </c>
      <c r="D877" t="s">
        <v>5</v>
      </c>
      <c r="F877" t="str" cm="1">
        <f t="array" ref="F877">CategorizeComment(E877)</f>
        <v>Other</v>
      </c>
      <c r="G877" t="str" cm="1">
        <f t="array" ref="G877">SubCategorizeComment(E877)</f>
        <v>Other</v>
      </c>
    </row>
    <row r="878" spans="1:7" x14ac:dyDescent="0.25">
      <c r="A878">
        <v>1016</v>
      </c>
      <c r="B878" t="s">
        <v>4</v>
      </c>
      <c r="C878">
        <v>3</v>
      </c>
      <c r="D878" t="s">
        <v>5</v>
      </c>
      <c r="F878" t="str" cm="1">
        <f t="array" ref="F878">CategorizeComment(E878)</f>
        <v>Other</v>
      </c>
      <c r="G878" t="str" cm="1">
        <f t="array" ref="G878">SubCategorizeComment(E878)</f>
        <v>Other</v>
      </c>
    </row>
    <row r="879" spans="1:7" x14ac:dyDescent="0.25">
      <c r="A879">
        <v>1025</v>
      </c>
      <c r="B879" t="s">
        <v>4</v>
      </c>
      <c r="C879">
        <v>3</v>
      </c>
      <c r="D879" t="s">
        <v>5</v>
      </c>
      <c r="F879" t="str" cm="1">
        <f t="array" ref="F879">CategorizeComment(E879)</f>
        <v>Other</v>
      </c>
      <c r="G879" t="str" cm="1">
        <f t="array" ref="G879">SubCategorizeComment(E879)</f>
        <v>Other</v>
      </c>
    </row>
    <row r="880" spans="1:7" x14ac:dyDescent="0.25">
      <c r="A880">
        <v>1037</v>
      </c>
      <c r="B880" t="s">
        <v>4</v>
      </c>
      <c r="C880">
        <v>4</v>
      </c>
      <c r="D880" t="s">
        <v>5</v>
      </c>
      <c r="F880" t="str" cm="1">
        <f t="array" ref="F880">CategorizeComment(E880)</f>
        <v>Other</v>
      </c>
      <c r="G880" t="str" cm="1">
        <f t="array" ref="G880">SubCategorizeComment(E880)</f>
        <v>Other</v>
      </c>
    </row>
    <row r="881" spans="1:7" x14ac:dyDescent="0.25">
      <c r="A881">
        <v>1040</v>
      </c>
      <c r="B881" t="s">
        <v>4</v>
      </c>
      <c r="C881">
        <v>3</v>
      </c>
      <c r="D881" t="s">
        <v>5</v>
      </c>
      <c r="F881" t="str" cm="1">
        <f t="array" ref="F881">CategorizeComment(E881)</f>
        <v>Other</v>
      </c>
      <c r="G881" t="str" cm="1">
        <f t="array" ref="G881">SubCategorizeComment(E881)</f>
        <v>Other</v>
      </c>
    </row>
    <row r="882" spans="1:7" x14ac:dyDescent="0.25">
      <c r="A882">
        <v>1065</v>
      </c>
      <c r="B882" t="s">
        <v>4</v>
      </c>
      <c r="C882">
        <v>4</v>
      </c>
      <c r="D882" t="s">
        <v>5</v>
      </c>
      <c r="F882" t="str" cm="1">
        <f t="array" ref="F882">CategorizeComment(E882)</f>
        <v>Other</v>
      </c>
      <c r="G882" t="str" cm="1">
        <f t="array" ref="G882">SubCategorizeComment(E882)</f>
        <v>Other</v>
      </c>
    </row>
    <row r="883" spans="1:7" x14ac:dyDescent="0.25">
      <c r="A883">
        <v>1068</v>
      </c>
      <c r="B883" t="s">
        <v>4</v>
      </c>
      <c r="C883">
        <v>3</v>
      </c>
      <c r="D883" t="s">
        <v>5</v>
      </c>
      <c r="F883" t="str" cm="1">
        <f t="array" ref="F883">CategorizeComment(E883)</f>
        <v>Other</v>
      </c>
      <c r="G883" t="str" cm="1">
        <f t="array" ref="G883">SubCategorizeComment(E883)</f>
        <v>Other</v>
      </c>
    </row>
    <row r="884" spans="1:7" x14ac:dyDescent="0.25">
      <c r="A884">
        <v>1101</v>
      </c>
      <c r="B884" t="s">
        <v>4</v>
      </c>
      <c r="C884">
        <v>4</v>
      </c>
      <c r="D884" t="s">
        <v>5</v>
      </c>
      <c r="F884" t="str" cm="1">
        <f t="array" ref="F884">CategorizeComment(E884)</f>
        <v>Other</v>
      </c>
      <c r="G884" t="str" cm="1">
        <f t="array" ref="G884">SubCategorizeComment(E884)</f>
        <v>Other</v>
      </c>
    </row>
    <row r="885" spans="1:7" x14ac:dyDescent="0.25">
      <c r="A885">
        <v>1106</v>
      </c>
      <c r="B885" t="s">
        <v>4</v>
      </c>
      <c r="C885">
        <v>4</v>
      </c>
      <c r="D885" t="s">
        <v>5</v>
      </c>
      <c r="F885" t="str" cm="1">
        <f t="array" ref="F885">CategorizeComment(E885)</f>
        <v>Other</v>
      </c>
      <c r="G885" t="str" cm="1">
        <f t="array" ref="G885">SubCategorizeComment(E885)</f>
        <v>Other</v>
      </c>
    </row>
    <row r="886" spans="1:7" x14ac:dyDescent="0.25">
      <c r="A886">
        <v>1110</v>
      </c>
      <c r="B886" t="s">
        <v>4</v>
      </c>
      <c r="C886">
        <v>3</v>
      </c>
      <c r="D886" t="s">
        <v>5</v>
      </c>
      <c r="F886" t="str" cm="1">
        <f t="array" ref="F886">CategorizeComment(E886)</f>
        <v>Other</v>
      </c>
      <c r="G886" t="str" cm="1">
        <f t="array" ref="G886">SubCategorizeComment(E886)</f>
        <v>Other</v>
      </c>
    </row>
    <row r="887" spans="1:7" x14ac:dyDescent="0.25">
      <c r="A887">
        <v>1126</v>
      </c>
      <c r="B887" t="s">
        <v>4</v>
      </c>
      <c r="C887">
        <v>3</v>
      </c>
      <c r="D887" t="s">
        <v>5</v>
      </c>
      <c r="F887" t="str" cm="1">
        <f t="array" ref="F887">CategorizeComment(E887)</f>
        <v>Other</v>
      </c>
      <c r="G887" t="str" cm="1">
        <f t="array" ref="G887">SubCategorizeComment(E887)</f>
        <v>Other</v>
      </c>
    </row>
    <row r="888" spans="1:7" x14ac:dyDescent="0.25">
      <c r="A888">
        <v>1133</v>
      </c>
      <c r="B888" t="s">
        <v>4</v>
      </c>
      <c r="C888">
        <v>4</v>
      </c>
      <c r="D888" t="s">
        <v>5</v>
      </c>
      <c r="F888" t="str" cm="1">
        <f t="array" ref="F888">CategorizeComment(E888)</f>
        <v>Other</v>
      </c>
      <c r="G888" t="str" cm="1">
        <f t="array" ref="G888">SubCategorizeComment(E888)</f>
        <v>Other</v>
      </c>
    </row>
    <row r="889" spans="1:7" x14ac:dyDescent="0.25">
      <c r="A889">
        <v>1135</v>
      </c>
      <c r="B889" t="s">
        <v>4</v>
      </c>
      <c r="C889">
        <v>4</v>
      </c>
      <c r="D889" t="s">
        <v>5</v>
      </c>
      <c r="F889" t="str" cm="1">
        <f t="array" ref="F889">CategorizeComment(E889)</f>
        <v>Other</v>
      </c>
      <c r="G889" t="str" cm="1">
        <f t="array" ref="G889">SubCategorizeComment(E889)</f>
        <v>Other</v>
      </c>
    </row>
    <row r="890" spans="1:7" x14ac:dyDescent="0.25">
      <c r="A890">
        <v>1138</v>
      </c>
      <c r="B890" t="s">
        <v>4</v>
      </c>
      <c r="C890">
        <v>3</v>
      </c>
      <c r="D890" t="s">
        <v>5</v>
      </c>
      <c r="F890" t="str" cm="1">
        <f t="array" ref="F890">CategorizeComment(E890)</f>
        <v>Other</v>
      </c>
      <c r="G890" t="str" cm="1">
        <f t="array" ref="G890">SubCategorizeComment(E890)</f>
        <v>Other</v>
      </c>
    </row>
    <row r="891" spans="1:7" x14ac:dyDescent="0.25">
      <c r="A891">
        <v>1152</v>
      </c>
      <c r="B891" t="s">
        <v>4</v>
      </c>
      <c r="C891">
        <v>4</v>
      </c>
      <c r="D891" t="s">
        <v>5</v>
      </c>
      <c r="F891" t="str" cm="1">
        <f t="array" ref="F891">CategorizeComment(E891)</f>
        <v>Other</v>
      </c>
      <c r="G891" t="str" cm="1">
        <f t="array" ref="G891">SubCategorizeComment(E891)</f>
        <v>Other</v>
      </c>
    </row>
    <row r="892" spans="1:7" x14ac:dyDescent="0.25">
      <c r="A892">
        <v>1162</v>
      </c>
      <c r="B892" t="s">
        <v>4</v>
      </c>
      <c r="C892">
        <v>4</v>
      </c>
      <c r="D892" t="s">
        <v>5</v>
      </c>
      <c r="F892" t="str" cm="1">
        <f t="array" ref="F892">CategorizeComment(E892)</f>
        <v>Other</v>
      </c>
      <c r="G892" t="str" cm="1">
        <f t="array" ref="G892">SubCategorizeComment(E892)</f>
        <v>Other</v>
      </c>
    </row>
    <row r="893" spans="1:7" x14ac:dyDescent="0.25">
      <c r="A893">
        <v>1179</v>
      </c>
      <c r="B893" t="s">
        <v>4</v>
      </c>
      <c r="C893">
        <v>4</v>
      </c>
      <c r="D893" t="s">
        <v>5</v>
      </c>
      <c r="F893" t="str" cm="1">
        <f t="array" ref="F893">CategorizeComment(E893)</f>
        <v>Other</v>
      </c>
      <c r="G893" t="str" cm="1">
        <f t="array" ref="G893">SubCategorizeComment(E893)</f>
        <v>Other</v>
      </c>
    </row>
    <row r="894" spans="1:7" x14ac:dyDescent="0.25">
      <c r="A894">
        <v>1200</v>
      </c>
      <c r="B894" t="s">
        <v>4</v>
      </c>
      <c r="C894">
        <v>3</v>
      </c>
      <c r="D894" t="s">
        <v>5</v>
      </c>
      <c r="F894" t="str" cm="1">
        <f t="array" ref="F894">CategorizeComment(E894)</f>
        <v>Other</v>
      </c>
      <c r="G894" t="str" cm="1">
        <f t="array" ref="G894">SubCategorizeComment(E894)</f>
        <v>Other</v>
      </c>
    </row>
    <row r="895" spans="1:7" x14ac:dyDescent="0.25">
      <c r="A895">
        <v>1208</v>
      </c>
      <c r="B895" t="s">
        <v>4</v>
      </c>
      <c r="C895">
        <v>3</v>
      </c>
      <c r="D895" t="s">
        <v>5</v>
      </c>
      <c r="F895" t="str" cm="1">
        <f t="array" ref="F895">CategorizeComment(E895)</f>
        <v>Other</v>
      </c>
      <c r="G895" t="str" cm="1">
        <f t="array" ref="G895">SubCategorizeComment(E895)</f>
        <v>Other</v>
      </c>
    </row>
    <row r="896" spans="1:7" x14ac:dyDescent="0.25">
      <c r="A896">
        <v>1211</v>
      </c>
      <c r="B896" t="s">
        <v>4</v>
      </c>
      <c r="C896">
        <v>3</v>
      </c>
      <c r="D896" t="s">
        <v>5</v>
      </c>
      <c r="F896" t="str" cm="1">
        <f t="array" ref="F896">CategorizeComment(E896)</f>
        <v>Other</v>
      </c>
      <c r="G896" t="str" cm="1">
        <f t="array" ref="G896">SubCategorizeComment(E896)</f>
        <v>Other</v>
      </c>
    </row>
    <row r="897" spans="1:7" x14ac:dyDescent="0.25">
      <c r="A897">
        <v>1216</v>
      </c>
      <c r="B897" t="s">
        <v>4</v>
      </c>
      <c r="C897">
        <v>4</v>
      </c>
      <c r="D897" t="s">
        <v>5</v>
      </c>
      <c r="F897" t="str" cm="1">
        <f t="array" ref="F897">CategorizeComment(E897)</f>
        <v>Other</v>
      </c>
      <c r="G897" t="str" cm="1">
        <f t="array" ref="G897">SubCategorizeComment(E897)</f>
        <v>Other</v>
      </c>
    </row>
    <row r="898" spans="1:7" x14ac:dyDescent="0.25">
      <c r="A898">
        <v>1222</v>
      </c>
      <c r="B898" t="s">
        <v>4</v>
      </c>
      <c r="C898">
        <v>4</v>
      </c>
      <c r="D898" t="s">
        <v>5</v>
      </c>
      <c r="F898" t="str" cm="1">
        <f t="array" ref="F898">CategorizeComment(E898)</f>
        <v>Other</v>
      </c>
      <c r="G898" t="str" cm="1">
        <f t="array" ref="G898">SubCategorizeComment(E898)</f>
        <v>Other</v>
      </c>
    </row>
    <row r="899" spans="1:7" x14ac:dyDescent="0.25">
      <c r="A899">
        <v>1230</v>
      </c>
      <c r="B899" t="s">
        <v>4</v>
      </c>
      <c r="C899">
        <v>3</v>
      </c>
      <c r="D899" t="s">
        <v>5</v>
      </c>
      <c r="F899" t="str" cm="1">
        <f t="array" ref="F899">CategorizeComment(E899)</f>
        <v>Other</v>
      </c>
      <c r="G899" t="str" cm="1">
        <f t="array" ref="G899">SubCategorizeComment(E899)</f>
        <v>Other</v>
      </c>
    </row>
    <row r="900" spans="1:7" x14ac:dyDescent="0.25">
      <c r="A900">
        <v>1235</v>
      </c>
      <c r="B900" t="s">
        <v>4</v>
      </c>
      <c r="C900">
        <v>4</v>
      </c>
      <c r="D900" t="s">
        <v>5</v>
      </c>
      <c r="F900" t="str" cm="1">
        <f t="array" ref="F900">CategorizeComment(E900)</f>
        <v>Other</v>
      </c>
      <c r="G900" t="str" cm="1">
        <f t="array" ref="G900">SubCategorizeComment(E900)</f>
        <v>Other</v>
      </c>
    </row>
    <row r="901" spans="1:7" x14ac:dyDescent="0.25">
      <c r="A901">
        <v>1247</v>
      </c>
      <c r="B901" t="s">
        <v>4</v>
      </c>
      <c r="C901">
        <v>3</v>
      </c>
      <c r="D901" t="s">
        <v>5</v>
      </c>
      <c r="F901" t="str" cm="1">
        <f t="array" ref="F901">CategorizeComment(E901)</f>
        <v>Other</v>
      </c>
      <c r="G901" t="str" cm="1">
        <f t="array" ref="G901">SubCategorizeComment(E901)</f>
        <v>Other</v>
      </c>
    </row>
    <row r="902" spans="1:7" x14ac:dyDescent="0.25">
      <c r="A902">
        <v>1255</v>
      </c>
      <c r="B902" t="s">
        <v>4</v>
      </c>
      <c r="C902">
        <v>4</v>
      </c>
      <c r="D902" t="s">
        <v>5</v>
      </c>
      <c r="F902" t="str" cm="1">
        <f t="array" ref="F902">CategorizeComment(E902)</f>
        <v>Other</v>
      </c>
      <c r="G902" t="str" cm="1">
        <f t="array" ref="G902">SubCategorizeComment(E902)</f>
        <v>Other</v>
      </c>
    </row>
    <row r="903" spans="1:7" x14ac:dyDescent="0.25">
      <c r="A903">
        <v>1257</v>
      </c>
      <c r="B903" t="s">
        <v>4</v>
      </c>
      <c r="C903">
        <v>4</v>
      </c>
      <c r="D903" t="s">
        <v>5</v>
      </c>
      <c r="F903" t="str" cm="1">
        <f t="array" ref="F903">CategorizeComment(E903)</f>
        <v>Other</v>
      </c>
      <c r="G903" t="str" cm="1">
        <f t="array" ref="G903">SubCategorizeComment(E903)</f>
        <v>Other</v>
      </c>
    </row>
    <row r="904" spans="1:7" x14ac:dyDescent="0.25">
      <c r="A904">
        <v>1264</v>
      </c>
      <c r="B904" t="s">
        <v>4</v>
      </c>
      <c r="C904">
        <v>4</v>
      </c>
      <c r="D904" t="s">
        <v>5</v>
      </c>
      <c r="F904" t="str" cm="1">
        <f t="array" ref="F904">CategorizeComment(E904)</f>
        <v>Other</v>
      </c>
      <c r="G904" t="str" cm="1">
        <f t="array" ref="G904">SubCategorizeComment(E904)</f>
        <v>Other</v>
      </c>
    </row>
    <row r="905" spans="1:7" x14ac:dyDescent="0.25">
      <c r="A905">
        <v>1272</v>
      </c>
      <c r="B905" t="s">
        <v>4</v>
      </c>
      <c r="C905">
        <v>3</v>
      </c>
      <c r="D905" t="s">
        <v>5</v>
      </c>
      <c r="F905" t="str" cm="1">
        <f t="array" ref="F905">CategorizeComment(E905)</f>
        <v>Other</v>
      </c>
      <c r="G905" t="str" cm="1">
        <f t="array" ref="G905">SubCategorizeComment(E905)</f>
        <v>Other</v>
      </c>
    </row>
    <row r="906" spans="1:7" x14ac:dyDescent="0.25">
      <c r="A906">
        <v>1282</v>
      </c>
      <c r="B906" t="s">
        <v>4</v>
      </c>
      <c r="C906">
        <v>3</v>
      </c>
      <c r="D906" t="s">
        <v>5</v>
      </c>
      <c r="F906" t="str" cm="1">
        <f t="array" ref="F906">CategorizeComment(E906)</f>
        <v>Other</v>
      </c>
      <c r="G906" t="str" cm="1">
        <f t="array" ref="G906">SubCategorizeComment(E906)</f>
        <v>Other</v>
      </c>
    </row>
    <row r="907" spans="1:7" x14ac:dyDescent="0.25">
      <c r="A907">
        <v>1285</v>
      </c>
      <c r="B907" t="s">
        <v>4</v>
      </c>
      <c r="C907">
        <v>4</v>
      </c>
      <c r="D907" t="s">
        <v>5</v>
      </c>
      <c r="F907" t="str" cm="1">
        <f t="array" ref="F907">CategorizeComment(E907)</f>
        <v>Other</v>
      </c>
      <c r="G907" t="str" cm="1">
        <f t="array" ref="G907">SubCategorizeComment(E907)</f>
        <v>Other</v>
      </c>
    </row>
    <row r="908" spans="1:7" x14ac:dyDescent="0.25">
      <c r="A908">
        <v>1287</v>
      </c>
      <c r="B908" t="s">
        <v>4</v>
      </c>
      <c r="C908">
        <v>3</v>
      </c>
      <c r="D908" t="s">
        <v>5</v>
      </c>
      <c r="F908" t="str" cm="1">
        <f t="array" ref="F908">CategorizeComment(E908)</f>
        <v>Other</v>
      </c>
      <c r="G908" t="str" cm="1">
        <f t="array" ref="G908">SubCategorizeComment(E908)</f>
        <v>Other</v>
      </c>
    </row>
    <row r="909" spans="1:7" x14ac:dyDescent="0.25">
      <c r="A909">
        <v>1341</v>
      </c>
      <c r="B909" t="s">
        <v>4</v>
      </c>
      <c r="C909">
        <v>3</v>
      </c>
      <c r="D909" t="s">
        <v>5</v>
      </c>
      <c r="F909" t="str" cm="1">
        <f t="array" ref="F909">CategorizeComment(E909)</f>
        <v>Other</v>
      </c>
      <c r="G909" t="str" cm="1">
        <f t="array" ref="G909">SubCategorizeComment(E909)</f>
        <v>Other</v>
      </c>
    </row>
    <row r="910" spans="1:7" x14ac:dyDescent="0.25">
      <c r="A910">
        <v>1354</v>
      </c>
      <c r="B910" t="s">
        <v>4</v>
      </c>
      <c r="C910">
        <v>4</v>
      </c>
      <c r="D910" t="s">
        <v>5</v>
      </c>
      <c r="F910" t="str" cm="1">
        <f t="array" ref="F910">CategorizeComment(E910)</f>
        <v>Other</v>
      </c>
      <c r="G910" t="str" cm="1">
        <f t="array" ref="G910">SubCategorizeComment(E910)</f>
        <v>Other</v>
      </c>
    </row>
    <row r="911" spans="1:7" x14ac:dyDescent="0.25">
      <c r="A911">
        <v>1360</v>
      </c>
      <c r="B911" t="s">
        <v>4</v>
      </c>
      <c r="C911">
        <v>4</v>
      </c>
      <c r="D911" t="s">
        <v>5</v>
      </c>
      <c r="F911" t="str" cm="1">
        <f t="array" ref="F911">CategorizeComment(E911)</f>
        <v>Other</v>
      </c>
      <c r="G911" t="str" cm="1">
        <f t="array" ref="G911">SubCategorizeComment(E911)</f>
        <v>Other</v>
      </c>
    </row>
    <row r="912" spans="1:7" x14ac:dyDescent="0.25">
      <c r="A912">
        <v>1385</v>
      </c>
      <c r="B912" t="s">
        <v>4</v>
      </c>
      <c r="C912">
        <v>3</v>
      </c>
      <c r="D912" t="s">
        <v>5</v>
      </c>
      <c r="F912" t="str" cm="1">
        <f t="array" ref="F912">CategorizeComment(E912)</f>
        <v>Other</v>
      </c>
      <c r="G912" t="str" cm="1">
        <f t="array" ref="G912">SubCategorizeComment(E912)</f>
        <v>Other</v>
      </c>
    </row>
    <row r="913" spans="1:7" x14ac:dyDescent="0.25">
      <c r="A913">
        <v>1391</v>
      </c>
      <c r="B913" t="s">
        <v>4</v>
      </c>
      <c r="C913">
        <v>4</v>
      </c>
      <c r="D913" t="s">
        <v>5</v>
      </c>
      <c r="F913" t="str" cm="1">
        <f t="array" ref="F913">CategorizeComment(E913)</f>
        <v>Other</v>
      </c>
      <c r="G913" t="str" cm="1">
        <f t="array" ref="G913">SubCategorizeComment(E913)</f>
        <v>Other</v>
      </c>
    </row>
    <row r="914" spans="1:7" x14ac:dyDescent="0.25">
      <c r="A914">
        <v>1401</v>
      </c>
      <c r="B914" t="s">
        <v>4</v>
      </c>
      <c r="C914">
        <v>4</v>
      </c>
      <c r="D914" t="s">
        <v>5</v>
      </c>
      <c r="F914" t="str" cm="1">
        <f t="array" ref="F914">CategorizeComment(E914)</f>
        <v>Other</v>
      </c>
      <c r="G914" t="str" cm="1">
        <f t="array" ref="G914">SubCategorizeComment(E914)</f>
        <v>Other</v>
      </c>
    </row>
    <row r="915" spans="1:7" x14ac:dyDescent="0.25">
      <c r="A915">
        <v>1402</v>
      </c>
      <c r="B915" t="s">
        <v>4</v>
      </c>
      <c r="C915">
        <v>4</v>
      </c>
      <c r="D915" t="s">
        <v>5</v>
      </c>
      <c r="F915" t="str" cm="1">
        <f t="array" ref="F915">CategorizeComment(E915)</f>
        <v>Other</v>
      </c>
      <c r="G915" t="str" cm="1">
        <f t="array" ref="G915">SubCategorizeComment(E915)</f>
        <v>Other</v>
      </c>
    </row>
    <row r="916" spans="1:7" x14ac:dyDescent="0.25">
      <c r="A916">
        <v>1404</v>
      </c>
      <c r="B916" t="s">
        <v>4</v>
      </c>
      <c r="C916">
        <v>3</v>
      </c>
      <c r="D916" t="s">
        <v>5</v>
      </c>
      <c r="F916" t="str" cm="1">
        <f t="array" ref="F916">CategorizeComment(E916)</f>
        <v>Other</v>
      </c>
      <c r="G916" t="str" cm="1">
        <f t="array" ref="G916">SubCategorizeComment(E916)</f>
        <v>Other</v>
      </c>
    </row>
    <row r="917" spans="1:7" x14ac:dyDescent="0.25">
      <c r="A917">
        <v>1410</v>
      </c>
      <c r="B917" t="s">
        <v>4</v>
      </c>
      <c r="C917">
        <v>3</v>
      </c>
      <c r="D917" t="s">
        <v>5</v>
      </c>
      <c r="F917" t="str" cm="1">
        <f t="array" ref="F917">CategorizeComment(E917)</f>
        <v>Other</v>
      </c>
      <c r="G917" t="str" cm="1">
        <f t="array" ref="G917">SubCategorizeComment(E917)</f>
        <v>Other</v>
      </c>
    </row>
    <row r="918" spans="1:7" x14ac:dyDescent="0.25">
      <c r="A918">
        <v>1415</v>
      </c>
      <c r="B918" t="s">
        <v>4</v>
      </c>
      <c r="C918">
        <v>3</v>
      </c>
      <c r="D918" t="s">
        <v>5</v>
      </c>
      <c r="F918" t="str" cm="1">
        <f t="array" ref="F918">CategorizeComment(E918)</f>
        <v>Other</v>
      </c>
      <c r="G918" t="str" cm="1">
        <f t="array" ref="G918">SubCategorizeComment(E918)</f>
        <v>Other</v>
      </c>
    </row>
    <row r="919" spans="1:7" x14ac:dyDescent="0.25">
      <c r="A919">
        <v>1426</v>
      </c>
      <c r="B919" t="s">
        <v>4</v>
      </c>
      <c r="C919">
        <v>4</v>
      </c>
      <c r="D919" t="s">
        <v>5</v>
      </c>
      <c r="F919" t="str" cm="1">
        <f t="array" ref="F919">CategorizeComment(E919)</f>
        <v>Other</v>
      </c>
      <c r="G919" t="str" cm="1">
        <f t="array" ref="G919">SubCategorizeComment(E919)</f>
        <v>Other</v>
      </c>
    </row>
    <row r="920" spans="1:7" x14ac:dyDescent="0.25">
      <c r="A920">
        <v>1433</v>
      </c>
      <c r="B920" t="s">
        <v>4</v>
      </c>
      <c r="C920">
        <v>4</v>
      </c>
      <c r="D920" t="s">
        <v>5</v>
      </c>
      <c r="F920" t="str" cm="1">
        <f t="array" ref="F920">CategorizeComment(E920)</f>
        <v>Other</v>
      </c>
      <c r="G920" t="str" cm="1">
        <f t="array" ref="G920">SubCategorizeComment(E920)</f>
        <v>Other</v>
      </c>
    </row>
    <row r="921" spans="1:7" x14ac:dyDescent="0.25">
      <c r="A921">
        <v>1437</v>
      </c>
      <c r="B921" t="s">
        <v>4</v>
      </c>
      <c r="C921">
        <v>3</v>
      </c>
      <c r="D921" t="s">
        <v>5</v>
      </c>
      <c r="F921" t="str" cm="1">
        <f t="array" ref="F921">CategorizeComment(E921)</f>
        <v>Other</v>
      </c>
      <c r="G921" t="str" cm="1">
        <f t="array" ref="G921">SubCategorizeComment(E921)</f>
        <v>Other</v>
      </c>
    </row>
    <row r="922" spans="1:7" x14ac:dyDescent="0.25">
      <c r="A922">
        <v>1452</v>
      </c>
      <c r="B922" t="s">
        <v>4</v>
      </c>
      <c r="C922">
        <v>3</v>
      </c>
      <c r="D922" t="s">
        <v>5</v>
      </c>
      <c r="F922" t="str" cm="1">
        <f t="array" ref="F922">CategorizeComment(E922)</f>
        <v>Other</v>
      </c>
      <c r="G922" t="str" cm="1">
        <f t="array" ref="G922">SubCategorizeComment(E922)</f>
        <v>Other</v>
      </c>
    </row>
    <row r="923" spans="1:7" x14ac:dyDescent="0.25">
      <c r="A923">
        <v>1456</v>
      </c>
      <c r="B923" t="s">
        <v>4</v>
      </c>
      <c r="C923">
        <v>4</v>
      </c>
      <c r="D923" t="s">
        <v>5</v>
      </c>
      <c r="F923" t="str" cm="1">
        <f t="array" ref="F923">CategorizeComment(E923)</f>
        <v>Other</v>
      </c>
      <c r="G923" t="str" cm="1">
        <f t="array" ref="G923">SubCategorizeComment(E923)</f>
        <v>Other</v>
      </c>
    </row>
    <row r="924" spans="1:7" x14ac:dyDescent="0.25">
      <c r="A924">
        <v>1459</v>
      </c>
      <c r="B924" t="s">
        <v>4</v>
      </c>
      <c r="C924">
        <v>3</v>
      </c>
      <c r="D924" t="s">
        <v>5</v>
      </c>
      <c r="F924" t="str" cm="1">
        <f t="array" ref="F924">CategorizeComment(E924)</f>
        <v>Other</v>
      </c>
      <c r="G924" t="str" cm="1">
        <f t="array" ref="G924">SubCategorizeComment(E924)</f>
        <v>Other</v>
      </c>
    </row>
    <row r="925" spans="1:7" x14ac:dyDescent="0.25">
      <c r="A925">
        <v>1461</v>
      </c>
      <c r="B925" t="s">
        <v>4</v>
      </c>
      <c r="C925">
        <v>4</v>
      </c>
      <c r="D925" t="s">
        <v>5</v>
      </c>
      <c r="F925" t="str" cm="1">
        <f t="array" ref="F925">CategorizeComment(E925)</f>
        <v>Other</v>
      </c>
      <c r="G925" t="str" cm="1">
        <f t="array" ref="G925">SubCategorizeComment(E925)</f>
        <v>Other</v>
      </c>
    </row>
    <row r="926" spans="1:7" x14ac:dyDescent="0.25">
      <c r="A926">
        <v>1468</v>
      </c>
      <c r="B926" t="s">
        <v>4</v>
      </c>
      <c r="C926">
        <v>4</v>
      </c>
      <c r="D926" t="s">
        <v>5</v>
      </c>
      <c r="F926" t="str" cm="1">
        <f t="array" ref="F926">CategorizeComment(E926)</f>
        <v>Other</v>
      </c>
      <c r="G926" t="str" cm="1">
        <f t="array" ref="G926">SubCategorizeComment(E926)</f>
        <v>Other</v>
      </c>
    </row>
    <row r="927" spans="1:7" x14ac:dyDescent="0.25">
      <c r="A927">
        <v>1473</v>
      </c>
      <c r="B927" t="s">
        <v>4</v>
      </c>
      <c r="C927">
        <v>4</v>
      </c>
      <c r="D927" t="s">
        <v>5</v>
      </c>
      <c r="F927" t="str" cm="1">
        <f t="array" ref="F927">CategorizeComment(E927)</f>
        <v>Other</v>
      </c>
      <c r="G927" t="str" cm="1">
        <f t="array" ref="G927">SubCategorizeComment(E927)</f>
        <v>Other</v>
      </c>
    </row>
    <row r="928" spans="1:7" x14ac:dyDescent="0.25">
      <c r="A928">
        <v>1474</v>
      </c>
      <c r="B928" t="s">
        <v>4</v>
      </c>
      <c r="C928">
        <v>3</v>
      </c>
      <c r="D928" t="s">
        <v>5</v>
      </c>
      <c r="F928" t="str" cm="1">
        <f t="array" ref="F928">CategorizeComment(E928)</f>
        <v>Other</v>
      </c>
      <c r="G928" t="str" cm="1">
        <f t="array" ref="G928">SubCategorizeComment(E928)</f>
        <v>Other</v>
      </c>
    </row>
    <row r="929" spans="1:7" x14ac:dyDescent="0.25">
      <c r="A929">
        <v>1482</v>
      </c>
      <c r="B929" t="s">
        <v>4</v>
      </c>
      <c r="C929">
        <v>3</v>
      </c>
      <c r="D929" t="s">
        <v>5</v>
      </c>
      <c r="F929" t="str" cm="1">
        <f t="array" ref="F929">CategorizeComment(E929)</f>
        <v>Other</v>
      </c>
      <c r="G929" t="str" cm="1">
        <f t="array" ref="G929">SubCategorizeComment(E929)</f>
        <v>Other</v>
      </c>
    </row>
    <row r="930" spans="1:7" x14ac:dyDescent="0.25">
      <c r="A930">
        <v>1496</v>
      </c>
      <c r="B930" t="s">
        <v>4</v>
      </c>
      <c r="C930">
        <v>3</v>
      </c>
      <c r="D930" t="s">
        <v>5</v>
      </c>
      <c r="F930" t="str" cm="1">
        <f t="array" ref="F930">CategorizeComment(E930)</f>
        <v>Other</v>
      </c>
      <c r="G930" t="str" cm="1">
        <f t="array" ref="G930">SubCategorizeComment(E930)</f>
        <v>Other</v>
      </c>
    </row>
    <row r="931" spans="1:7" x14ac:dyDescent="0.25">
      <c r="A931">
        <v>1526</v>
      </c>
      <c r="B931" t="s">
        <v>4</v>
      </c>
      <c r="C931">
        <v>4</v>
      </c>
      <c r="D931" t="s">
        <v>5</v>
      </c>
      <c r="F931" t="str" cm="1">
        <f t="array" ref="F931">CategorizeComment(E931)</f>
        <v>Other</v>
      </c>
      <c r="G931" t="str" cm="1">
        <f t="array" ref="G931">SubCategorizeComment(E931)</f>
        <v>Other</v>
      </c>
    </row>
    <row r="932" spans="1:7" x14ac:dyDescent="0.25">
      <c r="A932">
        <v>1534</v>
      </c>
      <c r="B932" t="s">
        <v>4</v>
      </c>
      <c r="C932">
        <v>3</v>
      </c>
      <c r="D932" t="s">
        <v>5</v>
      </c>
      <c r="F932" t="str" cm="1">
        <f t="array" ref="F932">CategorizeComment(E932)</f>
        <v>Other</v>
      </c>
      <c r="G932" t="str" cm="1">
        <f t="array" ref="G932">SubCategorizeComment(E932)</f>
        <v>Other</v>
      </c>
    </row>
    <row r="933" spans="1:7" x14ac:dyDescent="0.25">
      <c r="A933">
        <v>1542</v>
      </c>
      <c r="B933" t="s">
        <v>4</v>
      </c>
      <c r="C933">
        <v>3</v>
      </c>
      <c r="D933" t="s">
        <v>5</v>
      </c>
      <c r="F933" t="str" cm="1">
        <f t="array" ref="F933">CategorizeComment(E933)</f>
        <v>Other</v>
      </c>
      <c r="G933" t="str" cm="1">
        <f t="array" ref="G933">SubCategorizeComment(E933)</f>
        <v>Other</v>
      </c>
    </row>
    <row r="934" spans="1:7" x14ac:dyDescent="0.25">
      <c r="A934">
        <v>1543</v>
      </c>
      <c r="B934" t="s">
        <v>4</v>
      </c>
      <c r="C934">
        <v>3</v>
      </c>
      <c r="D934" t="s">
        <v>5</v>
      </c>
      <c r="F934" t="str" cm="1">
        <f t="array" ref="F934">CategorizeComment(E934)</f>
        <v>Other</v>
      </c>
      <c r="G934" t="str" cm="1">
        <f t="array" ref="G934">SubCategorizeComment(E934)</f>
        <v>Other</v>
      </c>
    </row>
    <row r="935" spans="1:7" x14ac:dyDescent="0.25">
      <c r="A935">
        <v>1549</v>
      </c>
      <c r="B935" t="s">
        <v>4</v>
      </c>
      <c r="C935">
        <v>3</v>
      </c>
      <c r="D935" t="s">
        <v>5</v>
      </c>
      <c r="F935" t="str" cm="1">
        <f t="array" ref="F935">CategorizeComment(E935)</f>
        <v>Other</v>
      </c>
      <c r="G935" t="str" cm="1">
        <f t="array" ref="G935">SubCategorizeComment(E935)</f>
        <v>Other</v>
      </c>
    </row>
    <row r="936" spans="1:7" x14ac:dyDescent="0.25">
      <c r="A936">
        <v>1555</v>
      </c>
      <c r="B936" t="s">
        <v>4</v>
      </c>
      <c r="C936">
        <v>3</v>
      </c>
      <c r="D936" t="s">
        <v>5</v>
      </c>
      <c r="F936" t="str" cm="1">
        <f t="array" ref="F936">CategorizeComment(E936)</f>
        <v>Other</v>
      </c>
      <c r="G936" t="str" cm="1">
        <f t="array" ref="G936">SubCategorizeComment(E936)</f>
        <v>Other</v>
      </c>
    </row>
    <row r="937" spans="1:7" x14ac:dyDescent="0.25">
      <c r="A937">
        <v>1581</v>
      </c>
      <c r="B937" t="s">
        <v>4</v>
      </c>
      <c r="C937">
        <v>3</v>
      </c>
      <c r="D937" t="s">
        <v>5</v>
      </c>
      <c r="F937" t="str" cm="1">
        <f t="array" ref="F937">CategorizeComment(E937)</f>
        <v>Other</v>
      </c>
      <c r="G937" t="str" cm="1">
        <f t="array" ref="G937">SubCategorizeComment(E937)</f>
        <v>Other</v>
      </c>
    </row>
    <row r="938" spans="1:7" x14ac:dyDescent="0.25">
      <c r="A938">
        <v>1586</v>
      </c>
      <c r="B938" t="s">
        <v>4</v>
      </c>
      <c r="C938">
        <v>4</v>
      </c>
      <c r="D938" t="s">
        <v>5</v>
      </c>
      <c r="F938" t="str" cm="1">
        <f t="array" ref="F938">CategorizeComment(E938)</f>
        <v>Other</v>
      </c>
      <c r="G938" t="str" cm="1">
        <f t="array" ref="G938">SubCategorizeComment(E938)</f>
        <v>Other</v>
      </c>
    </row>
    <row r="939" spans="1:7" x14ac:dyDescent="0.25">
      <c r="A939">
        <v>1597</v>
      </c>
      <c r="B939" t="s">
        <v>4</v>
      </c>
      <c r="C939">
        <v>3</v>
      </c>
      <c r="D939" t="s">
        <v>5</v>
      </c>
      <c r="F939" t="str" cm="1">
        <f t="array" ref="F939">CategorizeComment(E939)</f>
        <v>Other</v>
      </c>
      <c r="G939" t="str" cm="1">
        <f t="array" ref="G939">SubCategorizeComment(E939)</f>
        <v>Other</v>
      </c>
    </row>
    <row r="940" spans="1:7" x14ac:dyDescent="0.25">
      <c r="A940">
        <v>1598</v>
      </c>
      <c r="B940" t="s">
        <v>4</v>
      </c>
      <c r="C940">
        <v>4</v>
      </c>
      <c r="D940" t="s">
        <v>5</v>
      </c>
      <c r="F940" t="str" cm="1">
        <f t="array" ref="F940">CategorizeComment(E940)</f>
        <v>Other</v>
      </c>
      <c r="G940" t="str" cm="1">
        <f t="array" ref="G940">SubCategorizeComment(E940)</f>
        <v>Other</v>
      </c>
    </row>
    <row r="941" spans="1:7" x14ac:dyDescent="0.25">
      <c r="A941">
        <v>1602</v>
      </c>
      <c r="B941" t="s">
        <v>4</v>
      </c>
      <c r="C941">
        <v>3</v>
      </c>
      <c r="D941" t="s">
        <v>5</v>
      </c>
      <c r="F941" t="str" cm="1">
        <f t="array" ref="F941">CategorizeComment(E941)</f>
        <v>Other</v>
      </c>
      <c r="G941" t="str" cm="1">
        <f t="array" ref="G941">SubCategorizeComment(E941)</f>
        <v>Other</v>
      </c>
    </row>
    <row r="942" spans="1:7" x14ac:dyDescent="0.25">
      <c r="A942">
        <v>1604</v>
      </c>
      <c r="B942" t="s">
        <v>4</v>
      </c>
      <c r="C942">
        <v>4</v>
      </c>
      <c r="D942" t="s">
        <v>5</v>
      </c>
      <c r="F942" t="str" cm="1">
        <f t="array" ref="F942">CategorizeComment(E942)</f>
        <v>Other</v>
      </c>
      <c r="G942" t="str" cm="1">
        <f t="array" ref="G942">SubCategorizeComment(E942)</f>
        <v>Other</v>
      </c>
    </row>
    <row r="943" spans="1:7" x14ac:dyDescent="0.25">
      <c r="A943">
        <v>1606</v>
      </c>
      <c r="B943" t="s">
        <v>4</v>
      </c>
      <c r="C943">
        <v>4</v>
      </c>
      <c r="D943" t="s">
        <v>5</v>
      </c>
      <c r="F943" t="str" cm="1">
        <f t="array" ref="F943">CategorizeComment(E943)</f>
        <v>Other</v>
      </c>
      <c r="G943" t="str" cm="1">
        <f t="array" ref="G943">SubCategorizeComment(E943)</f>
        <v>Other</v>
      </c>
    </row>
    <row r="944" spans="1:7" x14ac:dyDescent="0.25">
      <c r="A944">
        <v>1619</v>
      </c>
      <c r="B944" t="s">
        <v>4</v>
      </c>
      <c r="C944">
        <v>3</v>
      </c>
      <c r="D944" t="s">
        <v>5</v>
      </c>
      <c r="F944" t="str" cm="1">
        <f t="array" ref="F944">CategorizeComment(E944)</f>
        <v>Other</v>
      </c>
      <c r="G944" t="str" cm="1">
        <f t="array" ref="G944">SubCategorizeComment(E944)</f>
        <v>Other</v>
      </c>
    </row>
    <row r="945" spans="1:7" x14ac:dyDescent="0.25">
      <c r="A945">
        <v>1628</v>
      </c>
      <c r="B945" t="s">
        <v>4</v>
      </c>
      <c r="C945">
        <v>4</v>
      </c>
      <c r="D945" t="s">
        <v>5</v>
      </c>
      <c r="F945" t="str" cm="1">
        <f t="array" ref="F945">CategorizeComment(E945)</f>
        <v>Other</v>
      </c>
      <c r="G945" t="str" cm="1">
        <f t="array" ref="G945">SubCategorizeComment(E945)</f>
        <v>Other</v>
      </c>
    </row>
    <row r="946" spans="1:7" x14ac:dyDescent="0.25">
      <c r="A946">
        <v>1629</v>
      </c>
      <c r="B946" t="s">
        <v>4</v>
      </c>
      <c r="C946">
        <v>4</v>
      </c>
      <c r="D946" t="s">
        <v>5</v>
      </c>
      <c r="F946" t="str" cm="1">
        <f t="array" ref="F946">CategorizeComment(E946)</f>
        <v>Other</v>
      </c>
      <c r="G946" t="str" cm="1">
        <f t="array" ref="G946">SubCategorizeComment(E946)</f>
        <v>Other</v>
      </c>
    </row>
    <row r="947" spans="1:7" x14ac:dyDescent="0.25">
      <c r="A947">
        <v>1651</v>
      </c>
      <c r="B947" t="s">
        <v>4</v>
      </c>
      <c r="C947">
        <v>3</v>
      </c>
      <c r="D947" t="s">
        <v>5</v>
      </c>
      <c r="F947" t="str" cm="1">
        <f t="array" ref="F947">CategorizeComment(E947)</f>
        <v>Other</v>
      </c>
      <c r="G947" t="str" cm="1">
        <f t="array" ref="G947">SubCategorizeComment(E947)</f>
        <v>Other</v>
      </c>
    </row>
    <row r="948" spans="1:7" x14ac:dyDescent="0.25">
      <c r="A948">
        <v>1669</v>
      </c>
      <c r="B948" t="s">
        <v>4</v>
      </c>
      <c r="C948">
        <v>3</v>
      </c>
      <c r="D948" t="s">
        <v>5</v>
      </c>
      <c r="F948" t="str" cm="1">
        <f t="array" ref="F948">CategorizeComment(E948)</f>
        <v>Other</v>
      </c>
      <c r="G948" t="str" cm="1">
        <f t="array" ref="G948">SubCategorizeComment(E948)</f>
        <v>Other</v>
      </c>
    </row>
    <row r="949" spans="1:7" x14ac:dyDescent="0.25">
      <c r="A949">
        <v>1676</v>
      </c>
      <c r="B949" t="s">
        <v>4</v>
      </c>
      <c r="C949">
        <v>3</v>
      </c>
      <c r="D949" t="s">
        <v>5</v>
      </c>
      <c r="F949" t="str" cm="1">
        <f t="array" ref="F949">CategorizeComment(E949)</f>
        <v>Other</v>
      </c>
      <c r="G949" t="str" cm="1">
        <f t="array" ref="G949">SubCategorizeComment(E949)</f>
        <v>Other</v>
      </c>
    </row>
    <row r="950" spans="1:7" x14ac:dyDescent="0.25">
      <c r="A950">
        <v>1677</v>
      </c>
      <c r="B950" t="s">
        <v>4</v>
      </c>
      <c r="C950">
        <v>3</v>
      </c>
      <c r="D950" t="s">
        <v>5</v>
      </c>
      <c r="F950" t="str" cm="1">
        <f t="array" ref="F950">CategorizeComment(E950)</f>
        <v>Other</v>
      </c>
      <c r="G950" t="str" cm="1">
        <f t="array" ref="G950">SubCategorizeComment(E950)</f>
        <v>Other</v>
      </c>
    </row>
    <row r="951" spans="1:7" x14ac:dyDescent="0.25">
      <c r="A951">
        <v>1682</v>
      </c>
      <c r="B951" t="s">
        <v>4</v>
      </c>
      <c r="C951">
        <v>3</v>
      </c>
      <c r="D951" t="s">
        <v>5</v>
      </c>
      <c r="F951" t="str" cm="1">
        <f t="array" ref="F951">CategorizeComment(E951)</f>
        <v>Other</v>
      </c>
      <c r="G951" t="str" cm="1">
        <f t="array" ref="G951">SubCategorizeComment(E951)</f>
        <v>Other</v>
      </c>
    </row>
    <row r="952" spans="1:7" x14ac:dyDescent="0.25">
      <c r="A952">
        <v>1722</v>
      </c>
      <c r="B952" t="s">
        <v>4</v>
      </c>
      <c r="C952">
        <v>4</v>
      </c>
      <c r="D952" t="s">
        <v>5</v>
      </c>
      <c r="F952" t="str" cm="1">
        <f t="array" ref="F952">CategorizeComment(E952)</f>
        <v>Other</v>
      </c>
      <c r="G952" t="str" cm="1">
        <f t="array" ref="G952">SubCategorizeComment(E952)</f>
        <v>Other</v>
      </c>
    </row>
    <row r="953" spans="1:7" x14ac:dyDescent="0.25">
      <c r="A953">
        <v>1741</v>
      </c>
      <c r="B953" t="s">
        <v>4</v>
      </c>
      <c r="C953">
        <v>4</v>
      </c>
      <c r="D953" t="s">
        <v>5</v>
      </c>
      <c r="F953" t="str" cm="1">
        <f t="array" ref="F953">CategorizeComment(E953)</f>
        <v>Other</v>
      </c>
      <c r="G953" t="str" cm="1">
        <f t="array" ref="G953">SubCategorizeComment(E953)</f>
        <v>Other</v>
      </c>
    </row>
    <row r="954" spans="1:7" x14ac:dyDescent="0.25">
      <c r="A954">
        <v>1760</v>
      </c>
      <c r="B954" t="s">
        <v>4</v>
      </c>
      <c r="C954">
        <v>3</v>
      </c>
      <c r="D954" t="s">
        <v>5</v>
      </c>
      <c r="F954" t="str" cm="1">
        <f t="array" ref="F954">CategorizeComment(E954)</f>
        <v>Other</v>
      </c>
      <c r="G954" t="str" cm="1">
        <f t="array" ref="G954">SubCategorizeComment(E954)</f>
        <v>Other</v>
      </c>
    </row>
    <row r="955" spans="1:7" x14ac:dyDescent="0.25">
      <c r="A955">
        <v>1789</v>
      </c>
      <c r="B955" t="s">
        <v>4</v>
      </c>
      <c r="C955">
        <v>3</v>
      </c>
      <c r="D955" t="s">
        <v>5</v>
      </c>
      <c r="F955" t="str" cm="1">
        <f t="array" ref="F955">CategorizeComment(E955)</f>
        <v>Other</v>
      </c>
      <c r="G955" t="str" cm="1">
        <f t="array" ref="G955">SubCategorizeComment(E955)</f>
        <v>Other</v>
      </c>
    </row>
    <row r="956" spans="1:7" x14ac:dyDescent="0.25">
      <c r="A956">
        <v>1809</v>
      </c>
      <c r="B956" t="s">
        <v>4</v>
      </c>
      <c r="C956">
        <v>4</v>
      </c>
      <c r="D956" t="s">
        <v>5</v>
      </c>
      <c r="F956" t="str" cm="1">
        <f t="array" ref="F956">CategorizeComment(E956)</f>
        <v>Other</v>
      </c>
      <c r="G956" t="str" cm="1">
        <f t="array" ref="G956">SubCategorizeComment(E956)</f>
        <v>Other</v>
      </c>
    </row>
    <row r="957" spans="1:7" x14ac:dyDescent="0.25">
      <c r="A957">
        <v>1818</v>
      </c>
      <c r="B957" t="s">
        <v>4</v>
      </c>
      <c r="C957">
        <v>4</v>
      </c>
      <c r="D957" t="s">
        <v>5</v>
      </c>
      <c r="F957" t="str" cm="1">
        <f t="array" ref="F957">CategorizeComment(E957)</f>
        <v>Other</v>
      </c>
      <c r="G957" t="str" cm="1">
        <f t="array" ref="G957">SubCategorizeComment(E957)</f>
        <v>Other</v>
      </c>
    </row>
    <row r="958" spans="1:7" x14ac:dyDescent="0.25">
      <c r="A958">
        <v>1820</v>
      </c>
      <c r="B958" t="s">
        <v>4</v>
      </c>
      <c r="C958">
        <v>4</v>
      </c>
      <c r="D958" t="s">
        <v>5</v>
      </c>
      <c r="F958" t="str" cm="1">
        <f t="array" ref="F958">CategorizeComment(E958)</f>
        <v>Other</v>
      </c>
      <c r="G958" t="str" cm="1">
        <f t="array" ref="G958">SubCategorizeComment(E958)</f>
        <v>Other</v>
      </c>
    </row>
    <row r="959" spans="1:7" x14ac:dyDescent="0.25">
      <c r="A959">
        <v>1821</v>
      </c>
      <c r="B959" t="s">
        <v>4</v>
      </c>
      <c r="C959">
        <v>3</v>
      </c>
      <c r="D959" t="s">
        <v>5</v>
      </c>
      <c r="F959" t="str" cm="1">
        <f t="array" ref="F959">CategorizeComment(E959)</f>
        <v>Other</v>
      </c>
      <c r="G959" t="str" cm="1">
        <f t="array" ref="G959">SubCategorizeComment(E959)</f>
        <v>Other</v>
      </c>
    </row>
    <row r="960" spans="1:7" x14ac:dyDescent="0.25">
      <c r="A960">
        <v>1822</v>
      </c>
      <c r="B960" t="s">
        <v>4</v>
      </c>
      <c r="C960">
        <v>4</v>
      </c>
      <c r="D960" t="s">
        <v>5</v>
      </c>
      <c r="F960" t="str" cm="1">
        <f t="array" ref="F960">CategorizeComment(E960)</f>
        <v>Other</v>
      </c>
      <c r="G960" t="str" cm="1">
        <f t="array" ref="G960">SubCategorizeComment(E960)</f>
        <v>Other</v>
      </c>
    </row>
    <row r="961" spans="1:7" x14ac:dyDescent="0.25">
      <c r="A961">
        <v>1830</v>
      </c>
      <c r="B961" t="s">
        <v>4</v>
      </c>
      <c r="C961">
        <v>4</v>
      </c>
      <c r="D961" t="s">
        <v>5</v>
      </c>
      <c r="F961" t="str" cm="1">
        <f t="array" ref="F961">CategorizeComment(E961)</f>
        <v>Other</v>
      </c>
      <c r="G961" t="str" cm="1">
        <f t="array" ref="G961">SubCategorizeComment(E961)</f>
        <v>Other</v>
      </c>
    </row>
    <row r="962" spans="1:7" x14ac:dyDescent="0.25">
      <c r="A962">
        <v>1836</v>
      </c>
      <c r="B962" t="s">
        <v>4</v>
      </c>
      <c r="C962">
        <v>4</v>
      </c>
      <c r="D962" t="s">
        <v>5</v>
      </c>
      <c r="F962" t="str" cm="1">
        <f t="array" ref="F962">CategorizeComment(E962)</f>
        <v>Other</v>
      </c>
      <c r="G962" t="str" cm="1">
        <f t="array" ref="G962">SubCategorizeComment(E962)</f>
        <v>Other</v>
      </c>
    </row>
    <row r="963" spans="1:7" x14ac:dyDescent="0.25">
      <c r="A963">
        <v>1841</v>
      </c>
      <c r="B963" t="s">
        <v>4</v>
      </c>
      <c r="C963">
        <v>4</v>
      </c>
      <c r="D963" t="s">
        <v>5</v>
      </c>
      <c r="F963" t="str" cm="1">
        <f t="array" ref="F963">CategorizeComment(E963)</f>
        <v>Other</v>
      </c>
      <c r="G963" t="str" cm="1">
        <f t="array" ref="G963">SubCategorizeComment(E963)</f>
        <v>Other</v>
      </c>
    </row>
    <row r="964" spans="1:7" x14ac:dyDescent="0.25">
      <c r="A964">
        <v>1884</v>
      </c>
      <c r="B964" t="s">
        <v>4</v>
      </c>
      <c r="C964">
        <v>3</v>
      </c>
      <c r="D964" t="s">
        <v>5</v>
      </c>
      <c r="F964" t="str" cm="1">
        <f t="array" ref="F964">CategorizeComment(E964)</f>
        <v>Other</v>
      </c>
      <c r="G964" t="str" cm="1">
        <f t="array" ref="G964">SubCategorizeComment(E964)</f>
        <v>Other</v>
      </c>
    </row>
    <row r="965" spans="1:7" x14ac:dyDescent="0.25">
      <c r="A965">
        <v>1893</v>
      </c>
      <c r="B965" t="s">
        <v>4</v>
      </c>
      <c r="C965">
        <v>4</v>
      </c>
      <c r="D965" t="s">
        <v>5</v>
      </c>
      <c r="F965" t="str" cm="1">
        <f t="array" ref="F965">CategorizeComment(E965)</f>
        <v>Other</v>
      </c>
      <c r="G965" t="str" cm="1">
        <f t="array" ref="G965">SubCategorizeComment(E965)</f>
        <v>Other</v>
      </c>
    </row>
    <row r="966" spans="1:7" x14ac:dyDescent="0.25">
      <c r="A966">
        <v>1933</v>
      </c>
      <c r="B966" t="s">
        <v>4</v>
      </c>
      <c r="C966">
        <v>3</v>
      </c>
      <c r="D966" t="s">
        <v>5</v>
      </c>
      <c r="F966" t="str" cm="1">
        <f t="array" ref="F966">CategorizeComment(E966)</f>
        <v>Other</v>
      </c>
      <c r="G966" t="str" cm="1">
        <f t="array" ref="G966">SubCategorizeComment(E966)</f>
        <v>Other</v>
      </c>
    </row>
    <row r="967" spans="1:7" x14ac:dyDescent="0.25">
      <c r="A967">
        <v>1945</v>
      </c>
      <c r="B967" t="s">
        <v>4</v>
      </c>
      <c r="C967">
        <v>3</v>
      </c>
      <c r="D967" t="s">
        <v>5</v>
      </c>
      <c r="F967" t="str" cm="1">
        <f t="array" ref="F967">CategorizeComment(E967)</f>
        <v>Other</v>
      </c>
      <c r="G967" t="str" cm="1">
        <f t="array" ref="G967">SubCategorizeComment(E967)</f>
        <v>Other</v>
      </c>
    </row>
    <row r="968" spans="1:7" x14ac:dyDescent="0.25">
      <c r="A968">
        <v>1949</v>
      </c>
      <c r="B968" t="s">
        <v>4</v>
      </c>
      <c r="C968">
        <v>3</v>
      </c>
      <c r="D968" t="s">
        <v>5</v>
      </c>
      <c r="F968" t="str" cm="1">
        <f t="array" ref="F968">CategorizeComment(E968)</f>
        <v>Other</v>
      </c>
      <c r="G968" t="str" cm="1">
        <f t="array" ref="G968">SubCategorizeComment(E968)</f>
        <v>Other</v>
      </c>
    </row>
    <row r="969" spans="1:7" x14ac:dyDescent="0.25">
      <c r="A969">
        <v>1965</v>
      </c>
      <c r="B969" t="s">
        <v>4</v>
      </c>
      <c r="C969">
        <v>3</v>
      </c>
      <c r="D969" t="s">
        <v>5</v>
      </c>
      <c r="F969" t="str" cm="1">
        <f t="array" ref="F969">CategorizeComment(E969)</f>
        <v>Other</v>
      </c>
      <c r="G969" t="str" cm="1">
        <f t="array" ref="G969">SubCategorizeComment(E969)</f>
        <v>Other</v>
      </c>
    </row>
    <row r="970" spans="1:7" x14ac:dyDescent="0.25">
      <c r="A970">
        <v>1972</v>
      </c>
      <c r="B970" t="s">
        <v>4</v>
      </c>
      <c r="C970">
        <v>4</v>
      </c>
      <c r="D970" t="s">
        <v>5</v>
      </c>
      <c r="F970" t="str" cm="1">
        <f t="array" ref="F970">CategorizeComment(E970)</f>
        <v>Other</v>
      </c>
      <c r="G970" t="str" cm="1">
        <f t="array" ref="G970">SubCategorizeComment(E970)</f>
        <v>Other</v>
      </c>
    </row>
    <row r="971" spans="1:7" x14ac:dyDescent="0.25">
      <c r="A971">
        <v>1991</v>
      </c>
      <c r="B971" t="s">
        <v>4</v>
      </c>
      <c r="C971">
        <v>4</v>
      </c>
      <c r="D971" t="s">
        <v>5</v>
      </c>
      <c r="F971" t="str" cm="1">
        <f t="array" ref="F971">CategorizeComment(E971)</f>
        <v>Other</v>
      </c>
      <c r="G971" t="str" cm="1">
        <f t="array" ref="G971">SubCategorizeComment(E971)</f>
        <v>Other</v>
      </c>
    </row>
    <row r="972" spans="1:7" x14ac:dyDescent="0.25">
      <c r="A972">
        <v>2005</v>
      </c>
      <c r="B972" t="s">
        <v>4</v>
      </c>
      <c r="C972">
        <v>3</v>
      </c>
      <c r="D972" t="s">
        <v>5</v>
      </c>
      <c r="F972" t="str" cm="1">
        <f t="array" ref="F972">CategorizeComment(E972)</f>
        <v>Other</v>
      </c>
      <c r="G972" t="str" cm="1">
        <f t="array" ref="G972">SubCategorizeComment(E972)</f>
        <v>Other</v>
      </c>
    </row>
    <row r="973" spans="1:7" x14ac:dyDescent="0.25">
      <c r="A973">
        <v>2008</v>
      </c>
      <c r="B973" t="s">
        <v>4</v>
      </c>
      <c r="C973">
        <v>4</v>
      </c>
      <c r="D973" t="s">
        <v>5</v>
      </c>
      <c r="F973" t="str" cm="1">
        <f t="array" ref="F973">CategorizeComment(E973)</f>
        <v>Other</v>
      </c>
      <c r="G973" t="str" cm="1">
        <f t="array" ref="G973">SubCategorizeComment(E973)</f>
        <v>Other</v>
      </c>
    </row>
    <row r="974" spans="1:7" x14ac:dyDescent="0.25">
      <c r="A974">
        <v>2011</v>
      </c>
      <c r="B974" t="s">
        <v>4</v>
      </c>
      <c r="C974">
        <v>4</v>
      </c>
      <c r="D974" t="s">
        <v>5</v>
      </c>
      <c r="F974" t="str" cm="1">
        <f t="array" ref="F974">CategorizeComment(E974)</f>
        <v>Other</v>
      </c>
      <c r="G974" t="str" cm="1">
        <f t="array" ref="G974">SubCategorizeComment(E974)</f>
        <v>Other</v>
      </c>
    </row>
    <row r="975" spans="1:7" x14ac:dyDescent="0.25">
      <c r="A975">
        <v>2025</v>
      </c>
      <c r="B975" t="s">
        <v>4</v>
      </c>
      <c r="C975">
        <v>3</v>
      </c>
      <c r="D975" t="s">
        <v>5</v>
      </c>
      <c r="F975" t="str" cm="1">
        <f t="array" ref="F975">CategorizeComment(E975)</f>
        <v>Other</v>
      </c>
      <c r="G975" t="str" cm="1">
        <f t="array" ref="G975">SubCategorizeComment(E975)</f>
        <v>Other</v>
      </c>
    </row>
    <row r="976" spans="1:7" x14ac:dyDescent="0.25">
      <c r="A976">
        <v>2061</v>
      </c>
      <c r="B976" t="s">
        <v>4</v>
      </c>
      <c r="C976">
        <v>3</v>
      </c>
      <c r="D976" t="s">
        <v>5</v>
      </c>
      <c r="F976" t="str" cm="1">
        <f t="array" ref="F976">CategorizeComment(E976)</f>
        <v>Other</v>
      </c>
      <c r="G976" t="str" cm="1">
        <f t="array" ref="G976">SubCategorizeComment(E976)</f>
        <v>Other</v>
      </c>
    </row>
    <row r="977" spans="1:7" x14ac:dyDescent="0.25">
      <c r="A977">
        <v>2063</v>
      </c>
      <c r="B977" t="s">
        <v>4</v>
      </c>
      <c r="C977">
        <v>4</v>
      </c>
      <c r="D977" t="s">
        <v>5</v>
      </c>
      <c r="F977" t="str" cm="1">
        <f t="array" ref="F977">CategorizeComment(E977)</f>
        <v>Other</v>
      </c>
      <c r="G977" t="str" cm="1">
        <f t="array" ref="G977">SubCategorizeComment(E977)</f>
        <v>Other</v>
      </c>
    </row>
    <row r="978" spans="1:7" x14ac:dyDescent="0.25">
      <c r="A978">
        <v>2071</v>
      </c>
      <c r="B978" t="s">
        <v>4</v>
      </c>
      <c r="C978">
        <v>3</v>
      </c>
      <c r="D978" t="s">
        <v>5</v>
      </c>
      <c r="F978" t="str" cm="1">
        <f t="array" ref="F978">CategorizeComment(E978)</f>
        <v>Other</v>
      </c>
      <c r="G978" t="str" cm="1">
        <f t="array" ref="G978">SubCategorizeComment(E978)</f>
        <v>Other</v>
      </c>
    </row>
    <row r="979" spans="1:7" x14ac:dyDescent="0.25">
      <c r="A979">
        <v>2075</v>
      </c>
      <c r="B979" t="s">
        <v>4</v>
      </c>
      <c r="C979">
        <v>4</v>
      </c>
      <c r="D979" t="s">
        <v>5</v>
      </c>
      <c r="F979" t="str" cm="1">
        <f t="array" ref="F979">CategorizeComment(E979)</f>
        <v>Other</v>
      </c>
      <c r="G979" t="str" cm="1">
        <f t="array" ref="G979">SubCategorizeComment(E979)</f>
        <v>Other</v>
      </c>
    </row>
    <row r="980" spans="1:7" x14ac:dyDescent="0.25">
      <c r="A980">
        <v>2085</v>
      </c>
      <c r="B980" t="s">
        <v>4</v>
      </c>
      <c r="C980">
        <v>4</v>
      </c>
      <c r="D980" t="s">
        <v>5</v>
      </c>
      <c r="F980" t="str" cm="1">
        <f t="array" ref="F980">CategorizeComment(E980)</f>
        <v>Other</v>
      </c>
      <c r="G980" t="str" cm="1">
        <f t="array" ref="G980">SubCategorizeComment(E980)</f>
        <v>Other</v>
      </c>
    </row>
    <row r="981" spans="1:7" x14ac:dyDescent="0.25">
      <c r="A981">
        <v>2092</v>
      </c>
      <c r="B981" t="s">
        <v>4</v>
      </c>
      <c r="C981">
        <v>4</v>
      </c>
      <c r="D981" t="s">
        <v>5</v>
      </c>
      <c r="F981" t="str" cm="1">
        <f t="array" ref="F981">CategorizeComment(E981)</f>
        <v>Other</v>
      </c>
      <c r="G981" t="str" cm="1">
        <f t="array" ref="G981">SubCategorizeComment(E981)</f>
        <v>Other</v>
      </c>
    </row>
    <row r="982" spans="1:7" x14ac:dyDescent="0.25">
      <c r="A982">
        <v>2102</v>
      </c>
      <c r="B982" t="s">
        <v>4</v>
      </c>
      <c r="C982">
        <v>3</v>
      </c>
      <c r="D982" t="s">
        <v>5</v>
      </c>
      <c r="F982" t="str" cm="1">
        <f t="array" ref="F982">CategorizeComment(E982)</f>
        <v>Other</v>
      </c>
      <c r="G982" t="str" cm="1">
        <f t="array" ref="G982">SubCategorizeComment(E982)</f>
        <v>Other</v>
      </c>
    </row>
    <row r="983" spans="1:7" x14ac:dyDescent="0.25">
      <c r="A983">
        <v>2103</v>
      </c>
      <c r="B983" t="s">
        <v>4</v>
      </c>
      <c r="C983">
        <v>4</v>
      </c>
      <c r="D983" t="s">
        <v>5</v>
      </c>
      <c r="F983" t="str" cm="1">
        <f t="array" ref="F983">CategorizeComment(E983)</f>
        <v>Other</v>
      </c>
      <c r="G983" t="str" cm="1">
        <f t="array" ref="G983">SubCategorizeComment(E983)</f>
        <v>Other</v>
      </c>
    </row>
    <row r="984" spans="1:7" x14ac:dyDescent="0.25">
      <c r="A984">
        <v>2105</v>
      </c>
      <c r="B984" t="s">
        <v>4</v>
      </c>
      <c r="C984">
        <v>4</v>
      </c>
      <c r="D984" t="s">
        <v>5</v>
      </c>
      <c r="F984" t="str" cm="1">
        <f t="array" ref="F984">CategorizeComment(E984)</f>
        <v>Other</v>
      </c>
      <c r="G984" t="str" cm="1">
        <f t="array" ref="G984">SubCategorizeComment(E984)</f>
        <v>Other</v>
      </c>
    </row>
    <row r="985" spans="1:7" x14ac:dyDescent="0.25">
      <c r="A985">
        <v>2110</v>
      </c>
      <c r="B985" t="s">
        <v>4</v>
      </c>
      <c r="C985">
        <v>3</v>
      </c>
      <c r="D985" t="s">
        <v>5</v>
      </c>
      <c r="F985" t="str" cm="1">
        <f t="array" ref="F985">CategorizeComment(E985)</f>
        <v>Other</v>
      </c>
      <c r="G985" t="str" cm="1">
        <f t="array" ref="G985">SubCategorizeComment(E985)</f>
        <v>Other</v>
      </c>
    </row>
    <row r="986" spans="1:7" x14ac:dyDescent="0.25">
      <c r="A986">
        <v>2127</v>
      </c>
      <c r="B986" t="s">
        <v>4</v>
      </c>
      <c r="C986">
        <v>3</v>
      </c>
      <c r="D986" t="s">
        <v>5</v>
      </c>
      <c r="F986" t="str" cm="1">
        <f t="array" ref="F986">CategorizeComment(E986)</f>
        <v>Other</v>
      </c>
      <c r="G986" t="str" cm="1">
        <f t="array" ref="G986">SubCategorizeComment(E986)</f>
        <v>Other</v>
      </c>
    </row>
    <row r="987" spans="1:7" x14ac:dyDescent="0.25">
      <c r="A987">
        <v>2132</v>
      </c>
      <c r="B987" t="s">
        <v>4</v>
      </c>
      <c r="C987">
        <v>3</v>
      </c>
      <c r="D987" t="s">
        <v>5</v>
      </c>
      <c r="F987" t="str" cm="1">
        <f t="array" ref="F987">CategorizeComment(E987)</f>
        <v>Other</v>
      </c>
      <c r="G987" t="str" cm="1">
        <f t="array" ref="G987">SubCategorizeComment(E987)</f>
        <v>Other</v>
      </c>
    </row>
    <row r="988" spans="1:7" x14ac:dyDescent="0.25">
      <c r="A988">
        <v>2133</v>
      </c>
      <c r="B988" t="s">
        <v>4</v>
      </c>
      <c r="C988">
        <v>3</v>
      </c>
      <c r="D988" t="s">
        <v>5</v>
      </c>
      <c r="F988" t="str" cm="1">
        <f t="array" ref="F988">CategorizeComment(E988)</f>
        <v>Other</v>
      </c>
      <c r="G988" t="str" cm="1">
        <f t="array" ref="G988">SubCategorizeComment(E988)</f>
        <v>Other</v>
      </c>
    </row>
    <row r="989" spans="1:7" x14ac:dyDescent="0.25">
      <c r="A989">
        <v>2176</v>
      </c>
      <c r="B989" t="s">
        <v>4</v>
      </c>
      <c r="C989">
        <v>3</v>
      </c>
      <c r="D989" t="s">
        <v>5</v>
      </c>
      <c r="F989" t="str" cm="1">
        <f t="array" ref="F989">CategorizeComment(E989)</f>
        <v>Other</v>
      </c>
      <c r="G989" t="str" cm="1">
        <f t="array" ref="G989">SubCategorizeComment(E989)</f>
        <v>Other</v>
      </c>
    </row>
    <row r="990" spans="1:7" x14ac:dyDescent="0.25">
      <c r="A990">
        <v>2178</v>
      </c>
      <c r="B990" t="s">
        <v>4</v>
      </c>
      <c r="C990">
        <v>4</v>
      </c>
      <c r="D990" t="s">
        <v>5</v>
      </c>
      <c r="F990" t="str" cm="1">
        <f t="array" ref="F990">CategorizeComment(E990)</f>
        <v>Other</v>
      </c>
      <c r="G990" t="str" cm="1">
        <f t="array" ref="G990">SubCategorizeComment(E990)</f>
        <v>Other</v>
      </c>
    </row>
    <row r="991" spans="1:7" x14ac:dyDescent="0.25">
      <c r="A991">
        <v>2180</v>
      </c>
      <c r="B991" t="s">
        <v>4</v>
      </c>
      <c r="C991">
        <v>3</v>
      </c>
      <c r="D991" t="s">
        <v>5</v>
      </c>
      <c r="F991" t="str" cm="1">
        <f t="array" ref="F991">CategorizeComment(E991)</f>
        <v>Other</v>
      </c>
      <c r="G991" t="str" cm="1">
        <f t="array" ref="G991">SubCategorizeComment(E991)</f>
        <v>Other</v>
      </c>
    </row>
    <row r="992" spans="1:7" x14ac:dyDescent="0.25">
      <c r="A992">
        <v>2181</v>
      </c>
      <c r="B992" t="s">
        <v>4</v>
      </c>
      <c r="C992">
        <v>3</v>
      </c>
      <c r="D992" t="s">
        <v>5</v>
      </c>
      <c r="F992" t="str" cm="1">
        <f t="array" ref="F992">CategorizeComment(E992)</f>
        <v>Other</v>
      </c>
      <c r="G992" t="str" cm="1">
        <f t="array" ref="G992">SubCategorizeComment(E992)</f>
        <v>Other</v>
      </c>
    </row>
    <row r="993" spans="1:7" x14ac:dyDescent="0.25">
      <c r="A993">
        <v>2182</v>
      </c>
      <c r="B993" t="s">
        <v>4</v>
      </c>
      <c r="C993">
        <v>4</v>
      </c>
      <c r="D993" t="s">
        <v>5</v>
      </c>
      <c r="F993" t="str" cm="1">
        <f t="array" ref="F993">CategorizeComment(E993)</f>
        <v>Other</v>
      </c>
      <c r="G993" t="str" cm="1">
        <f t="array" ref="G993">SubCategorizeComment(E993)</f>
        <v>Other</v>
      </c>
    </row>
    <row r="994" spans="1:7" x14ac:dyDescent="0.25">
      <c r="A994">
        <v>2188</v>
      </c>
      <c r="B994" t="s">
        <v>4</v>
      </c>
      <c r="C994">
        <v>4</v>
      </c>
      <c r="D994" t="s">
        <v>5</v>
      </c>
      <c r="F994" t="str" cm="1">
        <f t="array" ref="F994">CategorizeComment(E994)</f>
        <v>Other</v>
      </c>
      <c r="G994" t="str" cm="1">
        <f t="array" ref="G994">SubCategorizeComment(E994)</f>
        <v>Other</v>
      </c>
    </row>
    <row r="995" spans="1:7" x14ac:dyDescent="0.25">
      <c r="A995">
        <v>2191</v>
      </c>
      <c r="B995" t="s">
        <v>4</v>
      </c>
      <c r="C995">
        <v>4</v>
      </c>
      <c r="D995" t="s">
        <v>5</v>
      </c>
      <c r="F995" t="str" cm="1">
        <f t="array" ref="F995">CategorizeComment(E995)</f>
        <v>Other</v>
      </c>
      <c r="G995" t="str" cm="1">
        <f t="array" ref="G995">SubCategorizeComment(E995)</f>
        <v>Other</v>
      </c>
    </row>
    <row r="996" spans="1:7" x14ac:dyDescent="0.25">
      <c r="A996">
        <v>2198</v>
      </c>
      <c r="B996" t="s">
        <v>4</v>
      </c>
      <c r="C996">
        <v>4</v>
      </c>
      <c r="D996" t="s">
        <v>5</v>
      </c>
      <c r="F996" t="str" cm="1">
        <f t="array" ref="F996">CategorizeComment(E996)</f>
        <v>Other</v>
      </c>
      <c r="G996" t="str" cm="1">
        <f t="array" ref="G996">SubCategorizeComment(E996)</f>
        <v>Other</v>
      </c>
    </row>
    <row r="997" spans="1:7" x14ac:dyDescent="0.25">
      <c r="A997">
        <v>2225</v>
      </c>
      <c r="B997" t="s">
        <v>4</v>
      </c>
      <c r="C997">
        <v>3</v>
      </c>
      <c r="D997" t="s">
        <v>5</v>
      </c>
      <c r="F997" t="str" cm="1">
        <f t="array" ref="F997">CategorizeComment(E997)</f>
        <v>Other</v>
      </c>
      <c r="G997" t="str" cm="1">
        <f t="array" ref="G997">SubCategorizeComment(E997)</f>
        <v>Other</v>
      </c>
    </row>
    <row r="998" spans="1:7" x14ac:dyDescent="0.25">
      <c r="A998">
        <v>2251</v>
      </c>
      <c r="B998" t="s">
        <v>4</v>
      </c>
      <c r="C998">
        <v>4</v>
      </c>
      <c r="D998" t="s">
        <v>5</v>
      </c>
      <c r="F998" t="str" cm="1">
        <f t="array" ref="F998">CategorizeComment(E998)</f>
        <v>Other</v>
      </c>
      <c r="G998" t="str" cm="1">
        <f t="array" ref="G998">SubCategorizeComment(E998)</f>
        <v>Other</v>
      </c>
    </row>
    <row r="999" spans="1:7" x14ac:dyDescent="0.25">
      <c r="A999">
        <v>2282</v>
      </c>
      <c r="B999" t="s">
        <v>4</v>
      </c>
      <c r="C999">
        <v>3</v>
      </c>
      <c r="D999" t="s">
        <v>5</v>
      </c>
      <c r="F999" t="str" cm="1">
        <f t="array" ref="F999">CategorizeComment(E999)</f>
        <v>Other</v>
      </c>
      <c r="G999" t="str" cm="1">
        <f t="array" ref="G999">SubCategorizeComment(E999)</f>
        <v>Other</v>
      </c>
    </row>
    <row r="1000" spans="1:7" x14ac:dyDescent="0.25">
      <c r="A1000">
        <v>2288</v>
      </c>
      <c r="B1000" t="s">
        <v>4</v>
      </c>
      <c r="C1000">
        <v>3</v>
      </c>
      <c r="D1000" t="s">
        <v>5</v>
      </c>
      <c r="F1000" t="str" cm="1">
        <f t="array" ref="F1000">CategorizeComment(E1000)</f>
        <v>Other</v>
      </c>
      <c r="G1000" t="str" cm="1">
        <f t="array" ref="G1000">SubCategorizeComment(E1000)</f>
        <v>Other</v>
      </c>
    </row>
    <row r="1001" spans="1:7" x14ac:dyDescent="0.25">
      <c r="A1001">
        <v>2293</v>
      </c>
      <c r="B1001" t="s">
        <v>4</v>
      </c>
      <c r="C1001">
        <v>3</v>
      </c>
      <c r="D1001" t="s">
        <v>5</v>
      </c>
      <c r="F1001" t="str" cm="1">
        <f t="array" ref="F1001">CategorizeComment(E1001)</f>
        <v>Other</v>
      </c>
      <c r="G1001" t="str" cm="1">
        <f t="array" ref="G1001">SubCategorizeComment(E1001)</f>
        <v>Other</v>
      </c>
    </row>
    <row r="1002" spans="1:7" x14ac:dyDescent="0.25">
      <c r="A1002">
        <v>2305</v>
      </c>
      <c r="B1002" t="s">
        <v>4</v>
      </c>
      <c r="C1002">
        <v>4</v>
      </c>
      <c r="D1002" t="s">
        <v>5</v>
      </c>
      <c r="F1002" t="str" cm="1">
        <f t="array" ref="F1002">CategorizeComment(E1002)</f>
        <v>Other</v>
      </c>
      <c r="G1002" t="str" cm="1">
        <f t="array" ref="G1002">SubCategorizeComment(E1002)</f>
        <v>Other</v>
      </c>
    </row>
    <row r="1003" spans="1:7" x14ac:dyDescent="0.25">
      <c r="A1003">
        <v>2313</v>
      </c>
      <c r="B1003" t="s">
        <v>4</v>
      </c>
      <c r="C1003">
        <v>3</v>
      </c>
      <c r="D1003" t="s">
        <v>5</v>
      </c>
      <c r="F1003" t="str" cm="1">
        <f t="array" ref="F1003">CategorizeComment(E1003)</f>
        <v>Other</v>
      </c>
      <c r="G1003" t="str" cm="1">
        <f t="array" ref="G1003">SubCategorizeComment(E1003)</f>
        <v>Other</v>
      </c>
    </row>
    <row r="1004" spans="1:7" x14ac:dyDescent="0.25">
      <c r="A1004">
        <v>2321</v>
      </c>
      <c r="B1004" t="s">
        <v>4</v>
      </c>
      <c r="C1004">
        <v>4</v>
      </c>
      <c r="D1004" t="s">
        <v>5</v>
      </c>
      <c r="F1004" t="str" cm="1">
        <f t="array" ref="F1004">CategorizeComment(E1004)</f>
        <v>Other</v>
      </c>
      <c r="G1004" t="str" cm="1">
        <f t="array" ref="G1004">SubCategorizeComment(E1004)</f>
        <v>Other</v>
      </c>
    </row>
    <row r="1005" spans="1:7" x14ac:dyDescent="0.25">
      <c r="A1005">
        <v>2332</v>
      </c>
      <c r="B1005" t="s">
        <v>4</v>
      </c>
      <c r="C1005">
        <v>4</v>
      </c>
      <c r="D1005" t="s">
        <v>5</v>
      </c>
      <c r="F1005" t="str" cm="1">
        <f t="array" ref="F1005">CategorizeComment(E1005)</f>
        <v>Other</v>
      </c>
      <c r="G1005" t="str" cm="1">
        <f t="array" ref="G1005">SubCategorizeComment(E1005)</f>
        <v>Other</v>
      </c>
    </row>
    <row r="1006" spans="1:7" x14ac:dyDescent="0.25">
      <c r="A1006">
        <v>2335</v>
      </c>
      <c r="B1006" t="s">
        <v>4</v>
      </c>
      <c r="C1006">
        <v>3</v>
      </c>
      <c r="D1006" t="s">
        <v>5</v>
      </c>
      <c r="F1006" t="str" cm="1">
        <f t="array" ref="F1006">CategorizeComment(E1006)</f>
        <v>Other</v>
      </c>
      <c r="G1006" t="str" cm="1">
        <f t="array" ref="G1006">SubCategorizeComment(E1006)</f>
        <v>Other</v>
      </c>
    </row>
    <row r="1007" spans="1:7" x14ac:dyDescent="0.25">
      <c r="A1007">
        <v>2344</v>
      </c>
      <c r="B1007" t="s">
        <v>4</v>
      </c>
      <c r="C1007">
        <v>4</v>
      </c>
      <c r="D1007" t="s">
        <v>5</v>
      </c>
      <c r="F1007" t="str" cm="1">
        <f t="array" ref="F1007">CategorizeComment(E1007)</f>
        <v>Other</v>
      </c>
      <c r="G1007" t="str" cm="1">
        <f t="array" ref="G1007">SubCategorizeComment(E1007)</f>
        <v>Other</v>
      </c>
    </row>
    <row r="1008" spans="1:7" x14ac:dyDescent="0.25">
      <c r="A1008">
        <v>2346</v>
      </c>
      <c r="B1008" t="s">
        <v>4</v>
      </c>
      <c r="C1008">
        <v>3</v>
      </c>
      <c r="D1008" t="s">
        <v>5</v>
      </c>
      <c r="F1008" t="str" cm="1">
        <f t="array" ref="F1008">CategorizeComment(E1008)</f>
        <v>Other</v>
      </c>
      <c r="G1008" t="str" cm="1">
        <f t="array" ref="G1008">SubCategorizeComment(E1008)</f>
        <v>Other</v>
      </c>
    </row>
    <row r="1009" spans="1:7" x14ac:dyDescent="0.25">
      <c r="A1009">
        <v>2360</v>
      </c>
      <c r="B1009" t="s">
        <v>4</v>
      </c>
      <c r="C1009">
        <v>4</v>
      </c>
      <c r="D1009" t="s">
        <v>5</v>
      </c>
      <c r="F1009" t="str" cm="1">
        <f t="array" ref="F1009">CategorizeComment(E1009)</f>
        <v>Other</v>
      </c>
      <c r="G1009" t="str" cm="1">
        <f t="array" ref="G1009">SubCategorizeComment(E1009)</f>
        <v>Other</v>
      </c>
    </row>
    <row r="1010" spans="1:7" x14ac:dyDescent="0.25">
      <c r="A1010">
        <v>2397</v>
      </c>
      <c r="B1010" t="s">
        <v>4</v>
      </c>
      <c r="C1010">
        <v>3</v>
      </c>
      <c r="D1010" t="s">
        <v>5</v>
      </c>
      <c r="F1010" t="str" cm="1">
        <f t="array" ref="F1010">CategorizeComment(E1010)</f>
        <v>Other</v>
      </c>
      <c r="G1010" t="str" cm="1">
        <f t="array" ref="G1010">SubCategorizeComment(E1010)</f>
        <v>Other</v>
      </c>
    </row>
    <row r="1011" spans="1:7" x14ac:dyDescent="0.25">
      <c r="A1011">
        <v>2400</v>
      </c>
      <c r="B1011" t="s">
        <v>4</v>
      </c>
      <c r="C1011">
        <v>3</v>
      </c>
      <c r="D1011" t="s">
        <v>5</v>
      </c>
      <c r="F1011" t="str" cm="1">
        <f t="array" ref="F1011">CategorizeComment(E1011)</f>
        <v>Other</v>
      </c>
      <c r="G1011" t="str" cm="1">
        <f t="array" ref="G1011">SubCategorizeComment(E1011)</f>
        <v>Other</v>
      </c>
    </row>
    <row r="1012" spans="1:7" x14ac:dyDescent="0.25">
      <c r="A1012">
        <v>2402</v>
      </c>
      <c r="B1012" t="s">
        <v>4</v>
      </c>
      <c r="C1012">
        <v>4</v>
      </c>
      <c r="D1012" t="s">
        <v>5</v>
      </c>
      <c r="F1012" t="str" cm="1">
        <f t="array" ref="F1012">CategorizeComment(E1012)</f>
        <v>Other</v>
      </c>
      <c r="G1012" t="str" cm="1">
        <f t="array" ref="G1012">SubCategorizeComment(E1012)</f>
        <v>Other</v>
      </c>
    </row>
    <row r="1013" spans="1:7" x14ac:dyDescent="0.25">
      <c r="A1013">
        <v>2417</v>
      </c>
      <c r="B1013" t="s">
        <v>4</v>
      </c>
      <c r="C1013">
        <v>3</v>
      </c>
      <c r="D1013" t="s">
        <v>5</v>
      </c>
      <c r="F1013" t="str" cm="1">
        <f t="array" ref="F1013">CategorizeComment(E1013)</f>
        <v>Other</v>
      </c>
      <c r="G1013" t="str" cm="1">
        <f t="array" ref="G1013">SubCategorizeComment(E1013)</f>
        <v>Other</v>
      </c>
    </row>
    <row r="1014" spans="1:7" x14ac:dyDescent="0.25">
      <c r="A1014">
        <v>2438</v>
      </c>
      <c r="B1014" t="s">
        <v>4</v>
      </c>
      <c r="C1014">
        <v>3</v>
      </c>
      <c r="D1014" t="s">
        <v>5</v>
      </c>
      <c r="F1014" t="str" cm="1">
        <f t="array" ref="F1014">CategorizeComment(E1014)</f>
        <v>Other</v>
      </c>
      <c r="G1014" t="str" cm="1">
        <f t="array" ref="G1014">SubCategorizeComment(E1014)</f>
        <v>Other</v>
      </c>
    </row>
    <row r="1015" spans="1:7" x14ac:dyDescent="0.25">
      <c r="A1015">
        <v>2449</v>
      </c>
      <c r="B1015" t="s">
        <v>4</v>
      </c>
      <c r="C1015">
        <v>4</v>
      </c>
      <c r="D1015" t="s">
        <v>5</v>
      </c>
      <c r="F1015" t="str" cm="1">
        <f t="array" ref="F1015">CategorizeComment(E1015)</f>
        <v>Other</v>
      </c>
      <c r="G1015" t="str" cm="1">
        <f t="array" ref="G1015">SubCategorizeComment(E1015)</f>
        <v>Other</v>
      </c>
    </row>
    <row r="1016" spans="1:7" x14ac:dyDescent="0.25">
      <c r="A1016">
        <v>2452</v>
      </c>
      <c r="B1016" t="s">
        <v>4</v>
      </c>
      <c r="C1016">
        <v>3</v>
      </c>
      <c r="D1016" t="s">
        <v>5</v>
      </c>
      <c r="F1016" t="str" cm="1">
        <f t="array" ref="F1016">CategorizeComment(E1016)</f>
        <v>Other</v>
      </c>
      <c r="G1016" t="str" cm="1">
        <f t="array" ref="G1016">SubCategorizeComment(E1016)</f>
        <v>Other</v>
      </c>
    </row>
    <row r="1017" spans="1:7" x14ac:dyDescent="0.25">
      <c r="A1017">
        <v>2460</v>
      </c>
      <c r="B1017" t="s">
        <v>4</v>
      </c>
      <c r="C1017">
        <v>3</v>
      </c>
      <c r="D1017" t="s">
        <v>5</v>
      </c>
      <c r="F1017" t="str" cm="1">
        <f t="array" ref="F1017">CategorizeComment(E1017)</f>
        <v>Other</v>
      </c>
      <c r="G1017" t="str" cm="1">
        <f t="array" ref="G1017">SubCategorizeComment(E1017)</f>
        <v>Other</v>
      </c>
    </row>
    <row r="1018" spans="1:7" x14ac:dyDescent="0.25">
      <c r="A1018">
        <v>2462</v>
      </c>
      <c r="B1018" t="s">
        <v>4</v>
      </c>
      <c r="C1018">
        <v>3</v>
      </c>
      <c r="D1018" t="s">
        <v>5</v>
      </c>
      <c r="F1018" t="str" cm="1">
        <f t="array" ref="F1018">CategorizeComment(E1018)</f>
        <v>Other</v>
      </c>
      <c r="G1018" t="str" cm="1">
        <f t="array" ref="G1018">SubCategorizeComment(E1018)</f>
        <v>Other</v>
      </c>
    </row>
    <row r="1019" spans="1:7" x14ac:dyDescent="0.25">
      <c r="A1019">
        <v>2465</v>
      </c>
      <c r="B1019" t="s">
        <v>4</v>
      </c>
      <c r="C1019">
        <v>4</v>
      </c>
      <c r="D1019" t="s">
        <v>5</v>
      </c>
      <c r="F1019" t="str" cm="1">
        <f t="array" ref="F1019">CategorizeComment(E1019)</f>
        <v>Other</v>
      </c>
      <c r="G1019" t="str" cm="1">
        <f t="array" ref="G1019">SubCategorizeComment(E1019)</f>
        <v>Other</v>
      </c>
    </row>
    <row r="1020" spans="1:7" x14ac:dyDescent="0.25">
      <c r="A1020">
        <v>2467</v>
      </c>
      <c r="B1020" t="s">
        <v>4</v>
      </c>
      <c r="C1020">
        <v>4</v>
      </c>
      <c r="D1020" t="s">
        <v>5</v>
      </c>
      <c r="F1020" t="str" cm="1">
        <f t="array" ref="F1020">CategorizeComment(E1020)</f>
        <v>Other</v>
      </c>
      <c r="G1020" t="str" cm="1">
        <f t="array" ref="G1020">SubCategorizeComment(E1020)</f>
        <v>Other</v>
      </c>
    </row>
    <row r="1021" spans="1:7" x14ac:dyDescent="0.25">
      <c r="A1021">
        <v>2468</v>
      </c>
      <c r="B1021" t="s">
        <v>4</v>
      </c>
      <c r="C1021">
        <v>4</v>
      </c>
      <c r="D1021" t="s">
        <v>5</v>
      </c>
      <c r="F1021" t="str" cm="1">
        <f t="array" ref="F1021">CategorizeComment(E1021)</f>
        <v>Other</v>
      </c>
      <c r="G1021" t="str" cm="1">
        <f t="array" ref="G1021">SubCategorizeComment(E1021)</f>
        <v>Other</v>
      </c>
    </row>
    <row r="1022" spans="1:7" x14ac:dyDescent="0.25">
      <c r="A1022">
        <v>2469</v>
      </c>
      <c r="B1022" t="s">
        <v>4</v>
      </c>
      <c r="C1022">
        <v>3</v>
      </c>
      <c r="D1022" t="s">
        <v>5</v>
      </c>
      <c r="F1022" t="str" cm="1">
        <f t="array" ref="F1022">CategorizeComment(E1022)</f>
        <v>Other</v>
      </c>
      <c r="G1022" t="str" cm="1">
        <f t="array" ref="G1022">SubCategorizeComment(E1022)</f>
        <v>Other</v>
      </c>
    </row>
    <row r="1023" spans="1:7" x14ac:dyDescent="0.25">
      <c r="A1023">
        <v>2477</v>
      </c>
      <c r="B1023" t="s">
        <v>4</v>
      </c>
      <c r="C1023">
        <v>3</v>
      </c>
      <c r="D1023" t="s">
        <v>5</v>
      </c>
      <c r="F1023" t="str" cm="1">
        <f t="array" ref="F1023">CategorizeComment(E1023)</f>
        <v>Other</v>
      </c>
      <c r="G1023" t="str" cm="1">
        <f t="array" ref="G1023">SubCategorizeComment(E1023)</f>
        <v>Other</v>
      </c>
    </row>
    <row r="1024" spans="1:7" x14ac:dyDescent="0.25">
      <c r="A1024">
        <v>2480</v>
      </c>
      <c r="B1024" t="s">
        <v>4</v>
      </c>
      <c r="C1024">
        <v>3</v>
      </c>
      <c r="D1024" t="s">
        <v>5</v>
      </c>
      <c r="F1024" t="str" cm="1">
        <f t="array" ref="F1024">CategorizeComment(E1024)</f>
        <v>Other</v>
      </c>
      <c r="G1024" t="str" cm="1">
        <f t="array" ref="G1024">SubCategorizeComment(E1024)</f>
        <v>Other</v>
      </c>
    </row>
    <row r="1025" spans="1:7" x14ac:dyDescent="0.25">
      <c r="A1025">
        <v>2491</v>
      </c>
      <c r="B1025" t="s">
        <v>4</v>
      </c>
      <c r="C1025">
        <v>4</v>
      </c>
      <c r="D1025" t="s">
        <v>5</v>
      </c>
      <c r="F1025" t="str" cm="1">
        <f t="array" ref="F1025">CategorizeComment(E1025)</f>
        <v>Other</v>
      </c>
      <c r="G1025" t="str" cm="1">
        <f t="array" ref="G1025">SubCategorizeComment(E1025)</f>
        <v>Other</v>
      </c>
    </row>
    <row r="1026" spans="1:7" x14ac:dyDescent="0.25">
      <c r="A1026">
        <v>2493</v>
      </c>
      <c r="B1026" t="s">
        <v>4</v>
      </c>
      <c r="C1026">
        <v>3</v>
      </c>
      <c r="D1026" t="s">
        <v>5</v>
      </c>
      <c r="F1026" t="str" cm="1">
        <f t="array" ref="F1026">CategorizeComment(E1026)</f>
        <v>Other</v>
      </c>
      <c r="G1026" t="str" cm="1">
        <f t="array" ref="G1026">SubCategorizeComment(E1026)</f>
        <v>Other</v>
      </c>
    </row>
    <row r="1027" spans="1:7" x14ac:dyDescent="0.25">
      <c r="A1027">
        <v>2497</v>
      </c>
      <c r="B1027" t="s">
        <v>4</v>
      </c>
      <c r="C1027">
        <v>3</v>
      </c>
      <c r="D1027" t="s">
        <v>5</v>
      </c>
      <c r="F1027" t="str" cm="1">
        <f t="array" ref="F1027">CategorizeComment(E1027)</f>
        <v>Other</v>
      </c>
      <c r="G1027" t="str" cm="1">
        <f t="array" ref="G1027">SubCategorizeComment(E1027)</f>
        <v>Other</v>
      </c>
    </row>
    <row r="1028" spans="1:7" x14ac:dyDescent="0.25">
      <c r="A1028">
        <v>2498</v>
      </c>
      <c r="B1028" t="s">
        <v>4</v>
      </c>
      <c r="C1028">
        <v>3</v>
      </c>
      <c r="D1028" t="s">
        <v>5</v>
      </c>
      <c r="F1028" t="str" cm="1">
        <f t="array" ref="F1028">CategorizeComment(E1028)</f>
        <v>Other</v>
      </c>
      <c r="G1028" t="str" cm="1">
        <f t="array" ref="G1028">SubCategorizeComment(E1028)</f>
        <v>Other</v>
      </c>
    </row>
    <row r="1029" spans="1:7" x14ac:dyDescent="0.25">
      <c r="A1029">
        <v>2503</v>
      </c>
      <c r="B1029" t="s">
        <v>4</v>
      </c>
      <c r="C1029">
        <v>3</v>
      </c>
      <c r="D1029" t="s">
        <v>5</v>
      </c>
      <c r="F1029" t="str" cm="1">
        <f t="array" ref="F1029">CategorizeComment(E1029)</f>
        <v>Other</v>
      </c>
      <c r="G1029" t="str" cm="1">
        <f t="array" ref="G1029">SubCategorizeComment(E1029)</f>
        <v>Other</v>
      </c>
    </row>
    <row r="1030" spans="1:7" x14ac:dyDescent="0.25">
      <c r="A1030">
        <v>2509</v>
      </c>
      <c r="B1030" t="s">
        <v>4</v>
      </c>
      <c r="C1030">
        <v>4</v>
      </c>
      <c r="D1030" t="s">
        <v>5</v>
      </c>
      <c r="F1030" t="str" cm="1">
        <f t="array" ref="F1030">CategorizeComment(E1030)</f>
        <v>Other</v>
      </c>
      <c r="G1030" t="str" cm="1">
        <f t="array" ref="G1030">SubCategorizeComment(E1030)</f>
        <v>Other</v>
      </c>
    </row>
    <row r="1031" spans="1:7" x14ac:dyDescent="0.25">
      <c r="A1031">
        <v>2552</v>
      </c>
      <c r="B1031" t="s">
        <v>4</v>
      </c>
      <c r="C1031">
        <v>4</v>
      </c>
      <c r="D1031" t="s">
        <v>5</v>
      </c>
      <c r="F1031" t="str" cm="1">
        <f t="array" ref="F1031">CategorizeComment(E1031)</f>
        <v>Other</v>
      </c>
      <c r="G1031" t="str" cm="1">
        <f t="array" ref="G1031">SubCategorizeComment(E1031)</f>
        <v>Other</v>
      </c>
    </row>
    <row r="1032" spans="1:7" x14ac:dyDescent="0.25">
      <c r="A1032">
        <v>2561</v>
      </c>
      <c r="B1032" t="s">
        <v>4</v>
      </c>
      <c r="C1032">
        <v>4</v>
      </c>
      <c r="D1032" t="s">
        <v>5</v>
      </c>
      <c r="F1032" t="str" cm="1">
        <f t="array" ref="F1032">CategorizeComment(E1032)</f>
        <v>Other</v>
      </c>
      <c r="G1032" t="str" cm="1">
        <f t="array" ref="G1032">SubCategorizeComment(E1032)</f>
        <v>Other</v>
      </c>
    </row>
    <row r="1033" spans="1:7" x14ac:dyDescent="0.25">
      <c r="A1033">
        <v>2565</v>
      </c>
      <c r="B1033" t="s">
        <v>4</v>
      </c>
      <c r="C1033">
        <v>3</v>
      </c>
      <c r="D1033" t="s">
        <v>5</v>
      </c>
      <c r="F1033" t="str" cm="1">
        <f t="array" ref="F1033">CategorizeComment(E1033)</f>
        <v>Other</v>
      </c>
      <c r="G1033" t="str" cm="1">
        <f t="array" ref="G1033">SubCategorizeComment(E1033)</f>
        <v>Other</v>
      </c>
    </row>
    <row r="1034" spans="1:7" x14ac:dyDescent="0.25">
      <c r="A1034">
        <v>2580</v>
      </c>
      <c r="B1034" t="s">
        <v>4</v>
      </c>
      <c r="C1034">
        <v>3</v>
      </c>
      <c r="D1034" t="s">
        <v>5</v>
      </c>
      <c r="F1034" t="str" cm="1">
        <f t="array" ref="F1034">CategorizeComment(E1034)</f>
        <v>Other</v>
      </c>
      <c r="G1034" t="str" cm="1">
        <f t="array" ref="G1034">SubCategorizeComment(E1034)</f>
        <v>Other</v>
      </c>
    </row>
    <row r="1035" spans="1:7" x14ac:dyDescent="0.25">
      <c r="A1035">
        <v>2582</v>
      </c>
      <c r="B1035" t="s">
        <v>4</v>
      </c>
      <c r="C1035">
        <v>4</v>
      </c>
      <c r="D1035" t="s">
        <v>5</v>
      </c>
      <c r="F1035" t="str" cm="1">
        <f t="array" ref="F1035">CategorizeComment(E1035)</f>
        <v>Other</v>
      </c>
      <c r="G1035" t="str" cm="1">
        <f t="array" ref="G1035">SubCategorizeComment(E1035)</f>
        <v>Other</v>
      </c>
    </row>
    <row r="1036" spans="1:7" x14ac:dyDescent="0.25">
      <c r="A1036">
        <v>2586</v>
      </c>
      <c r="B1036" t="s">
        <v>4</v>
      </c>
      <c r="C1036">
        <v>3</v>
      </c>
      <c r="D1036" t="s">
        <v>5</v>
      </c>
      <c r="F1036" t="str" cm="1">
        <f t="array" ref="F1036">CategorizeComment(E1036)</f>
        <v>Other</v>
      </c>
      <c r="G1036" t="str" cm="1">
        <f t="array" ref="G1036">SubCategorizeComment(E1036)</f>
        <v>Other</v>
      </c>
    </row>
    <row r="1037" spans="1:7" x14ac:dyDescent="0.25">
      <c r="A1037">
        <v>2592</v>
      </c>
      <c r="B1037" t="s">
        <v>4</v>
      </c>
      <c r="C1037">
        <v>3</v>
      </c>
      <c r="D1037" t="s">
        <v>5</v>
      </c>
      <c r="F1037" t="str" cm="1">
        <f t="array" ref="F1037">CategorizeComment(E1037)</f>
        <v>Other</v>
      </c>
      <c r="G1037" t="str" cm="1">
        <f t="array" ref="G1037">SubCategorizeComment(E1037)</f>
        <v>Other</v>
      </c>
    </row>
    <row r="1038" spans="1:7" x14ac:dyDescent="0.25">
      <c r="A1038">
        <v>2598</v>
      </c>
      <c r="B1038" t="s">
        <v>4</v>
      </c>
      <c r="C1038">
        <v>4</v>
      </c>
      <c r="D1038" t="s">
        <v>5</v>
      </c>
      <c r="F1038" t="str" cm="1">
        <f t="array" ref="F1038">CategorizeComment(E1038)</f>
        <v>Other</v>
      </c>
      <c r="G1038" t="str" cm="1">
        <f t="array" ref="G1038">SubCategorizeComment(E1038)</f>
        <v>Other</v>
      </c>
    </row>
    <row r="1039" spans="1:7" x14ac:dyDescent="0.25">
      <c r="A1039">
        <v>2599</v>
      </c>
      <c r="B1039" t="s">
        <v>4</v>
      </c>
      <c r="C1039">
        <v>3</v>
      </c>
      <c r="D1039" t="s">
        <v>5</v>
      </c>
      <c r="F1039" t="str" cm="1">
        <f t="array" ref="F1039">CategorizeComment(E1039)</f>
        <v>Other</v>
      </c>
      <c r="G1039" t="str" cm="1">
        <f t="array" ref="G1039">SubCategorizeComment(E1039)</f>
        <v>Other</v>
      </c>
    </row>
    <row r="1040" spans="1:7" x14ac:dyDescent="0.25">
      <c r="A1040">
        <v>2611</v>
      </c>
      <c r="B1040" t="s">
        <v>4</v>
      </c>
      <c r="C1040">
        <v>4</v>
      </c>
      <c r="D1040" t="s">
        <v>5</v>
      </c>
      <c r="F1040" t="str" cm="1">
        <f t="array" ref="F1040">CategorizeComment(E1040)</f>
        <v>Other</v>
      </c>
      <c r="G1040" t="str" cm="1">
        <f t="array" ref="G1040">SubCategorizeComment(E1040)</f>
        <v>Other</v>
      </c>
    </row>
    <row r="1041" spans="1:7" x14ac:dyDescent="0.25">
      <c r="A1041">
        <v>2614</v>
      </c>
      <c r="B1041" t="s">
        <v>4</v>
      </c>
      <c r="C1041">
        <v>4</v>
      </c>
      <c r="D1041" t="s">
        <v>5</v>
      </c>
      <c r="F1041" t="str" cm="1">
        <f t="array" ref="F1041">CategorizeComment(E1041)</f>
        <v>Other</v>
      </c>
      <c r="G1041" t="str" cm="1">
        <f t="array" ref="G1041">SubCategorizeComment(E1041)</f>
        <v>Other</v>
      </c>
    </row>
    <row r="1042" spans="1:7" x14ac:dyDescent="0.25">
      <c r="A1042">
        <v>2626</v>
      </c>
      <c r="B1042" t="s">
        <v>4</v>
      </c>
      <c r="C1042">
        <v>3</v>
      </c>
      <c r="D1042" t="s">
        <v>5</v>
      </c>
      <c r="F1042" t="str" cm="1">
        <f t="array" ref="F1042">CategorizeComment(E1042)</f>
        <v>Other</v>
      </c>
      <c r="G1042" t="str" cm="1">
        <f t="array" ref="G1042">SubCategorizeComment(E1042)</f>
        <v>Other</v>
      </c>
    </row>
    <row r="1043" spans="1:7" x14ac:dyDescent="0.25">
      <c r="A1043">
        <v>2627</v>
      </c>
      <c r="B1043" t="s">
        <v>4</v>
      </c>
      <c r="C1043">
        <v>3</v>
      </c>
      <c r="D1043" t="s">
        <v>5</v>
      </c>
      <c r="F1043" t="str" cm="1">
        <f t="array" ref="F1043">CategorizeComment(E1043)</f>
        <v>Other</v>
      </c>
      <c r="G1043" t="str" cm="1">
        <f t="array" ref="G1043">SubCategorizeComment(E1043)</f>
        <v>Other</v>
      </c>
    </row>
    <row r="1044" spans="1:7" x14ac:dyDescent="0.25">
      <c r="A1044">
        <v>2633</v>
      </c>
      <c r="B1044" t="s">
        <v>4</v>
      </c>
      <c r="C1044">
        <v>3</v>
      </c>
      <c r="D1044" t="s">
        <v>5</v>
      </c>
      <c r="F1044" t="str" cm="1">
        <f t="array" ref="F1044">CategorizeComment(E1044)</f>
        <v>Other</v>
      </c>
      <c r="G1044" t="str" cm="1">
        <f t="array" ref="G1044">SubCategorizeComment(E1044)</f>
        <v>Other</v>
      </c>
    </row>
    <row r="1045" spans="1:7" x14ac:dyDescent="0.25">
      <c r="A1045">
        <v>2667</v>
      </c>
      <c r="B1045" t="s">
        <v>4</v>
      </c>
      <c r="C1045">
        <v>3</v>
      </c>
      <c r="D1045" t="s">
        <v>5</v>
      </c>
      <c r="F1045" t="str" cm="1">
        <f t="array" ref="F1045">CategorizeComment(E1045)</f>
        <v>Other</v>
      </c>
      <c r="G1045" t="str" cm="1">
        <f t="array" ref="G1045">SubCategorizeComment(E1045)</f>
        <v>Other</v>
      </c>
    </row>
    <row r="1046" spans="1:7" x14ac:dyDescent="0.25">
      <c r="A1046">
        <v>2668</v>
      </c>
      <c r="B1046" t="s">
        <v>4</v>
      </c>
      <c r="C1046">
        <v>3</v>
      </c>
      <c r="D1046" t="s">
        <v>5</v>
      </c>
      <c r="F1046" t="str" cm="1">
        <f t="array" ref="F1046">CategorizeComment(E1046)</f>
        <v>Other</v>
      </c>
      <c r="G1046" t="str" cm="1">
        <f t="array" ref="G1046">SubCategorizeComment(E1046)</f>
        <v>Other</v>
      </c>
    </row>
    <row r="1047" spans="1:7" x14ac:dyDescent="0.25">
      <c r="A1047">
        <v>2670</v>
      </c>
      <c r="B1047" t="s">
        <v>4</v>
      </c>
      <c r="C1047">
        <v>3</v>
      </c>
      <c r="D1047" t="s">
        <v>5</v>
      </c>
      <c r="F1047" t="str" cm="1">
        <f t="array" ref="F1047">CategorizeComment(E1047)</f>
        <v>Other</v>
      </c>
      <c r="G1047" t="str" cm="1">
        <f t="array" ref="G1047">SubCategorizeComment(E1047)</f>
        <v>Other</v>
      </c>
    </row>
    <row r="1048" spans="1:7" x14ac:dyDescent="0.25">
      <c r="A1048">
        <v>2701</v>
      </c>
      <c r="B1048" t="s">
        <v>4</v>
      </c>
      <c r="C1048">
        <v>4</v>
      </c>
      <c r="D1048" t="s">
        <v>5</v>
      </c>
      <c r="F1048" t="str" cm="1">
        <f t="array" ref="F1048">CategorizeComment(E1048)</f>
        <v>Other</v>
      </c>
      <c r="G1048" t="str" cm="1">
        <f t="array" ref="G1048">SubCategorizeComment(E1048)</f>
        <v>Other</v>
      </c>
    </row>
    <row r="1049" spans="1:7" x14ac:dyDescent="0.25">
      <c r="A1049">
        <v>2707</v>
      </c>
      <c r="B1049" t="s">
        <v>4</v>
      </c>
      <c r="C1049">
        <v>3</v>
      </c>
      <c r="D1049" t="s">
        <v>5</v>
      </c>
      <c r="F1049" t="str" cm="1">
        <f t="array" ref="F1049">CategorizeComment(E1049)</f>
        <v>Other</v>
      </c>
      <c r="G1049" t="str" cm="1">
        <f t="array" ref="G1049">SubCategorizeComment(E1049)</f>
        <v>Other</v>
      </c>
    </row>
    <row r="1050" spans="1:7" x14ac:dyDescent="0.25">
      <c r="A1050">
        <v>2712</v>
      </c>
      <c r="B1050" t="s">
        <v>4</v>
      </c>
      <c r="C1050">
        <v>3</v>
      </c>
      <c r="D1050" t="s">
        <v>5</v>
      </c>
      <c r="F1050" t="str" cm="1">
        <f t="array" ref="F1050">CategorizeComment(E1050)</f>
        <v>Other</v>
      </c>
      <c r="G1050" t="str" cm="1">
        <f t="array" ref="G1050">SubCategorizeComment(E1050)</f>
        <v>Other</v>
      </c>
    </row>
    <row r="1051" spans="1:7" x14ac:dyDescent="0.25">
      <c r="A1051">
        <v>2721</v>
      </c>
      <c r="B1051" t="s">
        <v>4</v>
      </c>
      <c r="C1051">
        <v>3</v>
      </c>
      <c r="D1051" t="s">
        <v>5</v>
      </c>
      <c r="F1051" t="str" cm="1">
        <f t="array" ref="F1051">CategorizeComment(E1051)</f>
        <v>Other</v>
      </c>
      <c r="G1051" t="str" cm="1">
        <f t="array" ref="G1051">SubCategorizeComment(E1051)</f>
        <v>Other</v>
      </c>
    </row>
    <row r="1052" spans="1:7" x14ac:dyDescent="0.25">
      <c r="A1052">
        <v>2755</v>
      </c>
      <c r="B1052" t="s">
        <v>4</v>
      </c>
      <c r="C1052">
        <v>3</v>
      </c>
      <c r="D1052" t="s">
        <v>5</v>
      </c>
      <c r="F1052" t="str" cm="1">
        <f t="array" ref="F1052">CategorizeComment(E1052)</f>
        <v>Other</v>
      </c>
      <c r="G1052" t="str" cm="1">
        <f t="array" ref="G1052">SubCategorizeComment(E1052)</f>
        <v>Other</v>
      </c>
    </row>
    <row r="1053" spans="1:7" x14ac:dyDescent="0.25">
      <c r="A1053">
        <v>2758</v>
      </c>
      <c r="B1053" t="s">
        <v>4</v>
      </c>
      <c r="C1053">
        <v>3</v>
      </c>
      <c r="D1053" t="s">
        <v>5</v>
      </c>
      <c r="F1053" t="str" cm="1">
        <f t="array" ref="F1053">CategorizeComment(E1053)</f>
        <v>Other</v>
      </c>
      <c r="G1053" t="str" cm="1">
        <f t="array" ref="G1053">SubCategorizeComment(E1053)</f>
        <v>Other</v>
      </c>
    </row>
    <row r="1054" spans="1:7" x14ac:dyDescent="0.25">
      <c r="A1054">
        <v>2778</v>
      </c>
      <c r="B1054" t="s">
        <v>4</v>
      </c>
      <c r="C1054">
        <v>3</v>
      </c>
      <c r="D1054" t="s">
        <v>5</v>
      </c>
      <c r="F1054" t="str" cm="1">
        <f t="array" ref="F1054">CategorizeComment(E1054)</f>
        <v>Other</v>
      </c>
      <c r="G1054" t="str" cm="1">
        <f t="array" ref="G1054">SubCategorizeComment(E1054)</f>
        <v>Other</v>
      </c>
    </row>
    <row r="1055" spans="1:7" x14ac:dyDescent="0.25">
      <c r="A1055">
        <v>2781</v>
      </c>
      <c r="B1055" t="s">
        <v>4</v>
      </c>
      <c r="C1055">
        <v>3</v>
      </c>
      <c r="D1055" t="s">
        <v>5</v>
      </c>
      <c r="F1055" t="str" cm="1">
        <f t="array" ref="F1055">CategorizeComment(E1055)</f>
        <v>Other</v>
      </c>
      <c r="G1055" t="str" cm="1">
        <f t="array" ref="G1055">SubCategorizeComment(E1055)</f>
        <v>Other</v>
      </c>
    </row>
    <row r="1056" spans="1:7" x14ac:dyDescent="0.25">
      <c r="A1056">
        <v>2792</v>
      </c>
      <c r="B1056" t="s">
        <v>4</v>
      </c>
      <c r="C1056">
        <v>3</v>
      </c>
      <c r="D1056" t="s">
        <v>5</v>
      </c>
      <c r="F1056" t="str" cm="1">
        <f t="array" ref="F1056">CategorizeComment(E1056)</f>
        <v>Other</v>
      </c>
      <c r="G1056" t="str" cm="1">
        <f t="array" ref="G1056">SubCategorizeComment(E1056)</f>
        <v>Other</v>
      </c>
    </row>
    <row r="1057" spans="1:7" x14ac:dyDescent="0.25">
      <c r="A1057">
        <v>2803</v>
      </c>
      <c r="B1057" t="s">
        <v>4</v>
      </c>
      <c r="C1057">
        <v>3</v>
      </c>
      <c r="D1057" t="s">
        <v>5</v>
      </c>
      <c r="F1057" t="str" cm="1">
        <f t="array" ref="F1057">CategorizeComment(E1057)</f>
        <v>Other</v>
      </c>
      <c r="G1057" t="str" cm="1">
        <f t="array" ref="G1057">SubCategorizeComment(E1057)</f>
        <v>Other</v>
      </c>
    </row>
    <row r="1058" spans="1:7" x14ac:dyDescent="0.25">
      <c r="A1058">
        <v>2808</v>
      </c>
      <c r="B1058" t="s">
        <v>4</v>
      </c>
      <c r="C1058">
        <v>3</v>
      </c>
      <c r="D1058" t="s">
        <v>5</v>
      </c>
      <c r="F1058" t="str" cm="1">
        <f t="array" ref="F1058">CategorizeComment(E1058)</f>
        <v>Other</v>
      </c>
      <c r="G1058" t="str" cm="1">
        <f t="array" ref="G1058">SubCategorizeComment(E1058)</f>
        <v>Other</v>
      </c>
    </row>
    <row r="1059" spans="1:7" x14ac:dyDescent="0.25">
      <c r="A1059">
        <v>2812</v>
      </c>
      <c r="B1059" t="s">
        <v>4</v>
      </c>
      <c r="C1059">
        <v>3</v>
      </c>
      <c r="D1059" t="s">
        <v>5</v>
      </c>
      <c r="F1059" t="str" cm="1">
        <f t="array" ref="F1059">CategorizeComment(E1059)</f>
        <v>Other</v>
      </c>
      <c r="G1059" t="str" cm="1">
        <f t="array" ref="G1059">SubCategorizeComment(E1059)</f>
        <v>Other</v>
      </c>
    </row>
    <row r="1060" spans="1:7" x14ac:dyDescent="0.25">
      <c r="A1060">
        <v>2813</v>
      </c>
      <c r="B1060" t="s">
        <v>4</v>
      </c>
      <c r="C1060">
        <v>3</v>
      </c>
      <c r="D1060" t="s">
        <v>5</v>
      </c>
      <c r="F1060" t="str" cm="1">
        <f t="array" ref="F1060">CategorizeComment(E1060)</f>
        <v>Other</v>
      </c>
      <c r="G1060" t="str" cm="1">
        <f t="array" ref="G1060">SubCategorizeComment(E1060)</f>
        <v>Other</v>
      </c>
    </row>
    <row r="1061" spans="1:7" x14ac:dyDescent="0.25">
      <c r="A1061">
        <v>2817</v>
      </c>
      <c r="B1061" t="s">
        <v>4</v>
      </c>
      <c r="C1061">
        <v>4</v>
      </c>
      <c r="D1061" t="s">
        <v>5</v>
      </c>
      <c r="F1061" t="str" cm="1">
        <f t="array" ref="F1061">CategorizeComment(E1061)</f>
        <v>Other</v>
      </c>
      <c r="G1061" t="str" cm="1">
        <f t="array" ref="G1061">SubCategorizeComment(E1061)</f>
        <v>Other</v>
      </c>
    </row>
    <row r="1062" spans="1:7" x14ac:dyDescent="0.25">
      <c r="A1062">
        <v>2819</v>
      </c>
      <c r="B1062" t="s">
        <v>4</v>
      </c>
      <c r="C1062">
        <v>3</v>
      </c>
      <c r="D1062" t="s">
        <v>5</v>
      </c>
      <c r="F1062" t="str" cm="1">
        <f t="array" ref="F1062">CategorizeComment(E1062)</f>
        <v>Other</v>
      </c>
      <c r="G1062" t="str" cm="1">
        <f t="array" ref="G1062">SubCategorizeComment(E1062)</f>
        <v>Other</v>
      </c>
    </row>
    <row r="1063" spans="1:7" x14ac:dyDescent="0.25">
      <c r="A1063">
        <v>2839</v>
      </c>
      <c r="B1063" t="s">
        <v>4</v>
      </c>
      <c r="C1063">
        <v>4</v>
      </c>
      <c r="D1063" t="s">
        <v>5</v>
      </c>
      <c r="F1063" t="str" cm="1">
        <f t="array" ref="F1063">CategorizeComment(E1063)</f>
        <v>Other</v>
      </c>
      <c r="G1063" t="str" cm="1">
        <f t="array" ref="G1063">SubCategorizeComment(E1063)</f>
        <v>Other</v>
      </c>
    </row>
    <row r="1064" spans="1:7" x14ac:dyDescent="0.25">
      <c r="A1064">
        <v>2841</v>
      </c>
      <c r="B1064" t="s">
        <v>4</v>
      </c>
      <c r="C1064">
        <v>3</v>
      </c>
      <c r="D1064" t="s">
        <v>5</v>
      </c>
      <c r="F1064" t="str" cm="1">
        <f t="array" ref="F1064">CategorizeComment(E1064)</f>
        <v>Other</v>
      </c>
      <c r="G1064" t="str" cm="1">
        <f t="array" ref="G1064">SubCategorizeComment(E1064)</f>
        <v>Other</v>
      </c>
    </row>
    <row r="1065" spans="1:7" x14ac:dyDescent="0.25">
      <c r="A1065">
        <v>2855</v>
      </c>
      <c r="B1065" t="s">
        <v>4</v>
      </c>
      <c r="C1065">
        <v>4</v>
      </c>
      <c r="D1065" t="s">
        <v>5</v>
      </c>
      <c r="F1065" t="str" cm="1">
        <f t="array" ref="F1065">CategorizeComment(E1065)</f>
        <v>Other</v>
      </c>
      <c r="G1065" t="str" cm="1">
        <f t="array" ref="G1065">SubCategorizeComment(E1065)</f>
        <v>Other</v>
      </c>
    </row>
    <row r="1066" spans="1:7" x14ac:dyDescent="0.25">
      <c r="A1066">
        <v>2858</v>
      </c>
      <c r="B1066" t="s">
        <v>4</v>
      </c>
      <c r="C1066">
        <v>4</v>
      </c>
      <c r="D1066" t="s">
        <v>5</v>
      </c>
      <c r="F1066" t="str" cm="1">
        <f t="array" ref="F1066">CategorizeComment(E1066)</f>
        <v>Other</v>
      </c>
      <c r="G1066" t="str" cm="1">
        <f t="array" ref="G1066">SubCategorizeComment(E1066)</f>
        <v>Other</v>
      </c>
    </row>
    <row r="1067" spans="1:7" x14ac:dyDescent="0.25">
      <c r="A1067">
        <v>2881</v>
      </c>
      <c r="B1067" t="s">
        <v>4</v>
      </c>
      <c r="C1067">
        <v>4</v>
      </c>
      <c r="D1067" t="s">
        <v>5</v>
      </c>
      <c r="F1067" t="str" cm="1">
        <f t="array" ref="F1067">CategorizeComment(E1067)</f>
        <v>Other</v>
      </c>
      <c r="G1067" t="str" cm="1">
        <f t="array" ref="G1067">SubCategorizeComment(E1067)</f>
        <v>Other</v>
      </c>
    </row>
    <row r="1068" spans="1:7" x14ac:dyDescent="0.25">
      <c r="A1068">
        <v>2883</v>
      </c>
      <c r="B1068" t="s">
        <v>4</v>
      </c>
      <c r="C1068">
        <v>3</v>
      </c>
      <c r="D1068" t="s">
        <v>5</v>
      </c>
      <c r="F1068" t="str" cm="1">
        <f t="array" ref="F1068">CategorizeComment(E1068)</f>
        <v>Other</v>
      </c>
      <c r="G1068" t="str" cm="1">
        <f t="array" ref="G1068">SubCategorizeComment(E1068)</f>
        <v>Other</v>
      </c>
    </row>
    <row r="1069" spans="1:7" x14ac:dyDescent="0.25">
      <c r="A1069">
        <v>2887</v>
      </c>
      <c r="B1069" t="s">
        <v>4</v>
      </c>
      <c r="C1069">
        <v>3</v>
      </c>
      <c r="D1069" t="s">
        <v>5</v>
      </c>
      <c r="F1069" t="str" cm="1">
        <f t="array" ref="F1069">CategorizeComment(E1069)</f>
        <v>Other</v>
      </c>
      <c r="G1069" t="str" cm="1">
        <f t="array" ref="G1069">SubCategorizeComment(E1069)</f>
        <v>Other</v>
      </c>
    </row>
    <row r="1070" spans="1:7" x14ac:dyDescent="0.25">
      <c r="A1070">
        <v>2911</v>
      </c>
      <c r="B1070" t="s">
        <v>4</v>
      </c>
      <c r="C1070">
        <v>4</v>
      </c>
      <c r="D1070" t="s">
        <v>5</v>
      </c>
      <c r="F1070" t="str" cm="1">
        <f t="array" ref="F1070">CategorizeComment(E1070)</f>
        <v>Other</v>
      </c>
      <c r="G1070" t="str" cm="1">
        <f t="array" ref="G1070">SubCategorizeComment(E1070)</f>
        <v>Other</v>
      </c>
    </row>
    <row r="1071" spans="1:7" x14ac:dyDescent="0.25">
      <c r="A1071">
        <v>2914</v>
      </c>
      <c r="B1071" t="s">
        <v>4</v>
      </c>
      <c r="C1071">
        <v>3</v>
      </c>
      <c r="D1071" t="s">
        <v>5</v>
      </c>
      <c r="F1071" t="str" cm="1">
        <f t="array" ref="F1071">CategorizeComment(E1071)</f>
        <v>Other</v>
      </c>
      <c r="G1071" t="str" cm="1">
        <f t="array" ref="G1071">SubCategorizeComment(E1071)</f>
        <v>Other</v>
      </c>
    </row>
    <row r="1072" spans="1:7" x14ac:dyDescent="0.25">
      <c r="A1072">
        <v>2929</v>
      </c>
      <c r="B1072" t="s">
        <v>4</v>
      </c>
      <c r="C1072">
        <v>4</v>
      </c>
      <c r="D1072" t="s">
        <v>5</v>
      </c>
      <c r="F1072" t="str" cm="1">
        <f t="array" ref="F1072">CategorizeComment(E1072)</f>
        <v>Other</v>
      </c>
      <c r="G1072" t="str" cm="1">
        <f t="array" ref="G1072">SubCategorizeComment(E1072)</f>
        <v>Other</v>
      </c>
    </row>
    <row r="1073" spans="1:7" x14ac:dyDescent="0.25">
      <c r="A1073">
        <v>2935</v>
      </c>
      <c r="B1073" t="s">
        <v>4</v>
      </c>
      <c r="C1073">
        <v>4</v>
      </c>
      <c r="D1073" t="s">
        <v>5</v>
      </c>
      <c r="F1073" t="str" cm="1">
        <f t="array" ref="F1073">CategorizeComment(E1073)</f>
        <v>Other</v>
      </c>
      <c r="G1073" t="str" cm="1">
        <f t="array" ref="G1073">SubCategorizeComment(E1073)</f>
        <v>Other</v>
      </c>
    </row>
    <row r="1074" spans="1:7" x14ac:dyDescent="0.25">
      <c r="A1074">
        <v>2951</v>
      </c>
      <c r="B1074" t="s">
        <v>4</v>
      </c>
      <c r="C1074">
        <v>3</v>
      </c>
      <c r="D1074" t="s">
        <v>5</v>
      </c>
      <c r="F1074" t="str" cm="1">
        <f t="array" ref="F1074">CategorizeComment(E1074)</f>
        <v>Other</v>
      </c>
      <c r="G1074" t="str" cm="1">
        <f t="array" ref="G1074">SubCategorizeComment(E1074)</f>
        <v>Other</v>
      </c>
    </row>
    <row r="1075" spans="1:7" x14ac:dyDescent="0.25">
      <c r="A1075">
        <v>2957</v>
      </c>
      <c r="B1075" t="s">
        <v>4</v>
      </c>
      <c r="C1075">
        <v>4</v>
      </c>
      <c r="D1075" t="s">
        <v>5</v>
      </c>
      <c r="F1075" t="str" cm="1">
        <f t="array" ref="F1075">CategorizeComment(E1075)</f>
        <v>Other</v>
      </c>
      <c r="G1075" t="str" cm="1">
        <f t="array" ref="G1075">SubCategorizeComment(E1075)</f>
        <v>Other</v>
      </c>
    </row>
    <row r="1076" spans="1:7" x14ac:dyDescent="0.25">
      <c r="A1076">
        <v>2980</v>
      </c>
      <c r="B1076" t="s">
        <v>4</v>
      </c>
      <c r="C1076">
        <v>3</v>
      </c>
      <c r="D1076" t="s">
        <v>5</v>
      </c>
      <c r="F1076" t="str" cm="1">
        <f t="array" ref="F1076">CategorizeComment(E1076)</f>
        <v>Other</v>
      </c>
      <c r="G1076" t="str" cm="1">
        <f t="array" ref="G1076">SubCategorizeComment(E1076)</f>
        <v>Other</v>
      </c>
    </row>
    <row r="1077" spans="1:7" x14ac:dyDescent="0.25">
      <c r="A1077">
        <v>2982</v>
      </c>
      <c r="B1077" t="s">
        <v>4</v>
      </c>
      <c r="C1077">
        <v>4</v>
      </c>
      <c r="D1077" t="s">
        <v>5</v>
      </c>
      <c r="F1077" t="str" cm="1">
        <f t="array" ref="F1077">CategorizeComment(E1077)</f>
        <v>Other</v>
      </c>
      <c r="G1077" t="str" cm="1">
        <f t="array" ref="G1077">SubCategorizeComment(E1077)</f>
        <v>Other</v>
      </c>
    </row>
    <row r="1078" spans="1:7" x14ac:dyDescent="0.25">
      <c r="A1078">
        <v>2994</v>
      </c>
      <c r="B1078" t="s">
        <v>4</v>
      </c>
      <c r="C1078">
        <v>4</v>
      </c>
      <c r="D1078" t="s">
        <v>5</v>
      </c>
      <c r="F1078" t="str" cm="1">
        <f t="array" ref="F1078">CategorizeComment(E1078)</f>
        <v>Other</v>
      </c>
      <c r="G1078" t="str" cm="1">
        <f t="array" ref="G1078">SubCategorizeComment(E1078)</f>
        <v>Other</v>
      </c>
    </row>
    <row r="1079" spans="1:7" x14ac:dyDescent="0.25">
      <c r="A1079">
        <v>3010</v>
      </c>
      <c r="B1079" t="s">
        <v>4</v>
      </c>
      <c r="C1079">
        <v>4</v>
      </c>
      <c r="D1079" t="s">
        <v>5</v>
      </c>
      <c r="F1079" t="str" cm="1">
        <f t="array" ref="F1079">CategorizeComment(E1079)</f>
        <v>Other</v>
      </c>
      <c r="G1079" t="str" cm="1">
        <f t="array" ref="G1079">SubCategorizeComment(E1079)</f>
        <v>Other</v>
      </c>
    </row>
    <row r="1080" spans="1:7" x14ac:dyDescent="0.25">
      <c r="A1080">
        <v>3017</v>
      </c>
      <c r="B1080" t="s">
        <v>4</v>
      </c>
      <c r="C1080">
        <v>3</v>
      </c>
      <c r="D1080" t="s">
        <v>5</v>
      </c>
      <c r="F1080" t="str" cm="1">
        <f t="array" ref="F1080">CategorizeComment(E1080)</f>
        <v>Other</v>
      </c>
      <c r="G1080" t="str" cm="1">
        <f t="array" ref="G1080">SubCategorizeComment(E1080)</f>
        <v>Other</v>
      </c>
    </row>
    <row r="1081" spans="1:7" x14ac:dyDescent="0.25">
      <c r="A1081">
        <v>3018</v>
      </c>
      <c r="B1081" t="s">
        <v>4</v>
      </c>
      <c r="C1081">
        <v>3</v>
      </c>
      <c r="D1081" t="s">
        <v>5</v>
      </c>
      <c r="F1081" t="str" cm="1">
        <f t="array" ref="F1081">CategorizeComment(E1081)</f>
        <v>Other</v>
      </c>
      <c r="G1081" t="str" cm="1">
        <f t="array" ref="G1081">SubCategorizeComment(E1081)</f>
        <v>Other</v>
      </c>
    </row>
    <row r="1082" spans="1:7" x14ac:dyDescent="0.25">
      <c r="A1082">
        <v>3032</v>
      </c>
      <c r="B1082" t="s">
        <v>4</v>
      </c>
      <c r="C1082">
        <v>3</v>
      </c>
      <c r="D1082" t="s">
        <v>5</v>
      </c>
      <c r="F1082" t="str" cm="1">
        <f t="array" ref="F1082">CategorizeComment(E1082)</f>
        <v>Other</v>
      </c>
      <c r="G1082" t="str" cm="1">
        <f t="array" ref="G1082">SubCategorizeComment(E1082)</f>
        <v>Other</v>
      </c>
    </row>
    <row r="1083" spans="1:7" x14ac:dyDescent="0.25">
      <c r="A1083">
        <v>3059</v>
      </c>
      <c r="B1083" t="s">
        <v>4</v>
      </c>
      <c r="C1083">
        <v>3</v>
      </c>
      <c r="D1083" t="s">
        <v>5</v>
      </c>
      <c r="F1083" t="str" cm="1">
        <f t="array" ref="F1083">CategorizeComment(E1083)</f>
        <v>Other</v>
      </c>
      <c r="G1083" t="str" cm="1">
        <f t="array" ref="G1083">SubCategorizeComment(E1083)</f>
        <v>Other</v>
      </c>
    </row>
    <row r="1084" spans="1:7" x14ac:dyDescent="0.25">
      <c r="A1084">
        <v>3081</v>
      </c>
      <c r="B1084" t="s">
        <v>4</v>
      </c>
      <c r="C1084">
        <v>4</v>
      </c>
      <c r="D1084" t="s">
        <v>5</v>
      </c>
      <c r="F1084" t="str" cm="1">
        <f t="array" ref="F1084">CategorizeComment(E1084)</f>
        <v>Other</v>
      </c>
      <c r="G1084" t="str" cm="1">
        <f t="array" ref="G1084">SubCategorizeComment(E1084)</f>
        <v>Other</v>
      </c>
    </row>
    <row r="1085" spans="1:7" x14ac:dyDescent="0.25">
      <c r="A1085">
        <v>3090</v>
      </c>
      <c r="B1085" t="s">
        <v>4</v>
      </c>
      <c r="C1085">
        <v>4</v>
      </c>
      <c r="D1085" t="s">
        <v>5</v>
      </c>
      <c r="F1085" t="str" cm="1">
        <f t="array" ref="F1085">CategorizeComment(E1085)</f>
        <v>Other</v>
      </c>
      <c r="G1085" t="str" cm="1">
        <f t="array" ref="G1085">SubCategorizeComment(E1085)</f>
        <v>Other</v>
      </c>
    </row>
    <row r="1086" spans="1:7" x14ac:dyDescent="0.25">
      <c r="A1086">
        <v>3093</v>
      </c>
      <c r="B1086" t="s">
        <v>4</v>
      </c>
      <c r="C1086">
        <v>4</v>
      </c>
      <c r="D1086" t="s">
        <v>5</v>
      </c>
      <c r="F1086" t="str" cm="1">
        <f t="array" ref="F1086">CategorizeComment(E1086)</f>
        <v>Other</v>
      </c>
      <c r="G1086" t="str" cm="1">
        <f t="array" ref="G1086">SubCategorizeComment(E1086)</f>
        <v>Other</v>
      </c>
    </row>
    <row r="1087" spans="1:7" x14ac:dyDescent="0.25">
      <c r="A1087">
        <v>3111</v>
      </c>
      <c r="B1087" t="s">
        <v>4</v>
      </c>
      <c r="C1087">
        <v>3</v>
      </c>
      <c r="D1087" t="s">
        <v>5</v>
      </c>
      <c r="F1087" t="str" cm="1">
        <f t="array" ref="F1087">CategorizeComment(E1087)</f>
        <v>Other</v>
      </c>
      <c r="G1087" t="str" cm="1">
        <f t="array" ref="G1087">SubCategorizeComment(E1087)</f>
        <v>Other</v>
      </c>
    </row>
    <row r="1088" spans="1:7" x14ac:dyDescent="0.25">
      <c r="A1088">
        <v>3112</v>
      </c>
      <c r="B1088" t="s">
        <v>4</v>
      </c>
      <c r="C1088">
        <v>3</v>
      </c>
      <c r="D1088" t="s">
        <v>5</v>
      </c>
      <c r="F1088" t="str" cm="1">
        <f t="array" ref="F1088">CategorizeComment(E1088)</f>
        <v>Other</v>
      </c>
      <c r="G1088" t="str" cm="1">
        <f t="array" ref="G1088">SubCategorizeComment(E1088)</f>
        <v>Other</v>
      </c>
    </row>
    <row r="1089" spans="1:7" x14ac:dyDescent="0.25">
      <c r="A1089">
        <v>3118</v>
      </c>
      <c r="B1089" t="s">
        <v>4</v>
      </c>
      <c r="C1089">
        <v>3</v>
      </c>
      <c r="D1089" t="s">
        <v>5</v>
      </c>
      <c r="F1089" t="str" cm="1">
        <f t="array" ref="F1089">CategorizeComment(E1089)</f>
        <v>Other</v>
      </c>
      <c r="G1089" t="str" cm="1">
        <f t="array" ref="G1089">SubCategorizeComment(E1089)</f>
        <v>Other</v>
      </c>
    </row>
    <row r="1090" spans="1:7" x14ac:dyDescent="0.25">
      <c r="A1090">
        <v>3120</v>
      </c>
      <c r="B1090" t="s">
        <v>4</v>
      </c>
      <c r="C1090">
        <v>3</v>
      </c>
      <c r="D1090" t="s">
        <v>5</v>
      </c>
      <c r="F1090" t="str" cm="1">
        <f t="array" ref="F1090">CategorizeComment(E1090)</f>
        <v>Other</v>
      </c>
      <c r="G1090" t="str" cm="1">
        <f t="array" ref="G1090">SubCategorizeComment(E1090)</f>
        <v>Other</v>
      </c>
    </row>
    <row r="1091" spans="1:7" x14ac:dyDescent="0.25">
      <c r="A1091">
        <v>3124</v>
      </c>
      <c r="B1091" t="s">
        <v>4</v>
      </c>
      <c r="C1091">
        <v>4</v>
      </c>
      <c r="D1091" t="s">
        <v>5</v>
      </c>
      <c r="F1091" t="str" cm="1">
        <f t="array" ref="F1091">CategorizeComment(E1091)</f>
        <v>Other</v>
      </c>
      <c r="G1091" t="str" cm="1">
        <f t="array" ref="G1091">SubCategorizeComment(E1091)</f>
        <v>Other</v>
      </c>
    </row>
    <row r="1092" spans="1:7" x14ac:dyDescent="0.25">
      <c r="A1092">
        <v>3145</v>
      </c>
      <c r="B1092" t="s">
        <v>4</v>
      </c>
      <c r="C1092">
        <v>4</v>
      </c>
      <c r="D1092" t="s">
        <v>5</v>
      </c>
      <c r="F1092" t="str" cm="1">
        <f t="array" ref="F1092">CategorizeComment(E1092)</f>
        <v>Other</v>
      </c>
      <c r="G1092" t="str" cm="1">
        <f t="array" ref="G1092">SubCategorizeComment(E1092)</f>
        <v>Other</v>
      </c>
    </row>
    <row r="1093" spans="1:7" x14ac:dyDescent="0.25">
      <c r="A1093">
        <v>3178</v>
      </c>
      <c r="B1093" t="s">
        <v>4</v>
      </c>
      <c r="C1093">
        <v>3</v>
      </c>
      <c r="D1093" t="s">
        <v>5</v>
      </c>
      <c r="F1093" t="str" cm="1">
        <f t="array" ref="F1093">CategorizeComment(E1093)</f>
        <v>Other</v>
      </c>
      <c r="G1093" t="str" cm="1">
        <f t="array" ref="G1093">SubCategorizeComment(E1093)</f>
        <v>Other</v>
      </c>
    </row>
    <row r="1094" spans="1:7" x14ac:dyDescent="0.25">
      <c r="A1094">
        <v>3179</v>
      </c>
      <c r="B1094" t="s">
        <v>4</v>
      </c>
      <c r="C1094">
        <v>4</v>
      </c>
      <c r="D1094" t="s">
        <v>5</v>
      </c>
      <c r="F1094" t="str" cm="1">
        <f t="array" ref="F1094">CategorizeComment(E1094)</f>
        <v>Other</v>
      </c>
      <c r="G1094" t="str" cm="1">
        <f t="array" ref="G1094">SubCategorizeComment(E1094)</f>
        <v>Other</v>
      </c>
    </row>
    <row r="1095" spans="1:7" x14ac:dyDescent="0.25">
      <c r="A1095">
        <v>3185</v>
      </c>
      <c r="B1095" t="s">
        <v>4</v>
      </c>
      <c r="C1095">
        <v>3</v>
      </c>
      <c r="D1095" t="s">
        <v>5</v>
      </c>
      <c r="F1095" t="str" cm="1">
        <f t="array" ref="F1095">CategorizeComment(E1095)</f>
        <v>Other</v>
      </c>
      <c r="G1095" t="str" cm="1">
        <f t="array" ref="G1095">SubCategorizeComment(E1095)</f>
        <v>Other</v>
      </c>
    </row>
    <row r="1096" spans="1:7" x14ac:dyDescent="0.25">
      <c r="A1096">
        <v>3219</v>
      </c>
      <c r="B1096" t="s">
        <v>4</v>
      </c>
      <c r="C1096">
        <v>3</v>
      </c>
      <c r="D1096" t="s">
        <v>5</v>
      </c>
      <c r="F1096" t="str" cm="1">
        <f t="array" ref="F1096">CategorizeComment(E1096)</f>
        <v>Other</v>
      </c>
      <c r="G1096" t="str" cm="1">
        <f t="array" ref="G1096">SubCategorizeComment(E1096)</f>
        <v>Other</v>
      </c>
    </row>
    <row r="1097" spans="1:7" x14ac:dyDescent="0.25">
      <c r="A1097">
        <v>3225</v>
      </c>
      <c r="B1097" t="s">
        <v>4</v>
      </c>
      <c r="C1097">
        <v>4</v>
      </c>
      <c r="D1097" t="s">
        <v>5</v>
      </c>
      <c r="F1097" t="str" cm="1">
        <f t="array" ref="F1097">CategorizeComment(E1097)</f>
        <v>Other</v>
      </c>
      <c r="G1097" t="str" cm="1">
        <f t="array" ref="G1097">SubCategorizeComment(E1097)</f>
        <v>Other</v>
      </c>
    </row>
    <row r="1098" spans="1:7" x14ac:dyDescent="0.25">
      <c r="A1098">
        <v>3232</v>
      </c>
      <c r="B1098" t="s">
        <v>4</v>
      </c>
      <c r="C1098">
        <v>3</v>
      </c>
      <c r="D1098" t="s">
        <v>5</v>
      </c>
      <c r="F1098" t="str" cm="1">
        <f t="array" ref="F1098">CategorizeComment(E1098)</f>
        <v>Other</v>
      </c>
      <c r="G1098" t="str" cm="1">
        <f t="array" ref="G1098">SubCategorizeComment(E1098)</f>
        <v>Other</v>
      </c>
    </row>
    <row r="1099" spans="1:7" x14ac:dyDescent="0.25">
      <c r="A1099">
        <v>3266</v>
      </c>
      <c r="B1099" t="s">
        <v>4</v>
      </c>
      <c r="C1099">
        <v>4</v>
      </c>
      <c r="D1099" t="s">
        <v>5</v>
      </c>
      <c r="F1099" t="str" cm="1">
        <f t="array" ref="F1099">CategorizeComment(E1099)</f>
        <v>Other</v>
      </c>
      <c r="G1099" t="str" cm="1">
        <f t="array" ref="G1099">SubCategorizeComment(E1099)</f>
        <v>Other</v>
      </c>
    </row>
    <row r="1100" spans="1:7" x14ac:dyDescent="0.25">
      <c r="A1100">
        <v>3272</v>
      </c>
      <c r="B1100" t="s">
        <v>4</v>
      </c>
      <c r="C1100">
        <v>4</v>
      </c>
      <c r="D1100" t="s">
        <v>5</v>
      </c>
      <c r="F1100" t="str" cm="1">
        <f t="array" ref="F1100">CategorizeComment(E1100)</f>
        <v>Other</v>
      </c>
      <c r="G1100" t="str" cm="1">
        <f t="array" ref="G1100">SubCategorizeComment(E1100)</f>
        <v>Other</v>
      </c>
    </row>
    <row r="1101" spans="1:7" x14ac:dyDescent="0.25">
      <c r="A1101">
        <v>3288</v>
      </c>
      <c r="B1101" t="s">
        <v>4</v>
      </c>
      <c r="C1101">
        <v>4</v>
      </c>
      <c r="D1101" t="s">
        <v>5</v>
      </c>
      <c r="F1101" t="str" cm="1">
        <f t="array" ref="F1101">CategorizeComment(E1101)</f>
        <v>Other</v>
      </c>
      <c r="G1101" t="str" cm="1">
        <f t="array" ref="G1101">SubCategorizeComment(E1101)</f>
        <v>Other</v>
      </c>
    </row>
    <row r="1102" spans="1:7" x14ac:dyDescent="0.25">
      <c r="A1102">
        <v>3302</v>
      </c>
      <c r="B1102" t="s">
        <v>4</v>
      </c>
      <c r="C1102">
        <v>4</v>
      </c>
      <c r="D1102" t="s">
        <v>5</v>
      </c>
      <c r="F1102" t="str" cm="1">
        <f t="array" ref="F1102">CategorizeComment(E1102)</f>
        <v>Other</v>
      </c>
      <c r="G1102" t="str" cm="1">
        <f t="array" ref="G1102">SubCategorizeComment(E1102)</f>
        <v>Other</v>
      </c>
    </row>
    <row r="1103" spans="1:7" x14ac:dyDescent="0.25">
      <c r="A1103">
        <v>3305</v>
      </c>
      <c r="B1103" t="s">
        <v>4</v>
      </c>
      <c r="C1103">
        <v>4</v>
      </c>
      <c r="D1103" t="s">
        <v>5</v>
      </c>
      <c r="F1103" t="str" cm="1">
        <f t="array" ref="F1103">CategorizeComment(E1103)</f>
        <v>Other</v>
      </c>
      <c r="G1103" t="str" cm="1">
        <f t="array" ref="G1103">SubCategorizeComment(E1103)</f>
        <v>Other</v>
      </c>
    </row>
    <row r="1104" spans="1:7" x14ac:dyDescent="0.25">
      <c r="A1104">
        <v>3308</v>
      </c>
      <c r="B1104" t="s">
        <v>4</v>
      </c>
      <c r="C1104">
        <v>4</v>
      </c>
      <c r="D1104" t="s">
        <v>5</v>
      </c>
      <c r="F1104" t="str" cm="1">
        <f t="array" ref="F1104">CategorizeComment(E1104)</f>
        <v>Other</v>
      </c>
      <c r="G1104" t="str" cm="1">
        <f t="array" ref="G1104">SubCategorizeComment(E1104)</f>
        <v>Other</v>
      </c>
    </row>
    <row r="1105" spans="1:7" x14ac:dyDescent="0.25">
      <c r="A1105">
        <v>3311</v>
      </c>
      <c r="B1105" t="s">
        <v>4</v>
      </c>
      <c r="C1105">
        <v>3</v>
      </c>
      <c r="D1105" t="s">
        <v>5</v>
      </c>
      <c r="F1105" t="str" cm="1">
        <f t="array" ref="F1105">CategorizeComment(E1105)</f>
        <v>Other</v>
      </c>
      <c r="G1105" t="str" cm="1">
        <f t="array" ref="G1105">SubCategorizeComment(E1105)</f>
        <v>Other</v>
      </c>
    </row>
    <row r="1106" spans="1:7" x14ac:dyDescent="0.25">
      <c r="A1106">
        <v>3313</v>
      </c>
      <c r="B1106" t="s">
        <v>4</v>
      </c>
      <c r="C1106">
        <v>3</v>
      </c>
      <c r="D1106" t="s">
        <v>5</v>
      </c>
      <c r="F1106" t="str" cm="1">
        <f t="array" ref="F1106">CategorizeComment(E1106)</f>
        <v>Other</v>
      </c>
      <c r="G1106" t="str" cm="1">
        <f t="array" ref="G1106">SubCategorizeComment(E1106)</f>
        <v>Other</v>
      </c>
    </row>
    <row r="1107" spans="1:7" x14ac:dyDescent="0.25">
      <c r="A1107">
        <v>3337</v>
      </c>
      <c r="B1107" t="s">
        <v>4</v>
      </c>
      <c r="C1107">
        <v>4</v>
      </c>
      <c r="D1107" t="s">
        <v>5</v>
      </c>
      <c r="F1107" t="str" cm="1">
        <f t="array" ref="F1107">CategorizeComment(E1107)</f>
        <v>Other</v>
      </c>
      <c r="G1107" t="str" cm="1">
        <f t="array" ref="G1107">SubCategorizeComment(E1107)</f>
        <v>Other</v>
      </c>
    </row>
    <row r="1108" spans="1:7" x14ac:dyDescent="0.25">
      <c r="A1108">
        <v>3338</v>
      </c>
      <c r="B1108" t="s">
        <v>4</v>
      </c>
      <c r="C1108">
        <v>4</v>
      </c>
      <c r="D1108" t="s">
        <v>5</v>
      </c>
      <c r="F1108" t="str" cm="1">
        <f t="array" ref="F1108">CategorizeComment(E1108)</f>
        <v>Other</v>
      </c>
      <c r="G1108" t="str" cm="1">
        <f t="array" ref="G1108">SubCategorizeComment(E1108)</f>
        <v>Other</v>
      </c>
    </row>
    <row r="1109" spans="1:7" x14ac:dyDescent="0.25">
      <c r="A1109">
        <v>3350</v>
      </c>
      <c r="B1109" t="s">
        <v>4</v>
      </c>
      <c r="C1109">
        <v>3</v>
      </c>
      <c r="D1109" t="s">
        <v>5</v>
      </c>
      <c r="F1109" t="str" cm="1">
        <f t="array" ref="F1109">CategorizeComment(E1109)</f>
        <v>Other</v>
      </c>
      <c r="G1109" t="str" cm="1">
        <f t="array" ref="G1109">SubCategorizeComment(E1109)</f>
        <v>Other</v>
      </c>
    </row>
    <row r="1110" spans="1:7" x14ac:dyDescent="0.25">
      <c r="A1110">
        <v>3363</v>
      </c>
      <c r="B1110" t="s">
        <v>4</v>
      </c>
      <c r="C1110">
        <v>3</v>
      </c>
      <c r="D1110" t="s">
        <v>5</v>
      </c>
      <c r="F1110" t="str" cm="1">
        <f t="array" ref="F1110">CategorizeComment(E1110)</f>
        <v>Other</v>
      </c>
      <c r="G1110" t="str" cm="1">
        <f t="array" ref="G1110">SubCategorizeComment(E1110)</f>
        <v>Other</v>
      </c>
    </row>
    <row r="1111" spans="1:7" x14ac:dyDescent="0.25">
      <c r="A1111">
        <v>3364</v>
      </c>
      <c r="B1111" t="s">
        <v>4</v>
      </c>
      <c r="C1111">
        <v>4</v>
      </c>
      <c r="D1111" t="s">
        <v>5</v>
      </c>
      <c r="F1111" t="str" cm="1">
        <f t="array" ref="F1111">CategorizeComment(E1111)</f>
        <v>Other</v>
      </c>
      <c r="G1111" t="str" cm="1">
        <f t="array" ref="G1111">SubCategorizeComment(E1111)</f>
        <v>Other</v>
      </c>
    </row>
    <row r="1112" spans="1:7" x14ac:dyDescent="0.25">
      <c r="A1112">
        <v>3375</v>
      </c>
      <c r="B1112" t="s">
        <v>4</v>
      </c>
      <c r="C1112">
        <v>3</v>
      </c>
      <c r="D1112" t="s">
        <v>5</v>
      </c>
      <c r="F1112" t="str" cm="1">
        <f t="array" ref="F1112">CategorizeComment(E1112)</f>
        <v>Other</v>
      </c>
      <c r="G1112" t="str" cm="1">
        <f t="array" ref="G1112">SubCategorizeComment(E1112)</f>
        <v>Other</v>
      </c>
    </row>
    <row r="1113" spans="1:7" x14ac:dyDescent="0.25">
      <c r="A1113">
        <v>3387</v>
      </c>
      <c r="B1113" t="s">
        <v>4</v>
      </c>
      <c r="C1113">
        <v>4</v>
      </c>
      <c r="D1113" t="s">
        <v>5</v>
      </c>
      <c r="F1113" t="str" cm="1">
        <f t="array" ref="F1113">CategorizeComment(E1113)</f>
        <v>Other</v>
      </c>
      <c r="G1113" t="str" cm="1">
        <f t="array" ref="G1113">SubCategorizeComment(E1113)</f>
        <v>Other</v>
      </c>
    </row>
    <row r="1114" spans="1:7" x14ac:dyDescent="0.25">
      <c r="A1114">
        <v>3389</v>
      </c>
      <c r="B1114" t="s">
        <v>4</v>
      </c>
      <c r="C1114">
        <v>4</v>
      </c>
      <c r="D1114" t="s">
        <v>5</v>
      </c>
      <c r="F1114" t="str" cm="1">
        <f t="array" ref="F1114">CategorizeComment(E1114)</f>
        <v>Other</v>
      </c>
      <c r="G1114" t="str" cm="1">
        <f t="array" ref="G1114">SubCategorizeComment(E1114)</f>
        <v>Other</v>
      </c>
    </row>
    <row r="1115" spans="1:7" x14ac:dyDescent="0.25">
      <c r="A1115">
        <v>3392</v>
      </c>
      <c r="B1115" t="s">
        <v>4</v>
      </c>
      <c r="C1115">
        <v>4</v>
      </c>
      <c r="D1115" t="s">
        <v>5</v>
      </c>
      <c r="F1115" t="str" cm="1">
        <f t="array" ref="F1115">CategorizeComment(E1115)</f>
        <v>Other</v>
      </c>
      <c r="G1115" t="str" cm="1">
        <f t="array" ref="G1115">SubCategorizeComment(E1115)</f>
        <v>Other</v>
      </c>
    </row>
    <row r="1116" spans="1:7" x14ac:dyDescent="0.25">
      <c r="A1116">
        <v>3396</v>
      </c>
      <c r="B1116" t="s">
        <v>4</v>
      </c>
      <c r="C1116">
        <v>3</v>
      </c>
      <c r="D1116" t="s">
        <v>5</v>
      </c>
      <c r="F1116" t="str" cm="1">
        <f t="array" ref="F1116">CategorizeComment(E1116)</f>
        <v>Other</v>
      </c>
      <c r="G1116" t="str" cm="1">
        <f t="array" ref="G1116">SubCategorizeComment(E1116)</f>
        <v>Other</v>
      </c>
    </row>
    <row r="1117" spans="1:7" x14ac:dyDescent="0.25">
      <c r="A1117">
        <v>3405</v>
      </c>
      <c r="B1117" t="s">
        <v>4</v>
      </c>
      <c r="C1117">
        <v>3</v>
      </c>
      <c r="D1117" t="s">
        <v>5</v>
      </c>
      <c r="F1117" t="str" cm="1">
        <f t="array" ref="F1117">CategorizeComment(E1117)</f>
        <v>Other</v>
      </c>
      <c r="G1117" t="str" cm="1">
        <f t="array" ref="G1117">SubCategorizeComment(E1117)</f>
        <v>Other</v>
      </c>
    </row>
    <row r="1118" spans="1:7" x14ac:dyDescent="0.25">
      <c r="A1118">
        <v>3424</v>
      </c>
      <c r="B1118" t="s">
        <v>4</v>
      </c>
      <c r="C1118">
        <v>3</v>
      </c>
      <c r="D1118" t="s">
        <v>5</v>
      </c>
      <c r="F1118" t="str" cm="1">
        <f t="array" ref="F1118">CategorizeComment(E1118)</f>
        <v>Other</v>
      </c>
      <c r="G1118" t="str" cm="1">
        <f t="array" ref="G1118">SubCategorizeComment(E1118)</f>
        <v>Other</v>
      </c>
    </row>
    <row r="1119" spans="1:7" x14ac:dyDescent="0.25">
      <c r="A1119">
        <v>3433</v>
      </c>
      <c r="B1119" t="s">
        <v>4</v>
      </c>
      <c r="C1119">
        <v>4</v>
      </c>
      <c r="D1119" t="s">
        <v>5</v>
      </c>
      <c r="F1119" t="str" cm="1">
        <f t="array" ref="F1119">CategorizeComment(E1119)</f>
        <v>Other</v>
      </c>
      <c r="G1119" t="str" cm="1">
        <f t="array" ref="G1119">SubCategorizeComment(E1119)</f>
        <v>Other</v>
      </c>
    </row>
    <row r="1120" spans="1:7" x14ac:dyDescent="0.25">
      <c r="A1120">
        <v>3434</v>
      </c>
      <c r="B1120" t="s">
        <v>4</v>
      </c>
      <c r="C1120">
        <v>3</v>
      </c>
      <c r="D1120" t="s">
        <v>5</v>
      </c>
      <c r="F1120" t="str" cm="1">
        <f t="array" ref="F1120">CategorizeComment(E1120)</f>
        <v>Other</v>
      </c>
      <c r="G1120" t="str" cm="1">
        <f t="array" ref="G1120">SubCategorizeComment(E1120)</f>
        <v>Other</v>
      </c>
    </row>
    <row r="1121" spans="1:7" x14ac:dyDescent="0.25">
      <c r="A1121">
        <v>3475</v>
      </c>
      <c r="B1121" t="s">
        <v>4</v>
      </c>
      <c r="C1121">
        <v>4</v>
      </c>
      <c r="D1121" t="s">
        <v>5</v>
      </c>
      <c r="F1121" t="str" cm="1">
        <f t="array" ref="F1121">CategorizeComment(E1121)</f>
        <v>Other</v>
      </c>
      <c r="G1121" t="str" cm="1">
        <f t="array" ref="G1121">SubCategorizeComment(E1121)</f>
        <v>Other</v>
      </c>
    </row>
    <row r="1122" spans="1:7" x14ac:dyDescent="0.25">
      <c r="A1122">
        <v>3487</v>
      </c>
      <c r="B1122" t="s">
        <v>4</v>
      </c>
      <c r="C1122">
        <v>3</v>
      </c>
      <c r="D1122" t="s">
        <v>5</v>
      </c>
      <c r="F1122" t="str" cm="1">
        <f t="array" ref="F1122">CategorizeComment(E1122)</f>
        <v>Other</v>
      </c>
      <c r="G1122" t="str" cm="1">
        <f t="array" ref="G1122">SubCategorizeComment(E1122)</f>
        <v>Other</v>
      </c>
    </row>
    <row r="1123" spans="1:7" x14ac:dyDescent="0.25">
      <c r="A1123">
        <v>3511</v>
      </c>
      <c r="B1123" t="s">
        <v>4</v>
      </c>
      <c r="C1123">
        <v>3</v>
      </c>
      <c r="D1123" t="s">
        <v>5</v>
      </c>
      <c r="F1123" t="str" cm="1">
        <f t="array" ref="F1123">CategorizeComment(E1123)</f>
        <v>Other</v>
      </c>
      <c r="G1123" t="str" cm="1">
        <f t="array" ref="G1123">SubCategorizeComment(E1123)</f>
        <v>Other</v>
      </c>
    </row>
    <row r="1124" spans="1:7" x14ac:dyDescent="0.25">
      <c r="A1124">
        <v>3522</v>
      </c>
      <c r="B1124" t="s">
        <v>4</v>
      </c>
      <c r="C1124">
        <v>3</v>
      </c>
      <c r="D1124" t="s">
        <v>5</v>
      </c>
      <c r="F1124" t="str" cm="1">
        <f t="array" ref="F1124">CategorizeComment(E1124)</f>
        <v>Other</v>
      </c>
      <c r="G1124" t="str" cm="1">
        <f t="array" ref="G1124">SubCategorizeComment(E1124)</f>
        <v>Other</v>
      </c>
    </row>
    <row r="1125" spans="1:7" x14ac:dyDescent="0.25">
      <c r="A1125">
        <v>3526</v>
      </c>
      <c r="B1125" t="s">
        <v>4</v>
      </c>
      <c r="C1125">
        <v>3</v>
      </c>
      <c r="D1125" t="s">
        <v>5</v>
      </c>
      <c r="F1125" t="str" cm="1">
        <f t="array" ref="F1125">CategorizeComment(E1125)</f>
        <v>Other</v>
      </c>
      <c r="G1125" t="str" cm="1">
        <f t="array" ref="G1125">SubCategorizeComment(E1125)</f>
        <v>Other</v>
      </c>
    </row>
    <row r="1126" spans="1:7" x14ac:dyDescent="0.25">
      <c r="A1126">
        <v>3527</v>
      </c>
      <c r="B1126" t="s">
        <v>4</v>
      </c>
      <c r="C1126">
        <v>3</v>
      </c>
      <c r="D1126" t="s">
        <v>5</v>
      </c>
      <c r="F1126" t="str" cm="1">
        <f t="array" ref="F1126">CategorizeComment(E1126)</f>
        <v>Other</v>
      </c>
      <c r="G1126" t="str" cm="1">
        <f t="array" ref="G1126">SubCategorizeComment(E1126)</f>
        <v>Other</v>
      </c>
    </row>
    <row r="1127" spans="1:7" x14ac:dyDescent="0.25">
      <c r="A1127">
        <v>3556</v>
      </c>
      <c r="B1127" t="s">
        <v>4</v>
      </c>
      <c r="C1127">
        <v>3</v>
      </c>
      <c r="D1127" t="s">
        <v>5</v>
      </c>
      <c r="F1127" t="str" cm="1">
        <f t="array" ref="F1127">CategorizeComment(E1127)</f>
        <v>Other</v>
      </c>
      <c r="G1127" t="str" cm="1">
        <f t="array" ref="G1127">SubCategorizeComment(E1127)</f>
        <v>Other</v>
      </c>
    </row>
    <row r="1128" spans="1:7" x14ac:dyDescent="0.25">
      <c r="A1128">
        <v>3560</v>
      </c>
      <c r="B1128" t="s">
        <v>4</v>
      </c>
      <c r="C1128">
        <v>4</v>
      </c>
      <c r="D1128" t="s">
        <v>5</v>
      </c>
      <c r="F1128" t="str" cm="1">
        <f t="array" ref="F1128">CategorizeComment(E1128)</f>
        <v>Other</v>
      </c>
      <c r="G1128" t="str" cm="1">
        <f t="array" ref="G1128">SubCategorizeComment(E1128)</f>
        <v>Other</v>
      </c>
    </row>
    <row r="1129" spans="1:7" x14ac:dyDescent="0.25">
      <c r="A1129">
        <v>3562</v>
      </c>
      <c r="B1129" t="s">
        <v>4</v>
      </c>
      <c r="C1129">
        <v>3</v>
      </c>
      <c r="D1129" t="s">
        <v>5</v>
      </c>
      <c r="F1129" t="str" cm="1">
        <f t="array" ref="F1129">CategorizeComment(E1129)</f>
        <v>Other</v>
      </c>
      <c r="G1129" t="str" cm="1">
        <f t="array" ref="G1129">SubCategorizeComment(E1129)</f>
        <v>Other</v>
      </c>
    </row>
    <row r="1130" spans="1:7" x14ac:dyDescent="0.25">
      <c r="A1130">
        <v>3578</v>
      </c>
      <c r="B1130" t="s">
        <v>4</v>
      </c>
      <c r="C1130">
        <v>4</v>
      </c>
      <c r="D1130" t="s">
        <v>5</v>
      </c>
      <c r="F1130" t="str" cm="1">
        <f t="array" ref="F1130">CategorizeComment(E1130)</f>
        <v>Other</v>
      </c>
      <c r="G1130" t="str" cm="1">
        <f t="array" ref="G1130">SubCategorizeComment(E1130)</f>
        <v>Other</v>
      </c>
    </row>
    <row r="1131" spans="1:7" x14ac:dyDescent="0.25">
      <c r="A1131">
        <v>3595</v>
      </c>
      <c r="B1131" t="s">
        <v>4</v>
      </c>
      <c r="C1131">
        <v>3</v>
      </c>
      <c r="D1131" t="s">
        <v>5</v>
      </c>
      <c r="F1131" t="str" cm="1">
        <f t="array" ref="F1131">CategorizeComment(E1131)</f>
        <v>Other</v>
      </c>
      <c r="G1131" t="str" cm="1">
        <f t="array" ref="G1131">SubCategorizeComment(E1131)</f>
        <v>Other</v>
      </c>
    </row>
    <row r="1132" spans="1:7" x14ac:dyDescent="0.25">
      <c r="A1132">
        <v>3660</v>
      </c>
      <c r="B1132" t="s">
        <v>4</v>
      </c>
      <c r="C1132">
        <v>3</v>
      </c>
      <c r="D1132" t="s">
        <v>5</v>
      </c>
      <c r="F1132" t="str" cm="1">
        <f t="array" ref="F1132">CategorizeComment(E1132)</f>
        <v>Other</v>
      </c>
      <c r="G1132" t="str" cm="1">
        <f t="array" ref="G1132">SubCategorizeComment(E1132)</f>
        <v>Other</v>
      </c>
    </row>
    <row r="1133" spans="1:7" x14ac:dyDescent="0.25">
      <c r="A1133">
        <v>3678</v>
      </c>
      <c r="B1133" t="s">
        <v>4</v>
      </c>
      <c r="C1133">
        <v>3</v>
      </c>
      <c r="D1133" t="s">
        <v>5</v>
      </c>
      <c r="F1133" t="str" cm="1">
        <f t="array" ref="F1133">CategorizeComment(E1133)</f>
        <v>Other</v>
      </c>
      <c r="G1133" t="str" cm="1">
        <f t="array" ref="G1133">SubCategorizeComment(E1133)</f>
        <v>Other</v>
      </c>
    </row>
    <row r="1134" spans="1:7" x14ac:dyDescent="0.25">
      <c r="A1134">
        <v>3680</v>
      </c>
      <c r="B1134" t="s">
        <v>4</v>
      </c>
      <c r="C1134">
        <v>4</v>
      </c>
      <c r="D1134" t="s">
        <v>5</v>
      </c>
      <c r="F1134" t="str" cm="1">
        <f t="array" ref="F1134">CategorizeComment(E1134)</f>
        <v>Other</v>
      </c>
      <c r="G1134" t="str" cm="1">
        <f t="array" ref="G1134">SubCategorizeComment(E1134)</f>
        <v>Other</v>
      </c>
    </row>
    <row r="1135" spans="1:7" x14ac:dyDescent="0.25">
      <c r="A1135">
        <v>3692</v>
      </c>
      <c r="B1135" t="s">
        <v>4</v>
      </c>
      <c r="C1135">
        <v>3</v>
      </c>
      <c r="D1135" t="s">
        <v>5</v>
      </c>
      <c r="F1135" t="str" cm="1">
        <f t="array" ref="F1135">CategorizeComment(E1135)</f>
        <v>Other</v>
      </c>
      <c r="G1135" t="str" cm="1">
        <f t="array" ref="G1135">SubCategorizeComment(E1135)</f>
        <v>Other</v>
      </c>
    </row>
    <row r="1136" spans="1:7" x14ac:dyDescent="0.25">
      <c r="A1136">
        <v>3700</v>
      </c>
      <c r="B1136" t="s">
        <v>4</v>
      </c>
      <c r="C1136">
        <v>4</v>
      </c>
      <c r="D1136" t="s">
        <v>5</v>
      </c>
      <c r="F1136" t="str" cm="1">
        <f t="array" ref="F1136">CategorizeComment(E1136)</f>
        <v>Other</v>
      </c>
      <c r="G1136" t="str" cm="1">
        <f t="array" ref="G1136">SubCategorizeComment(E1136)</f>
        <v>Other</v>
      </c>
    </row>
    <row r="1137" spans="1:7" x14ac:dyDescent="0.25">
      <c r="A1137">
        <v>3723</v>
      </c>
      <c r="B1137" t="s">
        <v>4</v>
      </c>
      <c r="C1137">
        <v>4</v>
      </c>
      <c r="D1137" t="s">
        <v>5</v>
      </c>
      <c r="F1137" t="str" cm="1">
        <f t="array" ref="F1137">CategorizeComment(E1137)</f>
        <v>Other</v>
      </c>
      <c r="G1137" t="str" cm="1">
        <f t="array" ref="G1137">SubCategorizeComment(E1137)</f>
        <v>Other</v>
      </c>
    </row>
    <row r="1138" spans="1:7" x14ac:dyDescent="0.25">
      <c r="A1138">
        <v>3724</v>
      </c>
      <c r="B1138" t="s">
        <v>4</v>
      </c>
      <c r="C1138">
        <v>4</v>
      </c>
      <c r="D1138" t="s">
        <v>5</v>
      </c>
      <c r="F1138" t="str" cm="1">
        <f t="array" ref="F1138">CategorizeComment(E1138)</f>
        <v>Other</v>
      </c>
      <c r="G1138" t="str" cm="1">
        <f t="array" ref="G1138">SubCategorizeComment(E1138)</f>
        <v>Other</v>
      </c>
    </row>
    <row r="1139" spans="1:7" x14ac:dyDescent="0.25">
      <c r="A1139">
        <v>3726</v>
      </c>
      <c r="B1139" t="s">
        <v>4</v>
      </c>
      <c r="C1139">
        <v>3</v>
      </c>
      <c r="D1139" t="s">
        <v>5</v>
      </c>
      <c r="F1139" t="str" cm="1">
        <f t="array" ref="F1139">CategorizeComment(E1139)</f>
        <v>Other</v>
      </c>
      <c r="G1139" t="str" cm="1">
        <f t="array" ref="G1139">SubCategorizeComment(E1139)</f>
        <v>Other</v>
      </c>
    </row>
    <row r="1140" spans="1:7" x14ac:dyDescent="0.25">
      <c r="A1140">
        <v>3739</v>
      </c>
      <c r="B1140" t="s">
        <v>4</v>
      </c>
      <c r="C1140">
        <v>3</v>
      </c>
      <c r="D1140" t="s">
        <v>5</v>
      </c>
      <c r="F1140" t="str" cm="1">
        <f t="array" ref="F1140">CategorizeComment(E1140)</f>
        <v>Other</v>
      </c>
      <c r="G1140" t="str" cm="1">
        <f t="array" ref="G1140">SubCategorizeComment(E1140)</f>
        <v>Other</v>
      </c>
    </row>
    <row r="1141" spans="1:7" x14ac:dyDescent="0.25">
      <c r="A1141">
        <v>3780</v>
      </c>
      <c r="B1141" t="s">
        <v>4</v>
      </c>
      <c r="C1141">
        <v>3</v>
      </c>
      <c r="D1141" t="s">
        <v>5</v>
      </c>
      <c r="F1141" t="str" cm="1">
        <f t="array" ref="F1141">CategorizeComment(E1141)</f>
        <v>Other</v>
      </c>
      <c r="G1141" t="str" cm="1">
        <f t="array" ref="G1141">SubCategorizeComment(E1141)</f>
        <v>Other</v>
      </c>
    </row>
    <row r="1142" spans="1:7" x14ac:dyDescent="0.25">
      <c r="A1142">
        <v>3783</v>
      </c>
      <c r="B1142" t="s">
        <v>4</v>
      </c>
      <c r="C1142">
        <v>3</v>
      </c>
      <c r="D1142" t="s">
        <v>5</v>
      </c>
      <c r="F1142" t="str" cm="1">
        <f t="array" ref="F1142">CategorizeComment(E1142)</f>
        <v>Other</v>
      </c>
      <c r="G1142" t="str" cm="1">
        <f t="array" ref="G1142">SubCategorizeComment(E1142)</f>
        <v>Other</v>
      </c>
    </row>
    <row r="1143" spans="1:7" x14ac:dyDescent="0.25">
      <c r="A1143">
        <v>3787</v>
      </c>
      <c r="B1143" t="s">
        <v>4</v>
      </c>
      <c r="C1143">
        <v>4</v>
      </c>
      <c r="D1143" t="s">
        <v>5</v>
      </c>
      <c r="F1143" t="str" cm="1">
        <f t="array" ref="F1143">CategorizeComment(E1143)</f>
        <v>Other</v>
      </c>
      <c r="G1143" t="str" cm="1">
        <f t="array" ref="G1143">SubCategorizeComment(E1143)</f>
        <v>Other</v>
      </c>
    </row>
    <row r="1144" spans="1:7" x14ac:dyDescent="0.25">
      <c r="A1144">
        <v>3789</v>
      </c>
      <c r="B1144" t="s">
        <v>4</v>
      </c>
      <c r="C1144">
        <v>3</v>
      </c>
      <c r="D1144" t="s">
        <v>5</v>
      </c>
      <c r="F1144" t="str" cm="1">
        <f t="array" ref="F1144">CategorizeComment(E1144)</f>
        <v>Other</v>
      </c>
      <c r="G1144" t="str" cm="1">
        <f t="array" ref="G1144">SubCategorizeComment(E1144)</f>
        <v>Other</v>
      </c>
    </row>
    <row r="1145" spans="1:7" x14ac:dyDescent="0.25">
      <c r="A1145">
        <v>3790</v>
      </c>
      <c r="B1145" t="s">
        <v>4</v>
      </c>
      <c r="C1145">
        <v>4</v>
      </c>
      <c r="D1145" t="s">
        <v>5</v>
      </c>
      <c r="F1145" t="str" cm="1">
        <f t="array" ref="F1145">CategorizeComment(E1145)</f>
        <v>Other</v>
      </c>
      <c r="G1145" t="str" cm="1">
        <f t="array" ref="G1145">SubCategorizeComment(E1145)</f>
        <v>Other</v>
      </c>
    </row>
    <row r="1146" spans="1:7" x14ac:dyDescent="0.25">
      <c r="A1146">
        <v>3822</v>
      </c>
      <c r="B1146" t="s">
        <v>4</v>
      </c>
      <c r="C1146">
        <v>3</v>
      </c>
      <c r="D1146" t="s">
        <v>5</v>
      </c>
      <c r="F1146" t="str" cm="1">
        <f t="array" ref="F1146">CategorizeComment(E1146)</f>
        <v>Other</v>
      </c>
      <c r="G1146" t="str" cm="1">
        <f t="array" ref="G1146">SubCategorizeComment(E1146)</f>
        <v>Other</v>
      </c>
    </row>
    <row r="1147" spans="1:7" x14ac:dyDescent="0.25">
      <c r="A1147">
        <v>3828</v>
      </c>
      <c r="B1147" t="s">
        <v>4</v>
      </c>
      <c r="C1147">
        <v>4</v>
      </c>
      <c r="D1147" t="s">
        <v>5</v>
      </c>
      <c r="F1147" t="str" cm="1">
        <f t="array" ref="F1147">CategorizeComment(E1147)</f>
        <v>Other</v>
      </c>
      <c r="G1147" t="str" cm="1">
        <f t="array" ref="G1147">SubCategorizeComment(E1147)</f>
        <v>Other</v>
      </c>
    </row>
    <row r="1148" spans="1:7" x14ac:dyDescent="0.25">
      <c r="A1148">
        <v>3831</v>
      </c>
      <c r="B1148" t="s">
        <v>4</v>
      </c>
      <c r="C1148">
        <v>3</v>
      </c>
      <c r="D1148" t="s">
        <v>5</v>
      </c>
      <c r="F1148" t="str" cm="1">
        <f t="array" ref="F1148">CategorizeComment(E1148)</f>
        <v>Other</v>
      </c>
      <c r="G1148" t="str" cm="1">
        <f t="array" ref="G1148">SubCategorizeComment(E1148)</f>
        <v>Other</v>
      </c>
    </row>
    <row r="1149" spans="1:7" x14ac:dyDescent="0.25">
      <c r="A1149">
        <v>3834</v>
      </c>
      <c r="B1149" t="s">
        <v>4</v>
      </c>
      <c r="C1149">
        <v>4</v>
      </c>
      <c r="D1149" t="s">
        <v>5</v>
      </c>
      <c r="F1149" t="str" cm="1">
        <f t="array" ref="F1149">CategorizeComment(E1149)</f>
        <v>Other</v>
      </c>
      <c r="G1149" t="str" cm="1">
        <f t="array" ref="G1149">SubCategorizeComment(E1149)</f>
        <v>Other</v>
      </c>
    </row>
    <row r="1150" spans="1:7" x14ac:dyDescent="0.25">
      <c r="A1150">
        <v>3835</v>
      </c>
      <c r="B1150" t="s">
        <v>4</v>
      </c>
      <c r="C1150">
        <v>4</v>
      </c>
      <c r="D1150" t="s">
        <v>5</v>
      </c>
      <c r="F1150" t="str" cm="1">
        <f t="array" ref="F1150">CategorizeComment(E1150)</f>
        <v>Other</v>
      </c>
      <c r="G1150" t="str" cm="1">
        <f t="array" ref="G1150">SubCategorizeComment(E1150)</f>
        <v>Other</v>
      </c>
    </row>
    <row r="1151" spans="1:7" x14ac:dyDescent="0.25">
      <c r="A1151">
        <v>3842</v>
      </c>
      <c r="B1151" t="s">
        <v>4</v>
      </c>
      <c r="C1151">
        <v>4</v>
      </c>
      <c r="D1151" t="s">
        <v>5</v>
      </c>
      <c r="F1151" t="str" cm="1">
        <f t="array" ref="F1151">CategorizeComment(E1151)</f>
        <v>Other</v>
      </c>
      <c r="G1151" t="str" cm="1">
        <f t="array" ref="G1151">SubCategorizeComment(E1151)</f>
        <v>Other</v>
      </c>
    </row>
    <row r="1152" spans="1:7" x14ac:dyDescent="0.25">
      <c r="A1152">
        <v>3852</v>
      </c>
      <c r="B1152" t="s">
        <v>4</v>
      </c>
      <c r="C1152">
        <v>4</v>
      </c>
      <c r="D1152" t="s">
        <v>5</v>
      </c>
      <c r="F1152" t="str" cm="1">
        <f t="array" ref="F1152">CategorizeComment(E1152)</f>
        <v>Other</v>
      </c>
      <c r="G1152" t="str" cm="1">
        <f t="array" ref="G1152">SubCategorizeComment(E1152)</f>
        <v>Other</v>
      </c>
    </row>
    <row r="1153" spans="1:7" x14ac:dyDescent="0.25">
      <c r="A1153">
        <v>3854</v>
      </c>
      <c r="B1153" t="s">
        <v>4</v>
      </c>
      <c r="C1153">
        <v>3</v>
      </c>
      <c r="D1153" t="s">
        <v>5</v>
      </c>
      <c r="F1153" t="str" cm="1">
        <f t="array" ref="F1153">CategorizeComment(E1153)</f>
        <v>Other</v>
      </c>
      <c r="G1153" t="str" cm="1">
        <f t="array" ref="G1153">SubCategorizeComment(E1153)</f>
        <v>Other</v>
      </c>
    </row>
    <row r="1154" spans="1:7" x14ac:dyDescent="0.25">
      <c r="A1154">
        <v>3857</v>
      </c>
      <c r="B1154" t="s">
        <v>4</v>
      </c>
      <c r="C1154">
        <v>3</v>
      </c>
      <c r="D1154" t="s">
        <v>5</v>
      </c>
      <c r="F1154" t="str" cm="1">
        <f t="array" ref="F1154">CategorizeComment(E1154)</f>
        <v>Other</v>
      </c>
      <c r="G1154" t="str" cm="1">
        <f t="array" ref="G1154">SubCategorizeComment(E1154)</f>
        <v>Other</v>
      </c>
    </row>
    <row r="1155" spans="1:7" x14ac:dyDescent="0.25">
      <c r="A1155">
        <v>3858</v>
      </c>
      <c r="B1155" t="s">
        <v>4</v>
      </c>
      <c r="C1155">
        <v>4</v>
      </c>
      <c r="D1155" t="s">
        <v>5</v>
      </c>
      <c r="F1155" t="str" cm="1">
        <f t="array" ref="F1155">CategorizeComment(E1155)</f>
        <v>Other</v>
      </c>
      <c r="G1155" t="str" cm="1">
        <f t="array" ref="G1155">SubCategorizeComment(E1155)</f>
        <v>Other</v>
      </c>
    </row>
    <row r="1156" spans="1:7" x14ac:dyDescent="0.25">
      <c r="A1156">
        <v>3859</v>
      </c>
      <c r="B1156" t="s">
        <v>4</v>
      </c>
      <c r="C1156">
        <v>3</v>
      </c>
      <c r="D1156" t="s">
        <v>5</v>
      </c>
      <c r="F1156" t="str" cm="1">
        <f t="array" ref="F1156">CategorizeComment(E1156)</f>
        <v>Other</v>
      </c>
      <c r="G1156" t="str" cm="1">
        <f t="array" ref="G1156">SubCategorizeComment(E1156)</f>
        <v>Other</v>
      </c>
    </row>
    <row r="1157" spans="1:7" x14ac:dyDescent="0.25">
      <c r="A1157">
        <v>3863</v>
      </c>
      <c r="B1157" t="s">
        <v>4</v>
      </c>
      <c r="C1157">
        <v>4</v>
      </c>
      <c r="D1157" t="s">
        <v>5</v>
      </c>
      <c r="F1157" t="str" cm="1">
        <f t="array" ref="F1157">CategorizeComment(E1157)</f>
        <v>Other</v>
      </c>
      <c r="G1157" t="str" cm="1">
        <f t="array" ref="G1157">SubCategorizeComment(E1157)</f>
        <v>Other</v>
      </c>
    </row>
    <row r="1158" spans="1:7" x14ac:dyDescent="0.25">
      <c r="A1158">
        <v>3865</v>
      </c>
      <c r="B1158" t="s">
        <v>4</v>
      </c>
      <c r="C1158">
        <v>4</v>
      </c>
      <c r="D1158" t="s">
        <v>5</v>
      </c>
      <c r="F1158" t="str" cm="1">
        <f t="array" ref="F1158">CategorizeComment(E1158)</f>
        <v>Other</v>
      </c>
      <c r="G1158" t="str" cm="1">
        <f t="array" ref="G1158">SubCategorizeComment(E1158)</f>
        <v>Other</v>
      </c>
    </row>
    <row r="1159" spans="1:7" x14ac:dyDescent="0.25">
      <c r="A1159">
        <v>3875</v>
      </c>
      <c r="B1159" t="s">
        <v>4</v>
      </c>
      <c r="C1159">
        <v>3</v>
      </c>
      <c r="D1159" t="s">
        <v>5</v>
      </c>
      <c r="F1159" t="str" cm="1">
        <f t="array" ref="F1159">CategorizeComment(E1159)</f>
        <v>Other</v>
      </c>
      <c r="G1159" t="str" cm="1">
        <f t="array" ref="G1159">SubCategorizeComment(E1159)</f>
        <v>Other</v>
      </c>
    </row>
    <row r="1160" spans="1:7" x14ac:dyDescent="0.25">
      <c r="A1160">
        <v>3889</v>
      </c>
      <c r="B1160" t="s">
        <v>4</v>
      </c>
      <c r="C1160">
        <v>3</v>
      </c>
      <c r="D1160" t="s">
        <v>5</v>
      </c>
      <c r="F1160" t="str" cm="1">
        <f t="array" ref="F1160">CategorizeComment(E1160)</f>
        <v>Other</v>
      </c>
      <c r="G1160" t="str" cm="1">
        <f t="array" ref="G1160">SubCategorizeComment(E1160)</f>
        <v>Other</v>
      </c>
    </row>
    <row r="1161" spans="1:7" x14ac:dyDescent="0.25">
      <c r="A1161">
        <v>3898</v>
      </c>
      <c r="B1161" t="s">
        <v>4</v>
      </c>
      <c r="C1161">
        <v>4</v>
      </c>
      <c r="D1161" t="s">
        <v>5</v>
      </c>
      <c r="F1161" t="str" cm="1">
        <f t="array" ref="F1161">CategorizeComment(E1161)</f>
        <v>Other</v>
      </c>
      <c r="G1161" t="str" cm="1">
        <f t="array" ref="G1161">SubCategorizeComment(E1161)</f>
        <v>Other</v>
      </c>
    </row>
    <row r="1162" spans="1:7" x14ac:dyDescent="0.25">
      <c r="A1162">
        <v>3901</v>
      </c>
      <c r="B1162" t="s">
        <v>4</v>
      </c>
      <c r="C1162">
        <v>3</v>
      </c>
      <c r="D1162" t="s">
        <v>5</v>
      </c>
      <c r="F1162" t="str" cm="1">
        <f t="array" ref="F1162">CategorizeComment(E1162)</f>
        <v>Other</v>
      </c>
      <c r="G1162" t="str" cm="1">
        <f t="array" ref="G1162">SubCategorizeComment(E1162)</f>
        <v>Other</v>
      </c>
    </row>
    <row r="1163" spans="1:7" x14ac:dyDescent="0.25">
      <c r="A1163">
        <v>3902</v>
      </c>
      <c r="B1163" t="s">
        <v>4</v>
      </c>
      <c r="C1163">
        <v>4</v>
      </c>
      <c r="D1163" t="s">
        <v>5</v>
      </c>
      <c r="F1163" t="str" cm="1">
        <f t="array" ref="F1163">CategorizeComment(E1163)</f>
        <v>Other</v>
      </c>
      <c r="G1163" t="str" cm="1">
        <f t="array" ref="G1163">SubCategorizeComment(E1163)</f>
        <v>Other</v>
      </c>
    </row>
    <row r="1164" spans="1:7" x14ac:dyDescent="0.25">
      <c r="A1164">
        <v>3905</v>
      </c>
      <c r="B1164" t="s">
        <v>4</v>
      </c>
      <c r="C1164">
        <v>4</v>
      </c>
      <c r="D1164" t="s">
        <v>5</v>
      </c>
      <c r="F1164" t="str" cm="1">
        <f t="array" ref="F1164">CategorizeComment(E1164)</f>
        <v>Other</v>
      </c>
      <c r="G1164" t="str" cm="1">
        <f t="array" ref="G1164">SubCategorizeComment(E1164)</f>
        <v>Other</v>
      </c>
    </row>
    <row r="1165" spans="1:7" x14ac:dyDescent="0.25">
      <c r="A1165">
        <v>3906</v>
      </c>
      <c r="B1165" t="s">
        <v>4</v>
      </c>
      <c r="C1165">
        <v>4</v>
      </c>
      <c r="D1165" t="s">
        <v>5</v>
      </c>
      <c r="F1165" t="str" cm="1">
        <f t="array" ref="F1165">CategorizeComment(E1165)</f>
        <v>Other</v>
      </c>
      <c r="G1165" t="str" cm="1">
        <f t="array" ref="G1165">SubCategorizeComment(E1165)</f>
        <v>Other</v>
      </c>
    </row>
    <row r="1166" spans="1:7" x14ac:dyDescent="0.25">
      <c r="A1166">
        <v>3908</v>
      </c>
      <c r="B1166" t="s">
        <v>4</v>
      </c>
      <c r="C1166">
        <v>3</v>
      </c>
      <c r="D1166" t="s">
        <v>5</v>
      </c>
      <c r="F1166" t="str" cm="1">
        <f t="array" ref="F1166">CategorizeComment(E1166)</f>
        <v>Other</v>
      </c>
      <c r="G1166" t="str" cm="1">
        <f t="array" ref="G1166">SubCategorizeComment(E1166)</f>
        <v>Other</v>
      </c>
    </row>
    <row r="1167" spans="1:7" x14ac:dyDescent="0.25">
      <c r="A1167">
        <v>3944</v>
      </c>
      <c r="B1167" t="s">
        <v>4</v>
      </c>
      <c r="C1167">
        <v>3</v>
      </c>
      <c r="D1167" t="s">
        <v>5</v>
      </c>
      <c r="F1167" t="str" cm="1">
        <f t="array" ref="F1167">CategorizeComment(E1167)</f>
        <v>Other</v>
      </c>
      <c r="G1167" t="str" cm="1">
        <f t="array" ref="G1167">SubCategorizeComment(E1167)</f>
        <v>Other</v>
      </c>
    </row>
    <row r="1168" spans="1:7" x14ac:dyDescent="0.25">
      <c r="A1168">
        <v>3956</v>
      </c>
      <c r="B1168" t="s">
        <v>4</v>
      </c>
      <c r="C1168">
        <v>4</v>
      </c>
      <c r="D1168" t="s">
        <v>5</v>
      </c>
      <c r="F1168" t="str" cm="1">
        <f t="array" ref="F1168">CategorizeComment(E1168)</f>
        <v>Other</v>
      </c>
      <c r="G1168" t="str" cm="1">
        <f t="array" ref="G1168">SubCategorizeComment(E1168)</f>
        <v>Other</v>
      </c>
    </row>
    <row r="1169" spans="1:7" x14ac:dyDescent="0.25">
      <c r="A1169">
        <v>3958</v>
      </c>
      <c r="B1169" t="s">
        <v>4</v>
      </c>
      <c r="C1169">
        <v>4</v>
      </c>
      <c r="D1169" t="s">
        <v>5</v>
      </c>
      <c r="F1169" t="str" cm="1">
        <f t="array" ref="F1169">CategorizeComment(E1169)</f>
        <v>Other</v>
      </c>
      <c r="G1169" t="str" cm="1">
        <f t="array" ref="G1169">SubCategorizeComment(E1169)</f>
        <v>Other</v>
      </c>
    </row>
    <row r="1170" spans="1:7" x14ac:dyDescent="0.25">
      <c r="A1170">
        <v>3967</v>
      </c>
      <c r="B1170" t="s">
        <v>4</v>
      </c>
      <c r="C1170">
        <v>3</v>
      </c>
      <c r="D1170" t="s">
        <v>5</v>
      </c>
      <c r="F1170" t="str" cm="1">
        <f t="array" ref="F1170">CategorizeComment(E1170)</f>
        <v>Other</v>
      </c>
      <c r="G1170" t="str" cm="1">
        <f t="array" ref="G1170">SubCategorizeComment(E1170)</f>
        <v>Other</v>
      </c>
    </row>
    <row r="1171" spans="1:7" x14ac:dyDescent="0.25">
      <c r="A1171">
        <v>3972</v>
      </c>
      <c r="B1171" t="s">
        <v>4</v>
      </c>
      <c r="C1171">
        <v>4</v>
      </c>
      <c r="D1171" t="s">
        <v>5</v>
      </c>
      <c r="F1171" t="str" cm="1">
        <f t="array" ref="F1171">CategorizeComment(E1171)</f>
        <v>Other</v>
      </c>
      <c r="G1171" t="str" cm="1">
        <f t="array" ref="G1171">SubCategorizeComment(E1171)</f>
        <v>Other</v>
      </c>
    </row>
    <row r="1172" spans="1:7" x14ac:dyDescent="0.25">
      <c r="A1172">
        <v>3980</v>
      </c>
      <c r="B1172" t="s">
        <v>4</v>
      </c>
      <c r="C1172">
        <v>4</v>
      </c>
      <c r="D1172" t="s">
        <v>5</v>
      </c>
      <c r="F1172" t="str" cm="1">
        <f t="array" ref="F1172">CategorizeComment(E1172)</f>
        <v>Other</v>
      </c>
      <c r="G1172" t="str" cm="1">
        <f t="array" ref="G1172">SubCategorizeComment(E1172)</f>
        <v>Other</v>
      </c>
    </row>
    <row r="1173" spans="1:7" x14ac:dyDescent="0.25">
      <c r="A1173">
        <v>3989</v>
      </c>
      <c r="B1173" t="s">
        <v>4</v>
      </c>
      <c r="C1173">
        <v>4</v>
      </c>
      <c r="D1173" t="s">
        <v>5</v>
      </c>
      <c r="F1173" t="str" cm="1">
        <f t="array" ref="F1173">CategorizeComment(E1173)</f>
        <v>Other</v>
      </c>
      <c r="G1173" t="str" cm="1">
        <f t="array" ref="G1173">SubCategorizeComment(E1173)</f>
        <v>Other</v>
      </c>
    </row>
    <row r="1174" spans="1:7" x14ac:dyDescent="0.25">
      <c r="A1174">
        <v>3991</v>
      </c>
      <c r="B1174" t="s">
        <v>4</v>
      </c>
      <c r="C1174">
        <v>4</v>
      </c>
      <c r="D1174" t="s">
        <v>5</v>
      </c>
      <c r="F1174" t="str" cm="1">
        <f t="array" ref="F1174">CategorizeComment(E1174)</f>
        <v>Other</v>
      </c>
      <c r="G1174" t="str" cm="1">
        <f t="array" ref="G1174">SubCategorizeComment(E1174)</f>
        <v>Other</v>
      </c>
    </row>
    <row r="1175" spans="1:7" x14ac:dyDescent="0.25">
      <c r="A1175">
        <v>4013</v>
      </c>
      <c r="B1175" t="s">
        <v>4</v>
      </c>
      <c r="C1175">
        <v>4</v>
      </c>
      <c r="D1175" t="s">
        <v>5</v>
      </c>
      <c r="F1175" t="str" cm="1">
        <f t="array" ref="F1175">CategorizeComment(E1175)</f>
        <v>Other</v>
      </c>
      <c r="G1175" t="str" cm="1">
        <f t="array" ref="G1175">SubCategorizeComment(E1175)</f>
        <v>Other</v>
      </c>
    </row>
    <row r="1176" spans="1:7" x14ac:dyDescent="0.25">
      <c r="A1176">
        <v>4030</v>
      </c>
      <c r="B1176" t="s">
        <v>4</v>
      </c>
      <c r="C1176">
        <v>3</v>
      </c>
      <c r="D1176" t="s">
        <v>5</v>
      </c>
      <c r="F1176" t="str" cm="1">
        <f t="array" ref="F1176">CategorizeComment(E1176)</f>
        <v>Other</v>
      </c>
      <c r="G1176" t="str" cm="1">
        <f t="array" ref="G1176">SubCategorizeComment(E1176)</f>
        <v>Other</v>
      </c>
    </row>
    <row r="1177" spans="1:7" x14ac:dyDescent="0.25">
      <c r="A1177">
        <v>4039</v>
      </c>
      <c r="B1177" t="s">
        <v>4</v>
      </c>
      <c r="C1177">
        <v>4</v>
      </c>
      <c r="D1177" t="s">
        <v>5</v>
      </c>
      <c r="F1177" t="str" cm="1">
        <f t="array" ref="F1177">CategorizeComment(E1177)</f>
        <v>Other</v>
      </c>
      <c r="G1177" t="str" cm="1">
        <f t="array" ref="G1177">SubCategorizeComment(E1177)</f>
        <v>Other</v>
      </c>
    </row>
    <row r="1178" spans="1:7" x14ac:dyDescent="0.25">
      <c r="A1178">
        <v>4040</v>
      </c>
      <c r="B1178" t="s">
        <v>4</v>
      </c>
      <c r="C1178">
        <v>3</v>
      </c>
      <c r="D1178" t="s">
        <v>5</v>
      </c>
      <c r="F1178" t="str" cm="1">
        <f t="array" ref="F1178">CategorizeComment(E1178)</f>
        <v>Other</v>
      </c>
      <c r="G1178" t="str" cm="1">
        <f t="array" ref="G1178">SubCategorizeComment(E1178)</f>
        <v>Other</v>
      </c>
    </row>
    <row r="1179" spans="1:7" x14ac:dyDescent="0.25">
      <c r="A1179">
        <v>4057</v>
      </c>
      <c r="B1179" t="s">
        <v>4</v>
      </c>
      <c r="C1179">
        <v>3</v>
      </c>
      <c r="D1179" t="s">
        <v>5</v>
      </c>
      <c r="F1179" t="str" cm="1">
        <f t="array" ref="F1179">CategorizeComment(E1179)</f>
        <v>Other</v>
      </c>
      <c r="G1179" t="str" cm="1">
        <f t="array" ref="G1179">SubCategorizeComment(E1179)</f>
        <v>Other</v>
      </c>
    </row>
    <row r="1180" spans="1:7" x14ac:dyDescent="0.25">
      <c r="A1180">
        <v>4058</v>
      </c>
      <c r="B1180" t="s">
        <v>4</v>
      </c>
      <c r="C1180">
        <v>4</v>
      </c>
      <c r="D1180" t="s">
        <v>5</v>
      </c>
      <c r="F1180" t="str" cm="1">
        <f t="array" ref="F1180">CategorizeComment(E1180)</f>
        <v>Other</v>
      </c>
      <c r="G1180" t="str" cm="1">
        <f t="array" ref="G1180">SubCategorizeComment(E1180)</f>
        <v>Other</v>
      </c>
    </row>
    <row r="1181" spans="1:7" x14ac:dyDescent="0.25">
      <c r="A1181">
        <v>4126</v>
      </c>
      <c r="B1181" t="s">
        <v>4</v>
      </c>
      <c r="C1181">
        <v>3</v>
      </c>
      <c r="D1181" t="s">
        <v>5</v>
      </c>
      <c r="F1181" t="str" cm="1">
        <f t="array" ref="F1181">CategorizeComment(E1181)</f>
        <v>Other</v>
      </c>
      <c r="G1181" t="str" cm="1">
        <f t="array" ref="G1181">SubCategorizeComment(E1181)</f>
        <v>Other</v>
      </c>
    </row>
    <row r="1182" spans="1:7" x14ac:dyDescent="0.25">
      <c r="A1182">
        <v>4131</v>
      </c>
      <c r="B1182" t="s">
        <v>4</v>
      </c>
      <c r="C1182">
        <v>3</v>
      </c>
      <c r="D1182" t="s">
        <v>5</v>
      </c>
      <c r="F1182" t="str" cm="1">
        <f t="array" ref="F1182">CategorizeComment(E1182)</f>
        <v>Other</v>
      </c>
      <c r="G1182" t="str" cm="1">
        <f t="array" ref="G1182">SubCategorizeComment(E1182)</f>
        <v>Other</v>
      </c>
    </row>
    <row r="1183" spans="1:7" x14ac:dyDescent="0.25">
      <c r="A1183">
        <v>4139</v>
      </c>
      <c r="B1183" t="s">
        <v>4</v>
      </c>
      <c r="C1183">
        <v>3</v>
      </c>
      <c r="D1183" t="s">
        <v>5</v>
      </c>
      <c r="F1183" t="str" cm="1">
        <f t="array" ref="F1183">CategorizeComment(E1183)</f>
        <v>Other</v>
      </c>
      <c r="G1183" t="str" cm="1">
        <f t="array" ref="G1183">SubCategorizeComment(E1183)</f>
        <v>Other</v>
      </c>
    </row>
    <row r="1184" spans="1:7" x14ac:dyDescent="0.25">
      <c r="A1184">
        <v>4152</v>
      </c>
      <c r="B1184" t="s">
        <v>4</v>
      </c>
      <c r="C1184">
        <v>4</v>
      </c>
      <c r="D1184" t="s">
        <v>5</v>
      </c>
      <c r="F1184" t="str" cm="1">
        <f t="array" ref="F1184">CategorizeComment(E1184)</f>
        <v>Other</v>
      </c>
      <c r="G1184" t="str" cm="1">
        <f t="array" ref="G1184">SubCategorizeComment(E1184)</f>
        <v>Other</v>
      </c>
    </row>
    <row r="1185" spans="1:7" x14ac:dyDescent="0.25">
      <c r="A1185">
        <v>4155</v>
      </c>
      <c r="B1185" t="s">
        <v>4</v>
      </c>
      <c r="C1185">
        <v>3</v>
      </c>
      <c r="D1185" t="s">
        <v>5</v>
      </c>
      <c r="F1185" t="str" cm="1">
        <f t="array" ref="F1185">CategorizeComment(E1185)</f>
        <v>Other</v>
      </c>
      <c r="G1185" t="str" cm="1">
        <f t="array" ref="G1185">SubCategorizeComment(E1185)</f>
        <v>Other</v>
      </c>
    </row>
    <row r="1186" spans="1:7" x14ac:dyDescent="0.25">
      <c r="A1186">
        <v>4165</v>
      </c>
      <c r="B1186" t="s">
        <v>4</v>
      </c>
      <c r="C1186">
        <v>4</v>
      </c>
      <c r="D1186" t="s">
        <v>5</v>
      </c>
      <c r="F1186" t="str" cm="1">
        <f t="array" ref="F1186">CategorizeComment(E1186)</f>
        <v>Other</v>
      </c>
      <c r="G1186" t="str" cm="1">
        <f t="array" ref="G1186">SubCategorizeComment(E1186)</f>
        <v>Other</v>
      </c>
    </row>
    <row r="1187" spans="1:7" x14ac:dyDescent="0.25">
      <c r="A1187">
        <v>4173</v>
      </c>
      <c r="B1187" t="s">
        <v>4</v>
      </c>
      <c r="C1187">
        <v>3</v>
      </c>
      <c r="D1187" t="s">
        <v>5</v>
      </c>
      <c r="F1187" t="str" cm="1">
        <f t="array" ref="F1187">CategorizeComment(E1187)</f>
        <v>Other</v>
      </c>
      <c r="G1187" t="str" cm="1">
        <f t="array" ref="G1187">SubCategorizeComment(E1187)</f>
        <v>Other</v>
      </c>
    </row>
    <row r="1188" spans="1:7" x14ac:dyDescent="0.25">
      <c r="A1188">
        <v>4174</v>
      </c>
      <c r="B1188" t="s">
        <v>4</v>
      </c>
      <c r="C1188">
        <v>4</v>
      </c>
      <c r="D1188" t="s">
        <v>5</v>
      </c>
      <c r="F1188" t="str" cm="1">
        <f t="array" ref="F1188">CategorizeComment(E1188)</f>
        <v>Other</v>
      </c>
      <c r="G1188" t="str" cm="1">
        <f t="array" ref="G1188">SubCategorizeComment(E1188)</f>
        <v>Other</v>
      </c>
    </row>
    <row r="1189" spans="1:7" x14ac:dyDescent="0.25">
      <c r="A1189">
        <v>4178</v>
      </c>
      <c r="B1189" t="s">
        <v>4</v>
      </c>
      <c r="C1189">
        <v>3</v>
      </c>
      <c r="D1189" t="s">
        <v>5</v>
      </c>
      <c r="F1189" t="str" cm="1">
        <f t="array" ref="F1189">CategorizeComment(E1189)</f>
        <v>Other</v>
      </c>
      <c r="G1189" t="str" cm="1">
        <f t="array" ref="G1189">SubCategorizeComment(E1189)</f>
        <v>Other</v>
      </c>
    </row>
    <row r="1190" spans="1:7" x14ac:dyDescent="0.25">
      <c r="A1190">
        <v>4180</v>
      </c>
      <c r="B1190" t="s">
        <v>4</v>
      </c>
      <c r="C1190">
        <v>3</v>
      </c>
      <c r="D1190" t="s">
        <v>5</v>
      </c>
      <c r="F1190" t="str" cm="1">
        <f t="array" ref="F1190">CategorizeComment(E1190)</f>
        <v>Other</v>
      </c>
      <c r="G1190" t="str" cm="1">
        <f t="array" ref="G1190">SubCategorizeComment(E1190)</f>
        <v>Other</v>
      </c>
    </row>
    <row r="1191" spans="1:7" x14ac:dyDescent="0.25">
      <c r="A1191">
        <v>4209</v>
      </c>
      <c r="B1191" t="s">
        <v>4</v>
      </c>
      <c r="C1191">
        <v>4</v>
      </c>
      <c r="D1191" t="s">
        <v>5</v>
      </c>
      <c r="F1191" t="str" cm="1">
        <f t="array" ref="F1191">CategorizeComment(E1191)</f>
        <v>Other</v>
      </c>
      <c r="G1191" t="str" cm="1">
        <f t="array" ref="G1191">SubCategorizeComment(E1191)</f>
        <v>Other</v>
      </c>
    </row>
    <row r="1192" spans="1:7" x14ac:dyDescent="0.25">
      <c r="A1192">
        <v>4210</v>
      </c>
      <c r="B1192" t="s">
        <v>4</v>
      </c>
      <c r="C1192">
        <v>4</v>
      </c>
      <c r="D1192" t="s">
        <v>5</v>
      </c>
      <c r="F1192" t="str" cm="1">
        <f t="array" ref="F1192">CategorizeComment(E1192)</f>
        <v>Other</v>
      </c>
      <c r="G1192" t="str" cm="1">
        <f t="array" ref="G1192">SubCategorizeComment(E1192)</f>
        <v>Other</v>
      </c>
    </row>
    <row r="1193" spans="1:7" x14ac:dyDescent="0.25">
      <c r="A1193">
        <v>4214</v>
      </c>
      <c r="B1193" t="s">
        <v>4</v>
      </c>
      <c r="C1193">
        <v>4</v>
      </c>
      <c r="D1193" t="s">
        <v>5</v>
      </c>
      <c r="F1193" t="str" cm="1">
        <f t="array" ref="F1193">CategorizeComment(E1193)</f>
        <v>Other</v>
      </c>
      <c r="G1193" t="str" cm="1">
        <f t="array" ref="G1193">SubCategorizeComment(E1193)</f>
        <v>Other</v>
      </c>
    </row>
    <row r="1194" spans="1:7" x14ac:dyDescent="0.25">
      <c r="A1194">
        <v>4218</v>
      </c>
      <c r="B1194" t="s">
        <v>4</v>
      </c>
      <c r="C1194">
        <v>3</v>
      </c>
      <c r="D1194" t="s">
        <v>5</v>
      </c>
      <c r="F1194" t="str" cm="1">
        <f t="array" ref="F1194">CategorizeComment(E1194)</f>
        <v>Other</v>
      </c>
      <c r="G1194" t="str" cm="1">
        <f t="array" ref="G1194">SubCategorizeComment(E1194)</f>
        <v>Other</v>
      </c>
    </row>
    <row r="1195" spans="1:7" x14ac:dyDescent="0.25">
      <c r="A1195">
        <v>4224</v>
      </c>
      <c r="B1195" t="s">
        <v>4</v>
      </c>
      <c r="C1195">
        <v>3</v>
      </c>
      <c r="D1195" t="s">
        <v>5</v>
      </c>
      <c r="F1195" t="str" cm="1">
        <f t="array" ref="F1195">CategorizeComment(E1195)</f>
        <v>Other</v>
      </c>
      <c r="G1195" t="str" cm="1">
        <f t="array" ref="G1195">SubCategorizeComment(E1195)</f>
        <v>Other</v>
      </c>
    </row>
    <row r="1196" spans="1:7" x14ac:dyDescent="0.25">
      <c r="A1196">
        <v>4235</v>
      </c>
      <c r="B1196" t="s">
        <v>4</v>
      </c>
      <c r="C1196">
        <v>4</v>
      </c>
      <c r="D1196" t="s">
        <v>5</v>
      </c>
      <c r="F1196" t="str" cm="1">
        <f t="array" ref="F1196">CategorizeComment(E1196)</f>
        <v>Other</v>
      </c>
      <c r="G1196" t="str" cm="1">
        <f t="array" ref="G1196">SubCategorizeComment(E1196)</f>
        <v>Other</v>
      </c>
    </row>
    <row r="1197" spans="1:7" x14ac:dyDescent="0.25">
      <c r="A1197">
        <v>4244</v>
      </c>
      <c r="B1197" t="s">
        <v>4</v>
      </c>
      <c r="C1197">
        <v>4</v>
      </c>
      <c r="D1197" t="s">
        <v>5</v>
      </c>
      <c r="F1197" t="str" cm="1">
        <f t="array" ref="F1197">CategorizeComment(E1197)</f>
        <v>Other</v>
      </c>
      <c r="G1197" t="str" cm="1">
        <f t="array" ref="G1197">SubCategorizeComment(E1197)</f>
        <v>Other</v>
      </c>
    </row>
    <row r="1198" spans="1:7" x14ac:dyDescent="0.25">
      <c r="A1198">
        <v>4245</v>
      </c>
      <c r="B1198" t="s">
        <v>4</v>
      </c>
      <c r="C1198">
        <v>3</v>
      </c>
      <c r="D1198" t="s">
        <v>5</v>
      </c>
      <c r="F1198" t="str" cm="1">
        <f t="array" ref="F1198">CategorizeComment(E1198)</f>
        <v>Other</v>
      </c>
      <c r="G1198" t="str" cm="1">
        <f t="array" ref="G1198">SubCategorizeComment(E1198)</f>
        <v>Other</v>
      </c>
    </row>
    <row r="1199" spans="1:7" x14ac:dyDescent="0.25">
      <c r="A1199">
        <v>4247</v>
      </c>
      <c r="B1199" t="s">
        <v>4</v>
      </c>
      <c r="C1199">
        <v>4</v>
      </c>
      <c r="D1199" t="s">
        <v>5</v>
      </c>
      <c r="F1199" t="str" cm="1">
        <f t="array" ref="F1199">CategorizeComment(E1199)</f>
        <v>Other</v>
      </c>
      <c r="G1199" t="str" cm="1">
        <f t="array" ref="G1199">SubCategorizeComment(E1199)</f>
        <v>Other</v>
      </c>
    </row>
    <row r="1200" spans="1:7" x14ac:dyDescent="0.25">
      <c r="A1200">
        <v>4266</v>
      </c>
      <c r="B1200" t="s">
        <v>4</v>
      </c>
      <c r="C1200">
        <v>3</v>
      </c>
      <c r="D1200" t="s">
        <v>5</v>
      </c>
      <c r="F1200" t="str" cm="1">
        <f t="array" ref="F1200">CategorizeComment(E1200)</f>
        <v>Other</v>
      </c>
      <c r="G1200" t="str" cm="1">
        <f t="array" ref="G1200">SubCategorizeComment(E1200)</f>
        <v>Other</v>
      </c>
    </row>
    <row r="1201" spans="1:7" x14ac:dyDescent="0.25">
      <c r="A1201">
        <v>4273</v>
      </c>
      <c r="B1201" t="s">
        <v>4</v>
      </c>
      <c r="C1201">
        <v>3</v>
      </c>
      <c r="D1201" t="s">
        <v>5</v>
      </c>
      <c r="F1201" t="str" cm="1">
        <f t="array" ref="F1201">CategorizeComment(E1201)</f>
        <v>Other</v>
      </c>
      <c r="G1201" t="str" cm="1">
        <f t="array" ref="G1201">SubCategorizeComment(E1201)</f>
        <v>Other</v>
      </c>
    </row>
    <row r="1202" spans="1:7" x14ac:dyDescent="0.25">
      <c r="A1202">
        <v>4291</v>
      </c>
      <c r="B1202" t="s">
        <v>4</v>
      </c>
      <c r="C1202">
        <v>4</v>
      </c>
      <c r="D1202" t="s">
        <v>5</v>
      </c>
      <c r="F1202" t="str" cm="1">
        <f t="array" ref="F1202">CategorizeComment(E1202)</f>
        <v>Other</v>
      </c>
      <c r="G1202" t="str" cm="1">
        <f t="array" ref="G1202">SubCategorizeComment(E1202)</f>
        <v>Other</v>
      </c>
    </row>
    <row r="1203" spans="1:7" x14ac:dyDescent="0.25">
      <c r="A1203">
        <v>4299</v>
      </c>
      <c r="B1203" t="s">
        <v>4</v>
      </c>
      <c r="C1203">
        <v>3</v>
      </c>
      <c r="D1203" t="s">
        <v>5</v>
      </c>
      <c r="F1203" t="str" cm="1">
        <f t="array" ref="F1203">CategorizeComment(E1203)</f>
        <v>Other</v>
      </c>
      <c r="G1203" t="str" cm="1">
        <f t="array" ref="G1203">SubCategorizeComment(E1203)</f>
        <v>Other</v>
      </c>
    </row>
    <row r="1204" spans="1:7" x14ac:dyDescent="0.25">
      <c r="A1204">
        <v>4302</v>
      </c>
      <c r="B1204" t="s">
        <v>4</v>
      </c>
      <c r="C1204">
        <v>3</v>
      </c>
      <c r="D1204" t="s">
        <v>5</v>
      </c>
      <c r="F1204" t="str" cm="1">
        <f t="array" ref="F1204">CategorizeComment(E1204)</f>
        <v>Other</v>
      </c>
      <c r="G1204" t="str" cm="1">
        <f t="array" ref="G1204">SubCategorizeComment(E1204)</f>
        <v>Other</v>
      </c>
    </row>
    <row r="1205" spans="1:7" x14ac:dyDescent="0.25">
      <c r="A1205">
        <v>4304</v>
      </c>
      <c r="B1205" t="s">
        <v>4</v>
      </c>
      <c r="C1205">
        <v>4</v>
      </c>
      <c r="D1205" t="s">
        <v>5</v>
      </c>
      <c r="F1205" t="str" cm="1">
        <f t="array" ref="F1205">CategorizeComment(E1205)</f>
        <v>Other</v>
      </c>
      <c r="G1205" t="str" cm="1">
        <f t="array" ref="G1205">SubCategorizeComment(E1205)</f>
        <v>Other</v>
      </c>
    </row>
    <row r="1206" spans="1:7" x14ac:dyDescent="0.25">
      <c r="A1206">
        <v>4307</v>
      </c>
      <c r="B1206" t="s">
        <v>4</v>
      </c>
      <c r="C1206">
        <v>3</v>
      </c>
      <c r="D1206" t="s">
        <v>5</v>
      </c>
      <c r="F1206" t="str" cm="1">
        <f t="array" ref="F1206">CategorizeComment(E1206)</f>
        <v>Other</v>
      </c>
      <c r="G1206" t="str" cm="1">
        <f t="array" ref="G1206">SubCategorizeComment(E1206)</f>
        <v>Other</v>
      </c>
    </row>
    <row r="1207" spans="1:7" x14ac:dyDescent="0.25">
      <c r="A1207">
        <v>4310</v>
      </c>
      <c r="B1207" t="s">
        <v>4</v>
      </c>
      <c r="C1207">
        <v>4</v>
      </c>
      <c r="D1207" t="s">
        <v>5</v>
      </c>
      <c r="F1207" t="str" cm="1">
        <f t="array" ref="F1207">CategorizeComment(E1207)</f>
        <v>Other</v>
      </c>
      <c r="G1207" t="str" cm="1">
        <f t="array" ref="G1207">SubCategorizeComment(E1207)</f>
        <v>Other</v>
      </c>
    </row>
    <row r="1208" spans="1:7" x14ac:dyDescent="0.25">
      <c r="A1208">
        <v>4315</v>
      </c>
      <c r="B1208" t="s">
        <v>4</v>
      </c>
      <c r="C1208">
        <v>3</v>
      </c>
      <c r="D1208" t="s">
        <v>5</v>
      </c>
      <c r="F1208" t="str" cm="1">
        <f t="array" ref="F1208">CategorizeComment(E1208)</f>
        <v>Other</v>
      </c>
      <c r="G1208" t="str" cm="1">
        <f t="array" ref="G1208">SubCategorizeComment(E1208)</f>
        <v>Other</v>
      </c>
    </row>
    <row r="1209" spans="1:7" x14ac:dyDescent="0.25">
      <c r="A1209">
        <v>4323</v>
      </c>
      <c r="B1209" t="s">
        <v>4</v>
      </c>
      <c r="C1209">
        <v>4</v>
      </c>
      <c r="D1209" t="s">
        <v>5</v>
      </c>
      <c r="F1209" t="str" cm="1">
        <f t="array" ref="F1209">CategorizeComment(E1209)</f>
        <v>Other</v>
      </c>
      <c r="G1209" t="str" cm="1">
        <f t="array" ref="G1209">SubCategorizeComment(E1209)</f>
        <v>Other</v>
      </c>
    </row>
    <row r="1210" spans="1:7" x14ac:dyDescent="0.25">
      <c r="A1210">
        <v>4367</v>
      </c>
      <c r="B1210" t="s">
        <v>4</v>
      </c>
      <c r="C1210">
        <v>3</v>
      </c>
      <c r="D1210" t="s">
        <v>5</v>
      </c>
      <c r="F1210" t="str" cm="1">
        <f t="array" ref="F1210">CategorizeComment(E1210)</f>
        <v>Other</v>
      </c>
      <c r="G1210" t="str" cm="1">
        <f t="array" ref="G1210">SubCategorizeComment(E1210)</f>
        <v>Other</v>
      </c>
    </row>
    <row r="1211" spans="1:7" x14ac:dyDescent="0.25">
      <c r="A1211">
        <v>4369</v>
      </c>
      <c r="B1211" t="s">
        <v>4</v>
      </c>
      <c r="C1211">
        <v>4</v>
      </c>
      <c r="D1211" t="s">
        <v>5</v>
      </c>
      <c r="F1211" t="str" cm="1">
        <f t="array" ref="F1211">CategorizeComment(E1211)</f>
        <v>Other</v>
      </c>
      <c r="G1211" t="str" cm="1">
        <f t="array" ref="G1211">SubCategorizeComment(E1211)</f>
        <v>Other</v>
      </c>
    </row>
    <row r="1212" spans="1:7" x14ac:dyDescent="0.25">
      <c r="A1212">
        <v>4377</v>
      </c>
      <c r="B1212" t="s">
        <v>4</v>
      </c>
      <c r="C1212">
        <v>3</v>
      </c>
      <c r="D1212" t="s">
        <v>5</v>
      </c>
      <c r="F1212" t="str" cm="1">
        <f t="array" ref="F1212">CategorizeComment(E1212)</f>
        <v>Other</v>
      </c>
      <c r="G1212" t="str" cm="1">
        <f t="array" ref="G1212">SubCategorizeComment(E1212)</f>
        <v>Other</v>
      </c>
    </row>
    <row r="1213" spans="1:7" x14ac:dyDescent="0.25">
      <c r="A1213">
        <v>4399</v>
      </c>
      <c r="B1213" t="s">
        <v>4</v>
      </c>
      <c r="C1213">
        <v>3</v>
      </c>
      <c r="D1213" t="s">
        <v>5</v>
      </c>
      <c r="F1213" t="str" cm="1">
        <f t="array" ref="F1213">CategorizeComment(E1213)</f>
        <v>Other</v>
      </c>
      <c r="G1213" t="str" cm="1">
        <f t="array" ref="G1213">SubCategorizeComment(E1213)</f>
        <v>Other</v>
      </c>
    </row>
    <row r="1214" spans="1:7" x14ac:dyDescent="0.25">
      <c r="A1214">
        <v>4427</v>
      </c>
      <c r="B1214" t="s">
        <v>4</v>
      </c>
      <c r="C1214">
        <v>4</v>
      </c>
      <c r="D1214" t="s">
        <v>5</v>
      </c>
      <c r="F1214" t="str" cm="1">
        <f t="array" ref="F1214">CategorizeComment(E1214)</f>
        <v>Other</v>
      </c>
      <c r="G1214" t="str" cm="1">
        <f t="array" ref="G1214">SubCategorizeComment(E1214)</f>
        <v>Other</v>
      </c>
    </row>
    <row r="1215" spans="1:7" x14ac:dyDescent="0.25">
      <c r="A1215">
        <v>4433</v>
      </c>
      <c r="B1215" t="s">
        <v>4</v>
      </c>
      <c r="C1215">
        <v>3</v>
      </c>
      <c r="D1215" t="s">
        <v>5</v>
      </c>
      <c r="F1215" t="str" cm="1">
        <f t="array" ref="F1215">CategorizeComment(E1215)</f>
        <v>Other</v>
      </c>
      <c r="G1215" t="str" cm="1">
        <f t="array" ref="G1215">SubCategorizeComment(E1215)</f>
        <v>Other</v>
      </c>
    </row>
    <row r="1216" spans="1:7" x14ac:dyDescent="0.25">
      <c r="A1216">
        <v>4457</v>
      </c>
      <c r="B1216" t="s">
        <v>4</v>
      </c>
      <c r="C1216">
        <v>4</v>
      </c>
      <c r="D1216" t="s">
        <v>5</v>
      </c>
      <c r="F1216" t="str" cm="1">
        <f t="array" ref="F1216">CategorizeComment(E1216)</f>
        <v>Other</v>
      </c>
      <c r="G1216" t="str" cm="1">
        <f t="array" ref="G1216">SubCategorizeComment(E1216)</f>
        <v>Other</v>
      </c>
    </row>
    <row r="1217" spans="1:7" x14ac:dyDescent="0.25">
      <c r="A1217">
        <v>4458</v>
      </c>
      <c r="B1217" t="s">
        <v>4</v>
      </c>
      <c r="C1217">
        <v>4</v>
      </c>
      <c r="D1217" t="s">
        <v>5</v>
      </c>
      <c r="F1217" t="str" cm="1">
        <f t="array" ref="F1217">CategorizeComment(E1217)</f>
        <v>Other</v>
      </c>
      <c r="G1217" t="str" cm="1">
        <f t="array" ref="G1217">SubCategorizeComment(E1217)</f>
        <v>Other</v>
      </c>
    </row>
    <row r="1218" spans="1:7" x14ac:dyDescent="0.25">
      <c r="A1218">
        <v>4463</v>
      </c>
      <c r="B1218" t="s">
        <v>4</v>
      </c>
      <c r="C1218">
        <v>3</v>
      </c>
      <c r="D1218" t="s">
        <v>5</v>
      </c>
      <c r="F1218" t="str" cm="1">
        <f t="array" ref="F1218">CategorizeComment(E1218)</f>
        <v>Other</v>
      </c>
      <c r="G1218" t="str" cm="1">
        <f t="array" ref="G1218">SubCategorizeComment(E1218)</f>
        <v>Other</v>
      </c>
    </row>
    <row r="1219" spans="1:7" x14ac:dyDescent="0.25">
      <c r="A1219">
        <v>4465</v>
      </c>
      <c r="B1219" t="s">
        <v>4</v>
      </c>
      <c r="C1219">
        <v>3</v>
      </c>
      <c r="D1219" t="s">
        <v>5</v>
      </c>
      <c r="F1219" t="str" cm="1">
        <f t="array" ref="F1219">CategorizeComment(E1219)</f>
        <v>Other</v>
      </c>
      <c r="G1219" t="str" cm="1">
        <f t="array" ref="G1219">SubCategorizeComment(E1219)</f>
        <v>Other</v>
      </c>
    </row>
    <row r="1220" spans="1:7" x14ac:dyDescent="0.25">
      <c r="A1220">
        <v>4466</v>
      </c>
      <c r="B1220" t="s">
        <v>4</v>
      </c>
      <c r="C1220">
        <v>0</v>
      </c>
      <c r="D1220" t="s">
        <v>5</v>
      </c>
      <c r="F1220" t="str" cm="1">
        <f t="array" ref="F1220">CategorizeComment(E1220)</f>
        <v>Other</v>
      </c>
      <c r="G1220" t="str" cm="1">
        <f t="array" ref="G1220">SubCategorizeComment(E1220)</f>
        <v>Other</v>
      </c>
    </row>
    <row r="1221" spans="1:7" x14ac:dyDescent="0.25">
      <c r="A1221">
        <v>4475</v>
      </c>
      <c r="B1221" t="s">
        <v>4</v>
      </c>
      <c r="C1221">
        <v>4</v>
      </c>
      <c r="D1221" t="s">
        <v>5</v>
      </c>
      <c r="F1221" t="str" cm="1">
        <f t="array" ref="F1221">CategorizeComment(E1221)</f>
        <v>Other</v>
      </c>
      <c r="G1221" t="str" cm="1">
        <f t="array" ref="G1221">SubCategorizeComment(E1221)</f>
        <v>Other</v>
      </c>
    </row>
    <row r="1222" spans="1:7" x14ac:dyDescent="0.25">
      <c r="A1222">
        <v>4494</v>
      </c>
      <c r="B1222" t="s">
        <v>4</v>
      </c>
      <c r="C1222">
        <v>3</v>
      </c>
      <c r="D1222" t="s">
        <v>5</v>
      </c>
      <c r="F1222" t="str" cm="1">
        <f t="array" ref="F1222">CategorizeComment(E1222)</f>
        <v>Other</v>
      </c>
      <c r="G1222" t="str" cm="1">
        <f t="array" ref="G1222">SubCategorizeComment(E1222)</f>
        <v>Other</v>
      </c>
    </row>
    <row r="1223" spans="1:7" x14ac:dyDescent="0.25">
      <c r="A1223">
        <v>4507</v>
      </c>
      <c r="B1223" t="s">
        <v>4</v>
      </c>
      <c r="C1223">
        <v>4</v>
      </c>
      <c r="D1223" t="s">
        <v>5</v>
      </c>
      <c r="F1223" t="str" cm="1">
        <f t="array" ref="F1223">CategorizeComment(E1223)</f>
        <v>Other</v>
      </c>
      <c r="G1223" t="str" cm="1">
        <f t="array" ref="G1223">SubCategorizeComment(E1223)</f>
        <v>Other</v>
      </c>
    </row>
    <row r="1224" spans="1:7" x14ac:dyDescent="0.25">
      <c r="A1224">
        <v>4519</v>
      </c>
      <c r="B1224" t="s">
        <v>4</v>
      </c>
      <c r="C1224">
        <v>3</v>
      </c>
      <c r="D1224" t="s">
        <v>5</v>
      </c>
      <c r="F1224" t="str" cm="1">
        <f t="array" ref="F1224">CategorizeComment(E1224)</f>
        <v>Other</v>
      </c>
      <c r="G1224" t="str" cm="1">
        <f t="array" ref="G1224">SubCategorizeComment(E1224)</f>
        <v>Other</v>
      </c>
    </row>
    <row r="1225" spans="1:7" x14ac:dyDescent="0.25">
      <c r="A1225">
        <v>4547</v>
      </c>
      <c r="B1225" t="s">
        <v>4</v>
      </c>
      <c r="C1225">
        <v>4</v>
      </c>
      <c r="D1225" t="s">
        <v>5</v>
      </c>
      <c r="F1225" t="str" cm="1">
        <f t="array" ref="F1225">CategorizeComment(E1225)</f>
        <v>Other</v>
      </c>
      <c r="G1225" t="str" cm="1">
        <f t="array" ref="G1225">SubCategorizeComment(E1225)</f>
        <v>Other</v>
      </c>
    </row>
    <row r="1226" spans="1:7" x14ac:dyDescent="0.25">
      <c r="A1226">
        <v>4554</v>
      </c>
      <c r="B1226" t="s">
        <v>4</v>
      </c>
      <c r="C1226">
        <v>3</v>
      </c>
      <c r="D1226" t="s">
        <v>5</v>
      </c>
      <c r="F1226" t="str" cm="1">
        <f t="array" ref="F1226">CategorizeComment(E1226)</f>
        <v>Other</v>
      </c>
      <c r="G1226" t="str" cm="1">
        <f t="array" ref="G1226">SubCategorizeComment(E1226)</f>
        <v>Other</v>
      </c>
    </row>
    <row r="1227" spans="1:7" x14ac:dyDescent="0.25">
      <c r="A1227">
        <v>4556</v>
      </c>
      <c r="B1227" t="s">
        <v>4</v>
      </c>
      <c r="C1227">
        <v>3</v>
      </c>
      <c r="D1227" t="s">
        <v>5</v>
      </c>
      <c r="F1227" t="str" cm="1">
        <f t="array" ref="F1227">CategorizeComment(E1227)</f>
        <v>Other</v>
      </c>
      <c r="G1227" t="str" cm="1">
        <f t="array" ref="G1227">SubCategorizeComment(E1227)</f>
        <v>Other</v>
      </c>
    </row>
    <row r="1228" spans="1:7" x14ac:dyDescent="0.25">
      <c r="A1228">
        <v>4570</v>
      </c>
      <c r="B1228" t="s">
        <v>4</v>
      </c>
      <c r="C1228">
        <v>3</v>
      </c>
      <c r="D1228" t="s">
        <v>5</v>
      </c>
      <c r="F1228" t="str" cm="1">
        <f t="array" ref="F1228">CategorizeComment(E1228)</f>
        <v>Other</v>
      </c>
      <c r="G1228" t="str" cm="1">
        <f t="array" ref="G1228">SubCategorizeComment(E1228)</f>
        <v>Other</v>
      </c>
    </row>
    <row r="1229" spans="1:7" x14ac:dyDescent="0.25">
      <c r="A1229">
        <v>4575</v>
      </c>
      <c r="B1229" t="s">
        <v>4</v>
      </c>
      <c r="C1229">
        <v>3</v>
      </c>
      <c r="D1229" t="s">
        <v>5</v>
      </c>
      <c r="F1229" t="str" cm="1">
        <f t="array" ref="F1229">CategorizeComment(E1229)</f>
        <v>Other</v>
      </c>
      <c r="G1229" t="str" cm="1">
        <f t="array" ref="G1229">SubCategorizeComment(E1229)</f>
        <v>Other</v>
      </c>
    </row>
    <row r="1230" spans="1:7" x14ac:dyDescent="0.25">
      <c r="A1230">
        <v>4582</v>
      </c>
      <c r="B1230" t="s">
        <v>4</v>
      </c>
      <c r="C1230">
        <v>3</v>
      </c>
      <c r="D1230" t="s">
        <v>5</v>
      </c>
      <c r="F1230" t="str" cm="1">
        <f t="array" ref="F1230">CategorizeComment(E1230)</f>
        <v>Other</v>
      </c>
      <c r="G1230" t="str" cm="1">
        <f t="array" ref="G1230">SubCategorizeComment(E1230)</f>
        <v>Other</v>
      </c>
    </row>
    <row r="1231" spans="1:7" x14ac:dyDescent="0.25">
      <c r="A1231">
        <v>4589</v>
      </c>
      <c r="B1231" t="s">
        <v>4</v>
      </c>
      <c r="C1231">
        <v>4</v>
      </c>
      <c r="D1231" t="s">
        <v>5</v>
      </c>
      <c r="F1231" t="str" cm="1">
        <f t="array" ref="F1231">CategorizeComment(E1231)</f>
        <v>Other</v>
      </c>
      <c r="G1231" t="str" cm="1">
        <f t="array" ref="G1231">SubCategorizeComment(E1231)</f>
        <v>Other</v>
      </c>
    </row>
    <row r="1232" spans="1:7" x14ac:dyDescent="0.25">
      <c r="A1232">
        <v>4592</v>
      </c>
      <c r="B1232" t="s">
        <v>4</v>
      </c>
      <c r="C1232">
        <v>4</v>
      </c>
      <c r="D1232" t="s">
        <v>5</v>
      </c>
      <c r="F1232" t="str" cm="1">
        <f t="array" ref="F1232">CategorizeComment(E1232)</f>
        <v>Other</v>
      </c>
      <c r="G1232" t="str" cm="1">
        <f t="array" ref="G1232">SubCategorizeComment(E1232)</f>
        <v>Other</v>
      </c>
    </row>
    <row r="1233" spans="1:7" x14ac:dyDescent="0.25">
      <c r="A1233">
        <v>4595</v>
      </c>
      <c r="B1233" t="s">
        <v>4</v>
      </c>
      <c r="C1233">
        <v>3</v>
      </c>
      <c r="D1233" t="s">
        <v>5</v>
      </c>
      <c r="F1233" t="str" cm="1">
        <f t="array" ref="F1233">CategorizeComment(E1233)</f>
        <v>Other</v>
      </c>
      <c r="G1233" t="str" cm="1">
        <f t="array" ref="G1233">SubCategorizeComment(E1233)</f>
        <v>Other</v>
      </c>
    </row>
    <row r="1234" spans="1:7" x14ac:dyDescent="0.25">
      <c r="A1234">
        <v>4598</v>
      </c>
      <c r="B1234" t="s">
        <v>4</v>
      </c>
      <c r="C1234">
        <v>3</v>
      </c>
      <c r="D1234" t="s">
        <v>5</v>
      </c>
      <c r="F1234" t="str" cm="1">
        <f t="array" ref="F1234">CategorizeComment(E1234)</f>
        <v>Other</v>
      </c>
      <c r="G1234" t="str" cm="1">
        <f t="array" ref="G1234">SubCategorizeComment(E1234)</f>
        <v>Other</v>
      </c>
    </row>
    <row r="1235" spans="1:7" x14ac:dyDescent="0.25">
      <c r="A1235">
        <v>4613</v>
      </c>
      <c r="B1235" t="s">
        <v>4</v>
      </c>
      <c r="C1235">
        <v>4</v>
      </c>
      <c r="D1235" t="s">
        <v>5</v>
      </c>
      <c r="F1235" t="str" cm="1">
        <f t="array" ref="F1235">CategorizeComment(E1235)</f>
        <v>Other</v>
      </c>
      <c r="G1235" t="str" cm="1">
        <f t="array" ref="G1235">SubCategorizeComment(E1235)</f>
        <v>Other</v>
      </c>
    </row>
    <row r="1236" spans="1:7" x14ac:dyDescent="0.25">
      <c r="A1236">
        <v>4620</v>
      </c>
      <c r="B1236" t="s">
        <v>4</v>
      </c>
      <c r="C1236">
        <v>4</v>
      </c>
      <c r="D1236" t="s">
        <v>5</v>
      </c>
      <c r="F1236" t="str" cm="1">
        <f t="array" ref="F1236">CategorizeComment(E1236)</f>
        <v>Other</v>
      </c>
      <c r="G1236" t="str" cm="1">
        <f t="array" ref="G1236">SubCategorizeComment(E1236)</f>
        <v>Other</v>
      </c>
    </row>
    <row r="1237" spans="1:7" x14ac:dyDescent="0.25">
      <c r="A1237">
        <v>4626</v>
      </c>
      <c r="B1237" t="s">
        <v>4</v>
      </c>
      <c r="C1237">
        <v>3</v>
      </c>
      <c r="D1237" t="s">
        <v>5</v>
      </c>
      <c r="F1237" t="str" cm="1">
        <f t="array" ref="F1237">CategorizeComment(E1237)</f>
        <v>Other</v>
      </c>
      <c r="G1237" t="str" cm="1">
        <f t="array" ref="G1237">SubCategorizeComment(E1237)</f>
        <v>Other</v>
      </c>
    </row>
    <row r="1238" spans="1:7" x14ac:dyDescent="0.25">
      <c r="A1238">
        <v>4662</v>
      </c>
      <c r="B1238" t="s">
        <v>4</v>
      </c>
      <c r="C1238">
        <v>4</v>
      </c>
      <c r="D1238" t="s">
        <v>5</v>
      </c>
      <c r="F1238" t="str" cm="1">
        <f t="array" ref="F1238">CategorizeComment(E1238)</f>
        <v>Other</v>
      </c>
      <c r="G1238" t="str" cm="1">
        <f t="array" ref="G1238">SubCategorizeComment(E1238)</f>
        <v>Other</v>
      </c>
    </row>
    <row r="1239" spans="1:7" x14ac:dyDescent="0.25">
      <c r="A1239">
        <v>4671</v>
      </c>
      <c r="B1239" t="s">
        <v>4</v>
      </c>
      <c r="C1239">
        <v>3</v>
      </c>
      <c r="D1239" t="s">
        <v>5</v>
      </c>
      <c r="F1239" t="str" cm="1">
        <f t="array" ref="F1239">CategorizeComment(E1239)</f>
        <v>Other</v>
      </c>
      <c r="G1239" t="str" cm="1">
        <f t="array" ref="G1239">SubCategorizeComment(E1239)</f>
        <v>Other</v>
      </c>
    </row>
    <row r="1240" spans="1:7" x14ac:dyDescent="0.25">
      <c r="A1240">
        <v>4672</v>
      </c>
      <c r="B1240" t="s">
        <v>4</v>
      </c>
      <c r="C1240">
        <v>4</v>
      </c>
      <c r="D1240" t="s">
        <v>5</v>
      </c>
      <c r="F1240" t="str" cm="1">
        <f t="array" ref="F1240">CategorizeComment(E1240)</f>
        <v>Other</v>
      </c>
      <c r="G1240" t="str" cm="1">
        <f t="array" ref="G1240">SubCategorizeComment(E1240)</f>
        <v>Other</v>
      </c>
    </row>
    <row r="1241" spans="1:7" x14ac:dyDescent="0.25">
      <c r="A1241">
        <v>4676</v>
      </c>
      <c r="B1241" t="s">
        <v>4</v>
      </c>
      <c r="C1241">
        <v>3</v>
      </c>
      <c r="D1241" t="s">
        <v>5</v>
      </c>
      <c r="F1241" t="str" cm="1">
        <f t="array" ref="F1241">CategorizeComment(E1241)</f>
        <v>Other</v>
      </c>
      <c r="G1241" t="str" cm="1">
        <f t="array" ref="G1241">SubCategorizeComment(E1241)</f>
        <v>Other</v>
      </c>
    </row>
    <row r="1242" spans="1:7" x14ac:dyDescent="0.25">
      <c r="A1242">
        <v>4688</v>
      </c>
      <c r="B1242" t="s">
        <v>4</v>
      </c>
      <c r="C1242">
        <v>4</v>
      </c>
      <c r="D1242" t="s">
        <v>5</v>
      </c>
      <c r="F1242" t="str" cm="1">
        <f t="array" ref="F1242">CategorizeComment(E1242)</f>
        <v>Other</v>
      </c>
      <c r="G1242" t="str" cm="1">
        <f t="array" ref="G1242">SubCategorizeComment(E1242)</f>
        <v>Other</v>
      </c>
    </row>
    <row r="1243" spans="1:7" x14ac:dyDescent="0.25">
      <c r="A1243">
        <v>4689</v>
      </c>
      <c r="B1243" t="s">
        <v>4</v>
      </c>
      <c r="C1243">
        <v>4</v>
      </c>
      <c r="D1243" t="s">
        <v>5</v>
      </c>
      <c r="F1243" t="str" cm="1">
        <f t="array" ref="F1243">CategorizeComment(E1243)</f>
        <v>Other</v>
      </c>
      <c r="G1243" t="str" cm="1">
        <f t="array" ref="G1243">SubCategorizeComment(E1243)</f>
        <v>Other</v>
      </c>
    </row>
    <row r="1244" spans="1:7" x14ac:dyDescent="0.25">
      <c r="A1244">
        <v>4713</v>
      </c>
      <c r="B1244" t="s">
        <v>4</v>
      </c>
      <c r="C1244">
        <v>3</v>
      </c>
      <c r="D1244" t="s">
        <v>5</v>
      </c>
      <c r="F1244" t="str" cm="1">
        <f t="array" ref="F1244">CategorizeComment(E1244)</f>
        <v>Other</v>
      </c>
      <c r="G1244" t="str" cm="1">
        <f t="array" ref="G1244">SubCategorizeComment(E1244)</f>
        <v>Other</v>
      </c>
    </row>
    <row r="1245" spans="1:7" x14ac:dyDescent="0.25">
      <c r="A1245">
        <v>4722</v>
      </c>
      <c r="B1245" t="s">
        <v>4</v>
      </c>
      <c r="C1245">
        <v>3</v>
      </c>
      <c r="D1245" t="s">
        <v>5</v>
      </c>
      <c r="F1245" t="str" cm="1">
        <f t="array" ref="F1245">CategorizeComment(E1245)</f>
        <v>Other</v>
      </c>
      <c r="G1245" t="str" cm="1">
        <f t="array" ref="G1245">SubCategorizeComment(E1245)</f>
        <v>Other</v>
      </c>
    </row>
    <row r="1246" spans="1:7" x14ac:dyDescent="0.25">
      <c r="A1246">
        <v>4723</v>
      </c>
      <c r="B1246" t="s">
        <v>4</v>
      </c>
      <c r="C1246">
        <v>4</v>
      </c>
      <c r="D1246" t="s">
        <v>5</v>
      </c>
      <c r="F1246" t="str" cm="1">
        <f t="array" ref="F1246">CategorizeComment(E1246)</f>
        <v>Other</v>
      </c>
      <c r="G1246" t="str" cm="1">
        <f t="array" ref="G1246">SubCategorizeComment(E1246)</f>
        <v>Other</v>
      </c>
    </row>
    <row r="1247" spans="1:7" x14ac:dyDescent="0.25">
      <c r="A1247">
        <v>4730</v>
      </c>
      <c r="B1247" t="s">
        <v>4</v>
      </c>
      <c r="C1247">
        <v>3</v>
      </c>
      <c r="D1247" t="s">
        <v>5</v>
      </c>
      <c r="F1247" t="str" cm="1">
        <f t="array" ref="F1247">CategorizeComment(E1247)</f>
        <v>Other</v>
      </c>
      <c r="G1247" t="str" cm="1">
        <f t="array" ref="G1247">SubCategorizeComment(E1247)</f>
        <v>Other</v>
      </c>
    </row>
    <row r="1248" spans="1:7" x14ac:dyDescent="0.25">
      <c r="A1248">
        <v>4745</v>
      </c>
      <c r="B1248" t="s">
        <v>4</v>
      </c>
      <c r="C1248">
        <v>3</v>
      </c>
      <c r="D1248" t="s">
        <v>5</v>
      </c>
      <c r="F1248" t="str" cm="1">
        <f t="array" ref="F1248">CategorizeComment(E1248)</f>
        <v>Other</v>
      </c>
      <c r="G1248" t="str" cm="1">
        <f t="array" ref="G1248">SubCategorizeComment(E1248)</f>
        <v>Other</v>
      </c>
    </row>
    <row r="1249" spans="1:7" x14ac:dyDescent="0.25">
      <c r="A1249">
        <v>4754</v>
      </c>
      <c r="B1249" t="s">
        <v>4</v>
      </c>
      <c r="C1249">
        <v>4</v>
      </c>
      <c r="D1249" t="s">
        <v>5</v>
      </c>
      <c r="F1249" t="str" cm="1">
        <f t="array" ref="F1249">CategorizeComment(E1249)</f>
        <v>Other</v>
      </c>
      <c r="G1249" t="str" cm="1">
        <f t="array" ref="G1249">SubCategorizeComment(E1249)</f>
        <v>Other</v>
      </c>
    </row>
    <row r="1250" spans="1:7" x14ac:dyDescent="0.25">
      <c r="A1250">
        <v>4782</v>
      </c>
      <c r="B1250" t="s">
        <v>4</v>
      </c>
      <c r="C1250">
        <v>4</v>
      </c>
      <c r="D1250" t="s">
        <v>5</v>
      </c>
      <c r="F1250" t="str" cm="1">
        <f t="array" ref="F1250">CategorizeComment(E1250)</f>
        <v>Other</v>
      </c>
      <c r="G1250" t="str" cm="1">
        <f t="array" ref="G1250">SubCategorizeComment(E1250)</f>
        <v>Other</v>
      </c>
    </row>
    <row r="1251" spans="1:7" x14ac:dyDescent="0.25">
      <c r="A1251">
        <v>4783</v>
      </c>
      <c r="B1251" t="s">
        <v>4</v>
      </c>
      <c r="C1251">
        <v>3</v>
      </c>
      <c r="D1251" t="s">
        <v>5</v>
      </c>
      <c r="F1251" t="str" cm="1">
        <f t="array" ref="F1251">CategorizeComment(E1251)</f>
        <v>Other</v>
      </c>
      <c r="G1251" t="str" cm="1">
        <f t="array" ref="G1251">SubCategorizeComment(E1251)</f>
        <v>Other</v>
      </c>
    </row>
    <row r="1252" spans="1:7" x14ac:dyDescent="0.25">
      <c r="A1252">
        <v>4826</v>
      </c>
      <c r="B1252" t="s">
        <v>4</v>
      </c>
      <c r="C1252">
        <v>3</v>
      </c>
      <c r="D1252" t="s">
        <v>5</v>
      </c>
      <c r="F1252" t="str" cm="1">
        <f t="array" ref="F1252">CategorizeComment(E1252)</f>
        <v>Other</v>
      </c>
      <c r="G1252" t="str" cm="1">
        <f t="array" ref="G1252">SubCategorizeComment(E1252)</f>
        <v>Other</v>
      </c>
    </row>
    <row r="1253" spans="1:7" x14ac:dyDescent="0.25">
      <c r="A1253">
        <v>4840</v>
      </c>
      <c r="B1253" t="s">
        <v>4</v>
      </c>
      <c r="C1253">
        <v>3</v>
      </c>
      <c r="D1253" t="s">
        <v>5</v>
      </c>
      <c r="F1253" t="str" cm="1">
        <f t="array" ref="F1253">CategorizeComment(E1253)</f>
        <v>Other</v>
      </c>
      <c r="G1253" t="str" cm="1">
        <f t="array" ref="G1253">SubCategorizeComment(E1253)</f>
        <v>Other</v>
      </c>
    </row>
    <row r="1254" spans="1:7" x14ac:dyDescent="0.25">
      <c r="A1254">
        <v>4841</v>
      </c>
      <c r="B1254" t="s">
        <v>4</v>
      </c>
      <c r="C1254">
        <v>3</v>
      </c>
      <c r="D1254" t="s">
        <v>5</v>
      </c>
      <c r="F1254" t="str" cm="1">
        <f t="array" ref="F1254">CategorizeComment(E1254)</f>
        <v>Other</v>
      </c>
      <c r="G1254" t="str" cm="1">
        <f t="array" ref="G1254">SubCategorizeComment(E1254)</f>
        <v>Other</v>
      </c>
    </row>
    <row r="1255" spans="1:7" x14ac:dyDescent="0.25">
      <c r="A1255">
        <v>4847</v>
      </c>
      <c r="B1255" t="s">
        <v>4</v>
      </c>
      <c r="C1255">
        <v>3</v>
      </c>
      <c r="D1255" t="s">
        <v>5</v>
      </c>
      <c r="F1255" t="str" cm="1">
        <f t="array" ref="F1255">CategorizeComment(E1255)</f>
        <v>Other</v>
      </c>
      <c r="G1255" t="str" cm="1">
        <f t="array" ref="G1255">SubCategorizeComment(E1255)</f>
        <v>Other</v>
      </c>
    </row>
    <row r="1256" spans="1:7" x14ac:dyDescent="0.25">
      <c r="A1256">
        <v>4848</v>
      </c>
      <c r="B1256" t="s">
        <v>4</v>
      </c>
      <c r="C1256">
        <v>4</v>
      </c>
      <c r="D1256" t="s">
        <v>5</v>
      </c>
      <c r="F1256" t="str" cm="1">
        <f t="array" ref="F1256">CategorizeComment(E1256)</f>
        <v>Other</v>
      </c>
      <c r="G1256" t="str" cm="1">
        <f t="array" ref="G1256">SubCategorizeComment(E1256)</f>
        <v>Other</v>
      </c>
    </row>
    <row r="1257" spans="1:7" x14ac:dyDescent="0.25">
      <c r="A1257">
        <v>4849</v>
      </c>
      <c r="B1257" t="s">
        <v>4</v>
      </c>
      <c r="C1257">
        <v>3</v>
      </c>
      <c r="D1257" t="s">
        <v>5</v>
      </c>
      <c r="F1257" t="str" cm="1">
        <f t="array" ref="F1257">CategorizeComment(E1257)</f>
        <v>Other</v>
      </c>
      <c r="G1257" t="str" cm="1">
        <f t="array" ref="G1257">SubCategorizeComment(E1257)</f>
        <v>Other</v>
      </c>
    </row>
    <row r="1258" spans="1:7" x14ac:dyDescent="0.25">
      <c r="A1258">
        <v>4879</v>
      </c>
      <c r="B1258" t="s">
        <v>4</v>
      </c>
      <c r="C1258">
        <v>4</v>
      </c>
      <c r="D1258" t="s">
        <v>5</v>
      </c>
      <c r="F1258" t="str" cm="1">
        <f t="array" ref="F1258">CategorizeComment(E1258)</f>
        <v>Other</v>
      </c>
      <c r="G1258" t="str" cm="1">
        <f t="array" ref="G1258">SubCategorizeComment(E1258)</f>
        <v>Other</v>
      </c>
    </row>
    <row r="1259" spans="1:7" x14ac:dyDescent="0.25">
      <c r="A1259">
        <v>4882</v>
      </c>
      <c r="B1259" t="s">
        <v>4</v>
      </c>
      <c r="C1259">
        <v>3</v>
      </c>
      <c r="D1259" t="s">
        <v>5</v>
      </c>
      <c r="F1259" t="str" cm="1">
        <f t="array" ref="F1259">CategorizeComment(E1259)</f>
        <v>Other</v>
      </c>
      <c r="G1259" t="str" cm="1">
        <f t="array" ref="G1259">SubCategorizeComment(E1259)</f>
        <v>Other</v>
      </c>
    </row>
    <row r="1260" spans="1:7" x14ac:dyDescent="0.25">
      <c r="A1260">
        <v>4917</v>
      </c>
      <c r="B1260" t="s">
        <v>4</v>
      </c>
      <c r="C1260">
        <v>4</v>
      </c>
      <c r="D1260" t="s">
        <v>5</v>
      </c>
      <c r="F1260" t="str" cm="1">
        <f t="array" ref="F1260">CategorizeComment(E1260)</f>
        <v>Other</v>
      </c>
      <c r="G1260" t="str" cm="1">
        <f t="array" ref="G1260">SubCategorizeComment(E1260)</f>
        <v>Other</v>
      </c>
    </row>
    <row r="1261" spans="1:7" x14ac:dyDescent="0.25">
      <c r="A1261">
        <v>4919</v>
      </c>
      <c r="B1261" t="s">
        <v>4</v>
      </c>
      <c r="C1261">
        <v>3</v>
      </c>
      <c r="D1261" t="s">
        <v>5</v>
      </c>
      <c r="F1261" t="str" cm="1">
        <f t="array" ref="F1261">CategorizeComment(E1261)</f>
        <v>Other</v>
      </c>
      <c r="G1261" t="str" cm="1">
        <f t="array" ref="G1261">SubCategorizeComment(E1261)</f>
        <v>Other</v>
      </c>
    </row>
    <row r="1262" spans="1:7" x14ac:dyDescent="0.25">
      <c r="A1262">
        <v>4922</v>
      </c>
      <c r="B1262" t="s">
        <v>4</v>
      </c>
      <c r="C1262">
        <v>4</v>
      </c>
      <c r="D1262" t="s">
        <v>5</v>
      </c>
      <c r="F1262" t="str" cm="1">
        <f t="array" ref="F1262">CategorizeComment(E1262)</f>
        <v>Other</v>
      </c>
      <c r="G1262" t="str" cm="1">
        <f t="array" ref="G1262">SubCategorizeComment(E1262)</f>
        <v>Other</v>
      </c>
    </row>
    <row r="1263" spans="1:7" x14ac:dyDescent="0.25">
      <c r="A1263">
        <v>4930</v>
      </c>
      <c r="B1263" t="s">
        <v>4</v>
      </c>
      <c r="C1263">
        <v>4</v>
      </c>
      <c r="D1263" t="s">
        <v>5</v>
      </c>
      <c r="F1263" t="str" cm="1">
        <f t="array" ref="F1263">CategorizeComment(E1263)</f>
        <v>Other</v>
      </c>
      <c r="G1263" t="str" cm="1">
        <f t="array" ref="G1263">SubCategorizeComment(E1263)</f>
        <v>Other</v>
      </c>
    </row>
    <row r="1264" spans="1:7" x14ac:dyDescent="0.25">
      <c r="A1264">
        <v>4937</v>
      </c>
      <c r="B1264" t="s">
        <v>4</v>
      </c>
      <c r="C1264">
        <v>3</v>
      </c>
      <c r="D1264" t="s">
        <v>5</v>
      </c>
      <c r="F1264" t="str" cm="1">
        <f t="array" ref="F1264">CategorizeComment(E1264)</f>
        <v>Other</v>
      </c>
      <c r="G1264" t="str" cm="1">
        <f t="array" ref="G1264">SubCategorizeComment(E1264)</f>
        <v>Other</v>
      </c>
    </row>
    <row r="1265" spans="1:7" x14ac:dyDescent="0.25">
      <c r="A1265">
        <v>4938</v>
      </c>
      <c r="B1265" t="s">
        <v>4</v>
      </c>
      <c r="C1265">
        <v>4</v>
      </c>
      <c r="D1265" t="s">
        <v>5</v>
      </c>
      <c r="F1265" t="str" cm="1">
        <f t="array" ref="F1265">CategorizeComment(E1265)</f>
        <v>Other</v>
      </c>
      <c r="G1265" t="str" cm="1">
        <f t="array" ref="G1265">SubCategorizeComment(E1265)</f>
        <v>Other</v>
      </c>
    </row>
    <row r="1266" spans="1:7" x14ac:dyDescent="0.25">
      <c r="A1266">
        <v>4943</v>
      </c>
      <c r="B1266" t="s">
        <v>4</v>
      </c>
      <c r="C1266">
        <v>3</v>
      </c>
      <c r="D1266" t="s">
        <v>5</v>
      </c>
      <c r="F1266" t="str" cm="1">
        <f t="array" ref="F1266">CategorizeComment(E1266)</f>
        <v>Other</v>
      </c>
      <c r="G1266" t="str" cm="1">
        <f t="array" ref="G1266">SubCategorizeComment(E1266)</f>
        <v>Other</v>
      </c>
    </row>
    <row r="1267" spans="1:7" x14ac:dyDescent="0.25">
      <c r="A1267">
        <v>4944</v>
      </c>
      <c r="B1267" t="s">
        <v>4</v>
      </c>
      <c r="C1267">
        <v>4</v>
      </c>
      <c r="D1267" t="s">
        <v>5</v>
      </c>
      <c r="F1267" t="str" cm="1">
        <f t="array" ref="F1267">CategorizeComment(E1267)</f>
        <v>Other</v>
      </c>
      <c r="G1267" t="str" cm="1">
        <f t="array" ref="G1267">SubCategorizeComment(E1267)</f>
        <v>Other</v>
      </c>
    </row>
    <row r="1268" spans="1:7" x14ac:dyDescent="0.25">
      <c r="A1268">
        <v>4962</v>
      </c>
      <c r="B1268" t="s">
        <v>4</v>
      </c>
      <c r="C1268">
        <v>3</v>
      </c>
      <c r="D1268" t="s">
        <v>5</v>
      </c>
      <c r="F1268" t="str" cm="1">
        <f t="array" ref="F1268">CategorizeComment(E1268)</f>
        <v>Other</v>
      </c>
      <c r="G1268" t="str" cm="1">
        <f t="array" ref="G1268">SubCategorizeComment(E1268)</f>
        <v>Other</v>
      </c>
    </row>
    <row r="1269" spans="1:7" x14ac:dyDescent="0.25">
      <c r="A1269">
        <v>4963</v>
      </c>
      <c r="B1269" t="s">
        <v>4</v>
      </c>
      <c r="C1269">
        <v>4</v>
      </c>
      <c r="D1269" t="s">
        <v>5</v>
      </c>
      <c r="F1269" t="str" cm="1">
        <f t="array" ref="F1269">CategorizeComment(E1269)</f>
        <v>Other</v>
      </c>
      <c r="G1269" t="str" cm="1">
        <f t="array" ref="G1269">SubCategorizeComment(E1269)</f>
        <v>Other</v>
      </c>
    </row>
    <row r="1270" spans="1:7" x14ac:dyDescent="0.25">
      <c r="A1270">
        <v>4965</v>
      </c>
      <c r="B1270" t="s">
        <v>4</v>
      </c>
      <c r="C1270">
        <v>3</v>
      </c>
      <c r="D1270" t="s">
        <v>5</v>
      </c>
      <c r="F1270" t="str" cm="1">
        <f t="array" ref="F1270">CategorizeComment(E1270)</f>
        <v>Other</v>
      </c>
      <c r="G1270" t="str" cm="1">
        <f t="array" ref="G1270">SubCategorizeComment(E1270)</f>
        <v>Other</v>
      </c>
    </row>
    <row r="1271" spans="1:7" x14ac:dyDescent="0.25">
      <c r="A1271">
        <v>4975</v>
      </c>
      <c r="B1271" t="s">
        <v>4</v>
      </c>
      <c r="C1271">
        <v>4</v>
      </c>
      <c r="D1271" t="s">
        <v>5</v>
      </c>
      <c r="F1271" t="str" cm="1">
        <f t="array" ref="F1271">CategorizeComment(E1271)</f>
        <v>Other</v>
      </c>
      <c r="G1271" t="str" cm="1">
        <f t="array" ref="G1271">SubCategorizeComment(E1271)</f>
        <v>Other</v>
      </c>
    </row>
    <row r="1272" spans="1:7" x14ac:dyDescent="0.25">
      <c r="A1272">
        <v>4996</v>
      </c>
      <c r="B1272" t="s">
        <v>4</v>
      </c>
      <c r="C1272">
        <v>4</v>
      </c>
      <c r="D1272" t="s">
        <v>5</v>
      </c>
      <c r="F1272" t="str" cm="1">
        <f t="array" ref="F1272">CategorizeComment(E1272)</f>
        <v>Other</v>
      </c>
      <c r="G1272" t="str" cm="1">
        <f t="array" ref="G1272">SubCategorizeComment(E1272)</f>
        <v>Other</v>
      </c>
    </row>
    <row r="1273" spans="1:7" x14ac:dyDescent="0.25">
      <c r="A1273">
        <v>5008</v>
      </c>
      <c r="B1273" t="s">
        <v>4</v>
      </c>
      <c r="C1273">
        <v>3</v>
      </c>
      <c r="D1273" t="s">
        <v>5</v>
      </c>
      <c r="F1273" t="str" cm="1">
        <f t="array" ref="F1273">CategorizeComment(E1273)</f>
        <v>Other</v>
      </c>
      <c r="G1273" t="str" cm="1">
        <f t="array" ref="G1273">SubCategorizeComment(E1273)</f>
        <v>Other</v>
      </c>
    </row>
    <row r="1274" spans="1:7" x14ac:dyDescent="0.25">
      <c r="A1274">
        <v>5009</v>
      </c>
      <c r="B1274" t="s">
        <v>4</v>
      </c>
      <c r="C1274">
        <v>4</v>
      </c>
      <c r="D1274" t="s">
        <v>5</v>
      </c>
      <c r="F1274" t="str" cm="1">
        <f t="array" ref="F1274">CategorizeComment(E1274)</f>
        <v>Other</v>
      </c>
      <c r="G1274" t="str" cm="1">
        <f t="array" ref="G1274">SubCategorizeComment(E1274)</f>
        <v>Other</v>
      </c>
    </row>
    <row r="1275" spans="1:7" x14ac:dyDescent="0.25">
      <c r="A1275">
        <v>5028</v>
      </c>
      <c r="B1275" t="s">
        <v>4</v>
      </c>
      <c r="C1275">
        <v>4</v>
      </c>
      <c r="D1275" t="s">
        <v>5</v>
      </c>
      <c r="F1275" t="str" cm="1">
        <f t="array" ref="F1275">CategorizeComment(E1275)</f>
        <v>Other</v>
      </c>
      <c r="G1275" t="str" cm="1">
        <f t="array" ref="G1275">SubCategorizeComment(E1275)</f>
        <v>Other</v>
      </c>
    </row>
    <row r="1276" spans="1:7" x14ac:dyDescent="0.25">
      <c r="A1276">
        <v>5044</v>
      </c>
      <c r="B1276" t="s">
        <v>4</v>
      </c>
      <c r="C1276">
        <v>3</v>
      </c>
      <c r="D1276" t="s">
        <v>5</v>
      </c>
      <c r="F1276" t="str" cm="1">
        <f t="array" ref="F1276">CategorizeComment(E1276)</f>
        <v>Other</v>
      </c>
      <c r="G1276" t="str" cm="1">
        <f t="array" ref="G1276">SubCategorizeComment(E1276)</f>
        <v>Other</v>
      </c>
    </row>
    <row r="1277" spans="1:7" x14ac:dyDescent="0.25">
      <c r="A1277">
        <v>5047</v>
      </c>
      <c r="B1277" t="s">
        <v>4</v>
      </c>
      <c r="C1277">
        <v>3</v>
      </c>
      <c r="D1277" t="s">
        <v>5</v>
      </c>
      <c r="F1277" t="str" cm="1">
        <f t="array" ref="F1277">CategorizeComment(E1277)</f>
        <v>Other</v>
      </c>
      <c r="G1277" t="str" cm="1">
        <f t="array" ref="G1277">SubCategorizeComment(E1277)</f>
        <v>Other</v>
      </c>
    </row>
    <row r="1278" spans="1:7" x14ac:dyDescent="0.25">
      <c r="A1278">
        <v>5053</v>
      </c>
      <c r="B1278" t="s">
        <v>4</v>
      </c>
      <c r="C1278">
        <v>4</v>
      </c>
      <c r="D1278" t="s">
        <v>5</v>
      </c>
      <c r="F1278" t="str" cm="1">
        <f t="array" ref="F1278">CategorizeComment(E1278)</f>
        <v>Other</v>
      </c>
      <c r="G1278" t="str" cm="1">
        <f t="array" ref="G1278">SubCategorizeComment(E1278)</f>
        <v>Other</v>
      </c>
    </row>
    <row r="1279" spans="1:7" x14ac:dyDescent="0.25">
      <c r="A1279">
        <v>5070</v>
      </c>
      <c r="B1279" t="s">
        <v>4</v>
      </c>
      <c r="C1279">
        <v>3</v>
      </c>
      <c r="D1279" t="s">
        <v>5</v>
      </c>
      <c r="F1279" t="str" cm="1">
        <f t="array" ref="F1279">CategorizeComment(E1279)</f>
        <v>Other</v>
      </c>
      <c r="G1279" t="str" cm="1">
        <f t="array" ref="G1279">SubCategorizeComment(E1279)</f>
        <v>Other</v>
      </c>
    </row>
    <row r="1280" spans="1:7" x14ac:dyDescent="0.25">
      <c r="A1280">
        <v>5101</v>
      </c>
      <c r="B1280" t="s">
        <v>4</v>
      </c>
      <c r="C1280">
        <v>4</v>
      </c>
      <c r="D1280" t="s">
        <v>5</v>
      </c>
      <c r="F1280" t="str" cm="1">
        <f t="array" ref="F1280">CategorizeComment(E1280)</f>
        <v>Other</v>
      </c>
      <c r="G1280" t="str" cm="1">
        <f t="array" ref="G1280">SubCategorizeComment(E1280)</f>
        <v>Other</v>
      </c>
    </row>
    <row r="1281" spans="1:7" x14ac:dyDescent="0.25">
      <c r="A1281">
        <v>5112</v>
      </c>
      <c r="B1281" t="s">
        <v>4</v>
      </c>
      <c r="C1281">
        <v>3</v>
      </c>
      <c r="D1281" t="s">
        <v>5</v>
      </c>
      <c r="F1281" t="str" cm="1">
        <f t="array" ref="F1281">CategorizeComment(E1281)</f>
        <v>Other</v>
      </c>
      <c r="G1281" t="str" cm="1">
        <f t="array" ref="G1281">SubCategorizeComment(E1281)</f>
        <v>Other</v>
      </c>
    </row>
    <row r="1282" spans="1:7" x14ac:dyDescent="0.25">
      <c r="A1282">
        <v>5113</v>
      </c>
      <c r="B1282" t="s">
        <v>4</v>
      </c>
      <c r="C1282">
        <v>4</v>
      </c>
      <c r="D1282" t="s">
        <v>5</v>
      </c>
      <c r="F1282" t="str" cm="1">
        <f t="array" ref="F1282">CategorizeComment(E1282)</f>
        <v>Other</v>
      </c>
      <c r="G1282" t="str" cm="1">
        <f t="array" ref="G1282">SubCategorizeComment(E1282)</f>
        <v>Other</v>
      </c>
    </row>
    <row r="1283" spans="1:7" x14ac:dyDescent="0.25">
      <c r="A1283">
        <v>5116</v>
      </c>
      <c r="B1283" t="s">
        <v>4</v>
      </c>
      <c r="C1283">
        <v>3</v>
      </c>
      <c r="D1283" t="s">
        <v>5</v>
      </c>
      <c r="F1283" t="str" cm="1">
        <f t="array" ref="F1283">CategorizeComment(E1283)</f>
        <v>Other</v>
      </c>
      <c r="G1283" t="str" cm="1">
        <f t="array" ref="G1283">SubCategorizeComment(E1283)</f>
        <v>Other</v>
      </c>
    </row>
    <row r="1284" spans="1:7" x14ac:dyDescent="0.25">
      <c r="A1284">
        <v>5122</v>
      </c>
      <c r="B1284" t="s">
        <v>4</v>
      </c>
      <c r="C1284">
        <v>3</v>
      </c>
      <c r="D1284" t="s">
        <v>5</v>
      </c>
      <c r="F1284" t="str" cm="1">
        <f t="array" ref="F1284">CategorizeComment(E1284)</f>
        <v>Other</v>
      </c>
      <c r="G1284" t="str" cm="1">
        <f t="array" ref="G1284">SubCategorizeComment(E1284)</f>
        <v>Other</v>
      </c>
    </row>
    <row r="1285" spans="1:7" x14ac:dyDescent="0.25">
      <c r="A1285">
        <v>5128</v>
      </c>
      <c r="B1285" t="s">
        <v>4</v>
      </c>
      <c r="C1285">
        <v>4</v>
      </c>
      <c r="D1285" t="s">
        <v>5</v>
      </c>
      <c r="F1285" t="str" cm="1">
        <f t="array" ref="F1285">CategorizeComment(E1285)</f>
        <v>Other</v>
      </c>
      <c r="G1285" t="str" cm="1">
        <f t="array" ref="G1285">SubCategorizeComment(E1285)</f>
        <v>Other</v>
      </c>
    </row>
    <row r="1286" spans="1:7" x14ac:dyDescent="0.25">
      <c r="A1286">
        <v>5132</v>
      </c>
      <c r="B1286" t="s">
        <v>4</v>
      </c>
      <c r="C1286">
        <v>4</v>
      </c>
      <c r="D1286" t="s">
        <v>5</v>
      </c>
      <c r="F1286" t="str" cm="1">
        <f t="array" ref="F1286">CategorizeComment(E1286)</f>
        <v>Other</v>
      </c>
      <c r="G1286" t="str" cm="1">
        <f t="array" ref="G1286">SubCategorizeComment(E1286)</f>
        <v>Other</v>
      </c>
    </row>
    <row r="1287" spans="1:7" x14ac:dyDescent="0.25">
      <c r="A1287">
        <v>5151</v>
      </c>
      <c r="B1287" t="s">
        <v>4</v>
      </c>
      <c r="C1287">
        <v>4</v>
      </c>
      <c r="D1287" t="s">
        <v>5</v>
      </c>
      <c r="F1287" t="str" cm="1">
        <f t="array" ref="F1287">CategorizeComment(E1287)</f>
        <v>Other</v>
      </c>
      <c r="G1287" t="str" cm="1">
        <f t="array" ref="G1287">SubCategorizeComment(E1287)</f>
        <v>Other</v>
      </c>
    </row>
    <row r="1288" spans="1:7" x14ac:dyDescent="0.25">
      <c r="A1288">
        <v>5171</v>
      </c>
      <c r="B1288" t="s">
        <v>4</v>
      </c>
      <c r="C1288">
        <v>3</v>
      </c>
      <c r="D1288" t="s">
        <v>5</v>
      </c>
      <c r="F1288" t="str" cm="1">
        <f t="array" ref="F1288">CategorizeComment(E1288)</f>
        <v>Other</v>
      </c>
      <c r="G1288" t="str" cm="1">
        <f t="array" ref="G1288">SubCategorizeComment(E1288)</f>
        <v>Other</v>
      </c>
    </row>
    <row r="1289" spans="1:7" x14ac:dyDescent="0.25">
      <c r="A1289">
        <v>5202</v>
      </c>
      <c r="B1289" t="s">
        <v>4</v>
      </c>
      <c r="C1289">
        <v>4</v>
      </c>
      <c r="D1289" t="s">
        <v>5</v>
      </c>
      <c r="F1289" t="str" cm="1">
        <f t="array" ref="F1289">CategorizeComment(E1289)</f>
        <v>Other</v>
      </c>
      <c r="G1289" t="str" cm="1">
        <f t="array" ref="G1289">SubCategorizeComment(E1289)</f>
        <v>Other</v>
      </c>
    </row>
    <row r="1290" spans="1:7" x14ac:dyDescent="0.25">
      <c r="A1290">
        <v>5212</v>
      </c>
      <c r="B1290" t="s">
        <v>4</v>
      </c>
      <c r="C1290">
        <v>3</v>
      </c>
      <c r="D1290" t="s">
        <v>5</v>
      </c>
      <c r="F1290" t="str" cm="1">
        <f t="array" ref="F1290">CategorizeComment(E1290)</f>
        <v>Other</v>
      </c>
      <c r="G1290" t="str" cm="1">
        <f t="array" ref="G1290">SubCategorizeComment(E1290)</f>
        <v>Other</v>
      </c>
    </row>
    <row r="1291" spans="1:7" x14ac:dyDescent="0.25">
      <c r="A1291">
        <v>5225</v>
      </c>
      <c r="B1291" t="s">
        <v>4</v>
      </c>
      <c r="C1291">
        <v>3</v>
      </c>
      <c r="D1291" t="s">
        <v>5</v>
      </c>
      <c r="F1291" t="str" cm="1">
        <f t="array" ref="F1291">CategorizeComment(E1291)</f>
        <v>Other</v>
      </c>
      <c r="G1291" t="str" cm="1">
        <f t="array" ref="G1291">SubCategorizeComment(E1291)</f>
        <v>Other</v>
      </c>
    </row>
    <row r="1292" spans="1:7" x14ac:dyDescent="0.25">
      <c r="A1292">
        <v>5240</v>
      </c>
      <c r="B1292" t="s">
        <v>4</v>
      </c>
      <c r="C1292">
        <v>3</v>
      </c>
      <c r="D1292" t="s">
        <v>5</v>
      </c>
      <c r="F1292" t="str" cm="1">
        <f t="array" ref="F1292">CategorizeComment(E1292)</f>
        <v>Other</v>
      </c>
      <c r="G1292" t="str" cm="1">
        <f t="array" ref="G1292">SubCategorizeComment(E1292)</f>
        <v>Other</v>
      </c>
    </row>
    <row r="1293" spans="1:7" x14ac:dyDescent="0.25">
      <c r="A1293">
        <v>5244</v>
      </c>
      <c r="B1293" t="s">
        <v>4</v>
      </c>
      <c r="C1293">
        <v>4</v>
      </c>
      <c r="D1293" t="s">
        <v>5</v>
      </c>
      <c r="F1293" t="str" cm="1">
        <f t="array" ref="F1293">CategorizeComment(E1293)</f>
        <v>Other</v>
      </c>
      <c r="G1293" t="str" cm="1">
        <f t="array" ref="G1293">SubCategorizeComment(E1293)</f>
        <v>Other</v>
      </c>
    </row>
    <row r="1294" spans="1:7" x14ac:dyDescent="0.25">
      <c r="A1294">
        <v>5245</v>
      </c>
      <c r="B1294" t="s">
        <v>4</v>
      </c>
      <c r="C1294">
        <v>3</v>
      </c>
      <c r="D1294" t="s">
        <v>5</v>
      </c>
      <c r="F1294" t="str" cm="1">
        <f t="array" ref="F1294">CategorizeComment(E1294)</f>
        <v>Other</v>
      </c>
      <c r="G1294" t="str" cm="1">
        <f t="array" ref="G1294">SubCategorizeComment(E1294)</f>
        <v>Other</v>
      </c>
    </row>
    <row r="1295" spans="1:7" x14ac:dyDescent="0.25">
      <c r="A1295">
        <v>5249</v>
      </c>
      <c r="B1295" t="s">
        <v>4</v>
      </c>
      <c r="C1295">
        <v>3</v>
      </c>
      <c r="D1295" t="s">
        <v>5</v>
      </c>
      <c r="F1295" t="str" cm="1">
        <f t="array" ref="F1295">CategorizeComment(E1295)</f>
        <v>Other</v>
      </c>
      <c r="G1295" t="str" cm="1">
        <f t="array" ref="G1295">SubCategorizeComment(E1295)</f>
        <v>Other</v>
      </c>
    </row>
    <row r="1296" spans="1:7" x14ac:dyDescent="0.25">
      <c r="A1296">
        <v>5250</v>
      </c>
      <c r="B1296" t="s">
        <v>4</v>
      </c>
      <c r="C1296">
        <v>3</v>
      </c>
      <c r="D1296" t="s">
        <v>5</v>
      </c>
      <c r="F1296" t="str" cm="1">
        <f t="array" ref="F1296">CategorizeComment(E1296)</f>
        <v>Other</v>
      </c>
      <c r="G1296" t="str" cm="1">
        <f t="array" ref="G1296">SubCategorizeComment(E1296)</f>
        <v>Other</v>
      </c>
    </row>
    <row r="1297" spans="1:7" x14ac:dyDescent="0.25">
      <c r="A1297">
        <v>5251</v>
      </c>
      <c r="B1297" t="s">
        <v>4</v>
      </c>
      <c r="C1297">
        <v>3</v>
      </c>
      <c r="D1297" t="s">
        <v>5</v>
      </c>
      <c r="F1297" t="str" cm="1">
        <f t="array" ref="F1297">CategorizeComment(E1297)</f>
        <v>Other</v>
      </c>
      <c r="G1297" t="str" cm="1">
        <f t="array" ref="G1297">SubCategorizeComment(E1297)</f>
        <v>Other</v>
      </c>
    </row>
    <row r="1298" spans="1:7" x14ac:dyDescent="0.25">
      <c r="A1298">
        <v>5253</v>
      </c>
      <c r="B1298" t="s">
        <v>4</v>
      </c>
      <c r="C1298">
        <v>3</v>
      </c>
      <c r="D1298" t="s">
        <v>5</v>
      </c>
      <c r="F1298" t="str" cm="1">
        <f t="array" ref="F1298">CategorizeComment(E1298)</f>
        <v>Other</v>
      </c>
      <c r="G1298" t="str" cm="1">
        <f t="array" ref="G1298">SubCategorizeComment(E1298)</f>
        <v>Other</v>
      </c>
    </row>
    <row r="1299" spans="1:7" x14ac:dyDescent="0.25">
      <c r="A1299">
        <v>5255</v>
      </c>
      <c r="B1299" t="s">
        <v>4</v>
      </c>
      <c r="C1299">
        <v>4</v>
      </c>
      <c r="D1299" t="s">
        <v>5</v>
      </c>
      <c r="F1299" t="str" cm="1">
        <f t="array" ref="F1299">CategorizeComment(E1299)</f>
        <v>Other</v>
      </c>
      <c r="G1299" t="str" cm="1">
        <f t="array" ref="G1299">SubCategorizeComment(E1299)</f>
        <v>Other</v>
      </c>
    </row>
    <row r="1300" spans="1:7" x14ac:dyDescent="0.25">
      <c r="A1300">
        <v>5256</v>
      </c>
      <c r="B1300" t="s">
        <v>4</v>
      </c>
      <c r="C1300">
        <v>4</v>
      </c>
      <c r="D1300" t="s">
        <v>5</v>
      </c>
      <c r="F1300" t="str" cm="1">
        <f t="array" ref="F1300">CategorizeComment(E1300)</f>
        <v>Other</v>
      </c>
      <c r="G1300" t="str" cm="1">
        <f t="array" ref="G1300">SubCategorizeComment(E1300)</f>
        <v>Other</v>
      </c>
    </row>
    <row r="1301" spans="1:7" x14ac:dyDescent="0.25">
      <c r="A1301">
        <v>5271</v>
      </c>
      <c r="B1301" t="s">
        <v>4</v>
      </c>
      <c r="C1301">
        <v>4</v>
      </c>
      <c r="D1301" t="s">
        <v>5</v>
      </c>
      <c r="F1301" t="str" cm="1">
        <f t="array" ref="F1301">CategorizeComment(E1301)</f>
        <v>Other</v>
      </c>
      <c r="G1301" t="str" cm="1">
        <f t="array" ref="G1301">SubCategorizeComment(E1301)</f>
        <v>Other</v>
      </c>
    </row>
    <row r="1302" spans="1:7" x14ac:dyDescent="0.25">
      <c r="A1302">
        <v>5294</v>
      </c>
      <c r="B1302" t="s">
        <v>4</v>
      </c>
      <c r="C1302">
        <v>4</v>
      </c>
      <c r="D1302" t="s">
        <v>5</v>
      </c>
      <c r="F1302" t="str" cm="1">
        <f t="array" ref="F1302">CategorizeComment(E1302)</f>
        <v>Other</v>
      </c>
      <c r="G1302" t="str" cm="1">
        <f t="array" ref="G1302">SubCategorizeComment(E1302)</f>
        <v>Other</v>
      </c>
    </row>
    <row r="1303" spans="1:7" x14ac:dyDescent="0.25">
      <c r="A1303">
        <v>5299</v>
      </c>
      <c r="B1303" t="s">
        <v>4</v>
      </c>
      <c r="C1303">
        <v>4</v>
      </c>
      <c r="D1303" t="s">
        <v>5</v>
      </c>
      <c r="F1303" t="str" cm="1">
        <f t="array" ref="F1303">CategorizeComment(E1303)</f>
        <v>Other</v>
      </c>
      <c r="G1303" t="str" cm="1">
        <f t="array" ref="G1303">SubCategorizeComment(E1303)</f>
        <v>Other</v>
      </c>
    </row>
    <row r="1304" spans="1:7" x14ac:dyDescent="0.25">
      <c r="A1304">
        <v>5300</v>
      </c>
      <c r="B1304" t="s">
        <v>4</v>
      </c>
      <c r="C1304">
        <v>3</v>
      </c>
      <c r="D1304" t="s">
        <v>5</v>
      </c>
      <c r="F1304" t="str" cm="1">
        <f t="array" ref="F1304">CategorizeComment(E1304)</f>
        <v>Other</v>
      </c>
      <c r="G1304" t="str" cm="1">
        <f t="array" ref="G1304">SubCategorizeComment(E1304)</f>
        <v>Other</v>
      </c>
    </row>
    <row r="1305" spans="1:7" x14ac:dyDescent="0.25">
      <c r="A1305">
        <v>5309</v>
      </c>
      <c r="B1305" t="s">
        <v>4</v>
      </c>
      <c r="C1305">
        <v>4</v>
      </c>
      <c r="D1305" t="s">
        <v>5</v>
      </c>
      <c r="F1305" t="str" cm="1">
        <f t="array" ref="F1305">CategorizeComment(E1305)</f>
        <v>Other</v>
      </c>
      <c r="G1305" t="str" cm="1">
        <f t="array" ref="G1305">SubCategorizeComment(E1305)</f>
        <v>Other</v>
      </c>
    </row>
    <row r="1306" spans="1:7" x14ac:dyDescent="0.25">
      <c r="A1306">
        <v>5315</v>
      </c>
      <c r="B1306" t="s">
        <v>4</v>
      </c>
      <c r="C1306">
        <v>3</v>
      </c>
      <c r="D1306" t="s">
        <v>5</v>
      </c>
      <c r="F1306" t="str" cm="1">
        <f t="array" ref="F1306">CategorizeComment(E1306)</f>
        <v>Other</v>
      </c>
      <c r="G1306" t="str" cm="1">
        <f t="array" ref="G1306">SubCategorizeComment(E1306)</f>
        <v>Other</v>
      </c>
    </row>
    <row r="1307" spans="1:7" x14ac:dyDescent="0.25">
      <c r="A1307">
        <v>5318</v>
      </c>
      <c r="B1307" t="s">
        <v>4</v>
      </c>
      <c r="C1307">
        <v>4</v>
      </c>
      <c r="D1307" t="s">
        <v>5</v>
      </c>
      <c r="F1307" t="str" cm="1">
        <f t="array" ref="F1307">CategorizeComment(E1307)</f>
        <v>Other</v>
      </c>
      <c r="G1307" t="str" cm="1">
        <f t="array" ref="G1307">SubCategorizeComment(E1307)</f>
        <v>Other</v>
      </c>
    </row>
    <row r="1308" spans="1:7" x14ac:dyDescent="0.25">
      <c r="A1308">
        <v>5361</v>
      </c>
      <c r="B1308" t="s">
        <v>4</v>
      </c>
      <c r="C1308">
        <v>3</v>
      </c>
      <c r="D1308" t="s">
        <v>5</v>
      </c>
      <c r="F1308" t="str" cm="1">
        <f t="array" ref="F1308">CategorizeComment(E1308)</f>
        <v>Other</v>
      </c>
      <c r="G1308" t="str" cm="1">
        <f t="array" ref="G1308">SubCategorizeComment(E1308)</f>
        <v>Other</v>
      </c>
    </row>
    <row r="1309" spans="1:7" x14ac:dyDescent="0.25">
      <c r="A1309">
        <v>5377</v>
      </c>
      <c r="B1309" t="s">
        <v>4</v>
      </c>
      <c r="C1309">
        <v>3</v>
      </c>
      <c r="D1309" t="s">
        <v>5</v>
      </c>
      <c r="F1309" t="str" cm="1">
        <f t="array" ref="F1309">CategorizeComment(E1309)</f>
        <v>Other</v>
      </c>
      <c r="G1309" t="str" cm="1">
        <f t="array" ref="G1309">SubCategorizeComment(E1309)</f>
        <v>Other</v>
      </c>
    </row>
    <row r="1310" spans="1:7" x14ac:dyDescent="0.25">
      <c r="A1310">
        <v>5379</v>
      </c>
      <c r="B1310" t="s">
        <v>4</v>
      </c>
      <c r="C1310">
        <v>3</v>
      </c>
      <c r="D1310" t="s">
        <v>5</v>
      </c>
      <c r="F1310" t="str" cm="1">
        <f t="array" ref="F1310">CategorizeComment(E1310)</f>
        <v>Other</v>
      </c>
      <c r="G1310" t="str" cm="1">
        <f t="array" ref="G1310">SubCategorizeComment(E1310)</f>
        <v>Other</v>
      </c>
    </row>
    <row r="1311" spans="1:7" x14ac:dyDescent="0.25">
      <c r="A1311">
        <v>5408</v>
      </c>
      <c r="B1311" t="s">
        <v>4</v>
      </c>
      <c r="C1311">
        <v>4</v>
      </c>
      <c r="D1311" t="s">
        <v>5</v>
      </c>
      <c r="F1311" t="str" cm="1">
        <f t="array" ref="F1311">CategorizeComment(E1311)</f>
        <v>Other</v>
      </c>
      <c r="G1311" t="str" cm="1">
        <f t="array" ref="G1311">SubCategorizeComment(E1311)</f>
        <v>Other</v>
      </c>
    </row>
    <row r="1312" spans="1:7" x14ac:dyDescent="0.25">
      <c r="A1312">
        <v>5426</v>
      </c>
      <c r="B1312" t="s">
        <v>4</v>
      </c>
      <c r="C1312">
        <v>4</v>
      </c>
      <c r="D1312" t="s">
        <v>5</v>
      </c>
      <c r="F1312" t="str" cm="1">
        <f t="array" ref="F1312">CategorizeComment(E1312)</f>
        <v>Other</v>
      </c>
      <c r="G1312" t="str" cm="1">
        <f t="array" ref="G1312">SubCategorizeComment(E1312)</f>
        <v>Other</v>
      </c>
    </row>
    <row r="1313" spans="1:7" x14ac:dyDescent="0.25">
      <c r="A1313">
        <v>5443</v>
      </c>
      <c r="B1313" t="s">
        <v>4</v>
      </c>
      <c r="C1313">
        <v>4</v>
      </c>
      <c r="D1313" t="s">
        <v>5</v>
      </c>
      <c r="F1313" t="str" cm="1">
        <f t="array" ref="F1313">CategorizeComment(E1313)</f>
        <v>Other</v>
      </c>
      <c r="G1313" t="str" cm="1">
        <f t="array" ref="G1313">SubCategorizeComment(E1313)</f>
        <v>Other</v>
      </c>
    </row>
    <row r="1314" spans="1:7" x14ac:dyDescent="0.25">
      <c r="A1314">
        <v>5454</v>
      </c>
      <c r="B1314" t="s">
        <v>4</v>
      </c>
      <c r="C1314">
        <v>3</v>
      </c>
      <c r="D1314" t="s">
        <v>5</v>
      </c>
      <c r="F1314" t="str" cm="1">
        <f t="array" ref="F1314">CategorizeComment(E1314)</f>
        <v>Other</v>
      </c>
      <c r="G1314" t="str" cm="1">
        <f t="array" ref="G1314">SubCategorizeComment(E1314)</f>
        <v>Other</v>
      </c>
    </row>
    <row r="1315" spans="1:7" x14ac:dyDescent="0.25">
      <c r="A1315">
        <v>5461</v>
      </c>
      <c r="B1315" t="s">
        <v>4</v>
      </c>
      <c r="C1315">
        <v>3</v>
      </c>
      <c r="D1315" t="s">
        <v>5</v>
      </c>
      <c r="F1315" t="str" cm="1">
        <f t="array" ref="F1315">CategorizeComment(E1315)</f>
        <v>Other</v>
      </c>
      <c r="G1315" t="str" cm="1">
        <f t="array" ref="G1315">SubCategorizeComment(E1315)</f>
        <v>Other</v>
      </c>
    </row>
    <row r="1316" spans="1:7" x14ac:dyDescent="0.25">
      <c r="A1316">
        <v>5474</v>
      </c>
      <c r="B1316" t="s">
        <v>4</v>
      </c>
      <c r="C1316">
        <v>3</v>
      </c>
      <c r="D1316" t="s">
        <v>5</v>
      </c>
      <c r="F1316" t="str" cm="1">
        <f t="array" ref="F1316">CategorizeComment(E1316)</f>
        <v>Other</v>
      </c>
      <c r="G1316" t="str" cm="1">
        <f t="array" ref="G1316">SubCategorizeComment(E1316)</f>
        <v>Other</v>
      </c>
    </row>
    <row r="1317" spans="1:7" x14ac:dyDescent="0.25">
      <c r="A1317">
        <v>5480</v>
      </c>
      <c r="B1317" t="s">
        <v>4</v>
      </c>
      <c r="C1317">
        <v>4</v>
      </c>
      <c r="D1317" t="s">
        <v>5</v>
      </c>
      <c r="F1317" t="str" cm="1">
        <f t="array" ref="F1317">CategorizeComment(E1317)</f>
        <v>Other</v>
      </c>
      <c r="G1317" t="str" cm="1">
        <f t="array" ref="G1317">SubCategorizeComment(E1317)</f>
        <v>Other</v>
      </c>
    </row>
    <row r="1318" spans="1:7" x14ac:dyDescent="0.25">
      <c r="A1318">
        <v>5490</v>
      </c>
      <c r="B1318" t="s">
        <v>4</v>
      </c>
      <c r="C1318">
        <v>3</v>
      </c>
      <c r="D1318" t="s">
        <v>5</v>
      </c>
      <c r="F1318" t="str" cm="1">
        <f t="array" ref="F1318">CategorizeComment(E1318)</f>
        <v>Other</v>
      </c>
      <c r="G1318" t="str" cm="1">
        <f t="array" ref="G1318">SubCategorizeComment(E1318)</f>
        <v>Other</v>
      </c>
    </row>
    <row r="1319" spans="1:7" x14ac:dyDescent="0.25">
      <c r="A1319">
        <v>5492</v>
      </c>
      <c r="B1319" t="s">
        <v>4</v>
      </c>
      <c r="C1319">
        <v>4</v>
      </c>
      <c r="D1319" t="s">
        <v>5</v>
      </c>
      <c r="F1319" t="str" cm="1">
        <f t="array" ref="F1319">CategorizeComment(E1319)</f>
        <v>Other</v>
      </c>
      <c r="G1319" t="str" cm="1">
        <f t="array" ref="G1319">SubCategorizeComment(E1319)</f>
        <v>Other</v>
      </c>
    </row>
    <row r="1320" spans="1:7" x14ac:dyDescent="0.25">
      <c r="A1320">
        <v>5495</v>
      </c>
      <c r="B1320" t="s">
        <v>4</v>
      </c>
      <c r="C1320">
        <v>4</v>
      </c>
      <c r="D1320" t="s">
        <v>5</v>
      </c>
      <c r="F1320" t="str" cm="1">
        <f t="array" ref="F1320">CategorizeComment(E1320)</f>
        <v>Other</v>
      </c>
      <c r="G1320" t="str" cm="1">
        <f t="array" ref="G1320">SubCategorizeComment(E1320)</f>
        <v>Other</v>
      </c>
    </row>
    <row r="1321" spans="1:7" x14ac:dyDescent="0.25">
      <c r="A1321">
        <v>5505</v>
      </c>
      <c r="B1321" t="s">
        <v>4</v>
      </c>
      <c r="C1321">
        <v>4</v>
      </c>
      <c r="D1321" t="s">
        <v>5</v>
      </c>
      <c r="F1321" t="str" cm="1">
        <f t="array" ref="F1321">CategorizeComment(E1321)</f>
        <v>Other</v>
      </c>
      <c r="G1321" t="str" cm="1">
        <f t="array" ref="G1321">SubCategorizeComment(E1321)</f>
        <v>Other</v>
      </c>
    </row>
    <row r="1322" spans="1:7" x14ac:dyDescent="0.25">
      <c r="A1322">
        <v>5511</v>
      </c>
      <c r="B1322" t="s">
        <v>4</v>
      </c>
      <c r="C1322">
        <v>4</v>
      </c>
      <c r="D1322" t="s">
        <v>5</v>
      </c>
      <c r="F1322" t="str" cm="1">
        <f t="array" ref="F1322">CategorizeComment(E1322)</f>
        <v>Other</v>
      </c>
      <c r="G1322" t="str" cm="1">
        <f t="array" ref="G1322">SubCategorizeComment(E1322)</f>
        <v>Other</v>
      </c>
    </row>
    <row r="1323" spans="1:7" x14ac:dyDescent="0.25">
      <c r="A1323">
        <v>5516</v>
      </c>
      <c r="B1323" t="s">
        <v>4</v>
      </c>
      <c r="C1323">
        <v>3</v>
      </c>
      <c r="D1323" t="s">
        <v>5</v>
      </c>
      <c r="F1323" t="str" cm="1">
        <f t="array" ref="F1323">CategorizeComment(E1323)</f>
        <v>Other</v>
      </c>
      <c r="G1323" t="str" cm="1">
        <f t="array" ref="G1323">SubCategorizeComment(E1323)</f>
        <v>Other</v>
      </c>
    </row>
    <row r="1324" spans="1:7" x14ac:dyDescent="0.25">
      <c r="A1324">
        <v>5521</v>
      </c>
      <c r="B1324" t="s">
        <v>4</v>
      </c>
      <c r="C1324">
        <v>3</v>
      </c>
      <c r="D1324" t="s">
        <v>5</v>
      </c>
      <c r="F1324" t="str" cm="1">
        <f t="array" ref="F1324">CategorizeComment(E1324)</f>
        <v>Other</v>
      </c>
      <c r="G1324" t="str" cm="1">
        <f t="array" ref="G1324">SubCategorizeComment(E1324)</f>
        <v>Other</v>
      </c>
    </row>
    <row r="1325" spans="1:7" x14ac:dyDescent="0.25">
      <c r="A1325">
        <v>5526</v>
      </c>
      <c r="B1325" t="s">
        <v>4</v>
      </c>
      <c r="C1325">
        <v>3</v>
      </c>
      <c r="D1325" t="s">
        <v>5</v>
      </c>
      <c r="F1325" t="str" cm="1">
        <f t="array" ref="F1325">CategorizeComment(E1325)</f>
        <v>Other</v>
      </c>
      <c r="G1325" t="str" cm="1">
        <f t="array" ref="G1325">SubCategorizeComment(E1325)</f>
        <v>Other</v>
      </c>
    </row>
    <row r="1326" spans="1:7" x14ac:dyDescent="0.25">
      <c r="A1326">
        <v>5534</v>
      </c>
      <c r="B1326" t="s">
        <v>4</v>
      </c>
      <c r="C1326">
        <v>3</v>
      </c>
      <c r="D1326" t="s">
        <v>5</v>
      </c>
      <c r="F1326" t="str" cm="1">
        <f t="array" ref="F1326">CategorizeComment(E1326)</f>
        <v>Other</v>
      </c>
      <c r="G1326" t="str" cm="1">
        <f t="array" ref="G1326">SubCategorizeComment(E1326)</f>
        <v>Other</v>
      </c>
    </row>
    <row r="1327" spans="1:7" x14ac:dyDescent="0.25">
      <c r="A1327">
        <v>5564</v>
      </c>
      <c r="B1327" t="s">
        <v>4</v>
      </c>
      <c r="C1327">
        <v>4</v>
      </c>
      <c r="D1327" t="s">
        <v>5</v>
      </c>
      <c r="F1327" t="str" cm="1">
        <f t="array" ref="F1327">CategorizeComment(E1327)</f>
        <v>Other</v>
      </c>
      <c r="G1327" t="str" cm="1">
        <f t="array" ref="G1327">SubCategorizeComment(E1327)</f>
        <v>Other</v>
      </c>
    </row>
    <row r="1328" spans="1:7" x14ac:dyDescent="0.25">
      <c r="A1328">
        <v>5581</v>
      </c>
      <c r="B1328" t="s">
        <v>4</v>
      </c>
      <c r="C1328">
        <v>4</v>
      </c>
      <c r="D1328" t="s">
        <v>5</v>
      </c>
      <c r="F1328" t="str" cm="1">
        <f t="array" ref="F1328">CategorizeComment(E1328)</f>
        <v>Other</v>
      </c>
      <c r="G1328" t="str" cm="1">
        <f t="array" ref="G1328">SubCategorizeComment(E1328)</f>
        <v>Other</v>
      </c>
    </row>
    <row r="1329" spans="1:7" x14ac:dyDescent="0.25">
      <c r="A1329">
        <v>5587</v>
      </c>
      <c r="B1329" t="s">
        <v>4</v>
      </c>
      <c r="C1329">
        <v>3</v>
      </c>
      <c r="D1329" t="s">
        <v>5</v>
      </c>
      <c r="F1329" t="str" cm="1">
        <f t="array" ref="F1329">CategorizeComment(E1329)</f>
        <v>Other</v>
      </c>
      <c r="G1329" t="str" cm="1">
        <f t="array" ref="G1329">SubCategorizeComment(E1329)</f>
        <v>Other</v>
      </c>
    </row>
    <row r="1330" spans="1:7" x14ac:dyDescent="0.25">
      <c r="A1330">
        <v>5624</v>
      </c>
      <c r="B1330" t="s">
        <v>4</v>
      </c>
      <c r="C1330">
        <v>4</v>
      </c>
      <c r="D1330" t="s">
        <v>5</v>
      </c>
      <c r="F1330" t="str" cm="1">
        <f t="array" ref="F1330">CategorizeComment(E1330)</f>
        <v>Other</v>
      </c>
      <c r="G1330" t="str" cm="1">
        <f t="array" ref="G1330">SubCategorizeComment(E1330)</f>
        <v>Other</v>
      </c>
    </row>
    <row r="1331" spans="1:7" x14ac:dyDescent="0.25">
      <c r="A1331">
        <v>5633</v>
      </c>
      <c r="B1331" t="s">
        <v>4</v>
      </c>
      <c r="C1331">
        <v>3</v>
      </c>
      <c r="D1331" t="s">
        <v>5</v>
      </c>
      <c r="F1331" t="str" cm="1">
        <f t="array" ref="F1331">CategorizeComment(E1331)</f>
        <v>Other</v>
      </c>
      <c r="G1331" t="str" cm="1">
        <f t="array" ref="G1331">SubCategorizeComment(E1331)</f>
        <v>Other</v>
      </c>
    </row>
    <row r="1332" spans="1:7" x14ac:dyDescent="0.25">
      <c r="A1332">
        <v>5643</v>
      </c>
      <c r="B1332" t="s">
        <v>4</v>
      </c>
      <c r="C1332">
        <v>4</v>
      </c>
      <c r="D1332" t="s">
        <v>5</v>
      </c>
      <c r="F1332" t="str" cm="1">
        <f t="array" ref="F1332">CategorizeComment(E1332)</f>
        <v>Other</v>
      </c>
      <c r="G1332" t="str" cm="1">
        <f t="array" ref="G1332">SubCategorizeComment(E1332)</f>
        <v>Other</v>
      </c>
    </row>
    <row r="1333" spans="1:7" x14ac:dyDescent="0.25">
      <c r="A1333">
        <v>5648</v>
      </c>
      <c r="B1333" t="s">
        <v>4</v>
      </c>
      <c r="C1333">
        <v>4</v>
      </c>
      <c r="D1333" t="s">
        <v>5</v>
      </c>
      <c r="F1333" t="str" cm="1">
        <f t="array" ref="F1333">CategorizeComment(E1333)</f>
        <v>Other</v>
      </c>
      <c r="G1333" t="str" cm="1">
        <f t="array" ref="G1333">SubCategorizeComment(E1333)</f>
        <v>Other</v>
      </c>
    </row>
    <row r="1334" spans="1:7" x14ac:dyDescent="0.25">
      <c r="A1334">
        <v>5676</v>
      </c>
      <c r="B1334" t="s">
        <v>4</v>
      </c>
      <c r="C1334">
        <v>3</v>
      </c>
      <c r="D1334" t="s">
        <v>5</v>
      </c>
      <c r="F1334" t="str" cm="1">
        <f t="array" ref="F1334">CategorizeComment(E1334)</f>
        <v>Other</v>
      </c>
      <c r="G1334" t="str" cm="1">
        <f t="array" ref="G1334">SubCategorizeComment(E1334)</f>
        <v>Other</v>
      </c>
    </row>
    <row r="1335" spans="1:7" x14ac:dyDescent="0.25">
      <c r="A1335">
        <v>5692</v>
      </c>
      <c r="B1335" t="s">
        <v>4</v>
      </c>
      <c r="C1335">
        <v>4</v>
      </c>
      <c r="D1335" t="s">
        <v>5</v>
      </c>
      <c r="F1335" t="str" cm="1">
        <f t="array" ref="F1335">CategorizeComment(E1335)</f>
        <v>Other</v>
      </c>
      <c r="G1335" t="str" cm="1">
        <f t="array" ref="G1335">SubCategorizeComment(E1335)</f>
        <v>Other</v>
      </c>
    </row>
    <row r="1336" spans="1:7" x14ac:dyDescent="0.25">
      <c r="A1336">
        <v>5693</v>
      </c>
      <c r="B1336" t="s">
        <v>4</v>
      </c>
      <c r="C1336">
        <v>4</v>
      </c>
      <c r="D1336" t="s">
        <v>5</v>
      </c>
      <c r="F1336" t="str" cm="1">
        <f t="array" ref="F1336">CategorizeComment(E1336)</f>
        <v>Other</v>
      </c>
      <c r="G1336" t="str" cm="1">
        <f t="array" ref="G1336">SubCategorizeComment(E1336)</f>
        <v>Other</v>
      </c>
    </row>
    <row r="1337" spans="1:7" x14ac:dyDescent="0.25">
      <c r="A1337">
        <v>5699</v>
      </c>
      <c r="B1337" t="s">
        <v>4</v>
      </c>
      <c r="C1337">
        <v>4</v>
      </c>
      <c r="D1337" t="s">
        <v>5</v>
      </c>
      <c r="F1337" t="str" cm="1">
        <f t="array" ref="F1337">CategorizeComment(E1337)</f>
        <v>Other</v>
      </c>
      <c r="G1337" t="str" cm="1">
        <f t="array" ref="G1337">SubCategorizeComment(E1337)</f>
        <v>Other</v>
      </c>
    </row>
    <row r="1338" spans="1:7" x14ac:dyDescent="0.25">
      <c r="A1338">
        <v>5725</v>
      </c>
      <c r="B1338" t="s">
        <v>4</v>
      </c>
      <c r="C1338">
        <v>4</v>
      </c>
      <c r="D1338" t="s">
        <v>5</v>
      </c>
      <c r="F1338" t="str" cm="1">
        <f t="array" ref="F1338">CategorizeComment(E1338)</f>
        <v>Other</v>
      </c>
      <c r="G1338" t="str" cm="1">
        <f t="array" ref="G1338">SubCategorizeComment(E1338)</f>
        <v>Other</v>
      </c>
    </row>
    <row r="1339" spans="1:7" x14ac:dyDescent="0.25">
      <c r="A1339">
        <v>5726</v>
      </c>
      <c r="B1339" t="s">
        <v>4</v>
      </c>
      <c r="C1339">
        <v>3</v>
      </c>
      <c r="D1339" t="s">
        <v>5</v>
      </c>
      <c r="F1339" t="str" cm="1">
        <f t="array" ref="F1339">CategorizeComment(E1339)</f>
        <v>Other</v>
      </c>
      <c r="G1339" t="str" cm="1">
        <f t="array" ref="G1339">SubCategorizeComment(E1339)</f>
        <v>Other</v>
      </c>
    </row>
    <row r="1340" spans="1:7" x14ac:dyDescent="0.25">
      <c r="A1340">
        <v>5736</v>
      </c>
      <c r="B1340" t="s">
        <v>4</v>
      </c>
      <c r="C1340">
        <v>4</v>
      </c>
      <c r="D1340" t="s">
        <v>5</v>
      </c>
      <c r="F1340" t="str" cm="1">
        <f t="array" ref="F1340">CategorizeComment(E1340)</f>
        <v>Other</v>
      </c>
      <c r="G1340" t="str" cm="1">
        <f t="array" ref="G1340">SubCategorizeComment(E1340)</f>
        <v>Other</v>
      </c>
    </row>
    <row r="1341" spans="1:7" x14ac:dyDescent="0.25">
      <c r="A1341">
        <v>5744</v>
      </c>
      <c r="B1341" t="s">
        <v>4</v>
      </c>
      <c r="C1341">
        <v>3</v>
      </c>
      <c r="D1341" t="s">
        <v>5</v>
      </c>
      <c r="F1341" t="str" cm="1">
        <f t="array" ref="F1341">CategorizeComment(E1341)</f>
        <v>Other</v>
      </c>
      <c r="G1341" t="str" cm="1">
        <f t="array" ref="G1341">SubCategorizeComment(E1341)</f>
        <v>Other</v>
      </c>
    </row>
    <row r="1342" spans="1:7" x14ac:dyDescent="0.25">
      <c r="A1342">
        <v>5752</v>
      </c>
      <c r="B1342" t="s">
        <v>4</v>
      </c>
      <c r="C1342">
        <v>3</v>
      </c>
      <c r="D1342" t="s">
        <v>5</v>
      </c>
      <c r="F1342" t="str" cm="1">
        <f t="array" ref="F1342">CategorizeComment(E1342)</f>
        <v>Other</v>
      </c>
      <c r="G1342" t="str" cm="1">
        <f t="array" ref="G1342">SubCategorizeComment(E1342)</f>
        <v>Other</v>
      </c>
    </row>
    <row r="1343" spans="1:7" x14ac:dyDescent="0.25">
      <c r="A1343">
        <v>5754</v>
      </c>
      <c r="B1343" t="s">
        <v>4</v>
      </c>
      <c r="C1343">
        <v>3</v>
      </c>
      <c r="D1343" t="s">
        <v>5</v>
      </c>
      <c r="F1343" t="str" cm="1">
        <f t="array" ref="F1343">CategorizeComment(E1343)</f>
        <v>Other</v>
      </c>
      <c r="G1343" t="str" cm="1">
        <f t="array" ref="G1343">SubCategorizeComment(E1343)</f>
        <v>Other</v>
      </c>
    </row>
    <row r="1344" spans="1:7" x14ac:dyDescent="0.25">
      <c r="A1344">
        <v>5758</v>
      </c>
      <c r="B1344" t="s">
        <v>4</v>
      </c>
      <c r="C1344">
        <v>3</v>
      </c>
      <c r="D1344" t="s">
        <v>5</v>
      </c>
      <c r="F1344" t="str" cm="1">
        <f t="array" ref="F1344">CategorizeComment(E1344)</f>
        <v>Other</v>
      </c>
      <c r="G1344" t="str" cm="1">
        <f t="array" ref="G1344">SubCategorizeComment(E1344)</f>
        <v>Other</v>
      </c>
    </row>
    <row r="1345" spans="1:7" x14ac:dyDescent="0.25">
      <c r="A1345">
        <v>5769</v>
      </c>
      <c r="B1345" t="s">
        <v>4</v>
      </c>
      <c r="C1345">
        <v>4</v>
      </c>
      <c r="D1345" t="s">
        <v>5</v>
      </c>
      <c r="F1345" t="str" cm="1">
        <f t="array" ref="F1345">CategorizeComment(E1345)</f>
        <v>Other</v>
      </c>
      <c r="G1345" t="str" cm="1">
        <f t="array" ref="G1345">SubCategorizeComment(E1345)</f>
        <v>Other</v>
      </c>
    </row>
    <row r="1346" spans="1:7" x14ac:dyDescent="0.25">
      <c r="A1346">
        <v>5801</v>
      </c>
      <c r="B1346" t="s">
        <v>4</v>
      </c>
      <c r="C1346">
        <v>3</v>
      </c>
      <c r="D1346" t="s">
        <v>5</v>
      </c>
      <c r="F1346" t="str" cm="1">
        <f t="array" ref="F1346">CategorizeComment(E1346)</f>
        <v>Other</v>
      </c>
      <c r="G1346" t="str" cm="1">
        <f t="array" ref="G1346">SubCategorizeComment(E1346)</f>
        <v>Other</v>
      </c>
    </row>
    <row r="1347" spans="1:7" x14ac:dyDescent="0.25">
      <c r="A1347">
        <v>5802</v>
      </c>
      <c r="B1347" t="s">
        <v>4</v>
      </c>
      <c r="C1347">
        <v>3</v>
      </c>
      <c r="D1347" t="s">
        <v>5</v>
      </c>
      <c r="F1347" t="str" cm="1">
        <f t="array" ref="F1347">CategorizeComment(E1347)</f>
        <v>Other</v>
      </c>
      <c r="G1347" t="str" cm="1">
        <f t="array" ref="G1347">SubCategorizeComment(E1347)</f>
        <v>Other</v>
      </c>
    </row>
    <row r="1348" spans="1:7" x14ac:dyDescent="0.25">
      <c r="A1348">
        <v>5817</v>
      </c>
      <c r="B1348" t="s">
        <v>4</v>
      </c>
      <c r="C1348">
        <v>4</v>
      </c>
      <c r="D1348" t="s">
        <v>5</v>
      </c>
      <c r="F1348" t="str" cm="1">
        <f t="array" ref="F1348">CategorizeComment(E1348)</f>
        <v>Other</v>
      </c>
      <c r="G1348" t="str" cm="1">
        <f t="array" ref="G1348">SubCategorizeComment(E1348)</f>
        <v>Other</v>
      </c>
    </row>
    <row r="1349" spans="1:7" x14ac:dyDescent="0.25">
      <c r="A1349">
        <v>5818</v>
      </c>
      <c r="B1349" t="s">
        <v>4</v>
      </c>
      <c r="C1349">
        <v>3</v>
      </c>
      <c r="D1349" t="s">
        <v>5</v>
      </c>
      <c r="F1349" t="str" cm="1">
        <f t="array" ref="F1349">CategorizeComment(E1349)</f>
        <v>Other</v>
      </c>
      <c r="G1349" t="str" cm="1">
        <f t="array" ref="G1349">SubCategorizeComment(E1349)</f>
        <v>Other</v>
      </c>
    </row>
    <row r="1350" spans="1:7" x14ac:dyDescent="0.25">
      <c r="A1350">
        <v>5829</v>
      </c>
      <c r="B1350" t="s">
        <v>4</v>
      </c>
      <c r="C1350">
        <v>3</v>
      </c>
      <c r="D1350" t="s">
        <v>5</v>
      </c>
      <c r="F1350" t="str" cm="1">
        <f t="array" ref="F1350">CategorizeComment(E1350)</f>
        <v>Other</v>
      </c>
      <c r="G1350" t="str" cm="1">
        <f t="array" ref="G1350">SubCategorizeComment(E1350)</f>
        <v>Other</v>
      </c>
    </row>
    <row r="1351" spans="1:7" x14ac:dyDescent="0.25">
      <c r="A1351">
        <v>5841</v>
      </c>
      <c r="B1351" t="s">
        <v>4</v>
      </c>
      <c r="C1351">
        <v>3</v>
      </c>
      <c r="D1351" t="s">
        <v>5</v>
      </c>
      <c r="F1351" t="str" cm="1">
        <f t="array" ref="F1351">CategorizeComment(E1351)</f>
        <v>Other</v>
      </c>
      <c r="G1351" t="str" cm="1">
        <f t="array" ref="G1351">SubCategorizeComment(E1351)</f>
        <v>Other</v>
      </c>
    </row>
    <row r="1352" spans="1:7" x14ac:dyDescent="0.25">
      <c r="A1352">
        <v>5860</v>
      </c>
      <c r="B1352" t="s">
        <v>4</v>
      </c>
      <c r="C1352">
        <v>4</v>
      </c>
      <c r="D1352" t="s">
        <v>5</v>
      </c>
      <c r="F1352" t="str" cm="1">
        <f t="array" ref="F1352">CategorizeComment(E1352)</f>
        <v>Other</v>
      </c>
      <c r="G1352" t="str" cm="1">
        <f t="array" ref="G1352">SubCategorizeComment(E1352)</f>
        <v>Other</v>
      </c>
    </row>
    <row r="1353" spans="1:7" x14ac:dyDescent="0.25">
      <c r="A1353">
        <v>5868</v>
      </c>
      <c r="B1353" t="s">
        <v>4</v>
      </c>
      <c r="C1353">
        <v>4</v>
      </c>
      <c r="D1353" t="s">
        <v>5</v>
      </c>
      <c r="F1353" t="str" cm="1">
        <f t="array" ref="F1353">CategorizeComment(E1353)</f>
        <v>Other</v>
      </c>
      <c r="G1353" t="str" cm="1">
        <f t="array" ref="G1353">SubCategorizeComment(E1353)</f>
        <v>Other</v>
      </c>
    </row>
    <row r="1354" spans="1:7" x14ac:dyDescent="0.25">
      <c r="A1354">
        <v>5870</v>
      </c>
      <c r="B1354" t="s">
        <v>4</v>
      </c>
      <c r="C1354">
        <v>3</v>
      </c>
      <c r="D1354" t="s">
        <v>5</v>
      </c>
      <c r="F1354" t="str" cm="1">
        <f t="array" ref="F1354">CategorizeComment(E1354)</f>
        <v>Other</v>
      </c>
      <c r="G1354" t="str" cm="1">
        <f t="array" ref="G1354">SubCategorizeComment(E1354)</f>
        <v>Other</v>
      </c>
    </row>
    <row r="1355" spans="1:7" x14ac:dyDescent="0.25">
      <c r="A1355">
        <v>5893</v>
      </c>
      <c r="B1355" t="s">
        <v>4</v>
      </c>
      <c r="C1355">
        <v>3</v>
      </c>
      <c r="D1355" t="s">
        <v>5</v>
      </c>
      <c r="F1355" t="str" cm="1">
        <f t="array" ref="F1355">CategorizeComment(E1355)</f>
        <v>Other</v>
      </c>
      <c r="G1355" t="str" cm="1">
        <f t="array" ref="G1355">SubCategorizeComment(E1355)</f>
        <v>Other</v>
      </c>
    </row>
    <row r="1356" spans="1:7" x14ac:dyDescent="0.25">
      <c r="A1356">
        <v>5895</v>
      </c>
      <c r="B1356" t="s">
        <v>4</v>
      </c>
      <c r="C1356">
        <v>4</v>
      </c>
      <c r="D1356" t="s">
        <v>5</v>
      </c>
      <c r="F1356" t="str" cm="1">
        <f t="array" ref="F1356">CategorizeComment(E1356)</f>
        <v>Other</v>
      </c>
      <c r="G1356" t="str" cm="1">
        <f t="array" ref="G1356">SubCategorizeComment(E1356)</f>
        <v>Other</v>
      </c>
    </row>
    <row r="1357" spans="1:7" x14ac:dyDescent="0.25">
      <c r="A1357">
        <v>5900</v>
      </c>
      <c r="B1357" t="s">
        <v>4</v>
      </c>
      <c r="C1357">
        <v>4</v>
      </c>
      <c r="D1357" t="s">
        <v>5</v>
      </c>
      <c r="F1357" t="str" cm="1">
        <f t="array" ref="F1357">CategorizeComment(E1357)</f>
        <v>Other</v>
      </c>
      <c r="G1357" t="str" cm="1">
        <f t="array" ref="G1357">SubCategorizeComment(E1357)</f>
        <v>Other</v>
      </c>
    </row>
    <row r="1358" spans="1:7" x14ac:dyDescent="0.25">
      <c r="A1358">
        <v>5901</v>
      </c>
      <c r="B1358" t="s">
        <v>4</v>
      </c>
      <c r="C1358">
        <v>3</v>
      </c>
      <c r="D1358" t="s">
        <v>5</v>
      </c>
      <c r="F1358" t="str" cm="1">
        <f t="array" ref="F1358">CategorizeComment(E1358)</f>
        <v>Other</v>
      </c>
      <c r="G1358" t="str" cm="1">
        <f t="array" ref="G1358">SubCategorizeComment(E1358)</f>
        <v>Other</v>
      </c>
    </row>
    <row r="1359" spans="1:7" x14ac:dyDescent="0.25">
      <c r="A1359">
        <v>5911</v>
      </c>
      <c r="B1359" t="s">
        <v>4</v>
      </c>
      <c r="C1359">
        <v>3</v>
      </c>
      <c r="D1359" t="s">
        <v>5</v>
      </c>
      <c r="F1359" t="str" cm="1">
        <f t="array" ref="F1359">CategorizeComment(E1359)</f>
        <v>Other</v>
      </c>
      <c r="G1359" t="str" cm="1">
        <f t="array" ref="G1359">SubCategorizeComment(E1359)</f>
        <v>Other</v>
      </c>
    </row>
    <row r="1360" spans="1:7" x14ac:dyDescent="0.25">
      <c r="A1360">
        <v>5941</v>
      </c>
      <c r="B1360" t="s">
        <v>4</v>
      </c>
      <c r="C1360">
        <v>3</v>
      </c>
      <c r="D1360" t="s">
        <v>5</v>
      </c>
      <c r="F1360" t="str" cm="1">
        <f t="array" ref="F1360">CategorizeComment(E1360)</f>
        <v>Other</v>
      </c>
      <c r="G1360" t="str" cm="1">
        <f t="array" ref="G1360">SubCategorizeComment(E1360)</f>
        <v>Other</v>
      </c>
    </row>
    <row r="1361" spans="1:7" x14ac:dyDescent="0.25">
      <c r="A1361">
        <v>5947</v>
      </c>
      <c r="B1361" t="s">
        <v>4</v>
      </c>
      <c r="C1361">
        <v>4</v>
      </c>
      <c r="D1361" t="s">
        <v>5</v>
      </c>
      <c r="F1361" t="str" cm="1">
        <f t="array" ref="F1361">CategorizeComment(E1361)</f>
        <v>Other</v>
      </c>
      <c r="G1361" t="str" cm="1">
        <f t="array" ref="G1361">SubCategorizeComment(E1361)</f>
        <v>Other</v>
      </c>
    </row>
    <row r="1362" spans="1:7" x14ac:dyDescent="0.25">
      <c r="A1362">
        <v>5959</v>
      </c>
      <c r="B1362" t="s">
        <v>4</v>
      </c>
      <c r="C1362">
        <v>3</v>
      </c>
      <c r="D1362" t="s">
        <v>5</v>
      </c>
      <c r="F1362" t="str" cm="1">
        <f t="array" ref="F1362">CategorizeComment(E1362)</f>
        <v>Other</v>
      </c>
      <c r="G1362" t="str" cm="1">
        <f t="array" ref="G1362">SubCategorizeComment(E1362)</f>
        <v>Other</v>
      </c>
    </row>
    <row r="1363" spans="1:7" x14ac:dyDescent="0.25">
      <c r="A1363">
        <v>5960</v>
      </c>
      <c r="B1363" t="s">
        <v>4</v>
      </c>
      <c r="C1363">
        <v>4</v>
      </c>
      <c r="D1363" t="s">
        <v>5</v>
      </c>
      <c r="F1363" t="str" cm="1">
        <f t="array" ref="F1363">CategorizeComment(E1363)</f>
        <v>Other</v>
      </c>
      <c r="G1363" t="str" cm="1">
        <f t="array" ref="G1363">SubCategorizeComment(E1363)</f>
        <v>Other</v>
      </c>
    </row>
    <row r="1364" spans="1:7" x14ac:dyDescent="0.25">
      <c r="A1364">
        <v>6000</v>
      </c>
      <c r="B1364" t="s">
        <v>4</v>
      </c>
      <c r="C1364">
        <v>4</v>
      </c>
      <c r="D1364" t="s">
        <v>5</v>
      </c>
      <c r="F1364" t="str" cm="1">
        <f t="array" ref="F1364">CategorizeComment(E1364)</f>
        <v>Other</v>
      </c>
      <c r="G1364" t="str" cm="1">
        <f t="array" ref="G1364">SubCategorizeComment(E1364)</f>
        <v>Other</v>
      </c>
    </row>
    <row r="1365" spans="1:7" x14ac:dyDescent="0.25">
      <c r="A1365">
        <v>6011</v>
      </c>
      <c r="B1365" t="s">
        <v>4</v>
      </c>
      <c r="C1365">
        <v>4</v>
      </c>
      <c r="D1365" t="s">
        <v>5</v>
      </c>
      <c r="F1365" t="str" cm="1">
        <f t="array" ref="F1365">CategorizeComment(E1365)</f>
        <v>Other</v>
      </c>
      <c r="G1365" t="str" cm="1">
        <f t="array" ref="G1365">SubCategorizeComment(E1365)</f>
        <v>Other</v>
      </c>
    </row>
    <row r="1366" spans="1:7" x14ac:dyDescent="0.25">
      <c r="A1366">
        <v>6014</v>
      </c>
      <c r="B1366" t="s">
        <v>4</v>
      </c>
      <c r="C1366">
        <v>3</v>
      </c>
      <c r="D1366" t="s">
        <v>5</v>
      </c>
      <c r="F1366" t="str" cm="1">
        <f t="array" ref="F1366">CategorizeComment(E1366)</f>
        <v>Other</v>
      </c>
      <c r="G1366" t="str" cm="1">
        <f t="array" ref="G1366">SubCategorizeComment(E1366)</f>
        <v>Other</v>
      </c>
    </row>
    <row r="1367" spans="1:7" x14ac:dyDescent="0.25">
      <c r="A1367">
        <v>6021</v>
      </c>
      <c r="B1367" t="s">
        <v>4</v>
      </c>
      <c r="C1367">
        <v>3</v>
      </c>
      <c r="D1367" t="s">
        <v>5</v>
      </c>
      <c r="F1367" t="str" cm="1">
        <f t="array" ref="F1367">CategorizeComment(E1367)</f>
        <v>Other</v>
      </c>
      <c r="G1367" t="str" cm="1">
        <f t="array" ref="G1367">SubCategorizeComment(E1367)</f>
        <v>Other</v>
      </c>
    </row>
    <row r="1368" spans="1:7" x14ac:dyDescent="0.25">
      <c r="A1368">
        <v>6029</v>
      </c>
      <c r="B1368" t="s">
        <v>4</v>
      </c>
      <c r="C1368">
        <v>3</v>
      </c>
      <c r="D1368" t="s">
        <v>5</v>
      </c>
      <c r="F1368" t="str" cm="1">
        <f t="array" ref="F1368">CategorizeComment(E1368)</f>
        <v>Other</v>
      </c>
      <c r="G1368" t="str" cm="1">
        <f t="array" ref="G1368">SubCategorizeComment(E1368)</f>
        <v>Other</v>
      </c>
    </row>
    <row r="1369" spans="1:7" x14ac:dyDescent="0.25">
      <c r="A1369">
        <v>6030</v>
      </c>
      <c r="B1369" t="s">
        <v>4</v>
      </c>
      <c r="C1369">
        <v>3</v>
      </c>
      <c r="D1369" t="s">
        <v>5</v>
      </c>
      <c r="F1369" t="str" cm="1">
        <f t="array" ref="F1369">CategorizeComment(E1369)</f>
        <v>Other</v>
      </c>
      <c r="G1369" t="str" cm="1">
        <f t="array" ref="G1369">SubCategorizeComment(E1369)</f>
        <v>Other</v>
      </c>
    </row>
    <row r="1370" spans="1:7" x14ac:dyDescent="0.25">
      <c r="A1370">
        <v>6036</v>
      </c>
      <c r="B1370" t="s">
        <v>4</v>
      </c>
      <c r="C1370">
        <v>3</v>
      </c>
      <c r="D1370" t="s">
        <v>5</v>
      </c>
      <c r="F1370" t="str" cm="1">
        <f t="array" ref="F1370">CategorizeComment(E1370)</f>
        <v>Other</v>
      </c>
      <c r="G1370" t="str" cm="1">
        <f t="array" ref="G1370">SubCategorizeComment(E1370)</f>
        <v>Other</v>
      </c>
    </row>
    <row r="1371" spans="1:7" x14ac:dyDescent="0.25">
      <c r="A1371">
        <v>6042</v>
      </c>
      <c r="B1371" t="s">
        <v>4</v>
      </c>
      <c r="C1371">
        <v>4</v>
      </c>
      <c r="D1371" t="s">
        <v>5</v>
      </c>
      <c r="F1371" t="str" cm="1">
        <f t="array" ref="F1371">CategorizeComment(E1371)</f>
        <v>Other</v>
      </c>
      <c r="G1371" t="str" cm="1">
        <f t="array" ref="G1371">SubCategorizeComment(E1371)</f>
        <v>Other</v>
      </c>
    </row>
    <row r="1372" spans="1:7" x14ac:dyDescent="0.25">
      <c r="A1372">
        <v>6047</v>
      </c>
      <c r="B1372" t="s">
        <v>4</v>
      </c>
      <c r="C1372">
        <v>4</v>
      </c>
      <c r="D1372" t="s">
        <v>5</v>
      </c>
      <c r="F1372" t="str" cm="1">
        <f t="array" ref="F1372">CategorizeComment(E1372)</f>
        <v>Other</v>
      </c>
      <c r="G1372" t="str" cm="1">
        <f t="array" ref="G1372">SubCategorizeComment(E1372)</f>
        <v>Other</v>
      </c>
    </row>
    <row r="1373" spans="1:7" x14ac:dyDescent="0.25">
      <c r="A1373">
        <v>6059</v>
      </c>
      <c r="B1373" t="s">
        <v>4</v>
      </c>
      <c r="C1373">
        <v>4</v>
      </c>
      <c r="D1373" t="s">
        <v>5</v>
      </c>
      <c r="F1373" t="str" cm="1">
        <f t="array" ref="F1373">CategorizeComment(E1373)</f>
        <v>Other</v>
      </c>
      <c r="G1373" t="str" cm="1">
        <f t="array" ref="G1373">SubCategorizeComment(E1373)</f>
        <v>Other</v>
      </c>
    </row>
    <row r="1374" spans="1:7" x14ac:dyDescent="0.25">
      <c r="A1374">
        <v>6070</v>
      </c>
      <c r="B1374" t="s">
        <v>4</v>
      </c>
      <c r="C1374">
        <v>3</v>
      </c>
      <c r="D1374" t="s">
        <v>5</v>
      </c>
      <c r="F1374" t="str" cm="1">
        <f t="array" ref="F1374">CategorizeComment(E1374)</f>
        <v>Other</v>
      </c>
      <c r="G1374" t="str" cm="1">
        <f t="array" ref="G1374">SubCategorizeComment(E1374)</f>
        <v>Other</v>
      </c>
    </row>
    <row r="1375" spans="1:7" x14ac:dyDescent="0.25">
      <c r="A1375">
        <v>6078</v>
      </c>
      <c r="B1375" t="s">
        <v>4</v>
      </c>
      <c r="C1375">
        <v>3</v>
      </c>
      <c r="D1375" t="s">
        <v>5</v>
      </c>
      <c r="F1375" t="str" cm="1">
        <f t="array" ref="F1375">CategorizeComment(E1375)</f>
        <v>Other</v>
      </c>
      <c r="G1375" t="str" cm="1">
        <f t="array" ref="G1375">SubCategorizeComment(E1375)</f>
        <v>Other</v>
      </c>
    </row>
    <row r="1376" spans="1:7" x14ac:dyDescent="0.25">
      <c r="A1376">
        <v>6098</v>
      </c>
      <c r="B1376" t="s">
        <v>4</v>
      </c>
      <c r="C1376">
        <v>4</v>
      </c>
      <c r="D1376" t="s">
        <v>5</v>
      </c>
      <c r="F1376" t="str" cm="1">
        <f t="array" ref="F1376">CategorizeComment(E1376)</f>
        <v>Other</v>
      </c>
      <c r="G1376" t="str" cm="1">
        <f t="array" ref="G1376">SubCategorizeComment(E1376)</f>
        <v>Other</v>
      </c>
    </row>
    <row r="1377" spans="1:7" x14ac:dyDescent="0.25">
      <c r="A1377">
        <v>6159</v>
      </c>
      <c r="B1377" t="s">
        <v>4</v>
      </c>
      <c r="C1377">
        <v>4</v>
      </c>
      <c r="D1377" t="s">
        <v>5</v>
      </c>
      <c r="F1377" t="str" cm="1">
        <f t="array" ref="F1377">CategorizeComment(E1377)</f>
        <v>Other</v>
      </c>
      <c r="G1377" t="str" cm="1">
        <f t="array" ref="G1377">SubCategorizeComment(E1377)</f>
        <v>Other</v>
      </c>
    </row>
    <row r="1378" spans="1:7" x14ac:dyDescent="0.25">
      <c r="A1378">
        <v>6163</v>
      </c>
      <c r="B1378" t="s">
        <v>4</v>
      </c>
      <c r="C1378">
        <v>4</v>
      </c>
      <c r="D1378" t="s">
        <v>5</v>
      </c>
      <c r="F1378" t="str" cm="1">
        <f t="array" ref="F1378">CategorizeComment(E1378)</f>
        <v>Other</v>
      </c>
      <c r="G1378" t="str" cm="1">
        <f t="array" ref="G1378">SubCategorizeComment(E1378)</f>
        <v>Other</v>
      </c>
    </row>
    <row r="1379" spans="1:7" x14ac:dyDescent="0.25">
      <c r="A1379">
        <v>6168</v>
      </c>
      <c r="B1379" t="s">
        <v>4</v>
      </c>
      <c r="C1379">
        <v>4</v>
      </c>
      <c r="D1379" t="s">
        <v>5</v>
      </c>
      <c r="F1379" t="str" cm="1">
        <f t="array" ref="F1379">CategorizeComment(E1379)</f>
        <v>Other</v>
      </c>
      <c r="G1379" t="str" cm="1">
        <f t="array" ref="G1379">SubCategorizeComment(E1379)</f>
        <v>Other</v>
      </c>
    </row>
    <row r="1380" spans="1:7" x14ac:dyDescent="0.25">
      <c r="A1380">
        <v>6173</v>
      </c>
      <c r="B1380" t="s">
        <v>4</v>
      </c>
      <c r="C1380">
        <v>3</v>
      </c>
      <c r="D1380" t="s">
        <v>5</v>
      </c>
      <c r="F1380" t="str" cm="1">
        <f t="array" ref="F1380">CategorizeComment(E1380)</f>
        <v>Other</v>
      </c>
      <c r="G1380" t="str" cm="1">
        <f t="array" ref="G1380">SubCategorizeComment(E1380)</f>
        <v>Other</v>
      </c>
    </row>
    <row r="1381" spans="1:7" x14ac:dyDescent="0.25">
      <c r="A1381">
        <v>6185</v>
      </c>
      <c r="B1381" t="s">
        <v>4</v>
      </c>
      <c r="C1381">
        <v>4</v>
      </c>
      <c r="D1381" t="s">
        <v>5</v>
      </c>
      <c r="F1381" t="str" cm="1">
        <f t="array" ref="F1381">CategorizeComment(E1381)</f>
        <v>Other</v>
      </c>
      <c r="G1381" t="str" cm="1">
        <f t="array" ref="G1381">SubCategorizeComment(E1381)</f>
        <v>Other</v>
      </c>
    </row>
    <row r="1382" spans="1:7" x14ac:dyDescent="0.25">
      <c r="A1382">
        <v>6204</v>
      </c>
      <c r="B1382" t="s">
        <v>4</v>
      </c>
      <c r="C1382">
        <v>3</v>
      </c>
      <c r="D1382" t="s">
        <v>5</v>
      </c>
      <c r="F1382" t="str" cm="1">
        <f t="array" ref="F1382">CategorizeComment(E1382)</f>
        <v>Other</v>
      </c>
      <c r="G1382" t="str" cm="1">
        <f t="array" ref="G1382">SubCategorizeComment(E1382)</f>
        <v>Other</v>
      </c>
    </row>
    <row r="1383" spans="1:7" x14ac:dyDescent="0.25">
      <c r="A1383">
        <v>6211</v>
      </c>
      <c r="B1383" t="s">
        <v>4</v>
      </c>
      <c r="C1383">
        <v>4</v>
      </c>
      <c r="D1383" t="s">
        <v>5</v>
      </c>
      <c r="F1383" t="str" cm="1">
        <f t="array" ref="F1383">CategorizeComment(E1383)</f>
        <v>Other</v>
      </c>
      <c r="G1383" t="str" cm="1">
        <f t="array" ref="G1383">SubCategorizeComment(E1383)</f>
        <v>Other</v>
      </c>
    </row>
    <row r="1384" spans="1:7" x14ac:dyDescent="0.25">
      <c r="A1384">
        <v>6213</v>
      </c>
      <c r="B1384" t="s">
        <v>4</v>
      </c>
      <c r="C1384">
        <v>3</v>
      </c>
      <c r="D1384" t="s">
        <v>5</v>
      </c>
      <c r="F1384" t="str" cm="1">
        <f t="array" ref="F1384">CategorizeComment(E1384)</f>
        <v>Other</v>
      </c>
      <c r="G1384" t="str" cm="1">
        <f t="array" ref="G1384">SubCategorizeComment(E1384)</f>
        <v>Other</v>
      </c>
    </row>
    <row r="1385" spans="1:7" x14ac:dyDescent="0.25">
      <c r="A1385">
        <v>6216</v>
      </c>
      <c r="B1385" t="s">
        <v>4</v>
      </c>
      <c r="C1385">
        <v>3</v>
      </c>
      <c r="D1385" t="s">
        <v>5</v>
      </c>
      <c r="F1385" t="str" cm="1">
        <f t="array" ref="F1385">CategorizeComment(E1385)</f>
        <v>Other</v>
      </c>
      <c r="G1385" t="str" cm="1">
        <f t="array" ref="G1385">SubCategorizeComment(E1385)</f>
        <v>Other</v>
      </c>
    </row>
    <row r="1386" spans="1:7" x14ac:dyDescent="0.25">
      <c r="A1386">
        <v>6222</v>
      </c>
      <c r="B1386" t="s">
        <v>4</v>
      </c>
      <c r="C1386">
        <v>4</v>
      </c>
      <c r="D1386" t="s">
        <v>5</v>
      </c>
      <c r="F1386" t="str" cm="1">
        <f t="array" ref="F1386">CategorizeComment(E1386)</f>
        <v>Other</v>
      </c>
      <c r="G1386" t="str" cm="1">
        <f t="array" ref="G1386">SubCategorizeComment(E1386)</f>
        <v>Other</v>
      </c>
    </row>
    <row r="1387" spans="1:7" x14ac:dyDescent="0.25">
      <c r="A1387">
        <v>6236</v>
      </c>
      <c r="B1387" t="s">
        <v>4</v>
      </c>
      <c r="C1387">
        <v>4</v>
      </c>
      <c r="D1387" t="s">
        <v>5</v>
      </c>
      <c r="F1387" t="str" cm="1">
        <f t="array" ref="F1387">CategorizeComment(E1387)</f>
        <v>Other</v>
      </c>
      <c r="G1387" t="str" cm="1">
        <f t="array" ref="G1387">SubCategorizeComment(E1387)</f>
        <v>Other</v>
      </c>
    </row>
    <row r="1388" spans="1:7" x14ac:dyDescent="0.25">
      <c r="A1388">
        <v>6237</v>
      </c>
      <c r="B1388" t="s">
        <v>4</v>
      </c>
      <c r="C1388">
        <v>4</v>
      </c>
      <c r="D1388" t="s">
        <v>5</v>
      </c>
      <c r="F1388" t="str" cm="1">
        <f t="array" ref="F1388">CategorizeComment(E1388)</f>
        <v>Other</v>
      </c>
      <c r="G1388" t="str" cm="1">
        <f t="array" ref="G1388">SubCategorizeComment(E1388)</f>
        <v>Other</v>
      </c>
    </row>
    <row r="1389" spans="1:7" x14ac:dyDescent="0.25">
      <c r="A1389">
        <v>6245</v>
      </c>
      <c r="B1389" t="s">
        <v>4</v>
      </c>
      <c r="C1389">
        <v>3</v>
      </c>
      <c r="D1389" t="s">
        <v>5</v>
      </c>
      <c r="F1389" t="str" cm="1">
        <f t="array" ref="F1389">CategorizeComment(E1389)</f>
        <v>Other</v>
      </c>
      <c r="G1389" t="str" cm="1">
        <f t="array" ref="G1389">SubCategorizeComment(E1389)</f>
        <v>Other</v>
      </c>
    </row>
    <row r="1390" spans="1:7" x14ac:dyDescent="0.25">
      <c r="A1390">
        <v>6272</v>
      </c>
      <c r="B1390" t="s">
        <v>4</v>
      </c>
      <c r="C1390">
        <v>4</v>
      </c>
      <c r="D1390" t="s">
        <v>5</v>
      </c>
      <c r="F1390" t="str" cm="1">
        <f t="array" ref="F1390">CategorizeComment(E1390)</f>
        <v>Other</v>
      </c>
      <c r="G1390" t="str" cm="1">
        <f t="array" ref="G1390">SubCategorizeComment(E1390)</f>
        <v>Other</v>
      </c>
    </row>
    <row r="1391" spans="1:7" x14ac:dyDescent="0.25">
      <c r="A1391">
        <v>6273</v>
      </c>
      <c r="B1391" t="s">
        <v>4</v>
      </c>
      <c r="C1391">
        <v>3</v>
      </c>
      <c r="D1391" t="s">
        <v>5</v>
      </c>
      <c r="F1391" t="str" cm="1">
        <f t="array" ref="F1391">CategorizeComment(E1391)</f>
        <v>Other</v>
      </c>
      <c r="G1391" t="str" cm="1">
        <f t="array" ref="G1391">SubCategorizeComment(E1391)</f>
        <v>Other</v>
      </c>
    </row>
    <row r="1392" spans="1:7" x14ac:dyDescent="0.25">
      <c r="A1392">
        <v>6276</v>
      </c>
      <c r="B1392" t="s">
        <v>4</v>
      </c>
      <c r="C1392">
        <v>4</v>
      </c>
      <c r="D1392" t="s">
        <v>5</v>
      </c>
      <c r="F1392" t="str" cm="1">
        <f t="array" ref="F1392">CategorizeComment(E1392)</f>
        <v>Other</v>
      </c>
      <c r="G1392" t="str" cm="1">
        <f t="array" ref="G1392">SubCategorizeComment(E1392)</f>
        <v>Other</v>
      </c>
    </row>
    <row r="1393" spans="1:7" x14ac:dyDescent="0.25">
      <c r="A1393">
        <v>6323</v>
      </c>
      <c r="B1393" t="s">
        <v>4</v>
      </c>
      <c r="C1393">
        <v>4</v>
      </c>
      <c r="D1393" t="s">
        <v>5</v>
      </c>
      <c r="F1393" t="str" cm="1">
        <f t="array" ref="F1393">CategorizeComment(E1393)</f>
        <v>Other</v>
      </c>
      <c r="G1393" t="str" cm="1">
        <f t="array" ref="G1393">SubCategorizeComment(E1393)</f>
        <v>Other</v>
      </c>
    </row>
    <row r="1394" spans="1:7" x14ac:dyDescent="0.25">
      <c r="A1394">
        <v>6346</v>
      </c>
      <c r="B1394" t="s">
        <v>4</v>
      </c>
      <c r="C1394">
        <v>3</v>
      </c>
      <c r="D1394" t="s">
        <v>5</v>
      </c>
      <c r="F1394" t="str" cm="1">
        <f t="array" ref="F1394">CategorizeComment(E1394)</f>
        <v>Other</v>
      </c>
      <c r="G1394" t="str" cm="1">
        <f t="array" ref="G1394">SubCategorizeComment(E1394)</f>
        <v>Other</v>
      </c>
    </row>
    <row r="1395" spans="1:7" x14ac:dyDescent="0.25">
      <c r="A1395">
        <v>6371</v>
      </c>
      <c r="B1395" t="s">
        <v>4</v>
      </c>
      <c r="C1395">
        <v>4</v>
      </c>
      <c r="D1395" t="s">
        <v>5</v>
      </c>
      <c r="F1395" t="str" cm="1">
        <f t="array" ref="F1395">CategorizeComment(E1395)</f>
        <v>Other</v>
      </c>
      <c r="G1395" t="str" cm="1">
        <f t="array" ref="G1395">SubCategorizeComment(E1395)</f>
        <v>Other</v>
      </c>
    </row>
    <row r="1396" spans="1:7" x14ac:dyDescent="0.25">
      <c r="A1396">
        <v>6378</v>
      </c>
      <c r="B1396" t="s">
        <v>4</v>
      </c>
      <c r="C1396">
        <v>3</v>
      </c>
      <c r="D1396" t="s">
        <v>5</v>
      </c>
      <c r="F1396" t="str" cm="1">
        <f t="array" ref="F1396">CategorizeComment(E1396)</f>
        <v>Other</v>
      </c>
      <c r="G1396" t="str" cm="1">
        <f t="array" ref="G1396">SubCategorizeComment(E1396)</f>
        <v>Other</v>
      </c>
    </row>
    <row r="1397" spans="1:7" x14ac:dyDescent="0.25">
      <c r="A1397">
        <v>6384</v>
      </c>
      <c r="B1397" t="s">
        <v>4</v>
      </c>
      <c r="C1397">
        <v>3</v>
      </c>
      <c r="D1397" t="s">
        <v>5</v>
      </c>
      <c r="F1397" t="str" cm="1">
        <f t="array" ref="F1397">CategorizeComment(E1397)</f>
        <v>Other</v>
      </c>
      <c r="G1397" t="str" cm="1">
        <f t="array" ref="G1397">SubCategorizeComment(E1397)</f>
        <v>Other</v>
      </c>
    </row>
    <row r="1398" spans="1:7" x14ac:dyDescent="0.25">
      <c r="A1398">
        <v>6415</v>
      </c>
      <c r="B1398" t="s">
        <v>4</v>
      </c>
      <c r="C1398">
        <v>3</v>
      </c>
      <c r="D1398" t="s">
        <v>5</v>
      </c>
      <c r="F1398" t="str" cm="1">
        <f t="array" ref="F1398">CategorizeComment(E1398)</f>
        <v>Other</v>
      </c>
      <c r="G1398" t="str" cm="1">
        <f t="array" ref="G1398">SubCategorizeComment(E1398)</f>
        <v>Other</v>
      </c>
    </row>
    <row r="1399" spans="1:7" x14ac:dyDescent="0.25">
      <c r="A1399">
        <v>6421</v>
      </c>
      <c r="B1399" t="s">
        <v>4</v>
      </c>
      <c r="C1399">
        <v>4</v>
      </c>
      <c r="D1399" t="s">
        <v>5</v>
      </c>
      <c r="F1399" t="str" cm="1">
        <f t="array" ref="F1399">CategorizeComment(E1399)</f>
        <v>Other</v>
      </c>
      <c r="G1399" t="str" cm="1">
        <f t="array" ref="G1399">SubCategorizeComment(E1399)</f>
        <v>Other</v>
      </c>
    </row>
    <row r="1400" spans="1:7" x14ac:dyDescent="0.25">
      <c r="A1400">
        <v>6424</v>
      </c>
      <c r="B1400" t="s">
        <v>4</v>
      </c>
      <c r="C1400">
        <v>3</v>
      </c>
      <c r="D1400" t="s">
        <v>5</v>
      </c>
      <c r="F1400" t="str" cm="1">
        <f t="array" ref="F1400">CategorizeComment(E1400)</f>
        <v>Other</v>
      </c>
      <c r="G1400" t="str" cm="1">
        <f t="array" ref="G1400">SubCategorizeComment(E1400)</f>
        <v>Other</v>
      </c>
    </row>
    <row r="1401" spans="1:7" x14ac:dyDescent="0.25">
      <c r="A1401">
        <v>6425</v>
      </c>
      <c r="B1401" t="s">
        <v>4</v>
      </c>
      <c r="C1401">
        <v>4</v>
      </c>
      <c r="D1401" t="s">
        <v>5</v>
      </c>
      <c r="F1401" t="str" cm="1">
        <f t="array" ref="F1401">CategorizeComment(E1401)</f>
        <v>Other</v>
      </c>
      <c r="G1401" t="str" cm="1">
        <f t="array" ref="G1401">SubCategorizeComment(E1401)</f>
        <v>Other</v>
      </c>
    </row>
    <row r="1402" spans="1:7" x14ac:dyDescent="0.25">
      <c r="A1402">
        <v>6430</v>
      </c>
      <c r="B1402" t="s">
        <v>4</v>
      </c>
      <c r="C1402">
        <v>3</v>
      </c>
      <c r="D1402" t="s">
        <v>5</v>
      </c>
      <c r="F1402" t="str" cm="1">
        <f t="array" ref="F1402">CategorizeComment(E1402)</f>
        <v>Other</v>
      </c>
      <c r="G1402" t="str" cm="1">
        <f t="array" ref="G1402">SubCategorizeComment(E1402)</f>
        <v>Other</v>
      </c>
    </row>
    <row r="1403" spans="1:7" x14ac:dyDescent="0.25">
      <c r="A1403">
        <v>6458</v>
      </c>
      <c r="B1403" t="s">
        <v>4</v>
      </c>
      <c r="C1403">
        <v>4</v>
      </c>
      <c r="D1403" t="s">
        <v>5</v>
      </c>
      <c r="F1403" t="str" cm="1">
        <f t="array" ref="F1403">CategorizeComment(E1403)</f>
        <v>Other</v>
      </c>
      <c r="G1403" t="str" cm="1">
        <f t="array" ref="G1403">SubCategorizeComment(E1403)</f>
        <v>Other</v>
      </c>
    </row>
    <row r="1404" spans="1:7" x14ac:dyDescent="0.25">
      <c r="A1404">
        <v>6467</v>
      </c>
      <c r="B1404" t="s">
        <v>4</v>
      </c>
      <c r="C1404">
        <v>4</v>
      </c>
      <c r="D1404" t="s">
        <v>5</v>
      </c>
      <c r="F1404" t="str" cm="1">
        <f t="array" ref="F1404">CategorizeComment(E1404)</f>
        <v>Other</v>
      </c>
      <c r="G1404" t="str" cm="1">
        <f t="array" ref="G1404">SubCategorizeComment(E1404)</f>
        <v>Other</v>
      </c>
    </row>
    <row r="1405" spans="1:7" x14ac:dyDescent="0.25">
      <c r="A1405">
        <v>6474</v>
      </c>
      <c r="B1405" t="s">
        <v>4</v>
      </c>
      <c r="C1405">
        <v>3</v>
      </c>
      <c r="D1405" t="s">
        <v>5</v>
      </c>
      <c r="F1405" t="str" cm="1">
        <f t="array" ref="F1405">CategorizeComment(E1405)</f>
        <v>Other</v>
      </c>
      <c r="G1405" t="str" cm="1">
        <f t="array" ref="G1405">SubCategorizeComment(E1405)</f>
        <v>Other</v>
      </c>
    </row>
    <row r="1406" spans="1:7" x14ac:dyDescent="0.25">
      <c r="A1406">
        <v>6485</v>
      </c>
      <c r="B1406" t="s">
        <v>4</v>
      </c>
      <c r="C1406">
        <v>3</v>
      </c>
      <c r="D1406" t="s">
        <v>5</v>
      </c>
      <c r="F1406" t="str" cm="1">
        <f t="array" ref="F1406">CategorizeComment(E1406)</f>
        <v>Other</v>
      </c>
      <c r="G1406" t="str" cm="1">
        <f t="array" ref="G1406">SubCategorizeComment(E1406)</f>
        <v>Other</v>
      </c>
    </row>
    <row r="1407" spans="1:7" x14ac:dyDescent="0.25">
      <c r="A1407">
        <v>6510</v>
      </c>
      <c r="B1407" t="s">
        <v>4</v>
      </c>
      <c r="C1407">
        <v>3</v>
      </c>
      <c r="D1407" t="s">
        <v>5</v>
      </c>
      <c r="F1407" t="str" cm="1">
        <f t="array" ref="F1407">CategorizeComment(E1407)</f>
        <v>Other</v>
      </c>
      <c r="G1407" t="str" cm="1">
        <f t="array" ref="G1407">SubCategorizeComment(E1407)</f>
        <v>Other</v>
      </c>
    </row>
    <row r="1408" spans="1:7" x14ac:dyDescent="0.25">
      <c r="A1408">
        <v>6515</v>
      </c>
      <c r="B1408" t="s">
        <v>4</v>
      </c>
      <c r="C1408">
        <v>4</v>
      </c>
      <c r="D1408" t="s">
        <v>5</v>
      </c>
      <c r="F1408" t="str" cm="1">
        <f t="array" ref="F1408">CategorizeComment(E1408)</f>
        <v>Other</v>
      </c>
      <c r="G1408" t="str" cm="1">
        <f t="array" ref="G1408">SubCategorizeComment(E1408)</f>
        <v>Other</v>
      </c>
    </row>
    <row r="1409" spans="1:7" x14ac:dyDescent="0.25">
      <c r="A1409">
        <v>6517</v>
      </c>
      <c r="B1409" t="s">
        <v>4</v>
      </c>
      <c r="C1409">
        <v>3</v>
      </c>
      <c r="D1409" t="s">
        <v>5</v>
      </c>
      <c r="F1409" t="str" cm="1">
        <f t="array" ref="F1409">CategorizeComment(E1409)</f>
        <v>Other</v>
      </c>
      <c r="G1409" t="str" cm="1">
        <f t="array" ref="G1409">SubCategorizeComment(E1409)</f>
        <v>Other</v>
      </c>
    </row>
    <row r="1410" spans="1:7" x14ac:dyDescent="0.25">
      <c r="A1410">
        <v>6529</v>
      </c>
      <c r="B1410" t="s">
        <v>4</v>
      </c>
      <c r="C1410">
        <v>3</v>
      </c>
      <c r="D1410" t="s">
        <v>5</v>
      </c>
      <c r="F1410" t="str" cm="1">
        <f t="array" ref="F1410">CategorizeComment(E1410)</f>
        <v>Other</v>
      </c>
      <c r="G1410" t="str" cm="1">
        <f t="array" ref="G1410">SubCategorizeComment(E1410)</f>
        <v>Other</v>
      </c>
    </row>
    <row r="1411" spans="1:7" x14ac:dyDescent="0.25">
      <c r="A1411">
        <v>6577</v>
      </c>
      <c r="B1411" t="s">
        <v>4</v>
      </c>
      <c r="C1411">
        <v>4</v>
      </c>
      <c r="D1411" t="s">
        <v>5</v>
      </c>
      <c r="F1411" t="str" cm="1">
        <f t="array" ref="F1411">CategorizeComment(E1411)</f>
        <v>Other</v>
      </c>
      <c r="G1411" t="str" cm="1">
        <f t="array" ref="G1411">SubCategorizeComment(E1411)</f>
        <v>Other</v>
      </c>
    </row>
    <row r="1412" spans="1:7" x14ac:dyDescent="0.25">
      <c r="A1412">
        <v>6619</v>
      </c>
      <c r="B1412" t="s">
        <v>4</v>
      </c>
      <c r="C1412">
        <v>4</v>
      </c>
      <c r="D1412" t="s">
        <v>5</v>
      </c>
      <c r="F1412" t="str" cm="1">
        <f t="array" ref="F1412">CategorizeComment(E1412)</f>
        <v>Other</v>
      </c>
      <c r="G1412" t="str" cm="1">
        <f t="array" ref="G1412">SubCategorizeComment(E1412)</f>
        <v>Other</v>
      </c>
    </row>
    <row r="1413" spans="1:7" x14ac:dyDescent="0.25">
      <c r="A1413">
        <v>6623</v>
      </c>
      <c r="B1413" t="s">
        <v>4</v>
      </c>
      <c r="C1413">
        <v>4</v>
      </c>
      <c r="D1413" t="s">
        <v>5</v>
      </c>
      <c r="F1413" t="str" cm="1">
        <f t="array" ref="F1413">CategorizeComment(E1413)</f>
        <v>Other</v>
      </c>
      <c r="G1413" t="str" cm="1">
        <f t="array" ref="G1413">SubCategorizeComment(E1413)</f>
        <v>Other</v>
      </c>
    </row>
    <row r="1414" spans="1:7" x14ac:dyDescent="0.25">
      <c r="A1414">
        <v>6626</v>
      </c>
      <c r="B1414" t="s">
        <v>4</v>
      </c>
      <c r="C1414">
        <v>3</v>
      </c>
      <c r="D1414" t="s">
        <v>5</v>
      </c>
      <c r="F1414" t="str" cm="1">
        <f t="array" ref="F1414">CategorizeComment(E1414)</f>
        <v>Other</v>
      </c>
      <c r="G1414" t="str" cm="1">
        <f t="array" ref="G1414">SubCategorizeComment(E1414)</f>
        <v>Other</v>
      </c>
    </row>
    <row r="1415" spans="1:7" x14ac:dyDescent="0.25">
      <c r="A1415">
        <v>6642</v>
      </c>
      <c r="B1415" t="s">
        <v>4</v>
      </c>
      <c r="C1415">
        <v>4</v>
      </c>
      <c r="D1415" t="s">
        <v>5</v>
      </c>
      <c r="F1415" t="str" cm="1">
        <f t="array" ref="F1415">CategorizeComment(E1415)</f>
        <v>Other</v>
      </c>
      <c r="G1415" t="str" cm="1">
        <f t="array" ref="G1415">SubCategorizeComment(E1415)</f>
        <v>Other</v>
      </c>
    </row>
    <row r="1416" spans="1:7" x14ac:dyDescent="0.25">
      <c r="A1416">
        <v>6648</v>
      </c>
      <c r="B1416" t="s">
        <v>4</v>
      </c>
      <c r="C1416">
        <v>4</v>
      </c>
      <c r="D1416" t="s">
        <v>5</v>
      </c>
      <c r="F1416" t="str" cm="1">
        <f t="array" ref="F1416">CategorizeComment(E1416)</f>
        <v>Other</v>
      </c>
      <c r="G1416" t="str" cm="1">
        <f t="array" ref="G1416">SubCategorizeComment(E1416)</f>
        <v>Other</v>
      </c>
    </row>
    <row r="1417" spans="1:7" x14ac:dyDescent="0.25">
      <c r="A1417">
        <v>6650</v>
      </c>
      <c r="B1417" t="s">
        <v>4</v>
      </c>
      <c r="C1417">
        <v>4</v>
      </c>
      <c r="D1417" t="s">
        <v>5</v>
      </c>
      <c r="F1417" t="str" cm="1">
        <f t="array" ref="F1417">CategorizeComment(E1417)</f>
        <v>Other</v>
      </c>
      <c r="G1417" t="str" cm="1">
        <f t="array" ref="G1417">SubCategorizeComment(E1417)</f>
        <v>Other</v>
      </c>
    </row>
    <row r="1418" spans="1:7" x14ac:dyDescent="0.25">
      <c r="A1418">
        <v>6652</v>
      </c>
      <c r="B1418" t="s">
        <v>4</v>
      </c>
      <c r="C1418">
        <v>3</v>
      </c>
      <c r="D1418" t="s">
        <v>5</v>
      </c>
      <c r="F1418" t="str" cm="1">
        <f t="array" ref="F1418">CategorizeComment(E1418)</f>
        <v>Other</v>
      </c>
      <c r="G1418" t="str" cm="1">
        <f t="array" ref="G1418">SubCategorizeComment(E1418)</f>
        <v>Other</v>
      </c>
    </row>
    <row r="1419" spans="1:7" x14ac:dyDescent="0.25">
      <c r="A1419">
        <v>6663</v>
      </c>
      <c r="B1419" t="s">
        <v>4</v>
      </c>
      <c r="C1419">
        <v>4</v>
      </c>
      <c r="D1419" t="s">
        <v>5</v>
      </c>
      <c r="F1419" t="str" cm="1">
        <f t="array" ref="F1419">CategorizeComment(E1419)</f>
        <v>Other</v>
      </c>
      <c r="G1419" t="str" cm="1">
        <f t="array" ref="G1419">SubCategorizeComment(E1419)</f>
        <v>Other</v>
      </c>
    </row>
    <row r="1420" spans="1:7" x14ac:dyDescent="0.25">
      <c r="A1420">
        <v>6694</v>
      </c>
      <c r="B1420" t="s">
        <v>4</v>
      </c>
      <c r="C1420">
        <v>4</v>
      </c>
      <c r="D1420" t="s">
        <v>5</v>
      </c>
      <c r="F1420" t="str" cm="1">
        <f t="array" ref="F1420">CategorizeComment(E1420)</f>
        <v>Other</v>
      </c>
      <c r="G1420" t="str" cm="1">
        <f t="array" ref="G1420">SubCategorizeComment(E1420)</f>
        <v>Other</v>
      </c>
    </row>
    <row r="1421" spans="1:7" x14ac:dyDescent="0.25">
      <c r="A1421">
        <v>6696</v>
      </c>
      <c r="B1421" t="s">
        <v>4</v>
      </c>
      <c r="C1421">
        <v>4</v>
      </c>
      <c r="D1421" t="s">
        <v>5</v>
      </c>
      <c r="F1421" t="str" cm="1">
        <f t="array" ref="F1421">CategorizeComment(E1421)</f>
        <v>Other</v>
      </c>
      <c r="G1421" t="str" cm="1">
        <f t="array" ref="G1421">SubCategorizeComment(E1421)</f>
        <v>Other</v>
      </c>
    </row>
    <row r="1422" spans="1:7" x14ac:dyDescent="0.25">
      <c r="A1422">
        <v>6697</v>
      </c>
      <c r="B1422" t="s">
        <v>4</v>
      </c>
      <c r="C1422">
        <v>4</v>
      </c>
      <c r="D1422" t="s">
        <v>5</v>
      </c>
      <c r="F1422" t="str" cm="1">
        <f t="array" ref="F1422">CategorizeComment(E1422)</f>
        <v>Other</v>
      </c>
      <c r="G1422" t="str" cm="1">
        <f t="array" ref="G1422">SubCategorizeComment(E1422)</f>
        <v>Other</v>
      </c>
    </row>
    <row r="1423" spans="1:7" x14ac:dyDescent="0.25">
      <c r="A1423">
        <v>6707</v>
      </c>
      <c r="B1423" t="s">
        <v>4</v>
      </c>
      <c r="C1423">
        <v>3</v>
      </c>
      <c r="D1423" t="s">
        <v>5</v>
      </c>
      <c r="F1423" t="str" cm="1">
        <f t="array" ref="F1423">CategorizeComment(E1423)</f>
        <v>Other</v>
      </c>
      <c r="G1423" t="str" cm="1">
        <f t="array" ref="G1423">SubCategorizeComment(E1423)</f>
        <v>Other</v>
      </c>
    </row>
    <row r="1424" spans="1:7" x14ac:dyDescent="0.25">
      <c r="A1424">
        <v>6716</v>
      </c>
      <c r="B1424" t="s">
        <v>4</v>
      </c>
      <c r="C1424">
        <v>4</v>
      </c>
      <c r="D1424" t="s">
        <v>5</v>
      </c>
      <c r="F1424" t="str" cm="1">
        <f t="array" ref="F1424">CategorizeComment(E1424)</f>
        <v>Other</v>
      </c>
      <c r="G1424" t="str" cm="1">
        <f t="array" ref="G1424">SubCategorizeComment(E1424)</f>
        <v>Other</v>
      </c>
    </row>
    <row r="1425" spans="1:7" x14ac:dyDescent="0.25">
      <c r="A1425">
        <v>6745</v>
      </c>
      <c r="B1425" t="s">
        <v>4</v>
      </c>
      <c r="C1425">
        <v>3</v>
      </c>
      <c r="D1425" t="s">
        <v>5</v>
      </c>
      <c r="F1425" t="str" cm="1">
        <f t="array" ref="F1425">CategorizeComment(E1425)</f>
        <v>Other</v>
      </c>
      <c r="G1425" t="str" cm="1">
        <f t="array" ref="G1425">SubCategorizeComment(E1425)</f>
        <v>Other</v>
      </c>
    </row>
    <row r="1426" spans="1:7" x14ac:dyDescent="0.25">
      <c r="A1426">
        <v>6785</v>
      </c>
      <c r="B1426" t="s">
        <v>4</v>
      </c>
      <c r="C1426">
        <v>2</v>
      </c>
      <c r="D1426" t="s">
        <v>5</v>
      </c>
      <c r="F1426" t="str" cm="1">
        <f t="array" ref="F1426">CategorizeComment(E1426)</f>
        <v>Other</v>
      </c>
      <c r="G1426" t="str" cm="1">
        <f t="array" ref="G1426">SubCategorizeComment(E1426)</f>
        <v>Other</v>
      </c>
    </row>
    <row r="1427" spans="1:7" x14ac:dyDescent="0.25">
      <c r="A1427">
        <v>6786</v>
      </c>
      <c r="B1427" t="s">
        <v>4</v>
      </c>
      <c r="C1427">
        <v>3</v>
      </c>
      <c r="D1427" t="s">
        <v>5</v>
      </c>
      <c r="F1427" t="str" cm="1">
        <f t="array" ref="F1427">CategorizeComment(E1427)</f>
        <v>Other</v>
      </c>
      <c r="G1427" t="str" cm="1">
        <f t="array" ref="G1427">SubCategorizeComment(E1427)</f>
        <v>Other</v>
      </c>
    </row>
    <row r="1428" spans="1:7" x14ac:dyDescent="0.25">
      <c r="A1428">
        <v>6794</v>
      </c>
      <c r="B1428" t="s">
        <v>4</v>
      </c>
      <c r="C1428">
        <v>4</v>
      </c>
      <c r="D1428" t="s">
        <v>5</v>
      </c>
      <c r="F1428" t="str" cm="1">
        <f t="array" ref="F1428">CategorizeComment(E1428)</f>
        <v>Other</v>
      </c>
      <c r="G1428" t="str" cm="1">
        <f t="array" ref="G1428">SubCategorizeComment(E1428)</f>
        <v>Other</v>
      </c>
    </row>
    <row r="1429" spans="1:7" x14ac:dyDescent="0.25">
      <c r="A1429">
        <v>6801</v>
      </c>
      <c r="B1429" t="s">
        <v>4</v>
      </c>
      <c r="C1429">
        <v>4</v>
      </c>
      <c r="D1429" t="s">
        <v>5</v>
      </c>
      <c r="F1429" t="str" cm="1">
        <f t="array" ref="F1429">CategorizeComment(E1429)</f>
        <v>Other</v>
      </c>
      <c r="G1429" t="str" cm="1">
        <f t="array" ref="G1429">SubCategorizeComment(E1429)</f>
        <v>Other</v>
      </c>
    </row>
    <row r="1430" spans="1:7" x14ac:dyDescent="0.25">
      <c r="A1430">
        <v>6805</v>
      </c>
      <c r="B1430" t="s">
        <v>4</v>
      </c>
      <c r="C1430">
        <v>3</v>
      </c>
      <c r="D1430" t="s">
        <v>5</v>
      </c>
      <c r="F1430" t="str" cm="1">
        <f t="array" ref="F1430">CategorizeComment(E1430)</f>
        <v>Other</v>
      </c>
      <c r="G1430" t="str" cm="1">
        <f t="array" ref="G1430">SubCategorizeComment(E1430)</f>
        <v>Other</v>
      </c>
    </row>
    <row r="1431" spans="1:7" x14ac:dyDescent="0.25">
      <c r="A1431">
        <v>6824</v>
      </c>
      <c r="B1431" t="s">
        <v>4</v>
      </c>
      <c r="C1431">
        <v>3</v>
      </c>
      <c r="D1431" t="s">
        <v>5</v>
      </c>
      <c r="F1431" t="str" cm="1">
        <f t="array" ref="F1431">CategorizeComment(E1431)</f>
        <v>Other</v>
      </c>
      <c r="G1431" t="str" cm="1">
        <f t="array" ref="G1431">SubCategorizeComment(E1431)</f>
        <v>Other</v>
      </c>
    </row>
    <row r="1432" spans="1:7" x14ac:dyDescent="0.25">
      <c r="A1432">
        <v>6826</v>
      </c>
      <c r="B1432" t="s">
        <v>4</v>
      </c>
      <c r="C1432">
        <v>4</v>
      </c>
      <c r="D1432" t="s">
        <v>5</v>
      </c>
      <c r="F1432" t="str" cm="1">
        <f t="array" ref="F1432">CategorizeComment(E1432)</f>
        <v>Other</v>
      </c>
      <c r="G1432" t="str" cm="1">
        <f t="array" ref="G1432">SubCategorizeComment(E1432)</f>
        <v>Other</v>
      </c>
    </row>
    <row r="1433" spans="1:7" x14ac:dyDescent="0.25">
      <c r="A1433">
        <v>6830</v>
      </c>
      <c r="B1433" t="s">
        <v>4</v>
      </c>
      <c r="C1433">
        <v>4</v>
      </c>
      <c r="D1433" t="s">
        <v>5</v>
      </c>
      <c r="F1433" t="str" cm="1">
        <f t="array" ref="F1433">CategorizeComment(E1433)</f>
        <v>Other</v>
      </c>
      <c r="G1433" t="str" cm="1">
        <f t="array" ref="G1433">SubCategorizeComment(E1433)</f>
        <v>Other</v>
      </c>
    </row>
    <row r="1434" spans="1:7" x14ac:dyDescent="0.25">
      <c r="A1434">
        <v>6847</v>
      </c>
      <c r="B1434" t="s">
        <v>4</v>
      </c>
      <c r="C1434">
        <v>4</v>
      </c>
      <c r="D1434" t="s">
        <v>5</v>
      </c>
      <c r="F1434" t="str" cm="1">
        <f t="array" ref="F1434">CategorizeComment(E1434)</f>
        <v>Other</v>
      </c>
      <c r="G1434" t="str" cm="1">
        <f t="array" ref="G1434">SubCategorizeComment(E1434)</f>
        <v>Other</v>
      </c>
    </row>
    <row r="1435" spans="1:7" x14ac:dyDescent="0.25">
      <c r="A1435">
        <v>6859</v>
      </c>
      <c r="B1435" t="s">
        <v>4</v>
      </c>
      <c r="C1435">
        <v>3</v>
      </c>
      <c r="D1435" t="s">
        <v>5</v>
      </c>
      <c r="F1435" t="str" cm="1">
        <f t="array" ref="F1435">CategorizeComment(E1435)</f>
        <v>Other</v>
      </c>
      <c r="G1435" t="str" cm="1">
        <f t="array" ref="G1435">SubCategorizeComment(E1435)</f>
        <v>Other</v>
      </c>
    </row>
    <row r="1436" spans="1:7" x14ac:dyDescent="0.25">
      <c r="A1436">
        <v>6860</v>
      </c>
      <c r="B1436" t="s">
        <v>4</v>
      </c>
      <c r="C1436">
        <v>4</v>
      </c>
      <c r="D1436" t="s">
        <v>5</v>
      </c>
      <c r="F1436" t="str" cm="1">
        <f t="array" ref="F1436">CategorizeComment(E1436)</f>
        <v>Other</v>
      </c>
      <c r="G1436" t="str" cm="1">
        <f t="array" ref="G1436">SubCategorizeComment(E1436)</f>
        <v>Other</v>
      </c>
    </row>
    <row r="1437" spans="1:7" x14ac:dyDescent="0.25">
      <c r="A1437">
        <v>6878</v>
      </c>
      <c r="B1437" t="s">
        <v>4</v>
      </c>
      <c r="C1437">
        <v>3</v>
      </c>
      <c r="D1437" t="s">
        <v>5</v>
      </c>
      <c r="F1437" t="str" cm="1">
        <f t="array" ref="F1437">CategorizeComment(E1437)</f>
        <v>Other</v>
      </c>
      <c r="G1437" t="str" cm="1">
        <f t="array" ref="G1437">SubCategorizeComment(E1437)</f>
        <v>Other</v>
      </c>
    </row>
    <row r="1438" spans="1:7" x14ac:dyDescent="0.25">
      <c r="A1438">
        <v>6879</v>
      </c>
      <c r="B1438" t="s">
        <v>4</v>
      </c>
      <c r="C1438">
        <v>4</v>
      </c>
      <c r="D1438" t="s">
        <v>5</v>
      </c>
      <c r="F1438" t="str" cm="1">
        <f t="array" ref="F1438">CategorizeComment(E1438)</f>
        <v>Other</v>
      </c>
      <c r="G1438" t="str" cm="1">
        <f t="array" ref="G1438">SubCategorizeComment(E1438)</f>
        <v>Other</v>
      </c>
    </row>
    <row r="1439" spans="1:7" x14ac:dyDescent="0.25">
      <c r="A1439">
        <v>6891</v>
      </c>
      <c r="B1439" t="s">
        <v>4</v>
      </c>
      <c r="C1439">
        <v>4</v>
      </c>
      <c r="D1439" t="s">
        <v>5</v>
      </c>
      <c r="F1439" t="str" cm="1">
        <f t="array" ref="F1439">CategorizeComment(E1439)</f>
        <v>Other</v>
      </c>
      <c r="G1439" t="str" cm="1">
        <f t="array" ref="G1439">SubCategorizeComment(E1439)</f>
        <v>Other</v>
      </c>
    </row>
    <row r="1440" spans="1:7" x14ac:dyDescent="0.25">
      <c r="A1440">
        <v>6896</v>
      </c>
      <c r="B1440" t="s">
        <v>4</v>
      </c>
      <c r="C1440">
        <v>4</v>
      </c>
      <c r="D1440" t="s">
        <v>5</v>
      </c>
      <c r="F1440" t="str" cm="1">
        <f t="array" ref="F1440">CategorizeComment(E1440)</f>
        <v>Other</v>
      </c>
      <c r="G1440" t="str" cm="1">
        <f t="array" ref="G1440">SubCategorizeComment(E1440)</f>
        <v>Other</v>
      </c>
    </row>
    <row r="1441" spans="1:7" x14ac:dyDescent="0.25">
      <c r="A1441">
        <v>6907</v>
      </c>
      <c r="B1441" t="s">
        <v>4</v>
      </c>
      <c r="C1441">
        <v>4</v>
      </c>
      <c r="D1441" t="s">
        <v>5</v>
      </c>
      <c r="F1441" t="str" cm="1">
        <f t="array" ref="F1441">CategorizeComment(E1441)</f>
        <v>Other</v>
      </c>
      <c r="G1441" t="str" cm="1">
        <f t="array" ref="G1441">SubCategorizeComment(E1441)</f>
        <v>Other</v>
      </c>
    </row>
    <row r="1442" spans="1:7" x14ac:dyDescent="0.25">
      <c r="A1442">
        <v>6912</v>
      </c>
      <c r="B1442" t="s">
        <v>4</v>
      </c>
      <c r="C1442">
        <v>3</v>
      </c>
      <c r="D1442" t="s">
        <v>5</v>
      </c>
      <c r="F1442" t="str" cm="1">
        <f t="array" ref="F1442">CategorizeComment(E1442)</f>
        <v>Other</v>
      </c>
      <c r="G1442" t="str" cm="1">
        <f t="array" ref="G1442">SubCategorizeComment(E1442)</f>
        <v>Other</v>
      </c>
    </row>
    <row r="1443" spans="1:7" x14ac:dyDescent="0.25">
      <c r="A1443">
        <v>6914</v>
      </c>
      <c r="B1443" t="s">
        <v>4</v>
      </c>
      <c r="C1443">
        <v>4</v>
      </c>
      <c r="D1443" t="s">
        <v>5</v>
      </c>
      <c r="F1443" t="str" cm="1">
        <f t="array" ref="F1443">CategorizeComment(E1443)</f>
        <v>Other</v>
      </c>
      <c r="G1443" t="str" cm="1">
        <f t="array" ref="G1443">SubCategorizeComment(E1443)</f>
        <v>Other</v>
      </c>
    </row>
    <row r="1444" spans="1:7" x14ac:dyDescent="0.25">
      <c r="A1444">
        <v>6919</v>
      </c>
      <c r="B1444" t="s">
        <v>4</v>
      </c>
      <c r="C1444">
        <v>4</v>
      </c>
      <c r="D1444" t="s">
        <v>5</v>
      </c>
      <c r="F1444" t="str" cm="1">
        <f t="array" ref="F1444">CategorizeComment(E1444)</f>
        <v>Other</v>
      </c>
      <c r="G1444" t="str" cm="1">
        <f t="array" ref="G1444">SubCategorizeComment(E1444)</f>
        <v>Other</v>
      </c>
    </row>
    <row r="1445" spans="1:7" x14ac:dyDescent="0.25">
      <c r="A1445">
        <v>6924</v>
      </c>
      <c r="B1445" t="s">
        <v>4</v>
      </c>
      <c r="C1445">
        <v>4</v>
      </c>
      <c r="D1445" t="s">
        <v>5</v>
      </c>
      <c r="F1445" t="str" cm="1">
        <f t="array" ref="F1445">CategorizeComment(E1445)</f>
        <v>Other</v>
      </c>
      <c r="G1445" t="str" cm="1">
        <f t="array" ref="G1445">SubCategorizeComment(E1445)</f>
        <v>Other</v>
      </c>
    </row>
    <row r="1446" spans="1:7" x14ac:dyDescent="0.25">
      <c r="A1446">
        <v>6977</v>
      </c>
      <c r="B1446" t="s">
        <v>4</v>
      </c>
      <c r="C1446">
        <v>4</v>
      </c>
      <c r="D1446" t="s">
        <v>5</v>
      </c>
      <c r="F1446" t="str" cm="1">
        <f t="array" ref="F1446">CategorizeComment(E1446)</f>
        <v>Other</v>
      </c>
      <c r="G1446" t="str" cm="1">
        <f t="array" ref="G1446">SubCategorizeComment(E1446)</f>
        <v>Other</v>
      </c>
    </row>
    <row r="1447" spans="1:7" x14ac:dyDescent="0.25">
      <c r="A1447">
        <v>6988</v>
      </c>
      <c r="B1447" t="s">
        <v>4</v>
      </c>
      <c r="C1447">
        <v>3</v>
      </c>
      <c r="D1447" t="s">
        <v>5</v>
      </c>
      <c r="F1447" t="str" cm="1">
        <f t="array" ref="F1447">CategorizeComment(E1447)</f>
        <v>Other</v>
      </c>
      <c r="G1447" t="str" cm="1">
        <f t="array" ref="G1447">SubCategorizeComment(E1447)</f>
        <v>Other</v>
      </c>
    </row>
    <row r="1448" spans="1:7" x14ac:dyDescent="0.25">
      <c r="A1448">
        <v>6989</v>
      </c>
      <c r="B1448" t="s">
        <v>4</v>
      </c>
      <c r="C1448">
        <v>3</v>
      </c>
      <c r="D1448" t="s">
        <v>5</v>
      </c>
      <c r="F1448" t="str" cm="1">
        <f t="array" ref="F1448">CategorizeComment(E1448)</f>
        <v>Other</v>
      </c>
      <c r="G1448" t="str" cm="1">
        <f t="array" ref="G1448">SubCategorizeComment(E1448)</f>
        <v>Other</v>
      </c>
    </row>
    <row r="1449" spans="1:7" x14ac:dyDescent="0.25">
      <c r="A1449">
        <v>6991</v>
      </c>
      <c r="B1449" t="s">
        <v>4</v>
      </c>
      <c r="C1449">
        <v>4</v>
      </c>
      <c r="D1449" t="s">
        <v>5</v>
      </c>
      <c r="F1449" t="str" cm="1">
        <f t="array" ref="F1449">CategorizeComment(E1449)</f>
        <v>Other</v>
      </c>
      <c r="G1449" t="str" cm="1">
        <f t="array" ref="G1449">SubCategorizeComment(E1449)</f>
        <v>Other</v>
      </c>
    </row>
    <row r="1450" spans="1:7" x14ac:dyDescent="0.25">
      <c r="A1450">
        <v>7001</v>
      </c>
      <c r="B1450" t="s">
        <v>4</v>
      </c>
      <c r="C1450">
        <v>4</v>
      </c>
      <c r="D1450" t="s">
        <v>5</v>
      </c>
      <c r="F1450" t="str" cm="1">
        <f t="array" ref="F1450">CategorizeComment(E1450)</f>
        <v>Other</v>
      </c>
      <c r="G1450" t="str" cm="1">
        <f t="array" ref="G1450">SubCategorizeComment(E1450)</f>
        <v>Other</v>
      </c>
    </row>
    <row r="1451" spans="1:7" x14ac:dyDescent="0.25">
      <c r="A1451">
        <v>7080</v>
      </c>
      <c r="B1451" t="s">
        <v>4</v>
      </c>
      <c r="C1451">
        <v>4</v>
      </c>
      <c r="D1451" t="s">
        <v>5</v>
      </c>
      <c r="F1451" t="str" cm="1">
        <f t="array" ref="F1451">CategorizeComment(E1451)</f>
        <v>Other</v>
      </c>
      <c r="G1451" t="str" cm="1">
        <f t="array" ref="G1451">SubCategorizeComment(E1451)</f>
        <v>Other</v>
      </c>
    </row>
    <row r="1452" spans="1:7" x14ac:dyDescent="0.25">
      <c r="A1452">
        <v>7081</v>
      </c>
      <c r="B1452" t="s">
        <v>4</v>
      </c>
      <c r="C1452">
        <v>3</v>
      </c>
      <c r="D1452" t="s">
        <v>5</v>
      </c>
      <c r="F1452" t="str" cm="1">
        <f t="array" ref="F1452">CategorizeComment(E1452)</f>
        <v>Other</v>
      </c>
      <c r="G1452" t="str" cm="1">
        <f t="array" ref="G1452">SubCategorizeComment(E1452)</f>
        <v>Other</v>
      </c>
    </row>
    <row r="1453" spans="1:7" x14ac:dyDescent="0.25">
      <c r="A1453">
        <v>7082</v>
      </c>
      <c r="B1453" t="s">
        <v>4</v>
      </c>
      <c r="C1453">
        <v>3</v>
      </c>
      <c r="D1453" t="s">
        <v>5</v>
      </c>
      <c r="F1453" t="str" cm="1">
        <f t="array" ref="F1453">CategorizeComment(E1453)</f>
        <v>Other</v>
      </c>
      <c r="G1453" t="str" cm="1">
        <f t="array" ref="G1453">SubCategorizeComment(E1453)</f>
        <v>Other</v>
      </c>
    </row>
    <row r="1454" spans="1:7" x14ac:dyDescent="0.25">
      <c r="A1454">
        <v>7086</v>
      </c>
      <c r="B1454" t="s">
        <v>4</v>
      </c>
      <c r="C1454">
        <v>4</v>
      </c>
      <c r="D1454" t="s">
        <v>5</v>
      </c>
      <c r="F1454" t="str" cm="1">
        <f t="array" ref="F1454">CategorizeComment(E1454)</f>
        <v>Other</v>
      </c>
      <c r="G1454" t="str" cm="1">
        <f t="array" ref="G1454">SubCategorizeComment(E1454)</f>
        <v>Other</v>
      </c>
    </row>
    <row r="1455" spans="1:7" x14ac:dyDescent="0.25">
      <c r="A1455">
        <v>7087</v>
      </c>
      <c r="B1455" t="s">
        <v>4</v>
      </c>
      <c r="C1455">
        <v>4</v>
      </c>
      <c r="D1455" t="s">
        <v>5</v>
      </c>
      <c r="F1455" t="str" cm="1">
        <f t="array" ref="F1455">CategorizeComment(E1455)</f>
        <v>Other</v>
      </c>
      <c r="G1455" t="str" cm="1">
        <f t="array" ref="G1455">SubCategorizeComment(E1455)</f>
        <v>Other</v>
      </c>
    </row>
    <row r="1456" spans="1:7" x14ac:dyDescent="0.25">
      <c r="A1456">
        <v>7093</v>
      </c>
      <c r="B1456" t="s">
        <v>4</v>
      </c>
      <c r="C1456">
        <v>4</v>
      </c>
      <c r="D1456" t="s">
        <v>5</v>
      </c>
      <c r="F1456" t="str" cm="1">
        <f t="array" ref="F1456">CategorizeComment(E1456)</f>
        <v>Other</v>
      </c>
      <c r="G1456" t="str" cm="1">
        <f t="array" ref="G1456">SubCategorizeComment(E1456)</f>
        <v>Other</v>
      </c>
    </row>
    <row r="1457" spans="1:7" x14ac:dyDescent="0.25">
      <c r="A1457">
        <v>7102</v>
      </c>
      <c r="B1457" t="s">
        <v>4</v>
      </c>
      <c r="C1457">
        <v>4</v>
      </c>
      <c r="D1457" t="s">
        <v>5</v>
      </c>
      <c r="F1457" t="str" cm="1">
        <f t="array" ref="F1457">CategorizeComment(E1457)</f>
        <v>Other</v>
      </c>
      <c r="G1457" t="str" cm="1">
        <f t="array" ref="G1457">SubCategorizeComment(E1457)</f>
        <v>Other</v>
      </c>
    </row>
    <row r="1458" spans="1:7" x14ac:dyDescent="0.25">
      <c r="A1458">
        <v>7103</v>
      </c>
      <c r="B1458" t="s">
        <v>4</v>
      </c>
      <c r="C1458">
        <v>4</v>
      </c>
      <c r="D1458" t="s">
        <v>5</v>
      </c>
      <c r="F1458" t="str" cm="1">
        <f t="array" ref="F1458">CategorizeComment(E1458)</f>
        <v>Other</v>
      </c>
      <c r="G1458" t="str" cm="1">
        <f t="array" ref="G1458">SubCategorizeComment(E1458)</f>
        <v>Other</v>
      </c>
    </row>
    <row r="1459" spans="1:7" x14ac:dyDescent="0.25">
      <c r="A1459">
        <v>7106</v>
      </c>
      <c r="B1459" t="s">
        <v>4</v>
      </c>
      <c r="C1459">
        <v>4</v>
      </c>
      <c r="D1459" t="s">
        <v>5</v>
      </c>
      <c r="F1459" t="str" cm="1">
        <f t="array" ref="F1459">CategorizeComment(E1459)</f>
        <v>Other</v>
      </c>
      <c r="G1459" t="str" cm="1">
        <f t="array" ref="G1459">SubCategorizeComment(E1459)</f>
        <v>Other</v>
      </c>
    </row>
    <row r="1460" spans="1:7" x14ac:dyDescent="0.25">
      <c r="A1460">
        <v>7120</v>
      </c>
      <c r="B1460" t="s">
        <v>4</v>
      </c>
      <c r="C1460">
        <v>4</v>
      </c>
      <c r="D1460" t="s">
        <v>5</v>
      </c>
      <c r="F1460" t="str" cm="1">
        <f t="array" ref="F1460">CategorizeComment(E1460)</f>
        <v>Other</v>
      </c>
      <c r="G1460" t="str" cm="1">
        <f t="array" ref="G1460">SubCategorizeComment(E1460)</f>
        <v>Other</v>
      </c>
    </row>
    <row r="1461" spans="1:7" x14ac:dyDescent="0.25">
      <c r="A1461">
        <v>7132</v>
      </c>
      <c r="B1461" t="s">
        <v>4</v>
      </c>
      <c r="C1461">
        <v>3</v>
      </c>
      <c r="D1461" t="s">
        <v>5</v>
      </c>
      <c r="F1461" t="str" cm="1">
        <f t="array" ref="F1461">CategorizeComment(E1461)</f>
        <v>Other</v>
      </c>
      <c r="G1461" t="str" cm="1">
        <f t="array" ref="G1461">SubCategorizeComment(E1461)</f>
        <v>Other</v>
      </c>
    </row>
    <row r="1462" spans="1:7" x14ac:dyDescent="0.25">
      <c r="A1462">
        <v>7138</v>
      </c>
      <c r="B1462" t="s">
        <v>4</v>
      </c>
      <c r="C1462">
        <v>3</v>
      </c>
      <c r="D1462" t="s">
        <v>5</v>
      </c>
      <c r="F1462" t="str" cm="1">
        <f t="array" ref="F1462">CategorizeComment(E1462)</f>
        <v>Other</v>
      </c>
      <c r="G1462" t="str" cm="1">
        <f t="array" ref="G1462">SubCategorizeComment(E1462)</f>
        <v>Other</v>
      </c>
    </row>
    <row r="1463" spans="1:7" x14ac:dyDescent="0.25">
      <c r="A1463">
        <v>7181</v>
      </c>
      <c r="B1463" t="s">
        <v>4</v>
      </c>
      <c r="C1463">
        <v>4</v>
      </c>
      <c r="D1463" t="s">
        <v>5</v>
      </c>
      <c r="F1463" t="str" cm="1">
        <f t="array" ref="F1463">CategorizeComment(E1463)</f>
        <v>Other</v>
      </c>
      <c r="G1463" t="str" cm="1">
        <f t="array" ref="G1463">SubCategorizeComment(E1463)</f>
        <v>Other</v>
      </c>
    </row>
    <row r="1464" spans="1:7" x14ac:dyDescent="0.25">
      <c r="A1464">
        <v>7189</v>
      </c>
      <c r="B1464" t="s">
        <v>4</v>
      </c>
      <c r="C1464">
        <v>4</v>
      </c>
      <c r="D1464" t="s">
        <v>5</v>
      </c>
      <c r="F1464" t="str" cm="1">
        <f t="array" ref="F1464">CategorizeComment(E1464)</f>
        <v>Other</v>
      </c>
      <c r="G1464" t="str" cm="1">
        <f t="array" ref="G1464">SubCategorizeComment(E1464)</f>
        <v>Other</v>
      </c>
    </row>
    <row r="1465" spans="1:7" x14ac:dyDescent="0.25">
      <c r="A1465">
        <v>7191</v>
      </c>
      <c r="B1465" t="s">
        <v>4</v>
      </c>
      <c r="C1465">
        <v>3</v>
      </c>
      <c r="D1465" t="s">
        <v>5</v>
      </c>
      <c r="F1465" t="str" cm="1">
        <f t="array" ref="F1465">CategorizeComment(E1465)</f>
        <v>Other</v>
      </c>
      <c r="G1465" t="str" cm="1">
        <f t="array" ref="G1465">SubCategorizeComment(E1465)</f>
        <v>Other</v>
      </c>
    </row>
    <row r="1466" spans="1:7" x14ac:dyDescent="0.25">
      <c r="A1466">
        <v>7195</v>
      </c>
      <c r="B1466" t="s">
        <v>4</v>
      </c>
      <c r="C1466">
        <v>3</v>
      </c>
      <c r="D1466" t="s">
        <v>5</v>
      </c>
      <c r="F1466" t="str" cm="1">
        <f t="array" ref="F1466">CategorizeComment(E1466)</f>
        <v>Other</v>
      </c>
      <c r="G1466" t="str" cm="1">
        <f t="array" ref="G1466">SubCategorizeComment(E1466)</f>
        <v>Other</v>
      </c>
    </row>
    <row r="1467" spans="1:7" x14ac:dyDescent="0.25">
      <c r="A1467">
        <v>7196</v>
      </c>
      <c r="B1467" t="s">
        <v>4</v>
      </c>
      <c r="C1467">
        <v>3</v>
      </c>
      <c r="D1467" t="s">
        <v>5</v>
      </c>
      <c r="F1467" t="str" cm="1">
        <f t="array" ref="F1467">CategorizeComment(E1467)</f>
        <v>Other</v>
      </c>
      <c r="G1467" t="str" cm="1">
        <f t="array" ref="G1467">SubCategorizeComment(E1467)</f>
        <v>Other</v>
      </c>
    </row>
    <row r="1468" spans="1:7" x14ac:dyDescent="0.25">
      <c r="A1468">
        <v>7197</v>
      </c>
      <c r="B1468" t="s">
        <v>4</v>
      </c>
      <c r="C1468">
        <v>4</v>
      </c>
      <c r="D1468" t="s">
        <v>5</v>
      </c>
      <c r="F1468" t="str" cm="1">
        <f t="array" ref="F1468">CategorizeComment(E1468)</f>
        <v>Other</v>
      </c>
      <c r="G1468" t="str" cm="1">
        <f t="array" ref="G1468">SubCategorizeComment(E1468)</f>
        <v>Other</v>
      </c>
    </row>
    <row r="1469" spans="1:7" x14ac:dyDescent="0.25">
      <c r="A1469">
        <v>7200</v>
      </c>
      <c r="B1469" t="s">
        <v>4</v>
      </c>
      <c r="C1469">
        <v>4</v>
      </c>
      <c r="D1469" t="s">
        <v>5</v>
      </c>
      <c r="F1469" t="str" cm="1">
        <f t="array" ref="F1469">CategorizeComment(E1469)</f>
        <v>Other</v>
      </c>
      <c r="G1469" t="str" cm="1">
        <f t="array" ref="G1469">SubCategorizeComment(E1469)</f>
        <v>Other</v>
      </c>
    </row>
    <row r="1470" spans="1:7" x14ac:dyDescent="0.25">
      <c r="A1470">
        <v>7205</v>
      </c>
      <c r="B1470" t="s">
        <v>4</v>
      </c>
      <c r="C1470">
        <v>3</v>
      </c>
      <c r="D1470" t="s">
        <v>5</v>
      </c>
      <c r="F1470" t="str" cm="1">
        <f t="array" ref="F1470">CategorizeComment(E1470)</f>
        <v>Other</v>
      </c>
      <c r="G1470" t="str" cm="1">
        <f t="array" ref="G1470">SubCategorizeComment(E1470)</f>
        <v>Other</v>
      </c>
    </row>
    <row r="1471" spans="1:7" x14ac:dyDescent="0.25">
      <c r="A1471">
        <v>7212</v>
      </c>
      <c r="B1471" t="s">
        <v>4</v>
      </c>
      <c r="C1471">
        <v>4</v>
      </c>
      <c r="D1471" t="s">
        <v>5</v>
      </c>
      <c r="F1471" t="str" cm="1">
        <f t="array" ref="F1471">CategorizeComment(E1471)</f>
        <v>Other</v>
      </c>
      <c r="G1471" t="str" cm="1">
        <f t="array" ref="G1471">SubCategorizeComment(E1471)</f>
        <v>Other</v>
      </c>
    </row>
    <row r="1472" spans="1:7" x14ac:dyDescent="0.25">
      <c r="A1472">
        <v>7215</v>
      </c>
      <c r="B1472" t="s">
        <v>4</v>
      </c>
      <c r="C1472">
        <v>4</v>
      </c>
      <c r="D1472" t="s">
        <v>5</v>
      </c>
      <c r="F1472" t="str" cm="1">
        <f t="array" ref="F1472">CategorizeComment(E1472)</f>
        <v>Other</v>
      </c>
      <c r="G1472" t="str" cm="1">
        <f t="array" ref="G1472">SubCategorizeComment(E1472)</f>
        <v>Other</v>
      </c>
    </row>
    <row r="1473" spans="1:7" x14ac:dyDescent="0.25">
      <c r="A1473">
        <v>7219</v>
      </c>
      <c r="B1473" t="s">
        <v>4</v>
      </c>
      <c r="C1473">
        <v>4</v>
      </c>
      <c r="D1473" t="s">
        <v>5</v>
      </c>
      <c r="F1473" t="str" cm="1">
        <f t="array" ref="F1473">CategorizeComment(E1473)</f>
        <v>Other</v>
      </c>
      <c r="G1473" t="str" cm="1">
        <f t="array" ref="G1473">SubCategorizeComment(E1473)</f>
        <v>Other</v>
      </c>
    </row>
    <row r="1474" spans="1:7" x14ac:dyDescent="0.25">
      <c r="A1474">
        <v>7224</v>
      </c>
      <c r="B1474" t="s">
        <v>4</v>
      </c>
      <c r="C1474">
        <v>3</v>
      </c>
      <c r="D1474" t="s">
        <v>5</v>
      </c>
      <c r="F1474" t="str" cm="1">
        <f t="array" ref="F1474">CategorizeComment(E1474)</f>
        <v>Other</v>
      </c>
      <c r="G1474" t="str" cm="1">
        <f t="array" ref="G1474">SubCategorizeComment(E1474)</f>
        <v>Other</v>
      </c>
    </row>
    <row r="1475" spans="1:7" x14ac:dyDescent="0.25">
      <c r="A1475">
        <v>7233</v>
      </c>
      <c r="B1475" t="s">
        <v>4</v>
      </c>
      <c r="C1475">
        <v>3</v>
      </c>
      <c r="D1475" t="s">
        <v>5</v>
      </c>
      <c r="F1475" t="str" cm="1">
        <f t="array" ref="F1475">CategorizeComment(E1475)</f>
        <v>Other</v>
      </c>
      <c r="G1475" t="str" cm="1">
        <f t="array" ref="G1475">SubCategorizeComment(E1475)</f>
        <v>Other</v>
      </c>
    </row>
    <row r="1476" spans="1:7" x14ac:dyDescent="0.25">
      <c r="A1476">
        <v>7241</v>
      </c>
      <c r="B1476" t="s">
        <v>4</v>
      </c>
      <c r="C1476">
        <v>4</v>
      </c>
      <c r="D1476" t="s">
        <v>5</v>
      </c>
      <c r="F1476" t="str" cm="1">
        <f t="array" ref="F1476">CategorizeComment(E1476)</f>
        <v>Other</v>
      </c>
      <c r="G1476" t="str" cm="1">
        <f t="array" ref="G1476">SubCategorizeComment(E1476)</f>
        <v>Other</v>
      </c>
    </row>
    <row r="1477" spans="1:7" x14ac:dyDescent="0.25">
      <c r="A1477">
        <v>7255</v>
      </c>
      <c r="B1477" t="s">
        <v>4</v>
      </c>
      <c r="C1477">
        <v>3</v>
      </c>
      <c r="D1477" t="s">
        <v>5</v>
      </c>
      <c r="F1477" t="str" cm="1">
        <f t="array" ref="F1477">CategorizeComment(E1477)</f>
        <v>Other</v>
      </c>
      <c r="G1477" t="str" cm="1">
        <f t="array" ref="G1477">SubCategorizeComment(E1477)</f>
        <v>Other</v>
      </c>
    </row>
    <row r="1478" spans="1:7" x14ac:dyDescent="0.25">
      <c r="A1478">
        <v>7256</v>
      </c>
      <c r="B1478" t="s">
        <v>4</v>
      </c>
      <c r="C1478">
        <v>4</v>
      </c>
      <c r="D1478" t="s">
        <v>5</v>
      </c>
      <c r="F1478" t="str" cm="1">
        <f t="array" ref="F1478">CategorizeComment(E1478)</f>
        <v>Other</v>
      </c>
      <c r="G1478" t="str" cm="1">
        <f t="array" ref="G1478">SubCategorizeComment(E1478)</f>
        <v>Other</v>
      </c>
    </row>
    <row r="1479" spans="1:7" x14ac:dyDescent="0.25">
      <c r="A1479">
        <v>7260</v>
      </c>
      <c r="B1479" t="s">
        <v>4</v>
      </c>
      <c r="C1479">
        <v>3</v>
      </c>
      <c r="D1479" t="s">
        <v>5</v>
      </c>
      <c r="F1479" t="str" cm="1">
        <f t="array" ref="F1479">CategorizeComment(E1479)</f>
        <v>Other</v>
      </c>
      <c r="G1479" t="str" cm="1">
        <f t="array" ref="G1479">SubCategorizeComment(E1479)</f>
        <v>Other</v>
      </c>
    </row>
    <row r="1480" spans="1:7" x14ac:dyDescent="0.25">
      <c r="A1480">
        <v>7268</v>
      </c>
      <c r="B1480" t="s">
        <v>4</v>
      </c>
      <c r="C1480">
        <v>3</v>
      </c>
      <c r="D1480" t="s">
        <v>5</v>
      </c>
      <c r="F1480" t="str" cm="1">
        <f t="array" ref="F1480">CategorizeComment(E1480)</f>
        <v>Other</v>
      </c>
      <c r="G1480" t="str" cm="1">
        <f t="array" ref="G1480">SubCategorizeComment(E1480)</f>
        <v>Other</v>
      </c>
    </row>
    <row r="1481" spans="1:7" x14ac:dyDescent="0.25">
      <c r="A1481">
        <v>7273</v>
      </c>
      <c r="B1481" t="s">
        <v>4</v>
      </c>
      <c r="C1481">
        <v>3</v>
      </c>
      <c r="D1481" t="s">
        <v>5</v>
      </c>
      <c r="F1481" t="str" cm="1">
        <f t="array" ref="F1481">CategorizeComment(E1481)</f>
        <v>Other</v>
      </c>
      <c r="G1481" t="str" cm="1">
        <f t="array" ref="G1481">SubCategorizeComment(E1481)</f>
        <v>Other</v>
      </c>
    </row>
    <row r="1482" spans="1:7" x14ac:dyDescent="0.25">
      <c r="A1482">
        <v>7279</v>
      </c>
      <c r="B1482" t="s">
        <v>4</v>
      </c>
      <c r="C1482">
        <v>3</v>
      </c>
      <c r="D1482" t="s">
        <v>5</v>
      </c>
      <c r="F1482" t="str" cm="1">
        <f t="array" ref="F1482">CategorizeComment(E1482)</f>
        <v>Other</v>
      </c>
      <c r="G1482" t="str" cm="1">
        <f t="array" ref="G1482">SubCategorizeComment(E1482)</f>
        <v>Other</v>
      </c>
    </row>
    <row r="1483" spans="1:7" x14ac:dyDescent="0.25">
      <c r="A1483">
        <v>7283</v>
      </c>
      <c r="B1483" t="s">
        <v>4</v>
      </c>
      <c r="C1483">
        <v>4</v>
      </c>
      <c r="D1483" t="s">
        <v>5</v>
      </c>
      <c r="F1483" t="str" cm="1">
        <f t="array" ref="F1483">CategorizeComment(E1483)</f>
        <v>Other</v>
      </c>
      <c r="G1483" t="str" cm="1">
        <f t="array" ref="G1483">SubCategorizeComment(E1483)</f>
        <v>Other</v>
      </c>
    </row>
    <row r="1484" spans="1:7" x14ac:dyDescent="0.25">
      <c r="A1484">
        <v>7296</v>
      </c>
      <c r="B1484" t="s">
        <v>4</v>
      </c>
      <c r="C1484">
        <v>4</v>
      </c>
      <c r="D1484" t="s">
        <v>5</v>
      </c>
      <c r="F1484" t="str" cm="1">
        <f t="array" ref="F1484">CategorizeComment(E1484)</f>
        <v>Other</v>
      </c>
      <c r="G1484" t="str" cm="1">
        <f t="array" ref="G1484">SubCategorizeComment(E1484)</f>
        <v>Other</v>
      </c>
    </row>
    <row r="1485" spans="1:7" x14ac:dyDescent="0.25">
      <c r="A1485">
        <v>7306</v>
      </c>
      <c r="B1485" t="s">
        <v>4</v>
      </c>
      <c r="C1485">
        <v>3</v>
      </c>
      <c r="D1485" t="s">
        <v>5</v>
      </c>
      <c r="F1485" t="str" cm="1">
        <f t="array" ref="F1485">CategorizeComment(E1485)</f>
        <v>Other</v>
      </c>
      <c r="G1485" t="str" cm="1">
        <f t="array" ref="G1485">SubCategorizeComment(E1485)</f>
        <v>Other</v>
      </c>
    </row>
    <row r="1486" spans="1:7" x14ac:dyDescent="0.25">
      <c r="A1486">
        <v>7309</v>
      </c>
      <c r="B1486" t="s">
        <v>4</v>
      </c>
      <c r="C1486">
        <v>3</v>
      </c>
      <c r="D1486" t="s">
        <v>5</v>
      </c>
      <c r="F1486" t="str" cm="1">
        <f t="array" ref="F1486">CategorizeComment(E1486)</f>
        <v>Other</v>
      </c>
      <c r="G1486" t="str" cm="1">
        <f t="array" ref="G1486">SubCategorizeComment(E1486)</f>
        <v>Other</v>
      </c>
    </row>
    <row r="1487" spans="1:7" x14ac:dyDescent="0.25">
      <c r="A1487">
        <v>7323</v>
      </c>
      <c r="B1487" t="s">
        <v>4</v>
      </c>
      <c r="C1487">
        <v>3</v>
      </c>
      <c r="D1487" t="s">
        <v>5</v>
      </c>
      <c r="F1487" t="str" cm="1">
        <f t="array" ref="F1487">CategorizeComment(E1487)</f>
        <v>Other</v>
      </c>
      <c r="G1487" t="str" cm="1">
        <f t="array" ref="G1487">SubCategorizeComment(E1487)</f>
        <v>Other</v>
      </c>
    </row>
    <row r="1488" spans="1:7" x14ac:dyDescent="0.25">
      <c r="A1488">
        <v>7324</v>
      </c>
      <c r="B1488" t="s">
        <v>4</v>
      </c>
      <c r="C1488">
        <v>4</v>
      </c>
      <c r="D1488" t="s">
        <v>5</v>
      </c>
      <c r="F1488" t="str" cm="1">
        <f t="array" ref="F1488">CategorizeComment(E1488)</f>
        <v>Other</v>
      </c>
      <c r="G1488" t="str" cm="1">
        <f t="array" ref="G1488">SubCategorizeComment(E1488)</f>
        <v>Other</v>
      </c>
    </row>
    <row r="1489" spans="1:7" x14ac:dyDescent="0.25">
      <c r="A1489">
        <v>7326</v>
      </c>
      <c r="B1489" t="s">
        <v>4</v>
      </c>
      <c r="C1489">
        <v>3</v>
      </c>
      <c r="D1489" t="s">
        <v>5</v>
      </c>
      <c r="F1489" t="str" cm="1">
        <f t="array" ref="F1489">CategorizeComment(E1489)</f>
        <v>Other</v>
      </c>
      <c r="G1489" t="str" cm="1">
        <f t="array" ref="G1489">SubCategorizeComment(E1489)</f>
        <v>Other</v>
      </c>
    </row>
    <row r="1490" spans="1:7" x14ac:dyDescent="0.25">
      <c r="A1490">
        <v>7327</v>
      </c>
      <c r="B1490" t="s">
        <v>4</v>
      </c>
      <c r="C1490">
        <v>4</v>
      </c>
      <c r="D1490" t="s">
        <v>5</v>
      </c>
      <c r="F1490" t="str" cm="1">
        <f t="array" ref="F1490">CategorizeComment(E1490)</f>
        <v>Other</v>
      </c>
      <c r="G1490" t="str" cm="1">
        <f t="array" ref="G1490">SubCategorizeComment(E1490)</f>
        <v>Other</v>
      </c>
    </row>
    <row r="1491" spans="1:7" x14ac:dyDescent="0.25">
      <c r="A1491">
        <v>7328</v>
      </c>
      <c r="B1491" t="s">
        <v>4</v>
      </c>
      <c r="C1491">
        <v>3</v>
      </c>
      <c r="D1491" t="s">
        <v>5</v>
      </c>
      <c r="F1491" t="str" cm="1">
        <f t="array" ref="F1491">CategorizeComment(E1491)</f>
        <v>Other</v>
      </c>
      <c r="G1491" t="str" cm="1">
        <f t="array" ref="G1491">SubCategorizeComment(E1491)</f>
        <v>Other</v>
      </c>
    </row>
    <row r="1492" spans="1:7" x14ac:dyDescent="0.25">
      <c r="A1492">
        <v>7329</v>
      </c>
      <c r="B1492" t="s">
        <v>4</v>
      </c>
      <c r="C1492">
        <v>4</v>
      </c>
      <c r="D1492" t="s">
        <v>5</v>
      </c>
      <c r="F1492" t="str" cm="1">
        <f t="array" ref="F1492">CategorizeComment(E1492)</f>
        <v>Other</v>
      </c>
      <c r="G1492" t="str" cm="1">
        <f t="array" ref="G1492">SubCategorizeComment(E1492)</f>
        <v>Other</v>
      </c>
    </row>
    <row r="1493" spans="1:7" x14ac:dyDescent="0.25">
      <c r="A1493">
        <v>7341</v>
      </c>
      <c r="B1493" t="s">
        <v>4</v>
      </c>
      <c r="C1493">
        <v>3</v>
      </c>
      <c r="D1493" t="s">
        <v>5</v>
      </c>
      <c r="F1493" t="str" cm="1">
        <f t="array" ref="F1493">CategorizeComment(E1493)</f>
        <v>Other</v>
      </c>
      <c r="G1493" t="str" cm="1">
        <f t="array" ref="G1493">SubCategorizeComment(E1493)</f>
        <v>Other</v>
      </c>
    </row>
    <row r="1494" spans="1:7" x14ac:dyDescent="0.25">
      <c r="A1494">
        <v>7342</v>
      </c>
      <c r="B1494" t="s">
        <v>4</v>
      </c>
      <c r="C1494">
        <v>4</v>
      </c>
      <c r="D1494" t="s">
        <v>5</v>
      </c>
      <c r="F1494" t="str" cm="1">
        <f t="array" ref="F1494">CategorizeComment(E1494)</f>
        <v>Other</v>
      </c>
      <c r="G1494" t="str" cm="1">
        <f t="array" ref="G1494">SubCategorizeComment(E1494)</f>
        <v>Other</v>
      </c>
    </row>
    <row r="1495" spans="1:7" x14ac:dyDescent="0.25">
      <c r="A1495">
        <v>7420</v>
      </c>
      <c r="B1495" t="s">
        <v>4</v>
      </c>
      <c r="C1495">
        <v>3</v>
      </c>
      <c r="D1495" t="s">
        <v>5</v>
      </c>
      <c r="F1495" t="str" cm="1">
        <f t="array" ref="F1495">CategorizeComment(E1495)</f>
        <v>Other</v>
      </c>
      <c r="G1495" t="str" cm="1">
        <f t="array" ref="G1495">SubCategorizeComment(E1495)</f>
        <v>Other</v>
      </c>
    </row>
    <row r="1496" spans="1:7" x14ac:dyDescent="0.25">
      <c r="A1496">
        <v>7425</v>
      </c>
      <c r="B1496" t="s">
        <v>4</v>
      </c>
      <c r="C1496">
        <v>3</v>
      </c>
      <c r="D1496" t="s">
        <v>5</v>
      </c>
      <c r="F1496" t="str" cm="1">
        <f t="array" ref="F1496">CategorizeComment(E1496)</f>
        <v>Other</v>
      </c>
      <c r="G1496" t="str" cm="1">
        <f t="array" ref="G1496">SubCategorizeComment(E1496)</f>
        <v>Other</v>
      </c>
    </row>
    <row r="1497" spans="1:7" x14ac:dyDescent="0.25">
      <c r="A1497">
        <v>7426</v>
      </c>
      <c r="B1497" t="s">
        <v>4</v>
      </c>
      <c r="C1497">
        <v>4</v>
      </c>
      <c r="D1497" t="s">
        <v>5</v>
      </c>
      <c r="F1497" t="str" cm="1">
        <f t="array" ref="F1497">CategorizeComment(E1497)</f>
        <v>Other</v>
      </c>
      <c r="G1497" t="str" cm="1">
        <f t="array" ref="G1497">SubCategorizeComment(E1497)</f>
        <v>Other</v>
      </c>
    </row>
    <row r="1498" spans="1:7" x14ac:dyDescent="0.25">
      <c r="A1498">
        <v>7427</v>
      </c>
      <c r="B1498" t="s">
        <v>4</v>
      </c>
      <c r="C1498">
        <v>4</v>
      </c>
      <c r="D1498" t="s">
        <v>5</v>
      </c>
      <c r="F1498" t="str" cm="1">
        <f t="array" ref="F1498">CategorizeComment(E1498)</f>
        <v>Other</v>
      </c>
      <c r="G1498" t="str" cm="1">
        <f t="array" ref="G1498">SubCategorizeComment(E1498)</f>
        <v>Other</v>
      </c>
    </row>
    <row r="1499" spans="1:7" x14ac:dyDescent="0.25">
      <c r="A1499">
        <v>7428</v>
      </c>
      <c r="B1499" t="s">
        <v>4</v>
      </c>
      <c r="C1499">
        <v>3</v>
      </c>
      <c r="D1499" t="s">
        <v>5</v>
      </c>
      <c r="F1499" t="str" cm="1">
        <f t="array" ref="F1499">CategorizeComment(E1499)</f>
        <v>Other</v>
      </c>
      <c r="G1499" t="str" cm="1">
        <f t="array" ref="G1499">SubCategorizeComment(E1499)</f>
        <v>Other</v>
      </c>
    </row>
    <row r="1500" spans="1:7" x14ac:dyDescent="0.25">
      <c r="A1500">
        <v>7429</v>
      </c>
      <c r="B1500" t="s">
        <v>4</v>
      </c>
      <c r="C1500">
        <v>3</v>
      </c>
      <c r="D1500" t="s">
        <v>5</v>
      </c>
      <c r="F1500" t="str" cm="1">
        <f t="array" ref="F1500">CategorizeComment(E1500)</f>
        <v>Other</v>
      </c>
      <c r="G1500" t="str" cm="1">
        <f t="array" ref="G1500">SubCategorizeComment(E1500)</f>
        <v>Other</v>
      </c>
    </row>
    <row r="1501" spans="1:7" x14ac:dyDescent="0.25">
      <c r="A1501">
        <v>7469</v>
      </c>
      <c r="B1501" t="s">
        <v>4</v>
      </c>
      <c r="C1501">
        <v>3</v>
      </c>
      <c r="D1501" t="s">
        <v>5</v>
      </c>
      <c r="F1501" t="str" cm="1">
        <f t="array" ref="F1501">CategorizeComment(E1501)</f>
        <v>Other</v>
      </c>
      <c r="G1501" t="str" cm="1">
        <f t="array" ref="G1501">SubCategorizeComment(E1501)</f>
        <v>Other</v>
      </c>
    </row>
    <row r="1502" spans="1:7" x14ac:dyDescent="0.25">
      <c r="A1502">
        <v>7487</v>
      </c>
      <c r="B1502" t="s">
        <v>4</v>
      </c>
      <c r="C1502">
        <v>3</v>
      </c>
      <c r="D1502" t="s">
        <v>5</v>
      </c>
      <c r="F1502" t="str" cm="1">
        <f t="array" ref="F1502">CategorizeComment(E1502)</f>
        <v>Other</v>
      </c>
      <c r="G1502" t="str" cm="1">
        <f t="array" ref="G1502">SubCategorizeComment(E1502)</f>
        <v>Other</v>
      </c>
    </row>
    <row r="1503" spans="1:7" x14ac:dyDescent="0.25">
      <c r="A1503">
        <v>7531</v>
      </c>
      <c r="B1503" t="s">
        <v>4</v>
      </c>
      <c r="C1503">
        <v>3</v>
      </c>
      <c r="D1503" t="s">
        <v>5</v>
      </c>
      <c r="F1503" t="str" cm="1">
        <f t="array" ref="F1503">CategorizeComment(E1503)</f>
        <v>Other</v>
      </c>
      <c r="G1503" t="str" cm="1">
        <f t="array" ref="G1503">SubCategorizeComment(E1503)</f>
        <v>Other</v>
      </c>
    </row>
    <row r="1504" spans="1:7" x14ac:dyDescent="0.25">
      <c r="A1504">
        <v>7534</v>
      </c>
      <c r="B1504" t="s">
        <v>4</v>
      </c>
      <c r="C1504">
        <v>4</v>
      </c>
      <c r="D1504" t="s">
        <v>5</v>
      </c>
      <c r="F1504" t="str" cm="1">
        <f t="array" ref="F1504">CategorizeComment(E1504)</f>
        <v>Other</v>
      </c>
      <c r="G1504" t="str" cm="1">
        <f t="array" ref="G1504">SubCategorizeComment(E1504)</f>
        <v>Other</v>
      </c>
    </row>
    <row r="1505" spans="1:7" x14ac:dyDescent="0.25">
      <c r="A1505">
        <v>7543</v>
      </c>
      <c r="B1505" t="s">
        <v>4</v>
      </c>
      <c r="C1505">
        <v>3</v>
      </c>
      <c r="D1505" t="s">
        <v>5</v>
      </c>
      <c r="F1505" t="str" cm="1">
        <f t="array" ref="F1505">CategorizeComment(E1505)</f>
        <v>Other</v>
      </c>
      <c r="G1505" t="str" cm="1">
        <f t="array" ref="G1505">SubCategorizeComment(E1505)</f>
        <v>Other</v>
      </c>
    </row>
    <row r="1506" spans="1:7" x14ac:dyDescent="0.25">
      <c r="A1506">
        <v>7565</v>
      </c>
      <c r="B1506" t="s">
        <v>4</v>
      </c>
      <c r="C1506">
        <v>4</v>
      </c>
      <c r="D1506" t="s">
        <v>5</v>
      </c>
      <c r="F1506" t="str" cm="1">
        <f t="array" ref="F1506">CategorizeComment(E1506)</f>
        <v>Other</v>
      </c>
      <c r="G1506" t="str" cm="1">
        <f t="array" ref="G1506">SubCategorizeComment(E1506)</f>
        <v>Other</v>
      </c>
    </row>
    <row r="1507" spans="1:7" x14ac:dyDescent="0.25">
      <c r="A1507">
        <v>7574</v>
      </c>
      <c r="B1507" t="s">
        <v>4</v>
      </c>
      <c r="C1507">
        <v>3</v>
      </c>
      <c r="D1507" t="s">
        <v>5</v>
      </c>
      <c r="F1507" t="str" cm="1">
        <f t="array" ref="F1507">CategorizeComment(E1507)</f>
        <v>Other</v>
      </c>
      <c r="G1507" t="str" cm="1">
        <f t="array" ref="G1507">SubCategorizeComment(E1507)</f>
        <v>Other</v>
      </c>
    </row>
    <row r="1508" spans="1:7" x14ac:dyDescent="0.25">
      <c r="A1508">
        <v>7589</v>
      </c>
      <c r="B1508" t="s">
        <v>4</v>
      </c>
      <c r="C1508">
        <v>3</v>
      </c>
      <c r="D1508" t="s">
        <v>5</v>
      </c>
      <c r="F1508" t="str" cm="1">
        <f t="array" ref="F1508">CategorizeComment(E1508)</f>
        <v>Other</v>
      </c>
      <c r="G1508" t="str" cm="1">
        <f t="array" ref="G1508">SubCategorizeComment(E1508)</f>
        <v>Other</v>
      </c>
    </row>
    <row r="1509" spans="1:7" x14ac:dyDescent="0.25">
      <c r="A1509">
        <v>7620</v>
      </c>
      <c r="B1509" t="s">
        <v>4</v>
      </c>
      <c r="C1509">
        <v>4</v>
      </c>
      <c r="D1509" t="s">
        <v>5</v>
      </c>
      <c r="F1509" t="str" cm="1">
        <f t="array" ref="F1509">CategorizeComment(E1509)</f>
        <v>Other</v>
      </c>
      <c r="G1509" t="str" cm="1">
        <f t="array" ref="G1509">SubCategorizeComment(E1509)</f>
        <v>Other</v>
      </c>
    </row>
    <row r="1510" spans="1:7" x14ac:dyDescent="0.25">
      <c r="A1510">
        <v>7625</v>
      </c>
      <c r="B1510" t="s">
        <v>4</v>
      </c>
      <c r="C1510">
        <v>4</v>
      </c>
      <c r="D1510" t="s">
        <v>5</v>
      </c>
      <c r="F1510" t="str" cm="1">
        <f t="array" ref="F1510">CategorizeComment(E1510)</f>
        <v>Other</v>
      </c>
      <c r="G1510" t="str" cm="1">
        <f t="array" ref="G1510">SubCategorizeComment(E1510)</f>
        <v>Other</v>
      </c>
    </row>
    <row r="1511" spans="1:7" x14ac:dyDescent="0.25">
      <c r="A1511">
        <v>7645</v>
      </c>
      <c r="B1511" t="s">
        <v>4</v>
      </c>
      <c r="C1511">
        <v>3</v>
      </c>
      <c r="D1511" t="s">
        <v>5</v>
      </c>
      <c r="F1511" t="str" cm="1">
        <f t="array" ref="F1511">CategorizeComment(E1511)</f>
        <v>Other</v>
      </c>
      <c r="G1511" t="str" cm="1">
        <f t="array" ref="G1511">SubCategorizeComment(E1511)</f>
        <v>Other</v>
      </c>
    </row>
    <row r="1512" spans="1:7" x14ac:dyDescent="0.25">
      <c r="A1512">
        <v>7710</v>
      </c>
      <c r="B1512" t="s">
        <v>4</v>
      </c>
      <c r="C1512">
        <v>4</v>
      </c>
      <c r="D1512" t="s">
        <v>5</v>
      </c>
      <c r="F1512" t="str" cm="1">
        <f t="array" ref="F1512">CategorizeComment(E1512)</f>
        <v>Other</v>
      </c>
      <c r="G1512" t="str" cm="1">
        <f t="array" ref="G1512">SubCategorizeComment(E1512)</f>
        <v>Other</v>
      </c>
    </row>
    <row r="1513" spans="1:7" x14ac:dyDescent="0.25">
      <c r="A1513">
        <v>7722</v>
      </c>
      <c r="B1513" t="s">
        <v>4</v>
      </c>
      <c r="C1513">
        <v>4</v>
      </c>
      <c r="D1513" t="s">
        <v>5</v>
      </c>
      <c r="F1513" t="str" cm="1">
        <f t="array" ref="F1513">CategorizeComment(E1513)</f>
        <v>Other</v>
      </c>
      <c r="G1513" t="str" cm="1">
        <f t="array" ref="G1513">SubCategorizeComment(E1513)</f>
        <v>Other</v>
      </c>
    </row>
    <row r="1514" spans="1:7" x14ac:dyDescent="0.25">
      <c r="A1514">
        <v>7724</v>
      </c>
      <c r="B1514" t="s">
        <v>4</v>
      </c>
      <c r="C1514">
        <v>3</v>
      </c>
      <c r="D1514" t="s">
        <v>5</v>
      </c>
      <c r="F1514" t="str" cm="1">
        <f t="array" ref="F1514">CategorizeComment(E1514)</f>
        <v>Other</v>
      </c>
      <c r="G1514" t="str" cm="1">
        <f t="array" ref="G1514">SubCategorizeComment(E1514)</f>
        <v>Other</v>
      </c>
    </row>
    <row r="1515" spans="1:7" x14ac:dyDescent="0.25">
      <c r="A1515">
        <v>7734</v>
      </c>
      <c r="B1515" t="s">
        <v>4</v>
      </c>
      <c r="C1515">
        <v>4</v>
      </c>
      <c r="D1515" t="s">
        <v>5</v>
      </c>
      <c r="F1515" t="str" cm="1">
        <f t="array" ref="F1515">CategorizeComment(E1515)</f>
        <v>Other</v>
      </c>
      <c r="G1515" t="str" cm="1">
        <f t="array" ref="G1515">SubCategorizeComment(E1515)</f>
        <v>Other</v>
      </c>
    </row>
    <row r="1516" spans="1:7" x14ac:dyDescent="0.25">
      <c r="A1516">
        <v>7744</v>
      </c>
      <c r="B1516" t="s">
        <v>4</v>
      </c>
      <c r="C1516">
        <v>4</v>
      </c>
      <c r="D1516" t="s">
        <v>5</v>
      </c>
      <c r="F1516" t="str" cm="1">
        <f t="array" ref="F1516">CategorizeComment(E1516)</f>
        <v>Other</v>
      </c>
      <c r="G1516" t="str" cm="1">
        <f t="array" ref="G1516">SubCategorizeComment(E1516)</f>
        <v>Other</v>
      </c>
    </row>
    <row r="1517" spans="1:7" x14ac:dyDescent="0.25">
      <c r="A1517">
        <v>7755</v>
      </c>
      <c r="B1517" t="s">
        <v>4</v>
      </c>
      <c r="C1517">
        <v>3</v>
      </c>
      <c r="D1517" t="s">
        <v>5</v>
      </c>
      <c r="F1517" t="str" cm="1">
        <f t="array" ref="F1517">CategorizeComment(E1517)</f>
        <v>Other</v>
      </c>
      <c r="G1517" t="str" cm="1">
        <f t="array" ref="G1517">SubCategorizeComment(E1517)</f>
        <v>Other</v>
      </c>
    </row>
    <row r="1518" spans="1:7" x14ac:dyDescent="0.25">
      <c r="A1518">
        <v>7763</v>
      </c>
      <c r="B1518" t="s">
        <v>4</v>
      </c>
      <c r="C1518">
        <v>3</v>
      </c>
      <c r="D1518" t="s">
        <v>5</v>
      </c>
      <c r="F1518" t="str" cm="1">
        <f t="array" ref="F1518">CategorizeComment(E1518)</f>
        <v>Other</v>
      </c>
      <c r="G1518" t="str" cm="1">
        <f t="array" ref="G1518">SubCategorizeComment(E1518)</f>
        <v>Other</v>
      </c>
    </row>
    <row r="1519" spans="1:7" x14ac:dyDescent="0.25">
      <c r="A1519">
        <v>7782</v>
      </c>
      <c r="B1519" t="s">
        <v>4</v>
      </c>
      <c r="C1519">
        <v>3</v>
      </c>
      <c r="D1519" t="s">
        <v>5</v>
      </c>
      <c r="F1519" t="str" cm="1">
        <f t="array" ref="F1519">CategorizeComment(E1519)</f>
        <v>Other</v>
      </c>
      <c r="G1519" t="str" cm="1">
        <f t="array" ref="G1519">SubCategorizeComment(E1519)</f>
        <v>Other</v>
      </c>
    </row>
    <row r="1520" spans="1:7" x14ac:dyDescent="0.25">
      <c r="A1520">
        <v>7810</v>
      </c>
      <c r="B1520" t="s">
        <v>4</v>
      </c>
      <c r="C1520">
        <v>3</v>
      </c>
      <c r="D1520" t="s">
        <v>5</v>
      </c>
      <c r="F1520" t="str" cm="1">
        <f t="array" ref="F1520">CategorizeComment(E1520)</f>
        <v>Other</v>
      </c>
      <c r="G1520" t="str" cm="1">
        <f t="array" ref="G1520">SubCategorizeComment(E1520)</f>
        <v>Other</v>
      </c>
    </row>
    <row r="1521" spans="1:7" x14ac:dyDescent="0.25">
      <c r="A1521">
        <v>7815</v>
      </c>
      <c r="B1521" t="s">
        <v>4</v>
      </c>
      <c r="C1521">
        <v>3</v>
      </c>
      <c r="D1521" t="s">
        <v>5</v>
      </c>
      <c r="F1521" t="str" cm="1">
        <f t="array" ref="F1521">CategorizeComment(E1521)</f>
        <v>Other</v>
      </c>
      <c r="G1521" t="str" cm="1">
        <f t="array" ref="G1521">SubCategorizeComment(E1521)</f>
        <v>Other</v>
      </c>
    </row>
    <row r="1522" spans="1:7" x14ac:dyDescent="0.25">
      <c r="A1522">
        <v>7828</v>
      </c>
      <c r="B1522" t="s">
        <v>4</v>
      </c>
      <c r="C1522">
        <v>3</v>
      </c>
      <c r="D1522" t="s">
        <v>5</v>
      </c>
      <c r="F1522" t="str" cm="1">
        <f t="array" ref="F1522">CategorizeComment(E1522)</f>
        <v>Other</v>
      </c>
      <c r="G1522" t="str" cm="1">
        <f t="array" ref="G1522">SubCategorizeComment(E1522)</f>
        <v>Other</v>
      </c>
    </row>
    <row r="1523" spans="1:7" x14ac:dyDescent="0.25">
      <c r="A1523">
        <v>7829</v>
      </c>
      <c r="B1523" t="s">
        <v>4</v>
      </c>
      <c r="C1523">
        <v>4</v>
      </c>
      <c r="D1523" t="s">
        <v>5</v>
      </c>
      <c r="F1523" t="str" cm="1">
        <f t="array" ref="F1523">CategorizeComment(E1523)</f>
        <v>Other</v>
      </c>
      <c r="G1523" t="str" cm="1">
        <f t="array" ref="G1523">SubCategorizeComment(E1523)</f>
        <v>Other</v>
      </c>
    </row>
    <row r="1524" spans="1:7" x14ac:dyDescent="0.25">
      <c r="A1524">
        <v>7830</v>
      </c>
      <c r="B1524" t="s">
        <v>4</v>
      </c>
      <c r="C1524">
        <v>4</v>
      </c>
      <c r="D1524" t="s">
        <v>5</v>
      </c>
      <c r="F1524" t="str" cm="1">
        <f t="array" ref="F1524">CategorizeComment(E1524)</f>
        <v>Other</v>
      </c>
      <c r="G1524" t="str" cm="1">
        <f t="array" ref="G1524">SubCategorizeComment(E1524)</f>
        <v>Other</v>
      </c>
    </row>
    <row r="1525" spans="1:7" x14ac:dyDescent="0.25">
      <c r="A1525">
        <v>7834</v>
      </c>
      <c r="B1525" t="s">
        <v>4</v>
      </c>
      <c r="C1525">
        <v>3</v>
      </c>
      <c r="D1525" t="s">
        <v>5</v>
      </c>
      <c r="F1525" t="str" cm="1">
        <f t="array" ref="F1525">CategorizeComment(E1525)</f>
        <v>Other</v>
      </c>
      <c r="G1525" t="str" cm="1">
        <f t="array" ref="G1525">SubCategorizeComment(E1525)</f>
        <v>Other</v>
      </c>
    </row>
    <row r="1526" spans="1:7" x14ac:dyDescent="0.25">
      <c r="A1526">
        <v>7849</v>
      </c>
      <c r="B1526" t="s">
        <v>4</v>
      </c>
      <c r="C1526">
        <v>4</v>
      </c>
      <c r="D1526" t="s">
        <v>5</v>
      </c>
      <c r="F1526" t="str" cm="1">
        <f t="array" ref="F1526">CategorizeComment(E1526)</f>
        <v>Other</v>
      </c>
      <c r="G1526" t="str" cm="1">
        <f t="array" ref="G1526">SubCategorizeComment(E1526)</f>
        <v>Other</v>
      </c>
    </row>
    <row r="1527" spans="1:7" x14ac:dyDescent="0.25">
      <c r="A1527">
        <v>7850</v>
      </c>
      <c r="B1527" t="s">
        <v>4</v>
      </c>
      <c r="C1527">
        <v>4</v>
      </c>
      <c r="D1527" t="s">
        <v>5</v>
      </c>
      <c r="F1527" t="str" cm="1">
        <f t="array" ref="F1527">CategorizeComment(E1527)</f>
        <v>Other</v>
      </c>
      <c r="G1527" t="str" cm="1">
        <f t="array" ref="G1527">SubCategorizeComment(E1527)</f>
        <v>Other</v>
      </c>
    </row>
    <row r="1528" spans="1:7" x14ac:dyDescent="0.25">
      <c r="A1528">
        <v>7851</v>
      </c>
      <c r="B1528" t="s">
        <v>4</v>
      </c>
      <c r="C1528">
        <v>4</v>
      </c>
      <c r="D1528" t="s">
        <v>5</v>
      </c>
      <c r="F1528" t="str" cm="1">
        <f t="array" ref="F1528">CategorizeComment(E1528)</f>
        <v>Other</v>
      </c>
      <c r="G1528" t="str" cm="1">
        <f t="array" ref="G1528">SubCategorizeComment(E1528)</f>
        <v>Other</v>
      </c>
    </row>
    <row r="1529" spans="1:7" x14ac:dyDescent="0.25">
      <c r="A1529">
        <v>7903</v>
      </c>
      <c r="B1529" t="s">
        <v>4</v>
      </c>
      <c r="C1529">
        <v>3</v>
      </c>
      <c r="D1529" t="s">
        <v>5</v>
      </c>
      <c r="F1529" t="str" cm="1">
        <f t="array" ref="F1529">CategorizeComment(E1529)</f>
        <v>Other</v>
      </c>
      <c r="G1529" t="str" cm="1">
        <f t="array" ref="G1529">SubCategorizeComment(E1529)</f>
        <v>Other</v>
      </c>
    </row>
    <row r="1530" spans="1:7" x14ac:dyDescent="0.25">
      <c r="A1530">
        <v>7913</v>
      </c>
      <c r="B1530" t="s">
        <v>4</v>
      </c>
      <c r="C1530">
        <v>3</v>
      </c>
      <c r="D1530" t="s">
        <v>5</v>
      </c>
      <c r="F1530" t="str" cm="1">
        <f t="array" ref="F1530">CategorizeComment(E1530)</f>
        <v>Other</v>
      </c>
      <c r="G1530" t="str" cm="1">
        <f t="array" ref="G1530">SubCategorizeComment(E1530)</f>
        <v>Other</v>
      </c>
    </row>
    <row r="1531" spans="1:7" x14ac:dyDescent="0.25">
      <c r="A1531">
        <v>7916</v>
      </c>
      <c r="B1531" t="s">
        <v>4</v>
      </c>
      <c r="C1531">
        <v>3</v>
      </c>
      <c r="D1531" t="s">
        <v>5</v>
      </c>
      <c r="F1531" t="str" cm="1">
        <f t="array" ref="F1531">CategorizeComment(E1531)</f>
        <v>Other</v>
      </c>
      <c r="G1531" t="str" cm="1">
        <f t="array" ref="G1531">SubCategorizeComment(E1531)</f>
        <v>Other</v>
      </c>
    </row>
    <row r="1532" spans="1:7" x14ac:dyDescent="0.25">
      <c r="A1532">
        <v>7945</v>
      </c>
      <c r="B1532" t="s">
        <v>4</v>
      </c>
      <c r="C1532">
        <v>3</v>
      </c>
      <c r="D1532" t="s">
        <v>5</v>
      </c>
      <c r="F1532" t="str" cm="1">
        <f t="array" ref="F1532">CategorizeComment(E1532)</f>
        <v>Other</v>
      </c>
      <c r="G1532" t="str" cm="1">
        <f t="array" ref="G1532">SubCategorizeComment(E1532)</f>
        <v>Other</v>
      </c>
    </row>
    <row r="1533" spans="1:7" x14ac:dyDescent="0.25">
      <c r="A1533">
        <v>7967</v>
      </c>
      <c r="B1533" t="s">
        <v>4</v>
      </c>
      <c r="C1533">
        <v>4</v>
      </c>
      <c r="D1533" t="s">
        <v>5</v>
      </c>
      <c r="F1533" t="str" cm="1">
        <f t="array" ref="F1533">CategorizeComment(E1533)</f>
        <v>Other</v>
      </c>
      <c r="G1533" t="str" cm="1">
        <f t="array" ref="G1533">SubCategorizeComment(E1533)</f>
        <v>Other</v>
      </c>
    </row>
    <row r="1534" spans="1:7" x14ac:dyDescent="0.25">
      <c r="A1534">
        <v>8001</v>
      </c>
      <c r="B1534" t="s">
        <v>4</v>
      </c>
      <c r="C1534">
        <v>3</v>
      </c>
      <c r="D1534" t="s">
        <v>5</v>
      </c>
      <c r="F1534" t="str" cm="1">
        <f t="array" ref="F1534">CategorizeComment(E1534)</f>
        <v>Other</v>
      </c>
      <c r="G1534" t="str" cm="1">
        <f t="array" ref="G1534">SubCategorizeComment(E1534)</f>
        <v>Other</v>
      </c>
    </row>
    <row r="1535" spans="1:7" x14ac:dyDescent="0.25">
      <c r="A1535">
        <v>8082</v>
      </c>
      <c r="B1535" t="s">
        <v>4</v>
      </c>
      <c r="C1535">
        <v>4</v>
      </c>
      <c r="D1535" t="s">
        <v>5</v>
      </c>
      <c r="F1535" t="str" cm="1">
        <f t="array" ref="F1535">CategorizeComment(E1535)</f>
        <v>Other</v>
      </c>
      <c r="G1535" t="str" cm="1">
        <f t="array" ref="G1535">SubCategorizeComment(E1535)</f>
        <v>Other</v>
      </c>
    </row>
    <row r="1536" spans="1:7" x14ac:dyDescent="0.25">
      <c r="A1536">
        <v>8086</v>
      </c>
      <c r="B1536" t="s">
        <v>4</v>
      </c>
      <c r="C1536">
        <v>3</v>
      </c>
      <c r="D1536" t="s">
        <v>5</v>
      </c>
      <c r="F1536" t="str" cm="1">
        <f t="array" ref="F1536">CategorizeComment(E1536)</f>
        <v>Other</v>
      </c>
      <c r="G1536" t="str" cm="1">
        <f t="array" ref="G1536">SubCategorizeComment(E1536)</f>
        <v>Other</v>
      </c>
    </row>
    <row r="1537" spans="1:7" x14ac:dyDescent="0.25">
      <c r="A1537">
        <v>8105</v>
      </c>
      <c r="B1537" t="s">
        <v>4</v>
      </c>
      <c r="C1537">
        <v>3</v>
      </c>
      <c r="D1537" t="s">
        <v>5</v>
      </c>
      <c r="F1537" t="str" cm="1">
        <f t="array" ref="F1537">CategorizeComment(E1537)</f>
        <v>Other</v>
      </c>
      <c r="G1537" t="str" cm="1">
        <f t="array" ref="G1537">SubCategorizeComment(E1537)</f>
        <v>Other</v>
      </c>
    </row>
    <row r="1538" spans="1:7" x14ac:dyDescent="0.25">
      <c r="A1538">
        <v>8112</v>
      </c>
      <c r="B1538" t="s">
        <v>4</v>
      </c>
      <c r="C1538">
        <v>3</v>
      </c>
      <c r="D1538" t="s">
        <v>5</v>
      </c>
      <c r="F1538" t="str" cm="1">
        <f t="array" ref="F1538">CategorizeComment(E1538)</f>
        <v>Other</v>
      </c>
      <c r="G1538" t="str" cm="1">
        <f t="array" ref="G1538">SubCategorizeComment(E1538)</f>
        <v>Other</v>
      </c>
    </row>
    <row r="1539" spans="1:7" x14ac:dyDescent="0.25">
      <c r="A1539">
        <v>8117</v>
      </c>
      <c r="B1539" t="s">
        <v>4</v>
      </c>
      <c r="C1539">
        <v>3</v>
      </c>
      <c r="D1539" t="s">
        <v>5</v>
      </c>
      <c r="F1539" t="str" cm="1">
        <f t="array" ref="F1539">CategorizeComment(E1539)</f>
        <v>Other</v>
      </c>
      <c r="G1539" t="str" cm="1">
        <f t="array" ref="G1539">SubCategorizeComment(E1539)</f>
        <v>Other</v>
      </c>
    </row>
    <row r="1540" spans="1:7" x14ac:dyDescent="0.25">
      <c r="A1540">
        <v>8133</v>
      </c>
      <c r="B1540" t="s">
        <v>4</v>
      </c>
      <c r="C1540">
        <v>3</v>
      </c>
      <c r="D1540" t="s">
        <v>5</v>
      </c>
      <c r="F1540" t="str" cm="1">
        <f t="array" ref="F1540">CategorizeComment(E1540)</f>
        <v>Other</v>
      </c>
      <c r="G1540" t="str" cm="1">
        <f t="array" ref="G1540">SubCategorizeComment(E1540)</f>
        <v>Other</v>
      </c>
    </row>
    <row r="1541" spans="1:7" x14ac:dyDescent="0.25">
      <c r="A1541">
        <v>8140</v>
      </c>
      <c r="B1541" t="s">
        <v>4</v>
      </c>
      <c r="C1541">
        <v>3</v>
      </c>
      <c r="D1541" t="s">
        <v>5</v>
      </c>
      <c r="F1541" t="str" cm="1">
        <f t="array" ref="F1541">CategorizeComment(E1541)</f>
        <v>Other</v>
      </c>
      <c r="G1541" t="str" cm="1">
        <f t="array" ref="G1541">SubCategorizeComment(E1541)</f>
        <v>Other</v>
      </c>
    </row>
    <row r="1542" spans="1:7" x14ac:dyDescent="0.25">
      <c r="A1542">
        <v>8147</v>
      </c>
      <c r="B1542" t="s">
        <v>4</v>
      </c>
      <c r="C1542">
        <v>3</v>
      </c>
      <c r="D1542" t="s">
        <v>5</v>
      </c>
      <c r="F1542" t="str" cm="1">
        <f t="array" ref="F1542">CategorizeComment(E1542)</f>
        <v>Other</v>
      </c>
      <c r="G1542" t="str" cm="1">
        <f t="array" ref="G1542">SubCategorizeComment(E1542)</f>
        <v>Other</v>
      </c>
    </row>
    <row r="1543" spans="1:7" x14ac:dyDescent="0.25">
      <c r="A1543">
        <v>8156</v>
      </c>
      <c r="B1543" t="s">
        <v>4</v>
      </c>
      <c r="C1543">
        <v>4</v>
      </c>
      <c r="D1543" t="s">
        <v>5</v>
      </c>
      <c r="F1543" t="str" cm="1">
        <f t="array" ref="F1543">CategorizeComment(E1543)</f>
        <v>Other</v>
      </c>
      <c r="G1543" t="str" cm="1">
        <f t="array" ref="G1543">SubCategorizeComment(E1543)</f>
        <v>Other</v>
      </c>
    </row>
    <row r="1544" spans="1:7" x14ac:dyDescent="0.25">
      <c r="A1544">
        <v>8167</v>
      </c>
      <c r="B1544" t="s">
        <v>4</v>
      </c>
      <c r="C1544">
        <v>3</v>
      </c>
      <c r="D1544" t="s">
        <v>5</v>
      </c>
      <c r="F1544" t="str" cm="1">
        <f t="array" ref="F1544">CategorizeComment(E1544)</f>
        <v>Other</v>
      </c>
      <c r="G1544" t="str" cm="1">
        <f t="array" ref="G1544">SubCategorizeComment(E1544)</f>
        <v>Other</v>
      </c>
    </row>
    <row r="1545" spans="1:7" x14ac:dyDescent="0.25">
      <c r="A1545">
        <v>8173</v>
      </c>
      <c r="B1545" t="s">
        <v>4</v>
      </c>
      <c r="C1545">
        <v>3</v>
      </c>
      <c r="D1545" t="s">
        <v>5</v>
      </c>
      <c r="F1545" t="str" cm="1">
        <f t="array" ref="F1545">CategorizeComment(E1545)</f>
        <v>Other</v>
      </c>
      <c r="G1545" t="str" cm="1">
        <f t="array" ref="G1545">SubCategorizeComment(E1545)</f>
        <v>Other</v>
      </c>
    </row>
    <row r="1546" spans="1:7" x14ac:dyDescent="0.25">
      <c r="A1546">
        <v>8181</v>
      </c>
      <c r="B1546" t="s">
        <v>4</v>
      </c>
      <c r="C1546">
        <v>3</v>
      </c>
      <c r="D1546" t="s">
        <v>5</v>
      </c>
      <c r="F1546" t="str" cm="1">
        <f t="array" ref="F1546">CategorizeComment(E1546)</f>
        <v>Other</v>
      </c>
      <c r="G1546" t="str" cm="1">
        <f t="array" ref="G1546">SubCategorizeComment(E1546)</f>
        <v>Other</v>
      </c>
    </row>
    <row r="1547" spans="1:7" x14ac:dyDescent="0.25">
      <c r="A1547">
        <v>8195</v>
      </c>
      <c r="B1547" t="s">
        <v>4</v>
      </c>
      <c r="C1547">
        <v>4</v>
      </c>
      <c r="D1547" t="s">
        <v>5</v>
      </c>
      <c r="F1547" t="str" cm="1">
        <f t="array" ref="F1547">CategorizeComment(E1547)</f>
        <v>Other</v>
      </c>
      <c r="G1547" t="str" cm="1">
        <f t="array" ref="G1547">SubCategorizeComment(E1547)</f>
        <v>Other</v>
      </c>
    </row>
    <row r="1548" spans="1:7" x14ac:dyDescent="0.25">
      <c r="A1548">
        <v>8202</v>
      </c>
      <c r="B1548" t="s">
        <v>4</v>
      </c>
      <c r="C1548">
        <v>4</v>
      </c>
      <c r="D1548" t="s">
        <v>5</v>
      </c>
      <c r="F1548" t="str" cm="1">
        <f t="array" ref="F1548">CategorizeComment(E1548)</f>
        <v>Other</v>
      </c>
      <c r="G1548" t="str" cm="1">
        <f t="array" ref="G1548">SubCategorizeComment(E1548)</f>
        <v>Other</v>
      </c>
    </row>
    <row r="1549" spans="1:7" x14ac:dyDescent="0.25">
      <c r="A1549">
        <v>8203</v>
      </c>
      <c r="B1549" t="s">
        <v>4</v>
      </c>
      <c r="C1549">
        <v>3</v>
      </c>
      <c r="D1549" t="s">
        <v>5</v>
      </c>
      <c r="F1549" t="str" cm="1">
        <f t="array" ref="F1549">CategorizeComment(E1549)</f>
        <v>Other</v>
      </c>
      <c r="G1549" t="str" cm="1">
        <f t="array" ref="G1549">SubCategorizeComment(E1549)</f>
        <v>Other</v>
      </c>
    </row>
    <row r="1550" spans="1:7" x14ac:dyDescent="0.25">
      <c r="A1550">
        <v>8211</v>
      </c>
      <c r="B1550" t="s">
        <v>4</v>
      </c>
      <c r="C1550">
        <v>3</v>
      </c>
      <c r="D1550" t="s">
        <v>5</v>
      </c>
      <c r="F1550" t="str" cm="1">
        <f t="array" ref="F1550">CategorizeComment(E1550)</f>
        <v>Other</v>
      </c>
      <c r="G1550" t="str" cm="1">
        <f t="array" ref="G1550">SubCategorizeComment(E1550)</f>
        <v>Other</v>
      </c>
    </row>
    <row r="1551" spans="1:7" x14ac:dyDescent="0.25">
      <c r="A1551">
        <v>8229</v>
      </c>
      <c r="B1551" t="s">
        <v>4</v>
      </c>
      <c r="C1551">
        <v>3</v>
      </c>
      <c r="D1551" t="s">
        <v>5</v>
      </c>
      <c r="F1551" t="str" cm="1">
        <f t="array" ref="F1551">CategorizeComment(E1551)</f>
        <v>Other</v>
      </c>
      <c r="G1551" t="str" cm="1">
        <f t="array" ref="G1551">SubCategorizeComment(E1551)</f>
        <v>Other</v>
      </c>
    </row>
    <row r="1552" spans="1:7" x14ac:dyDescent="0.25">
      <c r="A1552">
        <v>8230</v>
      </c>
      <c r="B1552" t="s">
        <v>4</v>
      </c>
      <c r="C1552">
        <v>4</v>
      </c>
      <c r="D1552" t="s">
        <v>5</v>
      </c>
      <c r="F1552" t="str" cm="1">
        <f t="array" ref="F1552">CategorizeComment(E1552)</f>
        <v>Other</v>
      </c>
      <c r="G1552" t="str" cm="1">
        <f t="array" ref="G1552">SubCategorizeComment(E1552)</f>
        <v>Other</v>
      </c>
    </row>
    <row r="1553" spans="1:7" x14ac:dyDescent="0.25">
      <c r="A1553">
        <v>8245</v>
      </c>
      <c r="B1553" t="s">
        <v>4</v>
      </c>
      <c r="C1553">
        <v>4</v>
      </c>
      <c r="D1553" t="s">
        <v>5</v>
      </c>
      <c r="F1553" t="str" cm="1">
        <f t="array" ref="F1553">CategorizeComment(E1553)</f>
        <v>Other</v>
      </c>
      <c r="G1553" t="str" cm="1">
        <f t="array" ref="G1553">SubCategorizeComment(E1553)</f>
        <v>Other</v>
      </c>
    </row>
    <row r="1554" spans="1:7" x14ac:dyDescent="0.25">
      <c r="A1554">
        <v>8254</v>
      </c>
      <c r="B1554" t="s">
        <v>4</v>
      </c>
      <c r="C1554">
        <v>4</v>
      </c>
      <c r="D1554" t="s">
        <v>5</v>
      </c>
      <c r="F1554" t="str" cm="1">
        <f t="array" ref="F1554">CategorizeComment(E1554)</f>
        <v>Other</v>
      </c>
      <c r="G1554" t="str" cm="1">
        <f t="array" ref="G1554">SubCategorizeComment(E1554)</f>
        <v>Other</v>
      </c>
    </row>
    <row r="1555" spans="1:7" x14ac:dyDescent="0.25">
      <c r="A1555">
        <v>8264</v>
      </c>
      <c r="B1555" t="s">
        <v>4</v>
      </c>
      <c r="C1555">
        <v>3</v>
      </c>
      <c r="D1555" t="s">
        <v>5</v>
      </c>
      <c r="F1555" t="str" cm="1">
        <f t="array" ref="F1555">CategorizeComment(E1555)</f>
        <v>Other</v>
      </c>
      <c r="G1555" t="str" cm="1">
        <f t="array" ref="G1555">SubCategorizeComment(E1555)</f>
        <v>Other</v>
      </c>
    </row>
    <row r="1556" spans="1:7" x14ac:dyDescent="0.25">
      <c r="A1556">
        <v>8270</v>
      </c>
      <c r="B1556" t="s">
        <v>4</v>
      </c>
      <c r="C1556">
        <v>4</v>
      </c>
      <c r="D1556" t="s">
        <v>5</v>
      </c>
      <c r="F1556" t="str" cm="1">
        <f t="array" ref="F1556">CategorizeComment(E1556)</f>
        <v>Other</v>
      </c>
      <c r="G1556" t="str" cm="1">
        <f t="array" ref="G1556">SubCategorizeComment(E1556)</f>
        <v>Other</v>
      </c>
    </row>
    <row r="1557" spans="1:7" x14ac:dyDescent="0.25">
      <c r="A1557">
        <v>8281</v>
      </c>
      <c r="B1557" t="s">
        <v>4</v>
      </c>
      <c r="C1557">
        <v>4</v>
      </c>
      <c r="D1557" t="s">
        <v>5</v>
      </c>
      <c r="F1557" t="str" cm="1">
        <f t="array" ref="F1557">CategorizeComment(E1557)</f>
        <v>Other</v>
      </c>
      <c r="G1557" t="str" cm="1">
        <f t="array" ref="G1557">SubCategorizeComment(E1557)</f>
        <v>Other</v>
      </c>
    </row>
    <row r="1558" spans="1:7" x14ac:dyDescent="0.25">
      <c r="A1558">
        <v>8310</v>
      </c>
      <c r="B1558" t="s">
        <v>4</v>
      </c>
      <c r="C1558">
        <v>4</v>
      </c>
      <c r="D1558" t="s">
        <v>5</v>
      </c>
      <c r="F1558" t="str" cm="1">
        <f t="array" ref="F1558">CategorizeComment(E1558)</f>
        <v>Other</v>
      </c>
      <c r="G1558" t="str" cm="1">
        <f t="array" ref="G1558">SubCategorizeComment(E1558)</f>
        <v>Other</v>
      </c>
    </row>
    <row r="1559" spans="1:7" x14ac:dyDescent="0.25">
      <c r="A1559">
        <v>8320</v>
      </c>
      <c r="B1559" t="s">
        <v>4</v>
      </c>
      <c r="C1559">
        <v>4</v>
      </c>
      <c r="D1559" t="s">
        <v>5</v>
      </c>
      <c r="F1559" t="str" cm="1">
        <f t="array" ref="F1559">CategorizeComment(E1559)</f>
        <v>Other</v>
      </c>
      <c r="G1559" t="str" cm="1">
        <f t="array" ref="G1559">SubCategorizeComment(E1559)</f>
        <v>Other</v>
      </c>
    </row>
    <row r="1560" spans="1:7" x14ac:dyDescent="0.25">
      <c r="A1560">
        <v>8341</v>
      </c>
      <c r="B1560" t="s">
        <v>4</v>
      </c>
      <c r="C1560">
        <v>3</v>
      </c>
      <c r="D1560" t="s">
        <v>5</v>
      </c>
      <c r="F1560" t="str" cm="1">
        <f t="array" ref="F1560">CategorizeComment(E1560)</f>
        <v>Other</v>
      </c>
      <c r="G1560" t="str" cm="1">
        <f t="array" ref="G1560">SubCategorizeComment(E1560)</f>
        <v>Other</v>
      </c>
    </row>
    <row r="1561" spans="1:7" x14ac:dyDescent="0.25">
      <c r="A1561">
        <v>8348</v>
      </c>
      <c r="B1561" t="s">
        <v>4</v>
      </c>
      <c r="C1561">
        <v>3</v>
      </c>
      <c r="D1561" t="s">
        <v>5</v>
      </c>
      <c r="F1561" t="str" cm="1">
        <f t="array" ref="F1561">CategorizeComment(E1561)</f>
        <v>Other</v>
      </c>
      <c r="G1561" t="str" cm="1">
        <f t="array" ref="G1561">SubCategorizeComment(E1561)</f>
        <v>Other</v>
      </c>
    </row>
    <row r="1562" spans="1:7" x14ac:dyDescent="0.25">
      <c r="A1562">
        <v>8356</v>
      </c>
      <c r="B1562" t="s">
        <v>4</v>
      </c>
      <c r="C1562">
        <v>3</v>
      </c>
      <c r="D1562" t="s">
        <v>5</v>
      </c>
      <c r="F1562" t="str" cm="1">
        <f t="array" ref="F1562">CategorizeComment(E1562)</f>
        <v>Other</v>
      </c>
      <c r="G1562" t="str" cm="1">
        <f t="array" ref="G1562">SubCategorizeComment(E1562)</f>
        <v>Other</v>
      </c>
    </row>
    <row r="1563" spans="1:7" x14ac:dyDescent="0.25">
      <c r="A1563">
        <v>8359</v>
      </c>
      <c r="B1563" t="s">
        <v>4</v>
      </c>
      <c r="C1563">
        <v>4</v>
      </c>
      <c r="D1563" t="s">
        <v>5</v>
      </c>
      <c r="F1563" t="str" cm="1">
        <f t="array" ref="F1563">CategorizeComment(E1563)</f>
        <v>Other</v>
      </c>
      <c r="G1563" t="str" cm="1">
        <f t="array" ref="G1563">SubCategorizeComment(E1563)</f>
        <v>Other</v>
      </c>
    </row>
    <row r="1564" spans="1:7" x14ac:dyDescent="0.25">
      <c r="A1564">
        <v>8369</v>
      </c>
      <c r="B1564" t="s">
        <v>4</v>
      </c>
      <c r="C1564">
        <v>4</v>
      </c>
      <c r="D1564" t="s">
        <v>5</v>
      </c>
      <c r="F1564" t="str" cm="1">
        <f t="array" ref="F1564">CategorizeComment(E1564)</f>
        <v>Other</v>
      </c>
      <c r="G1564" t="str" cm="1">
        <f t="array" ref="G1564">SubCategorizeComment(E1564)</f>
        <v>Other</v>
      </c>
    </row>
    <row r="1565" spans="1:7" x14ac:dyDescent="0.25">
      <c r="A1565">
        <v>8384</v>
      </c>
      <c r="B1565" t="s">
        <v>4</v>
      </c>
      <c r="C1565">
        <v>4</v>
      </c>
      <c r="D1565" t="s">
        <v>5</v>
      </c>
      <c r="F1565" t="str" cm="1">
        <f t="array" ref="F1565">CategorizeComment(E1565)</f>
        <v>Other</v>
      </c>
      <c r="G1565" t="str" cm="1">
        <f t="array" ref="G1565">SubCategorizeComment(E1565)</f>
        <v>Other</v>
      </c>
    </row>
    <row r="1566" spans="1:7" x14ac:dyDescent="0.25">
      <c r="A1566">
        <v>8418</v>
      </c>
      <c r="B1566" t="s">
        <v>4</v>
      </c>
      <c r="C1566">
        <v>3</v>
      </c>
      <c r="D1566" t="s">
        <v>5</v>
      </c>
      <c r="F1566" t="str" cm="1">
        <f t="array" ref="F1566">CategorizeComment(E1566)</f>
        <v>Other</v>
      </c>
      <c r="G1566" t="str" cm="1">
        <f t="array" ref="G1566">SubCategorizeComment(E1566)</f>
        <v>Other</v>
      </c>
    </row>
    <row r="1567" spans="1:7" x14ac:dyDescent="0.25">
      <c r="A1567">
        <v>8419</v>
      </c>
      <c r="B1567" t="s">
        <v>4</v>
      </c>
      <c r="C1567">
        <v>4</v>
      </c>
      <c r="D1567" t="s">
        <v>5</v>
      </c>
      <c r="F1567" t="str" cm="1">
        <f t="array" ref="F1567">CategorizeComment(E1567)</f>
        <v>Other</v>
      </c>
      <c r="G1567" t="str" cm="1">
        <f t="array" ref="G1567">SubCategorizeComment(E1567)</f>
        <v>Other</v>
      </c>
    </row>
    <row r="1568" spans="1:7" x14ac:dyDescent="0.25">
      <c r="A1568">
        <v>8421</v>
      </c>
      <c r="B1568" t="s">
        <v>4</v>
      </c>
      <c r="C1568">
        <v>3</v>
      </c>
      <c r="D1568" t="s">
        <v>5</v>
      </c>
      <c r="F1568" t="str" cm="1">
        <f t="array" ref="F1568">CategorizeComment(E1568)</f>
        <v>Other</v>
      </c>
      <c r="G1568" t="str" cm="1">
        <f t="array" ref="G1568">SubCategorizeComment(E1568)</f>
        <v>Other</v>
      </c>
    </row>
    <row r="1569" spans="1:7" x14ac:dyDescent="0.25">
      <c r="A1569">
        <v>8447</v>
      </c>
      <c r="B1569" t="s">
        <v>4</v>
      </c>
      <c r="C1569">
        <v>4</v>
      </c>
      <c r="D1569" t="s">
        <v>5</v>
      </c>
      <c r="F1569" t="str" cm="1">
        <f t="array" ref="F1569">CategorizeComment(E1569)</f>
        <v>Other</v>
      </c>
      <c r="G1569" t="str" cm="1">
        <f t="array" ref="G1569">SubCategorizeComment(E1569)</f>
        <v>Other</v>
      </c>
    </row>
    <row r="1570" spans="1:7" x14ac:dyDescent="0.25">
      <c r="A1570">
        <v>8451</v>
      </c>
      <c r="B1570" t="s">
        <v>4</v>
      </c>
      <c r="C1570">
        <v>3</v>
      </c>
      <c r="D1570" t="s">
        <v>5</v>
      </c>
      <c r="F1570" t="str" cm="1">
        <f t="array" ref="F1570">CategorizeComment(E1570)</f>
        <v>Other</v>
      </c>
      <c r="G1570" t="str" cm="1">
        <f t="array" ref="G1570">SubCategorizeComment(E1570)</f>
        <v>Other</v>
      </c>
    </row>
    <row r="1571" spans="1:7" x14ac:dyDescent="0.25">
      <c r="A1571">
        <v>8457</v>
      </c>
      <c r="B1571" t="s">
        <v>4</v>
      </c>
      <c r="C1571">
        <v>3</v>
      </c>
      <c r="D1571" t="s">
        <v>5</v>
      </c>
      <c r="F1571" t="str" cm="1">
        <f t="array" ref="F1571">CategorizeComment(E1571)</f>
        <v>Other</v>
      </c>
      <c r="G1571" t="str" cm="1">
        <f t="array" ref="G1571">SubCategorizeComment(E1571)</f>
        <v>Other</v>
      </c>
    </row>
    <row r="1572" spans="1:7" x14ac:dyDescent="0.25">
      <c r="A1572">
        <v>8459</v>
      </c>
      <c r="B1572" t="s">
        <v>4</v>
      </c>
      <c r="C1572">
        <v>4</v>
      </c>
      <c r="D1572" t="s">
        <v>5</v>
      </c>
      <c r="F1572" t="str" cm="1">
        <f t="array" ref="F1572">CategorizeComment(E1572)</f>
        <v>Other</v>
      </c>
      <c r="G1572" t="str" cm="1">
        <f t="array" ref="G1572">SubCategorizeComment(E1572)</f>
        <v>Other</v>
      </c>
    </row>
    <row r="1573" spans="1:7" x14ac:dyDescent="0.25">
      <c r="A1573">
        <v>8464</v>
      </c>
      <c r="B1573" t="s">
        <v>4</v>
      </c>
      <c r="C1573">
        <v>4</v>
      </c>
      <c r="D1573" t="s">
        <v>5</v>
      </c>
      <c r="F1573" t="str" cm="1">
        <f t="array" ref="F1573">CategorizeComment(E1573)</f>
        <v>Other</v>
      </c>
      <c r="G1573" t="str" cm="1">
        <f t="array" ref="G1573">SubCategorizeComment(E1573)</f>
        <v>Other</v>
      </c>
    </row>
    <row r="1574" spans="1:7" x14ac:dyDescent="0.25">
      <c r="A1574">
        <v>8491</v>
      </c>
      <c r="B1574" t="s">
        <v>4</v>
      </c>
      <c r="C1574">
        <v>4</v>
      </c>
      <c r="D1574" t="s">
        <v>5</v>
      </c>
      <c r="F1574" t="str" cm="1">
        <f t="array" ref="F1574">CategorizeComment(E1574)</f>
        <v>Other</v>
      </c>
      <c r="G1574" t="str" cm="1">
        <f t="array" ref="G1574">SubCategorizeComment(E1574)</f>
        <v>Other</v>
      </c>
    </row>
    <row r="1575" spans="1:7" x14ac:dyDescent="0.25">
      <c r="A1575">
        <v>8496</v>
      </c>
      <c r="B1575" t="s">
        <v>4</v>
      </c>
      <c r="C1575">
        <v>4</v>
      </c>
      <c r="D1575" t="s">
        <v>5</v>
      </c>
      <c r="F1575" t="str" cm="1">
        <f t="array" ref="F1575">CategorizeComment(E1575)</f>
        <v>Other</v>
      </c>
      <c r="G1575" t="str" cm="1">
        <f t="array" ref="G1575">SubCategorizeComment(E1575)</f>
        <v>Other</v>
      </c>
    </row>
    <row r="1576" spans="1:7" x14ac:dyDescent="0.25">
      <c r="A1576">
        <v>8511</v>
      </c>
      <c r="B1576" t="s">
        <v>4</v>
      </c>
      <c r="C1576">
        <v>3</v>
      </c>
      <c r="D1576" t="s">
        <v>5</v>
      </c>
      <c r="F1576" t="str" cm="1">
        <f t="array" ref="F1576">CategorizeComment(E1576)</f>
        <v>Other</v>
      </c>
      <c r="G1576" t="str" cm="1">
        <f t="array" ref="G1576">SubCategorizeComment(E1576)</f>
        <v>Other</v>
      </c>
    </row>
    <row r="1577" spans="1:7" x14ac:dyDescent="0.25">
      <c r="A1577">
        <v>8538</v>
      </c>
      <c r="B1577" t="s">
        <v>4</v>
      </c>
      <c r="C1577">
        <v>4</v>
      </c>
      <c r="D1577" t="s">
        <v>5</v>
      </c>
      <c r="F1577" t="str" cm="1">
        <f t="array" ref="F1577">CategorizeComment(E1577)</f>
        <v>Other</v>
      </c>
      <c r="G1577" t="str" cm="1">
        <f t="array" ref="G1577">SubCategorizeComment(E1577)</f>
        <v>Other</v>
      </c>
    </row>
    <row r="1578" spans="1:7" x14ac:dyDescent="0.25">
      <c r="A1578">
        <v>8559</v>
      </c>
      <c r="B1578" t="s">
        <v>4</v>
      </c>
      <c r="C1578">
        <v>4</v>
      </c>
      <c r="D1578" t="s">
        <v>5</v>
      </c>
      <c r="F1578" t="str" cm="1">
        <f t="array" ref="F1578">CategorizeComment(E1578)</f>
        <v>Other</v>
      </c>
      <c r="G1578" t="str" cm="1">
        <f t="array" ref="G1578">SubCategorizeComment(E1578)</f>
        <v>Other</v>
      </c>
    </row>
    <row r="1579" spans="1:7" x14ac:dyDescent="0.25">
      <c r="A1579">
        <v>8566</v>
      </c>
      <c r="B1579" t="s">
        <v>4</v>
      </c>
      <c r="C1579">
        <v>3</v>
      </c>
      <c r="D1579" t="s">
        <v>5</v>
      </c>
      <c r="F1579" t="str" cm="1">
        <f t="array" ref="F1579">CategorizeComment(E1579)</f>
        <v>Other</v>
      </c>
      <c r="G1579" t="str" cm="1">
        <f t="array" ref="G1579">SubCategorizeComment(E1579)</f>
        <v>Other</v>
      </c>
    </row>
    <row r="1580" spans="1:7" x14ac:dyDescent="0.25">
      <c r="A1580">
        <v>8573</v>
      </c>
      <c r="B1580" t="s">
        <v>4</v>
      </c>
      <c r="C1580">
        <v>4</v>
      </c>
      <c r="D1580" t="s">
        <v>5</v>
      </c>
      <c r="F1580" t="str" cm="1">
        <f t="array" ref="F1580">CategorizeComment(E1580)</f>
        <v>Other</v>
      </c>
      <c r="G1580" t="str" cm="1">
        <f t="array" ref="G1580">SubCategorizeComment(E1580)</f>
        <v>Other</v>
      </c>
    </row>
    <row r="1581" spans="1:7" x14ac:dyDescent="0.25">
      <c r="A1581">
        <v>8587</v>
      </c>
      <c r="B1581" t="s">
        <v>4</v>
      </c>
      <c r="C1581">
        <v>4</v>
      </c>
      <c r="D1581" t="s">
        <v>5</v>
      </c>
      <c r="F1581" t="str" cm="1">
        <f t="array" ref="F1581">CategorizeComment(E1581)</f>
        <v>Other</v>
      </c>
      <c r="G1581" t="str" cm="1">
        <f t="array" ref="G1581">SubCategorizeComment(E1581)</f>
        <v>Other</v>
      </c>
    </row>
    <row r="1582" spans="1:7" x14ac:dyDescent="0.25">
      <c r="A1582">
        <v>8590</v>
      </c>
      <c r="B1582" t="s">
        <v>4</v>
      </c>
      <c r="C1582">
        <v>3</v>
      </c>
      <c r="D1582" t="s">
        <v>5</v>
      </c>
      <c r="F1582" t="str" cm="1">
        <f t="array" ref="F1582">CategorizeComment(E1582)</f>
        <v>Other</v>
      </c>
      <c r="G1582" t="str" cm="1">
        <f t="array" ref="G1582">SubCategorizeComment(E1582)</f>
        <v>Other</v>
      </c>
    </row>
    <row r="1583" spans="1:7" x14ac:dyDescent="0.25">
      <c r="A1583">
        <v>8613</v>
      </c>
      <c r="B1583" t="s">
        <v>4</v>
      </c>
      <c r="C1583">
        <v>4</v>
      </c>
      <c r="D1583" t="s">
        <v>5</v>
      </c>
      <c r="F1583" t="str" cm="1">
        <f t="array" ref="F1583">CategorizeComment(E1583)</f>
        <v>Other</v>
      </c>
      <c r="G1583" t="str" cm="1">
        <f t="array" ref="G1583">SubCategorizeComment(E1583)</f>
        <v>Other</v>
      </c>
    </row>
    <row r="1584" spans="1:7" x14ac:dyDescent="0.25">
      <c r="A1584">
        <v>8631</v>
      </c>
      <c r="B1584" t="s">
        <v>4</v>
      </c>
      <c r="C1584">
        <v>3</v>
      </c>
      <c r="D1584" t="s">
        <v>5</v>
      </c>
      <c r="F1584" t="str" cm="1">
        <f t="array" ref="F1584">CategorizeComment(E1584)</f>
        <v>Other</v>
      </c>
      <c r="G1584" t="str" cm="1">
        <f t="array" ref="G1584">SubCategorizeComment(E1584)</f>
        <v>Other</v>
      </c>
    </row>
    <row r="1585" spans="1:7" x14ac:dyDescent="0.25">
      <c r="A1585">
        <v>8632</v>
      </c>
      <c r="B1585" t="s">
        <v>4</v>
      </c>
      <c r="C1585">
        <v>3</v>
      </c>
      <c r="D1585" t="s">
        <v>5</v>
      </c>
      <c r="F1585" t="str" cm="1">
        <f t="array" ref="F1585">CategorizeComment(E1585)</f>
        <v>Other</v>
      </c>
      <c r="G1585" t="str" cm="1">
        <f t="array" ref="G1585">SubCategorizeComment(E1585)</f>
        <v>Other</v>
      </c>
    </row>
    <row r="1586" spans="1:7" x14ac:dyDescent="0.25">
      <c r="A1586">
        <v>8660</v>
      </c>
      <c r="B1586" t="s">
        <v>4</v>
      </c>
      <c r="C1586">
        <v>3</v>
      </c>
      <c r="D1586" t="s">
        <v>5</v>
      </c>
      <c r="F1586" t="str" cm="1">
        <f t="array" ref="F1586">CategorizeComment(E1586)</f>
        <v>Other</v>
      </c>
      <c r="G1586" t="str" cm="1">
        <f t="array" ref="G1586">SubCategorizeComment(E1586)</f>
        <v>Other</v>
      </c>
    </row>
    <row r="1587" spans="1:7" x14ac:dyDescent="0.25">
      <c r="A1587">
        <v>8666</v>
      </c>
      <c r="B1587" t="s">
        <v>4</v>
      </c>
      <c r="C1587">
        <v>3</v>
      </c>
      <c r="D1587" t="s">
        <v>5</v>
      </c>
      <c r="F1587" t="str" cm="1">
        <f t="array" ref="F1587">CategorizeComment(E1587)</f>
        <v>Other</v>
      </c>
      <c r="G1587" t="str" cm="1">
        <f t="array" ref="G1587">SubCategorizeComment(E1587)</f>
        <v>Other</v>
      </c>
    </row>
    <row r="1588" spans="1:7" x14ac:dyDescent="0.25">
      <c r="A1588">
        <v>8668</v>
      </c>
      <c r="B1588" t="s">
        <v>4</v>
      </c>
      <c r="C1588">
        <v>3</v>
      </c>
      <c r="D1588" t="s">
        <v>5</v>
      </c>
      <c r="F1588" t="str" cm="1">
        <f t="array" ref="F1588">CategorizeComment(E1588)</f>
        <v>Other</v>
      </c>
      <c r="G1588" t="str" cm="1">
        <f t="array" ref="G1588">SubCategorizeComment(E1588)</f>
        <v>Other</v>
      </c>
    </row>
    <row r="1589" spans="1:7" x14ac:dyDescent="0.25">
      <c r="A1589">
        <v>8673</v>
      </c>
      <c r="B1589" t="s">
        <v>4</v>
      </c>
      <c r="C1589">
        <v>3</v>
      </c>
      <c r="D1589" t="s">
        <v>5</v>
      </c>
      <c r="F1589" t="str" cm="1">
        <f t="array" ref="F1589">CategorizeComment(E1589)</f>
        <v>Other</v>
      </c>
      <c r="G1589" t="str" cm="1">
        <f t="array" ref="G1589">SubCategorizeComment(E1589)</f>
        <v>Other</v>
      </c>
    </row>
    <row r="1590" spans="1:7" x14ac:dyDescent="0.25">
      <c r="A1590">
        <v>8680</v>
      </c>
      <c r="B1590" t="s">
        <v>4</v>
      </c>
      <c r="C1590">
        <v>4</v>
      </c>
      <c r="D1590" t="s">
        <v>5</v>
      </c>
      <c r="F1590" t="str" cm="1">
        <f t="array" ref="F1590">CategorizeComment(E1590)</f>
        <v>Other</v>
      </c>
      <c r="G1590" t="str" cm="1">
        <f t="array" ref="G1590">SubCategorizeComment(E1590)</f>
        <v>Other</v>
      </c>
    </row>
    <row r="1591" spans="1:7" x14ac:dyDescent="0.25">
      <c r="A1591">
        <v>8699</v>
      </c>
      <c r="B1591" t="s">
        <v>4</v>
      </c>
      <c r="C1591">
        <v>4</v>
      </c>
      <c r="D1591" t="s">
        <v>5</v>
      </c>
      <c r="F1591" t="str" cm="1">
        <f t="array" ref="F1591">CategorizeComment(E1591)</f>
        <v>Other</v>
      </c>
      <c r="G1591" t="str" cm="1">
        <f t="array" ref="G1591">SubCategorizeComment(E1591)</f>
        <v>Other</v>
      </c>
    </row>
    <row r="1592" spans="1:7" x14ac:dyDescent="0.25">
      <c r="A1592">
        <v>8711</v>
      </c>
      <c r="B1592" t="s">
        <v>4</v>
      </c>
      <c r="C1592">
        <v>4</v>
      </c>
      <c r="D1592" t="s">
        <v>5</v>
      </c>
      <c r="F1592" t="str" cm="1">
        <f t="array" ref="F1592">CategorizeComment(E1592)</f>
        <v>Other</v>
      </c>
      <c r="G1592" t="str" cm="1">
        <f t="array" ref="G1592">SubCategorizeComment(E1592)</f>
        <v>Other</v>
      </c>
    </row>
    <row r="1593" spans="1:7" x14ac:dyDescent="0.25">
      <c r="A1593">
        <v>8712</v>
      </c>
      <c r="B1593" t="s">
        <v>4</v>
      </c>
      <c r="C1593">
        <v>4</v>
      </c>
      <c r="D1593" t="s">
        <v>5</v>
      </c>
      <c r="F1593" t="str" cm="1">
        <f t="array" ref="F1593">CategorizeComment(E1593)</f>
        <v>Other</v>
      </c>
      <c r="G1593" t="str" cm="1">
        <f t="array" ref="G1593">SubCategorizeComment(E1593)</f>
        <v>Other</v>
      </c>
    </row>
    <row r="1594" spans="1:7" x14ac:dyDescent="0.25">
      <c r="A1594">
        <v>8715</v>
      </c>
      <c r="B1594" t="s">
        <v>4</v>
      </c>
      <c r="C1594">
        <v>3</v>
      </c>
      <c r="D1594" t="s">
        <v>5</v>
      </c>
      <c r="F1594" t="str" cm="1">
        <f t="array" ref="F1594">CategorizeComment(E1594)</f>
        <v>Other</v>
      </c>
      <c r="G1594" t="str" cm="1">
        <f t="array" ref="G1594">SubCategorizeComment(E1594)</f>
        <v>Other</v>
      </c>
    </row>
    <row r="1595" spans="1:7" x14ac:dyDescent="0.25">
      <c r="A1595">
        <v>8723</v>
      </c>
      <c r="B1595" t="s">
        <v>4</v>
      </c>
      <c r="C1595">
        <v>3</v>
      </c>
      <c r="D1595" t="s">
        <v>5</v>
      </c>
      <c r="F1595" t="str" cm="1">
        <f t="array" ref="F1595">CategorizeComment(E1595)</f>
        <v>Other</v>
      </c>
      <c r="G1595" t="str" cm="1">
        <f t="array" ref="G1595">SubCategorizeComment(E1595)</f>
        <v>Other</v>
      </c>
    </row>
    <row r="1596" spans="1:7" x14ac:dyDescent="0.25">
      <c r="A1596">
        <v>8730</v>
      </c>
      <c r="B1596" t="s">
        <v>4</v>
      </c>
      <c r="C1596">
        <v>4</v>
      </c>
      <c r="D1596" t="s">
        <v>5</v>
      </c>
      <c r="F1596" t="str" cm="1">
        <f t="array" ref="F1596">CategorizeComment(E1596)</f>
        <v>Other</v>
      </c>
      <c r="G1596" t="str" cm="1">
        <f t="array" ref="G1596">SubCategorizeComment(E1596)</f>
        <v>Other</v>
      </c>
    </row>
    <row r="1597" spans="1:7" x14ac:dyDescent="0.25">
      <c r="A1597">
        <v>8742</v>
      </c>
      <c r="B1597" t="s">
        <v>4</v>
      </c>
      <c r="C1597">
        <v>3</v>
      </c>
      <c r="D1597" t="s">
        <v>5</v>
      </c>
      <c r="F1597" t="str" cm="1">
        <f t="array" ref="F1597">CategorizeComment(E1597)</f>
        <v>Other</v>
      </c>
      <c r="G1597" t="str" cm="1">
        <f t="array" ref="G1597">SubCategorizeComment(E1597)</f>
        <v>Other</v>
      </c>
    </row>
    <row r="1598" spans="1:7" x14ac:dyDescent="0.25">
      <c r="A1598">
        <v>8755</v>
      </c>
      <c r="B1598" t="s">
        <v>4</v>
      </c>
      <c r="C1598">
        <v>4</v>
      </c>
      <c r="D1598" t="s">
        <v>5</v>
      </c>
      <c r="F1598" t="str" cm="1">
        <f t="array" ref="F1598">CategorizeComment(E1598)</f>
        <v>Other</v>
      </c>
      <c r="G1598" t="str" cm="1">
        <f t="array" ref="G1598">SubCategorizeComment(E1598)</f>
        <v>Other</v>
      </c>
    </row>
    <row r="1599" spans="1:7" x14ac:dyDescent="0.25">
      <c r="A1599">
        <v>8757</v>
      </c>
      <c r="B1599" t="s">
        <v>4</v>
      </c>
      <c r="C1599">
        <v>3</v>
      </c>
      <c r="D1599" t="s">
        <v>5</v>
      </c>
      <c r="F1599" t="str" cm="1">
        <f t="array" ref="F1599">CategorizeComment(E1599)</f>
        <v>Other</v>
      </c>
      <c r="G1599" t="str" cm="1">
        <f t="array" ref="G1599">SubCategorizeComment(E1599)</f>
        <v>Other</v>
      </c>
    </row>
    <row r="1600" spans="1:7" x14ac:dyDescent="0.25">
      <c r="A1600">
        <v>8784</v>
      </c>
      <c r="B1600" t="s">
        <v>4</v>
      </c>
      <c r="C1600">
        <v>4</v>
      </c>
      <c r="D1600" t="s">
        <v>5</v>
      </c>
      <c r="F1600" t="str" cm="1">
        <f t="array" ref="F1600">CategorizeComment(E1600)</f>
        <v>Other</v>
      </c>
      <c r="G1600" t="str" cm="1">
        <f t="array" ref="G1600">SubCategorizeComment(E1600)</f>
        <v>Other</v>
      </c>
    </row>
    <row r="1601" spans="1:7" x14ac:dyDescent="0.25">
      <c r="A1601">
        <v>8793</v>
      </c>
      <c r="B1601" t="s">
        <v>4</v>
      </c>
      <c r="C1601">
        <v>4</v>
      </c>
      <c r="D1601" t="s">
        <v>5</v>
      </c>
      <c r="F1601" t="str" cm="1">
        <f t="array" ref="F1601">CategorizeComment(E1601)</f>
        <v>Other</v>
      </c>
      <c r="G1601" t="str" cm="1">
        <f t="array" ref="G1601">SubCategorizeComment(E1601)</f>
        <v>Other</v>
      </c>
    </row>
    <row r="1602" spans="1:7" x14ac:dyDescent="0.25">
      <c r="A1602">
        <v>8802</v>
      </c>
      <c r="B1602" t="s">
        <v>4</v>
      </c>
      <c r="C1602">
        <v>3</v>
      </c>
      <c r="D1602" t="s">
        <v>5</v>
      </c>
      <c r="F1602" t="str" cm="1">
        <f t="array" ref="F1602">CategorizeComment(E1602)</f>
        <v>Other</v>
      </c>
      <c r="G1602" t="str" cm="1">
        <f t="array" ref="G1602">SubCategorizeComment(E1602)</f>
        <v>Other</v>
      </c>
    </row>
    <row r="1603" spans="1:7" x14ac:dyDescent="0.25">
      <c r="A1603">
        <v>8805</v>
      </c>
      <c r="B1603" t="s">
        <v>4</v>
      </c>
      <c r="C1603">
        <v>3</v>
      </c>
      <c r="D1603" t="s">
        <v>5</v>
      </c>
      <c r="F1603" t="str" cm="1">
        <f t="array" ref="F1603">CategorizeComment(E1603)</f>
        <v>Other</v>
      </c>
      <c r="G1603" t="str" cm="1">
        <f t="array" ref="G1603">SubCategorizeComment(E1603)</f>
        <v>Other</v>
      </c>
    </row>
    <row r="1604" spans="1:7" x14ac:dyDescent="0.25">
      <c r="A1604">
        <v>8808</v>
      </c>
      <c r="B1604" t="s">
        <v>4</v>
      </c>
      <c r="C1604">
        <v>3</v>
      </c>
      <c r="D1604" t="s">
        <v>5</v>
      </c>
      <c r="F1604" t="str" cm="1">
        <f t="array" ref="F1604">CategorizeComment(E1604)</f>
        <v>Other</v>
      </c>
      <c r="G1604" t="str" cm="1">
        <f t="array" ref="G1604">SubCategorizeComment(E1604)</f>
        <v>Other</v>
      </c>
    </row>
    <row r="1605" spans="1:7" x14ac:dyDescent="0.25">
      <c r="A1605">
        <v>8811</v>
      </c>
      <c r="B1605" t="s">
        <v>4</v>
      </c>
      <c r="C1605">
        <v>3</v>
      </c>
      <c r="D1605" t="s">
        <v>5</v>
      </c>
      <c r="F1605" t="str" cm="1">
        <f t="array" ref="F1605">CategorizeComment(E1605)</f>
        <v>Other</v>
      </c>
      <c r="G1605" t="str" cm="1">
        <f t="array" ref="G1605">SubCategorizeComment(E1605)</f>
        <v>Other</v>
      </c>
    </row>
    <row r="1606" spans="1:7" x14ac:dyDescent="0.25">
      <c r="A1606">
        <v>8825</v>
      </c>
      <c r="B1606" t="s">
        <v>4</v>
      </c>
      <c r="C1606">
        <v>4</v>
      </c>
      <c r="D1606" t="s">
        <v>5</v>
      </c>
      <c r="F1606" t="str" cm="1">
        <f t="array" ref="F1606">CategorizeComment(E1606)</f>
        <v>Other</v>
      </c>
      <c r="G1606" t="str" cm="1">
        <f t="array" ref="G1606">SubCategorizeComment(E1606)</f>
        <v>Other</v>
      </c>
    </row>
    <row r="1607" spans="1:7" x14ac:dyDescent="0.25">
      <c r="A1607">
        <v>8883</v>
      </c>
      <c r="B1607" t="s">
        <v>4</v>
      </c>
      <c r="C1607">
        <v>3</v>
      </c>
      <c r="D1607" t="s">
        <v>5</v>
      </c>
      <c r="F1607" t="str" cm="1">
        <f t="array" ref="F1607">CategorizeComment(E1607)</f>
        <v>Other</v>
      </c>
      <c r="G1607" t="str" cm="1">
        <f t="array" ref="G1607">SubCategorizeComment(E1607)</f>
        <v>Other</v>
      </c>
    </row>
    <row r="1608" spans="1:7" x14ac:dyDescent="0.25">
      <c r="A1608">
        <v>8895</v>
      </c>
      <c r="B1608" t="s">
        <v>4</v>
      </c>
      <c r="C1608">
        <v>4</v>
      </c>
      <c r="D1608" t="s">
        <v>5</v>
      </c>
      <c r="F1608" t="str" cm="1">
        <f t="array" ref="F1608">CategorizeComment(E1608)</f>
        <v>Other</v>
      </c>
      <c r="G1608" t="str" cm="1">
        <f t="array" ref="G1608">SubCategorizeComment(E1608)</f>
        <v>Other</v>
      </c>
    </row>
    <row r="1609" spans="1:7" x14ac:dyDescent="0.25">
      <c r="A1609">
        <v>8897</v>
      </c>
      <c r="B1609" t="s">
        <v>4</v>
      </c>
      <c r="C1609">
        <v>3</v>
      </c>
      <c r="D1609" t="s">
        <v>5</v>
      </c>
      <c r="F1609" t="str" cm="1">
        <f t="array" ref="F1609">CategorizeComment(E1609)</f>
        <v>Other</v>
      </c>
      <c r="G1609" t="str" cm="1">
        <f t="array" ref="G1609">SubCategorizeComment(E1609)</f>
        <v>Other</v>
      </c>
    </row>
    <row r="1610" spans="1:7" x14ac:dyDescent="0.25">
      <c r="A1610">
        <v>8929</v>
      </c>
      <c r="B1610" t="s">
        <v>4</v>
      </c>
      <c r="C1610">
        <v>3</v>
      </c>
      <c r="D1610" t="s">
        <v>5</v>
      </c>
      <c r="F1610" t="str" cm="1">
        <f t="array" ref="F1610">CategorizeComment(E1610)</f>
        <v>Other</v>
      </c>
      <c r="G1610" t="str" cm="1">
        <f t="array" ref="G1610">SubCategorizeComment(E1610)</f>
        <v>Other</v>
      </c>
    </row>
    <row r="1611" spans="1:7" x14ac:dyDescent="0.25">
      <c r="A1611">
        <v>8943</v>
      </c>
      <c r="B1611" t="s">
        <v>4</v>
      </c>
      <c r="C1611">
        <v>4</v>
      </c>
      <c r="D1611" t="s">
        <v>5</v>
      </c>
      <c r="F1611" t="str" cm="1">
        <f t="array" ref="F1611">CategorizeComment(E1611)</f>
        <v>Other</v>
      </c>
      <c r="G1611" t="str" cm="1">
        <f t="array" ref="G1611">SubCategorizeComment(E1611)</f>
        <v>Other</v>
      </c>
    </row>
    <row r="1612" spans="1:7" x14ac:dyDescent="0.25">
      <c r="A1612">
        <v>8950</v>
      </c>
      <c r="B1612" t="s">
        <v>4</v>
      </c>
      <c r="C1612">
        <v>4</v>
      </c>
      <c r="D1612" t="s">
        <v>5</v>
      </c>
      <c r="F1612" t="str" cm="1">
        <f t="array" ref="F1612">CategorizeComment(E1612)</f>
        <v>Other</v>
      </c>
      <c r="G1612" t="str" cm="1">
        <f t="array" ref="G1612">SubCategorizeComment(E1612)</f>
        <v>Other</v>
      </c>
    </row>
    <row r="1613" spans="1:7" x14ac:dyDescent="0.25">
      <c r="A1613">
        <v>8964</v>
      </c>
      <c r="B1613" t="s">
        <v>4</v>
      </c>
      <c r="C1613">
        <v>3</v>
      </c>
      <c r="D1613" t="s">
        <v>5</v>
      </c>
      <c r="F1613" t="str" cm="1">
        <f t="array" ref="F1613">CategorizeComment(E1613)</f>
        <v>Other</v>
      </c>
      <c r="G1613" t="str" cm="1">
        <f t="array" ref="G1613">SubCategorizeComment(E1613)</f>
        <v>Other</v>
      </c>
    </row>
    <row r="1614" spans="1:7" x14ac:dyDescent="0.25">
      <c r="A1614">
        <v>8985</v>
      </c>
      <c r="B1614" t="s">
        <v>4</v>
      </c>
      <c r="C1614">
        <v>4</v>
      </c>
      <c r="D1614" t="s">
        <v>5</v>
      </c>
      <c r="F1614" t="str" cm="1">
        <f t="array" ref="F1614">CategorizeComment(E1614)</f>
        <v>Other</v>
      </c>
      <c r="G1614" t="str" cm="1">
        <f t="array" ref="G1614">SubCategorizeComment(E1614)</f>
        <v>Other</v>
      </c>
    </row>
    <row r="1615" spans="1:7" x14ac:dyDescent="0.25">
      <c r="A1615">
        <v>8999</v>
      </c>
      <c r="B1615" t="s">
        <v>4</v>
      </c>
      <c r="C1615">
        <v>3</v>
      </c>
      <c r="D1615" t="s">
        <v>5</v>
      </c>
      <c r="F1615" t="str" cm="1">
        <f t="array" ref="F1615">CategorizeComment(E1615)</f>
        <v>Other</v>
      </c>
      <c r="G1615" t="str" cm="1">
        <f t="array" ref="G1615">SubCategorizeComment(E1615)</f>
        <v>Other</v>
      </c>
    </row>
    <row r="1616" spans="1:7" x14ac:dyDescent="0.25">
      <c r="A1616">
        <v>9025</v>
      </c>
      <c r="B1616" t="s">
        <v>4</v>
      </c>
      <c r="C1616">
        <v>4</v>
      </c>
      <c r="D1616" t="s">
        <v>5</v>
      </c>
      <c r="F1616" t="str" cm="1">
        <f t="array" ref="F1616">CategorizeComment(E1616)</f>
        <v>Other</v>
      </c>
      <c r="G1616" t="str" cm="1">
        <f t="array" ref="G1616">SubCategorizeComment(E1616)</f>
        <v>Other</v>
      </c>
    </row>
    <row r="1617" spans="1:7" x14ac:dyDescent="0.25">
      <c r="A1617">
        <v>9040</v>
      </c>
      <c r="B1617" t="s">
        <v>4</v>
      </c>
      <c r="C1617">
        <v>3</v>
      </c>
      <c r="D1617" t="s">
        <v>5</v>
      </c>
      <c r="F1617" t="str" cm="1">
        <f t="array" ref="F1617">CategorizeComment(E1617)</f>
        <v>Other</v>
      </c>
      <c r="G1617" t="str" cm="1">
        <f t="array" ref="G1617">SubCategorizeComment(E1617)</f>
        <v>Other</v>
      </c>
    </row>
    <row r="1618" spans="1:7" x14ac:dyDescent="0.25">
      <c r="A1618">
        <v>9064</v>
      </c>
      <c r="B1618" t="s">
        <v>4</v>
      </c>
      <c r="C1618">
        <v>4</v>
      </c>
      <c r="D1618" t="s">
        <v>5</v>
      </c>
      <c r="F1618" t="str" cm="1">
        <f t="array" ref="F1618">CategorizeComment(E1618)</f>
        <v>Other</v>
      </c>
      <c r="G1618" t="str" cm="1">
        <f t="array" ref="G1618">SubCategorizeComment(E1618)</f>
        <v>Other</v>
      </c>
    </row>
    <row r="1619" spans="1:7" x14ac:dyDescent="0.25">
      <c r="A1619">
        <v>9086</v>
      </c>
      <c r="B1619" t="s">
        <v>4</v>
      </c>
      <c r="C1619">
        <v>4</v>
      </c>
      <c r="D1619" t="s">
        <v>5</v>
      </c>
      <c r="F1619" t="str" cm="1">
        <f t="array" ref="F1619">CategorizeComment(E1619)</f>
        <v>Other</v>
      </c>
      <c r="G1619" t="str" cm="1">
        <f t="array" ref="G1619">SubCategorizeComment(E1619)</f>
        <v>Other</v>
      </c>
    </row>
    <row r="1620" spans="1:7" x14ac:dyDescent="0.25">
      <c r="A1620">
        <v>9091</v>
      </c>
      <c r="B1620" t="s">
        <v>4</v>
      </c>
      <c r="C1620">
        <v>4</v>
      </c>
      <c r="D1620" t="s">
        <v>5</v>
      </c>
      <c r="F1620" t="str" cm="1">
        <f t="array" ref="F1620">CategorizeComment(E1620)</f>
        <v>Other</v>
      </c>
      <c r="G1620" t="str" cm="1">
        <f t="array" ref="G1620">SubCategorizeComment(E1620)</f>
        <v>Other</v>
      </c>
    </row>
    <row r="1621" spans="1:7" x14ac:dyDescent="0.25">
      <c r="A1621">
        <v>9096</v>
      </c>
      <c r="B1621" t="s">
        <v>4</v>
      </c>
      <c r="C1621">
        <v>4</v>
      </c>
      <c r="D1621" t="s">
        <v>5</v>
      </c>
      <c r="F1621" t="str" cm="1">
        <f t="array" ref="F1621">CategorizeComment(E1621)</f>
        <v>Other</v>
      </c>
      <c r="G1621" t="str" cm="1">
        <f t="array" ref="G1621">SubCategorizeComment(E1621)</f>
        <v>Other</v>
      </c>
    </row>
    <row r="1622" spans="1:7" x14ac:dyDescent="0.25">
      <c r="A1622">
        <v>9109</v>
      </c>
      <c r="B1622" t="s">
        <v>4</v>
      </c>
      <c r="C1622">
        <v>4</v>
      </c>
      <c r="D1622" t="s">
        <v>5</v>
      </c>
      <c r="F1622" t="str" cm="1">
        <f t="array" ref="F1622">CategorizeComment(E1622)</f>
        <v>Other</v>
      </c>
      <c r="G1622" t="str" cm="1">
        <f t="array" ref="G1622">SubCategorizeComment(E1622)</f>
        <v>Other</v>
      </c>
    </row>
    <row r="1623" spans="1:7" x14ac:dyDescent="0.25">
      <c r="A1623">
        <v>9110</v>
      </c>
      <c r="B1623" t="s">
        <v>4</v>
      </c>
      <c r="C1623">
        <v>3</v>
      </c>
      <c r="D1623" t="s">
        <v>5</v>
      </c>
      <c r="F1623" t="str" cm="1">
        <f t="array" ref="F1623">CategorizeComment(E1623)</f>
        <v>Other</v>
      </c>
      <c r="G1623" t="str" cm="1">
        <f t="array" ref="G1623">SubCategorizeComment(E1623)</f>
        <v>Other</v>
      </c>
    </row>
    <row r="1624" spans="1:7" x14ac:dyDescent="0.25">
      <c r="A1624">
        <v>9113</v>
      </c>
      <c r="B1624" t="s">
        <v>4</v>
      </c>
      <c r="C1624">
        <v>3</v>
      </c>
      <c r="D1624" t="s">
        <v>5</v>
      </c>
      <c r="F1624" t="str" cm="1">
        <f t="array" ref="F1624">CategorizeComment(E1624)</f>
        <v>Other</v>
      </c>
      <c r="G1624" t="str" cm="1">
        <f t="array" ref="G1624">SubCategorizeComment(E1624)</f>
        <v>Other</v>
      </c>
    </row>
    <row r="1625" spans="1:7" x14ac:dyDescent="0.25">
      <c r="A1625">
        <v>9125</v>
      </c>
      <c r="B1625" t="s">
        <v>4</v>
      </c>
      <c r="C1625">
        <v>3</v>
      </c>
      <c r="D1625" t="s">
        <v>5</v>
      </c>
      <c r="F1625" t="str" cm="1">
        <f t="array" ref="F1625">CategorizeComment(E1625)</f>
        <v>Other</v>
      </c>
      <c r="G1625" t="str" cm="1">
        <f t="array" ref="G1625">SubCategorizeComment(E1625)</f>
        <v>Other</v>
      </c>
    </row>
    <row r="1626" spans="1:7" x14ac:dyDescent="0.25">
      <c r="A1626">
        <v>9148</v>
      </c>
      <c r="B1626" t="s">
        <v>4</v>
      </c>
      <c r="C1626">
        <v>3</v>
      </c>
      <c r="D1626" t="s">
        <v>5</v>
      </c>
      <c r="F1626" t="str" cm="1">
        <f t="array" ref="F1626">CategorizeComment(E1626)</f>
        <v>Other</v>
      </c>
      <c r="G1626" t="str" cm="1">
        <f t="array" ref="G1626">SubCategorizeComment(E1626)</f>
        <v>Other</v>
      </c>
    </row>
    <row r="1627" spans="1:7" x14ac:dyDescent="0.25">
      <c r="A1627">
        <v>9160</v>
      </c>
      <c r="B1627" t="s">
        <v>4</v>
      </c>
      <c r="C1627">
        <v>4</v>
      </c>
      <c r="D1627" t="s">
        <v>5</v>
      </c>
      <c r="F1627" t="str" cm="1">
        <f t="array" ref="F1627">CategorizeComment(E1627)</f>
        <v>Other</v>
      </c>
      <c r="G1627" t="str" cm="1">
        <f t="array" ref="G1627">SubCategorizeComment(E1627)</f>
        <v>Other</v>
      </c>
    </row>
    <row r="1628" spans="1:7" x14ac:dyDescent="0.25">
      <c r="A1628">
        <v>9175</v>
      </c>
      <c r="B1628" t="s">
        <v>4</v>
      </c>
      <c r="C1628">
        <v>4</v>
      </c>
      <c r="D1628" t="s">
        <v>5</v>
      </c>
      <c r="F1628" t="str" cm="1">
        <f t="array" ref="F1628">CategorizeComment(E1628)</f>
        <v>Other</v>
      </c>
      <c r="G1628" t="str" cm="1">
        <f t="array" ref="G1628">SubCategorizeComment(E1628)</f>
        <v>Other</v>
      </c>
    </row>
    <row r="1629" spans="1:7" x14ac:dyDescent="0.25">
      <c r="A1629">
        <v>9209</v>
      </c>
      <c r="B1629" t="s">
        <v>4</v>
      </c>
      <c r="C1629">
        <v>4</v>
      </c>
      <c r="D1629" t="s">
        <v>5</v>
      </c>
      <c r="F1629" t="str" cm="1">
        <f t="array" ref="F1629">CategorizeComment(E1629)</f>
        <v>Other</v>
      </c>
      <c r="G1629" t="str" cm="1">
        <f t="array" ref="G1629">SubCategorizeComment(E1629)</f>
        <v>Other</v>
      </c>
    </row>
    <row r="1630" spans="1:7" x14ac:dyDescent="0.25">
      <c r="A1630">
        <v>9228</v>
      </c>
      <c r="B1630" t="s">
        <v>4</v>
      </c>
      <c r="C1630">
        <v>4</v>
      </c>
      <c r="D1630" t="s">
        <v>5</v>
      </c>
      <c r="F1630" t="str" cm="1">
        <f t="array" ref="F1630">CategorizeComment(E1630)</f>
        <v>Other</v>
      </c>
      <c r="G1630" t="str" cm="1">
        <f t="array" ref="G1630">SubCategorizeComment(E1630)</f>
        <v>Other</v>
      </c>
    </row>
    <row r="1631" spans="1:7" x14ac:dyDescent="0.25">
      <c r="A1631">
        <v>9229</v>
      </c>
      <c r="B1631" t="s">
        <v>4</v>
      </c>
      <c r="C1631">
        <v>4</v>
      </c>
      <c r="D1631" t="s">
        <v>5</v>
      </c>
      <c r="F1631" t="str" cm="1">
        <f t="array" ref="F1631">CategorizeComment(E1631)</f>
        <v>Other</v>
      </c>
      <c r="G1631" t="str" cm="1">
        <f t="array" ref="G1631">SubCategorizeComment(E1631)</f>
        <v>Other</v>
      </c>
    </row>
    <row r="1632" spans="1:7" x14ac:dyDescent="0.25">
      <c r="A1632">
        <v>9230</v>
      </c>
      <c r="B1632" t="s">
        <v>4</v>
      </c>
      <c r="C1632">
        <v>3</v>
      </c>
      <c r="D1632" t="s">
        <v>5</v>
      </c>
      <c r="F1632" t="str" cm="1">
        <f t="array" ref="F1632">CategorizeComment(E1632)</f>
        <v>Other</v>
      </c>
      <c r="G1632" t="str" cm="1">
        <f t="array" ref="G1632">SubCategorizeComment(E1632)</f>
        <v>Other</v>
      </c>
    </row>
    <row r="1633" spans="1:7" x14ac:dyDescent="0.25">
      <c r="A1633">
        <v>9231</v>
      </c>
      <c r="B1633" t="s">
        <v>4</v>
      </c>
      <c r="C1633">
        <v>3</v>
      </c>
      <c r="D1633" t="s">
        <v>5</v>
      </c>
      <c r="F1633" t="str" cm="1">
        <f t="array" ref="F1633">CategorizeComment(E1633)</f>
        <v>Other</v>
      </c>
      <c r="G1633" t="str" cm="1">
        <f t="array" ref="G1633">SubCategorizeComment(E1633)</f>
        <v>Other</v>
      </c>
    </row>
    <row r="1634" spans="1:7" x14ac:dyDescent="0.25">
      <c r="A1634">
        <v>9234</v>
      </c>
      <c r="B1634" t="s">
        <v>4</v>
      </c>
      <c r="C1634">
        <v>4</v>
      </c>
      <c r="D1634" t="s">
        <v>5</v>
      </c>
      <c r="F1634" t="str" cm="1">
        <f t="array" ref="F1634">CategorizeComment(E1634)</f>
        <v>Other</v>
      </c>
      <c r="G1634" t="str" cm="1">
        <f t="array" ref="G1634">SubCategorizeComment(E1634)</f>
        <v>Other</v>
      </c>
    </row>
    <row r="1635" spans="1:7" x14ac:dyDescent="0.25">
      <c r="A1635">
        <v>9243</v>
      </c>
      <c r="B1635" t="s">
        <v>4</v>
      </c>
      <c r="C1635">
        <v>3</v>
      </c>
      <c r="D1635" t="s">
        <v>5</v>
      </c>
      <c r="F1635" t="str" cm="1">
        <f t="array" ref="F1635">CategorizeComment(E1635)</f>
        <v>Other</v>
      </c>
      <c r="G1635" t="str" cm="1">
        <f t="array" ref="G1635">SubCategorizeComment(E1635)</f>
        <v>Other</v>
      </c>
    </row>
    <row r="1636" spans="1:7" x14ac:dyDescent="0.25">
      <c r="A1636">
        <v>9262</v>
      </c>
      <c r="B1636" t="s">
        <v>4</v>
      </c>
      <c r="C1636">
        <v>3</v>
      </c>
      <c r="D1636" t="s">
        <v>5</v>
      </c>
      <c r="F1636" t="str" cm="1">
        <f t="array" ref="F1636">CategorizeComment(E1636)</f>
        <v>Other</v>
      </c>
      <c r="G1636" t="str" cm="1">
        <f t="array" ref="G1636">SubCategorizeComment(E1636)</f>
        <v>Other</v>
      </c>
    </row>
    <row r="1637" spans="1:7" x14ac:dyDescent="0.25">
      <c r="A1637">
        <v>9282</v>
      </c>
      <c r="B1637" t="s">
        <v>4</v>
      </c>
      <c r="C1637">
        <v>3</v>
      </c>
      <c r="D1637" t="s">
        <v>5</v>
      </c>
      <c r="F1637" t="str" cm="1">
        <f t="array" ref="F1637">CategorizeComment(E1637)</f>
        <v>Other</v>
      </c>
      <c r="G1637" t="str" cm="1">
        <f t="array" ref="G1637">SubCategorizeComment(E1637)</f>
        <v>Other</v>
      </c>
    </row>
    <row r="1638" spans="1:7" x14ac:dyDescent="0.25">
      <c r="A1638">
        <v>9324</v>
      </c>
      <c r="B1638" t="s">
        <v>4</v>
      </c>
      <c r="C1638">
        <v>3</v>
      </c>
      <c r="D1638" t="s">
        <v>5</v>
      </c>
      <c r="F1638" t="str" cm="1">
        <f t="array" ref="F1638">CategorizeComment(E1638)</f>
        <v>Other</v>
      </c>
      <c r="G1638" t="str" cm="1">
        <f t="array" ref="G1638">SubCategorizeComment(E1638)</f>
        <v>Other</v>
      </c>
    </row>
    <row r="1639" spans="1:7" x14ac:dyDescent="0.25">
      <c r="A1639">
        <v>9327</v>
      </c>
      <c r="B1639" t="s">
        <v>4</v>
      </c>
      <c r="C1639">
        <v>3</v>
      </c>
      <c r="D1639" t="s">
        <v>5</v>
      </c>
      <c r="F1639" t="str" cm="1">
        <f t="array" ref="F1639">CategorizeComment(E1639)</f>
        <v>Other</v>
      </c>
      <c r="G1639" t="str" cm="1">
        <f t="array" ref="G1639">SubCategorizeComment(E1639)</f>
        <v>Other</v>
      </c>
    </row>
    <row r="1640" spans="1:7" x14ac:dyDescent="0.25">
      <c r="A1640">
        <v>9362</v>
      </c>
      <c r="B1640" t="s">
        <v>4</v>
      </c>
      <c r="C1640">
        <v>4</v>
      </c>
      <c r="D1640" t="s">
        <v>5</v>
      </c>
      <c r="F1640" t="str" cm="1">
        <f t="array" ref="F1640">CategorizeComment(E1640)</f>
        <v>Other</v>
      </c>
      <c r="G1640" t="str" cm="1">
        <f t="array" ref="G1640">SubCategorizeComment(E1640)</f>
        <v>Other</v>
      </c>
    </row>
    <row r="1641" spans="1:7" x14ac:dyDescent="0.25">
      <c r="A1641">
        <v>9365</v>
      </c>
      <c r="B1641" t="s">
        <v>4</v>
      </c>
      <c r="C1641">
        <v>4</v>
      </c>
      <c r="D1641" t="s">
        <v>5</v>
      </c>
      <c r="F1641" t="str" cm="1">
        <f t="array" ref="F1641">CategorizeComment(E1641)</f>
        <v>Other</v>
      </c>
      <c r="G1641" t="str" cm="1">
        <f t="array" ref="G1641">SubCategorizeComment(E1641)</f>
        <v>Other</v>
      </c>
    </row>
    <row r="1642" spans="1:7" x14ac:dyDescent="0.25">
      <c r="A1642">
        <v>9366</v>
      </c>
      <c r="B1642" t="s">
        <v>4</v>
      </c>
      <c r="C1642">
        <v>3</v>
      </c>
      <c r="D1642" t="s">
        <v>5</v>
      </c>
      <c r="F1642" t="str" cm="1">
        <f t="array" ref="F1642">CategorizeComment(E1642)</f>
        <v>Other</v>
      </c>
      <c r="G1642" t="str" cm="1">
        <f t="array" ref="G1642">SubCategorizeComment(E1642)</f>
        <v>Other</v>
      </c>
    </row>
    <row r="1643" spans="1:7" x14ac:dyDescent="0.25">
      <c r="A1643">
        <v>9371</v>
      </c>
      <c r="B1643" t="s">
        <v>4</v>
      </c>
      <c r="C1643">
        <v>3</v>
      </c>
      <c r="D1643" t="s">
        <v>5</v>
      </c>
      <c r="F1643" t="str" cm="1">
        <f t="array" ref="F1643">CategorizeComment(E1643)</f>
        <v>Other</v>
      </c>
      <c r="G1643" t="str" cm="1">
        <f t="array" ref="G1643">SubCategorizeComment(E1643)</f>
        <v>Other</v>
      </c>
    </row>
    <row r="1644" spans="1:7" x14ac:dyDescent="0.25">
      <c r="A1644">
        <v>9389</v>
      </c>
      <c r="B1644" t="s">
        <v>4</v>
      </c>
      <c r="C1644">
        <v>4</v>
      </c>
      <c r="D1644" t="s">
        <v>5</v>
      </c>
      <c r="F1644" t="str" cm="1">
        <f t="array" ref="F1644">CategorizeComment(E1644)</f>
        <v>Other</v>
      </c>
      <c r="G1644" t="str" cm="1">
        <f t="array" ref="G1644">SubCategorizeComment(E1644)</f>
        <v>Other</v>
      </c>
    </row>
    <row r="1645" spans="1:7" x14ac:dyDescent="0.25">
      <c r="A1645">
        <v>9425</v>
      </c>
      <c r="B1645" t="s">
        <v>4</v>
      </c>
      <c r="C1645">
        <v>4</v>
      </c>
      <c r="D1645" t="s">
        <v>5</v>
      </c>
      <c r="F1645" t="str" cm="1">
        <f t="array" ref="F1645">CategorizeComment(E1645)</f>
        <v>Other</v>
      </c>
      <c r="G1645" t="str" cm="1">
        <f t="array" ref="G1645">SubCategorizeComment(E1645)</f>
        <v>Other</v>
      </c>
    </row>
    <row r="1646" spans="1:7" x14ac:dyDescent="0.25">
      <c r="A1646">
        <v>9440</v>
      </c>
      <c r="B1646" t="s">
        <v>4</v>
      </c>
      <c r="C1646">
        <v>4</v>
      </c>
      <c r="D1646" t="s">
        <v>5</v>
      </c>
      <c r="F1646" t="str" cm="1">
        <f t="array" ref="F1646">CategorizeComment(E1646)</f>
        <v>Other</v>
      </c>
      <c r="G1646" t="str" cm="1">
        <f t="array" ref="G1646">SubCategorizeComment(E1646)</f>
        <v>Other</v>
      </c>
    </row>
    <row r="1647" spans="1:7" x14ac:dyDescent="0.25">
      <c r="A1647">
        <v>9441</v>
      </c>
      <c r="B1647" t="s">
        <v>4</v>
      </c>
      <c r="C1647">
        <v>3</v>
      </c>
      <c r="D1647" t="s">
        <v>5</v>
      </c>
      <c r="F1647" t="str" cm="1">
        <f t="array" ref="F1647">CategorizeComment(E1647)</f>
        <v>Other</v>
      </c>
      <c r="G1647" t="str" cm="1">
        <f t="array" ref="G1647">SubCategorizeComment(E1647)</f>
        <v>Other</v>
      </c>
    </row>
    <row r="1648" spans="1:7" x14ac:dyDescent="0.25">
      <c r="A1648">
        <v>9446</v>
      </c>
      <c r="B1648" t="s">
        <v>4</v>
      </c>
      <c r="C1648">
        <v>4</v>
      </c>
      <c r="D1648" t="s">
        <v>5</v>
      </c>
      <c r="F1648" t="str" cm="1">
        <f t="array" ref="F1648">CategorizeComment(E1648)</f>
        <v>Other</v>
      </c>
      <c r="G1648" t="str" cm="1">
        <f t="array" ref="G1648">SubCategorizeComment(E1648)</f>
        <v>Other</v>
      </c>
    </row>
    <row r="1649" spans="1:7" x14ac:dyDescent="0.25">
      <c r="A1649">
        <v>9448</v>
      </c>
      <c r="B1649" t="s">
        <v>4</v>
      </c>
      <c r="C1649">
        <v>3</v>
      </c>
      <c r="D1649" t="s">
        <v>5</v>
      </c>
      <c r="F1649" t="str" cm="1">
        <f t="array" ref="F1649">CategorizeComment(E1649)</f>
        <v>Other</v>
      </c>
      <c r="G1649" t="str" cm="1">
        <f t="array" ref="G1649">SubCategorizeComment(E1649)</f>
        <v>Other</v>
      </c>
    </row>
    <row r="1650" spans="1:7" x14ac:dyDescent="0.25">
      <c r="A1650">
        <v>9455</v>
      </c>
      <c r="B1650" t="s">
        <v>4</v>
      </c>
      <c r="C1650">
        <v>4</v>
      </c>
      <c r="D1650" t="s">
        <v>5</v>
      </c>
      <c r="F1650" t="str" cm="1">
        <f t="array" ref="F1650">CategorizeComment(E1650)</f>
        <v>Other</v>
      </c>
      <c r="G1650" t="str" cm="1">
        <f t="array" ref="G1650">SubCategorizeComment(E1650)</f>
        <v>Other</v>
      </c>
    </row>
    <row r="1651" spans="1:7" x14ac:dyDescent="0.25">
      <c r="A1651">
        <v>9470</v>
      </c>
      <c r="B1651" t="s">
        <v>4</v>
      </c>
      <c r="C1651">
        <v>3</v>
      </c>
      <c r="D1651" t="s">
        <v>5</v>
      </c>
      <c r="F1651" t="str" cm="1">
        <f t="array" ref="F1651">CategorizeComment(E1651)</f>
        <v>Other</v>
      </c>
      <c r="G1651" t="str" cm="1">
        <f t="array" ref="G1651">SubCategorizeComment(E1651)</f>
        <v>Other</v>
      </c>
    </row>
    <row r="1652" spans="1:7" x14ac:dyDescent="0.25">
      <c r="A1652">
        <v>9500</v>
      </c>
      <c r="B1652" t="s">
        <v>4</v>
      </c>
      <c r="C1652">
        <v>3</v>
      </c>
      <c r="D1652" t="s">
        <v>5</v>
      </c>
      <c r="F1652" t="str" cm="1">
        <f t="array" ref="F1652">CategorizeComment(E1652)</f>
        <v>Other</v>
      </c>
      <c r="G1652" t="str" cm="1">
        <f t="array" ref="G1652">SubCategorizeComment(E1652)</f>
        <v>Other</v>
      </c>
    </row>
    <row r="1653" spans="1:7" x14ac:dyDescent="0.25">
      <c r="A1653">
        <v>9506</v>
      </c>
      <c r="B1653" t="s">
        <v>4</v>
      </c>
      <c r="C1653">
        <v>4</v>
      </c>
      <c r="D1653" t="s">
        <v>5</v>
      </c>
      <c r="F1653" t="str" cm="1">
        <f t="array" ref="F1653">CategorizeComment(E1653)</f>
        <v>Other</v>
      </c>
      <c r="G1653" t="str" cm="1">
        <f t="array" ref="G1653">SubCategorizeComment(E1653)</f>
        <v>Other</v>
      </c>
    </row>
    <row r="1654" spans="1:7" x14ac:dyDescent="0.25">
      <c r="A1654">
        <v>9510</v>
      </c>
      <c r="B1654" t="s">
        <v>4</v>
      </c>
      <c r="C1654">
        <v>4</v>
      </c>
      <c r="D1654" t="s">
        <v>5</v>
      </c>
      <c r="F1654" t="str" cm="1">
        <f t="array" ref="F1654">CategorizeComment(E1654)</f>
        <v>Other</v>
      </c>
      <c r="G1654" t="str" cm="1">
        <f t="array" ref="G1654">SubCategorizeComment(E1654)</f>
        <v>Other</v>
      </c>
    </row>
    <row r="1655" spans="1:7" x14ac:dyDescent="0.25">
      <c r="A1655">
        <v>9514</v>
      </c>
      <c r="B1655" t="s">
        <v>4</v>
      </c>
      <c r="C1655">
        <v>4</v>
      </c>
      <c r="D1655" t="s">
        <v>5</v>
      </c>
      <c r="F1655" t="str" cm="1">
        <f t="array" ref="F1655">CategorizeComment(E1655)</f>
        <v>Other</v>
      </c>
      <c r="G1655" t="str" cm="1">
        <f t="array" ref="G1655">SubCategorizeComment(E1655)</f>
        <v>Other</v>
      </c>
    </row>
    <row r="1656" spans="1:7" x14ac:dyDescent="0.25">
      <c r="A1656">
        <v>9534</v>
      </c>
      <c r="B1656" t="s">
        <v>4</v>
      </c>
      <c r="C1656">
        <v>3</v>
      </c>
      <c r="D1656" t="s">
        <v>5</v>
      </c>
      <c r="F1656" t="str" cm="1">
        <f t="array" ref="F1656">CategorizeComment(E1656)</f>
        <v>Other</v>
      </c>
      <c r="G1656" t="str" cm="1">
        <f t="array" ref="G1656">SubCategorizeComment(E1656)</f>
        <v>Other</v>
      </c>
    </row>
    <row r="1657" spans="1:7" x14ac:dyDescent="0.25">
      <c r="A1657">
        <v>9575</v>
      </c>
      <c r="B1657" t="s">
        <v>4</v>
      </c>
      <c r="C1657">
        <v>3</v>
      </c>
      <c r="D1657" t="s">
        <v>5</v>
      </c>
      <c r="F1657" t="str" cm="1">
        <f t="array" ref="F1657">CategorizeComment(E1657)</f>
        <v>Other</v>
      </c>
      <c r="G1657" t="str" cm="1">
        <f t="array" ref="G1657">SubCategorizeComment(E1657)</f>
        <v>Other</v>
      </c>
    </row>
    <row r="1658" spans="1:7" x14ac:dyDescent="0.25">
      <c r="A1658">
        <v>9580</v>
      </c>
      <c r="B1658" t="s">
        <v>4</v>
      </c>
      <c r="C1658">
        <v>3</v>
      </c>
      <c r="D1658" t="s">
        <v>5</v>
      </c>
      <c r="F1658" t="str" cm="1">
        <f t="array" ref="F1658">CategorizeComment(E1658)</f>
        <v>Other</v>
      </c>
      <c r="G1658" t="str" cm="1">
        <f t="array" ref="G1658">SubCategorizeComment(E1658)</f>
        <v>Other</v>
      </c>
    </row>
    <row r="1659" spans="1:7" x14ac:dyDescent="0.25">
      <c r="A1659">
        <v>9581</v>
      </c>
      <c r="B1659" t="s">
        <v>4</v>
      </c>
      <c r="C1659">
        <v>3</v>
      </c>
      <c r="D1659" t="s">
        <v>5</v>
      </c>
      <c r="F1659" t="str" cm="1">
        <f t="array" ref="F1659">CategorizeComment(E1659)</f>
        <v>Other</v>
      </c>
      <c r="G1659" t="str" cm="1">
        <f t="array" ref="G1659">SubCategorizeComment(E1659)</f>
        <v>Other</v>
      </c>
    </row>
    <row r="1660" spans="1:7" x14ac:dyDescent="0.25">
      <c r="A1660">
        <v>9609</v>
      </c>
      <c r="B1660" t="s">
        <v>4</v>
      </c>
      <c r="C1660">
        <v>3</v>
      </c>
      <c r="D1660" t="s">
        <v>5</v>
      </c>
      <c r="F1660" t="str" cm="1">
        <f t="array" ref="F1660">CategorizeComment(E1660)</f>
        <v>Other</v>
      </c>
      <c r="G1660" t="str" cm="1">
        <f t="array" ref="G1660">SubCategorizeComment(E1660)</f>
        <v>Other</v>
      </c>
    </row>
    <row r="1661" spans="1:7" x14ac:dyDescent="0.25">
      <c r="A1661">
        <v>9614</v>
      </c>
      <c r="B1661" t="s">
        <v>4</v>
      </c>
      <c r="C1661">
        <v>3</v>
      </c>
      <c r="D1661" t="s">
        <v>5</v>
      </c>
      <c r="F1661" t="str" cm="1">
        <f t="array" ref="F1661">CategorizeComment(E1661)</f>
        <v>Other</v>
      </c>
      <c r="G1661" t="str" cm="1">
        <f t="array" ref="G1661">SubCategorizeComment(E1661)</f>
        <v>Other</v>
      </c>
    </row>
    <row r="1662" spans="1:7" x14ac:dyDescent="0.25">
      <c r="A1662">
        <v>9623</v>
      </c>
      <c r="B1662" t="s">
        <v>4</v>
      </c>
      <c r="C1662">
        <v>3</v>
      </c>
      <c r="D1662" t="s">
        <v>5</v>
      </c>
      <c r="F1662" t="str" cm="1">
        <f t="array" ref="F1662">CategorizeComment(E1662)</f>
        <v>Other</v>
      </c>
      <c r="G1662" t="str" cm="1">
        <f t="array" ref="G1662">SubCategorizeComment(E1662)</f>
        <v>Other</v>
      </c>
    </row>
    <row r="1663" spans="1:7" x14ac:dyDescent="0.25">
      <c r="A1663">
        <v>9624</v>
      </c>
      <c r="B1663" t="s">
        <v>4</v>
      </c>
      <c r="C1663">
        <v>4</v>
      </c>
      <c r="D1663" t="s">
        <v>5</v>
      </c>
      <c r="F1663" t="str" cm="1">
        <f t="array" ref="F1663">CategorizeComment(E1663)</f>
        <v>Other</v>
      </c>
      <c r="G1663" t="str" cm="1">
        <f t="array" ref="G1663">SubCategorizeComment(E1663)</f>
        <v>Other</v>
      </c>
    </row>
    <row r="1664" spans="1:7" x14ac:dyDescent="0.25">
      <c r="A1664">
        <v>9628</v>
      </c>
      <c r="B1664" t="s">
        <v>4</v>
      </c>
      <c r="C1664">
        <v>4</v>
      </c>
      <c r="D1664" t="s">
        <v>5</v>
      </c>
      <c r="F1664" t="str" cm="1">
        <f t="array" ref="F1664">CategorizeComment(E1664)</f>
        <v>Other</v>
      </c>
      <c r="G1664" t="str" cm="1">
        <f t="array" ref="G1664">SubCategorizeComment(E1664)</f>
        <v>Other</v>
      </c>
    </row>
    <row r="1665" spans="1:7" x14ac:dyDescent="0.25">
      <c r="A1665">
        <v>9679</v>
      </c>
      <c r="B1665" t="s">
        <v>4</v>
      </c>
      <c r="C1665">
        <v>4</v>
      </c>
      <c r="D1665" t="s">
        <v>5</v>
      </c>
      <c r="F1665" t="str" cm="1">
        <f t="array" ref="F1665">CategorizeComment(E1665)</f>
        <v>Other</v>
      </c>
      <c r="G1665" t="str" cm="1">
        <f t="array" ref="G1665">SubCategorizeComment(E1665)</f>
        <v>Other</v>
      </c>
    </row>
    <row r="1666" spans="1:7" x14ac:dyDescent="0.25">
      <c r="A1666">
        <v>9682</v>
      </c>
      <c r="B1666" t="s">
        <v>4</v>
      </c>
      <c r="C1666">
        <v>4</v>
      </c>
      <c r="D1666" t="s">
        <v>5</v>
      </c>
      <c r="F1666" t="str" cm="1">
        <f t="array" ref="F1666">CategorizeComment(E1666)</f>
        <v>Other</v>
      </c>
      <c r="G1666" t="str" cm="1">
        <f t="array" ref="G1666">SubCategorizeComment(E1666)</f>
        <v>Other</v>
      </c>
    </row>
    <row r="1667" spans="1:7" x14ac:dyDescent="0.25">
      <c r="A1667">
        <v>9686</v>
      </c>
      <c r="B1667" t="s">
        <v>4</v>
      </c>
      <c r="C1667">
        <v>4</v>
      </c>
      <c r="D1667" t="s">
        <v>5</v>
      </c>
      <c r="F1667" t="str" cm="1">
        <f t="array" ref="F1667">CategorizeComment(E1667)</f>
        <v>Other</v>
      </c>
      <c r="G1667" t="str" cm="1">
        <f t="array" ref="G1667">SubCategorizeComment(E1667)</f>
        <v>Other</v>
      </c>
    </row>
    <row r="1668" spans="1:7" x14ac:dyDescent="0.25">
      <c r="A1668">
        <v>9687</v>
      </c>
      <c r="B1668" t="s">
        <v>4</v>
      </c>
      <c r="C1668">
        <v>3</v>
      </c>
      <c r="D1668" t="s">
        <v>5</v>
      </c>
      <c r="F1668" t="str" cm="1">
        <f t="array" ref="F1668">CategorizeComment(E1668)</f>
        <v>Other</v>
      </c>
      <c r="G1668" t="str" cm="1">
        <f t="array" ref="G1668">SubCategorizeComment(E1668)</f>
        <v>Other</v>
      </c>
    </row>
    <row r="1669" spans="1:7" x14ac:dyDescent="0.25">
      <c r="A1669">
        <v>9688</v>
      </c>
      <c r="B1669" t="s">
        <v>4</v>
      </c>
      <c r="C1669">
        <v>3</v>
      </c>
      <c r="D1669" t="s">
        <v>5</v>
      </c>
      <c r="F1669" t="str" cm="1">
        <f t="array" ref="F1669">CategorizeComment(E1669)</f>
        <v>Other</v>
      </c>
      <c r="G1669" t="str" cm="1">
        <f t="array" ref="G1669">SubCategorizeComment(E1669)</f>
        <v>Other</v>
      </c>
    </row>
    <row r="1670" spans="1:7" x14ac:dyDescent="0.25">
      <c r="A1670">
        <v>9692</v>
      </c>
      <c r="B1670" t="s">
        <v>4</v>
      </c>
      <c r="C1670">
        <v>3</v>
      </c>
      <c r="D1670" t="s">
        <v>5</v>
      </c>
      <c r="F1670" t="str" cm="1">
        <f t="array" ref="F1670">CategorizeComment(E1670)</f>
        <v>Other</v>
      </c>
      <c r="G1670" t="str" cm="1">
        <f t="array" ref="G1670">SubCategorizeComment(E1670)</f>
        <v>Other</v>
      </c>
    </row>
    <row r="1671" spans="1:7" x14ac:dyDescent="0.25">
      <c r="A1671">
        <v>9693</v>
      </c>
      <c r="B1671" t="s">
        <v>4</v>
      </c>
      <c r="C1671">
        <v>4</v>
      </c>
      <c r="D1671" t="s">
        <v>5</v>
      </c>
      <c r="F1671" t="str" cm="1">
        <f t="array" ref="F1671">CategorizeComment(E1671)</f>
        <v>Other</v>
      </c>
      <c r="G1671" t="str" cm="1">
        <f t="array" ref="G1671">SubCategorizeComment(E1671)</f>
        <v>Other</v>
      </c>
    </row>
    <row r="1672" spans="1:7" x14ac:dyDescent="0.25">
      <c r="A1672">
        <v>9703</v>
      </c>
      <c r="B1672" t="s">
        <v>4</v>
      </c>
      <c r="C1672">
        <v>4</v>
      </c>
      <c r="D1672" t="s">
        <v>5</v>
      </c>
      <c r="F1672" t="str" cm="1">
        <f t="array" ref="F1672">CategorizeComment(E1672)</f>
        <v>Other</v>
      </c>
      <c r="G1672" t="str" cm="1">
        <f t="array" ref="G1672">SubCategorizeComment(E1672)</f>
        <v>Other</v>
      </c>
    </row>
    <row r="1673" spans="1:7" x14ac:dyDescent="0.25">
      <c r="A1673">
        <v>9708</v>
      </c>
      <c r="B1673" t="s">
        <v>4</v>
      </c>
      <c r="C1673">
        <v>4</v>
      </c>
      <c r="D1673" t="s">
        <v>5</v>
      </c>
      <c r="F1673" t="str" cm="1">
        <f t="array" ref="F1673">CategorizeComment(E1673)</f>
        <v>Other</v>
      </c>
      <c r="G1673" t="str" cm="1">
        <f t="array" ref="G1673">SubCategorizeComment(E1673)</f>
        <v>Other</v>
      </c>
    </row>
    <row r="1674" spans="1:7" x14ac:dyDescent="0.25">
      <c r="A1674">
        <v>9709</v>
      </c>
      <c r="B1674" t="s">
        <v>4</v>
      </c>
      <c r="C1674">
        <v>3</v>
      </c>
      <c r="D1674" t="s">
        <v>5</v>
      </c>
      <c r="F1674" t="str" cm="1">
        <f t="array" ref="F1674">CategorizeComment(E1674)</f>
        <v>Other</v>
      </c>
      <c r="G1674" t="str" cm="1">
        <f t="array" ref="G1674">SubCategorizeComment(E1674)</f>
        <v>Other</v>
      </c>
    </row>
    <row r="1675" spans="1:7" x14ac:dyDescent="0.25">
      <c r="A1675">
        <v>9710</v>
      </c>
      <c r="B1675" t="s">
        <v>4</v>
      </c>
      <c r="C1675">
        <v>3</v>
      </c>
      <c r="D1675" t="s">
        <v>5</v>
      </c>
      <c r="F1675" t="str" cm="1">
        <f t="array" ref="F1675">CategorizeComment(E1675)</f>
        <v>Other</v>
      </c>
      <c r="G1675" t="str" cm="1">
        <f t="array" ref="G1675">SubCategorizeComment(E1675)</f>
        <v>Other</v>
      </c>
    </row>
    <row r="1676" spans="1:7" x14ac:dyDescent="0.25">
      <c r="A1676">
        <v>9711</v>
      </c>
      <c r="B1676" t="s">
        <v>4</v>
      </c>
      <c r="C1676">
        <v>3</v>
      </c>
      <c r="D1676" t="s">
        <v>5</v>
      </c>
      <c r="F1676" t="str" cm="1">
        <f t="array" ref="F1676">CategorizeComment(E1676)</f>
        <v>Other</v>
      </c>
      <c r="G1676" t="str" cm="1">
        <f t="array" ref="G1676">SubCategorizeComment(E1676)</f>
        <v>Other</v>
      </c>
    </row>
    <row r="1677" spans="1:7" x14ac:dyDescent="0.25">
      <c r="A1677">
        <v>9716</v>
      </c>
      <c r="B1677" t="s">
        <v>4</v>
      </c>
      <c r="C1677">
        <v>3</v>
      </c>
      <c r="D1677" t="s">
        <v>5</v>
      </c>
      <c r="F1677" t="str" cm="1">
        <f t="array" ref="F1677">CategorizeComment(E1677)</f>
        <v>Other</v>
      </c>
      <c r="G1677" t="str" cm="1">
        <f t="array" ref="G1677">SubCategorizeComment(E1677)</f>
        <v>Other</v>
      </c>
    </row>
    <row r="1678" spans="1:7" x14ac:dyDescent="0.25">
      <c r="A1678">
        <v>9724</v>
      </c>
      <c r="B1678" t="s">
        <v>4</v>
      </c>
      <c r="C1678">
        <v>3</v>
      </c>
      <c r="D1678" t="s">
        <v>5</v>
      </c>
      <c r="F1678" t="str" cm="1">
        <f t="array" ref="F1678">CategorizeComment(E1678)</f>
        <v>Other</v>
      </c>
      <c r="G1678" t="str" cm="1">
        <f t="array" ref="G1678">SubCategorizeComment(E1678)</f>
        <v>Other</v>
      </c>
    </row>
    <row r="1679" spans="1:7" x14ac:dyDescent="0.25">
      <c r="A1679">
        <v>9731</v>
      </c>
      <c r="B1679" t="s">
        <v>4</v>
      </c>
      <c r="C1679">
        <v>3</v>
      </c>
      <c r="D1679" t="s">
        <v>5</v>
      </c>
      <c r="F1679" t="str" cm="1">
        <f t="array" ref="F1679">CategorizeComment(E1679)</f>
        <v>Other</v>
      </c>
      <c r="G1679" t="str" cm="1">
        <f t="array" ref="G1679">SubCategorizeComment(E1679)</f>
        <v>Other</v>
      </c>
    </row>
    <row r="1680" spans="1:7" x14ac:dyDescent="0.25">
      <c r="A1680">
        <v>9743</v>
      </c>
      <c r="B1680" t="s">
        <v>4</v>
      </c>
      <c r="C1680">
        <v>4</v>
      </c>
      <c r="D1680" t="s">
        <v>5</v>
      </c>
      <c r="F1680" t="str" cm="1">
        <f t="array" ref="F1680">CategorizeComment(E1680)</f>
        <v>Other</v>
      </c>
      <c r="G1680" t="str" cm="1">
        <f t="array" ref="G1680">SubCategorizeComment(E1680)</f>
        <v>Other</v>
      </c>
    </row>
    <row r="1681" spans="1:7" x14ac:dyDescent="0.25">
      <c r="A1681">
        <v>9756</v>
      </c>
      <c r="B1681" t="s">
        <v>4</v>
      </c>
      <c r="C1681">
        <v>4</v>
      </c>
      <c r="D1681" t="s">
        <v>5</v>
      </c>
      <c r="F1681" t="str" cm="1">
        <f t="array" ref="F1681">CategorizeComment(E1681)</f>
        <v>Other</v>
      </c>
      <c r="G1681" t="str" cm="1">
        <f t="array" ref="G1681">SubCategorizeComment(E1681)</f>
        <v>Other</v>
      </c>
    </row>
    <row r="1682" spans="1:7" x14ac:dyDescent="0.25">
      <c r="A1682">
        <v>9768</v>
      </c>
      <c r="B1682" t="s">
        <v>4</v>
      </c>
      <c r="C1682">
        <v>3</v>
      </c>
      <c r="D1682" t="s">
        <v>5</v>
      </c>
      <c r="F1682" t="str" cm="1">
        <f t="array" ref="F1682">CategorizeComment(E1682)</f>
        <v>Other</v>
      </c>
      <c r="G1682" t="str" cm="1">
        <f t="array" ref="G1682">SubCategorizeComment(E1682)</f>
        <v>Other</v>
      </c>
    </row>
    <row r="1683" spans="1:7" x14ac:dyDescent="0.25">
      <c r="A1683">
        <v>9773</v>
      </c>
      <c r="B1683" t="s">
        <v>4</v>
      </c>
      <c r="C1683">
        <v>3</v>
      </c>
      <c r="D1683" t="s">
        <v>5</v>
      </c>
      <c r="F1683" t="str" cm="1">
        <f t="array" ref="F1683">CategorizeComment(E1683)</f>
        <v>Other</v>
      </c>
      <c r="G1683" t="str" cm="1">
        <f t="array" ref="G1683">SubCategorizeComment(E1683)</f>
        <v>Other</v>
      </c>
    </row>
    <row r="1684" spans="1:7" x14ac:dyDescent="0.25">
      <c r="A1684">
        <v>9781</v>
      </c>
      <c r="B1684" t="s">
        <v>4</v>
      </c>
      <c r="C1684">
        <v>3</v>
      </c>
      <c r="D1684" t="s">
        <v>5</v>
      </c>
      <c r="F1684" t="str" cm="1">
        <f t="array" ref="F1684">CategorizeComment(E1684)</f>
        <v>Other</v>
      </c>
      <c r="G1684" t="str" cm="1">
        <f t="array" ref="G1684">SubCategorizeComment(E1684)</f>
        <v>Other</v>
      </c>
    </row>
    <row r="1685" spans="1:7" x14ac:dyDescent="0.25">
      <c r="A1685">
        <v>9824</v>
      </c>
      <c r="B1685" t="s">
        <v>4</v>
      </c>
      <c r="C1685">
        <v>3</v>
      </c>
      <c r="D1685" t="s">
        <v>5</v>
      </c>
      <c r="F1685" t="str" cm="1">
        <f t="array" ref="F1685">CategorizeComment(E1685)</f>
        <v>Other</v>
      </c>
      <c r="G1685" t="str" cm="1">
        <f t="array" ref="G1685">SubCategorizeComment(E1685)</f>
        <v>Other</v>
      </c>
    </row>
    <row r="1686" spans="1:7" x14ac:dyDescent="0.25">
      <c r="A1686">
        <v>9868</v>
      </c>
      <c r="B1686" t="s">
        <v>4</v>
      </c>
      <c r="C1686">
        <v>4</v>
      </c>
      <c r="D1686" t="s">
        <v>5</v>
      </c>
      <c r="F1686" t="str" cm="1">
        <f t="array" ref="F1686">CategorizeComment(E1686)</f>
        <v>Other</v>
      </c>
      <c r="G1686" t="str" cm="1">
        <f t="array" ref="G1686">SubCategorizeComment(E1686)</f>
        <v>Other</v>
      </c>
    </row>
    <row r="1687" spans="1:7" x14ac:dyDescent="0.25">
      <c r="A1687">
        <v>9874</v>
      </c>
      <c r="B1687" t="s">
        <v>4</v>
      </c>
      <c r="C1687">
        <v>3</v>
      </c>
      <c r="D1687" t="s">
        <v>5</v>
      </c>
      <c r="F1687" t="str" cm="1">
        <f t="array" ref="F1687">CategorizeComment(E1687)</f>
        <v>Other</v>
      </c>
      <c r="G1687" t="str" cm="1">
        <f t="array" ref="G1687">SubCategorizeComment(E1687)</f>
        <v>Other</v>
      </c>
    </row>
    <row r="1688" spans="1:7" x14ac:dyDescent="0.25">
      <c r="A1688">
        <v>9900</v>
      </c>
      <c r="B1688" t="s">
        <v>4</v>
      </c>
      <c r="C1688">
        <v>4</v>
      </c>
      <c r="D1688" t="s">
        <v>5</v>
      </c>
      <c r="F1688" t="str" cm="1">
        <f t="array" ref="F1688">CategorizeComment(E1688)</f>
        <v>Other</v>
      </c>
      <c r="G1688" t="str" cm="1">
        <f t="array" ref="G1688">SubCategorizeComment(E1688)</f>
        <v>Other</v>
      </c>
    </row>
    <row r="1689" spans="1:7" x14ac:dyDescent="0.25">
      <c r="A1689">
        <v>9920</v>
      </c>
      <c r="B1689" t="s">
        <v>4</v>
      </c>
      <c r="C1689">
        <v>4</v>
      </c>
      <c r="D1689" t="s">
        <v>5</v>
      </c>
      <c r="F1689" t="str" cm="1">
        <f t="array" ref="F1689">CategorizeComment(E1689)</f>
        <v>Other</v>
      </c>
      <c r="G1689" t="str" cm="1">
        <f t="array" ref="G1689">SubCategorizeComment(E1689)</f>
        <v>Other</v>
      </c>
    </row>
    <row r="1690" spans="1:7" x14ac:dyDescent="0.25">
      <c r="A1690">
        <v>9922</v>
      </c>
      <c r="B1690" t="s">
        <v>4</v>
      </c>
      <c r="C1690">
        <v>4</v>
      </c>
      <c r="D1690" t="s">
        <v>5</v>
      </c>
      <c r="F1690" t="str" cm="1">
        <f t="array" ref="F1690">CategorizeComment(E1690)</f>
        <v>Other</v>
      </c>
      <c r="G1690" t="str" cm="1">
        <f t="array" ref="G1690">SubCategorizeComment(E1690)</f>
        <v>Other</v>
      </c>
    </row>
    <row r="1691" spans="1:7" x14ac:dyDescent="0.25">
      <c r="A1691">
        <v>9933</v>
      </c>
      <c r="B1691" t="s">
        <v>4</v>
      </c>
      <c r="C1691">
        <v>3</v>
      </c>
      <c r="D1691" t="s">
        <v>5</v>
      </c>
      <c r="F1691" t="str" cm="1">
        <f t="array" ref="F1691">CategorizeComment(E1691)</f>
        <v>Other</v>
      </c>
      <c r="G1691" t="str" cm="1">
        <f t="array" ref="G1691">SubCategorizeComment(E1691)</f>
        <v>Other</v>
      </c>
    </row>
    <row r="1692" spans="1:7" x14ac:dyDescent="0.25">
      <c r="A1692">
        <v>9936</v>
      </c>
      <c r="B1692" t="s">
        <v>4</v>
      </c>
      <c r="C1692">
        <v>4</v>
      </c>
      <c r="D1692" t="s">
        <v>5</v>
      </c>
      <c r="F1692" t="str" cm="1">
        <f t="array" ref="F1692">CategorizeComment(E1692)</f>
        <v>Other</v>
      </c>
      <c r="G1692" t="str" cm="1">
        <f t="array" ref="G1692">SubCategorizeComment(E1692)</f>
        <v>Other</v>
      </c>
    </row>
    <row r="1693" spans="1:7" x14ac:dyDescent="0.25">
      <c r="A1693">
        <v>9941</v>
      </c>
      <c r="B1693" t="s">
        <v>4</v>
      </c>
      <c r="C1693">
        <v>3</v>
      </c>
      <c r="D1693" t="s">
        <v>5</v>
      </c>
      <c r="F1693" t="str" cm="1">
        <f t="array" ref="F1693">CategorizeComment(E1693)</f>
        <v>Other</v>
      </c>
      <c r="G1693" t="str" cm="1">
        <f t="array" ref="G1693">SubCategorizeComment(E1693)</f>
        <v>Other</v>
      </c>
    </row>
    <row r="1694" spans="1:7" x14ac:dyDescent="0.25">
      <c r="A1694">
        <v>9946</v>
      </c>
      <c r="B1694" t="s">
        <v>4</v>
      </c>
      <c r="C1694">
        <v>4</v>
      </c>
      <c r="D1694" t="s">
        <v>5</v>
      </c>
      <c r="F1694" t="str" cm="1">
        <f t="array" ref="F1694">CategorizeComment(E1694)</f>
        <v>Other</v>
      </c>
      <c r="G1694" t="str" cm="1">
        <f t="array" ref="G1694">SubCategorizeComment(E1694)</f>
        <v>Other</v>
      </c>
    </row>
    <row r="1695" spans="1:7" x14ac:dyDescent="0.25">
      <c r="A1695">
        <v>9955</v>
      </c>
      <c r="B1695" t="s">
        <v>4</v>
      </c>
      <c r="C1695">
        <v>4</v>
      </c>
      <c r="D1695" t="s">
        <v>5</v>
      </c>
      <c r="F1695" t="str" cm="1">
        <f t="array" ref="F1695">CategorizeComment(E1695)</f>
        <v>Other</v>
      </c>
      <c r="G1695" t="str" cm="1">
        <f t="array" ref="G1695">SubCategorizeComment(E1695)</f>
        <v>Other</v>
      </c>
    </row>
    <row r="1696" spans="1:7" x14ac:dyDescent="0.25">
      <c r="A1696">
        <v>9960</v>
      </c>
      <c r="B1696" t="s">
        <v>4</v>
      </c>
      <c r="C1696">
        <v>4</v>
      </c>
      <c r="D1696" t="s">
        <v>5</v>
      </c>
      <c r="F1696" t="str" cm="1">
        <f t="array" ref="F1696">CategorizeComment(E1696)</f>
        <v>Other</v>
      </c>
      <c r="G1696" t="str" cm="1">
        <f t="array" ref="G1696">SubCategorizeComment(E1696)</f>
        <v>Other</v>
      </c>
    </row>
    <row r="1697" spans="1:7" x14ac:dyDescent="0.25">
      <c r="A1697">
        <v>9961</v>
      </c>
      <c r="B1697" t="s">
        <v>4</v>
      </c>
      <c r="C1697">
        <v>3</v>
      </c>
      <c r="D1697" t="s">
        <v>5</v>
      </c>
      <c r="F1697" t="str" cm="1">
        <f t="array" ref="F1697">CategorizeComment(E1697)</f>
        <v>Other</v>
      </c>
      <c r="G1697" t="str" cm="1">
        <f t="array" ref="G1697">SubCategorizeComment(E1697)</f>
        <v>Other</v>
      </c>
    </row>
    <row r="1698" spans="1:7" x14ac:dyDescent="0.25">
      <c r="A1698">
        <v>9970</v>
      </c>
      <c r="B1698" t="s">
        <v>4</v>
      </c>
      <c r="C1698">
        <v>3</v>
      </c>
      <c r="D1698" t="s">
        <v>5</v>
      </c>
      <c r="F1698" t="str" cm="1">
        <f t="array" ref="F1698">CategorizeComment(E1698)</f>
        <v>Other</v>
      </c>
      <c r="G1698" t="str" cm="1">
        <f t="array" ref="G1698">SubCategorizeComment(E1698)</f>
        <v>Other</v>
      </c>
    </row>
    <row r="1699" spans="1:7" x14ac:dyDescent="0.25">
      <c r="A1699">
        <v>10016</v>
      </c>
      <c r="B1699" t="s">
        <v>4</v>
      </c>
      <c r="C1699">
        <v>3</v>
      </c>
      <c r="D1699" t="s">
        <v>5</v>
      </c>
      <c r="F1699" t="str" cm="1">
        <f t="array" ref="F1699">CategorizeComment(E1699)</f>
        <v>Other</v>
      </c>
      <c r="G1699" t="str" cm="1">
        <f t="array" ref="G1699">SubCategorizeComment(E1699)</f>
        <v>Other</v>
      </c>
    </row>
    <row r="1700" spans="1:7" x14ac:dyDescent="0.25">
      <c r="A1700">
        <v>10064</v>
      </c>
      <c r="B1700" t="s">
        <v>4</v>
      </c>
      <c r="C1700">
        <v>4</v>
      </c>
      <c r="D1700" t="s">
        <v>5</v>
      </c>
      <c r="F1700" t="str" cm="1">
        <f t="array" ref="F1700">CategorizeComment(E1700)</f>
        <v>Other</v>
      </c>
      <c r="G1700" t="str" cm="1">
        <f t="array" ref="G1700">SubCategorizeComment(E1700)</f>
        <v>Other</v>
      </c>
    </row>
    <row r="1701" spans="1:7" x14ac:dyDescent="0.25">
      <c r="A1701">
        <v>10073</v>
      </c>
      <c r="B1701" t="s">
        <v>4</v>
      </c>
      <c r="C1701">
        <v>3</v>
      </c>
      <c r="D1701" t="s">
        <v>5</v>
      </c>
      <c r="F1701" t="str" cm="1">
        <f t="array" ref="F1701">CategorizeComment(E1701)</f>
        <v>Other</v>
      </c>
      <c r="G1701" t="str" cm="1">
        <f t="array" ref="G1701">SubCategorizeComment(E1701)</f>
        <v>Other</v>
      </c>
    </row>
    <row r="1702" spans="1:7" x14ac:dyDescent="0.25">
      <c r="A1702">
        <v>10109</v>
      </c>
      <c r="B1702" t="s">
        <v>4</v>
      </c>
      <c r="C1702">
        <v>4</v>
      </c>
      <c r="D1702" t="s">
        <v>5</v>
      </c>
      <c r="F1702" t="str" cm="1">
        <f t="array" ref="F1702">CategorizeComment(E1702)</f>
        <v>Other</v>
      </c>
      <c r="G1702" t="str" cm="1">
        <f t="array" ref="G1702">SubCategorizeComment(E1702)</f>
        <v>Other</v>
      </c>
    </row>
    <row r="1703" spans="1:7" x14ac:dyDescent="0.25">
      <c r="A1703">
        <v>10124</v>
      </c>
      <c r="B1703" t="s">
        <v>4</v>
      </c>
      <c r="C1703">
        <v>3</v>
      </c>
      <c r="D1703" t="s">
        <v>5</v>
      </c>
      <c r="F1703" t="str" cm="1">
        <f t="array" ref="F1703">CategorizeComment(E1703)</f>
        <v>Other</v>
      </c>
      <c r="G1703" t="str" cm="1">
        <f t="array" ref="G1703">SubCategorizeComment(E1703)</f>
        <v>Other</v>
      </c>
    </row>
    <row r="1704" spans="1:7" x14ac:dyDescent="0.25">
      <c r="A1704">
        <v>10157</v>
      </c>
      <c r="B1704" t="s">
        <v>4</v>
      </c>
      <c r="C1704">
        <v>3</v>
      </c>
      <c r="D1704" t="s">
        <v>5</v>
      </c>
      <c r="F1704" t="str" cm="1">
        <f t="array" ref="F1704">CategorizeComment(E1704)</f>
        <v>Other</v>
      </c>
      <c r="G1704" t="str" cm="1">
        <f t="array" ref="G1704">SubCategorizeComment(E1704)</f>
        <v>Other</v>
      </c>
    </row>
    <row r="1705" spans="1:7" x14ac:dyDescent="0.25">
      <c r="A1705">
        <v>10169</v>
      </c>
      <c r="B1705" t="s">
        <v>4</v>
      </c>
      <c r="C1705">
        <v>3</v>
      </c>
      <c r="D1705" t="s">
        <v>5</v>
      </c>
      <c r="F1705" t="str" cm="1">
        <f t="array" ref="F1705">CategorizeComment(E1705)</f>
        <v>Other</v>
      </c>
      <c r="G1705" t="str" cm="1">
        <f t="array" ref="G1705">SubCategorizeComment(E1705)</f>
        <v>Other</v>
      </c>
    </row>
    <row r="1706" spans="1:7" x14ac:dyDescent="0.25">
      <c r="A1706">
        <v>10221</v>
      </c>
      <c r="B1706" t="s">
        <v>4</v>
      </c>
      <c r="C1706">
        <v>4</v>
      </c>
      <c r="D1706" t="s">
        <v>5</v>
      </c>
      <c r="F1706" t="str" cm="1">
        <f t="array" ref="F1706">CategorizeComment(E1706)</f>
        <v>Other</v>
      </c>
      <c r="G1706" t="str" cm="1">
        <f t="array" ref="G1706">SubCategorizeComment(E1706)</f>
        <v>Other</v>
      </c>
    </row>
    <row r="1707" spans="1:7" x14ac:dyDescent="0.25">
      <c r="A1707">
        <v>10224</v>
      </c>
      <c r="B1707" t="s">
        <v>4</v>
      </c>
      <c r="C1707">
        <v>3</v>
      </c>
      <c r="D1707" t="s">
        <v>5</v>
      </c>
      <c r="F1707" t="str" cm="1">
        <f t="array" ref="F1707">CategorizeComment(E1707)</f>
        <v>Other</v>
      </c>
      <c r="G1707" t="str" cm="1">
        <f t="array" ref="G1707">SubCategorizeComment(E1707)</f>
        <v>Other</v>
      </c>
    </row>
    <row r="1708" spans="1:7" x14ac:dyDescent="0.25">
      <c r="A1708">
        <v>10231</v>
      </c>
      <c r="B1708" t="s">
        <v>4</v>
      </c>
      <c r="C1708">
        <v>4</v>
      </c>
      <c r="D1708" t="s">
        <v>5</v>
      </c>
      <c r="F1708" t="str" cm="1">
        <f t="array" ref="F1708">CategorizeComment(E1708)</f>
        <v>Other</v>
      </c>
      <c r="G1708" t="str" cm="1">
        <f t="array" ref="G1708">SubCategorizeComment(E1708)</f>
        <v>Other</v>
      </c>
    </row>
    <row r="1709" spans="1:7" x14ac:dyDescent="0.25">
      <c r="A1709">
        <v>10235</v>
      </c>
      <c r="B1709" t="s">
        <v>4</v>
      </c>
      <c r="C1709">
        <v>3</v>
      </c>
      <c r="D1709" t="s">
        <v>5</v>
      </c>
      <c r="F1709" t="str" cm="1">
        <f t="array" ref="F1709">CategorizeComment(E1709)</f>
        <v>Other</v>
      </c>
      <c r="G1709" t="str" cm="1">
        <f t="array" ref="G1709">SubCategorizeComment(E1709)</f>
        <v>Other</v>
      </c>
    </row>
    <row r="1710" spans="1:7" x14ac:dyDescent="0.25">
      <c r="A1710">
        <v>10236</v>
      </c>
      <c r="B1710" t="s">
        <v>4</v>
      </c>
      <c r="C1710">
        <v>3</v>
      </c>
      <c r="D1710" t="s">
        <v>5</v>
      </c>
      <c r="F1710" t="str" cm="1">
        <f t="array" ref="F1710">CategorizeComment(E1710)</f>
        <v>Other</v>
      </c>
      <c r="G1710" t="str" cm="1">
        <f t="array" ref="G1710">SubCategorizeComment(E1710)</f>
        <v>Other</v>
      </c>
    </row>
    <row r="1711" spans="1:7" x14ac:dyDescent="0.25">
      <c r="A1711">
        <v>10243</v>
      </c>
      <c r="B1711" t="s">
        <v>4</v>
      </c>
      <c r="C1711">
        <v>3</v>
      </c>
      <c r="D1711" t="s">
        <v>5</v>
      </c>
      <c r="F1711" t="str" cm="1">
        <f t="array" ref="F1711">CategorizeComment(E1711)</f>
        <v>Other</v>
      </c>
      <c r="G1711" t="str" cm="1">
        <f t="array" ref="G1711">SubCategorizeComment(E1711)</f>
        <v>Other</v>
      </c>
    </row>
    <row r="1712" spans="1:7" x14ac:dyDescent="0.25">
      <c r="A1712">
        <v>10250</v>
      </c>
      <c r="B1712" t="s">
        <v>4</v>
      </c>
      <c r="C1712">
        <v>4</v>
      </c>
      <c r="D1712" t="s">
        <v>5</v>
      </c>
      <c r="F1712" t="str" cm="1">
        <f t="array" ref="F1712">CategorizeComment(E1712)</f>
        <v>Other</v>
      </c>
      <c r="G1712" t="str" cm="1">
        <f t="array" ref="G1712">SubCategorizeComment(E1712)</f>
        <v>Other</v>
      </c>
    </row>
    <row r="1713" spans="1:7" x14ac:dyDescent="0.25">
      <c r="A1713">
        <v>10283</v>
      </c>
      <c r="B1713" t="s">
        <v>4</v>
      </c>
      <c r="C1713">
        <v>3</v>
      </c>
      <c r="D1713" t="s">
        <v>5</v>
      </c>
      <c r="F1713" t="str" cm="1">
        <f t="array" ref="F1713">CategorizeComment(E1713)</f>
        <v>Other</v>
      </c>
      <c r="G1713" t="str" cm="1">
        <f t="array" ref="G1713">SubCategorizeComment(E1713)</f>
        <v>Other</v>
      </c>
    </row>
    <row r="1714" spans="1:7" x14ac:dyDescent="0.25">
      <c r="A1714">
        <v>10307</v>
      </c>
      <c r="B1714" t="s">
        <v>4</v>
      </c>
      <c r="C1714">
        <v>4</v>
      </c>
      <c r="D1714" t="s">
        <v>5</v>
      </c>
      <c r="F1714" t="str" cm="1">
        <f t="array" ref="F1714">CategorizeComment(E1714)</f>
        <v>Other</v>
      </c>
      <c r="G1714" t="str" cm="1">
        <f t="array" ref="G1714">SubCategorizeComment(E1714)</f>
        <v>Other</v>
      </c>
    </row>
    <row r="1715" spans="1:7" x14ac:dyDescent="0.25">
      <c r="A1715">
        <v>10472</v>
      </c>
      <c r="B1715" t="s">
        <v>4</v>
      </c>
      <c r="C1715">
        <v>4</v>
      </c>
      <c r="D1715" t="s">
        <v>5</v>
      </c>
      <c r="F1715" t="str" cm="1">
        <f t="array" ref="F1715">CategorizeComment(E1715)</f>
        <v>Other</v>
      </c>
      <c r="G1715" t="str" cm="1">
        <f t="array" ref="G1715">SubCategorizeComment(E1715)</f>
        <v>Other</v>
      </c>
    </row>
    <row r="1716" spans="1:7" x14ac:dyDescent="0.25">
      <c r="A1716">
        <v>10505</v>
      </c>
      <c r="B1716" t="s">
        <v>4</v>
      </c>
      <c r="C1716">
        <v>4</v>
      </c>
      <c r="D1716" t="s">
        <v>5</v>
      </c>
      <c r="F1716" t="str" cm="1">
        <f t="array" ref="F1716">CategorizeComment(E1716)</f>
        <v>Other</v>
      </c>
      <c r="G1716" t="str" cm="1">
        <f t="array" ref="G1716">SubCategorizeComment(E1716)</f>
        <v>Other</v>
      </c>
    </row>
    <row r="1717" spans="1:7" x14ac:dyDescent="0.25">
      <c r="A1717">
        <v>10508</v>
      </c>
      <c r="B1717" t="s">
        <v>4</v>
      </c>
      <c r="C1717">
        <v>4</v>
      </c>
      <c r="D1717" t="s">
        <v>5</v>
      </c>
      <c r="F1717" t="str" cm="1">
        <f t="array" ref="F1717">CategorizeComment(E1717)</f>
        <v>Other</v>
      </c>
      <c r="G1717" t="str" cm="1">
        <f t="array" ref="G1717">SubCategorizeComment(E1717)</f>
        <v>Other</v>
      </c>
    </row>
    <row r="1718" spans="1:7" x14ac:dyDescent="0.25">
      <c r="A1718">
        <v>10525</v>
      </c>
      <c r="B1718" t="s">
        <v>4</v>
      </c>
      <c r="C1718">
        <v>4</v>
      </c>
      <c r="D1718" t="s">
        <v>5</v>
      </c>
      <c r="F1718" t="str" cm="1">
        <f t="array" ref="F1718">CategorizeComment(E1718)</f>
        <v>Other</v>
      </c>
      <c r="G1718" t="str" cm="1">
        <f t="array" ref="G1718">SubCategorizeComment(E1718)</f>
        <v>Other</v>
      </c>
    </row>
    <row r="1719" spans="1:7" x14ac:dyDescent="0.25">
      <c r="A1719">
        <v>10566</v>
      </c>
      <c r="B1719" t="s">
        <v>4</v>
      </c>
      <c r="C1719">
        <v>3</v>
      </c>
      <c r="D1719" t="s">
        <v>5</v>
      </c>
      <c r="F1719" t="str" cm="1">
        <f t="array" ref="F1719">CategorizeComment(E1719)</f>
        <v>Other</v>
      </c>
      <c r="G1719" t="str" cm="1">
        <f t="array" ref="G1719">SubCategorizeComment(E1719)</f>
        <v>Other</v>
      </c>
    </row>
    <row r="1720" spans="1:7" x14ac:dyDescent="0.25">
      <c r="A1720">
        <v>10577</v>
      </c>
      <c r="B1720" t="s">
        <v>4</v>
      </c>
      <c r="C1720">
        <v>4</v>
      </c>
      <c r="D1720" t="s">
        <v>5</v>
      </c>
      <c r="F1720" t="str" cm="1">
        <f t="array" ref="F1720">CategorizeComment(E1720)</f>
        <v>Other</v>
      </c>
      <c r="G1720" t="str" cm="1">
        <f t="array" ref="G1720">SubCategorizeComment(E1720)</f>
        <v>Other</v>
      </c>
    </row>
    <row r="1721" spans="1:7" x14ac:dyDescent="0.25">
      <c r="A1721">
        <v>10620</v>
      </c>
      <c r="B1721" t="s">
        <v>4</v>
      </c>
      <c r="C1721">
        <v>4</v>
      </c>
      <c r="D1721" t="s">
        <v>5</v>
      </c>
      <c r="F1721" t="str" cm="1">
        <f t="array" ref="F1721">CategorizeComment(E1721)</f>
        <v>Other</v>
      </c>
      <c r="G1721" t="str" cm="1">
        <f t="array" ref="G1721">SubCategorizeComment(E1721)</f>
        <v>Other</v>
      </c>
    </row>
    <row r="1722" spans="1:7" x14ac:dyDescent="0.25">
      <c r="A1722">
        <v>10621</v>
      </c>
      <c r="B1722" t="s">
        <v>4</v>
      </c>
      <c r="C1722">
        <v>4</v>
      </c>
      <c r="D1722" t="s">
        <v>5</v>
      </c>
      <c r="F1722" t="str" cm="1">
        <f t="array" ref="F1722">CategorizeComment(E1722)</f>
        <v>Other</v>
      </c>
      <c r="G1722" t="str" cm="1">
        <f t="array" ref="G1722">SubCategorizeComment(E1722)</f>
        <v>Other</v>
      </c>
    </row>
    <row r="1723" spans="1:7" x14ac:dyDescent="0.25">
      <c r="A1723">
        <v>10623</v>
      </c>
      <c r="B1723" t="s">
        <v>4</v>
      </c>
      <c r="C1723">
        <v>3</v>
      </c>
      <c r="D1723" t="s">
        <v>5</v>
      </c>
      <c r="F1723" t="str" cm="1">
        <f t="array" ref="F1723">CategorizeComment(E1723)</f>
        <v>Other</v>
      </c>
      <c r="G1723" t="str" cm="1">
        <f t="array" ref="G1723">SubCategorizeComment(E1723)</f>
        <v>Other</v>
      </c>
    </row>
    <row r="1724" spans="1:7" x14ac:dyDescent="0.25">
      <c r="A1724">
        <v>10624</v>
      </c>
      <c r="B1724" t="s">
        <v>4</v>
      </c>
      <c r="C1724">
        <v>3</v>
      </c>
      <c r="D1724" t="s">
        <v>5</v>
      </c>
      <c r="F1724" t="str" cm="1">
        <f t="array" ref="F1724">CategorizeComment(E1724)</f>
        <v>Other</v>
      </c>
      <c r="G1724" t="str" cm="1">
        <f t="array" ref="G1724">SubCategorizeComment(E1724)</f>
        <v>Other</v>
      </c>
    </row>
    <row r="1725" spans="1:7" x14ac:dyDescent="0.25">
      <c r="A1725">
        <v>10625</v>
      </c>
      <c r="B1725" t="s">
        <v>4</v>
      </c>
      <c r="C1725">
        <v>3</v>
      </c>
      <c r="D1725" t="s">
        <v>5</v>
      </c>
      <c r="F1725" t="str" cm="1">
        <f t="array" ref="F1725">CategorizeComment(E1725)</f>
        <v>Other</v>
      </c>
      <c r="G1725" t="str" cm="1">
        <f t="array" ref="G1725">SubCategorizeComment(E1725)</f>
        <v>Other</v>
      </c>
    </row>
    <row r="1726" spans="1:7" x14ac:dyDescent="0.25">
      <c r="A1726">
        <v>10641</v>
      </c>
      <c r="B1726" t="s">
        <v>4</v>
      </c>
      <c r="C1726">
        <v>3</v>
      </c>
      <c r="D1726" t="s">
        <v>5</v>
      </c>
      <c r="F1726" t="str" cm="1">
        <f t="array" ref="F1726">CategorizeComment(E1726)</f>
        <v>Other</v>
      </c>
      <c r="G1726" t="str" cm="1">
        <f t="array" ref="G1726">SubCategorizeComment(E1726)</f>
        <v>Other</v>
      </c>
    </row>
    <row r="1727" spans="1:7" x14ac:dyDescent="0.25">
      <c r="A1727">
        <v>10659</v>
      </c>
      <c r="B1727" t="s">
        <v>4</v>
      </c>
      <c r="C1727">
        <v>4</v>
      </c>
      <c r="D1727" t="s">
        <v>5</v>
      </c>
      <c r="F1727" t="str" cm="1">
        <f t="array" ref="F1727">CategorizeComment(E1727)</f>
        <v>Other</v>
      </c>
      <c r="G1727" t="str" cm="1">
        <f t="array" ref="G1727">SubCategorizeComment(E1727)</f>
        <v>Other</v>
      </c>
    </row>
    <row r="1728" spans="1:7" x14ac:dyDescent="0.25">
      <c r="A1728">
        <v>10677</v>
      </c>
      <c r="B1728" t="s">
        <v>4</v>
      </c>
      <c r="C1728">
        <v>4</v>
      </c>
      <c r="D1728" t="s">
        <v>5</v>
      </c>
      <c r="F1728" t="str" cm="1">
        <f t="array" ref="F1728">CategorizeComment(E1728)</f>
        <v>Other</v>
      </c>
      <c r="G1728" t="str" cm="1">
        <f t="array" ref="G1728">SubCategorizeComment(E1728)</f>
        <v>Other</v>
      </c>
    </row>
    <row r="1729" spans="1:7" x14ac:dyDescent="0.25">
      <c r="A1729">
        <v>10698</v>
      </c>
      <c r="B1729" t="s">
        <v>4</v>
      </c>
      <c r="C1729">
        <v>3</v>
      </c>
      <c r="D1729" t="s">
        <v>5</v>
      </c>
      <c r="F1729" t="str" cm="1">
        <f t="array" ref="F1729">CategorizeComment(E1729)</f>
        <v>Other</v>
      </c>
      <c r="G1729" t="str" cm="1">
        <f t="array" ref="G1729">SubCategorizeComment(E1729)</f>
        <v>Other</v>
      </c>
    </row>
    <row r="1730" spans="1:7" x14ac:dyDescent="0.25">
      <c r="A1730">
        <v>10701</v>
      </c>
      <c r="B1730" t="s">
        <v>4</v>
      </c>
      <c r="C1730">
        <v>3</v>
      </c>
      <c r="D1730" t="s">
        <v>5</v>
      </c>
      <c r="F1730" t="str" cm="1">
        <f t="array" ref="F1730">CategorizeComment(E1730)</f>
        <v>Other</v>
      </c>
      <c r="G1730" t="str" cm="1">
        <f t="array" ref="G1730">SubCategorizeComment(E1730)</f>
        <v>Other</v>
      </c>
    </row>
    <row r="1731" spans="1:7" x14ac:dyDescent="0.25">
      <c r="A1731">
        <v>10702</v>
      </c>
      <c r="B1731" t="s">
        <v>4</v>
      </c>
      <c r="C1731">
        <v>3</v>
      </c>
      <c r="D1731" t="s">
        <v>5</v>
      </c>
      <c r="F1731" t="str" cm="1">
        <f t="array" ref="F1731">CategorizeComment(E1731)</f>
        <v>Other</v>
      </c>
      <c r="G1731" t="str" cm="1">
        <f t="array" ref="G1731">SubCategorizeComment(E1731)</f>
        <v>Other</v>
      </c>
    </row>
    <row r="1732" spans="1:7" x14ac:dyDescent="0.25">
      <c r="A1732">
        <v>10707</v>
      </c>
      <c r="B1732" t="s">
        <v>4</v>
      </c>
      <c r="C1732">
        <v>3</v>
      </c>
      <c r="D1732" t="s">
        <v>5</v>
      </c>
      <c r="F1732" t="str" cm="1">
        <f t="array" ref="F1732">CategorizeComment(E1732)</f>
        <v>Other</v>
      </c>
      <c r="G1732" t="str" cm="1">
        <f t="array" ref="G1732">SubCategorizeComment(E1732)</f>
        <v>Other</v>
      </c>
    </row>
    <row r="1733" spans="1:7" x14ac:dyDescent="0.25">
      <c r="A1733">
        <v>10715</v>
      </c>
      <c r="B1733" t="s">
        <v>4</v>
      </c>
      <c r="C1733">
        <v>3</v>
      </c>
      <c r="D1733" t="s">
        <v>5</v>
      </c>
      <c r="F1733" t="str" cm="1">
        <f t="array" ref="F1733">CategorizeComment(E1733)</f>
        <v>Other</v>
      </c>
      <c r="G1733" t="str" cm="1">
        <f t="array" ref="G1733">SubCategorizeComment(E1733)</f>
        <v>Other</v>
      </c>
    </row>
    <row r="1734" spans="1:7" x14ac:dyDescent="0.25">
      <c r="A1734">
        <v>10718</v>
      </c>
      <c r="B1734" t="s">
        <v>4</v>
      </c>
      <c r="C1734">
        <v>3</v>
      </c>
      <c r="D1734" t="s">
        <v>5</v>
      </c>
      <c r="F1734" t="str" cm="1">
        <f t="array" ref="F1734">CategorizeComment(E1734)</f>
        <v>Other</v>
      </c>
      <c r="G1734" t="str" cm="1">
        <f t="array" ref="G1734">SubCategorizeComment(E1734)</f>
        <v>Other</v>
      </c>
    </row>
    <row r="1735" spans="1:7" x14ac:dyDescent="0.25">
      <c r="A1735">
        <v>10722</v>
      </c>
      <c r="B1735" t="s">
        <v>4</v>
      </c>
      <c r="C1735">
        <v>4</v>
      </c>
      <c r="D1735" t="s">
        <v>5</v>
      </c>
      <c r="F1735" t="str" cm="1">
        <f t="array" ref="F1735">CategorizeComment(E1735)</f>
        <v>Other</v>
      </c>
      <c r="G1735" t="str" cm="1">
        <f t="array" ref="G1735">SubCategorizeComment(E1735)</f>
        <v>Other</v>
      </c>
    </row>
    <row r="1736" spans="1:7" x14ac:dyDescent="0.25">
      <c r="A1736">
        <v>10726</v>
      </c>
      <c r="B1736" t="s">
        <v>4</v>
      </c>
      <c r="C1736">
        <v>4</v>
      </c>
      <c r="D1736" t="s">
        <v>5</v>
      </c>
      <c r="F1736" t="str" cm="1">
        <f t="array" ref="F1736">CategorizeComment(E1736)</f>
        <v>Other</v>
      </c>
      <c r="G1736" t="str" cm="1">
        <f t="array" ref="G1736">SubCategorizeComment(E1736)</f>
        <v>Other</v>
      </c>
    </row>
    <row r="1737" spans="1:7" x14ac:dyDescent="0.25">
      <c r="A1737">
        <v>10730</v>
      </c>
      <c r="B1737" t="s">
        <v>4</v>
      </c>
      <c r="C1737">
        <v>3</v>
      </c>
      <c r="D1737" t="s">
        <v>5</v>
      </c>
      <c r="F1737" t="str" cm="1">
        <f t="array" ref="F1737">CategorizeComment(E1737)</f>
        <v>Other</v>
      </c>
      <c r="G1737" t="str" cm="1">
        <f t="array" ref="G1737">SubCategorizeComment(E1737)</f>
        <v>Other</v>
      </c>
    </row>
    <row r="1738" spans="1:7" x14ac:dyDescent="0.25">
      <c r="A1738">
        <v>10731</v>
      </c>
      <c r="B1738" t="s">
        <v>4</v>
      </c>
      <c r="C1738">
        <v>3</v>
      </c>
      <c r="D1738" t="s">
        <v>5</v>
      </c>
      <c r="F1738" t="str" cm="1">
        <f t="array" ref="F1738">CategorizeComment(E1738)</f>
        <v>Other</v>
      </c>
      <c r="G1738" t="str" cm="1">
        <f t="array" ref="G1738">SubCategorizeComment(E1738)</f>
        <v>Other</v>
      </c>
    </row>
    <row r="1739" spans="1:7" x14ac:dyDescent="0.25">
      <c r="A1739">
        <v>10740</v>
      </c>
      <c r="B1739" t="s">
        <v>4</v>
      </c>
      <c r="C1739">
        <v>3</v>
      </c>
      <c r="D1739" t="s">
        <v>5</v>
      </c>
      <c r="F1739" t="str" cm="1">
        <f t="array" ref="F1739">CategorizeComment(E1739)</f>
        <v>Other</v>
      </c>
      <c r="G1739" t="str" cm="1">
        <f t="array" ref="G1739">SubCategorizeComment(E1739)</f>
        <v>Other</v>
      </c>
    </row>
    <row r="1740" spans="1:7" x14ac:dyDescent="0.25">
      <c r="A1740">
        <v>10741</v>
      </c>
      <c r="B1740" t="s">
        <v>4</v>
      </c>
      <c r="C1740">
        <v>4</v>
      </c>
      <c r="D1740" t="s">
        <v>5</v>
      </c>
      <c r="F1740" t="str" cm="1">
        <f t="array" ref="F1740">CategorizeComment(E1740)</f>
        <v>Other</v>
      </c>
      <c r="G1740" t="str" cm="1">
        <f t="array" ref="G1740">SubCategorizeComment(E1740)</f>
        <v>Other</v>
      </c>
    </row>
    <row r="1741" spans="1:7" x14ac:dyDescent="0.25">
      <c r="A1741">
        <v>10744</v>
      </c>
      <c r="B1741" t="s">
        <v>4</v>
      </c>
      <c r="C1741">
        <v>4</v>
      </c>
      <c r="D1741" t="s">
        <v>5</v>
      </c>
      <c r="F1741" t="str" cm="1">
        <f t="array" ref="F1741">CategorizeComment(E1741)</f>
        <v>Other</v>
      </c>
      <c r="G1741" t="str" cm="1">
        <f t="array" ref="G1741">SubCategorizeComment(E1741)</f>
        <v>Other</v>
      </c>
    </row>
    <row r="1742" spans="1:7" x14ac:dyDescent="0.25">
      <c r="A1742">
        <v>10748</v>
      </c>
      <c r="B1742" t="s">
        <v>4</v>
      </c>
      <c r="C1742">
        <v>4</v>
      </c>
      <c r="D1742" t="s">
        <v>5</v>
      </c>
      <c r="F1742" t="str" cm="1">
        <f t="array" ref="F1742">CategorizeComment(E1742)</f>
        <v>Other</v>
      </c>
      <c r="G1742" t="str" cm="1">
        <f t="array" ref="G1742">SubCategorizeComment(E1742)</f>
        <v>Other</v>
      </c>
    </row>
    <row r="1743" spans="1:7" x14ac:dyDescent="0.25">
      <c r="A1743">
        <v>10754</v>
      </c>
      <c r="B1743" t="s">
        <v>4</v>
      </c>
      <c r="C1743">
        <v>3</v>
      </c>
      <c r="D1743" t="s">
        <v>5</v>
      </c>
      <c r="F1743" t="str" cm="1">
        <f t="array" ref="F1743">CategorizeComment(E1743)</f>
        <v>Other</v>
      </c>
      <c r="G1743" t="str" cm="1">
        <f t="array" ref="G1743">SubCategorizeComment(E1743)</f>
        <v>Other</v>
      </c>
    </row>
    <row r="1744" spans="1:7" x14ac:dyDescent="0.25">
      <c r="A1744">
        <v>10758</v>
      </c>
      <c r="B1744" t="s">
        <v>4</v>
      </c>
      <c r="C1744">
        <v>4</v>
      </c>
      <c r="D1744" t="s">
        <v>5</v>
      </c>
      <c r="F1744" t="str" cm="1">
        <f t="array" ref="F1744">CategorizeComment(E1744)</f>
        <v>Other</v>
      </c>
      <c r="G1744" t="str" cm="1">
        <f t="array" ref="G1744">SubCategorizeComment(E1744)</f>
        <v>Other</v>
      </c>
    </row>
    <row r="1745" spans="1:7" x14ac:dyDescent="0.25">
      <c r="A1745">
        <v>10759</v>
      </c>
      <c r="B1745" t="s">
        <v>4</v>
      </c>
      <c r="C1745">
        <v>3</v>
      </c>
      <c r="D1745" t="s">
        <v>5</v>
      </c>
      <c r="F1745" t="str" cm="1">
        <f t="array" ref="F1745">CategorizeComment(E1745)</f>
        <v>Other</v>
      </c>
      <c r="G1745" t="str" cm="1">
        <f t="array" ref="G1745">SubCategorizeComment(E1745)</f>
        <v>Other</v>
      </c>
    </row>
    <row r="1746" spans="1:7" x14ac:dyDescent="0.25">
      <c r="A1746">
        <v>10772</v>
      </c>
      <c r="B1746" t="s">
        <v>4</v>
      </c>
      <c r="C1746">
        <v>4</v>
      </c>
      <c r="D1746" t="s">
        <v>5</v>
      </c>
      <c r="F1746" t="str" cm="1">
        <f t="array" ref="F1746">CategorizeComment(E1746)</f>
        <v>Other</v>
      </c>
      <c r="G1746" t="str" cm="1">
        <f t="array" ref="G1746">SubCategorizeComment(E1746)</f>
        <v>Other</v>
      </c>
    </row>
    <row r="1747" spans="1:7" x14ac:dyDescent="0.25">
      <c r="A1747">
        <v>10788</v>
      </c>
      <c r="B1747" t="s">
        <v>4</v>
      </c>
      <c r="C1747">
        <v>4</v>
      </c>
      <c r="D1747" t="s">
        <v>5</v>
      </c>
      <c r="F1747" t="str" cm="1">
        <f t="array" ref="F1747">CategorizeComment(E1747)</f>
        <v>Other</v>
      </c>
      <c r="G1747" t="str" cm="1">
        <f t="array" ref="G1747">SubCategorizeComment(E1747)</f>
        <v>Other</v>
      </c>
    </row>
    <row r="1748" spans="1:7" x14ac:dyDescent="0.25">
      <c r="A1748">
        <v>10790</v>
      </c>
      <c r="B1748" t="s">
        <v>4</v>
      </c>
      <c r="C1748">
        <v>3</v>
      </c>
      <c r="D1748" t="s">
        <v>5</v>
      </c>
      <c r="F1748" t="str" cm="1">
        <f t="array" ref="F1748">CategorizeComment(E1748)</f>
        <v>Other</v>
      </c>
      <c r="G1748" t="str" cm="1">
        <f t="array" ref="G1748">SubCategorizeComment(E1748)</f>
        <v>Other</v>
      </c>
    </row>
    <row r="1749" spans="1:7" x14ac:dyDescent="0.25">
      <c r="A1749">
        <v>10791</v>
      </c>
      <c r="B1749" t="s">
        <v>4</v>
      </c>
      <c r="C1749">
        <v>4</v>
      </c>
      <c r="D1749" t="s">
        <v>5</v>
      </c>
      <c r="F1749" t="str" cm="1">
        <f t="array" ref="F1749">CategorizeComment(E1749)</f>
        <v>Other</v>
      </c>
      <c r="G1749" t="str" cm="1">
        <f t="array" ref="G1749">SubCategorizeComment(E1749)</f>
        <v>Other</v>
      </c>
    </row>
    <row r="1750" spans="1:7" x14ac:dyDescent="0.25">
      <c r="A1750">
        <v>10804</v>
      </c>
      <c r="B1750" t="s">
        <v>4</v>
      </c>
      <c r="C1750">
        <v>4</v>
      </c>
      <c r="D1750" t="s">
        <v>5</v>
      </c>
      <c r="F1750" t="str" cm="1">
        <f t="array" ref="F1750">CategorizeComment(E1750)</f>
        <v>Other</v>
      </c>
      <c r="G1750" t="str" cm="1">
        <f t="array" ref="G1750">SubCategorizeComment(E1750)</f>
        <v>Other</v>
      </c>
    </row>
    <row r="1751" spans="1:7" x14ac:dyDescent="0.25">
      <c r="A1751">
        <v>10805</v>
      </c>
      <c r="B1751" t="s">
        <v>4</v>
      </c>
      <c r="C1751">
        <v>3</v>
      </c>
      <c r="D1751" t="s">
        <v>5</v>
      </c>
      <c r="F1751" t="str" cm="1">
        <f t="array" ref="F1751">CategorizeComment(E1751)</f>
        <v>Other</v>
      </c>
      <c r="G1751" t="str" cm="1">
        <f t="array" ref="G1751">SubCategorizeComment(E1751)</f>
        <v>Other</v>
      </c>
    </row>
    <row r="1752" spans="1:7" x14ac:dyDescent="0.25">
      <c r="A1752">
        <v>10820</v>
      </c>
      <c r="B1752" t="s">
        <v>4</v>
      </c>
      <c r="C1752">
        <v>3</v>
      </c>
      <c r="D1752" t="s">
        <v>5</v>
      </c>
      <c r="F1752" t="str" cm="1">
        <f t="array" ref="F1752">CategorizeComment(E1752)</f>
        <v>Other</v>
      </c>
      <c r="G1752" t="str" cm="1">
        <f t="array" ref="G1752">SubCategorizeComment(E1752)</f>
        <v>Other</v>
      </c>
    </row>
    <row r="1753" spans="1:7" x14ac:dyDescent="0.25">
      <c r="A1753">
        <v>10823</v>
      </c>
      <c r="B1753" t="s">
        <v>4</v>
      </c>
      <c r="C1753">
        <v>4</v>
      </c>
      <c r="D1753" t="s">
        <v>5</v>
      </c>
      <c r="F1753" t="str" cm="1">
        <f t="array" ref="F1753">CategorizeComment(E1753)</f>
        <v>Other</v>
      </c>
      <c r="G1753" t="str" cm="1">
        <f t="array" ref="G1753">SubCategorizeComment(E1753)</f>
        <v>Other</v>
      </c>
    </row>
    <row r="1754" spans="1:7" x14ac:dyDescent="0.25">
      <c r="A1754">
        <v>10826</v>
      </c>
      <c r="B1754" t="s">
        <v>4</v>
      </c>
      <c r="C1754">
        <v>3</v>
      </c>
      <c r="D1754" t="s">
        <v>5</v>
      </c>
      <c r="F1754" t="str" cm="1">
        <f t="array" ref="F1754">CategorizeComment(E1754)</f>
        <v>Other</v>
      </c>
      <c r="G1754" t="str" cm="1">
        <f t="array" ref="G1754">SubCategorizeComment(E1754)</f>
        <v>Other</v>
      </c>
    </row>
    <row r="1755" spans="1:7" x14ac:dyDescent="0.25">
      <c r="A1755">
        <v>10836</v>
      </c>
      <c r="B1755" t="s">
        <v>4</v>
      </c>
      <c r="C1755">
        <v>4</v>
      </c>
      <c r="D1755" t="s">
        <v>5</v>
      </c>
      <c r="F1755" t="str" cm="1">
        <f t="array" ref="F1755">CategorizeComment(E1755)</f>
        <v>Other</v>
      </c>
      <c r="G1755" t="str" cm="1">
        <f t="array" ref="G1755">SubCategorizeComment(E1755)</f>
        <v>Other</v>
      </c>
    </row>
    <row r="1756" spans="1:7" x14ac:dyDescent="0.25">
      <c r="A1756">
        <v>10846</v>
      </c>
      <c r="B1756" t="s">
        <v>4</v>
      </c>
      <c r="C1756">
        <v>4</v>
      </c>
      <c r="D1756" t="s">
        <v>5</v>
      </c>
      <c r="F1756" t="str" cm="1">
        <f t="array" ref="F1756">CategorizeComment(E1756)</f>
        <v>Other</v>
      </c>
      <c r="G1756" t="str" cm="1">
        <f t="array" ref="G1756">SubCategorizeComment(E1756)</f>
        <v>Other</v>
      </c>
    </row>
    <row r="1757" spans="1:7" x14ac:dyDescent="0.25">
      <c r="A1757">
        <v>10851</v>
      </c>
      <c r="B1757" t="s">
        <v>4</v>
      </c>
      <c r="C1757">
        <v>4</v>
      </c>
      <c r="D1757" t="s">
        <v>5</v>
      </c>
      <c r="F1757" t="str" cm="1">
        <f t="array" ref="F1757">CategorizeComment(E1757)</f>
        <v>Other</v>
      </c>
      <c r="G1757" t="str" cm="1">
        <f t="array" ref="G1757">SubCategorizeComment(E1757)</f>
        <v>Other</v>
      </c>
    </row>
    <row r="1758" spans="1:7" x14ac:dyDescent="0.25">
      <c r="A1758">
        <v>10857</v>
      </c>
      <c r="B1758" t="s">
        <v>4</v>
      </c>
      <c r="C1758">
        <v>3</v>
      </c>
      <c r="D1758" t="s">
        <v>5</v>
      </c>
      <c r="F1758" t="str" cm="1">
        <f t="array" ref="F1758">CategorizeComment(E1758)</f>
        <v>Other</v>
      </c>
      <c r="G1758" t="str" cm="1">
        <f t="array" ref="G1758">SubCategorizeComment(E1758)</f>
        <v>Other</v>
      </c>
    </row>
    <row r="1759" spans="1:7" x14ac:dyDescent="0.25">
      <c r="A1759">
        <v>10864</v>
      </c>
      <c r="B1759" t="s">
        <v>4</v>
      </c>
      <c r="C1759">
        <v>4</v>
      </c>
      <c r="D1759" t="s">
        <v>5</v>
      </c>
      <c r="F1759" t="str" cm="1">
        <f t="array" ref="F1759">CategorizeComment(E1759)</f>
        <v>Other</v>
      </c>
      <c r="G1759" t="str" cm="1">
        <f t="array" ref="G1759">SubCategorizeComment(E1759)</f>
        <v>Other</v>
      </c>
    </row>
    <row r="1760" spans="1:7" x14ac:dyDescent="0.25">
      <c r="A1760">
        <v>10868</v>
      </c>
      <c r="B1760" t="s">
        <v>4</v>
      </c>
      <c r="C1760">
        <v>4</v>
      </c>
      <c r="D1760" t="s">
        <v>5</v>
      </c>
      <c r="F1760" t="str" cm="1">
        <f t="array" ref="F1760">CategorizeComment(E1760)</f>
        <v>Other</v>
      </c>
      <c r="G1760" t="str" cm="1">
        <f t="array" ref="G1760">SubCategorizeComment(E1760)</f>
        <v>Other</v>
      </c>
    </row>
    <row r="1761" spans="1:7" x14ac:dyDescent="0.25">
      <c r="A1761">
        <v>10873</v>
      </c>
      <c r="B1761" t="s">
        <v>4</v>
      </c>
      <c r="C1761">
        <v>3</v>
      </c>
      <c r="D1761" t="s">
        <v>5</v>
      </c>
      <c r="F1761" t="str" cm="1">
        <f t="array" ref="F1761">CategorizeComment(E1761)</f>
        <v>Other</v>
      </c>
      <c r="G1761" t="str" cm="1">
        <f t="array" ref="G1761">SubCategorizeComment(E1761)</f>
        <v>Other</v>
      </c>
    </row>
    <row r="1762" spans="1:7" x14ac:dyDescent="0.25">
      <c r="A1762">
        <v>10875</v>
      </c>
      <c r="B1762" t="s">
        <v>4</v>
      </c>
      <c r="C1762">
        <v>3</v>
      </c>
      <c r="D1762" t="s">
        <v>5</v>
      </c>
      <c r="F1762" t="str" cm="1">
        <f t="array" ref="F1762">CategorizeComment(E1762)</f>
        <v>Other</v>
      </c>
      <c r="G1762" t="str" cm="1">
        <f t="array" ref="G1762">SubCategorizeComment(E1762)</f>
        <v>Other</v>
      </c>
    </row>
    <row r="1763" spans="1:7" x14ac:dyDescent="0.25">
      <c r="A1763">
        <v>10878</v>
      </c>
      <c r="B1763" t="s">
        <v>4</v>
      </c>
      <c r="C1763">
        <v>3</v>
      </c>
      <c r="D1763" t="s">
        <v>5</v>
      </c>
      <c r="F1763" t="str" cm="1">
        <f t="array" ref="F1763">CategorizeComment(E1763)</f>
        <v>Other</v>
      </c>
      <c r="G1763" t="str" cm="1">
        <f t="array" ref="G1763">SubCategorizeComment(E1763)</f>
        <v>Other</v>
      </c>
    </row>
    <row r="1764" spans="1:7" x14ac:dyDescent="0.25">
      <c r="A1764">
        <v>10884</v>
      </c>
      <c r="B1764" t="s">
        <v>4</v>
      </c>
      <c r="C1764">
        <v>4</v>
      </c>
      <c r="D1764" t="s">
        <v>5</v>
      </c>
      <c r="F1764" t="str" cm="1">
        <f t="array" ref="F1764">CategorizeComment(E1764)</f>
        <v>Other</v>
      </c>
      <c r="G1764" t="str" cm="1">
        <f t="array" ref="G1764">SubCategorizeComment(E1764)</f>
        <v>Other</v>
      </c>
    </row>
    <row r="1765" spans="1:7" x14ac:dyDescent="0.25">
      <c r="A1765">
        <v>10896</v>
      </c>
      <c r="B1765" t="s">
        <v>4</v>
      </c>
      <c r="C1765">
        <v>3</v>
      </c>
      <c r="D1765" t="s">
        <v>5</v>
      </c>
      <c r="F1765" t="str" cm="1">
        <f t="array" ref="F1765">CategorizeComment(E1765)</f>
        <v>Other</v>
      </c>
      <c r="G1765" t="str" cm="1">
        <f t="array" ref="G1765">SubCategorizeComment(E1765)</f>
        <v>Other</v>
      </c>
    </row>
    <row r="1766" spans="1:7" x14ac:dyDescent="0.25">
      <c r="A1766">
        <v>10900</v>
      </c>
      <c r="B1766" t="s">
        <v>4</v>
      </c>
      <c r="C1766">
        <v>4</v>
      </c>
      <c r="D1766" t="s">
        <v>5</v>
      </c>
      <c r="F1766" t="str" cm="1">
        <f t="array" ref="F1766">CategorizeComment(E1766)</f>
        <v>Other</v>
      </c>
      <c r="G1766" t="str" cm="1">
        <f t="array" ref="G1766">SubCategorizeComment(E1766)</f>
        <v>Other</v>
      </c>
    </row>
    <row r="1767" spans="1:7" x14ac:dyDescent="0.25">
      <c r="A1767">
        <v>10915</v>
      </c>
      <c r="B1767" t="s">
        <v>4</v>
      </c>
      <c r="C1767">
        <v>3</v>
      </c>
      <c r="D1767" t="s">
        <v>5</v>
      </c>
      <c r="F1767" t="str" cm="1">
        <f t="array" ref="F1767">CategorizeComment(E1767)</f>
        <v>Other</v>
      </c>
      <c r="G1767" t="str" cm="1">
        <f t="array" ref="G1767">SubCategorizeComment(E1767)</f>
        <v>Other</v>
      </c>
    </row>
    <row r="1768" spans="1:7" x14ac:dyDescent="0.25">
      <c r="A1768">
        <v>10920</v>
      </c>
      <c r="B1768" t="s">
        <v>4</v>
      </c>
      <c r="C1768">
        <v>3</v>
      </c>
      <c r="D1768" t="s">
        <v>5</v>
      </c>
      <c r="F1768" t="str" cm="1">
        <f t="array" ref="F1768">CategorizeComment(E1768)</f>
        <v>Other</v>
      </c>
      <c r="G1768" t="str" cm="1">
        <f t="array" ref="G1768">SubCategorizeComment(E1768)</f>
        <v>Other</v>
      </c>
    </row>
    <row r="1769" spans="1:7" x14ac:dyDescent="0.25">
      <c r="A1769">
        <v>10924</v>
      </c>
      <c r="B1769" t="s">
        <v>4</v>
      </c>
      <c r="C1769">
        <v>4</v>
      </c>
      <c r="D1769" t="s">
        <v>5</v>
      </c>
      <c r="F1769" t="str" cm="1">
        <f t="array" ref="F1769">CategorizeComment(E1769)</f>
        <v>Other</v>
      </c>
      <c r="G1769" t="str" cm="1">
        <f t="array" ref="G1769">SubCategorizeComment(E1769)</f>
        <v>Other</v>
      </c>
    </row>
    <row r="1770" spans="1:7" x14ac:dyDescent="0.25">
      <c r="A1770">
        <v>10927</v>
      </c>
      <c r="B1770" t="s">
        <v>4</v>
      </c>
      <c r="C1770">
        <v>3</v>
      </c>
      <c r="D1770" t="s">
        <v>5</v>
      </c>
      <c r="F1770" t="str" cm="1">
        <f t="array" ref="F1770">CategorizeComment(E1770)</f>
        <v>Other</v>
      </c>
      <c r="G1770" t="str" cm="1">
        <f t="array" ref="G1770">SubCategorizeComment(E1770)</f>
        <v>Other</v>
      </c>
    </row>
    <row r="1771" spans="1:7" x14ac:dyDescent="0.25">
      <c r="A1771">
        <v>10928</v>
      </c>
      <c r="B1771" t="s">
        <v>4</v>
      </c>
      <c r="C1771">
        <v>3</v>
      </c>
      <c r="D1771" t="s">
        <v>5</v>
      </c>
      <c r="F1771" t="str" cm="1">
        <f t="array" ref="F1771">CategorizeComment(E1771)</f>
        <v>Other</v>
      </c>
      <c r="G1771" t="str" cm="1">
        <f t="array" ref="G1771">SubCategorizeComment(E1771)</f>
        <v>Other</v>
      </c>
    </row>
    <row r="1772" spans="1:7" x14ac:dyDescent="0.25">
      <c r="A1772">
        <v>10936</v>
      </c>
      <c r="B1772" t="s">
        <v>4</v>
      </c>
      <c r="C1772">
        <v>3</v>
      </c>
      <c r="D1772" t="s">
        <v>5</v>
      </c>
      <c r="F1772" t="str" cm="1">
        <f t="array" ref="F1772">CategorizeComment(E1772)</f>
        <v>Other</v>
      </c>
      <c r="G1772" t="str" cm="1">
        <f t="array" ref="G1772">SubCategorizeComment(E1772)</f>
        <v>Other</v>
      </c>
    </row>
    <row r="1773" spans="1:7" x14ac:dyDescent="0.25">
      <c r="A1773">
        <v>10947</v>
      </c>
      <c r="B1773" t="s">
        <v>4</v>
      </c>
      <c r="C1773">
        <v>3</v>
      </c>
      <c r="D1773" t="s">
        <v>5</v>
      </c>
      <c r="F1773" t="str" cm="1">
        <f t="array" ref="F1773">CategorizeComment(E1773)</f>
        <v>Other</v>
      </c>
      <c r="G1773" t="str" cm="1">
        <f t="array" ref="G1773">SubCategorizeComment(E1773)</f>
        <v>Other</v>
      </c>
    </row>
    <row r="1774" spans="1:7" x14ac:dyDescent="0.25">
      <c r="A1774">
        <v>10949</v>
      </c>
      <c r="B1774" t="s">
        <v>4</v>
      </c>
      <c r="C1774">
        <v>4</v>
      </c>
      <c r="D1774" t="s">
        <v>5</v>
      </c>
      <c r="F1774" t="str" cm="1">
        <f t="array" ref="F1774">CategorizeComment(E1774)</f>
        <v>Other</v>
      </c>
      <c r="G1774" t="str" cm="1">
        <f t="array" ref="G1774">SubCategorizeComment(E1774)</f>
        <v>Other</v>
      </c>
    </row>
    <row r="1775" spans="1:7" x14ac:dyDescent="0.25">
      <c r="A1775">
        <v>10955</v>
      </c>
      <c r="B1775" t="s">
        <v>4</v>
      </c>
      <c r="C1775">
        <v>4</v>
      </c>
      <c r="D1775" t="s">
        <v>5</v>
      </c>
      <c r="F1775" t="str" cm="1">
        <f t="array" ref="F1775">CategorizeComment(E1775)</f>
        <v>Other</v>
      </c>
      <c r="G1775" t="str" cm="1">
        <f t="array" ref="G1775">SubCategorizeComment(E1775)</f>
        <v>Other</v>
      </c>
    </row>
    <row r="1776" spans="1:7" x14ac:dyDescent="0.25">
      <c r="A1776">
        <v>10956</v>
      </c>
      <c r="B1776" t="s">
        <v>4</v>
      </c>
      <c r="C1776">
        <v>3</v>
      </c>
      <c r="D1776" t="s">
        <v>5</v>
      </c>
      <c r="F1776" t="str" cm="1">
        <f t="array" ref="F1776">CategorizeComment(E1776)</f>
        <v>Other</v>
      </c>
      <c r="G1776" t="str" cm="1">
        <f t="array" ref="G1776">SubCategorizeComment(E1776)</f>
        <v>Other</v>
      </c>
    </row>
    <row r="1777" spans="1:7" x14ac:dyDescent="0.25">
      <c r="A1777">
        <v>10957</v>
      </c>
      <c r="B1777" t="s">
        <v>4</v>
      </c>
      <c r="C1777">
        <v>4</v>
      </c>
      <c r="D1777" t="s">
        <v>5</v>
      </c>
      <c r="F1777" t="str" cm="1">
        <f t="array" ref="F1777">CategorizeComment(E1777)</f>
        <v>Other</v>
      </c>
      <c r="G1777" t="str" cm="1">
        <f t="array" ref="G1777">SubCategorizeComment(E1777)</f>
        <v>Other</v>
      </c>
    </row>
    <row r="1778" spans="1:7" x14ac:dyDescent="0.25">
      <c r="A1778">
        <v>10974</v>
      </c>
      <c r="B1778" t="s">
        <v>4</v>
      </c>
      <c r="C1778">
        <v>4</v>
      </c>
      <c r="D1778" t="s">
        <v>5</v>
      </c>
      <c r="F1778" t="str" cm="1">
        <f t="array" ref="F1778">CategorizeComment(E1778)</f>
        <v>Other</v>
      </c>
      <c r="G1778" t="str" cm="1">
        <f t="array" ref="G1778">SubCategorizeComment(E1778)</f>
        <v>Other</v>
      </c>
    </row>
    <row r="1779" spans="1:7" x14ac:dyDescent="0.25">
      <c r="A1779">
        <v>10976</v>
      </c>
      <c r="B1779" t="s">
        <v>4</v>
      </c>
      <c r="C1779">
        <v>4</v>
      </c>
      <c r="D1779" t="s">
        <v>5</v>
      </c>
      <c r="F1779" t="str" cm="1">
        <f t="array" ref="F1779">CategorizeComment(E1779)</f>
        <v>Other</v>
      </c>
      <c r="G1779" t="str" cm="1">
        <f t="array" ref="G1779">SubCategorizeComment(E1779)</f>
        <v>Other</v>
      </c>
    </row>
    <row r="1780" spans="1:7" x14ac:dyDescent="0.25">
      <c r="A1780">
        <v>10985</v>
      </c>
      <c r="B1780" t="s">
        <v>4</v>
      </c>
      <c r="C1780">
        <v>4</v>
      </c>
      <c r="D1780" t="s">
        <v>5</v>
      </c>
      <c r="F1780" t="str" cm="1">
        <f t="array" ref="F1780">CategorizeComment(E1780)</f>
        <v>Other</v>
      </c>
      <c r="G1780" t="str" cm="1">
        <f t="array" ref="G1780">SubCategorizeComment(E1780)</f>
        <v>Other</v>
      </c>
    </row>
    <row r="1781" spans="1:7" x14ac:dyDescent="0.25">
      <c r="A1781">
        <v>10987</v>
      </c>
      <c r="B1781" t="s">
        <v>4</v>
      </c>
      <c r="C1781">
        <v>4</v>
      </c>
      <c r="D1781" t="s">
        <v>5</v>
      </c>
      <c r="F1781" t="str" cm="1">
        <f t="array" ref="F1781">CategorizeComment(E1781)</f>
        <v>Other</v>
      </c>
      <c r="G1781" t="str" cm="1">
        <f t="array" ref="G1781">SubCategorizeComment(E1781)</f>
        <v>Other</v>
      </c>
    </row>
    <row r="1782" spans="1:7" x14ac:dyDescent="0.25">
      <c r="A1782">
        <v>11003</v>
      </c>
      <c r="B1782" t="s">
        <v>4</v>
      </c>
      <c r="C1782">
        <v>4</v>
      </c>
      <c r="D1782" t="s">
        <v>5</v>
      </c>
      <c r="F1782" t="str" cm="1">
        <f t="array" ref="F1782">CategorizeComment(E1782)</f>
        <v>Other</v>
      </c>
      <c r="G1782" t="str" cm="1">
        <f t="array" ref="G1782">SubCategorizeComment(E1782)</f>
        <v>Other</v>
      </c>
    </row>
    <row r="1783" spans="1:7" x14ac:dyDescent="0.25">
      <c r="A1783">
        <v>11015</v>
      </c>
      <c r="B1783" t="s">
        <v>4</v>
      </c>
      <c r="C1783">
        <v>4</v>
      </c>
      <c r="D1783" t="s">
        <v>5</v>
      </c>
      <c r="F1783" t="str" cm="1">
        <f t="array" ref="F1783">CategorizeComment(E1783)</f>
        <v>Other</v>
      </c>
      <c r="G1783" t="str" cm="1">
        <f t="array" ref="G1783">SubCategorizeComment(E1783)</f>
        <v>Other</v>
      </c>
    </row>
    <row r="1784" spans="1:7" x14ac:dyDescent="0.25">
      <c r="A1784">
        <v>11019</v>
      </c>
      <c r="B1784" t="s">
        <v>4</v>
      </c>
      <c r="C1784">
        <v>3</v>
      </c>
      <c r="D1784" t="s">
        <v>5</v>
      </c>
      <c r="F1784" t="str" cm="1">
        <f t="array" ref="F1784">CategorizeComment(E1784)</f>
        <v>Other</v>
      </c>
      <c r="G1784" t="str" cm="1">
        <f t="array" ref="G1784">SubCategorizeComment(E1784)</f>
        <v>Other</v>
      </c>
    </row>
    <row r="1785" spans="1:7" x14ac:dyDescent="0.25">
      <c r="A1785">
        <v>11031</v>
      </c>
      <c r="B1785" t="s">
        <v>4</v>
      </c>
      <c r="C1785">
        <v>4</v>
      </c>
      <c r="D1785" t="s">
        <v>5</v>
      </c>
      <c r="F1785" t="str" cm="1">
        <f t="array" ref="F1785">CategorizeComment(E1785)</f>
        <v>Other</v>
      </c>
      <c r="G1785" t="str" cm="1">
        <f t="array" ref="G1785">SubCategorizeComment(E1785)</f>
        <v>Other</v>
      </c>
    </row>
    <row r="1786" spans="1:7" x14ac:dyDescent="0.25">
      <c r="A1786">
        <v>11058</v>
      </c>
      <c r="B1786" t="s">
        <v>4</v>
      </c>
      <c r="C1786">
        <v>4</v>
      </c>
      <c r="D1786" t="s">
        <v>5</v>
      </c>
      <c r="F1786" t="str" cm="1">
        <f t="array" ref="F1786">CategorizeComment(E1786)</f>
        <v>Other</v>
      </c>
      <c r="G1786" t="str" cm="1">
        <f t="array" ref="G1786">SubCategorizeComment(E1786)</f>
        <v>Other</v>
      </c>
    </row>
    <row r="1787" spans="1:7" x14ac:dyDescent="0.25">
      <c r="A1787">
        <v>11081</v>
      </c>
      <c r="B1787" t="s">
        <v>4</v>
      </c>
      <c r="C1787">
        <v>4</v>
      </c>
      <c r="D1787" t="s">
        <v>5</v>
      </c>
      <c r="F1787" t="str" cm="1">
        <f t="array" ref="F1787">CategorizeComment(E1787)</f>
        <v>Other</v>
      </c>
      <c r="G1787" t="str" cm="1">
        <f t="array" ref="G1787">SubCategorizeComment(E1787)</f>
        <v>Other</v>
      </c>
    </row>
    <row r="1788" spans="1:7" x14ac:dyDescent="0.25">
      <c r="A1788">
        <v>11085</v>
      </c>
      <c r="B1788" t="s">
        <v>4</v>
      </c>
      <c r="C1788">
        <v>4</v>
      </c>
      <c r="D1788" t="s">
        <v>5</v>
      </c>
      <c r="F1788" t="str" cm="1">
        <f t="array" ref="F1788">CategorizeComment(E1788)</f>
        <v>Other</v>
      </c>
      <c r="G1788" t="str" cm="1">
        <f t="array" ref="G1788">SubCategorizeComment(E1788)</f>
        <v>Other</v>
      </c>
    </row>
    <row r="1789" spans="1:7" x14ac:dyDescent="0.25">
      <c r="A1789">
        <v>11089</v>
      </c>
      <c r="B1789" t="s">
        <v>4</v>
      </c>
      <c r="C1789">
        <v>4</v>
      </c>
      <c r="D1789" t="s">
        <v>5</v>
      </c>
      <c r="F1789" t="str" cm="1">
        <f t="array" ref="F1789">CategorizeComment(E1789)</f>
        <v>Other</v>
      </c>
      <c r="G1789" t="str" cm="1">
        <f t="array" ref="G1789">SubCategorizeComment(E1789)</f>
        <v>Other</v>
      </c>
    </row>
    <row r="1790" spans="1:7" x14ac:dyDescent="0.25">
      <c r="A1790">
        <v>11097</v>
      </c>
      <c r="B1790" t="s">
        <v>4</v>
      </c>
      <c r="C1790">
        <v>3</v>
      </c>
      <c r="D1790" t="s">
        <v>5</v>
      </c>
      <c r="F1790" t="str" cm="1">
        <f t="array" ref="F1790">CategorizeComment(E1790)</f>
        <v>Other</v>
      </c>
      <c r="G1790" t="str" cm="1">
        <f t="array" ref="G1790">SubCategorizeComment(E1790)</f>
        <v>Other</v>
      </c>
    </row>
    <row r="1791" spans="1:7" x14ac:dyDescent="0.25">
      <c r="A1791">
        <v>11108</v>
      </c>
      <c r="B1791" t="s">
        <v>4</v>
      </c>
      <c r="C1791">
        <v>4</v>
      </c>
      <c r="D1791" t="s">
        <v>5</v>
      </c>
      <c r="F1791" t="str" cm="1">
        <f t="array" ref="F1791">CategorizeComment(E1791)</f>
        <v>Other</v>
      </c>
      <c r="G1791" t="str" cm="1">
        <f t="array" ref="G1791">SubCategorizeComment(E1791)</f>
        <v>Other</v>
      </c>
    </row>
    <row r="1792" spans="1:7" x14ac:dyDescent="0.25">
      <c r="A1792">
        <v>11116</v>
      </c>
      <c r="B1792" t="s">
        <v>4</v>
      </c>
      <c r="C1792">
        <v>3</v>
      </c>
      <c r="D1792" t="s">
        <v>5</v>
      </c>
      <c r="F1792" t="str" cm="1">
        <f t="array" ref="F1792">CategorizeComment(E1792)</f>
        <v>Other</v>
      </c>
      <c r="G1792" t="str" cm="1">
        <f t="array" ref="G1792">SubCategorizeComment(E1792)</f>
        <v>Other</v>
      </c>
    </row>
    <row r="1793" spans="1:7" x14ac:dyDescent="0.25">
      <c r="A1793">
        <v>11121</v>
      </c>
      <c r="B1793" t="s">
        <v>4</v>
      </c>
      <c r="C1793">
        <v>4</v>
      </c>
      <c r="D1793" t="s">
        <v>5</v>
      </c>
      <c r="F1793" t="str" cm="1">
        <f t="array" ref="F1793">CategorizeComment(E1793)</f>
        <v>Other</v>
      </c>
      <c r="G1793" t="str" cm="1">
        <f t="array" ref="G1793">SubCategorizeComment(E1793)</f>
        <v>Other</v>
      </c>
    </row>
    <row r="1794" spans="1:7" x14ac:dyDescent="0.25">
      <c r="A1794">
        <v>11150</v>
      </c>
      <c r="B1794" t="s">
        <v>4</v>
      </c>
      <c r="C1794">
        <v>3</v>
      </c>
      <c r="D1794" t="s">
        <v>5</v>
      </c>
      <c r="F1794" t="str" cm="1">
        <f t="array" ref="F1794">CategorizeComment(E1794)</f>
        <v>Other</v>
      </c>
      <c r="G1794" t="str" cm="1">
        <f t="array" ref="G1794">SubCategorizeComment(E1794)</f>
        <v>Other</v>
      </c>
    </row>
    <row r="1795" spans="1:7" x14ac:dyDescent="0.25">
      <c r="A1795">
        <v>11151</v>
      </c>
      <c r="B1795" t="s">
        <v>4</v>
      </c>
      <c r="C1795">
        <v>4</v>
      </c>
      <c r="D1795" t="s">
        <v>5</v>
      </c>
      <c r="F1795" t="str" cm="1">
        <f t="array" ref="F1795">CategorizeComment(E1795)</f>
        <v>Other</v>
      </c>
      <c r="G1795" t="str" cm="1">
        <f t="array" ref="G1795">SubCategorizeComment(E1795)</f>
        <v>Other</v>
      </c>
    </row>
    <row r="1796" spans="1:7" x14ac:dyDescent="0.25">
      <c r="A1796">
        <v>11152</v>
      </c>
      <c r="B1796" t="s">
        <v>4</v>
      </c>
      <c r="C1796">
        <v>4</v>
      </c>
      <c r="D1796" t="s">
        <v>5</v>
      </c>
      <c r="F1796" t="str" cm="1">
        <f t="array" ref="F1796">CategorizeComment(E1796)</f>
        <v>Other</v>
      </c>
      <c r="G1796" t="str" cm="1">
        <f t="array" ref="G1796">SubCategorizeComment(E1796)</f>
        <v>Other</v>
      </c>
    </row>
    <row r="1797" spans="1:7" x14ac:dyDescent="0.25">
      <c r="A1797">
        <v>11156</v>
      </c>
      <c r="B1797" t="s">
        <v>4</v>
      </c>
      <c r="C1797">
        <v>3</v>
      </c>
      <c r="D1797" t="s">
        <v>5</v>
      </c>
      <c r="F1797" t="str" cm="1">
        <f t="array" ref="F1797">CategorizeComment(E1797)</f>
        <v>Other</v>
      </c>
      <c r="G1797" t="str" cm="1">
        <f t="array" ref="G1797">SubCategorizeComment(E1797)</f>
        <v>Other</v>
      </c>
    </row>
    <row r="1798" spans="1:7" x14ac:dyDescent="0.25">
      <c r="A1798">
        <v>11172</v>
      </c>
      <c r="B1798" t="s">
        <v>4</v>
      </c>
      <c r="C1798">
        <v>3</v>
      </c>
      <c r="D1798" t="s">
        <v>5</v>
      </c>
      <c r="F1798" t="str" cm="1">
        <f t="array" ref="F1798">CategorizeComment(E1798)</f>
        <v>Other</v>
      </c>
      <c r="G1798" t="str" cm="1">
        <f t="array" ref="G1798">SubCategorizeComment(E1798)</f>
        <v>Other</v>
      </c>
    </row>
    <row r="1799" spans="1:7" x14ac:dyDescent="0.25">
      <c r="A1799">
        <v>11177</v>
      </c>
      <c r="B1799" t="s">
        <v>4</v>
      </c>
      <c r="C1799">
        <v>3</v>
      </c>
      <c r="D1799" t="s">
        <v>5</v>
      </c>
      <c r="F1799" t="str" cm="1">
        <f t="array" ref="F1799">CategorizeComment(E1799)</f>
        <v>Other</v>
      </c>
      <c r="G1799" t="str" cm="1">
        <f t="array" ref="G1799">SubCategorizeComment(E1799)</f>
        <v>Other</v>
      </c>
    </row>
    <row r="1800" spans="1:7" x14ac:dyDescent="0.25">
      <c r="A1800">
        <v>11178</v>
      </c>
      <c r="B1800" t="s">
        <v>4</v>
      </c>
      <c r="C1800">
        <v>3</v>
      </c>
      <c r="D1800" t="s">
        <v>5</v>
      </c>
      <c r="F1800" t="str" cm="1">
        <f t="array" ref="F1800">CategorizeComment(E1800)</f>
        <v>Other</v>
      </c>
      <c r="G1800" t="str" cm="1">
        <f t="array" ref="G1800">SubCategorizeComment(E1800)</f>
        <v>Other</v>
      </c>
    </row>
    <row r="1801" spans="1:7" x14ac:dyDescent="0.25">
      <c r="A1801">
        <v>11181</v>
      </c>
      <c r="B1801" t="s">
        <v>4</v>
      </c>
      <c r="C1801">
        <v>4</v>
      </c>
      <c r="D1801" t="s">
        <v>5</v>
      </c>
      <c r="F1801" t="str" cm="1">
        <f t="array" ref="F1801">CategorizeComment(E1801)</f>
        <v>Other</v>
      </c>
      <c r="G1801" t="str" cm="1">
        <f t="array" ref="G1801">SubCategorizeComment(E1801)</f>
        <v>Other</v>
      </c>
    </row>
    <row r="1802" spans="1:7" x14ac:dyDescent="0.25">
      <c r="A1802">
        <v>11187</v>
      </c>
      <c r="B1802" t="s">
        <v>4</v>
      </c>
      <c r="C1802">
        <v>4</v>
      </c>
      <c r="D1802" t="s">
        <v>5</v>
      </c>
      <c r="F1802" t="str" cm="1">
        <f t="array" ref="F1802">CategorizeComment(E1802)</f>
        <v>Other</v>
      </c>
      <c r="G1802" t="str" cm="1">
        <f t="array" ref="G1802">SubCategorizeComment(E1802)</f>
        <v>Other</v>
      </c>
    </row>
    <row r="1803" spans="1:7" x14ac:dyDescent="0.25">
      <c r="A1803">
        <v>11193</v>
      </c>
      <c r="B1803" t="s">
        <v>4</v>
      </c>
      <c r="C1803">
        <v>4</v>
      </c>
      <c r="D1803" t="s">
        <v>5</v>
      </c>
      <c r="F1803" t="str" cm="1">
        <f t="array" ref="F1803">CategorizeComment(E1803)</f>
        <v>Other</v>
      </c>
      <c r="G1803" t="str" cm="1">
        <f t="array" ref="G1803">SubCategorizeComment(E1803)</f>
        <v>Other</v>
      </c>
    </row>
    <row r="1804" spans="1:7" x14ac:dyDescent="0.25">
      <c r="A1804">
        <v>11205</v>
      </c>
      <c r="B1804" t="s">
        <v>4</v>
      </c>
      <c r="C1804">
        <v>4</v>
      </c>
      <c r="D1804" t="s">
        <v>5</v>
      </c>
      <c r="F1804" t="str" cm="1">
        <f t="array" ref="F1804">CategorizeComment(E1804)</f>
        <v>Other</v>
      </c>
      <c r="G1804" t="str" cm="1">
        <f t="array" ref="G1804">SubCategorizeComment(E1804)</f>
        <v>Other</v>
      </c>
    </row>
    <row r="1805" spans="1:7" x14ac:dyDescent="0.25">
      <c r="A1805">
        <v>11211</v>
      </c>
      <c r="B1805" t="s">
        <v>4</v>
      </c>
      <c r="C1805">
        <v>4</v>
      </c>
      <c r="D1805" t="s">
        <v>5</v>
      </c>
      <c r="F1805" t="str" cm="1">
        <f t="array" ref="F1805">CategorizeComment(E1805)</f>
        <v>Other</v>
      </c>
      <c r="G1805" t="str" cm="1">
        <f t="array" ref="G1805">SubCategorizeComment(E1805)</f>
        <v>Other</v>
      </c>
    </row>
    <row r="1806" spans="1:7" x14ac:dyDescent="0.25">
      <c r="A1806">
        <v>11213</v>
      </c>
      <c r="B1806" t="s">
        <v>4</v>
      </c>
      <c r="C1806">
        <v>4</v>
      </c>
      <c r="D1806" t="s">
        <v>5</v>
      </c>
      <c r="F1806" t="str" cm="1">
        <f t="array" ref="F1806">CategorizeComment(E1806)</f>
        <v>Other</v>
      </c>
      <c r="G1806" t="str" cm="1">
        <f t="array" ref="G1806">SubCategorizeComment(E1806)</f>
        <v>Other</v>
      </c>
    </row>
    <row r="1807" spans="1:7" x14ac:dyDescent="0.25">
      <c r="A1807">
        <v>11219</v>
      </c>
      <c r="B1807" t="s">
        <v>4</v>
      </c>
      <c r="C1807">
        <v>3</v>
      </c>
      <c r="D1807" t="s">
        <v>5</v>
      </c>
      <c r="F1807" t="str" cm="1">
        <f t="array" ref="F1807">CategorizeComment(E1807)</f>
        <v>Other</v>
      </c>
      <c r="G1807" t="str" cm="1">
        <f t="array" ref="G1807">SubCategorizeComment(E1807)</f>
        <v>Other</v>
      </c>
    </row>
    <row r="1808" spans="1:7" x14ac:dyDescent="0.25">
      <c r="A1808">
        <v>11226</v>
      </c>
      <c r="B1808" t="s">
        <v>4</v>
      </c>
      <c r="C1808">
        <v>3</v>
      </c>
      <c r="D1808" t="s">
        <v>5</v>
      </c>
      <c r="F1808" t="str" cm="1">
        <f t="array" ref="F1808">CategorizeComment(E1808)</f>
        <v>Other</v>
      </c>
      <c r="G1808" t="str" cm="1">
        <f t="array" ref="G1808">SubCategorizeComment(E1808)</f>
        <v>Other</v>
      </c>
    </row>
    <row r="1809" spans="1:7" x14ac:dyDescent="0.25">
      <c r="A1809">
        <v>11230</v>
      </c>
      <c r="B1809" t="s">
        <v>4</v>
      </c>
      <c r="C1809">
        <v>3</v>
      </c>
      <c r="D1809" t="s">
        <v>5</v>
      </c>
      <c r="F1809" t="str" cm="1">
        <f t="array" ref="F1809">CategorizeComment(E1809)</f>
        <v>Other</v>
      </c>
      <c r="G1809" t="str" cm="1">
        <f t="array" ref="G1809">SubCategorizeComment(E1809)</f>
        <v>Other</v>
      </c>
    </row>
    <row r="1810" spans="1:7" x14ac:dyDescent="0.25">
      <c r="A1810">
        <v>11231</v>
      </c>
      <c r="B1810" t="s">
        <v>4</v>
      </c>
      <c r="C1810">
        <v>3</v>
      </c>
      <c r="D1810" t="s">
        <v>5</v>
      </c>
      <c r="F1810" t="str" cm="1">
        <f t="array" ref="F1810">CategorizeComment(E1810)</f>
        <v>Other</v>
      </c>
      <c r="G1810" t="str" cm="1">
        <f t="array" ref="G1810">SubCategorizeComment(E1810)</f>
        <v>Other</v>
      </c>
    </row>
    <row r="1811" spans="1:7" x14ac:dyDescent="0.25">
      <c r="A1811">
        <v>11235</v>
      </c>
      <c r="B1811" t="s">
        <v>4</v>
      </c>
      <c r="C1811">
        <v>4</v>
      </c>
      <c r="D1811" t="s">
        <v>5</v>
      </c>
      <c r="F1811" t="str" cm="1">
        <f t="array" ref="F1811">CategorizeComment(E1811)</f>
        <v>Other</v>
      </c>
      <c r="G1811" t="str" cm="1">
        <f t="array" ref="G1811">SubCategorizeComment(E1811)</f>
        <v>Other</v>
      </c>
    </row>
    <row r="1812" spans="1:7" x14ac:dyDescent="0.25">
      <c r="A1812">
        <v>11254</v>
      </c>
      <c r="B1812" t="s">
        <v>4</v>
      </c>
      <c r="C1812">
        <v>4</v>
      </c>
      <c r="D1812" t="s">
        <v>5</v>
      </c>
      <c r="F1812" t="str" cm="1">
        <f t="array" ref="F1812">CategorizeComment(E1812)</f>
        <v>Other</v>
      </c>
      <c r="G1812" t="str" cm="1">
        <f t="array" ref="G1812">SubCategorizeComment(E1812)</f>
        <v>Other</v>
      </c>
    </row>
    <row r="1813" spans="1:7" x14ac:dyDescent="0.25">
      <c r="A1813">
        <v>11259</v>
      </c>
      <c r="B1813" t="s">
        <v>4</v>
      </c>
      <c r="C1813">
        <v>4</v>
      </c>
      <c r="D1813" t="s">
        <v>5</v>
      </c>
      <c r="F1813" t="str" cm="1">
        <f t="array" ref="F1813">CategorizeComment(E1813)</f>
        <v>Other</v>
      </c>
      <c r="G1813" t="str" cm="1">
        <f t="array" ref="G1813">SubCategorizeComment(E1813)</f>
        <v>Other</v>
      </c>
    </row>
    <row r="1814" spans="1:7" x14ac:dyDescent="0.25">
      <c r="A1814">
        <v>11269</v>
      </c>
      <c r="B1814" t="s">
        <v>4</v>
      </c>
      <c r="C1814">
        <v>3</v>
      </c>
      <c r="D1814" t="s">
        <v>5</v>
      </c>
      <c r="F1814" t="str" cm="1">
        <f t="array" ref="F1814">CategorizeComment(E1814)</f>
        <v>Other</v>
      </c>
      <c r="G1814" t="str" cm="1">
        <f t="array" ref="G1814">SubCategorizeComment(E1814)</f>
        <v>Other</v>
      </c>
    </row>
    <row r="1815" spans="1:7" x14ac:dyDescent="0.25">
      <c r="A1815">
        <v>11292</v>
      </c>
      <c r="B1815" t="s">
        <v>4</v>
      </c>
      <c r="C1815">
        <v>4</v>
      </c>
      <c r="D1815" t="s">
        <v>5</v>
      </c>
      <c r="F1815" t="str" cm="1">
        <f t="array" ref="F1815">CategorizeComment(E1815)</f>
        <v>Other</v>
      </c>
      <c r="G1815" t="str" cm="1">
        <f t="array" ref="G1815">SubCategorizeComment(E1815)</f>
        <v>Other</v>
      </c>
    </row>
    <row r="1816" spans="1:7" x14ac:dyDescent="0.25">
      <c r="A1816">
        <v>11299</v>
      </c>
      <c r="B1816" t="s">
        <v>4</v>
      </c>
      <c r="C1816">
        <v>3</v>
      </c>
      <c r="D1816" t="s">
        <v>5</v>
      </c>
      <c r="F1816" t="str" cm="1">
        <f t="array" ref="F1816">CategorizeComment(E1816)</f>
        <v>Other</v>
      </c>
      <c r="G1816" t="str" cm="1">
        <f t="array" ref="G1816">SubCategorizeComment(E1816)</f>
        <v>Other</v>
      </c>
    </row>
    <row r="1817" spans="1:7" x14ac:dyDescent="0.25">
      <c r="A1817">
        <v>11304</v>
      </c>
      <c r="B1817" t="s">
        <v>4</v>
      </c>
      <c r="C1817">
        <v>3</v>
      </c>
      <c r="D1817" t="s">
        <v>5</v>
      </c>
      <c r="F1817" t="str" cm="1">
        <f t="array" ref="F1817">CategorizeComment(E1817)</f>
        <v>Other</v>
      </c>
      <c r="G1817" t="str" cm="1">
        <f t="array" ref="G1817">SubCategorizeComment(E1817)</f>
        <v>Other</v>
      </c>
    </row>
    <row r="1818" spans="1:7" x14ac:dyDescent="0.25">
      <c r="A1818">
        <v>11314</v>
      </c>
      <c r="B1818" t="s">
        <v>4</v>
      </c>
      <c r="C1818">
        <v>4</v>
      </c>
      <c r="D1818" t="s">
        <v>5</v>
      </c>
      <c r="F1818" t="str" cm="1">
        <f t="array" ref="F1818">CategorizeComment(E1818)</f>
        <v>Other</v>
      </c>
      <c r="G1818" t="str" cm="1">
        <f t="array" ref="G1818">SubCategorizeComment(E1818)</f>
        <v>Other</v>
      </c>
    </row>
    <row r="1819" spans="1:7" x14ac:dyDescent="0.25">
      <c r="A1819">
        <v>11315</v>
      </c>
      <c r="B1819" t="s">
        <v>4</v>
      </c>
      <c r="C1819">
        <v>4</v>
      </c>
      <c r="D1819" t="s">
        <v>5</v>
      </c>
      <c r="F1819" t="str" cm="1">
        <f t="array" ref="F1819">CategorizeComment(E1819)</f>
        <v>Other</v>
      </c>
      <c r="G1819" t="str" cm="1">
        <f t="array" ref="G1819">SubCategorizeComment(E1819)</f>
        <v>Other</v>
      </c>
    </row>
    <row r="1820" spans="1:7" x14ac:dyDescent="0.25">
      <c r="A1820">
        <v>11320</v>
      </c>
      <c r="B1820" t="s">
        <v>4</v>
      </c>
      <c r="C1820">
        <v>4</v>
      </c>
      <c r="D1820" t="s">
        <v>5</v>
      </c>
      <c r="F1820" t="str" cm="1">
        <f t="array" ref="F1820">CategorizeComment(E1820)</f>
        <v>Other</v>
      </c>
      <c r="G1820" t="str" cm="1">
        <f t="array" ref="G1820">SubCategorizeComment(E1820)</f>
        <v>Other</v>
      </c>
    </row>
    <row r="1821" spans="1:7" x14ac:dyDescent="0.25">
      <c r="A1821">
        <v>11339</v>
      </c>
      <c r="B1821" t="s">
        <v>4</v>
      </c>
      <c r="C1821">
        <v>3</v>
      </c>
      <c r="D1821" t="s">
        <v>5</v>
      </c>
      <c r="F1821" t="str" cm="1">
        <f t="array" ref="F1821">CategorizeComment(E1821)</f>
        <v>Other</v>
      </c>
      <c r="G1821" t="str" cm="1">
        <f t="array" ref="G1821">SubCategorizeComment(E1821)</f>
        <v>Other</v>
      </c>
    </row>
    <row r="1822" spans="1:7" x14ac:dyDescent="0.25">
      <c r="A1822">
        <v>11342</v>
      </c>
      <c r="B1822" t="s">
        <v>4</v>
      </c>
      <c r="C1822">
        <v>4</v>
      </c>
      <c r="D1822" t="s">
        <v>5</v>
      </c>
      <c r="F1822" t="str" cm="1">
        <f t="array" ref="F1822">CategorizeComment(E1822)</f>
        <v>Other</v>
      </c>
      <c r="G1822" t="str" cm="1">
        <f t="array" ref="G1822">SubCategorizeComment(E1822)</f>
        <v>Other</v>
      </c>
    </row>
    <row r="1823" spans="1:7" x14ac:dyDescent="0.25">
      <c r="A1823">
        <v>11344</v>
      </c>
      <c r="B1823" t="s">
        <v>4</v>
      </c>
      <c r="C1823">
        <v>4</v>
      </c>
      <c r="D1823" t="s">
        <v>5</v>
      </c>
      <c r="F1823" t="str" cm="1">
        <f t="array" ref="F1823">CategorizeComment(E1823)</f>
        <v>Other</v>
      </c>
      <c r="G1823" t="str" cm="1">
        <f t="array" ref="G1823">SubCategorizeComment(E1823)</f>
        <v>Other</v>
      </c>
    </row>
    <row r="1824" spans="1:7" x14ac:dyDescent="0.25">
      <c r="A1824">
        <v>11351</v>
      </c>
      <c r="B1824" t="s">
        <v>4</v>
      </c>
      <c r="C1824">
        <v>4</v>
      </c>
      <c r="D1824" t="s">
        <v>5</v>
      </c>
      <c r="F1824" t="str" cm="1">
        <f t="array" ref="F1824">CategorizeComment(E1824)</f>
        <v>Other</v>
      </c>
      <c r="G1824" t="str" cm="1">
        <f t="array" ref="G1824">SubCategorizeComment(E1824)</f>
        <v>Other</v>
      </c>
    </row>
    <row r="1825" spans="1:7" x14ac:dyDescent="0.25">
      <c r="A1825">
        <v>11366</v>
      </c>
      <c r="B1825" t="s">
        <v>4</v>
      </c>
      <c r="C1825">
        <v>3</v>
      </c>
      <c r="D1825" t="s">
        <v>5</v>
      </c>
      <c r="F1825" t="str" cm="1">
        <f t="array" ref="F1825">CategorizeComment(E1825)</f>
        <v>Other</v>
      </c>
      <c r="G1825" t="str" cm="1">
        <f t="array" ref="G1825">SubCategorizeComment(E1825)</f>
        <v>Other</v>
      </c>
    </row>
    <row r="1826" spans="1:7" x14ac:dyDescent="0.25">
      <c r="A1826">
        <v>11397</v>
      </c>
      <c r="B1826" t="s">
        <v>4</v>
      </c>
      <c r="C1826">
        <v>3</v>
      </c>
      <c r="D1826" t="s">
        <v>5</v>
      </c>
      <c r="F1826" t="str" cm="1">
        <f t="array" ref="F1826">CategorizeComment(E1826)</f>
        <v>Other</v>
      </c>
      <c r="G1826" t="str" cm="1">
        <f t="array" ref="G1826">SubCategorizeComment(E1826)</f>
        <v>Other</v>
      </c>
    </row>
    <row r="1827" spans="1:7" x14ac:dyDescent="0.25">
      <c r="A1827">
        <v>11421</v>
      </c>
      <c r="B1827" t="s">
        <v>4</v>
      </c>
      <c r="C1827">
        <v>3</v>
      </c>
      <c r="D1827" t="s">
        <v>5</v>
      </c>
      <c r="F1827" t="str" cm="1">
        <f t="array" ref="F1827">CategorizeComment(E1827)</f>
        <v>Other</v>
      </c>
      <c r="G1827" t="str" cm="1">
        <f t="array" ref="G1827">SubCategorizeComment(E1827)</f>
        <v>Other</v>
      </c>
    </row>
    <row r="1828" spans="1:7" x14ac:dyDescent="0.25">
      <c r="A1828">
        <v>11426</v>
      </c>
      <c r="B1828" t="s">
        <v>4</v>
      </c>
      <c r="C1828">
        <v>4</v>
      </c>
      <c r="D1828" t="s">
        <v>5</v>
      </c>
      <c r="F1828" t="str" cm="1">
        <f t="array" ref="F1828">CategorizeComment(E1828)</f>
        <v>Other</v>
      </c>
      <c r="G1828" t="str" cm="1">
        <f t="array" ref="G1828">SubCategorizeComment(E1828)</f>
        <v>Other</v>
      </c>
    </row>
    <row r="1829" spans="1:7" x14ac:dyDescent="0.25">
      <c r="A1829">
        <v>11431</v>
      </c>
      <c r="B1829" t="s">
        <v>4</v>
      </c>
      <c r="C1829">
        <v>4</v>
      </c>
      <c r="D1829" t="s">
        <v>5</v>
      </c>
      <c r="F1829" t="str" cm="1">
        <f t="array" ref="F1829">CategorizeComment(E1829)</f>
        <v>Other</v>
      </c>
      <c r="G1829" t="str" cm="1">
        <f t="array" ref="G1829">SubCategorizeComment(E1829)</f>
        <v>Other</v>
      </c>
    </row>
    <row r="1830" spans="1:7" x14ac:dyDescent="0.25">
      <c r="A1830">
        <v>11432</v>
      </c>
      <c r="B1830" t="s">
        <v>4</v>
      </c>
      <c r="C1830">
        <v>3</v>
      </c>
      <c r="D1830" t="s">
        <v>5</v>
      </c>
      <c r="F1830" t="str" cm="1">
        <f t="array" ref="F1830">CategorizeComment(E1830)</f>
        <v>Other</v>
      </c>
      <c r="G1830" t="str" cm="1">
        <f t="array" ref="G1830">SubCategorizeComment(E1830)</f>
        <v>Other</v>
      </c>
    </row>
    <row r="1831" spans="1:7" x14ac:dyDescent="0.25">
      <c r="A1831">
        <v>11439</v>
      </c>
      <c r="B1831" t="s">
        <v>4</v>
      </c>
      <c r="C1831">
        <v>3</v>
      </c>
      <c r="D1831" t="s">
        <v>5</v>
      </c>
      <c r="F1831" t="str" cm="1">
        <f t="array" ref="F1831">CategorizeComment(E1831)</f>
        <v>Other</v>
      </c>
      <c r="G1831" t="str" cm="1">
        <f t="array" ref="G1831">SubCategorizeComment(E1831)</f>
        <v>Other</v>
      </c>
    </row>
    <row r="1832" spans="1:7" x14ac:dyDescent="0.25">
      <c r="A1832">
        <v>11456</v>
      </c>
      <c r="B1832" t="s">
        <v>4</v>
      </c>
      <c r="C1832">
        <v>4</v>
      </c>
      <c r="D1832" t="s">
        <v>5</v>
      </c>
      <c r="F1832" t="str" cm="1">
        <f t="array" ref="F1832">CategorizeComment(E1832)</f>
        <v>Other</v>
      </c>
      <c r="G1832" t="str" cm="1">
        <f t="array" ref="G1832">SubCategorizeComment(E1832)</f>
        <v>Other</v>
      </c>
    </row>
    <row r="1833" spans="1:7" x14ac:dyDescent="0.25">
      <c r="A1833">
        <v>11457</v>
      </c>
      <c r="B1833" t="s">
        <v>4</v>
      </c>
      <c r="C1833">
        <v>3</v>
      </c>
      <c r="D1833" t="s">
        <v>5</v>
      </c>
      <c r="F1833" t="str" cm="1">
        <f t="array" ref="F1833">CategorizeComment(E1833)</f>
        <v>Other</v>
      </c>
      <c r="G1833" t="str" cm="1">
        <f t="array" ref="G1833">SubCategorizeComment(E1833)</f>
        <v>Other</v>
      </c>
    </row>
    <row r="1834" spans="1:7" x14ac:dyDescent="0.25">
      <c r="A1834">
        <v>11464</v>
      </c>
      <c r="B1834" t="s">
        <v>4</v>
      </c>
      <c r="C1834">
        <v>4</v>
      </c>
      <c r="D1834" t="s">
        <v>5</v>
      </c>
      <c r="F1834" t="str" cm="1">
        <f t="array" ref="F1834">CategorizeComment(E1834)</f>
        <v>Other</v>
      </c>
      <c r="G1834" t="str" cm="1">
        <f t="array" ref="G1834">SubCategorizeComment(E1834)</f>
        <v>Other</v>
      </c>
    </row>
    <row r="1835" spans="1:7" x14ac:dyDescent="0.25">
      <c r="A1835">
        <v>11472</v>
      </c>
      <c r="B1835" t="s">
        <v>4</v>
      </c>
      <c r="C1835">
        <v>3</v>
      </c>
      <c r="D1835" t="s">
        <v>5</v>
      </c>
      <c r="F1835" t="str" cm="1">
        <f t="array" ref="F1835">CategorizeComment(E1835)</f>
        <v>Other</v>
      </c>
      <c r="G1835" t="str" cm="1">
        <f t="array" ref="G1835">SubCategorizeComment(E1835)</f>
        <v>Other</v>
      </c>
    </row>
    <row r="1836" spans="1:7" x14ac:dyDescent="0.25">
      <c r="A1836">
        <v>11481</v>
      </c>
      <c r="B1836" t="s">
        <v>4</v>
      </c>
      <c r="C1836">
        <v>4</v>
      </c>
      <c r="D1836" t="s">
        <v>5</v>
      </c>
      <c r="F1836" t="str" cm="1">
        <f t="array" ref="F1836">CategorizeComment(E1836)</f>
        <v>Other</v>
      </c>
      <c r="G1836" t="str" cm="1">
        <f t="array" ref="G1836">SubCategorizeComment(E1836)</f>
        <v>Other</v>
      </c>
    </row>
    <row r="1837" spans="1:7" x14ac:dyDescent="0.25">
      <c r="A1837">
        <v>11494</v>
      </c>
      <c r="B1837" t="s">
        <v>4</v>
      </c>
      <c r="C1837">
        <v>3</v>
      </c>
      <c r="D1837" t="s">
        <v>5</v>
      </c>
      <c r="F1837" t="str" cm="1">
        <f t="array" ref="F1837">CategorizeComment(E1837)</f>
        <v>Other</v>
      </c>
      <c r="G1837" t="str" cm="1">
        <f t="array" ref="G1837">SubCategorizeComment(E1837)</f>
        <v>Other</v>
      </c>
    </row>
    <row r="1838" spans="1:7" x14ac:dyDescent="0.25">
      <c r="A1838">
        <v>11533</v>
      </c>
      <c r="B1838" t="s">
        <v>4</v>
      </c>
      <c r="C1838">
        <v>4</v>
      </c>
      <c r="D1838" t="s">
        <v>5</v>
      </c>
      <c r="F1838" t="str" cm="1">
        <f t="array" ref="F1838">CategorizeComment(E1838)</f>
        <v>Other</v>
      </c>
      <c r="G1838" t="str" cm="1">
        <f t="array" ref="G1838">SubCategorizeComment(E1838)</f>
        <v>Other</v>
      </c>
    </row>
    <row r="1839" spans="1:7" x14ac:dyDescent="0.25">
      <c r="A1839">
        <v>11536</v>
      </c>
      <c r="B1839" t="s">
        <v>4</v>
      </c>
      <c r="C1839">
        <v>4</v>
      </c>
      <c r="D1839" t="s">
        <v>5</v>
      </c>
      <c r="F1839" t="str" cm="1">
        <f t="array" ref="F1839">CategorizeComment(E1839)</f>
        <v>Other</v>
      </c>
      <c r="G1839" t="str" cm="1">
        <f t="array" ref="G1839">SubCategorizeComment(E1839)</f>
        <v>Other</v>
      </c>
    </row>
    <row r="1840" spans="1:7" x14ac:dyDescent="0.25">
      <c r="A1840">
        <v>11561</v>
      </c>
      <c r="B1840" t="s">
        <v>4</v>
      </c>
      <c r="C1840">
        <v>4</v>
      </c>
      <c r="D1840" t="s">
        <v>5</v>
      </c>
      <c r="F1840" t="str" cm="1">
        <f t="array" ref="F1840">CategorizeComment(E1840)</f>
        <v>Other</v>
      </c>
      <c r="G1840" t="str" cm="1">
        <f t="array" ref="G1840">SubCategorizeComment(E1840)</f>
        <v>Other</v>
      </c>
    </row>
    <row r="1841" spans="1:7" x14ac:dyDescent="0.25">
      <c r="A1841">
        <v>11573</v>
      </c>
      <c r="B1841" t="s">
        <v>4</v>
      </c>
      <c r="C1841">
        <v>4</v>
      </c>
      <c r="D1841" t="s">
        <v>5</v>
      </c>
      <c r="F1841" t="str" cm="1">
        <f t="array" ref="F1841">CategorizeComment(E1841)</f>
        <v>Other</v>
      </c>
      <c r="G1841" t="str" cm="1">
        <f t="array" ref="G1841">SubCategorizeComment(E1841)</f>
        <v>Other</v>
      </c>
    </row>
    <row r="1842" spans="1:7" x14ac:dyDescent="0.25">
      <c r="A1842">
        <v>11578</v>
      </c>
      <c r="B1842" t="s">
        <v>4</v>
      </c>
      <c r="C1842">
        <v>3</v>
      </c>
      <c r="D1842" t="s">
        <v>5</v>
      </c>
      <c r="F1842" t="str" cm="1">
        <f t="array" ref="F1842">CategorizeComment(E1842)</f>
        <v>Other</v>
      </c>
      <c r="G1842" t="str" cm="1">
        <f t="array" ref="G1842">SubCategorizeComment(E1842)</f>
        <v>Other</v>
      </c>
    </row>
    <row r="1843" spans="1:7" x14ac:dyDescent="0.25">
      <c r="A1843">
        <v>11587</v>
      </c>
      <c r="B1843" t="s">
        <v>4</v>
      </c>
      <c r="C1843">
        <v>4</v>
      </c>
      <c r="D1843" t="s">
        <v>5</v>
      </c>
      <c r="F1843" t="str" cm="1">
        <f t="array" ref="F1843">CategorizeComment(E1843)</f>
        <v>Other</v>
      </c>
      <c r="G1843" t="str" cm="1">
        <f t="array" ref="G1843">SubCategorizeComment(E1843)</f>
        <v>Other</v>
      </c>
    </row>
    <row r="1844" spans="1:7" x14ac:dyDescent="0.25">
      <c r="A1844">
        <v>11590</v>
      </c>
      <c r="B1844" t="s">
        <v>4</v>
      </c>
      <c r="C1844">
        <v>4</v>
      </c>
      <c r="D1844" t="s">
        <v>5</v>
      </c>
      <c r="F1844" t="str" cm="1">
        <f t="array" ref="F1844">CategorizeComment(E1844)</f>
        <v>Other</v>
      </c>
      <c r="G1844" t="str" cm="1">
        <f t="array" ref="G1844">SubCategorizeComment(E1844)</f>
        <v>Other</v>
      </c>
    </row>
    <row r="1845" spans="1:7" x14ac:dyDescent="0.25">
      <c r="A1845">
        <v>11594</v>
      </c>
      <c r="B1845" t="s">
        <v>4</v>
      </c>
      <c r="C1845">
        <v>3</v>
      </c>
      <c r="D1845" t="s">
        <v>5</v>
      </c>
      <c r="F1845" t="str" cm="1">
        <f t="array" ref="F1845">CategorizeComment(E1845)</f>
        <v>Other</v>
      </c>
      <c r="G1845" t="str" cm="1">
        <f t="array" ref="G1845">SubCategorizeComment(E1845)</f>
        <v>Other</v>
      </c>
    </row>
    <row r="1846" spans="1:7" x14ac:dyDescent="0.25">
      <c r="A1846">
        <v>11600</v>
      </c>
      <c r="B1846" t="s">
        <v>4</v>
      </c>
      <c r="C1846">
        <v>3</v>
      </c>
      <c r="D1846" t="s">
        <v>5</v>
      </c>
      <c r="F1846" t="str" cm="1">
        <f t="array" ref="F1846">CategorizeComment(E1846)</f>
        <v>Other</v>
      </c>
      <c r="G1846" t="str" cm="1">
        <f t="array" ref="G1846">SubCategorizeComment(E1846)</f>
        <v>Other</v>
      </c>
    </row>
    <row r="1847" spans="1:7" x14ac:dyDescent="0.25">
      <c r="A1847">
        <v>11604</v>
      </c>
      <c r="B1847" t="s">
        <v>4</v>
      </c>
      <c r="C1847">
        <v>3</v>
      </c>
      <c r="D1847" t="s">
        <v>5</v>
      </c>
      <c r="F1847" t="str" cm="1">
        <f t="array" ref="F1847">CategorizeComment(E1847)</f>
        <v>Other</v>
      </c>
      <c r="G1847" t="str" cm="1">
        <f t="array" ref="G1847">SubCategorizeComment(E1847)</f>
        <v>Other</v>
      </c>
    </row>
    <row r="1848" spans="1:7" x14ac:dyDescent="0.25">
      <c r="A1848">
        <v>11612</v>
      </c>
      <c r="B1848" t="s">
        <v>4</v>
      </c>
      <c r="C1848">
        <v>4</v>
      </c>
      <c r="D1848" t="s">
        <v>5</v>
      </c>
      <c r="F1848" t="str" cm="1">
        <f t="array" ref="F1848">CategorizeComment(E1848)</f>
        <v>Other</v>
      </c>
      <c r="G1848" t="str" cm="1">
        <f t="array" ref="G1848">SubCategorizeComment(E1848)</f>
        <v>Other</v>
      </c>
    </row>
    <row r="1849" spans="1:7" x14ac:dyDescent="0.25">
      <c r="A1849">
        <v>11620</v>
      </c>
      <c r="B1849" t="s">
        <v>4</v>
      </c>
      <c r="C1849">
        <v>3</v>
      </c>
      <c r="D1849" t="s">
        <v>5</v>
      </c>
      <c r="F1849" t="str" cm="1">
        <f t="array" ref="F1849">CategorizeComment(E1849)</f>
        <v>Other</v>
      </c>
      <c r="G1849" t="str" cm="1">
        <f t="array" ref="G1849">SubCategorizeComment(E1849)</f>
        <v>Other</v>
      </c>
    </row>
    <row r="1850" spans="1:7" x14ac:dyDescent="0.25">
      <c r="A1850">
        <v>11671</v>
      </c>
      <c r="B1850" t="s">
        <v>4</v>
      </c>
      <c r="C1850">
        <v>3</v>
      </c>
      <c r="D1850" t="s">
        <v>5</v>
      </c>
      <c r="F1850" t="str" cm="1">
        <f t="array" ref="F1850">CategorizeComment(E1850)</f>
        <v>Other</v>
      </c>
      <c r="G1850" t="str" cm="1">
        <f t="array" ref="G1850">SubCategorizeComment(E1850)</f>
        <v>Other</v>
      </c>
    </row>
    <row r="1851" spans="1:7" x14ac:dyDescent="0.25">
      <c r="A1851">
        <v>11737</v>
      </c>
      <c r="B1851" t="s">
        <v>4</v>
      </c>
      <c r="C1851">
        <v>3</v>
      </c>
      <c r="D1851" t="s">
        <v>5</v>
      </c>
      <c r="F1851" t="str" cm="1">
        <f t="array" ref="F1851">CategorizeComment(E1851)</f>
        <v>Other</v>
      </c>
      <c r="G1851" t="str" cm="1">
        <f t="array" ref="G1851">SubCategorizeComment(E1851)</f>
        <v>Other</v>
      </c>
    </row>
    <row r="1852" spans="1:7" x14ac:dyDescent="0.25">
      <c r="A1852">
        <v>11738</v>
      </c>
      <c r="B1852" t="s">
        <v>4</v>
      </c>
      <c r="C1852">
        <v>4</v>
      </c>
      <c r="D1852" t="s">
        <v>5</v>
      </c>
      <c r="F1852" t="str" cm="1">
        <f t="array" ref="F1852">CategorizeComment(E1852)</f>
        <v>Other</v>
      </c>
      <c r="G1852" t="str" cm="1">
        <f t="array" ref="G1852">SubCategorizeComment(E1852)</f>
        <v>Other</v>
      </c>
    </row>
    <row r="1853" spans="1:7" x14ac:dyDescent="0.25">
      <c r="A1853">
        <v>11741</v>
      </c>
      <c r="B1853" t="s">
        <v>4</v>
      </c>
      <c r="C1853">
        <v>3</v>
      </c>
      <c r="D1853" t="s">
        <v>5</v>
      </c>
      <c r="F1853" t="str" cm="1">
        <f t="array" ref="F1853">CategorizeComment(E1853)</f>
        <v>Other</v>
      </c>
      <c r="G1853" t="str" cm="1">
        <f t="array" ref="G1853">SubCategorizeComment(E1853)</f>
        <v>Other</v>
      </c>
    </row>
    <row r="1854" spans="1:7" x14ac:dyDescent="0.25">
      <c r="A1854">
        <v>11743</v>
      </c>
      <c r="B1854" t="s">
        <v>4</v>
      </c>
      <c r="C1854">
        <v>4</v>
      </c>
      <c r="D1854" t="s">
        <v>5</v>
      </c>
      <c r="F1854" t="str" cm="1">
        <f t="array" ref="F1854">CategorizeComment(E1854)</f>
        <v>Other</v>
      </c>
      <c r="G1854" t="str" cm="1">
        <f t="array" ref="G1854">SubCategorizeComment(E1854)</f>
        <v>Other</v>
      </c>
    </row>
    <row r="1855" spans="1:7" x14ac:dyDescent="0.25">
      <c r="A1855">
        <v>11744</v>
      </c>
      <c r="B1855" t="s">
        <v>4</v>
      </c>
      <c r="C1855">
        <v>4</v>
      </c>
      <c r="D1855" t="s">
        <v>5</v>
      </c>
      <c r="F1855" t="str" cm="1">
        <f t="array" ref="F1855">CategorizeComment(E1855)</f>
        <v>Other</v>
      </c>
      <c r="G1855" t="str" cm="1">
        <f t="array" ref="G1855">SubCategorizeComment(E1855)</f>
        <v>Other</v>
      </c>
    </row>
    <row r="1856" spans="1:7" x14ac:dyDescent="0.25">
      <c r="A1856">
        <v>11745</v>
      </c>
      <c r="B1856" t="s">
        <v>4</v>
      </c>
      <c r="C1856">
        <v>4</v>
      </c>
      <c r="D1856" t="s">
        <v>5</v>
      </c>
      <c r="F1856" t="str" cm="1">
        <f t="array" ref="F1856">CategorizeComment(E1856)</f>
        <v>Other</v>
      </c>
      <c r="G1856" t="str" cm="1">
        <f t="array" ref="G1856">SubCategorizeComment(E1856)</f>
        <v>Other</v>
      </c>
    </row>
    <row r="1857" spans="1:7" x14ac:dyDescent="0.25">
      <c r="A1857">
        <v>11753</v>
      </c>
      <c r="B1857" t="s">
        <v>4</v>
      </c>
      <c r="C1857">
        <v>3</v>
      </c>
      <c r="D1857" t="s">
        <v>5</v>
      </c>
      <c r="F1857" t="str" cm="1">
        <f t="array" ref="F1857">CategorizeComment(E1857)</f>
        <v>Other</v>
      </c>
      <c r="G1857" t="str" cm="1">
        <f t="array" ref="G1857">SubCategorizeComment(E1857)</f>
        <v>Other</v>
      </c>
    </row>
    <row r="1858" spans="1:7" x14ac:dyDescent="0.25">
      <c r="A1858">
        <v>11754</v>
      </c>
      <c r="B1858" t="s">
        <v>4</v>
      </c>
      <c r="C1858">
        <v>3</v>
      </c>
      <c r="D1858" t="s">
        <v>5</v>
      </c>
      <c r="F1858" t="str" cm="1">
        <f t="array" ref="F1858">CategorizeComment(E1858)</f>
        <v>Other</v>
      </c>
      <c r="G1858" t="str" cm="1">
        <f t="array" ref="G1858">SubCategorizeComment(E1858)</f>
        <v>Other</v>
      </c>
    </row>
    <row r="1859" spans="1:7" x14ac:dyDescent="0.25">
      <c r="A1859">
        <v>11764</v>
      </c>
      <c r="B1859" t="s">
        <v>4</v>
      </c>
      <c r="C1859">
        <v>4</v>
      </c>
      <c r="D1859" t="s">
        <v>5</v>
      </c>
      <c r="F1859" t="str" cm="1">
        <f t="array" ref="F1859">CategorizeComment(E1859)</f>
        <v>Other</v>
      </c>
      <c r="G1859" t="str" cm="1">
        <f t="array" ref="G1859">SubCategorizeComment(E1859)</f>
        <v>Other</v>
      </c>
    </row>
    <row r="1860" spans="1:7" x14ac:dyDescent="0.25">
      <c r="A1860">
        <v>11784</v>
      </c>
      <c r="B1860" t="s">
        <v>4</v>
      </c>
      <c r="C1860">
        <v>3</v>
      </c>
      <c r="D1860" t="s">
        <v>5</v>
      </c>
      <c r="F1860" t="str" cm="1">
        <f t="array" ref="F1860">CategorizeComment(E1860)</f>
        <v>Other</v>
      </c>
      <c r="G1860" t="str" cm="1">
        <f t="array" ref="G1860">SubCategorizeComment(E1860)</f>
        <v>Other</v>
      </c>
    </row>
    <row r="1861" spans="1:7" x14ac:dyDescent="0.25">
      <c r="A1861">
        <v>11794</v>
      </c>
      <c r="B1861" t="s">
        <v>4</v>
      </c>
      <c r="C1861">
        <v>3</v>
      </c>
      <c r="D1861" t="s">
        <v>5</v>
      </c>
      <c r="F1861" t="str" cm="1">
        <f t="array" ref="F1861">CategorizeComment(E1861)</f>
        <v>Other</v>
      </c>
      <c r="G1861" t="str" cm="1">
        <f t="array" ref="G1861">SubCategorizeComment(E1861)</f>
        <v>Other</v>
      </c>
    </row>
    <row r="1862" spans="1:7" x14ac:dyDescent="0.25">
      <c r="A1862">
        <v>11800</v>
      </c>
      <c r="B1862" t="s">
        <v>4</v>
      </c>
      <c r="C1862">
        <v>4</v>
      </c>
      <c r="D1862" t="s">
        <v>5</v>
      </c>
      <c r="F1862" t="str" cm="1">
        <f t="array" ref="F1862">CategorizeComment(E1862)</f>
        <v>Other</v>
      </c>
      <c r="G1862" t="str" cm="1">
        <f t="array" ref="G1862">SubCategorizeComment(E1862)</f>
        <v>Other</v>
      </c>
    </row>
    <row r="1863" spans="1:7" x14ac:dyDescent="0.25">
      <c r="A1863">
        <v>11802</v>
      </c>
      <c r="B1863" t="s">
        <v>4</v>
      </c>
      <c r="C1863">
        <v>3</v>
      </c>
      <c r="D1863" t="s">
        <v>5</v>
      </c>
      <c r="F1863" t="str" cm="1">
        <f t="array" ref="F1863">CategorizeComment(E1863)</f>
        <v>Other</v>
      </c>
      <c r="G1863" t="str" cm="1">
        <f t="array" ref="G1863">SubCategorizeComment(E1863)</f>
        <v>Other</v>
      </c>
    </row>
    <row r="1864" spans="1:7" x14ac:dyDescent="0.25">
      <c r="A1864">
        <v>11808</v>
      </c>
      <c r="B1864" t="s">
        <v>4</v>
      </c>
      <c r="C1864">
        <v>4</v>
      </c>
      <c r="D1864" t="s">
        <v>5</v>
      </c>
      <c r="F1864" t="str" cm="1">
        <f t="array" ref="F1864">CategorizeComment(E1864)</f>
        <v>Other</v>
      </c>
      <c r="G1864" t="str" cm="1">
        <f t="array" ref="G1864">SubCategorizeComment(E1864)</f>
        <v>Other</v>
      </c>
    </row>
    <row r="1865" spans="1:7" x14ac:dyDescent="0.25">
      <c r="A1865">
        <v>11809</v>
      </c>
      <c r="B1865" t="s">
        <v>4</v>
      </c>
      <c r="C1865">
        <v>3</v>
      </c>
      <c r="D1865" t="s">
        <v>5</v>
      </c>
      <c r="F1865" t="str" cm="1">
        <f t="array" ref="F1865">CategorizeComment(E1865)</f>
        <v>Other</v>
      </c>
      <c r="G1865" t="str" cm="1">
        <f t="array" ref="G1865">SubCategorizeComment(E1865)</f>
        <v>Other</v>
      </c>
    </row>
    <row r="1866" spans="1:7" x14ac:dyDescent="0.25">
      <c r="A1866">
        <v>11848</v>
      </c>
      <c r="B1866" t="s">
        <v>4</v>
      </c>
      <c r="C1866">
        <v>4</v>
      </c>
      <c r="D1866" t="s">
        <v>5</v>
      </c>
      <c r="F1866" t="str" cm="1">
        <f t="array" ref="F1866">CategorizeComment(E1866)</f>
        <v>Other</v>
      </c>
      <c r="G1866" t="str" cm="1">
        <f t="array" ref="G1866">SubCategorizeComment(E1866)</f>
        <v>Other</v>
      </c>
    </row>
    <row r="1867" spans="1:7" x14ac:dyDescent="0.25">
      <c r="A1867">
        <v>11856</v>
      </c>
      <c r="B1867" t="s">
        <v>4</v>
      </c>
      <c r="C1867">
        <v>3</v>
      </c>
      <c r="D1867" t="s">
        <v>5</v>
      </c>
      <c r="F1867" t="str" cm="1">
        <f t="array" ref="F1867">CategorizeComment(E1867)</f>
        <v>Other</v>
      </c>
      <c r="G1867" t="str" cm="1">
        <f t="array" ref="G1867">SubCategorizeComment(E1867)</f>
        <v>Other</v>
      </c>
    </row>
    <row r="1868" spans="1:7" x14ac:dyDescent="0.25">
      <c r="A1868">
        <v>11867</v>
      </c>
      <c r="B1868" t="s">
        <v>4</v>
      </c>
      <c r="C1868">
        <v>4</v>
      </c>
      <c r="D1868" t="s">
        <v>5</v>
      </c>
      <c r="F1868" t="str" cm="1">
        <f t="array" ref="F1868">CategorizeComment(E1868)</f>
        <v>Other</v>
      </c>
      <c r="G1868" t="str" cm="1">
        <f t="array" ref="G1868">SubCategorizeComment(E1868)</f>
        <v>Other</v>
      </c>
    </row>
    <row r="1869" spans="1:7" x14ac:dyDescent="0.25">
      <c r="A1869">
        <v>11918</v>
      </c>
      <c r="B1869" t="s">
        <v>4</v>
      </c>
      <c r="C1869">
        <v>3</v>
      </c>
      <c r="D1869" t="s">
        <v>5</v>
      </c>
      <c r="F1869" t="str" cm="1">
        <f t="array" ref="F1869">CategorizeComment(E1869)</f>
        <v>Other</v>
      </c>
      <c r="G1869" t="str" cm="1">
        <f t="array" ref="G1869">SubCategorizeComment(E1869)</f>
        <v>Other</v>
      </c>
    </row>
    <row r="1870" spans="1:7" x14ac:dyDescent="0.25">
      <c r="A1870">
        <v>11929</v>
      </c>
      <c r="B1870" t="s">
        <v>4</v>
      </c>
      <c r="C1870">
        <v>4</v>
      </c>
      <c r="D1870" t="s">
        <v>5</v>
      </c>
      <c r="F1870" t="str" cm="1">
        <f t="array" ref="F1870">CategorizeComment(E1870)</f>
        <v>Other</v>
      </c>
      <c r="G1870" t="str" cm="1">
        <f t="array" ref="G1870">SubCategorizeComment(E1870)</f>
        <v>Other</v>
      </c>
    </row>
    <row r="1871" spans="1:7" x14ac:dyDescent="0.25">
      <c r="A1871">
        <v>11940</v>
      </c>
      <c r="B1871" t="s">
        <v>4</v>
      </c>
      <c r="C1871">
        <v>3</v>
      </c>
      <c r="D1871" t="s">
        <v>5</v>
      </c>
      <c r="F1871" t="str" cm="1">
        <f t="array" ref="F1871">CategorizeComment(E1871)</f>
        <v>Other</v>
      </c>
      <c r="G1871" t="str" cm="1">
        <f t="array" ref="G1871">SubCategorizeComment(E1871)</f>
        <v>Other</v>
      </c>
    </row>
    <row r="1872" spans="1:7" x14ac:dyDescent="0.25">
      <c r="A1872">
        <v>11942</v>
      </c>
      <c r="B1872" t="s">
        <v>4</v>
      </c>
      <c r="C1872">
        <v>3</v>
      </c>
      <c r="D1872" t="s">
        <v>5</v>
      </c>
      <c r="F1872" t="str" cm="1">
        <f t="array" ref="F1872">CategorizeComment(E1872)</f>
        <v>Other</v>
      </c>
      <c r="G1872" t="str" cm="1">
        <f t="array" ref="G1872">SubCategorizeComment(E1872)</f>
        <v>Other</v>
      </c>
    </row>
    <row r="1873" spans="1:7" x14ac:dyDescent="0.25">
      <c r="A1873">
        <v>11947</v>
      </c>
      <c r="B1873" t="s">
        <v>4</v>
      </c>
      <c r="C1873">
        <v>4</v>
      </c>
      <c r="D1873" t="s">
        <v>5</v>
      </c>
      <c r="F1873" t="str" cm="1">
        <f t="array" ref="F1873">CategorizeComment(E1873)</f>
        <v>Other</v>
      </c>
      <c r="G1873" t="str" cm="1">
        <f t="array" ref="G1873">SubCategorizeComment(E1873)</f>
        <v>Other</v>
      </c>
    </row>
    <row r="1874" spans="1:7" x14ac:dyDescent="0.25">
      <c r="A1874">
        <v>11953</v>
      </c>
      <c r="B1874" t="s">
        <v>4</v>
      </c>
      <c r="C1874">
        <v>3</v>
      </c>
      <c r="D1874" t="s">
        <v>5</v>
      </c>
      <c r="F1874" t="str" cm="1">
        <f t="array" ref="F1874">CategorizeComment(E1874)</f>
        <v>Other</v>
      </c>
      <c r="G1874" t="str" cm="1">
        <f t="array" ref="G1874">SubCategorizeComment(E1874)</f>
        <v>Other</v>
      </c>
    </row>
    <row r="1875" spans="1:7" x14ac:dyDescent="0.25">
      <c r="A1875">
        <v>11990</v>
      </c>
      <c r="B1875" t="s">
        <v>4</v>
      </c>
      <c r="C1875">
        <v>3</v>
      </c>
      <c r="D1875" t="s">
        <v>5</v>
      </c>
      <c r="F1875" t="str" cm="1">
        <f t="array" ref="F1875">CategorizeComment(E1875)</f>
        <v>Other</v>
      </c>
      <c r="G1875" t="str" cm="1">
        <f t="array" ref="G1875">SubCategorizeComment(E1875)</f>
        <v>Other</v>
      </c>
    </row>
    <row r="1876" spans="1:7" x14ac:dyDescent="0.25">
      <c r="A1876">
        <v>12004</v>
      </c>
      <c r="B1876" t="s">
        <v>4</v>
      </c>
      <c r="C1876">
        <v>4</v>
      </c>
      <c r="D1876" t="s">
        <v>5</v>
      </c>
      <c r="F1876" t="str" cm="1">
        <f t="array" ref="F1876">CategorizeComment(E1876)</f>
        <v>Other</v>
      </c>
      <c r="G1876" t="str" cm="1">
        <f t="array" ref="G1876">SubCategorizeComment(E1876)</f>
        <v>Other</v>
      </c>
    </row>
    <row r="1877" spans="1:7" x14ac:dyDescent="0.25">
      <c r="A1877">
        <v>12032</v>
      </c>
      <c r="B1877" t="s">
        <v>4</v>
      </c>
      <c r="C1877">
        <v>4</v>
      </c>
      <c r="D1877" t="s">
        <v>5</v>
      </c>
      <c r="F1877" t="str" cm="1">
        <f t="array" ref="F1877">CategorizeComment(E1877)</f>
        <v>Other</v>
      </c>
      <c r="G1877" t="str" cm="1">
        <f t="array" ref="G1877">SubCategorizeComment(E1877)</f>
        <v>Other</v>
      </c>
    </row>
    <row r="1878" spans="1:7" x14ac:dyDescent="0.25">
      <c r="A1878">
        <v>12043</v>
      </c>
      <c r="B1878" t="s">
        <v>4</v>
      </c>
      <c r="C1878">
        <v>4</v>
      </c>
      <c r="D1878" t="s">
        <v>5</v>
      </c>
      <c r="F1878" t="str" cm="1">
        <f t="array" ref="F1878">CategorizeComment(E1878)</f>
        <v>Other</v>
      </c>
      <c r="G1878" t="str" cm="1">
        <f t="array" ref="G1878">SubCategorizeComment(E1878)</f>
        <v>Other</v>
      </c>
    </row>
    <row r="1879" spans="1:7" x14ac:dyDescent="0.25">
      <c r="A1879">
        <v>12048</v>
      </c>
      <c r="B1879" t="s">
        <v>4</v>
      </c>
      <c r="C1879">
        <v>4</v>
      </c>
      <c r="D1879" t="s">
        <v>5</v>
      </c>
      <c r="F1879" t="str" cm="1">
        <f t="array" ref="F1879">CategorizeComment(E1879)</f>
        <v>Other</v>
      </c>
      <c r="G1879" t="str" cm="1">
        <f t="array" ref="G1879">SubCategorizeComment(E1879)</f>
        <v>Other</v>
      </c>
    </row>
    <row r="1880" spans="1:7" x14ac:dyDescent="0.25">
      <c r="A1880">
        <v>12049</v>
      </c>
      <c r="B1880" t="s">
        <v>4</v>
      </c>
      <c r="C1880">
        <v>4</v>
      </c>
      <c r="D1880" t="s">
        <v>5</v>
      </c>
      <c r="F1880" t="str" cm="1">
        <f t="array" ref="F1880">CategorizeComment(E1880)</f>
        <v>Other</v>
      </c>
      <c r="G1880" t="str" cm="1">
        <f t="array" ref="G1880">SubCategorizeComment(E1880)</f>
        <v>Other</v>
      </c>
    </row>
    <row r="1881" spans="1:7" x14ac:dyDescent="0.25">
      <c r="A1881">
        <v>12053</v>
      </c>
      <c r="B1881" t="s">
        <v>4</v>
      </c>
      <c r="C1881">
        <v>0</v>
      </c>
      <c r="D1881" t="s">
        <v>5</v>
      </c>
      <c r="F1881" t="str" cm="1">
        <f t="array" ref="F1881">CategorizeComment(E1881)</f>
        <v>Other</v>
      </c>
      <c r="G1881" t="str" cm="1">
        <f t="array" ref="G1881">SubCategorizeComment(E1881)</f>
        <v>Other</v>
      </c>
    </row>
    <row r="1882" spans="1:7" x14ac:dyDescent="0.25">
      <c r="A1882">
        <v>12055</v>
      </c>
      <c r="B1882" t="s">
        <v>4</v>
      </c>
      <c r="C1882">
        <v>4</v>
      </c>
      <c r="D1882" t="s">
        <v>5</v>
      </c>
      <c r="F1882" t="str" cm="1">
        <f t="array" ref="F1882">CategorizeComment(E1882)</f>
        <v>Other</v>
      </c>
      <c r="G1882" t="str" cm="1">
        <f t="array" ref="G1882">SubCategorizeComment(E1882)</f>
        <v>Other</v>
      </c>
    </row>
    <row r="1883" spans="1:7" x14ac:dyDescent="0.25">
      <c r="A1883">
        <v>12057</v>
      </c>
      <c r="B1883" t="s">
        <v>4</v>
      </c>
      <c r="C1883">
        <v>3</v>
      </c>
      <c r="D1883" t="s">
        <v>5</v>
      </c>
      <c r="F1883" t="str" cm="1">
        <f t="array" ref="F1883">CategorizeComment(E1883)</f>
        <v>Other</v>
      </c>
      <c r="G1883" t="str" cm="1">
        <f t="array" ref="G1883">SubCategorizeComment(E1883)</f>
        <v>Other</v>
      </c>
    </row>
    <row r="1884" spans="1:7" x14ac:dyDescent="0.25">
      <c r="A1884">
        <v>12082</v>
      </c>
      <c r="B1884" t="s">
        <v>4</v>
      </c>
      <c r="C1884">
        <v>4</v>
      </c>
      <c r="D1884" t="s">
        <v>5</v>
      </c>
      <c r="F1884" t="str" cm="1">
        <f t="array" ref="F1884">CategorizeComment(E1884)</f>
        <v>Other</v>
      </c>
      <c r="G1884" t="str" cm="1">
        <f t="array" ref="G1884">SubCategorizeComment(E1884)</f>
        <v>Other</v>
      </c>
    </row>
    <row r="1885" spans="1:7" x14ac:dyDescent="0.25">
      <c r="A1885">
        <v>12091</v>
      </c>
      <c r="B1885" t="s">
        <v>4</v>
      </c>
      <c r="C1885">
        <v>3</v>
      </c>
      <c r="D1885" t="s">
        <v>5</v>
      </c>
      <c r="F1885" t="str" cm="1">
        <f t="array" ref="F1885">CategorizeComment(E1885)</f>
        <v>Other</v>
      </c>
      <c r="G1885" t="str" cm="1">
        <f t="array" ref="G1885">SubCategorizeComment(E1885)</f>
        <v>Other</v>
      </c>
    </row>
    <row r="1886" spans="1:7" x14ac:dyDescent="0.25">
      <c r="A1886">
        <v>12107</v>
      </c>
      <c r="B1886" t="s">
        <v>4</v>
      </c>
      <c r="C1886">
        <v>3</v>
      </c>
      <c r="D1886" t="s">
        <v>5</v>
      </c>
      <c r="F1886" t="str" cm="1">
        <f t="array" ref="F1886">CategorizeComment(E1886)</f>
        <v>Other</v>
      </c>
      <c r="G1886" t="str" cm="1">
        <f t="array" ref="G1886">SubCategorizeComment(E1886)</f>
        <v>Other</v>
      </c>
    </row>
    <row r="1887" spans="1:7" x14ac:dyDescent="0.25">
      <c r="A1887">
        <v>12120</v>
      </c>
      <c r="B1887" t="s">
        <v>4</v>
      </c>
      <c r="C1887">
        <v>3</v>
      </c>
      <c r="D1887" t="s">
        <v>5</v>
      </c>
      <c r="F1887" t="str" cm="1">
        <f t="array" ref="F1887">CategorizeComment(E1887)</f>
        <v>Other</v>
      </c>
      <c r="G1887" t="str" cm="1">
        <f t="array" ref="G1887">SubCategorizeComment(E1887)</f>
        <v>Other</v>
      </c>
    </row>
    <row r="1888" spans="1:7" x14ac:dyDescent="0.25">
      <c r="A1888">
        <v>12122</v>
      </c>
      <c r="B1888" t="s">
        <v>4</v>
      </c>
      <c r="C1888">
        <v>3</v>
      </c>
      <c r="D1888" t="s">
        <v>5</v>
      </c>
      <c r="F1888" t="str" cm="1">
        <f t="array" ref="F1888">CategorizeComment(E1888)</f>
        <v>Other</v>
      </c>
      <c r="G1888" t="str" cm="1">
        <f t="array" ref="G1888">SubCategorizeComment(E1888)</f>
        <v>Other</v>
      </c>
    </row>
    <row r="1889" spans="1:7" x14ac:dyDescent="0.25">
      <c r="A1889">
        <v>12166</v>
      </c>
      <c r="B1889" t="s">
        <v>4</v>
      </c>
      <c r="C1889">
        <v>3</v>
      </c>
      <c r="D1889" t="s">
        <v>5</v>
      </c>
      <c r="F1889" t="str" cm="1">
        <f t="array" ref="F1889">CategorizeComment(E1889)</f>
        <v>Other</v>
      </c>
      <c r="G1889" t="str" cm="1">
        <f t="array" ref="G1889">SubCategorizeComment(E1889)</f>
        <v>Other</v>
      </c>
    </row>
    <row r="1890" spans="1:7" x14ac:dyDescent="0.25">
      <c r="A1890">
        <v>12167</v>
      </c>
      <c r="B1890" t="s">
        <v>4</v>
      </c>
      <c r="C1890">
        <v>3</v>
      </c>
      <c r="D1890" t="s">
        <v>5</v>
      </c>
      <c r="F1890" t="str" cm="1">
        <f t="array" ref="F1890">CategorizeComment(E1890)</f>
        <v>Other</v>
      </c>
      <c r="G1890" t="str" cm="1">
        <f t="array" ref="G1890">SubCategorizeComment(E1890)</f>
        <v>Other</v>
      </c>
    </row>
    <row r="1891" spans="1:7" x14ac:dyDescent="0.25">
      <c r="A1891">
        <v>12169</v>
      </c>
      <c r="B1891" t="s">
        <v>4</v>
      </c>
      <c r="C1891">
        <v>4</v>
      </c>
      <c r="D1891" t="s">
        <v>5</v>
      </c>
      <c r="F1891" t="str" cm="1">
        <f t="array" ref="F1891">CategorizeComment(E1891)</f>
        <v>Other</v>
      </c>
      <c r="G1891" t="str" cm="1">
        <f t="array" ref="G1891">SubCategorizeComment(E1891)</f>
        <v>Other</v>
      </c>
    </row>
    <row r="1892" spans="1:7" x14ac:dyDescent="0.25">
      <c r="A1892">
        <v>12172</v>
      </c>
      <c r="B1892" t="s">
        <v>4</v>
      </c>
      <c r="C1892">
        <v>3</v>
      </c>
      <c r="D1892" t="s">
        <v>5</v>
      </c>
      <c r="F1892" t="str" cm="1">
        <f t="array" ref="F1892">CategorizeComment(E1892)</f>
        <v>Other</v>
      </c>
      <c r="G1892" t="str" cm="1">
        <f t="array" ref="G1892">SubCategorizeComment(E1892)</f>
        <v>Other</v>
      </c>
    </row>
    <row r="1893" spans="1:7" x14ac:dyDescent="0.25">
      <c r="A1893">
        <v>12175</v>
      </c>
      <c r="B1893" t="s">
        <v>4</v>
      </c>
      <c r="C1893">
        <v>4</v>
      </c>
      <c r="D1893" t="s">
        <v>5</v>
      </c>
      <c r="F1893" t="str" cm="1">
        <f t="array" ref="F1893">CategorizeComment(E1893)</f>
        <v>Other</v>
      </c>
      <c r="G1893" t="str" cm="1">
        <f t="array" ref="G1893">SubCategorizeComment(E1893)</f>
        <v>Other</v>
      </c>
    </row>
    <row r="1894" spans="1:7" x14ac:dyDescent="0.25">
      <c r="A1894">
        <v>12176</v>
      </c>
      <c r="B1894" t="s">
        <v>4</v>
      </c>
      <c r="C1894">
        <v>4</v>
      </c>
      <c r="D1894" t="s">
        <v>5</v>
      </c>
      <c r="F1894" t="str" cm="1">
        <f t="array" ref="F1894">CategorizeComment(E1894)</f>
        <v>Other</v>
      </c>
      <c r="G1894" t="str" cm="1">
        <f t="array" ref="G1894">SubCategorizeComment(E1894)</f>
        <v>Other</v>
      </c>
    </row>
    <row r="1895" spans="1:7" x14ac:dyDescent="0.25">
      <c r="A1895">
        <v>12189</v>
      </c>
      <c r="B1895" t="s">
        <v>4</v>
      </c>
      <c r="C1895">
        <v>4</v>
      </c>
      <c r="D1895" t="s">
        <v>5</v>
      </c>
      <c r="F1895" t="str" cm="1">
        <f t="array" ref="F1895">CategorizeComment(E1895)</f>
        <v>Other</v>
      </c>
      <c r="G1895" t="str" cm="1">
        <f t="array" ref="G1895">SubCategorizeComment(E1895)</f>
        <v>Other</v>
      </c>
    </row>
    <row r="1896" spans="1:7" x14ac:dyDescent="0.25">
      <c r="A1896">
        <v>12195</v>
      </c>
      <c r="B1896" t="s">
        <v>4</v>
      </c>
      <c r="C1896">
        <v>4</v>
      </c>
      <c r="D1896" t="s">
        <v>5</v>
      </c>
      <c r="F1896" t="str" cm="1">
        <f t="array" ref="F1896">CategorizeComment(E1896)</f>
        <v>Other</v>
      </c>
      <c r="G1896" t="str" cm="1">
        <f t="array" ref="G1896">SubCategorizeComment(E1896)</f>
        <v>Other</v>
      </c>
    </row>
    <row r="1897" spans="1:7" x14ac:dyDescent="0.25">
      <c r="A1897">
        <v>12220</v>
      </c>
      <c r="B1897" t="s">
        <v>4</v>
      </c>
      <c r="C1897">
        <v>3</v>
      </c>
      <c r="D1897" t="s">
        <v>5</v>
      </c>
      <c r="F1897" t="str" cm="1">
        <f t="array" ref="F1897">CategorizeComment(E1897)</f>
        <v>Other</v>
      </c>
      <c r="G1897" t="str" cm="1">
        <f t="array" ref="G1897">SubCategorizeComment(E1897)</f>
        <v>Other</v>
      </c>
    </row>
    <row r="1898" spans="1:7" x14ac:dyDescent="0.25">
      <c r="A1898">
        <v>12226</v>
      </c>
      <c r="B1898" t="s">
        <v>4</v>
      </c>
      <c r="C1898">
        <v>4</v>
      </c>
      <c r="D1898" t="s">
        <v>5</v>
      </c>
      <c r="F1898" t="str" cm="1">
        <f t="array" ref="F1898">CategorizeComment(E1898)</f>
        <v>Other</v>
      </c>
      <c r="G1898" t="str" cm="1">
        <f t="array" ref="G1898">SubCategorizeComment(E1898)</f>
        <v>Other</v>
      </c>
    </row>
    <row r="1899" spans="1:7" x14ac:dyDescent="0.25">
      <c r="A1899">
        <v>12268</v>
      </c>
      <c r="B1899" t="s">
        <v>4</v>
      </c>
      <c r="C1899">
        <v>4</v>
      </c>
      <c r="D1899" t="s">
        <v>5</v>
      </c>
      <c r="F1899" t="str" cm="1">
        <f t="array" ref="F1899">CategorizeComment(E1899)</f>
        <v>Other</v>
      </c>
      <c r="G1899" t="str" cm="1">
        <f t="array" ref="G1899">SubCategorizeComment(E1899)</f>
        <v>Other</v>
      </c>
    </row>
    <row r="1900" spans="1:7" x14ac:dyDescent="0.25">
      <c r="A1900">
        <v>12294</v>
      </c>
      <c r="B1900" t="s">
        <v>4</v>
      </c>
      <c r="C1900">
        <v>4</v>
      </c>
      <c r="D1900" t="s">
        <v>5</v>
      </c>
      <c r="F1900" t="str" cm="1">
        <f t="array" ref="F1900">CategorizeComment(E1900)</f>
        <v>Other</v>
      </c>
      <c r="G1900" t="str" cm="1">
        <f t="array" ref="G1900">SubCategorizeComment(E1900)</f>
        <v>Other</v>
      </c>
    </row>
    <row r="1901" spans="1:7" x14ac:dyDescent="0.25">
      <c r="A1901">
        <v>12316</v>
      </c>
      <c r="B1901" t="s">
        <v>4</v>
      </c>
      <c r="C1901">
        <v>3</v>
      </c>
      <c r="D1901" t="s">
        <v>5</v>
      </c>
      <c r="F1901" t="str" cm="1">
        <f t="array" ref="F1901">CategorizeComment(E1901)</f>
        <v>Other</v>
      </c>
      <c r="G1901" t="str" cm="1">
        <f t="array" ref="G1901">SubCategorizeComment(E1901)</f>
        <v>Other</v>
      </c>
    </row>
    <row r="1902" spans="1:7" x14ac:dyDescent="0.25">
      <c r="A1902">
        <v>12319</v>
      </c>
      <c r="B1902" t="s">
        <v>4</v>
      </c>
      <c r="C1902">
        <v>4</v>
      </c>
      <c r="D1902" t="s">
        <v>5</v>
      </c>
      <c r="F1902" t="str" cm="1">
        <f t="array" ref="F1902">CategorizeComment(E1902)</f>
        <v>Other</v>
      </c>
      <c r="G1902" t="str" cm="1">
        <f t="array" ref="G1902">SubCategorizeComment(E1902)</f>
        <v>Other</v>
      </c>
    </row>
    <row r="1903" spans="1:7" x14ac:dyDescent="0.25">
      <c r="A1903">
        <v>12320</v>
      </c>
      <c r="B1903" t="s">
        <v>4</v>
      </c>
      <c r="C1903">
        <v>4</v>
      </c>
      <c r="D1903" t="s">
        <v>5</v>
      </c>
      <c r="F1903" t="str" cm="1">
        <f t="array" ref="F1903">CategorizeComment(E1903)</f>
        <v>Other</v>
      </c>
      <c r="G1903" t="str" cm="1">
        <f t="array" ref="G1903">SubCategorizeComment(E1903)</f>
        <v>Other</v>
      </c>
    </row>
    <row r="1904" spans="1:7" x14ac:dyDescent="0.25">
      <c r="A1904">
        <v>12342</v>
      </c>
      <c r="B1904" t="s">
        <v>4</v>
      </c>
      <c r="C1904">
        <v>3</v>
      </c>
      <c r="D1904" t="s">
        <v>5</v>
      </c>
      <c r="F1904" t="str" cm="1">
        <f t="array" ref="F1904">CategorizeComment(E1904)</f>
        <v>Other</v>
      </c>
      <c r="G1904" t="str" cm="1">
        <f t="array" ref="G1904">SubCategorizeComment(E1904)</f>
        <v>Other</v>
      </c>
    </row>
    <row r="1905" spans="1:7" x14ac:dyDescent="0.25">
      <c r="A1905">
        <v>12344</v>
      </c>
      <c r="B1905" t="s">
        <v>4</v>
      </c>
      <c r="C1905">
        <v>3</v>
      </c>
      <c r="D1905" t="s">
        <v>5</v>
      </c>
      <c r="F1905" t="str" cm="1">
        <f t="array" ref="F1905">CategorizeComment(E1905)</f>
        <v>Other</v>
      </c>
      <c r="G1905" t="str" cm="1">
        <f t="array" ref="G1905">SubCategorizeComment(E1905)</f>
        <v>Other</v>
      </c>
    </row>
    <row r="1906" spans="1:7" x14ac:dyDescent="0.25">
      <c r="A1906">
        <v>12346</v>
      </c>
      <c r="B1906" t="s">
        <v>4</v>
      </c>
      <c r="C1906">
        <v>4</v>
      </c>
      <c r="D1906" t="s">
        <v>5</v>
      </c>
      <c r="F1906" t="str" cm="1">
        <f t="array" ref="F1906">CategorizeComment(E1906)</f>
        <v>Other</v>
      </c>
      <c r="G1906" t="str" cm="1">
        <f t="array" ref="G1906">SubCategorizeComment(E1906)</f>
        <v>Other</v>
      </c>
    </row>
    <row r="1907" spans="1:7" x14ac:dyDescent="0.25">
      <c r="A1907">
        <v>12348</v>
      </c>
      <c r="B1907" t="s">
        <v>4</v>
      </c>
      <c r="C1907">
        <v>3</v>
      </c>
      <c r="D1907" t="s">
        <v>5</v>
      </c>
      <c r="F1907" t="str" cm="1">
        <f t="array" ref="F1907">CategorizeComment(E1907)</f>
        <v>Other</v>
      </c>
      <c r="G1907" t="str" cm="1">
        <f t="array" ref="G1907">SubCategorizeComment(E1907)</f>
        <v>Other</v>
      </c>
    </row>
    <row r="1908" spans="1:7" x14ac:dyDescent="0.25">
      <c r="A1908">
        <v>12349</v>
      </c>
      <c r="B1908" t="s">
        <v>4</v>
      </c>
      <c r="C1908">
        <v>4</v>
      </c>
      <c r="D1908" t="s">
        <v>5</v>
      </c>
      <c r="F1908" t="str" cm="1">
        <f t="array" ref="F1908">CategorizeComment(E1908)</f>
        <v>Other</v>
      </c>
      <c r="G1908" t="str" cm="1">
        <f t="array" ref="G1908">SubCategorizeComment(E1908)</f>
        <v>Other</v>
      </c>
    </row>
    <row r="1909" spans="1:7" x14ac:dyDescent="0.25">
      <c r="A1909">
        <v>12360</v>
      </c>
      <c r="B1909" t="s">
        <v>4</v>
      </c>
      <c r="C1909">
        <v>4</v>
      </c>
      <c r="D1909" t="s">
        <v>5</v>
      </c>
      <c r="F1909" t="str" cm="1">
        <f t="array" ref="F1909">CategorizeComment(E1909)</f>
        <v>Other</v>
      </c>
      <c r="G1909" t="str" cm="1">
        <f t="array" ref="G1909">SubCategorizeComment(E1909)</f>
        <v>Other</v>
      </c>
    </row>
    <row r="1910" spans="1:7" x14ac:dyDescent="0.25">
      <c r="A1910">
        <v>12361</v>
      </c>
      <c r="B1910" t="s">
        <v>4</v>
      </c>
      <c r="C1910">
        <v>3</v>
      </c>
      <c r="D1910" t="s">
        <v>5</v>
      </c>
      <c r="F1910" t="str" cm="1">
        <f t="array" ref="F1910">CategorizeComment(E1910)</f>
        <v>Other</v>
      </c>
      <c r="G1910" t="str" cm="1">
        <f t="array" ref="G1910">SubCategorizeComment(E1910)</f>
        <v>Other</v>
      </c>
    </row>
    <row r="1911" spans="1:7" x14ac:dyDescent="0.25">
      <c r="A1911">
        <v>12367</v>
      </c>
      <c r="B1911" t="s">
        <v>4</v>
      </c>
      <c r="C1911">
        <v>4</v>
      </c>
      <c r="D1911" t="s">
        <v>5</v>
      </c>
      <c r="F1911" t="str" cm="1">
        <f t="array" ref="F1911">CategorizeComment(E1911)</f>
        <v>Other</v>
      </c>
      <c r="G1911" t="str" cm="1">
        <f t="array" ref="G1911">SubCategorizeComment(E1911)</f>
        <v>Other</v>
      </c>
    </row>
    <row r="1912" spans="1:7" x14ac:dyDescent="0.25">
      <c r="A1912">
        <v>12372</v>
      </c>
      <c r="B1912" t="s">
        <v>4</v>
      </c>
      <c r="C1912">
        <v>3</v>
      </c>
      <c r="D1912" t="s">
        <v>5</v>
      </c>
      <c r="F1912" t="str" cm="1">
        <f t="array" ref="F1912">CategorizeComment(E1912)</f>
        <v>Other</v>
      </c>
      <c r="G1912" t="str" cm="1">
        <f t="array" ref="G1912">SubCategorizeComment(E1912)</f>
        <v>Other</v>
      </c>
    </row>
    <row r="1913" spans="1:7" x14ac:dyDescent="0.25">
      <c r="A1913">
        <v>12380</v>
      </c>
      <c r="B1913" t="s">
        <v>4</v>
      </c>
      <c r="C1913">
        <v>3</v>
      </c>
      <c r="D1913" t="s">
        <v>5</v>
      </c>
      <c r="F1913" t="str" cm="1">
        <f t="array" ref="F1913">CategorizeComment(E1913)</f>
        <v>Other</v>
      </c>
      <c r="G1913" t="str" cm="1">
        <f t="array" ref="G1913">SubCategorizeComment(E1913)</f>
        <v>Other</v>
      </c>
    </row>
    <row r="1914" spans="1:7" x14ac:dyDescent="0.25">
      <c r="A1914">
        <v>12381</v>
      </c>
      <c r="B1914" t="s">
        <v>4</v>
      </c>
      <c r="C1914">
        <v>4</v>
      </c>
      <c r="D1914" t="s">
        <v>5</v>
      </c>
      <c r="F1914" t="str" cm="1">
        <f t="array" ref="F1914">CategorizeComment(E1914)</f>
        <v>Other</v>
      </c>
      <c r="G1914" t="str" cm="1">
        <f t="array" ref="G1914">SubCategorizeComment(E1914)</f>
        <v>Other</v>
      </c>
    </row>
    <row r="1915" spans="1:7" x14ac:dyDescent="0.25">
      <c r="A1915">
        <v>12384</v>
      </c>
      <c r="B1915" t="s">
        <v>4</v>
      </c>
      <c r="C1915">
        <v>3</v>
      </c>
      <c r="D1915" t="s">
        <v>5</v>
      </c>
      <c r="F1915" t="str" cm="1">
        <f t="array" ref="F1915">CategorizeComment(E1915)</f>
        <v>Other</v>
      </c>
      <c r="G1915" t="str" cm="1">
        <f t="array" ref="G1915">SubCategorizeComment(E1915)</f>
        <v>Other</v>
      </c>
    </row>
    <row r="1916" spans="1:7" x14ac:dyDescent="0.25">
      <c r="A1916">
        <v>12389</v>
      </c>
      <c r="B1916" t="s">
        <v>4</v>
      </c>
      <c r="C1916">
        <v>4</v>
      </c>
      <c r="D1916" t="s">
        <v>5</v>
      </c>
      <c r="F1916" t="str" cm="1">
        <f t="array" ref="F1916">CategorizeComment(E1916)</f>
        <v>Other</v>
      </c>
      <c r="G1916" t="str" cm="1">
        <f t="array" ref="G1916">SubCategorizeComment(E1916)</f>
        <v>Other</v>
      </c>
    </row>
    <row r="1917" spans="1:7" x14ac:dyDescent="0.25">
      <c r="A1917">
        <v>12390</v>
      </c>
      <c r="B1917" t="s">
        <v>4</v>
      </c>
      <c r="C1917">
        <v>4</v>
      </c>
      <c r="D1917" t="s">
        <v>5</v>
      </c>
      <c r="F1917" t="str" cm="1">
        <f t="array" ref="F1917">CategorizeComment(E1917)</f>
        <v>Other</v>
      </c>
      <c r="G1917" t="str" cm="1">
        <f t="array" ref="G1917">SubCategorizeComment(E1917)</f>
        <v>Other</v>
      </c>
    </row>
    <row r="1918" spans="1:7" x14ac:dyDescent="0.25">
      <c r="A1918">
        <v>12402</v>
      </c>
      <c r="B1918" t="s">
        <v>4</v>
      </c>
      <c r="C1918">
        <v>4</v>
      </c>
      <c r="D1918" t="s">
        <v>5</v>
      </c>
      <c r="F1918" t="str" cm="1">
        <f t="array" ref="F1918">CategorizeComment(E1918)</f>
        <v>Other</v>
      </c>
      <c r="G1918" t="str" cm="1">
        <f t="array" ref="G1918">SubCategorizeComment(E1918)</f>
        <v>Other</v>
      </c>
    </row>
    <row r="1919" spans="1:7" x14ac:dyDescent="0.25">
      <c r="A1919">
        <v>12411</v>
      </c>
      <c r="B1919" t="s">
        <v>4</v>
      </c>
      <c r="C1919">
        <v>3</v>
      </c>
      <c r="D1919" t="s">
        <v>5</v>
      </c>
      <c r="F1919" t="str" cm="1">
        <f t="array" ref="F1919">CategorizeComment(E1919)</f>
        <v>Other</v>
      </c>
      <c r="G1919" t="str" cm="1">
        <f t="array" ref="G1919">SubCategorizeComment(E1919)</f>
        <v>Other</v>
      </c>
    </row>
    <row r="1920" spans="1:7" x14ac:dyDescent="0.25">
      <c r="A1920">
        <v>12413</v>
      </c>
      <c r="B1920" t="s">
        <v>4</v>
      </c>
      <c r="C1920">
        <v>4</v>
      </c>
      <c r="D1920" t="s">
        <v>5</v>
      </c>
      <c r="F1920" t="str" cm="1">
        <f t="array" ref="F1920">CategorizeComment(E1920)</f>
        <v>Other</v>
      </c>
      <c r="G1920" t="str" cm="1">
        <f t="array" ref="G1920">SubCategorizeComment(E1920)</f>
        <v>Other</v>
      </c>
    </row>
    <row r="1921" spans="1:7" x14ac:dyDescent="0.25">
      <c r="A1921">
        <v>12416</v>
      </c>
      <c r="B1921" t="s">
        <v>4</v>
      </c>
      <c r="C1921">
        <v>3</v>
      </c>
      <c r="D1921" t="s">
        <v>5</v>
      </c>
      <c r="F1921" t="str" cm="1">
        <f t="array" ref="F1921">CategorizeComment(E1921)</f>
        <v>Other</v>
      </c>
      <c r="G1921" t="str" cm="1">
        <f t="array" ref="G1921">SubCategorizeComment(E1921)</f>
        <v>Other</v>
      </c>
    </row>
    <row r="1922" spans="1:7" x14ac:dyDescent="0.25">
      <c r="A1922">
        <v>12418</v>
      </c>
      <c r="B1922" t="s">
        <v>4</v>
      </c>
      <c r="C1922">
        <v>3</v>
      </c>
      <c r="D1922" t="s">
        <v>5</v>
      </c>
      <c r="F1922" t="str" cm="1">
        <f t="array" ref="F1922">CategorizeComment(E1922)</f>
        <v>Other</v>
      </c>
      <c r="G1922" t="str" cm="1">
        <f t="array" ref="G1922">SubCategorizeComment(E1922)</f>
        <v>Other</v>
      </c>
    </row>
    <row r="1923" spans="1:7" x14ac:dyDescent="0.25">
      <c r="A1923">
        <v>12430</v>
      </c>
      <c r="B1923" t="s">
        <v>4</v>
      </c>
      <c r="C1923">
        <v>3</v>
      </c>
      <c r="D1923" t="s">
        <v>5</v>
      </c>
      <c r="F1923" t="str" cm="1">
        <f t="array" ref="F1923">CategorizeComment(E1923)</f>
        <v>Other</v>
      </c>
      <c r="G1923" t="str" cm="1">
        <f t="array" ref="G1923">SubCategorizeComment(E1923)</f>
        <v>Other</v>
      </c>
    </row>
    <row r="1924" spans="1:7" x14ac:dyDescent="0.25">
      <c r="A1924">
        <v>12432</v>
      </c>
      <c r="B1924" t="s">
        <v>4</v>
      </c>
      <c r="C1924">
        <v>3</v>
      </c>
      <c r="D1924" t="s">
        <v>5</v>
      </c>
      <c r="F1924" t="str" cm="1">
        <f t="array" ref="F1924">CategorizeComment(E1924)</f>
        <v>Other</v>
      </c>
      <c r="G1924" t="str" cm="1">
        <f t="array" ref="G1924">SubCategorizeComment(E1924)</f>
        <v>Other</v>
      </c>
    </row>
    <row r="1925" spans="1:7" x14ac:dyDescent="0.25">
      <c r="A1925">
        <v>12437</v>
      </c>
      <c r="B1925" t="s">
        <v>4</v>
      </c>
      <c r="C1925">
        <v>4</v>
      </c>
      <c r="D1925" t="s">
        <v>5</v>
      </c>
      <c r="F1925" t="str" cm="1">
        <f t="array" ref="F1925">CategorizeComment(E1925)</f>
        <v>Other</v>
      </c>
      <c r="G1925" t="str" cm="1">
        <f t="array" ref="G1925">SubCategorizeComment(E1925)</f>
        <v>Other</v>
      </c>
    </row>
    <row r="1926" spans="1:7" x14ac:dyDescent="0.25">
      <c r="A1926">
        <v>12444</v>
      </c>
      <c r="B1926" t="s">
        <v>4</v>
      </c>
      <c r="C1926">
        <v>4</v>
      </c>
      <c r="D1926" t="s">
        <v>5</v>
      </c>
      <c r="F1926" t="str" cm="1">
        <f t="array" ref="F1926">CategorizeComment(E1926)</f>
        <v>Other</v>
      </c>
      <c r="G1926" t="str" cm="1">
        <f t="array" ref="G1926">SubCategorizeComment(E1926)</f>
        <v>Other</v>
      </c>
    </row>
    <row r="1927" spans="1:7" x14ac:dyDescent="0.25">
      <c r="A1927">
        <v>12446</v>
      </c>
      <c r="B1927" t="s">
        <v>4</v>
      </c>
      <c r="C1927">
        <v>4</v>
      </c>
      <c r="D1927" t="s">
        <v>5</v>
      </c>
      <c r="F1927" t="str" cm="1">
        <f t="array" ref="F1927">CategorizeComment(E1927)</f>
        <v>Other</v>
      </c>
      <c r="G1927" t="str" cm="1">
        <f t="array" ref="G1927">SubCategorizeComment(E1927)</f>
        <v>Other</v>
      </c>
    </row>
    <row r="1928" spans="1:7" x14ac:dyDescent="0.25">
      <c r="A1928">
        <v>12450</v>
      </c>
      <c r="B1928" t="s">
        <v>4</v>
      </c>
      <c r="C1928">
        <v>4</v>
      </c>
      <c r="D1928" t="s">
        <v>5</v>
      </c>
      <c r="F1928" t="str" cm="1">
        <f t="array" ref="F1928">CategorizeComment(E1928)</f>
        <v>Other</v>
      </c>
      <c r="G1928" t="str" cm="1">
        <f t="array" ref="G1928">SubCategorizeComment(E1928)</f>
        <v>Other</v>
      </c>
    </row>
    <row r="1929" spans="1:7" x14ac:dyDescent="0.25">
      <c r="A1929">
        <v>12464</v>
      </c>
      <c r="B1929" t="s">
        <v>4</v>
      </c>
      <c r="C1929">
        <v>3</v>
      </c>
      <c r="D1929" t="s">
        <v>5</v>
      </c>
      <c r="F1929" t="str" cm="1">
        <f t="array" ref="F1929">CategorizeComment(E1929)</f>
        <v>Other</v>
      </c>
      <c r="G1929" t="str" cm="1">
        <f t="array" ref="G1929">SubCategorizeComment(E1929)</f>
        <v>Other</v>
      </c>
    </row>
    <row r="1930" spans="1:7" x14ac:dyDescent="0.25">
      <c r="A1930">
        <v>12465</v>
      </c>
      <c r="B1930" t="s">
        <v>4</v>
      </c>
      <c r="C1930">
        <v>3</v>
      </c>
      <c r="D1930" t="s">
        <v>5</v>
      </c>
      <c r="F1930" t="str" cm="1">
        <f t="array" ref="F1930">CategorizeComment(E1930)</f>
        <v>Other</v>
      </c>
      <c r="G1930" t="str" cm="1">
        <f t="array" ref="G1930">SubCategorizeComment(E1930)</f>
        <v>Other</v>
      </c>
    </row>
    <row r="1931" spans="1:7" x14ac:dyDescent="0.25">
      <c r="A1931">
        <v>12472</v>
      </c>
      <c r="B1931" t="s">
        <v>4</v>
      </c>
      <c r="C1931">
        <v>3</v>
      </c>
      <c r="D1931" t="s">
        <v>5</v>
      </c>
      <c r="F1931" t="str" cm="1">
        <f t="array" ref="F1931">CategorizeComment(E1931)</f>
        <v>Other</v>
      </c>
      <c r="G1931" t="str" cm="1">
        <f t="array" ref="G1931">SubCategorizeComment(E1931)</f>
        <v>Other</v>
      </c>
    </row>
    <row r="1932" spans="1:7" x14ac:dyDescent="0.25">
      <c r="A1932">
        <v>12473</v>
      </c>
      <c r="B1932" t="s">
        <v>4</v>
      </c>
      <c r="C1932">
        <v>4</v>
      </c>
      <c r="D1932" t="s">
        <v>5</v>
      </c>
      <c r="F1932" t="str" cm="1">
        <f t="array" ref="F1932">CategorizeComment(E1932)</f>
        <v>Other</v>
      </c>
      <c r="G1932" t="str" cm="1">
        <f t="array" ref="G1932">SubCategorizeComment(E1932)</f>
        <v>Other</v>
      </c>
    </row>
    <row r="1933" spans="1:7" x14ac:dyDescent="0.25">
      <c r="A1933">
        <v>12477</v>
      </c>
      <c r="B1933" t="s">
        <v>4</v>
      </c>
      <c r="C1933">
        <v>3</v>
      </c>
      <c r="D1933" t="s">
        <v>5</v>
      </c>
      <c r="F1933" t="str" cm="1">
        <f t="array" ref="F1933">CategorizeComment(E1933)</f>
        <v>Other</v>
      </c>
      <c r="G1933" t="str" cm="1">
        <f t="array" ref="G1933">SubCategorizeComment(E1933)</f>
        <v>Other</v>
      </c>
    </row>
    <row r="1934" spans="1:7" x14ac:dyDescent="0.25">
      <c r="A1934">
        <v>12482</v>
      </c>
      <c r="B1934" t="s">
        <v>4</v>
      </c>
      <c r="C1934">
        <v>4</v>
      </c>
      <c r="D1934" t="s">
        <v>5</v>
      </c>
      <c r="F1934" t="str" cm="1">
        <f t="array" ref="F1934">CategorizeComment(E1934)</f>
        <v>Other</v>
      </c>
      <c r="G1934" t="str" cm="1">
        <f t="array" ref="G1934">SubCategorizeComment(E1934)</f>
        <v>Other</v>
      </c>
    </row>
    <row r="1935" spans="1:7" x14ac:dyDescent="0.25">
      <c r="A1935">
        <v>12496</v>
      </c>
      <c r="B1935" t="s">
        <v>4</v>
      </c>
      <c r="C1935">
        <v>4</v>
      </c>
      <c r="D1935" t="s">
        <v>5</v>
      </c>
      <c r="F1935" t="str" cm="1">
        <f t="array" ref="F1935">CategorizeComment(E1935)</f>
        <v>Other</v>
      </c>
      <c r="G1935" t="str" cm="1">
        <f t="array" ref="G1935">SubCategorizeComment(E1935)</f>
        <v>Other</v>
      </c>
    </row>
    <row r="1936" spans="1:7" x14ac:dyDescent="0.25">
      <c r="A1936">
        <v>12506</v>
      </c>
      <c r="B1936" t="s">
        <v>4</v>
      </c>
      <c r="C1936">
        <v>4</v>
      </c>
      <c r="D1936" t="s">
        <v>5</v>
      </c>
      <c r="F1936" t="str" cm="1">
        <f t="array" ref="F1936">CategorizeComment(E1936)</f>
        <v>Other</v>
      </c>
      <c r="G1936" t="str" cm="1">
        <f t="array" ref="G1936">SubCategorizeComment(E1936)</f>
        <v>Other</v>
      </c>
    </row>
    <row r="1937" spans="1:7" x14ac:dyDescent="0.25">
      <c r="A1937">
        <v>12507</v>
      </c>
      <c r="B1937" t="s">
        <v>4</v>
      </c>
      <c r="C1937">
        <v>4</v>
      </c>
      <c r="D1937" t="s">
        <v>5</v>
      </c>
      <c r="F1937" t="str" cm="1">
        <f t="array" ref="F1937">CategorizeComment(E1937)</f>
        <v>Other</v>
      </c>
      <c r="G1937" t="str" cm="1">
        <f t="array" ref="G1937">SubCategorizeComment(E1937)</f>
        <v>Other</v>
      </c>
    </row>
    <row r="1938" spans="1:7" x14ac:dyDescent="0.25">
      <c r="A1938">
        <v>12512</v>
      </c>
      <c r="B1938" t="s">
        <v>4</v>
      </c>
      <c r="C1938">
        <v>3</v>
      </c>
      <c r="D1938" t="s">
        <v>5</v>
      </c>
      <c r="F1938" t="str" cm="1">
        <f t="array" ref="F1938">CategorizeComment(E1938)</f>
        <v>Other</v>
      </c>
      <c r="G1938" t="str" cm="1">
        <f t="array" ref="G1938">SubCategorizeComment(E1938)</f>
        <v>Other</v>
      </c>
    </row>
    <row r="1939" spans="1:7" x14ac:dyDescent="0.25">
      <c r="A1939">
        <v>12528</v>
      </c>
      <c r="B1939" t="s">
        <v>4</v>
      </c>
      <c r="C1939">
        <v>4</v>
      </c>
      <c r="D1939" t="s">
        <v>5</v>
      </c>
      <c r="F1939" t="str" cm="1">
        <f t="array" ref="F1939">CategorizeComment(E1939)</f>
        <v>Other</v>
      </c>
      <c r="G1939" t="str" cm="1">
        <f t="array" ref="G1939">SubCategorizeComment(E1939)</f>
        <v>Other</v>
      </c>
    </row>
    <row r="1940" spans="1:7" x14ac:dyDescent="0.25">
      <c r="A1940">
        <v>12531</v>
      </c>
      <c r="B1940" t="s">
        <v>4</v>
      </c>
      <c r="C1940">
        <v>3</v>
      </c>
      <c r="D1940" t="s">
        <v>5</v>
      </c>
      <c r="F1940" t="str" cm="1">
        <f t="array" ref="F1940">CategorizeComment(E1940)</f>
        <v>Other</v>
      </c>
      <c r="G1940" t="str" cm="1">
        <f t="array" ref="G1940">SubCategorizeComment(E1940)</f>
        <v>Other</v>
      </c>
    </row>
    <row r="1941" spans="1:7" x14ac:dyDescent="0.25">
      <c r="A1941">
        <v>12535</v>
      </c>
      <c r="B1941" t="s">
        <v>4</v>
      </c>
      <c r="C1941">
        <v>3</v>
      </c>
      <c r="D1941" t="s">
        <v>5</v>
      </c>
      <c r="F1941" t="str" cm="1">
        <f t="array" ref="F1941">CategorizeComment(E1941)</f>
        <v>Other</v>
      </c>
      <c r="G1941" t="str" cm="1">
        <f t="array" ref="G1941">SubCategorizeComment(E1941)</f>
        <v>Other</v>
      </c>
    </row>
    <row r="1942" spans="1:7" x14ac:dyDescent="0.25">
      <c r="A1942">
        <v>12536</v>
      </c>
      <c r="B1942" t="s">
        <v>4</v>
      </c>
      <c r="C1942">
        <v>4</v>
      </c>
      <c r="D1942" t="s">
        <v>5</v>
      </c>
      <c r="F1942" t="str" cm="1">
        <f t="array" ref="F1942">CategorizeComment(E1942)</f>
        <v>Other</v>
      </c>
      <c r="G1942" t="str" cm="1">
        <f t="array" ref="G1942">SubCategorizeComment(E1942)</f>
        <v>Other</v>
      </c>
    </row>
    <row r="1943" spans="1:7" x14ac:dyDescent="0.25">
      <c r="A1943">
        <v>12545</v>
      </c>
      <c r="B1943" t="s">
        <v>4</v>
      </c>
      <c r="C1943">
        <v>4</v>
      </c>
      <c r="D1943" t="s">
        <v>5</v>
      </c>
      <c r="F1943" t="str" cm="1">
        <f t="array" ref="F1943">CategorizeComment(E1943)</f>
        <v>Other</v>
      </c>
      <c r="G1943" t="str" cm="1">
        <f t="array" ref="G1943">SubCategorizeComment(E1943)</f>
        <v>Other</v>
      </c>
    </row>
    <row r="1944" spans="1:7" x14ac:dyDescent="0.25">
      <c r="A1944">
        <v>12548</v>
      </c>
      <c r="B1944" t="s">
        <v>4</v>
      </c>
      <c r="C1944">
        <v>3</v>
      </c>
      <c r="D1944" t="s">
        <v>5</v>
      </c>
      <c r="F1944" t="str" cm="1">
        <f t="array" ref="F1944">CategorizeComment(E1944)</f>
        <v>Other</v>
      </c>
      <c r="G1944" t="str" cm="1">
        <f t="array" ref="G1944">SubCategorizeComment(E1944)</f>
        <v>Other</v>
      </c>
    </row>
    <row r="1945" spans="1:7" x14ac:dyDescent="0.25">
      <c r="A1945">
        <v>12563</v>
      </c>
      <c r="B1945" t="s">
        <v>4</v>
      </c>
      <c r="C1945">
        <v>4</v>
      </c>
      <c r="D1945" t="s">
        <v>5</v>
      </c>
      <c r="F1945" t="str" cm="1">
        <f t="array" ref="F1945">CategorizeComment(E1945)</f>
        <v>Other</v>
      </c>
      <c r="G1945" t="str" cm="1">
        <f t="array" ref="G1945">SubCategorizeComment(E1945)</f>
        <v>Other</v>
      </c>
    </row>
    <row r="1946" spans="1:7" x14ac:dyDescent="0.25">
      <c r="A1946">
        <v>12570</v>
      </c>
      <c r="B1946" t="s">
        <v>4</v>
      </c>
      <c r="C1946">
        <v>4</v>
      </c>
      <c r="D1946" t="s">
        <v>5</v>
      </c>
      <c r="F1946" t="str" cm="1">
        <f t="array" ref="F1946">CategorizeComment(E1946)</f>
        <v>Other</v>
      </c>
      <c r="G1946" t="str" cm="1">
        <f t="array" ref="G1946">SubCategorizeComment(E1946)</f>
        <v>Other</v>
      </c>
    </row>
    <row r="1947" spans="1:7" x14ac:dyDescent="0.25">
      <c r="A1947">
        <v>12578</v>
      </c>
      <c r="B1947" t="s">
        <v>4</v>
      </c>
      <c r="C1947">
        <v>4</v>
      </c>
      <c r="D1947" t="s">
        <v>5</v>
      </c>
      <c r="F1947" t="str" cm="1">
        <f t="array" ref="F1947">CategorizeComment(E1947)</f>
        <v>Other</v>
      </c>
      <c r="G1947" t="str" cm="1">
        <f t="array" ref="G1947">SubCategorizeComment(E1947)</f>
        <v>Other</v>
      </c>
    </row>
    <row r="1948" spans="1:7" x14ac:dyDescent="0.25">
      <c r="A1948">
        <v>12589</v>
      </c>
      <c r="B1948" t="s">
        <v>4</v>
      </c>
      <c r="C1948">
        <v>4</v>
      </c>
      <c r="D1948" t="s">
        <v>5</v>
      </c>
      <c r="F1948" t="str" cm="1">
        <f t="array" ref="F1948">CategorizeComment(E1948)</f>
        <v>Other</v>
      </c>
      <c r="G1948" t="str" cm="1">
        <f t="array" ref="G1948">SubCategorizeComment(E1948)</f>
        <v>Other</v>
      </c>
    </row>
    <row r="1949" spans="1:7" x14ac:dyDescent="0.25">
      <c r="A1949">
        <v>12594</v>
      </c>
      <c r="B1949" t="s">
        <v>4</v>
      </c>
      <c r="C1949">
        <v>3</v>
      </c>
      <c r="D1949" t="s">
        <v>5</v>
      </c>
      <c r="F1949" t="str" cm="1">
        <f t="array" ref="F1949">CategorizeComment(E1949)</f>
        <v>Other</v>
      </c>
      <c r="G1949" t="str" cm="1">
        <f t="array" ref="G1949">SubCategorizeComment(E1949)</f>
        <v>Other</v>
      </c>
    </row>
    <row r="1950" spans="1:7" x14ac:dyDescent="0.25">
      <c r="A1950">
        <v>12602</v>
      </c>
      <c r="B1950" t="s">
        <v>4</v>
      </c>
      <c r="C1950">
        <v>3</v>
      </c>
      <c r="D1950" t="s">
        <v>5</v>
      </c>
      <c r="F1950" t="str" cm="1">
        <f t="array" ref="F1950">CategorizeComment(E1950)</f>
        <v>Other</v>
      </c>
      <c r="G1950" t="str" cm="1">
        <f t="array" ref="G1950">SubCategorizeComment(E1950)</f>
        <v>Other</v>
      </c>
    </row>
    <row r="1951" spans="1:7" x14ac:dyDescent="0.25">
      <c r="A1951">
        <v>12610</v>
      </c>
      <c r="B1951" t="s">
        <v>4</v>
      </c>
      <c r="C1951">
        <v>3</v>
      </c>
      <c r="D1951" t="s">
        <v>5</v>
      </c>
      <c r="F1951" t="str" cm="1">
        <f t="array" ref="F1951">CategorizeComment(E1951)</f>
        <v>Other</v>
      </c>
      <c r="G1951" t="str" cm="1">
        <f t="array" ref="G1951">SubCategorizeComment(E1951)</f>
        <v>Other</v>
      </c>
    </row>
    <row r="1952" spans="1:7" x14ac:dyDescent="0.25">
      <c r="A1952">
        <v>12617</v>
      </c>
      <c r="B1952" t="s">
        <v>4</v>
      </c>
      <c r="C1952">
        <v>3</v>
      </c>
      <c r="D1952" t="s">
        <v>5</v>
      </c>
      <c r="F1952" t="str" cm="1">
        <f t="array" ref="F1952">CategorizeComment(E1952)</f>
        <v>Other</v>
      </c>
      <c r="G1952" t="str" cm="1">
        <f t="array" ref="G1952">SubCategorizeComment(E1952)</f>
        <v>Other</v>
      </c>
    </row>
    <row r="1953" spans="1:7" x14ac:dyDescent="0.25">
      <c r="A1953">
        <v>12621</v>
      </c>
      <c r="B1953" t="s">
        <v>4</v>
      </c>
      <c r="C1953">
        <v>4</v>
      </c>
      <c r="D1953" t="s">
        <v>5</v>
      </c>
      <c r="F1953" t="str" cm="1">
        <f t="array" ref="F1953">CategorizeComment(E1953)</f>
        <v>Other</v>
      </c>
      <c r="G1953" t="str" cm="1">
        <f t="array" ref="G1953">SubCategorizeComment(E1953)</f>
        <v>Other</v>
      </c>
    </row>
    <row r="1954" spans="1:7" x14ac:dyDescent="0.25">
      <c r="A1954">
        <v>12622</v>
      </c>
      <c r="B1954" t="s">
        <v>4</v>
      </c>
      <c r="C1954">
        <v>3</v>
      </c>
      <c r="D1954" t="s">
        <v>5</v>
      </c>
      <c r="F1954" t="str" cm="1">
        <f t="array" ref="F1954">CategorizeComment(E1954)</f>
        <v>Other</v>
      </c>
      <c r="G1954" t="str" cm="1">
        <f t="array" ref="G1954">SubCategorizeComment(E1954)</f>
        <v>Other</v>
      </c>
    </row>
    <row r="1955" spans="1:7" x14ac:dyDescent="0.25">
      <c r="A1955">
        <v>12624</v>
      </c>
      <c r="B1955" t="s">
        <v>4</v>
      </c>
      <c r="C1955">
        <v>4</v>
      </c>
      <c r="D1955" t="s">
        <v>5</v>
      </c>
      <c r="F1955" t="str" cm="1">
        <f t="array" ref="F1955">CategorizeComment(E1955)</f>
        <v>Other</v>
      </c>
      <c r="G1955" t="str" cm="1">
        <f t="array" ref="G1955">SubCategorizeComment(E1955)</f>
        <v>Other</v>
      </c>
    </row>
    <row r="1956" spans="1:7" x14ac:dyDescent="0.25">
      <c r="A1956">
        <v>12628</v>
      </c>
      <c r="B1956" t="s">
        <v>4</v>
      </c>
      <c r="C1956">
        <v>3</v>
      </c>
      <c r="D1956" t="s">
        <v>5</v>
      </c>
      <c r="F1956" t="str" cm="1">
        <f t="array" ref="F1956">CategorizeComment(E1956)</f>
        <v>Other</v>
      </c>
      <c r="G1956" t="str" cm="1">
        <f t="array" ref="G1956">SubCategorizeComment(E1956)</f>
        <v>Other</v>
      </c>
    </row>
    <row r="1957" spans="1:7" x14ac:dyDescent="0.25">
      <c r="A1957">
        <v>12678</v>
      </c>
      <c r="B1957" t="s">
        <v>4</v>
      </c>
      <c r="C1957">
        <v>4</v>
      </c>
      <c r="D1957" t="s">
        <v>5</v>
      </c>
      <c r="F1957" t="str" cm="1">
        <f t="array" ref="F1957">CategorizeComment(E1957)</f>
        <v>Other</v>
      </c>
      <c r="G1957" t="str" cm="1">
        <f t="array" ref="G1957">SubCategorizeComment(E1957)</f>
        <v>Other</v>
      </c>
    </row>
    <row r="1958" spans="1:7" x14ac:dyDescent="0.25">
      <c r="A1958">
        <v>12699</v>
      </c>
      <c r="B1958" t="s">
        <v>4</v>
      </c>
      <c r="C1958">
        <v>3</v>
      </c>
      <c r="D1958" t="s">
        <v>5</v>
      </c>
      <c r="F1958" t="str" cm="1">
        <f t="array" ref="F1958">CategorizeComment(E1958)</f>
        <v>Other</v>
      </c>
      <c r="G1958" t="str" cm="1">
        <f t="array" ref="G1958">SubCategorizeComment(E1958)</f>
        <v>Other</v>
      </c>
    </row>
    <row r="1959" spans="1:7" x14ac:dyDescent="0.25">
      <c r="A1959">
        <v>12703</v>
      </c>
      <c r="B1959" t="s">
        <v>4</v>
      </c>
      <c r="C1959">
        <v>3</v>
      </c>
      <c r="D1959" t="s">
        <v>5</v>
      </c>
      <c r="F1959" t="str" cm="1">
        <f t="array" ref="F1959">CategorizeComment(E1959)</f>
        <v>Other</v>
      </c>
      <c r="G1959" t="str" cm="1">
        <f t="array" ref="G1959">SubCategorizeComment(E1959)</f>
        <v>Other</v>
      </c>
    </row>
    <row r="1960" spans="1:7" x14ac:dyDescent="0.25">
      <c r="A1960">
        <v>12708</v>
      </c>
      <c r="B1960" t="s">
        <v>4</v>
      </c>
      <c r="C1960">
        <v>4</v>
      </c>
      <c r="D1960" t="s">
        <v>5</v>
      </c>
      <c r="F1960" t="str" cm="1">
        <f t="array" ref="F1960">CategorizeComment(E1960)</f>
        <v>Other</v>
      </c>
      <c r="G1960" t="str" cm="1">
        <f t="array" ref="G1960">SubCategorizeComment(E1960)</f>
        <v>Other</v>
      </c>
    </row>
    <row r="1961" spans="1:7" x14ac:dyDescent="0.25">
      <c r="A1961">
        <v>12714</v>
      </c>
      <c r="B1961" t="s">
        <v>4</v>
      </c>
      <c r="C1961">
        <v>3</v>
      </c>
      <c r="D1961" t="s">
        <v>5</v>
      </c>
      <c r="F1961" t="str" cm="1">
        <f t="array" ref="F1961">CategorizeComment(E1961)</f>
        <v>Other</v>
      </c>
      <c r="G1961" t="str" cm="1">
        <f t="array" ref="G1961">SubCategorizeComment(E1961)</f>
        <v>Other</v>
      </c>
    </row>
    <row r="1962" spans="1:7" x14ac:dyDescent="0.25">
      <c r="A1962">
        <v>12725</v>
      </c>
      <c r="B1962" t="s">
        <v>4</v>
      </c>
      <c r="C1962">
        <v>4</v>
      </c>
      <c r="D1962" t="s">
        <v>5</v>
      </c>
      <c r="F1962" t="str" cm="1">
        <f t="array" ref="F1962">CategorizeComment(E1962)</f>
        <v>Other</v>
      </c>
      <c r="G1962" t="str" cm="1">
        <f t="array" ref="G1962">SubCategorizeComment(E1962)</f>
        <v>Other</v>
      </c>
    </row>
    <row r="1963" spans="1:7" x14ac:dyDescent="0.25">
      <c r="A1963">
        <v>12728</v>
      </c>
      <c r="B1963" t="s">
        <v>4</v>
      </c>
      <c r="C1963">
        <v>4</v>
      </c>
      <c r="D1963" t="s">
        <v>5</v>
      </c>
      <c r="F1963" t="str" cm="1">
        <f t="array" ref="F1963">CategorizeComment(E1963)</f>
        <v>Other</v>
      </c>
      <c r="G1963" t="str" cm="1">
        <f t="array" ref="G1963">SubCategorizeComment(E1963)</f>
        <v>Other</v>
      </c>
    </row>
    <row r="1964" spans="1:7" x14ac:dyDescent="0.25">
      <c r="A1964">
        <v>12734</v>
      </c>
      <c r="B1964" t="s">
        <v>4</v>
      </c>
      <c r="C1964">
        <v>3</v>
      </c>
      <c r="D1964" t="s">
        <v>5</v>
      </c>
      <c r="F1964" t="str" cm="1">
        <f t="array" ref="F1964">CategorizeComment(E1964)</f>
        <v>Other</v>
      </c>
      <c r="G1964" t="str" cm="1">
        <f t="array" ref="G1964">SubCategorizeComment(E1964)</f>
        <v>Other</v>
      </c>
    </row>
    <row r="1965" spans="1:7" x14ac:dyDescent="0.25">
      <c r="A1965">
        <v>12742</v>
      </c>
      <c r="B1965" t="s">
        <v>4</v>
      </c>
      <c r="C1965">
        <v>3</v>
      </c>
      <c r="D1965" t="s">
        <v>5</v>
      </c>
      <c r="F1965" t="str" cm="1">
        <f t="array" ref="F1965">CategorizeComment(E1965)</f>
        <v>Other</v>
      </c>
      <c r="G1965" t="str" cm="1">
        <f t="array" ref="G1965">SubCategorizeComment(E1965)</f>
        <v>Other</v>
      </c>
    </row>
    <row r="1966" spans="1:7" x14ac:dyDescent="0.25">
      <c r="A1966">
        <v>12745</v>
      </c>
      <c r="B1966" t="s">
        <v>4</v>
      </c>
      <c r="C1966">
        <v>3</v>
      </c>
      <c r="D1966" t="s">
        <v>5</v>
      </c>
      <c r="F1966" t="str" cm="1">
        <f t="array" ref="F1966">CategorizeComment(E1966)</f>
        <v>Other</v>
      </c>
      <c r="G1966" t="str" cm="1">
        <f t="array" ref="G1966">SubCategorizeComment(E1966)</f>
        <v>Other</v>
      </c>
    </row>
    <row r="1967" spans="1:7" x14ac:dyDescent="0.25">
      <c r="A1967">
        <v>12746</v>
      </c>
      <c r="B1967" t="s">
        <v>4</v>
      </c>
      <c r="C1967">
        <v>4</v>
      </c>
      <c r="D1967" t="s">
        <v>5</v>
      </c>
      <c r="F1967" t="str" cm="1">
        <f t="array" ref="F1967">CategorizeComment(E1967)</f>
        <v>Other</v>
      </c>
      <c r="G1967" t="str" cm="1">
        <f t="array" ref="G1967">SubCategorizeComment(E1967)</f>
        <v>Other</v>
      </c>
    </row>
    <row r="1968" spans="1:7" x14ac:dyDescent="0.25">
      <c r="A1968">
        <v>12752</v>
      </c>
      <c r="B1968" t="s">
        <v>4</v>
      </c>
      <c r="C1968">
        <v>4</v>
      </c>
      <c r="D1968" t="s">
        <v>5</v>
      </c>
      <c r="F1968" t="str" cm="1">
        <f t="array" ref="F1968">CategorizeComment(E1968)</f>
        <v>Other</v>
      </c>
      <c r="G1968" t="str" cm="1">
        <f t="array" ref="G1968">SubCategorizeComment(E1968)</f>
        <v>Other</v>
      </c>
    </row>
    <row r="1969" spans="1:7" x14ac:dyDescent="0.25">
      <c r="A1969">
        <v>12761</v>
      </c>
      <c r="B1969" t="s">
        <v>4</v>
      </c>
      <c r="C1969">
        <v>3</v>
      </c>
      <c r="D1969" t="s">
        <v>5</v>
      </c>
      <c r="F1969" t="str" cm="1">
        <f t="array" ref="F1969">CategorizeComment(E1969)</f>
        <v>Other</v>
      </c>
      <c r="G1969" t="str" cm="1">
        <f t="array" ref="G1969">SubCategorizeComment(E1969)</f>
        <v>Other</v>
      </c>
    </row>
    <row r="1970" spans="1:7" x14ac:dyDescent="0.25">
      <c r="A1970">
        <v>12767</v>
      </c>
      <c r="B1970" t="s">
        <v>4</v>
      </c>
      <c r="C1970">
        <v>4</v>
      </c>
      <c r="D1970" t="s">
        <v>5</v>
      </c>
      <c r="F1970" t="str" cm="1">
        <f t="array" ref="F1970">CategorizeComment(E1970)</f>
        <v>Other</v>
      </c>
      <c r="G1970" t="str" cm="1">
        <f t="array" ref="G1970">SubCategorizeComment(E1970)</f>
        <v>Other</v>
      </c>
    </row>
    <row r="1971" spans="1:7" x14ac:dyDescent="0.25">
      <c r="A1971">
        <v>12775</v>
      </c>
      <c r="B1971" t="s">
        <v>4</v>
      </c>
      <c r="C1971">
        <v>4</v>
      </c>
      <c r="D1971" t="s">
        <v>5</v>
      </c>
      <c r="F1971" t="str" cm="1">
        <f t="array" ref="F1971">CategorizeComment(E1971)</f>
        <v>Other</v>
      </c>
      <c r="G1971" t="str" cm="1">
        <f t="array" ref="G1971">SubCategorizeComment(E1971)</f>
        <v>Other</v>
      </c>
    </row>
    <row r="1972" spans="1:7" x14ac:dyDescent="0.25">
      <c r="A1972">
        <v>12786</v>
      </c>
      <c r="B1972" t="s">
        <v>4</v>
      </c>
      <c r="C1972">
        <v>3</v>
      </c>
      <c r="D1972" t="s">
        <v>5</v>
      </c>
      <c r="F1972" t="str" cm="1">
        <f t="array" ref="F1972">CategorizeComment(E1972)</f>
        <v>Other</v>
      </c>
      <c r="G1972" t="str" cm="1">
        <f t="array" ref="G1972">SubCategorizeComment(E1972)</f>
        <v>Other</v>
      </c>
    </row>
    <row r="1973" spans="1:7" x14ac:dyDescent="0.25">
      <c r="A1973">
        <v>12794</v>
      </c>
      <c r="B1973" t="s">
        <v>4</v>
      </c>
      <c r="C1973">
        <v>3</v>
      </c>
      <c r="D1973" t="s">
        <v>5</v>
      </c>
      <c r="F1973" t="str" cm="1">
        <f t="array" ref="F1973">CategorizeComment(E1973)</f>
        <v>Other</v>
      </c>
      <c r="G1973" t="str" cm="1">
        <f t="array" ref="G1973">SubCategorizeComment(E1973)</f>
        <v>Other</v>
      </c>
    </row>
    <row r="1974" spans="1:7" x14ac:dyDescent="0.25">
      <c r="A1974">
        <v>12809</v>
      </c>
      <c r="B1974" t="s">
        <v>4</v>
      </c>
      <c r="C1974">
        <v>4</v>
      </c>
      <c r="D1974" t="s">
        <v>5</v>
      </c>
      <c r="F1974" t="str" cm="1">
        <f t="array" ref="F1974">CategorizeComment(E1974)</f>
        <v>Other</v>
      </c>
      <c r="G1974" t="str" cm="1">
        <f t="array" ref="G1974">SubCategorizeComment(E1974)</f>
        <v>Other</v>
      </c>
    </row>
    <row r="1975" spans="1:7" x14ac:dyDescent="0.25">
      <c r="A1975">
        <v>12817</v>
      </c>
      <c r="B1975" t="s">
        <v>4</v>
      </c>
      <c r="C1975">
        <v>3</v>
      </c>
      <c r="D1975" t="s">
        <v>5</v>
      </c>
      <c r="F1975" t="str" cm="1">
        <f t="array" ref="F1975">CategorizeComment(E1975)</f>
        <v>Other</v>
      </c>
      <c r="G1975" t="str" cm="1">
        <f t="array" ref="G1975">SubCategorizeComment(E1975)</f>
        <v>Other</v>
      </c>
    </row>
    <row r="1976" spans="1:7" x14ac:dyDescent="0.25">
      <c r="A1976">
        <v>12821</v>
      </c>
      <c r="B1976" t="s">
        <v>4</v>
      </c>
      <c r="C1976">
        <v>4</v>
      </c>
      <c r="D1976" t="s">
        <v>5</v>
      </c>
      <c r="F1976" t="str" cm="1">
        <f t="array" ref="F1976">CategorizeComment(E1976)</f>
        <v>Other</v>
      </c>
      <c r="G1976" t="str" cm="1">
        <f t="array" ref="G1976">SubCategorizeComment(E1976)</f>
        <v>Other</v>
      </c>
    </row>
    <row r="1977" spans="1:7" x14ac:dyDescent="0.25">
      <c r="A1977">
        <v>12826</v>
      </c>
      <c r="B1977" t="s">
        <v>4</v>
      </c>
      <c r="C1977">
        <v>3</v>
      </c>
      <c r="D1977" t="s">
        <v>5</v>
      </c>
      <c r="F1977" t="str" cm="1">
        <f t="array" ref="F1977">CategorizeComment(E1977)</f>
        <v>Other</v>
      </c>
      <c r="G1977" t="str" cm="1">
        <f t="array" ref="G1977">SubCategorizeComment(E1977)</f>
        <v>Other</v>
      </c>
    </row>
    <row r="1978" spans="1:7" x14ac:dyDescent="0.25">
      <c r="A1978">
        <v>12827</v>
      </c>
      <c r="B1978" t="s">
        <v>4</v>
      </c>
      <c r="C1978">
        <v>3</v>
      </c>
      <c r="D1978" t="s">
        <v>5</v>
      </c>
      <c r="F1978" t="str" cm="1">
        <f t="array" ref="F1978">CategorizeComment(E1978)</f>
        <v>Other</v>
      </c>
      <c r="G1978" t="str" cm="1">
        <f t="array" ref="G1978">SubCategorizeComment(E1978)</f>
        <v>Other</v>
      </c>
    </row>
    <row r="1979" spans="1:7" x14ac:dyDescent="0.25">
      <c r="A1979">
        <v>12830</v>
      </c>
      <c r="B1979" t="s">
        <v>4</v>
      </c>
      <c r="C1979">
        <v>4</v>
      </c>
      <c r="D1979" t="s">
        <v>5</v>
      </c>
      <c r="F1979" t="str" cm="1">
        <f t="array" ref="F1979">CategorizeComment(E1979)</f>
        <v>Other</v>
      </c>
      <c r="G1979" t="str" cm="1">
        <f t="array" ref="G1979">SubCategorizeComment(E1979)</f>
        <v>Other</v>
      </c>
    </row>
    <row r="1980" spans="1:7" x14ac:dyDescent="0.25">
      <c r="A1980">
        <v>12843</v>
      </c>
      <c r="B1980" t="s">
        <v>4</v>
      </c>
      <c r="C1980">
        <v>4</v>
      </c>
      <c r="D1980" t="s">
        <v>5</v>
      </c>
      <c r="F1980" t="str" cm="1">
        <f t="array" ref="F1980">CategorizeComment(E1980)</f>
        <v>Other</v>
      </c>
      <c r="G1980" t="str" cm="1">
        <f t="array" ref="G1980">SubCategorizeComment(E1980)</f>
        <v>Other</v>
      </c>
    </row>
    <row r="1981" spans="1:7" x14ac:dyDescent="0.25">
      <c r="A1981">
        <v>12846</v>
      </c>
      <c r="B1981" t="s">
        <v>4</v>
      </c>
      <c r="C1981">
        <v>4</v>
      </c>
      <c r="D1981" t="s">
        <v>5</v>
      </c>
      <c r="F1981" t="str" cm="1">
        <f t="array" ref="F1981">CategorizeComment(E1981)</f>
        <v>Other</v>
      </c>
      <c r="G1981" t="str" cm="1">
        <f t="array" ref="G1981">SubCategorizeComment(E1981)</f>
        <v>Other</v>
      </c>
    </row>
    <row r="1982" spans="1:7" x14ac:dyDescent="0.25">
      <c r="A1982">
        <v>12865</v>
      </c>
      <c r="B1982" t="s">
        <v>4</v>
      </c>
      <c r="C1982">
        <v>3</v>
      </c>
      <c r="D1982" t="s">
        <v>5</v>
      </c>
      <c r="F1982" t="str" cm="1">
        <f t="array" ref="F1982">CategorizeComment(E1982)</f>
        <v>Other</v>
      </c>
      <c r="G1982" t="str" cm="1">
        <f t="array" ref="G1982">SubCategorizeComment(E1982)</f>
        <v>Other</v>
      </c>
    </row>
    <row r="1983" spans="1:7" x14ac:dyDescent="0.25">
      <c r="A1983">
        <v>12867</v>
      </c>
      <c r="B1983" t="s">
        <v>4</v>
      </c>
      <c r="C1983">
        <v>4</v>
      </c>
      <c r="D1983" t="s">
        <v>5</v>
      </c>
      <c r="F1983" t="str" cm="1">
        <f t="array" ref="F1983">CategorizeComment(E1983)</f>
        <v>Other</v>
      </c>
      <c r="G1983" t="str" cm="1">
        <f t="array" ref="G1983">SubCategorizeComment(E1983)</f>
        <v>Other</v>
      </c>
    </row>
    <row r="1984" spans="1:7" x14ac:dyDescent="0.25">
      <c r="A1984">
        <v>12868</v>
      </c>
      <c r="B1984" t="s">
        <v>4</v>
      </c>
      <c r="C1984">
        <v>4</v>
      </c>
      <c r="D1984" t="s">
        <v>5</v>
      </c>
      <c r="F1984" t="str" cm="1">
        <f t="array" ref="F1984">CategorizeComment(E1984)</f>
        <v>Other</v>
      </c>
      <c r="G1984" t="str" cm="1">
        <f t="array" ref="G1984">SubCategorizeComment(E1984)</f>
        <v>Other</v>
      </c>
    </row>
    <row r="1985" spans="1:7" x14ac:dyDescent="0.25">
      <c r="A1985">
        <v>12875</v>
      </c>
      <c r="B1985" t="s">
        <v>4</v>
      </c>
      <c r="C1985">
        <v>3</v>
      </c>
      <c r="D1985" t="s">
        <v>5</v>
      </c>
      <c r="F1985" t="str" cm="1">
        <f t="array" ref="F1985">CategorizeComment(E1985)</f>
        <v>Other</v>
      </c>
      <c r="G1985" t="str" cm="1">
        <f t="array" ref="G1985">SubCategorizeComment(E1985)</f>
        <v>Other</v>
      </c>
    </row>
    <row r="1986" spans="1:7" x14ac:dyDescent="0.25">
      <c r="A1986">
        <v>12880</v>
      </c>
      <c r="B1986" t="s">
        <v>4</v>
      </c>
      <c r="C1986">
        <v>4</v>
      </c>
      <c r="D1986" t="s">
        <v>5</v>
      </c>
      <c r="F1986" t="str" cm="1">
        <f t="array" ref="F1986">CategorizeComment(E1986)</f>
        <v>Other</v>
      </c>
      <c r="G1986" t="str" cm="1">
        <f t="array" ref="G1986">SubCategorizeComment(E1986)</f>
        <v>Other</v>
      </c>
    </row>
    <row r="1987" spans="1:7" x14ac:dyDescent="0.25">
      <c r="A1987">
        <v>12898</v>
      </c>
      <c r="B1987" t="s">
        <v>4</v>
      </c>
      <c r="C1987">
        <v>4</v>
      </c>
      <c r="D1987" t="s">
        <v>5</v>
      </c>
      <c r="F1987" t="str" cm="1">
        <f t="array" ref="F1987">CategorizeComment(E1987)</f>
        <v>Other</v>
      </c>
      <c r="G1987" t="str" cm="1">
        <f t="array" ref="G1987">SubCategorizeComment(E1987)</f>
        <v>Other</v>
      </c>
    </row>
    <row r="1988" spans="1:7" x14ac:dyDescent="0.25">
      <c r="A1988">
        <v>12900</v>
      </c>
      <c r="B1988" t="s">
        <v>4</v>
      </c>
      <c r="C1988">
        <v>4</v>
      </c>
      <c r="D1988" t="s">
        <v>5</v>
      </c>
      <c r="F1988" t="str" cm="1">
        <f t="array" ref="F1988">CategorizeComment(E1988)</f>
        <v>Other</v>
      </c>
      <c r="G1988" t="str" cm="1">
        <f t="array" ref="G1988">SubCategorizeComment(E1988)</f>
        <v>Other</v>
      </c>
    </row>
    <row r="1989" spans="1:7" x14ac:dyDescent="0.25">
      <c r="A1989">
        <v>12903</v>
      </c>
      <c r="B1989" t="s">
        <v>4</v>
      </c>
      <c r="C1989">
        <v>3</v>
      </c>
      <c r="D1989" t="s">
        <v>5</v>
      </c>
      <c r="F1989" t="str" cm="1">
        <f t="array" ref="F1989">CategorizeComment(E1989)</f>
        <v>Other</v>
      </c>
      <c r="G1989" t="str" cm="1">
        <f t="array" ref="G1989">SubCategorizeComment(E1989)</f>
        <v>Other</v>
      </c>
    </row>
    <row r="1990" spans="1:7" x14ac:dyDescent="0.25">
      <c r="A1990">
        <v>12905</v>
      </c>
      <c r="B1990" t="s">
        <v>4</v>
      </c>
      <c r="C1990">
        <v>4</v>
      </c>
      <c r="D1990" t="s">
        <v>5</v>
      </c>
      <c r="F1990" t="str" cm="1">
        <f t="array" ref="F1990">CategorizeComment(E1990)</f>
        <v>Other</v>
      </c>
      <c r="G1990" t="str" cm="1">
        <f t="array" ref="G1990">SubCategorizeComment(E1990)</f>
        <v>Other</v>
      </c>
    </row>
    <row r="1991" spans="1:7" x14ac:dyDescent="0.25">
      <c r="A1991">
        <v>12906</v>
      </c>
      <c r="B1991" t="s">
        <v>4</v>
      </c>
      <c r="C1991">
        <v>4</v>
      </c>
      <c r="D1991" t="s">
        <v>5</v>
      </c>
      <c r="F1991" t="str" cm="1">
        <f t="array" ref="F1991">CategorizeComment(E1991)</f>
        <v>Other</v>
      </c>
      <c r="G1991" t="str" cm="1">
        <f t="array" ref="G1991">SubCategorizeComment(E1991)</f>
        <v>Other</v>
      </c>
    </row>
    <row r="1992" spans="1:7" x14ac:dyDescent="0.25">
      <c r="A1992">
        <v>12908</v>
      </c>
      <c r="B1992" t="s">
        <v>4</v>
      </c>
      <c r="C1992">
        <v>4</v>
      </c>
      <c r="D1992" t="s">
        <v>5</v>
      </c>
      <c r="F1992" t="str" cm="1">
        <f t="array" ref="F1992">CategorizeComment(E1992)</f>
        <v>Other</v>
      </c>
      <c r="G1992" t="str" cm="1">
        <f t="array" ref="G1992">SubCategorizeComment(E1992)</f>
        <v>Other</v>
      </c>
    </row>
    <row r="1993" spans="1:7" x14ac:dyDescent="0.25">
      <c r="A1993">
        <v>12910</v>
      </c>
      <c r="B1993" t="s">
        <v>4</v>
      </c>
      <c r="C1993">
        <v>4</v>
      </c>
      <c r="D1993" t="s">
        <v>5</v>
      </c>
      <c r="F1993" t="str" cm="1">
        <f t="array" ref="F1993">CategorizeComment(E1993)</f>
        <v>Other</v>
      </c>
      <c r="G1993" t="str" cm="1">
        <f t="array" ref="G1993">SubCategorizeComment(E1993)</f>
        <v>Other</v>
      </c>
    </row>
    <row r="1994" spans="1:7" x14ac:dyDescent="0.25">
      <c r="A1994">
        <v>12912</v>
      </c>
      <c r="B1994" t="s">
        <v>4</v>
      </c>
      <c r="C1994">
        <v>3</v>
      </c>
      <c r="D1994" t="s">
        <v>5</v>
      </c>
      <c r="F1994" t="str" cm="1">
        <f t="array" ref="F1994">CategorizeComment(E1994)</f>
        <v>Other</v>
      </c>
      <c r="G1994" t="str" cm="1">
        <f t="array" ref="G1994">SubCategorizeComment(E1994)</f>
        <v>Other</v>
      </c>
    </row>
    <row r="1995" spans="1:7" x14ac:dyDescent="0.25">
      <c r="A1995">
        <v>12913</v>
      </c>
      <c r="B1995" t="s">
        <v>4</v>
      </c>
      <c r="C1995">
        <v>3</v>
      </c>
      <c r="D1995" t="s">
        <v>5</v>
      </c>
      <c r="F1995" t="str" cm="1">
        <f t="array" ref="F1995">CategorizeComment(E1995)</f>
        <v>Other</v>
      </c>
      <c r="G1995" t="str" cm="1">
        <f t="array" ref="G1995">SubCategorizeComment(E1995)</f>
        <v>Other</v>
      </c>
    </row>
    <row r="1996" spans="1:7" x14ac:dyDescent="0.25">
      <c r="A1996">
        <v>12916</v>
      </c>
      <c r="B1996" t="s">
        <v>4</v>
      </c>
      <c r="C1996">
        <v>3</v>
      </c>
      <c r="D1996" t="s">
        <v>5</v>
      </c>
      <c r="F1996" t="str" cm="1">
        <f t="array" ref="F1996">CategorizeComment(E1996)</f>
        <v>Other</v>
      </c>
      <c r="G1996" t="str" cm="1">
        <f t="array" ref="G1996">SubCategorizeComment(E1996)</f>
        <v>Other</v>
      </c>
    </row>
    <row r="1997" spans="1:7" x14ac:dyDescent="0.25">
      <c r="A1997">
        <v>12920</v>
      </c>
      <c r="B1997" t="s">
        <v>4</v>
      </c>
      <c r="C1997">
        <v>4</v>
      </c>
      <c r="D1997" t="s">
        <v>5</v>
      </c>
      <c r="F1997" t="str" cm="1">
        <f t="array" ref="F1997">CategorizeComment(E1997)</f>
        <v>Other</v>
      </c>
      <c r="G1997" t="str" cm="1">
        <f t="array" ref="G1997">SubCategorizeComment(E1997)</f>
        <v>Other</v>
      </c>
    </row>
    <row r="1998" spans="1:7" x14ac:dyDescent="0.25">
      <c r="A1998">
        <v>12923</v>
      </c>
      <c r="B1998" t="s">
        <v>4</v>
      </c>
      <c r="C1998">
        <v>4</v>
      </c>
      <c r="D1998" t="s">
        <v>5</v>
      </c>
      <c r="F1998" t="str" cm="1">
        <f t="array" ref="F1998">CategorizeComment(E1998)</f>
        <v>Other</v>
      </c>
      <c r="G1998" t="str" cm="1">
        <f t="array" ref="G1998">SubCategorizeComment(E1998)</f>
        <v>Other</v>
      </c>
    </row>
    <row r="1999" spans="1:7" x14ac:dyDescent="0.25">
      <c r="A1999">
        <v>12933</v>
      </c>
      <c r="B1999" t="s">
        <v>4</v>
      </c>
      <c r="C1999">
        <v>4</v>
      </c>
      <c r="D1999" t="s">
        <v>5</v>
      </c>
      <c r="F1999" t="str" cm="1">
        <f t="array" ref="F1999">CategorizeComment(E1999)</f>
        <v>Other</v>
      </c>
      <c r="G1999" t="str" cm="1">
        <f t="array" ref="G1999">SubCategorizeComment(E1999)</f>
        <v>Other</v>
      </c>
    </row>
    <row r="2000" spans="1:7" x14ac:dyDescent="0.25">
      <c r="A2000">
        <v>12936</v>
      </c>
      <c r="B2000" t="s">
        <v>4</v>
      </c>
      <c r="C2000">
        <v>3</v>
      </c>
      <c r="D2000" t="s">
        <v>5</v>
      </c>
      <c r="F2000" t="str" cm="1">
        <f t="array" ref="F2000">CategorizeComment(E2000)</f>
        <v>Other</v>
      </c>
      <c r="G2000" t="str" cm="1">
        <f t="array" ref="G2000">SubCategorizeComment(E2000)</f>
        <v>Other</v>
      </c>
    </row>
    <row r="2001" spans="1:7" x14ac:dyDescent="0.25">
      <c r="A2001">
        <v>12943</v>
      </c>
      <c r="B2001" t="s">
        <v>4</v>
      </c>
      <c r="C2001">
        <v>3</v>
      </c>
      <c r="D2001" t="s">
        <v>5</v>
      </c>
      <c r="F2001" t="str" cm="1">
        <f t="array" ref="F2001">CategorizeComment(E2001)</f>
        <v>Other</v>
      </c>
      <c r="G2001" t="str" cm="1">
        <f t="array" ref="G2001">SubCategorizeComment(E2001)</f>
        <v>Other</v>
      </c>
    </row>
    <row r="2002" spans="1:7" x14ac:dyDescent="0.25">
      <c r="A2002">
        <v>12948</v>
      </c>
      <c r="B2002" t="s">
        <v>4</v>
      </c>
      <c r="C2002">
        <v>3</v>
      </c>
      <c r="D2002" t="s">
        <v>5</v>
      </c>
      <c r="F2002" t="str" cm="1">
        <f t="array" ref="F2002">CategorizeComment(E2002)</f>
        <v>Other</v>
      </c>
      <c r="G2002" t="str" cm="1">
        <f t="array" ref="G2002">SubCategorizeComment(E2002)</f>
        <v>Other</v>
      </c>
    </row>
    <row r="2003" spans="1:7" x14ac:dyDescent="0.25">
      <c r="A2003">
        <v>12963</v>
      </c>
      <c r="B2003" t="s">
        <v>4</v>
      </c>
      <c r="C2003">
        <v>3</v>
      </c>
      <c r="D2003" t="s">
        <v>5</v>
      </c>
      <c r="F2003" t="str" cm="1">
        <f t="array" ref="F2003">CategorizeComment(E2003)</f>
        <v>Other</v>
      </c>
      <c r="G2003" t="str" cm="1">
        <f t="array" ref="G2003">SubCategorizeComment(E2003)</f>
        <v>Other</v>
      </c>
    </row>
    <row r="2004" spans="1:7" x14ac:dyDescent="0.25">
      <c r="A2004">
        <v>12985</v>
      </c>
      <c r="B2004" t="s">
        <v>4</v>
      </c>
      <c r="C2004">
        <v>4</v>
      </c>
      <c r="D2004" t="s">
        <v>5</v>
      </c>
      <c r="F2004" t="str" cm="1">
        <f t="array" ref="F2004">CategorizeComment(E2004)</f>
        <v>Other</v>
      </c>
      <c r="G2004" t="str" cm="1">
        <f t="array" ref="G2004">SubCategorizeComment(E2004)</f>
        <v>Other</v>
      </c>
    </row>
    <row r="2005" spans="1:7" x14ac:dyDescent="0.25">
      <c r="A2005">
        <v>12990</v>
      </c>
      <c r="B2005" t="s">
        <v>4</v>
      </c>
      <c r="C2005">
        <v>3</v>
      </c>
      <c r="D2005" t="s">
        <v>5</v>
      </c>
      <c r="F2005" t="str" cm="1">
        <f t="array" ref="F2005">CategorizeComment(E2005)</f>
        <v>Other</v>
      </c>
      <c r="G2005" t="str" cm="1">
        <f t="array" ref="G2005">SubCategorizeComment(E2005)</f>
        <v>Other</v>
      </c>
    </row>
    <row r="2006" spans="1:7" x14ac:dyDescent="0.25">
      <c r="A2006">
        <v>12998</v>
      </c>
      <c r="B2006" t="s">
        <v>4</v>
      </c>
      <c r="C2006">
        <v>3</v>
      </c>
      <c r="D2006" t="s">
        <v>5</v>
      </c>
      <c r="F2006" t="str" cm="1">
        <f t="array" ref="F2006">CategorizeComment(E2006)</f>
        <v>Other</v>
      </c>
      <c r="G2006" t="str" cm="1">
        <f t="array" ref="G2006">SubCategorizeComment(E2006)</f>
        <v>Other</v>
      </c>
    </row>
    <row r="2007" spans="1:7" x14ac:dyDescent="0.25">
      <c r="A2007">
        <v>13005</v>
      </c>
      <c r="B2007" t="s">
        <v>4</v>
      </c>
      <c r="C2007">
        <v>4</v>
      </c>
      <c r="D2007" t="s">
        <v>5</v>
      </c>
      <c r="F2007" t="str" cm="1">
        <f t="array" ref="F2007">CategorizeComment(E2007)</f>
        <v>Other</v>
      </c>
      <c r="G2007" t="str" cm="1">
        <f t="array" ref="G2007">SubCategorizeComment(E2007)</f>
        <v>Other</v>
      </c>
    </row>
    <row r="2008" spans="1:7" x14ac:dyDescent="0.25">
      <c r="A2008">
        <v>13012</v>
      </c>
      <c r="B2008" t="s">
        <v>4</v>
      </c>
      <c r="C2008">
        <v>4</v>
      </c>
      <c r="D2008" t="s">
        <v>5</v>
      </c>
      <c r="F2008" t="str" cm="1">
        <f t="array" ref="F2008">CategorizeComment(E2008)</f>
        <v>Other</v>
      </c>
      <c r="G2008" t="str" cm="1">
        <f t="array" ref="G2008">SubCategorizeComment(E2008)</f>
        <v>Other</v>
      </c>
    </row>
    <row r="2009" spans="1:7" x14ac:dyDescent="0.25">
      <c r="A2009">
        <v>13019</v>
      </c>
      <c r="B2009" t="s">
        <v>4</v>
      </c>
      <c r="C2009">
        <v>3</v>
      </c>
      <c r="D2009" t="s">
        <v>5</v>
      </c>
      <c r="F2009" t="str" cm="1">
        <f t="array" ref="F2009">CategorizeComment(E2009)</f>
        <v>Other</v>
      </c>
      <c r="G2009" t="str" cm="1">
        <f t="array" ref="G2009">SubCategorizeComment(E2009)</f>
        <v>Other</v>
      </c>
    </row>
    <row r="2010" spans="1:7" x14ac:dyDescent="0.25">
      <c r="A2010">
        <v>13022</v>
      </c>
      <c r="B2010" t="s">
        <v>4</v>
      </c>
      <c r="C2010">
        <v>3</v>
      </c>
      <c r="D2010" t="s">
        <v>5</v>
      </c>
      <c r="F2010" t="str" cm="1">
        <f t="array" ref="F2010">CategorizeComment(E2010)</f>
        <v>Other</v>
      </c>
      <c r="G2010" t="str" cm="1">
        <f t="array" ref="G2010">SubCategorizeComment(E2010)</f>
        <v>Other</v>
      </c>
    </row>
    <row r="2011" spans="1:7" x14ac:dyDescent="0.25">
      <c r="A2011">
        <v>13060</v>
      </c>
      <c r="B2011" t="s">
        <v>4</v>
      </c>
      <c r="C2011">
        <v>3</v>
      </c>
      <c r="D2011" t="s">
        <v>5</v>
      </c>
      <c r="F2011" t="str" cm="1">
        <f t="array" ref="F2011">CategorizeComment(E2011)</f>
        <v>Other</v>
      </c>
      <c r="G2011" t="str" cm="1">
        <f t="array" ref="G2011">SubCategorizeComment(E2011)</f>
        <v>Other</v>
      </c>
    </row>
    <row r="2012" spans="1:7" x14ac:dyDescent="0.25">
      <c r="A2012">
        <v>13095</v>
      </c>
      <c r="B2012" t="s">
        <v>4</v>
      </c>
      <c r="C2012">
        <v>4</v>
      </c>
      <c r="D2012" t="s">
        <v>5</v>
      </c>
      <c r="F2012" t="str" cm="1">
        <f t="array" ref="F2012">CategorizeComment(E2012)</f>
        <v>Other</v>
      </c>
      <c r="G2012" t="str" cm="1">
        <f t="array" ref="G2012">SubCategorizeComment(E2012)</f>
        <v>Other</v>
      </c>
    </row>
    <row r="2013" spans="1:7" x14ac:dyDescent="0.25">
      <c r="A2013">
        <v>13098</v>
      </c>
      <c r="B2013" t="s">
        <v>4</v>
      </c>
      <c r="C2013">
        <v>4</v>
      </c>
      <c r="D2013" t="s">
        <v>5</v>
      </c>
      <c r="F2013" t="str" cm="1">
        <f t="array" ref="F2013">CategorizeComment(E2013)</f>
        <v>Other</v>
      </c>
      <c r="G2013" t="str" cm="1">
        <f t="array" ref="G2013">SubCategorizeComment(E2013)</f>
        <v>Other</v>
      </c>
    </row>
    <row r="2014" spans="1:7" x14ac:dyDescent="0.25">
      <c r="A2014">
        <v>13108</v>
      </c>
      <c r="B2014" t="s">
        <v>4</v>
      </c>
      <c r="C2014">
        <v>3</v>
      </c>
      <c r="D2014" t="s">
        <v>5</v>
      </c>
      <c r="F2014" t="str" cm="1">
        <f t="array" ref="F2014">CategorizeComment(E2014)</f>
        <v>Other</v>
      </c>
      <c r="G2014" t="str" cm="1">
        <f t="array" ref="G2014">SubCategorizeComment(E2014)</f>
        <v>Other</v>
      </c>
    </row>
    <row r="2015" spans="1:7" x14ac:dyDescent="0.25">
      <c r="A2015">
        <v>13116</v>
      </c>
      <c r="B2015" t="s">
        <v>4</v>
      </c>
      <c r="C2015">
        <v>3</v>
      </c>
      <c r="D2015" t="s">
        <v>5</v>
      </c>
      <c r="F2015" t="str" cm="1">
        <f t="array" ref="F2015">CategorizeComment(E2015)</f>
        <v>Other</v>
      </c>
      <c r="G2015" t="str" cm="1">
        <f t="array" ref="G2015">SubCategorizeComment(E2015)</f>
        <v>Other</v>
      </c>
    </row>
    <row r="2016" spans="1:7" x14ac:dyDescent="0.25">
      <c r="A2016">
        <v>13139</v>
      </c>
      <c r="B2016" t="s">
        <v>4</v>
      </c>
      <c r="C2016">
        <v>3</v>
      </c>
      <c r="D2016" t="s">
        <v>5</v>
      </c>
      <c r="F2016" t="str" cm="1">
        <f t="array" ref="F2016">CategorizeComment(E2016)</f>
        <v>Other</v>
      </c>
      <c r="G2016" t="str" cm="1">
        <f t="array" ref="G2016">SubCategorizeComment(E2016)</f>
        <v>Other</v>
      </c>
    </row>
    <row r="2017" spans="1:7" x14ac:dyDescent="0.25">
      <c r="A2017">
        <v>13140</v>
      </c>
      <c r="B2017" t="s">
        <v>4</v>
      </c>
      <c r="C2017">
        <v>3</v>
      </c>
      <c r="D2017" t="s">
        <v>5</v>
      </c>
      <c r="F2017" t="str" cm="1">
        <f t="array" ref="F2017">CategorizeComment(E2017)</f>
        <v>Other</v>
      </c>
      <c r="G2017" t="str" cm="1">
        <f t="array" ref="G2017">SubCategorizeComment(E2017)</f>
        <v>Other</v>
      </c>
    </row>
    <row r="2018" spans="1:7" x14ac:dyDescent="0.25">
      <c r="A2018">
        <v>13144</v>
      </c>
      <c r="B2018" t="s">
        <v>4</v>
      </c>
      <c r="C2018">
        <v>4</v>
      </c>
      <c r="D2018" t="s">
        <v>5</v>
      </c>
      <c r="F2018" t="str" cm="1">
        <f t="array" ref="F2018">CategorizeComment(E2018)</f>
        <v>Other</v>
      </c>
      <c r="G2018" t="str" cm="1">
        <f t="array" ref="G2018">SubCategorizeComment(E2018)</f>
        <v>Other</v>
      </c>
    </row>
    <row r="2019" spans="1:7" x14ac:dyDescent="0.25">
      <c r="A2019">
        <v>13148</v>
      </c>
      <c r="B2019" t="s">
        <v>4</v>
      </c>
      <c r="C2019">
        <v>4</v>
      </c>
      <c r="D2019" t="s">
        <v>5</v>
      </c>
      <c r="F2019" t="str" cm="1">
        <f t="array" ref="F2019">CategorizeComment(E2019)</f>
        <v>Other</v>
      </c>
      <c r="G2019" t="str" cm="1">
        <f t="array" ref="G2019">SubCategorizeComment(E2019)</f>
        <v>Other</v>
      </c>
    </row>
    <row r="2020" spans="1:7" x14ac:dyDescent="0.25">
      <c r="A2020">
        <v>13150</v>
      </c>
      <c r="B2020" t="s">
        <v>4</v>
      </c>
      <c r="C2020">
        <v>3</v>
      </c>
      <c r="D2020" t="s">
        <v>5</v>
      </c>
      <c r="F2020" t="str" cm="1">
        <f t="array" ref="F2020">CategorizeComment(E2020)</f>
        <v>Other</v>
      </c>
      <c r="G2020" t="str" cm="1">
        <f t="array" ref="G2020">SubCategorizeComment(E2020)</f>
        <v>Other</v>
      </c>
    </row>
    <row r="2021" spans="1:7" x14ac:dyDescent="0.25">
      <c r="A2021">
        <v>13160</v>
      </c>
      <c r="B2021" t="s">
        <v>4</v>
      </c>
      <c r="C2021">
        <v>4</v>
      </c>
      <c r="D2021" t="s">
        <v>5</v>
      </c>
      <c r="F2021" t="str" cm="1">
        <f t="array" ref="F2021">CategorizeComment(E2021)</f>
        <v>Other</v>
      </c>
      <c r="G2021" t="str" cm="1">
        <f t="array" ref="G2021">SubCategorizeComment(E2021)</f>
        <v>Other</v>
      </c>
    </row>
    <row r="2022" spans="1:7" x14ac:dyDescent="0.25">
      <c r="A2022">
        <v>13164</v>
      </c>
      <c r="B2022" t="s">
        <v>4</v>
      </c>
      <c r="C2022">
        <v>3</v>
      </c>
      <c r="D2022" t="s">
        <v>5</v>
      </c>
      <c r="F2022" t="str" cm="1">
        <f t="array" ref="F2022">CategorizeComment(E2022)</f>
        <v>Other</v>
      </c>
      <c r="G2022" t="str" cm="1">
        <f t="array" ref="G2022">SubCategorizeComment(E2022)</f>
        <v>Other</v>
      </c>
    </row>
    <row r="2023" spans="1:7" x14ac:dyDescent="0.25">
      <c r="A2023">
        <v>13177</v>
      </c>
      <c r="B2023" t="s">
        <v>4</v>
      </c>
      <c r="C2023">
        <v>3</v>
      </c>
      <c r="D2023" t="s">
        <v>5</v>
      </c>
      <c r="F2023" t="str" cm="1">
        <f t="array" ref="F2023">CategorizeComment(E2023)</f>
        <v>Other</v>
      </c>
      <c r="G2023" t="str" cm="1">
        <f t="array" ref="G2023">SubCategorizeComment(E2023)</f>
        <v>Other</v>
      </c>
    </row>
    <row r="2024" spans="1:7" x14ac:dyDescent="0.25">
      <c r="A2024">
        <v>13186</v>
      </c>
      <c r="B2024" t="s">
        <v>4</v>
      </c>
      <c r="C2024">
        <v>4</v>
      </c>
      <c r="D2024" t="s">
        <v>5</v>
      </c>
      <c r="F2024" t="str" cm="1">
        <f t="array" ref="F2024">CategorizeComment(E2024)</f>
        <v>Other</v>
      </c>
      <c r="G2024" t="str" cm="1">
        <f t="array" ref="G2024">SubCategorizeComment(E2024)</f>
        <v>Other</v>
      </c>
    </row>
    <row r="2025" spans="1:7" x14ac:dyDescent="0.25">
      <c r="A2025">
        <v>13192</v>
      </c>
      <c r="B2025" t="s">
        <v>4</v>
      </c>
      <c r="C2025">
        <v>3</v>
      </c>
      <c r="D2025" t="s">
        <v>5</v>
      </c>
      <c r="F2025" t="str" cm="1">
        <f t="array" ref="F2025">CategorizeComment(E2025)</f>
        <v>Other</v>
      </c>
      <c r="G2025" t="str" cm="1">
        <f t="array" ref="G2025">SubCategorizeComment(E2025)</f>
        <v>Other</v>
      </c>
    </row>
    <row r="2026" spans="1:7" x14ac:dyDescent="0.25">
      <c r="A2026">
        <v>13193</v>
      </c>
      <c r="B2026" t="s">
        <v>4</v>
      </c>
      <c r="C2026">
        <v>4</v>
      </c>
      <c r="D2026" t="s">
        <v>5</v>
      </c>
      <c r="F2026" t="str" cm="1">
        <f t="array" ref="F2026">CategorizeComment(E2026)</f>
        <v>Other</v>
      </c>
      <c r="G2026" t="str" cm="1">
        <f t="array" ref="G2026">SubCategorizeComment(E2026)</f>
        <v>Other</v>
      </c>
    </row>
    <row r="2027" spans="1:7" x14ac:dyDescent="0.25">
      <c r="A2027">
        <v>13198</v>
      </c>
      <c r="B2027" t="s">
        <v>4</v>
      </c>
      <c r="C2027">
        <v>4</v>
      </c>
      <c r="D2027" t="s">
        <v>5</v>
      </c>
      <c r="F2027" t="str" cm="1">
        <f t="array" ref="F2027">CategorizeComment(E2027)</f>
        <v>Other</v>
      </c>
      <c r="G2027" t="str" cm="1">
        <f t="array" ref="G2027">SubCategorizeComment(E2027)</f>
        <v>Other</v>
      </c>
    </row>
    <row r="2028" spans="1:7" x14ac:dyDescent="0.25">
      <c r="A2028">
        <v>13200</v>
      </c>
      <c r="B2028" t="s">
        <v>4</v>
      </c>
      <c r="C2028">
        <v>4</v>
      </c>
      <c r="D2028" t="s">
        <v>5</v>
      </c>
      <c r="F2028" t="str" cm="1">
        <f t="array" ref="F2028">CategorizeComment(E2028)</f>
        <v>Other</v>
      </c>
      <c r="G2028" t="str" cm="1">
        <f t="array" ref="G2028">SubCategorizeComment(E2028)</f>
        <v>Other</v>
      </c>
    </row>
    <row r="2029" spans="1:7" x14ac:dyDescent="0.25">
      <c r="A2029">
        <v>13206</v>
      </c>
      <c r="B2029" t="s">
        <v>4</v>
      </c>
      <c r="C2029">
        <v>4</v>
      </c>
      <c r="D2029" t="s">
        <v>5</v>
      </c>
      <c r="F2029" t="str" cm="1">
        <f t="array" ref="F2029">CategorizeComment(E2029)</f>
        <v>Other</v>
      </c>
      <c r="G2029" t="str" cm="1">
        <f t="array" ref="G2029">SubCategorizeComment(E2029)</f>
        <v>Other</v>
      </c>
    </row>
    <row r="2030" spans="1:7" x14ac:dyDescent="0.25">
      <c r="A2030">
        <v>13235</v>
      </c>
      <c r="B2030" t="s">
        <v>4</v>
      </c>
      <c r="C2030">
        <v>3</v>
      </c>
      <c r="D2030" t="s">
        <v>5</v>
      </c>
      <c r="F2030" t="str" cm="1">
        <f t="array" ref="F2030">CategorizeComment(E2030)</f>
        <v>Other</v>
      </c>
      <c r="G2030" t="str" cm="1">
        <f t="array" ref="G2030">SubCategorizeComment(E2030)</f>
        <v>Other</v>
      </c>
    </row>
    <row r="2031" spans="1:7" x14ac:dyDescent="0.25">
      <c r="A2031">
        <v>13239</v>
      </c>
      <c r="B2031" t="s">
        <v>4</v>
      </c>
      <c r="C2031">
        <v>3</v>
      </c>
      <c r="D2031" t="s">
        <v>5</v>
      </c>
      <c r="F2031" t="str" cm="1">
        <f t="array" ref="F2031">CategorizeComment(E2031)</f>
        <v>Other</v>
      </c>
      <c r="G2031" t="str" cm="1">
        <f t="array" ref="G2031">SubCategorizeComment(E2031)</f>
        <v>Other</v>
      </c>
    </row>
    <row r="2032" spans="1:7" x14ac:dyDescent="0.25">
      <c r="A2032">
        <v>13248</v>
      </c>
      <c r="B2032" t="s">
        <v>4</v>
      </c>
      <c r="C2032">
        <v>3</v>
      </c>
      <c r="D2032" t="s">
        <v>5</v>
      </c>
      <c r="F2032" t="str" cm="1">
        <f t="array" ref="F2032">CategorizeComment(E2032)</f>
        <v>Other</v>
      </c>
      <c r="G2032" t="str" cm="1">
        <f t="array" ref="G2032">SubCategorizeComment(E2032)</f>
        <v>Other</v>
      </c>
    </row>
    <row r="2033" spans="1:7" x14ac:dyDescent="0.25">
      <c r="A2033">
        <v>13254</v>
      </c>
      <c r="B2033" t="s">
        <v>4</v>
      </c>
      <c r="C2033">
        <v>3</v>
      </c>
      <c r="D2033" t="s">
        <v>5</v>
      </c>
      <c r="F2033" t="str" cm="1">
        <f t="array" ref="F2033">CategorizeComment(E2033)</f>
        <v>Other</v>
      </c>
      <c r="G2033" t="str" cm="1">
        <f t="array" ref="G2033">SubCategorizeComment(E2033)</f>
        <v>Other</v>
      </c>
    </row>
    <row r="2034" spans="1:7" x14ac:dyDescent="0.25">
      <c r="A2034">
        <v>13255</v>
      </c>
      <c r="B2034" t="s">
        <v>4</v>
      </c>
      <c r="C2034">
        <v>4</v>
      </c>
      <c r="D2034" t="s">
        <v>5</v>
      </c>
      <c r="F2034" t="str" cm="1">
        <f t="array" ref="F2034">CategorizeComment(E2034)</f>
        <v>Other</v>
      </c>
      <c r="G2034" t="str" cm="1">
        <f t="array" ref="G2034">SubCategorizeComment(E2034)</f>
        <v>Other</v>
      </c>
    </row>
    <row r="2035" spans="1:7" x14ac:dyDescent="0.25">
      <c r="A2035">
        <v>13262</v>
      </c>
      <c r="B2035" t="s">
        <v>4</v>
      </c>
      <c r="C2035">
        <v>4</v>
      </c>
      <c r="D2035" t="s">
        <v>5</v>
      </c>
      <c r="F2035" t="str" cm="1">
        <f t="array" ref="F2035">CategorizeComment(E2035)</f>
        <v>Other</v>
      </c>
      <c r="G2035" t="str" cm="1">
        <f t="array" ref="G2035">SubCategorizeComment(E2035)</f>
        <v>Other</v>
      </c>
    </row>
    <row r="2036" spans="1:7" x14ac:dyDescent="0.25">
      <c r="A2036">
        <v>13263</v>
      </c>
      <c r="B2036" t="s">
        <v>4</v>
      </c>
      <c r="C2036">
        <v>3</v>
      </c>
      <c r="D2036" t="s">
        <v>5</v>
      </c>
      <c r="F2036" t="str" cm="1">
        <f t="array" ref="F2036">CategorizeComment(E2036)</f>
        <v>Other</v>
      </c>
      <c r="G2036" t="str" cm="1">
        <f t="array" ref="G2036">SubCategorizeComment(E2036)</f>
        <v>Other</v>
      </c>
    </row>
    <row r="2037" spans="1:7" x14ac:dyDescent="0.25">
      <c r="A2037">
        <v>13268</v>
      </c>
      <c r="B2037" t="s">
        <v>4</v>
      </c>
      <c r="C2037">
        <v>4</v>
      </c>
      <c r="D2037" t="s">
        <v>5</v>
      </c>
      <c r="F2037" t="str" cm="1">
        <f t="array" ref="F2037">CategorizeComment(E2037)</f>
        <v>Other</v>
      </c>
      <c r="G2037" t="str" cm="1">
        <f t="array" ref="G2037">SubCategorizeComment(E2037)</f>
        <v>Other</v>
      </c>
    </row>
    <row r="2038" spans="1:7" x14ac:dyDescent="0.25">
      <c r="A2038">
        <v>13277</v>
      </c>
      <c r="B2038" t="s">
        <v>4</v>
      </c>
      <c r="C2038">
        <v>4</v>
      </c>
      <c r="D2038" t="s">
        <v>5</v>
      </c>
      <c r="F2038" t="str" cm="1">
        <f t="array" ref="F2038">CategorizeComment(E2038)</f>
        <v>Other</v>
      </c>
      <c r="G2038" t="str" cm="1">
        <f t="array" ref="G2038">SubCategorizeComment(E2038)</f>
        <v>Other</v>
      </c>
    </row>
    <row r="2039" spans="1:7" x14ac:dyDescent="0.25">
      <c r="A2039">
        <v>13278</v>
      </c>
      <c r="B2039" t="s">
        <v>4</v>
      </c>
      <c r="C2039">
        <v>3</v>
      </c>
      <c r="D2039" t="s">
        <v>5</v>
      </c>
      <c r="F2039" t="str" cm="1">
        <f t="array" ref="F2039">CategorizeComment(E2039)</f>
        <v>Other</v>
      </c>
      <c r="G2039" t="str" cm="1">
        <f t="array" ref="G2039">SubCategorizeComment(E2039)</f>
        <v>Other</v>
      </c>
    </row>
    <row r="2040" spans="1:7" x14ac:dyDescent="0.25">
      <c r="A2040">
        <v>13282</v>
      </c>
      <c r="B2040" t="s">
        <v>4</v>
      </c>
      <c r="C2040">
        <v>3</v>
      </c>
      <c r="D2040" t="s">
        <v>5</v>
      </c>
      <c r="F2040" t="str" cm="1">
        <f t="array" ref="F2040">CategorizeComment(E2040)</f>
        <v>Other</v>
      </c>
      <c r="G2040" t="str" cm="1">
        <f t="array" ref="G2040">SubCategorizeComment(E2040)</f>
        <v>Other</v>
      </c>
    </row>
    <row r="2041" spans="1:7" x14ac:dyDescent="0.25">
      <c r="A2041">
        <v>13292</v>
      </c>
      <c r="B2041" t="s">
        <v>4</v>
      </c>
      <c r="C2041">
        <v>4</v>
      </c>
      <c r="D2041" t="s">
        <v>5</v>
      </c>
      <c r="F2041" t="str" cm="1">
        <f t="array" ref="F2041">CategorizeComment(E2041)</f>
        <v>Other</v>
      </c>
      <c r="G2041" t="str" cm="1">
        <f t="array" ref="G2041">SubCategorizeComment(E2041)</f>
        <v>Other</v>
      </c>
    </row>
    <row r="2042" spans="1:7" x14ac:dyDescent="0.25">
      <c r="A2042">
        <v>13293</v>
      </c>
      <c r="B2042" t="s">
        <v>4</v>
      </c>
      <c r="C2042">
        <v>4</v>
      </c>
      <c r="D2042" t="s">
        <v>5</v>
      </c>
      <c r="F2042" t="str" cm="1">
        <f t="array" ref="F2042">CategorizeComment(E2042)</f>
        <v>Other</v>
      </c>
      <c r="G2042" t="str" cm="1">
        <f t="array" ref="G2042">SubCategorizeComment(E2042)</f>
        <v>Other</v>
      </c>
    </row>
    <row r="2043" spans="1:7" x14ac:dyDescent="0.25">
      <c r="A2043">
        <v>13298</v>
      </c>
      <c r="B2043" t="s">
        <v>4</v>
      </c>
      <c r="C2043">
        <v>4</v>
      </c>
      <c r="D2043" t="s">
        <v>5</v>
      </c>
      <c r="F2043" t="str" cm="1">
        <f t="array" ref="F2043">CategorizeComment(E2043)</f>
        <v>Other</v>
      </c>
      <c r="G2043" t="str" cm="1">
        <f t="array" ref="G2043">SubCategorizeComment(E2043)</f>
        <v>Other</v>
      </c>
    </row>
    <row r="2044" spans="1:7" x14ac:dyDescent="0.25">
      <c r="A2044">
        <v>13302</v>
      </c>
      <c r="B2044" t="s">
        <v>4</v>
      </c>
      <c r="C2044">
        <v>4</v>
      </c>
      <c r="D2044" t="s">
        <v>5</v>
      </c>
      <c r="F2044" t="str" cm="1">
        <f t="array" ref="F2044">CategorizeComment(E2044)</f>
        <v>Other</v>
      </c>
      <c r="G2044" t="str" cm="1">
        <f t="array" ref="G2044">SubCategorizeComment(E2044)</f>
        <v>Other</v>
      </c>
    </row>
    <row r="2045" spans="1:7" x14ac:dyDescent="0.25">
      <c r="A2045">
        <v>13304</v>
      </c>
      <c r="B2045" t="s">
        <v>4</v>
      </c>
      <c r="C2045">
        <v>3</v>
      </c>
      <c r="D2045" t="s">
        <v>5</v>
      </c>
      <c r="F2045" t="str" cm="1">
        <f t="array" ref="F2045">CategorizeComment(E2045)</f>
        <v>Other</v>
      </c>
      <c r="G2045" t="str" cm="1">
        <f t="array" ref="G2045">SubCategorizeComment(E2045)</f>
        <v>Other</v>
      </c>
    </row>
    <row r="2046" spans="1:7" x14ac:dyDescent="0.25">
      <c r="A2046">
        <v>13310</v>
      </c>
      <c r="B2046" t="s">
        <v>4</v>
      </c>
      <c r="C2046">
        <v>4</v>
      </c>
      <c r="D2046" t="s">
        <v>5</v>
      </c>
      <c r="F2046" t="str" cm="1">
        <f t="array" ref="F2046">CategorizeComment(E2046)</f>
        <v>Other</v>
      </c>
      <c r="G2046" t="str" cm="1">
        <f t="array" ref="G2046">SubCategorizeComment(E2046)</f>
        <v>Other</v>
      </c>
    </row>
    <row r="2047" spans="1:7" x14ac:dyDescent="0.25">
      <c r="A2047">
        <v>13320</v>
      </c>
      <c r="B2047" t="s">
        <v>4</v>
      </c>
      <c r="C2047">
        <v>4</v>
      </c>
      <c r="D2047" t="s">
        <v>5</v>
      </c>
      <c r="F2047" t="str" cm="1">
        <f t="array" ref="F2047">CategorizeComment(E2047)</f>
        <v>Other</v>
      </c>
      <c r="G2047" t="str" cm="1">
        <f t="array" ref="G2047">SubCategorizeComment(E2047)</f>
        <v>Other</v>
      </c>
    </row>
    <row r="2048" spans="1:7" x14ac:dyDescent="0.25">
      <c r="A2048">
        <v>13343</v>
      </c>
      <c r="B2048" t="s">
        <v>4</v>
      </c>
      <c r="C2048">
        <v>3</v>
      </c>
      <c r="D2048" t="s">
        <v>5</v>
      </c>
      <c r="F2048" t="str" cm="1">
        <f t="array" ref="F2048">CategorizeComment(E2048)</f>
        <v>Other</v>
      </c>
      <c r="G2048" t="str" cm="1">
        <f t="array" ref="G2048">SubCategorizeComment(E2048)</f>
        <v>Other</v>
      </c>
    </row>
    <row r="2049" spans="1:7" x14ac:dyDescent="0.25">
      <c r="A2049">
        <v>13361</v>
      </c>
      <c r="B2049" t="s">
        <v>4</v>
      </c>
      <c r="C2049">
        <v>4</v>
      </c>
      <c r="D2049" t="s">
        <v>5</v>
      </c>
      <c r="F2049" t="str" cm="1">
        <f t="array" ref="F2049">CategorizeComment(E2049)</f>
        <v>Other</v>
      </c>
      <c r="G2049" t="str" cm="1">
        <f t="array" ref="G2049">SubCategorizeComment(E2049)</f>
        <v>Other</v>
      </c>
    </row>
    <row r="2050" spans="1:7" x14ac:dyDescent="0.25">
      <c r="A2050">
        <v>13366</v>
      </c>
      <c r="B2050" t="s">
        <v>4</v>
      </c>
      <c r="C2050">
        <v>3</v>
      </c>
      <c r="D2050" t="s">
        <v>5</v>
      </c>
      <c r="F2050" t="str" cm="1">
        <f t="array" ref="F2050">CategorizeComment(E2050)</f>
        <v>Other</v>
      </c>
      <c r="G2050" t="str" cm="1">
        <f t="array" ref="G2050">SubCategorizeComment(E2050)</f>
        <v>Other</v>
      </c>
    </row>
    <row r="2051" spans="1:7" x14ac:dyDescent="0.25">
      <c r="A2051">
        <v>13372</v>
      </c>
      <c r="B2051" t="s">
        <v>4</v>
      </c>
      <c r="C2051">
        <v>3</v>
      </c>
      <c r="D2051" t="s">
        <v>5</v>
      </c>
      <c r="F2051" t="str" cm="1">
        <f t="array" ref="F2051">CategorizeComment(E2051)</f>
        <v>Other</v>
      </c>
      <c r="G2051" t="str" cm="1">
        <f t="array" ref="G2051">SubCategorizeComment(E2051)</f>
        <v>Other</v>
      </c>
    </row>
    <row r="2052" spans="1:7" x14ac:dyDescent="0.25">
      <c r="A2052">
        <v>13375</v>
      </c>
      <c r="B2052" t="s">
        <v>4</v>
      </c>
      <c r="C2052">
        <v>4</v>
      </c>
      <c r="D2052" t="s">
        <v>5</v>
      </c>
      <c r="F2052" t="str" cm="1">
        <f t="array" ref="F2052">CategorizeComment(E2052)</f>
        <v>Other</v>
      </c>
      <c r="G2052" t="str" cm="1">
        <f t="array" ref="G2052">SubCategorizeComment(E2052)</f>
        <v>Other</v>
      </c>
    </row>
    <row r="2053" spans="1:7" x14ac:dyDescent="0.25">
      <c r="A2053">
        <v>13381</v>
      </c>
      <c r="B2053" t="s">
        <v>4</v>
      </c>
      <c r="C2053">
        <v>3</v>
      </c>
      <c r="D2053" t="s">
        <v>5</v>
      </c>
      <c r="F2053" t="str" cm="1">
        <f t="array" ref="F2053">CategorizeComment(E2053)</f>
        <v>Other</v>
      </c>
      <c r="G2053" t="str" cm="1">
        <f t="array" ref="G2053">SubCategorizeComment(E2053)</f>
        <v>Other</v>
      </c>
    </row>
    <row r="2054" spans="1:7" x14ac:dyDescent="0.25">
      <c r="A2054">
        <v>13389</v>
      </c>
      <c r="B2054" t="s">
        <v>4</v>
      </c>
      <c r="C2054">
        <v>4</v>
      </c>
      <c r="D2054" t="s">
        <v>5</v>
      </c>
      <c r="F2054" t="str" cm="1">
        <f t="array" ref="F2054">CategorizeComment(E2054)</f>
        <v>Other</v>
      </c>
      <c r="G2054" t="str" cm="1">
        <f t="array" ref="G2054">SubCategorizeComment(E2054)</f>
        <v>Other</v>
      </c>
    </row>
    <row r="2055" spans="1:7" x14ac:dyDescent="0.25">
      <c r="A2055">
        <v>13402</v>
      </c>
      <c r="B2055" t="s">
        <v>4</v>
      </c>
      <c r="C2055">
        <v>3</v>
      </c>
      <c r="D2055" t="s">
        <v>5</v>
      </c>
      <c r="F2055" t="str" cm="1">
        <f t="array" ref="F2055">CategorizeComment(E2055)</f>
        <v>Other</v>
      </c>
      <c r="G2055" t="str" cm="1">
        <f t="array" ref="G2055">SubCategorizeComment(E2055)</f>
        <v>Other</v>
      </c>
    </row>
    <row r="2056" spans="1:7" x14ac:dyDescent="0.25">
      <c r="A2056">
        <v>13435</v>
      </c>
      <c r="B2056" t="s">
        <v>4</v>
      </c>
      <c r="C2056">
        <v>3</v>
      </c>
      <c r="D2056" t="s">
        <v>5</v>
      </c>
      <c r="F2056" t="str" cm="1">
        <f t="array" ref="F2056">CategorizeComment(E2056)</f>
        <v>Other</v>
      </c>
      <c r="G2056" t="str" cm="1">
        <f t="array" ref="G2056">SubCategorizeComment(E2056)</f>
        <v>Other</v>
      </c>
    </row>
    <row r="2057" spans="1:7" x14ac:dyDescent="0.25">
      <c r="A2057">
        <v>13440</v>
      </c>
      <c r="B2057" t="s">
        <v>4</v>
      </c>
      <c r="C2057">
        <v>4</v>
      </c>
      <c r="D2057" t="s">
        <v>5</v>
      </c>
      <c r="F2057" t="str" cm="1">
        <f t="array" ref="F2057">CategorizeComment(E2057)</f>
        <v>Other</v>
      </c>
      <c r="G2057" t="str" cm="1">
        <f t="array" ref="G2057">SubCategorizeComment(E2057)</f>
        <v>Other</v>
      </c>
    </row>
    <row r="2058" spans="1:7" x14ac:dyDescent="0.25">
      <c r="A2058">
        <v>13441</v>
      </c>
      <c r="B2058" t="s">
        <v>4</v>
      </c>
      <c r="C2058">
        <v>3</v>
      </c>
      <c r="D2058" t="s">
        <v>5</v>
      </c>
      <c r="F2058" t="str" cm="1">
        <f t="array" ref="F2058">CategorizeComment(E2058)</f>
        <v>Other</v>
      </c>
      <c r="G2058" t="str" cm="1">
        <f t="array" ref="G2058">SubCategorizeComment(E2058)</f>
        <v>Other</v>
      </c>
    </row>
    <row r="2059" spans="1:7" x14ac:dyDescent="0.25">
      <c r="A2059">
        <v>13449</v>
      </c>
      <c r="B2059" t="s">
        <v>4</v>
      </c>
      <c r="C2059">
        <v>4</v>
      </c>
      <c r="D2059" t="s">
        <v>5</v>
      </c>
      <c r="F2059" t="str" cm="1">
        <f t="array" ref="F2059">CategorizeComment(E2059)</f>
        <v>Other</v>
      </c>
      <c r="G2059" t="str" cm="1">
        <f t="array" ref="G2059">SubCategorizeComment(E2059)</f>
        <v>Other</v>
      </c>
    </row>
    <row r="2060" spans="1:7" x14ac:dyDescent="0.25">
      <c r="A2060">
        <v>13451</v>
      </c>
      <c r="B2060" t="s">
        <v>4</v>
      </c>
      <c r="C2060">
        <v>4</v>
      </c>
      <c r="D2060" t="s">
        <v>5</v>
      </c>
      <c r="F2060" t="str" cm="1">
        <f t="array" ref="F2060">CategorizeComment(E2060)</f>
        <v>Other</v>
      </c>
      <c r="G2060" t="str" cm="1">
        <f t="array" ref="G2060">SubCategorizeComment(E2060)</f>
        <v>Other</v>
      </c>
    </row>
    <row r="2061" spans="1:7" x14ac:dyDescent="0.25">
      <c r="A2061">
        <v>13453</v>
      </c>
      <c r="B2061" t="s">
        <v>4</v>
      </c>
      <c r="C2061">
        <v>4</v>
      </c>
      <c r="D2061" t="s">
        <v>5</v>
      </c>
      <c r="F2061" t="str" cm="1">
        <f t="array" ref="F2061">CategorizeComment(E2061)</f>
        <v>Other</v>
      </c>
      <c r="G2061" t="str" cm="1">
        <f t="array" ref="G2061">SubCategorizeComment(E2061)</f>
        <v>Other</v>
      </c>
    </row>
    <row r="2062" spans="1:7" x14ac:dyDescent="0.25">
      <c r="A2062">
        <v>13469</v>
      </c>
      <c r="B2062" t="s">
        <v>4</v>
      </c>
      <c r="C2062">
        <v>3</v>
      </c>
      <c r="D2062" t="s">
        <v>5</v>
      </c>
      <c r="F2062" t="str" cm="1">
        <f t="array" ref="F2062">CategorizeComment(E2062)</f>
        <v>Other</v>
      </c>
      <c r="G2062" t="str" cm="1">
        <f t="array" ref="G2062">SubCategorizeComment(E2062)</f>
        <v>Other</v>
      </c>
    </row>
    <row r="2063" spans="1:7" x14ac:dyDescent="0.25">
      <c r="A2063">
        <v>13475</v>
      </c>
      <c r="B2063" t="s">
        <v>4</v>
      </c>
      <c r="C2063">
        <v>3</v>
      </c>
      <c r="D2063" t="s">
        <v>5</v>
      </c>
      <c r="F2063" t="str" cm="1">
        <f t="array" ref="F2063">CategorizeComment(E2063)</f>
        <v>Other</v>
      </c>
      <c r="G2063" t="str" cm="1">
        <f t="array" ref="G2063">SubCategorizeComment(E2063)</f>
        <v>Other</v>
      </c>
    </row>
    <row r="2064" spans="1:7" x14ac:dyDescent="0.25">
      <c r="A2064">
        <v>13492</v>
      </c>
      <c r="B2064" t="s">
        <v>4</v>
      </c>
      <c r="C2064">
        <v>3</v>
      </c>
      <c r="D2064" t="s">
        <v>5</v>
      </c>
      <c r="F2064" t="str" cm="1">
        <f t="array" ref="F2064">CategorizeComment(E2064)</f>
        <v>Other</v>
      </c>
      <c r="G2064" t="str" cm="1">
        <f t="array" ref="G2064">SubCategorizeComment(E2064)</f>
        <v>Other</v>
      </c>
    </row>
    <row r="2065" spans="1:7" x14ac:dyDescent="0.25">
      <c r="A2065">
        <v>13518</v>
      </c>
      <c r="B2065" t="s">
        <v>4</v>
      </c>
      <c r="C2065">
        <v>3</v>
      </c>
      <c r="D2065" t="s">
        <v>5</v>
      </c>
      <c r="F2065" t="str" cm="1">
        <f t="array" ref="F2065">CategorizeComment(E2065)</f>
        <v>Other</v>
      </c>
      <c r="G2065" t="str" cm="1">
        <f t="array" ref="G2065">SubCategorizeComment(E2065)</f>
        <v>Other</v>
      </c>
    </row>
    <row r="2066" spans="1:7" x14ac:dyDescent="0.25">
      <c r="A2066">
        <v>13532</v>
      </c>
      <c r="B2066" t="s">
        <v>4</v>
      </c>
      <c r="C2066">
        <v>3</v>
      </c>
      <c r="D2066" t="s">
        <v>5</v>
      </c>
      <c r="F2066" t="str" cm="1">
        <f t="array" ref="F2066">CategorizeComment(E2066)</f>
        <v>Other</v>
      </c>
      <c r="G2066" t="str" cm="1">
        <f t="array" ref="G2066">SubCategorizeComment(E2066)</f>
        <v>Other</v>
      </c>
    </row>
    <row r="2067" spans="1:7" x14ac:dyDescent="0.25">
      <c r="A2067">
        <v>13544</v>
      </c>
      <c r="B2067" t="s">
        <v>4</v>
      </c>
      <c r="C2067">
        <v>4</v>
      </c>
      <c r="D2067" t="s">
        <v>5</v>
      </c>
      <c r="F2067" t="str" cm="1">
        <f t="array" ref="F2067">CategorizeComment(E2067)</f>
        <v>Other</v>
      </c>
      <c r="G2067" t="str" cm="1">
        <f t="array" ref="G2067">SubCategorizeComment(E2067)</f>
        <v>Other</v>
      </c>
    </row>
    <row r="2068" spans="1:7" x14ac:dyDescent="0.25">
      <c r="A2068">
        <v>13579</v>
      </c>
      <c r="B2068" t="s">
        <v>4</v>
      </c>
      <c r="C2068">
        <v>3</v>
      </c>
      <c r="D2068" t="s">
        <v>5</v>
      </c>
      <c r="F2068" t="str" cm="1">
        <f t="array" ref="F2068">CategorizeComment(E2068)</f>
        <v>Other</v>
      </c>
      <c r="G2068" t="str" cm="1">
        <f t="array" ref="G2068">SubCategorizeComment(E2068)</f>
        <v>Other</v>
      </c>
    </row>
    <row r="2069" spans="1:7" x14ac:dyDescent="0.25">
      <c r="A2069">
        <v>13580</v>
      </c>
      <c r="B2069" t="s">
        <v>4</v>
      </c>
      <c r="C2069">
        <v>3</v>
      </c>
      <c r="D2069" t="s">
        <v>5</v>
      </c>
      <c r="F2069" t="str" cm="1">
        <f t="array" ref="F2069">CategorizeComment(E2069)</f>
        <v>Other</v>
      </c>
      <c r="G2069" t="str" cm="1">
        <f t="array" ref="G2069">SubCategorizeComment(E2069)</f>
        <v>Other</v>
      </c>
    </row>
    <row r="2070" spans="1:7" x14ac:dyDescent="0.25">
      <c r="A2070">
        <v>13583</v>
      </c>
      <c r="B2070" t="s">
        <v>4</v>
      </c>
      <c r="C2070">
        <v>4</v>
      </c>
      <c r="D2070" t="s">
        <v>5</v>
      </c>
      <c r="F2070" t="str" cm="1">
        <f t="array" ref="F2070">CategorizeComment(E2070)</f>
        <v>Other</v>
      </c>
      <c r="G2070" t="str" cm="1">
        <f t="array" ref="G2070">SubCategorizeComment(E2070)</f>
        <v>Other</v>
      </c>
    </row>
    <row r="2071" spans="1:7" x14ac:dyDescent="0.25">
      <c r="A2071">
        <v>13586</v>
      </c>
      <c r="B2071" t="s">
        <v>4</v>
      </c>
      <c r="C2071">
        <v>3</v>
      </c>
      <c r="D2071" t="s">
        <v>5</v>
      </c>
      <c r="F2071" t="str" cm="1">
        <f t="array" ref="F2071">CategorizeComment(E2071)</f>
        <v>Other</v>
      </c>
      <c r="G2071" t="str" cm="1">
        <f t="array" ref="G2071">SubCategorizeComment(E2071)</f>
        <v>Other</v>
      </c>
    </row>
    <row r="2072" spans="1:7" x14ac:dyDescent="0.25">
      <c r="A2072">
        <v>13599</v>
      </c>
      <c r="B2072" t="s">
        <v>4</v>
      </c>
      <c r="C2072">
        <v>3</v>
      </c>
      <c r="D2072" t="s">
        <v>5</v>
      </c>
      <c r="F2072" t="str" cm="1">
        <f t="array" ref="F2072">CategorizeComment(E2072)</f>
        <v>Other</v>
      </c>
      <c r="G2072" t="str" cm="1">
        <f t="array" ref="G2072">SubCategorizeComment(E2072)</f>
        <v>Other</v>
      </c>
    </row>
    <row r="2073" spans="1:7" x14ac:dyDescent="0.25">
      <c r="A2073">
        <v>13606</v>
      </c>
      <c r="B2073" t="s">
        <v>4</v>
      </c>
      <c r="C2073">
        <v>3</v>
      </c>
      <c r="D2073" t="s">
        <v>5</v>
      </c>
      <c r="F2073" t="str" cm="1">
        <f t="array" ref="F2073">CategorizeComment(E2073)</f>
        <v>Other</v>
      </c>
      <c r="G2073" t="str" cm="1">
        <f t="array" ref="G2073">SubCategorizeComment(E2073)</f>
        <v>Other</v>
      </c>
    </row>
    <row r="2074" spans="1:7" x14ac:dyDescent="0.25">
      <c r="A2074">
        <v>13628</v>
      </c>
      <c r="B2074" t="s">
        <v>4</v>
      </c>
      <c r="C2074">
        <v>4</v>
      </c>
      <c r="D2074" t="s">
        <v>5</v>
      </c>
      <c r="F2074" t="str" cm="1">
        <f t="array" ref="F2074">CategorizeComment(E2074)</f>
        <v>Other</v>
      </c>
      <c r="G2074" t="str" cm="1">
        <f t="array" ref="G2074">SubCategorizeComment(E2074)</f>
        <v>Other</v>
      </c>
    </row>
    <row r="2075" spans="1:7" x14ac:dyDescent="0.25">
      <c r="A2075">
        <v>13636</v>
      </c>
      <c r="B2075" t="s">
        <v>4</v>
      </c>
      <c r="C2075">
        <v>4</v>
      </c>
      <c r="D2075" t="s">
        <v>5</v>
      </c>
      <c r="F2075" t="str" cm="1">
        <f t="array" ref="F2075">CategorizeComment(E2075)</f>
        <v>Other</v>
      </c>
      <c r="G2075" t="str" cm="1">
        <f t="array" ref="G2075">SubCategorizeComment(E2075)</f>
        <v>Other</v>
      </c>
    </row>
    <row r="2076" spans="1:7" x14ac:dyDescent="0.25">
      <c r="A2076">
        <v>13640</v>
      </c>
      <c r="B2076" t="s">
        <v>4</v>
      </c>
      <c r="C2076">
        <v>3</v>
      </c>
      <c r="D2076" t="s">
        <v>5</v>
      </c>
      <c r="F2076" t="str" cm="1">
        <f t="array" ref="F2076">CategorizeComment(E2076)</f>
        <v>Other</v>
      </c>
      <c r="G2076" t="str" cm="1">
        <f t="array" ref="G2076">SubCategorizeComment(E2076)</f>
        <v>Other</v>
      </c>
    </row>
    <row r="2077" spans="1:7" x14ac:dyDescent="0.25">
      <c r="A2077">
        <v>13666</v>
      </c>
      <c r="B2077" t="s">
        <v>4</v>
      </c>
      <c r="C2077">
        <v>3</v>
      </c>
      <c r="D2077" t="s">
        <v>5</v>
      </c>
      <c r="F2077" t="str" cm="1">
        <f t="array" ref="F2077">CategorizeComment(E2077)</f>
        <v>Other</v>
      </c>
      <c r="G2077" t="str" cm="1">
        <f t="array" ref="G2077">SubCategorizeComment(E2077)</f>
        <v>Other</v>
      </c>
    </row>
    <row r="2078" spans="1:7" x14ac:dyDescent="0.25">
      <c r="A2078">
        <v>13670</v>
      </c>
      <c r="B2078" t="s">
        <v>4</v>
      </c>
      <c r="C2078">
        <v>4</v>
      </c>
      <c r="D2078" t="s">
        <v>5</v>
      </c>
      <c r="F2078" t="str" cm="1">
        <f t="array" ref="F2078">CategorizeComment(E2078)</f>
        <v>Other</v>
      </c>
      <c r="G2078" t="str" cm="1">
        <f t="array" ref="G2078">SubCategorizeComment(E2078)</f>
        <v>Other</v>
      </c>
    </row>
    <row r="2079" spans="1:7" x14ac:dyDescent="0.25">
      <c r="A2079">
        <v>13697</v>
      </c>
      <c r="B2079" t="s">
        <v>4</v>
      </c>
      <c r="C2079">
        <v>4</v>
      </c>
      <c r="D2079" t="s">
        <v>5</v>
      </c>
      <c r="F2079" t="str" cm="1">
        <f t="array" ref="F2079">CategorizeComment(E2079)</f>
        <v>Other</v>
      </c>
      <c r="G2079" t="str" cm="1">
        <f t="array" ref="G2079">SubCategorizeComment(E2079)</f>
        <v>Other</v>
      </c>
    </row>
    <row r="2080" spans="1:7" x14ac:dyDescent="0.25">
      <c r="A2080">
        <v>13743</v>
      </c>
      <c r="B2080" t="s">
        <v>4</v>
      </c>
      <c r="C2080">
        <v>4</v>
      </c>
      <c r="D2080" t="s">
        <v>5</v>
      </c>
      <c r="F2080" t="str" cm="1">
        <f t="array" ref="F2080">CategorizeComment(E2080)</f>
        <v>Other</v>
      </c>
      <c r="G2080" t="str" cm="1">
        <f t="array" ref="G2080">SubCategorizeComment(E2080)</f>
        <v>Other</v>
      </c>
    </row>
    <row r="2081" spans="1:7" x14ac:dyDescent="0.25">
      <c r="A2081">
        <v>13746</v>
      </c>
      <c r="B2081" t="s">
        <v>4</v>
      </c>
      <c r="C2081">
        <v>3</v>
      </c>
      <c r="D2081" t="s">
        <v>5</v>
      </c>
      <c r="F2081" t="str" cm="1">
        <f t="array" ref="F2081">CategorizeComment(E2081)</f>
        <v>Other</v>
      </c>
      <c r="G2081" t="str" cm="1">
        <f t="array" ref="G2081">SubCategorizeComment(E2081)</f>
        <v>Other</v>
      </c>
    </row>
    <row r="2082" spans="1:7" x14ac:dyDescent="0.25">
      <c r="A2082">
        <v>13756</v>
      </c>
      <c r="B2082" t="s">
        <v>4</v>
      </c>
      <c r="C2082">
        <v>4</v>
      </c>
      <c r="D2082" t="s">
        <v>5</v>
      </c>
      <c r="F2082" t="str" cm="1">
        <f t="array" ref="F2082">CategorizeComment(E2082)</f>
        <v>Other</v>
      </c>
      <c r="G2082" t="str" cm="1">
        <f t="array" ref="G2082">SubCategorizeComment(E2082)</f>
        <v>Other</v>
      </c>
    </row>
    <row r="2083" spans="1:7" x14ac:dyDescent="0.25">
      <c r="A2083">
        <v>13766</v>
      </c>
      <c r="B2083" t="s">
        <v>4</v>
      </c>
      <c r="C2083">
        <v>3</v>
      </c>
      <c r="D2083" t="s">
        <v>5</v>
      </c>
      <c r="F2083" t="str" cm="1">
        <f t="array" ref="F2083">CategorizeComment(E2083)</f>
        <v>Other</v>
      </c>
      <c r="G2083" t="str" cm="1">
        <f t="array" ref="G2083">SubCategorizeComment(E2083)</f>
        <v>Other</v>
      </c>
    </row>
    <row r="2084" spans="1:7" x14ac:dyDescent="0.25">
      <c r="A2084">
        <v>13777</v>
      </c>
      <c r="B2084" t="s">
        <v>4</v>
      </c>
      <c r="C2084">
        <v>4</v>
      </c>
      <c r="D2084" t="s">
        <v>5</v>
      </c>
      <c r="F2084" t="str" cm="1">
        <f t="array" ref="F2084">CategorizeComment(E2084)</f>
        <v>Other</v>
      </c>
      <c r="G2084" t="str" cm="1">
        <f t="array" ref="G2084">SubCategorizeComment(E2084)</f>
        <v>Other</v>
      </c>
    </row>
    <row r="2085" spans="1:7" x14ac:dyDescent="0.25">
      <c r="A2085">
        <v>13786</v>
      </c>
      <c r="B2085" t="s">
        <v>4</v>
      </c>
      <c r="C2085">
        <v>3</v>
      </c>
      <c r="D2085" t="s">
        <v>5</v>
      </c>
      <c r="F2085" t="str" cm="1">
        <f t="array" ref="F2085">CategorizeComment(E2085)</f>
        <v>Other</v>
      </c>
      <c r="G2085" t="str" cm="1">
        <f t="array" ref="G2085">SubCategorizeComment(E2085)</f>
        <v>Other</v>
      </c>
    </row>
    <row r="2086" spans="1:7" x14ac:dyDescent="0.25">
      <c r="A2086">
        <v>13799</v>
      </c>
      <c r="B2086" t="s">
        <v>4</v>
      </c>
      <c r="C2086">
        <v>3</v>
      </c>
      <c r="D2086" t="s">
        <v>5</v>
      </c>
      <c r="F2086" t="str" cm="1">
        <f t="array" ref="F2086">CategorizeComment(E2086)</f>
        <v>Other</v>
      </c>
      <c r="G2086" t="str" cm="1">
        <f t="array" ref="G2086">SubCategorizeComment(E2086)</f>
        <v>Other</v>
      </c>
    </row>
    <row r="2087" spans="1:7" x14ac:dyDescent="0.25">
      <c r="A2087">
        <v>13809</v>
      </c>
      <c r="B2087" t="s">
        <v>4</v>
      </c>
      <c r="C2087">
        <v>3</v>
      </c>
      <c r="D2087" t="s">
        <v>5</v>
      </c>
      <c r="F2087" t="str" cm="1">
        <f t="array" ref="F2087">CategorizeComment(E2087)</f>
        <v>Other</v>
      </c>
      <c r="G2087" t="str" cm="1">
        <f t="array" ref="G2087">SubCategorizeComment(E2087)</f>
        <v>Other</v>
      </c>
    </row>
    <row r="2088" spans="1:7" x14ac:dyDescent="0.25">
      <c r="A2088">
        <v>13833</v>
      </c>
      <c r="B2088" t="s">
        <v>4</v>
      </c>
      <c r="C2088">
        <v>4</v>
      </c>
      <c r="D2088" t="s">
        <v>5</v>
      </c>
      <c r="F2088" t="str" cm="1">
        <f t="array" ref="F2088">CategorizeComment(E2088)</f>
        <v>Other</v>
      </c>
      <c r="G2088" t="str" cm="1">
        <f t="array" ref="G2088">SubCategorizeComment(E2088)</f>
        <v>Other</v>
      </c>
    </row>
    <row r="2089" spans="1:7" x14ac:dyDescent="0.25">
      <c r="A2089">
        <v>13847</v>
      </c>
      <c r="B2089" t="s">
        <v>4</v>
      </c>
      <c r="C2089">
        <v>3</v>
      </c>
      <c r="D2089" t="s">
        <v>5</v>
      </c>
      <c r="F2089" t="str" cm="1">
        <f t="array" ref="F2089">CategorizeComment(E2089)</f>
        <v>Other</v>
      </c>
      <c r="G2089" t="str" cm="1">
        <f t="array" ref="G2089">SubCategorizeComment(E2089)</f>
        <v>Other</v>
      </c>
    </row>
    <row r="2090" spans="1:7" x14ac:dyDescent="0.25">
      <c r="A2090">
        <v>13853</v>
      </c>
      <c r="B2090" t="s">
        <v>4</v>
      </c>
      <c r="C2090">
        <v>3</v>
      </c>
      <c r="D2090" t="s">
        <v>5</v>
      </c>
      <c r="F2090" t="str" cm="1">
        <f t="array" ref="F2090">CategorizeComment(E2090)</f>
        <v>Other</v>
      </c>
      <c r="G2090" t="str" cm="1">
        <f t="array" ref="G2090">SubCategorizeComment(E2090)</f>
        <v>Other</v>
      </c>
    </row>
    <row r="2091" spans="1:7" x14ac:dyDescent="0.25">
      <c r="A2091">
        <v>13867</v>
      </c>
      <c r="B2091" t="s">
        <v>4</v>
      </c>
      <c r="C2091">
        <v>4</v>
      </c>
      <c r="D2091" t="s">
        <v>5</v>
      </c>
      <c r="F2091" t="str" cm="1">
        <f t="array" ref="F2091">CategorizeComment(E2091)</f>
        <v>Other</v>
      </c>
      <c r="G2091" t="str" cm="1">
        <f t="array" ref="G2091">SubCategorizeComment(E2091)</f>
        <v>Other</v>
      </c>
    </row>
    <row r="2092" spans="1:7" x14ac:dyDescent="0.25">
      <c r="A2092">
        <v>13868</v>
      </c>
      <c r="B2092" t="s">
        <v>4</v>
      </c>
      <c r="C2092">
        <v>3</v>
      </c>
      <c r="D2092" t="s">
        <v>5</v>
      </c>
      <c r="F2092" t="str" cm="1">
        <f t="array" ref="F2092">CategorizeComment(E2092)</f>
        <v>Other</v>
      </c>
      <c r="G2092" t="str" cm="1">
        <f t="array" ref="G2092">SubCategorizeComment(E2092)</f>
        <v>Other</v>
      </c>
    </row>
    <row r="2093" spans="1:7" x14ac:dyDescent="0.25">
      <c r="A2093">
        <v>13880</v>
      </c>
      <c r="B2093" t="s">
        <v>4</v>
      </c>
      <c r="C2093">
        <v>4</v>
      </c>
      <c r="D2093" t="s">
        <v>5</v>
      </c>
      <c r="F2093" t="str" cm="1">
        <f t="array" ref="F2093">CategorizeComment(E2093)</f>
        <v>Other</v>
      </c>
      <c r="G2093" t="str" cm="1">
        <f t="array" ref="G2093">SubCategorizeComment(E2093)</f>
        <v>Other</v>
      </c>
    </row>
    <row r="2094" spans="1:7" x14ac:dyDescent="0.25">
      <c r="A2094">
        <v>13881</v>
      </c>
      <c r="B2094" t="s">
        <v>4</v>
      </c>
      <c r="C2094">
        <v>4</v>
      </c>
      <c r="D2094" t="s">
        <v>5</v>
      </c>
      <c r="F2094" t="str" cm="1">
        <f t="array" ref="F2094">CategorizeComment(E2094)</f>
        <v>Other</v>
      </c>
      <c r="G2094" t="str" cm="1">
        <f t="array" ref="G2094">SubCategorizeComment(E2094)</f>
        <v>Other</v>
      </c>
    </row>
    <row r="2095" spans="1:7" x14ac:dyDescent="0.25">
      <c r="A2095">
        <v>13893</v>
      </c>
      <c r="B2095" t="s">
        <v>4</v>
      </c>
      <c r="C2095">
        <v>3</v>
      </c>
      <c r="D2095" t="s">
        <v>5</v>
      </c>
      <c r="F2095" t="str" cm="1">
        <f t="array" ref="F2095">CategorizeComment(E2095)</f>
        <v>Other</v>
      </c>
      <c r="G2095" t="str" cm="1">
        <f t="array" ref="G2095">SubCategorizeComment(E2095)</f>
        <v>Other</v>
      </c>
    </row>
    <row r="2096" spans="1:7" x14ac:dyDescent="0.25">
      <c r="A2096">
        <v>13899</v>
      </c>
      <c r="B2096" t="s">
        <v>4</v>
      </c>
      <c r="C2096">
        <v>3</v>
      </c>
      <c r="D2096" t="s">
        <v>5</v>
      </c>
      <c r="F2096" t="str" cm="1">
        <f t="array" ref="F2096">CategorizeComment(E2096)</f>
        <v>Other</v>
      </c>
      <c r="G2096" t="str" cm="1">
        <f t="array" ref="G2096">SubCategorizeComment(E2096)</f>
        <v>Other</v>
      </c>
    </row>
    <row r="2097" spans="1:7" x14ac:dyDescent="0.25">
      <c r="A2097">
        <v>13900</v>
      </c>
      <c r="B2097" t="s">
        <v>4</v>
      </c>
      <c r="C2097">
        <v>4</v>
      </c>
      <c r="D2097" t="s">
        <v>5</v>
      </c>
      <c r="F2097" t="str" cm="1">
        <f t="array" ref="F2097">CategorizeComment(E2097)</f>
        <v>Other</v>
      </c>
      <c r="G2097" t="str" cm="1">
        <f t="array" ref="G2097">SubCategorizeComment(E2097)</f>
        <v>Other</v>
      </c>
    </row>
    <row r="2098" spans="1:7" x14ac:dyDescent="0.25">
      <c r="A2098">
        <v>13902</v>
      </c>
      <c r="B2098" t="s">
        <v>4</v>
      </c>
      <c r="C2098">
        <v>3</v>
      </c>
      <c r="D2098" t="s">
        <v>5</v>
      </c>
      <c r="F2098" t="str" cm="1">
        <f t="array" ref="F2098">CategorizeComment(E2098)</f>
        <v>Other</v>
      </c>
      <c r="G2098" t="str" cm="1">
        <f t="array" ref="G2098">SubCategorizeComment(E2098)</f>
        <v>Other</v>
      </c>
    </row>
    <row r="2099" spans="1:7" x14ac:dyDescent="0.25">
      <c r="A2099">
        <v>13911</v>
      </c>
      <c r="B2099" t="s">
        <v>4</v>
      </c>
      <c r="C2099">
        <v>3</v>
      </c>
      <c r="D2099" t="s">
        <v>5</v>
      </c>
      <c r="F2099" t="str" cm="1">
        <f t="array" ref="F2099">CategorizeComment(E2099)</f>
        <v>Other</v>
      </c>
      <c r="G2099" t="str" cm="1">
        <f t="array" ref="G2099">SubCategorizeComment(E2099)</f>
        <v>Other</v>
      </c>
    </row>
    <row r="2100" spans="1:7" x14ac:dyDescent="0.25">
      <c r="A2100">
        <v>13920</v>
      </c>
      <c r="B2100" t="s">
        <v>4</v>
      </c>
      <c r="C2100">
        <v>4</v>
      </c>
      <c r="D2100" t="s">
        <v>5</v>
      </c>
      <c r="F2100" t="str" cm="1">
        <f t="array" ref="F2100">CategorizeComment(E2100)</f>
        <v>Other</v>
      </c>
      <c r="G2100" t="str" cm="1">
        <f t="array" ref="G2100">SubCategorizeComment(E2100)</f>
        <v>Other</v>
      </c>
    </row>
    <row r="2101" spans="1:7" x14ac:dyDescent="0.25">
      <c r="A2101">
        <v>13944</v>
      </c>
      <c r="B2101" t="s">
        <v>4</v>
      </c>
      <c r="C2101">
        <v>3</v>
      </c>
      <c r="D2101" t="s">
        <v>5</v>
      </c>
      <c r="F2101" t="str" cm="1">
        <f t="array" ref="F2101">CategorizeComment(E2101)</f>
        <v>Other</v>
      </c>
      <c r="G2101" t="str" cm="1">
        <f t="array" ref="G2101">SubCategorizeComment(E2101)</f>
        <v>Other</v>
      </c>
    </row>
    <row r="2102" spans="1:7" x14ac:dyDescent="0.25">
      <c r="A2102">
        <v>13961</v>
      </c>
      <c r="B2102" t="s">
        <v>4</v>
      </c>
      <c r="C2102">
        <v>4</v>
      </c>
      <c r="D2102" t="s">
        <v>5</v>
      </c>
      <c r="F2102" t="str" cm="1">
        <f t="array" ref="F2102">CategorizeComment(E2102)</f>
        <v>Other</v>
      </c>
      <c r="G2102" t="str" cm="1">
        <f t="array" ref="G2102">SubCategorizeComment(E2102)</f>
        <v>Other</v>
      </c>
    </row>
    <row r="2103" spans="1:7" x14ac:dyDescent="0.25">
      <c r="A2103">
        <v>14011</v>
      </c>
      <c r="B2103" t="s">
        <v>4</v>
      </c>
      <c r="C2103">
        <v>3</v>
      </c>
      <c r="D2103" t="s">
        <v>5</v>
      </c>
      <c r="F2103" t="str" cm="1">
        <f t="array" ref="F2103">CategorizeComment(E2103)</f>
        <v>Other</v>
      </c>
      <c r="G2103" t="str" cm="1">
        <f t="array" ref="G2103">SubCategorizeComment(E2103)</f>
        <v>Other</v>
      </c>
    </row>
    <row r="2104" spans="1:7" x14ac:dyDescent="0.25">
      <c r="A2104">
        <v>14014</v>
      </c>
      <c r="B2104" t="s">
        <v>4</v>
      </c>
      <c r="C2104">
        <v>4</v>
      </c>
      <c r="D2104" t="s">
        <v>5</v>
      </c>
      <c r="F2104" t="str" cm="1">
        <f t="array" ref="F2104">CategorizeComment(E2104)</f>
        <v>Other</v>
      </c>
      <c r="G2104" t="str" cm="1">
        <f t="array" ref="G2104">SubCategorizeComment(E2104)</f>
        <v>Other</v>
      </c>
    </row>
    <row r="2105" spans="1:7" x14ac:dyDescent="0.25">
      <c r="A2105">
        <v>14017</v>
      </c>
      <c r="B2105" t="s">
        <v>4</v>
      </c>
      <c r="C2105">
        <v>3</v>
      </c>
      <c r="D2105" t="s">
        <v>5</v>
      </c>
      <c r="F2105" t="str" cm="1">
        <f t="array" ref="F2105">CategorizeComment(E2105)</f>
        <v>Other</v>
      </c>
      <c r="G2105" t="str" cm="1">
        <f t="array" ref="G2105">SubCategorizeComment(E2105)</f>
        <v>Other</v>
      </c>
    </row>
    <row r="2106" spans="1:7" x14ac:dyDescent="0.25">
      <c r="A2106">
        <v>14020</v>
      </c>
      <c r="B2106" t="s">
        <v>4</v>
      </c>
      <c r="C2106">
        <v>3</v>
      </c>
      <c r="D2106" t="s">
        <v>5</v>
      </c>
      <c r="F2106" t="str" cm="1">
        <f t="array" ref="F2106">CategorizeComment(E2106)</f>
        <v>Other</v>
      </c>
      <c r="G2106" t="str" cm="1">
        <f t="array" ref="G2106">SubCategorizeComment(E2106)</f>
        <v>Other</v>
      </c>
    </row>
    <row r="2107" spans="1:7" x14ac:dyDescent="0.25">
      <c r="A2107">
        <v>14031</v>
      </c>
      <c r="B2107" t="s">
        <v>4</v>
      </c>
      <c r="C2107">
        <v>4</v>
      </c>
      <c r="D2107" t="s">
        <v>5</v>
      </c>
      <c r="F2107" t="str" cm="1">
        <f t="array" ref="F2107">CategorizeComment(E2107)</f>
        <v>Other</v>
      </c>
      <c r="G2107" t="str" cm="1">
        <f t="array" ref="G2107">SubCategorizeComment(E2107)</f>
        <v>Other</v>
      </c>
    </row>
    <row r="2108" spans="1:7" x14ac:dyDescent="0.25">
      <c r="A2108">
        <v>14038</v>
      </c>
      <c r="B2108" t="s">
        <v>4</v>
      </c>
      <c r="C2108">
        <v>3</v>
      </c>
      <c r="D2108" t="s">
        <v>5</v>
      </c>
      <c r="F2108" t="str" cm="1">
        <f t="array" ref="F2108">CategorizeComment(E2108)</f>
        <v>Other</v>
      </c>
      <c r="G2108" t="str" cm="1">
        <f t="array" ref="G2108">SubCategorizeComment(E2108)</f>
        <v>Other</v>
      </c>
    </row>
    <row r="2109" spans="1:7" x14ac:dyDescent="0.25">
      <c r="A2109">
        <v>14077</v>
      </c>
      <c r="B2109" t="s">
        <v>4</v>
      </c>
      <c r="C2109">
        <v>3</v>
      </c>
      <c r="D2109" t="s">
        <v>5</v>
      </c>
      <c r="F2109" t="str" cm="1">
        <f t="array" ref="F2109">CategorizeComment(E2109)</f>
        <v>Other</v>
      </c>
      <c r="G2109" t="str" cm="1">
        <f t="array" ref="G2109">SubCategorizeComment(E2109)</f>
        <v>Other</v>
      </c>
    </row>
    <row r="2110" spans="1:7" x14ac:dyDescent="0.25">
      <c r="A2110">
        <v>14079</v>
      </c>
      <c r="B2110" t="s">
        <v>4</v>
      </c>
      <c r="C2110">
        <v>4</v>
      </c>
      <c r="D2110" t="s">
        <v>5</v>
      </c>
      <c r="F2110" t="str" cm="1">
        <f t="array" ref="F2110">CategorizeComment(E2110)</f>
        <v>Other</v>
      </c>
      <c r="G2110" t="str" cm="1">
        <f t="array" ref="G2110">SubCategorizeComment(E2110)</f>
        <v>Other</v>
      </c>
    </row>
    <row r="2111" spans="1:7" x14ac:dyDescent="0.25">
      <c r="A2111">
        <v>14084</v>
      </c>
      <c r="B2111" t="s">
        <v>4</v>
      </c>
      <c r="C2111">
        <v>3</v>
      </c>
      <c r="D2111" t="s">
        <v>5</v>
      </c>
      <c r="F2111" t="str" cm="1">
        <f t="array" ref="F2111">CategorizeComment(E2111)</f>
        <v>Other</v>
      </c>
      <c r="G2111" t="str" cm="1">
        <f t="array" ref="G2111">SubCategorizeComment(E2111)</f>
        <v>Other</v>
      </c>
    </row>
    <row r="2112" spans="1:7" x14ac:dyDescent="0.25">
      <c r="A2112">
        <v>14087</v>
      </c>
      <c r="B2112" t="s">
        <v>4</v>
      </c>
      <c r="C2112">
        <v>4</v>
      </c>
      <c r="D2112" t="s">
        <v>5</v>
      </c>
      <c r="F2112" t="str" cm="1">
        <f t="array" ref="F2112">CategorizeComment(E2112)</f>
        <v>Other</v>
      </c>
      <c r="G2112" t="str" cm="1">
        <f t="array" ref="G2112">SubCategorizeComment(E2112)</f>
        <v>Other</v>
      </c>
    </row>
    <row r="2113" spans="1:7" x14ac:dyDescent="0.25">
      <c r="A2113">
        <v>14091</v>
      </c>
      <c r="B2113" t="s">
        <v>4</v>
      </c>
      <c r="C2113">
        <v>4</v>
      </c>
      <c r="D2113" t="s">
        <v>5</v>
      </c>
      <c r="F2113" t="str" cm="1">
        <f t="array" ref="F2113">CategorizeComment(E2113)</f>
        <v>Other</v>
      </c>
      <c r="G2113" t="str" cm="1">
        <f t="array" ref="G2113">SubCategorizeComment(E2113)</f>
        <v>Other</v>
      </c>
    </row>
    <row r="2114" spans="1:7" x14ac:dyDescent="0.25">
      <c r="A2114">
        <v>14103</v>
      </c>
      <c r="B2114" t="s">
        <v>4</v>
      </c>
      <c r="C2114">
        <v>3</v>
      </c>
      <c r="D2114" t="s">
        <v>5</v>
      </c>
      <c r="F2114" t="str" cm="1">
        <f t="array" ref="F2114">CategorizeComment(E2114)</f>
        <v>Other</v>
      </c>
      <c r="G2114" t="str" cm="1">
        <f t="array" ref="G2114">SubCategorizeComment(E2114)</f>
        <v>Other</v>
      </c>
    </row>
    <row r="2115" spans="1:7" x14ac:dyDescent="0.25">
      <c r="A2115">
        <v>14114</v>
      </c>
      <c r="B2115" t="s">
        <v>4</v>
      </c>
      <c r="C2115">
        <v>4</v>
      </c>
      <c r="D2115" t="s">
        <v>5</v>
      </c>
      <c r="F2115" t="str" cm="1">
        <f t="array" ref="F2115">CategorizeComment(E2115)</f>
        <v>Other</v>
      </c>
      <c r="G2115" t="str" cm="1">
        <f t="array" ref="G2115">SubCategorizeComment(E2115)</f>
        <v>Other</v>
      </c>
    </row>
    <row r="2116" spans="1:7" x14ac:dyDescent="0.25">
      <c r="A2116">
        <v>14118</v>
      </c>
      <c r="B2116" t="s">
        <v>4</v>
      </c>
      <c r="C2116">
        <v>4</v>
      </c>
      <c r="D2116" t="s">
        <v>5</v>
      </c>
      <c r="F2116" t="str" cm="1">
        <f t="array" ref="F2116">CategorizeComment(E2116)</f>
        <v>Other</v>
      </c>
      <c r="G2116" t="str" cm="1">
        <f t="array" ref="G2116">SubCategorizeComment(E2116)</f>
        <v>Other</v>
      </c>
    </row>
    <row r="2117" spans="1:7" x14ac:dyDescent="0.25">
      <c r="A2117">
        <v>14126</v>
      </c>
      <c r="B2117" t="s">
        <v>4</v>
      </c>
      <c r="C2117">
        <v>4</v>
      </c>
      <c r="D2117" t="s">
        <v>5</v>
      </c>
      <c r="F2117" t="str" cm="1">
        <f t="array" ref="F2117">CategorizeComment(E2117)</f>
        <v>Other</v>
      </c>
      <c r="G2117" t="str" cm="1">
        <f t="array" ref="G2117">SubCategorizeComment(E2117)</f>
        <v>Other</v>
      </c>
    </row>
    <row r="2118" spans="1:7" x14ac:dyDescent="0.25">
      <c r="A2118">
        <v>14135</v>
      </c>
      <c r="B2118" t="s">
        <v>4</v>
      </c>
      <c r="C2118">
        <v>4</v>
      </c>
      <c r="D2118" t="s">
        <v>5</v>
      </c>
      <c r="F2118" t="str" cm="1">
        <f t="array" ref="F2118">CategorizeComment(E2118)</f>
        <v>Other</v>
      </c>
      <c r="G2118" t="str" cm="1">
        <f t="array" ref="G2118">SubCategorizeComment(E2118)</f>
        <v>Other</v>
      </c>
    </row>
    <row r="2119" spans="1:7" x14ac:dyDescent="0.25">
      <c r="A2119">
        <v>14136</v>
      </c>
      <c r="B2119" t="s">
        <v>4</v>
      </c>
      <c r="C2119">
        <v>3</v>
      </c>
      <c r="D2119" t="s">
        <v>5</v>
      </c>
      <c r="F2119" t="str" cm="1">
        <f t="array" ref="F2119">CategorizeComment(E2119)</f>
        <v>Other</v>
      </c>
      <c r="G2119" t="str" cm="1">
        <f t="array" ref="G2119">SubCategorizeComment(E2119)</f>
        <v>Other</v>
      </c>
    </row>
    <row r="2120" spans="1:7" x14ac:dyDescent="0.25">
      <c r="A2120">
        <v>14140</v>
      </c>
      <c r="B2120" t="s">
        <v>4</v>
      </c>
      <c r="C2120">
        <v>4</v>
      </c>
      <c r="D2120" t="s">
        <v>5</v>
      </c>
      <c r="F2120" t="str" cm="1">
        <f t="array" ref="F2120">CategorizeComment(E2120)</f>
        <v>Other</v>
      </c>
      <c r="G2120" t="str" cm="1">
        <f t="array" ref="G2120">SubCategorizeComment(E2120)</f>
        <v>Other</v>
      </c>
    </row>
    <row r="2121" spans="1:7" x14ac:dyDescent="0.25">
      <c r="A2121">
        <v>14162</v>
      </c>
      <c r="B2121" t="s">
        <v>4</v>
      </c>
      <c r="C2121">
        <v>4</v>
      </c>
      <c r="D2121" t="s">
        <v>5</v>
      </c>
      <c r="F2121" t="str" cm="1">
        <f t="array" ref="F2121">CategorizeComment(E2121)</f>
        <v>Other</v>
      </c>
      <c r="G2121" t="str" cm="1">
        <f t="array" ref="G2121">SubCategorizeComment(E2121)</f>
        <v>Other</v>
      </c>
    </row>
    <row r="2122" spans="1:7" x14ac:dyDescent="0.25">
      <c r="A2122">
        <v>14196</v>
      </c>
      <c r="B2122" t="s">
        <v>4</v>
      </c>
      <c r="C2122">
        <v>3</v>
      </c>
      <c r="D2122" t="s">
        <v>5</v>
      </c>
      <c r="F2122" t="str" cm="1">
        <f t="array" ref="F2122">CategorizeComment(E2122)</f>
        <v>Other</v>
      </c>
      <c r="G2122" t="str" cm="1">
        <f t="array" ref="G2122">SubCategorizeComment(E2122)</f>
        <v>Other</v>
      </c>
    </row>
    <row r="2123" spans="1:7" x14ac:dyDescent="0.25">
      <c r="A2123">
        <v>14205</v>
      </c>
      <c r="B2123" t="s">
        <v>4</v>
      </c>
      <c r="C2123">
        <v>3</v>
      </c>
      <c r="D2123" t="s">
        <v>5</v>
      </c>
      <c r="F2123" t="str" cm="1">
        <f t="array" ref="F2123">CategorizeComment(E2123)</f>
        <v>Other</v>
      </c>
      <c r="G2123" t="str" cm="1">
        <f t="array" ref="G2123">SubCategorizeComment(E2123)</f>
        <v>Other</v>
      </c>
    </row>
    <row r="2124" spans="1:7" x14ac:dyDescent="0.25">
      <c r="A2124">
        <v>14248</v>
      </c>
      <c r="B2124" t="s">
        <v>4</v>
      </c>
      <c r="C2124">
        <v>4</v>
      </c>
      <c r="D2124" t="s">
        <v>5</v>
      </c>
      <c r="F2124" t="str" cm="1">
        <f t="array" ref="F2124">CategorizeComment(E2124)</f>
        <v>Other</v>
      </c>
      <c r="G2124" t="str" cm="1">
        <f t="array" ref="G2124">SubCategorizeComment(E2124)</f>
        <v>Other</v>
      </c>
    </row>
    <row r="2125" spans="1:7" x14ac:dyDescent="0.25">
      <c r="A2125">
        <v>14254</v>
      </c>
      <c r="B2125" t="s">
        <v>4</v>
      </c>
      <c r="C2125">
        <v>3</v>
      </c>
      <c r="D2125" t="s">
        <v>5</v>
      </c>
      <c r="F2125" t="str" cm="1">
        <f t="array" ref="F2125">CategorizeComment(E2125)</f>
        <v>Other</v>
      </c>
      <c r="G2125" t="str" cm="1">
        <f t="array" ref="G2125">SubCategorizeComment(E2125)</f>
        <v>Other</v>
      </c>
    </row>
    <row r="2126" spans="1:7" x14ac:dyDescent="0.25">
      <c r="A2126">
        <v>14277</v>
      </c>
      <c r="B2126" t="s">
        <v>4</v>
      </c>
      <c r="C2126">
        <v>3</v>
      </c>
      <c r="D2126" t="s">
        <v>5</v>
      </c>
      <c r="F2126" t="str" cm="1">
        <f t="array" ref="F2126">CategorizeComment(E2126)</f>
        <v>Other</v>
      </c>
      <c r="G2126" t="str" cm="1">
        <f t="array" ref="G2126">SubCategorizeComment(E2126)</f>
        <v>Other</v>
      </c>
    </row>
    <row r="2127" spans="1:7" x14ac:dyDescent="0.25">
      <c r="A2127">
        <v>14293</v>
      </c>
      <c r="B2127" t="s">
        <v>4</v>
      </c>
      <c r="C2127">
        <v>3</v>
      </c>
      <c r="D2127" t="s">
        <v>5</v>
      </c>
      <c r="F2127" t="str" cm="1">
        <f t="array" ref="F2127">CategorizeComment(E2127)</f>
        <v>Other</v>
      </c>
      <c r="G2127" t="str" cm="1">
        <f t="array" ref="G2127">SubCategorizeComment(E2127)</f>
        <v>Other</v>
      </c>
    </row>
    <row r="2128" spans="1:7" x14ac:dyDescent="0.25">
      <c r="A2128">
        <v>14309</v>
      </c>
      <c r="B2128" t="s">
        <v>4</v>
      </c>
      <c r="C2128">
        <v>3</v>
      </c>
      <c r="D2128" t="s">
        <v>5</v>
      </c>
      <c r="F2128" t="str" cm="1">
        <f t="array" ref="F2128">CategorizeComment(E2128)</f>
        <v>Other</v>
      </c>
      <c r="G2128" t="str" cm="1">
        <f t="array" ref="G2128">SubCategorizeComment(E2128)</f>
        <v>Other</v>
      </c>
    </row>
    <row r="2129" spans="1:7" x14ac:dyDescent="0.25">
      <c r="A2129">
        <v>14317</v>
      </c>
      <c r="B2129" t="s">
        <v>4</v>
      </c>
      <c r="C2129">
        <v>4</v>
      </c>
      <c r="D2129" t="s">
        <v>5</v>
      </c>
      <c r="F2129" t="str" cm="1">
        <f t="array" ref="F2129">CategorizeComment(E2129)</f>
        <v>Other</v>
      </c>
      <c r="G2129" t="str" cm="1">
        <f t="array" ref="G2129">SubCategorizeComment(E2129)</f>
        <v>Other</v>
      </c>
    </row>
    <row r="2130" spans="1:7" x14ac:dyDescent="0.25">
      <c r="A2130">
        <v>14321</v>
      </c>
      <c r="B2130" t="s">
        <v>4</v>
      </c>
      <c r="C2130">
        <v>3</v>
      </c>
      <c r="D2130" t="s">
        <v>5</v>
      </c>
      <c r="F2130" t="str" cm="1">
        <f t="array" ref="F2130">CategorizeComment(E2130)</f>
        <v>Other</v>
      </c>
      <c r="G2130" t="str" cm="1">
        <f t="array" ref="G2130">SubCategorizeComment(E2130)</f>
        <v>Other</v>
      </c>
    </row>
    <row r="2131" spans="1:7" x14ac:dyDescent="0.25">
      <c r="A2131">
        <v>14334</v>
      </c>
      <c r="B2131" t="s">
        <v>4</v>
      </c>
      <c r="C2131">
        <v>4</v>
      </c>
      <c r="D2131" t="s">
        <v>5</v>
      </c>
      <c r="F2131" t="str" cm="1">
        <f t="array" ref="F2131">CategorizeComment(E2131)</f>
        <v>Other</v>
      </c>
      <c r="G2131" t="str" cm="1">
        <f t="array" ref="G2131">SubCategorizeComment(E2131)</f>
        <v>Other</v>
      </c>
    </row>
    <row r="2132" spans="1:7" x14ac:dyDescent="0.25">
      <c r="A2132">
        <v>14344</v>
      </c>
      <c r="B2132" t="s">
        <v>4</v>
      </c>
      <c r="C2132">
        <v>4</v>
      </c>
      <c r="D2132" t="s">
        <v>5</v>
      </c>
      <c r="F2132" t="str" cm="1">
        <f t="array" ref="F2132">CategorizeComment(E2132)</f>
        <v>Other</v>
      </c>
      <c r="G2132" t="str" cm="1">
        <f t="array" ref="G2132">SubCategorizeComment(E2132)</f>
        <v>Other</v>
      </c>
    </row>
    <row r="2133" spans="1:7" x14ac:dyDescent="0.25">
      <c r="A2133">
        <v>14367</v>
      </c>
      <c r="B2133" t="s">
        <v>4</v>
      </c>
      <c r="C2133">
        <v>4</v>
      </c>
      <c r="D2133" t="s">
        <v>5</v>
      </c>
      <c r="F2133" t="str" cm="1">
        <f t="array" ref="F2133">CategorizeComment(E2133)</f>
        <v>Other</v>
      </c>
      <c r="G2133" t="str" cm="1">
        <f t="array" ref="G2133">SubCategorizeComment(E2133)</f>
        <v>Other</v>
      </c>
    </row>
    <row r="2134" spans="1:7" x14ac:dyDescent="0.25">
      <c r="A2134">
        <v>14380</v>
      </c>
      <c r="B2134" t="s">
        <v>4</v>
      </c>
      <c r="C2134">
        <v>3</v>
      </c>
      <c r="D2134" t="s">
        <v>5</v>
      </c>
      <c r="F2134" t="str" cm="1">
        <f t="array" ref="F2134">CategorizeComment(E2134)</f>
        <v>Other</v>
      </c>
      <c r="G2134" t="str" cm="1">
        <f t="array" ref="G2134">SubCategorizeComment(E2134)</f>
        <v>Other</v>
      </c>
    </row>
    <row r="2135" spans="1:7" x14ac:dyDescent="0.25">
      <c r="A2135">
        <v>14381</v>
      </c>
      <c r="B2135" t="s">
        <v>4</v>
      </c>
      <c r="C2135">
        <v>4</v>
      </c>
      <c r="D2135" t="s">
        <v>5</v>
      </c>
      <c r="F2135" t="str" cm="1">
        <f t="array" ref="F2135">CategorizeComment(E2135)</f>
        <v>Other</v>
      </c>
      <c r="G2135" t="str" cm="1">
        <f t="array" ref="G2135">SubCategorizeComment(E2135)</f>
        <v>Other</v>
      </c>
    </row>
    <row r="2136" spans="1:7" x14ac:dyDescent="0.25">
      <c r="A2136">
        <v>14383</v>
      </c>
      <c r="B2136" t="s">
        <v>4</v>
      </c>
      <c r="C2136">
        <v>4</v>
      </c>
      <c r="D2136" t="s">
        <v>5</v>
      </c>
      <c r="F2136" t="str" cm="1">
        <f t="array" ref="F2136">CategorizeComment(E2136)</f>
        <v>Other</v>
      </c>
      <c r="G2136" t="str" cm="1">
        <f t="array" ref="G2136">SubCategorizeComment(E2136)</f>
        <v>Other</v>
      </c>
    </row>
    <row r="2137" spans="1:7" x14ac:dyDescent="0.25">
      <c r="A2137">
        <v>14392</v>
      </c>
      <c r="B2137" t="s">
        <v>4</v>
      </c>
      <c r="C2137">
        <v>4</v>
      </c>
      <c r="D2137" t="s">
        <v>5</v>
      </c>
      <c r="F2137" t="str" cm="1">
        <f t="array" ref="F2137">CategorizeComment(E2137)</f>
        <v>Other</v>
      </c>
      <c r="G2137" t="str" cm="1">
        <f t="array" ref="G2137">SubCategorizeComment(E2137)</f>
        <v>Other</v>
      </c>
    </row>
    <row r="2138" spans="1:7" x14ac:dyDescent="0.25">
      <c r="A2138">
        <v>14394</v>
      </c>
      <c r="B2138" t="s">
        <v>4</v>
      </c>
      <c r="C2138">
        <v>4</v>
      </c>
      <c r="D2138" t="s">
        <v>5</v>
      </c>
      <c r="F2138" t="str" cm="1">
        <f t="array" ref="F2138">CategorizeComment(E2138)</f>
        <v>Other</v>
      </c>
      <c r="G2138" t="str" cm="1">
        <f t="array" ref="G2138">SubCategorizeComment(E2138)</f>
        <v>Other</v>
      </c>
    </row>
    <row r="2139" spans="1:7" x14ac:dyDescent="0.25">
      <c r="A2139">
        <v>14399</v>
      </c>
      <c r="B2139" t="s">
        <v>4</v>
      </c>
      <c r="C2139">
        <v>4</v>
      </c>
      <c r="D2139" t="s">
        <v>5</v>
      </c>
      <c r="F2139" t="str" cm="1">
        <f t="array" ref="F2139">CategorizeComment(E2139)</f>
        <v>Other</v>
      </c>
      <c r="G2139" t="str" cm="1">
        <f t="array" ref="G2139">SubCategorizeComment(E2139)</f>
        <v>Other</v>
      </c>
    </row>
    <row r="2140" spans="1:7" x14ac:dyDescent="0.25">
      <c r="A2140">
        <v>14401</v>
      </c>
      <c r="B2140" t="s">
        <v>4</v>
      </c>
      <c r="C2140">
        <v>3</v>
      </c>
      <c r="D2140" t="s">
        <v>5</v>
      </c>
      <c r="F2140" t="str" cm="1">
        <f t="array" ref="F2140">CategorizeComment(E2140)</f>
        <v>Other</v>
      </c>
      <c r="G2140" t="str" cm="1">
        <f t="array" ref="G2140">SubCategorizeComment(E2140)</f>
        <v>Other</v>
      </c>
    </row>
    <row r="2141" spans="1:7" x14ac:dyDescent="0.25">
      <c r="A2141">
        <v>14402</v>
      </c>
      <c r="B2141" t="s">
        <v>4</v>
      </c>
      <c r="C2141">
        <v>3</v>
      </c>
      <c r="D2141" t="s">
        <v>5</v>
      </c>
      <c r="F2141" t="str" cm="1">
        <f t="array" ref="F2141">CategorizeComment(E2141)</f>
        <v>Other</v>
      </c>
      <c r="G2141" t="str" cm="1">
        <f t="array" ref="G2141">SubCategorizeComment(E2141)</f>
        <v>Other</v>
      </c>
    </row>
    <row r="2142" spans="1:7" x14ac:dyDescent="0.25">
      <c r="A2142">
        <v>14408</v>
      </c>
      <c r="B2142" t="s">
        <v>4</v>
      </c>
      <c r="C2142">
        <v>4</v>
      </c>
      <c r="D2142" t="s">
        <v>5</v>
      </c>
      <c r="F2142" t="str" cm="1">
        <f t="array" ref="F2142">CategorizeComment(E2142)</f>
        <v>Other</v>
      </c>
      <c r="G2142" t="str" cm="1">
        <f t="array" ref="G2142">SubCategorizeComment(E2142)</f>
        <v>Other</v>
      </c>
    </row>
    <row r="2143" spans="1:7" x14ac:dyDescent="0.25">
      <c r="A2143">
        <v>14412</v>
      </c>
      <c r="B2143" t="s">
        <v>4</v>
      </c>
      <c r="C2143">
        <v>3</v>
      </c>
      <c r="D2143" t="s">
        <v>5</v>
      </c>
      <c r="F2143" t="str" cm="1">
        <f t="array" ref="F2143">CategorizeComment(E2143)</f>
        <v>Other</v>
      </c>
      <c r="G2143" t="str" cm="1">
        <f t="array" ref="G2143">SubCategorizeComment(E2143)</f>
        <v>Other</v>
      </c>
    </row>
    <row r="2144" spans="1:7" x14ac:dyDescent="0.25">
      <c r="A2144">
        <v>14416</v>
      </c>
      <c r="B2144" t="s">
        <v>4</v>
      </c>
      <c r="C2144">
        <v>3</v>
      </c>
      <c r="D2144" t="s">
        <v>5</v>
      </c>
      <c r="F2144" t="str" cm="1">
        <f t="array" ref="F2144">CategorizeComment(E2144)</f>
        <v>Other</v>
      </c>
      <c r="G2144" t="str" cm="1">
        <f t="array" ref="G2144">SubCategorizeComment(E2144)</f>
        <v>Other</v>
      </c>
    </row>
    <row r="2145" spans="1:7" x14ac:dyDescent="0.25">
      <c r="A2145">
        <v>14420</v>
      </c>
      <c r="B2145" t="s">
        <v>4</v>
      </c>
      <c r="C2145">
        <v>3</v>
      </c>
      <c r="D2145" t="s">
        <v>5</v>
      </c>
      <c r="F2145" t="str" cm="1">
        <f t="array" ref="F2145">CategorizeComment(E2145)</f>
        <v>Other</v>
      </c>
      <c r="G2145" t="str" cm="1">
        <f t="array" ref="G2145">SubCategorizeComment(E2145)</f>
        <v>Other</v>
      </c>
    </row>
    <row r="2146" spans="1:7" x14ac:dyDescent="0.25">
      <c r="A2146">
        <v>14429</v>
      </c>
      <c r="B2146" t="s">
        <v>4</v>
      </c>
      <c r="C2146">
        <v>3</v>
      </c>
      <c r="D2146" t="s">
        <v>5</v>
      </c>
      <c r="F2146" t="str" cm="1">
        <f t="array" ref="F2146">CategorizeComment(E2146)</f>
        <v>Other</v>
      </c>
      <c r="G2146" t="str" cm="1">
        <f t="array" ref="G2146">SubCategorizeComment(E2146)</f>
        <v>Other</v>
      </c>
    </row>
    <row r="2147" spans="1:7" x14ac:dyDescent="0.25">
      <c r="A2147">
        <v>14436</v>
      </c>
      <c r="B2147" t="s">
        <v>4</v>
      </c>
      <c r="C2147">
        <v>4</v>
      </c>
      <c r="D2147" t="s">
        <v>5</v>
      </c>
      <c r="F2147" t="str" cm="1">
        <f t="array" ref="F2147">CategorizeComment(E2147)</f>
        <v>Other</v>
      </c>
      <c r="G2147" t="str" cm="1">
        <f t="array" ref="G2147">SubCategorizeComment(E2147)</f>
        <v>Other</v>
      </c>
    </row>
    <row r="2148" spans="1:7" x14ac:dyDescent="0.25">
      <c r="A2148">
        <v>14449</v>
      </c>
      <c r="B2148" t="s">
        <v>4</v>
      </c>
      <c r="C2148">
        <v>4</v>
      </c>
      <c r="D2148" t="s">
        <v>5</v>
      </c>
      <c r="F2148" t="str" cm="1">
        <f t="array" ref="F2148">CategorizeComment(E2148)</f>
        <v>Other</v>
      </c>
      <c r="G2148" t="str" cm="1">
        <f t="array" ref="G2148">SubCategorizeComment(E2148)</f>
        <v>Other</v>
      </c>
    </row>
    <row r="2149" spans="1:7" x14ac:dyDescent="0.25">
      <c r="A2149">
        <v>14451</v>
      </c>
      <c r="B2149" t="s">
        <v>4</v>
      </c>
      <c r="C2149">
        <v>3</v>
      </c>
      <c r="D2149" t="s">
        <v>5</v>
      </c>
      <c r="F2149" t="str" cm="1">
        <f t="array" ref="F2149">CategorizeComment(E2149)</f>
        <v>Other</v>
      </c>
      <c r="G2149" t="str" cm="1">
        <f t="array" ref="G2149">SubCategorizeComment(E2149)</f>
        <v>Other</v>
      </c>
    </row>
    <row r="2150" spans="1:7" x14ac:dyDescent="0.25">
      <c r="A2150">
        <v>14512</v>
      </c>
      <c r="B2150" t="s">
        <v>4</v>
      </c>
      <c r="C2150">
        <v>3</v>
      </c>
      <c r="D2150" t="s">
        <v>5</v>
      </c>
      <c r="F2150" t="str" cm="1">
        <f t="array" ref="F2150">CategorizeComment(E2150)</f>
        <v>Other</v>
      </c>
      <c r="G2150" t="str" cm="1">
        <f t="array" ref="G2150">SubCategorizeComment(E2150)</f>
        <v>Other</v>
      </c>
    </row>
    <row r="2151" spans="1:7" x14ac:dyDescent="0.25">
      <c r="A2151">
        <v>14520</v>
      </c>
      <c r="B2151" t="s">
        <v>4</v>
      </c>
      <c r="C2151">
        <v>4</v>
      </c>
      <c r="D2151" t="s">
        <v>5</v>
      </c>
      <c r="F2151" t="str" cm="1">
        <f t="array" ref="F2151">CategorizeComment(E2151)</f>
        <v>Other</v>
      </c>
      <c r="G2151" t="str" cm="1">
        <f t="array" ref="G2151">SubCategorizeComment(E2151)</f>
        <v>Other</v>
      </c>
    </row>
    <row r="2152" spans="1:7" x14ac:dyDescent="0.25">
      <c r="A2152">
        <v>14525</v>
      </c>
      <c r="B2152" t="s">
        <v>4</v>
      </c>
      <c r="C2152">
        <v>3</v>
      </c>
      <c r="D2152" t="s">
        <v>5</v>
      </c>
      <c r="F2152" t="str" cm="1">
        <f t="array" ref="F2152">CategorizeComment(E2152)</f>
        <v>Other</v>
      </c>
      <c r="G2152" t="str" cm="1">
        <f t="array" ref="G2152">SubCategorizeComment(E2152)</f>
        <v>Other</v>
      </c>
    </row>
    <row r="2153" spans="1:7" x14ac:dyDescent="0.25">
      <c r="A2153">
        <v>14531</v>
      </c>
      <c r="B2153" t="s">
        <v>4</v>
      </c>
      <c r="C2153">
        <v>4</v>
      </c>
      <c r="D2153" t="s">
        <v>5</v>
      </c>
      <c r="F2153" t="str" cm="1">
        <f t="array" ref="F2153">CategorizeComment(E2153)</f>
        <v>Other</v>
      </c>
      <c r="G2153" t="str" cm="1">
        <f t="array" ref="G2153">SubCategorizeComment(E2153)</f>
        <v>Other</v>
      </c>
    </row>
    <row r="2154" spans="1:7" x14ac:dyDescent="0.25">
      <c r="A2154">
        <v>14535</v>
      </c>
      <c r="B2154" t="s">
        <v>4</v>
      </c>
      <c r="C2154">
        <v>4</v>
      </c>
      <c r="D2154" t="s">
        <v>5</v>
      </c>
      <c r="F2154" t="str" cm="1">
        <f t="array" ref="F2154">CategorizeComment(E2154)</f>
        <v>Other</v>
      </c>
      <c r="G2154" t="str" cm="1">
        <f t="array" ref="G2154">SubCategorizeComment(E2154)</f>
        <v>Other</v>
      </c>
    </row>
    <row r="2155" spans="1:7" x14ac:dyDescent="0.25">
      <c r="A2155">
        <v>14537</v>
      </c>
      <c r="B2155" t="s">
        <v>4</v>
      </c>
      <c r="C2155">
        <v>3</v>
      </c>
      <c r="D2155" t="s">
        <v>5</v>
      </c>
      <c r="F2155" t="str" cm="1">
        <f t="array" ref="F2155">CategorizeComment(E2155)</f>
        <v>Other</v>
      </c>
      <c r="G2155" t="str" cm="1">
        <f t="array" ref="G2155">SubCategorizeComment(E2155)</f>
        <v>Other</v>
      </c>
    </row>
    <row r="2156" spans="1:7" x14ac:dyDescent="0.25">
      <c r="A2156">
        <v>14540</v>
      </c>
      <c r="B2156" t="s">
        <v>4</v>
      </c>
      <c r="C2156">
        <v>3</v>
      </c>
      <c r="D2156" t="s">
        <v>5</v>
      </c>
      <c r="F2156" t="str" cm="1">
        <f t="array" ref="F2156">CategorizeComment(E2156)</f>
        <v>Other</v>
      </c>
      <c r="G2156" t="str" cm="1">
        <f t="array" ref="G2156">SubCategorizeComment(E2156)</f>
        <v>Other</v>
      </c>
    </row>
    <row r="2157" spans="1:7" x14ac:dyDescent="0.25">
      <c r="A2157">
        <v>14559</v>
      </c>
      <c r="B2157" t="s">
        <v>4</v>
      </c>
      <c r="C2157">
        <v>3</v>
      </c>
      <c r="D2157" t="s">
        <v>5</v>
      </c>
      <c r="F2157" t="str" cm="1">
        <f t="array" ref="F2157">CategorizeComment(E2157)</f>
        <v>Other</v>
      </c>
      <c r="G2157" t="str" cm="1">
        <f t="array" ref="G2157">SubCategorizeComment(E2157)</f>
        <v>Other</v>
      </c>
    </row>
    <row r="2158" spans="1:7" x14ac:dyDescent="0.25">
      <c r="A2158">
        <v>14576</v>
      </c>
      <c r="B2158" t="s">
        <v>4</v>
      </c>
      <c r="C2158">
        <v>4</v>
      </c>
      <c r="D2158" t="s">
        <v>5</v>
      </c>
      <c r="F2158" t="str" cm="1">
        <f t="array" ref="F2158">CategorizeComment(E2158)</f>
        <v>Other</v>
      </c>
      <c r="G2158" t="str" cm="1">
        <f t="array" ref="G2158">SubCategorizeComment(E2158)</f>
        <v>Other</v>
      </c>
    </row>
    <row r="2159" spans="1:7" x14ac:dyDescent="0.25">
      <c r="A2159">
        <v>14584</v>
      </c>
      <c r="B2159" t="s">
        <v>4</v>
      </c>
      <c r="C2159">
        <v>3</v>
      </c>
      <c r="D2159" t="s">
        <v>5</v>
      </c>
      <c r="F2159" t="str" cm="1">
        <f t="array" ref="F2159">CategorizeComment(E2159)</f>
        <v>Other</v>
      </c>
      <c r="G2159" t="str" cm="1">
        <f t="array" ref="G2159">SubCategorizeComment(E2159)</f>
        <v>Other</v>
      </c>
    </row>
    <row r="2160" spans="1:7" x14ac:dyDescent="0.25">
      <c r="A2160">
        <v>14586</v>
      </c>
      <c r="B2160" t="s">
        <v>4</v>
      </c>
      <c r="C2160">
        <v>4</v>
      </c>
      <c r="D2160" t="s">
        <v>5</v>
      </c>
      <c r="F2160" t="str" cm="1">
        <f t="array" ref="F2160">CategorizeComment(E2160)</f>
        <v>Other</v>
      </c>
      <c r="G2160" t="str" cm="1">
        <f t="array" ref="G2160">SubCategorizeComment(E2160)</f>
        <v>Other</v>
      </c>
    </row>
    <row r="2161" spans="1:7" x14ac:dyDescent="0.25">
      <c r="A2161">
        <v>14613</v>
      </c>
      <c r="B2161" t="s">
        <v>4</v>
      </c>
      <c r="C2161">
        <v>3</v>
      </c>
      <c r="D2161" t="s">
        <v>5</v>
      </c>
      <c r="F2161" t="str" cm="1">
        <f t="array" ref="F2161">CategorizeComment(E2161)</f>
        <v>Other</v>
      </c>
      <c r="G2161" t="str" cm="1">
        <f t="array" ref="G2161">SubCategorizeComment(E2161)</f>
        <v>Other</v>
      </c>
    </row>
    <row r="2162" spans="1:7" x14ac:dyDescent="0.25">
      <c r="A2162">
        <v>14631</v>
      </c>
      <c r="B2162" t="s">
        <v>4</v>
      </c>
      <c r="C2162">
        <v>3</v>
      </c>
      <c r="D2162" t="s">
        <v>5</v>
      </c>
      <c r="F2162" t="str" cm="1">
        <f t="array" ref="F2162">CategorizeComment(E2162)</f>
        <v>Other</v>
      </c>
      <c r="G2162" t="str" cm="1">
        <f t="array" ref="G2162">SubCategorizeComment(E2162)</f>
        <v>Other</v>
      </c>
    </row>
    <row r="2163" spans="1:7" x14ac:dyDescent="0.25">
      <c r="A2163">
        <v>14656</v>
      </c>
      <c r="B2163" t="s">
        <v>4</v>
      </c>
      <c r="C2163">
        <v>4</v>
      </c>
      <c r="D2163" t="s">
        <v>5</v>
      </c>
      <c r="F2163" t="str" cm="1">
        <f t="array" ref="F2163">CategorizeComment(E2163)</f>
        <v>Other</v>
      </c>
      <c r="G2163" t="str" cm="1">
        <f t="array" ref="G2163">SubCategorizeComment(E2163)</f>
        <v>Other</v>
      </c>
    </row>
    <row r="2164" spans="1:7" x14ac:dyDescent="0.25">
      <c r="A2164">
        <v>14669</v>
      </c>
      <c r="B2164" t="s">
        <v>4</v>
      </c>
      <c r="C2164">
        <v>3</v>
      </c>
      <c r="D2164" t="s">
        <v>5</v>
      </c>
      <c r="F2164" t="str" cm="1">
        <f t="array" ref="F2164">CategorizeComment(E2164)</f>
        <v>Other</v>
      </c>
      <c r="G2164" t="str" cm="1">
        <f t="array" ref="G2164">SubCategorizeComment(E2164)</f>
        <v>Other</v>
      </c>
    </row>
    <row r="2165" spans="1:7" x14ac:dyDescent="0.25">
      <c r="A2165">
        <v>14671</v>
      </c>
      <c r="B2165" t="s">
        <v>4</v>
      </c>
      <c r="C2165">
        <v>4</v>
      </c>
      <c r="D2165" t="s">
        <v>5</v>
      </c>
      <c r="F2165" t="str" cm="1">
        <f t="array" ref="F2165">CategorizeComment(E2165)</f>
        <v>Other</v>
      </c>
      <c r="G2165" t="str" cm="1">
        <f t="array" ref="G2165">SubCategorizeComment(E2165)</f>
        <v>Other</v>
      </c>
    </row>
    <row r="2166" spans="1:7" x14ac:dyDescent="0.25">
      <c r="A2166">
        <v>14675</v>
      </c>
      <c r="B2166" t="s">
        <v>4</v>
      </c>
      <c r="C2166">
        <v>4</v>
      </c>
      <c r="D2166" t="s">
        <v>5</v>
      </c>
      <c r="F2166" t="str" cm="1">
        <f t="array" ref="F2166">CategorizeComment(E2166)</f>
        <v>Other</v>
      </c>
      <c r="G2166" t="str" cm="1">
        <f t="array" ref="G2166">SubCategorizeComment(E2166)</f>
        <v>Other</v>
      </c>
    </row>
    <row r="2167" spans="1:7" x14ac:dyDescent="0.25">
      <c r="A2167">
        <v>14704</v>
      </c>
      <c r="B2167" t="s">
        <v>4</v>
      </c>
      <c r="C2167">
        <v>3</v>
      </c>
      <c r="D2167" t="s">
        <v>5</v>
      </c>
      <c r="F2167" t="str" cm="1">
        <f t="array" ref="F2167">CategorizeComment(E2167)</f>
        <v>Other</v>
      </c>
      <c r="G2167" t="str" cm="1">
        <f t="array" ref="G2167">SubCategorizeComment(E2167)</f>
        <v>Other</v>
      </c>
    </row>
    <row r="2168" spans="1:7" x14ac:dyDescent="0.25">
      <c r="A2168">
        <v>14718</v>
      </c>
      <c r="B2168" t="s">
        <v>4</v>
      </c>
      <c r="C2168">
        <v>3</v>
      </c>
      <c r="D2168" t="s">
        <v>5</v>
      </c>
      <c r="F2168" t="str" cm="1">
        <f t="array" ref="F2168">CategorizeComment(E2168)</f>
        <v>Other</v>
      </c>
      <c r="G2168" t="str" cm="1">
        <f t="array" ref="G2168">SubCategorizeComment(E2168)</f>
        <v>Other</v>
      </c>
    </row>
    <row r="2169" spans="1:7" x14ac:dyDescent="0.25">
      <c r="A2169">
        <v>14721</v>
      </c>
      <c r="B2169" t="s">
        <v>4</v>
      </c>
      <c r="C2169">
        <v>4</v>
      </c>
      <c r="D2169" t="s">
        <v>5</v>
      </c>
      <c r="F2169" t="str" cm="1">
        <f t="array" ref="F2169">CategorizeComment(E2169)</f>
        <v>Other</v>
      </c>
      <c r="G2169" t="str" cm="1">
        <f t="array" ref="G2169">SubCategorizeComment(E2169)</f>
        <v>Other</v>
      </c>
    </row>
    <row r="2170" spans="1:7" x14ac:dyDescent="0.25">
      <c r="A2170">
        <v>14750</v>
      </c>
      <c r="B2170" t="s">
        <v>4</v>
      </c>
      <c r="C2170">
        <v>4</v>
      </c>
      <c r="D2170" t="s">
        <v>5</v>
      </c>
      <c r="F2170" t="str" cm="1">
        <f t="array" ref="F2170">CategorizeComment(E2170)</f>
        <v>Other</v>
      </c>
      <c r="G2170" t="str" cm="1">
        <f t="array" ref="G2170">SubCategorizeComment(E2170)</f>
        <v>Other</v>
      </c>
    </row>
    <row r="2171" spans="1:7" x14ac:dyDescent="0.25">
      <c r="A2171">
        <v>14751</v>
      </c>
      <c r="B2171" t="s">
        <v>4</v>
      </c>
      <c r="C2171">
        <v>3</v>
      </c>
      <c r="D2171" t="s">
        <v>5</v>
      </c>
      <c r="F2171" t="str" cm="1">
        <f t="array" ref="F2171">CategorizeComment(E2171)</f>
        <v>Other</v>
      </c>
      <c r="G2171" t="str" cm="1">
        <f t="array" ref="G2171">SubCategorizeComment(E2171)</f>
        <v>Other</v>
      </c>
    </row>
    <row r="2172" spans="1:7" x14ac:dyDescent="0.25">
      <c r="A2172">
        <v>14754</v>
      </c>
      <c r="B2172" t="s">
        <v>4</v>
      </c>
      <c r="C2172">
        <v>3</v>
      </c>
      <c r="D2172" t="s">
        <v>5</v>
      </c>
      <c r="F2172" t="str" cm="1">
        <f t="array" ref="F2172">CategorizeComment(E2172)</f>
        <v>Other</v>
      </c>
      <c r="G2172" t="str" cm="1">
        <f t="array" ref="G2172">SubCategorizeComment(E2172)</f>
        <v>Other</v>
      </c>
    </row>
    <row r="2173" spans="1:7" x14ac:dyDescent="0.25">
      <c r="A2173">
        <v>14768</v>
      </c>
      <c r="B2173" t="s">
        <v>4</v>
      </c>
      <c r="C2173">
        <v>4</v>
      </c>
      <c r="D2173" t="s">
        <v>5</v>
      </c>
      <c r="F2173" t="str" cm="1">
        <f t="array" ref="F2173">CategorizeComment(E2173)</f>
        <v>Other</v>
      </c>
      <c r="G2173" t="str" cm="1">
        <f t="array" ref="G2173">SubCategorizeComment(E2173)</f>
        <v>Other</v>
      </c>
    </row>
    <row r="2174" spans="1:7" x14ac:dyDescent="0.25">
      <c r="A2174">
        <v>14791</v>
      </c>
      <c r="B2174" t="s">
        <v>4</v>
      </c>
      <c r="C2174">
        <v>3</v>
      </c>
      <c r="D2174" t="s">
        <v>5</v>
      </c>
      <c r="F2174" t="str" cm="1">
        <f t="array" ref="F2174">CategorizeComment(E2174)</f>
        <v>Other</v>
      </c>
      <c r="G2174" t="str" cm="1">
        <f t="array" ref="G2174">SubCategorizeComment(E2174)</f>
        <v>Other</v>
      </c>
    </row>
    <row r="2175" spans="1:7" x14ac:dyDescent="0.25">
      <c r="A2175">
        <v>14813</v>
      </c>
      <c r="B2175" t="s">
        <v>4</v>
      </c>
      <c r="C2175">
        <v>3</v>
      </c>
      <c r="D2175" t="s">
        <v>5</v>
      </c>
      <c r="F2175" t="str" cm="1">
        <f t="array" ref="F2175">CategorizeComment(E2175)</f>
        <v>Other</v>
      </c>
      <c r="G2175" t="str" cm="1">
        <f t="array" ref="G2175">SubCategorizeComment(E2175)</f>
        <v>Other</v>
      </c>
    </row>
    <row r="2176" spans="1:7" x14ac:dyDescent="0.25">
      <c r="A2176">
        <v>14817</v>
      </c>
      <c r="B2176" t="s">
        <v>4</v>
      </c>
      <c r="C2176">
        <v>4</v>
      </c>
      <c r="D2176" t="s">
        <v>5</v>
      </c>
      <c r="F2176" t="str" cm="1">
        <f t="array" ref="F2176">CategorizeComment(E2176)</f>
        <v>Other</v>
      </c>
      <c r="G2176" t="str" cm="1">
        <f t="array" ref="G2176">SubCategorizeComment(E2176)</f>
        <v>Other</v>
      </c>
    </row>
    <row r="2177" spans="1:7" x14ac:dyDescent="0.25">
      <c r="A2177">
        <v>14827</v>
      </c>
      <c r="B2177" t="s">
        <v>4</v>
      </c>
      <c r="C2177">
        <v>3</v>
      </c>
      <c r="D2177" t="s">
        <v>5</v>
      </c>
      <c r="F2177" t="str" cm="1">
        <f t="array" ref="F2177">CategorizeComment(E2177)</f>
        <v>Other</v>
      </c>
      <c r="G2177" t="str" cm="1">
        <f t="array" ref="G2177">SubCategorizeComment(E2177)</f>
        <v>Other</v>
      </c>
    </row>
    <row r="2178" spans="1:7" x14ac:dyDescent="0.25">
      <c r="A2178">
        <v>14839</v>
      </c>
      <c r="B2178" t="s">
        <v>4</v>
      </c>
      <c r="C2178">
        <v>3</v>
      </c>
      <c r="D2178" t="s">
        <v>5</v>
      </c>
      <c r="F2178" t="str" cm="1">
        <f t="array" ref="F2178">CategorizeComment(E2178)</f>
        <v>Other</v>
      </c>
      <c r="G2178" t="str" cm="1">
        <f t="array" ref="G2178">SubCategorizeComment(E2178)</f>
        <v>Other</v>
      </c>
    </row>
    <row r="2179" spans="1:7" x14ac:dyDescent="0.25">
      <c r="A2179">
        <v>14842</v>
      </c>
      <c r="B2179" t="s">
        <v>4</v>
      </c>
      <c r="C2179">
        <v>4</v>
      </c>
      <c r="D2179" t="s">
        <v>5</v>
      </c>
      <c r="F2179" t="str" cm="1">
        <f t="array" ref="F2179">CategorizeComment(E2179)</f>
        <v>Other</v>
      </c>
      <c r="G2179" t="str" cm="1">
        <f t="array" ref="G2179">SubCategorizeComment(E2179)</f>
        <v>Other</v>
      </c>
    </row>
    <row r="2180" spans="1:7" x14ac:dyDescent="0.25">
      <c r="A2180">
        <v>14846</v>
      </c>
      <c r="B2180" t="s">
        <v>4</v>
      </c>
      <c r="C2180">
        <v>3</v>
      </c>
      <c r="D2180" t="s">
        <v>5</v>
      </c>
      <c r="F2180" t="str" cm="1">
        <f t="array" ref="F2180">CategorizeComment(E2180)</f>
        <v>Other</v>
      </c>
      <c r="G2180" t="str" cm="1">
        <f t="array" ref="G2180">SubCategorizeComment(E2180)</f>
        <v>Other</v>
      </c>
    </row>
    <row r="2181" spans="1:7" x14ac:dyDescent="0.25">
      <c r="A2181">
        <v>14858</v>
      </c>
      <c r="B2181" t="s">
        <v>4</v>
      </c>
      <c r="C2181">
        <v>4</v>
      </c>
      <c r="D2181" t="s">
        <v>5</v>
      </c>
      <c r="F2181" t="str" cm="1">
        <f t="array" ref="F2181">CategorizeComment(E2181)</f>
        <v>Other</v>
      </c>
      <c r="G2181" t="str" cm="1">
        <f t="array" ref="G2181">SubCategorizeComment(E2181)</f>
        <v>Other</v>
      </c>
    </row>
    <row r="2182" spans="1:7" x14ac:dyDescent="0.25">
      <c r="A2182">
        <v>14866</v>
      </c>
      <c r="B2182" t="s">
        <v>4</v>
      </c>
      <c r="C2182">
        <v>3</v>
      </c>
      <c r="D2182" t="s">
        <v>5</v>
      </c>
      <c r="F2182" t="str" cm="1">
        <f t="array" ref="F2182">CategorizeComment(E2182)</f>
        <v>Other</v>
      </c>
      <c r="G2182" t="str" cm="1">
        <f t="array" ref="G2182">SubCategorizeComment(E2182)</f>
        <v>Other</v>
      </c>
    </row>
    <row r="2183" spans="1:7" x14ac:dyDescent="0.25">
      <c r="A2183">
        <v>14878</v>
      </c>
      <c r="B2183" t="s">
        <v>4</v>
      </c>
      <c r="C2183">
        <v>4</v>
      </c>
      <c r="D2183" t="s">
        <v>5</v>
      </c>
      <c r="F2183" t="str" cm="1">
        <f t="array" ref="F2183">CategorizeComment(E2183)</f>
        <v>Other</v>
      </c>
      <c r="G2183" t="str" cm="1">
        <f t="array" ref="G2183">SubCategorizeComment(E2183)</f>
        <v>Other</v>
      </c>
    </row>
    <row r="2184" spans="1:7" x14ac:dyDescent="0.25">
      <c r="A2184">
        <v>14885</v>
      </c>
      <c r="B2184" t="s">
        <v>4</v>
      </c>
      <c r="C2184">
        <v>4</v>
      </c>
      <c r="D2184" t="s">
        <v>5</v>
      </c>
      <c r="F2184" t="str" cm="1">
        <f t="array" ref="F2184">CategorizeComment(E2184)</f>
        <v>Other</v>
      </c>
      <c r="G2184" t="str" cm="1">
        <f t="array" ref="G2184">SubCategorizeComment(E2184)</f>
        <v>Other</v>
      </c>
    </row>
    <row r="2185" spans="1:7" x14ac:dyDescent="0.25">
      <c r="A2185">
        <v>14889</v>
      </c>
      <c r="B2185" t="s">
        <v>4</v>
      </c>
      <c r="C2185">
        <v>4</v>
      </c>
      <c r="D2185" t="s">
        <v>5</v>
      </c>
      <c r="F2185" t="str" cm="1">
        <f t="array" ref="F2185">CategorizeComment(E2185)</f>
        <v>Other</v>
      </c>
      <c r="G2185" t="str" cm="1">
        <f t="array" ref="G2185">SubCategorizeComment(E2185)</f>
        <v>Other</v>
      </c>
    </row>
    <row r="2186" spans="1:7" x14ac:dyDescent="0.25">
      <c r="A2186">
        <v>14890</v>
      </c>
      <c r="B2186" t="s">
        <v>4</v>
      </c>
      <c r="C2186">
        <v>3</v>
      </c>
      <c r="D2186" t="s">
        <v>5</v>
      </c>
      <c r="F2186" t="str" cm="1">
        <f t="array" ref="F2186">CategorizeComment(E2186)</f>
        <v>Other</v>
      </c>
      <c r="G2186" t="str" cm="1">
        <f t="array" ref="G2186">SubCategorizeComment(E2186)</f>
        <v>Other</v>
      </c>
    </row>
    <row r="2187" spans="1:7" x14ac:dyDescent="0.25">
      <c r="A2187">
        <v>14913</v>
      </c>
      <c r="B2187" t="s">
        <v>4</v>
      </c>
      <c r="C2187">
        <v>4</v>
      </c>
      <c r="D2187" t="s">
        <v>5</v>
      </c>
      <c r="F2187" t="str" cm="1">
        <f t="array" ref="F2187">CategorizeComment(E2187)</f>
        <v>Other</v>
      </c>
      <c r="G2187" t="str" cm="1">
        <f t="array" ref="G2187">SubCategorizeComment(E2187)</f>
        <v>Other</v>
      </c>
    </row>
    <row r="2188" spans="1:7" x14ac:dyDescent="0.25">
      <c r="A2188">
        <v>14940</v>
      </c>
      <c r="B2188" t="s">
        <v>4</v>
      </c>
      <c r="C2188">
        <v>3</v>
      </c>
      <c r="D2188" t="s">
        <v>5</v>
      </c>
      <c r="F2188" t="str" cm="1">
        <f t="array" ref="F2188">CategorizeComment(E2188)</f>
        <v>Other</v>
      </c>
      <c r="G2188" t="str" cm="1">
        <f t="array" ref="G2188">SubCategorizeComment(E2188)</f>
        <v>Other</v>
      </c>
    </row>
    <row r="2189" spans="1:7" x14ac:dyDescent="0.25">
      <c r="A2189">
        <v>14948</v>
      </c>
      <c r="B2189" t="s">
        <v>4</v>
      </c>
      <c r="C2189">
        <v>4</v>
      </c>
      <c r="D2189" t="s">
        <v>5</v>
      </c>
      <c r="F2189" t="str" cm="1">
        <f t="array" ref="F2189">CategorizeComment(E2189)</f>
        <v>Other</v>
      </c>
      <c r="G2189" t="str" cm="1">
        <f t="array" ref="G2189">SubCategorizeComment(E2189)</f>
        <v>Other</v>
      </c>
    </row>
    <row r="2190" spans="1:7" x14ac:dyDescent="0.25">
      <c r="A2190">
        <v>14951</v>
      </c>
      <c r="B2190" t="s">
        <v>4</v>
      </c>
      <c r="C2190">
        <v>3</v>
      </c>
      <c r="D2190" t="s">
        <v>5</v>
      </c>
      <c r="F2190" t="str" cm="1">
        <f t="array" ref="F2190">CategorizeComment(E2190)</f>
        <v>Other</v>
      </c>
      <c r="G2190" t="str" cm="1">
        <f t="array" ref="G2190">SubCategorizeComment(E2190)</f>
        <v>Other</v>
      </c>
    </row>
    <row r="2191" spans="1:7" x14ac:dyDescent="0.25">
      <c r="A2191">
        <v>14962</v>
      </c>
      <c r="B2191" t="s">
        <v>4</v>
      </c>
      <c r="C2191">
        <v>4</v>
      </c>
      <c r="D2191" t="s">
        <v>5</v>
      </c>
      <c r="F2191" t="str" cm="1">
        <f t="array" ref="F2191">CategorizeComment(E2191)</f>
        <v>Other</v>
      </c>
      <c r="G2191" t="str" cm="1">
        <f t="array" ref="G2191">SubCategorizeComment(E2191)</f>
        <v>Other</v>
      </c>
    </row>
    <row r="2192" spans="1:7" x14ac:dyDescent="0.25">
      <c r="A2192">
        <v>14974</v>
      </c>
      <c r="B2192" t="s">
        <v>4</v>
      </c>
      <c r="C2192">
        <v>3</v>
      </c>
      <c r="D2192" t="s">
        <v>5</v>
      </c>
      <c r="F2192" t="str" cm="1">
        <f t="array" ref="F2192">CategorizeComment(E2192)</f>
        <v>Other</v>
      </c>
      <c r="G2192" t="str" cm="1">
        <f t="array" ref="G2192">SubCategorizeComment(E2192)</f>
        <v>Other</v>
      </c>
    </row>
    <row r="2193" spans="1:7" x14ac:dyDescent="0.25">
      <c r="A2193">
        <v>14980</v>
      </c>
      <c r="B2193" t="s">
        <v>4</v>
      </c>
      <c r="C2193">
        <v>4</v>
      </c>
      <c r="D2193" t="s">
        <v>5</v>
      </c>
      <c r="F2193" t="str" cm="1">
        <f t="array" ref="F2193">CategorizeComment(E2193)</f>
        <v>Other</v>
      </c>
      <c r="G2193" t="str" cm="1">
        <f t="array" ref="G2193">SubCategorizeComment(E2193)</f>
        <v>Other</v>
      </c>
    </row>
    <row r="2194" spans="1:7" x14ac:dyDescent="0.25">
      <c r="A2194">
        <v>14998</v>
      </c>
      <c r="B2194" t="s">
        <v>4</v>
      </c>
      <c r="C2194">
        <v>4</v>
      </c>
      <c r="D2194" t="s">
        <v>5</v>
      </c>
      <c r="F2194" t="str" cm="1">
        <f t="array" ref="F2194">CategorizeComment(E2194)</f>
        <v>Other</v>
      </c>
      <c r="G2194" t="str" cm="1">
        <f t="array" ref="G2194">SubCategorizeComment(E2194)</f>
        <v>Other</v>
      </c>
    </row>
    <row r="2195" spans="1:7" x14ac:dyDescent="0.25">
      <c r="A2195">
        <v>15018</v>
      </c>
      <c r="B2195" t="s">
        <v>4</v>
      </c>
      <c r="C2195">
        <v>4</v>
      </c>
      <c r="D2195" t="s">
        <v>5</v>
      </c>
      <c r="F2195" t="str" cm="1">
        <f t="array" ref="F2195">CategorizeComment(E2195)</f>
        <v>Other</v>
      </c>
      <c r="G2195" t="str" cm="1">
        <f t="array" ref="G2195">SubCategorizeComment(E2195)</f>
        <v>Other</v>
      </c>
    </row>
    <row r="2196" spans="1:7" x14ac:dyDescent="0.25">
      <c r="A2196">
        <v>15020</v>
      </c>
      <c r="B2196" t="s">
        <v>4</v>
      </c>
      <c r="C2196">
        <v>4</v>
      </c>
      <c r="D2196" t="s">
        <v>5</v>
      </c>
      <c r="F2196" t="str" cm="1">
        <f t="array" ref="F2196">CategorizeComment(E2196)</f>
        <v>Other</v>
      </c>
      <c r="G2196" t="str" cm="1">
        <f t="array" ref="G2196">SubCategorizeComment(E2196)</f>
        <v>Other</v>
      </c>
    </row>
    <row r="2197" spans="1:7" x14ac:dyDescent="0.25">
      <c r="A2197">
        <v>15025</v>
      </c>
      <c r="B2197" t="s">
        <v>4</v>
      </c>
      <c r="C2197">
        <v>4</v>
      </c>
      <c r="D2197" t="s">
        <v>5</v>
      </c>
      <c r="F2197" t="str" cm="1">
        <f t="array" ref="F2197">CategorizeComment(E2197)</f>
        <v>Other</v>
      </c>
      <c r="G2197" t="str" cm="1">
        <f t="array" ref="G2197">SubCategorizeComment(E2197)</f>
        <v>Other</v>
      </c>
    </row>
    <row r="2198" spans="1:7" x14ac:dyDescent="0.25">
      <c r="A2198">
        <v>15046</v>
      </c>
      <c r="B2198" t="s">
        <v>4</v>
      </c>
      <c r="C2198">
        <v>3</v>
      </c>
      <c r="D2198" t="s">
        <v>5</v>
      </c>
      <c r="F2198" t="str" cm="1">
        <f t="array" ref="F2198">CategorizeComment(E2198)</f>
        <v>Other</v>
      </c>
      <c r="G2198" t="str" cm="1">
        <f t="array" ref="G2198">SubCategorizeComment(E2198)</f>
        <v>Other</v>
      </c>
    </row>
    <row r="2199" spans="1:7" x14ac:dyDescent="0.25">
      <c r="A2199">
        <v>15048</v>
      </c>
      <c r="B2199" t="s">
        <v>4</v>
      </c>
      <c r="C2199">
        <v>4</v>
      </c>
      <c r="D2199" t="s">
        <v>5</v>
      </c>
      <c r="F2199" t="str" cm="1">
        <f t="array" ref="F2199">CategorizeComment(E2199)</f>
        <v>Other</v>
      </c>
      <c r="G2199" t="str" cm="1">
        <f t="array" ref="G2199">SubCategorizeComment(E2199)</f>
        <v>Other</v>
      </c>
    </row>
    <row r="2200" spans="1:7" x14ac:dyDescent="0.25">
      <c r="A2200">
        <v>15058</v>
      </c>
      <c r="B2200" t="s">
        <v>4</v>
      </c>
      <c r="C2200">
        <v>3</v>
      </c>
      <c r="D2200" t="s">
        <v>5</v>
      </c>
      <c r="F2200" t="str" cm="1">
        <f t="array" ref="F2200">CategorizeComment(E2200)</f>
        <v>Other</v>
      </c>
      <c r="G2200" t="str" cm="1">
        <f t="array" ref="G2200">SubCategorizeComment(E2200)</f>
        <v>Other</v>
      </c>
    </row>
    <row r="2201" spans="1:7" x14ac:dyDescent="0.25">
      <c r="A2201">
        <v>15059</v>
      </c>
      <c r="B2201" t="s">
        <v>4</v>
      </c>
      <c r="C2201">
        <v>3</v>
      </c>
      <c r="D2201" t="s">
        <v>5</v>
      </c>
      <c r="F2201" t="str" cm="1">
        <f t="array" ref="F2201">CategorizeComment(E2201)</f>
        <v>Other</v>
      </c>
      <c r="G2201" t="str" cm="1">
        <f t="array" ref="G2201">SubCategorizeComment(E2201)</f>
        <v>Other</v>
      </c>
    </row>
    <row r="2202" spans="1:7" x14ac:dyDescent="0.25">
      <c r="A2202">
        <v>15076</v>
      </c>
      <c r="B2202" t="s">
        <v>4</v>
      </c>
      <c r="C2202">
        <v>3</v>
      </c>
      <c r="D2202" t="s">
        <v>5</v>
      </c>
      <c r="F2202" t="str" cm="1">
        <f t="array" ref="F2202">CategorizeComment(E2202)</f>
        <v>Other</v>
      </c>
      <c r="G2202" t="str" cm="1">
        <f t="array" ref="G2202">SubCategorizeComment(E2202)</f>
        <v>Other</v>
      </c>
    </row>
    <row r="2203" spans="1:7" x14ac:dyDescent="0.25">
      <c r="A2203">
        <v>15083</v>
      </c>
      <c r="B2203" t="s">
        <v>4</v>
      </c>
      <c r="C2203">
        <v>4</v>
      </c>
      <c r="D2203" t="s">
        <v>5</v>
      </c>
      <c r="F2203" t="str" cm="1">
        <f t="array" ref="F2203">CategorizeComment(E2203)</f>
        <v>Other</v>
      </c>
      <c r="G2203" t="str" cm="1">
        <f t="array" ref="G2203">SubCategorizeComment(E2203)</f>
        <v>Other</v>
      </c>
    </row>
    <row r="2204" spans="1:7" x14ac:dyDescent="0.25">
      <c r="A2204">
        <v>15087</v>
      </c>
      <c r="B2204" t="s">
        <v>4</v>
      </c>
      <c r="C2204">
        <v>4</v>
      </c>
      <c r="D2204" t="s">
        <v>5</v>
      </c>
      <c r="F2204" t="str" cm="1">
        <f t="array" ref="F2204">CategorizeComment(E2204)</f>
        <v>Other</v>
      </c>
      <c r="G2204" t="str" cm="1">
        <f t="array" ref="G2204">SubCategorizeComment(E2204)</f>
        <v>Other</v>
      </c>
    </row>
    <row r="2205" spans="1:7" x14ac:dyDescent="0.25">
      <c r="A2205">
        <v>15088</v>
      </c>
      <c r="B2205" t="s">
        <v>4</v>
      </c>
      <c r="C2205">
        <v>3</v>
      </c>
      <c r="D2205" t="s">
        <v>5</v>
      </c>
      <c r="F2205" t="str" cm="1">
        <f t="array" ref="F2205">CategorizeComment(E2205)</f>
        <v>Other</v>
      </c>
      <c r="G2205" t="str" cm="1">
        <f t="array" ref="G2205">SubCategorizeComment(E2205)</f>
        <v>Other</v>
      </c>
    </row>
    <row r="2206" spans="1:7" x14ac:dyDescent="0.25">
      <c r="A2206">
        <v>15095</v>
      </c>
      <c r="B2206" t="s">
        <v>4</v>
      </c>
      <c r="C2206">
        <v>3</v>
      </c>
      <c r="D2206" t="s">
        <v>5</v>
      </c>
      <c r="F2206" t="str" cm="1">
        <f t="array" ref="F2206">CategorizeComment(E2206)</f>
        <v>Other</v>
      </c>
      <c r="G2206" t="str" cm="1">
        <f t="array" ref="G2206">SubCategorizeComment(E2206)</f>
        <v>Other</v>
      </c>
    </row>
    <row r="2207" spans="1:7" x14ac:dyDescent="0.25">
      <c r="A2207">
        <v>15096</v>
      </c>
      <c r="B2207" t="s">
        <v>4</v>
      </c>
      <c r="C2207">
        <v>3</v>
      </c>
      <c r="D2207" t="s">
        <v>5</v>
      </c>
      <c r="F2207" t="str" cm="1">
        <f t="array" ref="F2207">CategorizeComment(E2207)</f>
        <v>Other</v>
      </c>
      <c r="G2207" t="str" cm="1">
        <f t="array" ref="G2207">SubCategorizeComment(E2207)</f>
        <v>Other</v>
      </c>
    </row>
    <row r="2208" spans="1:7" x14ac:dyDescent="0.25">
      <c r="A2208">
        <v>15102</v>
      </c>
      <c r="B2208" t="s">
        <v>4</v>
      </c>
      <c r="C2208">
        <v>3</v>
      </c>
      <c r="D2208" t="s">
        <v>5</v>
      </c>
      <c r="F2208" t="str" cm="1">
        <f t="array" ref="F2208">CategorizeComment(E2208)</f>
        <v>Other</v>
      </c>
      <c r="G2208" t="str" cm="1">
        <f t="array" ref="G2208">SubCategorizeComment(E2208)</f>
        <v>Other</v>
      </c>
    </row>
    <row r="2209" spans="1:7" x14ac:dyDescent="0.25">
      <c r="A2209">
        <v>15132</v>
      </c>
      <c r="B2209" t="s">
        <v>4</v>
      </c>
      <c r="C2209">
        <v>4</v>
      </c>
      <c r="D2209" t="s">
        <v>5</v>
      </c>
      <c r="F2209" t="str" cm="1">
        <f t="array" ref="F2209">CategorizeComment(E2209)</f>
        <v>Other</v>
      </c>
      <c r="G2209" t="str" cm="1">
        <f t="array" ref="G2209">SubCategorizeComment(E2209)</f>
        <v>Other</v>
      </c>
    </row>
    <row r="2210" spans="1:7" x14ac:dyDescent="0.25">
      <c r="A2210">
        <v>15153</v>
      </c>
      <c r="B2210" t="s">
        <v>4</v>
      </c>
      <c r="C2210">
        <v>3</v>
      </c>
      <c r="D2210" t="s">
        <v>5</v>
      </c>
      <c r="F2210" t="str" cm="1">
        <f t="array" ref="F2210">CategorizeComment(E2210)</f>
        <v>Other</v>
      </c>
      <c r="G2210" t="str" cm="1">
        <f t="array" ref="G2210">SubCategorizeComment(E2210)</f>
        <v>Other</v>
      </c>
    </row>
    <row r="2211" spans="1:7" x14ac:dyDescent="0.25">
      <c r="A2211">
        <v>15195</v>
      </c>
      <c r="B2211" t="s">
        <v>4</v>
      </c>
      <c r="C2211">
        <v>4</v>
      </c>
      <c r="D2211" t="s">
        <v>5</v>
      </c>
      <c r="F2211" t="str" cm="1">
        <f t="array" ref="F2211">CategorizeComment(E2211)</f>
        <v>Other</v>
      </c>
      <c r="G2211" t="str" cm="1">
        <f t="array" ref="G2211">SubCategorizeComment(E2211)</f>
        <v>Other</v>
      </c>
    </row>
    <row r="2212" spans="1:7" x14ac:dyDescent="0.25">
      <c r="A2212">
        <v>15253</v>
      </c>
      <c r="B2212" t="s">
        <v>4</v>
      </c>
      <c r="C2212">
        <v>4</v>
      </c>
      <c r="D2212" t="s">
        <v>5</v>
      </c>
      <c r="F2212" t="str" cm="1">
        <f t="array" ref="F2212">CategorizeComment(E2212)</f>
        <v>Other</v>
      </c>
      <c r="G2212" t="str" cm="1">
        <f t="array" ref="G2212">SubCategorizeComment(E2212)</f>
        <v>Other</v>
      </c>
    </row>
    <row r="2213" spans="1:7" x14ac:dyDescent="0.25">
      <c r="A2213">
        <v>15262</v>
      </c>
      <c r="B2213" t="s">
        <v>4</v>
      </c>
      <c r="C2213">
        <v>3</v>
      </c>
      <c r="D2213" t="s">
        <v>5</v>
      </c>
      <c r="F2213" t="str" cm="1">
        <f t="array" ref="F2213">CategorizeComment(E2213)</f>
        <v>Other</v>
      </c>
      <c r="G2213" t="str" cm="1">
        <f t="array" ref="G2213">SubCategorizeComment(E2213)</f>
        <v>Other</v>
      </c>
    </row>
    <row r="2214" spans="1:7" x14ac:dyDescent="0.25">
      <c r="A2214">
        <v>15274</v>
      </c>
      <c r="B2214" t="s">
        <v>4</v>
      </c>
      <c r="C2214">
        <v>3</v>
      </c>
      <c r="D2214" t="s">
        <v>5</v>
      </c>
      <c r="F2214" t="str" cm="1">
        <f t="array" ref="F2214">CategorizeComment(E2214)</f>
        <v>Other</v>
      </c>
      <c r="G2214" t="str" cm="1">
        <f t="array" ref="G2214">SubCategorizeComment(E2214)</f>
        <v>Other</v>
      </c>
    </row>
    <row r="2215" spans="1:7" x14ac:dyDescent="0.25">
      <c r="A2215">
        <v>15277</v>
      </c>
      <c r="B2215" t="s">
        <v>4</v>
      </c>
      <c r="C2215">
        <v>4</v>
      </c>
      <c r="D2215" t="s">
        <v>5</v>
      </c>
      <c r="F2215" t="str" cm="1">
        <f t="array" ref="F2215">CategorizeComment(E2215)</f>
        <v>Other</v>
      </c>
      <c r="G2215" t="str" cm="1">
        <f t="array" ref="G2215">SubCategorizeComment(E2215)</f>
        <v>Other</v>
      </c>
    </row>
    <row r="2216" spans="1:7" x14ac:dyDescent="0.25">
      <c r="A2216">
        <v>15280</v>
      </c>
      <c r="B2216" t="s">
        <v>4</v>
      </c>
      <c r="C2216">
        <v>3</v>
      </c>
      <c r="D2216" t="s">
        <v>5</v>
      </c>
      <c r="F2216" t="str" cm="1">
        <f t="array" ref="F2216">CategorizeComment(E2216)</f>
        <v>Other</v>
      </c>
      <c r="G2216" t="str" cm="1">
        <f t="array" ref="G2216">SubCategorizeComment(E2216)</f>
        <v>Other</v>
      </c>
    </row>
    <row r="2217" spans="1:7" x14ac:dyDescent="0.25">
      <c r="A2217">
        <v>15298</v>
      </c>
      <c r="B2217" t="s">
        <v>4</v>
      </c>
      <c r="C2217">
        <v>4</v>
      </c>
      <c r="D2217" t="s">
        <v>5</v>
      </c>
      <c r="F2217" t="str" cm="1">
        <f t="array" ref="F2217">CategorizeComment(E2217)</f>
        <v>Other</v>
      </c>
      <c r="G2217" t="str" cm="1">
        <f t="array" ref="G2217">SubCategorizeComment(E2217)</f>
        <v>Other</v>
      </c>
    </row>
    <row r="2218" spans="1:7" x14ac:dyDescent="0.25">
      <c r="A2218">
        <v>15304</v>
      </c>
      <c r="B2218" t="s">
        <v>4</v>
      </c>
      <c r="C2218">
        <v>4</v>
      </c>
      <c r="D2218" t="s">
        <v>5</v>
      </c>
      <c r="F2218" t="str" cm="1">
        <f t="array" ref="F2218">CategorizeComment(E2218)</f>
        <v>Other</v>
      </c>
      <c r="G2218" t="str" cm="1">
        <f t="array" ref="G2218">SubCategorizeComment(E2218)</f>
        <v>Other</v>
      </c>
    </row>
    <row r="2219" spans="1:7" x14ac:dyDescent="0.25">
      <c r="A2219">
        <v>15317</v>
      </c>
      <c r="B2219" t="s">
        <v>4</v>
      </c>
      <c r="C2219">
        <v>4</v>
      </c>
      <c r="D2219" t="s">
        <v>5</v>
      </c>
      <c r="F2219" t="str" cm="1">
        <f t="array" ref="F2219">CategorizeComment(E2219)</f>
        <v>Other</v>
      </c>
      <c r="G2219" t="str" cm="1">
        <f t="array" ref="G2219">SubCategorizeComment(E2219)</f>
        <v>Other</v>
      </c>
    </row>
    <row r="2220" spans="1:7" x14ac:dyDescent="0.25">
      <c r="A2220">
        <v>15318</v>
      </c>
      <c r="B2220" t="s">
        <v>4</v>
      </c>
      <c r="C2220">
        <v>4</v>
      </c>
      <c r="D2220" t="s">
        <v>5</v>
      </c>
      <c r="F2220" t="str" cm="1">
        <f t="array" ref="F2220">CategorizeComment(E2220)</f>
        <v>Other</v>
      </c>
      <c r="G2220" t="str" cm="1">
        <f t="array" ref="G2220">SubCategorizeComment(E2220)</f>
        <v>Other</v>
      </c>
    </row>
    <row r="2221" spans="1:7" x14ac:dyDescent="0.25">
      <c r="A2221">
        <v>15320</v>
      </c>
      <c r="B2221" t="s">
        <v>4</v>
      </c>
      <c r="C2221">
        <v>4</v>
      </c>
      <c r="D2221" t="s">
        <v>5</v>
      </c>
      <c r="F2221" t="str" cm="1">
        <f t="array" ref="F2221">CategorizeComment(E2221)</f>
        <v>Other</v>
      </c>
      <c r="G2221" t="str" cm="1">
        <f t="array" ref="G2221">SubCategorizeComment(E2221)</f>
        <v>Other</v>
      </c>
    </row>
    <row r="2222" spans="1:7" x14ac:dyDescent="0.25">
      <c r="A2222">
        <v>15321</v>
      </c>
      <c r="B2222" t="s">
        <v>4</v>
      </c>
      <c r="C2222">
        <v>4</v>
      </c>
      <c r="D2222" t="s">
        <v>5</v>
      </c>
      <c r="F2222" t="str" cm="1">
        <f t="array" ref="F2222">CategorizeComment(E2222)</f>
        <v>Other</v>
      </c>
      <c r="G2222" t="str" cm="1">
        <f t="array" ref="G2222">SubCategorizeComment(E2222)</f>
        <v>Other</v>
      </c>
    </row>
    <row r="2223" spans="1:7" x14ac:dyDescent="0.25">
      <c r="A2223">
        <v>15326</v>
      </c>
      <c r="B2223" t="s">
        <v>4</v>
      </c>
      <c r="C2223">
        <v>4</v>
      </c>
      <c r="D2223" t="s">
        <v>5</v>
      </c>
      <c r="F2223" t="str" cm="1">
        <f t="array" ref="F2223">CategorizeComment(E2223)</f>
        <v>Other</v>
      </c>
      <c r="G2223" t="str" cm="1">
        <f t="array" ref="G2223">SubCategorizeComment(E2223)</f>
        <v>Other</v>
      </c>
    </row>
    <row r="2224" spans="1:7" x14ac:dyDescent="0.25">
      <c r="A2224">
        <v>15353</v>
      </c>
      <c r="B2224" t="s">
        <v>4</v>
      </c>
      <c r="C2224">
        <v>4</v>
      </c>
      <c r="D2224" t="s">
        <v>5</v>
      </c>
      <c r="F2224" t="str" cm="1">
        <f t="array" ref="F2224">CategorizeComment(E2224)</f>
        <v>Other</v>
      </c>
      <c r="G2224" t="str" cm="1">
        <f t="array" ref="G2224">SubCategorizeComment(E2224)</f>
        <v>Other</v>
      </c>
    </row>
    <row r="2225" spans="1:7" x14ac:dyDescent="0.25">
      <c r="A2225">
        <v>15393</v>
      </c>
      <c r="B2225" t="s">
        <v>4</v>
      </c>
      <c r="C2225">
        <v>4</v>
      </c>
      <c r="D2225" t="s">
        <v>5</v>
      </c>
      <c r="F2225" t="str" cm="1">
        <f t="array" ref="F2225">CategorizeComment(E2225)</f>
        <v>Other</v>
      </c>
      <c r="G2225" t="str" cm="1">
        <f t="array" ref="G2225">SubCategorizeComment(E2225)</f>
        <v>Other</v>
      </c>
    </row>
    <row r="2226" spans="1:7" x14ac:dyDescent="0.25">
      <c r="A2226">
        <v>15395</v>
      </c>
      <c r="B2226" t="s">
        <v>4</v>
      </c>
      <c r="C2226">
        <v>4</v>
      </c>
      <c r="D2226" t="s">
        <v>5</v>
      </c>
      <c r="F2226" t="str" cm="1">
        <f t="array" ref="F2226">CategorizeComment(E2226)</f>
        <v>Other</v>
      </c>
      <c r="G2226" t="str" cm="1">
        <f t="array" ref="G2226">SubCategorizeComment(E2226)</f>
        <v>Other</v>
      </c>
    </row>
    <row r="2227" spans="1:7" x14ac:dyDescent="0.25">
      <c r="A2227">
        <v>15400</v>
      </c>
      <c r="B2227" t="s">
        <v>4</v>
      </c>
      <c r="C2227">
        <v>4</v>
      </c>
      <c r="D2227" t="s">
        <v>5</v>
      </c>
      <c r="F2227" t="str" cm="1">
        <f t="array" ref="F2227">CategorizeComment(E2227)</f>
        <v>Other</v>
      </c>
      <c r="G2227" t="str" cm="1">
        <f t="array" ref="G2227">SubCategorizeComment(E2227)</f>
        <v>Other</v>
      </c>
    </row>
    <row r="2228" spans="1:7" x14ac:dyDescent="0.25">
      <c r="A2228">
        <v>15403</v>
      </c>
      <c r="B2228" t="s">
        <v>4</v>
      </c>
      <c r="C2228">
        <v>3</v>
      </c>
      <c r="D2228" t="s">
        <v>5</v>
      </c>
      <c r="F2228" t="str" cm="1">
        <f t="array" ref="F2228">CategorizeComment(E2228)</f>
        <v>Other</v>
      </c>
      <c r="G2228" t="str" cm="1">
        <f t="array" ref="G2228">SubCategorizeComment(E2228)</f>
        <v>Other</v>
      </c>
    </row>
    <row r="2229" spans="1:7" x14ac:dyDescent="0.25">
      <c r="A2229">
        <v>15405</v>
      </c>
      <c r="B2229" t="s">
        <v>4</v>
      </c>
      <c r="C2229">
        <v>4</v>
      </c>
      <c r="D2229" t="s">
        <v>5</v>
      </c>
      <c r="F2229" t="str" cm="1">
        <f t="array" ref="F2229">CategorizeComment(E2229)</f>
        <v>Other</v>
      </c>
      <c r="G2229" t="str" cm="1">
        <f t="array" ref="G2229">SubCategorizeComment(E2229)</f>
        <v>Other</v>
      </c>
    </row>
    <row r="2230" spans="1:7" x14ac:dyDescent="0.25">
      <c r="A2230">
        <v>15413</v>
      </c>
      <c r="B2230" t="s">
        <v>4</v>
      </c>
      <c r="C2230">
        <v>3</v>
      </c>
      <c r="D2230" t="s">
        <v>5</v>
      </c>
      <c r="F2230" t="str" cm="1">
        <f t="array" ref="F2230">CategorizeComment(E2230)</f>
        <v>Other</v>
      </c>
      <c r="G2230" t="str" cm="1">
        <f t="array" ref="G2230">SubCategorizeComment(E2230)</f>
        <v>Other</v>
      </c>
    </row>
    <row r="2231" spans="1:7" x14ac:dyDescent="0.25">
      <c r="A2231">
        <v>15415</v>
      </c>
      <c r="B2231" t="s">
        <v>4</v>
      </c>
      <c r="C2231">
        <v>3</v>
      </c>
      <c r="D2231" t="s">
        <v>5</v>
      </c>
      <c r="F2231" t="str" cm="1">
        <f t="array" ref="F2231">CategorizeComment(E2231)</f>
        <v>Other</v>
      </c>
      <c r="G2231" t="str" cm="1">
        <f t="array" ref="G2231">SubCategorizeComment(E2231)</f>
        <v>Other</v>
      </c>
    </row>
    <row r="2232" spans="1:7" x14ac:dyDescent="0.25">
      <c r="A2232">
        <v>15427</v>
      </c>
      <c r="B2232" t="s">
        <v>4</v>
      </c>
      <c r="C2232">
        <v>4</v>
      </c>
      <c r="D2232" t="s">
        <v>5</v>
      </c>
      <c r="F2232" t="str" cm="1">
        <f t="array" ref="F2232">CategorizeComment(E2232)</f>
        <v>Other</v>
      </c>
      <c r="G2232" t="str" cm="1">
        <f t="array" ref="G2232">SubCategorizeComment(E2232)</f>
        <v>Other</v>
      </c>
    </row>
    <row r="2233" spans="1:7" x14ac:dyDescent="0.25">
      <c r="A2233">
        <v>15430</v>
      </c>
      <c r="B2233" t="s">
        <v>4</v>
      </c>
      <c r="C2233">
        <v>3</v>
      </c>
      <c r="D2233" t="s">
        <v>5</v>
      </c>
      <c r="F2233" t="str" cm="1">
        <f t="array" ref="F2233">CategorizeComment(E2233)</f>
        <v>Other</v>
      </c>
      <c r="G2233" t="str" cm="1">
        <f t="array" ref="G2233">SubCategorizeComment(E2233)</f>
        <v>Other</v>
      </c>
    </row>
    <row r="2234" spans="1:7" x14ac:dyDescent="0.25">
      <c r="A2234">
        <v>15460</v>
      </c>
      <c r="B2234" t="s">
        <v>4</v>
      </c>
      <c r="C2234">
        <v>3</v>
      </c>
      <c r="D2234" t="s">
        <v>5</v>
      </c>
      <c r="F2234" t="str" cm="1">
        <f t="array" ref="F2234">CategorizeComment(E2234)</f>
        <v>Other</v>
      </c>
      <c r="G2234" t="str" cm="1">
        <f t="array" ref="G2234">SubCategorizeComment(E2234)</f>
        <v>Other</v>
      </c>
    </row>
    <row r="2235" spans="1:7" x14ac:dyDescent="0.25">
      <c r="A2235">
        <v>15495</v>
      </c>
      <c r="B2235" t="s">
        <v>4</v>
      </c>
      <c r="C2235">
        <v>3</v>
      </c>
      <c r="D2235" t="s">
        <v>5</v>
      </c>
      <c r="F2235" t="str" cm="1">
        <f t="array" ref="F2235">CategorizeComment(E2235)</f>
        <v>Other</v>
      </c>
      <c r="G2235" t="str" cm="1">
        <f t="array" ref="G2235">SubCategorizeComment(E2235)</f>
        <v>Other</v>
      </c>
    </row>
    <row r="2236" spans="1:7" x14ac:dyDescent="0.25">
      <c r="A2236">
        <v>15521</v>
      </c>
      <c r="B2236" t="s">
        <v>4</v>
      </c>
      <c r="C2236">
        <v>3</v>
      </c>
      <c r="D2236" t="s">
        <v>5</v>
      </c>
      <c r="F2236" t="str" cm="1">
        <f t="array" ref="F2236">CategorizeComment(E2236)</f>
        <v>Other</v>
      </c>
      <c r="G2236" t="str" cm="1">
        <f t="array" ref="G2236">SubCategorizeComment(E2236)</f>
        <v>Other</v>
      </c>
    </row>
    <row r="2237" spans="1:7" x14ac:dyDescent="0.25">
      <c r="A2237">
        <v>15524</v>
      </c>
      <c r="B2237" t="s">
        <v>4</v>
      </c>
      <c r="C2237">
        <v>3</v>
      </c>
      <c r="D2237" t="s">
        <v>5</v>
      </c>
      <c r="F2237" t="str" cm="1">
        <f t="array" ref="F2237">CategorizeComment(E2237)</f>
        <v>Other</v>
      </c>
      <c r="G2237" t="str" cm="1">
        <f t="array" ref="G2237">SubCategorizeComment(E2237)</f>
        <v>Other</v>
      </c>
    </row>
    <row r="2238" spans="1:7" x14ac:dyDescent="0.25">
      <c r="A2238">
        <v>15540</v>
      </c>
      <c r="B2238" t="s">
        <v>4</v>
      </c>
      <c r="C2238">
        <v>3</v>
      </c>
      <c r="D2238" t="s">
        <v>5</v>
      </c>
      <c r="F2238" t="str" cm="1">
        <f t="array" ref="F2238">CategorizeComment(E2238)</f>
        <v>Other</v>
      </c>
      <c r="G2238" t="str" cm="1">
        <f t="array" ref="G2238">SubCategorizeComment(E2238)</f>
        <v>Other</v>
      </c>
    </row>
    <row r="2239" spans="1:7" x14ac:dyDescent="0.25">
      <c r="A2239">
        <v>15542</v>
      </c>
      <c r="B2239" t="s">
        <v>4</v>
      </c>
      <c r="C2239">
        <v>3</v>
      </c>
      <c r="D2239" t="s">
        <v>5</v>
      </c>
      <c r="F2239" t="str" cm="1">
        <f t="array" ref="F2239">CategorizeComment(E2239)</f>
        <v>Other</v>
      </c>
      <c r="G2239" t="str" cm="1">
        <f t="array" ref="G2239">SubCategorizeComment(E2239)</f>
        <v>Other</v>
      </c>
    </row>
    <row r="2240" spans="1:7" x14ac:dyDescent="0.25">
      <c r="A2240">
        <v>15553</v>
      </c>
      <c r="B2240" t="s">
        <v>4</v>
      </c>
      <c r="C2240">
        <v>3</v>
      </c>
      <c r="D2240" t="s">
        <v>5</v>
      </c>
      <c r="F2240" t="str" cm="1">
        <f t="array" ref="F2240">CategorizeComment(E2240)</f>
        <v>Other</v>
      </c>
      <c r="G2240" t="str" cm="1">
        <f t="array" ref="G2240">SubCategorizeComment(E2240)</f>
        <v>Other</v>
      </c>
    </row>
    <row r="2241" spans="1:7" x14ac:dyDescent="0.25">
      <c r="A2241">
        <v>15569</v>
      </c>
      <c r="B2241" t="s">
        <v>4</v>
      </c>
      <c r="C2241">
        <v>3</v>
      </c>
      <c r="D2241" t="s">
        <v>5</v>
      </c>
      <c r="F2241" t="str" cm="1">
        <f t="array" ref="F2241">CategorizeComment(E2241)</f>
        <v>Other</v>
      </c>
      <c r="G2241" t="str" cm="1">
        <f t="array" ref="G2241">SubCategorizeComment(E2241)</f>
        <v>Other</v>
      </c>
    </row>
    <row r="2242" spans="1:7" x14ac:dyDescent="0.25">
      <c r="A2242">
        <v>15585</v>
      </c>
      <c r="B2242" t="s">
        <v>4</v>
      </c>
      <c r="C2242">
        <v>4</v>
      </c>
      <c r="D2242" t="s">
        <v>5</v>
      </c>
      <c r="F2242" t="str" cm="1">
        <f t="array" ref="F2242">CategorizeComment(E2242)</f>
        <v>Other</v>
      </c>
      <c r="G2242" t="str" cm="1">
        <f t="array" ref="G2242">SubCategorizeComment(E2242)</f>
        <v>Other</v>
      </c>
    </row>
    <row r="2243" spans="1:7" x14ac:dyDescent="0.25">
      <c r="A2243">
        <v>15586</v>
      </c>
      <c r="B2243" t="s">
        <v>4</v>
      </c>
      <c r="C2243">
        <v>4</v>
      </c>
      <c r="D2243" t="s">
        <v>5</v>
      </c>
      <c r="F2243" t="str" cm="1">
        <f t="array" ref="F2243">CategorizeComment(E2243)</f>
        <v>Other</v>
      </c>
      <c r="G2243" t="str" cm="1">
        <f t="array" ref="G2243">SubCategorizeComment(E2243)</f>
        <v>Other</v>
      </c>
    </row>
    <row r="2244" spans="1:7" x14ac:dyDescent="0.25">
      <c r="A2244">
        <v>15587</v>
      </c>
      <c r="B2244" t="s">
        <v>4</v>
      </c>
      <c r="C2244">
        <v>3</v>
      </c>
      <c r="D2244" t="s">
        <v>5</v>
      </c>
      <c r="F2244" t="str" cm="1">
        <f t="array" ref="F2244">CategorizeComment(E2244)</f>
        <v>Other</v>
      </c>
      <c r="G2244" t="str" cm="1">
        <f t="array" ref="G2244">SubCategorizeComment(E2244)</f>
        <v>Other</v>
      </c>
    </row>
    <row r="2245" spans="1:7" x14ac:dyDescent="0.25">
      <c r="A2245">
        <v>15591</v>
      </c>
      <c r="B2245" t="s">
        <v>4</v>
      </c>
      <c r="C2245">
        <v>4</v>
      </c>
      <c r="D2245" t="s">
        <v>5</v>
      </c>
      <c r="F2245" t="str" cm="1">
        <f t="array" ref="F2245">CategorizeComment(E2245)</f>
        <v>Other</v>
      </c>
      <c r="G2245" t="str" cm="1">
        <f t="array" ref="G2245">SubCategorizeComment(E2245)</f>
        <v>Other</v>
      </c>
    </row>
    <row r="2246" spans="1:7" x14ac:dyDescent="0.25">
      <c r="A2246">
        <v>15605</v>
      </c>
      <c r="B2246" t="s">
        <v>4</v>
      </c>
      <c r="C2246">
        <v>3</v>
      </c>
      <c r="D2246" t="s">
        <v>5</v>
      </c>
      <c r="F2246" t="str" cm="1">
        <f t="array" ref="F2246">CategorizeComment(E2246)</f>
        <v>Other</v>
      </c>
      <c r="G2246" t="str" cm="1">
        <f t="array" ref="G2246">SubCategorizeComment(E2246)</f>
        <v>Other</v>
      </c>
    </row>
    <row r="2247" spans="1:7" x14ac:dyDescent="0.25">
      <c r="A2247">
        <v>15626</v>
      </c>
      <c r="B2247" t="s">
        <v>4</v>
      </c>
      <c r="C2247">
        <v>3</v>
      </c>
      <c r="D2247" t="s">
        <v>5</v>
      </c>
      <c r="F2247" t="str" cm="1">
        <f t="array" ref="F2247">CategorizeComment(E2247)</f>
        <v>Other</v>
      </c>
      <c r="G2247" t="str" cm="1">
        <f t="array" ref="G2247">SubCategorizeComment(E2247)</f>
        <v>Other</v>
      </c>
    </row>
    <row r="2248" spans="1:7" x14ac:dyDescent="0.25">
      <c r="A2248">
        <v>15634</v>
      </c>
      <c r="B2248" t="s">
        <v>4</v>
      </c>
      <c r="C2248">
        <v>3</v>
      </c>
      <c r="D2248" t="s">
        <v>5</v>
      </c>
      <c r="F2248" t="str" cm="1">
        <f t="array" ref="F2248">CategorizeComment(E2248)</f>
        <v>Other</v>
      </c>
      <c r="G2248" t="str" cm="1">
        <f t="array" ref="G2248">SubCategorizeComment(E2248)</f>
        <v>Other</v>
      </c>
    </row>
    <row r="2249" spans="1:7" x14ac:dyDescent="0.25">
      <c r="A2249">
        <v>15639</v>
      </c>
      <c r="B2249" t="s">
        <v>4</v>
      </c>
      <c r="C2249">
        <v>4</v>
      </c>
      <c r="D2249" t="s">
        <v>5</v>
      </c>
      <c r="F2249" t="str" cm="1">
        <f t="array" ref="F2249">CategorizeComment(E2249)</f>
        <v>Other</v>
      </c>
      <c r="G2249" t="str" cm="1">
        <f t="array" ref="G2249">SubCategorizeComment(E2249)</f>
        <v>Other</v>
      </c>
    </row>
    <row r="2250" spans="1:7" x14ac:dyDescent="0.25">
      <c r="A2250">
        <v>15659</v>
      </c>
      <c r="B2250" t="s">
        <v>4</v>
      </c>
      <c r="C2250">
        <v>3</v>
      </c>
      <c r="D2250" t="s">
        <v>5</v>
      </c>
      <c r="F2250" t="str" cm="1">
        <f t="array" ref="F2250">CategorizeComment(E2250)</f>
        <v>Other</v>
      </c>
      <c r="G2250" t="str" cm="1">
        <f t="array" ref="G2250">SubCategorizeComment(E2250)</f>
        <v>Other</v>
      </c>
    </row>
    <row r="2251" spans="1:7" x14ac:dyDescent="0.25">
      <c r="A2251">
        <v>15678</v>
      </c>
      <c r="B2251" t="s">
        <v>4</v>
      </c>
      <c r="C2251">
        <v>3</v>
      </c>
      <c r="D2251" t="s">
        <v>5</v>
      </c>
      <c r="F2251" t="str" cm="1">
        <f t="array" ref="F2251">CategorizeComment(E2251)</f>
        <v>Other</v>
      </c>
      <c r="G2251" t="str" cm="1">
        <f t="array" ref="G2251">SubCategorizeComment(E2251)</f>
        <v>Other</v>
      </c>
    </row>
    <row r="2252" spans="1:7" x14ac:dyDescent="0.25">
      <c r="A2252">
        <v>15695</v>
      </c>
      <c r="B2252" t="s">
        <v>4</v>
      </c>
      <c r="C2252">
        <v>3</v>
      </c>
      <c r="D2252" t="s">
        <v>5</v>
      </c>
      <c r="F2252" t="str" cm="1">
        <f t="array" ref="F2252">CategorizeComment(E2252)</f>
        <v>Other</v>
      </c>
      <c r="G2252" t="str" cm="1">
        <f t="array" ref="G2252">SubCategorizeComment(E2252)</f>
        <v>Other</v>
      </c>
    </row>
    <row r="2253" spans="1:7" x14ac:dyDescent="0.25">
      <c r="A2253">
        <v>15700</v>
      </c>
      <c r="B2253" t="s">
        <v>4</v>
      </c>
      <c r="C2253">
        <v>3</v>
      </c>
      <c r="D2253" t="s">
        <v>5</v>
      </c>
      <c r="F2253" t="str" cm="1">
        <f t="array" ref="F2253">CategorizeComment(E2253)</f>
        <v>Other</v>
      </c>
      <c r="G2253" t="str" cm="1">
        <f t="array" ref="G2253">SubCategorizeComment(E2253)</f>
        <v>Other</v>
      </c>
    </row>
    <row r="2254" spans="1:7" x14ac:dyDescent="0.25">
      <c r="A2254">
        <v>15720</v>
      </c>
      <c r="B2254" t="s">
        <v>4</v>
      </c>
      <c r="C2254">
        <v>3</v>
      </c>
      <c r="D2254" t="s">
        <v>5</v>
      </c>
      <c r="F2254" t="str" cm="1">
        <f t="array" ref="F2254">CategorizeComment(E2254)</f>
        <v>Other</v>
      </c>
      <c r="G2254" t="str" cm="1">
        <f t="array" ref="G2254">SubCategorizeComment(E2254)</f>
        <v>Other</v>
      </c>
    </row>
    <row r="2255" spans="1:7" x14ac:dyDescent="0.25">
      <c r="A2255">
        <v>15738</v>
      </c>
      <c r="B2255" t="s">
        <v>4</v>
      </c>
      <c r="C2255">
        <v>4</v>
      </c>
      <c r="D2255" t="s">
        <v>5</v>
      </c>
      <c r="F2255" t="str" cm="1">
        <f t="array" ref="F2255">CategorizeComment(E2255)</f>
        <v>Other</v>
      </c>
      <c r="G2255" t="str" cm="1">
        <f t="array" ref="G2255">SubCategorizeComment(E2255)</f>
        <v>Other</v>
      </c>
    </row>
    <row r="2256" spans="1:7" x14ac:dyDescent="0.25">
      <c r="A2256">
        <v>15747</v>
      </c>
      <c r="B2256" t="s">
        <v>4</v>
      </c>
      <c r="C2256">
        <v>3</v>
      </c>
      <c r="D2256" t="s">
        <v>5</v>
      </c>
      <c r="F2256" t="str" cm="1">
        <f t="array" ref="F2256">CategorizeComment(E2256)</f>
        <v>Other</v>
      </c>
      <c r="G2256" t="str" cm="1">
        <f t="array" ref="G2256">SubCategorizeComment(E2256)</f>
        <v>Other</v>
      </c>
    </row>
    <row r="2257" spans="1:7" x14ac:dyDescent="0.25">
      <c r="A2257">
        <v>15751</v>
      </c>
      <c r="B2257" t="s">
        <v>4</v>
      </c>
      <c r="C2257">
        <v>3</v>
      </c>
      <c r="D2257" t="s">
        <v>5</v>
      </c>
      <c r="F2257" t="str" cm="1">
        <f t="array" ref="F2257">CategorizeComment(E2257)</f>
        <v>Other</v>
      </c>
      <c r="G2257" t="str" cm="1">
        <f t="array" ref="G2257">SubCategorizeComment(E2257)</f>
        <v>Other</v>
      </c>
    </row>
    <row r="2258" spans="1:7" x14ac:dyDescent="0.25">
      <c r="A2258">
        <v>15764</v>
      </c>
      <c r="B2258" t="s">
        <v>4</v>
      </c>
      <c r="C2258">
        <v>4</v>
      </c>
      <c r="D2258" t="s">
        <v>5</v>
      </c>
      <c r="F2258" t="str" cm="1">
        <f t="array" ref="F2258">CategorizeComment(E2258)</f>
        <v>Other</v>
      </c>
      <c r="G2258" t="str" cm="1">
        <f t="array" ref="G2258">SubCategorizeComment(E2258)</f>
        <v>Other</v>
      </c>
    </row>
    <row r="2259" spans="1:7" x14ac:dyDescent="0.25">
      <c r="A2259">
        <v>15787</v>
      </c>
      <c r="B2259" t="s">
        <v>4</v>
      </c>
      <c r="C2259">
        <v>4</v>
      </c>
      <c r="D2259" t="s">
        <v>5</v>
      </c>
      <c r="F2259" t="str" cm="1">
        <f t="array" ref="F2259">CategorizeComment(E2259)</f>
        <v>Other</v>
      </c>
      <c r="G2259" t="str" cm="1">
        <f t="array" ref="G2259">SubCategorizeComment(E2259)</f>
        <v>Other</v>
      </c>
    </row>
    <row r="2260" spans="1:7" x14ac:dyDescent="0.25">
      <c r="A2260">
        <v>15797</v>
      </c>
      <c r="B2260" t="s">
        <v>4</v>
      </c>
      <c r="C2260">
        <v>3</v>
      </c>
      <c r="D2260" t="s">
        <v>5</v>
      </c>
      <c r="F2260" t="str" cm="1">
        <f t="array" ref="F2260">CategorizeComment(E2260)</f>
        <v>Other</v>
      </c>
      <c r="G2260" t="str" cm="1">
        <f t="array" ref="G2260">SubCategorizeComment(E2260)</f>
        <v>Other</v>
      </c>
    </row>
    <row r="2261" spans="1:7" x14ac:dyDescent="0.25">
      <c r="A2261">
        <v>15801</v>
      </c>
      <c r="B2261" t="s">
        <v>4</v>
      </c>
      <c r="C2261">
        <v>3</v>
      </c>
      <c r="D2261" t="s">
        <v>5</v>
      </c>
      <c r="F2261" t="str" cm="1">
        <f t="array" ref="F2261">CategorizeComment(E2261)</f>
        <v>Other</v>
      </c>
      <c r="G2261" t="str" cm="1">
        <f t="array" ref="G2261">SubCategorizeComment(E2261)</f>
        <v>Other</v>
      </c>
    </row>
    <row r="2262" spans="1:7" x14ac:dyDescent="0.25">
      <c r="A2262">
        <v>15818</v>
      </c>
      <c r="B2262" t="s">
        <v>4</v>
      </c>
      <c r="C2262">
        <v>4</v>
      </c>
      <c r="D2262" t="s">
        <v>5</v>
      </c>
      <c r="F2262" t="str" cm="1">
        <f t="array" ref="F2262">CategorizeComment(E2262)</f>
        <v>Other</v>
      </c>
      <c r="G2262" t="str" cm="1">
        <f t="array" ref="G2262">SubCategorizeComment(E2262)</f>
        <v>Other</v>
      </c>
    </row>
    <row r="2263" spans="1:7" x14ac:dyDescent="0.25">
      <c r="A2263">
        <v>15833</v>
      </c>
      <c r="B2263" t="s">
        <v>4</v>
      </c>
      <c r="C2263">
        <v>3</v>
      </c>
      <c r="D2263" t="s">
        <v>5</v>
      </c>
      <c r="F2263" t="str" cm="1">
        <f t="array" ref="F2263">CategorizeComment(E2263)</f>
        <v>Other</v>
      </c>
      <c r="G2263" t="str" cm="1">
        <f t="array" ref="G2263">SubCategorizeComment(E2263)</f>
        <v>Other</v>
      </c>
    </row>
    <row r="2264" spans="1:7" x14ac:dyDescent="0.25">
      <c r="A2264">
        <v>15838</v>
      </c>
      <c r="B2264" t="s">
        <v>4</v>
      </c>
      <c r="C2264">
        <v>4</v>
      </c>
      <c r="D2264" t="s">
        <v>5</v>
      </c>
      <c r="F2264" t="str" cm="1">
        <f t="array" ref="F2264">CategorizeComment(E2264)</f>
        <v>Other</v>
      </c>
      <c r="G2264" t="str" cm="1">
        <f t="array" ref="G2264">SubCategorizeComment(E2264)</f>
        <v>Other</v>
      </c>
    </row>
    <row r="2265" spans="1:7" x14ac:dyDescent="0.25">
      <c r="A2265">
        <v>15848</v>
      </c>
      <c r="B2265" t="s">
        <v>4</v>
      </c>
      <c r="C2265">
        <v>3</v>
      </c>
      <c r="D2265" t="s">
        <v>5</v>
      </c>
      <c r="F2265" t="str" cm="1">
        <f t="array" ref="F2265">CategorizeComment(E2265)</f>
        <v>Other</v>
      </c>
      <c r="G2265" t="str" cm="1">
        <f t="array" ref="G2265">SubCategorizeComment(E2265)</f>
        <v>Other</v>
      </c>
    </row>
    <row r="2266" spans="1:7" x14ac:dyDescent="0.25">
      <c r="A2266">
        <v>15850</v>
      </c>
      <c r="B2266" t="s">
        <v>4</v>
      </c>
      <c r="C2266">
        <v>4</v>
      </c>
      <c r="D2266" t="s">
        <v>5</v>
      </c>
      <c r="F2266" t="str" cm="1">
        <f t="array" ref="F2266">CategorizeComment(E2266)</f>
        <v>Other</v>
      </c>
      <c r="G2266" t="str" cm="1">
        <f t="array" ref="G2266">SubCategorizeComment(E2266)</f>
        <v>Other</v>
      </c>
    </row>
    <row r="2267" spans="1:7" x14ac:dyDescent="0.25">
      <c r="A2267">
        <v>15881</v>
      </c>
      <c r="B2267" t="s">
        <v>4</v>
      </c>
      <c r="C2267">
        <v>4</v>
      </c>
      <c r="D2267" t="s">
        <v>5</v>
      </c>
      <c r="F2267" t="str" cm="1">
        <f t="array" ref="F2267">CategorizeComment(E2267)</f>
        <v>Other</v>
      </c>
      <c r="G2267" t="str" cm="1">
        <f t="array" ref="G2267">SubCategorizeComment(E2267)</f>
        <v>Other</v>
      </c>
    </row>
    <row r="2268" spans="1:7" x14ac:dyDescent="0.25">
      <c r="A2268">
        <v>15905</v>
      </c>
      <c r="B2268" t="s">
        <v>4</v>
      </c>
      <c r="C2268">
        <v>3</v>
      </c>
      <c r="D2268" t="s">
        <v>5</v>
      </c>
      <c r="F2268" t="str" cm="1">
        <f t="array" ref="F2268">CategorizeComment(E2268)</f>
        <v>Other</v>
      </c>
      <c r="G2268" t="str" cm="1">
        <f t="array" ref="G2268">SubCategorizeComment(E2268)</f>
        <v>Other</v>
      </c>
    </row>
    <row r="2269" spans="1:7" x14ac:dyDescent="0.25">
      <c r="A2269">
        <v>15926</v>
      </c>
      <c r="B2269" t="s">
        <v>4</v>
      </c>
      <c r="C2269">
        <v>3</v>
      </c>
      <c r="D2269" t="s">
        <v>5</v>
      </c>
      <c r="F2269" t="str" cm="1">
        <f t="array" ref="F2269">CategorizeComment(E2269)</f>
        <v>Other</v>
      </c>
      <c r="G2269" t="str" cm="1">
        <f t="array" ref="G2269">SubCategorizeComment(E2269)</f>
        <v>Other</v>
      </c>
    </row>
    <row r="2270" spans="1:7" x14ac:dyDescent="0.25">
      <c r="A2270">
        <v>15932</v>
      </c>
      <c r="B2270" t="s">
        <v>4</v>
      </c>
      <c r="C2270">
        <v>3</v>
      </c>
      <c r="D2270" t="s">
        <v>5</v>
      </c>
      <c r="F2270" t="str" cm="1">
        <f t="array" ref="F2270">CategorizeComment(E2270)</f>
        <v>Other</v>
      </c>
      <c r="G2270" t="str" cm="1">
        <f t="array" ref="G2270">SubCategorizeComment(E2270)</f>
        <v>Other</v>
      </c>
    </row>
    <row r="2271" spans="1:7" x14ac:dyDescent="0.25">
      <c r="A2271">
        <v>15935</v>
      </c>
      <c r="B2271" t="s">
        <v>4</v>
      </c>
      <c r="C2271">
        <v>3</v>
      </c>
      <c r="D2271" t="s">
        <v>5</v>
      </c>
      <c r="F2271" t="str" cm="1">
        <f t="array" ref="F2271">CategorizeComment(E2271)</f>
        <v>Other</v>
      </c>
      <c r="G2271" t="str" cm="1">
        <f t="array" ref="G2271">SubCategorizeComment(E2271)</f>
        <v>Other</v>
      </c>
    </row>
    <row r="2272" spans="1:7" x14ac:dyDescent="0.25">
      <c r="A2272">
        <v>15936</v>
      </c>
      <c r="B2272" t="s">
        <v>4</v>
      </c>
      <c r="C2272">
        <v>3</v>
      </c>
      <c r="D2272" t="s">
        <v>5</v>
      </c>
      <c r="F2272" t="str" cm="1">
        <f t="array" ref="F2272">CategorizeComment(E2272)</f>
        <v>Other</v>
      </c>
      <c r="G2272" t="str" cm="1">
        <f t="array" ref="G2272">SubCategorizeComment(E2272)</f>
        <v>Other</v>
      </c>
    </row>
    <row r="2273" spans="1:7" x14ac:dyDescent="0.25">
      <c r="A2273">
        <v>15953</v>
      </c>
      <c r="B2273" t="s">
        <v>4</v>
      </c>
      <c r="C2273">
        <v>3</v>
      </c>
      <c r="D2273" t="s">
        <v>5</v>
      </c>
      <c r="F2273" t="str" cm="1">
        <f t="array" ref="F2273">CategorizeComment(E2273)</f>
        <v>Other</v>
      </c>
      <c r="G2273" t="str" cm="1">
        <f t="array" ref="G2273">SubCategorizeComment(E2273)</f>
        <v>Other</v>
      </c>
    </row>
    <row r="2274" spans="1:7" x14ac:dyDescent="0.25">
      <c r="A2274">
        <v>15954</v>
      </c>
      <c r="B2274" t="s">
        <v>4</v>
      </c>
      <c r="C2274">
        <v>4</v>
      </c>
      <c r="D2274" t="s">
        <v>5</v>
      </c>
      <c r="F2274" t="str" cm="1">
        <f t="array" ref="F2274">CategorizeComment(E2274)</f>
        <v>Other</v>
      </c>
      <c r="G2274" t="str" cm="1">
        <f t="array" ref="G2274">SubCategorizeComment(E2274)</f>
        <v>Other</v>
      </c>
    </row>
    <row r="2275" spans="1:7" x14ac:dyDescent="0.25">
      <c r="A2275">
        <v>15967</v>
      </c>
      <c r="B2275" t="s">
        <v>4</v>
      </c>
      <c r="C2275">
        <v>3</v>
      </c>
      <c r="D2275" t="s">
        <v>5</v>
      </c>
      <c r="F2275" t="str" cm="1">
        <f t="array" ref="F2275">CategorizeComment(E2275)</f>
        <v>Other</v>
      </c>
      <c r="G2275" t="str" cm="1">
        <f t="array" ref="G2275">SubCategorizeComment(E2275)</f>
        <v>Other</v>
      </c>
    </row>
    <row r="2276" spans="1:7" x14ac:dyDescent="0.25">
      <c r="A2276">
        <v>15970</v>
      </c>
      <c r="B2276" t="s">
        <v>4</v>
      </c>
      <c r="C2276">
        <v>4</v>
      </c>
      <c r="D2276" t="s">
        <v>5</v>
      </c>
      <c r="F2276" t="str" cm="1">
        <f t="array" ref="F2276">CategorizeComment(E2276)</f>
        <v>Other</v>
      </c>
      <c r="G2276" t="str" cm="1">
        <f t="array" ref="G2276">SubCategorizeComment(E2276)</f>
        <v>Other</v>
      </c>
    </row>
    <row r="2277" spans="1:7" x14ac:dyDescent="0.25">
      <c r="A2277">
        <v>15977</v>
      </c>
      <c r="B2277" t="s">
        <v>4</v>
      </c>
      <c r="C2277">
        <v>4</v>
      </c>
      <c r="D2277" t="s">
        <v>5</v>
      </c>
      <c r="F2277" t="str" cm="1">
        <f t="array" ref="F2277">CategorizeComment(E2277)</f>
        <v>Other</v>
      </c>
      <c r="G2277" t="str" cm="1">
        <f t="array" ref="G2277">SubCategorizeComment(E2277)</f>
        <v>Other</v>
      </c>
    </row>
    <row r="2278" spans="1:7" x14ac:dyDescent="0.25">
      <c r="A2278">
        <v>15980</v>
      </c>
      <c r="B2278" t="s">
        <v>4</v>
      </c>
      <c r="C2278">
        <v>3</v>
      </c>
      <c r="D2278" t="s">
        <v>5</v>
      </c>
      <c r="F2278" t="str" cm="1">
        <f t="array" ref="F2278">CategorizeComment(E2278)</f>
        <v>Other</v>
      </c>
      <c r="G2278" t="str" cm="1">
        <f t="array" ref="G2278">SubCategorizeComment(E2278)</f>
        <v>Other</v>
      </c>
    </row>
    <row r="2279" spans="1:7" x14ac:dyDescent="0.25">
      <c r="A2279">
        <v>16005</v>
      </c>
      <c r="B2279" t="s">
        <v>4</v>
      </c>
      <c r="C2279">
        <v>3</v>
      </c>
      <c r="D2279" t="s">
        <v>5</v>
      </c>
      <c r="F2279" t="str" cm="1">
        <f t="array" ref="F2279">CategorizeComment(E2279)</f>
        <v>Other</v>
      </c>
      <c r="G2279" t="str" cm="1">
        <f t="array" ref="G2279">SubCategorizeComment(E2279)</f>
        <v>Other</v>
      </c>
    </row>
    <row r="2280" spans="1:7" x14ac:dyDescent="0.25">
      <c r="A2280">
        <v>16006</v>
      </c>
      <c r="B2280" t="s">
        <v>4</v>
      </c>
      <c r="C2280">
        <v>3</v>
      </c>
      <c r="D2280" t="s">
        <v>5</v>
      </c>
      <c r="F2280" t="str" cm="1">
        <f t="array" ref="F2280">CategorizeComment(E2280)</f>
        <v>Other</v>
      </c>
      <c r="G2280" t="str" cm="1">
        <f t="array" ref="G2280">SubCategorizeComment(E2280)</f>
        <v>Other</v>
      </c>
    </row>
    <row r="2281" spans="1:7" x14ac:dyDescent="0.25">
      <c r="A2281">
        <v>16007</v>
      </c>
      <c r="B2281" t="s">
        <v>4</v>
      </c>
      <c r="C2281">
        <v>3</v>
      </c>
      <c r="D2281" t="s">
        <v>5</v>
      </c>
      <c r="F2281" t="str" cm="1">
        <f t="array" ref="F2281">CategorizeComment(E2281)</f>
        <v>Other</v>
      </c>
      <c r="G2281" t="str" cm="1">
        <f t="array" ref="G2281">SubCategorizeComment(E2281)</f>
        <v>Other</v>
      </c>
    </row>
    <row r="2282" spans="1:7" x14ac:dyDescent="0.25">
      <c r="A2282">
        <v>16011</v>
      </c>
      <c r="B2282" t="s">
        <v>4</v>
      </c>
      <c r="C2282">
        <v>3</v>
      </c>
      <c r="D2282" t="s">
        <v>5</v>
      </c>
      <c r="F2282" t="str" cm="1">
        <f t="array" ref="F2282">CategorizeComment(E2282)</f>
        <v>Other</v>
      </c>
      <c r="G2282" t="str" cm="1">
        <f t="array" ref="G2282">SubCategorizeComment(E2282)</f>
        <v>Other</v>
      </c>
    </row>
    <row r="2283" spans="1:7" x14ac:dyDescent="0.25">
      <c r="A2283">
        <v>16012</v>
      </c>
      <c r="B2283" t="s">
        <v>4</v>
      </c>
      <c r="C2283">
        <v>3</v>
      </c>
      <c r="D2283" t="s">
        <v>5</v>
      </c>
      <c r="F2283" t="str" cm="1">
        <f t="array" ref="F2283">CategorizeComment(E2283)</f>
        <v>Other</v>
      </c>
      <c r="G2283" t="str" cm="1">
        <f t="array" ref="G2283">SubCategorizeComment(E2283)</f>
        <v>Other</v>
      </c>
    </row>
    <row r="2284" spans="1:7" x14ac:dyDescent="0.25">
      <c r="A2284">
        <v>16047</v>
      </c>
      <c r="B2284" t="s">
        <v>4</v>
      </c>
      <c r="C2284">
        <v>3</v>
      </c>
      <c r="D2284" t="s">
        <v>5</v>
      </c>
      <c r="F2284" t="str" cm="1">
        <f t="array" ref="F2284">CategorizeComment(E2284)</f>
        <v>Other</v>
      </c>
      <c r="G2284" t="str" cm="1">
        <f t="array" ref="G2284">SubCategorizeComment(E2284)</f>
        <v>Other</v>
      </c>
    </row>
    <row r="2285" spans="1:7" x14ac:dyDescent="0.25">
      <c r="A2285">
        <v>16055</v>
      </c>
      <c r="B2285" t="s">
        <v>4</v>
      </c>
      <c r="C2285">
        <v>4</v>
      </c>
      <c r="D2285" t="s">
        <v>5</v>
      </c>
      <c r="F2285" t="str" cm="1">
        <f t="array" ref="F2285">CategorizeComment(E2285)</f>
        <v>Other</v>
      </c>
      <c r="G2285" t="str" cm="1">
        <f t="array" ref="G2285">SubCategorizeComment(E2285)</f>
        <v>Other</v>
      </c>
    </row>
    <row r="2286" spans="1:7" x14ac:dyDescent="0.25">
      <c r="A2286">
        <v>16073</v>
      </c>
      <c r="B2286" t="s">
        <v>4</v>
      </c>
      <c r="C2286">
        <v>3</v>
      </c>
      <c r="D2286" t="s">
        <v>5</v>
      </c>
      <c r="F2286" t="str" cm="1">
        <f t="array" ref="F2286">CategorizeComment(E2286)</f>
        <v>Other</v>
      </c>
      <c r="G2286" t="str" cm="1">
        <f t="array" ref="G2286">SubCategorizeComment(E2286)</f>
        <v>Other</v>
      </c>
    </row>
    <row r="2287" spans="1:7" x14ac:dyDescent="0.25">
      <c r="A2287">
        <v>16083</v>
      </c>
      <c r="B2287" t="s">
        <v>4</v>
      </c>
      <c r="C2287">
        <v>3</v>
      </c>
      <c r="D2287" t="s">
        <v>5</v>
      </c>
      <c r="F2287" t="str" cm="1">
        <f t="array" ref="F2287">CategorizeComment(E2287)</f>
        <v>Other</v>
      </c>
      <c r="G2287" t="str" cm="1">
        <f t="array" ref="G2287">SubCategorizeComment(E2287)</f>
        <v>Other</v>
      </c>
    </row>
    <row r="2288" spans="1:7" x14ac:dyDescent="0.25">
      <c r="A2288">
        <v>16119</v>
      </c>
      <c r="B2288" t="s">
        <v>4</v>
      </c>
      <c r="C2288">
        <v>4</v>
      </c>
      <c r="D2288" t="s">
        <v>5</v>
      </c>
      <c r="F2288" t="str" cm="1">
        <f t="array" ref="F2288">CategorizeComment(E2288)</f>
        <v>Other</v>
      </c>
      <c r="G2288" t="str" cm="1">
        <f t="array" ref="G2288">SubCategorizeComment(E2288)</f>
        <v>Other</v>
      </c>
    </row>
    <row r="2289" spans="1:7" x14ac:dyDescent="0.25">
      <c r="A2289">
        <v>16133</v>
      </c>
      <c r="B2289" t="s">
        <v>4</v>
      </c>
      <c r="C2289">
        <v>3</v>
      </c>
      <c r="D2289" t="s">
        <v>5</v>
      </c>
      <c r="F2289" t="str" cm="1">
        <f t="array" ref="F2289">CategorizeComment(E2289)</f>
        <v>Other</v>
      </c>
      <c r="G2289" t="str" cm="1">
        <f t="array" ref="G2289">SubCategorizeComment(E2289)</f>
        <v>Other</v>
      </c>
    </row>
    <row r="2290" spans="1:7" x14ac:dyDescent="0.25">
      <c r="A2290">
        <v>16137</v>
      </c>
      <c r="B2290" t="s">
        <v>4</v>
      </c>
      <c r="C2290">
        <v>3</v>
      </c>
      <c r="D2290" t="s">
        <v>5</v>
      </c>
      <c r="F2290" t="str" cm="1">
        <f t="array" ref="F2290">CategorizeComment(E2290)</f>
        <v>Other</v>
      </c>
      <c r="G2290" t="str" cm="1">
        <f t="array" ref="G2290">SubCategorizeComment(E2290)</f>
        <v>Other</v>
      </c>
    </row>
    <row r="2291" spans="1:7" x14ac:dyDescent="0.25">
      <c r="A2291">
        <v>16138</v>
      </c>
      <c r="B2291" t="s">
        <v>4</v>
      </c>
      <c r="C2291">
        <v>4</v>
      </c>
      <c r="D2291" t="s">
        <v>5</v>
      </c>
      <c r="F2291" t="str" cm="1">
        <f t="array" ref="F2291">CategorizeComment(E2291)</f>
        <v>Other</v>
      </c>
      <c r="G2291" t="str" cm="1">
        <f t="array" ref="G2291">SubCategorizeComment(E2291)</f>
        <v>Other</v>
      </c>
    </row>
    <row r="2292" spans="1:7" x14ac:dyDescent="0.25">
      <c r="A2292">
        <v>16143</v>
      </c>
      <c r="B2292" t="s">
        <v>4</v>
      </c>
      <c r="C2292">
        <v>4</v>
      </c>
      <c r="D2292" t="s">
        <v>5</v>
      </c>
      <c r="F2292" t="str" cm="1">
        <f t="array" ref="F2292">CategorizeComment(E2292)</f>
        <v>Other</v>
      </c>
      <c r="G2292" t="str" cm="1">
        <f t="array" ref="G2292">SubCategorizeComment(E2292)</f>
        <v>Other</v>
      </c>
    </row>
    <row r="2293" spans="1:7" x14ac:dyDescent="0.25">
      <c r="A2293">
        <v>16153</v>
      </c>
      <c r="B2293" t="s">
        <v>4</v>
      </c>
      <c r="C2293">
        <v>4</v>
      </c>
      <c r="D2293" t="s">
        <v>5</v>
      </c>
      <c r="F2293" t="str" cm="1">
        <f t="array" ref="F2293">CategorizeComment(E2293)</f>
        <v>Other</v>
      </c>
      <c r="G2293" t="str" cm="1">
        <f t="array" ref="G2293">SubCategorizeComment(E2293)</f>
        <v>Other</v>
      </c>
    </row>
    <row r="2294" spans="1:7" x14ac:dyDescent="0.25">
      <c r="A2294">
        <v>16182</v>
      </c>
      <c r="B2294" t="s">
        <v>4</v>
      </c>
      <c r="C2294">
        <v>4</v>
      </c>
      <c r="D2294" t="s">
        <v>5</v>
      </c>
      <c r="F2294" t="str" cm="1">
        <f t="array" ref="F2294">CategorizeComment(E2294)</f>
        <v>Other</v>
      </c>
      <c r="G2294" t="str" cm="1">
        <f t="array" ref="G2294">SubCategorizeComment(E2294)</f>
        <v>Other</v>
      </c>
    </row>
    <row r="2295" spans="1:7" x14ac:dyDescent="0.25">
      <c r="A2295">
        <v>16183</v>
      </c>
      <c r="B2295" t="s">
        <v>4</v>
      </c>
      <c r="C2295">
        <v>3</v>
      </c>
      <c r="D2295" t="s">
        <v>5</v>
      </c>
      <c r="F2295" t="str" cm="1">
        <f t="array" ref="F2295">CategorizeComment(E2295)</f>
        <v>Other</v>
      </c>
      <c r="G2295" t="str" cm="1">
        <f t="array" ref="G2295">SubCategorizeComment(E2295)</f>
        <v>Other</v>
      </c>
    </row>
    <row r="2296" spans="1:7" x14ac:dyDescent="0.25">
      <c r="A2296">
        <v>16187</v>
      </c>
      <c r="B2296" t="s">
        <v>4</v>
      </c>
      <c r="C2296">
        <v>3</v>
      </c>
      <c r="D2296" t="s">
        <v>5</v>
      </c>
      <c r="F2296" t="str" cm="1">
        <f t="array" ref="F2296">CategorizeComment(E2296)</f>
        <v>Other</v>
      </c>
      <c r="G2296" t="str" cm="1">
        <f t="array" ref="G2296">SubCategorizeComment(E2296)</f>
        <v>Other</v>
      </c>
    </row>
    <row r="2297" spans="1:7" x14ac:dyDescent="0.25">
      <c r="A2297">
        <v>16201</v>
      </c>
      <c r="B2297" t="s">
        <v>4</v>
      </c>
      <c r="C2297">
        <v>3</v>
      </c>
      <c r="D2297" t="s">
        <v>5</v>
      </c>
      <c r="F2297" t="str" cm="1">
        <f t="array" ref="F2297">CategorizeComment(E2297)</f>
        <v>Other</v>
      </c>
      <c r="G2297" t="str" cm="1">
        <f t="array" ref="G2297">SubCategorizeComment(E2297)</f>
        <v>Other</v>
      </c>
    </row>
    <row r="2298" spans="1:7" x14ac:dyDescent="0.25">
      <c r="A2298">
        <v>16203</v>
      </c>
      <c r="B2298" t="s">
        <v>4</v>
      </c>
      <c r="C2298">
        <v>3</v>
      </c>
      <c r="D2298" t="s">
        <v>5</v>
      </c>
      <c r="F2298" t="str" cm="1">
        <f t="array" ref="F2298">CategorizeComment(E2298)</f>
        <v>Other</v>
      </c>
      <c r="G2298" t="str" cm="1">
        <f t="array" ref="G2298">SubCategorizeComment(E2298)</f>
        <v>Other</v>
      </c>
    </row>
    <row r="2299" spans="1:7" x14ac:dyDescent="0.25">
      <c r="A2299">
        <v>16213</v>
      </c>
      <c r="B2299" t="s">
        <v>4</v>
      </c>
      <c r="C2299">
        <v>3</v>
      </c>
      <c r="D2299" t="s">
        <v>5</v>
      </c>
      <c r="F2299" t="str" cm="1">
        <f t="array" ref="F2299">CategorizeComment(E2299)</f>
        <v>Other</v>
      </c>
      <c r="G2299" t="str" cm="1">
        <f t="array" ref="G2299">SubCategorizeComment(E2299)</f>
        <v>Other</v>
      </c>
    </row>
    <row r="2300" spans="1:7" x14ac:dyDescent="0.25">
      <c r="A2300">
        <v>16214</v>
      </c>
      <c r="B2300" t="s">
        <v>4</v>
      </c>
      <c r="C2300">
        <v>4</v>
      </c>
      <c r="D2300" t="s">
        <v>5</v>
      </c>
      <c r="F2300" t="str" cm="1">
        <f t="array" ref="F2300">CategorizeComment(E2300)</f>
        <v>Other</v>
      </c>
      <c r="G2300" t="str" cm="1">
        <f t="array" ref="G2300">SubCategorizeComment(E2300)</f>
        <v>Other</v>
      </c>
    </row>
    <row r="2301" spans="1:7" x14ac:dyDescent="0.25">
      <c r="A2301">
        <v>16228</v>
      </c>
      <c r="B2301" t="s">
        <v>4</v>
      </c>
      <c r="C2301">
        <v>3</v>
      </c>
      <c r="D2301" t="s">
        <v>5</v>
      </c>
      <c r="F2301" t="str" cm="1">
        <f t="array" ref="F2301">CategorizeComment(E2301)</f>
        <v>Other</v>
      </c>
      <c r="G2301" t="str" cm="1">
        <f t="array" ref="G2301">SubCategorizeComment(E2301)</f>
        <v>Other</v>
      </c>
    </row>
    <row r="2302" spans="1:7" x14ac:dyDescent="0.25">
      <c r="A2302">
        <v>16231</v>
      </c>
      <c r="B2302" t="s">
        <v>4</v>
      </c>
      <c r="C2302">
        <v>4</v>
      </c>
      <c r="D2302" t="s">
        <v>5</v>
      </c>
      <c r="F2302" t="str" cm="1">
        <f t="array" ref="F2302">CategorizeComment(E2302)</f>
        <v>Other</v>
      </c>
      <c r="G2302" t="str" cm="1">
        <f t="array" ref="G2302">SubCategorizeComment(E2302)</f>
        <v>Other</v>
      </c>
    </row>
    <row r="2303" spans="1:7" x14ac:dyDescent="0.25">
      <c r="A2303">
        <v>16232</v>
      </c>
      <c r="B2303" t="s">
        <v>4</v>
      </c>
      <c r="C2303">
        <v>3</v>
      </c>
      <c r="D2303" t="s">
        <v>5</v>
      </c>
      <c r="F2303" t="str" cm="1">
        <f t="array" ref="F2303">CategorizeComment(E2303)</f>
        <v>Other</v>
      </c>
      <c r="G2303" t="str" cm="1">
        <f t="array" ref="G2303">SubCategorizeComment(E2303)</f>
        <v>Other</v>
      </c>
    </row>
    <row r="2304" spans="1:7" x14ac:dyDescent="0.25">
      <c r="A2304">
        <v>16251</v>
      </c>
      <c r="B2304" t="s">
        <v>4</v>
      </c>
      <c r="C2304">
        <v>3</v>
      </c>
      <c r="D2304" t="s">
        <v>5</v>
      </c>
      <c r="F2304" t="str" cm="1">
        <f t="array" ref="F2304">CategorizeComment(E2304)</f>
        <v>Other</v>
      </c>
      <c r="G2304" t="str" cm="1">
        <f t="array" ref="G2304">SubCategorizeComment(E2304)</f>
        <v>Other</v>
      </c>
    </row>
    <row r="2305" spans="1:7" x14ac:dyDescent="0.25">
      <c r="A2305">
        <v>16267</v>
      </c>
      <c r="B2305" t="s">
        <v>4</v>
      </c>
      <c r="C2305">
        <v>4</v>
      </c>
      <c r="D2305" t="s">
        <v>5</v>
      </c>
      <c r="F2305" t="str" cm="1">
        <f t="array" ref="F2305">CategorizeComment(E2305)</f>
        <v>Other</v>
      </c>
      <c r="G2305" t="str" cm="1">
        <f t="array" ref="G2305">SubCategorizeComment(E2305)</f>
        <v>Other</v>
      </c>
    </row>
    <row r="2306" spans="1:7" x14ac:dyDescent="0.25">
      <c r="A2306">
        <v>16271</v>
      </c>
      <c r="B2306" t="s">
        <v>4</v>
      </c>
      <c r="C2306">
        <v>3</v>
      </c>
      <c r="D2306" t="s">
        <v>5</v>
      </c>
      <c r="F2306" t="str" cm="1">
        <f t="array" ref="F2306">CategorizeComment(E2306)</f>
        <v>Other</v>
      </c>
      <c r="G2306" t="str" cm="1">
        <f t="array" ref="G2306">SubCategorizeComment(E2306)</f>
        <v>Other</v>
      </c>
    </row>
    <row r="2307" spans="1:7" x14ac:dyDescent="0.25">
      <c r="A2307">
        <v>16272</v>
      </c>
      <c r="B2307" t="s">
        <v>4</v>
      </c>
      <c r="C2307">
        <v>4</v>
      </c>
      <c r="D2307" t="s">
        <v>5</v>
      </c>
      <c r="F2307" t="str" cm="1">
        <f t="array" ref="F2307">CategorizeComment(E2307)</f>
        <v>Other</v>
      </c>
      <c r="G2307" t="str" cm="1">
        <f t="array" ref="G2307">SubCategorizeComment(E2307)</f>
        <v>Other</v>
      </c>
    </row>
    <row r="2308" spans="1:7" x14ac:dyDescent="0.25">
      <c r="A2308">
        <v>16277</v>
      </c>
      <c r="B2308" t="s">
        <v>4</v>
      </c>
      <c r="C2308">
        <v>3</v>
      </c>
      <c r="D2308" t="s">
        <v>5</v>
      </c>
      <c r="F2308" t="str" cm="1">
        <f t="array" ref="F2308">CategorizeComment(E2308)</f>
        <v>Other</v>
      </c>
      <c r="G2308" t="str" cm="1">
        <f t="array" ref="G2308">SubCategorizeComment(E2308)</f>
        <v>Other</v>
      </c>
    </row>
    <row r="2309" spans="1:7" x14ac:dyDescent="0.25">
      <c r="A2309">
        <v>16282</v>
      </c>
      <c r="B2309" t="s">
        <v>4</v>
      </c>
      <c r="C2309">
        <v>3</v>
      </c>
      <c r="D2309" t="s">
        <v>5</v>
      </c>
      <c r="F2309" t="str" cm="1">
        <f t="array" ref="F2309">CategorizeComment(E2309)</f>
        <v>Other</v>
      </c>
      <c r="G2309" t="str" cm="1">
        <f t="array" ref="G2309">SubCategorizeComment(E2309)</f>
        <v>Other</v>
      </c>
    </row>
    <row r="2310" spans="1:7" x14ac:dyDescent="0.25">
      <c r="A2310">
        <v>16293</v>
      </c>
      <c r="B2310" t="s">
        <v>4</v>
      </c>
      <c r="C2310">
        <v>4</v>
      </c>
      <c r="D2310" t="s">
        <v>5</v>
      </c>
      <c r="F2310" t="str" cm="1">
        <f t="array" ref="F2310">CategorizeComment(E2310)</f>
        <v>Other</v>
      </c>
      <c r="G2310" t="str" cm="1">
        <f t="array" ref="G2310">SubCategorizeComment(E2310)</f>
        <v>Other</v>
      </c>
    </row>
    <row r="2311" spans="1:7" x14ac:dyDescent="0.25">
      <c r="A2311">
        <v>16299</v>
      </c>
      <c r="B2311" t="s">
        <v>4</v>
      </c>
      <c r="C2311">
        <v>4</v>
      </c>
      <c r="D2311" t="s">
        <v>5</v>
      </c>
      <c r="F2311" t="str" cm="1">
        <f t="array" ref="F2311">CategorizeComment(E2311)</f>
        <v>Other</v>
      </c>
      <c r="G2311" t="str" cm="1">
        <f t="array" ref="G2311">SubCategorizeComment(E2311)</f>
        <v>Other</v>
      </c>
    </row>
    <row r="2312" spans="1:7" x14ac:dyDescent="0.25">
      <c r="A2312">
        <v>16304</v>
      </c>
      <c r="B2312" t="s">
        <v>4</v>
      </c>
      <c r="C2312">
        <v>4</v>
      </c>
      <c r="D2312" t="s">
        <v>5</v>
      </c>
      <c r="F2312" t="str" cm="1">
        <f t="array" ref="F2312">CategorizeComment(E2312)</f>
        <v>Other</v>
      </c>
      <c r="G2312" t="str" cm="1">
        <f t="array" ref="G2312">SubCategorizeComment(E2312)</f>
        <v>Other</v>
      </c>
    </row>
    <row r="2313" spans="1:7" x14ac:dyDescent="0.25">
      <c r="A2313">
        <v>16306</v>
      </c>
      <c r="B2313" t="s">
        <v>4</v>
      </c>
      <c r="C2313">
        <v>4</v>
      </c>
      <c r="D2313" t="s">
        <v>5</v>
      </c>
      <c r="F2313" t="str" cm="1">
        <f t="array" ref="F2313">CategorizeComment(E2313)</f>
        <v>Other</v>
      </c>
      <c r="G2313" t="str" cm="1">
        <f t="array" ref="G2313">SubCategorizeComment(E2313)</f>
        <v>Other</v>
      </c>
    </row>
    <row r="2314" spans="1:7" x14ac:dyDescent="0.25">
      <c r="A2314">
        <v>16325</v>
      </c>
      <c r="B2314" t="s">
        <v>4</v>
      </c>
      <c r="C2314">
        <v>4</v>
      </c>
      <c r="D2314" t="s">
        <v>5</v>
      </c>
      <c r="F2314" t="str" cm="1">
        <f t="array" ref="F2314">CategorizeComment(E2314)</f>
        <v>Other</v>
      </c>
      <c r="G2314" t="str" cm="1">
        <f t="array" ref="G2314">SubCategorizeComment(E2314)</f>
        <v>Other</v>
      </c>
    </row>
    <row r="2315" spans="1:7" x14ac:dyDescent="0.25">
      <c r="A2315">
        <v>16333</v>
      </c>
      <c r="B2315" t="s">
        <v>4</v>
      </c>
      <c r="C2315">
        <v>3</v>
      </c>
      <c r="D2315" t="s">
        <v>5</v>
      </c>
      <c r="F2315" t="str" cm="1">
        <f t="array" ref="F2315">CategorizeComment(E2315)</f>
        <v>Other</v>
      </c>
      <c r="G2315" t="str" cm="1">
        <f t="array" ref="G2315">SubCategorizeComment(E2315)</f>
        <v>Other</v>
      </c>
    </row>
    <row r="2316" spans="1:7" x14ac:dyDescent="0.25">
      <c r="A2316">
        <v>16337</v>
      </c>
      <c r="B2316" t="s">
        <v>4</v>
      </c>
      <c r="C2316">
        <v>4</v>
      </c>
      <c r="D2316" t="s">
        <v>5</v>
      </c>
      <c r="F2316" t="str" cm="1">
        <f t="array" ref="F2316">CategorizeComment(E2316)</f>
        <v>Other</v>
      </c>
      <c r="G2316" t="str" cm="1">
        <f t="array" ref="G2316">SubCategorizeComment(E2316)</f>
        <v>Other</v>
      </c>
    </row>
    <row r="2317" spans="1:7" x14ac:dyDescent="0.25">
      <c r="A2317">
        <v>16368</v>
      </c>
      <c r="B2317" t="s">
        <v>4</v>
      </c>
      <c r="C2317">
        <v>3</v>
      </c>
      <c r="D2317" t="s">
        <v>5</v>
      </c>
      <c r="F2317" t="str" cm="1">
        <f t="array" ref="F2317">CategorizeComment(E2317)</f>
        <v>Other</v>
      </c>
      <c r="G2317" t="str" cm="1">
        <f t="array" ref="G2317">SubCategorizeComment(E2317)</f>
        <v>Other</v>
      </c>
    </row>
    <row r="2318" spans="1:7" x14ac:dyDescent="0.25">
      <c r="A2318">
        <v>16383</v>
      </c>
      <c r="B2318" t="s">
        <v>4</v>
      </c>
      <c r="C2318">
        <v>3</v>
      </c>
      <c r="D2318" t="s">
        <v>5</v>
      </c>
      <c r="F2318" t="str" cm="1">
        <f t="array" ref="F2318">CategorizeComment(E2318)</f>
        <v>Other</v>
      </c>
      <c r="G2318" t="str" cm="1">
        <f t="array" ref="G2318">SubCategorizeComment(E2318)</f>
        <v>Other</v>
      </c>
    </row>
    <row r="2319" spans="1:7" x14ac:dyDescent="0.25">
      <c r="A2319">
        <v>16392</v>
      </c>
      <c r="B2319" t="s">
        <v>4</v>
      </c>
      <c r="C2319">
        <v>3</v>
      </c>
      <c r="D2319" t="s">
        <v>5</v>
      </c>
      <c r="F2319" t="str" cm="1">
        <f t="array" ref="F2319">CategorizeComment(E2319)</f>
        <v>Other</v>
      </c>
      <c r="G2319" t="str" cm="1">
        <f t="array" ref="G2319">SubCategorizeComment(E2319)</f>
        <v>Other</v>
      </c>
    </row>
    <row r="2320" spans="1:7" x14ac:dyDescent="0.25">
      <c r="A2320">
        <v>16395</v>
      </c>
      <c r="B2320" t="s">
        <v>4</v>
      </c>
      <c r="C2320">
        <v>3</v>
      </c>
      <c r="D2320" t="s">
        <v>5</v>
      </c>
      <c r="F2320" t="str" cm="1">
        <f t="array" ref="F2320">CategorizeComment(E2320)</f>
        <v>Other</v>
      </c>
      <c r="G2320" t="str" cm="1">
        <f t="array" ref="G2320">SubCategorizeComment(E2320)</f>
        <v>Other</v>
      </c>
    </row>
    <row r="2321" spans="1:7" x14ac:dyDescent="0.25">
      <c r="A2321">
        <v>16419</v>
      </c>
      <c r="B2321" t="s">
        <v>4</v>
      </c>
      <c r="C2321">
        <v>3</v>
      </c>
      <c r="D2321" t="s">
        <v>5</v>
      </c>
      <c r="F2321" t="str" cm="1">
        <f t="array" ref="F2321">CategorizeComment(E2321)</f>
        <v>Other</v>
      </c>
      <c r="G2321" t="str" cm="1">
        <f t="array" ref="G2321">SubCategorizeComment(E2321)</f>
        <v>Other</v>
      </c>
    </row>
    <row r="2322" spans="1:7" x14ac:dyDescent="0.25">
      <c r="A2322">
        <v>16433</v>
      </c>
      <c r="B2322" t="s">
        <v>4</v>
      </c>
      <c r="C2322">
        <v>3</v>
      </c>
      <c r="D2322" t="s">
        <v>5</v>
      </c>
      <c r="F2322" t="str" cm="1">
        <f t="array" ref="F2322">CategorizeComment(E2322)</f>
        <v>Other</v>
      </c>
      <c r="G2322" t="str" cm="1">
        <f t="array" ref="G2322">SubCategorizeComment(E2322)</f>
        <v>Other</v>
      </c>
    </row>
    <row r="2323" spans="1:7" x14ac:dyDescent="0.25">
      <c r="A2323">
        <v>16437</v>
      </c>
      <c r="B2323" t="s">
        <v>4</v>
      </c>
      <c r="C2323">
        <v>3</v>
      </c>
      <c r="D2323" t="s">
        <v>5</v>
      </c>
      <c r="F2323" t="str" cm="1">
        <f t="array" ref="F2323">CategorizeComment(E2323)</f>
        <v>Other</v>
      </c>
      <c r="G2323" t="str" cm="1">
        <f t="array" ref="G2323">SubCategorizeComment(E2323)</f>
        <v>Other</v>
      </c>
    </row>
    <row r="2324" spans="1:7" x14ac:dyDescent="0.25">
      <c r="A2324">
        <v>16463</v>
      </c>
      <c r="B2324" t="s">
        <v>4</v>
      </c>
      <c r="C2324">
        <v>4</v>
      </c>
      <c r="D2324" t="s">
        <v>5</v>
      </c>
      <c r="F2324" t="str" cm="1">
        <f t="array" ref="F2324">CategorizeComment(E2324)</f>
        <v>Other</v>
      </c>
      <c r="G2324" t="str" cm="1">
        <f t="array" ref="G2324">SubCategorizeComment(E2324)</f>
        <v>Other</v>
      </c>
    </row>
    <row r="2325" spans="1:7" x14ac:dyDescent="0.25">
      <c r="A2325">
        <v>16467</v>
      </c>
      <c r="B2325" t="s">
        <v>4</v>
      </c>
      <c r="C2325">
        <v>3</v>
      </c>
      <c r="D2325" t="s">
        <v>5</v>
      </c>
      <c r="F2325" t="str" cm="1">
        <f t="array" ref="F2325">CategorizeComment(E2325)</f>
        <v>Other</v>
      </c>
      <c r="G2325" t="str" cm="1">
        <f t="array" ref="G2325">SubCategorizeComment(E2325)</f>
        <v>Other</v>
      </c>
    </row>
    <row r="2326" spans="1:7" x14ac:dyDescent="0.25">
      <c r="A2326">
        <v>16468</v>
      </c>
      <c r="B2326" t="s">
        <v>4</v>
      </c>
      <c r="C2326">
        <v>4</v>
      </c>
      <c r="D2326" t="s">
        <v>5</v>
      </c>
      <c r="F2326" t="str" cm="1">
        <f t="array" ref="F2326">CategorizeComment(E2326)</f>
        <v>Other</v>
      </c>
      <c r="G2326" t="str" cm="1">
        <f t="array" ref="G2326">SubCategorizeComment(E2326)</f>
        <v>Other</v>
      </c>
    </row>
    <row r="2327" spans="1:7" x14ac:dyDescent="0.25">
      <c r="A2327">
        <v>16483</v>
      </c>
      <c r="B2327" t="s">
        <v>4</v>
      </c>
      <c r="C2327">
        <v>3</v>
      </c>
      <c r="D2327" t="s">
        <v>5</v>
      </c>
      <c r="F2327" t="str" cm="1">
        <f t="array" ref="F2327">CategorizeComment(E2327)</f>
        <v>Other</v>
      </c>
      <c r="G2327" t="str" cm="1">
        <f t="array" ref="G2327">SubCategorizeComment(E2327)</f>
        <v>Other</v>
      </c>
    </row>
    <row r="2328" spans="1:7" x14ac:dyDescent="0.25">
      <c r="A2328">
        <v>16489</v>
      </c>
      <c r="B2328" t="s">
        <v>4</v>
      </c>
      <c r="C2328">
        <v>4</v>
      </c>
      <c r="D2328" t="s">
        <v>5</v>
      </c>
      <c r="F2328" t="str" cm="1">
        <f t="array" ref="F2328">CategorizeComment(E2328)</f>
        <v>Other</v>
      </c>
      <c r="G2328" t="str" cm="1">
        <f t="array" ref="G2328">SubCategorizeComment(E2328)</f>
        <v>Other</v>
      </c>
    </row>
    <row r="2329" spans="1:7" x14ac:dyDescent="0.25">
      <c r="A2329">
        <v>16490</v>
      </c>
      <c r="B2329" t="s">
        <v>4</v>
      </c>
      <c r="C2329">
        <v>4</v>
      </c>
      <c r="D2329" t="s">
        <v>5</v>
      </c>
      <c r="F2329" t="str" cm="1">
        <f t="array" ref="F2329">CategorizeComment(E2329)</f>
        <v>Other</v>
      </c>
      <c r="G2329" t="str" cm="1">
        <f t="array" ref="G2329">SubCategorizeComment(E2329)</f>
        <v>Other</v>
      </c>
    </row>
    <row r="2330" spans="1:7" x14ac:dyDescent="0.25">
      <c r="A2330">
        <v>16495</v>
      </c>
      <c r="B2330" t="s">
        <v>4</v>
      </c>
      <c r="C2330">
        <v>3</v>
      </c>
      <c r="D2330" t="s">
        <v>5</v>
      </c>
      <c r="F2330" t="str" cm="1">
        <f t="array" ref="F2330">CategorizeComment(E2330)</f>
        <v>Other</v>
      </c>
      <c r="G2330" t="str" cm="1">
        <f t="array" ref="G2330">SubCategorizeComment(E2330)</f>
        <v>Other</v>
      </c>
    </row>
    <row r="2331" spans="1:7" x14ac:dyDescent="0.25">
      <c r="A2331">
        <v>16500</v>
      </c>
      <c r="B2331" t="s">
        <v>4</v>
      </c>
      <c r="C2331">
        <v>3</v>
      </c>
      <c r="D2331" t="s">
        <v>5</v>
      </c>
      <c r="F2331" t="str" cm="1">
        <f t="array" ref="F2331">CategorizeComment(E2331)</f>
        <v>Other</v>
      </c>
      <c r="G2331" t="str" cm="1">
        <f t="array" ref="G2331">SubCategorizeComment(E2331)</f>
        <v>Other</v>
      </c>
    </row>
    <row r="2332" spans="1:7" x14ac:dyDescent="0.25">
      <c r="A2332">
        <v>16527</v>
      </c>
      <c r="B2332" t="s">
        <v>4</v>
      </c>
      <c r="C2332">
        <v>4</v>
      </c>
      <c r="D2332" t="s">
        <v>5</v>
      </c>
      <c r="F2332" t="str" cm="1">
        <f t="array" ref="F2332">CategorizeComment(E2332)</f>
        <v>Other</v>
      </c>
      <c r="G2332" t="str" cm="1">
        <f t="array" ref="G2332">SubCategorizeComment(E2332)</f>
        <v>Other</v>
      </c>
    </row>
    <row r="2333" spans="1:7" x14ac:dyDescent="0.25">
      <c r="A2333">
        <v>16529</v>
      </c>
      <c r="B2333" t="s">
        <v>4</v>
      </c>
      <c r="C2333">
        <v>3</v>
      </c>
      <c r="D2333" t="s">
        <v>5</v>
      </c>
      <c r="F2333" t="str" cm="1">
        <f t="array" ref="F2333">CategorizeComment(E2333)</f>
        <v>Other</v>
      </c>
      <c r="G2333" t="str" cm="1">
        <f t="array" ref="G2333">SubCategorizeComment(E2333)</f>
        <v>Other</v>
      </c>
    </row>
    <row r="2334" spans="1:7" x14ac:dyDescent="0.25">
      <c r="A2334">
        <v>16531</v>
      </c>
      <c r="B2334" t="s">
        <v>4</v>
      </c>
      <c r="C2334">
        <v>3</v>
      </c>
      <c r="D2334" t="s">
        <v>5</v>
      </c>
      <c r="F2334" t="str" cm="1">
        <f t="array" ref="F2334">CategorizeComment(E2334)</f>
        <v>Other</v>
      </c>
      <c r="G2334" t="str" cm="1">
        <f t="array" ref="G2334">SubCategorizeComment(E2334)</f>
        <v>Other</v>
      </c>
    </row>
    <row r="2335" spans="1:7" x14ac:dyDescent="0.25">
      <c r="A2335">
        <v>16533</v>
      </c>
      <c r="B2335" t="s">
        <v>4</v>
      </c>
      <c r="C2335">
        <v>3</v>
      </c>
      <c r="D2335" t="s">
        <v>5</v>
      </c>
      <c r="F2335" t="str" cm="1">
        <f t="array" ref="F2335">CategorizeComment(E2335)</f>
        <v>Other</v>
      </c>
      <c r="G2335" t="str" cm="1">
        <f t="array" ref="G2335">SubCategorizeComment(E2335)</f>
        <v>Other</v>
      </c>
    </row>
    <row r="2336" spans="1:7" x14ac:dyDescent="0.25">
      <c r="A2336">
        <v>16546</v>
      </c>
      <c r="B2336" t="s">
        <v>4</v>
      </c>
      <c r="C2336">
        <v>4</v>
      </c>
      <c r="D2336" t="s">
        <v>5</v>
      </c>
      <c r="F2336" t="str" cm="1">
        <f t="array" ref="F2336">CategorizeComment(E2336)</f>
        <v>Other</v>
      </c>
      <c r="G2336" t="str" cm="1">
        <f t="array" ref="G2336">SubCategorizeComment(E2336)</f>
        <v>Other</v>
      </c>
    </row>
    <row r="2337" spans="1:7" x14ac:dyDescent="0.25">
      <c r="A2337">
        <v>16561</v>
      </c>
      <c r="B2337" t="s">
        <v>4</v>
      </c>
      <c r="C2337">
        <v>4</v>
      </c>
      <c r="D2337" t="s">
        <v>5</v>
      </c>
      <c r="F2337" t="str" cm="1">
        <f t="array" ref="F2337">CategorizeComment(E2337)</f>
        <v>Other</v>
      </c>
      <c r="G2337" t="str" cm="1">
        <f t="array" ref="G2337">SubCategorizeComment(E2337)</f>
        <v>Other</v>
      </c>
    </row>
    <row r="2338" spans="1:7" x14ac:dyDescent="0.25">
      <c r="A2338">
        <v>16564</v>
      </c>
      <c r="B2338" t="s">
        <v>4</v>
      </c>
      <c r="C2338">
        <v>4</v>
      </c>
      <c r="D2338" t="s">
        <v>5</v>
      </c>
      <c r="F2338" t="str" cm="1">
        <f t="array" ref="F2338">CategorizeComment(E2338)</f>
        <v>Other</v>
      </c>
      <c r="G2338" t="str" cm="1">
        <f t="array" ref="G2338">SubCategorizeComment(E2338)</f>
        <v>Other</v>
      </c>
    </row>
    <row r="2339" spans="1:7" x14ac:dyDescent="0.25">
      <c r="A2339">
        <v>16570</v>
      </c>
      <c r="B2339" t="s">
        <v>4</v>
      </c>
      <c r="C2339">
        <v>3</v>
      </c>
      <c r="D2339" t="s">
        <v>5</v>
      </c>
      <c r="F2339" t="str" cm="1">
        <f t="array" ref="F2339">CategorizeComment(E2339)</f>
        <v>Other</v>
      </c>
      <c r="G2339" t="str" cm="1">
        <f t="array" ref="G2339">SubCategorizeComment(E2339)</f>
        <v>Other</v>
      </c>
    </row>
    <row r="2340" spans="1:7" x14ac:dyDescent="0.25">
      <c r="A2340">
        <v>16585</v>
      </c>
      <c r="B2340" t="s">
        <v>4</v>
      </c>
      <c r="C2340">
        <v>3</v>
      </c>
      <c r="D2340" t="s">
        <v>5</v>
      </c>
      <c r="F2340" t="str" cm="1">
        <f t="array" ref="F2340">CategorizeComment(E2340)</f>
        <v>Other</v>
      </c>
      <c r="G2340" t="str" cm="1">
        <f t="array" ref="G2340">SubCategorizeComment(E2340)</f>
        <v>Other</v>
      </c>
    </row>
    <row r="2341" spans="1:7" x14ac:dyDescent="0.25">
      <c r="A2341">
        <v>16586</v>
      </c>
      <c r="B2341" t="s">
        <v>4</v>
      </c>
      <c r="C2341">
        <v>3</v>
      </c>
      <c r="D2341" t="s">
        <v>5</v>
      </c>
      <c r="F2341" t="str" cm="1">
        <f t="array" ref="F2341">CategorizeComment(E2341)</f>
        <v>Other</v>
      </c>
      <c r="G2341" t="str" cm="1">
        <f t="array" ref="G2341">SubCategorizeComment(E2341)</f>
        <v>Other</v>
      </c>
    </row>
    <row r="2342" spans="1:7" x14ac:dyDescent="0.25">
      <c r="A2342">
        <v>16588</v>
      </c>
      <c r="B2342" t="s">
        <v>4</v>
      </c>
      <c r="C2342">
        <v>3</v>
      </c>
      <c r="D2342" t="s">
        <v>5</v>
      </c>
      <c r="F2342" t="str" cm="1">
        <f t="array" ref="F2342">CategorizeComment(E2342)</f>
        <v>Other</v>
      </c>
      <c r="G2342" t="str" cm="1">
        <f t="array" ref="G2342">SubCategorizeComment(E2342)</f>
        <v>Other</v>
      </c>
    </row>
    <row r="2343" spans="1:7" x14ac:dyDescent="0.25">
      <c r="A2343">
        <v>16589</v>
      </c>
      <c r="B2343" t="s">
        <v>4</v>
      </c>
      <c r="C2343">
        <v>3</v>
      </c>
      <c r="D2343" t="s">
        <v>5</v>
      </c>
      <c r="F2343" t="str" cm="1">
        <f t="array" ref="F2343">CategorizeComment(E2343)</f>
        <v>Other</v>
      </c>
      <c r="G2343" t="str" cm="1">
        <f t="array" ref="G2343">SubCategorizeComment(E2343)</f>
        <v>Other</v>
      </c>
    </row>
    <row r="2344" spans="1:7" x14ac:dyDescent="0.25">
      <c r="A2344">
        <v>16606</v>
      </c>
      <c r="B2344" t="s">
        <v>4</v>
      </c>
      <c r="C2344">
        <v>3</v>
      </c>
      <c r="D2344" t="s">
        <v>5</v>
      </c>
      <c r="F2344" t="str" cm="1">
        <f t="array" ref="F2344">CategorizeComment(E2344)</f>
        <v>Other</v>
      </c>
      <c r="G2344" t="str" cm="1">
        <f t="array" ref="G2344">SubCategorizeComment(E2344)</f>
        <v>Other</v>
      </c>
    </row>
    <row r="2345" spans="1:7" x14ac:dyDescent="0.25">
      <c r="A2345">
        <v>16612</v>
      </c>
      <c r="B2345" t="s">
        <v>4</v>
      </c>
      <c r="C2345">
        <v>3</v>
      </c>
      <c r="D2345" t="s">
        <v>5</v>
      </c>
      <c r="F2345" t="str" cm="1">
        <f t="array" ref="F2345">CategorizeComment(E2345)</f>
        <v>Other</v>
      </c>
      <c r="G2345" t="str" cm="1">
        <f t="array" ref="G2345">SubCategorizeComment(E2345)</f>
        <v>Other</v>
      </c>
    </row>
    <row r="2346" spans="1:7" x14ac:dyDescent="0.25">
      <c r="A2346">
        <v>16625</v>
      </c>
      <c r="B2346" t="s">
        <v>4</v>
      </c>
      <c r="C2346">
        <v>3</v>
      </c>
      <c r="D2346" t="s">
        <v>5</v>
      </c>
      <c r="F2346" t="str" cm="1">
        <f t="array" ref="F2346">CategorizeComment(E2346)</f>
        <v>Other</v>
      </c>
      <c r="G2346" t="str" cm="1">
        <f t="array" ref="G2346">SubCategorizeComment(E2346)</f>
        <v>Other</v>
      </c>
    </row>
    <row r="2347" spans="1:7" x14ac:dyDescent="0.25">
      <c r="A2347">
        <v>16644</v>
      </c>
      <c r="B2347" t="s">
        <v>4</v>
      </c>
      <c r="C2347">
        <v>4</v>
      </c>
      <c r="D2347" t="s">
        <v>5</v>
      </c>
      <c r="F2347" t="str" cm="1">
        <f t="array" ref="F2347">CategorizeComment(E2347)</f>
        <v>Other</v>
      </c>
      <c r="G2347" t="str" cm="1">
        <f t="array" ref="G2347">SubCategorizeComment(E2347)</f>
        <v>Other</v>
      </c>
    </row>
    <row r="2348" spans="1:7" x14ac:dyDescent="0.25">
      <c r="A2348">
        <v>16649</v>
      </c>
      <c r="B2348" t="s">
        <v>4</v>
      </c>
      <c r="C2348">
        <v>3</v>
      </c>
      <c r="D2348" t="s">
        <v>5</v>
      </c>
      <c r="F2348" t="str" cm="1">
        <f t="array" ref="F2348">CategorizeComment(E2348)</f>
        <v>Other</v>
      </c>
      <c r="G2348" t="str" cm="1">
        <f t="array" ref="G2348">SubCategorizeComment(E2348)</f>
        <v>Other</v>
      </c>
    </row>
    <row r="2349" spans="1:7" x14ac:dyDescent="0.25">
      <c r="A2349">
        <v>16653</v>
      </c>
      <c r="B2349" t="s">
        <v>4</v>
      </c>
      <c r="C2349">
        <v>3</v>
      </c>
      <c r="D2349" t="s">
        <v>5</v>
      </c>
      <c r="F2349" t="str" cm="1">
        <f t="array" ref="F2349">CategorizeComment(E2349)</f>
        <v>Other</v>
      </c>
      <c r="G2349" t="str" cm="1">
        <f t="array" ref="G2349">SubCategorizeComment(E2349)</f>
        <v>Other</v>
      </c>
    </row>
    <row r="2350" spans="1:7" x14ac:dyDescent="0.25">
      <c r="A2350">
        <v>16655</v>
      </c>
      <c r="B2350" t="s">
        <v>4</v>
      </c>
      <c r="C2350">
        <v>3</v>
      </c>
      <c r="D2350" t="s">
        <v>5</v>
      </c>
      <c r="F2350" t="str" cm="1">
        <f t="array" ref="F2350">CategorizeComment(E2350)</f>
        <v>Other</v>
      </c>
      <c r="G2350" t="str" cm="1">
        <f t="array" ref="G2350">SubCategorizeComment(E2350)</f>
        <v>Other</v>
      </c>
    </row>
    <row r="2351" spans="1:7" x14ac:dyDescent="0.25">
      <c r="A2351">
        <v>16661</v>
      </c>
      <c r="B2351" t="s">
        <v>4</v>
      </c>
      <c r="C2351">
        <v>3</v>
      </c>
      <c r="D2351" t="s">
        <v>5</v>
      </c>
      <c r="F2351" t="str" cm="1">
        <f t="array" ref="F2351">CategorizeComment(E2351)</f>
        <v>Other</v>
      </c>
      <c r="G2351" t="str" cm="1">
        <f t="array" ref="G2351">SubCategorizeComment(E2351)</f>
        <v>Other</v>
      </c>
    </row>
    <row r="2352" spans="1:7" x14ac:dyDescent="0.25">
      <c r="A2352">
        <v>16669</v>
      </c>
      <c r="B2352" t="s">
        <v>4</v>
      </c>
      <c r="C2352">
        <v>4</v>
      </c>
      <c r="D2352" t="s">
        <v>5</v>
      </c>
      <c r="F2352" t="str" cm="1">
        <f t="array" ref="F2352">CategorizeComment(E2352)</f>
        <v>Other</v>
      </c>
      <c r="G2352" t="str" cm="1">
        <f t="array" ref="G2352">SubCategorizeComment(E2352)</f>
        <v>Other</v>
      </c>
    </row>
    <row r="2353" spans="1:7" x14ac:dyDescent="0.25">
      <c r="A2353">
        <v>16678</v>
      </c>
      <c r="B2353" t="s">
        <v>4</v>
      </c>
      <c r="C2353">
        <v>3</v>
      </c>
      <c r="D2353" t="s">
        <v>5</v>
      </c>
      <c r="F2353" t="str" cm="1">
        <f t="array" ref="F2353">CategorizeComment(E2353)</f>
        <v>Other</v>
      </c>
      <c r="G2353" t="str" cm="1">
        <f t="array" ref="G2353">SubCategorizeComment(E2353)</f>
        <v>Other</v>
      </c>
    </row>
    <row r="2354" spans="1:7" x14ac:dyDescent="0.25">
      <c r="A2354">
        <v>16680</v>
      </c>
      <c r="B2354" t="s">
        <v>4</v>
      </c>
      <c r="C2354">
        <v>4</v>
      </c>
      <c r="D2354" t="s">
        <v>5</v>
      </c>
      <c r="F2354" t="str" cm="1">
        <f t="array" ref="F2354">CategorizeComment(E2354)</f>
        <v>Other</v>
      </c>
      <c r="G2354" t="str" cm="1">
        <f t="array" ref="G2354">SubCategorizeComment(E2354)</f>
        <v>Other</v>
      </c>
    </row>
    <row r="2355" spans="1:7" x14ac:dyDescent="0.25">
      <c r="A2355">
        <v>16723</v>
      </c>
      <c r="B2355" t="s">
        <v>4</v>
      </c>
      <c r="C2355">
        <v>3</v>
      </c>
      <c r="D2355" t="s">
        <v>5</v>
      </c>
      <c r="F2355" t="str" cm="1">
        <f t="array" ref="F2355">CategorizeComment(E2355)</f>
        <v>Other</v>
      </c>
      <c r="G2355" t="str" cm="1">
        <f t="array" ref="G2355">SubCategorizeComment(E2355)</f>
        <v>Other</v>
      </c>
    </row>
    <row r="2356" spans="1:7" x14ac:dyDescent="0.25">
      <c r="A2356">
        <v>16740</v>
      </c>
      <c r="B2356" t="s">
        <v>4</v>
      </c>
      <c r="C2356">
        <v>3</v>
      </c>
      <c r="D2356" t="s">
        <v>5</v>
      </c>
      <c r="F2356" t="str" cm="1">
        <f t="array" ref="F2356">CategorizeComment(E2356)</f>
        <v>Other</v>
      </c>
      <c r="G2356" t="str" cm="1">
        <f t="array" ref="G2356">SubCategorizeComment(E2356)</f>
        <v>Other</v>
      </c>
    </row>
    <row r="2357" spans="1:7" x14ac:dyDescent="0.25">
      <c r="A2357">
        <v>16746</v>
      </c>
      <c r="B2357" t="s">
        <v>4</v>
      </c>
      <c r="C2357">
        <v>3</v>
      </c>
      <c r="D2357" t="s">
        <v>5</v>
      </c>
      <c r="F2357" t="str" cm="1">
        <f t="array" ref="F2357">CategorizeComment(E2357)</f>
        <v>Other</v>
      </c>
      <c r="G2357" t="str" cm="1">
        <f t="array" ref="G2357">SubCategorizeComment(E2357)</f>
        <v>Other</v>
      </c>
    </row>
    <row r="2358" spans="1:7" x14ac:dyDescent="0.25">
      <c r="A2358">
        <v>16752</v>
      </c>
      <c r="B2358" t="s">
        <v>4</v>
      </c>
      <c r="C2358">
        <v>3</v>
      </c>
      <c r="D2358" t="s">
        <v>5</v>
      </c>
      <c r="F2358" t="str" cm="1">
        <f t="array" ref="F2358">CategorizeComment(E2358)</f>
        <v>Other</v>
      </c>
      <c r="G2358" t="str" cm="1">
        <f t="array" ref="G2358">SubCategorizeComment(E2358)</f>
        <v>Other</v>
      </c>
    </row>
    <row r="2359" spans="1:7" x14ac:dyDescent="0.25">
      <c r="A2359">
        <v>16767</v>
      </c>
      <c r="B2359" t="s">
        <v>4</v>
      </c>
      <c r="C2359">
        <v>3</v>
      </c>
      <c r="D2359" t="s">
        <v>5</v>
      </c>
      <c r="F2359" t="str" cm="1">
        <f t="array" ref="F2359">CategorizeComment(E2359)</f>
        <v>Other</v>
      </c>
      <c r="G2359" t="str" cm="1">
        <f t="array" ref="G2359">SubCategorizeComment(E2359)</f>
        <v>Other</v>
      </c>
    </row>
    <row r="2360" spans="1:7" x14ac:dyDescent="0.25">
      <c r="A2360">
        <v>16782</v>
      </c>
      <c r="B2360" t="s">
        <v>4</v>
      </c>
      <c r="C2360">
        <v>3</v>
      </c>
      <c r="D2360" t="s">
        <v>5</v>
      </c>
      <c r="F2360" t="str" cm="1">
        <f t="array" ref="F2360">CategorizeComment(E2360)</f>
        <v>Other</v>
      </c>
      <c r="G2360" t="str" cm="1">
        <f t="array" ref="G2360">SubCategorizeComment(E2360)</f>
        <v>Other</v>
      </c>
    </row>
    <row r="2361" spans="1:7" x14ac:dyDescent="0.25">
      <c r="A2361">
        <v>16801</v>
      </c>
      <c r="B2361" t="s">
        <v>4</v>
      </c>
      <c r="C2361">
        <v>3</v>
      </c>
      <c r="D2361" t="s">
        <v>5</v>
      </c>
      <c r="F2361" t="str" cm="1">
        <f t="array" ref="F2361">CategorizeComment(E2361)</f>
        <v>Other</v>
      </c>
      <c r="G2361" t="str" cm="1">
        <f t="array" ref="G2361">SubCategorizeComment(E2361)</f>
        <v>Other</v>
      </c>
    </row>
    <row r="2362" spans="1:7" x14ac:dyDescent="0.25">
      <c r="A2362">
        <v>16806</v>
      </c>
      <c r="B2362" t="s">
        <v>4</v>
      </c>
      <c r="C2362">
        <v>4</v>
      </c>
      <c r="D2362" t="s">
        <v>5</v>
      </c>
      <c r="F2362" t="str" cm="1">
        <f t="array" ref="F2362">CategorizeComment(E2362)</f>
        <v>Other</v>
      </c>
      <c r="G2362" t="str" cm="1">
        <f t="array" ref="G2362">SubCategorizeComment(E2362)</f>
        <v>Other</v>
      </c>
    </row>
    <row r="2363" spans="1:7" x14ac:dyDescent="0.25">
      <c r="A2363">
        <v>16813</v>
      </c>
      <c r="B2363" t="s">
        <v>4</v>
      </c>
      <c r="C2363">
        <v>3</v>
      </c>
      <c r="D2363" t="s">
        <v>5</v>
      </c>
      <c r="F2363" t="str" cm="1">
        <f t="array" ref="F2363">CategorizeComment(E2363)</f>
        <v>Other</v>
      </c>
      <c r="G2363" t="str" cm="1">
        <f t="array" ref="G2363">SubCategorizeComment(E2363)</f>
        <v>Other</v>
      </c>
    </row>
    <row r="2364" spans="1:7" x14ac:dyDescent="0.25">
      <c r="A2364">
        <v>16825</v>
      </c>
      <c r="B2364" t="s">
        <v>4</v>
      </c>
      <c r="C2364">
        <v>3</v>
      </c>
      <c r="D2364" t="s">
        <v>5</v>
      </c>
      <c r="F2364" t="str" cm="1">
        <f t="array" ref="F2364">CategorizeComment(E2364)</f>
        <v>Other</v>
      </c>
      <c r="G2364" t="str" cm="1">
        <f t="array" ref="G2364">SubCategorizeComment(E2364)</f>
        <v>Other</v>
      </c>
    </row>
    <row r="2365" spans="1:7" x14ac:dyDescent="0.25">
      <c r="A2365">
        <v>16829</v>
      </c>
      <c r="B2365" t="s">
        <v>4</v>
      </c>
      <c r="C2365">
        <v>3</v>
      </c>
      <c r="D2365" t="s">
        <v>5</v>
      </c>
      <c r="F2365" t="str" cm="1">
        <f t="array" ref="F2365">CategorizeComment(E2365)</f>
        <v>Other</v>
      </c>
      <c r="G2365" t="str" cm="1">
        <f t="array" ref="G2365">SubCategorizeComment(E2365)</f>
        <v>Other</v>
      </c>
    </row>
    <row r="2366" spans="1:7" x14ac:dyDescent="0.25">
      <c r="A2366">
        <v>16861</v>
      </c>
      <c r="B2366" t="s">
        <v>4</v>
      </c>
      <c r="C2366">
        <v>4</v>
      </c>
      <c r="D2366" t="s">
        <v>5</v>
      </c>
      <c r="F2366" t="str" cm="1">
        <f t="array" ref="F2366">CategorizeComment(E2366)</f>
        <v>Other</v>
      </c>
      <c r="G2366" t="str" cm="1">
        <f t="array" ref="G2366">SubCategorizeComment(E2366)</f>
        <v>Other</v>
      </c>
    </row>
    <row r="2367" spans="1:7" x14ac:dyDescent="0.25">
      <c r="A2367">
        <v>16867</v>
      </c>
      <c r="B2367" t="s">
        <v>4</v>
      </c>
      <c r="C2367">
        <v>3</v>
      </c>
      <c r="D2367" t="s">
        <v>5</v>
      </c>
      <c r="F2367" t="str" cm="1">
        <f t="array" ref="F2367">CategorizeComment(E2367)</f>
        <v>Other</v>
      </c>
      <c r="G2367" t="str" cm="1">
        <f t="array" ref="G2367">SubCategorizeComment(E2367)</f>
        <v>Other</v>
      </c>
    </row>
    <row r="2368" spans="1:7" x14ac:dyDescent="0.25">
      <c r="A2368">
        <v>16871</v>
      </c>
      <c r="B2368" t="s">
        <v>4</v>
      </c>
      <c r="C2368">
        <v>4</v>
      </c>
      <c r="D2368" t="s">
        <v>5</v>
      </c>
      <c r="F2368" t="str" cm="1">
        <f t="array" ref="F2368">CategorizeComment(E2368)</f>
        <v>Other</v>
      </c>
      <c r="G2368" t="str" cm="1">
        <f t="array" ref="G2368">SubCategorizeComment(E2368)</f>
        <v>Other</v>
      </c>
    </row>
    <row r="2369" spans="1:7" x14ac:dyDescent="0.25">
      <c r="A2369">
        <v>16876</v>
      </c>
      <c r="B2369" t="s">
        <v>4</v>
      </c>
      <c r="C2369">
        <v>3</v>
      </c>
      <c r="D2369" t="s">
        <v>5</v>
      </c>
      <c r="F2369" t="str" cm="1">
        <f t="array" ref="F2369">CategorizeComment(E2369)</f>
        <v>Other</v>
      </c>
      <c r="G2369" t="str" cm="1">
        <f t="array" ref="G2369">SubCategorizeComment(E2369)</f>
        <v>Other</v>
      </c>
    </row>
    <row r="2370" spans="1:7" x14ac:dyDescent="0.25">
      <c r="A2370">
        <v>16877</v>
      </c>
      <c r="B2370" t="s">
        <v>4</v>
      </c>
      <c r="C2370">
        <v>3</v>
      </c>
      <c r="D2370" t="s">
        <v>5</v>
      </c>
      <c r="F2370" t="str" cm="1">
        <f t="array" ref="F2370">CategorizeComment(E2370)</f>
        <v>Other</v>
      </c>
      <c r="G2370" t="str" cm="1">
        <f t="array" ref="G2370">SubCategorizeComment(E2370)</f>
        <v>Other</v>
      </c>
    </row>
    <row r="2371" spans="1:7" x14ac:dyDescent="0.25">
      <c r="A2371">
        <v>16882</v>
      </c>
      <c r="B2371" t="s">
        <v>4</v>
      </c>
      <c r="C2371">
        <v>3</v>
      </c>
      <c r="D2371" t="s">
        <v>5</v>
      </c>
      <c r="F2371" t="str" cm="1">
        <f t="array" ref="F2371">CategorizeComment(E2371)</f>
        <v>Other</v>
      </c>
      <c r="G2371" t="str" cm="1">
        <f t="array" ref="G2371">SubCategorizeComment(E2371)</f>
        <v>Other</v>
      </c>
    </row>
    <row r="2372" spans="1:7" x14ac:dyDescent="0.25">
      <c r="A2372">
        <v>16911</v>
      </c>
      <c r="B2372" t="s">
        <v>4</v>
      </c>
      <c r="C2372">
        <v>3</v>
      </c>
      <c r="D2372" t="s">
        <v>5</v>
      </c>
      <c r="F2372" t="str" cm="1">
        <f t="array" ref="F2372">CategorizeComment(E2372)</f>
        <v>Other</v>
      </c>
      <c r="G2372" t="str" cm="1">
        <f t="array" ref="G2372">SubCategorizeComment(E2372)</f>
        <v>Other</v>
      </c>
    </row>
    <row r="2373" spans="1:7" x14ac:dyDescent="0.25">
      <c r="A2373">
        <v>16933</v>
      </c>
      <c r="B2373" t="s">
        <v>4</v>
      </c>
      <c r="C2373">
        <v>3</v>
      </c>
      <c r="D2373" t="s">
        <v>5</v>
      </c>
      <c r="F2373" t="str" cm="1">
        <f t="array" ref="F2373">CategorizeComment(E2373)</f>
        <v>Other</v>
      </c>
      <c r="G2373" t="str" cm="1">
        <f t="array" ref="G2373">SubCategorizeComment(E2373)</f>
        <v>Other</v>
      </c>
    </row>
    <row r="2374" spans="1:7" x14ac:dyDescent="0.25">
      <c r="A2374">
        <v>16938</v>
      </c>
      <c r="B2374" t="s">
        <v>4</v>
      </c>
      <c r="C2374">
        <v>3</v>
      </c>
      <c r="D2374" t="s">
        <v>5</v>
      </c>
      <c r="F2374" t="str" cm="1">
        <f t="array" ref="F2374">CategorizeComment(E2374)</f>
        <v>Other</v>
      </c>
      <c r="G2374" t="str" cm="1">
        <f t="array" ref="G2374">SubCategorizeComment(E2374)</f>
        <v>Other</v>
      </c>
    </row>
    <row r="2375" spans="1:7" x14ac:dyDescent="0.25">
      <c r="A2375">
        <v>16955</v>
      </c>
      <c r="B2375" t="s">
        <v>4</v>
      </c>
      <c r="C2375">
        <v>4</v>
      </c>
      <c r="D2375" t="s">
        <v>5</v>
      </c>
      <c r="F2375" t="str" cm="1">
        <f t="array" ref="F2375">CategorizeComment(E2375)</f>
        <v>Other</v>
      </c>
      <c r="G2375" t="str" cm="1">
        <f t="array" ref="G2375">SubCategorizeComment(E2375)</f>
        <v>Other</v>
      </c>
    </row>
    <row r="2376" spans="1:7" x14ac:dyDescent="0.25">
      <c r="A2376">
        <v>16960</v>
      </c>
      <c r="B2376" t="s">
        <v>4</v>
      </c>
      <c r="C2376">
        <v>3</v>
      </c>
      <c r="D2376" t="s">
        <v>5</v>
      </c>
      <c r="F2376" t="str" cm="1">
        <f t="array" ref="F2376">CategorizeComment(E2376)</f>
        <v>Other</v>
      </c>
      <c r="G2376" t="str" cm="1">
        <f t="array" ref="G2376">SubCategorizeComment(E2376)</f>
        <v>Other</v>
      </c>
    </row>
    <row r="2377" spans="1:7" x14ac:dyDescent="0.25">
      <c r="A2377">
        <v>16965</v>
      </c>
      <c r="B2377" t="s">
        <v>4</v>
      </c>
      <c r="C2377">
        <v>3</v>
      </c>
      <c r="D2377" t="s">
        <v>5</v>
      </c>
      <c r="F2377" t="str" cm="1">
        <f t="array" ref="F2377">CategorizeComment(E2377)</f>
        <v>Other</v>
      </c>
      <c r="G2377" t="str" cm="1">
        <f t="array" ref="G2377">SubCategorizeComment(E2377)</f>
        <v>Other</v>
      </c>
    </row>
    <row r="2378" spans="1:7" x14ac:dyDescent="0.25">
      <c r="A2378">
        <v>16967</v>
      </c>
      <c r="B2378" t="s">
        <v>4</v>
      </c>
      <c r="C2378">
        <v>3</v>
      </c>
      <c r="D2378" t="s">
        <v>5</v>
      </c>
      <c r="F2378" t="str" cm="1">
        <f t="array" ref="F2378">CategorizeComment(E2378)</f>
        <v>Other</v>
      </c>
      <c r="G2378" t="str" cm="1">
        <f t="array" ref="G2378">SubCategorizeComment(E2378)</f>
        <v>Other</v>
      </c>
    </row>
    <row r="2379" spans="1:7" x14ac:dyDescent="0.25">
      <c r="A2379">
        <v>16980</v>
      </c>
      <c r="B2379" t="s">
        <v>4</v>
      </c>
      <c r="C2379">
        <v>3</v>
      </c>
      <c r="D2379" t="s">
        <v>5</v>
      </c>
      <c r="F2379" t="str" cm="1">
        <f t="array" ref="F2379">CategorizeComment(E2379)</f>
        <v>Other</v>
      </c>
      <c r="G2379" t="str" cm="1">
        <f t="array" ref="G2379">SubCategorizeComment(E2379)</f>
        <v>Other</v>
      </c>
    </row>
    <row r="2380" spans="1:7" x14ac:dyDescent="0.25">
      <c r="A2380">
        <v>16982</v>
      </c>
      <c r="B2380" t="s">
        <v>4</v>
      </c>
      <c r="C2380">
        <v>4</v>
      </c>
      <c r="D2380" t="s">
        <v>5</v>
      </c>
      <c r="F2380" t="str" cm="1">
        <f t="array" ref="F2380">CategorizeComment(E2380)</f>
        <v>Other</v>
      </c>
      <c r="G2380" t="str" cm="1">
        <f t="array" ref="G2380">SubCategorizeComment(E2380)</f>
        <v>Other</v>
      </c>
    </row>
    <row r="2381" spans="1:7" x14ac:dyDescent="0.25">
      <c r="A2381">
        <v>16989</v>
      </c>
      <c r="B2381" t="s">
        <v>4</v>
      </c>
      <c r="C2381">
        <v>4</v>
      </c>
      <c r="D2381" t="s">
        <v>5</v>
      </c>
      <c r="F2381" t="str" cm="1">
        <f t="array" ref="F2381">CategorizeComment(E2381)</f>
        <v>Other</v>
      </c>
      <c r="G2381" t="str" cm="1">
        <f t="array" ref="G2381">SubCategorizeComment(E2381)</f>
        <v>Other</v>
      </c>
    </row>
    <row r="2382" spans="1:7" x14ac:dyDescent="0.25">
      <c r="A2382">
        <v>17002</v>
      </c>
      <c r="B2382" t="s">
        <v>4</v>
      </c>
      <c r="C2382">
        <v>4</v>
      </c>
      <c r="D2382" t="s">
        <v>5</v>
      </c>
      <c r="F2382" t="str" cm="1">
        <f t="array" ref="F2382">CategorizeComment(E2382)</f>
        <v>Other</v>
      </c>
      <c r="G2382" t="str" cm="1">
        <f t="array" ref="G2382">SubCategorizeComment(E2382)</f>
        <v>Other</v>
      </c>
    </row>
    <row r="2383" spans="1:7" x14ac:dyDescent="0.25">
      <c r="A2383">
        <v>17018</v>
      </c>
      <c r="B2383" t="s">
        <v>4</v>
      </c>
      <c r="C2383">
        <v>3</v>
      </c>
      <c r="D2383" t="s">
        <v>5</v>
      </c>
      <c r="F2383" t="str" cm="1">
        <f t="array" ref="F2383">CategorizeComment(E2383)</f>
        <v>Other</v>
      </c>
      <c r="G2383" t="str" cm="1">
        <f t="array" ref="G2383">SubCategorizeComment(E2383)</f>
        <v>Other</v>
      </c>
    </row>
    <row r="2384" spans="1:7" x14ac:dyDescent="0.25">
      <c r="A2384">
        <v>17019</v>
      </c>
      <c r="B2384" t="s">
        <v>4</v>
      </c>
      <c r="C2384">
        <v>3</v>
      </c>
      <c r="D2384" t="s">
        <v>5</v>
      </c>
      <c r="F2384" t="str" cm="1">
        <f t="array" ref="F2384">CategorizeComment(E2384)</f>
        <v>Other</v>
      </c>
      <c r="G2384" t="str" cm="1">
        <f t="array" ref="G2384">SubCategorizeComment(E2384)</f>
        <v>Other</v>
      </c>
    </row>
    <row r="2385" spans="1:7" x14ac:dyDescent="0.25">
      <c r="A2385">
        <v>17030</v>
      </c>
      <c r="B2385" t="s">
        <v>4</v>
      </c>
      <c r="C2385">
        <v>3</v>
      </c>
      <c r="D2385" t="s">
        <v>5</v>
      </c>
      <c r="F2385" t="str" cm="1">
        <f t="array" ref="F2385">CategorizeComment(E2385)</f>
        <v>Other</v>
      </c>
      <c r="G2385" t="str" cm="1">
        <f t="array" ref="G2385">SubCategorizeComment(E2385)</f>
        <v>Other</v>
      </c>
    </row>
    <row r="2386" spans="1:7" x14ac:dyDescent="0.25">
      <c r="A2386">
        <v>17052</v>
      </c>
      <c r="B2386" t="s">
        <v>4</v>
      </c>
      <c r="C2386">
        <v>4</v>
      </c>
      <c r="D2386" t="s">
        <v>5</v>
      </c>
      <c r="F2386" t="str" cm="1">
        <f t="array" ref="F2386">CategorizeComment(E2386)</f>
        <v>Other</v>
      </c>
      <c r="G2386" t="str" cm="1">
        <f t="array" ref="G2386">SubCategorizeComment(E2386)</f>
        <v>Other</v>
      </c>
    </row>
    <row r="2387" spans="1:7" x14ac:dyDescent="0.25">
      <c r="A2387">
        <v>17056</v>
      </c>
      <c r="B2387" t="s">
        <v>4</v>
      </c>
      <c r="C2387">
        <v>3</v>
      </c>
      <c r="D2387" t="s">
        <v>5</v>
      </c>
      <c r="F2387" t="str" cm="1">
        <f t="array" ref="F2387">CategorizeComment(E2387)</f>
        <v>Other</v>
      </c>
      <c r="G2387" t="str" cm="1">
        <f t="array" ref="G2387">SubCategorizeComment(E2387)</f>
        <v>Other</v>
      </c>
    </row>
    <row r="2388" spans="1:7" x14ac:dyDescent="0.25">
      <c r="A2388">
        <v>17058</v>
      </c>
      <c r="B2388" t="s">
        <v>4</v>
      </c>
      <c r="C2388">
        <v>4</v>
      </c>
      <c r="D2388" t="s">
        <v>5</v>
      </c>
      <c r="F2388" t="str" cm="1">
        <f t="array" ref="F2388">CategorizeComment(E2388)</f>
        <v>Other</v>
      </c>
      <c r="G2388" t="str" cm="1">
        <f t="array" ref="G2388">SubCategorizeComment(E2388)</f>
        <v>Other</v>
      </c>
    </row>
    <row r="2389" spans="1:7" x14ac:dyDescent="0.25">
      <c r="A2389">
        <v>17059</v>
      </c>
      <c r="B2389" t="s">
        <v>4</v>
      </c>
      <c r="C2389">
        <v>3</v>
      </c>
      <c r="D2389" t="s">
        <v>5</v>
      </c>
      <c r="F2389" t="str" cm="1">
        <f t="array" ref="F2389">CategorizeComment(E2389)</f>
        <v>Other</v>
      </c>
      <c r="G2389" t="str" cm="1">
        <f t="array" ref="G2389">SubCategorizeComment(E2389)</f>
        <v>Other</v>
      </c>
    </row>
    <row r="2390" spans="1:7" x14ac:dyDescent="0.25">
      <c r="A2390">
        <v>17064</v>
      </c>
      <c r="B2390" t="s">
        <v>4</v>
      </c>
      <c r="C2390">
        <v>4</v>
      </c>
      <c r="D2390" t="s">
        <v>5</v>
      </c>
      <c r="F2390" t="str" cm="1">
        <f t="array" ref="F2390">CategorizeComment(E2390)</f>
        <v>Other</v>
      </c>
      <c r="G2390" t="str" cm="1">
        <f t="array" ref="G2390">SubCategorizeComment(E2390)</f>
        <v>Other</v>
      </c>
    </row>
    <row r="2391" spans="1:7" x14ac:dyDescent="0.25">
      <c r="A2391">
        <v>17081</v>
      </c>
      <c r="B2391" t="s">
        <v>4</v>
      </c>
      <c r="C2391">
        <v>4</v>
      </c>
      <c r="D2391" t="s">
        <v>5</v>
      </c>
      <c r="F2391" t="str" cm="1">
        <f t="array" ref="F2391">CategorizeComment(E2391)</f>
        <v>Other</v>
      </c>
      <c r="G2391" t="str" cm="1">
        <f t="array" ref="G2391">SubCategorizeComment(E2391)</f>
        <v>Other</v>
      </c>
    </row>
    <row r="2392" spans="1:7" x14ac:dyDescent="0.25">
      <c r="A2392">
        <v>17094</v>
      </c>
      <c r="B2392" t="s">
        <v>4</v>
      </c>
      <c r="C2392">
        <v>4</v>
      </c>
      <c r="D2392" t="s">
        <v>5</v>
      </c>
      <c r="F2392" t="str" cm="1">
        <f t="array" ref="F2392">CategorizeComment(E2392)</f>
        <v>Other</v>
      </c>
      <c r="G2392" t="str" cm="1">
        <f t="array" ref="G2392">SubCategorizeComment(E2392)</f>
        <v>Other</v>
      </c>
    </row>
    <row r="2393" spans="1:7" x14ac:dyDescent="0.25">
      <c r="A2393">
        <v>17109</v>
      </c>
      <c r="B2393" t="s">
        <v>4</v>
      </c>
      <c r="C2393">
        <v>4</v>
      </c>
      <c r="D2393" t="s">
        <v>5</v>
      </c>
      <c r="F2393" t="str" cm="1">
        <f t="array" ref="F2393">CategorizeComment(E2393)</f>
        <v>Other</v>
      </c>
      <c r="G2393" t="str" cm="1">
        <f t="array" ref="G2393">SubCategorizeComment(E2393)</f>
        <v>Other</v>
      </c>
    </row>
    <row r="2394" spans="1:7" x14ac:dyDescent="0.25">
      <c r="A2394">
        <v>17114</v>
      </c>
      <c r="B2394" t="s">
        <v>4</v>
      </c>
      <c r="C2394">
        <v>4</v>
      </c>
      <c r="D2394" t="s">
        <v>5</v>
      </c>
      <c r="F2394" t="str" cm="1">
        <f t="array" ref="F2394">CategorizeComment(E2394)</f>
        <v>Other</v>
      </c>
      <c r="G2394" t="str" cm="1">
        <f t="array" ref="G2394">SubCategorizeComment(E2394)</f>
        <v>Other</v>
      </c>
    </row>
    <row r="2395" spans="1:7" x14ac:dyDescent="0.25">
      <c r="A2395">
        <v>17124</v>
      </c>
      <c r="B2395" t="s">
        <v>4</v>
      </c>
      <c r="C2395">
        <v>3</v>
      </c>
      <c r="D2395" t="s">
        <v>5</v>
      </c>
      <c r="F2395" t="str" cm="1">
        <f t="array" ref="F2395">CategorizeComment(E2395)</f>
        <v>Other</v>
      </c>
      <c r="G2395" t="str" cm="1">
        <f t="array" ref="G2395">SubCategorizeComment(E2395)</f>
        <v>Other</v>
      </c>
    </row>
    <row r="2396" spans="1:7" x14ac:dyDescent="0.25">
      <c r="A2396">
        <v>17154</v>
      </c>
      <c r="B2396" t="s">
        <v>4</v>
      </c>
      <c r="C2396">
        <v>3</v>
      </c>
      <c r="D2396" t="s">
        <v>5</v>
      </c>
      <c r="F2396" t="str" cm="1">
        <f t="array" ref="F2396">CategorizeComment(E2396)</f>
        <v>Other</v>
      </c>
      <c r="G2396" t="str" cm="1">
        <f t="array" ref="G2396">SubCategorizeComment(E2396)</f>
        <v>Other</v>
      </c>
    </row>
    <row r="2397" spans="1:7" x14ac:dyDescent="0.25">
      <c r="A2397">
        <v>17158</v>
      </c>
      <c r="B2397" t="s">
        <v>4</v>
      </c>
      <c r="C2397">
        <v>3</v>
      </c>
      <c r="D2397" t="s">
        <v>5</v>
      </c>
      <c r="F2397" t="str" cm="1">
        <f t="array" ref="F2397">CategorizeComment(E2397)</f>
        <v>Other</v>
      </c>
      <c r="G2397" t="str" cm="1">
        <f t="array" ref="G2397">SubCategorizeComment(E2397)</f>
        <v>Other</v>
      </c>
    </row>
    <row r="2398" spans="1:7" x14ac:dyDescent="0.25">
      <c r="A2398">
        <v>17161</v>
      </c>
      <c r="B2398" t="s">
        <v>4</v>
      </c>
      <c r="C2398">
        <v>3</v>
      </c>
      <c r="D2398" t="s">
        <v>5</v>
      </c>
      <c r="F2398" t="str" cm="1">
        <f t="array" ref="F2398">CategorizeComment(E2398)</f>
        <v>Other</v>
      </c>
      <c r="G2398" t="str" cm="1">
        <f t="array" ref="G2398">SubCategorizeComment(E2398)</f>
        <v>Other</v>
      </c>
    </row>
    <row r="2399" spans="1:7" x14ac:dyDescent="0.25">
      <c r="A2399">
        <v>17171</v>
      </c>
      <c r="B2399" t="s">
        <v>4</v>
      </c>
      <c r="C2399">
        <v>3</v>
      </c>
      <c r="D2399" t="s">
        <v>5</v>
      </c>
      <c r="F2399" t="str" cm="1">
        <f t="array" ref="F2399">CategorizeComment(E2399)</f>
        <v>Other</v>
      </c>
      <c r="G2399" t="str" cm="1">
        <f t="array" ref="G2399">SubCategorizeComment(E2399)</f>
        <v>Other</v>
      </c>
    </row>
    <row r="2400" spans="1:7" x14ac:dyDescent="0.25">
      <c r="A2400">
        <v>17177</v>
      </c>
      <c r="B2400" t="s">
        <v>4</v>
      </c>
      <c r="C2400">
        <v>3</v>
      </c>
      <c r="D2400" t="s">
        <v>5</v>
      </c>
      <c r="F2400" t="str" cm="1">
        <f t="array" ref="F2400">CategorizeComment(E2400)</f>
        <v>Other</v>
      </c>
      <c r="G2400" t="str" cm="1">
        <f t="array" ref="G2400">SubCategorizeComment(E2400)</f>
        <v>Other</v>
      </c>
    </row>
    <row r="2401" spans="1:7" x14ac:dyDescent="0.25">
      <c r="A2401">
        <v>17194</v>
      </c>
      <c r="B2401" t="s">
        <v>4</v>
      </c>
      <c r="C2401">
        <v>3</v>
      </c>
      <c r="D2401" t="s">
        <v>5</v>
      </c>
      <c r="F2401" t="str" cm="1">
        <f t="array" ref="F2401">CategorizeComment(E2401)</f>
        <v>Other</v>
      </c>
      <c r="G2401" t="str" cm="1">
        <f t="array" ref="G2401">SubCategorizeComment(E2401)</f>
        <v>Other</v>
      </c>
    </row>
    <row r="2402" spans="1:7" x14ac:dyDescent="0.25">
      <c r="A2402">
        <v>17216</v>
      </c>
      <c r="B2402" t="s">
        <v>4</v>
      </c>
      <c r="C2402">
        <v>4</v>
      </c>
      <c r="D2402" t="s">
        <v>5</v>
      </c>
      <c r="F2402" t="str" cm="1">
        <f t="array" ref="F2402">CategorizeComment(E2402)</f>
        <v>Other</v>
      </c>
      <c r="G2402" t="str" cm="1">
        <f t="array" ref="G2402">SubCategorizeComment(E2402)</f>
        <v>Other</v>
      </c>
    </row>
    <row r="2403" spans="1:7" x14ac:dyDescent="0.25">
      <c r="A2403">
        <v>17229</v>
      </c>
      <c r="B2403" t="s">
        <v>4</v>
      </c>
      <c r="C2403">
        <v>4</v>
      </c>
      <c r="D2403" t="s">
        <v>5</v>
      </c>
      <c r="F2403" t="str" cm="1">
        <f t="array" ref="F2403">CategorizeComment(E2403)</f>
        <v>Other</v>
      </c>
      <c r="G2403" t="str" cm="1">
        <f t="array" ref="G2403">SubCategorizeComment(E2403)</f>
        <v>Other</v>
      </c>
    </row>
    <row r="2404" spans="1:7" x14ac:dyDescent="0.25">
      <c r="A2404">
        <v>17232</v>
      </c>
      <c r="B2404" t="s">
        <v>4</v>
      </c>
      <c r="C2404">
        <v>3</v>
      </c>
      <c r="D2404" t="s">
        <v>5</v>
      </c>
      <c r="F2404" t="str" cm="1">
        <f t="array" ref="F2404">CategorizeComment(E2404)</f>
        <v>Other</v>
      </c>
      <c r="G2404" t="str" cm="1">
        <f t="array" ref="G2404">SubCategorizeComment(E2404)</f>
        <v>Other</v>
      </c>
    </row>
    <row r="2405" spans="1:7" x14ac:dyDescent="0.25">
      <c r="A2405">
        <v>17236</v>
      </c>
      <c r="B2405" t="s">
        <v>4</v>
      </c>
      <c r="C2405">
        <v>4</v>
      </c>
      <c r="D2405" t="s">
        <v>5</v>
      </c>
      <c r="F2405" t="str" cm="1">
        <f t="array" ref="F2405">CategorizeComment(E2405)</f>
        <v>Other</v>
      </c>
      <c r="G2405" t="str" cm="1">
        <f t="array" ref="G2405">SubCategorizeComment(E2405)</f>
        <v>Other</v>
      </c>
    </row>
    <row r="2406" spans="1:7" x14ac:dyDescent="0.25">
      <c r="A2406">
        <v>17239</v>
      </c>
      <c r="B2406" t="s">
        <v>4</v>
      </c>
      <c r="C2406">
        <v>3</v>
      </c>
      <c r="D2406" t="s">
        <v>5</v>
      </c>
      <c r="F2406" t="str" cm="1">
        <f t="array" ref="F2406">CategorizeComment(E2406)</f>
        <v>Other</v>
      </c>
      <c r="G2406" t="str" cm="1">
        <f t="array" ref="G2406">SubCategorizeComment(E2406)</f>
        <v>Other</v>
      </c>
    </row>
    <row r="2407" spans="1:7" x14ac:dyDescent="0.25">
      <c r="A2407">
        <v>17252</v>
      </c>
      <c r="B2407" t="s">
        <v>4</v>
      </c>
      <c r="C2407">
        <v>3</v>
      </c>
      <c r="D2407" t="s">
        <v>5</v>
      </c>
      <c r="F2407" t="str" cm="1">
        <f t="array" ref="F2407">CategorizeComment(E2407)</f>
        <v>Other</v>
      </c>
      <c r="G2407" t="str" cm="1">
        <f t="array" ref="G2407">SubCategorizeComment(E2407)</f>
        <v>Other</v>
      </c>
    </row>
    <row r="2408" spans="1:7" x14ac:dyDescent="0.25">
      <c r="A2408">
        <v>17259</v>
      </c>
      <c r="B2408" t="s">
        <v>4</v>
      </c>
      <c r="C2408">
        <v>4</v>
      </c>
      <c r="D2408" t="s">
        <v>5</v>
      </c>
      <c r="F2408" t="str" cm="1">
        <f t="array" ref="F2408">CategorizeComment(E2408)</f>
        <v>Other</v>
      </c>
      <c r="G2408" t="str" cm="1">
        <f t="array" ref="G2408">SubCategorizeComment(E2408)</f>
        <v>Other</v>
      </c>
    </row>
    <row r="2409" spans="1:7" x14ac:dyDescent="0.25">
      <c r="A2409">
        <v>17269</v>
      </c>
      <c r="B2409" t="s">
        <v>4</v>
      </c>
      <c r="C2409">
        <v>4</v>
      </c>
      <c r="D2409" t="s">
        <v>5</v>
      </c>
      <c r="F2409" t="str" cm="1">
        <f t="array" ref="F2409">CategorizeComment(E2409)</f>
        <v>Other</v>
      </c>
      <c r="G2409" t="str" cm="1">
        <f t="array" ref="G2409">SubCategorizeComment(E2409)</f>
        <v>Other</v>
      </c>
    </row>
    <row r="2410" spans="1:7" x14ac:dyDescent="0.25">
      <c r="A2410">
        <v>17285</v>
      </c>
      <c r="B2410" t="s">
        <v>4</v>
      </c>
      <c r="C2410">
        <v>3</v>
      </c>
      <c r="D2410" t="s">
        <v>5</v>
      </c>
      <c r="F2410" t="str" cm="1">
        <f t="array" ref="F2410">CategorizeComment(E2410)</f>
        <v>Other</v>
      </c>
      <c r="G2410" t="str" cm="1">
        <f t="array" ref="G2410">SubCategorizeComment(E2410)</f>
        <v>Other</v>
      </c>
    </row>
    <row r="2411" spans="1:7" x14ac:dyDescent="0.25">
      <c r="A2411">
        <v>17286</v>
      </c>
      <c r="B2411" t="s">
        <v>4</v>
      </c>
      <c r="C2411">
        <v>4</v>
      </c>
      <c r="D2411" t="s">
        <v>5</v>
      </c>
      <c r="F2411" t="str" cm="1">
        <f t="array" ref="F2411">CategorizeComment(E2411)</f>
        <v>Other</v>
      </c>
      <c r="G2411" t="str" cm="1">
        <f t="array" ref="G2411">SubCategorizeComment(E2411)</f>
        <v>Other</v>
      </c>
    </row>
    <row r="2412" spans="1:7" x14ac:dyDescent="0.25">
      <c r="A2412">
        <v>17309</v>
      </c>
      <c r="B2412" t="s">
        <v>4</v>
      </c>
      <c r="C2412">
        <v>3</v>
      </c>
      <c r="D2412" t="s">
        <v>5</v>
      </c>
      <c r="F2412" t="str" cm="1">
        <f t="array" ref="F2412">CategorizeComment(E2412)</f>
        <v>Other</v>
      </c>
      <c r="G2412" t="str" cm="1">
        <f t="array" ref="G2412">SubCategorizeComment(E2412)</f>
        <v>Other</v>
      </c>
    </row>
    <row r="2413" spans="1:7" x14ac:dyDescent="0.25">
      <c r="A2413">
        <v>17326</v>
      </c>
      <c r="B2413" t="s">
        <v>4</v>
      </c>
      <c r="C2413">
        <v>4</v>
      </c>
      <c r="D2413" t="s">
        <v>5</v>
      </c>
      <c r="F2413" t="str" cm="1">
        <f t="array" ref="F2413">CategorizeComment(E2413)</f>
        <v>Other</v>
      </c>
      <c r="G2413" t="str" cm="1">
        <f t="array" ref="G2413">SubCategorizeComment(E2413)</f>
        <v>Other</v>
      </c>
    </row>
    <row r="2414" spans="1:7" x14ac:dyDescent="0.25">
      <c r="A2414">
        <v>17336</v>
      </c>
      <c r="B2414" t="s">
        <v>4</v>
      </c>
      <c r="C2414">
        <v>3</v>
      </c>
      <c r="D2414" t="s">
        <v>5</v>
      </c>
      <c r="F2414" t="str" cm="1">
        <f t="array" ref="F2414">CategorizeComment(E2414)</f>
        <v>Other</v>
      </c>
      <c r="G2414" t="str" cm="1">
        <f t="array" ref="G2414">SubCategorizeComment(E2414)</f>
        <v>Other</v>
      </c>
    </row>
    <row r="2415" spans="1:7" x14ac:dyDescent="0.25">
      <c r="A2415">
        <v>17347</v>
      </c>
      <c r="B2415" t="s">
        <v>4</v>
      </c>
      <c r="C2415">
        <v>4</v>
      </c>
      <c r="D2415" t="s">
        <v>5</v>
      </c>
      <c r="F2415" t="str" cm="1">
        <f t="array" ref="F2415">CategorizeComment(E2415)</f>
        <v>Other</v>
      </c>
      <c r="G2415" t="str" cm="1">
        <f t="array" ref="G2415">SubCategorizeComment(E2415)</f>
        <v>Other</v>
      </c>
    </row>
    <row r="2416" spans="1:7" x14ac:dyDescent="0.25">
      <c r="A2416">
        <v>17348</v>
      </c>
      <c r="B2416" t="s">
        <v>4</v>
      </c>
      <c r="C2416">
        <v>4</v>
      </c>
      <c r="D2416" t="s">
        <v>5</v>
      </c>
      <c r="F2416" t="str" cm="1">
        <f t="array" ref="F2416">CategorizeComment(E2416)</f>
        <v>Other</v>
      </c>
      <c r="G2416" t="str" cm="1">
        <f t="array" ref="G2416">SubCategorizeComment(E2416)</f>
        <v>Other</v>
      </c>
    </row>
    <row r="2417" spans="1:7" x14ac:dyDescent="0.25">
      <c r="A2417">
        <v>17353</v>
      </c>
      <c r="B2417" t="s">
        <v>4</v>
      </c>
      <c r="C2417">
        <v>4</v>
      </c>
      <c r="D2417" t="s">
        <v>5</v>
      </c>
      <c r="F2417" t="str" cm="1">
        <f t="array" ref="F2417">CategorizeComment(E2417)</f>
        <v>Other</v>
      </c>
      <c r="G2417" t="str" cm="1">
        <f t="array" ref="G2417">SubCategorizeComment(E2417)</f>
        <v>Other</v>
      </c>
    </row>
    <row r="2418" spans="1:7" x14ac:dyDescent="0.25">
      <c r="A2418">
        <v>17356</v>
      </c>
      <c r="B2418" t="s">
        <v>4</v>
      </c>
      <c r="C2418">
        <v>3</v>
      </c>
      <c r="D2418" t="s">
        <v>5</v>
      </c>
      <c r="F2418" t="str" cm="1">
        <f t="array" ref="F2418">CategorizeComment(E2418)</f>
        <v>Other</v>
      </c>
      <c r="G2418" t="str" cm="1">
        <f t="array" ref="G2418">SubCategorizeComment(E2418)</f>
        <v>Other</v>
      </c>
    </row>
    <row r="2419" spans="1:7" x14ac:dyDescent="0.25">
      <c r="A2419">
        <v>17372</v>
      </c>
      <c r="B2419" t="s">
        <v>4</v>
      </c>
      <c r="C2419">
        <v>4</v>
      </c>
      <c r="D2419" t="s">
        <v>5</v>
      </c>
      <c r="F2419" t="str" cm="1">
        <f t="array" ref="F2419">CategorizeComment(E2419)</f>
        <v>Other</v>
      </c>
      <c r="G2419" t="str" cm="1">
        <f t="array" ref="G2419">SubCategorizeComment(E2419)</f>
        <v>Other</v>
      </c>
    </row>
    <row r="2420" spans="1:7" x14ac:dyDescent="0.25">
      <c r="A2420">
        <v>17375</v>
      </c>
      <c r="B2420" t="s">
        <v>4</v>
      </c>
      <c r="C2420">
        <v>4</v>
      </c>
      <c r="D2420" t="s">
        <v>5</v>
      </c>
      <c r="F2420" t="str" cm="1">
        <f t="array" ref="F2420">CategorizeComment(E2420)</f>
        <v>Other</v>
      </c>
      <c r="G2420" t="str" cm="1">
        <f t="array" ref="G2420">SubCategorizeComment(E2420)</f>
        <v>Other</v>
      </c>
    </row>
    <row r="2421" spans="1:7" x14ac:dyDescent="0.25">
      <c r="A2421">
        <v>17400</v>
      </c>
      <c r="B2421" t="s">
        <v>4</v>
      </c>
      <c r="C2421">
        <v>4</v>
      </c>
      <c r="D2421" t="s">
        <v>5</v>
      </c>
      <c r="F2421" t="str" cm="1">
        <f t="array" ref="F2421">CategorizeComment(E2421)</f>
        <v>Other</v>
      </c>
      <c r="G2421" t="str" cm="1">
        <f t="array" ref="G2421">SubCategorizeComment(E2421)</f>
        <v>Other</v>
      </c>
    </row>
    <row r="2422" spans="1:7" x14ac:dyDescent="0.25">
      <c r="A2422">
        <v>17401</v>
      </c>
      <c r="B2422" t="s">
        <v>4</v>
      </c>
      <c r="C2422">
        <v>3</v>
      </c>
      <c r="D2422" t="s">
        <v>5</v>
      </c>
      <c r="F2422" t="str" cm="1">
        <f t="array" ref="F2422">CategorizeComment(E2422)</f>
        <v>Other</v>
      </c>
      <c r="G2422" t="str" cm="1">
        <f t="array" ref="G2422">SubCategorizeComment(E2422)</f>
        <v>Other</v>
      </c>
    </row>
    <row r="2423" spans="1:7" x14ac:dyDescent="0.25">
      <c r="A2423">
        <v>17403</v>
      </c>
      <c r="B2423" t="s">
        <v>4</v>
      </c>
      <c r="C2423">
        <v>3</v>
      </c>
      <c r="D2423" t="s">
        <v>5</v>
      </c>
      <c r="F2423" t="str" cm="1">
        <f t="array" ref="F2423">CategorizeComment(E2423)</f>
        <v>Other</v>
      </c>
      <c r="G2423" t="str" cm="1">
        <f t="array" ref="G2423">SubCategorizeComment(E2423)</f>
        <v>Other</v>
      </c>
    </row>
    <row r="2424" spans="1:7" x14ac:dyDescent="0.25">
      <c r="A2424">
        <v>17412</v>
      </c>
      <c r="B2424" t="s">
        <v>4</v>
      </c>
      <c r="C2424">
        <v>4</v>
      </c>
      <c r="D2424" t="s">
        <v>5</v>
      </c>
      <c r="F2424" t="str" cm="1">
        <f t="array" ref="F2424">CategorizeComment(E2424)</f>
        <v>Other</v>
      </c>
      <c r="G2424" t="str" cm="1">
        <f t="array" ref="G2424">SubCategorizeComment(E2424)</f>
        <v>Other</v>
      </c>
    </row>
    <row r="2425" spans="1:7" x14ac:dyDescent="0.25">
      <c r="A2425">
        <v>17417</v>
      </c>
      <c r="B2425" t="s">
        <v>4</v>
      </c>
      <c r="C2425">
        <v>3</v>
      </c>
      <c r="D2425" t="s">
        <v>5</v>
      </c>
      <c r="F2425" t="str" cm="1">
        <f t="array" ref="F2425">CategorizeComment(E2425)</f>
        <v>Other</v>
      </c>
      <c r="G2425" t="str" cm="1">
        <f t="array" ref="G2425">SubCategorizeComment(E2425)</f>
        <v>Other</v>
      </c>
    </row>
    <row r="2426" spans="1:7" x14ac:dyDescent="0.25">
      <c r="A2426">
        <v>17421</v>
      </c>
      <c r="B2426" t="s">
        <v>4</v>
      </c>
      <c r="C2426">
        <v>3</v>
      </c>
      <c r="D2426" t="s">
        <v>5</v>
      </c>
      <c r="F2426" t="str" cm="1">
        <f t="array" ref="F2426">CategorizeComment(E2426)</f>
        <v>Other</v>
      </c>
      <c r="G2426" t="str" cm="1">
        <f t="array" ref="G2426">SubCategorizeComment(E2426)</f>
        <v>Other</v>
      </c>
    </row>
    <row r="2427" spans="1:7" x14ac:dyDescent="0.25">
      <c r="A2427">
        <v>17425</v>
      </c>
      <c r="B2427" t="s">
        <v>4</v>
      </c>
      <c r="C2427">
        <v>4</v>
      </c>
      <c r="D2427" t="s">
        <v>5</v>
      </c>
      <c r="F2427" t="str" cm="1">
        <f t="array" ref="F2427">CategorizeComment(E2427)</f>
        <v>Other</v>
      </c>
      <c r="G2427" t="str" cm="1">
        <f t="array" ref="G2427">SubCategorizeComment(E2427)</f>
        <v>Other</v>
      </c>
    </row>
    <row r="2428" spans="1:7" x14ac:dyDescent="0.25">
      <c r="A2428">
        <v>17442</v>
      </c>
      <c r="B2428" t="s">
        <v>4</v>
      </c>
      <c r="C2428">
        <v>3</v>
      </c>
      <c r="D2428" t="s">
        <v>5</v>
      </c>
      <c r="F2428" t="str" cm="1">
        <f t="array" ref="F2428">CategorizeComment(E2428)</f>
        <v>Other</v>
      </c>
      <c r="G2428" t="str" cm="1">
        <f t="array" ref="G2428">SubCategorizeComment(E2428)</f>
        <v>Other</v>
      </c>
    </row>
    <row r="2429" spans="1:7" x14ac:dyDescent="0.25">
      <c r="A2429">
        <v>17461</v>
      </c>
      <c r="B2429" t="s">
        <v>4</v>
      </c>
      <c r="C2429">
        <v>4</v>
      </c>
      <c r="D2429" t="s">
        <v>5</v>
      </c>
      <c r="F2429" t="str" cm="1">
        <f t="array" ref="F2429">CategorizeComment(E2429)</f>
        <v>Other</v>
      </c>
      <c r="G2429" t="str" cm="1">
        <f t="array" ref="G2429">SubCategorizeComment(E2429)</f>
        <v>Other</v>
      </c>
    </row>
    <row r="2430" spans="1:7" x14ac:dyDescent="0.25">
      <c r="A2430">
        <v>17463</v>
      </c>
      <c r="B2430" t="s">
        <v>4</v>
      </c>
      <c r="C2430">
        <v>4</v>
      </c>
      <c r="D2430" t="s">
        <v>5</v>
      </c>
      <c r="F2430" t="str" cm="1">
        <f t="array" ref="F2430">CategorizeComment(E2430)</f>
        <v>Other</v>
      </c>
      <c r="G2430" t="str" cm="1">
        <f t="array" ref="G2430">SubCategorizeComment(E2430)</f>
        <v>Other</v>
      </c>
    </row>
    <row r="2431" spans="1:7" x14ac:dyDescent="0.25">
      <c r="A2431">
        <v>17469</v>
      </c>
      <c r="B2431" t="s">
        <v>4</v>
      </c>
      <c r="C2431">
        <v>4</v>
      </c>
      <c r="D2431" t="s">
        <v>5</v>
      </c>
      <c r="F2431" t="str" cm="1">
        <f t="array" ref="F2431">CategorizeComment(E2431)</f>
        <v>Other</v>
      </c>
      <c r="G2431" t="str" cm="1">
        <f t="array" ref="G2431">SubCategorizeComment(E2431)</f>
        <v>Other</v>
      </c>
    </row>
    <row r="2432" spans="1:7" x14ac:dyDescent="0.25">
      <c r="A2432">
        <v>17492</v>
      </c>
      <c r="B2432" t="s">
        <v>4</v>
      </c>
      <c r="C2432">
        <v>4</v>
      </c>
      <c r="D2432" t="s">
        <v>5</v>
      </c>
      <c r="F2432" t="str" cm="1">
        <f t="array" ref="F2432">CategorizeComment(E2432)</f>
        <v>Other</v>
      </c>
      <c r="G2432" t="str" cm="1">
        <f t="array" ref="G2432">SubCategorizeComment(E2432)</f>
        <v>Other</v>
      </c>
    </row>
    <row r="2433" spans="1:7" x14ac:dyDescent="0.25">
      <c r="A2433">
        <v>17493</v>
      </c>
      <c r="B2433" t="s">
        <v>4</v>
      </c>
      <c r="C2433">
        <v>4</v>
      </c>
      <c r="D2433" t="s">
        <v>5</v>
      </c>
      <c r="F2433" t="str" cm="1">
        <f t="array" ref="F2433">CategorizeComment(E2433)</f>
        <v>Other</v>
      </c>
      <c r="G2433" t="str" cm="1">
        <f t="array" ref="G2433">SubCategorizeComment(E2433)</f>
        <v>Other</v>
      </c>
    </row>
    <row r="2434" spans="1:7" x14ac:dyDescent="0.25">
      <c r="A2434">
        <v>17501</v>
      </c>
      <c r="B2434" t="s">
        <v>4</v>
      </c>
      <c r="C2434">
        <v>4</v>
      </c>
      <c r="D2434" t="s">
        <v>5</v>
      </c>
      <c r="F2434" t="str" cm="1">
        <f t="array" ref="F2434">CategorizeComment(E2434)</f>
        <v>Other</v>
      </c>
      <c r="G2434" t="str" cm="1">
        <f t="array" ref="G2434">SubCategorizeComment(E2434)</f>
        <v>Other</v>
      </c>
    </row>
    <row r="2435" spans="1:7" x14ac:dyDescent="0.25">
      <c r="A2435">
        <v>17502</v>
      </c>
      <c r="B2435" t="s">
        <v>4</v>
      </c>
      <c r="C2435">
        <v>4</v>
      </c>
      <c r="D2435" t="s">
        <v>5</v>
      </c>
      <c r="F2435" t="str" cm="1">
        <f t="array" ref="F2435">CategorizeComment(E2435)</f>
        <v>Other</v>
      </c>
      <c r="G2435" t="str" cm="1">
        <f t="array" ref="G2435">SubCategorizeComment(E2435)</f>
        <v>Other</v>
      </c>
    </row>
    <row r="2436" spans="1:7" x14ac:dyDescent="0.25">
      <c r="A2436">
        <v>17507</v>
      </c>
      <c r="B2436" t="s">
        <v>4</v>
      </c>
      <c r="C2436">
        <v>4</v>
      </c>
      <c r="D2436" t="s">
        <v>5</v>
      </c>
      <c r="F2436" t="str" cm="1">
        <f t="array" ref="F2436">CategorizeComment(E2436)</f>
        <v>Other</v>
      </c>
      <c r="G2436" t="str" cm="1">
        <f t="array" ref="G2436">SubCategorizeComment(E2436)</f>
        <v>Other</v>
      </c>
    </row>
    <row r="2437" spans="1:7" x14ac:dyDescent="0.25">
      <c r="A2437">
        <v>17514</v>
      </c>
      <c r="B2437" t="s">
        <v>4</v>
      </c>
      <c r="C2437">
        <v>3</v>
      </c>
      <c r="D2437" t="s">
        <v>5</v>
      </c>
      <c r="F2437" t="str" cm="1">
        <f t="array" ref="F2437">CategorizeComment(E2437)</f>
        <v>Other</v>
      </c>
      <c r="G2437" t="str" cm="1">
        <f t="array" ref="G2437">SubCategorizeComment(E2437)</f>
        <v>Other</v>
      </c>
    </row>
    <row r="2438" spans="1:7" x14ac:dyDescent="0.25">
      <c r="A2438">
        <v>17515</v>
      </c>
      <c r="B2438" t="s">
        <v>4</v>
      </c>
      <c r="C2438">
        <v>3</v>
      </c>
      <c r="D2438" t="s">
        <v>5</v>
      </c>
      <c r="F2438" t="str" cm="1">
        <f t="array" ref="F2438">CategorizeComment(E2438)</f>
        <v>Other</v>
      </c>
      <c r="G2438" t="str" cm="1">
        <f t="array" ref="G2438">SubCategorizeComment(E2438)</f>
        <v>Other</v>
      </c>
    </row>
    <row r="2439" spans="1:7" x14ac:dyDescent="0.25">
      <c r="A2439">
        <v>17533</v>
      </c>
      <c r="B2439" t="s">
        <v>4</v>
      </c>
      <c r="C2439">
        <v>3</v>
      </c>
      <c r="D2439" t="s">
        <v>5</v>
      </c>
      <c r="F2439" t="str" cm="1">
        <f t="array" ref="F2439">CategorizeComment(E2439)</f>
        <v>Other</v>
      </c>
      <c r="G2439" t="str" cm="1">
        <f t="array" ref="G2439">SubCategorizeComment(E2439)</f>
        <v>Other</v>
      </c>
    </row>
    <row r="2440" spans="1:7" x14ac:dyDescent="0.25">
      <c r="A2440">
        <v>17535</v>
      </c>
      <c r="B2440" t="s">
        <v>4</v>
      </c>
      <c r="C2440">
        <v>3</v>
      </c>
      <c r="D2440" t="s">
        <v>5</v>
      </c>
      <c r="F2440" t="str" cm="1">
        <f t="array" ref="F2440">CategorizeComment(E2440)</f>
        <v>Other</v>
      </c>
      <c r="G2440" t="str" cm="1">
        <f t="array" ref="G2440">SubCategorizeComment(E2440)</f>
        <v>Other</v>
      </c>
    </row>
    <row r="2441" spans="1:7" x14ac:dyDescent="0.25">
      <c r="A2441">
        <v>17536</v>
      </c>
      <c r="B2441" t="s">
        <v>4</v>
      </c>
      <c r="C2441">
        <v>4</v>
      </c>
      <c r="D2441" t="s">
        <v>5</v>
      </c>
      <c r="F2441" t="str" cm="1">
        <f t="array" ref="F2441">CategorizeComment(E2441)</f>
        <v>Other</v>
      </c>
      <c r="G2441" t="str" cm="1">
        <f t="array" ref="G2441">SubCategorizeComment(E2441)</f>
        <v>Other</v>
      </c>
    </row>
    <row r="2442" spans="1:7" x14ac:dyDescent="0.25">
      <c r="A2442">
        <v>17538</v>
      </c>
      <c r="B2442" t="s">
        <v>4</v>
      </c>
      <c r="C2442">
        <v>3</v>
      </c>
      <c r="D2442" t="s">
        <v>5</v>
      </c>
      <c r="F2442" t="str" cm="1">
        <f t="array" ref="F2442">CategorizeComment(E2442)</f>
        <v>Other</v>
      </c>
      <c r="G2442" t="str" cm="1">
        <f t="array" ref="G2442">SubCategorizeComment(E2442)</f>
        <v>Other</v>
      </c>
    </row>
    <row r="2443" spans="1:7" x14ac:dyDescent="0.25">
      <c r="A2443">
        <v>17541</v>
      </c>
      <c r="B2443" t="s">
        <v>4</v>
      </c>
      <c r="C2443">
        <v>4</v>
      </c>
      <c r="D2443" t="s">
        <v>5</v>
      </c>
      <c r="F2443" t="str" cm="1">
        <f t="array" ref="F2443">CategorizeComment(E2443)</f>
        <v>Other</v>
      </c>
      <c r="G2443" t="str" cm="1">
        <f t="array" ref="G2443">SubCategorizeComment(E2443)</f>
        <v>Other</v>
      </c>
    </row>
    <row r="2444" spans="1:7" x14ac:dyDescent="0.25">
      <c r="A2444">
        <v>17543</v>
      </c>
      <c r="B2444" t="s">
        <v>4</v>
      </c>
      <c r="C2444">
        <v>4</v>
      </c>
      <c r="D2444" t="s">
        <v>5</v>
      </c>
      <c r="F2444" t="str" cm="1">
        <f t="array" ref="F2444">CategorizeComment(E2444)</f>
        <v>Other</v>
      </c>
      <c r="G2444" t="str" cm="1">
        <f t="array" ref="G2444">SubCategorizeComment(E2444)</f>
        <v>Other</v>
      </c>
    </row>
    <row r="2445" spans="1:7" x14ac:dyDescent="0.25">
      <c r="A2445">
        <v>17546</v>
      </c>
      <c r="B2445" t="s">
        <v>4</v>
      </c>
      <c r="C2445">
        <v>4</v>
      </c>
      <c r="D2445" t="s">
        <v>5</v>
      </c>
      <c r="F2445" t="str" cm="1">
        <f t="array" ref="F2445">CategorizeComment(E2445)</f>
        <v>Other</v>
      </c>
      <c r="G2445" t="str" cm="1">
        <f t="array" ref="G2445">SubCategorizeComment(E2445)</f>
        <v>Other</v>
      </c>
    </row>
    <row r="2446" spans="1:7" x14ac:dyDescent="0.25">
      <c r="A2446">
        <v>17548</v>
      </c>
      <c r="B2446" t="s">
        <v>4</v>
      </c>
      <c r="C2446">
        <v>4</v>
      </c>
      <c r="D2446" t="s">
        <v>5</v>
      </c>
      <c r="F2446" t="str" cm="1">
        <f t="array" ref="F2446">CategorizeComment(E2446)</f>
        <v>Other</v>
      </c>
      <c r="G2446" t="str" cm="1">
        <f t="array" ref="G2446">SubCategorizeComment(E2446)</f>
        <v>Other</v>
      </c>
    </row>
    <row r="2447" spans="1:7" x14ac:dyDescent="0.25">
      <c r="A2447">
        <v>17551</v>
      </c>
      <c r="B2447" t="s">
        <v>4</v>
      </c>
      <c r="C2447">
        <v>3</v>
      </c>
      <c r="D2447" t="s">
        <v>5</v>
      </c>
      <c r="F2447" t="str" cm="1">
        <f t="array" ref="F2447">CategorizeComment(E2447)</f>
        <v>Other</v>
      </c>
      <c r="G2447" t="str" cm="1">
        <f t="array" ref="G2447">SubCategorizeComment(E2447)</f>
        <v>Other</v>
      </c>
    </row>
    <row r="2448" spans="1:7" x14ac:dyDescent="0.25">
      <c r="A2448">
        <v>17555</v>
      </c>
      <c r="B2448" t="s">
        <v>4</v>
      </c>
      <c r="C2448">
        <v>3</v>
      </c>
      <c r="D2448" t="s">
        <v>5</v>
      </c>
      <c r="F2448" t="str" cm="1">
        <f t="array" ref="F2448">CategorizeComment(E2448)</f>
        <v>Other</v>
      </c>
      <c r="G2448" t="str" cm="1">
        <f t="array" ref="G2448">SubCategorizeComment(E2448)</f>
        <v>Other</v>
      </c>
    </row>
    <row r="2449" spans="1:7" x14ac:dyDescent="0.25">
      <c r="A2449">
        <v>17566</v>
      </c>
      <c r="B2449" t="s">
        <v>4</v>
      </c>
      <c r="C2449">
        <v>4</v>
      </c>
      <c r="D2449" t="s">
        <v>5</v>
      </c>
      <c r="F2449" t="str" cm="1">
        <f t="array" ref="F2449">CategorizeComment(E2449)</f>
        <v>Other</v>
      </c>
      <c r="G2449" t="str" cm="1">
        <f t="array" ref="G2449">SubCategorizeComment(E2449)</f>
        <v>Other</v>
      </c>
    </row>
    <row r="2450" spans="1:7" x14ac:dyDescent="0.25">
      <c r="A2450">
        <v>17569</v>
      </c>
      <c r="B2450" t="s">
        <v>4</v>
      </c>
      <c r="C2450">
        <v>4</v>
      </c>
      <c r="D2450" t="s">
        <v>5</v>
      </c>
      <c r="F2450" t="str" cm="1">
        <f t="array" ref="F2450">CategorizeComment(E2450)</f>
        <v>Other</v>
      </c>
      <c r="G2450" t="str" cm="1">
        <f t="array" ref="G2450">SubCategorizeComment(E2450)</f>
        <v>Other</v>
      </c>
    </row>
    <row r="2451" spans="1:7" x14ac:dyDescent="0.25">
      <c r="A2451">
        <v>17571</v>
      </c>
      <c r="B2451" t="s">
        <v>4</v>
      </c>
      <c r="C2451">
        <v>3</v>
      </c>
      <c r="D2451" t="s">
        <v>5</v>
      </c>
      <c r="F2451" t="str" cm="1">
        <f t="array" ref="F2451">CategorizeComment(E2451)</f>
        <v>Other</v>
      </c>
      <c r="G2451" t="str" cm="1">
        <f t="array" ref="G2451">SubCategorizeComment(E2451)</f>
        <v>Other</v>
      </c>
    </row>
    <row r="2452" spans="1:7" x14ac:dyDescent="0.25">
      <c r="A2452">
        <v>17572</v>
      </c>
      <c r="B2452" t="s">
        <v>4</v>
      </c>
      <c r="C2452">
        <v>3</v>
      </c>
      <c r="D2452" t="s">
        <v>5</v>
      </c>
      <c r="F2452" t="str" cm="1">
        <f t="array" ref="F2452">CategorizeComment(E2452)</f>
        <v>Other</v>
      </c>
      <c r="G2452" t="str" cm="1">
        <f t="array" ref="G2452">SubCategorizeComment(E2452)</f>
        <v>Other</v>
      </c>
    </row>
    <row r="2453" spans="1:7" x14ac:dyDescent="0.25">
      <c r="A2453">
        <v>17574</v>
      </c>
      <c r="B2453" t="s">
        <v>4</v>
      </c>
      <c r="C2453">
        <v>4</v>
      </c>
      <c r="D2453" t="s">
        <v>5</v>
      </c>
      <c r="F2453" t="str" cm="1">
        <f t="array" ref="F2453">CategorizeComment(E2453)</f>
        <v>Other</v>
      </c>
      <c r="G2453" t="str" cm="1">
        <f t="array" ref="G2453">SubCategorizeComment(E2453)</f>
        <v>Other</v>
      </c>
    </row>
    <row r="2454" spans="1:7" x14ac:dyDescent="0.25">
      <c r="A2454">
        <v>17589</v>
      </c>
      <c r="B2454" t="s">
        <v>4</v>
      </c>
      <c r="C2454">
        <v>3</v>
      </c>
      <c r="D2454" t="s">
        <v>5</v>
      </c>
      <c r="F2454" t="str" cm="1">
        <f t="array" ref="F2454">CategorizeComment(E2454)</f>
        <v>Other</v>
      </c>
      <c r="G2454" t="str" cm="1">
        <f t="array" ref="G2454">SubCategorizeComment(E2454)</f>
        <v>Other</v>
      </c>
    </row>
    <row r="2455" spans="1:7" x14ac:dyDescent="0.25">
      <c r="A2455">
        <v>17595</v>
      </c>
      <c r="B2455" t="s">
        <v>4</v>
      </c>
      <c r="C2455">
        <v>4</v>
      </c>
      <c r="D2455" t="s">
        <v>5</v>
      </c>
      <c r="F2455" t="str" cm="1">
        <f t="array" ref="F2455">CategorizeComment(E2455)</f>
        <v>Other</v>
      </c>
      <c r="G2455" t="str" cm="1">
        <f t="array" ref="G2455">SubCategorizeComment(E2455)</f>
        <v>Other</v>
      </c>
    </row>
    <row r="2456" spans="1:7" x14ac:dyDescent="0.25">
      <c r="A2456">
        <v>17597</v>
      </c>
      <c r="B2456" t="s">
        <v>4</v>
      </c>
      <c r="C2456">
        <v>3</v>
      </c>
      <c r="D2456" t="s">
        <v>5</v>
      </c>
      <c r="F2456" t="str" cm="1">
        <f t="array" ref="F2456">CategorizeComment(E2456)</f>
        <v>Other</v>
      </c>
      <c r="G2456" t="str" cm="1">
        <f t="array" ref="G2456">SubCategorizeComment(E2456)</f>
        <v>Other</v>
      </c>
    </row>
    <row r="2457" spans="1:7" x14ac:dyDescent="0.25">
      <c r="A2457">
        <v>17599</v>
      </c>
      <c r="B2457" t="s">
        <v>4</v>
      </c>
      <c r="C2457">
        <v>3</v>
      </c>
      <c r="D2457" t="s">
        <v>5</v>
      </c>
      <c r="F2457" t="str" cm="1">
        <f t="array" ref="F2457">CategorizeComment(E2457)</f>
        <v>Other</v>
      </c>
      <c r="G2457" t="str" cm="1">
        <f t="array" ref="G2457">SubCategorizeComment(E2457)</f>
        <v>Other</v>
      </c>
    </row>
    <row r="2458" spans="1:7" x14ac:dyDescent="0.25">
      <c r="A2458">
        <v>17607</v>
      </c>
      <c r="B2458" t="s">
        <v>4</v>
      </c>
      <c r="C2458">
        <v>3</v>
      </c>
      <c r="D2458" t="s">
        <v>5</v>
      </c>
      <c r="F2458" t="str" cm="1">
        <f t="array" ref="F2458">CategorizeComment(E2458)</f>
        <v>Other</v>
      </c>
      <c r="G2458" t="str" cm="1">
        <f t="array" ref="G2458">SubCategorizeComment(E2458)</f>
        <v>Other</v>
      </c>
    </row>
    <row r="2459" spans="1:7" x14ac:dyDescent="0.25">
      <c r="A2459">
        <v>17608</v>
      </c>
      <c r="B2459" t="s">
        <v>4</v>
      </c>
      <c r="C2459">
        <v>3</v>
      </c>
      <c r="D2459" t="s">
        <v>5</v>
      </c>
      <c r="F2459" t="str" cm="1">
        <f t="array" ref="F2459">CategorizeComment(E2459)</f>
        <v>Other</v>
      </c>
      <c r="G2459" t="str" cm="1">
        <f t="array" ref="G2459">SubCategorizeComment(E2459)</f>
        <v>Other</v>
      </c>
    </row>
    <row r="2460" spans="1:7" x14ac:dyDescent="0.25">
      <c r="A2460">
        <v>17621</v>
      </c>
      <c r="B2460" t="s">
        <v>4</v>
      </c>
      <c r="C2460">
        <v>3</v>
      </c>
      <c r="D2460" t="s">
        <v>5</v>
      </c>
      <c r="F2460" t="str" cm="1">
        <f t="array" ref="F2460">CategorizeComment(E2460)</f>
        <v>Other</v>
      </c>
      <c r="G2460" t="str" cm="1">
        <f t="array" ref="G2460">SubCategorizeComment(E2460)</f>
        <v>Other</v>
      </c>
    </row>
    <row r="2461" spans="1:7" x14ac:dyDescent="0.25">
      <c r="A2461">
        <v>17622</v>
      </c>
      <c r="B2461" t="s">
        <v>4</v>
      </c>
      <c r="C2461">
        <v>3</v>
      </c>
      <c r="D2461" t="s">
        <v>5</v>
      </c>
      <c r="F2461" t="str" cm="1">
        <f t="array" ref="F2461">CategorizeComment(E2461)</f>
        <v>Other</v>
      </c>
      <c r="G2461" t="str" cm="1">
        <f t="array" ref="G2461">SubCategorizeComment(E2461)</f>
        <v>Other</v>
      </c>
    </row>
    <row r="2462" spans="1:7" x14ac:dyDescent="0.25">
      <c r="A2462">
        <v>17654</v>
      </c>
      <c r="B2462" t="s">
        <v>4</v>
      </c>
      <c r="C2462">
        <v>3</v>
      </c>
      <c r="D2462" t="s">
        <v>5</v>
      </c>
      <c r="F2462" t="str" cm="1">
        <f t="array" ref="F2462">CategorizeComment(E2462)</f>
        <v>Other</v>
      </c>
      <c r="G2462" t="str" cm="1">
        <f t="array" ref="G2462">SubCategorizeComment(E2462)</f>
        <v>Other</v>
      </c>
    </row>
    <row r="2463" spans="1:7" x14ac:dyDescent="0.25">
      <c r="A2463">
        <v>17657</v>
      </c>
      <c r="B2463" t="s">
        <v>4</v>
      </c>
      <c r="C2463">
        <v>4</v>
      </c>
      <c r="D2463" t="s">
        <v>5</v>
      </c>
      <c r="F2463" t="str" cm="1">
        <f t="array" ref="F2463">CategorizeComment(E2463)</f>
        <v>Other</v>
      </c>
      <c r="G2463" t="str" cm="1">
        <f t="array" ref="G2463">SubCategorizeComment(E2463)</f>
        <v>Other</v>
      </c>
    </row>
    <row r="2464" spans="1:7" x14ac:dyDescent="0.25">
      <c r="A2464">
        <v>17658</v>
      </c>
      <c r="B2464" t="s">
        <v>4</v>
      </c>
      <c r="C2464">
        <v>4</v>
      </c>
      <c r="D2464" t="s">
        <v>5</v>
      </c>
      <c r="F2464" t="str" cm="1">
        <f t="array" ref="F2464">CategorizeComment(E2464)</f>
        <v>Other</v>
      </c>
      <c r="G2464" t="str" cm="1">
        <f t="array" ref="G2464">SubCategorizeComment(E2464)</f>
        <v>Other</v>
      </c>
    </row>
    <row r="2465" spans="1:7" x14ac:dyDescent="0.25">
      <c r="A2465">
        <v>17660</v>
      </c>
      <c r="B2465" t="s">
        <v>4</v>
      </c>
      <c r="C2465">
        <v>4</v>
      </c>
      <c r="D2465" t="s">
        <v>5</v>
      </c>
      <c r="F2465" t="str" cm="1">
        <f t="array" ref="F2465">CategorizeComment(E2465)</f>
        <v>Other</v>
      </c>
      <c r="G2465" t="str" cm="1">
        <f t="array" ref="G2465">SubCategorizeComment(E2465)</f>
        <v>Other</v>
      </c>
    </row>
    <row r="2466" spans="1:7" x14ac:dyDescent="0.25">
      <c r="A2466">
        <v>17687</v>
      </c>
      <c r="B2466" t="s">
        <v>4</v>
      </c>
      <c r="C2466">
        <v>3</v>
      </c>
      <c r="D2466" t="s">
        <v>5</v>
      </c>
      <c r="F2466" t="str" cm="1">
        <f t="array" ref="F2466">CategorizeComment(E2466)</f>
        <v>Other</v>
      </c>
      <c r="G2466" t="str" cm="1">
        <f t="array" ref="G2466">SubCategorizeComment(E2466)</f>
        <v>Other</v>
      </c>
    </row>
    <row r="2467" spans="1:7" x14ac:dyDescent="0.25">
      <c r="A2467">
        <v>17696</v>
      </c>
      <c r="B2467" t="s">
        <v>4</v>
      </c>
      <c r="C2467">
        <v>3</v>
      </c>
      <c r="D2467" t="s">
        <v>5</v>
      </c>
      <c r="F2467" t="str" cm="1">
        <f t="array" ref="F2467">CategorizeComment(E2467)</f>
        <v>Other</v>
      </c>
      <c r="G2467" t="str" cm="1">
        <f t="array" ref="G2467">SubCategorizeComment(E2467)</f>
        <v>Other</v>
      </c>
    </row>
    <row r="2468" spans="1:7" x14ac:dyDescent="0.25">
      <c r="A2468">
        <v>17719</v>
      </c>
      <c r="B2468" t="s">
        <v>4</v>
      </c>
      <c r="C2468">
        <v>4</v>
      </c>
      <c r="D2468" t="s">
        <v>5</v>
      </c>
      <c r="F2468" t="str" cm="1">
        <f t="array" ref="F2468">CategorizeComment(E2468)</f>
        <v>Other</v>
      </c>
      <c r="G2468" t="str" cm="1">
        <f t="array" ref="G2468">SubCategorizeComment(E2468)</f>
        <v>Other</v>
      </c>
    </row>
    <row r="2469" spans="1:7" x14ac:dyDescent="0.25">
      <c r="A2469">
        <v>17751</v>
      </c>
      <c r="B2469" t="s">
        <v>4</v>
      </c>
      <c r="C2469">
        <v>4</v>
      </c>
      <c r="D2469" t="s">
        <v>5</v>
      </c>
      <c r="F2469" t="str" cm="1">
        <f t="array" ref="F2469">CategorizeComment(E2469)</f>
        <v>Other</v>
      </c>
      <c r="G2469" t="str" cm="1">
        <f t="array" ref="G2469">SubCategorizeComment(E2469)</f>
        <v>Other</v>
      </c>
    </row>
    <row r="2470" spans="1:7" x14ac:dyDescent="0.25">
      <c r="A2470">
        <v>17753</v>
      </c>
      <c r="B2470" t="s">
        <v>4</v>
      </c>
      <c r="C2470">
        <v>4</v>
      </c>
      <c r="D2470" t="s">
        <v>5</v>
      </c>
      <c r="F2470" t="str" cm="1">
        <f t="array" ref="F2470">CategorizeComment(E2470)</f>
        <v>Other</v>
      </c>
      <c r="G2470" t="str" cm="1">
        <f t="array" ref="G2470">SubCategorizeComment(E2470)</f>
        <v>Other</v>
      </c>
    </row>
    <row r="2471" spans="1:7" x14ac:dyDescent="0.25">
      <c r="A2471">
        <v>17766</v>
      </c>
      <c r="B2471" t="s">
        <v>4</v>
      </c>
      <c r="C2471">
        <v>3</v>
      </c>
      <c r="D2471" t="s">
        <v>5</v>
      </c>
      <c r="F2471" t="str" cm="1">
        <f t="array" ref="F2471">CategorizeComment(E2471)</f>
        <v>Other</v>
      </c>
      <c r="G2471" t="str" cm="1">
        <f t="array" ref="G2471">SubCategorizeComment(E2471)</f>
        <v>Other</v>
      </c>
    </row>
    <row r="2472" spans="1:7" x14ac:dyDescent="0.25">
      <c r="A2472">
        <v>17772</v>
      </c>
      <c r="B2472" t="s">
        <v>4</v>
      </c>
      <c r="C2472">
        <v>4</v>
      </c>
      <c r="D2472" t="s">
        <v>5</v>
      </c>
      <c r="F2472" t="str" cm="1">
        <f t="array" ref="F2472">CategorizeComment(E2472)</f>
        <v>Other</v>
      </c>
      <c r="G2472" t="str" cm="1">
        <f t="array" ref="G2472">SubCategorizeComment(E2472)</f>
        <v>Other</v>
      </c>
    </row>
    <row r="2473" spans="1:7" x14ac:dyDescent="0.25">
      <c r="A2473">
        <v>17775</v>
      </c>
      <c r="B2473" t="s">
        <v>4</v>
      </c>
      <c r="C2473">
        <v>3</v>
      </c>
      <c r="D2473" t="s">
        <v>5</v>
      </c>
      <c r="F2473" t="str" cm="1">
        <f t="array" ref="F2473">CategorizeComment(E2473)</f>
        <v>Other</v>
      </c>
      <c r="G2473" t="str" cm="1">
        <f t="array" ref="G2473">SubCategorizeComment(E2473)</f>
        <v>Other</v>
      </c>
    </row>
    <row r="2474" spans="1:7" x14ac:dyDescent="0.25">
      <c r="A2474">
        <v>17783</v>
      </c>
      <c r="B2474" t="s">
        <v>4</v>
      </c>
      <c r="C2474">
        <v>3</v>
      </c>
      <c r="D2474" t="s">
        <v>5</v>
      </c>
      <c r="F2474" t="str" cm="1">
        <f t="array" ref="F2474">CategorizeComment(E2474)</f>
        <v>Other</v>
      </c>
      <c r="G2474" t="str" cm="1">
        <f t="array" ref="G2474">SubCategorizeComment(E2474)</f>
        <v>Other</v>
      </c>
    </row>
    <row r="2475" spans="1:7" x14ac:dyDescent="0.25">
      <c r="A2475">
        <v>17791</v>
      </c>
      <c r="B2475" t="s">
        <v>4</v>
      </c>
      <c r="C2475">
        <v>3</v>
      </c>
      <c r="D2475" t="s">
        <v>5</v>
      </c>
      <c r="F2475" t="str" cm="1">
        <f t="array" ref="F2475">CategorizeComment(E2475)</f>
        <v>Other</v>
      </c>
      <c r="G2475" t="str" cm="1">
        <f t="array" ref="G2475">SubCategorizeComment(E2475)</f>
        <v>Other</v>
      </c>
    </row>
    <row r="2476" spans="1:7" x14ac:dyDescent="0.25">
      <c r="A2476">
        <v>17797</v>
      </c>
      <c r="B2476" t="s">
        <v>4</v>
      </c>
      <c r="C2476">
        <v>3</v>
      </c>
      <c r="D2476" t="s">
        <v>5</v>
      </c>
      <c r="F2476" t="str" cm="1">
        <f t="array" ref="F2476">CategorizeComment(E2476)</f>
        <v>Other</v>
      </c>
      <c r="G2476" t="str" cm="1">
        <f t="array" ref="G2476">SubCategorizeComment(E2476)</f>
        <v>Other</v>
      </c>
    </row>
    <row r="2477" spans="1:7" x14ac:dyDescent="0.25">
      <c r="A2477">
        <v>17800</v>
      </c>
      <c r="B2477" t="s">
        <v>4</v>
      </c>
      <c r="C2477">
        <v>3</v>
      </c>
      <c r="D2477" t="s">
        <v>5</v>
      </c>
      <c r="F2477" t="str" cm="1">
        <f t="array" ref="F2477">CategorizeComment(E2477)</f>
        <v>Other</v>
      </c>
      <c r="G2477" t="str" cm="1">
        <f t="array" ref="G2477">SubCategorizeComment(E2477)</f>
        <v>Other</v>
      </c>
    </row>
    <row r="2478" spans="1:7" x14ac:dyDescent="0.25">
      <c r="A2478">
        <v>17804</v>
      </c>
      <c r="B2478" t="s">
        <v>4</v>
      </c>
      <c r="C2478">
        <v>4</v>
      </c>
      <c r="D2478" t="s">
        <v>5</v>
      </c>
      <c r="F2478" t="str" cm="1">
        <f t="array" ref="F2478">CategorizeComment(E2478)</f>
        <v>Other</v>
      </c>
      <c r="G2478" t="str" cm="1">
        <f t="array" ref="G2478">SubCategorizeComment(E2478)</f>
        <v>Other</v>
      </c>
    </row>
    <row r="2479" spans="1:7" x14ac:dyDescent="0.25">
      <c r="A2479">
        <v>17808</v>
      </c>
      <c r="B2479" t="s">
        <v>4</v>
      </c>
      <c r="C2479">
        <v>4</v>
      </c>
      <c r="D2479" t="s">
        <v>5</v>
      </c>
      <c r="F2479" t="str" cm="1">
        <f t="array" ref="F2479">CategorizeComment(E2479)</f>
        <v>Other</v>
      </c>
      <c r="G2479" t="str" cm="1">
        <f t="array" ref="G2479">SubCategorizeComment(E2479)</f>
        <v>Other</v>
      </c>
    </row>
    <row r="2480" spans="1:7" x14ac:dyDescent="0.25">
      <c r="A2480">
        <v>17809</v>
      </c>
      <c r="B2480" t="s">
        <v>4</v>
      </c>
      <c r="C2480">
        <v>3</v>
      </c>
      <c r="D2480" t="s">
        <v>5</v>
      </c>
      <c r="F2480" t="str" cm="1">
        <f t="array" ref="F2480">CategorizeComment(E2480)</f>
        <v>Other</v>
      </c>
      <c r="G2480" t="str" cm="1">
        <f t="array" ref="G2480">SubCategorizeComment(E2480)</f>
        <v>Other</v>
      </c>
    </row>
    <row r="2481" spans="1:7" x14ac:dyDescent="0.25">
      <c r="A2481">
        <v>17818</v>
      </c>
      <c r="B2481" t="s">
        <v>4</v>
      </c>
      <c r="C2481">
        <v>4</v>
      </c>
      <c r="D2481" t="s">
        <v>5</v>
      </c>
      <c r="F2481" t="str" cm="1">
        <f t="array" ref="F2481">CategorizeComment(E2481)</f>
        <v>Other</v>
      </c>
      <c r="G2481" t="str" cm="1">
        <f t="array" ref="G2481">SubCategorizeComment(E2481)</f>
        <v>Other</v>
      </c>
    </row>
    <row r="2482" spans="1:7" x14ac:dyDescent="0.25">
      <c r="A2482">
        <v>17825</v>
      </c>
      <c r="B2482" t="s">
        <v>4</v>
      </c>
      <c r="C2482">
        <v>3</v>
      </c>
      <c r="D2482" t="s">
        <v>5</v>
      </c>
      <c r="F2482" t="str" cm="1">
        <f t="array" ref="F2482">CategorizeComment(E2482)</f>
        <v>Other</v>
      </c>
      <c r="G2482" t="str" cm="1">
        <f t="array" ref="G2482">SubCategorizeComment(E2482)</f>
        <v>Other</v>
      </c>
    </row>
    <row r="2483" spans="1:7" x14ac:dyDescent="0.25">
      <c r="A2483">
        <v>17843</v>
      </c>
      <c r="B2483" t="s">
        <v>4</v>
      </c>
      <c r="C2483">
        <v>3</v>
      </c>
      <c r="D2483" t="s">
        <v>5</v>
      </c>
      <c r="F2483" t="str" cm="1">
        <f t="array" ref="F2483">CategorizeComment(E2483)</f>
        <v>Other</v>
      </c>
      <c r="G2483" t="str" cm="1">
        <f t="array" ref="G2483">SubCategorizeComment(E2483)</f>
        <v>Other</v>
      </c>
    </row>
    <row r="2484" spans="1:7" x14ac:dyDescent="0.25">
      <c r="A2484">
        <v>17849</v>
      </c>
      <c r="B2484" t="s">
        <v>4</v>
      </c>
      <c r="C2484">
        <v>3</v>
      </c>
      <c r="D2484" t="s">
        <v>5</v>
      </c>
      <c r="F2484" t="str" cm="1">
        <f t="array" ref="F2484">CategorizeComment(E2484)</f>
        <v>Other</v>
      </c>
      <c r="G2484" t="str" cm="1">
        <f t="array" ref="G2484">SubCategorizeComment(E2484)</f>
        <v>Other</v>
      </c>
    </row>
    <row r="2485" spans="1:7" x14ac:dyDescent="0.25">
      <c r="A2485">
        <v>17852</v>
      </c>
      <c r="B2485" t="s">
        <v>4</v>
      </c>
      <c r="C2485">
        <v>3</v>
      </c>
      <c r="D2485" t="s">
        <v>5</v>
      </c>
      <c r="F2485" t="str" cm="1">
        <f t="array" ref="F2485">CategorizeComment(E2485)</f>
        <v>Other</v>
      </c>
      <c r="G2485" t="str" cm="1">
        <f t="array" ref="G2485">SubCategorizeComment(E2485)</f>
        <v>Other</v>
      </c>
    </row>
    <row r="2486" spans="1:7" x14ac:dyDescent="0.25">
      <c r="A2486">
        <v>17873</v>
      </c>
      <c r="B2486" t="s">
        <v>4</v>
      </c>
      <c r="C2486">
        <v>3</v>
      </c>
      <c r="D2486" t="s">
        <v>5</v>
      </c>
      <c r="F2486" t="str" cm="1">
        <f t="array" ref="F2486">CategorizeComment(E2486)</f>
        <v>Other</v>
      </c>
      <c r="G2486" t="str" cm="1">
        <f t="array" ref="G2486">SubCategorizeComment(E2486)</f>
        <v>Other</v>
      </c>
    </row>
    <row r="2487" spans="1:7" x14ac:dyDescent="0.25">
      <c r="A2487">
        <v>17874</v>
      </c>
      <c r="B2487" t="s">
        <v>4</v>
      </c>
      <c r="C2487">
        <v>3</v>
      </c>
      <c r="D2487" t="s">
        <v>5</v>
      </c>
      <c r="F2487" t="str" cm="1">
        <f t="array" ref="F2487">CategorizeComment(E2487)</f>
        <v>Other</v>
      </c>
      <c r="G2487" t="str" cm="1">
        <f t="array" ref="G2487">SubCategorizeComment(E2487)</f>
        <v>Other</v>
      </c>
    </row>
    <row r="2488" spans="1:7" x14ac:dyDescent="0.25">
      <c r="A2488">
        <v>17876</v>
      </c>
      <c r="B2488" t="s">
        <v>4</v>
      </c>
      <c r="C2488">
        <v>3</v>
      </c>
      <c r="D2488" t="s">
        <v>5</v>
      </c>
      <c r="F2488" t="str" cm="1">
        <f t="array" ref="F2488">CategorizeComment(E2488)</f>
        <v>Other</v>
      </c>
      <c r="G2488" t="str" cm="1">
        <f t="array" ref="G2488">SubCategorizeComment(E2488)</f>
        <v>Other</v>
      </c>
    </row>
    <row r="2489" spans="1:7" x14ac:dyDescent="0.25">
      <c r="A2489">
        <v>17884</v>
      </c>
      <c r="B2489" t="s">
        <v>4</v>
      </c>
      <c r="C2489">
        <v>4</v>
      </c>
      <c r="D2489" t="s">
        <v>5</v>
      </c>
      <c r="F2489" t="str" cm="1">
        <f t="array" ref="F2489">CategorizeComment(E2489)</f>
        <v>Other</v>
      </c>
      <c r="G2489" t="str" cm="1">
        <f t="array" ref="G2489">SubCategorizeComment(E2489)</f>
        <v>Other</v>
      </c>
    </row>
    <row r="2490" spans="1:7" x14ac:dyDescent="0.25">
      <c r="A2490">
        <v>17887</v>
      </c>
      <c r="B2490" t="s">
        <v>4</v>
      </c>
      <c r="C2490">
        <v>4</v>
      </c>
      <c r="D2490" t="s">
        <v>5</v>
      </c>
      <c r="F2490" t="str" cm="1">
        <f t="array" ref="F2490">CategorizeComment(E2490)</f>
        <v>Other</v>
      </c>
      <c r="G2490" t="str" cm="1">
        <f t="array" ref="G2490">SubCategorizeComment(E2490)</f>
        <v>Other</v>
      </c>
    </row>
    <row r="2491" spans="1:7" x14ac:dyDescent="0.25">
      <c r="A2491">
        <v>17889</v>
      </c>
      <c r="B2491" t="s">
        <v>4</v>
      </c>
      <c r="C2491">
        <v>4</v>
      </c>
      <c r="D2491" t="s">
        <v>5</v>
      </c>
      <c r="F2491" t="str" cm="1">
        <f t="array" ref="F2491">CategorizeComment(E2491)</f>
        <v>Other</v>
      </c>
      <c r="G2491" t="str" cm="1">
        <f t="array" ref="G2491">SubCategorizeComment(E2491)</f>
        <v>Other</v>
      </c>
    </row>
    <row r="2492" spans="1:7" x14ac:dyDescent="0.25">
      <c r="A2492">
        <v>17900</v>
      </c>
      <c r="B2492" t="s">
        <v>4</v>
      </c>
      <c r="C2492">
        <v>3</v>
      </c>
      <c r="D2492" t="s">
        <v>5</v>
      </c>
      <c r="F2492" t="str" cm="1">
        <f t="array" ref="F2492">CategorizeComment(E2492)</f>
        <v>Other</v>
      </c>
      <c r="G2492" t="str" cm="1">
        <f t="array" ref="G2492">SubCategorizeComment(E2492)</f>
        <v>Other</v>
      </c>
    </row>
    <row r="2493" spans="1:7" x14ac:dyDescent="0.25">
      <c r="A2493">
        <v>17905</v>
      </c>
      <c r="B2493" t="s">
        <v>4</v>
      </c>
      <c r="C2493">
        <v>3</v>
      </c>
      <c r="D2493" t="s">
        <v>5</v>
      </c>
      <c r="F2493" t="str" cm="1">
        <f t="array" ref="F2493">CategorizeComment(E2493)</f>
        <v>Other</v>
      </c>
      <c r="G2493" t="str" cm="1">
        <f t="array" ref="G2493">SubCategorizeComment(E2493)</f>
        <v>Other</v>
      </c>
    </row>
    <row r="2494" spans="1:7" x14ac:dyDescent="0.25">
      <c r="A2494">
        <v>17909</v>
      </c>
      <c r="B2494" t="s">
        <v>4</v>
      </c>
      <c r="C2494">
        <v>4</v>
      </c>
      <c r="D2494" t="s">
        <v>5</v>
      </c>
      <c r="F2494" t="str" cm="1">
        <f t="array" ref="F2494">CategorizeComment(E2494)</f>
        <v>Other</v>
      </c>
      <c r="G2494" t="str" cm="1">
        <f t="array" ref="G2494">SubCategorizeComment(E2494)</f>
        <v>Other</v>
      </c>
    </row>
    <row r="2495" spans="1:7" x14ac:dyDescent="0.25">
      <c r="A2495">
        <v>17917</v>
      </c>
      <c r="B2495" t="s">
        <v>4</v>
      </c>
      <c r="C2495">
        <v>4</v>
      </c>
      <c r="D2495" t="s">
        <v>5</v>
      </c>
      <c r="F2495" t="str" cm="1">
        <f t="array" ref="F2495">CategorizeComment(E2495)</f>
        <v>Other</v>
      </c>
      <c r="G2495" t="str" cm="1">
        <f t="array" ref="G2495">SubCategorizeComment(E2495)</f>
        <v>Other</v>
      </c>
    </row>
    <row r="2496" spans="1:7" x14ac:dyDescent="0.25">
      <c r="A2496">
        <v>17918</v>
      </c>
      <c r="B2496" t="s">
        <v>4</v>
      </c>
      <c r="C2496">
        <v>3</v>
      </c>
      <c r="D2496" t="s">
        <v>5</v>
      </c>
      <c r="F2496" t="str" cm="1">
        <f t="array" ref="F2496">CategorizeComment(E2496)</f>
        <v>Other</v>
      </c>
      <c r="G2496" t="str" cm="1">
        <f t="array" ref="G2496">SubCategorizeComment(E2496)</f>
        <v>Other</v>
      </c>
    </row>
    <row r="2497" spans="1:7" x14ac:dyDescent="0.25">
      <c r="A2497">
        <v>17942</v>
      </c>
      <c r="B2497" t="s">
        <v>4</v>
      </c>
      <c r="C2497">
        <v>4</v>
      </c>
      <c r="D2497" t="s">
        <v>5</v>
      </c>
      <c r="F2497" t="str" cm="1">
        <f t="array" ref="F2497">CategorizeComment(E2497)</f>
        <v>Other</v>
      </c>
      <c r="G2497" t="str" cm="1">
        <f t="array" ref="G2497">SubCategorizeComment(E2497)</f>
        <v>Other</v>
      </c>
    </row>
    <row r="2498" spans="1:7" x14ac:dyDescent="0.25">
      <c r="A2498">
        <v>17964</v>
      </c>
      <c r="B2498" t="s">
        <v>4</v>
      </c>
      <c r="C2498">
        <v>3</v>
      </c>
      <c r="D2498" t="s">
        <v>5</v>
      </c>
      <c r="F2498" t="str" cm="1">
        <f t="array" ref="F2498">CategorizeComment(E2498)</f>
        <v>Other</v>
      </c>
      <c r="G2498" t="str" cm="1">
        <f t="array" ref="G2498">SubCategorizeComment(E2498)</f>
        <v>Other</v>
      </c>
    </row>
    <row r="2499" spans="1:7" x14ac:dyDescent="0.25">
      <c r="A2499">
        <v>17980</v>
      </c>
      <c r="B2499" t="s">
        <v>4</v>
      </c>
      <c r="C2499">
        <v>4</v>
      </c>
      <c r="D2499" t="s">
        <v>5</v>
      </c>
      <c r="F2499" t="str" cm="1">
        <f t="array" ref="F2499">CategorizeComment(E2499)</f>
        <v>Other</v>
      </c>
      <c r="G2499" t="str" cm="1">
        <f t="array" ref="G2499">SubCategorizeComment(E2499)</f>
        <v>Other</v>
      </c>
    </row>
    <row r="2500" spans="1:7" x14ac:dyDescent="0.25">
      <c r="A2500">
        <v>17992</v>
      </c>
      <c r="B2500" t="s">
        <v>4</v>
      </c>
      <c r="C2500">
        <v>4</v>
      </c>
      <c r="D2500" t="s">
        <v>5</v>
      </c>
      <c r="F2500" t="str" cm="1">
        <f t="array" ref="F2500">CategorizeComment(E2500)</f>
        <v>Other</v>
      </c>
      <c r="G2500" t="str" cm="1">
        <f t="array" ref="G2500">SubCategorizeComment(E2500)</f>
        <v>Other</v>
      </c>
    </row>
    <row r="2501" spans="1:7" x14ac:dyDescent="0.25">
      <c r="A2501">
        <v>18004</v>
      </c>
      <c r="B2501" t="s">
        <v>4</v>
      </c>
      <c r="C2501">
        <v>3</v>
      </c>
      <c r="D2501" t="s">
        <v>5</v>
      </c>
      <c r="F2501" t="str" cm="1">
        <f t="array" ref="F2501">CategorizeComment(E2501)</f>
        <v>Other</v>
      </c>
      <c r="G2501" t="str" cm="1">
        <f t="array" ref="G2501">SubCategorizeComment(E2501)</f>
        <v>Other</v>
      </c>
    </row>
    <row r="2502" spans="1:7" x14ac:dyDescent="0.25">
      <c r="A2502">
        <v>18007</v>
      </c>
      <c r="B2502" t="s">
        <v>4</v>
      </c>
      <c r="C2502">
        <v>3</v>
      </c>
      <c r="D2502" t="s">
        <v>5</v>
      </c>
      <c r="F2502" t="str" cm="1">
        <f t="array" ref="F2502">CategorizeComment(E2502)</f>
        <v>Other</v>
      </c>
      <c r="G2502" t="str" cm="1">
        <f t="array" ref="G2502">SubCategorizeComment(E2502)</f>
        <v>Other</v>
      </c>
    </row>
    <row r="2503" spans="1:7" x14ac:dyDescent="0.25">
      <c r="A2503">
        <v>18013</v>
      </c>
      <c r="B2503" t="s">
        <v>4</v>
      </c>
      <c r="C2503">
        <v>3</v>
      </c>
      <c r="D2503" t="s">
        <v>5</v>
      </c>
      <c r="F2503" t="str" cm="1">
        <f t="array" ref="F2503">CategorizeComment(E2503)</f>
        <v>Other</v>
      </c>
      <c r="G2503" t="str" cm="1">
        <f t="array" ref="G2503">SubCategorizeComment(E2503)</f>
        <v>Other</v>
      </c>
    </row>
    <row r="2504" spans="1:7" x14ac:dyDescent="0.25">
      <c r="A2504">
        <v>18037</v>
      </c>
      <c r="B2504" t="s">
        <v>4</v>
      </c>
      <c r="C2504">
        <v>3</v>
      </c>
      <c r="D2504" t="s">
        <v>5</v>
      </c>
      <c r="F2504" t="str" cm="1">
        <f t="array" ref="F2504">CategorizeComment(E2504)</f>
        <v>Other</v>
      </c>
      <c r="G2504" t="str" cm="1">
        <f t="array" ref="G2504">SubCategorizeComment(E2504)</f>
        <v>Other</v>
      </c>
    </row>
    <row r="2505" spans="1:7" x14ac:dyDescent="0.25">
      <c r="A2505">
        <v>18049</v>
      </c>
      <c r="B2505" t="s">
        <v>4</v>
      </c>
      <c r="C2505">
        <v>3</v>
      </c>
      <c r="D2505" t="s">
        <v>5</v>
      </c>
      <c r="F2505" t="str" cm="1">
        <f t="array" ref="F2505">CategorizeComment(E2505)</f>
        <v>Other</v>
      </c>
      <c r="G2505" t="str" cm="1">
        <f t="array" ref="G2505">SubCategorizeComment(E2505)</f>
        <v>Other</v>
      </c>
    </row>
    <row r="2506" spans="1:7" x14ac:dyDescent="0.25">
      <c r="A2506">
        <v>18054</v>
      </c>
      <c r="B2506" t="s">
        <v>4</v>
      </c>
      <c r="C2506">
        <v>3</v>
      </c>
      <c r="D2506" t="s">
        <v>5</v>
      </c>
      <c r="F2506" t="str" cm="1">
        <f t="array" ref="F2506">CategorizeComment(E2506)</f>
        <v>Other</v>
      </c>
      <c r="G2506" t="str" cm="1">
        <f t="array" ref="G2506">SubCategorizeComment(E2506)</f>
        <v>Other</v>
      </c>
    </row>
    <row r="2507" spans="1:7" x14ac:dyDescent="0.25">
      <c r="A2507">
        <v>18058</v>
      </c>
      <c r="B2507" t="s">
        <v>4</v>
      </c>
      <c r="C2507">
        <v>3</v>
      </c>
      <c r="D2507" t="s">
        <v>5</v>
      </c>
      <c r="F2507" t="str" cm="1">
        <f t="array" ref="F2507">CategorizeComment(E2507)</f>
        <v>Other</v>
      </c>
      <c r="G2507" t="str" cm="1">
        <f t="array" ref="G2507">SubCategorizeComment(E2507)</f>
        <v>Other</v>
      </c>
    </row>
    <row r="2508" spans="1:7" x14ac:dyDescent="0.25">
      <c r="A2508">
        <v>18064</v>
      </c>
      <c r="B2508" t="s">
        <v>4</v>
      </c>
      <c r="C2508">
        <v>3</v>
      </c>
      <c r="D2508" t="s">
        <v>5</v>
      </c>
      <c r="F2508" t="str" cm="1">
        <f t="array" ref="F2508">CategorizeComment(E2508)</f>
        <v>Other</v>
      </c>
      <c r="G2508" t="str" cm="1">
        <f t="array" ref="G2508">SubCategorizeComment(E2508)</f>
        <v>Other</v>
      </c>
    </row>
    <row r="2509" spans="1:7" x14ac:dyDescent="0.25">
      <c r="A2509">
        <v>18067</v>
      </c>
      <c r="B2509" t="s">
        <v>4</v>
      </c>
      <c r="C2509">
        <v>3</v>
      </c>
      <c r="D2509" t="s">
        <v>5</v>
      </c>
      <c r="F2509" t="str" cm="1">
        <f t="array" ref="F2509">CategorizeComment(E2509)</f>
        <v>Other</v>
      </c>
      <c r="G2509" t="str" cm="1">
        <f t="array" ref="G2509">SubCategorizeComment(E2509)</f>
        <v>Other</v>
      </c>
    </row>
    <row r="2510" spans="1:7" x14ac:dyDescent="0.25">
      <c r="A2510">
        <v>18076</v>
      </c>
      <c r="B2510" t="s">
        <v>4</v>
      </c>
      <c r="C2510">
        <v>3</v>
      </c>
      <c r="D2510" t="s">
        <v>5</v>
      </c>
      <c r="F2510" t="str" cm="1">
        <f t="array" ref="F2510">CategorizeComment(E2510)</f>
        <v>Other</v>
      </c>
      <c r="G2510" t="str" cm="1">
        <f t="array" ref="G2510">SubCategorizeComment(E2510)</f>
        <v>Other</v>
      </c>
    </row>
    <row r="2511" spans="1:7" x14ac:dyDescent="0.25">
      <c r="A2511">
        <v>18106</v>
      </c>
      <c r="B2511" t="s">
        <v>4</v>
      </c>
      <c r="C2511">
        <v>3</v>
      </c>
      <c r="D2511" t="s">
        <v>5</v>
      </c>
      <c r="F2511" t="str" cm="1">
        <f t="array" ref="F2511">CategorizeComment(E2511)</f>
        <v>Other</v>
      </c>
      <c r="G2511" t="str" cm="1">
        <f t="array" ref="G2511">SubCategorizeComment(E2511)</f>
        <v>Other</v>
      </c>
    </row>
    <row r="2512" spans="1:7" x14ac:dyDescent="0.25">
      <c r="A2512">
        <v>18115</v>
      </c>
      <c r="B2512" t="s">
        <v>4</v>
      </c>
      <c r="C2512">
        <v>4</v>
      </c>
      <c r="D2512" t="s">
        <v>5</v>
      </c>
      <c r="F2512" t="str" cm="1">
        <f t="array" ref="F2512">CategorizeComment(E2512)</f>
        <v>Other</v>
      </c>
      <c r="G2512" t="str" cm="1">
        <f t="array" ref="G2512">SubCategorizeComment(E2512)</f>
        <v>Other</v>
      </c>
    </row>
    <row r="2513" spans="1:7" x14ac:dyDescent="0.25">
      <c r="A2513">
        <v>18116</v>
      </c>
      <c r="B2513" t="s">
        <v>4</v>
      </c>
      <c r="C2513">
        <v>4</v>
      </c>
      <c r="D2513" t="s">
        <v>5</v>
      </c>
      <c r="F2513" t="str" cm="1">
        <f t="array" ref="F2513">CategorizeComment(E2513)</f>
        <v>Other</v>
      </c>
      <c r="G2513" t="str" cm="1">
        <f t="array" ref="G2513">SubCategorizeComment(E2513)</f>
        <v>Other</v>
      </c>
    </row>
    <row r="2514" spans="1:7" x14ac:dyDescent="0.25">
      <c r="A2514">
        <v>18121</v>
      </c>
      <c r="B2514" t="s">
        <v>4</v>
      </c>
      <c r="C2514">
        <v>4</v>
      </c>
      <c r="D2514" t="s">
        <v>5</v>
      </c>
      <c r="F2514" t="str" cm="1">
        <f t="array" ref="F2514">CategorizeComment(E2514)</f>
        <v>Other</v>
      </c>
      <c r="G2514" t="str" cm="1">
        <f t="array" ref="G2514">SubCategorizeComment(E2514)</f>
        <v>Other</v>
      </c>
    </row>
    <row r="2515" spans="1:7" x14ac:dyDescent="0.25">
      <c r="A2515">
        <v>18123</v>
      </c>
      <c r="B2515" t="s">
        <v>4</v>
      </c>
      <c r="C2515">
        <v>3</v>
      </c>
      <c r="D2515" t="s">
        <v>5</v>
      </c>
      <c r="F2515" t="str" cm="1">
        <f t="array" ref="F2515">CategorizeComment(E2515)</f>
        <v>Other</v>
      </c>
      <c r="G2515" t="str" cm="1">
        <f t="array" ref="G2515">SubCategorizeComment(E2515)</f>
        <v>Other</v>
      </c>
    </row>
    <row r="2516" spans="1:7" x14ac:dyDescent="0.25">
      <c r="A2516">
        <v>18134</v>
      </c>
      <c r="B2516" t="s">
        <v>4</v>
      </c>
      <c r="C2516">
        <v>3</v>
      </c>
      <c r="D2516" t="s">
        <v>5</v>
      </c>
      <c r="F2516" t="str" cm="1">
        <f t="array" ref="F2516">CategorizeComment(E2516)</f>
        <v>Other</v>
      </c>
      <c r="G2516" t="str" cm="1">
        <f t="array" ref="G2516">SubCategorizeComment(E2516)</f>
        <v>Other</v>
      </c>
    </row>
    <row r="2517" spans="1:7" x14ac:dyDescent="0.25">
      <c r="A2517">
        <v>18138</v>
      </c>
      <c r="B2517" t="s">
        <v>4</v>
      </c>
      <c r="C2517">
        <v>3</v>
      </c>
      <c r="D2517" t="s">
        <v>5</v>
      </c>
      <c r="F2517" t="str" cm="1">
        <f t="array" ref="F2517">CategorizeComment(E2517)</f>
        <v>Other</v>
      </c>
      <c r="G2517" t="str" cm="1">
        <f t="array" ref="G2517">SubCategorizeComment(E2517)</f>
        <v>Other</v>
      </c>
    </row>
    <row r="2518" spans="1:7" x14ac:dyDescent="0.25">
      <c r="A2518">
        <v>18183</v>
      </c>
      <c r="B2518" t="s">
        <v>4</v>
      </c>
      <c r="C2518">
        <v>3</v>
      </c>
      <c r="D2518" t="s">
        <v>5</v>
      </c>
      <c r="F2518" t="str" cm="1">
        <f t="array" ref="F2518">CategorizeComment(E2518)</f>
        <v>Other</v>
      </c>
      <c r="G2518" t="str" cm="1">
        <f t="array" ref="G2518">SubCategorizeComment(E2518)</f>
        <v>Other</v>
      </c>
    </row>
    <row r="2519" spans="1:7" x14ac:dyDescent="0.25">
      <c r="A2519">
        <v>18185</v>
      </c>
      <c r="B2519" t="s">
        <v>4</v>
      </c>
      <c r="C2519">
        <v>3</v>
      </c>
      <c r="D2519" t="s">
        <v>5</v>
      </c>
      <c r="F2519" t="str" cm="1">
        <f t="array" ref="F2519">CategorizeComment(E2519)</f>
        <v>Other</v>
      </c>
      <c r="G2519" t="str" cm="1">
        <f t="array" ref="G2519">SubCategorizeComment(E2519)</f>
        <v>Other</v>
      </c>
    </row>
    <row r="2520" spans="1:7" x14ac:dyDescent="0.25">
      <c r="A2520">
        <v>18202</v>
      </c>
      <c r="B2520" t="s">
        <v>4</v>
      </c>
      <c r="C2520">
        <v>3</v>
      </c>
      <c r="D2520" t="s">
        <v>5</v>
      </c>
      <c r="F2520" t="str" cm="1">
        <f t="array" ref="F2520">CategorizeComment(E2520)</f>
        <v>Other</v>
      </c>
      <c r="G2520" t="str" cm="1">
        <f t="array" ref="G2520">SubCategorizeComment(E2520)</f>
        <v>Other</v>
      </c>
    </row>
    <row r="2521" spans="1:7" x14ac:dyDescent="0.25">
      <c r="A2521">
        <v>18215</v>
      </c>
      <c r="B2521" t="s">
        <v>4</v>
      </c>
      <c r="C2521">
        <v>3</v>
      </c>
      <c r="D2521" t="s">
        <v>5</v>
      </c>
      <c r="F2521" t="str" cm="1">
        <f t="array" ref="F2521">CategorizeComment(E2521)</f>
        <v>Other</v>
      </c>
      <c r="G2521" t="str" cm="1">
        <f t="array" ref="G2521">SubCategorizeComment(E2521)</f>
        <v>Other</v>
      </c>
    </row>
    <row r="2522" spans="1:7" x14ac:dyDescent="0.25">
      <c r="A2522">
        <v>18230</v>
      </c>
      <c r="B2522" t="s">
        <v>4</v>
      </c>
      <c r="C2522">
        <v>4</v>
      </c>
      <c r="D2522" t="s">
        <v>5</v>
      </c>
      <c r="F2522" t="str" cm="1">
        <f t="array" ref="F2522">CategorizeComment(E2522)</f>
        <v>Other</v>
      </c>
      <c r="G2522" t="str" cm="1">
        <f t="array" ref="G2522">SubCategorizeComment(E2522)</f>
        <v>Other</v>
      </c>
    </row>
    <row r="2523" spans="1:7" x14ac:dyDescent="0.25">
      <c r="A2523">
        <v>18232</v>
      </c>
      <c r="B2523" t="s">
        <v>4</v>
      </c>
      <c r="C2523">
        <v>3</v>
      </c>
      <c r="D2523" t="s">
        <v>5</v>
      </c>
      <c r="F2523" t="str" cm="1">
        <f t="array" ref="F2523">CategorizeComment(E2523)</f>
        <v>Other</v>
      </c>
      <c r="G2523" t="str" cm="1">
        <f t="array" ref="G2523">SubCategorizeComment(E2523)</f>
        <v>Other</v>
      </c>
    </row>
    <row r="2524" spans="1:7" x14ac:dyDescent="0.25">
      <c r="A2524">
        <v>18240</v>
      </c>
      <c r="B2524" t="s">
        <v>4</v>
      </c>
      <c r="C2524">
        <v>3</v>
      </c>
      <c r="D2524" t="s">
        <v>5</v>
      </c>
      <c r="F2524" t="str" cm="1">
        <f t="array" ref="F2524">CategorizeComment(E2524)</f>
        <v>Other</v>
      </c>
      <c r="G2524" t="str" cm="1">
        <f t="array" ref="G2524">SubCategorizeComment(E2524)</f>
        <v>Other</v>
      </c>
    </row>
    <row r="2525" spans="1:7" x14ac:dyDescent="0.25">
      <c r="A2525">
        <v>18251</v>
      </c>
      <c r="B2525" t="s">
        <v>4</v>
      </c>
      <c r="C2525">
        <v>3</v>
      </c>
      <c r="D2525" t="s">
        <v>5</v>
      </c>
      <c r="F2525" t="str" cm="1">
        <f t="array" ref="F2525">CategorizeComment(E2525)</f>
        <v>Other</v>
      </c>
      <c r="G2525" t="str" cm="1">
        <f t="array" ref="G2525">SubCategorizeComment(E2525)</f>
        <v>Other</v>
      </c>
    </row>
    <row r="2526" spans="1:7" x14ac:dyDescent="0.25">
      <c r="A2526">
        <v>18268</v>
      </c>
      <c r="B2526" t="s">
        <v>4</v>
      </c>
      <c r="C2526">
        <v>3</v>
      </c>
      <c r="D2526" t="s">
        <v>5</v>
      </c>
      <c r="F2526" t="str" cm="1">
        <f t="array" ref="F2526">CategorizeComment(E2526)</f>
        <v>Other</v>
      </c>
      <c r="G2526" t="str" cm="1">
        <f t="array" ref="G2526">SubCategorizeComment(E2526)</f>
        <v>Other</v>
      </c>
    </row>
    <row r="2527" spans="1:7" x14ac:dyDescent="0.25">
      <c r="A2527">
        <v>18281</v>
      </c>
      <c r="B2527" t="s">
        <v>4</v>
      </c>
      <c r="C2527">
        <v>4</v>
      </c>
      <c r="D2527" t="s">
        <v>5</v>
      </c>
      <c r="F2527" t="str" cm="1">
        <f t="array" ref="F2527">CategorizeComment(E2527)</f>
        <v>Other</v>
      </c>
      <c r="G2527" t="str" cm="1">
        <f t="array" ref="G2527">SubCategorizeComment(E2527)</f>
        <v>Other</v>
      </c>
    </row>
    <row r="2528" spans="1:7" x14ac:dyDescent="0.25">
      <c r="A2528">
        <v>18286</v>
      </c>
      <c r="B2528" t="s">
        <v>4</v>
      </c>
      <c r="C2528">
        <v>4</v>
      </c>
      <c r="D2528" t="s">
        <v>5</v>
      </c>
      <c r="F2528" t="str" cm="1">
        <f t="array" ref="F2528">CategorizeComment(E2528)</f>
        <v>Other</v>
      </c>
      <c r="G2528" t="str" cm="1">
        <f t="array" ref="G2528">SubCategorizeComment(E2528)</f>
        <v>Other</v>
      </c>
    </row>
    <row r="2529" spans="1:7" x14ac:dyDescent="0.25">
      <c r="A2529">
        <v>18287</v>
      </c>
      <c r="B2529" t="s">
        <v>4</v>
      </c>
      <c r="C2529">
        <v>4</v>
      </c>
      <c r="D2529" t="s">
        <v>5</v>
      </c>
      <c r="F2529" t="str" cm="1">
        <f t="array" ref="F2529">CategorizeComment(E2529)</f>
        <v>Other</v>
      </c>
      <c r="G2529" t="str" cm="1">
        <f t="array" ref="G2529">SubCategorizeComment(E2529)</f>
        <v>Other</v>
      </c>
    </row>
    <row r="2530" spans="1:7" x14ac:dyDescent="0.25">
      <c r="A2530">
        <v>18291</v>
      </c>
      <c r="B2530" t="s">
        <v>4</v>
      </c>
      <c r="C2530">
        <v>4</v>
      </c>
      <c r="D2530" t="s">
        <v>5</v>
      </c>
      <c r="F2530" t="str" cm="1">
        <f t="array" ref="F2530">CategorizeComment(E2530)</f>
        <v>Other</v>
      </c>
      <c r="G2530" t="str" cm="1">
        <f t="array" ref="G2530">SubCategorizeComment(E2530)</f>
        <v>Other</v>
      </c>
    </row>
    <row r="2531" spans="1:7" x14ac:dyDescent="0.25">
      <c r="A2531">
        <v>18319</v>
      </c>
      <c r="B2531" t="s">
        <v>4</v>
      </c>
      <c r="C2531">
        <v>3</v>
      </c>
      <c r="D2531" t="s">
        <v>5</v>
      </c>
      <c r="F2531" t="str" cm="1">
        <f t="array" ref="F2531">CategorizeComment(E2531)</f>
        <v>Other</v>
      </c>
      <c r="G2531" t="str" cm="1">
        <f t="array" ref="G2531">SubCategorizeComment(E2531)</f>
        <v>Other</v>
      </c>
    </row>
    <row r="2532" spans="1:7" x14ac:dyDescent="0.25">
      <c r="A2532">
        <v>18334</v>
      </c>
      <c r="B2532" t="s">
        <v>4</v>
      </c>
      <c r="C2532">
        <v>3</v>
      </c>
      <c r="D2532" t="s">
        <v>5</v>
      </c>
      <c r="F2532" t="str" cm="1">
        <f t="array" ref="F2532">CategorizeComment(E2532)</f>
        <v>Other</v>
      </c>
      <c r="G2532" t="str" cm="1">
        <f t="array" ref="G2532">SubCategorizeComment(E2532)</f>
        <v>Other</v>
      </c>
    </row>
    <row r="2533" spans="1:7" x14ac:dyDescent="0.25">
      <c r="A2533">
        <v>18354</v>
      </c>
      <c r="B2533" t="s">
        <v>4</v>
      </c>
      <c r="C2533">
        <v>1</v>
      </c>
      <c r="D2533" t="s">
        <v>5</v>
      </c>
      <c r="F2533" t="str" cm="1">
        <f t="array" ref="F2533">CategorizeComment(E2533)</f>
        <v>Other</v>
      </c>
      <c r="G2533" t="str" cm="1">
        <f t="array" ref="G2533">SubCategorizeComment(E2533)</f>
        <v>Other</v>
      </c>
    </row>
    <row r="2534" spans="1:7" x14ac:dyDescent="0.25">
      <c r="A2534">
        <v>18367</v>
      </c>
      <c r="B2534" t="s">
        <v>4</v>
      </c>
      <c r="C2534">
        <v>4</v>
      </c>
      <c r="D2534" t="s">
        <v>5</v>
      </c>
      <c r="F2534" t="str" cm="1">
        <f t="array" ref="F2534">CategorizeComment(E2534)</f>
        <v>Other</v>
      </c>
      <c r="G2534" t="str" cm="1">
        <f t="array" ref="G2534">SubCategorizeComment(E2534)</f>
        <v>Other</v>
      </c>
    </row>
    <row r="2535" spans="1:7" x14ac:dyDescent="0.25">
      <c r="A2535">
        <v>18408</v>
      </c>
      <c r="B2535" t="s">
        <v>4</v>
      </c>
      <c r="C2535">
        <v>3</v>
      </c>
      <c r="D2535" t="s">
        <v>5</v>
      </c>
      <c r="F2535" t="str" cm="1">
        <f t="array" ref="F2535">CategorizeComment(E2535)</f>
        <v>Other</v>
      </c>
      <c r="G2535" t="str" cm="1">
        <f t="array" ref="G2535">SubCategorizeComment(E2535)</f>
        <v>Other</v>
      </c>
    </row>
    <row r="2536" spans="1:7" x14ac:dyDescent="0.25">
      <c r="A2536">
        <v>18424</v>
      </c>
      <c r="B2536" t="s">
        <v>4</v>
      </c>
      <c r="C2536">
        <v>4</v>
      </c>
      <c r="D2536" t="s">
        <v>5</v>
      </c>
      <c r="F2536" t="str" cm="1">
        <f t="array" ref="F2536">CategorizeComment(E2536)</f>
        <v>Other</v>
      </c>
      <c r="G2536" t="str" cm="1">
        <f t="array" ref="G2536">SubCategorizeComment(E2536)</f>
        <v>Other</v>
      </c>
    </row>
    <row r="2537" spans="1:7" x14ac:dyDescent="0.25">
      <c r="A2537">
        <v>18443</v>
      </c>
      <c r="B2537" t="s">
        <v>4</v>
      </c>
      <c r="C2537">
        <v>4</v>
      </c>
      <c r="D2537" t="s">
        <v>5</v>
      </c>
      <c r="F2537" t="str" cm="1">
        <f t="array" ref="F2537">CategorizeComment(E2537)</f>
        <v>Other</v>
      </c>
      <c r="G2537" t="str" cm="1">
        <f t="array" ref="G2537">SubCategorizeComment(E2537)</f>
        <v>Other</v>
      </c>
    </row>
    <row r="2538" spans="1:7" x14ac:dyDescent="0.25">
      <c r="A2538">
        <v>18444</v>
      </c>
      <c r="B2538" t="s">
        <v>4</v>
      </c>
      <c r="C2538">
        <v>3</v>
      </c>
      <c r="D2538" t="s">
        <v>5</v>
      </c>
      <c r="F2538" t="str" cm="1">
        <f t="array" ref="F2538">CategorizeComment(E2538)</f>
        <v>Other</v>
      </c>
      <c r="G2538" t="str" cm="1">
        <f t="array" ref="G2538">SubCategorizeComment(E2538)</f>
        <v>Other</v>
      </c>
    </row>
    <row r="2539" spans="1:7" x14ac:dyDescent="0.25">
      <c r="A2539">
        <v>18450</v>
      </c>
      <c r="B2539" t="s">
        <v>4</v>
      </c>
      <c r="C2539">
        <v>4</v>
      </c>
      <c r="D2539" t="s">
        <v>5</v>
      </c>
      <c r="F2539" t="str" cm="1">
        <f t="array" ref="F2539">CategorizeComment(E2539)</f>
        <v>Other</v>
      </c>
      <c r="G2539" t="str" cm="1">
        <f t="array" ref="G2539">SubCategorizeComment(E2539)</f>
        <v>Other</v>
      </c>
    </row>
    <row r="2540" spans="1:7" x14ac:dyDescent="0.25">
      <c r="A2540">
        <v>18454</v>
      </c>
      <c r="B2540" t="s">
        <v>4</v>
      </c>
      <c r="C2540">
        <v>4</v>
      </c>
      <c r="D2540" t="s">
        <v>5</v>
      </c>
      <c r="F2540" t="str" cm="1">
        <f t="array" ref="F2540">CategorizeComment(E2540)</f>
        <v>Other</v>
      </c>
      <c r="G2540" t="str" cm="1">
        <f t="array" ref="G2540">SubCategorizeComment(E2540)</f>
        <v>Other</v>
      </c>
    </row>
    <row r="2541" spans="1:7" x14ac:dyDescent="0.25">
      <c r="A2541">
        <v>18494</v>
      </c>
      <c r="B2541" t="s">
        <v>4</v>
      </c>
      <c r="C2541">
        <v>4</v>
      </c>
      <c r="D2541" t="s">
        <v>5</v>
      </c>
      <c r="F2541" t="str" cm="1">
        <f t="array" ref="F2541">CategorizeComment(E2541)</f>
        <v>Other</v>
      </c>
      <c r="G2541" t="str" cm="1">
        <f t="array" ref="G2541">SubCategorizeComment(E2541)</f>
        <v>Other</v>
      </c>
    </row>
    <row r="2542" spans="1:7" x14ac:dyDescent="0.25">
      <c r="A2542">
        <v>18496</v>
      </c>
      <c r="B2542" t="s">
        <v>4</v>
      </c>
      <c r="C2542">
        <v>4</v>
      </c>
      <c r="D2542" t="s">
        <v>5</v>
      </c>
      <c r="F2542" t="str" cm="1">
        <f t="array" ref="F2542">CategorizeComment(E2542)</f>
        <v>Other</v>
      </c>
      <c r="G2542" t="str" cm="1">
        <f t="array" ref="G2542">SubCategorizeComment(E2542)</f>
        <v>Other</v>
      </c>
    </row>
    <row r="2543" spans="1:7" x14ac:dyDescent="0.25">
      <c r="A2543">
        <v>18530</v>
      </c>
      <c r="B2543" t="s">
        <v>4</v>
      </c>
      <c r="C2543">
        <v>3</v>
      </c>
      <c r="D2543" t="s">
        <v>5</v>
      </c>
      <c r="F2543" t="str" cm="1">
        <f t="array" ref="F2543">CategorizeComment(E2543)</f>
        <v>Other</v>
      </c>
      <c r="G2543" t="str" cm="1">
        <f t="array" ref="G2543">SubCategorizeComment(E2543)</f>
        <v>Other</v>
      </c>
    </row>
    <row r="2544" spans="1:7" x14ac:dyDescent="0.25">
      <c r="A2544">
        <v>18546</v>
      </c>
      <c r="B2544" t="s">
        <v>4</v>
      </c>
      <c r="C2544">
        <v>3</v>
      </c>
      <c r="D2544" t="s">
        <v>5</v>
      </c>
      <c r="F2544" t="str" cm="1">
        <f t="array" ref="F2544">CategorizeComment(E2544)</f>
        <v>Other</v>
      </c>
      <c r="G2544" t="str" cm="1">
        <f t="array" ref="G2544">SubCategorizeComment(E2544)</f>
        <v>Other</v>
      </c>
    </row>
    <row r="2545" spans="1:7" x14ac:dyDescent="0.25">
      <c r="A2545">
        <v>18561</v>
      </c>
      <c r="B2545" t="s">
        <v>4</v>
      </c>
      <c r="C2545">
        <v>4</v>
      </c>
      <c r="D2545" t="s">
        <v>5</v>
      </c>
      <c r="F2545" t="str" cm="1">
        <f t="array" ref="F2545">CategorizeComment(E2545)</f>
        <v>Other</v>
      </c>
      <c r="G2545" t="str" cm="1">
        <f t="array" ref="G2545">SubCategorizeComment(E2545)</f>
        <v>Other</v>
      </c>
    </row>
    <row r="2546" spans="1:7" x14ac:dyDescent="0.25">
      <c r="A2546">
        <v>18570</v>
      </c>
      <c r="B2546" t="s">
        <v>4</v>
      </c>
      <c r="C2546">
        <v>4</v>
      </c>
      <c r="D2546" t="s">
        <v>5</v>
      </c>
      <c r="F2546" t="str" cm="1">
        <f t="array" ref="F2546">CategorizeComment(E2546)</f>
        <v>Other</v>
      </c>
      <c r="G2546" t="str" cm="1">
        <f t="array" ref="G2546">SubCategorizeComment(E2546)</f>
        <v>Other</v>
      </c>
    </row>
    <row r="2547" spans="1:7" x14ac:dyDescent="0.25">
      <c r="A2547">
        <v>18573</v>
      </c>
      <c r="B2547" t="s">
        <v>4</v>
      </c>
      <c r="C2547">
        <v>3</v>
      </c>
      <c r="D2547" t="s">
        <v>5</v>
      </c>
      <c r="F2547" t="str" cm="1">
        <f t="array" ref="F2547">CategorizeComment(E2547)</f>
        <v>Other</v>
      </c>
      <c r="G2547" t="str" cm="1">
        <f t="array" ref="G2547">SubCategorizeComment(E2547)</f>
        <v>Other</v>
      </c>
    </row>
    <row r="2548" spans="1:7" x14ac:dyDescent="0.25">
      <c r="A2548">
        <v>18574</v>
      </c>
      <c r="B2548" t="s">
        <v>4</v>
      </c>
      <c r="C2548">
        <v>4</v>
      </c>
      <c r="D2548" t="s">
        <v>5</v>
      </c>
      <c r="F2548" t="str" cm="1">
        <f t="array" ref="F2548">CategorizeComment(E2548)</f>
        <v>Other</v>
      </c>
      <c r="G2548" t="str" cm="1">
        <f t="array" ref="G2548">SubCategorizeComment(E2548)</f>
        <v>Other</v>
      </c>
    </row>
    <row r="2549" spans="1:7" x14ac:dyDescent="0.25">
      <c r="A2549">
        <v>18576</v>
      </c>
      <c r="B2549" t="s">
        <v>4</v>
      </c>
      <c r="C2549">
        <v>3</v>
      </c>
      <c r="D2549" t="s">
        <v>5</v>
      </c>
      <c r="F2549" t="str" cm="1">
        <f t="array" ref="F2549">CategorizeComment(E2549)</f>
        <v>Other</v>
      </c>
      <c r="G2549" t="str" cm="1">
        <f t="array" ref="G2549">SubCategorizeComment(E2549)</f>
        <v>Other</v>
      </c>
    </row>
    <row r="2550" spans="1:7" x14ac:dyDescent="0.25">
      <c r="A2550">
        <v>18586</v>
      </c>
      <c r="B2550" t="s">
        <v>4</v>
      </c>
      <c r="C2550">
        <v>3</v>
      </c>
      <c r="D2550" t="s">
        <v>5</v>
      </c>
      <c r="F2550" t="str" cm="1">
        <f t="array" ref="F2550">CategorizeComment(E2550)</f>
        <v>Other</v>
      </c>
      <c r="G2550" t="str" cm="1">
        <f t="array" ref="G2550">SubCategorizeComment(E2550)</f>
        <v>Other</v>
      </c>
    </row>
    <row r="2551" spans="1:7" x14ac:dyDescent="0.25">
      <c r="A2551">
        <v>18589</v>
      </c>
      <c r="B2551" t="s">
        <v>4</v>
      </c>
      <c r="C2551">
        <v>3</v>
      </c>
      <c r="D2551" t="s">
        <v>5</v>
      </c>
      <c r="F2551" t="str" cm="1">
        <f t="array" ref="F2551">CategorizeComment(E2551)</f>
        <v>Other</v>
      </c>
      <c r="G2551" t="str" cm="1">
        <f t="array" ref="G2551">SubCategorizeComment(E2551)</f>
        <v>Other</v>
      </c>
    </row>
    <row r="2552" spans="1:7" x14ac:dyDescent="0.25">
      <c r="A2552">
        <v>18592</v>
      </c>
      <c r="B2552" t="s">
        <v>4</v>
      </c>
      <c r="C2552">
        <v>4</v>
      </c>
      <c r="D2552" t="s">
        <v>5</v>
      </c>
      <c r="F2552" t="str" cm="1">
        <f t="array" ref="F2552">CategorizeComment(E2552)</f>
        <v>Other</v>
      </c>
      <c r="G2552" t="str" cm="1">
        <f t="array" ref="G2552">SubCategorizeComment(E2552)</f>
        <v>Other</v>
      </c>
    </row>
    <row r="2553" spans="1:7" x14ac:dyDescent="0.25">
      <c r="A2553">
        <v>18600</v>
      </c>
      <c r="B2553" t="s">
        <v>4</v>
      </c>
      <c r="C2553">
        <v>3</v>
      </c>
      <c r="D2553" t="s">
        <v>5</v>
      </c>
      <c r="F2553" t="str" cm="1">
        <f t="array" ref="F2553">CategorizeComment(E2553)</f>
        <v>Other</v>
      </c>
      <c r="G2553" t="str" cm="1">
        <f t="array" ref="G2553">SubCategorizeComment(E2553)</f>
        <v>Other</v>
      </c>
    </row>
    <row r="2554" spans="1:7" x14ac:dyDescent="0.25">
      <c r="A2554">
        <v>18610</v>
      </c>
      <c r="B2554" t="s">
        <v>4</v>
      </c>
      <c r="C2554">
        <v>3</v>
      </c>
      <c r="D2554" t="s">
        <v>5</v>
      </c>
      <c r="F2554" t="str" cm="1">
        <f t="array" ref="F2554">CategorizeComment(E2554)</f>
        <v>Other</v>
      </c>
      <c r="G2554" t="str" cm="1">
        <f t="array" ref="G2554">SubCategorizeComment(E2554)</f>
        <v>Other</v>
      </c>
    </row>
    <row r="2555" spans="1:7" x14ac:dyDescent="0.25">
      <c r="A2555">
        <v>18611</v>
      </c>
      <c r="B2555" t="s">
        <v>4</v>
      </c>
      <c r="C2555">
        <v>3</v>
      </c>
      <c r="D2555" t="s">
        <v>5</v>
      </c>
      <c r="F2555" t="str" cm="1">
        <f t="array" ref="F2555">CategorizeComment(E2555)</f>
        <v>Other</v>
      </c>
      <c r="G2555" t="str" cm="1">
        <f t="array" ref="G2555">SubCategorizeComment(E2555)</f>
        <v>Other</v>
      </c>
    </row>
    <row r="2556" spans="1:7" x14ac:dyDescent="0.25">
      <c r="A2556">
        <v>18613</v>
      </c>
      <c r="B2556" t="s">
        <v>4</v>
      </c>
      <c r="C2556">
        <v>4</v>
      </c>
      <c r="D2556" t="s">
        <v>5</v>
      </c>
      <c r="F2556" t="str" cm="1">
        <f t="array" ref="F2556">CategorizeComment(E2556)</f>
        <v>Other</v>
      </c>
      <c r="G2556" t="str" cm="1">
        <f t="array" ref="G2556">SubCategorizeComment(E2556)</f>
        <v>Other</v>
      </c>
    </row>
    <row r="2557" spans="1:7" x14ac:dyDescent="0.25">
      <c r="A2557">
        <v>18615</v>
      </c>
      <c r="B2557" t="s">
        <v>4</v>
      </c>
      <c r="C2557">
        <v>3</v>
      </c>
      <c r="D2557" t="s">
        <v>5</v>
      </c>
      <c r="F2557" t="str" cm="1">
        <f t="array" ref="F2557">CategorizeComment(E2557)</f>
        <v>Other</v>
      </c>
      <c r="G2557" t="str" cm="1">
        <f t="array" ref="G2557">SubCategorizeComment(E2557)</f>
        <v>Other</v>
      </c>
    </row>
    <row r="2558" spans="1:7" x14ac:dyDescent="0.25">
      <c r="A2558">
        <v>18623</v>
      </c>
      <c r="B2558" t="s">
        <v>4</v>
      </c>
      <c r="C2558">
        <v>4</v>
      </c>
      <c r="D2558" t="s">
        <v>5</v>
      </c>
      <c r="F2558" t="str" cm="1">
        <f t="array" ref="F2558">CategorizeComment(E2558)</f>
        <v>Other</v>
      </c>
      <c r="G2558" t="str" cm="1">
        <f t="array" ref="G2558">SubCategorizeComment(E2558)</f>
        <v>Other</v>
      </c>
    </row>
    <row r="2559" spans="1:7" x14ac:dyDescent="0.25">
      <c r="A2559">
        <v>18629</v>
      </c>
      <c r="B2559" t="s">
        <v>4</v>
      </c>
      <c r="C2559">
        <v>3</v>
      </c>
      <c r="D2559" t="s">
        <v>5</v>
      </c>
      <c r="F2559" t="str" cm="1">
        <f t="array" ref="F2559">CategorizeComment(E2559)</f>
        <v>Other</v>
      </c>
      <c r="G2559" t="str" cm="1">
        <f t="array" ref="G2559">SubCategorizeComment(E2559)</f>
        <v>Other</v>
      </c>
    </row>
    <row r="2560" spans="1:7" x14ac:dyDescent="0.25">
      <c r="A2560">
        <v>18633</v>
      </c>
      <c r="B2560" t="s">
        <v>4</v>
      </c>
      <c r="C2560">
        <v>4</v>
      </c>
      <c r="D2560" t="s">
        <v>5</v>
      </c>
      <c r="F2560" t="str" cm="1">
        <f t="array" ref="F2560">CategorizeComment(E2560)</f>
        <v>Other</v>
      </c>
      <c r="G2560" t="str" cm="1">
        <f t="array" ref="G2560">SubCategorizeComment(E2560)</f>
        <v>Other</v>
      </c>
    </row>
    <row r="2561" spans="1:7" x14ac:dyDescent="0.25">
      <c r="A2561">
        <v>18634</v>
      </c>
      <c r="B2561" t="s">
        <v>4</v>
      </c>
      <c r="C2561">
        <v>3</v>
      </c>
      <c r="D2561" t="s">
        <v>5</v>
      </c>
      <c r="F2561" t="str" cm="1">
        <f t="array" ref="F2561">CategorizeComment(E2561)</f>
        <v>Other</v>
      </c>
      <c r="G2561" t="str" cm="1">
        <f t="array" ref="G2561">SubCategorizeComment(E2561)</f>
        <v>Other</v>
      </c>
    </row>
    <row r="2562" spans="1:7" x14ac:dyDescent="0.25">
      <c r="A2562">
        <v>18637</v>
      </c>
      <c r="B2562" t="s">
        <v>4</v>
      </c>
      <c r="C2562">
        <v>4</v>
      </c>
      <c r="D2562" t="s">
        <v>5</v>
      </c>
      <c r="F2562" t="str" cm="1">
        <f t="array" ref="F2562">CategorizeComment(E2562)</f>
        <v>Other</v>
      </c>
      <c r="G2562" t="str" cm="1">
        <f t="array" ref="G2562">SubCategorizeComment(E2562)</f>
        <v>Other</v>
      </c>
    </row>
    <row r="2563" spans="1:7" x14ac:dyDescent="0.25">
      <c r="A2563">
        <v>18642</v>
      </c>
      <c r="B2563" t="s">
        <v>4</v>
      </c>
      <c r="C2563">
        <v>3</v>
      </c>
      <c r="D2563" t="s">
        <v>5</v>
      </c>
      <c r="F2563" t="str" cm="1">
        <f t="array" ref="F2563">CategorizeComment(E2563)</f>
        <v>Other</v>
      </c>
      <c r="G2563" t="str" cm="1">
        <f t="array" ref="G2563">SubCategorizeComment(E2563)</f>
        <v>Other</v>
      </c>
    </row>
    <row r="2564" spans="1:7" x14ac:dyDescent="0.25">
      <c r="A2564">
        <v>18649</v>
      </c>
      <c r="B2564" t="s">
        <v>4</v>
      </c>
      <c r="C2564">
        <v>4</v>
      </c>
      <c r="D2564" t="s">
        <v>5</v>
      </c>
      <c r="F2564" t="str" cm="1">
        <f t="array" ref="F2564">CategorizeComment(E2564)</f>
        <v>Other</v>
      </c>
      <c r="G2564" t="str" cm="1">
        <f t="array" ref="G2564">SubCategorizeComment(E2564)</f>
        <v>Other</v>
      </c>
    </row>
    <row r="2565" spans="1:7" x14ac:dyDescent="0.25">
      <c r="A2565">
        <v>18653</v>
      </c>
      <c r="B2565" t="s">
        <v>4</v>
      </c>
      <c r="C2565">
        <v>4</v>
      </c>
      <c r="D2565" t="s">
        <v>5</v>
      </c>
      <c r="F2565" t="str" cm="1">
        <f t="array" ref="F2565">CategorizeComment(E2565)</f>
        <v>Other</v>
      </c>
      <c r="G2565" t="str" cm="1">
        <f t="array" ref="G2565">SubCategorizeComment(E2565)</f>
        <v>Other</v>
      </c>
    </row>
    <row r="2566" spans="1:7" x14ac:dyDescent="0.25">
      <c r="A2566">
        <v>18662</v>
      </c>
      <c r="B2566" t="s">
        <v>4</v>
      </c>
      <c r="C2566">
        <v>4</v>
      </c>
      <c r="D2566" t="s">
        <v>5</v>
      </c>
      <c r="F2566" t="str" cm="1">
        <f t="array" ref="F2566">CategorizeComment(E2566)</f>
        <v>Other</v>
      </c>
      <c r="G2566" t="str" cm="1">
        <f t="array" ref="G2566">SubCategorizeComment(E2566)</f>
        <v>Other</v>
      </c>
    </row>
    <row r="2567" spans="1:7" x14ac:dyDescent="0.25">
      <c r="A2567">
        <v>18674</v>
      </c>
      <c r="B2567" t="s">
        <v>4</v>
      </c>
      <c r="C2567">
        <v>4</v>
      </c>
      <c r="D2567" t="s">
        <v>5</v>
      </c>
      <c r="F2567" t="str" cm="1">
        <f t="array" ref="F2567">CategorizeComment(E2567)</f>
        <v>Other</v>
      </c>
      <c r="G2567" t="str" cm="1">
        <f t="array" ref="G2567">SubCategorizeComment(E2567)</f>
        <v>Other</v>
      </c>
    </row>
    <row r="2568" spans="1:7" x14ac:dyDescent="0.25">
      <c r="A2568">
        <v>18680</v>
      </c>
      <c r="B2568" t="s">
        <v>4</v>
      </c>
      <c r="C2568">
        <v>4</v>
      </c>
      <c r="D2568" t="s">
        <v>5</v>
      </c>
      <c r="F2568" t="str" cm="1">
        <f t="array" ref="F2568">CategorizeComment(E2568)</f>
        <v>Other</v>
      </c>
      <c r="G2568" t="str" cm="1">
        <f t="array" ref="G2568">SubCategorizeComment(E2568)</f>
        <v>Other</v>
      </c>
    </row>
    <row r="2569" spans="1:7" x14ac:dyDescent="0.25">
      <c r="A2569">
        <v>18686</v>
      </c>
      <c r="B2569" t="s">
        <v>4</v>
      </c>
      <c r="C2569">
        <v>3</v>
      </c>
      <c r="D2569" t="s">
        <v>5</v>
      </c>
      <c r="F2569" t="str" cm="1">
        <f t="array" ref="F2569">CategorizeComment(E2569)</f>
        <v>Other</v>
      </c>
      <c r="G2569" t="str" cm="1">
        <f t="array" ref="G2569">SubCategorizeComment(E2569)</f>
        <v>Other</v>
      </c>
    </row>
    <row r="2570" spans="1:7" x14ac:dyDescent="0.25">
      <c r="A2570">
        <v>18691</v>
      </c>
      <c r="B2570" t="s">
        <v>4</v>
      </c>
      <c r="C2570">
        <v>4</v>
      </c>
      <c r="D2570" t="s">
        <v>5</v>
      </c>
      <c r="F2570" t="str" cm="1">
        <f t="array" ref="F2570">CategorizeComment(E2570)</f>
        <v>Other</v>
      </c>
      <c r="G2570" t="str" cm="1">
        <f t="array" ref="G2570">SubCategorizeComment(E2570)</f>
        <v>Other</v>
      </c>
    </row>
    <row r="2571" spans="1:7" x14ac:dyDescent="0.25">
      <c r="A2571">
        <v>18709</v>
      </c>
      <c r="B2571" t="s">
        <v>4</v>
      </c>
      <c r="C2571">
        <v>4</v>
      </c>
      <c r="D2571" t="s">
        <v>5</v>
      </c>
      <c r="F2571" t="str" cm="1">
        <f t="array" ref="F2571">CategorizeComment(E2571)</f>
        <v>Other</v>
      </c>
      <c r="G2571" t="str" cm="1">
        <f t="array" ref="G2571">SubCategorizeComment(E2571)</f>
        <v>Other</v>
      </c>
    </row>
    <row r="2572" spans="1:7" x14ac:dyDescent="0.25">
      <c r="A2572">
        <v>18717</v>
      </c>
      <c r="B2572" t="s">
        <v>4</v>
      </c>
      <c r="C2572">
        <v>3</v>
      </c>
      <c r="D2572" t="s">
        <v>5</v>
      </c>
      <c r="F2572" t="str" cm="1">
        <f t="array" ref="F2572">CategorizeComment(E2572)</f>
        <v>Other</v>
      </c>
      <c r="G2572" t="str" cm="1">
        <f t="array" ref="G2572">SubCategorizeComment(E2572)</f>
        <v>Other</v>
      </c>
    </row>
    <row r="2573" spans="1:7" x14ac:dyDescent="0.25">
      <c r="A2573">
        <v>18719</v>
      </c>
      <c r="B2573" t="s">
        <v>4</v>
      </c>
      <c r="C2573">
        <v>4</v>
      </c>
      <c r="D2573" t="s">
        <v>5</v>
      </c>
      <c r="F2573" t="str" cm="1">
        <f t="array" ref="F2573">CategorizeComment(E2573)</f>
        <v>Other</v>
      </c>
      <c r="G2573" t="str" cm="1">
        <f t="array" ref="G2573">SubCategorizeComment(E2573)</f>
        <v>Other</v>
      </c>
    </row>
    <row r="2574" spans="1:7" x14ac:dyDescent="0.25">
      <c r="A2574">
        <v>18726</v>
      </c>
      <c r="B2574" t="s">
        <v>4</v>
      </c>
      <c r="C2574">
        <v>4</v>
      </c>
      <c r="D2574" t="s">
        <v>5</v>
      </c>
      <c r="F2574" t="str" cm="1">
        <f t="array" ref="F2574">CategorizeComment(E2574)</f>
        <v>Other</v>
      </c>
      <c r="G2574" t="str" cm="1">
        <f t="array" ref="G2574">SubCategorizeComment(E2574)</f>
        <v>Other</v>
      </c>
    </row>
    <row r="2575" spans="1:7" x14ac:dyDescent="0.25">
      <c r="A2575">
        <v>18733</v>
      </c>
      <c r="B2575" t="s">
        <v>4</v>
      </c>
      <c r="C2575">
        <v>3</v>
      </c>
      <c r="D2575" t="s">
        <v>5</v>
      </c>
      <c r="F2575" t="str" cm="1">
        <f t="array" ref="F2575">CategorizeComment(E2575)</f>
        <v>Other</v>
      </c>
      <c r="G2575" t="str" cm="1">
        <f t="array" ref="G2575">SubCategorizeComment(E2575)</f>
        <v>Other</v>
      </c>
    </row>
    <row r="2576" spans="1:7" x14ac:dyDescent="0.25">
      <c r="A2576">
        <v>18737</v>
      </c>
      <c r="B2576" t="s">
        <v>4</v>
      </c>
      <c r="C2576">
        <v>4</v>
      </c>
      <c r="D2576" t="s">
        <v>5</v>
      </c>
      <c r="F2576" t="str" cm="1">
        <f t="array" ref="F2576">CategorizeComment(E2576)</f>
        <v>Other</v>
      </c>
      <c r="G2576" t="str" cm="1">
        <f t="array" ref="G2576">SubCategorizeComment(E2576)</f>
        <v>Other</v>
      </c>
    </row>
    <row r="2577" spans="1:7" x14ac:dyDescent="0.25">
      <c r="A2577">
        <v>18738</v>
      </c>
      <c r="B2577" t="s">
        <v>4</v>
      </c>
      <c r="C2577">
        <v>3</v>
      </c>
      <c r="D2577" t="s">
        <v>5</v>
      </c>
      <c r="F2577" t="str" cm="1">
        <f t="array" ref="F2577">CategorizeComment(E2577)</f>
        <v>Other</v>
      </c>
      <c r="G2577" t="str" cm="1">
        <f t="array" ref="G2577">SubCategorizeComment(E2577)</f>
        <v>Other</v>
      </c>
    </row>
    <row r="2578" spans="1:7" x14ac:dyDescent="0.25">
      <c r="A2578">
        <v>18740</v>
      </c>
      <c r="B2578" t="s">
        <v>4</v>
      </c>
      <c r="C2578">
        <v>4</v>
      </c>
      <c r="D2578" t="s">
        <v>5</v>
      </c>
      <c r="F2578" t="str" cm="1">
        <f t="array" ref="F2578">CategorizeComment(E2578)</f>
        <v>Other</v>
      </c>
      <c r="G2578" t="str" cm="1">
        <f t="array" ref="G2578">SubCategorizeComment(E2578)</f>
        <v>Other</v>
      </c>
    </row>
    <row r="2579" spans="1:7" x14ac:dyDescent="0.25">
      <c r="A2579">
        <v>18741</v>
      </c>
      <c r="B2579" t="s">
        <v>4</v>
      </c>
      <c r="C2579">
        <v>4</v>
      </c>
      <c r="D2579" t="s">
        <v>5</v>
      </c>
      <c r="F2579" t="str" cm="1">
        <f t="array" ref="F2579">CategorizeComment(E2579)</f>
        <v>Other</v>
      </c>
      <c r="G2579" t="str" cm="1">
        <f t="array" ref="G2579">SubCategorizeComment(E2579)</f>
        <v>Other</v>
      </c>
    </row>
    <row r="2580" spans="1:7" x14ac:dyDescent="0.25">
      <c r="A2580">
        <v>18746</v>
      </c>
      <c r="B2580" t="s">
        <v>4</v>
      </c>
      <c r="C2580">
        <v>4</v>
      </c>
      <c r="D2580" t="s">
        <v>5</v>
      </c>
      <c r="F2580" t="str" cm="1">
        <f t="array" ref="F2580">CategorizeComment(E2580)</f>
        <v>Other</v>
      </c>
      <c r="G2580" t="str" cm="1">
        <f t="array" ref="G2580">SubCategorizeComment(E2580)</f>
        <v>Other</v>
      </c>
    </row>
    <row r="2581" spans="1:7" x14ac:dyDescent="0.25">
      <c r="A2581">
        <v>18817</v>
      </c>
      <c r="B2581" t="s">
        <v>4</v>
      </c>
      <c r="C2581">
        <v>4</v>
      </c>
      <c r="D2581" t="s">
        <v>5</v>
      </c>
      <c r="F2581" t="str" cm="1">
        <f t="array" ref="F2581">CategorizeComment(E2581)</f>
        <v>Other</v>
      </c>
      <c r="G2581" t="str" cm="1">
        <f t="array" ref="G2581">SubCategorizeComment(E2581)</f>
        <v>Other</v>
      </c>
    </row>
    <row r="2582" spans="1:7" x14ac:dyDescent="0.25">
      <c r="A2582">
        <v>18825</v>
      </c>
      <c r="B2582" t="s">
        <v>4</v>
      </c>
      <c r="C2582">
        <v>4</v>
      </c>
      <c r="D2582" t="s">
        <v>5</v>
      </c>
      <c r="F2582" t="str" cm="1">
        <f t="array" ref="F2582">CategorizeComment(E2582)</f>
        <v>Other</v>
      </c>
      <c r="G2582" t="str" cm="1">
        <f t="array" ref="G2582">SubCategorizeComment(E2582)</f>
        <v>Other</v>
      </c>
    </row>
    <row r="2583" spans="1:7" x14ac:dyDescent="0.25">
      <c r="A2583">
        <v>18852</v>
      </c>
      <c r="B2583" t="s">
        <v>4</v>
      </c>
      <c r="C2583">
        <v>4</v>
      </c>
      <c r="D2583" t="s">
        <v>5</v>
      </c>
      <c r="F2583" t="str" cm="1">
        <f t="array" ref="F2583">CategorizeComment(E2583)</f>
        <v>Other</v>
      </c>
      <c r="G2583" t="str" cm="1">
        <f t="array" ref="G2583">SubCategorizeComment(E2583)</f>
        <v>Other</v>
      </c>
    </row>
    <row r="2584" spans="1:7" x14ac:dyDescent="0.25">
      <c r="A2584">
        <v>18855</v>
      </c>
      <c r="B2584" t="s">
        <v>4</v>
      </c>
      <c r="C2584">
        <v>3</v>
      </c>
      <c r="D2584" t="s">
        <v>5</v>
      </c>
      <c r="F2584" t="str" cm="1">
        <f t="array" ref="F2584">CategorizeComment(E2584)</f>
        <v>Other</v>
      </c>
      <c r="G2584" t="str" cm="1">
        <f t="array" ref="G2584">SubCategorizeComment(E2584)</f>
        <v>Other</v>
      </c>
    </row>
    <row r="2585" spans="1:7" x14ac:dyDescent="0.25">
      <c r="A2585">
        <v>18862</v>
      </c>
      <c r="B2585" t="s">
        <v>4</v>
      </c>
      <c r="C2585">
        <v>3</v>
      </c>
      <c r="D2585" t="s">
        <v>5</v>
      </c>
      <c r="F2585" t="str" cm="1">
        <f t="array" ref="F2585">CategorizeComment(E2585)</f>
        <v>Other</v>
      </c>
      <c r="G2585" t="str" cm="1">
        <f t="array" ref="G2585">SubCategorizeComment(E2585)</f>
        <v>Other</v>
      </c>
    </row>
    <row r="2586" spans="1:7" x14ac:dyDescent="0.25">
      <c r="A2586">
        <v>18868</v>
      </c>
      <c r="B2586" t="s">
        <v>4</v>
      </c>
      <c r="C2586">
        <v>3</v>
      </c>
      <c r="D2586" t="s">
        <v>5</v>
      </c>
      <c r="F2586" t="str" cm="1">
        <f t="array" ref="F2586">CategorizeComment(E2586)</f>
        <v>Other</v>
      </c>
      <c r="G2586" t="str" cm="1">
        <f t="array" ref="G2586">SubCategorizeComment(E2586)</f>
        <v>Other</v>
      </c>
    </row>
    <row r="2587" spans="1:7" x14ac:dyDescent="0.25">
      <c r="A2587">
        <v>18875</v>
      </c>
      <c r="B2587" t="s">
        <v>4</v>
      </c>
      <c r="C2587">
        <v>4</v>
      </c>
      <c r="D2587" t="s">
        <v>5</v>
      </c>
      <c r="F2587" t="str" cm="1">
        <f t="array" ref="F2587">CategorizeComment(E2587)</f>
        <v>Other</v>
      </c>
      <c r="G2587" t="str" cm="1">
        <f t="array" ref="G2587">SubCategorizeComment(E2587)</f>
        <v>Other</v>
      </c>
    </row>
    <row r="2588" spans="1:7" x14ac:dyDescent="0.25">
      <c r="A2588">
        <v>18879</v>
      </c>
      <c r="B2588" t="s">
        <v>4</v>
      </c>
      <c r="C2588">
        <v>4</v>
      </c>
      <c r="D2588" t="s">
        <v>5</v>
      </c>
      <c r="F2588" t="str" cm="1">
        <f t="array" ref="F2588">CategorizeComment(E2588)</f>
        <v>Other</v>
      </c>
      <c r="G2588" t="str" cm="1">
        <f t="array" ref="G2588">SubCategorizeComment(E2588)</f>
        <v>Other</v>
      </c>
    </row>
    <row r="2589" spans="1:7" x14ac:dyDescent="0.25">
      <c r="A2589">
        <v>18880</v>
      </c>
      <c r="B2589" t="s">
        <v>4</v>
      </c>
      <c r="C2589">
        <v>3</v>
      </c>
      <c r="D2589" t="s">
        <v>5</v>
      </c>
      <c r="F2589" t="str" cm="1">
        <f t="array" ref="F2589">CategorizeComment(E2589)</f>
        <v>Other</v>
      </c>
      <c r="G2589" t="str" cm="1">
        <f t="array" ref="G2589">SubCategorizeComment(E2589)</f>
        <v>Other</v>
      </c>
    </row>
    <row r="2590" spans="1:7" x14ac:dyDescent="0.25">
      <c r="A2590">
        <v>18883</v>
      </c>
      <c r="B2590" t="s">
        <v>4</v>
      </c>
      <c r="C2590">
        <v>3</v>
      </c>
      <c r="D2590" t="s">
        <v>5</v>
      </c>
      <c r="F2590" t="str" cm="1">
        <f t="array" ref="F2590">CategorizeComment(E2590)</f>
        <v>Other</v>
      </c>
      <c r="G2590" t="str" cm="1">
        <f t="array" ref="G2590">SubCategorizeComment(E2590)</f>
        <v>Other</v>
      </c>
    </row>
    <row r="2591" spans="1:7" x14ac:dyDescent="0.25">
      <c r="A2591">
        <v>18888</v>
      </c>
      <c r="B2591" t="s">
        <v>4</v>
      </c>
      <c r="C2591">
        <v>3</v>
      </c>
      <c r="D2591" t="s">
        <v>5</v>
      </c>
      <c r="F2591" t="str" cm="1">
        <f t="array" ref="F2591">CategorizeComment(E2591)</f>
        <v>Other</v>
      </c>
      <c r="G2591" t="str" cm="1">
        <f t="array" ref="G2591">SubCategorizeComment(E2591)</f>
        <v>Other</v>
      </c>
    </row>
    <row r="2592" spans="1:7" x14ac:dyDescent="0.25">
      <c r="A2592">
        <v>18891</v>
      </c>
      <c r="B2592" t="s">
        <v>4</v>
      </c>
      <c r="C2592">
        <v>3</v>
      </c>
      <c r="D2592" t="s">
        <v>5</v>
      </c>
      <c r="F2592" t="str" cm="1">
        <f t="array" ref="F2592">CategorizeComment(E2592)</f>
        <v>Other</v>
      </c>
      <c r="G2592" t="str" cm="1">
        <f t="array" ref="G2592">SubCategorizeComment(E2592)</f>
        <v>Other</v>
      </c>
    </row>
    <row r="2593" spans="1:7" x14ac:dyDescent="0.25">
      <c r="A2593">
        <v>18893</v>
      </c>
      <c r="B2593" t="s">
        <v>4</v>
      </c>
      <c r="C2593">
        <v>3</v>
      </c>
      <c r="D2593" t="s">
        <v>5</v>
      </c>
      <c r="F2593" t="str" cm="1">
        <f t="array" ref="F2593">CategorizeComment(E2593)</f>
        <v>Other</v>
      </c>
      <c r="G2593" t="str" cm="1">
        <f t="array" ref="G2593">SubCategorizeComment(E2593)</f>
        <v>Other</v>
      </c>
    </row>
    <row r="2594" spans="1:7" x14ac:dyDescent="0.25">
      <c r="A2594">
        <v>18897</v>
      </c>
      <c r="B2594" t="s">
        <v>4</v>
      </c>
      <c r="C2594">
        <v>4</v>
      </c>
      <c r="D2594" t="s">
        <v>5</v>
      </c>
      <c r="F2594" t="str" cm="1">
        <f t="array" ref="F2594">CategorizeComment(E2594)</f>
        <v>Other</v>
      </c>
      <c r="G2594" t="str" cm="1">
        <f t="array" ref="G2594">SubCategorizeComment(E2594)</f>
        <v>Other</v>
      </c>
    </row>
    <row r="2595" spans="1:7" x14ac:dyDescent="0.25">
      <c r="A2595">
        <v>18903</v>
      </c>
      <c r="B2595" t="s">
        <v>4</v>
      </c>
      <c r="C2595">
        <v>4</v>
      </c>
      <c r="D2595" t="s">
        <v>5</v>
      </c>
      <c r="F2595" t="str" cm="1">
        <f t="array" ref="F2595">CategorizeComment(E2595)</f>
        <v>Other</v>
      </c>
      <c r="G2595" t="str" cm="1">
        <f t="array" ref="G2595">SubCategorizeComment(E2595)</f>
        <v>Other</v>
      </c>
    </row>
    <row r="2596" spans="1:7" x14ac:dyDescent="0.25">
      <c r="A2596">
        <v>18910</v>
      </c>
      <c r="B2596" t="s">
        <v>4</v>
      </c>
      <c r="C2596">
        <v>3</v>
      </c>
      <c r="D2596" t="s">
        <v>5</v>
      </c>
      <c r="F2596" t="str" cm="1">
        <f t="array" ref="F2596">CategorizeComment(E2596)</f>
        <v>Other</v>
      </c>
      <c r="G2596" t="str" cm="1">
        <f t="array" ref="G2596">SubCategorizeComment(E2596)</f>
        <v>Other</v>
      </c>
    </row>
    <row r="2597" spans="1:7" x14ac:dyDescent="0.25">
      <c r="A2597">
        <v>18914</v>
      </c>
      <c r="B2597" t="s">
        <v>4</v>
      </c>
      <c r="C2597">
        <v>3</v>
      </c>
      <c r="D2597" t="s">
        <v>5</v>
      </c>
      <c r="F2597" t="str" cm="1">
        <f t="array" ref="F2597">CategorizeComment(E2597)</f>
        <v>Other</v>
      </c>
      <c r="G2597" t="str" cm="1">
        <f t="array" ref="G2597">SubCategorizeComment(E2597)</f>
        <v>Other</v>
      </c>
    </row>
    <row r="2598" spans="1:7" x14ac:dyDescent="0.25">
      <c r="A2598">
        <v>18918</v>
      </c>
      <c r="B2598" t="s">
        <v>4</v>
      </c>
      <c r="C2598">
        <v>4</v>
      </c>
      <c r="D2598" t="s">
        <v>5</v>
      </c>
      <c r="F2598" t="str" cm="1">
        <f t="array" ref="F2598">CategorizeComment(E2598)</f>
        <v>Other</v>
      </c>
      <c r="G2598" t="str" cm="1">
        <f t="array" ref="G2598">SubCategorizeComment(E2598)</f>
        <v>Other</v>
      </c>
    </row>
    <row r="2599" spans="1:7" x14ac:dyDescent="0.25">
      <c r="A2599">
        <v>18924</v>
      </c>
      <c r="B2599" t="s">
        <v>4</v>
      </c>
      <c r="C2599">
        <v>3</v>
      </c>
      <c r="D2599" t="s">
        <v>5</v>
      </c>
      <c r="F2599" t="str" cm="1">
        <f t="array" ref="F2599">CategorizeComment(E2599)</f>
        <v>Other</v>
      </c>
      <c r="G2599" t="str" cm="1">
        <f t="array" ref="G2599">SubCategorizeComment(E2599)</f>
        <v>Other</v>
      </c>
    </row>
    <row r="2600" spans="1:7" x14ac:dyDescent="0.25">
      <c r="A2600">
        <v>18939</v>
      </c>
      <c r="B2600" t="s">
        <v>4</v>
      </c>
      <c r="C2600">
        <v>3</v>
      </c>
      <c r="D2600" t="s">
        <v>5</v>
      </c>
      <c r="F2600" t="str" cm="1">
        <f t="array" ref="F2600">CategorizeComment(E2600)</f>
        <v>Other</v>
      </c>
      <c r="G2600" t="str" cm="1">
        <f t="array" ref="G2600">SubCategorizeComment(E2600)</f>
        <v>Other</v>
      </c>
    </row>
    <row r="2601" spans="1:7" x14ac:dyDescent="0.25">
      <c r="A2601">
        <v>18942</v>
      </c>
      <c r="B2601" t="s">
        <v>4</v>
      </c>
      <c r="C2601">
        <v>3</v>
      </c>
      <c r="D2601" t="s">
        <v>5</v>
      </c>
      <c r="F2601" t="str" cm="1">
        <f t="array" ref="F2601">CategorizeComment(E2601)</f>
        <v>Other</v>
      </c>
      <c r="G2601" t="str" cm="1">
        <f t="array" ref="G2601">SubCategorizeComment(E2601)</f>
        <v>Other</v>
      </c>
    </row>
    <row r="2602" spans="1:7" x14ac:dyDescent="0.25">
      <c r="A2602">
        <v>18961</v>
      </c>
      <c r="B2602" t="s">
        <v>4</v>
      </c>
      <c r="C2602">
        <v>3</v>
      </c>
      <c r="D2602" t="s">
        <v>5</v>
      </c>
      <c r="F2602" t="str" cm="1">
        <f t="array" ref="F2602">CategorizeComment(E2602)</f>
        <v>Other</v>
      </c>
      <c r="G2602" t="str" cm="1">
        <f t="array" ref="G2602">SubCategorizeComment(E2602)</f>
        <v>Other</v>
      </c>
    </row>
    <row r="2603" spans="1:7" x14ac:dyDescent="0.25">
      <c r="A2603">
        <v>18964</v>
      </c>
      <c r="B2603" t="s">
        <v>4</v>
      </c>
      <c r="C2603">
        <v>4</v>
      </c>
      <c r="D2603" t="s">
        <v>5</v>
      </c>
      <c r="F2603" t="str" cm="1">
        <f t="array" ref="F2603">CategorizeComment(E2603)</f>
        <v>Other</v>
      </c>
      <c r="G2603" t="str" cm="1">
        <f t="array" ref="G2603">SubCategorizeComment(E2603)</f>
        <v>Other</v>
      </c>
    </row>
    <row r="2604" spans="1:7" x14ac:dyDescent="0.25">
      <c r="A2604">
        <v>18981</v>
      </c>
      <c r="B2604" t="s">
        <v>4</v>
      </c>
      <c r="C2604">
        <v>3</v>
      </c>
      <c r="D2604" t="s">
        <v>5</v>
      </c>
      <c r="F2604" t="str" cm="1">
        <f t="array" ref="F2604">CategorizeComment(E2604)</f>
        <v>Other</v>
      </c>
      <c r="G2604" t="str" cm="1">
        <f t="array" ref="G2604">SubCategorizeComment(E2604)</f>
        <v>Other</v>
      </c>
    </row>
    <row r="2605" spans="1:7" x14ac:dyDescent="0.25">
      <c r="A2605">
        <v>19006</v>
      </c>
      <c r="B2605" t="s">
        <v>4</v>
      </c>
      <c r="C2605">
        <v>4</v>
      </c>
      <c r="D2605" t="s">
        <v>5</v>
      </c>
      <c r="F2605" t="str" cm="1">
        <f t="array" ref="F2605">CategorizeComment(E2605)</f>
        <v>Other</v>
      </c>
      <c r="G2605" t="str" cm="1">
        <f t="array" ref="G2605">SubCategorizeComment(E2605)</f>
        <v>Other</v>
      </c>
    </row>
    <row r="2606" spans="1:7" x14ac:dyDescent="0.25">
      <c r="A2606">
        <v>19013</v>
      </c>
      <c r="B2606" t="s">
        <v>4</v>
      </c>
      <c r="C2606">
        <v>4</v>
      </c>
      <c r="D2606" t="s">
        <v>5</v>
      </c>
      <c r="F2606" t="str" cm="1">
        <f t="array" ref="F2606">CategorizeComment(E2606)</f>
        <v>Other</v>
      </c>
      <c r="G2606" t="str" cm="1">
        <f t="array" ref="G2606">SubCategorizeComment(E2606)</f>
        <v>Other</v>
      </c>
    </row>
    <row r="2607" spans="1:7" x14ac:dyDescent="0.25">
      <c r="A2607">
        <v>19017</v>
      </c>
      <c r="B2607" t="s">
        <v>4</v>
      </c>
      <c r="C2607">
        <v>4</v>
      </c>
      <c r="D2607" t="s">
        <v>5</v>
      </c>
      <c r="F2607" t="str" cm="1">
        <f t="array" ref="F2607">CategorizeComment(E2607)</f>
        <v>Other</v>
      </c>
      <c r="G2607" t="str" cm="1">
        <f t="array" ref="G2607">SubCategorizeComment(E2607)</f>
        <v>Other</v>
      </c>
    </row>
    <row r="2608" spans="1:7" x14ac:dyDescent="0.25">
      <c r="A2608">
        <v>19020</v>
      </c>
      <c r="B2608" t="s">
        <v>4</v>
      </c>
      <c r="C2608">
        <v>4</v>
      </c>
      <c r="D2608" t="s">
        <v>5</v>
      </c>
      <c r="F2608" t="str" cm="1">
        <f t="array" ref="F2608">CategorizeComment(E2608)</f>
        <v>Other</v>
      </c>
      <c r="G2608" t="str" cm="1">
        <f t="array" ref="G2608">SubCategorizeComment(E2608)</f>
        <v>Other</v>
      </c>
    </row>
    <row r="2609" spans="1:7" x14ac:dyDescent="0.25">
      <c r="A2609">
        <v>19022</v>
      </c>
      <c r="B2609" t="s">
        <v>4</v>
      </c>
      <c r="C2609">
        <v>4</v>
      </c>
      <c r="D2609" t="s">
        <v>5</v>
      </c>
      <c r="F2609" t="str" cm="1">
        <f t="array" ref="F2609">CategorizeComment(E2609)</f>
        <v>Other</v>
      </c>
      <c r="G2609" t="str" cm="1">
        <f t="array" ref="G2609">SubCategorizeComment(E2609)</f>
        <v>Other</v>
      </c>
    </row>
    <row r="2610" spans="1:7" x14ac:dyDescent="0.25">
      <c r="A2610">
        <v>19025</v>
      </c>
      <c r="B2610" t="s">
        <v>4</v>
      </c>
      <c r="C2610">
        <v>4</v>
      </c>
      <c r="D2610" t="s">
        <v>5</v>
      </c>
      <c r="F2610" t="str" cm="1">
        <f t="array" ref="F2610">CategorizeComment(E2610)</f>
        <v>Other</v>
      </c>
      <c r="G2610" t="str" cm="1">
        <f t="array" ref="G2610">SubCategorizeComment(E2610)</f>
        <v>Other</v>
      </c>
    </row>
    <row r="2611" spans="1:7" x14ac:dyDescent="0.25">
      <c r="A2611">
        <v>19071</v>
      </c>
      <c r="B2611" t="s">
        <v>4</v>
      </c>
      <c r="C2611">
        <v>4</v>
      </c>
      <c r="D2611" t="s">
        <v>5</v>
      </c>
      <c r="F2611" t="str" cm="1">
        <f t="array" ref="F2611">CategorizeComment(E2611)</f>
        <v>Other</v>
      </c>
      <c r="G2611" t="str" cm="1">
        <f t="array" ref="G2611">SubCategorizeComment(E2611)</f>
        <v>Other</v>
      </c>
    </row>
    <row r="2612" spans="1:7" x14ac:dyDescent="0.25">
      <c r="A2612">
        <v>19072</v>
      </c>
      <c r="B2612" t="s">
        <v>4</v>
      </c>
      <c r="C2612">
        <v>3</v>
      </c>
      <c r="D2612" t="s">
        <v>5</v>
      </c>
      <c r="F2612" t="str" cm="1">
        <f t="array" ref="F2612">CategorizeComment(E2612)</f>
        <v>Other</v>
      </c>
      <c r="G2612" t="str" cm="1">
        <f t="array" ref="G2612">SubCategorizeComment(E2612)</f>
        <v>Other</v>
      </c>
    </row>
    <row r="2613" spans="1:7" x14ac:dyDescent="0.25">
      <c r="A2613">
        <v>19073</v>
      </c>
      <c r="B2613" t="s">
        <v>4</v>
      </c>
      <c r="C2613">
        <v>4</v>
      </c>
      <c r="D2613" t="s">
        <v>5</v>
      </c>
      <c r="F2613" t="str" cm="1">
        <f t="array" ref="F2613">CategorizeComment(E2613)</f>
        <v>Other</v>
      </c>
      <c r="G2613" t="str" cm="1">
        <f t="array" ref="G2613">SubCategorizeComment(E2613)</f>
        <v>Other</v>
      </c>
    </row>
    <row r="2614" spans="1:7" x14ac:dyDescent="0.25">
      <c r="A2614">
        <v>19074</v>
      </c>
      <c r="B2614" t="s">
        <v>4</v>
      </c>
      <c r="C2614">
        <v>3</v>
      </c>
      <c r="D2614" t="s">
        <v>5</v>
      </c>
      <c r="F2614" t="str" cm="1">
        <f t="array" ref="F2614">CategorizeComment(E2614)</f>
        <v>Other</v>
      </c>
      <c r="G2614" t="str" cm="1">
        <f t="array" ref="G2614">SubCategorizeComment(E2614)</f>
        <v>Other</v>
      </c>
    </row>
    <row r="2615" spans="1:7" x14ac:dyDescent="0.25">
      <c r="A2615">
        <v>19079</v>
      </c>
      <c r="B2615" t="s">
        <v>4</v>
      </c>
      <c r="C2615">
        <v>3</v>
      </c>
      <c r="D2615" t="s">
        <v>5</v>
      </c>
      <c r="F2615" t="str" cm="1">
        <f t="array" ref="F2615">CategorizeComment(E2615)</f>
        <v>Other</v>
      </c>
      <c r="G2615" t="str" cm="1">
        <f t="array" ref="G2615">SubCategorizeComment(E2615)</f>
        <v>Other</v>
      </c>
    </row>
    <row r="2616" spans="1:7" x14ac:dyDescent="0.25">
      <c r="A2616">
        <v>19095</v>
      </c>
      <c r="B2616" t="s">
        <v>4</v>
      </c>
      <c r="C2616">
        <v>4</v>
      </c>
      <c r="D2616" t="s">
        <v>5</v>
      </c>
      <c r="F2616" t="str" cm="1">
        <f t="array" ref="F2616">CategorizeComment(E2616)</f>
        <v>Other</v>
      </c>
      <c r="G2616" t="str" cm="1">
        <f t="array" ref="G2616">SubCategorizeComment(E2616)</f>
        <v>Other</v>
      </c>
    </row>
    <row r="2617" spans="1:7" x14ac:dyDescent="0.25">
      <c r="A2617">
        <v>19119</v>
      </c>
      <c r="B2617" t="s">
        <v>4</v>
      </c>
      <c r="C2617">
        <v>4</v>
      </c>
      <c r="D2617" t="s">
        <v>5</v>
      </c>
      <c r="F2617" t="str" cm="1">
        <f t="array" ref="F2617">CategorizeComment(E2617)</f>
        <v>Other</v>
      </c>
      <c r="G2617" t="str" cm="1">
        <f t="array" ref="G2617">SubCategorizeComment(E2617)</f>
        <v>Other</v>
      </c>
    </row>
    <row r="2618" spans="1:7" x14ac:dyDescent="0.25">
      <c r="A2618">
        <v>19120</v>
      </c>
      <c r="B2618" t="s">
        <v>4</v>
      </c>
      <c r="C2618">
        <v>3</v>
      </c>
      <c r="D2618" t="s">
        <v>5</v>
      </c>
      <c r="F2618" t="str" cm="1">
        <f t="array" ref="F2618">CategorizeComment(E2618)</f>
        <v>Other</v>
      </c>
      <c r="G2618" t="str" cm="1">
        <f t="array" ref="G2618">SubCategorizeComment(E2618)</f>
        <v>Other</v>
      </c>
    </row>
    <row r="2619" spans="1:7" x14ac:dyDescent="0.25">
      <c r="A2619">
        <v>19122</v>
      </c>
      <c r="B2619" t="s">
        <v>4</v>
      </c>
      <c r="C2619">
        <v>3</v>
      </c>
      <c r="D2619" t="s">
        <v>5</v>
      </c>
      <c r="F2619" t="str" cm="1">
        <f t="array" ref="F2619">CategorizeComment(E2619)</f>
        <v>Other</v>
      </c>
      <c r="G2619" t="str" cm="1">
        <f t="array" ref="G2619">SubCategorizeComment(E2619)</f>
        <v>Other</v>
      </c>
    </row>
    <row r="2620" spans="1:7" x14ac:dyDescent="0.25">
      <c r="A2620">
        <v>19152</v>
      </c>
      <c r="B2620" t="s">
        <v>4</v>
      </c>
      <c r="C2620">
        <v>3</v>
      </c>
      <c r="D2620" t="s">
        <v>5</v>
      </c>
      <c r="F2620" t="str" cm="1">
        <f t="array" ref="F2620">CategorizeComment(E2620)</f>
        <v>Other</v>
      </c>
      <c r="G2620" t="str" cm="1">
        <f t="array" ref="G2620">SubCategorizeComment(E2620)</f>
        <v>Other</v>
      </c>
    </row>
    <row r="2621" spans="1:7" x14ac:dyDescent="0.25">
      <c r="A2621">
        <v>19154</v>
      </c>
      <c r="B2621" t="s">
        <v>4</v>
      </c>
      <c r="C2621">
        <v>4</v>
      </c>
      <c r="D2621" t="s">
        <v>5</v>
      </c>
      <c r="F2621" t="str" cm="1">
        <f t="array" ref="F2621">CategorizeComment(E2621)</f>
        <v>Other</v>
      </c>
      <c r="G2621" t="str" cm="1">
        <f t="array" ref="G2621">SubCategorizeComment(E2621)</f>
        <v>Other</v>
      </c>
    </row>
    <row r="2622" spans="1:7" x14ac:dyDescent="0.25">
      <c r="A2622">
        <v>19159</v>
      </c>
      <c r="B2622" t="s">
        <v>4</v>
      </c>
      <c r="C2622">
        <v>3</v>
      </c>
      <c r="D2622" t="s">
        <v>5</v>
      </c>
      <c r="F2622" t="str" cm="1">
        <f t="array" ref="F2622">CategorizeComment(E2622)</f>
        <v>Other</v>
      </c>
      <c r="G2622" t="str" cm="1">
        <f t="array" ref="G2622">SubCategorizeComment(E2622)</f>
        <v>Other</v>
      </c>
    </row>
    <row r="2623" spans="1:7" x14ac:dyDescent="0.25">
      <c r="A2623">
        <v>19160</v>
      </c>
      <c r="B2623" t="s">
        <v>4</v>
      </c>
      <c r="C2623">
        <v>3</v>
      </c>
      <c r="D2623" t="s">
        <v>5</v>
      </c>
      <c r="F2623" t="str" cm="1">
        <f t="array" ref="F2623">CategorizeComment(E2623)</f>
        <v>Other</v>
      </c>
      <c r="G2623" t="str" cm="1">
        <f t="array" ref="G2623">SubCategorizeComment(E2623)</f>
        <v>Other</v>
      </c>
    </row>
    <row r="2624" spans="1:7" x14ac:dyDescent="0.25">
      <c r="A2624">
        <v>19166</v>
      </c>
      <c r="B2624" t="s">
        <v>4</v>
      </c>
      <c r="C2624">
        <v>3</v>
      </c>
      <c r="D2624" t="s">
        <v>5</v>
      </c>
      <c r="F2624" t="str" cm="1">
        <f t="array" ref="F2624">CategorizeComment(E2624)</f>
        <v>Other</v>
      </c>
      <c r="G2624" t="str" cm="1">
        <f t="array" ref="G2624">SubCategorizeComment(E2624)</f>
        <v>Other</v>
      </c>
    </row>
    <row r="2625" spans="1:7" x14ac:dyDescent="0.25">
      <c r="A2625">
        <v>19168</v>
      </c>
      <c r="B2625" t="s">
        <v>4</v>
      </c>
      <c r="C2625">
        <v>3</v>
      </c>
      <c r="D2625" t="s">
        <v>5</v>
      </c>
      <c r="F2625" t="str" cm="1">
        <f t="array" ref="F2625">CategorizeComment(E2625)</f>
        <v>Other</v>
      </c>
      <c r="G2625" t="str" cm="1">
        <f t="array" ref="G2625">SubCategorizeComment(E2625)</f>
        <v>Other</v>
      </c>
    </row>
    <row r="2626" spans="1:7" x14ac:dyDescent="0.25">
      <c r="A2626">
        <v>19191</v>
      </c>
      <c r="B2626" t="s">
        <v>4</v>
      </c>
      <c r="C2626">
        <v>3</v>
      </c>
      <c r="D2626" t="s">
        <v>5</v>
      </c>
      <c r="F2626" t="str" cm="1">
        <f t="array" ref="F2626">CategorizeComment(E2626)</f>
        <v>Other</v>
      </c>
      <c r="G2626" t="str" cm="1">
        <f t="array" ref="G2626">SubCategorizeComment(E2626)</f>
        <v>Other</v>
      </c>
    </row>
    <row r="2627" spans="1:7" x14ac:dyDescent="0.25">
      <c r="A2627">
        <v>19193</v>
      </c>
      <c r="B2627" t="s">
        <v>4</v>
      </c>
      <c r="C2627">
        <v>4</v>
      </c>
      <c r="D2627" t="s">
        <v>5</v>
      </c>
      <c r="F2627" t="str" cm="1">
        <f t="array" ref="F2627">CategorizeComment(E2627)</f>
        <v>Other</v>
      </c>
      <c r="G2627" t="str" cm="1">
        <f t="array" ref="G2627">SubCategorizeComment(E2627)</f>
        <v>Other</v>
      </c>
    </row>
    <row r="2628" spans="1:7" x14ac:dyDescent="0.25">
      <c r="A2628">
        <v>19219</v>
      </c>
      <c r="B2628" t="s">
        <v>4</v>
      </c>
      <c r="C2628">
        <v>4</v>
      </c>
      <c r="D2628" t="s">
        <v>5</v>
      </c>
      <c r="F2628" t="str" cm="1">
        <f t="array" ref="F2628">CategorizeComment(E2628)</f>
        <v>Other</v>
      </c>
      <c r="G2628" t="str" cm="1">
        <f t="array" ref="G2628">SubCategorizeComment(E2628)</f>
        <v>Other</v>
      </c>
    </row>
    <row r="2629" spans="1:7" x14ac:dyDescent="0.25">
      <c r="A2629">
        <v>19233</v>
      </c>
      <c r="B2629" t="s">
        <v>4</v>
      </c>
      <c r="C2629">
        <v>4</v>
      </c>
      <c r="D2629" t="s">
        <v>5</v>
      </c>
      <c r="F2629" t="str" cm="1">
        <f t="array" ref="F2629">CategorizeComment(E2629)</f>
        <v>Other</v>
      </c>
      <c r="G2629" t="str" cm="1">
        <f t="array" ref="G2629">SubCategorizeComment(E2629)</f>
        <v>Other</v>
      </c>
    </row>
    <row r="2630" spans="1:7" x14ac:dyDescent="0.25">
      <c r="A2630">
        <v>19241</v>
      </c>
      <c r="B2630" t="s">
        <v>4</v>
      </c>
      <c r="C2630">
        <v>3</v>
      </c>
      <c r="D2630" t="s">
        <v>5</v>
      </c>
      <c r="F2630" t="str" cm="1">
        <f t="array" ref="F2630">CategorizeComment(E2630)</f>
        <v>Other</v>
      </c>
      <c r="G2630" t="str" cm="1">
        <f t="array" ref="G2630">SubCategorizeComment(E2630)</f>
        <v>Other</v>
      </c>
    </row>
    <row r="2631" spans="1:7" x14ac:dyDescent="0.25">
      <c r="A2631">
        <v>19259</v>
      </c>
      <c r="B2631" t="s">
        <v>4</v>
      </c>
      <c r="C2631">
        <v>4</v>
      </c>
      <c r="D2631" t="s">
        <v>5</v>
      </c>
      <c r="F2631" t="str" cm="1">
        <f t="array" ref="F2631">CategorizeComment(E2631)</f>
        <v>Other</v>
      </c>
      <c r="G2631" t="str" cm="1">
        <f t="array" ref="G2631">SubCategorizeComment(E2631)</f>
        <v>Other</v>
      </c>
    </row>
    <row r="2632" spans="1:7" x14ac:dyDescent="0.25">
      <c r="A2632">
        <v>19268</v>
      </c>
      <c r="B2632" t="s">
        <v>4</v>
      </c>
      <c r="C2632">
        <v>4</v>
      </c>
      <c r="D2632" t="s">
        <v>5</v>
      </c>
      <c r="F2632" t="str" cm="1">
        <f t="array" ref="F2632">CategorizeComment(E2632)</f>
        <v>Other</v>
      </c>
      <c r="G2632" t="str" cm="1">
        <f t="array" ref="G2632">SubCategorizeComment(E2632)</f>
        <v>Other</v>
      </c>
    </row>
    <row r="2633" spans="1:7" x14ac:dyDescent="0.25">
      <c r="A2633">
        <v>19276</v>
      </c>
      <c r="B2633" t="s">
        <v>4</v>
      </c>
      <c r="C2633">
        <v>3</v>
      </c>
      <c r="D2633" t="s">
        <v>5</v>
      </c>
      <c r="F2633" t="str" cm="1">
        <f t="array" ref="F2633">CategorizeComment(E2633)</f>
        <v>Other</v>
      </c>
      <c r="G2633" t="str" cm="1">
        <f t="array" ref="G2633">SubCategorizeComment(E2633)</f>
        <v>Other</v>
      </c>
    </row>
    <row r="2634" spans="1:7" x14ac:dyDescent="0.25">
      <c r="A2634">
        <v>19281</v>
      </c>
      <c r="B2634" t="s">
        <v>4</v>
      </c>
      <c r="C2634">
        <v>3</v>
      </c>
      <c r="D2634" t="s">
        <v>5</v>
      </c>
      <c r="F2634" t="str" cm="1">
        <f t="array" ref="F2634">CategorizeComment(E2634)</f>
        <v>Other</v>
      </c>
      <c r="G2634" t="str" cm="1">
        <f t="array" ref="G2634">SubCategorizeComment(E2634)</f>
        <v>Other</v>
      </c>
    </row>
    <row r="2635" spans="1:7" x14ac:dyDescent="0.25">
      <c r="A2635">
        <v>19290</v>
      </c>
      <c r="B2635" t="s">
        <v>4</v>
      </c>
      <c r="C2635">
        <v>3</v>
      </c>
      <c r="D2635" t="s">
        <v>5</v>
      </c>
      <c r="F2635" t="str" cm="1">
        <f t="array" ref="F2635">CategorizeComment(E2635)</f>
        <v>Other</v>
      </c>
      <c r="G2635" t="str" cm="1">
        <f t="array" ref="G2635">SubCategorizeComment(E2635)</f>
        <v>Other</v>
      </c>
    </row>
    <row r="2636" spans="1:7" x14ac:dyDescent="0.25">
      <c r="A2636">
        <v>19296</v>
      </c>
      <c r="B2636" t="s">
        <v>4</v>
      </c>
      <c r="C2636">
        <v>3</v>
      </c>
      <c r="D2636" t="s">
        <v>5</v>
      </c>
      <c r="F2636" t="str" cm="1">
        <f t="array" ref="F2636">CategorizeComment(E2636)</f>
        <v>Other</v>
      </c>
      <c r="G2636" t="str" cm="1">
        <f t="array" ref="G2636">SubCategorizeComment(E2636)</f>
        <v>Other</v>
      </c>
    </row>
    <row r="2637" spans="1:7" x14ac:dyDescent="0.25">
      <c r="A2637">
        <v>19297</v>
      </c>
      <c r="B2637" t="s">
        <v>4</v>
      </c>
      <c r="C2637">
        <v>4</v>
      </c>
      <c r="D2637" t="s">
        <v>5</v>
      </c>
      <c r="F2637" t="str" cm="1">
        <f t="array" ref="F2637">CategorizeComment(E2637)</f>
        <v>Other</v>
      </c>
      <c r="G2637" t="str" cm="1">
        <f t="array" ref="G2637">SubCategorizeComment(E2637)</f>
        <v>Other</v>
      </c>
    </row>
    <row r="2638" spans="1:7" x14ac:dyDescent="0.25">
      <c r="A2638">
        <v>19325</v>
      </c>
      <c r="B2638" t="s">
        <v>4</v>
      </c>
      <c r="C2638">
        <v>4</v>
      </c>
      <c r="D2638" t="s">
        <v>5</v>
      </c>
      <c r="F2638" t="str" cm="1">
        <f t="array" ref="F2638">CategorizeComment(E2638)</f>
        <v>Other</v>
      </c>
      <c r="G2638" t="str" cm="1">
        <f t="array" ref="G2638">SubCategorizeComment(E2638)</f>
        <v>Other</v>
      </c>
    </row>
    <row r="2639" spans="1:7" x14ac:dyDescent="0.25">
      <c r="A2639">
        <v>19328</v>
      </c>
      <c r="B2639" t="s">
        <v>4</v>
      </c>
      <c r="C2639">
        <v>2</v>
      </c>
      <c r="D2639" t="s">
        <v>5</v>
      </c>
      <c r="F2639" t="str" cm="1">
        <f t="array" ref="F2639">CategorizeComment(E2639)</f>
        <v>Other</v>
      </c>
      <c r="G2639" t="str" cm="1">
        <f t="array" ref="G2639">SubCategorizeComment(E2639)</f>
        <v>Other</v>
      </c>
    </row>
    <row r="2640" spans="1:7" x14ac:dyDescent="0.25">
      <c r="A2640">
        <v>19372</v>
      </c>
      <c r="B2640" t="s">
        <v>4</v>
      </c>
      <c r="C2640">
        <v>4</v>
      </c>
      <c r="D2640" t="s">
        <v>5</v>
      </c>
      <c r="F2640" t="str" cm="1">
        <f t="array" ref="F2640">CategorizeComment(E2640)</f>
        <v>Other</v>
      </c>
      <c r="G2640" t="str" cm="1">
        <f t="array" ref="G2640">SubCategorizeComment(E2640)</f>
        <v>Other</v>
      </c>
    </row>
    <row r="2641" spans="1:7" x14ac:dyDescent="0.25">
      <c r="A2641">
        <v>19374</v>
      </c>
      <c r="B2641" t="s">
        <v>4</v>
      </c>
      <c r="C2641">
        <v>4</v>
      </c>
      <c r="D2641" t="s">
        <v>5</v>
      </c>
      <c r="F2641" t="str" cm="1">
        <f t="array" ref="F2641">CategorizeComment(E2641)</f>
        <v>Other</v>
      </c>
      <c r="G2641" t="str" cm="1">
        <f t="array" ref="G2641">SubCategorizeComment(E2641)</f>
        <v>Other</v>
      </c>
    </row>
    <row r="2642" spans="1:7" x14ac:dyDescent="0.25">
      <c r="A2642">
        <v>19375</v>
      </c>
      <c r="B2642" t="s">
        <v>4</v>
      </c>
      <c r="C2642">
        <v>4</v>
      </c>
      <c r="D2642" t="s">
        <v>5</v>
      </c>
      <c r="F2642" t="str" cm="1">
        <f t="array" ref="F2642">CategorizeComment(E2642)</f>
        <v>Other</v>
      </c>
      <c r="G2642" t="str" cm="1">
        <f t="array" ref="G2642">SubCategorizeComment(E2642)</f>
        <v>Other</v>
      </c>
    </row>
    <row r="2643" spans="1:7" x14ac:dyDescent="0.25">
      <c r="A2643">
        <v>19387</v>
      </c>
      <c r="B2643" t="s">
        <v>4</v>
      </c>
      <c r="C2643">
        <v>4</v>
      </c>
      <c r="D2643" t="s">
        <v>5</v>
      </c>
      <c r="F2643" t="str" cm="1">
        <f t="array" ref="F2643">CategorizeComment(E2643)</f>
        <v>Other</v>
      </c>
      <c r="G2643" t="str" cm="1">
        <f t="array" ref="G2643">SubCategorizeComment(E2643)</f>
        <v>Other</v>
      </c>
    </row>
    <row r="2644" spans="1:7" x14ac:dyDescent="0.25">
      <c r="A2644">
        <v>19396</v>
      </c>
      <c r="B2644" t="s">
        <v>4</v>
      </c>
      <c r="C2644">
        <v>4</v>
      </c>
      <c r="D2644" t="s">
        <v>5</v>
      </c>
      <c r="F2644" t="str" cm="1">
        <f t="array" ref="F2644">CategorizeComment(E2644)</f>
        <v>Other</v>
      </c>
      <c r="G2644" t="str" cm="1">
        <f t="array" ref="G2644">SubCategorizeComment(E2644)</f>
        <v>Other</v>
      </c>
    </row>
    <row r="2645" spans="1:7" x14ac:dyDescent="0.25">
      <c r="A2645">
        <v>19405</v>
      </c>
      <c r="B2645" t="s">
        <v>4</v>
      </c>
      <c r="C2645">
        <v>4</v>
      </c>
      <c r="D2645" t="s">
        <v>5</v>
      </c>
      <c r="F2645" t="str" cm="1">
        <f t="array" ref="F2645">CategorizeComment(E2645)</f>
        <v>Other</v>
      </c>
      <c r="G2645" t="str" cm="1">
        <f t="array" ref="G2645">SubCategorizeComment(E2645)</f>
        <v>Other</v>
      </c>
    </row>
    <row r="2646" spans="1:7" x14ac:dyDescent="0.25">
      <c r="A2646">
        <v>19424</v>
      </c>
      <c r="B2646" t="s">
        <v>4</v>
      </c>
      <c r="C2646">
        <v>3</v>
      </c>
      <c r="D2646" t="s">
        <v>5</v>
      </c>
      <c r="F2646" t="str" cm="1">
        <f t="array" ref="F2646">CategorizeComment(E2646)</f>
        <v>Other</v>
      </c>
      <c r="G2646" t="str" cm="1">
        <f t="array" ref="G2646">SubCategorizeComment(E2646)</f>
        <v>Other</v>
      </c>
    </row>
    <row r="2647" spans="1:7" x14ac:dyDescent="0.25">
      <c r="A2647">
        <v>19425</v>
      </c>
      <c r="B2647" t="s">
        <v>4</v>
      </c>
      <c r="C2647">
        <v>4</v>
      </c>
      <c r="D2647" t="s">
        <v>5</v>
      </c>
      <c r="F2647" t="str" cm="1">
        <f t="array" ref="F2647">CategorizeComment(E2647)</f>
        <v>Other</v>
      </c>
      <c r="G2647" t="str" cm="1">
        <f t="array" ref="G2647">SubCategorizeComment(E2647)</f>
        <v>Other</v>
      </c>
    </row>
    <row r="2648" spans="1:7" x14ac:dyDescent="0.25">
      <c r="A2648">
        <v>19427</v>
      </c>
      <c r="B2648" t="s">
        <v>4</v>
      </c>
      <c r="C2648">
        <v>3</v>
      </c>
      <c r="D2648" t="s">
        <v>5</v>
      </c>
      <c r="F2648" t="str" cm="1">
        <f t="array" ref="F2648">CategorizeComment(E2648)</f>
        <v>Other</v>
      </c>
      <c r="G2648" t="str" cm="1">
        <f t="array" ref="G2648">SubCategorizeComment(E2648)</f>
        <v>Other</v>
      </c>
    </row>
    <row r="2649" spans="1:7" x14ac:dyDescent="0.25">
      <c r="A2649">
        <v>19446</v>
      </c>
      <c r="B2649" t="s">
        <v>4</v>
      </c>
      <c r="C2649">
        <v>3</v>
      </c>
      <c r="D2649" t="s">
        <v>5</v>
      </c>
      <c r="F2649" t="str" cm="1">
        <f t="array" ref="F2649">CategorizeComment(E2649)</f>
        <v>Other</v>
      </c>
      <c r="G2649" t="str" cm="1">
        <f t="array" ref="G2649">SubCategorizeComment(E2649)</f>
        <v>Other</v>
      </c>
    </row>
    <row r="2650" spans="1:7" x14ac:dyDescent="0.25">
      <c r="A2650">
        <v>19448</v>
      </c>
      <c r="B2650" t="s">
        <v>4</v>
      </c>
      <c r="C2650">
        <v>3</v>
      </c>
      <c r="D2650" t="s">
        <v>5</v>
      </c>
      <c r="F2650" t="str" cm="1">
        <f t="array" ref="F2650">CategorizeComment(E2650)</f>
        <v>Other</v>
      </c>
      <c r="G2650" t="str" cm="1">
        <f t="array" ref="G2650">SubCategorizeComment(E2650)</f>
        <v>Other</v>
      </c>
    </row>
    <row r="2651" spans="1:7" x14ac:dyDescent="0.25">
      <c r="A2651">
        <v>19453</v>
      </c>
      <c r="B2651" t="s">
        <v>4</v>
      </c>
      <c r="C2651">
        <v>3</v>
      </c>
      <c r="D2651" t="s">
        <v>5</v>
      </c>
      <c r="F2651" t="str" cm="1">
        <f t="array" ref="F2651">CategorizeComment(E2651)</f>
        <v>Other</v>
      </c>
      <c r="G2651" t="str" cm="1">
        <f t="array" ref="G2651">SubCategorizeComment(E2651)</f>
        <v>Other</v>
      </c>
    </row>
    <row r="2652" spans="1:7" x14ac:dyDescent="0.25">
      <c r="A2652">
        <v>19471</v>
      </c>
      <c r="B2652" t="s">
        <v>4</v>
      </c>
      <c r="C2652">
        <v>3</v>
      </c>
      <c r="D2652" t="s">
        <v>5</v>
      </c>
      <c r="F2652" t="str" cm="1">
        <f t="array" ref="F2652">CategorizeComment(E2652)</f>
        <v>Other</v>
      </c>
      <c r="G2652" t="str" cm="1">
        <f t="array" ref="G2652">SubCategorizeComment(E2652)</f>
        <v>Other</v>
      </c>
    </row>
    <row r="2653" spans="1:7" x14ac:dyDescent="0.25">
      <c r="A2653">
        <v>19474</v>
      </c>
      <c r="B2653" t="s">
        <v>4</v>
      </c>
      <c r="C2653">
        <v>3</v>
      </c>
      <c r="D2653" t="s">
        <v>5</v>
      </c>
      <c r="F2653" t="str" cm="1">
        <f t="array" ref="F2653">CategorizeComment(E2653)</f>
        <v>Other</v>
      </c>
      <c r="G2653" t="str" cm="1">
        <f t="array" ref="G2653">SubCategorizeComment(E2653)</f>
        <v>Other</v>
      </c>
    </row>
    <row r="2654" spans="1:7" x14ac:dyDescent="0.25">
      <c r="A2654">
        <v>19482</v>
      </c>
      <c r="B2654" t="s">
        <v>4</v>
      </c>
      <c r="C2654">
        <v>3</v>
      </c>
      <c r="D2654" t="s">
        <v>5</v>
      </c>
      <c r="F2654" t="str" cm="1">
        <f t="array" ref="F2654">CategorizeComment(E2654)</f>
        <v>Other</v>
      </c>
      <c r="G2654" t="str" cm="1">
        <f t="array" ref="G2654">SubCategorizeComment(E2654)</f>
        <v>Other</v>
      </c>
    </row>
    <row r="2655" spans="1:7" x14ac:dyDescent="0.25">
      <c r="A2655">
        <v>19485</v>
      </c>
      <c r="B2655" t="s">
        <v>4</v>
      </c>
      <c r="C2655">
        <v>4</v>
      </c>
      <c r="D2655" t="s">
        <v>5</v>
      </c>
      <c r="F2655" t="str" cm="1">
        <f t="array" ref="F2655">CategorizeComment(E2655)</f>
        <v>Other</v>
      </c>
      <c r="G2655" t="str" cm="1">
        <f t="array" ref="G2655">SubCategorizeComment(E2655)</f>
        <v>Other</v>
      </c>
    </row>
    <row r="2656" spans="1:7" x14ac:dyDescent="0.25">
      <c r="A2656">
        <v>19503</v>
      </c>
      <c r="B2656" t="s">
        <v>4</v>
      </c>
      <c r="C2656">
        <v>4</v>
      </c>
      <c r="D2656" t="s">
        <v>5</v>
      </c>
      <c r="F2656" t="str" cm="1">
        <f t="array" ref="F2656">CategorizeComment(E2656)</f>
        <v>Other</v>
      </c>
      <c r="G2656" t="str" cm="1">
        <f t="array" ref="G2656">SubCategorizeComment(E2656)</f>
        <v>Other</v>
      </c>
    </row>
    <row r="2657" spans="1:7" x14ac:dyDescent="0.25">
      <c r="A2657">
        <v>19515</v>
      </c>
      <c r="B2657" t="s">
        <v>4</v>
      </c>
      <c r="C2657">
        <v>3</v>
      </c>
      <c r="D2657" t="s">
        <v>5</v>
      </c>
      <c r="F2657" t="str" cm="1">
        <f t="array" ref="F2657">CategorizeComment(E2657)</f>
        <v>Other</v>
      </c>
      <c r="G2657" t="str" cm="1">
        <f t="array" ref="G2657">SubCategorizeComment(E2657)</f>
        <v>Other</v>
      </c>
    </row>
    <row r="2658" spans="1:7" x14ac:dyDescent="0.25">
      <c r="A2658">
        <v>19534</v>
      </c>
      <c r="B2658" t="s">
        <v>4</v>
      </c>
      <c r="C2658">
        <v>3</v>
      </c>
      <c r="D2658" t="s">
        <v>5</v>
      </c>
      <c r="F2658" t="str" cm="1">
        <f t="array" ref="F2658">CategorizeComment(E2658)</f>
        <v>Other</v>
      </c>
      <c r="G2658" t="str" cm="1">
        <f t="array" ref="G2658">SubCategorizeComment(E2658)</f>
        <v>Other</v>
      </c>
    </row>
    <row r="2659" spans="1:7" x14ac:dyDescent="0.25">
      <c r="A2659">
        <v>19554</v>
      </c>
      <c r="B2659" t="s">
        <v>4</v>
      </c>
      <c r="C2659">
        <v>3</v>
      </c>
      <c r="D2659" t="s">
        <v>5</v>
      </c>
      <c r="F2659" t="str" cm="1">
        <f t="array" ref="F2659">CategorizeComment(E2659)</f>
        <v>Other</v>
      </c>
      <c r="G2659" t="str" cm="1">
        <f t="array" ref="G2659">SubCategorizeComment(E2659)</f>
        <v>Other</v>
      </c>
    </row>
    <row r="2660" spans="1:7" x14ac:dyDescent="0.25">
      <c r="A2660">
        <v>19555</v>
      </c>
      <c r="B2660" t="s">
        <v>4</v>
      </c>
      <c r="C2660">
        <v>3</v>
      </c>
      <c r="D2660" t="s">
        <v>5</v>
      </c>
      <c r="F2660" t="str" cm="1">
        <f t="array" ref="F2660">CategorizeComment(E2660)</f>
        <v>Other</v>
      </c>
      <c r="G2660" t="str" cm="1">
        <f t="array" ref="G2660">SubCategorizeComment(E2660)</f>
        <v>Other</v>
      </c>
    </row>
    <row r="2661" spans="1:7" x14ac:dyDescent="0.25">
      <c r="A2661">
        <v>19558</v>
      </c>
      <c r="B2661" t="s">
        <v>4</v>
      </c>
      <c r="C2661">
        <v>4</v>
      </c>
      <c r="D2661" t="s">
        <v>5</v>
      </c>
      <c r="F2661" t="str" cm="1">
        <f t="array" ref="F2661">CategorizeComment(E2661)</f>
        <v>Other</v>
      </c>
      <c r="G2661" t="str" cm="1">
        <f t="array" ref="G2661">SubCategorizeComment(E2661)</f>
        <v>Other</v>
      </c>
    </row>
    <row r="2662" spans="1:7" x14ac:dyDescent="0.25">
      <c r="A2662">
        <v>19563</v>
      </c>
      <c r="B2662" t="s">
        <v>4</v>
      </c>
      <c r="C2662">
        <v>3</v>
      </c>
      <c r="D2662" t="s">
        <v>5</v>
      </c>
      <c r="F2662" t="str" cm="1">
        <f t="array" ref="F2662">CategorizeComment(E2662)</f>
        <v>Other</v>
      </c>
      <c r="G2662" t="str" cm="1">
        <f t="array" ref="G2662">SubCategorizeComment(E2662)</f>
        <v>Other</v>
      </c>
    </row>
    <row r="2663" spans="1:7" x14ac:dyDescent="0.25">
      <c r="A2663">
        <v>19564</v>
      </c>
      <c r="B2663" t="s">
        <v>4</v>
      </c>
      <c r="C2663">
        <v>3</v>
      </c>
      <c r="D2663" t="s">
        <v>5</v>
      </c>
      <c r="F2663" t="str" cm="1">
        <f t="array" ref="F2663">CategorizeComment(E2663)</f>
        <v>Other</v>
      </c>
      <c r="G2663" t="str" cm="1">
        <f t="array" ref="G2663">SubCategorizeComment(E2663)</f>
        <v>Other</v>
      </c>
    </row>
    <row r="2664" spans="1:7" x14ac:dyDescent="0.25">
      <c r="A2664">
        <v>19567</v>
      </c>
      <c r="B2664" t="s">
        <v>4</v>
      </c>
      <c r="C2664">
        <v>4</v>
      </c>
      <c r="D2664" t="s">
        <v>5</v>
      </c>
      <c r="F2664" t="str" cm="1">
        <f t="array" ref="F2664">CategorizeComment(E2664)</f>
        <v>Other</v>
      </c>
      <c r="G2664" t="str" cm="1">
        <f t="array" ref="G2664">SubCategorizeComment(E2664)</f>
        <v>Other</v>
      </c>
    </row>
    <row r="2665" spans="1:7" x14ac:dyDescent="0.25">
      <c r="A2665">
        <v>19581</v>
      </c>
      <c r="B2665" t="s">
        <v>4</v>
      </c>
      <c r="C2665">
        <v>4</v>
      </c>
      <c r="D2665" t="s">
        <v>5</v>
      </c>
      <c r="F2665" t="str" cm="1">
        <f t="array" ref="F2665">CategorizeComment(E2665)</f>
        <v>Other</v>
      </c>
      <c r="G2665" t="str" cm="1">
        <f t="array" ref="G2665">SubCategorizeComment(E2665)</f>
        <v>Other</v>
      </c>
    </row>
    <row r="2666" spans="1:7" x14ac:dyDescent="0.25">
      <c r="A2666">
        <v>19589</v>
      </c>
      <c r="B2666" t="s">
        <v>4</v>
      </c>
      <c r="C2666">
        <v>3</v>
      </c>
      <c r="D2666" t="s">
        <v>5</v>
      </c>
      <c r="F2666" t="str" cm="1">
        <f t="array" ref="F2666">CategorizeComment(E2666)</f>
        <v>Other</v>
      </c>
      <c r="G2666" t="str" cm="1">
        <f t="array" ref="G2666">SubCategorizeComment(E2666)</f>
        <v>Other</v>
      </c>
    </row>
    <row r="2667" spans="1:7" x14ac:dyDescent="0.25">
      <c r="A2667">
        <v>19607</v>
      </c>
      <c r="B2667" t="s">
        <v>4</v>
      </c>
      <c r="C2667">
        <v>4</v>
      </c>
      <c r="D2667" t="s">
        <v>5</v>
      </c>
      <c r="F2667" t="str" cm="1">
        <f t="array" ref="F2667">CategorizeComment(E2667)</f>
        <v>Other</v>
      </c>
      <c r="G2667" t="str" cm="1">
        <f t="array" ref="G2667">SubCategorizeComment(E2667)</f>
        <v>Other</v>
      </c>
    </row>
    <row r="2668" spans="1:7" x14ac:dyDescent="0.25">
      <c r="A2668">
        <v>19612</v>
      </c>
      <c r="B2668" t="s">
        <v>4</v>
      </c>
      <c r="C2668">
        <v>4</v>
      </c>
      <c r="D2668" t="s">
        <v>5</v>
      </c>
      <c r="F2668" t="str" cm="1">
        <f t="array" ref="F2668">CategorizeComment(E2668)</f>
        <v>Other</v>
      </c>
      <c r="G2668" t="str" cm="1">
        <f t="array" ref="G2668">SubCategorizeComment(E2668)</f>
        <v>Other</v>
      </c>
    </row>
    <row r="2669" spans="1:7" x14ac:dyDescent="0.25">
      <c r="A2669">
        <v>19617</v>
      </c>
      <c r="B2669" t="s">
        <v>4</v>
      </c>
      <c r="C2669">
        <v>4</v>
      </c>
      <c r="D2669" t="s">
        <v>5</v>
      </c>
      <c r="F2669" t="str" cm="1">
        <f t="array" ref="F2669">CategorizeComment(E2669)</f>
        <v>Other</v>
      </c>
      <c r="G2669" t="str" cm="1">
        <f t="array" ref="G2669">SubCategorizeComment(E2669)</f>
        <v>Other</v>
      </c>
    </row>
    <row r="2670" spans="1:7" x14ac:dyDescent="0.25">
      <c r="A2670">
        <v>19618</v>
      </c>
      <c r="B2670" t="s">
        <v>4</v>
      </c>
      <c r="C2670">
        <v>3</v>
      </c>
      <c r="D2670" t="s">
        <v>5</v>
      </c>
      <c r="F2670" t="str" cm="1">
        <f t="array" ref="F2670">CategorizeComment(E2670)</f>
        <v>Other</v>
      </c>
      <c r="G2670" t="str" cm="1">
        <f t="array" ref="G2670">SubCategorizeComment(E2670)</f>
        <v>Other</v>
      </c>
    </row>
    <row r="2671" spans="1:7" x14ac:dyDescent="0.25">
      <c r="A2671">
        <v>19619</v>
      </c>
      <c r="B2671" t="s">
        <v>4</v>
      </c>
      <c r="C2671">
        <v>3</v>
      </c>
      <c r="D2671" t="s">
        <v>5</v>
      </c>
      <c r="F2671" t="str" cm="1">
        <f t="array" ref="F2671">CategorizeComment(E2671)</f>
        <v>Other</v>
      </c>
      <c r="G2671" t="str" cm="1">
        <f t="array" ref="G2671">SubCategorizeComment(E2671)</f>
        <v>Other</v>
      </c>
    </row>
    <row r="2672" spans="1:7" x14ac:dyDescent="0.25">
      <c r="A2672">
        <v>19644</v>
      </c>
      <c r="B2672" t="s">
        <v>4</v>
      </c>
      <c r="C2672">
        <v>3</v>
      </c>
      <c r="D2672" t="s">
        <v>5</v>
      </c>
      <c r="F2672" t="str" cm="1">
        <f t="array" ref="F2672">CategorizeComment(E2672)</f>
        <v>Other</v>
      </c>
      <c r="G2672" t="str" cm="1">
        <f t="array" ref="G2672">SubCategorizeComment(E2672)</f>
        <v>Other</v>
      </c>
    </row>
    <row r="2673" spans="1:7" x14ac:dyDescent="0.25">
      <c r="A2673">
        <v>19652</v>
      </c>
      <c r="B2673" t="s">
        <v>4</v>
      </c>
      <c r="C2673">
        <v>4</v>
      </c>
      <c r="D2673" t="s">
        <v>5</v>
      </c>
      <c r="F2673" t="str" cm="1">
        <f t="array" ref="F2673">CategorizeComment(E2673)</f>
        <v>Other</v>
      </c>
      <c r="G2673" t="str" cm="1">
        <f t="array" ref="G2673">SubCategorizeComment(E2673)</f>
        <v>Other</v>
      </c>
    </row>
    <row r="2674" spans="1:7" x14ac:dyDescent="0.25">
      <c r="A2674">
        <v>19656</v>
      </c>
      <c r="B2674" t="s">
        <v>4</v>
      </c>
      <c r="C2674">
        <v>3</v>
      </c>
      <c r="D2674" t="s">
        <v>5</v>
      </c>
      <c r="F2674" t="str" cm="1">
        <f t="array" ref="F2674">CategorizeComment(E2674)</f>
        <v>Other</v>
      </c>
      <c r="G2674" t="str" cm="1">
        <f t="array" ref="G2674">SubCategorizeComment(E2674)</f>
        <v>Other</v>
      </c>
    </row>
    <row r="2675" spans="1:7" x14ac:dyDescent="0.25">
      <c r="A2675">
        <v>19663</v>
      </c>
      <c r="B2675" t="s">
        <v>4</v>
      </c>
      <c r="C2675">
        <v>3</v>
      </c>
      <c r="D2675" t="s">
        <v>5</v>
      </c>
      <c r="F2675" t="str" cm="1">
        <f t="array" ref="F2675">CategorizeComment(E2675)</f>
        <v>Other</v>
      </c>
      <c r="G2675" t="str" cm="1">
        <f t="array" ref="G2675">SubCategorizeComment(E2675)</f>
        <v>Other</v>
      </c>
    </row>
    <row r="2676" spans="1:7" x14ac:dyDescent="0.25">
      <c r="A2676">
        <v>19670</v>
      </c>
      <c r="B2676" t="s">
        <v>4</v>
      </c>
      <c r="C2676">
        <v>4</v>
      </c>
      <c r="D2676" t="s">
        <v>5</v>
      </c>
      <c r="F2676" t="str" cm="1">
        <f t="array" ref="F2676">CategorizeComment(E2676)</f>
        <v>Other</v>
      </c>
      <c r="G2676" t="str" cm="1">
        <f t="array" ref="G2676">SubCategorizeComment(E2676)</f>
        <v>Other</v>
      </c>
    </row>
    <row r="2677" spans="1:7" x14ac:dyDescent="0.25">
      <c r="A2677">
        <v>19672</v>
      </c>
      <c r="B2677" t="s">
        <v>4</v>
      </c>
      <c r="C2677">
        <v>4</v>
      </c>
      <c r="D2677" t="s">
        <v>5</v>
      </c>
      <c r="F2677" t="str" cm="1">
        <f t="array" ref="F2677">CategorizeComment(E2677)</f>
        <v>Other</v>
      </c>
      <c r="G2677" t="str" cm="1">
        <f t="array" ref="G2677">SubCategorizeComment(E2677)</f>
        <v>Other</v>
      </c>
    </row>
    <row r="2678" spans="1:7" x14ac:dyDescent="0.25">
      <c r="A2678">
        <v>19673</v>
      </c>
      <c r="B2678" t="s">
        <v>4</v>
      </c>
      <c r="C2678">
        <v>3</v>
      </c>
      <c r="D2678" t="s">
        <v>5</v>
      </c>
      <c r="F2678" t="str" cm="1">
        <f t="array" ref="F2678">CategorizeComment(E2678)</f>
        <v>Other</v>
      </c>
      <c r="G2678" t="str" cm="1">
        <f t="array" ref="G2678">SubCategorizeComment(E2678)</f>
        <v>Other</v>
      </c>
    </row>
    <row r="2679" spans="1:7" x14ac:dyDescent="0.25">
      <c r="A2679">
        <v>19677</v>
      </c>
      <c r="B2679" t="s">
        <v>4</v>
      </c>
      <c r="C2679">
        <v>3</v>
      </c>
      <c r="D2679" t="s">
        <v>5</v>
      </c>
      <c r="F2679" t="str" cm="1">
        <f t="array" ref="F2679">CategorizeComment(E2679)</f>
        <v>Other</v>
      </c>
      <c r="G2679" t="str" cm="1">
        <f t="array" ref="G2679">SubCategorizeComment(E2679)</f>
        <v>Other</v>
      </c>
    </row>
    <row r="2680" spans="1:7" x14ac:dyDescent="0.25">
      <c r="A2680">
        <v>19698</v>
      </c>
      <c r="B2680" t="s">
        <v>4</v>
      </c>
      <c r="C2680">
        <v>3</v>
      </c>
      <c r="D2680" t="s">
        <v>5</v>
      </c>
      <c r="F2680" t="str" cm="1">
        <f t="array" ref="F2680">CategorizeComment(E2680)</f>
        <v>Other</v>
      </c>
      <c r="G2680" t="str" cm="1">
        <f t="array" ref="G2680">SubCategorizeComment(E2680)</f>
        <v>Other</v>
      </c>
    </row>
    <row r="2681" spans="1:7" x14ac:dyDescent="0.25">
      <c r="A2681">
        <v>19699</v>
      </c>
      <c r="B2681" t="s">
        <v>4</v>
      </c>
      <c r="C2681">
        <v>4</v>
      </c>
      <c r="D2681" t="s">
        <v>5</v>
      </c>
      <c r="F2681" t="str" cm="1">
        <f t="array" ref="F2681">CategorizeComment(E2681)</f>
        <v>Other</v>
      </c>
      <c r="G2681" t="str" cm="1">
        <f t="array" ref="G2681">SubCategorizeComment(E2681)</f>
        <v>Other</v>
      </c>
    </row>
    <row r="2682" spans="1:7" x14ac:dyDescent="0.25">
      <c r="A2682">
        <v>19707</v>
      </c>
      <c r="B2682" t="s">
        <v>4</v>
      </c>
      <c r="C2682">
        <v>4</v>
      </c>
      <c r="D2682" t="s">
        <v>5</v>
      </c>
      <c r="F2682" t="str" cm="1">
        <f t="array" ref="F2682">CategorizeComment(E2682)</f>
        <v>Other</v>
      </c>
      <c r="G2682" t="str" cm="1">
        <f t="array" ref="G2682">SubCategorizeComment(E2682)</f>
        <v>Other</v>
      </c>
    </row>
    <row r="2683" spans="1:7" x14ac:dyDescent="0.25">
      <c r="A2683">
        <v>19708</v>
      </c>
      <c r="B2683" t="s">
        <v>4</v>
      </c>
      <c r="C2683">
        <v>4</v>
      </c>
      <c r="D2683" t="s">
        <v>5</v>
      </c>
      <c r="F2683" t="str" cm="1">
        <f t="array" ref="F2683">CategorizeComment(E2683)</f>
        <v>Other</v>
      </c>
      <c r="G2683" t="str" cm="1">
        <f t="array" ref="G2683">SubCategorizeComment(E2683)</f>
        <v>Other</v>
      </c>
    </row>
    <row r="2684" spans="1:7" x14ac:dyDescent="0.25">
      <c r="A2684">
        <v>19713</v>
      </c>
      <c r="B2684" t="s">
        <v>4</v>
      </c>
      <c r="C2684">
        <v>4</v>
      </c>
      <c r="D2684" t="s">
        <v>5</v>
      </c>
      <c r="F2684" t="str" cm="1">
        <f t="array" ref="F2684">CategorizeComment(E2684)</f>
        <v>Other</v>
      </c>
      <c r="G2684" t="str" cm="1">
        <f t="array" ref="G2684">SubCategorizeComment(E2684)</f>
        <v>Other</v>
      </c>
    </row>
    <row r="2685" spans="1:7" x14ac:dyDescent="0.25">
      <c r="A2685">
        <v>19726</v>
      </c>
      <c r="B2685" t="s">
        <v>4</v>
      </c>
      <c r="C2685">
        <v>4</v>
      </c>
      <c r="D2685" t="s">
        <v>5</v>
      </c>
      <c r="F2685" t="str" cm="1">
        <f t="array" ref="F2685">CategorizeComment(E2685)</f>
        <v>Other</v>
      </c>
      <c r="G2685" t="str" cm="1">
        <f t="array" ref="G2685">SubCategorizeComment(E2685)</f>
        <v>Other</v>
      </c>
    </row>
    <row r="2686" spans="1:7" x14ac:dyDescent="0.25">
      <c r="A2686">
        <v>19728</v>
      </c>
      <c r="B2686" t="s">
        <v>4</v>
      </c>
      <c r="C2686">
        <v>4</v>
      </c>
      <c r="D2686" t="s">
        <v>5</v>
      </c>
      <c r="F2686" t="str" cm="1">
        <f t="array" ref="F2686">CategorizeComment(E2686)</f>
        <v>Other</v>
      </c>
      <c r="G2686" t="str" cm="1">
        <f t="array" ref="G2686">SubCategorizeComment(E2686)</f>
        <v>Other</v>
      </c>
    </row>
    <row r="2687" spans="1:7" x14ac:dyDescent="0.25">
      <c r="A2687">
        <v>19731</v>
      </c>
      <c r="B2687" t="s">
        <v>4</v>
      </c>
      <c r="C2687">
        <v>3</v>
      </c>
      <c r="D2687" t="s">
        <v>5</v>
      </c>
      <c r="F2687" t="str" cm="1">
        <f t="array" ref="F2687">CategorizeComment(E2687)</f>
        <v>Other</v>
      </c>
      <c r="G2687" t="str" cm="1">
        <f t="array" ref="G2687">SubCategorizeComment(E2687)</f>
        <v>Other</v>
      </c>
    </row>
    <row r="2688" spans="1:7" x14ac:dyDescent="0.25">
      <c r="A2688">
        <v>19735</v>
      </c>
      <c r="B2688" t="s">
        <v>4</v>
      </c>
      <c r="C2688">
        <v>4</v>
      </c>
      <c r="D2688" t="s">
        <v>5</v>
      </c>
      <c r="F2688" t="str" cm="1">
        <f t="array" ref="F2688">CategorizeComment(E2688)</f>
        <v>Other</v>
      </c>
      <c r="G2688" t="str" cm="1">
        <f t="array" ref="G2688">SubCategorizeComment(E2688)</f>
        <v>Other</v>
      </c>
    </row>
    <row r="2689" spans="1:7" x14ac:dyDescent="0.25">
      <c r="A2689">
        <v>19743</v>
      </c>
      <c r="B2689" t="s">
        <v>4</v>
      </c>
      <c r="C2689">
        <v>3</v>
      </c>
      <c r="D2689" t="s">
        <v>5</v>
      </c>
      <c r="F2689" t="str" cm="1">
        <f t="array" ref="F2689">CategorizeComment(E2689)</f>
        <v>Other</v>
      </c>
      <c r="G2689" t="str" cm="1">
        <f t="array" ref="G2689">SubCategorizeComment(E2689)</f>
        <v>Other</v>
      </c>
    </row>
    <row r="2690" spans="1:7" x14ac:dyDescent="0.25">
      <c r="A2690">
        <v>19745</v>
      </c>
      <c r="B2690" t="s">
        <v>4</v>
      </c>
      <c r="C2690">
        <v>4</v>
      </c>
      <c r="D2690" t="s">
        <v>5</v>
      </c>
      <c r="F2690" t="str" cm="1">
        <f t="array" ref="F2690">CategorizeComment(E2690)</f>
        <v>Other</v>
      </c>
      <c r="G2690" t="str" cm="1">
        <f t="array" ref="G2690">SubCategorizeComment(E2690)</f>
        <v>Other</v>
      </c>
    </row>
    <row r="2691" spans="1:7" x14ac:dyDescent="0.25">
      <c r="A2691">
        <v>19756</v>
      </c>
      <c r="B2691" t="s">
        <v>4</v>
      </c>
      <c r="C2691">
        <v>4</v>
      </c>
      <c r="D2691" t="s">
        <v>5</v>
      </c>
      <c r="F2691" t="str" cm="1">
        <f t="array" ref="F2691">CategorizeComment(E2691)</f>
        <v>Other</v>
      </c>
      <c r="G2691" t="str" cm="1">
        <f t="array" ref="G2691">SubCategorizeComment(E2691)</f>
        <v>Other</v>
      </c>
    </row>
    <row r="2692" spans="1:7" x14ac:dyDescent="0.25">
      <c r="A2692">
        <v>19770</v>
      </c>
      <c r="B2692" t="s">
        <v>4</v>
      </c>
      <c r="C2692">
        <v>3</v>
      </c>
      <c r="D2692" t="s">
        <v>5</v>
      </c>
      <c r="F2692" t="str" cm="1">
        <f t="array" ref="F2692">CategorizeComment(E2692)</f>
        <v>Other</v>
      </c>
      <c r="G2692" t="str" cm="1">
        <f t="array" ref="G2692">SubCategorizeComment(E2692)</f>
        <v>Other</v>
      </c>
    </row>
    <row r="2693" spans="1:7" x14ac:dyDescent="0.25">
      <c r="A2693">
        <v>19775</v>
      </c>
      <c r="B2693" t="s">
        <v>4</v>
      </c>
      <c r="C2693">
        <v>4</v>
      </c>
      <c r="D2693" t="s">
        <v>5</v>
      </c>
      <c r="F2693" t="str" cm="1">
        <f t="array" ref="F2693">CategorizeComment(E2693)</f>
        <v>Other</v>
      </c>
      <c r="G2693" t="str" cm="1">
        <f t="array" ref="G2693">SubCategorizeComment(E2693)</f>
        <v>Other</v>
      </c>
    </row>
    <row r="2694" spans="1:7" x14ac:dyDescent="0.25">
      <c r="A2694">
        <v>19784</v>
      </c>
      <c r="B2694" t="s">
        <v>4</v>
      </c>
      <c r="C2694">
        <v>4</v>
      </c>
      <c r="D2694" t="s">
        <v>5</v>
      </c>
      <c r="F2694" t="str" cm="1">
        <f t="array" ref="F2694">CategorizeComment(E2694)</f>
        <v>Other</v>
      </c>
      <c r="G2694" t="str" cm="1">
        <f t="array" ref="G2694">SubCategorizeComment(E2694)</f>
        <v>Other</v>
      </c>
    </row>
    <row r="2695" spans="1:7" x14ac:dyDescent="0.25">
      <c r="A2695">
        <v>19785</v>
      </c>
      <c r="B2695" t="s">
        <v>4</v>
      </c>
      <c r="C2695">
        <v>3</v>
      </c>
      <c r="D2695" t="s">
        <v>5</v>
      </c>
      <c r="F2695" t="str" cm="1">
        <f t="array" ref="F2695">CategorizeComment(E2695)</f>
        <v>Other</v>
      </c>
      <c r="G2695" t="str" cm="1">
        <f t="array" ref="G2695">SubCategorizeComment(E2695)</f>
        <v>Other</v>
      </c>
    </row>
    <row r="2696" spans="1:7" x14ac:dyDescent="0.25">
      <c r="A2696">
        <v>19786</v>
      </c>
      <c r="B2696" t="s">
        <v>4</v>
      </c>
      <c r="C2696">
        <v>3</v>
      </c>
      <c r="D2696" t="s">
        <v>5</v>
      </c>
      <c r="F2696" t="str" cm="1">
        <f t="array" ref="F2696">CategorizeComment(E2696)</f>
        <v>Other</v>
      </c>
      <c r="G2696" t="str" cm="1">
        <f t="array" ref="G2696">SubCategorizeComment(E2696)</f>
        <v>Other</v>
      </c>
    </row>
    <row r="2697" spans="1:7" x14ac:dyDescent="0.25">
      <c r="A2697">
        <v>19791</v>
      </c>
      <c r="B2697" t="s">
        <v>4</v>
      </c>
      <c r="C2697">
        <v>3</v>
      </c>
      <c r="D2697" t="s">
        <v>5</v>
      </c>
      <c r="F2697" t="str" cm="1">
        <f t="array" ref="F2697">CategorizeComment(E2697)</f>
        <v>Other</v>
      </c>
      <c r="G2697" t="str" cm="1">
        <f t="array" ref="G2697">SubCategorizeComment(E2697)</f>
        <v>Other</v>
      </c>
    </row>
    <row r="2698" spans="1:7" x14ac:dyDescent="0.25">
      <c r="A2698">
        <v>19792</v>
      </c>
      <c r="B2698" t="s">
        <v>4</v>
      </c>
      <c r="C2698">
        <v>4</v>
      </c>
      <c r="D2698" t="s">
        <v>5</v>
      </c>
      <c r="F2698" t="str" cm="1">
        <f t="array" ref="F2698">CategorizeComment(E2698)</f>
        <v>Other</v>
      </c>
      <c r="G2698" t="str" cm="1">
        <f t="array" ref="G2698">SubCategorizeComment(E2698)</f>
        <v>Other</v>
      </c>
    </row>
    <row r="2699" spans="1:7" x14ac:dyDescent="0.25">
      <c r="A2699">
        <v>19822</v>
      </c>
      <c r="B2699" t="s">
        <v>4</v>
      </c>
      <c r="C2699">
        <v>3</v>
      </c>
      <c r="D2699" t="s">
        <v>5</v>
      </c>
      <c r="F2699" t="str" cm="1">
        <f t="array" ref="F2699">CategorizeComment(E2699)</f>
        <v>Other</v>
      </c>
      <c r="G2699" t="str" cm="1">
        <f t="array" ref="G2699">SubCategorizeComment(E2699)</f>
        <v>Other</v>
      </c>
    </row>
    <row r="2700" spans="1:7" x14ac:dyDescent="0.25">
      <c r="A2700">
        <v>19828</v>
      </c>
      <c r="B2700" t="s">
        <v>4</v>
      </c>
      <c r="C2700">
        <v>4</v>
      </c>
      <c r="D2700" t="s">
        <v>5</v>
      </c>
      <c r="F2700" t="str" cm="1">
        <f t="array" ref="F2700">CategorizeComment(E2700)</f>
        <v>Other</v>
      </c>
      <c r="G2700" t="str" cm="1">
        <f t="array" ref="G2700">SubCategorizeComment(E2700)</f>
        <v>Other</v>
      </c>
    </row>
    <row r="2701" spans="1:7" x14ac:dyDescent="0.25">
      <c r="A2701">
        <v>19829</v>
      </c>
      <c r="B2701" t="s">
        <v>4</v>
      </c>
      <c r="C2701">
        <v>3</v>
      </c>
      <c r="D2701" t="s">
        <v>5</v>
      </c>
      <c r="F2701" t="str" cm="1">
        <f t="array" ref="F2701">CategorizeComment(E2701)</f>
        <v>Other</v>
      </c>
      <c r="G2701" t="str" cm="1">
        <f t="array" ref="G2701">SubCategorizeComment(E2701)</f>
        <v>Other</v>
      </c>
    </row>
    <row r="2702" spans="1:7" x14ac:dyDescent="0.25">
      <c r="A2702">
        <v>19832</v>
      </c>
      <c r="B2702" t="s">
        <v>4</v>
      </c>
      <c r="C2702">
        <v>4</v>
      </c>
      <c r="D2702" t="s">
        <v>5</v>
      </c>
      <c r="F2702" t="str" cm="1">
        <f t="array" ref="F2702">CategorizeComment(E2702)</f>
        <v>Other</v>
      </c>
      <c r="G2702" t="str" cm="1">
        <f t="array" ref="G2702">SubCategorizeComment(E2702)</f>
        <v>Other</v>
      </c>
    </row>
    <row r="2703" spans="1:7" x14ac:dyDescent="0.25">
      <c r="A2703">
        <v>19833</v>
      </c>
      <c r="B2703" t="s">
        <v>4</v>
      </c>
      <c r="C2703">
        <v>4</v>
      </c>
      <c r="D2703" t="s">
        <v>5</v>
      </c>
      <c r="F2703" t="str" cm="1">
        <f t="array" ref="F2703">CategorizeComment(E2703)</f>
        <v>Other</v>
      </c>
      <c r="G2703" t="str" cm="1">
        <f t="array" ref="G2703">SubCategorizeComment(E2703)</f>
        <v>Other</v>
      </c>
    </row>
    <row r="2704" spans="1:7" x14ac:dyDescent="0.25">
      <c r="A2704">
        <v>19841</v>
      </c>
      <c r="B2704" t="s">
        <v>4</v>
      </c>
      <c r="C2704">
        <v>4</v>
      </c>
      <c r="D2704" t="s">
        <v>5</v>
      </c>
      <c r="F2704" t="str" cm="1">
        <f t="array" ref="F2704">CategorizeComment(E2704)</f>
        <v>Other</v>
      </c>
      <c r="G2704" t="str" cm="1">
        <f t="array" ref="G2704">SubCategorizeComment(E2704)</f>
        <v>Other</v>
      </c>
    </row>
    <row r="2705" spans="1:7" x14ac:dyDescent="0.25">
      <c r="A2705">
        <v>19851</v>
      </c>
      <c r="B2705" t="s">
        <v>4</v>
      </c>
      <c r="C2705">
        <v>3</v>
      </c>
      <c r="D2705" t="s">
        <v>5</v>
      </c>
      <c r="F2705" t="str" cm="1">
        <f t="array" ref="F2705">CategorizeComment(E2705)</f>
        <v>Other</v>
      </c>
      <c r="G2705" t="str" cm="1">
        <f t="array" ref="G2705">SubCategorizeComment(E2705)</f>
        <v>Other</v>
      </c>
    </row>
    <row r="2706" spans="1:7" x14ac:dyDescent="0.25">
      <c r="A2706">
        <v>19858</v>
      </c>
      <c r="B2706" t="s">
        <v>4</v>
      </c>
      <c r="C2706">
        <v>4</v>
      </c>
      <c r="D2706" t="s">
        <v>5</v>
      </c>
      <c r="F2706" t="str" cm="1">
        <f t="array" ref="F2706">CategorizeComment(E2706)</f>
        <v>Other</v>
      </c>
      <c r="G2706" t="str" cm="1">
        <f t="array" ref="G2706">SubCategorizeComment(E2706)</f>
        <v>Other</v>
      </c>
    </row>
    <row r="2707" spans="1:7" x14ac:dyDescent="0.25">
      <c r="A2707">
        <v>19859</v>
      </c>
      <c r="B2707" t="s">
        <v>4</v>
      </c>
      <c r="C2707">
        <v>3</v>
      </c>
      <c r="D2707" t="s">
        <v>5</v>
      </c>
      <c r="F2707" t="str" cm="1">
        <f t="array" ref="F2707">CategorizeComment(E2707)</f>
        <v>Other</v>
      </c>
      <c r="G2707" t="str" cm="1">
        <f t="array" ref="G2707">SubCategorizeComment(E2707)</f>
        <v>Other</v>
      </c>
    </row>
    <row r="2708" spans="1:7" x14ac:dyDescent="0.25">
      <c r="A2708">
        <v>19872</v>
      </c>
      <c r="B2708" t="s">
        <v>4</v>
      </c>
      <c r="C2708">
        <v>3</v>
      </c>
      <c r="D2708" t="s">
        <v>5</v>
      </c>
      <c r="F2708" t="str" cm="1">
        <f t="array" ref="F2708">CategorizeComment(E2708)</f>
        <v>Other</v>
      </c>
      <c r="G2708" t="str" cm="1">
        <f t="array" ref="G2708">SubCategorizeComment(E2708)</f>
        <v>Other</v>
      </c>
    </row>
    <row r="2709" spans="1:7" x14ac:dyDescent="0.25">
      <c r="A2709">
        <v>19886</v>
      </c>
      <c r="B2709" t="s">
        <v>4</v>
      </c>
      <c r="C2709">
        <v>4</v>
      </c>
      <c r="D2709" t="s">
        <v>5</v>
      </c>
      <c r="F2709" t="str" cm="1">
        <f t="array" ref="F2709">CategorizeComment(E2709)</f>
        <v>Other</v>
      </c>
      <c r="G2709" t="str" cm="1">
        <f t="array" ref="G2709">SubCategorizeComment(E2709)</f>
        <v>Other</v>
      </c>
    </row>
    <row r="2710" spans="1:7" x14ac:dyDescent="0.25">
      <c r="A2710">
        <v>19890</v>
      </c>
      <c r="B2710" t="s">
        <v>4</v>
      </c>
      <c r="C2710">
        <v>4</v>
      </c>
      <c r="D2710" t="s">
        <v>5</v>
      </c>
      <c r="F2710" t="str" cm="1">
        <f t="array" ref="F2710">CategorizeComment(E2710)</f>
        <v>Other</v>
      </c>
      <c r="G2710" t="str" cm="1">
        <f t="array" ref="G2710">SubCategorizeComment(E2710)</f>
        <v>Other</v>
      </c>
    </row>
    <row r="2711" spans="1:7" x14ac:dyDescent="0.25">
      <c r="A2711">
        <v>19893</v>
      </c>
      <c r="B2711" t="s">
        <v>4</v>
      </c>
      <c r="C2711">
        <v>4</v>
      </c>
      <c r="D2711" t="s">
        <v>5</v>
      </c>
      <c r="F2711" t="str" cm="1">
        <f t="array" ref="F2711">CategorizeComment(E2711)</f>
        <v>Other</v>
      </c>
      <c r="G2711" t="str" cm="1">
        <f t="array" ref="G2711">SubCategorizeComment(E2711)</f>
        <v>Other</v>
      </c>
    </row>
    <row r="2712" spans="1:7" x14ac:dyDescent="0.25">
      <c r="A2712">
        <v>19906</v>
      </c>
      <c r="B2712" t="s">
        <v>4</v>
      </c>
      <c r="C2712">
        <v>3</v>
      </c>
      <c r="D2712" t="s">
        <v>5</v>
      </c>
      <c r="F2712" t="str" cm="1">
        <f t="array" ref="F2712">CategorizeComment(E2712)</f>
        <v>Other</v>
      </c>
      <c r="G2712" t="str" cm="1">
        <f t="array" ref="G2712">SubCategorizeComment(E2712)</f>
        <v>Other</v>
      </c>
    </row>
    <row r="2713" spans="1:7" x14ac:dyDescent="0.25">
      <c r="A2713">
        <v>19914</v>
      </c>
      <c r="B2713" t="s">
        <v>4</v>
      </c>
      <c r="C2713">
        <v>4</v>
      </c>
      <c r="D2713" t="s">
        <v>5</v>
      </c>
      <c r="F2713" t="str" cm="1">
        <f t="array" ref="F2713">CategorizeComment(E2713)</f>
        <v>Other</v>
      </c>
      <c r="G2713" t="str" cm="1">
        <f t="array" ref="G2713">SubCategorizeComment(E2713)</f>
        <v>Other</v>
      </c>
    </row>
    <row r="2714" spans="1:7" x14ac:dyDescent="0.25">
      <c r="A2714">
        <v>19920</v>
      </c>
      <c r="B2714" t="s">
        <v>4</v>
      </c>
      <c r="C2714">
        <v>3</v>
      </c>
      <c r="D2714" t="s">
        <v>5</v>
      </c>
      <c r="F2714" t="str" cm="1">
        <f t="array" ref="F2714">CategorizeComment(E2714)</f>
        <v>Other</v>
      </c>
      <c r="G2714" t="str" cm="1">
        <f t="array" ref="G2714">SubCategorizeComment(E2714)</f>
        <v>Other</v>
      </c>
    </row>
    <row r="2715" spans="1:7" x14ac:dyDescent="0.25">
      <c r="A2715">
        <v>19933</v>
      </c>
      <c r="B2715" t="s">
        <v>4</v>
      </c>
      <c r="C2715">
        <v>3</v>
      </c>
      <c r="D2715" t="s">
        <v>5</v>
      </c>
      <c r="F2715" t="str" cm="1">
        <f t="array" ref="F2715">CategorizeComment(E2715)</f>
        <v>Other</v>
      </c>
      <c r="G2715" t="str" cm="1">
        <f t="array" ref="G2715">SubCategorizeComment(E2715)</f>
        <v>Other</v>
      </c>
    </row>
    <row r="2716" spans="1:7" x14ac:dyDescent="0.25">
      <c r="A2716">
        <v>19994</v>
      </c>
      <c r="B2716" t="s">
        <v>4</v>
      </c>
      <c r="C2716">
        <v>3</v>
      </c>
      <c r="D2716" t="s">
        <v>5</v>
      </c>
      <c r="F2716" t="str" cm="1">
        <f t="array" ref="F2716">CategorizeComment(E2716)</f>
        <v>Other</v>
      </c>
      <c r="G2716" t="str" cm="1">
        <f t="array" ref="G2716">SubCategorizeComment(E2716)</f>
        <v>Other</v>
      </c>
    </row>
    <row r="2717" spans="1:7" x14ac:dyDescent="0.25">
      <c r="A2717">
        <v>20006</v>
      </c>
      <c r="B2717" t="s">
        <v>4</v>
      </c>
      <c r="C2717">
        <v>3</v>
      </c>
      <c r="D2717" t="s">
        <v>5</v>
      </c>
      <c r="F2717" t="str" cm="1">
        <f t="array" ref="F2717">CategorizeComment(E2717)</f>
        <v>Other</v>
      </c>
      <c r="G2717" t="str" cm="1">
        <f t="array" ref="G2717">SubCategorizeComment(E2717)</f>
        <v>Other</v>
      </c>
    </row>
    <row r="2718" spans="1:7" x14ac:dyDescent="0.25">
      <c r="A2718">
        <v>20008</v>
      </c>
      <c r="B2718" t="s">
        <v>4</v>
      </c>
      <c r="C2718">
        <v>4</v>
      </c>
      <c r="D2718" t="s">
        <v>5</v>
      </c>
      <c r="F2718" t="str" cm="1">
        <f t="array" ref="F2718">CategorizeComment(E2718)</f>
        <v>Other</v>
      </c>
      <c r="G2718" t="str" cm="1">
        <f t="array" ref="G2718">SubCategorizeComment(E2718)</f>
        <v>Other</v>
      </c>
    </row>
    <row r="2719" spans="1:7" x14ac:dyDescent="0.25">
      <c r="A2719">
        <v>20022</v>
      </c>
      <c r="B2719" t="s">
        <v>4</v>
      </c>
      <c r="C2719">
        <v>0</v>
      </c>
      <c r="D2719" t="s">
        <v>5</v>
      </c>
      <c r="F2719" t="str" cm="1">
        <f t="array" ref="F2719">CategorizeComment(E2719)</f>
        <v>Other</v>
      </c>
      <c r="G2719" t="str" cm="1">
        <f t="array" ref="G2719">SubCategorizeComment(E2719)</f>
        <v>Other</v>
      </c>
    </row>
    <row r="2720" spans="1:7" x14ac:dyDescent="0.25">
      <c r="A2720">
        <v>20023</v>
      </c>
      <c r="B2720" t="s">
        <v>4</v>
      </c>
      <c r="C2720">
        <v>4</v>
      </c>
      <c r="D2720" t="s">
        <v>5</v>
      </c>
      <c r="F2720" t="str" cm="1">
        <f t="array" ref="F2720">CategorizeComment(E2720)</f>
        <v>Other</v>
      </c>
      <c r="G2720" t="str" cm="1">
        <f t="array" ref="G2720">SubCategorizeComment(E2720)</f>
        <v>Other</v>
      </c>
    </row>
    <row r="2721" spans="1:7" x14ac:dyDescent="0.25">
      <c r="A2721">
        <v>20024</v>
      </c>
      <c r="B2721" t="s">
        <v>4</v>
      </c>
      <c r="C2721">
        <v>3</v>
      </c>
      <c r="D2721" t="s">
        <v>5</v>
      </c>
      <c r="F2721" t="str" cm="1">
        <f t="array" ref="F2721">CategorizeComment(E2721)</f>
        <v>Other</v>
      </c>
      <c r="G2721" t="str" cm="1">
        <f t="array" ref="G2721">SubCategorizeComment(E2721)</f>
        <v>Other</v>
      </c>
    </row>
    <row r="2722" spans="1:7" x14ac:dyDescent="0.25">
      <c r="A2722">
        <v>20032</v>
      </c>
      <c r="B2722" t="s">
        <v>4</v>
      </c>
      <c r="C2722">
        <v>4</v>
      </c>
      <c r="D2722" t="s">
        <v>5</v>
      </c>
      <c r="F2722" t="str" cm="1">
        <f t="array" ref="F2722">CategorizeComment(E2722)</f>
        <v>Other</v>
      </c>
      <c r="G2722" t="str" cm="1">
        <f t="array" ref="G2722">SubCategorizeComment(E2722)</f>
        <v>Other</v>
      </c>
    </row>
    <row r="2723" spans="1:7" x14ac:dyDescent="0.25">
      <c r="A2723">
        <v>20049</v>
      </c>
      <c r="B2723" t="s">
        <v>4</v>
      </c>
      <c r="C2723">
        <v>3</v>
      </c>
      <c r="D2723" t="s">
        <v>5</v>
      </c>
      <c r="F2723" t="str" cm="1">
        <f t="array" ref="F2723">CategorizeComment(E2723)</f>
        <v>Other</v>
      </c>
      <c r="G2723" t="str" cm="1">
        <f t="array" ref="G2723">SubCategorizeComment(E2723)</f>
        <v>Other</v>
      </c>
    </row>
    <row r="2724" spans="1:7" x14ac:dyDescent="0.25">
      <c r="A2724">
        <v>20059</v>
      </c>
      <c r="B2724" t="s">
        <v>4</v>
      </c>
      <c r="C2724">
        <v>4</v>
      </c>
      <c r="D2724" t="s">
        <v>5</v>
      </c>
      <c r="F2724" t="str" cm="1">
        <f t="array" ref="F2724">CategorizeComment(E2724)</f>
        <v>Other</v>
      </c>
      <c r="G2724" t="str" cm="1">
        <f t="array" ref="G2724">SubCategorizeComment(E2724)</f>
        <v>Other</v>
      </c>
    </row>
    <row r="2725" spans="1:7" x14ac:dyDescent="0.25">
      <c r="A2725">
        <v>20080</v>
      </c>
      <c r="B2725" t="s">
        <v>4</v>
      </c>
      <c r="C2725">
        <v>3</v>
      </c>
      <c r="D2725" t="s">
        <v>5</v>
      </c>
      <c r="F2725" t="str" cm="1">
        <f t="array" ref="F2725">CategorizeComment(E2725)</f>
        <v>Other</v>
      </c>
      <c r="G2725" t="str" cm="1">
        <f t="array" ref="G2725">SubCategorizeComment(E2725)</f>
        <v>Other</v>
      </c>
    </row>
    <row r="2726" spans="1:7" x14ac:dyDescent="0.25">
      <c r="A2726">
        <v>20101</v>
      </c>
      <c r="B2726" t="s">
        <v>4</v>
      </c>
      <c r="C2726">
        <v>3</v>
      </c>
      <c r="D2726" t="s">
        <v>5</v>
      </c>
      <c r="F2726" t="str" cm="1">
        <f t="array" ref="F2726">CategorizeComment(E2726)</f>
        <v>Other</v>
      </c>
      <c r="G2726" t="str" cm="1">
        <f t="array" ref="G2726">SubCategorizeComment(E2726)</f>
        <v>Other</v>
      </c>
    </row>
    <row r="2727" spans="1:7" x14ac:dyDescent="0.25">
      <c r="A2727">
        <v>20102</v>
      </c>
      <c r="B2727" t="s">
        <v>4</v>
      </c>
      <c r="C2727">
        <v>3</v>
      </c>
      <c r="D2727" t="s">
        <v>5</v>
      </c>
      <c r="F2727" t="str" cm="1">
        <f t="array" ref="F2727">CategorizeComment(E2727)</f>
        <v>Other</v>
      </c>
      <c r="G2727" t="str" cm="1">
        <f t="array" ref="G2727">SubCategorizeComment(E2727)</f>
        <v>Other</v>
      </c>
    </row>
    <row r="2728" spans="1:7" x14ac:dyDescent="0.25">
      <c r="A2728">
        <v>20109</v>
      </c>
      <c r="B2728" t="s">
        <v>4</v>
      </c>
      <c r="C2728">
        <v>4</v>
      </c>
      <c r="D2728" t="s">
        <v>5</v>
      </c>
      <c r="F2728" t="str" cm="1">
        <f t="array" ref="F2728">CategorizeComment(E2728)</f>
        <v>Other</v>
      </c>
      <c r="G2728" t="str" cm="1">
        <f t="array" ref="G2728">SubCategorizeComment(E2728)</f>
        <v>Other</v>
      </c>
    </row>
    <row r="2729" spans="1:7" x14ac:dyDescent="0.25">
      <c r="A2729">
        <v>20113</v>
      </c>
      <c r="B2729" t="s">
        <v>4</v>
      </c>
      <c r="C2729">
        <v>3</v>
      </c>
      <c r="D2729" t="s">
        <v>5</v>
      </c>
      <c r="F2729" t="str" cm="1">
        <f t="array" ref="F2729">CategorizeComment(E2729)</f>
        <v>Other</v>
      </c>
      <c r="G2729" t="str" cm="1">
        <f t="array" ref="G2729">SubCategorizeComment(E2729)</f>
        <v>Other</v>
      </c>
    </row>
    <row r="2730" spans="1:7" x14ac:dyDescent="0.25">
      <c r="A2730">
        <v>20118</v>
      </c>
      <c r="B2730" t="s">
        <v>4</v>
      </c>
      <c r="C2730">
        <v>3</v>
      </c>
      <c r="D2730" t="s">
        <v>5</v>
      </c>
      <c r="F2730" t="str" cm="1">
        <f t="array" ref="F2730">CategorizeComment(E2730)</f>
        <v>Other</v>
      </c>
      <c r="G2730" t="str" cm="1">
        <f t="array" ref="G2730">SubCategorizeComment(E2730)</f>
        <v>Other</v>
      </c>
    </row>
    <row r="2731" spans="1:7" x14ac:dyDescent="0.25">
      <c r="A2731">
        <v>20129</v>
      </c>
      <c r="B2731" t="s">
        <v>4</v>
      </c>
      <c r="C2731">
        <v>4</v>
      </c>
      <c r="D2731" t="s">
        <v>5</v>
      </c>
      <c r="F2731" t="str" cm="1">
        <f t="array" ref="F2731">CategorizeComment(E2731)</f>
        <v>Other</v>
      </c>
      <c r="G2731" t="str" cm="1">
        <f t="array" ref="G2731">SubCategorizeComment(E2731)</f>
        <v>Other</v>
      </c>
    </row>
    <row r="2732" spans="1:7" x14ac:dyDescent="0.25">
      <c r="A2732">
        <v>20137</v>
      </c>
      <c r="B2732" t="s">
        <v>4</v>
      </c>
      <c r="C2732">
        <v>4</v>
      </c>
      <c r="D2732" t="s">
        <v>5</v>
      </c>
      <c r="F2732" t="str" cm="1">
        <f t="array" ref="F2732">CategorizeComment(E2732)</f>
        <v>Other</v>
      </c>
      <c r="G2732" t="str" cm="1">
        <f t="array" ref="G2732">SubCategorizeComment(E2732)</f>
        <v>Other</v>
      </c>
    </row>
    <row r="2733" spans="1:7" x14ac:dyDescent="0.25">
      <c r="A2733">
        <v>20141</v>
      </c>
      <c r="B2733" t="s">
        <v>4</v>
      </c>
      <c r="C2733">
        <v>3</v>
      </c>
      <c r="D2733" t="s">
        <v>5</v>
      </c>
      <c r="F2733" t="str" cm="1">
        <f t="array" ref="F2733">CategorizeComment(E2733)</f>
        <v>Other</v>
      </c>
      <c r="G2733" t="str" cm="1">
        <f t="array" ref="G2733">SubCategorizeComment(E2733)</f>
        <v>Other</v>
      </c>
    </row>
    <row r="2734" spans="1:7" x14ac:dyDescent="0.25">
      <c r="A2734">
        <v>20146</v>
      </c>
      <c r="B2734" t="s">
        <v>4</v>
      </c>
      <c r="C2734">
        <v>4</v>
      </c>
      <c r="D2734" t="s">
        <v>5</v>
      </c>
      <c r="F2734" t="str" cm="1">
        <f t="array" ref="F2734">CategorizeComment(E2734)</f>
        <v>Other</v>
      </c>
      <c r="G2734" t="str" cm="1">
        <f t="array" ref="G2734">SubCategorizeComment(E2734)</f>
        <v>Other</v>
      </c>
    </row>
    <row r="2735" spans="1:7" x14ac:dyDescent="0.25">
      <c r="A2735">
        <v>20148</v>
      </c>
      <c r="B2735" t="s">
        <v>4</v>
      </c>
      <c r="C2735">
        <v>4</v>
      </c>
      <c r="D2735" t="s">
        <v>5</v>
      </c>
      <c r="F2735" t="str" cm="1">
        <f t="array" ref="F2735">CategorizeComment(E2735)</f>
        <v>Other</v>
      </c>
      <c r="G2735" t="str" cm="1">
        <f t="array" ref="G2735">SubCategorizeComment(E2735)</f>
        <v>Other</v>
      </c>
    </row>
    <row r="2736" spans="1:7" x14ac:dyDescent="0.25">
      <c r="A2736">
        <v>20162</v>
      </c>
      <c r="B2736" t="s">
        <v>4</v>
      </c>
      <c r="C2736">
        <v>4</v>
      </c>
      <c r="D2736" t="s">
        <v>5</v>
      </c>
      <c r="F2736" t="str" cm="1">
        <f t="array" ref="F2736">CategorizeComment(E2736)</f>
        <v>Other</v>
      </c>
      <c r="G2736" t="str" cm="1">
        <f t="array" ref="G2736">SubCategorizeComment(E2736)</f>
        <v>Other</v>
      </c>
    </row>
    <row r="2737" spans="1:7" x14ac:dyDescent="0.25">
      <c r="A2737">
        <v>20172</v>
      </c>
      <c r="B2737" t="s">
        <v>4</v>
      </c>
      <c r="C2737">
        <v>3</v>
      </c>
      <c r="D2737" t="s">
        <v>5</v>
      </c>
      <c r="F2737" t="str" cm="1">
        <f t="array" ref="F2737">CategorizeComment(E2737)</f>
        <v>Other</v>
      </c>
      <c r="G2737" t="str" cm="1">
        <f t="array" ref="G2737">SubCategorizeComment(E2737)</f>
        <v>Other</v>
      </c>
    </row>
    <row r="2738" spans="1:7" x14ac:dyDescent="0.25">
      <c r="A2738">
        <v>20195</v>
      </c>
      <c r="B2738" t="s">
        <v>4</v>
      </c>
      <c r="C2738">
        <v>4</v>
      </c>
      <c r="D2738" t="s">
        <v>5</v>
      </c>
      <c r="F2738" t="str" cm="1">
        <f t="array" ref="F2738">CategorizeComment(E2738)</f>
        <v>Other</v>
      </c>
      <c r="G2738" t="str" cm="1">
        <f t="array" ref="G2738">SubCategorizeComment(E2738)</f>
        <v>Other</v>
      </c>
    </row>
    <row r="2739" spans="1:7" x14ac:dyDescent="0.25">
      <c r="A2739">
        <v>20205</v>
      </c>
      <c r="B2739" t="s">
        <v>4</v>
      </c>
      <c r="C2739">
        <v>4</v>
      </c>
      <c r="D2739" t="s">
        <v>5</v>
      </c>
      <c r="F2739" t="str" cm="1">
        <f t="array" ref="F2739">CategorizeComment(E2739)</f>
        <v>Other</v>
      </c>
      <c r="G2739" t="str" cm="1">
        <f t="array" ref="G2739">SubCategorizeComment(E2739)</f>
        <v>Other</v>
      </c>
    </row>
    <row r="2740" spans="1:7" x14ac:dyDescent="0.25">
      <c r="A2740">
        <v>20206</v>
      </c>
      <c r="B2740" t="s">
        <v>4</v>
      </c>
      <c r="C2740">
        <v>3</v>
      </c>
      <c r="D2740" t="s">
        <v>5</v>
      </c>
      <c r="F2740" t="str" cm="1">
        <f t="array" ref="F2740">CategorizeComment(E2740)</f>
        <v>Other</v>
      </c>
      <c r="G2740" t="str" cm="1">
        <f t="array" ref="G2740">SubCategorizeComment(E2740)</f>
        <v>Other</v>
      </c>
    </row>
    <row r="2741" spans="1:7" x14ac:dyDescent="0.25">
      <c r="A2741">
        <v>20220</v>
      </c>
      <c r="B2741" t="s">
        <v>4</v>
      </c>
      <c r="C2741">
        <v>3</v>
      </c>
      <c r="D2741" t="s">
        <v>5</v>
      </c>
      <c r="F2741" t="str" cm="1">
        <f t="array" ref="F2741">CategorizeComment(E2741)</f>
        <v>Other</v>
      </c>
      <c r="G2741" t="str" cm="1">
        <f t="array" ref="G2741">SubCategorizeComment(E2741)</f>
        <v>Other</v>
      </c>
    </row>
    <row r="2742" spans="1:7" x14ac:dyDescent="0.25">
      <c r="A2742">
        <v>20236</v>
      </c>
      <c r="B2742" t="s">
        <v>4</v>
      </c>
      <c r="C2742">
        <v>4</v>
      </c>
      <c r="D2742" t="s">
        <v>5</v>
      </c>
      <c r="F2742" t="str" cm="1">
        <f t="array" ref="F2742">CategorizeComment(E2742)</f>
        <v>Other</v>
      </c>
      <c r="G2742" t="str" cm="1">
        <f t="array" ref="G2742">SubCategorizeComment(E2742)</f>
        <v>Other</v>
      </c>
    </row>
    <row r="2743" spans="1:7" x14ac:dyDescent="0.25">
      <c r="A2743">
        <v>20246</v>
      </c>
      <c r="B2743" t="s">
        <v>4</v>
      </c>
      <c r="C2743">
        <v>3</v>
      </c>
      <c r="D2743" t="s">
        <v>5</v>
      </c>
      <c r="F2743" t="str" cm="1">
        <f t="array" ref="F2743">CategorizeComment(E2743)</f>
        <v>Other</v>
      </c>
      <c r="G2743" t="str" cm="1">
        <f t="array" ref="G2743">SubCategorizeComment(E2743)</f>
        <v>Other</v>
      </c>
    </row>
    <row r="2744" spans="1:7" x14ac:dyDescent="0.25">
      <c r="A2744">
        <v>20249</v>
      </c>
      <c r="B2744" t="s">
        <v>4</v>
      </c>
      <c r="C2744">
        <v>3</v>
      </c>
      <c r="D2744" t="s">
        <v>5</v>
      </c>
      <c r="F2744" t="str" cm="1">
        <f t="array" ref="F2744">CategorizeComment(E2744)</f>
        <v>Other</v>
      </c>
      <c r="G2744" t="str" cm="1">
        <f t="array" ref="G2744">SubCategorizeComment(E2744)</f>
        <v>Other</v>
      </c>
    </row>
    <row r="2745" spans="1:7" x14ac:dyDescent="0.25">
      <c r="A2745">
        <v>20252</v>
      </c>
      <c r="B2745" t="s">
        <v>4</v>
      </c>
      <c r="C2745">
        <v>3</v>
      </c>
      <c r="D2745" t="s">
        <v>5</v>
      </c>
      <c r="F2745" t="str" cm="1">
        <f t="array" ref="F2745">CategorizeComment(E2745)</f>
        <v>Other</v>
      </c>
      <c r="G2745" t="str" cm="1">
        <f t="array" ref="G2745">SubCategorizeComment(E2745)</f>
        <v>Other</v>
      </c>
    </row>
    <row r="2746" spans="1:7" x14ac:dyDescent="0.25">
      <c r="A2746">
        <v>20258</v>
      </c>
      <c r="B2746" t="s">
        <v>4</v>
      </c>
      <c r="C2746">
        <v>3</v>
      </c>
      <c r="D2746" t="s">
        <v>5</v>
      </c>
      <c r="F2746" t="str" cm="1">
        <f t="array" ref="F2746">CategorizeComment(E2746)</f>
        <v>Other</v>
      </c>
      <c r="G2746" t="str" cm="1">
        <f t="array" ref="G2746">SubCategorizeComment(E2746)</f>
        <v>Other</v>
      </c>
    </row>
    <row r="2747" spans="1:7" x14ac:dyDescent="0.25">
      <c r="A2747">
        <v>20263</v>
      </c>
      <c r="B2747" t="s">
        <v>4</v>
      </c>
      <c r="C2747">
        <v>3</v>
      </c>
      <c r="D2747" t="s">
        <v>5</v>
      </c>
      <c r="F2747" t="str" cm="1">
        <f t="array" ref="F2747">CategorizeComment(E2747)</f>
        <v>Other</v>
      </c>
      <c r="G2747" t="str" cm="1">
        <f t="array" ref="G2747">SubCategorizeComment(E2747)</f>
        <v>Other</v>
      </c>
    </row>
    <row r="2748" spans="1:7" x14ac:dyDescent="0.25">
      <c r="A2748">
        <v>20268</v>
      </c>
      <c r="B2748" t="s">
        <v>4</v>
      </c>
      <c r="C2748">
        <v>3</v>
      </c>
      <c r="D2748" t="s">
        <v>5</v>
      </c>
      <c r="F2748" t="str" cm="1">
        <f t="array" ref="F2748">CategorizeComment(E2748)</f>
        <v>Other</v>
      </c>
      <c r="G2748" t="str" cm="1">
        <f t="array" ref="G2748">SubCategorizeComment(E2748)</f>
        <v>Other</v>
      </c>
    </row>
    <row r="2749" spans="1:7" x14ac:dyDescent="0.25">
      <c r="A2749">
        <v>20270</v>
      </c>
      <c r="B2749" t="s">
        <v>4</v>
      </c>
      <c r="C2749">
        <v>3</v>
      </c>
      <c r="D2749" t="s">
        <v>5</v>
      </c>
      <c r="F2749" t="str" cm="1">
        <f t="array" ref="F2749">CategorizeComment(E2749)</f>
        <v>Other</v>
      </c>
      <c r="G2749" t="str" cm="1">
        <f t="array" ref="G2749">SubCategorizeComment(E2749)</f>
        <v>Other</v>
      </c>
    </row>
    <row r="2750" spans="1:7" x14ac:dyDescent="0.25">
      <c r="A2750">
        <v>20282</v>
      </c>
      <c r="B2750" t="s">
        <v>4</v>
      </c>
      <c r="C2750">
        <v>3</v>
      </c>
      <c r="D2750" t="s">
        <v>5</v>
      </c>
      <c r="F2750" t="str" cm="1">
        <f t="array" ref="F2750">CategorizeComment(E2750)</f>
        <v>Other</v>
      </c>
      <c r="G2750" t="str" cm="1">
        <f t="array" ref="G2750">SubCategorizeComment(E2750)</f>
        <v>Other</v>
      </c>
    </row>
    <row r="2751" spans="1:7" x14ac:dyDescent="0.25">
      <c r="A2751">
        <v>20284</v>
      </c>
      <c r="B2751" t="s">
        <v>4</v>
      </c>
      <c r="C2751">
        <v>4</v>
      </c>
      <c r="D2751" t="s">
        <v>5</v>
      </c>
      <c r="F2751" t="str" cm="1">
        <f t="array" ref="F2751">CategorizeComment(E2751)</f>
        <v>Other</v>
      </c>
      <c r="G2751" t="str" cm="1">
        <f t="array" ref="G2751">SubCategorizeComment(E2751)</f>
        <v>Other</v>
      </c>
    </row>
    <row r="2752" spans="1:7" x14ac:dyDescent="0.25">
      <c r="A2752">
        <v>20291</v>
      </c>
      <c r="B2752" t="s">
        <v>4</v>
      </c>
      <c r="C2752">
        <v>4</v>
      </c>
      <c r="D2752" t="s">
        <v>5</v>
      </c>
      <c r="F2752" t="str" cm="1">
        <f t="array" ref="F2752">CategorizeComment(E2752)</f>
        <v>Other</v>
      </c>
      <c r="G2752" t="str" cm="1">
        <f t="array" ref="G2752">SubCategorizeComment(E2752)</f>
        <v>Other</v>
      </c>
    </row>
    <row r="2753" spans="1:7" x14ac:dyDescent="0.25">
      <c r="A2753">
        <v>20293</v>
      </c>
      <c r="B2753" t="s">
        <v>4</v>
      </c>
      <c r="C2753">
        <v>4</v>
      </c>
      <c r="D2753" t="s">
        <v>5</v>
      </c>
      <c r="F2753" t="str" cm="1">
        <f t="array" ref="F2753">CategorizeComment(E2753)</f>
        <v>Other</v>
      </c>
      <c r="G2753" t="str" cm="1">
        <f t="array" ref="G2753">SubCategorizeComment(E2753)</f>
        <v>Other</v>
      </c>
    </row>
    <row r="2754" spans="1:7" x14ac:dyDescent="0.25">
      <c r="A2754">
        <v>20295</v>
      </c>
      <c r="B2754" t="s">
        <v>4</v>
      </c>
      <c r="C2754">
        <v>3</v>
      </c>
      <c r="D2754" t="s">
        <v>5</v>
      </c>
      <c r="F2754" t="str" cm="1">
        <f t="array" ref="F2754">CategorizeComment(E2754)</f>
        <v>Other</v>
      </c>
      <c r="G2754" t="str" cm="1">
        <f t="array" ref="G2754">SubCategorizeComment(E2754)</f>
        <v>Other</v>
      </c>
    </row>
    <row r="2755" spans="1:7" x14ac:dyDescent="0.25">
      <c r="A2755">
        <v>20315</v>
      </c>
      <c r="B2755" t="s">
        <v>4</v>
      </c>
      <c r="C2755">
        <v>3</v>
      </c>
      <c r="D2755" t="s">
        <v>5</v>
      </c>
      <c r="F2755" t="str" cm="1">
        <f t="array" ref="F2755">CategorizeComment(E2755)</f>
        <v>Other</v>
      </c>
      <c r="G2755" t="str" cm="1">
        <f t="array" ref="G2755">SubCategorizeComment(E2755)</f>
        <v>Other</v>
      </c>
    </row>
    <row r="2756" spans="1:7" x14ac:dyDescent="0.25">
      <c r="A2756">
        <v>20317</v>
      </c>
      <c r="B2756" t="s">
        <v>4</v>
      </c>
      <c r="C2756">
        <v>3</v>
      </c>
      <c r="D2756" t="s">
        <v>5</v>
      </c>
      <c r="F2756" t="str" cm="1">
        <f t="array" ref="F2756">CategorizeComment(E2756)</f>
        <v>Other</v>
      </c>
      <c r="G2756" t="str" cm="1">
        <f t="array" ref="G2756">SubCategorizeComment(E2756)</f>
        <v>Other</v>
      </c>
    </row>
    <row r="2757" spans="1:7" x14ac:dyDescent="0.25">
      <c r="A2757">
        <v>20328</v>
      </c>
      <c r="B2757" t="s">
        <v>4</v>
      </c>
      <c r="C2757">
        <v>3</v>
      </c>
      <c r="D2757" t="s">
        <v>5</v>
      </c>
      <c r="F2757" t="str" cm="1">
        <f t="array" ref="F2757">CategorizeComment(E2757)</f>
        <v>Other</v>
      </c>
      <c r="G2757" t="str" cm="1">
        <f t="array" ref="G2757">SubCategorizeComment(E2757)</f>
        <v>Other</v>
      </c>
    </row>
    <row r="2758" spans="1:7" x14ac:dyDescent="0.25">
      <c r="A2758">
        <v>20341</v>
      </c>
      <c r="B2758" t="s">
        <v>4</v>
      </c>
      <c r="C2758">
        <v>3</v>
      </c>
      <c r="D2758" t="s">
        <v>5</v>
      </c>
      <c r="F2758" t="str" cm="1">
        <f t="array" ref="F2758">CategorizeComment(E2758)</f>
        <v>Other</v>
      </c>
      <c r="G2758" t="str" cm="1">
        <f t="array" ref="G2758">SubCategorizeComment(E2758)</f>
        <v>Other</v>
      </c>
    </row>
    <row r="2759" spans="1:7" x14ac:dyDescent="0.25">
      <c r="A2759">
        <v>20347</v>
      </c>
      <c r="B2759" t="s">
        <v>4</v>
      </c>
      <c r="C2759">
        <v>4</v>
      </c>
      <c r="D2759" t="s">
        <v>5</v>
      </c>
      <c r="F2759" t="str" cm="1">
        <f t="array" ref="F2759">CategorizeComment(E2759)</f>
        <v>Other</v>
      </c>
      <c r="G2759" t="str" cm="1">
        <f t="array" ref="G2759">SubCategorizeComment(E2759)</f>
        <v>Other</v>
      </c>
    </row>
    <row r="2760" spans="1:7" x14ac:dyDescent="0.25">
      <c r="A2760">
        <v>20351</v>
      </c>
      <c r="B2760" t="s">
        <v>4</v>
      </c>
      <c r="C2760">
        <v>3</v>
      </c>
      <c r="D2760" t="s">
        <v>5</v>
      </c>
      <c r="F2760" t="str" cm="1">
        <f t="array" ref="F2760">CategorizeComment(E2760)</f>
        <v>Other</v>
      </c>
      <c r="G2760" t="str" cm="1">
        <f t="array" ref="G2760">SubCategorizeComment(E2760)</f>
        <v>Other</v>
      </c>
    </row>
    <row r="2761" spans="1:7" x14ac:dyDescent="0.25">
      <c r="A2761">
        <v>20353</v>
      </c>
      <c r="B2761" t="s">
        <v>4</v>
      </c>
      <c r="C2761">
        <v>3</v>
      </c>
      <c r="D2761" t="s">
        <v>5</v>
      </c>
      <c r="F2761" t="str" cm="1">
        <f t="array" ref="F2761">CategorizeComment(E2761)</f>
        <v>Other</v>
      </c>
      <c r="G2761" t="str" cm="1">
        <f t="array" ref="G2761">SubCategorizeComment(E2761)</f>
        <v>Other</v>
      </c>
    </row>
    <row r="2762" spans="1:7" x14ac:dyDescent="0.25">
      <c r="A2762">
        <v>20357</v>
      </c>
      <c r="B2762" t="s">
        <v>4</v>
      </c>
      <c r="C2762">
        <v>3</v>
      </c>
      <c r="D2762" t="s">
        <v>5</v>
      </c>
      <c r="F2762" t="str" cm="1">
        <f t="array" ref="F2762">CategorizeComment(E2762)</f>
        <v>Other</v>
      </c>
      <c r="G2762" t="str" cm="1">
        <f t="array" ref="G2762">SubCategorizeComment(E2762)</f>
        <v>Other</v>
      </c>
    </row>
    <row r="2763" spans="1:7" x14ac:dyDescent="0.25">
      <c r="A2763">
        <v>20366</v>
      </c>
      <c r="B2763" t="s">
        <v>4</v>
      </c>
      <c r="C2763">
        <v>3</v>
      </c>
      <c r="D2763" t="s">
        <v>5</v>
      </c>
      <c r="F2763" t="str" cm="1">
        <f t="array" ref="F2763">CategorizeComment(E2763)</f>
        <v>Other</v>
      </c>
      <c r="G2763" t="str" cm="1">
        <f t="array" ref="G2763">SubCategorizeComment(E2763)</f>
        <v>Other</v>
      </c>
    </row>
    <row r="2764" spans="1:7" x14ac:dyDescent="0.25">
      <c r="A2764">
        <v>20374</v>
      </c>
      <c r="B2764" t="s">
        <v>4</v>
      </c>
      <c r="C2764">
        <v>4</v>
      </c>
      <c r="D2764" t="s">
        <v>5</v>
      </c>
      <c r="F2764" t="str" cm="1">
        <f t="array" ref="F2764">CategorizeComment(E2764)</f>
        <v>Other</v>
      </c>
      <c r="G2764" t="str" cm="1">
        <f t="array" ref="G2764">SubCategorizeComment(E2764)</f>
        <v>Other</v>
      </c>
    </row>
    <row r="2765" spans="1:7" x14ac:dyDescent="0.25">
      <c r="A2765">
        <v>20392</v>
      </c>
      <c r="B2765" t="s">
        <v>4</v>
      </c>
      <c r="C2765">
        <v>3</v>
      </c>
      <c r="D2765" t="s">
        <v>5</v>
      </c>
      <c r="F2765" t="str" cm="1">
        <f t="array" ref="F2765">CategorizeComment(E2765)</f>
        <v>Other</v>
      </c>
      <c r="G2765" t="str" cm="1">
        <f t="array" ref="G2765">SubCategorizeComment(E2765)</f>
        <v>Other</v>
      </c>
    </row>
    <row r="2766" spans="1:7" x14ac:dyDescent="0.25">
      <c r="A2766">
        <v>20416</v>
      </c>
      <c r="B2766" t="s">
        <v>4</v>
      </c>
      <c r="C2766">
        <v>3</v>
      </c>
      <c r="D2766" t="s">
        <v>5</v>
      </c>
      <c r="F2766" t="str" cm="1">
        <f t="array" ref="F2766">CategorizeComment(E2766)</f>
        <v>Other</v>
      </c>
      <c r="G2766" t="str" cm="1">
        <f t="array" ref="G2766">SubCategorizeComment(E2766)</f>
        <v>Other</v>
      </c>
    </row>
    <row r="2767" spans="1:7" x14ac:dyDescent="0.25">
      <c r="A2767">
        <v>20417</v>
      </c>
      <c r="B2767" t="s">
        <v>4</v>
      </c>
      <c r="C2767">
        <v>3</v>
      </c>
      <c r="D2767" t="s">
        <v>5</v>
      </c>
      <c r="F2767" t="str" cm="1">
        <f t="array" ref="F2767">CategorizeComment(E2767)</f>
        <v>Other</v>
      </c>
      <c r="G2767" t="str" cm="1">
        <f t="array" ref="G2767">SubCategorizeComment(E2767)</f>
        <v>Other</v>
      </c>
    </row>
    <row r="2768" spans="1:7" x14ac:dyDescent="0.25">
      <c r="A2768">
        <v>20434</v>
      </c>
      <c r="B2768" t="s">
        <v>4</v>
      </c>
      <c r="C2768">
        <v>4</v>
      </c>
      <c r="D2768" t="s">
        <v>5</v>
      </c>
      <c r="F2768" t="str" cm="1">
        <f t="array" ref="F2768">CategorizeComment(E2768)</f>
        <v>Other</v>
      </c>
      <c r="G2768" t="str" cm="1">
        <f t="array" ref="G2768">SubCategorizeComment(E2768)</f>
        <v>Other</v>
      </c>
    </row>
    <row r="2769" spans="1:7" x14ac:dyDescent="0.25">
      <c r="A2769">
        <v>20456</v>
      </c>
      <c r="B2769" t="s">
        <v>4</v>
      </c>
      <c r="C2769">
        <v>4</v>
      </c>
      <c r="D2769" t="s">
        <v>5</v>
      </c>
      <c r="F2769" t="str" cm="1">
        <f t="array" ref="F2769">CategorizeComment(E2769)</f>
        <v>Other</v>
      </c>
      <c r="G2769" t="str" cm="1">
        <f t="array" ref="G2769">SubCategorizeComment(E2769)</f>
        <v>Other</v>
      </c>
    </row>
    <row r="2770" spans="1:7" x14ac:dyDescent="0.25">
      <c r="A2770">
        <v>20458</v>
      </c>
      <c r="B2770" t="s">
        <v>4</v>
      </c>
      <c r="C2770">
        <v>3</v>
      </c>
      <c r="D2770" t="s">
        <v>5</v>
      </c>
      <c r="F2770" t="str" cm="1">
        <f t="array" ref="F2770">CategorizeComment(E2770)</f>
        <v>Other</v>
      </c>
      <c r="G2770" t="str" cm="1">
        <f t="array" ref="G2770">SubCategorizeComment(E2770)</f>
        <v>Other</v>
      </c>
    </row>
    <row r="2771" spans="1:7" x14ac:dyDescent="0.25">
      <c r="A2771">
        <v>20486</v>
      </c>
      <c r="B2771" t="s">
        <v>4</v>
      </c>
      <c r="C2771">
        <v>4</v>
      </c>
      <c r="D2771" t="s">
        <v>5</v>
      </c>
      <c r="F2771" t="str" cm="1">
        <f t="array" ref="F2771">CategorizeComment(E2771)</f>
        <v>Other</v>
      </c>
      <c r="G2771" t="str" cm="1">
        <f t="array" ref="G2771">SubCategorizeComment(E2771)</f>
        <v>Other</v>
      </c>
    </row>
    <row r="2772" spans="1:7" x14ac:dyDescent="0.25">
      <c r="A2772">
        <v>20487</v>
      </c>
      <c r="B2772" t="s">
        <v>4</v>
      </c>
      <c r="C2772">
        <v>3</v>
      </c>
      <c r="D2772" t="s">
        <v>5</v>
      </c>
      <c r="F2772" t="str" cm="1">
        <f t="array" ref="F2772">CategorizeComment(E2772)</f>
        <v>Other</v>
      </c>
      <c r="G2772" t="str" cm="1">
        <f t="array" ref="G2772">SubCategorizeComment(E2772)</f>
        <v>Other</v>
      </c>
    </row>
    <row r="2773" spans="1:7" x14ac:dyDescent="0.25">
      <c r="A2773">
        <v>20493</v>
      </c>
      <c r="B2773" t="s">
        <v>4</v>
      </c>
      <c r="C2773">
        <v>3</v>
      </c>
      <c r="D2773" t="s">
        <v>5</v>
      </c>
      <c r="F2773" t="str" cm="1">
        <f t="array" ref="F2773">CategorizeComment(E2773)</f>
        <v>Other</v>
      </c>
      <c r="G2773" t="str" cm="1">
        <f t="array" ref="G2773">SubCategorizeComment(E2773)</f>
        <v>Other</v>
      </c>
    </row>
    <row r="2774" spans="1:7" x14ac:dyDescent="0.25">
      <c r="A2774">
        <v>20497</v>
      </c>
      <c r="B2774" t="s">
        <v>4</v>
      </c>
      <c r="C2774">
        <v>4</v>
      </c>
      <c r="D2774" t="s">
        <v>5</v>
      </c>
      <c r="F2774" t="str" cm="1">
        <f t="array" ref="F2774">CategorizeComment(E2774)</f>
        <v>Other</v>
      </c>
      <c r="G2774" t="str" cm="1">
        <f t="array" ref="G2774">SubCategorizeComment(E2774)</f>
        <v>Other</v>
      </c>
    </row>
    <row r="2775" spans="1:7" x14ac:dyDescent="0.25">
      <c r="A2775">
        <v>20504</v>
      </c>
      <c r="B2775" t="s">
        <v>4</v>
      </c>
      <c r="C2775">
        <v>4</v>
      </c>
      <c r="D2775" t="s">
        <v>5</v>
      </c>
      <c r="F2775" t="str" cm="1">
        <f t="array" ref="F2775">CategorizeComment(E2775)</f>
        <v>Other</v>
      </c>
      <c r="G2775" t="str" cm="1">
        <f t="array" ref="G2775">SubCategorizeComment(E2775)</f>
        <v>Other</v>
      </c>
    </row>
    <row r="2776" spans="1:7" x14ac:dyDescent="0.25">
      <c r="A2776">
        <v>20526</v>
      </c>
      <c r="B2776" t="s">
        <v>4</v>
      </c>
      <c r="C2776">
        <v>3</v>
      </c>
      <c r="D2776" t="s">
        <v>5</v>
      </c>
      <c r="F2776" t="str" cm="1">
        <f t="array" ref="F2776">CategorizeComment(E2776)</f>
        <v>Other</v>
      </c>
      <c r="G2776" t="str" cm="1">
        <f t="array" ref="G2776">SubCategorizeComment(E2776)</f>
        <v>Other</v>
      </c>
    </row>
    <row r="2777" spans="1:7" x14ac:dyDescent="0.25">
      <c r="A2777">
        <v>20548</v>
      </c>
      <c r="B2777" t="s">
        <v>4</v>
      </c>
      <c r="C2777">
        <v>4</v>
      </c>
      <c r="D2777" t="s">
        <v>5</v>
      </c>
      <c r="F2777" t="str" cm="1">
        <f t="array" ref="F2777">CategorizeComment(E2777)</f>
        <v>Other</v>
      </c>
      <c r="G2777" t="str" cm="1">
        <f t="array" ref="G2777">SubCategorizeComment(E2777)</f>
        <v>Other</v>
      </c>
    </row>
    <row r="2778" spans="1:7" x14ac:dyDescent="0.25">
      <c r="A2778">
        <v>20556</v>
      </c>
      <c r="B2778" t="s">
        <v>4</v>
      </c>
      <c r="C2778">
        <v>4</v>
      </c>
      <c r="D2778" t="s">
        <v>5</v>
      </c>
      <c r="F2778" t="str" cm="1">
        <f t="array" ref="F2778">CategorizeComment(E2778)</f>
        <v>Other</v>
      </c>
      <c r="G2778" t="str" cm="1">
        <f t="array" ref="G2778">SubCategorizeComment(E2778)</f>
        <v>Other</v>
      </c>
    </row>
    <row r="2779" spans="1:7" x14ac:dyDescent="0.25">
      <c r="A2779">
        <v>20560</v>
      </c>
      <c r="B2779" t="s">
        <v>4</v>
      </c>
      <c r="C2779">
        <v>4</v>
      </c>
      <c r="D2779" t="s">
        <v>5</v>
      </c>
      <c r="F2779" t="str" cm="1">
        <f t="array" ref="F2779">CategorizeComment(E2779)</f>
        <v>Other</v>
      </c>
      <c r="G2779" t="str" cm="1">
        <f t="array" ref="G2779">SubCategorizeComment(E2779)</f>
        <v>Other</v>
      </c>
    </row>
    <row r="2780" spans="1:7" x14ac:dyDescent="0.25">
      <c r="A2780">
        <v>20567</v>
      </c>
      <c r="B2780" t="s">
        <v>4</v>
      </c>
      <c r="C2780">
        <v>4</v>
      </c>
      <c r="D2780" t="s">
        <v>5</v>
      </c>
      <c r="F2780" t="str" cm="1">
        <f t="array" ref="F2780">CategorizeComment(E2780)</f>
        <v>Other</v>
      </c>
      <c r="G2780" t="str" cm="1">
        <f t="array" ref="G2780">SubCategorizeComment(E2780)</f>
        <v>Other</v>
      </c>
    </row>
    <row r="2781" spans="1:7" x14ac:dyDescent="0.25">
      <c r="A2781">
        <v>20577</v>
      </c>
      <c r="B2781" t="s">
        <v>4</v>
      </c>
      <c r="C2781">
        <v>3</v>
      </c>
      <c r="D2781" t="s">
        <v>5</v>
      </c>
      <c r="F2781" t="str" cm="1">
        <f t="array" ref="F2781">CategorizeComment(E2781)</f>
        <v>Other</v>
      </c>
      <c r="G2781" t="str" cm="1">
        <f t="array" ref="G2781">SubCategorizeComment(E2781)</f>
        <v>Other</v>
      </c>
    </row>
    <row r="2782" spans="1:7" x14ac:dyDescent="0.25">
      <c r="A2782">
        <v>20591</v>
      </c>
      <c r="B2782" t="s">
        <v>4</v>
      </c>
      <c r="C2782">
        <v>3</v>
      </c>
      <c r="D2782" t="s">
        <v>5</v>
      </c>
      <c r="F2782" t="str" cm="1">
        <f t="array" ref="F2782">CategorizeComment(E2782)</f>
        <v>Other</v>
      </c>
      <c r="G2782" t="str" cm="1">
        <f t="array" ref="G2782">SubCategorizeComment(E2782)</f>
        <v>Other</v>
      </c>
    </row>
    <row r="2783" spans="1:7" x14ac:dyDescent="0.25">
      <c r="A2783">
        <v>20596</v>
      </c>
      <c r="B2783" t="s">
        <v>4</v>
      </c>
      <c r="C2783">
        <v>4</v>
      </c>
      <c r="D2783" t="s">
        <v>5</v>
      </c>
      <c r="F2783" t="str" cm="1">
        <f t="array" ref="F2783">CategorizeComment(E2783)</f>
        <v>Other</v>
      </c>
      <c r="G2783" t="str" cm="1">
        <f t="array" ref="G2783">SubCategorizeComment(E2783)</f>
        <v>Other</v>
      </c>
    </row>
    <row r="2784" spans="1:7" x14ac:dyDescent="0.25">
      <c r="A2784">
        <v>20597</v>
      </c>
      <c r="B2784" t="s">
        <v>4</v>
      </c>
      <c r="C2784">
        <v>4</v>
      </c>
      <c r="D2784" t="s">
        <v>5</v>
      </c>
      <c r="F2784" t="str" cm="1">
        <f t="array" ref="F2784">CategorizeComment(E2784)</f>
        <v>Other</v>
      </c>
      <c r="G2784" t="str" cm="1">
        <f t="array" ref="G2784">SubCategorizeComment(E2784)</f>
        <v>Other</v>
      </c>
    </row>
    <row r="2785" spans="1:7" x14ac:dyDescent="0.25">
      <c r="A2785">
        <v>20622</v>
      </c>
      <c r="B2785" t="s">
        <v>4</v>
      </c>
      <c r="C2785">
        <v>3</v>
      </c>
      <c r="D2785" t="s">
        <v>5</v>
      </c>
      <c r="F2785" t="str" cm="1">
        <f t="array" ref="F2785">CategorizeComment(E2785)</f>
        <v>Other</v>
      </c>
      <c r="G2785" t="str" cm="1">
        <f t="array" ref="G2785">SubCategorizeComment(E2785)</f>
        <v>Other</v>
      </c>
    </row>
    <row r="2786" spans="1:7" x14ac:dyDescent="0.25">
      <c r="A2786">
        <v>20626</v>
      </c>
      <c r="B2786" t="s">
        <v>4</v>
      </c>
      <c r="C2786">
        <v>3</v>
      </c>
      <c r="D2786" t="s">
        <v>5</v>
      </c>
      <c r="F2786" t="str" cm="1">
        <f t="array" ref="F2786">CategorizeComment(E2786)</f>
        <v>Other</v>
      </c>
      <c r="G2786" t="str" cm="1">
        <f t="array" ref="G2786">SubCategorizeComment(E2786)</f>
        <v>Other</v>
      </c>
    </row>
    <row r="2787" spans="1:7" x14ac:dyDescent="0.25">
      <c r="A2787">
        <v>20638</v>
      </c>
      <c r="B2787" t="s">
        <v>4</v>
      </c>
      <c r="C2787">
        <v>4</v>
      </c>
      <c r="D2787" t="s">
        <v>5</v>
      </c>
      <c r="F2787" t="str" cm="1">
        <f t="array" ref="F2787">CategorizeComment(E2787)</f>
        <v>Other</v>
      </c>
      <c r="G2787" t="str" cm="1">
        <f t="array" ref="G2787">SubCategorizeComment(E2787)</f>
        <v>Other</v>
      </c>
    </row>
    <row r="2788" spans="1:7" x14ac:dyDescent="0.25">
      <c r="A2788">
        <v>20659</v>
      </c>
      <c r="B2788" t="s">
        <v>4</v>
      </c>
      <c r="C2788">
        <v>4</v>
      </c>
      <c r="D2788" t="s">
        <v>5</v>
      </c>
      <c r="F2788" t="str" cm="1">
        <f t="array" ref="F2788">CategorizeComment(E2788)</f>
        <v>Other</v>
      </c>
      <c r="G2788" t="str" cm="1">
        <f t="array" ref="G2788">SubCategorizeComment(E2788)</f>
        <v>Other</v>
      </c>
    </row>
    <row r="2789" spans="1:7" x14ac:dyDescent="0.25">
      <c r="A2789">
        <v>20666</v>
      </c>
      <c r="B2789" t="s">
        <v>4</v>
      </c>
      <c r="C2789">
        <v>3</v>
      </c>
      <c r="D2789" t="s">
        <v>5</v>
      </c>
      <c r="F2789" t="str" cm="1">
        <f t="array" ref="F2789">CategorizeComment(E2789)</f>
        <v>Other</v>
      </c>
      <c r="G2789" t="str" cm="1">
        <f t="array" ref="G2789">SubCategorizeComment(E2789)</f>
        <v>Other</v>
      </c>
    </row>
    <row r="2790" spans="1:7" x14ac:dyDescent="0.25">
      <c r="A2790">
        <v>20670</v>
      </c>
      <c r="B2790" t="s">
        <v>4</v>
      </c>
      <c r="C2790">
        <v>3</v>
      </c>
      <c r="D2790" t="s">
        <v>5</v>
      </c>
      <c r="F2790" t="str" cm="1">
        <f t="array" ref="F2790">CategorizeComment(E2790)</f>
        <v>Other</v>
      </c>
      <c r="G2790" t="str" cm="1">
        <f t="array" ref="G2790">SubCategorizeComment(E2790)</f>
        <v>Other</v>
      </c>
    </row>
    <row r="2791" spans="1:7" x14ac:dyDescent="0.25">
      <c r="A2791">
        <v>20672</v>
      </c>
      <c r="B2791" t="s">
        <v>4</v>
      </c>
      <c r="C2791">
        <v>4</v>
      </c>
      <c r="D2791" t="s">
        <v>5</v>
      </c>
      <c r="F2791" t="str" cm="1">
        <f t="array" ref="F2791">CategorizeComment(E2791)</f>
        <v>Other</v>
      </c>
      <c r="G2791" t="str" cm="1">
        <f t="array" ref="G2791">SubCategorizeComment(E2791)</f>
        <v>Other</v>
      </c>
    </row>
    <row r="2792" spans="1:7" x14ac:dyDescent="0.25">
      <c r="A2792">
        <v>20684</v>
      </c>
      <c r="B2792" t="s">
        <v>4</v>
      </c>
      <c r="C2792">
        <v>3</v>
      </c>
      <c r="D2792" t="s">
        <v>5</v>
      </c>
      <c r="F2792" t="str" cm="1">
        <f t="array" ref="F2792">CategorizeComment(E2792)</f>
        <v>Other</v>
      </c>
      <c r="G2792" t="str" cm="1">
        <f t="array" ref="G2792">SubCategorizeComment(E2792)</f>
        <v>Other</v>
      </c>
    </row>
    <row r="2793" spans="1:7" x14ac:dyDescent="0.25">
      <c r="A2793">
        <v>20715</v>
      </c>
      <c r="B2793" t="s">
        <v>4</v>
      </c>
      <c r="C2793">
        <v>4</v>
      </c>
      <c r="D2793" t="s">
        <v>5</v>
      </c>
      <c r="F2793" t="str" cm="1">
        <f t="array" ref="F2793">CategorizeComment(E2793)</f>
        <v>Other</v>
      </c>
      <c r="G2793" t="str" cm="1">
        <f t="array" ref="G2793">SubCategorizeComment(E2793)</f>
        <v>Other</v>
      </c>
    </row>
    <row r="2794" spans="1:7" x14ac:dyDescent="0.25">
      <c r="A2794">
        <v>20742</v>
      </c>
      <c r="B2794" t="s">
        <v>4</v>
      </c>
      <c r="C2794">
        <v>3</v>
      </c>
      <c r="D2794" t="s">
        <v>5</v>
      </c>
      <c r="F2794" t="str" cm="1">
        <f t="array" ref="F2794">CategorizeComment(E2794)</f>
        <v>Other</v>
      </c>
      <c r="G2794" t="str" cm="1">
        <f t="array" ref="G2794">SubCategorizeComment(E2794)</f>
        <v>Other</v>
      </c>
    </row>
    <row r="2795" spans="1:7" x14ac:dyDescent="0.25">
      <c r="A2795">
        <v>20754</v>
      </c>
      <c r="B2795" t="s">
        <v>4</v>
      </c>
      <c r="C2795">
        <v>4</v>
      </c>
      <c r="D2795" t="s">
        <v>5</v>
      </c>
      <c r="F2795" t="str" cm="1">
        <f t="array" ref="F2795">CategorizeComment(E2795)</f>
        <v>Other</v>
      </c>
      <c r="G2795" t="str" cm="1">
        <f t="array" ref="G2795">SubCategorizeComment(E2795)</f>
        <v>Other</v>
      </c>
    </row>
    <row r="2796" spans="1:7" x14ac:dyDescent="0.25">
      <c r="A2796">
        <v>20765</v>
      </c>
      <c r="B2796" t="s">
        <v>4</v>
      </c>
      <c r="C2796">
        <v>4</v>
      </c>
      <c r="D2796" t="s">
        <v>5</v>
      </c>
      <c r="F2796" t="str" cm="1">
        <f t="array" ref="F2796">CategorizeComment(E2796)</f>
        <v>Other</v>
      </c>
      <c r="G2796" t="str" cm="1">
        <f t="array" ref="G2796">SubCategorizeComment(E2796)</f>
        <v>Other</v>
      </c>
    </row>
    <row r="2797" spans="1:7" x14ac:dyDescent="0.25">
      <c r="A2797">
        <v>20779</v>
      </c>
      <c r="B2797" t="s">
        <v>4</v>
      </c>
      <c r="C2797">
        <v>4</v>
      </c>
      <c r="D2797" t="s">
        <v>5</v>
      </c>
      <c r="F2797" t="str" cm="1">
        <f t="array" ref="F2797">CategorizeComment(E2797)</f>
        <v>Other</v>
      </c>
      <c r="G2797" t="str" cm="1">
        <f t="array" ref="G2797">SubCategorizeComment(E2797)</f>
        <v>Other</v>
      </c>
    </row>
    <row r="2798" spans="1:7" x14ac:dyDescent="0.25">
      <c r="A2798">
        <v>20782</v>
      </c>
      <c r="B2798" t="s">
        <v>4</v>
      </c>
      <c r="C2798">
        <v>3</v>
      </c>
      <c r="D2798" t="s">
        <v>5</v>
      </c>
      <c r="F2798" t="str" cm="1">
        <f t="array" ref="F2798">CategorizeComment(E2798)</f>
        <v>Other</v>
      </c>
      <c r="G2798" t="str" cm="1">
        <f t="array" ref="G2798">SubCategorizeComment(E2798)</f>
        <v>Other</v>
      </c>
    </row>
    <row r="2799" spans="1:7" x14ac:dyDescent="0.25">
      <c r="A2799">
        <v>20810</v>
      </c>
      <c r="B2799" t="s">
        <v>4</v>
      </c>
      <c r="C2799">
        <v>3</v>
      </c>
      <c r="D2799" t="s">
        <v>5</v>
      </c>
      <c r="F2799" t="str" cm="1">
        <f t="array" ref="F2799">CategorizeComment(E2799)</f>
        <v>Other</v>
      </c>
      <c r="G2799" t="str" cm="1">
        <f t="array" ref="G2799">SubCategorizeComment(E2799)</f>
        <v>Other</v>
      </c>
    </row>
    <row r="2800" spans="1:7" x14ac:dyDescent="0.25">
      <c r="A2800">
        <v>20816</v>
      </c>
      <c r="B2800" t="s">
        <v>4</v>
      </c>
      <c r="C2800">
        <v>4</v>
      </c>
      <c r="D2800" t="s">
        <v>5</v>
      </c>
      <c r="F2800" t="str" cm="1">
        <f t="array" ref="F2800">CategorizeComment(E2800)</f>
        <v>Other</v>
      </c>
      <c r="G2800" t="str" cm="1">
        <f t="array" ref="G2800">SubCategorizeComment(E2800)</f>
        <v>Other</v>
      </c>
    </row>
    <row r="2801" spans="1:7" x14ac:dyDescent="0.25">
      <c r="A2801">
        <v>20820</v>
      </c>
      <c r="B2801" t="s">
        <v>4</v>
      </c>
      <c r="C2801">
        <v>3</v>
      </c>
      <c r="D2801" t="s">
        <v>5</v>
      </c>
      <c r="F2801" t="str" cm="1">
        <f t="array" ref="F2801">CategorizeComment(E2801)</f>
        <v>Other</v>
      </c>
      <c r="G2801" t="str" cm="1">
        <f t="array" ref="G2801">SubCategorizeComment(E2801)</f>
        <v>Other</v>
      </c>
    </row>
    <row r="2802" spans="1:7" x14ac:dyDescent="0.25">
      <c r="A2802">
        <v>20822</v>
      </c>
      <c r="B2802" t="s">
        <v>4</v>
      </c>
      <c r="C2802">
        <v>4</v>
      </c>
      <c r="D2802" t="s">
        <v>5</v>
      </c>
      <c r="F2802" t="str" cm="1">
        <f t="array" ref="F2802">CategorizeComment(E2802)</f>
        <v>Other</v>
      </c>
      <c r="G2802" t="str" cm="1">
        <f t="array" ref="G2802">SubCategorizeComment(E2802)</f>
        <v>Other</v>
      </c>
    </row>
    <row r="2803" spans="1:7" x14ac:dyDescent="0.25">
      <c r="A2803">
        <v>20823</v>
      </c>
      <c r="B2803" t="s">
        <v>4</v>
      </c>
      <c r="C2803">
        <v>3</v>
      </c>
      <c r="D2803" t="s">
        <v>5</v>
      </c>
      <c r="F2803" t="str" cm="1">
        <f t="array" ref="F2803">CategorizeComment(E2803)</f>
        <v>Other</v>
      </c>
      <c r="G2803" t="str" cm="1">
        <f t="array" ref="G2803">SubCategorizeComment(E2803)</f>
        <v>Other</v>
      </c>
    </row>
    <row r="2804" spans="1:7" x14ac:dyDescent="0.25">
      <c r="A2804">
        <v>20824</v>
      </c>
      <c r="B2804" t="s">
        <v>4</v>
      </c>
      <c r="C2804">
        <v>3</v>
      </c>
      <c r="D2804" t="s">
        <v>5</v>
      </c>
      <c r="F2804" t="str" cm="1">
        <f t="array" ref="F2804">CategorizeComment(E2804)</f>
        <v>Other</v>
      </c>
      <c r="G2804" t="str" cm="1">
        <f t="array" ref="G2804">SubCategorizeComment(E2804)</f>
        <v>Other</v>
      </c>
    </row>
    <row r="2805" spans="1:7" x14ac:dyDescent="0.25">
      <c r="A2805">
        <v>20829</v>
      </c>
      <c r="B2805" t="s">
        <v>4</v>
      </c>
      <c r="C2805">
        <v>3</v>
      </c>
      <c r="D2805" t="s">
        <v>5</v>
      </c>
      <c r="F2805" t="str" cm="1">
        <f t="array" ref="F2805">CategorizeComment(E2805)</f>
        <v>Other</v>
      </c>
      <c r="G2805" t="str" cm="1">
        <f t="array" ref="G2805">SubCategorizeComment(E2805)</f>
        <v>Other</v>
      </c>
    </row>
    <row r="2806" spans="1:7" x14ac:dyDescent="0.25">
      <c r="A2806">
        <v>20834</v>
      </c>
      <c r="B2806" t="s">
        <v>4</v>
      </c>
      <c r="C2806">
        <v>3</v>
      </c>
      <c r="D2806" t="s">
        <v>5</v>
      </c>
      <c r="F2806" t="str" cm="1">
        <f t="array" ref="F2806">CategorizeComment(E2806)</f>
        <v>Other</v>
      </c>
      <c r="G2806" t="str" cm="1">
        <f t="array" ref="G2806">SubCategorizeComment(E2806)</f>
        <v>Other</v>
      </c>
    </row>
    <row r="2807" spans="1:7" x14ac:dyDescent="0.25">
      <c r="A2807">
        <v>20840</v>
      </c>
      <c r="B2807" t="s">
        <v>4</v>
      </c>
      <c r="C2807">
        <v>4</v>
      </c>
      <c r="D2807" t="s">
        <v>5</v>
      </c>
      <c r="F2807" t="str" cm="1">
        <f t="array" ref="F2807">CategorizeComment(E2807)</f>
        <v>Other</v>
      </c>
      <c r="G2807" t="str" cm="1">
        <f t="array" ref="G2807">SubCategorizeComment(E2807)</f>
        <v>Other</v>
      </c>
    </row>
    <row r="2808" spans="1:7" x14ac:dyDescent="0.25">
      <c r="A2808">
        <v>20841</v>
      </c>
      <c r="B2808" t="s">
        <v>4</v>
      </c>
      <c r="C2808">
        <v>3</v>
      </c>
      <c r="D2808" t="s">
        <v>5</v>
      </c>
      <c r="F2808" t="str" cm="1">
        <f t="array" ref="F2808">CategorizeComment(E2808)</f>
        <v>Other</v>
      </c>
      <c r="G2808" t="str" cm="1">
        <f t="array" ref="G2808">SubCategorizeComment(E2808)</f>
        <v>Other</v>
      </c>
    </row>
    <row r="2809" spans="1:7" x14ac:dyDescent="0.25">
      <c r="A2809">
        <v>20886</v>
      </c>
      <c r="B2809" t="s">
        <v>4</v>
      </c>
      <c r="C2809">
        <v>3</v>
      </c>
      <c r="D2809" t="s">
        <v>5</v>
      </c>
      <c r="F2809" t="str" cm="1">
        <f t="array" ref="F2809">CategorizeComment(E2809)</f>
        <v>Other</v>
      </c>
      <c r="G2809" t="str" cm="1">
        <f t="array" ref="G2809">SubCategorizeComment(E2809)</f>
        <v>Other</v>
      </c>
    </row>
    <row r="2810" spans="1:7" x14ac:dyDescent="0.25">
      <c r="A2810">
        <v>20901</v>
      </c>
      <c r="B2810" t="s">
        <v>4</v>
      </c>
      <c r="C2810">
        <v>4</v>
      </c>
      <c r="D2810" t="s">
        <v>5</v>
      </c>
      <c r="F2810" t="str" cm="1">
        <f t="array" ref="F2810">CategorizeComment(E2810)</f>
        <v>Other</v>
      </c>
      <c r="G2810" t="str" cm="1">
        <f t="array" ref="G2810">SubCategorizeComment(E2810)</f>
        <v>Other</v>
      </c>
    </row>
    <row r="2811" spans="1:7" x14ac:dyDescent="0.25">
      <c r="A2811">
        <v>20919</v>
      </c>
      <c r="B2811" t="s">
        <v>4</v>
      </c>
      <c r="C2811">
        <v>3</v>
      </c>
      <c r="D2811" t="s">
        <v>5</v>
      </c>
      <c r="F2811" t="str" cm="1">
        <f t="array" ref="F2811">CategorizeComment(E2811)</f>
        <v>Other</v>
      </c>
      <c r="G2811" t="str" cm="1">
        <f t="array" ref="G2811">SubCategorizeComment(E2811)</f>
        <v>Other</v>
      </c>
    </row>
    <row r="2812" spans="1:7" x14ac:dyDescent="0.25">
      <c r="A2812">
        <v>20940</v>
      </c>
      <c r="B2812" t="s">
        <v>4</v>
      </c>
      <c r="C2812">
        <v>4</v>
      </c>
      <c r="D2812" t="s">
        <v>5</v>
      </c>
      <c r="F2812" t="str" cm="1">
        <f t="array" ref="F2812">CategorizeComment(E2812)</f>
        <v>Other</v>
      </c>
      <c r="G2812" t="str" cm="1">
        <f t="array" ref="G2812">SubCategorizeComment(E2812)</f>
        <v>Other</v>
      </c>
    </row>
    <row r="2813" spans="1:7" x14ac:dyDescent="0.25">
      <c r="A2813">
        <v>20943</v>
      </c>
      <c r="B2813" t="s">
        <v>4</v>
      </c>
      <c r="C2813">
        <v>4</v>
      </c>
      <c r="D2813" t="s">
        <v>5</v>
      </c>
      <c r="F2813" t="str" cm="1">
        <f t="array" ref="F2813">CategorizeComment(E2813)</f>
        <v>Other</v>
      </c>
      <c r="G2813" t="str" cm="1">
        <f t="array" ref="G2813">SubCategorizeComment(E2813)</f>
        <v>Other</v>
      </c>
    </row>
    <row r="2814" spans="1:7" x14ac:dyDescent="0.25">
      <c r="A2814">
        <v>20949</v>
      </c>
      <c r="B2814" t="s">
        <v>4</v>
      </c>
      <c r="C2814">
        <v>4</v>
      </c>
      <c r="D2814" t="s">
        <v>5</v>
      </c>
      <c r="F2814" t="str" cm="1">
        <f t="array" ref="F2814">CategorizeComment(E2814)</f>
        <v>Other</v>
      </c>
      <c r="G2814" t="str" cm="1">
        <f t="array" ref="G2814">SubCategorizeComment(E2814)</f>
        <v>Other</v>
      </c>
    </row>
    <row r="2815" spans="1:7" x14ac:dyDescent="0.25">
      <c r="A2815">
        <v>20962</v>
      </c>
      <c r="B2815" t="s">
        <v>4</v>
      </c>
      <c r="C2815">
        <v>4</v>
      </c>
      <c r="D2815" t="s">
        <v>5</v>
      </c>
      <c r="F2815" t="str" cm="1">
        <f t="array" ref="F2815">CategorizeComment(E2815)</f>
        <v>Other</v>
      </c>
      <c r="G2815" t="str" cm="1">
        <f t="array" ref="G2815">SubCategorizeComment(E2815)</f>
        <v>Other</v>
      </c>
    </row>
    <row r="2816" spans="1:7" x14ac:dyDescent="0.25">
      <c r="A2816">
        <v>20964</v>
      </c>
      <c r="B2816" t="s">
        <v>4</v>
      </c>
      <c r="C2816">
        <v>4</v>
      </c>
      <c r="D2816" t="s">
        <v>5</v>
      </c>
      <c r="F2816" t="str" cm="1">
        <f t="array" ref="F2816">CategorizeComment(E2816)</f>
        <v>Other</v>
      </c>
      <c r="G2816" t="str" cm="1">
        <f t="array" ref="G2816">SubCategorizeComment(E2816)</f>
        <v>Other</v>
      </c>
    </row>
    <row r="2817" spans="1:7" x14ac:dyDescent="0.25">
      <c r="A2817">
        <v>20970</v>
      </c>
      <c r="B2817" t="s">
        <v>4</v>
      </c>
      <c r="C2817">
        <v>4</v>
      </c>
      <c r="D2817" t="s">
        <v>5</v>
      </c>
      <c r="F2817" t="str" cm="1">
        <f t="array" ref="F2817">CategorizeComment(E2817)</f>
        <v>Other</v>
      </c>
      <c r="G2817" t="str" cm="1">
        <f t="array" ref="G2817">SubCategorizeComment(E2817)</f>
        <v>Other</v>
      </c>
    </row>
    <row r="2818" spans="1:7" x14ac:dyDescent="0.25">
      <c r="A2818">
        <v>20973</v>
      </c>
      <c r="B2818" t="s">
        <v>4</v>
      </c>
      <c r="C2818">
        <v>3</v>
      </c>
      <c r="D2818" t="s">
        <v>5</v>
      </c>
      <c r="F2818" t="str" cm="1">
        <f t="array" ref="F2818">CategorizeComment(E2818)</f>
        <v>Other</v>
      </c>
      <c r="G2818" t="str" cm="1">
        <f t="array" ref="G2818">SubCategorizeComment(E2818)</f>
        <v>Other</v>
      </c>
    </row>
    <row r="2819" spans="1:7" x14ac:dyDescent="0.25">
      <c r="A2819">
        <v>20978</v>
      </c>
      <c r="B2819" t="s">
        <v>4</v>
      </c>
      <c r="C2819">
        <v>3</v>
      </c>
      <c r="D2819" t="s">
        <v>5</v>
      </c>
      <c r="F2819" t="str" cm="1">
        <f t="array" ref="F2819">CategorizeComment(E2819)</f>
        <v>Other</v>
      </c>
      <c r="G2819" t="str" cm="1">
        <f t="array" ref="G2819">SubCategorizeComment(E2819)</f>
        <v>Other</v>
      </c>
    </row>
    <row r="2820" spans="1:7" x14ac:dyDescent="0.25">
      <c r="A2820">
        <v>20979</v>
      </c>
      <c r="B2820" t="s">
        <v>4</v>
      </c>
      <c r="C2820">
        <v>3</v>
      </c>
      <c r="D2820" t="s">
        <v>5</v>
      </c>
      <c r="F2820" t="str" cm="1">
        <f t="array" ref="F2820">CategorizeComment(E2820)</f>
        <v>Other</v>
      </c>
      <c r="G2820" t="str" cm="1">
        <f t="array" ref="G2820">SubCategorizeComment(E2820)</f>
        <v>Other</v>
      </c>
    </row>
    <row r="2821" spans="1:7" x14ac:dyDescent="0.25">
      <c r="A2821">
        <v>20980</v>
      </c>
      <c r="B2821" t="s">
        <v>4</v>
      </c>
      <c r="C2821">
        <v>3</v>
      </c>
      <c r="D2821" t="s">
        <v>5</v>
      </c>
      <c r="F2821" t="str" cm="1">
        <f t="array" ref="F2821">CategorizeComment(E2821)</f>
        <v>Other</v>
      </c>
      <c r="G2821" t="str" cm="1">
        <f t="array" ref="G2821">SubCategorizeComment(E2821)</f>
        <v>Other</v>
      </c>
    </row>
    <row r="2822" spans="1:7" x14ac:dyDescent="0.25">
      <c r="A2822">
        <v>20985</v>
      </c>
      <c r="B2822" t="s">
        <v>4</v>
      </c>
      <c r="C2822">
        <v>4</v>
      </c>
      <c r="D2822" t="s">
        <v>5</v>
      </c>
      <c r="F2822" t="str" cm="1">
        <f t="array" ref="F2822">CategorizeComment(E2822)</f>
        <v>Other</v>
      </c>
      <c r="G2822" t="str" cm="1">
        <f t="array" ref="G2822">SubCategorizeComment(E2822)</f>
        <v>Other</v>
      </c>
    </row>
    <row r="2823" spans="1:7" x14ac:dyDescent="0.25">
      <c r="A2823">
        <v>20989</v>
      </c>
      <c r="B2823" t="s">
        <v>4</v>
      </c>
      <c r="C2823">
        <v>4</v>
      </c>
      <c r="D2823" t="s">
        <v>5</v>
      </c>
      <c r="F2823" t="str" cm="1">
        <f t="array" ref="F2823">CategorizeComment(E2823)</f>
        <v>Other</v>
      </c>
      <c r="G2823" t="str" cm="1">
        <f t="array" ref="G2823">SubCategorizeComment(E2823)</f>
        <v>Other</v>
      </c>
    </row>
    <row r="2824" spans="1:7" x14ac:dyDescent="0.25">
      <c r="A2824">
        <v>20991</v>
      </c>
      <c r="B2824" t="s">
        <v>4</v>
      </c>
      <c r="C2824">
        <v>3</v>
      </c>
      <c r="D2824" t="s">
        <v>5</v>
      </c>
      <c r="F2824" t="str" cm="1">
        <f t="array" ref="F2824">CategorizeComment(E2824)</f>
        <v>Other</v>
      </c>
      <c r="G2824" t="str" cm="1">
        <f t="array" ref="G2824">SubCategorizeComment(E2824)</f>
        <v>Other</v>
      </c>
    </row>
    <row r="2825" spans="1:7" x14ac:dyDescent="0.25">
      <c r="A2825">
        <v>21006</v>
      </c>
      <c r="B2825" t="s">
        <v>4</v>
      </c>
      <c r="C2825">
        <v>4</v>
      </c>
      <c r="D2825" t="s">
        <v>5</v>
      </c>
      <c r="F2825" t="str" cm="1">
        <f t="array" ref="F2825">CategorizeComment(E2825)</f>
        <v>Other</v>
      </c>
      <c r="G2825" t="str" cm="1">
        <f t="array" ref="G2825">SubCategorizeComment(E2825)</f>
        <v>Other</v>
      </c>
    </row>
    <row r="2826" spans="1:7" x14ac:dyDescent="0.25">
      <c r="A2826">
        <v>21054</v>
      </c>
      <c r="B2826" t="s">
        <v>4</v>
      </c>
      <c r="C2826">
        <v>4</v>
      </c>
      <c r="D2826" t="s">
        <v>5</v>
      </c>
      <c r="F2826" t="str" cm="1">
        <f t="array" ref="F2826">CategorizeComment(E2826)</f>
        <v>Other</v>
      </c>
      <c r="G2826" t="str" cm="1">
        <f t="array" ref="G2826">SubCategorizeComment(E2826)</f>
        <v>Other</v>
      </c>
    </row>
    <row r="2827" spans="1:7" x14ac:dyDescent="0.25">
      <c r="A2827">
        <v>21076</v>
      </c>
      <c r="B2827" t="s">
        <v>4</v>
      </c>
      <c r="C2827">
        <v>4</v>
      </c>
      <c r="D2827" t="s">
        <v>5</v>
      </c>
      <c r="F2827" t="str" cm="1">
        <f t="array" ref="F2827">CategorizeComment(E2827)</f>
        <v>Other</v>
      </c>
      <c r="G2827" t="str" cm="1">
        <f t="array" ref="G2827">SubCategorizeComment(E2827)</f>
        <v>Other</v>
      </c>
    </row>
    <row r="2828" spans="1:7" x14ac:dyDescent="0.25">
      <c r="A2828">
        <v>21084</v>
      </c>
      <c r="B2828" t="s">
        <v>4</v>
      </c>
      <c r="C2828">
        <v>3</v>
      </c>
      <c r="D2828" t="s">
        <v>5</v>
      </c>
      <c r="F2828" t="str" cm="1">
        <f t="array" ref="F2828">CategorizeComment(E2828)</f>
        <v>Other</v>
      </c>
      <c r="G2828" t="str" cm="1">
        <f t="array" ref="G2828">SubCategorizeComment(E2828)</f>
        <v>Other</v>
      </c>
    </row>
    <row r="2829" spans="1:7" x14ac:dyDescent="0.25">
      <c r="A2829">
        <v>21087</v>
      </c>
      <c r="B2829" t="s">
        <v>4</v>
      </c>
      <c r="C2829">
        <v>3</v>
      </c>
      <c r="D2829" t="s">
        <v>5</v>
      </c>
      <c r="F2829" t="str" cm="1">
        <f t="array" ref="F2829">CategorizeComment(E2829)</f>
        <v>Other</v>
      </c>
      <c r="G2829" t="str" cm="1">
        <f t="array" ref="G2829">SubCategorizeComment(E2829)</f>
        <v>Other</v>
      </c>
    </row>
    <row r="2830" spans="1:7" x14ac:dyDescent="0.25">
      <c r="A2830">
        <v>21088</v>
      </c>
      <c r="B2830" t="s">
        <v>4</v>
      </c>
      <c r="C2830">
        <v>4</v>
      </c>
      <c r="D2830" t="s">
        <v>5</v>
      </c>
      <c r="F2830" t="str" cm="1">
        <f t="array" ref="F2830">CategorizeComment(E2830)</f>
        <v>Other</v>
      </c>
      <c r="G2830" t="str" cm="1">
        <f t="array" ref="G2830">SubCategorizeComment(E2830)</f>
        <v>Other</v>
      </c>
    </row>
    <row r="2831" spans="1:7" x14ac:dyDescent="0.25">
      <c r="A2831">
        <v>21089</v>
      </c>
      <c r="B2831" t="s">
        <v>4</v>
      </c>
      <c r="C2831">
        <v>4</v>
      </c>
      <c r="D2831" t="s">
        <v>5</v>
      </c>
      <c r="F2831" t="str" cm="1">
        <f t="array" ref="F2831">CategorizeComment(E2831)</f>
        <v>Other</v>
      </c>
      <c r="G2831" t="str" cm="1">
        <f t="array" ref="G2831">SubCategorizeComment(E2831)</f>
        <v>Other</v>
      </c>
    </row>
    <row r="2832" spans="1:7" x14ac:dyDescent="0.25">
      <c r="A2832">
        <v>21109</v>
      </c>
      <c r="B2832" t="s">
        <v>4</v>
      </c>
      <c r="C2832">
        <v>4</v>
      </c>
      <c r="D2832" t="s">
        <v>5</v>
      </c>
      <c r="F2832" t="str" cm="1">
        <f t="array" ref="F2832">CategorizeComment(E2832)</f>
        <v>Other</v>
      </c>
      <c r="G2832" t="str" cm="1">
        <f t="array" ref="G2832">SubCategorizeComment(E2832)</f>
        <v>Other</v>
      </c>
    </row>
    <row r="2833" spans="1:7" x14ac:dyDescent="0.25">
      <c r="A2833">
        <v>21114</v>
      </c>
      <c r="B2833" t="s">
        <v>4</v>
      </c>
      <c r="C2833">
        <v>3</v>
      </c>
      <c r="D2833" t="s">
        <v>5</v>
      </c>
      <c r="F2833" t="str" cm="1">
        <f t="array" ref="F2833">CategorizeComment(E2833)</f>
        <v>Other</v>
      </c>
      <c r="G2833" t="str" cm="1">
        <f t="array" ref="G2833">SubCategorizeComment(E2833)</f>
        <v>Other</v>
      </c>
    </row>
    <row r="2834" spans="1:7" x14ac:dyDescent="0.25">
      <c r="A2834">
        <v>21132</v>
      </c>
      <c r="B2834" t="s">
        <v>4</v>
      </c>
      <c r="C2834">
        <v>4</v>
      </c>
      <c r="D2834" t="s">
        <v>5</v>
      </c>
      <c r="F2834" t="str" cm="1">
        <f t="array" ref="F2834">CategorizeComment(E2834)</f>
        <v>Other</v>
      </c>
      <c r="G2834" t="str" cm="1">
        <f t="array" ref="G2834">SubCategorizeComment(E2834)</f>
        <v>Other</v>
      </c>
    </row>
    <row r="2835" spans="1:7" x14ac:dyDescent="0.25">
      <c r="A2835">
        <v>21138</v>
      </c>
      <c r="B2835" t="s">
        <v>4</v>
      </c>
      <c r="C2835">
        <v>4</v>
      </c>
      <c r="D2835" t="s">
        <v>5</v>
      </c>
      <c r="F2835" t="str" cm="1">
        <f t="array" ref="F2835">CategorizeComment(E2835)</f>
        <v>Other</v>
      </c>
      <c r="G2835" t="str" cm="1">
        <f t="array" ref="G2835">SubCategorizeComment(E2835)</f>
        <v>Other</v>
      </c>
    </row>
    <row r="2836" spans="1:7" x14ac:dyDescent="0.25">
      <c r="A2836">
        <v>21141</v>
      </c>
      <c r="B2836" t="s">
        <v>4</v>
      </c>
      <c r="C2836">
        <v>4</v>
      </c>
      <c r="D2836" t="s">
        <v>5</v>
      </c>
      <c r="F2836" t="str" cm="1">
        <f t="array" ref="F2836">CategorizeComment(E2836)</f>
        <v>Other</v>
      </c>
      <c r="G2836" t="str" cm="1">
        <f t="array" ref="G2836">SubCategorizeComment(E2836)</f>
        <v>Other</v>
      </c>
    </row>
    <row r="2837" spans="1:7" x14ac:dyDescent="0.25">
      <c r="A2837">
        <v>21143</v>
      </c>
      <c r="B2837" t="s">
        <v>4</v>
      </c>
      <c r="C2837">
        <v>3</v>
      </c>
      <c r="D2837" t="s">
        <v>5</v>
      </c>
      <c r="F2837" t="str" cm="1">
        <f t="array" ref="F2837">CategorizeComment(E2837)</f>
        <v>Other</v>
      </c>
      <c r="G2837" t="str" cm="1">
        <f t="array" ref="G2837">SubCategorizeComment(E2837)</f>
        <v>Other</v>
      </c>
    </row>
    <row r="2838" spans="1:7" x14ac:dyDescent="0.25">
      <c r="A2838">
        <v>21153</v>
      </c>
      <c r="B2838" t="s">
        <v>4</v>
      </c>
      <c r="C2838">
        <v>3</v>
      </c>
      <c r="D2838" t="s">
        <v>5</v>
      </c>
      <c r="F2838" t="str" cm="1">
        <f t="array" ref="F2838">CategorizeComment(E2838)</f>
        <v>Other</v>
      </c>
      <c r="G2838" t="str" cm="1">
        <f t="array" ref="G2838">SubCategorizeComment(E2838)</f>
        <v>Other</v>
      </c>
    </row>
    <row r="2839" spans="1:7" x14ac:dyDescent="0.25">
      <c r="A2839">
        <v>21158</v>
      </c>
      <c r="B2839" t="s">
        <v>4</v>
      </c>
      <c r="C2839">
        <v>4</v>
      </c>
      <c r="D2839" t="s">
        <v>5</v>
      </c>
      <c r="F2839" t="str" cm="1">
        <f t="array" ref="F2839">CategorizeComment(E2839)</f>
        <v>Other</v>
      </c>
      <c r="G2839" t="str" cm="1">
        <f t="array" ref="G2839">SubCategorizeComment(E2839)</f>
        <v>Other</v>
      </c>
    </row>
    <row r="2840" spans="1:7" x14ac:dyDescent="0.25">
      <c r="A2840">
        <v>21168</v>
      </c>
      <c r="B2840" t="s">
        <v>4</v>
      </c>
      <c r="C2840">
        <v>3</v>
      </c>
      <c r="D2840" t="s">
        <v>5</v>
      </c>
      <c r="F2840" t="str" cm="1">
        <f t="array" ref="F2840">CategorizeComment(E2840)</f>
        <v>Other</v>
      </c>
      <c r="G2840" t="str" cm="1">
        <f t="array" ref="G2840">SubCategorizeComment(E2840)</f>
        <v>Other</v>
      </c>
    </row>
    <row r="2841" spans="1:7" x14ac:dyDescent="0.25">
      <c r="A2841">
        <v>21175</v>
      </c>
      <c r="B2841" t="s">
        <v>4</v>
      </c>
      <c r="C2841">
        <v>3</v>
      </c>
      <c r="D2841" t="s">
        <v>5</v>
      </c>
      <c r="F2841" t="str" cm="1">
        <f t="array" ref="F2841">CategorizeComment(E2841)</f>
        <v>Other</v>
      </c>
      <c r="G2841" t="str" cm="1">
        <f t="array" ref="G2841">SubCategorizeComment(E2841)</f>
        <v>Other</v>
      </c>
    </row>
    <row r="2842" spans="1:7" x14ac:dyDescent="0.25">
      <c r="A2842">
        <v>21178</v>
      </c>
      <c r="B2842" t="s">
        <v>4</v>
      </c>
      <c r="C2842">
        <v>4</v>
      </c>
      <c r="D2842" t="s">
        <v>5</v>
      </c>
      <c r="F2842" t="str" cm="1">
        <f t="array" ref="F2842">CategorizeComment(E2842)</f>
        <v>Other</v>
      </c>
      <c r="G2842" t="str" cm="1">
        <f t="array" ref="G2842">SubCategorizeComment(E2842)</f>
        <v>Other</v>
      </c>
    </row>
    <row r="2843" spans="1:7" x14ac:dyDescent="0.25">
      <c r="A2843">
        <v>21185</v>
      </c>
      <c r="B2843" t="s">
        <v>4</v>
      </c>
      <c r="C2843">
        <v>3</v>
      </c>
      <c r="D2843" t="s">
        <v>5</v>
      </c>
      <c r="F2843" t="str" cm="1">
        <f t="array" ref="F2843">CategorizeComment(E2843)</f>
        <v>Other</v>
      </c>
      <c r="G2843" t="str" cm="1">
        <f t="array" ref="G2843">SubCategorizeComment(E2843)</f>
        <v>Other</v>
      </c>
    </row>
    <row r="2844" spans="1:7" x14ac:dyDescent="0.25">
      <c r="A2844">
        <v>21189</v>
      </c>
      <c r="B2844" t="s">
        <v>4</v>
      </c>
      <c r="C2844">
        <v>3</v>
      </c>
      <c r="D2844" t="s">
        <v>5</v>
      </c>
      <c r="F2844" t="str" cm="1">
        <f t="array" ref="F2844">CategorizeComment(E2844)</f>
        <v>Other</v>
      </c>
      <c r="G2844" t="str" cm="1">
        <f t="array" ref="G2844">SubCategorizeComment(E2844)</f>
        <v>Other</v>
      </c>
    </row>
    <row r="2845" spans="1:7" x14ac:dyDescent="0.25">
      <c r="A2845">
        <v>21190</v>
      </c>
      <c r="B2845" t="s">
        <v>4</v>
      </c>
      <c r="C2845">
        <v>3</v>
      </c>
      <c r="D2845" t="s">
        <v>5</v>
      </c>
      <c r="F2845" t="str" cm="1">
        <f t="array" ref="F2845">CategorizeComment(E2845)</f>
        <v>Other</v>
      </c>
      <c r="G2845" t="str" cm="1">
        <f t="array" ref="G2845">SubCategorizeComment(E2845)</f>
        <v>Other</v>
      </c>
    </row>
    <row r="2846" spans="1:7" x14ac:dyDescent="0.25">
      <c r="A2846">
        <v>21194</v>
      </c>
      <c r="B2846" t="s">
        <v>4</v>
      </c>
      <c r="C2846">
        <v>3</v>
      </c>
      <c r="D2846" t="s">
        <v>5</v>
      </c>
      <c r="F2846" t="str" cm="1">
        <f t="array" ref="F2846">CategorizeComment(E2846)</f>
        <v>Other</v>
      </c>
      <c r="G2846" t="str" cm="1">
        <f t="array" ref="G2846">SubCategorizeComment(E2846)</f>
        <v>Other</v>
      </c>
    </row>
    <row r="2847" spans="1:7" x14ac:dyDescent="0.25">
      <c r="A2847">
        <v>21206</v>
      </c>
      <c r="B2847" t="s">
        <v>4</v>
      </c>
      <c r="C2847">
        <v>4</v>
      </c>
      <c r="D2847" t="s">
        <v>5</v>
      </c>
      <c r="F2847" t="str" cm="1">
        <f t="array" ref="F2847">CategorizeComment(E2847)</f>
        <v>Other</v>
      </c>
      <c r="G2847" t="str" cm="1">
        <f t="array" ref="G2847">SubCategorizeComment(E2847)</f>
        <v>Other</v>
      </c>
    </row>
    <row r="2848" spans="1:7" x14ac:dyDescent="0.25">
      <c r="A2848">
        <v>21207</v>
      </c>
      <c r="B2848" t="s">
        <v>4</v>
      </c>
      <c r="C2848">
        <v>3</v>
      </c>
      <c r="D2848" t="s">
        <v>5</v>
      </c>
      <c r="F2848" t="str" cm="1">
        <f t="array" ref="F2848">CategorizeComment(E2848)</f>
        <v>Other</v>
      </c>
      <c r="G2848" t="str" cm="1">
        <f t="array" ref="G2848">SubCategorizeComment(E2848)</f>
        <v>Other</v>
      </c>
    </row>
    <row r="2849" spans="1:7" x14ac:dyDescent="0.25">
      <c r="A2849">
        <v>21209</v>
      </c>
      <c r="B2849" t="s">
        <v>4</v>
      </c>
      <c r="C2849">
        <v>4</v>
      </c>
      <c r="D2849" t="s">
        <v>5</v>
      </c>
      <c r="F2849" t="str" cm="1">
        <f t="array" ref="F2849">CategorizeComment(E2849)</f>
        <v>Other</v>
      </c>
      <c r="G2849" t="str" cm="1">
        <f t="array" ref="G2849">SubCategorizeComment(E2849)</f>
        <v>Other</v>
      </c>
    </row>
    <row r="2850" spans="1:7" x14ac:dyDescent="0.25">
      <c r="A2850">
        <v>21232</v>
      </c>
      <c r="B2850" t="s">
        <v>4</v>
      </c>
      <c r="C2850">
        <v>4</v>
      </c>
      <c r="D2850" t="s">
        <v>5</v>
      </c>
      <c r="F2850" t="str" cm="1">
        <f t="array" ref="F2850">CategorizeComment(E2850)</f>
        <v>Other</v>
      </c>
      <c r="G2850" t="str" cm="1">
        <f t="array" ref="G2850">SubCategorizeComment(E2850)</f>
        <v>Other</v>
      </c>
    </row>
    <row r="2851" spans="1:7" x14ac:dyDescent="0.25">
      <c r="A2851">
        <v>21234</v>
      </c>
      <c r="B2851" t="s">
        <v>4</v>
      </c>
      <c r="C2851">
        <v>3</v>
      </c>
      <c r="D2851" t="s">
        <v>5</v>
      </c>
      <c r="F2851" t="str" cm="1">
        <f t="array" ref="F2851">CategorizeComment(E2851)</f>
        <v>Other</v>
      </c>
      <c r="G2851" t="str" cm="1">
        <f t="array" ref="G2851">SubCategorizeComment(E2851)</f>
        <v>Other</v>
      </c>
    </row>
    <row r="2852" spans="1:7" x14ac:dyDescent="0.25">
      <c r="A2852">
        <v>21240</v>
      </c>
      <c r="B2852" t="s">
        <v>4</v>
      </c>
      <c r="C2852">
        <v>4</v>
      </c>
      <c r="D2852" t="s">
        <v>5</v>
      </c>
      <c r="F2852" t="str" cm="1">
        <f t="array" ref="F2852">CategorizeComment(E2852)</f>
        <v>Other</v>
      </c>
      <c r="G2852" t="str" cm="1">
        <f t="array" ref="G2852">SubCategorizeComment(E2852)</f>
        <v>Other</v>
      </c>
    </row>
    <row r="2853" spans="1:7" x14ac:dyDescent="0.25">
      <c r="A2853">
        <v>21249</v>
      </c>
      <c r="B2853" t="s">
        <v>4</v>
      </c>
      <c r="C2853">
        <v>4</v>
      </c>
      <c r="D2853" t="s">
        <v>5</v>
      </c>
      <c r="F2853" t="str" cm="1">
        <f t="array" ref="F2853">CategorizeComment(E2853)</f>
        <v>Other</v>
      </c>
      <c r="G2853" t="str" cm="1">
        <f t="array" ref="G2853">SubCategorizeComment(E2853)</f>
        <v>Other</v>
      </c>
    </row>
    <row r="2854" spans="1:7" x14ac:dyDescent="0.25">
      <c r="A2854">
        <v>21252</v>
      </c>
      <c r="B2854" t="s">
        <v>4</v>
      </c>
      <c r="C2854">
        <v>3</v>
      </c>
      <c r="D2854" t="s">
        <v>5</v>
      </c>
      <c r="F2854" t="str" cm="1">
        <f t="array" ref="F2854">CategorizeComment(E2854)</f>
        <v>Other</v>
      </c>
      <c r="G2854" t="str" cm="1">
        <f t="array" ref="G2854">SubCategorizeComment(E2854)</f>
        <v>Other</v>
      </c>
    </row>
    <row r="2855" spans="1:7" x14ac:dyDescent="0.25">
      <c r="A2855">
        <v>21254</v>
      </c>
      <c r="B2855" t="s">
        <v>4</v>
      </c>
      <c r="C2855">
        <v>3</v>
      </c>
      <c r="D2855" t="s">
        <v>5</v>
      </c>
      <c r="F2855" t="str" cm="1">
        <f t="array" ref="F2855">CategorizeComment(E2855)</f>
        <v>Other</v>
      </c>
      <c r="G2855" t="str" cm="1">
        <f t="array" ref="G2855">SubCategorizeComment(E2855)</f>
        <v>Other</v>
      </c>
    </row>
    <row r="2856" spans="1:7" x14ac:dyDescent="0.25">
      <c r="A2856">
        <v>21276</v>
      </c>
      <c r="B2856" t="s">
        <v>4</v>
      </c>
      <c r="C2856">
        <v>3</v>
      </c>
      <c r="D2856" t="s">
        <v>5</v>
      </c>
      <c r="F2856" t="str" cm="1">
        <f t="array" ref="F2856">CategorizeComment(E2856)</f>
        <v>Other</v>
      </c>
      <c r="G2856" t="str" cm="1">
        <f t="array" ref="G2856">SubCategorizeComment(E2856)</f>
        <v>Other</v>
      </c>
    </row>
    <row r="2857" spans="1:7" x14ac:dyDescent="0.25">
      <c r="A2857">
        <v>21289</v>
      </c>
      <c r="B2857" t="s">
        <v>4</v>
      </c>
      <c r="C2857">
        <v>3</v>
      </c>
      <c r="D2857" t="s">
        <v>5</v>
      </c>
      <c r="F2857" t="str" cm="1">
        <f t="array" ref="F2857">CategorizeComment(E2857)</f>
        <v>Other</v>
      </c>
      <c r="G2857" t="str" cm="1">
        <f t="array" ref="G2857">SubCategorizeComment(E2857)</f>
        <v>Other</v>
      </c>
    </row>
    <row r="2858" spans="1:7" x14ac:dyDescent="0.25">
      <c r="A2858">
        <v>21293</v>
      </c>
      <c r="B2858" t="s">
        <v>4</v>
      </c>
      <c r="C2858">
        <v>3</v>
      </c>
      <c r="D2858" t="s">
        <v>5</v>
      </c>
      <c r="F2858" t="str" cm="1">
        <f t="array" ref="F2858">CategorizeComment(E2858)</f>
        <v>Other</v>
      </c>
      <c r="G2858" t="str" cm="1">
        <f t="array" ref="G2858">SubCategorizeComment(E2858)</f>
        <v>Other</v>
      </c>
    </row>
    <row r="2859" spans="1:7" x14ac:dyDescent="0.25">
      <c r="A2859">
        <v>21295</v>
      </c>
      <c r="B2859" t="s">
        <v>4</v>
      </c>
      <c r="C2859">
        <v>3</v>
      </c>
      <c r="D2859" t="s">
        <v>5</v>
      </c>
      <c r="F2859" t="str" cm="1">
        <f t="array" ref="F2859">CategorizeComment(E2859)</f>
        <v>Other</v>
      </c>
      <c r="G2859" t="str" cm="1">
        <f t="array" ref="G2859">SubCategorizeComment(E2859)</f>
        <v>Other</v>
      </c>
    </row>
    <row r="2860" spans="1:7" x14ac:dyDescent="0.25">
      <c r="A2860">
        <v>21298</v>
      </c>
      <c r="B2860" t="s">
        <v>4</v>
      </c>
      <c r="C2860">
        <v>3</v>
      </c>
      <c r="D2860" t="s">
        <v>5</v>
      </c>
      <c r="F2860" t="str" cm="1">
        <f t="array" ref="F2860">CategorizeComment(E2860)</f>
        <v>Other</v>
      </c>
      <c r="G2860" t="str" cm="1">
        <f t="array" ref="G2860">SubCategorizeComment(E2860)</f>
        <v>Other</v>
      </c>
    </row>
    <row r="2861" spans="1:7" x14ac:dyDescent="0.25">
      <c r="A2861">
        <v>21347</v>
      </c>
      <c r="B2861" t="s">
        <v>4</v>
      </c>
      <c r="C2861">
        <v>3</v>
      </c>
      <c r="D2861" t="s">
        <v>5</v>
      </c>
      <c r="F2861" t="str" cm="1">
        <f t="array" ref="F2861">CategorizeComment(E2861)</f>
        <v>Other</v>
      </c>
      <c r="G2861" t="str" cm="1">
        <f t="array" ref="G2861">SubCategorizeComment(E2861)</f>
        <v>Other</v>
      </c>
    </row>
    <row r="2862" spans="1:7" x14ac:dyDescent="0.25">
      <c r="A2862">
        <v>21348</v>
      </c>
      <c r="B2862" t="s">
        <v>4</v>
      </c>
      <c r="C2862">
        <v>3</v>
      </c>
      <c r="D2862" t="s">
        <v>5</v>
      </c>
      <c r="F2862" t="str" cm="1">
        <f t="array" ref="F2862">CategorizeComment(E2862)</f>
        <v>Other</v>
      </c>
      <c r="G2862" t="str" cm="1">
        <f t="array" ref="G2862">SubCategorizeComment(E2862)</f>
        <v>Other</v>
      </c>
    </row>
    <row r="2863" spans="1:7" x14ac:dyDescent="0.25">
      <c r="A2863">
        <v>21363</v>
      </c>
      <c r="B2863" t="s">
        <v>4</v>
      </c>
      <c r="C2863">
        <v>3</v>
      </c>
      <c r="D2863" t="s">
        <v>5</v>
      </c>
      <c r="F2863" t="str" cm="1">
        <f t="array" ref="F2863">CategorizeComment(E2863)</f>
        <v>Other</v>
      </c>
      <c r="G2863" t="str" cm="1">
        <f t="array" ref="G2863">SubCategorizeComment(E2863)</f>
        <v>Other</v>
      </c>
    </row>
    <row r="2864" spans="1:7" x14ac:dyDescent="0.25">
      <c r="A2864">
        <v>21368</v>
      </c>
      <c r="B2864" t="s">
        <v>4</v>
      </c>
      <c r="C2864">
        <v>1</v>
      </c>
      <c r="D2864" t="s">
        <v>5</v>
      </c>
      <c r="F2864" t="str" cm="1">
        <f t="array" ref="F2864">CategorizeComment(E2864)</f>
        <v>Other</v>
      </c>
      <c r="G2864" t="str" cm="1">
        <f t="array" ref="G2864">SubCategorizeComment(E2864)</f>
        <v>Other</v>
      </c>
    </row>
    <row r="2865" spans="1:7" x14ac:dyDescent="0.25">
      <c r="A2865">
        <v>21370</v>
      </c>
      <c r="B2865" t="s">
        <v>4</v>
      </c>
      <c r="C2865">
        <v>4</v>
      </c>
      <c r="D2865" t="s">
        <v>5</v>
      </c>
      <c r="F2865" t="str" cm="1">
        <f t="array" ref="F2865">CategorizeComment(E2865)</f>
        <v>Other</v>
      </c>
      <c r="G2865" t="str" cm="1">
        <f t="array" ref="G2865">SubCategorizeComment(E2865)</f>
        <v>Other</v>
      </c>
    </row>
    <row r="2866" spans="1:7" x14ac:dyDescent="0.25">
      <c r="A2866">
        <v>21388</v>
      </c>
      <c r="B2866" t="s">
        <v>4</v>
      </c>
      <c r="C2866">
        <v>4</v>
      </c>
      <c r="D2866" t="s">
        <v>5</v>
      </c>
      <c r="F2866" t="str" cm="1">
        <f t="array" ref="F2866">CategorizeComment(E2866)</f>
        <v>Other</v>
      </c>
      <c r="G2866" t="str" cm="1">
        <f t="array" ref="G2866">SubCategorizeComment(E2866)</f>
        <v>Other</v>
      </c>
    </row>
    <row r="2867" spans="1:7" x14ac:dyDescent="0.25">
      <c r="A2867">
        <v>21404</v>
      </c>
      <c r="B2867" t="s">
        <v>4</v>
      </c>
      <c r="C2867">
        <v>4</v>
      </c>
      <c r="D2867" t="s">
        <v>5</v>
      </c>
      <c r="F2867" t="str" cm="1">
        <f t="array" ref="F2867">CategorizeComment(E2867)</f>
        <v>Other</v>
      </c>
      <c r="G2867" t="str" cm="1">
        <f t="array" ref="G2867">SubCategorizeComment(E2867)</f>
        <v>Other</v>
      </c>
    </row>
    <row r="2868" spans="1:7" x14ac:dyDescent="0.25">
      <c r="A2868">
        <v>21405</v>
      </c>
      <c r="B2868" t="s">
        <v>4</v>
      </c>
      <c r="C2868">
        <v>3</v>
      </c>
      <c r="D2868" t="s">
        <v>5</v>
      </c>
      <c r="F2868" t="str" cm="1">
        <f t="array" ref="F2868">CategorizeComment(E2868)</f>
        <v>Other</v>
      </c>
      <c r="G2868" t="str" cm="1">
        <f t="array" ref="G2868">SubCategorizeComment(E2868)</f>
        <v>Other</v>
      </c>
    </row>
    <row r="2869" spans="1:7" x14ac:dyDescent="0.25">
      <c r="A2869">
        <v>21426</v>
      </c>
      <c r="B2869" t="s">
        <v>4</v>
      </c>
      <c r="C2869">
        <v>3</v>
      </c>
      <c r="D2869" t="s">
        <v>5</v>
      </c>
      <c r="F2869" t="str" cm="1">
        <f t="array" ref="F2869">CategorizeComment(E2869)</f>
        <v>Other</v>
      </c>
      <c r="G2869" t="str" cm="1">
        <f t="array" ref="G2869">SubCategorizeComment(E2869)</f>
        <v>Other</v>
      </c>
    </row>
    <row r="2870" spans="1:7" x14ac:dyDescent="0.25">
      <c r="A2870">
        <v>21438</v>
      </c>
      <c r="B2870" t="s">
        <v>4</v>
      </c>
      <c r="C2870">
        <v>4</v>
      </c>
      <c r="D2870" t="s">
        <v>5</v>
      </c>
      <c r="F2870" t="str" cm="1">
        <f t="array" ref="F2870">CategorizeComment(E2870)</f>
        <v>Other</v>
      </c>
      <c r="G2870" t="str" cm="1">
        <f t="array" ref="G2870">SubCategorizeComment(E2870)</f>
        <v>Other</v>
      </c>
    </row>
    <row r="2871" spans="1:7" x14ac:dyDescent="0.25">
      <c r="A2871">
        <v>21451</v>
      </c>
      <c r="B2871" t="s">
        <v>4</v>
      </c>
      <c r="C2871">
        <v>4</v>
      </c>
      <c r="D2871" t="s">
        <v>5</v>
      </c>
      <c r="F2871" t="str" cm="1">
        <f t="array" ref="F2871">CategorizeComment(E2871)</f>
        <v>Other</v>
      </c>
      <c r="G2871" t="str" cm="1">
        <f t="array" ref="G2871">SubCategorizeComment(E2871)</f>
        <v>Other</v>
      </c>
    </row>
    <row r="2872" spans="1:7" x14ac:dyDescent="0.25">
      <c r="A2872">
        <v>21459</v>
      </c>
      <c r="B2872" t="s">
        <v>4</v>
      </c>
      <c r="C2872">
        <v>3</v>
      </c>
      <c r="D2872" t="s">
        <v>5</v>
      </c>
      <c r="F2872" t="str" cm="1">
        <f t="array" ref="F2872">CategorizeComment(E2872)</f>
        <v>Other</v>
      </c>
      <c r="G2872" t="str" cm="1">
        <f t="array" ref="G2872">SubCategorizeComment(E2872)</f>
        <v>Other</v>
      </c>
    </row>
    <row r="2873" spans="1:7" x14ac:dyDescent="0.25">
      <c r="A2873">
        <v>21460</v>
      </c>
      <c r="B2873" t="s">
        <v>4</v>
      </c>
      <c r="C2873">
        <v>4</v>
      </c>
      <c r="D2873" t="s">
        <v>5</v>
      </c>
      <c r="F2873" t="str" cm="1">
        <f t="array" ref="F2873">CategorizeComment(E2873)</f>
        <v>Other</v>
      </c>
      <c r="G2873" t="str" cm="1">
        <f t="array" ref="G2873">SubCategorizeComment(E2873)</f>
        <v>Other</v>
      </c>
    </row>
    <row r="2874" spans="1:7" x14ac:dyDescent="0.25">
      <c r="A2874">
        <v>21465</v>
      </c>
      <c r="B2874" t="s">
        <v>4</v>
      </c>
      <c r="C2874">
        <v>3</v>
      </c>
      <c r="D2874" t="s">
        <v>5</v>
      </c>
      <c r="F2874" t="str" cm="1">
        <f t="array" ref="F2874">CategorizeComment(E2874)</f>
        <v>Other</v>
      </c>
      <c r="G2874" t="str" cm="1">
        <f t="array" ref="G2874">SubCategorizeComment(E2874)</f>
        <v>Other</v>
      </c>
    </row>
    <row r="2875" spans="1:7" x14ac:dyDescent="0.25">
      <c r="A2875">
        <v>21468</v>
      </c>
      <c r="B2875" t="s">
        <v>4</v>
      </c>
      <c r="C2875">
        <v>4</v>
      </c>
      <c r="D2875" t="s">
        <v>5</v>
      </c>
      <c r="F2875" t="str" cm="1">
        <f t="array" ref="F2875">CategorizeComment(E2875)</f>
        <v>Other</v>
      </c>
      <c r="G2875" t="str" cm="1">
        <f t="array" ref="G2875">SubCategorizeComment(E2875)</f>
        <v>Other</v>
      </c>
    </row>
    <row r="2876" spans="1:7" x14ac:dyDescent="0.25">
      <c r="A2876">
        <v>21472</v>
      </c>
      <c r="B2876" t="s">
        <v>4</v>
      </c>
      <c r="C2876">
        <v>3</v>
      </c>
      <c r="D2876" t="s">
        <v>5</v>
      </c>
      <c r="F2876" t="str" cm="1">
        <f t="array" ref="F2876">CategorizeComment(E2876)</f>
        <v>Other</v>
      </c>
      <c r="G2876" t="str" cm="1">
        <f t="array" ref="G2876">SubCategorizeComment(E2876)</f>
        <v>Other</v>
      </c>
    </row>
    <row r="2877" spans="1:7" x14ac:dyDescent="0.25">
      <c r="A2877">
        <v>21473</v>
      </c>
      <c r="B2877" t="s">
        <v>4</v>
      </c>
      <c r="C2877">
        <v>4</v>
      </c>
      <c r="D2877" t="s">
        <v>5</v>
      </c>
      <c r="F2877" t="str" cm="1">
        <f t="array" ref="F2877">CategorizeComment(E2877)</f>
        <v>Other</v>
      </c>
      <c r="G2877" t="str" cm="1">
        <f t="array" ref="G2877">SubCategorizeComment(E2877)</f>
        <v>Other</v>
      </c>
    </row>
    <row r="2878" spans="1:7" x14ac:dyDescent="0.25">
      <c r="A2878">
        <v>21477</v>
      </c>
      <c r="B2878" t="s">
        <v>4</v>
      </c>
      <c r="C2878">
        <v>3</v>
      </c>
      <c r="D2878" t="s">
        <v>5</v>
      </c>
      <c r="F2878" t="str" cm="1">
        <f t="array" ref="F2878">CategorizeComment(E2878)</f>
        <v>Other</v>
      </c>
      <c r="G2878" t="str" cm="1">
        <f t="array" ref="G2878">SubCategorizeComment(E2878)</f>
        <v>Other</v>
      </c>
    </row>
    <row r="2879" spans="1:7" x14ac:dyDescent="0.25">
      <c r="A2879">
        <v>21480</v>
      </c>
      <c r="B2879" t="s">
        <v>4</v>
      </c>
      <c r="C2879">
        <v>3</v>
      </c>
      <c r="D2879" t="s">
        <v>5</v>
      </c>
      <c r="F2879" t="str" cm="1">
        <f t="array" ref="F2879">CategorizeComment(E2879)</f>
        <v>Other</v>
      </c>
      <c r="G2879" t="str" cm="1">
        <f t="array" ref="G2879">SubCategorizeComment(E2879)</f>
        <v>Other</v>
      </c>
    </row>
    <row r="2880" spans="1:7" x14ac:dyDescent="0.25">
      <c r="A2880">
        <v>21494</v>
      </c>
      <c r="B2880" t="s">
        <v>4</v>
      </c>
      <c r="C2880">
        <v>4</v>
      </c>
      <c r="D2880" t="s">
        <v>5</v>
      </c>
      <c r="F2880" t="str" cm="1">
        <f t="array" ref="F2880">CategorizeComment(E2880)</f>
        <v>Other</v>
      </c>
      <c r="G2880" t="str" cm="1">
        <f t="array" ref="G2880">SubCategorizeComment(E2880)</f>
        <v>Other</v>
      </c>
    </row>
    <row r="2881" spans="1:7" x14ac:dyDescent="0.25">
      <c r="A2881">
        <v>21497</v>
      </c>
      <c r="B2881" t="s">
        <v>4</v>
      </c>
      <c r="C2881">
        <v>4</v>
      </c>
      <c r="D2881" t="s">
        <v>5</v>
      </c>
      <c r="F2881" t="str" cm="1">
        <f t="array" ref="F2881">CategorizeComment(E2881)</f>
        <v>Other</v>
      </c>
      <c r="G2881" t="str" cm="1">
        <f t="array" ref="G2881">SubCategorizeComment(E2881)</f>
        <v>Other</v>
      </c>
    </row>
    <row r="2882" spans="1:7" x14ac:dyDescent="0.25">
      <c r="A2882">
        <v>21499</v>
      </c>
      <c r="B2882" t="s">
        <v>4</v>
      </c>
      <c r="C2882">
        <v>4</v>
      </c>
      <c r="D2882" t="s">
        <v>5</v>
      </c>
      <c r="F2882" t="str" cm="1">
        <f t="array" ref="F2882">CategorizeComment(E2882)</f>
        <v>Other</v>
      </c>
      <c r="G2882" t="str" cm="1">
        <f t="array" ref="G2882">SubCategorizeComment(E2882)</f>
        <v>Other</v>
      </c>
    </row>
    <row r="2883" spans="1:7" x14ac:dyDescent="0.25">
      <c r="A2883">
        <v>21505</v>
      </c>
      <c r="B2883" t="s">
        <v>4</v>
      </c>
      <c r="C2883">
        <v>4</v>
      </c>
      <c r="D2883" t="s">
        <v>5</v>
      </c>
      <c r="F2883" t="str" cm="1">
        <f t="array" ref="F2883">CategorizeComment(E2883)</f>
        <v>Other</v>
      </c>
      <c r="G2883" t="str" cm="1">
        <f t="array" ref="G2883">SubCategorizeComment(E2883)</f>
        <v>Other</v>
      </c>
    </row>
    <row r="2884" spans="1:7" x14ac:dyDescent="0.25">
      <c r="A2884">
        <v>21508</v>
      </c>
      <c r="B2884" t="s">
        <v>4</v>
      </c>
      <c r="C2884">
        <v>4</v>
      </c>
      <c r="D2884" t="s">
        <v>5</v>
      </c>
      <c r="F2884" t="str" cm="1">
        <f t="array" ref="F2884">CategorizeComment(E2884)</f>
        <v>Other</v>
      </c>
      <c r="G2884" t="str" cm="1">
        <f t="array" ref="G2884">SubCategorizeComment(E2884)</f>
        <v>Other</v>
      </c>
    </row>
    <row r="2885" spans="1:7" x14ac:dyDescent="0.25">
      <c r="A2885">
        <v>21512</v>
      </c>
      <c r="B2885" t="s">
        <v>4</v>
      </c>
      <c r="C2885">
        <v>4</v>
      </c>
      <c r="D2885" t="s">
        <v>5</v>
      </c>
      <c r="F2885" t="str" cm="1">
        <f t="array" ref="F2885">CategorizeComment(E2885)</f>
        <v>Other</v>
      </c>
      <c r="G2885" t="str" cm="1">
        <f t="array" ref="G2885">SubCategorizeComment(E2885)</f>
        <v>Other</v>
      </c>
    </row>
    <row r="2886" spans="1:7" x14ac:dyDescent="0.25">
      <c r="A2886">
        <v>21517</v>
      </c>
      <c r="B2886" t="s">
        <v>4</v>
      </c>
      <c r="C2886">
        <v>4</v>
      </c>
      <c r="D2886" t="s">
        <v>5</v>
      </c>
      <c r="F2886" t="str" cm="1">
        <f t="array" ref="F2886">CategorizeComment(E2886)</f>
        <v>Other</v>
      </c>
      <c r="G2886" t="str" cm="1">
        <f t="array" ref="G2886">SubCategorizeComment(E2886)</f>
        <v>Other</v>
      </c>
    </row>
    <row r="2887" spans="1:7" x14ac:dyDescent="0.25">
      <c r="A2887">
        <v>21549</v>
      </c>
      <c r="B2887" t="s">
        <v>4</v>
      </c>
      <c r="C2887">
        <v>4</v>
      </c>
      <c r="D2887" t="s">
        <v>5</v>
      </c>
      <c r="F2887" t="str" cm="1">
        <f t="array" ref="F2887">CategorizeComment(E2887)</f>
        <v>Other</v>
      </c>
      <c r="G2887" t="str" cm="1">
        <f t="array" ref="G2887">SubCategorizeComment(E2887)</f>
        <v>Other</v>
      </c>
    </row>
    <row r="2888" spans="1:7" x14ac:dyDescent="0.25">
      <c r="A2888">
        <v>21570</v>
      </c>
      <c r="B2888" t="s">
        <v>4</v>
      </c>
      <c r="C2888">
        <v>4</v>
      </c>
      <c r="D2888" t="s">
        <v>5</v>
      </c>
      <c r="F2888" t="str" cm="1">
        <f t="array" ref="F2888">CategorizeComment(E2888)</f>
        <v>Other</v>
      </c>
      <c r="G2888" t="str" cm="1">
        <f t="array" ref="G2888">SubCategorizeComment(E2888)</f>
        <v>Other</v>
      </c>
    </row>
    <row r="2889" spans="1:7" x14ac:dyDescent="0.25">
      <c r="A2889">
        <v>21620</v>
      </c>
      <c r="B2889" t="s">
        <v>4</v>
      </c>
      <c r="C2889">
        <v>3</v>
      </c>
      <c r="D2889" t="s">
        <v>5</v>
      </c>
      <c r="F2889" t="str" cm="1">
        <f t="array" ref="F2889">CategorizeComment(E2889)</f>
        <v>Other</v>
      </c>
      <c r="G2889" t="str" cm="1">
        <f t="array" ref="G2889">SubCategorizeComment(E2889)</f>
        <v>Other</v>
      </c>
    </row>
    <row r="2890" spans="1:7" x14ac:dyDescent="0.25">
      <c r="A2890">
        <v>21621</v>
      </c>
      <c r="B2890" t="s">
        <v>4</v>
      </c>
      <c r="C2890">
        <v>3</v>
      </c>
      <c r="D2890" t="s">
        <v>5</v>
      </c>
      <c r="F2890" t="str" cm="1">
        <f t="array" ref="F2890">CategorizeComment(E2890)</f>
        <v>Other</v>
      </c>
      <c r="G2890" t="str" cm="1">
        <f t="array" ref="G2890">SubCategorizeComment(E2890)</f>
        <v>Other</v>
      </c>
    </row>
    <row r="2891" spans="1:7" x14ac:dyDescent="0.25">
      <c r="A2891">
        <v>21622</v>
      </c>
      <c r="B2891" t="s">
        <v>4</v>
      </c>
      <c r="C2891">
        <v>3</v>
      </c>
      <c r="D2891" t="s">
        <v>5</v>
      </c>
      <c r="F2891" t="str" cm="1">
        <f t="array" ref="F2891">CategorizeComment(E2891)</f>
        <v>Other</v>
      </c>
      <c r="G2891" t="str" cm="1">
        <f t="array" ref="G2891">SubCategorizeComment(E2891)</f>
        <v>Other</v>
      </c>
    </row>
    <row r="2892" spans="1:7" x14ac:dyDescent="0.25">
      <c r="A2892">
        <v>21626</v>
      </c>
      <c r="B2892" t="s">
        <v>4</v>
      </c>
      <c r="C2892">
        <v>4</v>
      </c>
      <c r="D2892" t="s">
        <v>5</v>
      </c>
      <c r="F2892" t="str" cm="1">
        <f t="array" ref="F2892">CategorizeComment(E2892)</f>
        <v>Other</v>
      </c>
      <c r="G2892" t="str" cm="1">
        <f t="array" ref="G2892">SubCategorizeComment(E2892)</f>
        <v>Other</v>
      </c>
    </row>
    <row r="2893" spans="1:7" x14ac:dyDescent="0.25">
      <c r="A2893">
        <v>21638</v>
      </c>
      <c r="B2893" t="s">
        <v>4</v>
      </c>
      <c r="C2893">
        <v>3</v>
      </c>
      <c r="D2893" t="s">
        <v>5</v>
      </c>
      <c r="F2893" t="str" cm="1">
        <f t="array" ref="F2893">CategorizeComment(E2893)</f>
        <v>Other</v>
      </c>
      <c r="G2893" t="str" cm="1">
        <f t="array" ref="G2893">SubCategorizeComment(E2893)</f>
        <v>Other</v>
      </c>
    </row>
    <row r="2894" spans="1:7" x14ac:dyDescent="0.25">
      <c r="A2894">
        <v>21640</v>
      </c>
      <c r="B2894" t="s">
        <v>4</v>
      </c>
      <c r="C2894">
        <v>3</v>
      </c>
      <c r="D2894" t="s">
        <v>5</v>
      </c>
      <c r="F2894" t="str" cm="1">
        <f t="array" ref="F2894">CategorizeComment(E2894)</f>
        <v>Other</v>
      </c>
      <c r="G2894" t="str" cm="1">
        <f t="array" ref="G2894">SubCategorizeComment(E2894)</f>
        <v>Other</v>
      </c>
    </row>
    <row r="2895" spans="1:7" x14ac:dyDescent="0.25">
      <c r="A2895">
        <v>21643</v>
      </c>
      <c r="B2895" t="s">
        <v>4</v>
      </c>
      <c r="C2895">
        <v>3</v>
      </c>
      <c r="D2895" t="s">
        <v>5</v>
      </c>
      <c r="F2895" t="str" cm="1">
        <f t="array" ref="F2895">CategorizeComment(E2895)</f>
        <v>Other</v>
      </c>
      <c r="G2895" t="str" cm="1">
        <f t="array" ref="G2895">SubCategorizeComment(E2895)</f>
        <v>Other</v>
      </c>
    </row>
    <row r="2896" spans="1:7" x14ac:dyDescent="0.25">
      <c r="A2896">
        <v>21660</v>
      </c>
      <c r="B2896" t="s">
        <v>4</v>
      </c>
      <c r="C2896">
        <v>4</v>
      </c>
      <c r="D2896" t="s">
        <v>5</v>
      </c>
      <c r="F2896" t="str" cm="1">
        <f t="array" ref="F2896">CategorizeComment(E2896)</f>
        <v>Other</v>
      </c>
      <c r="G2896" t="str" cm="1">
        <f t="array" ref="G2896">SubCategorizeComment(E2896)</f>
        <v>Other</v>
      </c>
    </row>
    <row r="2897" spans="1:7" x14ac:dyDescent="0.25">
      <c r="A2897">
        <v>21662</v>
      </c>
      <c r="B2897" t="s">
        <v>4</v>
      </c>
      <c r="C2897">
        <v>4</v>
      </c>
      <c r="D2897" t="s">
        <v>5</v>
      </c>
      <c r="F2897" t="str" cm="1">
        <f t="array" ref="F2897">CategorizeComment(E2897)</f>
        <v>Other</v>
      </c>
      <c r="G2897" t="str" cm="1">
        <f t="array" ref="G2897">SubCategorizeComment(E2897)</f>
        <v>Other</v>
      </c>
    </row>
    <row r="2898" spans="1:7" x14ac:dyDescent="0.25">
      <c r="A2898">
        <v>21665</v>
      </c>
      <c r="B2898" t="s">
        <v>4</v>
      </c>
      <c r="C2898">
        <v>3</v>
      </c>
      <c r="D2898" t="s">
        <v>5</v>
      </c>
      <c r="F2898" t="str" cm="1">
        <f t="array" ref="F2898">CategorizeComment(E2898)</f>
        <v>Other</v>
      </c>
      <c r="G2898" t="str" cm="1">
        <f t="array" ref="G2898">SubCategorizeComment(E2898)</f>
        <v>Other</v>
      </c>
    </row>
    <row r="2899" spans="1:7" x14ac:dyDescent="0.25">
      <c r="A2899">
        <v>21668</v>
      </c>
      <c r="B2899" t="s">
        <v>4</v>
      </c>
      <c r="C2899">
        <v>3</v>
      </c>
      <c r="D2899" t="s">
        <v>5</v>
      </c>
      <c r="F2899" t="str" cm="1">
        <f t="array" ref="F2899">CategorizeComment(E2899)</f>
        <v>Other</v>
      </c>
      <c r="G2899" t="str" cm="1">
        <f t="array" ref="G2899">SubCategorizeComment(E2899)</f>
        <v>Other</v>
      </c>
    </row>
    <row r="2900" spans="1:7" x14ac:dyDescent="0.25">
      <c r="A2900">
        <v>21671</v>
      </c>
      <c r="B2900" t="s">
        <v>4</v>
      </c>
      <c r="C2900">
        <v>3</v>
      </c>
      <c r="D2900" t="s">
        <v>5</v>
      </c>
      <c r="F2900" t="str" cm="1">
        <f t="array" ref="F2900">CategorizeComment(E2900)</f>
        <v>Other</v>
      </c>
      <c r="G2900" t="str" cm="1">
        <f t="array" ref="G2900">SubCategorizeComment(E2900)</f>
        <v>Other</v>
      </c>
    </row>
    <row r="2901" spans="1:7" x14ac:dyDescent="0.25">
      <c r="A2901">
        <v>21689</v>
      </c>
      <c r="B2901" t="s">
        <v>4</v>
      </c>
      <c r="C2901">
        <v>4</v>
      </c>
      <c r="D2901" t="s">
        <v>5</v>
      </c>
      <c r="F2901" t="str" cm="1">
        <f t="array" ref="F2901">CategorizeComment(E2901)</f>
        <v>Other</v>
      </c>
      <c r="G2901" t="str" cm="1">
        <f t="array" ref="G2901">SubCategorizeComment(E2901)</f>
        <v>Other</v>
      </c>
    </row>
    <row r="2902" spans="1:7" x14ac:dyDescent="0.25">
      <c r="A2902">
        <v>21696</v>
      </c>
      <c r="B2902" t="s">
        <v>4</v>
      </c>
      <c r="C2902">
        <v>4</v>
      </c>
      <c r="D2902" t="s">
        <v>5</v>
      </c>
      <c r="F2902" t="str" cm="1">
        <f t="array" ref="F2902">CategorizeComment(E2902)</f>
        <v>Other</v>
      </c>
      <c r="G2902" t="str" cm="1">
        <f t="array" ref="G2902">SubCategorizeComment(E2902)</f>
        <v>Other</v>
      </c>
    </row>
    <row r="2903" spans="1:7" x14ac:dyDescent="0.25">
      <c r="A2903">
        <v>21704</v>
      </c>
      <c r="B2903" t="s">
        <v>4</v>
      </c>
      <c r="C2903">
        <v>3</v>
      </c>
      <c r="D2903" t="s">
        <v>5</v>
      </c>
      <c r="F2903" t="str" cm="1">
        <f t="array" ref="F2903">CategorizeComment(E2903)</f>
        <v>Other</v>
      </c>
      <c r="G2903" t="str" cm="1">
        <f t="array" ref="G2903">SubCategorizeComment(E2903)</f>
        <v>Other</v>
      </c>
    </row>
    <row r="2904" spans="1:7" x14ac:dyDescent="0.25">
      <c r="A2904">
        <v>21730</v>
      </c>
      <c r="B2904" t="s">
        <v>4</v>
      </c>
      <c r="C2904">
        <v>3</v>
      </c>
      <c r="D2904" t="s">
        <v>5</v>
      </c>
      <c r="F2904" t="str" cm="1">
        <f t="array" ref="F2904">CategorizeComment(E2904)</f>
        <v>Other</v>
      </c>
      <c r="G2904" t="str" cm="1">
        <f t="array" ref="G2904">SubCategorizeComment(E2904)</f>
        <v>Other</v>
      </c>
    </row>
    <row r="2905" spans="1:7" x14ac:dyDescent="0.25">
      <c r="A2905">
        <v>21741</v>
      </c>
      <c r="B2905" t="s">
        <v>4</v>
      </c>
      <c r="C2905">
        <v>4</v>
      </c>
      <c r="D2905" t="s">
        <v>5</v>
      </c>
      <c r="F2905" t="str" cm="1">
        <f t="array" ref="F2905">CategorizeComment(E2905)</f>
        <v>Other</v>
      </c>
      <c r="G2905" t="str" cm="1">
        <f t="array" ref="G2905">SubCategorizeComment(E2905)</f>
        <v>Other</v>
      </c>
    </row>
    <row r="2906" spans="1:7" x14ac:dyDescent="0.25">
      <c r="A2906">
        <v>21756</v>
      </c>
      <c r="B2906" t="s">
        <v>4</v>
      </c>
      <c r="C2906">
        <v>3</v>
      </c>
      <c r="D2906" t="s">
        <v>5</v>
      </c>
      <c r="F2906" t="str" cm="1">
        <f t="array" ref="F2906">CategorizeComment(E2906)</f>
        <v>Other</v>
      </c>
      <c r="G2906" t="str" cm="1">
        <f t="array" ref="G2906">SubCategorizeComment(E2906)</f>
        <v>Other</v>
      </c>
    </row>
    <row r="2907" spans="1:7" x14ac:dyDescent="0.25">
      <c r="A2907">
        <v>21786</v>
      </c>
      <c r="B2907" t="s">
        <v>4</v>
      </c>
      <c r="C2907">
        <v>4</v>
      </c>
      <c r="D2907" t="s">
        <v>5</v>
      </c>
      <c r="F2907" t="str" cm="1">
        <f t="array" ref="F2907">CategorizeComment(E2907)</f>
        <v>Other</v>
      </c>
      <c r="G2907" t="str" cm="1">
        <f t="array" ref="G2907">SubCategorizeComment(E2907)</f>
        <v>Other</v>
      </c>
    </row>
    <row r="2908" spans="1:7" x14ac:dyDescent="0.25">
      <c r="A2908">
        <v>21789</v>
      </c>
      <c r="B2908" t="s">
        <v>4</v>
      </c>
      <c r="C2908">
        <v>4</v>
      </c>
      <c r="D2908" t="s">
        <v>5</v>
      </c>
      <c r="F2908" t="str" cm="1">
        <f t="array" ref="F2908">CategorizeComment(E2908)</f>
        <v>Other</v>
      </c>
      <c r="G2908" t="str" cm="1">
        <f t="array" ref="G2908">SubCategorizeComment(E2908)</f>
        <v>Other</v>
      </c>
    </row>
    <row r="2909" spans="1:7" x14ac:dyDescent="0.25">
      <c r="A2909">
        <v>21793</v>
      </c>
      <c r="B2909" t="s">
        <v>4</v>
      </c>
      <c r="C2909">
        <v>3</v>
      </c>
      <c r="D2909" t="s">
        <v>5</v>
      </c>
      <c r="F2909" t="str" cm="1">
        <f t="array" ref="F2909">CategorizeComment(E2909)</f>
        <v>Other</v>
      </c>
      <c r="G2909" t="str" cm="1">
        <f t="array" ref="G2909">SubCategorizeComment(E2909)</f>
        <v>Other</v>
      </c>
    </row>
    <row r="2910" spans="1:7" x14ac:dyDescent="0.25">
      <c r="A2910">
        <v>21795</v>
      </c>
      <c r="B2910" t="s">
        <v>4</v>
      </c>
      <c r="C2910">
        <v>3</v>
      </c>
      <c r="D2910" t="s">
        <v>5</v>
      </c>
      <c r="F2910" t="str" cm="1">
        <f t="array" ref="F2910">CategorizeComment(E2910)</f>
        <v>Other</v>
      </c>
      <c r="G2910" t="str" cm="1">
        <f t="array" ref="G2910">SubCategorizeComment(E2910)</f>
        <v>Other</v>
      </c>
    </row>
    <row r="2911" spans="1:7" x14ac:dyDescent="0.25">
      <c r="A2911">
        <v>21798</v>
      </c>
      <c r="B2911" t="s">
        <v>4</v>
      </c>
      <c r="C2911">
        <v>3</v>
      </c>
      <c r="D2911" t="s">
        <v>5</v>
      </c>
      <c r="F2911" t="str" cm="1">
        <f t="array" ref="F2911">CategorizeComment(E2911)</f>
        <v>Other</v>
      </c>
      <c r="G2911" t="str" cm="1">
        <f t="array" ref="G2911">SubCategorizeComment(E2911)</f>
        <v>Other</v>
      </c>
    </row>
    <row r="2912" spans="1:7" x14ac:dyDescent="0.25">
      <c r="A2912">
        <v>21799</v>
      </c>
      <c r="B2912" t="s">
        <v>4</v>
      </c>
      <c r="C2912">
        <v>4</v>
      </c>
      <c r="D2912" t="s">
        <v>5</v>
      </c>
      <c r="F2912" t="str" cm="1">
        <f t="array" ref="F2912">CategorizeComment(E2912)</f>
        <v>Other</v>
      </c>
      <c r="G2912" t="str" cm="1">
        <f t="array" ref="G2912">SubCategorizeComment(E2912)</f>
        <v>Other</v>
      </c>
    </row>
    <row r="2913" spans="1:7" x14ac:dyDescent="0.25">
      <c r="A2913">
        <v>21801</v>
      </c>
      <c r="B2913" t="s">
        <v>4</v>
      </c>
      <c r="C2913">
        <v>3</v>
      </c>
      <c r="D2913" t="s">
        <v>5</v>
      </c>
      <c r="F2913" t="str" cm="1">
        <f t="array" ref="F2913">CategorizeComment(E2913)</f>
        <v>Other</v>
      </c>
      <c r="G2913" t="str" cm="1">
        <f t="array" ref="G2913">SubCategorizeComment(E2913)</f>
        <v>Other</v>
      </c>
    </row>
    <row r="2914" spans="1:7" x14ac:dyDescent="0.25">
      <c r="A2914">
        <v>21808</v>
      </c>
      <c r="B2914" t="s">
        <v>4</v>
      </c>
      <c r="C2914">
        <v>3</v>
      </c>
      <c r="D2914" t="s">
        <v>5</v>
      </c>
      <c r="F2914" t="str" cm="1">
        <f t="array" ref="F2914">CategorizeComment(E2914)</f>
        <v>Other</v>
      </c>
      <c r="G2914" t="str" cm="1">
        <f t="array" ref="G2914">SubCategorizeComment(E2914)</f>
        <v>Other</v>
      </c>
    </row>
    <row r="2915" spans="1:7" x14ac:dyDescent="0.25">
      <c r="A2915">
        <v>21820</v>
      </c>
      <c r="B2915" t="s">
        <v>4</v>
      </c>
      <c r="C2915">
        <v>3</v>
      </c>
      <c r="D2915" t="s">
        <v>5</v>
      </c>
      <c r="F2915" t="str" cm="1">
        <f t="array" ref="F2915">CategorizeComment(E2915)</f>
        <v>Other</v>
      </c>
      <c r="G2915" t="str" cm="1">
        <f t="array" ref="G2915">SubCategorizeComment(E2915)</f>
        <v>Other</v>
      </c>
    </row>
    <row r="2916" spans="1:7" x14ac:dyDescent="0.25">
      <c r="A2916">
        <v>21821</v>
      </c>
      <c r="B2916" t="s">
        <v>4</v>
      </c>
      <c r="C2916">
        <v>3</v>
      </c>
      <c r="D2916" t="s">
        <v>5</v>
      </c>
      <c r="F2916" t="str" cm="1">
        <f t="array" ref="F2916">CategorizeComment(E2916)</f>
        <v>Other</v>
      </c>
      <c r="G2916" t="str" cm="1">
        <f t="array" ref="G2916">SubCategorizeComment(E2916)</f>
        <v>Other</v>
      </c>
    </row>
    <row r="2917" spans="1:7" x14ac:dyDescent="0.25">
      <c r="A2917">
        <v>21826</v>
      </c>
      <c r="B2917" t="s">
        <v>4</v>
      </c>
      <c r="C2917">
        <v>4</v>
      </c>
      <c r="D2917" t="s">
        <v>5</v>
      </c>
      <c r="F2917" t="str" cm="1">
        <f t="array" ref="F2917">CategorizeComment(E2917)</f>
        <v>Other</v>
      </c>
      <c r="G2917" t="str" cm="1">
        <f t="array" ref="G2917">SubCategorizeComment(E2917)</f>
        <v>Other</v>
      </c>
    </row>
    <row r="2918" spans="1:7" x14ac:dyDescent="0.25">
      <c r="A2918">
        <v>21827</v>
      </c>
      <c r="B2918" t="s">
        <v>4</v>
      </c>
      <c r="C2918">
        <v>3</v>
      </c>
      <c r="D2918" t="s">
        <v>5</v>
      </c>
      <c r="F2918" t="str" cm="1">
        <f t="array" ref="F2918">CategorizeComment(E2918)</f>
        <v>Other</v>
      </c>
      <c r="G2918" t="str" cm="1">
        <f t="array" ref="G2918">SubCategorizeComment(E2918)</f>
        <v>Other</v>
      </c>
    </row>
    <row r="2919" spans="1:7" x14ac:dyDescent="0.25">
      <c r="A2919">
        <v>21844</v>
      </c>
      <c r="B2919" t="s">
        <v>4</v>
      </c>
      <c r="C2919">
        <v>3</v>
      </c>
      <c r="D2919" t="s">
        <v>5</v>
      </c>
      <c r="F2919" t="str" cm="1">
        <f t="array" ref="F2919">CategorizeComment(E2919)</f>
        <v>Other</v>
      </c>
      <c r="G2919" t="str" cm="1">
        <f t="array" ref="G2919">SubCategorizeComment(E2919)</f>
        <v>Other</v>
      </c>
    </row>
    <row r="2920" spans="1:7" x14ac:dyDescent="0.25">
      <c r="A2920">
        <v>21851</v>
      </c>
      <c r="B2920" t="s">
        <v>4</v>
      </c>
      <c r="C2920">
        <v>4</v>
      </c>
      <c r="D2920" t="s">
        <v>5</v>
      </c>
      <c r="F2920" t="str" cm="1">
        <f t="array" ref="F2920">CategorizeComment(E2920)</f>
        <v>Other</v>
      </c>
      <c r="G2920" t="str" cm="1">
        <f t="array" ref="G2920">SubCategorizeComment(E2920)</f>
        <v>Other</v>
      </c>
    </row>
    <row r="2921" spans="1:7" x14ac:dyDescent="0.25">
      <c r="A2921">
        <v>21868</v>
      </c>
      <c r="B2921" t="s">
        <v>4</v>
      </c>
      <c r="C2921">
        <v>4</v>
      </c>
      <c r="D2921" t="s">
        <v>5</v>
      </c>
      <c r="F2921" t="str" cm="1">
        <f t="array" ref="F2921">CategorizeComment(E2921)</f>
        <v>Other</v>
      </c>
      <c r="G2921" t="str" cm="1">
        <f t="array" ref="G2921">SubCategorizeComment(E2921)</f>
        <v>Other</v>
      </c>
    </row>
    <row r="2922" spans="1:7" x14ac:dyDescent="0.25">
      <c r="A2922">
        <v>21935</v>
      </c>
      <c r="B2922" t="s">
        <v>4</v>
      </c>
      <c r="C2922">
        <v>3</v>
      </c>
      <c r="D2922" t="s">
        <v>5</v>
      </c>
      <c r="F2922" t="str" cm="1">
        <f t="array" ref="F2922">CategorizeComment(E2922)</f>
        <v>Other</v>
      </c>
      <c r="G2922" t="str" cm="1">
        <f t="array" ref="G2922">SubCategorizeComment(E2922)</f>
        <v>Other</v>
      </c>
    </row>
    <row r="2923" spans="1:7" x14ac:dyDescent="0.25">
      <c r="A2923">
        <v>21944</v>
      </c>
      <c r="B2923" t="s">
        <v>4</v>
      </c>
      <c r="C2923">
        <v>3</v>
      </c>
      <c r="D2923" t="s">
        <v>5</v>
      </c>
      <c r="F2923" t="str" cm="1">
        <f t="array" ref="F2923">CategorizeComment(E2923)</f>
        <v>Other</v>
      </c>
      <c r="G2923" t="str" cm="1">
        <f t="array" ref="G2923">SubCategorizeComment(E2923)</f>
        <v>Other</v>
      </c>
    </row>
    <row r="2924" spans="1:7" x14ac:dyDescent="0.25">
      <c r="A2924">
        <v>21956</v>
      </c>
      <c r="B2924" t="s">
        <v>4</v>
      </c>
      <c r="C2924">
        <v>3</v>
      </c>
      <c r="D2924" t="s">
        <v>5</v>
      </c>
      <c r="F2924" t="str" cm="1">
        <f t="array" ref="F2924">CategorizeComment(E2924)</f>
        <v>Other</v>
      </c>
      <c r="G2924" t="str" cm="1">
        <f t="array" ref="G2924">SubCategorizeComment(E2924)</f>
        <v>Other</v>
      </c>
    </row>
    <row r="2925" spans="1:7" x14ac:dyDescent="0.25">
      <c r="A2925">
        <v>21961</v>
      </c>
      <c r="B2925" t="s">
        <v>4</v>
      </c>
      <c r="C2925">
        <v>3</v>
      </c>
      <c r="D2925" t="s">
        <v>5</v>
      </c>
      <c r="F2925" t="str" cm="1">
        <f t="array" ref="F2925">CategorizeComment(E2925)</f>
        <v>Other</v>
      </c>
      <c r="G2925" t="str" cm="1">
        <f t="array" ref="G2925">SubCategorizeComment(E2925)</f>
        <v>Other</v>
      </c>
    </row>
    <row r="2926" spans="1:7" x14ac:dyDescent="0.25">
      <c r="A2926">
        <v>21962</v>
      </c>
      <c r="B2926" t="s">
        <v>4</v>
      </c>
      <c r="C2926">
        <v>4</v>
      </c>
      <c r="D2926" t="s">
        <v>5</v>
      </c>
      <c r="F2926" t="str" cm="1">
        <f t="array" ref="F2926">CategorizeComment(E2926)</f>
        <v>Other</v>
      </c>
      <c r="G2926" t="str" cm="1">
        <f t="array" ref="G2926">SubCategorizeComment(E2926)</f>
        <v>Other</v>
      </c>
    </row>
    <row r="2927" spans="1:7" x14ac:dyDescent="0.25">
      <c r="A2927">
        <v>21969</v>
      </c>
      <c r="B2927" t="s">
        <v>4</v>
      </c>
      <c r="C2927">
        <v>4</v>
      </c>
      <c r="D2927" t="s">
        <v>5</v>
      </c>
      <c r="F2927" t="str" cm="1">
        <f t="array" ref="F2927">CategorizeComment(E2927)</f>
        <v>Other</v>
      </c>
      <c r="G2927" t="str" cm="1">
        <f t="array" ref="G2927">SubCategorizeComment(E2927)</f>
        <v>Other</v>
      </c>
    </row>
    <row r="2928" spans="1:7" x14ac:dyDescent="0.25">
      <c r="A2928">
        <v>21972</v>
      </c>
      <c r="B2928" t="s">
        <v>4</v>
      </c>
      <c r="C2928">
        <v>4</v>
      </c>
      <c r="D2928" t="s">
        <v>5</v>
      </c>
      <c r="F2928" t="str" cm="1">
        <f t="array" ref="F2928">CategorizeComment(E2928)</f>
        <v>Other</v>
      </c>
      <c r="G2928" t="str" cm="1">
        <f t="array" ref="G2928">SubCategorizeComment(E2928)</f>
        <v>Other</v>
      </c>
    </row>
    <row r="2929" spans="1:7" x14ac:dyDescent="0.25">
      <c r="A2929">
        <v>21996</v>
      </c>
      <c r="B2929" t="s">
        <v>4</v>
      </c>
      <c r="C2929">
        <v>3</v>
      </c>
      <c r="D2929" t="s">
        <v>5</v>
      </c>
      <c r="F2929" t="str" cm="1">
        <f t="array" ref="F2929">CategorizeComment(E2929)</f>
        <v>Other</v>
      </c>
      <c r="G2929" t="str" cm="1">
        <f t="array" ref="G2929">SubCategorizeComment(E2929)</f>
        <v>Other</v>
      </c>
    </row>
    <row r="2930" spans="1:7" x14ac:dyDescent="0.25">
      <c r="A2930">
        <v>22013</v>
      </c>
      <c r="B2930" t="s">
        <v>4</v>
      </c>
      <c r="C2930">
        <v>3</v>
      </c>
      <c r="D2930" t="s">
        <v>5</v>
      </c>
      <c r="F2930" t="str" cm="1">
        <f t="array" ref="F2930">CategorizeComment(E2930)</f>
        <v>Other</v>
      </c>
      <c r="G2930" t="str" cm="1">
        <f t="array" ref="G2930">SubCategorizeComment(E2930)</f>
        <v>Other</v>
      </c>
    </row>
    <row r="2931" spans="1:7" x14ac:dyDescent="0.25">
      <c r="A2931">
        <v>22018</v>
      </c>
      <c r="B2931" t="s">
        <v>4</v>
      </c>
      <c r="C2931">
        <v>4</v>
      </c>
      <c r="D2931" t="s">
        <v>5</v>
      </c>
      <c r="F2931" t="str" cm="1">
        <f t="array" ref="F2931">CategorizeComment(E2931)</f>
        <v>Other</v>
      </c>
      <c r="G2931" t="str" cm="1">
        <f t="array" ref="G2931">SubCategorizeComment(E2931)</f>
        <v>Other</v>
      </c>
    </row>
    <row r="2932" spans="1:7" x14ac:dyDescent="0.25">
      <c r="A2932">
        <v>22023</v>
      </c>
      <c r="B2932" t="s">
        <v>4</v>
      </c>
      <c r="C2932">
        <v>3</v>
      </c>
      <c r="D2932" t="s">
        <v>5</v>
      </c>
      <c r="F2932" t="str" cm="1">
        <f t="array" ref="F2932">CategorizeComment(E2932)</f>
        <v>Other</v>
      </c>
      <c r="G2932" t="str" cm="1">
        <f t="array" ref="G2932">SubCategorizeComment(E2932)</f>
        <v>Other</v>
      </c>
    </row>
    <row r="2933" spans="1:7" x14ac:dyDescent="0.25">
      <c r="A2933">
        <v>22030</v>
      </c>
      <c r="B2933" t="s">
        <v>4</v>
      </c>
      <c r="C2933">
        <v>4</v>
      </c>
      <c r="D2933" t="s">
        <v>5</v>
      </c>
      <c r="F2933" t="str" cm="1">
        <f t="array" ref="F2933">CategorizeComment(E2933)</f>
        <v>Other</v>
      </c>
      <c r="G2933" t="str" cm="1">
        <f t="array" ref="G2933">SubCategorizeComment(E2933)</f>
        <v>Other</v>
      </c>
    </row>
    <row r="2934" spans="1:7" x14ac:dyDescent="0.25">
      <c r="A2934">
        <v>22037</v>
      </c>
      <c r="B2934" t="s">
        <v>4</v>
      </c>
      <c r="C2934">
        <v>4</v>
      </c>
      <c r="D2934" t="s">
        <v>5</v>
      </c>
      <c r="F2934" t="str" cm="1">
        <f t="array" ref="F2934">CategorizeComment(E2934)</f>
        <v>Other</v>
      </c>
      <c r="G2934" t="str" cm="1">
        <f t="array" ref="G2934">SubCategorizeComment(E2934)</f>
        <v>Other</v>
      </c>
    </row>
    <row r="2935" spans="1:7" x14ac:dyDescent="0.25">
      <c r="A2935">
        <v>22040</v>
      </c>
      <c r="B2935" t="s">
        <v>4</v>
      </c>
      <c r="C2935">
        <v>4</v>
      </c>
      <c r="D2935" t="s">
        <v>5</v>
      </c>
      <c r="F2935" t="str" cm="1">
        <f t="array" ref="F2935">CategorizeComment(E2935)</f>
        <v>Other</v>
      </c>
      <c r="G2935" t="str" cm="1">
        <f t="array" ref="G2935">SubCategorizeComment(E2935)</f>
        <v>Other</v>
      </c>
    </row>
    <row r="2936" spans="1:7" x14ac:dyDescent="0.25">
      <c r="A2936">
        <v>22043</v>
      </c>
      <c r="B2936" t="s">
        <v>4</v>
      </c>
      <c r="C2936">
        <v>4</v>
      </c>
      <c r="D2936" t="s">
        <v>5</v>
      </c>
      <c r="F2936" t="str" cm="1">
        <f t="array" ref="F2936">CategorizeComment(E2936)</f>
        <v>Other</v>
      </c>
      <c r="G2936" t="str" cm="1">
        <f t="array" ref="G2936">SubCategorizeComment(E2936)</f>
        <v>Other</v>
      </c>
    </row>
    <row r="2937" spans="1:7" x14ac:dyDescent="0.25">
      <c r="A2937">
        <v>22046</v>
      </c>
      <c r="B2937" t="s">
        <v>4</v>
      </c>
      <c r="C2937">
        <v>3</v>
      </c>
      <c r="D2937" t="s">
        <v>5</v>
      </c>
      <c r="F2937" t="str" cm="1">
        <f t="array" ref="F2937">CategorizeComment(E2937)</f>
        <v>Other</v>
      </c>
      <c r="G2937" t="str" cm="1">
        <f t="array" ref="G2937">SubCategorizeComment(E2937)</f>
        <v>Other</v>
      </c>
    </row>
    <row r="2938" spans="1:7" x14ac:dyDescent="0.25">
      <c r="A2938">
        <v>22048</v>
      </c>
      <c r="B2938" t="s">
        <v>4</v>
      </c>
      <c r="C2938">
        <v>3</v>
      </c>
      <c r="D2938" t="s">
        <v>5</v>
      </c>
      <c r="F2938" t="str" cm="1">
        <f t="array" ref="F2938">CategorizeComment(E2938)</f>
        <v>Other</v>
      </c>
      <c r="G2938" t="str" cm="1">
        <f t="array" ref="G2938">SubCategorizeComment(E2938)</f>
        <v>Other</v>
      </c>
    </row>
    <row r="2939" spans="1:7" x14ac:dyDescent="0.25">
      <c r="A2939">
        <v>22055</v>
      </c>
      <c r="B2939" t="s">
        <v>4</v>
      </c>
      <c r="C2939">
        <v>3</v>
      </c>
      <c r="D2939" t="s">
        <v>5</v>
      </c>
      <c r="F2939" t="str" cm="1">
        <f t="array" ref="F2939">CategorizeComment(E2939)</f>
        <v>Other</v>
      </c>
      <c r="G2939" t="str" cm="1">
        <f t="array" ref="G2939">SubCategorizeComment(E2939)</f>
        <v>Other</v>
      </c>
    </row>
    <row r="2940" spans="1:7" x14ac:dyDescent="0.25">
      <c r="A2940">
        <v>22062</v>
      </c>
      <c r="B2940" t="s">
        <v>4</v>
      </c>
      <c r="C2940">
        <v>4</v>
      </c>
      <c r="D2940" t="s">
        <v>5</v>
      </c>
      <c r="F2940" t="str" cm="1">
        <f t="array" ref="F2940">CategorizeComment(E2940)</f>
        <v>Other</v>
      </c>
      <c r="G2940" t="str" cm="1">
        <f t="array" ref="G2940">SubCategorizeComment(E2940)</f>
        <v>Other</v>
      </c>
    </row>
    <row r="2941" spans="1:7" x14ac:dyDescent="0.25">
      <c r="A2941">
        <v>22076</v>
      </c>
      <c r="B2941" t="s">
        <v>4</v>
      </c>
      <c r="C2941">
        <v>4</v>
      </c>
      <c r="D2941" t="s">
        <v>5</v>
      </c>
      <c r="F2941" t="str" cm="1">
        <f t="array" ref="F2941">CategorizeComment(E2941)</f>
        <v>Other</v>
      </c>
      <c r="G2941" t="str" cm="1">
        <f t="array" ref="G2941">SubCategorizeComment(E2941)</f>
        <v>Other</v>
      </c>
    </row>
    <row r="2942" spans="1:7" x14ac:dyDescent="0.25">
      <c r="A2942">
        <v>22091</v>
      </c>
      <c r="B2942" t="s">
        <v>4</v>
      </c>
      <c r="C2942">
        <v>3</v>
      </c>
      <c r="D2942" t="s">
        <v>5</v>
      </c>
      <c r="F2942" t="str" cm="1">
        <f t="array" ref="F2942">CategorizeComment(E2942)</f>
        <v>Other</v>
      </c>
      <c r="G2942" t="str" cm="1">
        <f t="array" ref="G2942">SubCategorizeComment(E2942)</f>
        <v>Other</v>
      </c>
    </row>
    <row r="2943" spans="1:7" x14ac:dyDescent="0.25">
      <c r="A2943">
        <v>22107</v>
      </c>
      <c r="B2943" t="s">
        <v>4</v>
      </c>
      <c r="C2943">
        <v>3</v>
      </c>
      <c r="D2943" t="s">
        <v>5</v>
      </c>
      <c r="F2943" t="str" cm="1">
        <f t="array" ref="F2943">CategorizeComment(E2943)</f>
        <v>Other</v>
      </c>
      <c r="G2943" t="str" cm="1">
        <f t="array" ref="G2943">SubCategorizeComment(E2943)</f>
        <v>Other</v>
      </c>
    </row>
    <row r="2944" spans="1:7" x14ac:dyDescent="0.25">
      <c r="A2944">
        <v>22116</v>
      </c>
      <c r="B2944" t="s">
        <v>4</v>
      </c>
      <c r="C2944">
        <v>3</v>
      </c>
      <c r="D2944" t="s">
        <v>5</v>
      </c>
      <c r="F2944" t="str" cm="1">
        <f t="array" ref="F2944">CategorizeComment(E2944)</f>
        <v>Other</v>
      </c>
      <c r="G2944" t="str" cm="1">
        <f t="array" ref="G2944">SubCategorizeComment(E2944)</f>
        <v>Other</v>
      </c>
    </row>
    <row r="2945" spans="1:7" x14ac:dyDescent="0.25">
      <c r="A2945">
        <v>22132</v>
      </c>
      <c r="B2945" t="s">
        <v>4</v>
      </c>
      <c r="C2945">
        <v>3</v>
      </c>
      <c r="D2945" t="s">
        <v>5</v>
      </c>
      <c r="F2945" t="str" cm="1">
        <f t="array" ref="F2945">CategorizeComment(E2945)</f>
        <v>Other</v>
      </c>
      <c r="G2945" t="str" cm="1">
        <f t="array" ref="G2945">SubCategorizeComment(E2945)</f>
        <v>Other</v>
      </c>
    </row>
    <row r="2946" spans="1:7" x14ac:dyDescent="0.25">
      <c r="A2946">
        <v>22143</v>
      </c>
      <c r="B2946" t="s">
        <v>4</v>
      </c>
      <c r="C2946">
        <v>3</v>
      </c>
      <c r="D2946" t="s">
        <v>5</v>
      </c>
      <c r="F2946" t="str" cm="1">
        <f t="array" ref="F2946">CategorizeComment(E2946)</f>
        <v>Other</v>
      </c>
      <c r="G2946" t="str" cm="1">
        <f t="array" ref="G2946">SubCategorizeComment(E2946)</f>
        <v>Other</v>
      </c>
    </row>
    <row r="2947" spans="1:7" x14ac:dyDescent="0.25">
      <c r="A2947">
        <v>22145</v>
      </c>
      <c r="B2947" t="s">
        <v>4</v>
      </c>
      <c r="C2947">
        <v>4</v>
      </c>
      <c r="D2947" t="s">
        <v>5</v>
      </c>
      <c r="F2947" t="str" cm="1">
        <f t="array" ref="F2947">CategorizeComment(E2947)</f>
        <v>Other</v>
      </c>
      <c r="G2947" t="str" cm="1">
        <f t="array" ref="G2947">SubCategorizeComment(E2947)</f>
        <v>Other</v>
      </c>
    </row>
    <row r="2948" spans="1:7" x14ac:dyDescent="0.25">
      <c r="A2948">
        <v>22162</v>
      </c>
      <c r="B2948" t="s">
        <v>4</v>
      </c>
      <c r="C2948">
        <v>3</v>
      </c>
      <c r="D2948" t="s">
        <v>5</v>
      </c>
      <c r="F2948" t="str" cm="1">
        <f t="array" ref="F2948">CategorizeComment(E2948)</f>
        <v>Other</v>
      </c>
      <c r="G2948" t="str" cm="1">
        <f t="array" ref="G2948">SubCategorizeComment(E2948)</f>
        <v>Other</v>
      </c>
    </row>
    <row r="2949" spans="1:7" x14ac:dyDescent="0.25">
      <c r="A2949">
        <v>22165</v>
      </c>
      <c r="B2949" t="s">
        <v>4</v>
      </c>
      <c r="C2949">
        <v>3</v>
      </c>
      <c r="D2949" t="s">
        <v>5</v>
      </c>
      <c r="F2949" t="str" cm="1">
        <f t="array" ref="F2949">CategorizeComment(E2949)</f>
        <v>Other</v>
      </c>
      <c r="G2949" t="str" cm="1">
        <f t="array" ref="G2949">SubCategorizeComment(E2949)</f>
        <v>Other</v>
      </c>
    </row>
    <row r="2950" spans="1:7" x14ac:dyDescent="0.25">
      <c r="A2950">
        <v>22180</v>
      </c>
      <c r="B2950" t="s">
        <v>4</v>
      </c>
      <c r="C2950">
        <v>3</v>
      </c>
      <c r="D2950" t="s">
        <v>5</v>
      </c>
      <c r="F2950" t="str" cm="1">
        <f t="array" ref="F2950">CategorizeComment(E2950)</f>
        <v>Other</v>
      </c>
      <c r="G2950" t="str" cm="1">
        <f t="array" ref="G2950">SubCategorizeComment(E2950)</f>
        <v>Other</v>
      </c>
    </row>
    <row r="2951" spans="1:7" x14ac:dyDescent="0.25">
      <c r="A2951">
        <v>22182</v>
      </c>
      <c r="B2951" t="s">
        <v>4</v>
      </c>
      <c r="C2951">
        <v>4</v>
      </c>
      <c r="D2951" t="s">
        <v>5</v>
      </c>
      <c r="F2951" t="str" cm="1">
        <f t="array" ref="F2951">CategorizeComment(E2951)</f>
        <v>Other</v>
      </c>
      <c r="G2951" t="str" cm="1">
        <f t="array" ref="G2951">SubCategorizeComment(E2951)</f>
        <v>Other</v>
      </c>
    </row>
    <row r="2952" spans="1:7" x14ac:dyDescent="0.25">
      <c r="A2952">
        <v>22184</v>
      </c>
      <c r="B2952" t="s">
        <v>4</v>
      </c>
      <c r="C2952">
        <v>3</v>
      </c>
      <c r="D2952" t="s">
        <v>5</v>
      </c>
      <c r="F2952" t="str" cm="1">
        <f t="array" ref="F2952">CategorizeComment(E2952)</f>
        <v>Other</v>
      </c>
      <c r="G2952" t="str" cm="1">
        <f t="array" ref="G2952">SubCategorizeComment(E2952)</f>
        <v>Other</v>
      </c>
    </row>
    <row r="2953" spans="1:7" x14ac:dyDescent="0.25">
      <c r="A2953">
        <v>22186</v>
      </c>
      <c r="B2953" t="s">
        <v>4</v>
      </c>
      <c r="C2953">
        <v>3</v>
      </c>
      <c r="D2953" t="s">
        <v>5</v>
      </c>
      <c r="F2953" t="str" cm="1">
        <f t="array" ref="F2953">CategorizeComment(E2953)</f>
        <v>Other</v>
      </c>
      <c r="G2953" t="str" cm="1">
        <f t="array" ref="G2953">SubCategorizeComment(E2953)</f>
        <v>Other</v>
      </c>
    </row>
    <row r="2954" spans="1:7" x14ac:dyDescent="0.25">
      <c r="A2954">
        <v>22188</v>
      </c>
      <c r="B2954" t="s">
        <v>4</v>
      </c>
      <c r="C2954">
        <v>3</v>
      </c>
      <c r="D2954" t="s">
        <v>5</v>
      </c>
      <c r="F2954" t="str" cm="1">
        <f t="array" ref="F2954">CategorizeComment(E2954)</f>
        <v>Other</v>
      </c>
      <c r="G2954" t="str" cm="1">
        <f t="array" ref="G2954">SubCategorizeComment(E2954)</f>
        <v>Other</v>
      </c>
    </row>
    <row r="2955" spans="1:7" x14ac:dyDescent="0.25">
      <c r="A2955">
        <v>22191</v>
      </c>
      <c r="B2955" t="s">
        <v>4</v>
      </c>
      <c r="C2955">
        <v>4</v>
      </c>
      <c r="D2955" t="s">
        <v>5</v>
      </c>
      <c r="F2955" t="str" cm="1">
        <f t="array" ref="F2955">CategorizeComment(E2955)</f>
        <v>Other</v>
      </c>
      <c r="G2955" t="str" cm="1">
        <f t="array" ref="G2955">SubCategorizeComment(E2955)</f>
        <v>Other</v>
      </c>
    </row>
    <row r="2956" spans="1:7" x14ac:dyDescent="0.25">
      <c r="A2956">
        <v>22195</v>
      </c>
      <c r="B2956" t="s">
        <v>4</v>
      </c>
      <c r="C2956">
        <v>3</v>
      </c>
      <c r="D2956" t="s">
        <v>5</v>
      </c>
      <c r="F2956" t="str" cm="1">
        <f t="array" ref="F2956">CategorizeComment(E2956)</f>
        <v>Other</v>
      </c>
      <c r="G2956" t="str" cm="1">
        <f t="array" ref="G2956">SubCategorizeComment(E2956)</f>
        <v>Other</v>
      </c>
    </row>
    <row r="2957" spans="1:7" x14ac:dyDescent="0.25">
      <c r="A2957">
        <v>22202</v>
      </c>
      <c r="B2957" t="s">
        <v>4</v>
      </c>
      <c r="C2957">
        <v>4</v>
      </c>
      <c r="D2957" t="s">
        <v>5</v>
      </c>
      <c r="F2957" t="str" cm="1">
        <f t="array" ref="F2957">CategorizeComment(E2957)</f>
        <v>Other</v>
      </c>
      <c r="G2957" t="str" cm="1">
        <f t="array" ref="G2957">SubCategorizeComment(E2957)</f>
        <v>Other</v>
      </c>
    </row>
    <row r="2958" spans="1:7" x14ac:dyDescent="0.25">
      <c r="A2958">
        <v>22205</v>
      </c>
      <c r="B2958" t="s">
        <v>4</v>
      </c>
      <c r="C2958">
        <v>4</v>
      </c>
      <c r="D2958" t="s">
        <v>5</v>
      </c>
      <c r="F2958" t="str" cm="1">
        <f t="array" ref="F2958">CategorizeComment(E2958)</f>
        <v>Other</v>
      </c>
      <c r="G2958" t="str" cm="1">
        <f t="array" ref="G2958">SubCategorizeComment(E2958)</f>
        <v>Other</v>
      </c>
    </row>
    <row r="2959" spans="1:7" x14ac:dyDescent="0.25">
      <c r="A2959">
        <v>22251</v>
      </c>
      <c r="B2959" t="s">
        <v>4</v>
      </c>
      <c r="C2959">
        <v>3</v>
      </c>
      <c r="D2959" t="s">
        <v>5</v>
      </c>
      <c r="F2959" t="str" cm="1">
        <f t="array" ref="F2959">CategorizeComment(E2959)</f>
        <v>Other</v>
      </c>
      <c r="G2959" t="str" cm="1">
        <f t="array" ref="G2959">SubCategorizeComment(E2959)</f>
        <v>Other</v>
      </c>
    </row>
    <row r="2960" spans="1:7" x14ac:dyDescent="0.25">
      <c r="A2960">
        <v>22261</v>
      </c>
      <c r="B2960" t="s">
        <v>4</v>
      </c>
      <c r="C2960">
        <v>4</v>
      </c>
      <c r="D2960" t="s">
        <v>5</v>
      </c>
      <c r="F2960" t="str" cm="1">
        <f t="array" ref="F2960">CategorizeComment(E2960)</f>
        <v>Other</v>
      </c>
      <c r="G2960" t="str" cm="1">
        <f t="array" ref="G2960">SubCategorizeComment(E2960)</f>
        <v>Other</v>
      </c>
    </row>
    <row r="2961" spans="1:7" x14ac:dyDescent="0.25">
      <c r="A2961">
        <v>22312</v>
      </c>
      <c r="B2961" t="s">
        <v>4</v>
      </c>
      <c r="C2961">
        <v>3</v>
      </c>
      <c r="D2961" t="s">
        <v>5</v>
      </c>
      <c r="F2961" t="str" cm="1">
        <f t="array" ref="F2961">CategorizeComment(E2961)</f>
        <v>Other</v>
      </c>
      <c r="G2961" t="str" cm="1">
        <f t="array" ref="G2961">SubCategorizeComment(E2961)</f>
        <v>Other</v>
      </c>
    </row>
    <row r="2962" spans="1:7" x14ac:dyDescent="0.25">
      <c r="A2962">
        <v>22314</v>
      </c>
      <c r="B2962" t="s">
        <v>4</v>
      </c>
      <c r="C2962">
        <v>3</v>
      </c>
      <c r="D2962" t="s">
        <v>5</v>
      </c>
      <c r="F2962" t="str" cm="1">
        <f t="array" ref="F2962">CategorizeComment(E2962)</f>
        <v>Other</v>
      </c>
      <c r="G2962" t="str" cm="1">
        <f t="array" ref="G2962">SubCategorizeComment(E2962)</f>
        <v>Other</v>
      </c>
    </row>
    <row r="2963" spans="1:7" x14ac:dyDescent="0.25">
      <c r="A2963">
        <v>22329</v>
      </c>
      <c r="B2963" t="s">
        <v>4</v>
      </c>
      <c r="C2963">
        <v>3</v>
      </c>
      <c r="D2963" t="s">
        <v>5</v>
      </c>
      <c r="F2963" t="str" cm="1">
        <f t="array" ref="F2963">CategorizeComment(E2963)</f>
        <v>Other</v>
      </c>
      <c r="G2963" t="str" cm="1">
        <f t="array" ref="G2963">SubCategorizeComment(E2963)</f>
        <v>Other</v>
      </c>
    </row>
    <row r="2964" spans="1:7" x14ac:dyDescent="0.25">
      <c r="A2964">
        <v>22345</v>
      </c>
      <c r="B2964" t="s">
        <v>4</v>
      </c>
      <c r="C2964">
        <v>4</v>
      </c>
      <c r="D2964" t="s">
        <v>5</v>
      </c>
      <c r="F2964" t="str" cm="1">
        <f t="array" ref="F2964">CategorizeComment(E2964)</f>
        <v>Other</v>
      </c>
      <c r="G2964" t="str" cm="1">
        <f t="array" ref="G2964">SubCategorizeComment(E2964)</f>
        <v>Other</v>
      </c>
    </row>
    <row r="2965" spans="1:7" x14ac:dyDescent="0.25">
      <c r="A2965">
        <v>22351</v>
      </c>
      <c r="B2965" t="s">
        <v>4</v>
      </c>
      <c r="C2965">
        <v>4</v>
      </c>
      <c r="D2965" t="s">
        <v>5</v>
      </c>
      <c r="F2965" t="str" cm="1">
        <f t="array" ref="F2965">CategorizeComment(E2965)</f>
        <v>Other</v>
      </c>
      <c r="G2965" t="str" cm="1">
        <f t="array" ref="G2965">SubCategorizeComment(E2965)</f>
        <v>Other</v>
      </c>
    </row>
    <row r="2966" spans="1:7" x14ac:dyDescent="0.25">
      <c r="A2966">
        <v>22373</v>
      </c>
      <c r="B2966" t="s">
        <v>4</v>
      </c>
      <c r="C2966">
        <v>4</v>
      </c>
      <c r="D2966" t="s">
        <v>5</v>
      </c>
      <c r="F2966" t="str" cm="1">
        <f t="array" ref="F2966">CategorizeComment(E2966)</f>
        <v>Other</v>
      </c>
      <c r="G2966" t="str" cm="1">
        <f t="array" ref="G2966">SubCategorizeComment(E2966)</f>
        <v>Other</v>
      </c>
    </row>
    <row r="2967" spans="1:7" x14ac:dyDescent="0.25">
      <c r="A2967">
        <v>22379</v>
      </c>
      <c r="B2967" t="s">
        <v>4</v>
      </c>
      <c r="C2967">
        <v>3</v>
      </c>
      <c r="D2967" t="s">
        <v>5</v>
      </c>
      <c r="F2967" t="str" cm="1">
        <f t="array" ref="F2967">CategorizeComment(E2967)</f>
        <v>Other</v>
      </c>
      <c r="G2967" t="str" cm="1">
        <f t="array" ref="G2967">SubCategorizeComment(E2967)</f>
        <v>Other</v>
      </c>
    </row>
    <row r="2968" spans="1:7" x14ac:dyDescent="0.25">
      <c r="A2968">
        <v>22388</v>
      </c>
      <c r="B2968" t="s">
        <v>4</v>
      </c>
      <c r="C2968">
        <v>3</v>
      </c>
      <c r="D2968" t="s">
        <v>5</v>
      </c>
      <c r="F2968" t="str" cm="1">
        <f t="array" ref="F2968">CategorizeComment(E2968)</f>
        <v>Other</v>
      </c>
      <c r="G2968" t="str" cm="1">
        <f t="array" ref="G2968">SubCategorizeComment(E2968)</f>
        <v>Other</v>
      </c>
    </row>
    <row r="2969" spans="1:7" x14ac:dyDescent="0.25">
      <c r="A2969">
        <v>22397</v>
      </c>
      <c r="B2969" t="s">
        <v>4</v>
      </c>
      <c r="C2969">
        <v>3</v>
      </c>
      <c r="D2969" t="s">
        <v>5</v>
      </c>
      <c r="F2969" t="str" cm="1">
        <f t="array" ref="F2969">CategorizeComment(E2969)</f>
        <v>Other</v>
      </c>
      <c r="G2969" t="str" cm="1">
        <f t="array" ref="G2969">SubCategorizeComment(E2969)</f>
        <v>Other</v>
      </c>
    </row>
    <row r="2970" spans="1:7" x14ac:dyDescent="0.25">
      <c r="A2970">
        <v>22417</v>
      </c>
      <c r="B2970" t="s">
        <v>4</v>
      </c>
      <c r="C2970">
        <v>4</v>
      </c>
      <c r="D2970" t="s">
        <v>5</v>
      </c>
      <c r="F2970" t="str" cm="1">
        <f t="array" ref="F2970">CategorizeComment(E2970)</f>
        <v>Other</v>
      </c>
      <c r="G2970" t="str" cm="1">
        <f t="array" ref="G2970">SubCategorizeComment(E2970)</f>
        <v>Other</v>
      </c>
    </row>
    <row r="2971" spans="1:7" x14ac:dyDescent="0.25">
      <c r="A2971">
        <v>22430</v>
      </c>
      <c r="B2971" t="s">
        <v>4</v>
      </c>
      <c r="C2971">
        <v>4</v>
      </c>
      <c r="D2971" t="s">
        <v>5</v>
      </c>
      <c r="F2971" t="str" cm="1">
        <f t="array" ref="F2971">CategorizeComment(E2971)</f>
        <v>Other</v>
      </c>
      <c r="G2971" t="str" cm="1">
        <f t="array" ref="G2971">SubCategorizeComment(E2971)</f>
        <v>Other</v>
      </c>
    </row>
    <row r="2972" spans="1:7" x14ac:dyDescent="0.25">
      <c r="A2972">
        <v>22431</v>
      </c>
      <c r="B2972" t="s">
        <v>4</v>
      </c>
      <c r="C2972">
        <v>4</v>
      </c>
      <c r="D2972" t="s">
        <v>5</v>
      </c>
      <c r="F2972" t="str" cm="1">
        <f t="array" ref="F2972">CategorizeComment(E2972)</f>
        <v>Other</v>
      </c>
      <c r="G2972" t="str" cm="1">
        <f t="array" ref="G2972">SubCategorizeComment(E2972)</f>
        <v>Other</v>
      </c>
    </row>
    <row r="2973" spans="1:7" x14ac:dyDescent="0.25">
      <c r="A2973">
        <v>22437</v>
      </c>
      <c r="B2973" t="s">
        <v>4</v>
      </c>
      <c r="C2973">
        <v>3</v>
      </c>
      <c r="D2973" t="s">
        <v>5</v>
      </c>
      <c r="F2973" t="str" cm="1">
        <f t="array" ref="F2973">CategorizeComment(E2973)</f>
        <v>Other</v>
      </c>
      <c r="G2973" t="str" cm="1">
        <f t="array" ref="G2973">SubCategorizeComment(E2973)</f>
        <v>Other</v>
      </c>
    </row>
    <row r="2974" spans="1:7" x14ac:dyDescent="0.25">
      <c r="A2974">
        <v>22439</v>
      </c>
      <c r="B2974" t="s">
        <v>4</v>
      </c>
      <c r="C2974">
        <v>3</v>
      </c>
      <c r="D2974" t="s">
        <v>5</v>
      </c>
      <c r="F2974" t="str" cm="1">
        <f t="array" ref="F2974">CategorizeComment(E2974)</f>
        <v>Other</v>
      </c>
      <c r="G2974" t="str" cm="1">
        <f t="array" ref="G2974">SubCategorizeComment(E2974)</f>
        <v>Other</v>
      </c>
    </row>
    <row r="2975" spans="1:7" x14ac:dyDescent="0.25">
      <c r="A2975">
        <v>22442</v>
      </c>
      <c r="B2975" t="s">
        <v>4</v>
      </c>
      <c r="C2975">
        <v>3</v>
      </c>
      <c r="D2975" t="s">
        <v>5</v>
      </c>
      <c r="F2975" t="str" cm="1">
        <f t="array" ref="F2975">CategorizeComment(E2975)</f>
        <v>Other</v>
      </c>
      <c r="G2975" t="str" cm="1">
        <f t="array" ref="G2975">SubCategorizeComment(E2975)</f>
        <v>Other</v>
      </c>
    </row>
    <row r="2976" spans="1:7" x14ac:dyDescent="0.25">
      <c r="A2976">
        <v>22444</v>
      </c>
      <c r="B2976" t="s">
        <v>4</v>
      </c>
      <c r="C2976">
        <v>3</v>
      </c>
      <c r="D2976" t="s">
        <v>5</v>
      </c>
      <c r="F2976" t="str" cm="1">
        <f t="array" ref="F2976">CategorizeComment(E2976)</f>
        <v>Other</v>
      </c>
      <c r="G2976" t="str" cm="1">
        <f t="array" ref="G2976">SubCategorizeComment(E2976)</f>
        <v>Other</v>
      </c>
    </row>
    <row r="2977" spans="1:7" x14ac:dyDescent="0.25">
      <c r="A2977">
        <v>22445</v>
      </c>
      <c r="B2977" t="s">
        <v>4</v>
      </c>
      <c r="C2977">
        <v>4</v>
      </c>
      <c r="D2977" t="s">
        <v>5</v>
      </c>
      <c r="F2977" t="str" cm="1">
        <f t="array" ref="F2977">CategorizeComment(E2977)</f>
        <v>Other</v>
      </c>
      <c r="G2977" t="str" cm="1">
        <f t="array" ref="G2977">SubCategorizeComment(E2977)</f>
        <v>Other</v>
      </c>
    </row>
    <row r="2978" spans="1:7" x14ac:dyDescent="0.25">
      <c r="A2978">
        <v>22463</v>
      </c>
      <c r="B2978" t="s">
        <v>4</v>
      </c>
      <c r="C2978">
        <v>3</v>
      </c>
      <c r="D2978" t="s">
        <v>5</v>
      </c>
      <c r="F2978" t="str" cm="1">
        <f t="array" ref="F2978">CategorizeComment(E2978)</f>
        <v>Other</v>
      </c>
      <c r="G2978" t="str" cm="1">
        <f t="array" ref="G2978">SubCategorizeComment(E2978)</f>
        <v>Other</v>
      </c>
    </row>
    <row r="2979" spans="1:7" x14ac:dyDescent="0.25">
      <c r="A2979">
        <v>22468</v>
      </c>
      <c r="B2979" t="s">
        <v>4</v>
      </c>
      <c r="C2979">
        <v>3</v>
      </c>
      <c r="D2979" t="s">
        <v>5</v>
      </c>
      <c r="F2979" t="str" cm="1">
        <f t="array" ref="F2979">CategorizeComment(E2979)</f>
        <v>Other</v>
      </c>
      <c r="G2979" t="str" cm="1">
        <f t="array" ref="G2979">SubCategorizeComment(E2979)</f>
        <v>Other</v>
      </c>
    </row>
    <row r="2980" spans="1:7" x14ac:dyDescent="0.25">
      <c r="A2980">
        <v>22469</v>
      </c>
      <c r="B2980" t="s">
        <v>4</v>
      </c>
      <c r="C2980">
        <v>3</v>
      </c>
      <c r="D2980" t="s">
        <v>5</v>
      </c>
      <c r="F2980" t="str" cm="1">
        <f t="array" ref="F2980">CategorizeComment(E2980)</f>
        <v>Other</v>
      </c>
      <c r="G2980" t="str" cm="1">
        <f t="array" ref="G2980">SubCategorizeComment(E2980)</f>
        <v>Other</v>
      </c>
    </row>
    <row r="2981" spans="1:7" x14ac:dyDescent="0.25">
      <c r="A2981">
        <v>22471</v>
      </c>
      <c r="B2981" t="s">
        <v>4</v>
      </c>
      <c r="C2981">
        <v>3</v>
      </c>
      <c r="D2981" t="s">
        <v>5</v>
      </c>
      <c r="F2981" t="str" cm="1">
        <f t="array" ref="F2981">CategorizeComment(E2981)</f>
        <v>Other</v>
      </c>
      <c r="G2981" t="str" cm="1">
        <f t="array" ref="G2981">SubCategorizeComment(E2981)</f>
        <v>Other</v>
      </c>
    </row>
    <row r="2982" spans="1:7" x14ac:dyDescent="0.25">
      <c r="A2982">
        <v>22475</v>
      </c>
      <c r="B2982" t="s">
        <v>4</v>
      </c>
      <c r="C2982">
        <v>4</v>
      </c>
      <c r="D2982" t="s">
        <v>5</v>
      </c>
      <c r="F2982" t="str" cm="1">
        <f t="array" ref="F2982">CategorizeComment(E2982)</f>
        <v>Other</v>
      </c>
      <c r="G2982" t="str" cm="1">
        <f t="array" ref="G2982">SubCategorizeComment(E2982)</f>
        <v>Other</v>
      </c>
    </row>
    <row r="2983" spans="1:7" x14ac:dyDescent="0.25">
      <c r="A2983">
        <v>22481</v>
      </c>
      <c r="B2983" t="s">
        <v>4</v>
      </c>
      <c r="C2983">
        <v>4</v>
      </c>
      <c r="D2983" t="s">
        <v>5</v>
      </c>
      <c r="F2983" t="str" cm="1">
        <f t="array" ref="F2983">CategorizeComment(E2983)</f>
        <v>Other</v>
      </c>
      <c r="G2983" t="str" cm="1">
        <f t="array" ref="G2983">SubCategorizeComment(E2983)</f>
        <v>Other</v>
      </c>
    </row>
    <row r="2984" spans="1:7" x14ac:dyDescent="0.25">
      <c r="A2984">
        <v>22490</v>
      </c>
      <c r="B2984" t="s">
        <v>4</v>
      </c>
      <c r="C2984">
        <v>4</v>
      </c>
      <c r="D2984" t="s">
        <v>5</v>
      </c>
      <c r="F2984" t="str" cm="1">
        <f t="array" ref="F2984">CategorizeComment(E2984)</f>
        <v>Other</v>
      </c>
      <c r="G2984" t="str" cm="1">
        <f t="array" ref="G2984">SubCategorizeComment(E2984)</f>
        <v>Other</v>
      </c>
    </row>
    <row r="2985" spans="1:7" x14ac:dyDescent="0.25">
      <c r="A2985">
        <v>22492</v>
      </c>
      <c r="B2985" t="s">
        <v>4</v>
      </c>
      <c r="C2985">
        <v>3</v>
      </c>
      <c r="D2985" t="s">
        <v>5</v>
      </c>
      <c r="F2985" t="str" cm="1">
        <f t="array" ref="F2985">CategorizeComment(E2985)</f>
        <v>Other</v>
      </c>
      <c r="G2985" t="str" cm="1">
        <f t="array" ref="G2985">SubCategorizeComment(E2985)</f>
        <v>Other</v>
      </c>
    </row>
    <row r="2986" spans="1:7" x14ac:dyDescent="0.25">
      <c r="A2986">
        <v>22494</v>
      </c>
      <c r="B2986" t="s">
        <v>4</v>
      </c>
      <c r="C2986">
        <v>3</v>
      </c>
      <c r="D2986" t="s">
        <v>5</v>
      </c>
      <c r="F2986" t="str" cm="1">
        <f t="array" ref="F2986">CategorizeComment(E2986)</f>
        <v>Other</v>
      </c>
      <c r="G2986" t="str" cm="1">
        <f t="array" ref="G2986">SubCategorizeComment(E2986)</f>
        <v>Other</v>
      </c>
    </row>
    <row r="2987" spans="1:7" x14ac:dyDescent="0.25">
      <c r="A2987">
        <v>22503</v>
      </c>
      <c r="B2987" t="s">
        <v>4</v>
      </c>
      <c r="C2987">
        <v>4</v>
      </c>
      <c r="D2987" t="s">
        <v>5</v>
      </c>
      <c r="F2987" t="str" cm="1">
        <f t="array" ref="F2987">CategorizeComment(E2987)</f>
        <v>Other</v>
      </c>
      <c r="G2987" t="str" cm="1">
        <f t="array" ref="G2987">SubCategorizeComment(E2987)</f>
        <v>Other</v>
      </c>
    </row>
    <row r="2988" spans="1:7" x14ac:dyDescent="0.25">
      <c r="A2988">
        <v>22521</v>
      </c>
      <c r="B2988" t="s">
        <v>4</v>
      </c>
      <c r="C2988">
        <v>3</v>
      </c>
      <c r="D2988" t="s">
        <v>5</v>
      </c>
      <c r="F2988" t="str" cm="1">
        <f t="array" ref="F2988">CategorizeComment(E2988)</f>
        <v>Other</v>
      </c>
      <c r="G2988" t="str" cm="1">
        <f t="array" ref="G2988">SubCategorizeComment(E2988)</f>
        <v>Other</v>
      </c>
    </row>
    <row r="2989" spans="1:7" x14ac:dyDescent="0.25">
      <c r="A2989">
        <v>22523</v>
      </c>
      <c r="B2989" t="s">
        <v>4</v>
      </c>
      <c r="C2989">
        <v>4</v>
      </c>
      <c r="D2989" t="s">
        <v>5</v>
      </c>
      <c r="F2989" t="str" cm="1">
        <f t="array" ref="F2989">CategorizeComment(E2989)</f>
        <v>Other</v>
      </c>
      <c r="G2989" t="str" cm="1">
        <f t="array" ref="G2989">SubCategorizeComment(E2989)</f>
        <v>Other</v>
      </c>
    </row>
    <row r="2990" spans="1:7" x14ac:dyDescent="0.25">
      <c r="A2990">
        <v>22528</v>
      </c>
      <c r="B2990" t="s">
        <v>4</v>
      </c>
      <c r="C2990">
        <v>3</v>
      </c>
      <c r="D2990" t="s">
        <v>5</v>
      </c>
      <c r="F2990" t="str" cm="1">
        <f t="array" ref="F2990">CategorizeComment(E2990)</f>
        <v>Other</v>
      </c>
      <c r="G2990" t="str" cm="1">
        <f t="array" ref="G2990">SubCategorizeComment(E2990)</f>
        <v>Other</v>
      </c>
    </row>
    <row r="2991" spans="1:7" x14ac:dyDescent="0.25">
      <c r="A2991">
        <v>22530</v>
      </c>
      <c r="B2991" t="s">
        <v>4</v>
      </c>
      <c r="C2991">
        <v>4</v>
      </c>
      <c r="D2991" t="s">
        <v>5</v>
      </c>
      <c r="F2991" t="str" cm="1">
        <f t="array" ref="F2991">CategorizeComment(E2991)</f>
        <v>Other</v>
      </c>
      <c r="G2991" t="str" cm="1">
        <f t="array" ref="G2991">SubCategorizeComment(E2991)</f>
        <v>Other</v>
      </c>
    </row>
    <row r="2992" spans="1:7" x14ac:dyDescent="0.25">
      <c r="A2992">
        <v>22534</v>
      </c>
      <c r="B2992" t="s">
        <v>4</v>
      </c>
      <c r="C2992">
        <v>4</v>
      </c>
      <c r="D2992" t="s">
        <v>5</v>
      </c>
      <c r="F2992" t="str" cm="1">
        <f t="array" ref="F2992">CategorizeComment(E2992)</f>
        <v>Other</v>
      </c>
      <c r="G2992" t="str" cm="1">
        <f t="array" ref="G2992">SubCategorizeComment(E2992)</f>
        <v>Other</v>
      </c>
    </row>
    <row r="2993" spans="1:7" x14ac:dyDescent="0.25">
      <c r="A2993">
        <v>22535</v>
      </c>
      <c r="B2993" t="s">
        <v>4</v>
      </c>
      <c r="C2993">
        <v>3</v>
      </c>
      <c r="D2993" t="s">
        <v>5</v>
      </c>
      <c r="F2993" t="str" cm="1">
        <f t="array" ref="F2993">CategorizeComment(E2993)</f>
        <v>Other</v>
      </c>
      <c r="G2993" t="str" cm="1">
        <f t="array" ref="G2993">SubCategorizeComment(E2993)</f>
        <v>Other</v>
      </c>
    </row>
    <row r="2994" spans="1:7" x14ac:dyDescent="0.25">
      <c r="A2994">
        <v>22552</v>
      </c>
      <c r="B2994" t="s">
        <v>4</v>
      </c>
      <c r="C2994">
        <v>4</v>
      </c>
      <c r="D2994" t="s">
        <v>5</v>
      </c>
      <c r="F2994" t="str" cm="1">
        <f t="array" ref="F2994">CategorizeComment(E2994)</f>
        <v>Other</v>
      </c>
      <c r="G2994" t="str" cm="1">
        <f t="array" ref="G2994">SubCategorizeComment(E2994)</f>
        <v>Other</v>
      </c>
    </row>
    <row r="2995" spans="1:7" x14ac:dyDescent="0.25">
      <c r="A2995">
        <v>22558</v>
      </c>
      <c r="B2995" t="s">
        <v>4</v>
      </c>
      <c r="C2995">
        <v>4</v>
      </c>
      <c r="D2995" t="s">
        <v>5</v>
      </c>
      <c r="F2995" t="str" cm="1">
        <f t="array" ref="F2995">CategorizeComment(E2995)</f>
        <v>Other</v>
      </c>
      <c r="G2995" t="str" cm="1">
        <f t="array" ref="G2995">SubCategorizeComment(E2995)</f>
        <v>Other</v>
      </c>
    </row>
    <row r="2996" spans="1:7" x14ac:dyDescent="0.25">
      <c r="A2996">
        <v>22562</v>
      </c>
      <c r="B2996" t="s">
        <v>4</v>
      </c>
      <c r="C2996">
        <v>4</v>
      </c>
      <c r="D2996" t="s">
        <v>5</v>
      </c>
      <c r="F2996" t="str" cm="1">
        <f t="array" ref="F2996">CategorizeComment(E2996)</f>
        <v>Other</v>
      </c>
      <c r="G2996" t="str" cm="1">
        <f t="array" ref="G2996">SubCategorizeComment(E2996)</f>
        <v>Other</v>
      </c>
    </row>
    <row r="2997" spans="1:7" x14ac:dyDescent="0.25">
      <c r="A2997">
        <v>22604</v>
      </c>
      <c r="B2997" t="s">
        <v>4</v>
      </c>
      <c r="C2997">
        <v>4</v>
      </c>
      <c r="D2997" t="s">
        <v>5</v>
      </c>
      <c r="F2997" t="str" cm="1">
        <f t="array" ref="F2997">CategorizeComment(E2997)</f>
        <v>Other</v>
      </c>
      <c r="G2997" t="str" cm="1">
        <f t="array" ref="G2997">SubCategorizeComment(E2997)</f>
        <v>Other</v>
      </c>
    </row>
    <row r="2998" spans="1:7" x14ac:dyDescent="0.25">
      <c r="A2998">
        <v>22607</v>
      </c>
      <c r="B2998" t="s">
        <v>4</v>
      </c>
      <c r="C2998">
        <v>4</v>
      </c>
      <c r="D2998" t="s">
        <v>5</v>
      </c>
      <c r="F2998" t="str" cm="1">
        <f t="array" ref="F2998">CategorizeComment(E2998)</f>
        <v>Other</v>
      </c>
      <c r="G2998" t="str" cm="1">
        <f t="array" ref="G2998">SubCategorizeComment(E2998)</f>
        <v>Other</v>
      </c>
    </row>
    <row r="2999" spans="1:7" x14ac:dyDescent="0.25">
      <c r="A2999">
        <v>22617</v>
      </c>
      <c r="B2999" t="s">
        <v>4</v>
      </c>
      <c r="C2999">
        <v>3</v>
      </c>
      <c r="D2999" t="s">
        <v>5</v>
      </c>
      <c r="F2999" t="str" cm="1">
        <f t="array" ref="F2999">CategorizeComment(E2999)</f>
        <v>Other</v>
      </c>
      <c r="G2999" t="str" cm="1">
        <f t="array" ref="G2999">SubCategorizeComment(E2999)</f>
        <v>Other</v>
      </c>
    </row>
    <row r="3000" spans="1:7" x14ac:dyDescent="0.25">
      <c r="A3000">
        <v>22620</v>
      </c>
      <c r="B3000" t="s">
        <v>4</v>
      </c>
      <c r="C3000">
        <v>3</v>
      </c>
      <c r="D3000" t="s">
        <v>5</v>
      </c>
      <c r="F3000" t="str" cm="1">
        <f t="array" ref="F3000">CategorizeComment(E3000)</f>
        <v>Other</v>
      </c>
      <c r="G3000" t="str" cm="1">
        <f t="array" ref="G3000">SubCategorizeComment(E3000)</f>
        <v>Other</v>
      </c>
    </row>
    <row r="3001" spans="1:7" x14ac:dyDescent="0.25">
      <c r="A3001">
        <v>22623</v>
      </c>
      <c r="B3001" t="s">
        <v>4</v>
      </c>
      <c r="C3001">
        <v>3</v>
      </c>
      <c r="D3001" t="s">
        <v>5</v>
      </c>
      <c r="F3001" t="str" cm="1">
        <f t="array" ref="F3001">CategorizeComment(E3001)</f>
        <v>Other</v>
      </c>
      <c r="G3001" t="str" cm="1">
        <f t="array" ref="G3001">SubCategorizeComment(E3001)</f>
        <v>Other</v>
      </c>
    </row>
    <row r="3002" spans="1:7" x14ac:dyDescent="0.25">
      <c r="A3002">
        <v>22639</v>
      </c>
      <c r="B3002" t="s">
        <v>4</v>
      </c>
      <c r="C3002">
        <v>3</v>
      </c>
      <c r="D3002" t="s">
        <v>5</v>
      </c>
      <c r="F3002" t="str" cm="1">
        <f t="array" ref="F3002">CategorizeComment(E3002)</f>
        <v>Other</v>
      </c>
      <c r="G3002" t="str" cm="1">
        <f t="array" ref="G3002">SubCategorizeComment(E3002)</f>
        <v>Other</v>
      </c>
    </row>
    <row r="3003" spans="1:7" x14ac:dyDescent="0.25">
      <c r="A3003">
        <v>22658</v>
      </c>
      <c r="B3003" t="s">
        <v>4</v>
      </c>
      <c r="C3003">
        <v>3</v>
      </c>
      <c r="D3003" t="s">
        <v>5</v>
      </c>
      <c r="F3003" t="str" cm="1">
        <f t="array" ref="F3003">CategorizeComment(E3003)</f>
        <v>Other</v>
      </c>
      <c r="G3003" t="str" cm="1">
        <f t="array" ref="G3003">SubCategorizeComment(E3003)</f>
        <v>Other</v>
      </c>
    </row>
    <row r="3004" spans="1:7" x14ac:dyDescent="0.25">
      <c r="A3004">
        <v>22672</v>
      </c>
      <c r="B3004" t="s">
        <v>4</v>
      </c>
      <c r="C3004">
        <v>3</v>
      </c>
      <c r="D3004" t="s">
        <v>5</v>
      </c>
      <c r="F3004" t="str" cm="1">
        <f t="array" ref="F3004">CategorizeComment(E3004)</f>
        <v>Other</v>
      </c>
      <c r="G3004" t="str" cm="1">
        <f t="array" ref="G3004">SubCategorizeComment(E3004)</f>
        <v>Other</v>
      </c>
    </row>
    <row r="3005" spans="1:7" x14ac:dyDescent="0.25">
      <c r="A3005">
        <v>22687</v>
      </c>
      <c r="B3005" t="s">
        <v>4</v>
      </c>
      <c r="C3005">
        <v>4</v>
      </c>
      <c r="D3005" t="s">
        <v>5</v>
      </c>
      <c r="F3005" t="str" cm="1">
        <f t="array" ref="F3005">CategorizeComment(E3005)</f>
        <v>Other</v>
      </c>
      <c r="G3005" t="str" cm="1">
        <f t="array" ref="G3005">SubCategorizeComment(E3005)</f>
        <v>Other</v>
      </c>
    </row>
    <row r="3006" spans="1:7" x14ac:dyDescent="0.25">
      <c r="A3006">
        <v>22689</v>
      </c>
      <c r="B3006" t="s">
        <v>4</v>
      </c>
      <c r="C3006">
        <v>4</v>
      </c>
      <c r="D3006" t="s">
        <v>5</v>
      </c>
      <c r="F3006" t="str" cm="1">
        <f t="array" ref="F3006">CategorizeComment(E3006)</f>
        <v>Other</v>
      </c>
      <c r="G3006" t="str" cm="1">
        <f t="array" ref="G3006">SubCategorizeComment(E3006)</f>
        <v>Other</v>
      </c>
    </row>
    <row r="3007" spans="1:7" x14ac:dyDescent="0.25">
      <c r="A3007">
        <v>22738</v>
      </c>
      <c r="B3007" t="s">
        <v>4</v>
      </c>
      <c r="C3007">
        <v>3</v>
      </c>
      <c r="D3007" t="s">
        <v>5</v>
      </c>
      <c r="F3007" t="str" cm="1">
        <f t="array" ref="F3007">CategorizeComment(E3007)</f>
        <v>Other</v>
      </c>
      <c r="G3007" t="str" cm="1">
        <f t="array" ref="G3007">SubCategorizeComment(E3007)</f>
        <v>Other</v>
      </c>
    </row>
    <row r="3008" spans="1:7" x14ac:dyDescent="0.25">
      <c r="A3008">
        <v>22740</v>
      </c>
      <c r="B3008" t="s">
        <v>4</v>
      </c>
      <c r="C3008">
        <v>4</v>
      </c>
      <c r="D3008" t="s">
        <v>5</v>
      </c>
      <c r="F3008" t="str" cm="1">
        <f t="array" ref="F3008">CategorizeComment(E3008)</f>
        <v>Other</v>
      </c>
      <c r="G3008" t="str" cm="1">
        <f t="array" ref="G3008">SubCategorizeComment(E3008)</f>
        <v>Other</v>
      </c>
    </row>
    <row r="3009" spans="1:7" x14ac:dyDescent="0.25">
      <c r="A3009">
        <v>22791</v>
      </c>
      <c r="B3009" t="s">
        <v>4</v>
      </c>
      <c r="C3009">
        <v>4</v>
      </c>
      <c r="D3009" t="s">
        <v>5</v>
      </c>
      <c r="F3009" t="str" cm="1">
        <f t="array" ref="F3009">CategorizeComment(E3009)</f>
        <v>Other</v>
      </c>
      <c r="G3009" t="str" cm="1">
        <f t="array" ref="G3009">SubCategorizeComment(E3009)</f>
        <v>Other</v>
      </c>
    </row>
    <row r="3010" spans="1:7" x14ac:dyDescent="0.25">
      <c r="A3010">
        <v>22797</v>
      </c>
      <c r="B3010" t="s">
        <v>4</v>
      </c>
      <c r="C3010">
        <v>3</v>
      </c>
      <c r="D3010" t="s">
        <v>5</v>
      </c>
      <c r="F3010" t="str" cm="1">
        <f t="array" ref="F3010">CategorizeComment(E3010)</f>
        <v>Other</v>
      </c>
      <c r="G3010" t="str" cm="1">
        <f t="array" ref="G3010">SubCategorizeComment(E3010)</f>
        <v>Other</v>
      </c>
    </row>
    <row r="3011" spans="1:7" x14ac:dyDescent="0.25">
      <c r="A3011">
        <v>22818</v>
      </c>
      <c r="B3011" t="s">
        <v>4</v>
      </c>
      <c r="C3011">
        <v>4</v>
      </c>
      <c r="D3011" t="s">
        <v>5</v>
      </c>
      <c r="F3011" t="str" cm="1">
        <f t="array" ref="F3011">CategorizeComment(E3011)</f>
        <v>Other</v>
      </c>
      <c r="G3011" t="str" cm="1">
        <f t="array" ref="G3011">SubCategorizeComment(E3011)</f>
        <v>Other</v>
      </c>
    </row>
    <row r="3012" spans="1:7" x14ac:dyDescent="0.25">
      <c r="A3012">
        <v>22820</v>
      </c>
      <c r="B3012" t="s">
        <v>4</v>
      </c>
      <c r="C3012">
        <v>3</v>
      </c>
      <c r="D3012" t="s">
        <v>5</v>
      </c>
      <c r="F3012" t="str" cm="1">
        <f t="array" ref="F3012">CategorizeComment(E3012)</f>
        <v>Other</v>
      </c>
      <c r="G3012" t="str" cm="1">
        <f t="array" ref="G3012">SubCategorizeComment(E3012)</f>
        <v>Other</v>
      </c>
    </row>
    <row r="3013" spans="1:7" x14ac:dyDescent="0.25">
      <c r="A3013">
        <v>22824</v>
      </c>
      <c r="B3013" t="s">
        <v>4</v>
      </c>
      <c r="C3013">
        <v>3</v>
      </c>
      <c r="D3013" t="s">
        <v>5</v>
      </c>
      <c r="F3013" t="str" cm="1">
        <f t="array" ref="F3013">CategorizeComment(E3013)</f>
        <v>Other</v>
      </c>
      <c r="G3013" t="str" cm="1">
        <f t="array" ref="G3013">SubCategorizeComment(E3013)</f>
        <v>Other</v>
      </c>
    </row>
    <row r="3014" spans="1:7" x14ac:dyDescent="0.25">
      <c r="A3014">
        <v>22837</v>
      </c>
      <c r="B3014" t="s">
        <v>4</v>
      </c>
      <c r="C3014">
        <v>3</v>
      </c>
      <c r="D3014" t="s">
        <v>5</v>
      </c>
      <c r="F3014" t="str" cm="1">
        <f t="array" ref="F3014">CategorizeComment(E3014)</f>
        <v>Other</v>
      </c>
      <c r="G3014" t="str" cm="1">
        <f t="array" ref="G3014">SubCategorizeComment(E3014)</f>
        <v>Other</v>
      </c>
    </row>
    <row r="3015" spans="1:7" x14ac:dyDescent="0.25">
      <c r="A3015">
        <v>22868</v>
      </c>
      <c r="B3015" t="s">
        <v>4</v>
      </c>
      <c r="C3015">
        <v>3</v>
      </c>
      <c r="D3015" t="s">
        <v>5</v>
      </c>
      <c r="F3015" t="str" cm="1">
        <f t="array" ref="F3015">CategorizeComment(E3015)</f>
        <v>Other</v>
      </c>
      <c r="G3015" t="str" cm="1">
        <f t="array" ref="G3015">SubCategorizeComment(E3015)</f>
        <v>Other</v>
      </c>
    </row>
    <row r="3016" spans="1:7" x14ac:dyDescent="0.25">
      <c r="A3016">
        <v>22873</v>
      </c>
      <c r="B3016" t="s">
        <v>4</v>
      </c>
      <c r="C3016">
        <v>4</v>
      </c>
      <c r="D3016" t="s">
        <v>5</v>
      </c>
      <c r="F3016" t="str" cm="1">
        <f t="array" ref="F3016">CategorizeComment(E3016)</f>
        <v>Other</v>
      </c>
      <c r="G3016" t="str" cm="1">
        <f t="array" ref="G3016">SubCategorizeComment(E3016)</f>
        <v>Other</v>
      </c>
    </row>
    <row r="3017" spans="1:7" x14ac:dyDescent="0.25">
      <c r="A3017">
        <v>22877</v>
      </c>
      <c r="B3017" t="s">
        <v>4</v>
      </c>
      <c r="C3017">
        <v>4</v>
      </c>
      <c r="D3017" t="s">
        <v>5</v>
      </c>
      <c r="F3017" t="str" cm="1">
        <f t="array" ref="F3017">CategorizeComment(E3017)</f>
        <v>Other</v>
      </c>
      <c r="G3017" t="str" cm="1">
        <f t="array" ref="G3017">SubCategorizeComment(E3017)</f>
        <v>Other</v>
      </c>
    </row>
    <row r="3018" spans="1:7" x14ac:dyDescent="0.25">
      <c r="A3018">
        <v>22881</v>
      </c>
      <c r="B3018" t="s">
        <v>4</v>
      </c>
      <c r="C3018">
        <v>4</v>
      </c>
      <c r="D3018" t="s">
        <v>5</v>
      </c>
      <c r="F3018" t="str" cm="1">
        <f t="array" ref="F3018">CategorizeComment(E3018)</f>
        <v>Other</v>
      </c>
      <c r="G3018" t="str" cm="1">
        <f t="array" ref="G3018">SubCategorizeComment(E3018)</f>
        <v>Other</v>
      </c>
    </row>
    <row r="3019" spans="1:7" x14ac:dyDescent="0.25">
      <c r="A3019">
        <v>22890</v>
      </c>
      <c r="B3019" t="s">
        <v>4</v>
      </c>
      <c r="C3019">
        <v>4</v>
      </c>
      <c r="D3019" t="s">
        <v>5</v>
      </c>
      <c r="F3019" t="str" cm="1">
        <f t="array" ref="F3019">CategorizeComment(E3019)</f>
        <v>Other</v>
      </c>
      <c r="G3019" t="str" cm="1">
        <f t="array" ref="G3019">SubCategorizeComment(E3019)</f>
        <v>Other</v>
      </c>
    </row>
    <row r="3020" spans="1:7" x14ac:dyDescent="0.25">
      <c r="A3020">
        <v>22898</v>
      </c>
      <c r="B3020" t="s">
        <v>4</v>
      </c>
      <c r="C3020">
        <v>3</v>
      </c>
      <c r="D3020" t="s">
        <v>5</v>
      </c>
      <c r="F3020" t="str" cm="1">
        <f t="array" ref="F3020">CategorizeComment(E3020)</f>
        <v>Other</v>
      </c>
      <c r="G3020" t="str" cm="1">
        <f t="array" ref="G3020">SubCategorizeComment(E3020)</f>
        <v>Other</v>
      </c>
    </row>
    <row r="3021" spans="1:7" x14ac:dyDescent="0.25">
      <c r="A3021">
        <v>22903</v>
      </c>
      <c r="B3021" t="s">
        <v>4</v>
      </c>
      <c r="C3021">
        <v>4</v>
      </c>
      <c r="D3021" t="s">
        <v>5</v>
      </c>
      <c r="F3021" t="str" cm="1">
        <f t="array" ref="F3021">CategorizeComment(E3021)</f>
        <v>Other</v>
      </c>
      <c r="G3021" t="str" cm="1">
        <f t="array" ref="G3021">SubCategorizeComment(E3021)</f>
        <v>Other</v>
      </c>
    </row>
    <row r="3022" spans="1:7" x14ac:dyDescent="0.25">
      <c r="A3022">
        <v>22924</v>
      </c>
      <c r="B3022" t="s">
        <v>4</v>
      </c>
      <c r="C3022">
        <v>4</v>
      </c>
      <c r="D3022" t="s">
        <v>5</v>
      </c>
      <c r="F3022" t="str" cm="1">
        <f t="array" ref="F3022">CategorizeComment(E3022)</f>
        <v>Other</v>
      </c>
      <c r="G3022" t="str" cm="1">
        <f t="array" ref="G3022">SubCategorizeComment(E3022)</f>
        <v>Other</v>
      </c>
    </row>
    <row r="3023" spans="1:7" x14ac:dyDescent="0.25">
      <c r="A3023">
        <v>22927</v>
      </c>
      <c r="B3023" t="s">
        <v>4</v>
      </c>
      <c r="C3023">
        <v>4</v>
      </c>
      <c r="D3023" t="s">
        <v>5</v>
      </c>
      <c r="F3023" t="str" cm="1">
        <f t="array" ref="F3023">CategorizeComment(E3023)</f>
        <v>Other</v>
      </c>
      <c r="G3023" t="str" cm="1">
        <f t="array" ref="G3023">SubCategorizeComment(E3023)</f>
        <v>Other</v>
      </c>
    </row>
    <row r="3024" spans="1:7" x14ac:dyDescent="0.25">
      <c r="A3024">
        <v>22958</v>
      </c>
      <c r="B3024" t="s">
        <v>4</v>
      </c>
      <c r="C3024">
        <v>3</v>
      </c>
      <c r="D3024" t="s">
        <v>5</v>
      </c>
      <c r="F3024" t="str" cm="1">
        <f t="array" ref="F3024">CategorizeComment(E3024)</f>
        <v>Other</v>
      </c>
      <c r="G3024" t="str" cm="1">
        <f t="array" ref="G3024">SubCategorizeComment(E3024)</f>
        <v>Other</v>
      </c>
    </row>
    <row r="3025" spans="1:7" x14ac:dyDescent="0.25">
      <c r="A3025">
        <v>22964</v>
      </c>
      <c r="B3025" t="s">
        <v>4</v>
      </c>
      <c r="C3025">
        <v>4</v>
      </c>
      <c r="D3025" t="s">
        <v>5</v>
      </c>
      <c r="F3025" t="str" cm="1">
        <f t="array" ref="F3025">CategorizeComment(E3025)</f>
        <v>Other</v>
      </c>
      <c r="G3025" t="str" cm="1">
        <f t="array" ref="G3025">SubCategorizeComment(E3025)</f>
        <v>Other</v>
      </c>
    </row>
    <row r="3026" spans="1:7" x14ac:dyDescent="0.25">
      <c r="A3026">
        <v>22966</v>
      </c>
      <c r="B3026" t="s">
        <v>4</v>
      </c>
      <c r="C3026">
        <v>3</v>
      </c>
      <c r="D3026" t="s">
        <v>5</v>
      </c>
      <c r="F3026" t="str" cm="1">
        <f t="array" ref="F3026">CategorizeComment(E3026)</f>
        <v>Other</v>
      </c>
      <c r="G3026" t="str" cm="1">
        <f t="array" ref="G3026">SubCategorizeComment(E3026)</f>
        <v>Other</v>
      </c>
    </row>
    <row r="3027" spans="1:7" x14ac:dyDescent="0.25">
      <c r="A3027">
        <v>22973</v>
      </c>
      <c r="B3027" t="s">
        <v>4</v>
      </c>
      <c r="C3027">
        <v>4</v>
      </c>
      <c r="D3027" t="s">
        <v>5</v>
      </c>
      <c r="F3027" t="str" cm="1">
        <f t="array" ref="F3027">CategorizeComment(E3027)</f>
        <v>Other</v>
      </c>
      <c r="G3027" t="str" cm="1">
        <f t="array" ref="G3027">SubCategorizeComment(E3027)</f>
        <v>Other</v>
      </c>
    </row>
    <row r="3028" spans="1:7" x14ac:dyDescent="0.25">
      <c r="A3028">
        <v>22978</v>
      </c>
      <c r="B3028" t="s">
        <v>4</v>
      </c>
      <c r="C3028">
        <v>3</v>
      </c>
      <c r="D3028" t="s">
        <v>5</v>
      </c>
      <c r="F3028" t="str" cm="1">
        <f t="array" ref="F3028">CategorizeComment(E3028)</f>
        <v>Other</v>
      </c>
      <c r="G3028" t="str" cm="1">
        <f t="array" ref="G3028">SubCategorizeComment(E3028)</f>
        <v>Other</v>
      </c>
    </row>
    <row r="3029" spans="1:7" x14ac:dyDescent="0.25">
      <c r="A3029">
        <v>22992</v>
      </c>
      <c r="B3029" t="s">
        <v>4</v>
      </c>
      <c r="C3029">
        <v>4</v>
      </c>
      <c r="D3029" t="s">
        <v>5</v>
      </c>
      <c r="F3029" t="str" cm="1">
        <f t="array" ref="F3029">CategorizeComment(E3029)</f>
        <v>Other</v>
      </c>
      <c r="G3029" t="str" cm="1">
        <f t="array" ref="G3029">SubCategorizeComment(E3029)</f>
        <v>Other</v>
      </c>
    </row>
    <row r="3030" spans="1:7" x14ac:dyDescent="0.25">
      <c r="A3030">
        <v>23002</v>
      </c>
      <c r="B3030" t="s">
        <v>4</v>
      </c>
      <c r="C3030">
        <v>4</v>
      </c>
      <c r="D3030" t="s">
        <v>5</v>
      </c>
      <c r="F3030" t="str" cm="1">
        <f t="array" ref="F3030">CategorizeComment(E3030)</f>
        <v>Other</v>
      </c>
      <c r="G3030" t="str" cm="1">
        <f t="array" ref="G3030">SubCategorizeComment(E3030)</f>
        <v>Other</v>
      </c>
    </row>
    <row r="3031" spans="1:7" x14ac:dyDescent="0.25">
      <c r="A3031">
        <v>23009</v>
      </c>
      <c r="B3031" t="s">
        <v>4</v>
      </c>
      <c r="C3031">
        <v>4</v>
      </c>
      <c r="D3031" t="s">
        <v>5</v>
      </c>
      <c r="F3031" t="str" cm="1">
        <f t="array" ref="F3031">CategorizeComment(E3031)</f>
        <v>Other</v>
      </c>
      <c r="G3031" t="str" cm="1">
        <f t="array" ref="G3031">SubCategorizeComment(E3031)</f>
        <v>Other</v>
      </c>
    </row>
    <row r="3032" spans="1:7" x14ac:dyDescent="0.25">
      <c r="A3032">
        <v>23010</v>
      </c>
      <c r="B3032" t="s">
        <v>4</v>
      </c>
      <c r="C3032">
        <v>3</v>
      </c>
      <c r="D3032" t="s">
        <v>5</v>
      </c>
      <c r="F3032" t="str" cm="1">
        <f t="array" ref="F3032">CategorizeComment(E3032)</f>
        <v>Other</v>
      </c>
      <c r="G3032" t="str" cm="1">
        <f t="array" ref="G3032">SubCategorizeComment(E3032)</f>
        <v>Other</v>
      </c>
    </row>
    <row r="3033" spans="1:7" x14ac:dyDescent="0.25">
      <c r="A3033">
        <v>23016</v>
      </c>
      <c r="B3033" t="s">
        <v>4</v>
      </c>
      <c r="C3033">
        <v>3</v>
      </c>
      <c r="D3033" t="s">
        <v>5</v>
      </c>
      <c r="F3033" t="str" cm="1">
        <f t="array" ref="F3033">CategorizeComment(E3033)</f>
        <v>Other</v>
      </c>
      <c r="G3033" t="str" cm="1">
        <f t="array" ref="G3033">SubCategorizeComment(E3033)</f>
        <v>Other</v>
      </c>
    </row>
    <row r="3034" spans="1:7" x14ac:dyDescent="0.25">
      <c r="A3034">
        <v>23033</v>
      </c>
      <c r="B3034" t="s">
        <v>4</v>
      </c>
      <c r="C3034">
        <v>3</v>
      </c>
      <c r="D3034" t="s">
        <v>5</v>
      </c>
      <c r="F3034" t="str" cm="1">
        <f t="array" ref="F3034">CategorizeComment(E3034)</f>
        <v>Other</v>
      </c>
      <c r="G3034" t="str" cm="1">
        <f t="array" ref="G3034">SubCategorizeComment(E3034)</f>
        <v>Other</v>
      </c>
    </row>
    <row r="3035" spans="1:7" x14ac:dyDescent="0.25">
      <c r="A3035">
        <v>23039</v>
      </c>
      <c r="B3035" t="s">
        <v>4</v>
      </c>
      <c r="C3035">
        <v>4</v>
      </c>
      <c r="D3035" t="s">
        <v>5</v>
      </c>
      <c r="F3035" t="str" cm="1">
        <f t="array" ref="F3035">CategorizeComment(E3035)</f>
        <v>Other</v>
      </c>
      <c r="G3035" t="str" cm="1">
        <f t="array" ref="G3035">SubCategorizeComment(E3035)</f>
        <v>Other</v>
      </c>
    </row>
    <row r="3036" spans="1:7" x14ac:dyDescent="0.25">
      <c r="A3036">
        <v>23059</v>
      </c>
      <c r="B3036" t="s">
        <v>4</v>
      </c>
      <c r="C3036">
        <v>3</v>
      </c>
      <c r="D3036" t="s">
        <v>5</v>
      </c>
      <c r="F3036" t="str" cm="1">
        <f t="array" ref="F3036">CategorizeComment(E3036)</f>
        <v>Other</v>
      </c>
      <c r="G3036" t="str" cm="1">
        <f t="array" ref="G3036">SubCategorizeComment(E3036)</f>
        <v>Other</v>
      </c>
    </row>
    <row r="3037" spans="1:7" x14ac:dyDescent="0.25">
      <c r="A3037">
        <v>23064</v>
      </c>
      <c r="B3037" t="s">
        <v>4</v>
      </c>
      <c r="C3037">
        <v>4</v>
      </c>
      <c r="D3037" t="s">
        <v>5</v>
      </c>
      <c r="F3037" t="str" cm="1">
        <f t="array" ref="F3037">CategorizeComment(E3037)</f>
        <v>Other</v>
      </c>
      <c r="G3037" t="str" cm="1">
        <f t="array" ref="G3037">SubCategorizeComment(E3037)</f>
        <v>Other</v>
      </c>
    </row>
    <row r="3038" spans="1:7" x14ac:dyDescent="0.25">
      <c r="A3038">
        <v>23070</v>
      </c>
      <c r="B3038" t="s">
        <v>4</v>
      </c>
      <c r="C3038">
        <v>3</v>
      </c>
      <c r="D3038" t="s">
        <v>5</v>
      </c>
      <c r="F3038" t="str" cm="1">
        <f t="array" ref="F3038">CategorizeComment(E3038)</f>
        <v>Other</v>
      </c>
      <c r="G3038" t="str" cm="1">
        <f t="array" ref="G3038">SubCategorizeComment(E3038)</f>
        <v>Other</v>
      </c>
    </row>
    <row r="3039" spans="1:7" x14ac:dyDescent="0.25">
      <c r="A3039">
        <v>23094</v>
      </c>
      <c r="B3039" t="s">
        <v>4</v>
      </c>
      <c r="C3039">
        <v>3</v>
      </c>
      <c r="D3039" t="s">
        <v>5</v>
      </c>
      <c r="F3039" t="str" cm="1">
        <f t="array" ref="F3039">CategorizeComment(E3039)</f>
        <v>Other</v>
      </c>
      <c r="G3039" t="str" cm="1">
        <f t="array" ref="G3039">SubCategorizeComment(E3039)</f>
        <v>Other</v>
      </c>
    </row>
    <row r="3040" spans="1:7" x14ac:dyDescent="0.25">
      <c r="A3040">
        <v>23124</v>
      </c>
      <c r="B3040" t="s">
        <v>4</v>
      </c>
      <c r="C3040">
        <v>4</v>
      </c>
      <c r="D3040" t="s">
        <v>5</v>
      </c>
      <c r="F3040" t="str" cm="1">
        <f t="array" ref="F3040">CategorizeComment(E3040)</f>
        <v>Other</v>
      </c>
      <c r="G3040" t="str" cm="1">
        <f t="array" ref="G3040">SubCategorizeComment(E3040)</f>
        <v>Other</v>
      </c>
    </row>
    <row r="3041" spans="1:7" x14ac:dyDescent="0.25">
      <c r="A3041">
        <v>23131</v>
      </c>
      <c r="B3041" t="s">
        <v>4</v>
      </c>
      <c r="C3041">
        <v>4</v>
      </c>
      <c r="D3041" t="s">
        <v>5</v>
      </c>
      <c r="F3041" t="str" cm="1">
        <f t="array" ref="F3041">CategorizeComment(E3041)</f>
        <v>Other</v>
      </c>
      <c r="G3041" t="str" cm="1">
        <f t="array" ref="G3041">SubCategorizeComment(E3041)</f>
        <v>Other</v>
      </c>
    </row>
    <row r="3042" spans="1:7" x14ac:dyDescent="0.25">
      <c r="A3042">
        <v>23137</v>
      </c>
      <c r="B3042" t="s">
        <v>4</v>
      </c>
      <c r="C3042">
        <v>3</v>
      </c>
      <c r="D3042" t="s">
        <v>5</v>
      </c>
      <c r="F3042" t="str" cm="1">
        <f t="array" ref="F3042">CategorizeComment(E3042)</f>
        <v>Other</v>
      </c>
      <c r="G3042" t="str" cm="1">
        <f t="array" ref="G3042">SubCategorizeComment(E3042)</f>
        <v>Other</v>
      </c>
    </row>
    <row r="3043" spans="1:7" x14ac:dyDescent="0.25">
      <c r="A3043">
        <v>23159</v>
      </c>
      <c r="B3043" t="s">
        <v>4</v>
      </c>
      <c r="C3043">
        <v>4</v>
      </c>
      <c r="D3043" t="s">
        <v>5</v>
      </c>
      <c r="F3043" t="str" cm="1">
        <f t="array" ref="F3043">CategorizeComment(E3043)</f>
        <v>Other</v>
      </c>
      <c r="G3043" t="str" cm="1">
        <f t="array" ref="G3043">SubCategorizeComment(E3043)</f>
        <v>Other</v>
      </c>
    </row>
    <row r="3044" spans="1:7" x14ac:dyDescent="0.25">
      <c r="A3044">
        <v>23168</v>
      </c>
      <c r="B3044" t="s">
        <v>4</v>
      </c>
      <c r="C3044">
        <v>4</v>
      </c>
      <c r="D3044" t="s">
        <v>5</v>
      </c>
      <c r="F3044" t="str" cm="1">
        <f t="array" ref="F3044">CategorizeComment(E3044)</f>
        <v>Other</v>
      </c>
      <c r="G3044" t="str" cm="1">
        <f t="array" ref="G3044">SubCategorizeComment(E3044)</f>
        <v>Other</v>
      </c>
    </row>
    <row r="3045" spans="1:7" x14ac:dyDescent="0.25">
      <c r="A3045">
        <v>23169</v>
      </c>
      <c r="B3045" t="s">
        <v>4</v>
      </c>
      <c r="C3045">
        <v>4</v>
      </c>
      <c r="D3045" t="s">
        <v>5</v>
      </c>
      <c r="F3045" t="str" cm="1">
        <f t="array" ref="F3045">CategorizeComment(E3045)</f>
        <v>Other</v>
      </c>
      <c r="G3045" t="str" cm="1">
        <f t="array" ref="G3045">SubCategorizeComment(E3045)</f>
        <v>Other</v>
      </c>
    </row>
    <row r="3046" spans="1:7" x14ac:dyDescent="0.25">
      <c r="A3046">
        <v>23175</v>
      </c>
      <c r="B3046" t="s">
        <v>4</v>
      </c>
      <c r="C3046">
        <v>3</v>
      </c>
      <c r="D3046" t="s">
        <v>5</v>
      </c>
      <c r="F3046" t="str" cm="1">
        <f t="array" ref="F3046">CategorizeComment(E3046)</f>
        <v>Other</v>
      </c>
      <c r="G3046" t="str" cm="1">
        <f t="array" ref="G3046">SubCategorizeComment(E3046)</f>
        <v>Other</v>
      </c>
    </row>
    <row r="3047" spans="1:7" x14ac:dyDescent="0.25">
      <c r="A3047">
        <v>23184</v>
      </c>
      <c r="B3047" t="s">
        <v>4</v>
      </c>
      <c r="C3047">
        <v>4</v>
      </c>
      <c r="D3047" t="s">
        <v>5</v>
      </c>
      <c r="F3047" t="str" cm="1">
        <f t="array" ref="F3047">CategorizeComment(E3047)</f>
        <v>Other</v>
      </c>
      <c r="G3047" t="str" cm="1">
        <f t="array" ref="G3047">SubCategorizeComment(E3047)</f>
        <v>Other</v>
      </c>
    </row>
    <row r="3048" spans="1:7" x14ac:dyDescent="0.25">
      <c r="A3048">
        <v>23191</v>
      </c>
      <c r="B3048" t="s">
        <v>4</v>
      </c>
      <c r="C3048">
        <v>3</v>
      </c>
      <c r="D3048" t="s">
        <v>5</v>
      </c>
      <c r="F3048" t="str" cm="1">
        <f t="array" ref="F3048">CategorizeComment(E3048)</f>
        <v>Other</v>
      </c>
      <c r="G3048" t="str" cm="1">
        <f t="array" ref="G3048">SubCategorizeComment(E3048)</f>
        <v>Other</v>
      </c>
    </row>
    <row r="3049" spans="1:7" x14ac:dyDescent="0.25">
      <c r="A3049">
        <v>23193</v>
      </c>
      <c r="B3049" t="s">
        <v>4</v>
      </c>
      <c r="C3049">
        <v>4</v>
      </c>
      <c r="D3049" t="s">
        <v>5</v>
      </c>
      <c r="F3049" t="str" cm="1">
        <f t="array" ref="F3049">CategorizeComment(E3049)</f>
        <v>Other</v>
      </c>
      <c r="G3049" t="str" cm="1">
        <f t="array" ref="G3049">SubCategorizeComment(E3049)</f>
        <v>Other</v>
      </c>
    </row>
    <row r="3050" spans="1:7" x14ac:dyDescent="0.25">
      <c r="A3050">
        <v>23199</v>
      </c>
      <c r="B3050" t="s">
        <v>4</v>
      </c>
      <c r="C3050">
        <v>3</v>
      </c>
      <c r="D3050" t="s">
        <v>5</v>
      </c>
      <c r="F3050" t="str" cm="1">
        <f t="array" ref="F3050">CategorizeComment(E3050)</f>
        <v>Other</v>
      </c>
      <c r="G3050" t="str" cm="1">
        <f t="array" ref="G3050">SubCategorizeComment(E3050)</f>
        <v>Other</v>
      </c>
    </row>
    <row r="3051" spans="1:7" x14ac:dyDescent="0.25">
      <c r="A3051">
        <v>23208</v>
      </c>
      <c r="B3051" t="s">
        <v>4</v>
      </c>
      <c r="C3051">
        <v>3</v>
      </c>
      <c r="D3051" t="s">
        <v>5</v>
      </c>
      <c r="F3051" t="str" cm="1">
        <f t="array" ref="F3051">CategorizeComment(E3051)</f>
        <v>Other</v>
      </c>
      <c r="G3051" t="str" cm="1">
        <f t="array" ref="G3051">SubCategorizeComment(E3051)</f>
        <v>Other</v>
      </c>
    </row>
    <row r="3052" spans="1:7" x14ac:dyDescent="0.25">
      <c r="A3052">
        <v>23216</v>
      </c>
      <c r="B3052" t="s">
        <v>4</v>
      </c>
      <c r="C3052">
        <v>4</v>
      </c>
      <c r="D3052" t="s">
        <v>5</v>
      </c>
      <c r="F3052" t="str" cm="1">
        <f t="array" ref="F3052">CategorizeComment(E3052)</f>
        <v>Other</v>
      </c>
      <c r="G3052" t="str" cm="1">
        <f t="array" ref="G3052">SubCategorizeComment(E3052)</f>
        <v>Other</v>
      </c>
    </row>
    <row r="3053" spans="1:7" x14ac:dyDescent="0.25">
      <c r="A3053">
        <v>23220</v>
      </c>
      <c r="B3053" t="s">
        <v>4</v>
      </c>
      <c r="C3053">
        <v>4</v>
      </c>
      <c r="D3053" t="s">
        <v>5</v>
      </c>
      <c r="F3053" t="str" cm="1">
        <f t="array" ref="F3053">CategorizeComment(E3053)</f>
        <v>Other</v>
      </c>
      <c r="G3053" t="str" cm="1">
        <f t="array" ref="G3053">SubCategorizeComment(E3053)</f>
        <v>Other</v>
      </c>
    </row>
    <row r="3054" spans="1:7" x14ac:dyDescent="0.25">
      <c r="A3054">
        <v>23230</v>
      </c>
      <c r="B3054" t="s">
        <v>4</v>
      </c>
      <c r="C3054">
        <v>3</v>
      </c>
      <c r="D3054" t="s">
        <v>5</v>
      </c>
      <c r="F3054" t="str" cm="1">
        <f t="array" ref="F3054">CategorizeComment(E3054)</f>
        <v>Other</v>
      </c>
      <c r="G3054" t="str" cm="1">
        <f t="array" ref="G3054">SubCategorizeComment(E3054)</f>
        <v>Other</v>
      </c>
    </row>
    <row r="3055" spans="1:7" x14ac:dyDescent="0.25">
      <c r="A3055">
        <v>23231</v>
      </c>
      <c r="B3055" t="s">
        <v>4</v>
      </c>
      <c r="C3055">
        <v>3</v>
      </c>
      <c r="D3055" t="s">
        <v>5</v>
      </c>
      <c r="F3055" t="str" cm="1">
        <f t="array" ref="F3055">CategorizeComment(E3055)</f>
        <v>Other</v>
      </c>
      <c r="G3055" t="str" cm="1">
        <f t="array" ref="G3055">SubCategorizeComment(E3055)</f>
        <v>Other</v>
      </c>
    </row>
    <row r="3056" spans="1:7" x14ac:dyDescent="0.25">
      <c r="A3056">
        <v>23236</v>
      </c>
      <c r="B3056" t="s">
        <v>4</v>
      </c>
      <c r="C3056">
        <v>4</v>
      </c>
      <c r="D3056" t="s">
        <v>5</v>
      </c>
      <c r="F3056" t="str" cm="1">
        <f t="array" ref="F3056">CategorizeComment(E3056)</f>
        <v>Other</v>
      </c>
      <c r="G3056" t="str" cm="1">
        <f t="array" ref="G3056">SubCategorizeComment(E3056)</f>
        <v>Other</v>
      </c>
    </row>
    <row r="3057" spans="1:7" x14ac:dyDescent="0.25">
      <c r="A3057">
        <v>23253</v>
      </c>
      <c r="B3057" t="s">
        <v>4</v>
      </c>
      <c r="C3057">
        <v>4</v>
      </c>
      <c r="D3057" t="s">
        <v>5</v>
      </c>
      <c r="F3057" t="str" cm="1">
        <f t="array" ref="F3057">CategorizeComment(E3057)</f>
        <v>Other</v>
      </c>
      <c r="G3057" t="str" cm="1">
        <f t="array" ref="G3057">SubCategorizeComment(E3057)</f>
        <v>Other</v>
      </c>
    </row>
    <row r="3058" spans="1:7" x14ac:dyDescent="0.25">
      <c r="A3058">
        <v>23256</v>
      </c>
      <c r="B3058" t="s">
        <v>4</v>
      </c>
      <c r="C3058">
        <v>3</v>
      </c>
      <c r="D3058" t="s">
        <v>5</v>
      </c>
      <c r="F3058" t="str" cm="1">
        <f t="array" ref="F3058">CategorizeComment(E3058)</f>
        <v>Other</v>
      </c>
      <c r="G3058" t="str" cm="1">
        <f t="array" ref="G3058">SubCategorizeComment(E3058)</f>
        <v>Other</v>
      </c>
    </row>
    <row r="3059" spans="1:7" x14ac:dyDescent="0.25">
      <c r="A3059">
        <v>23272</v>
      </c>
      <c r="B3059" t="s">
        <v>4</v>
      </c>
      <c r="C3059">
        <v>3</v>
      </c>
      <c r="D3059" t="s">
        <v>5</v>
      </c>
      <c r="F3059" t="str" cm="1">
        <f t="array" ref="F3059">CategorizeComment(E3059)</f>
        <v>Other</v>
      </c>
      <c r="G3059" t="str" cm="1">
        <f t="array" ref="G3059">SubCategorizeComment(E3059)</f>
        <v>Other</v>
      </c>
    </row>
    <row r="3060" spans="1:7" x14ac:dyDescent="0.25">
      <c r="A3060">
        <v>23275</v>
      </c>
      <c r="B3060" t="s">
        <v>4</v>
      </c>
      <c r="C3060">
        <v>4</v>
      </c>
      <c r="D3060" t="s">
        <v>5</v>
      </c>
      <c r="F3060" t="str" cm="1">
        <f t="array" ref="F3060">CategorizeComment(E3060)</f>
        <v>Other</v>
      </c>
      <c r="G3060" t="str" cm="1">
        <f t="array" ref="G3060">SubCategorizeComment(E3060)</f>
        <v>Other</v>
      </c>
    </row>
    <row r="3061" spans="1:7" x14ac:dyDescent="0.25">
      <c r="A3061">
        <v>23280</v>
      </c>
      <c r="B3061" t="s">
        <v>4</v>
      </c>
      <c r="C3061">
        <v>4</v>
      </c>
      <c r="D3061" t="s">
        <v>5</v>
      </c>
      <c r="F3061" t="str" cm="1">
        <f t="array" ref="F3061">CategorizeComment(E3061)</f>
        <v>Other</v>
      </c>
      <c r="G3061" t="str" cm="1">
        <f t="array" ref="G3061">SubCategorizeComment(E3061)</f>
        <v>Other</v>
      </c>
    </row>
    <row r="3062" spans="1:7" x14ac:dyDescent="0.25">
      <c r="A3062">
        <v>23291</v>
      </c>
      <c r="B3062" t="s">
        <v>4</v>
      </c>
      <c r="C3062">
        <v>4</v>
      </c>
      <c r="D3062" t="s">
        <v>5</v>
      </c>
      <c r="F3062" t="str" cm="1">
        <f t="array" ref="F3062">CategorizeComment(E3062)</f>
        <v>Other</v>
      </c>
      <c r="G3062" t="str" cm="1">
        <f t="array" ref="G3062">SubCategorizeComment(E3062)</f>
        <v>Other</v>
      </c>
    </row>
    <row r="3063" spans="1:7" x14ac:dyDescent="0.25">
      <c r="A3063">
        <v>23296</v>
      </c>
      <c r="B3063" t="s">
        <v>4</v>
      </c>
      <c r="C3063">
        <v>3</v>
      </c>
      <c r="D3063" t="s">
        <v>5</v>
      </c>
      <c r="F3063" t="str" cm="1">
        <f t="array" ref="F3063">CategorizeComment(E3063)</f>
        <v>Other</v>
      </c>
      <c r="G3063" t="str" cm="1">
        <f t="array" ref="G3063">SubCategorizeComment(E3063)</f>
        <v>Other</v>
      </c>
    </row>
    <row r="3064" spans="1:7" x14ac:dyDescent="0.25">
      <c r="A3064">
        <v>23305</v>
      </c>
      <c r="B3064" t="s">
        <v>4</v>
      </c>
      <c r="C3064">
        <v>4</v>
      </c>
      <c r="D3064" t="s">
        <v>5</v>
      </c>
      <c r="F3064" t="str" cm="1">
        <f t="array" ref="F3064">CategorizeComment(E3064)</f>
        <v>Other</v>
      </c>
      <c r="G3064" t="str" cm="1">
        <f t="array" ref="G3064">SubCategorizeComment(E3064)</f>
        <v>Other</v>
      </c>
    </row>
    <row r="3065" spans="1:7" x14ac:dyDescent="0.25">
      <c r="A3065">
        <v>23313</v>
      </c>
      <c r="B3065" t="s">
        <v>4</v>
      </c>
      <c r="C3065">
        <v>4</v>
      </c>
      <c r="D3065" t="s">
        <v>5</v>
      </c>
      <c r="F3065" t="str" cm="1">
        <f t="array" ref="F3065">CategorizeComment(E3065)</f>
        <v>Other</v>
      </c>
      <c r="G3065" t="str" cm="1">
        <f t="array" ref="G3065">SubCategorizeComment(E3065)</f>
        <v>Other</v>
      </c>
    </row>
    <row r="3066" spans="1:7" x14ac:dyDescent="0.25">
      <c r="A3066">
        <v>23314</v>
      </c>
      <c r="B3066" t="s">
        <v>4</v>
      </c>
      <c r="C3066">
        <v>4</v>
      </c>
      <c r="D3066" t="s">
        <v>5</v>
      </c>
      <c r="F3066" t="str" cm="1">
        <f t="array" ref="F3066">CategorizeComment(E3066)</f>
        <v>Other</v>
      </c>
      <c r="G3066" t="str" cm="1">
        <f t="array" ref="G3066">SubCategorizeComment(E3066)</f>
        <v>Other</v>
      </c>
    </row>
    <row r="3067" spans="1:7" x14ac:dyDescent="0.25">
      <c r="A3067">
        <v>23326</v>
      </c>
      <c r="B3067" t="s">
        <v>4</v>
      </c>
      <c r="C3067">
        <v>3</v>
      </c>
      <c r="D3067" t="s">
        <v>5</v>
      </c>
      <c r="F3067" t="str" cm="1">
        <f t="array" ref="F3067">CategorizeComment(E3067)</f>
        <v>Other</v>
      </c>
      <c r="G3067" t="str" cm="1">
        <f t="array" ref="G3067">SubCategorizeComment(E3067)</f>
        <v>Other</v>
      </c>
    </row>
    <row r="3068" spans="1:7" x14ac:dyDescent="0.25">
      <c r="A3068">
        <v>23350</v>
      </c>
      <c r="B3068" t="s">
        <v>4</v>
      </c>
      <c r="C3068">
        <v>3</v>
      </c>
      <c r="D3068" t="s">
        <v>5</v>
      </c>
      <c r="F3068" t="str" cm="1">
        <f t="array" ref="F3068">CategorizeComment(E3068)</f>
        <v>Other</v>
      </c>
      <c r="G3068" t="str" cm="1">
        <f t="array" ref="G3068">SubCategorizeComment(E3068)</f>
        <v>Other</v>
      </c>
    </row>
    <row r="3069" spans="1:7" x14ac:dyDescent="0.25">
      <c r="A3069">
        <v>23353</v>
      </c>
      <c r="B3069" t="s">
        <v>4</v>
      </c>
      <c r="C3069">
        <v>4</v>
      </c>
      <c r="D3069" t="s">
        <v>5</v>
      </c>
      <c r="F3069" t="str" cm="1">
        <f t="array" ref="F3069">CategorizeComment(E3069)</f>
        <v>Other</v>
      </c>
      <c r="G3069" t="str" cm="1">
        <f t="array" ref="G3069">SubCategorizeComment(E3069)</f>
        <v>Other</v>
      </c>
    </row>
    <row r="3070" spans="1:7" x14ac:dyDescent="0.25">
      <c r="A3070">
        <v>23364</v>
      </c>
      <c r="B3070" t="s">
        <v>4</v>
      </c>
      <c r="C3070">
        <v>3</v>
      </c>
      <c r="D3070" t="s">
        <v>5</v>
      </c>
      <c r="F3070" t="str" cm="1">
        <f t="array" ref="F3070">CategorizeComment(E3070)</f>
        <v>Other</v>
      </c>
      <c r="G3070" t="str" cm="1">
        <f t="array" ref="G3070">SubCategorizeComment(E3070)</f>
        <v>Other</v>
      </c>
    </row>
    <row r="3071" spans="1:7" x14ac:dyDescent="0.25">
      <c r="A3071">
        <v>23370</v>
      </c>
      <c r="B3071" t="s">
        <v>4</v>
      </c>
      <c r="C3071">
        <v>4</v>
      </c>
      <c r="D3071" t="s">
        <v>5</v>
      </c>
      <c r="F3071" t="str" cm="1">
        <f t="array" ref="F3071">CategorizeComment(E3071)</f>
        <v>Other</v>
      </c>
      <c r="G3071" t="str" cm="1">
        <f t="array" ref="G3071">SubCategorizeComment(E3071)</f>
        <v>Other</v>
      </c>
    </row>
    <row r="3072" spans="1:7" x14ac:dyDescent="0.25">
      <c r="A3072">
        <v>23384</v>
      </c>
      <c r="B3072" t="s">
        <v>4</v>
      </c>
      <c r="C3072">
        <v>3</v>
      </c>
      <c r="D3072" t="s">
        <v>5</v>
      </c>
      <c r="F3072" t="str" cm="1">
        <f t="array" ref="F3072">CategorizeComment(E3072)</f>
        <v>Other</v>
      </c>
      <c r="G3072" t="str" cm="1">
        <f t="array" ref="G3072">SubCategorizeComment(E3072)</f>
        <v>Other</v>
      </c>
    </row>
    <row r="3073" spans="1:7" x14ac:dyDescent="0.25">
      <c r="A3073">
        <v>23393</v>
      </c>
      <c r="B3073" t="s">
        <v>4</v>
      </c>
      <c r="C3073">
        <v>4</v>
      </c>
      <c r="D3073" t="s">
        <v>5</v>
      </c>
      <c r="F3073" t="str" cm="1">
        <f t="array" ref="F3073">CategorizeComment(E3073)</f>
        <v>Other</v>
      </c>
      <c r="G3073" t="str" cm="1">
        <f t="array" ref="G3073">SubCategorizeComment(E3073)</f>
        <v>Other</v>
      </c>
    </row>
    <row r="3074" spans="1:7" x14ac:dyDescent="0.25">
      <c r="A3074">
        <v>23396</v>
      </c>
      <c r="B3074" t="s">
        <v>4</v>
      </c>
      <c r="C3074">
        <v>4</v>
      </c>
      <c r="D3074" t="s">
        <v>5</v>
      </c>
      <c r="F3074" t="str" cm="1">
        <f t="array" ref="F3074">CategorizeComment(E3074)</f>
        <v>Other</v>
      </c>
      <c r="G3074" t="str" cm="1">
        <f t="array" ref="G3074">SubCategorizeComment(E3074)</f>
        <v>Other</v>
      </c>
    </row>
    <row r="3075" spans="1:7" x14ac:dyDescent="0.25">
      <c r="A3075">
        <v>23397</v>
      </c>
      <c r="B3075" t="s">
        <v>4</v>
      </c>
      <c r="C3075">
        <v>4</v>
      </c>
      <c r="D3075" t="s">
        <v>5</v>
      </c>
      <c r="F3075" t="str" cm="1">
        <f t="array" ref="F3075">CategorizeComment(E3075)</f>
        <v>Other</v>
      </c>
      <c r="G3075" t="str" cm="1">
        <f t="array" ref="G3075">SubCategorizeComment(E3075)</f>
        <v>Other</v>
      </c>
    </row>
    <row r="3076" spans="1:7" x14ac:dyDescent="0.25">
      <c r="A3076">
        <v>23398</v>
      </c>
      <c r="B3076" t="s">
        <v>4</v>
      </c>
      <c r="C3076">
        <v>4</v>
      </c>
      <c r="D3076" t="s">
        <v>5</v>
      </c>
      <c r="F3076" t="str" cm="1">
        <f t="array" ref="F3076">CategorizeComment(E3076)</f>
        <v>Other</v>
      </c>
      <c r="G3076" t="str" cm="1">
        <f t="array" ref="G3076">SubCategorizeComment(E3076)</f>
        <v>Other</v>
      </c>
    </row>
    <row r="3077" spans="1:7" x14ac:dyDescent="0.25">
      <c r="A3077">
        <v>23401</v>
      </c>
      <c r="B3077" t="s">
        <v>4</v>
      </c>
      <c r="C3077">
        <v>4</v>
      </c>
      <c r="D3077" t="s">
        <v>5</v>
      </c>
      <c r="F3077" t="str" cm="1">
        <f t="array" ref="F3077">CategorizeComment(E3077)</f>
        <v>Other</v>
      </c>
      <c r="G3077" t="str" cm="1">
        <f t="array" ref="G3077">SubCategorizeComment(E3077)</f>
        <v>Other</v>
      </c>
    </row>
    <row r="3078" spans="1:7" x14ac:dyDescent="0.25">
      <c r="A3078">
        <v>23407</v>
      </c>
      <c r="B3078" t="s">
        <v>4</v>
      </c>
      <c r="C3078">
        <v>4</v>
      </c>
      <c r="D3078" t="s">
        <v>5</v>
      </c>
      <c r="F3078" t="str" cm="1">
        <f t="array" ref="F3078">CategorizeComment(E3078)</f>
        <v>Other</v>
      </c>
      <c r="G3078" t="str" cm="1">
        <f t="array" ref="G3078">SubCategorizeComment(E3078)</f>
        <v>Other</v>
      </c>
    </row>
    <row r="3079" spans="1:7" x14ac:dyDescent="0.25">
      <c r="A3079">
        <v>23416</v>
      </c>
      <c r="B3079" t="s">
        <v>4</v>
      </c>
      <c r="C3079">
        <v>3</v>
      </c>
      <c r="D3079" t="s">
        <v>5</v>
      </c>
      <c r="F3079" t="str" cm="1">
        <f t="array" ref="F3079">CategorizeComment(E3079)</f>
        <v>Other</v>
      </c>
      <c r="G3079" t="str" cm="1">
        <f t="array" ref="G3079">SubCategorizeComment(E3079)</f>
        <v>Other</v>
      </c>
    </row>
    <row r="3080" spans="1:7" x14ac:dyDescent="0.25">
      <c r="A3080">
        <v>23448</v>
      </c>
      <c r="B3080" t="s">
        <v>4</v>
      </c>
      <c r="C3080">
        <v>3</v>
      </c>
      <c r="D3080" t="s">
        <v>5</v>
      </c>
      <c r="F3080" t="str" cm="1">
        <f t="array" ref="F3080">CategorizeComment(E3080)</f>
        <v>Other</v>
      </c>
      <c r="G3080" t="str" cm="1">
        <f t="array" ref="G3080">SubCategorizeComment(E3080)</f>
        <v>Other</v>
      </c>
    </row>
    <row r="3081" spans="1:7" x14ac:dyDescent="0.25">
      <c r="A3081">
        <v>23454</v>
      </c>
      <c r="B3081" t="s">
        <v>4</v>
      </c>
      <c r="C3081">
        <v>4</v>
      </c>
      <c r="D3081" t="s">
        <v>5</v>
      </c>
      <c r="F3081" t="str" cm="1">
        <f t="array" ref="F3081">CategorizeComment(E3081)</f>
        <v>Other</v>
      </c>
      <c r="G3081" t="str" cm="1">
        <f t="array" ref="G3081">SubCategorizeComment(E3081)</f>
        <v>Other</v>
      </c>
    </row>
    <row r="3082" spans="1:7" x14ac:dyDescent="0.25">
      <c r="A3082">
        <v>23470</v>
      </c>
      <c r="B3082" t="s">
        <v>4</v>
      </c>
      <c r="C3082">
        <v>4</v>
      </c>
      <c r="D3082" t="s">
        <v>5</v>
      </c>
      <c r="F3082" t="str" cm="1">
        <f t="array" ref="F3082">CategorizeComment(E3082)</f>
        <v>Other</v>
      </c>
      <c r="G3082" t="str" cm="1">
        <f t="array" ref="G3082">SubCategorizeComment(E3082)</f>
        <v>Other</v>
      </c>
    </row>
    <row r="3083" spans="1:7" x14ac:dyDescent="0.25">
      <c r="A3083">
        <v>23471</v>
      </c>
      <c r="B3083" t="s">
        <v>4</v>
      </c>
      <c r="C3083">
        <v>3</v>
      </c>
      <c r="D3083" t="s">
        <v>5</v>
      </c>
      <c r="F3083" t="str" cm="1">
        <f t="array" ref="F3083">CategorizeComment(E3083)</f>
        <v>Other</v>
      </c>
      <c r="G3083" t="str" cm="1">
        <f t="array" ref="G3083">SubCategorizeComment(E3083)</f>
        <v>Other</v>
      </c>
    </row>
    <row r="3084" spans="1:7" x14ac:dyDescent="0.25">
      <c r="A3084">
        <v>23477</v>
      </c>
      <c r="B3084" t="s">
        <v>4</v>
      </c>
      <c r="C3084">
        <v>3</v>
      </c>
      <c r="D3084" t="s">
        <v>5</v>
      </c>
      <c r="F3084" t="str" cm="1">
        <f t="array" ref="F3084">CategorizeComment(E3084)</f>
        <v>Other</v>
      </c>
      <c r="G3084" t="str" cm="1">
        <f t="array" ref="G3084">SubCategorizeComment(E3084)</f>
        <v>Other</v>
      </c>
    </row>
    <row r="3085" spans="1:7" x14ac:dyDescent="0.25">
      <c r="A3085">
        <v>23482</v>
      </c>
      <c r="B3085" t="s">
        <v>4</v>
      </c>
      <c r="C3085">
        <v>4</v>
      </c>
      <c r="D3085" t="s">
        <v>5</v>
      </c>
      <c r="F3085" t="str" cm="1">
        <f t="array" ref="F3085">CategorizeComment(E3085)</f>
        <v>Other</v>
      </c>
      <c r="G3085" t="str" cm="1">
        <f t="array" ref="G3085">SubCategorizeComment(E3085)</f>
        <v>Other</v>
      </c>
    </row>
    <row r="3086" spans="1:7" x14ac:dyDescent="0.25">
      <c r="A3086">
        <v>23487</v>
      </c>
      <c r="B3086" t="s">
        <v>4</v>
      </c>
      <c r="C3086">
        <v>4</v>
      </c>
      <c r="D3086" t="s">
        <v>5</v>
      </c>
      <c r="F3086" t="str" cm="1">
        <f t="array" ref="F3086">CategorizeComment(E3086)</f>
        <v>Other</v>
      </c>
      <c r="G3086" t="str" cm="1">
        <f t="array" ref="G3086">SubCategorizeComment(E3086)</f>
        <v>Other</v>
      </c>
    </row>
    <row r="3087" spans="1:7" x14ac:dyDescent="0.25">
      <c r="A3087">
        <v>23491</v>
      </c>
      <c r="B3087" t="s">
        <v>4</v>
      </c>
      <c r="C3087">
        <v>4</v>
      </c>
      <c r="D3087" t="s">
        <v>5</v>
      </c>
      <c r="F3087" t="str" cm="1">
        <f t="array" ref="F3087">CategorizeComment(E3087)</f>
        <v>Other</v>
      </c>
      <c r="G3087" t="str" cm="1">
        <f t="array" ref="G3087">SubCategorizeComment(E3087)</f>
        <v>Other</v>
      </c>
    </row>
    <row r="3088" spans="1:7" x14ac:dyDescent="0.25">
      <c r="A3088">
        <v>23499</v>
      </c>
      <c r="B3088" t="s">
        <v>4</v>
      </c>
      <c r="C3088">
        <v>3</v>
      </c>
      <c r="D3088" t="s">
        <v>5</v>
      </c>
      <c r="F3088" t="str" cm="1">
        <f t="array" ref="F3088">CategorizeComment(E3088)</f>
        <v>Other</v>
      </c>
      <c r="G3088" t="str" cm="1">
        <f t="array" ref="G3088">SubCategorizeComment(E3088)</f>
        <v>Other</v>
      </c>
    </row>
    <row r="3089" spans="1:7" x14ac:dyDescent="0.25">
      <c r="A3089">
        <v>23511</v>
      </c>
      <c r="B3089" t="s">
        <v>4</v>
      </c>
      <c r="C3089">
        <v>4</v>
      </c>
      <c r="D3089" t="s">
        <v>5</v>
      </c>
      <c r="F3089" t="str" cm="1">
        <f t="array" ref="F3089">CategorizeComment(E3089)</f>
        <v>Other</v>
      </c>
      <c r="G3089" t="str" cm="1">
        <f t="array" ref="G3089">SubCategorizeComment(E3089)</f>
        <v>Other</v>
      </c>
    </row>
    <row r="3090" spans="1:7" x14ac:dyDescent="0.25">
      <c r="A3090">
        <v>23539</v>
      </c>
      <c r="B3090" t="s">
        <v>4</v>
      </c>
      <c r="C3090">
        <v>3</v>
      </c>
      <c r="D3090" t="s">
        <v>5</v>
      </c>
      <c r="F3090" t="str" cm="1">
        <f t="array" ref="F3090">CategorizeComment(E3090)</f>
        <v>Other</v>
      </c>
      <c r="G3090" t="str" cm="1">
        <f t="array" ref="G3090">SubCategorizeComment(E3090)</f>
        <v>Other</v>
      </c>
    </row>
    <row r="3091" spans="1:7" x14ac:dyDescent="0.25">
      <c r="A3091">
        <v>23540</v>
      </c>
      <c r="B3091" t="s">
        <v>4</v>
      </c>
      <c r="C3091">
        <v>3</v>
      </c>
      <c r="D3091" t="s">
        <v>5</v>
      </c>
      <c r="F3091" t="str" cm="1">
        <f t="array" ref="F3091">CategorizeComment(E3091)</f>
        <v>Other</v>
      </c>
      <c r="G3091" t="str" cm="1">
        <f t="array" ref="G3091">SubCategorizeComment(E3091)</f>
        <v>Other</v>
      </c>
    </row>
    <row r="3092" spans="1:7" x14ac:dyDescent="0.25">
      <c r="A3092">
        <v>23542</v>
      </c>
      <c r="B3092" t="s">
        <v>4</v>
      </c>
      <c r="C3092">
        <v>3</v>
      </c>
      <c r="D3092" t="s">
        <v>5</v>
      </c>
      <c r="F3092" t="str" cm="1">
        <f t="array" ref="F3092">CategorizeComment(E3092)</f>
        <v>Other</v>
      </c>
      <c r="G3092" t="str" cm="1">
        <f t="array" ref="G3092">SubCategorizeComment(E3092)</f>
        <v>Other</v>
      </c>
    </row>
    <row r="3093" spans="1:7" x14ac:dyDescent="0.25">
      <c r="A3093">
        <v>23544</v>
      </c>
      <c r="B3093" t="s">
        <v>4</v>
      </c>
      <c r="C3093">
        <v>4</v>
      </c>
      <c r="D3093" t="s">
        <v>5</v>
      </c>
      <c r="F3093" t="str" cm="1">
        <f t="array" ref="F3093">CategorizeComment(E3093)</f>
        <v>Other</v>
      </c>
      <c r="G3093" t="str" cm="1">
        <f t="array" ref="G3093">SubCategorizeComment(E3093)</f>
        <v>Other</v>
      </c>
    </row>
    <row r="3094" spans="1:7" x14ac:dyDescent="0.25">
      <c r="A3094">
        <v>23557</v>
      </c>
      <c r="B3094" t="s">
        <v>4</v>
      </c>
      <c r="C3094">
        <v>3</v>
      </c>
      <c r="D3094" t="s">
        <v>5</v>
      </c>
      <c r="F3094" t="str" cm="1">
        <f t="array" ref="F3094">CategorizeComment(E3094)</f>
        <v>Other</v>
      </c>
      <c r="G3094" t="str" cm="1">
        <f t="array" ref="G3094">SubCategorizeComment(E3094)</f>
        <v>Other</v>
      </c>
    </row>
    <row r="3095" spans="1:7" x14ac:dyDescent="0.25">
      <c r="A3095">
        <v>23563</v>
      </c>
      <c r="B3095" t="s">
        <v>4</v>
      </c>
      <c r="C3095">
        <v>4</v>
      </c>
      <c r="D3095" t="s">
        <v>5</v>
      </c>
      <c r="F3095" t="str" cm="1">
        <f t="array" ref="F3095">CategorizeComment(E3095)</f>
        <v>Other</v>
      </c>
      <c r="G3095" t="str" cm="1">
        <f t="array" ref="G3095">SubCategorizeComment(E3095)</f>
        <v>Other</v>
      </c>
    </row>
    <row r="3096" spans="1:7" x14ac:dyDescent="0.25">
      <c r="A3096">
        <v>23564</v>
      </c>
      <c r="B3096" t="s">
        <v>4</v>
      </c>
      <c r="C3096">
        <v>3</v>
      </c>
      <c r="D3096" t="s">
        <v>5</v>
      </c>
      <c r="F3096" t="str" cm="1">
        <f t="array" ref="F3096">CategorizeComment(E3096)</f>
        <v>Other</v>
      </c>
      <c r="G3096" t="str" cm="1">
        <f t="array" ref="G3096">SubCategorizeComment(E3096)</f>
        <v>Other</v>
      </c>
    </row>
    <row r="3097" spans="1:7" x14ac:dyDescent="0.25">
      <c r="A3097">
        <v>23570</v>
      </c>
      <c r="B3097" t="s">
        <v>4</v>
      </c>
      <c r="C3097">
        <v>3</v>
      </c>
      <c r="D3097" t="s">
        <v>5</v>
      </c>
      <c r="F3097" t="str" cm="1">
        <f t="array" ref="F3097">CategorizeComment(E3097)</f>
        <v>Other</v>
      </c>
      <c r="G3097" t="str" cm="1">
        <f t="array" ref="G3097">SubCategorizeComment(E3097)</f>
        <v>Other</v>
      </c>
    </row>
    <row r="3098" spans="1:7" x14ac:dyDescent="0.25">
      <c r="A3098">
        <v>23586</v>
      </c>
      <c r="B3098" t="s">
        <v>4</v>
      </c>
      <c r="C3098">
        <v>4</v>
      </c>
      <c r="D3098" t="s">
        <v>5</v>
      </c>
      <c r="F3098" t="str" cm="1">
        <f t="array" ref="F3098">CategorizeComment(E3098)</f>
        <v>Other</v>
      </c>
      <c r="G3098" t="str" cm="1">
        <f t="array" ref="G3098">SubCategorizeComment(E3098)</f>
        <v>Other</v>
      </c>
    </row>
    <row r="3099" spans="1:7" x14ac:dyDescent="0.25">
      <c r="A3099">
        <v>23591</v>
      </c>
      <c r="B3099" t="s">
        <v>4</v>
      </c>
      <c r="C3099">
        <v>3</v>
      </c>
      <c r="D3099" t="s">
        <v>5</v>
      </c>
      <c r="F3099" t="str" cm="1">
        <f t="array" ref="F3099">CategorizeComment(E3099)</f>
        <v>Other</v>
      </c>
      <c r="G3099" t="str" cm="1">
        <f t="array" ref="G3099">SubCategorizeComment(E3099)</f>
        <v>Other</v>
      </c>
    </row>
    <row r="3100" spans="1:7" x14ac:dyDescent="0.25">
      <c r="A3100">
        <v>23602</v>
      </c>
      <c r="B3100" t="s">
        <v>4</v>
      </c>
      <c r="C3100">
        <v>3</v>
      </c>
      <c r="D3100" t="s">
        <v>5</v>
      </c>
      <c r="F3100" t="str" cm="1">
        <f t="array" ref="F3100">CategorizeComment(E3100)</f>
        <v>Other</v>
      </c>
      <c r="G3100" t="str" cm="1">
        <f t="array" ref="G3100">SubCategorizeComment(E3100)</f>
        <v>Other</v>
      </c>
    </row>
    <row r="3101" spans="1:7" x14ac:dyDescent="0.25">
      <c r="A3101">
        <v>23610</v>
      </c>
      <c r="B3101" t="s">
        <v>4</v>
      </c>
      <c r="C3101">
        <v>4</v>
      </c>
      <c r="D3101" t="s">
        <v>5</v>
      </c>
      <c r="F3101" t="str" cm="1">
        <f t="array" ref="F3101">CategorizeComment(E3101)</f>
        <v>Other</v>
      </c>
      <c r="G3101" t="str" cm="1">
        <f t="array" ref="G3101">SubCategorizeComment(E3101)</f>
        <v>Other</v>
      </c>
    </row>
    <row r="3102" spans="1:7" x14ac:dyDescent="0.25">
      <c r="A3102">
        <v>23621</v>
      </c>
      <c r="B3102" t="s">
        <v>4</v>
      </c>
      <c r="C3102">
        <v>4</v>
      </c>
      <c r="D3102" t="s">
        <v>5</v>
      </c>
      <c r="F3102" t="str" cm="1">
        <f t="array" ref="F3102">CategorizeComment(E3102)</f>
        <v>Other</v>
      </c>
      <c r="G3102" t="str" cm="1">
        <f t="array" ref="G3102">SubCategorizeComment(E3102)</f>
        <v>Other</v>
      </c>
    </row>
    <row r="3103" spans="1:7" x14ac:dyDescent="0.25">
      <c r="A3103">
        <v>23626</v>
      </c>
      <c r="B3103" t="s">
        <v>4</v>
      </c>
      <c r="C3103">
        <v>3</v>
      </c>
      <c r="D3103" t="s">
        <v>5</v>
      </c>
      <c r="F3103" t="str" cm="1">
        <f t="array" ref="F3103">CategorizeComment(E3103)</f>
        <v>Other</v>
      </c>
      <c r="G3103" t="str" cm="1">
        <f t="array" ref="G3103">SubCategorizeComment(E3103)</f>
        <v>Other</v>
      </c>
    </row>
    <row r="3104" spans="1:7" x14ac:dyDescent="0.25">
      <c r="A3104">
        <v>23635</v>
      </c>
      <c r="B3104" t="s">
        <v>4</v>
      </c>
      <c r="C3104">
        <v>3</v>
      </c>
      <c r="D3104" t="s">
        <v>5</v>
      </c>
      <c r="F3104" t="str" cm="1">
        <f t="array" ref="F3104">CategorizeComment(E3104)</f>
        <v>Other</v>
      </c>
      <c r="G3104" t="str" cm="1">
        <f t="array" ref="G3104">SubCategorizeComment(E3104)</f>
        <v>Other</v>
      </c>
    </row>
    <row r="3105" spans="1:7" x14ac:dyDescent="0.25">
      <c r="A3105">
        <v>23652</v>
      </c>
      <c r="B3105" t="s">
        <v>4</v>
      </c>
      <c r="C3105">
        <v>4</v>
      </c>
      <c r="D3105" t="s">
        <v>5</v>
      </c>
      <c r="F3105" t="str" cm="1">
        <f t="array" ref="F3105">CategorizeComment(E3105)</f>
        <v>Other</v>
      </c>
      <c r="G3105" t="str" cm="1">
        <f t="array" ref="G3105">SubCategorizeComment(E3105)</f>
        <v>Other</v>
      </c>
    </row>
    <row r="3106" spans="1:7" x14ac:dyDescent="0.25">
      <c r="A3106">
        <v>23665</v>
      </c>
      <c r="B3106" t="s">
        <v>4</v>
      </c>
      <c r="C3106">
        <v>4</v>
      </c>
      <c r="D3106" t="s">
        <v>5</v>
      </c>
      <c r="F3106" t="str" cm="1">
        <f t="array" ref="F3106">CategorizeComment(E3106)</f>
        <v>Other</v>
      </c>
      <c r="G3106" t="str" cm="1">
        <f t="array" ref="G3106">SubCategorizeComment(E3106)</f>
        <v>Other</v>
      </c>
    </row>
    <row r="3107" spans="1:7" x14ac:dyDescent="0.25">
      <c r="A3107">
        <v>23670</v>
      </c>
      <c r="B3107" t="s">
        <v>4</v>
      </c>
      <c r="C3107">
        <v>3</v>
      </c>
      <c r="D3107" t="s">
        <v>5</v>
      </c>
      <c r="F3107" t="str" cm="1">
        <f t="array" ref="F3107">CategorizeComment(E3107)</f>
        <v>Other</v>
      </c>
      <c r="G3107" t="str" cm="1">
        <f t="array" ref="G3107">SubCategorizeComment(E3107)</f>
        <v>Other</v>
      </c>
    </row>
    <row r="3108" spans="1:7" x14ac:dyDescent="0.25">
      <c r="A3108">
        <v>23672</v>
      </c>
      <c r="B3108" t="s">
        <v>4</v>
      </c>
      <c r="C3108">
        <v>4</v>
      </c>
      <c r="D3108" t="s">
        <v>5</v>
      </c>
      <c r="F3108" t="str" cm="1">
        <f t="array" ref="F3108">CategorizeComment(E3108)</f>
        <v>Other</v>
      </c>
      <c r="G3108" t="str" cm="1">
        <f t="array" ref="G3108">SubCategorizeComment(E3108)</f>
        <v>Other</v>
      </c>
    </row>
    <row r="3109" spans="1:7" x14ac:dyDescent="0.25">
      <c r="A3109">
        <v>23677</v>
      </c>
      <c r="B3109" t="s">
        <v>4</v>
      </c>
      <c r="C3109">
        <v>3</v>
      </c>
      <c r="D3109" t="s">
        <v>5</v>
      </c>
      <c r="F3109" t="str" cm="1">
        <f t="array" ref="F3109">CategorizeComment(E3109)</f>
        <v>Other</v>
      </c>
      <c r="G3109" t="str" cm="1">
        <f t="array" ref="G3109">SubCategorizeComment(E3109)</f>
        <v>Other</v>
      </c>
    </row>
    <row r="3110" spans="1:7" x14ac:dyDescent="0.25">
      <c r="A3110">
        <v>23685</v>
      </c>
      <c r="B3110" t="s">
        <v>4</v>
      </c>
      <c r="C3110">
        <v>4</v>
      </c>
      <c r="D3110" t="s">
        <v>5</v>
      </c>
      <c r="F3110" t="str" cm="1">
        <f t="array" ref="F3110">CategorizeComment(E3110)</f>
        <v>Other</v>
      </c>
      <c r="G3110" t="str" cm="1">
        <f t="array" ref="G3110">SubCategorizeComment(E3110)</f>
        <v>Other</v>
      </c>
    </row>
    <row r="3111" spans="1:7" x14ac:dyDescent="0.25">
      <c r="A3111">
        <v>23691</v>
      </c>
      <c r="B3111" t="s">
        <v>4</v>
      </c>
      <c r="C3111">
        <v>3</v>
      </c>
      <c r="D3111" t="s">
        <v>5</v>
      </c>
      <c r="F3111" t="str" cm="1">
        <f t="array" ref="F3111">CategorizeComment(E3111)</f>
        <v>Other</v>
      </c>
      <c r="G3111" t="str" cm="1">
        <f t="array" ref="G3111">SubCategorizeComment(E3111)</f>
        <v>Other</v>
      </c>
    </row>
    <row r="3112" spans="1:7" x14ac:dyDescent="0.25">
      <c r="A3112">
        <v>23697</v>
      </c>
      <c r="B3112" t="s">
        <v>4</v>
      </c>
      <c r="C3112">
        <v>3</v>
      </c>
      <c r="D3112" t="s">
        <v>5</v>
      </c>
      <c r="F3112" t="str" cm="1">
        <f t="array" ref="F3112">CategorizeComment(E3112)</f>
        <v>Other</v>
      </c>
      <c r="G3112" t="str" cm="1">
        <f t="array" ref="G3112">SubCategorizeComment(E3112)</f>
        <v>Other</v>
      </c>
    </row>
    <row r="3113" spans="1:7" x14ac:dyDescent="0.25">
      <c r="A3113">
        <v>23698</v>
      </c>
      <c r="B3113" t="s">
        <v>4</v>
      </c>
      <c r="C3113">
        <v>3</v>
      </c>
      <c r="D3113" t="s">
        <v>5</v>
      </c>
      <c r="F3113" t="str" cm="1">
        <f t="array" ref="F3113">CategorizeComment(E3113)</f>
        <v>Other</v>
      </c>
      <c r="G3113" t="str" cm="1">
        <f t="array" ref="G3113">SubCategorizeComment(E3113)</f>
        <v>Other</v>
      </c>
    </row>
    <row r="3114" spans="1:7" x14ac:dyDescent="0.25">
      <c r="A3114">
        <v>23707</v>
      </c>
      <c r="B3114" t="s">
        <v>4</v>
      </c>
      <c r="C3114">
        <v>3</v>
      </c>
      <c r="D3114" t="s">
        <v>5</v>
      </c>
      <c r="F3114" t="str" cm="1">
        <f t="array" ref="F3114">CategorizeComment(E3114)</f>
        <v>Other</v>
      </c>
      <c r="G3114" t="str" cm="1">
        <f t="array" ref="G3114">SubCategorizeComment(E3114)</f>
        <v>Other</v>
      </c>
    </row>
    <row r="3115" spans="1:7" x14ac:dyDescent="0.25">
      <c r="A3115">
        <v>23712</v>
      </c>
      <c r="B3115" t="s">
        <v>4</v>
      </c>
      <c r="C3115">
        <v>4</v>
      </c>
      <c r="D3115" t="s">
        <v>5</v>
      </c>
      <c r="F3115" t="str" cm="1">
        <f t="array" ref="F3115">CategorizeComment(E3115)</f>
        <v>Other</v>
      </c>
      <c r="G3115" t="str" cm="1">
        <f t="array" ref="G3115">SubCategorizeComment(E3115)</f>
        <v>Other</v>
      </c>
    </row>
    <row r="3116" spans="1:7" x14ac:dyDescent="0.25">
      <c r="A3116">
        <v>23715</v>
      </c>
      <c r="B3116" t="s">
        <v>4</v>
      </c>
      <c r="C3116">
        <v>3</v>
      </c>
      <c r="D3116" t="s">
        <v>5</v>
      </c>
      <c r="F3116" t="str" cm="1">
        <f t="array" ref="F3116">CategorizeComment(E3116)</f>
        <v>Other</v>
      </c>
      <c r="G3116" t="str" cm="1">
        <f t="array" ref="G3116">SubCategorizeComment(E3116)</f>
        <v>Other</v>
      </c>
    </row>
    <row r="3117" spans="1:7" x14ac:dyDescent="0.25">
      <c r="A3117">
        <v>23716</v>
      </c>
      <c r="B3117" t="s">
        <v>4</v>
      </c>
      <c r="C3117">
        <v>3</v>
      </c>
      <c r="D3117" t="s">
        <v>5</v>
      </c>
      <c r="F3117" t="str" cm="1">
        <f t="array" ref="F3117">CategorizeComment(E3117)</f>
        <v>Other</v>
      </c>
      <c r="G3117" t="str" cm="1">
        <f t="array" ref="G3117">SubCategorizeComment(E3117)</f>
        <v>Other</v>
      </c>
    </row>
    <row r="3118" spans="1:7" x14ac:dyDescent="0.25">
      <c r="A3118">
        <v>23722</v>
      </c>
      <c r="B3118" t="s">
        <v>4</v>
      </c>
      <c r="C3118">
        <v>4</v>
      </c>
      <c r="D3118" t="s">
        <v>5</v>
      </c>
      <c r="F3118" t="str" cm="1">
        <f t="array" ref="F3118">CategorizeComment(E3118)</f>
        <v>Other</v>
      </c>
      <c r="G3118" t="str" cm="1">
        <f t="array" ref="G3118">SubCategorizeComment(E3118)</f>
        <v>Other</v>
      </c>
    </row>
    <row r="3119" spans="1:7" x14ac:dyDescent="0.25">
      <c r="A3119">
        <v>23729</v>
      </c>
      <c r="B3119" t="s">
        <v>4</v>
      </c>
      <c r="C3119">
        <v>3</v>
      </c>
      <c r="D3119" t="s">
        <v>5</v>
      </c>
      <c r="F3119" t="str" cm="1">
        <f t="array" ref="F3119">CategorizeComment(E3119)</f>
        <v>Other</v>
      </c>
      <c r="G3119" t="str" cm="1">
        <f t="array" ref="G3119">SubCategorizeComment(E3119)</f>
        <v>Other</v>
      </c>
    </row>
    <row r="3120" spans="1:7" x14ac:dyDescent="0.25">
      <c r="A3120">
        <v>23733</v>
      </c>
      <c r="B3120" t="s">
        <v>4</v>
      </c>
      <c r="C3120">
        <v>3</v>
      </c>
      <c r="D3120" t="s">
        <v>5</v>
      </c>
      <c r="F3120" t="str" cm="1">
        <f t="array" ref="F3120">CategorizeComment(E3120)</f>
        <v>Other</v>
      </c>
      <c r="G3120" t="str" cm="1">
        <f t="array" ref="G3120">SubCategorizeComment(E3120)</f>
        <v>Other</v>
      </c>
    </row>
    <row r="3121" spans="1:7" x14ac:dyDescent="0.25">
      <c r="A3121">
        <v>23734</v>
      </c>
      <c r="B3121" t="s">
        <v>4</v>
      </c>
      <c r="C3121">
        <v>4</v>
      </c>
      <c r="D3121" t="s">
        <v>5</v>
      </c>
      <c r="F3121" t="str" cm="1">
        <f t="array" ref="F3121">CategorizeComment(E3121)</f>
        <v>Other</v>
      </c>
      <c r="G3121" t="str" cm="1">
        <f t="array" ref="G3121">SubCategorizeComment(E3121)</f>
        <v>Other</v>
      </c>
    </row>
    <row r="3122" spans="1:7" x14ac:dyDescent="0.25">
      <c r="A3122">
        <v>23739</v>
      </c>
      <c r="B3122" t="s">
        <v>4</v>
      </c>
      <c r="C3122">
        <v>3</v>
      </c>
      <c r="D3122" t="s">
        <v>5</v>
      </c>
      <c r="F3122" t="str" cm="1">
        <f t="array" ref="F3122">CategorizeComment(E3122)</f>
        <v>Other</v>
      </c>
      <c r="G3122" t="str" cm="1">
        <f t="array" ref="G3122">SubCategorizeComment(E3122)</f>
        <v>Other</v>
      </c>
    </row>
    <row r="3123" spans="1:7" x14ac:dyDescent="0.25">
      <c r="A3123">
        <v>23748</v>
      </c>
      <c r="B3123" t="s">
        <v>4</v>
      </c>
      <c r="C3123">
        <v>4</v>
      </c>
      <c r="D3123" t="s">
        <v>5</v>
      </c>
      <c r="F3123" t="str" cm="1">
        <f t="array" ref="F3123">CategorizeComment(E3123)</f>
        <v>Other</v>
      </c>
      <c r="G3123" t="str" cm="1">
        <f t="array" ref="G3123">SubCategorizeComment(E3123)</f>
        <v>Other</v>
      </c>
    </row>
    <row r="3124" spans="1:7" x14ac:dyDescent="0.25">
      <c r="A3124">
        <v>23753</v>
      </c>
      <c r="B3124" t="s">
        <v>4</v>
      </c>
      <c r="C3124">
        <v>4</v>
      </c>
      <c r="D3124" t="s">
        <v>5</v>
      </c>
      <c r="F3124" t="str" cm="1">
        <f t="array" ref="F3124">CategorizeComment(E3124)</f>
        <v>Other</v>
      </c>
      <c r="G3124" t="str" cm="1">
        <f t="array" ref="G3124">SubCategorizeComment(E3124)</f>
        <v>Other</v>
      </c>
    </row>
    <row r="3125" spans="1:7" x14ac:dyDescent="0.25">
      <c r="A3125">
        <v>23769</v>
      </c>
      <c r="B3125" t="s">
        <v>4</v>
      </c>
      <c r="C3125">
        <v>4</v>
      </c>
      <c r="D3125" t="s">
        <v>5</v>
      </c>
      <c r="F3125" t="str" cm="1">
        <f t="array" ref="F3125">CategorizeComment(E3125)</f>
        <v>Other</v>
      </c>
      <c r="G3125" t="str" cm="1">
        <f t="array" ref="G3125">SubCategorizeComment(E3125)</f>
        <v>Other</v>
      </c>
    </row>
    <row r="3126" spans="1:7" x14ac:dyDescent="0.25">
      <c r="A3126">
        <v>23771</v>
      </c>
      <c r="B3126" t="s">
        <v>4</v>
      </c>
      <c r="C3126">
        <v>4</v>
      </c>
      <c r="D3126" t="s">
        <v>5</v>
      </c>
      <c r="F3126" t="str" cm="1">
        <f t="array" ref="F3126">CategorizeComment(E3126)</f>
        <v>Other</v>
      </c>
      <c r="G3126" t="str" cm="1">
        <f t="array" ref="G3126">SubCategorizeComment(E3126)</f>
        <v>Other</v>
      </c>
    </row>
    <row r="3127" spans="1:7" x14ac:dyDescent="0.25">
      <c r="A3127">
        <v>23797</v>
      </c>
      <c r="B3127" t="s">
        <v>4</v>
      </c>
      <c r="C3127">
        <v>4</v>
      </c>
      <c r="D3127" t="s">
        <v>5</v>
      </c>
      <c r="F3127" t="str" cm="1">
        <f t="array" ref="F3127">CategorizeComment(E3127)</f>
        <v>Other</v>
      </c>
      <c r="G3127" t="str" cm="1">
        <f t="array" ref="G3127">SubCategorizeComment(E3127)</f>
        <v>Other</v>
      </c>
    </row>
    <row r="3128" spans="1:7" x14ac:dyDescent="0.25">
      <c r="A3128">
        <v>23799</v>
      </c>
      <c r="B3128" t="s">
        <v>4</v>
      </c>
      <c r="C3128">
        <v>3</v>
      </c>
      <c r="D3128" t="s">
        <v>5</v>
      </c>
      <c r="F3128" t="str" cm="1">
        <f t="array" ref="F3128">CategorizeComment(E3128)</f>
        <v>Other</v>
      </c>
      <c r="G3128" t="str" cm="1">
        <f t="array" ref="G3128">SubCategorizeComment(E3128)</f>
        <v>Other</v>
      </c>
    </row>
    <row r="3129" spans="1:7" x14ac:dyDescent="0.25">
      <c r="A3129">
        <v>23821</v>
      </c>
      <c r="B3129" t="s">
        <v>4</v>
      </c>
      <c r="C3129">
        <v>3</v>
      </c>
      <c r="D3129" t="s">
        <v>5</v>
      </c>
      <c r="F3129" t="str" cm="1">
        <f t="array" ref="F3129">CategorizeComment(E3129)</f>
        <v>Other</v>
      </c>
      <c r="G3129" t="str" cm="1">
        <f t="array" ref="G3129">SubCategorizeComment(E3129)</f>
        <v>Other</v>
      </c>
    </row>
    <row r="3130" spans="1:7" x14ac:dyDescent="0.25">
      <c r="A3130">
        <v>23827</v>
      </c>
      <c r="B3130" t="s">
        <v>4</v>
      </c>
      <c r="C3130">
        <v>4</v>
      </c>
      <c r="D3130" t="s">
        <v>5</v>
      </c>
      <c r="F3130" t="str" cm="1">
        <f t="array" ref="F3130">CategorizeComment(E3130)</f>
        <v>Other</v>
      </c>
      <c r="G3130" t="str" cm="1">
        <f t="array" ref="G3130">SubCategorizeComment(E3130)</f>
        <v>Other</v>
      </c>
    </row>
    <row r="3131" spans="1:7" x14ac:dyDescent="0.25">
      <c r="A3131">
        <v>23859</v>
      </c>
      <c r="B3131" t="s">
        <v>4</v>
      </c>
      <c r="C3131">
        <v>3</v>
      </c>
      <c r="D3131" t="s">
        <v>5</v>
      </c>
      <c r="F3131" t="str" cm="1">
        <f t="array" ref="F3131">CategorizeComment(E3131)</f>
        <v>Other</v>
      </c>
      <c r="G3131" t="str" cm="1">
        <f t="array" ref="G3131">SubCategorizeComment(E3131)</f>
        <v>Other</v>
      </c>
    </row>
    <row r="3132" spans="1:7" x14ac:dyDescent="0.25">
      <c r="A3132">
        <v>23860</v>
      </c>
      <c r="B3132" t="s">
        <v>4</v>
      </c>
      <c r="C3132">
        <v>4</v>
      </c>
      <c r="D3132" t="s">
        <v>5</v>
      </c>
      <c r="F3132" t="str" cm="1">
        <f t="array" ref="F3132">CategorizeComment(E3132)</f>
        <v>Other</v>
      </c>
      <c r="G3132" t="str" cm="1">
        <f t="array" ref="G3132">SubCategorizeComment(E3132)</f>
        <v>Other</v>
      </c>
    </row>
    <row r="3133" spans="1:7" x14ac:dyDescent="0.25">
      <c r="A3133">
        <v>23877</v>
      </c>
      <c r="B3133" t="s">
        <v>4</v>
      </c>
      <c r="C3133">
        <v>4</v>
      </c>
      <c r="D3133" t="s">
        <v>5</v>
      </c>
      <c r="F3133" t="str" cm="1">
        <f t="array" ref="F3133">CategorizeComment(E3133)</f>
        <v>Other</v>
      </c>
      <c r="G3133" t="str" cm="1">
        <f t="array" ref="G3133">SubCategorizeComment(E3133)</f>
        <v>Other</v>
      </c>
    </row>
    <row r="3134" spans="1:7" x14ac:dyDescent="0.25">
      <c r="A3134">
        <v>23878</v>
      </c>
      <c r="B3134" t="s">
        <v>4</v>
      </c>
      <c r="C3134">
        <v>3</v>
      </c>
      <c r="D3134" t="s">
        <v>5</v>
      </c>
      <c r="F3134" t="str" cm="1">
        <f t="array" ref="F3134">CategorizeComment(E3134)</f>
        <v>Other</v>
      </c>
      <c r="G3134" t="str" cm="1">
        <f t="array" ref="G3134">SubCategorizeComment(E3134)</f>
        <v>Other</v>
      </c>
    </row>
    <row r="3135" spans="1:7" x14ac:dyDescent="0.25">
      <c r="A3135">
        <v>23882</v>
      </c>
      <c r="B3135" t="s">
        <v>4</v>
      </c>
      <c r="C3135">
        <v>3</v>
      </c>
      <c r="D3135" t="s">
        <v>5</v>
      </c>
      <c r="F3135" t="str" cm="1">
        <f t="array" ref="F3135">CategorizeComment(E3135)</f>
        <v>Other</v>
      </c>
      <c r="G3135" t="str" cm="1">
        <f t="array" ref="G3135">SubCategorizeComment(E3135)</f>
        <v>Other</v>
      </c>
    </row>
    <row r="3136" spans="1:7" x14ac:dyDescent="0.25">
      <c r="A3136">
        <v>23884</v>
      </c>
      <c r="B3136" t="s">
        <v>4</v>
      </c>
      <c r="C3136">
        <v>4</v>
      </c>
      <c r="D3136" t="s">
        <v>5</v>
      </c>
      <c r="F3136" t="str" cm="1">
        <f t="array" ref="F3136">CategorizeComment(E3136)</f>
        <v>Other</v>
      </c>
      <c r="G3136" t="str" cm="1">
        <f t="array" ref="G3136">SubCategorizeComment(E3136)</f>
        <v>Other</v>
      </c>
    </row>
    <row r="3137" spans="1:7" x14ac:dyDescent="0.25">
      <c r="A3137">
        <v>23888</v>
      </c>
      <c r="B3137" t="s">
        <v>4</v>
      </c>
      <c r="C3137">
        <v>4</v>
      </c>
      <c r="D3137" t="s">
        <v>5</v>
      </c>
      <c r="F3137" t="str" cm="1">
        <f t="array" ref="F3137">CategorizeComment(E3137)</f>
        <v>Other</v>
      </c>
      <c r="G3137" t="str" cm="1">
        <f t="array" ref="G3137">SubCategorizeComment(E3137)</f>
        <v>Other</v>
      </c>
    </row>
    <row r="3138" spans="1:7" x14ac:dyDescent="0.25">
      <c r="A3138">
        <v>23893</v>
      </c>
      <c r="B3138" t="s">
        <v>4</v>
      </c>
      <c r="C3138">
        <v>4</v>
      </c>
      <c r="D3138" t="s">
        <v>5</v>
      </c>
      <c r="F3138" t="str" cm="1">
        <f t="array" ref="F3138">CategorizeComment(E3138)</f>
        <v>Other</v>
      </c>
      <c r="G3138" t="str" cm="1">
        <f t="array" ref="G3138">SubCategorizeComment(E3138)</f>
        <v>Other</v>
      </c>
    </row>
    <row r="3139" spans="1:7" x14ac:dyDescent="0.25">
      <c r="A3139">
        <v>23900</v>
      </c>
      <c r="B3139" t="s">
        <v>4</v>
      </c>
      <c r="C3139">
        <v>4</v>
      </c>
      <c r="D3139" t="s">
        <v>5</v>
      </c>
      <c r="F3139" t="str" cm="1">
        <f t="array" ref="F3139">CategorizeComment(E3139)</f>
        <v>Other</v>
      </c>
      <c r="G3139" t="str" cm="1">
        <f t="array" ref="G3139">SubCategorizeComment(E3139)</f>
        <v>Other</v>
      </c>
    </row>
    <row r="3140" spans="1:7" x14ac:dyDescent="0.25">
      <c r="A3140">
        <v>23924</v>
      </c>
      <c r="B3140" t="s">
        <v>4</v>
      </c>
      <c r="C3140">
        <v>3</v>
      </c>
      <c r="D3140" t="s">
        <v>5</v>
      </c>
      <c r="F3140" t="str" cm="1">
        <f t="array" ref="F3140">CategorizeComment(E3140)</f>
        <v>Other</v>
      </c>
      <c r="G3140" t="str" cm="1">
        <f t="array" ref="G3140">SubCategorizeComment(E3140)</f>
        <v>Other</v>
      </c>
    </row>
    <row r="3141" spans="1:7" x14ac:dyDescent="0.25">
      <c r="A3141">
        <v>23941</v>
      </c>
      <c r="B3141" t="s">
        <v>4</v>
      </c>
      <c r="C3141">
        <v>4</v>
      </c>
      <c r="D3141" t="s">
        <v>5</v>
      </c>
      <c r="F3141" t="str" cm="1">
        <f t="array" ref="F3141">CategorizeComment(E3141)</f>
        <v>Other</v>
      </c>
      <c r="G3141" t="str" cm="1">
        <f t="array" ref="G3141">SubCategorizeComment(E3141)</f>
        <v>Other</v>
      </c>
    </row>
    <row r="3142" spans="1:7" x14ac:dyDescent="0.25">
      <c r="A3142">
        <v>23944</v>
      </c>
      <c r="B3142" t="s">
        <v>4</v>
      </c>
      <c r="C3142">
        <v>4</v>
      </c>
      <c r="D3142" t="s">
        <v>5</v>
      </c>
      <c r="F3142" t="str" cm="1">
        <f t="array" ref="F3142">CategorizeComment(E3142)</f>
        <v>Other</v>
      </c>
      <c r="G3142" t="str" cm="1">
        <f t="array" ref="G3142">SubCategorizeComment(E3142)</f>
        <v>Other</v>
      </c>
    </row>
    <row r="3143" spans="1:7" x14ac:dyDescent="0.25">
      <c r="A3143">
        <v>23946</v>
      </c>
      <c r="B3143" t="s">
        <v>4</v>
      </c>
      <c r="C3143">
        <v>3</v>
      </c>
      <c r="D3143" t="s">
        <v>5</v>
      </c>
      <c r="F3143" t="str" cm="1">
        <f t="array" ref="F3143">CategorizeComment(E3143)</f>
        <v>Other</v>
      </c>
      <c r="G3143" t="str" cm="1">
        <f t="array" ref="G3143">SubCategorizeComment(E3143)</f>
        <v>Other</v>
      </c>
    </row>
    <row r="3144" spans="1:7" x14ac:dyDescent="0.25">
      <c r="A3144">
        <v>23962</v>
      </c>
      <c r="B3144" t="s">
        <v>4</v>
      </c>
      <c r="C3144">
        <v>3</v>
      </c>
      <c r="D3144" t="s">
        <v>5</v>
      </c>
      <c r="F3144" t="str" cm="1">
        <f t="array" ref="F3144">CategorizeComment(E3144)</f>
        <v>Other</v>
      </c>
      <c r="G3144" t="str" cm="1">
        <f t="array" ref="G3144">SubCategorizeComment(E3144)</f>
        <v>Other</v>
      </c>
    </row>
    <row r="3145" spans="1:7" x14ac:dyDescent="0.25">
      <c r="A3145">
        <v>23971</v>
      </c>
      <c r="B3145" t="s">
        <v>4</v>
      </c>
      <c r="C3145">
        <v>3</v>
      </c>
      <c r="D3145" t="s">
        <v>5</v>
      </c>
      <c r="F3145" t="str" cm="1">
        <f t="array" ref="F3145">CategorizeComment(E3145)</f>
        <v>Other</v>
      </c>
      <c r="G3145" t="str" cm="1">
        <f t="array" ref="G3145">SubCategorizeComment(E3145)</f>
        <v>Other</v>
      </c>
    </row>
    <row r="3146" spans="1:7" x14ac:dyDescent="0.25">
      <c r="A3146">
        <v>23983</v>
      </c>
      <c r="B3146" t="s">
        <v>4</v>
      </c>
      <c r="C3146">
        <v>4</v>
      </c>
      <c r="D3146" t="s">
        <v>5</v>
      </c>
      <c r="F3146" t="str" cm="1">
        <f t="array" ref="F3146">CategorizeComment(E3146)</f>
        <v>Other</v>
      </c>
      <c r="G3146" t="str" cm="1">
        <f t="array" ref="G3146">SubCategorizeComment(E3146)</f>
        <v>Other</v>
      </c>
    </row>
    <row r="3147" spans="1:7" x14ac:dyDescent="0.25">
      <c r="A3147">
        <v>24005</v>
      </c>
      <c r="B3147" t="s">
        <v>4</v>
      </c>
      <c r="C3147">
        <v>3</v>
      </c>
      <c r="D3147" t="s">
        <v>5</v>
      </c>
      <c r="F3147" t="str" cm="1">
        <f t="array" ref="F3147">CategorizeComment(E3147)</f>
        <v>Other</v>
      </c>
      <c r="G3147" t="str" cm="1">
        <f t="array" ref="G3147">SubCategorizeComment(E3147)</f>
        <v>Other</v>
      </c>
    </row>
    <row r="3148" spans="1:7" x14ac:dyDescent="0.25">
      <c r="A3148">
        <v>24010</v>
      </c>
      <c r="B3148" t="s">
        <v>4</v>
      </c>
      <c r="C3148">
        <v>3</v>
      </c>
      <c r="D3148" t="s">
        <v>5</v>
      </c>
      <c r="F3148" t="str" cm="1">
        <f t="array" ref="F3148">CategorizeComment(E3148)</f>
        <v>Other</v>
      </c>
      <c r="G3148" t="str" cm="1">
        <f t="array" ref="G3148">SubCategorizeComment(E3148)</f>
        <v>Other</v>
      </c>
    </row>
    <row r="3149" spans="1:7" x14ac:dyDescent="0.25">
      <c r="A3149">
        <v>24011</v>
      </c>
      <c r="B3149" t="s">
        <v>4</v>
      </c>
      <c r="C3149">
        <v>3</v>
      </c>
      <c r="D3149" t="s">
        <v>5</v>
      </c>
      <c r="F3149" t="str" cm="1">
        <f t="array" ref="F3149">CategorizeComment(E3149)</f>
        <v>Other</v>
      </c>
      <c r="G3149" t="str" cm="1">
        <f t="array" ref="G3149">SubCategorizeComment(E3149)</f>
        <v>Other</v>
      </c>
    </row>
    <row r="3150" spans="1:7" x14ac:dyDescent="0.25">
      <c r="A3150">
        <v>24012</v>
      </c>
      <c r="B3150" t="s">
        <v>4</v>
      </c>
      <c r="C3150">
        <v>4</v>
      </c>
      <c r="D3150" t="s">
        <v>5</v>
      </c>
      <c r="F3150" t="str" cm="1">
        <f t="array" ref="F3150">CategorizeComment(E3150)</f>
        <v>Other</v>
      </c>
      <c r="G3150" t="str" cm="1">
        <f t="array" ref="G3150">SubCategorizeComment(E3150)</f>
        <v>Other</v>
      </c>
    </row>
    <row r="3151" spans="1:7" x14ac:dyDescent="0.25">
      <c r="A3151">
        <v>24014</v>
      </c>
      <c r="B3151" t="s">
        <v>4</v>
      </c>
      <c r="C3151">
        <v>3</v>
      </c>
      <c r="D3151" t="s">
        <v>5</v>
      </c>
      <c r="F3151" t="str" cm="1">
        <f t="array" ref="F3151">CategorizeComment(E3151)</f>
        <v>Other</v>
      </c>
      <c r="G3151" t="str" cm="1">
        <f t="array" ref="G3151">SubCategorizeComment(E3151)</f>
        <v>Other</v>
      </c>
    </row>
    <row r="3152" spans="1:7" x14ac:dyDescent="0.25">
      <c r="A3152">
        <v>24029</v>
      </c>
      <c r="B3152" t="s">
        <v>4</v>
      </c>
      <c r="C3152">
        <v>3</v>
      </c>
      <c r="D3152" t="s">
        <v>5</v>
      </c>
      <c r="F3152" t="str" cm="1">
        <f t="array" ref="F3152">CategorizeComment(E3152)</f>
        <v>Other</v>
      </c>
      <c r="G3152" t="str" cm="1">
        <f t="array" ref="G3152">SubCategorizeComment(E3152)</f>
        <v>Other</v>
      </c>
    </row>
    <row r="3153" spans="1:7" x14ac:dyDescent="0.25">
      <c r="A3153">
        <v>24038</v>
      </c>
      <c r="B3153" t="s">
        <v>4</v>
      </c>
      <c r="C3153">
        <v>3</v>
      </c>
      <c r="D3153" t="s">
        <v>5</v>
      </c>
      <c r="F3153" t="str" cm="1">
        <f t="array" ref="F3153">CategorizeComment(E3153)</f>
        <v>Other</v>
      </c>
      <c r="G3153" t="str" cm="1">
        <f t="array" ref="G3153">SubCategorizeComment(E3153)</f>
        <v>Other</v>
      </c>
    </row>
    <row r="3154" spans="1:7" x14ac:dyDescent="0.25">
      <c r="A3154">
        <v>24061</v>
      </c>
      <c r="B3154" t="s">
        <v>4</v>
      </c>
      <c r="C3154">
        <v>3</v>
      </c>
      <c r="D3154" t="s">
        <v>5</v>
      </c>
      <c r="F3154" t="str" cm="1">
        <f t="array" ref="F3154">CategorizeComment(E3154)</f>
        <v>Other</v>
      </c>
      <c r="G3154" t="str" cm="1">
        <f t="array" ref="G3154">SubCategorizeComment(E3154)</f>
        <v>Other</v>
      </c>
    </row>
    <row r="3155" spans="1:7" x14ac:dyDescent="0.25">
      <c r="A3155">
        <v>24076</v>
      </c>
      <c r="B3155" t="s">
        <v>4</v>
      </c>
      <c r="C3155">
        <v>3</v>
      </c>
      <c r="D3155" t="s">
        <v>5</v>
      </c>
      <c r="F3155" t="str" cm="1">
        <f t="array" ref="F3155">CategorizeComment(E3155)</f>
        <v>Other</v>
      </c>
      <c r="G3155" t="str" cm="1">
        <f t="array" ref="G3155">SubCategorizeComment(E3155)</f>
        <v>Other</v>
      </c>
    </row>
    <row r="3156" spans="1:7" x14ac:dyDescent="0.25">
      <c r="A3156">
        <v>24077</v>
      </c>
      <c r="B3156" t="s">
        <v>4</v>
      </c>
      <c r="C3156">
        <v>3</v>
      </c>
      <c r="D3156" t="s">
        <v>5</v>
      </c>
      <c r="F3156" t="str" cm="1">
        <f t="array" ref="F3156">CategorizeComment(E3156)</f>
        <v>Other</v>
      </c>
      <c r="G3156" t="str" cm="1">
        <f t="array" ref="G3156">SubCategorizeComment(E3156)</f>
        <v>Other</v>
      </c>
    </row>
    <row r="3157" spans="1:7" x14ac:dyDescent="0.25">
      <c r="A3157">
        <v>24109</v>
      </c>
      <c r="B3157" t="s">
        <v>4</v>
      </c>
      <c r="C3157">
        <v>4</v>
      </c>
      <c r="D3157" t="s">
        <v>5</v>
      </c>
      <c r="F3157" t="str" cm="1">
        <f t="array" ref="F3157">CategorizeComment(E3157)</f>
        <v>Other</v>
      </c>
      <c r="G3157" t="str" cm="1">
        <f t="array" ref="G3157">SubCategorizeComment(E3157)</f>
        <v>Other</v>
      </c>
    </row>
    <row r="3158" spans="1:7" x14ac:dyDescent="0.25">
      <c r="A3158">
        <v>24138</v>
      </c>
      <c r="B3158" t="s">
        <v>4</v>
      </c>
      <c r="C3158">
        <v>4</v>
      </c>
      <c r="D3158" t="s">
        <v>5</v>
      </c>
      <c r="F3158" t="str" cm="1">
        <f t="array" ref="F3158">CategorizeComment(E3158)</f>
        <v>Other</v>
      </c>
      <c r="G3158" t="str" cm="1">
        <f t="array" ref="G3158">SubCategorizeComment(E3158)</f>
        <v>Other</v>
      </c>
    </row>
    <row r="3159" spans="1:7" x14ac:dyDescent="0.25">
      <c r="A3159">
        <v>24150</v>
      </c>
      <c r="B3159" t="s">
        <v>4</v>
      </c>
      <c r="C3159">
        <v>4</v>
      </c>
      <c r="D3159" t="s">
        <v>5</v>
      </c>
      <c r="F3159" t="str" cm="1">
        <f t="array" ref="F3159">CategorizeComment(E3159)</f>
        <v>Other</v>
      </c>
      <c r="G3159" t="str" cm="1">
        <f t="array" ref="G3159">SubCategorizeComment(E3159)</f>
        <v>Other</v>
      </c>
    </row>
    <row r="3160" spans="1:7" x14ac:dyDescent="0.25">
      <c r="A3160">
        <v>24158</v>
      </c>
      <c r="B3160" t="s">
        <v>4</v>
      </c>
      <c r="C3160">
        <v>4</v>
      </c>
      <c r="D3160" t="s">
        <v>5</v>
      </c>
      <c r="F3160" t="str" cm="1">
        <f t="array" ref="F3160">CategorizeComment(E3160)</f>
        <v>Other</v>
      </c>
      <c r="G3160" t="str" cm="1">
        <f t="array" ref="G3160">SubCategorizeComment(E3160)</f>
        <v>Other</v>
      </c>
    </row>
    <row r="3161" spans="1:7" x14ac:dyDescent="0.25">
      <c r="A3161">
        <v>24167</v>
      </c>
      <c r="B3161" t="s">
        <v>4</v>
      </c>
      <c r="C3161">
        <v>3</v>
      </c>
      <c r="D3161" t="s">
        <v>5</v>
      </c>
      <c r="F3161" t="str" cm="1">
        <f t="array" ref="F3161">CategorizeComment(E3161)</f>
        <v>Other</v>
      </c>
      <c r="G3161" t="str" cm="1">
        <f t="array" ref="G3161">SubCategorizeComment(E3161)</f>
        <v>Other</v>
      </c>
    </row>
    <row r="3162" spans="1:7" x14ac:dyDescent="0.25">
      <c r="A3162">
        <v>24171</v>
      </c>
      <c r="B3162" t="s">
        <v>4</v>
      </c>
      <c r="C3162">
        <v>4</v>
      </c>
      <c r="D3162" t="s">
        <v>5</v>
      </c>
      <c r="F3162" t="str" cm="1">
        <f t="array" ref="F3162">CategorizeComment(E3162)</f>
        <v>Other</v>
      </c>
      <c r="G3162" t="str" cm="1">
        <f t="array" ref="G3162">SubCategorizeComment(E3162)</f>
        <v>Other</v>
      </c>
    </row>
    <row r="3163" spans="1:7" x14ac:dyDescent="0.25">
      <c r="A3163">
        <v>24202</v>
      </c>
      <c r="B3163" t="s">
        <v>4</v>
      </c>
      <c r="C3163">
        <v>3</v>
      </c>
      <c r="D3163" t="s">
        <v>5</v>
      </c>
      <c r="F3163" t="str" cm="1">
        <f t="array" ref="F3163">CategorizeComment(E3163)</f>
        <v>Other</v>
      </c>
      <c r="G3163" t="str" cm="1">
        <f t="array" ref="G3163">SubCategorizeComment(E3163)</f>
        <v>Other</v>
      </c>
    </row>
    <row r="3164" spans="1:7" x14ac:dyDescent="0.25">
      <c r="A3164">
        <v>24203</v>
      </c>
      <c r="B3164" t="s">
        <v>4</v>
      </c>
      <c r="C3164">
        <v>3</v>
      </c>
      <c r="D3164" t="s">
        <v>5</v>
      </c>
      <c r="F3164" t="str" cm="1">
        <f t="array" ref="F3164">CategorizeComment(E3164)</f>
        <v>Other</v>
      </c>
      <c r="G3164" t="str" cm="1">
        <f t="array" ref="G3164">SubCategorizeComment(E3164)</f>
        <v>Other</v>
      </c>
    </row>
    <row r="3165" spans="1:7" x14ac:dyDescent="0.25">
      <c r="A3165">
        <v>24207</v>
      </c>
      <c r="B3165" t="s">
        <v>4</v>
      </c>
      <c r="C3165">
        <v>3</v>
      </c>
      <c r="D3165" t="s">
        <v>5</v>
      </c>
      <c r="F3165" t="str" cm="1">
        <f t="array" ref="F3165">CategorizeComment(E3165)</f>
        <v>Other</v>
      </c>
      <c r="G3165" t="str" cm="1">
        <f t="array" ref="G3165">SubCategorizeComment(E3165)</f>
        <v>Other</v>
      </c>
    </row>
    <row r="3166" spans="1:7" x14ac:dyDescent="0.25">
      <c r="A3166">
        <v>24224</v>
      </c>
      <c r="B3166" t="s">
        <v>4</v>
      </c>
      <c r="C3166">
        <v>3</v>
      </c>
      <c r="D3166" t="s">
        <v>5</v>
      </c>
      <c r="F3166" t="str" cm="1">
        <f t="array" ref="F3166">CategorizeComment(E3166)</f>
        <v>Other</v>
      </c>
      <c r="G3166" t="str" cm="1">
        <f t="array" ref="G3166">SubCategorizeComment(E3166)</f>
        <v>Other</v>
      </c>
    </row>
    <row r="3167" spans="1:7" x14ac:dyDescent="0.25">
      <c r="A3167">
        <v>24232</v>
      </c>
      <c r="B3167" t="s">
        <v>4</v>
      </c>
      <c r="C3167">
        <v>4</v>
      </c>
      <c r="D3167" t="s">
        <v>5</v>
      </c>
      <c r="F3167" t="str" cm="1">
        <f t="array" ref="F3167">CategorizeComment(E3167)</f>
        <v>Other</v>
      </c>
      <c r="G3167" t="str" cm="1">
        <f t="array" ref="G3167">SubCategorizeComment(E3167)</f>
        <v>Other</v>
      </c>
    </row>
    <row r="3168" spans="1:7" x14ac:dyDescent="0.25">
      <c r="A3168">
        <v>24239</v>
      </c>
      <c r="B3168" t="s">
        <v>4</v>
      </c>
      <c r="C3168">
        <v>4</v>
      </c>
      <c r="D3168" t="s">
        <v>5</v>
      </c>
      <c r="F3168" t="str" cm="1">
        <f t="array" ref="F3168">CategorizeComment(E3168)</f>
        <v>Other</v>
      </c>
      <c r="G3168" t="str" cm="1">
        <f t="array" ref="G3168">SubCategorizeComment(E3168)</f>
        <v>Other</v>
      </c>
    </row>
    <row r="3169" spans="1:7" x14ac:dyDescent="0.25">
      <c r="A3169">
        <v>24241</v>
      </c>
      <c r="B3169" t="s">
        <v>4</v>
      </c>
      <c r="C3169">
        <v>4</v>
      </c>
      <c r="D3169" t="s">
        <v>5</v>
      </c>
      <c r="F3169" t="str" cm="1">
        <f t="array" ref="F3169">CategorizeComment(E3169)</f>
        <v>Other</v>
      </c>
      <c r="G3169" t="str" cm="1">
        <f t="array" ref="G3169">SubCategorizeComment(E3169)</f>
        <v>Other</v>
      </c>
    </row>
    <row r="3170" spans="1:7" x14ac:dyDescent="0.25">
      <c r="A3170">
        <v>24253</v>
      </c>
      <c r="B3170" t="s">
        <v>4</v>
      </c>
      <c r="C3170">
        <v>4</v>
      </c>
      <c r="D3170" t="s">
        <v>5</v>
      </c>
      <c r="F3170" t="str" cm="1">
        <f t="array" ref="F3170">CategorizeComment(E3170)</f>
        <v>Other</v>
      </c>
      <c r="G3170" t="str" cm="1">
        <f t="array" ref="G3170">SubCategorizeComment(E3170)</f>
        <v>Other</v>
      </c>
    </row>
    <row r="3171" spans="1:7" x14ac:dyDescent="0.25">
      <c r="A3171">
        <v>24256</v>
      </c>
      <c r="B3171" t="s">
        <v>4</v>
      </c>
      <c r="C3171">
        <v>4</v>
      </c>
      <c r="D3171" t="s">
        <v>5</v>
      </c>
      <c r="F3171" t="str" cm="1">
        <f t="array" ref="F3171">CategorizeComment(E3171)</f>
        <v>Other</v>
      </c>
      <c r="G3171" t="str" cm="1">
        <f t="array" ref="G3171">SubCategorizeComment(E3171)</f>
        <v>Other</v>
      </c>
    </row>
    <row r="3172" spans="1:7" x14ac:dyDescent="0.25">
      <c r="A3172">
        <v>24258</v>
      </c>
      <c r="B3172" t="s">
        <v>4</v>
      </c>
      <c r="C3172">
        <v>3</v>
      </c>
      <c r="D3172" t="s">
        <v>5</v>
      </c>
      <c r="F3172" t="str" cm="1">
        <f t="array" ref="F3172">CategorizeComment(E3172)</f>
        <v>Other</v>
      </c>
      <c r="G3172" t="str" cm="1">
        <f t="array" ref="G3172">SubCategorizeComment(E3172)</f>
        <v>Other</v>
      </c>
    </row>
    <row r="3173" spans="1:7" x14ac:dyDescent="0.25">
      <c r="A3173">
        <v>24273</v>
      </c>
      <c r="B3173" t="s">
        <v>4</v>
      </c>
      <c r="C3173">
        <v>3</v>
      </c>
      <c r="D3173" t="s">
        <v>5</v>
      </c>
      <c r="F3173" t="str" cm="1">
        <f t="array" ref="F3173">CategorizeComment(E3173)</f>
        <v>Other</v>
      </c>
      <c r="G3173" t="str" cm="1">
        <f t="array" ref="G3173">SubCategorizeComment(E3173)</f>
        <v>Other</v>
      </c>
    </row>
    <row r="3174" spans="1:7" x14ac:dyDescent="0.25">
      <c r="A3174">
        <v>24280</v>
      </c>
      <c r="B3174" t="s">
        <v>4</v>
      </c>
      <c r="C3174">
        <v>4</v>
      </c>
      <c r="D3174" t="s">
        <v>5</v>
      </c>
      <c r="F3174" t="str" cm="1">
        <f t="array" ref="F3174">CategorizeComment(E3174)</f>
        <v>Other</v>
      </c>
      <c r="G3174" t="str" cm="1">
        <f t="array" ref="G3174">SubCategorizeComment(E3174)</f>
        <v>Other</v>
      </c>
    </row>
    <row r="3175" spans="1:7" x14ac:dyDescent="0.25">
      <c r="A3175">
        <v>24294</v>
      </c>
      <c r="B3175" t="s">
        <v>4</v>
      </c>
      <c r="C3175">
        <v>4</v>
      </c>
      <c r="D3175" t="s">
        <v>5</v>
      </c>
      <c r="F3175" t="str" cm="1">
        <f t="array" ref="F3175">CategorizeComment(E3175)</f>
        <v>Other</v>
      </c>
      <c r="G3175" t="str" cm="1">
        <f t="array" ref="G3175">SubCategorizeComment(E3175)</f>
        <v>Other</v>
      </c>
    </row>
    <row r="3176" spans="1:7" x14ac:dyDescent="0.25">
      <c r="A3176">
        <v>24303</v>
      </c>
      <c r="B3176" t="s">
        <v>4</v>
      </c>
      <c r="C3176">
        <v>4</v>
      </c>
      <c r="D3176" t="s">
        <v>5</v>
      </c>
      <c r="F3176" t="str" cm="1">
        <f t="array" ref="F3176">CategorizeComment(E3176)</f>
        <v>Other</v>
      </c>
      <c r="G3176" t="str" cm="1">
        <f t="array" ref="G3176">SubCategorizeComment(E3176)</f>
        <v>Other</v>
      </c>
    </row>
    <row r="3177" spans="1:7" x14ac:dyDescent="0.25">
      <c r="A3177">
        <v>24356</v>
      </c>
      <c r="B3177" t="s">
        <v>4</v>
      </c>
      <c r="C3177">
        <v>4</v>
      </c>
      <c r="D3177" t="s">
        <v>5</v>
      </c>
      <c r="F3177" t="str" cm="1">
        <f t="array" ref="F3177">CategorizeComment(E3177)</f>
        <v>Other</v>
      </c>
      <c r="G3177" t="str" cm="1">
        <f t="array" ref="G3177">SubCategorizeComment(E3177)</f>
        <v>Other</v>
      </c>
    </row>
    <row r="3178" spans="1:7" x14ac:dyDescent="0.25">
      <c r="A3178">
        <v>24373</v>
      </c>
      <c r="B3178" t="s">
        <v>4</v>
      </c>
      <c r="C3178">
        <v>3</v>
      </c>
      <c r="D3178" t="s">
        <v>5</v>
      </c>
      <c r="F3178" t="str" cm="1">
        <f t="array" ref="F3178">CategorizeComment(E3178)</f>
        <v>Other</v>
      </c>
      <c r="G3178" t="str" cm="1">
        <f t="array" ref="G3178">SubCategorizeComment(E3178)</f>
        <v>Other</v>
      </c>
    </row>
    <row r="3179" spans="1:7" x14ac:dyDescent="0.25">
      <c r="A3179">
        <v>24376</v>
      </c>
      <c r="B3179" t="s">
        <v>4</v>
      </c>
      <c r="C3179">
        <v>3</v>
      </c>
      <c r="D3179" t="s">
        <v>5</v>
      </c>
      <c r="F3179" t="str" cm="1">
        <f t="array" ref="F3179">CategorizeComment(E3179)</f>
        <v>Other</v>
      </c>
      <c r="G3179" t="str" cm="1">
        <f t="array" ref="G3179">SubCategorizeComment(E3179)</f>
        <v>Other</v>
      </c>
    </row>
    <row r="3180" spans="1:7" x14ac:dyDescent="0.25">
      <c r="A3180">
        <v>24382</v>
      </c>
      <c r="B3180" t="s">
        <v>4</v>
      </c>
      <c r="C3180">
        <v>4</v>
      </c>
      <c r="D3180" t="s">
        <v>5</v>
      </c>
      <c r="F3180" t="str" cm="1">
        <f t="array" ref="F3180">CategorizeComment(E3180)</f>
        <v>Other</v>
      </c>
      <c r="G3180" t="str" cm="1">
        <f t="array" ref="G3180">SubCategorizeComment(E3180)</f>
        <v>Other</v>
      </c>
    </row>
    <row r="3181" spans="1:7" x14ac:dyDescent="0.25">
      <c r="A3181">
        <v>24414</v>
      </c>
      <c r="B3181" t="s">
        <v>4</v>
      </c>
      <c r="C3181">
        <v>3</v>
      </c>
      <c r="D3181" t="s">
        <v>5</v>
      </c>
      <c r="F3181" t="str" cm="1">
        <f t="array" ref="F3181">CategorizeComment(E3181)</f>
        <v>Other</v>
      </c>
      <c r="G3181" t="str" cm="1">
        <f t="array" ref="G3181">SubCategorizeComment(E3181)</f>
        <v>Other</v>
      </c>
    </row>
    <row r="3182" spans="1:7" x14ac:dyDescent="0.25">
      <c r="A3182">
        <v>24416</v>
      </c>
      <c r="B3182" t="s">
        <v>4</v>
      </c>
      <c r="C3182">
        <v>3</v>
      </c>
      <c r="D3182" t="s">
        <v>5</v>
      </c>
      <c r="F3182" t="str" cm="1">
        <f t="array" ref="F3182">CategorizeComment(E3182)</f>
        <v>Other</v>
      </c>
      <c r="G3182" t="str" cm="1">
        <f t="array" ref="G3182">SubCategorizeComment(E3182)</f>
        <v>Other</v>
      </c>
    </row>
    <row r="3183" spans="1:7" x14ac:dyDescent="0.25">
      <c r="A3183">
        <v>24417</v>
      </c>
      <c r="B3183" t="s">
        <v>4</v>
      </c>
      <c r="C3183">
        <v>3</v>
      </c>
      <c r="D3183" t="s">
        <v>5</v>
      </c>
      <c r="F3183" t="str" cm="1">
        <f t="array" ref="F3183">CategorizeComment(E3183)</f>
        <v>Other</v>
      </c>
      <c r="G3183" t="str" cm="1">
        <f t="array" ref="G3183">SubCategorizeComment(E3183)</f>
        <v>Other</v>
      </c>
    </row>
    <row r="3184" spans="1:7" x14ac:dyDescent="0.25">
      <c r="A3184">
        <v>24424</v>
      </c>
      <c r="B3184" t="s">
        <v>4</v>
      </c>
      <c r="C3184">
        <v>4</v>
      </c>
      <c r="D3184" t="s">
        <v>5</v>
      </c>
      <c r="F3184" t="str" cm="1">
        <f t="array" ref="F3184">CategorizeComment(E3184)</f>
        <v>Other</v>
      </c>
      <c r="G3184" t="str" cm="1">
        <f t="array" ref="G3184">SubCategorizeComment(E3184)</f>
        <v>Other</v>
      </c>
    </row>
    <row r="3185" spans="1:7" x14ac:dyDescent="0.25">
      <c r="A3185">
        <v>24428</v>
      </c>
      <c r="B3185" t="s">
        <v>4</v>
      </c>
      <c r="C3185">
        <v>4</v>
      </c>
      <c r="D3185" t="s">
        <v>5</v>
      </c>
      <c r="F3185" t="str" cm="1">
        <f t="array" ref="F3185">CategorizeComment(E3185)</f>
        <v>Other</v>
      </c>
      <c r="G3185" t="str" cm="1">
        <f t="array" ref="G3185">SubCategorizeComment(E3185)</f>
        <v>Other</v>
      </c>
    </row>
    <row r="3186" spans="1:7" x14ac:dyDescent="0.25">
      <c r="A3186">
        <v>24443</v>
      </c>
      <c r="B3186" t="s">
        <v>4</v>
      </c>
      <c r="C3186">
        <v>3</v>
      </c>
      <c r="D3186" t="s">
        <v>5</v>
      </c>
      <c r="F3186" t="str" cm="1">
        <f t="array" ref="F3186">CategorizeComment(E3186)</f>
        <v>Other</v>
      </c>
      <c r="G3186" t="str" cm="1">
        <f t="array" ref="G3186">SubCategorizeComment(E3186)</f>
        <v>Other</v>
      </c>
    </row>
    <row r="3187" spans="1:7" x14ac:dyDescent="0.25">
      <c r="A3187">
        <v>24446</v>
      </c>
      <c r="B3187" t="s">
        <v>4</v>
      </c>
      <c r="C3187">
        <v>3</v>
      </c>
      <c r="D3187" t="s">
        <v>5</v>
      </c>
      <c r="F3187" t="str" cm="1">
        <f t="array" ref="F3187">CategorizeComment(E3187)</f>
        <v>Other</v>
      </c>
      <c r="G3187" t="str" cm="1">
        <f t="array" ref="G3187">SubCategorizeComment(E3187)</f>
        <v>Other</v>
      </c>
    </row>
    <row r="3188" spans="1:7" x14ac:dyDescent="0.25">
      <c r="A3188">
        <v>24458</v>
      </c>
      <c r="B3188" t="s">
        <v>4</v>
      </c>
      <c r="C3188">
        <v>3</v>
      </c>
      <c r="D3188" t="s">
        <v>5</v>
      </c>
      <c r="F3188" t="str" cm="1">
        <f t="array" ref="F3188">CategorizeComment(E3188)</f>
        <v>Other</v>
      </c>
      <c r="G3188" t="str" cm="1">
        <f t="array" ref="G3188">SubCategorizeComment(E3188)</f>
        <v>Other</v>
      </c>
    </row>
    <row r="3189" spans="1:7" x14ac:dyDescent="0.25">
      <c r="A3189">
        <v>24471</v>
      </c>
      <c r="B3189" t="s">
        <v>4</v>
      </c>
      <c r="C3189">
        <v>3</v>
      </c>
      <c r="D3189" t="s">
        <v>5</v>
      </c>
      <c r="F3189" t="str" cm="1">
        <f t="array" ref="F3189">CategorizeComment(E3189)</f>
        <v>Other</v>
      </c>
      <c r="G3189" t="str" cm="1">
        <f t="array" ref="G3189">SubCategorizeComment(E3189)</f>
        <v>Other</v>
      </c>
    </row>
    <row r="3190" spans="1:7" x14ac:dyDescent="0.25">
      <c r="A3190">
        <v>24473</v>
      </c>
      <c r="B3190" t="s">
        <v>4</v>
      </c>
      <c r="C3190">
        <v>4</v>
      </c>
      <c r="D3190" t="s">
        <v>5</v>
      </c>
      <c r="F3190" t="str" cm="1">
        <f t="array" ref="F3190">CategorizeComment(E3190)</f>
        <v>Other</v>
      </c>
      <c r="G3190" t="str" cm="1">
        <f t="array" ref="G3190">SubCategorizeComment(E3190)</f>
        <v>Other</v>
      </c>
    </row>
    <row r="3191" spans="1:7" x14ac:dyDescent="0.25">
      <c r="A3191">
        <v>24477</v>
      </c>
      <c r="B3191" t="s">
        <v>4</v>
      </c>
      <c r="C3191">
        <v>4</v>
      </c>
      <c r="D3191" t="s">
        <v>5</v>
      </c>
      <c r="F3191" t="str" cm="1">
        <f t="array" ref="F3191">CategorizeComment(E3191)</f>
        <v>Other</v>
      </c>
      <c r="G3191" t="str" cm="1">
        <f t="array" ref="G3191">SubCategorizeComment(E3191)</f>
        <v>Other</v>
      </c>
    </row>
    <row r="3192" spans="1:7" x14ac:dyDescent="0.25">
      <c r="A3192">
        <v>24478</v>
      </c>
      <c r="B3192" t="s">
        <v>4</v>
      </c>
      <c r="C3192">
        <v>3</v>
      </c>
      <c r="D3192" t="s">
        <v>5</v>
      </c>
      <c r="F3192" t="str" cm="1">
        <f t="array" ref="F3192">CategorizeComment(E3192)</f>
        <v>Other</v>
      </c>
      <c r="G3192" t="str" cm="1">
        <f t="array" ref="G3192">SubCategorizeComment(E3192)</f>
        <v>Other</v>
      </c>
    </row>
    <row r="3193" spans="1:7" x14ac:dyDescent="0.25">
      <c r="A3193">
        <v>24483</v>
      </c>
      <c r="B3193" t="s">
        <v>4</v>
      </c>
      <c r="C3193">
        <v>4</v>
      </c>
      <c r="D3193" t="s">
        <v>5</v>
      </c>
      <c r="F3193" t="str" cm="1">
        <f t="array" ref="F3193">CategorizeComment(E3193)</f>
        <v>Other</v>
      </c>
      <c r="G3193" t="str" cm="1">
        <f t="array" ref="G3193">SubCategorizeComment(E3193)</f>
        <v>Other</v>
      </c>
    </row>
    <row r="3194" spans="1:7" x14ac:dyDescent="0.25">
      <c r="A3194">
        <v>24484</v>
      </c>
      <c r="B3194" t="s">
        <v>4</v>
      </c>
      <c r="C3194">
        <v>3</v>
      </c>
      <c r="D3194" t="s">
        <v>5</v>
      </c>
      <c r="F3194" t="str" cm="1">
        <f t="array" ref="F3194">CategorizeComment(E3194)</f>
        <v>Other</v>
      </c>
      <c r="G3194" t="str" cm="1">
        <f t="array" ref="G3194">SubCategorizeComment(E3194)</f>
        <v>Other</v>
      </c>
    </row>
    <row r="3195" spans="1:7" x14ac:dyDescent="0.25">
      <c r="A3195">
        <v>24490</v>
      </c>
      <c r="B3195" t="s">
        <v>4</v>
      </c>
      <c r="C3195">
        <v>4</v>
      </c>
      <c r="D3195" t="s">
        <v>5</v>
      </c>
      <c r="F3195" t="str" cm="1">
        <f t="array" ref="F3195">CategorizeComment(E3195)</f>
        <v>Other</v>
      </c>
      <c r="G3195" t="str" cm="1">
        <f t="array" ref="G3195">SubCategorizeComment(E3195)</f>
        <v>Other</v>
      </c>
    </row>
    <row r="3196" spans="1:7" x14ac:dyDescent="0.25">
      <c r="A3196">
        <v>24507</v>
      </c>
      <c r="B3196" t="s">
        <v>4</v>
      </c>
      <c r="C3196">
        <v>3</v>
      </c>
      <c r="D3196" t="s">
        <v>5</v>
      </c>
      <c r="F3196" t="str" cm="1">
        <f t="array" ref="F3196">CategorizeComment(E3196)</f>
        <v>Other</v>
      </c>
      <c r="G3196" t="str" cm="1">
        <f t="array" ref="G3196">SubCategorizeComment(E3196)</f>
        <v>Other</v>
      </c>
    </row>
    <row r="3197" spans="1:7" x14ac:dyDescent="0.25">
      <c r="A3197">
        <v>24510</v>
      </c>
      <c r="B3197" t="s">
        <v>4</v>
      </c>
      <c r="C3197">
        <v>4</v>
      </c>
      <c r="D3197" t="s">
        <v>5</v>
      </c>
      <c r="F3197" t="str" cm="1">
        <f t="array" ref="F3197">CategorizeComment(E3197)</f>
        <v>Other</v>
      </c>
      <c r="G3197" t="str" cm="1">
        <f t="array" ref="G3197">SubCategorizeComment(E3197)</f>
        <v>Other</v>
      </c>
    </row>
    <row r="3198" spans="1:7" x14ac:dyDescent="0.25">
      <c r="A3198">
        <v>24512</v>
      </c>
      <c r="B3198" t="s">
        <v>4</v>
      </c>
      <c r="C3198">
        <v>3</v>
      </c>
      <c r="D3198" t="s">
        <v>5</v>
      </c>
      <c r="F3198" t="str" cm="1">
        <f t="array" ref="F3198">CategorizeComment(E3198)</f>
        <v>Other</v>
      </c>
      <c r="G3198" t="str" cm="1">
        <f t="array" ref="G3198">SubCategorizeComment(E3198)</f>
        <v>Other</v>
      </c>
    </row>
    <row r="3199" spans="1:7" x14ac:dyDescent="0.25">
      <c r="A3199">
        <v>24524</v>
      </c>
      <c r="B3199" t="s">
        <v>4</v>
      </c>
      <c r="C3199">
        <v>3</v>
      </c>
      <c r="D3199" t="s">
        <v>5</v>
      </c>
      <c r="F3199" t="str" cm="1">
        <f t="array" ref="F3199">CategorizeComment(E3199)</f>
        <v>Other</v>
      </c>
      <c r="G3199" t="str" cm="1">
        <f t="array" ref="G3199">SubCategorizeComment(E3199)</f>
        <v>Other</v>
      </c>
    </row>
    <row r="3200" spans="1:7" x14ac:dyDescent="0.25">
      <c r="A3200">
        <v>24525</v>
      </c>
      <c r="B3200" t="s">
        <v>4</v>
      </c>
      <c r="C3200">
        <v>4</v>
      </c>
      <c r="D3200" t="s">
        <v>5</v>
      </c>
      <c r="F3200" t="str" cm="1">
        <f t="array" ref="F3200">CategorizeComment(E3200)</f>
        <v>Other</v>
      </c>
      <c r="G3200" t="str" cm="1">
        <f t="array" ref="G3200">SubCategorizeComment(E3200)</f>
        <v>Other</v>
      </c>
    </row>
    <row r="3201" spans="1:7" x14ac:dyDescent="0.25">
      <c r="A3201">
        <v>24526</v>
      </c>
      <c r="B3201" t="s">
        <v>4</v>
      </c>
      <c r="C3201">
        <v>4</v>
      </c>
      <c r="D3201" t="s">
        <v>5</v>
      </c>
      <c r="F3201" t="str" cm="1">
        <f t="array" ref="F3201">CategorizeComment(E3201)</f>
        <v>Other</v>
      </c>
      <c r="G3201" t="str" cm="1">
        <f t="array" ref="G3201">SubCategorizeComment(E3201)</f>
        <v>Other</v>
      </c>
    </row>
    <row r="3202" spans="1:7" x14ac:dyDescent="0.25">
      <c r="A3202">
        <v>24530</v>
      </c>
      <c r="B3202" t="s">
        <v>4</v>
      </c>
      <c r="C3202">
        <v>3</v>
      </c>
      <c r="D3202" t="s">
        <v>5</v>
      </c>
      <c r="F3202" t="str" cm="1">
        <f t="array" ref="F3202">CategorizeComment(E3202)</f>
        <v>Other</v>
      </c>
      <c r="G3202" t="str" cm="1">
        <f t="array" ref="G3202">SubCategorizeComment(E3202)</f>
        <v>Other</v>
      </c>
    </row>
    <row r="3203" spans="1:7" x14ac:dyDescent="0.25">
      <c r="A3203">
        <v>24531</v>
      </c>
      <c r="B3203" t="s">
        <v>4</v>
      </c>
      <c r="C3203">
        <v>3</v>
      </c>
      <c r="D3203" t="s">
        <v>5</v>
      </c>
      <c r="F3203" t="str" cm="1">
        <f t="array" ref="F3203">CategorizeComment(E3203)</f>
        <v>Other</v>
      </c>
      <c r="G3203" t="str" cm="1">
        <f t="array" ref="G3203">SubCategorizeComment(E3203)</f>
        <v>Other</v>
      </c>
    </row>
    <row r="3204" spans="1:7" x14ac:dyDescent="0.25">
      <c r="A3204">
        <v>24548</v>
      </c>
      <c r="B3204" t="s">
        <v>4</v>
      </c>
      <c r="C3204">
        <v>4</v>
      </c>
      <c r="D3204" t="s">
        <v>5</v>
      </c>
      <c r="F3204" t="str" cm="1">
        <f t="array" ref="F3204">CategorizeComment(E3204)</f>
        <v>Other</v>
      </c>
      <c r="G3204" t="str" cm="1">
        <f t="array" ref="G3204">SubCategorizeComment(E3204)</f>
        <v>Other</v>
      </c>
    </row>
    <row r="3205" spans="1:7" x14ac:dyDescent="0.25">
      <c r="A3205">
        <v>24549</v>
      </c>
      <c r="B3205" t="s">
        <v>4</v>
      </c>
      <c r="C3205">
        <v>3</v>
      </c>
      <c r="D3205" t="s">
        <v>5</v>
      </c>
      <c r="F3205" t="str" cm="1">
        <f t="array" ref="F3205">CategorizeComment(E3205)</f>
        <v>Other</v>
      </c>
      <c r="G3205" t="str" cm="1">
        <f t="array" ref="G3205">SubCategorizeComment(E3205)</f>
        <v>Other</v>
      </c>
    </row>
    <row r="3206" spans="1:7" x14ac:dyDescent="0.25">
      <c r="A3206">
        <v>24560</v>
      </c>
      <c r="B3206" t="s">
        <v>4</v>
      </c>
      <c r="C3206">
        <v>4</v>
      </c>
      <c r="D3206" t="s">
        <v>5</v>
      </c>
      <c r="F3206" t="str" cm="1">
        <f t="array" ref="F3206">CategorizeComment(E3206)</f>
        <v>Other</v>
      </c>
      <c r="G3206" t="str" cm="1">
        <f t="array" ref="G3206">SubCategorizeComment(E3206)</f>
        <v>Other</v>
      </c>
    </row>
    <row r="3207" spans="1:7" x14ac:dyDescent="0.25">
      <c r="A3207">
        <v>24561</v>
      </c>
      <c r="B3207" t="s">
        <v>4</v>
      </c>
      <c r="C3207">
        <v>3</v>
      </c>
      <c r="D3207" t="s">
        <v>5</v>
      </c>
      <c r="F3207" t="str" cm="1">
        <f t="array" ref="F3207">CategorizeComment(E3207)</f>
        <v>Other</v>
      </c>
      <c r="G3207" t="str" cm="1">
        <f t="array" ref="G3207">SubCategorizeComment(E3207)</f>
        <v>Other</v>
      </c>
    </row>
    <row r="3208" spans="1:7" x14ac:dyDescent="0.25">
      <c r="A3208">
        <v>24566</v>
      </c>
      <c r="B3208" t="s">
        <v>4</v>
      </c>
      <c r="C3208">
        <v>4</v>
      </c>
      <c r="D3208" t="s">
        <v>5</v>
      </c>
      <c r="F3208" t="str" cm="1">
        <f t="array" ref="F3208">CategorizeComment(E3208)</f>
        <v>Other</v>
      </c>
      <c r="G3208" t="str" cm="1">
        <f t="array" ref="G3208">SubCategorizeComment(E3208)</f>
        <v>Other</v>
      </c>
    </row>
    <row r="3209" spans="1:7" x14ac:dyDescent="0.25">
      <c r="A3209">
        <v>24573</v>
      </c>
      <c r="B3209" t="s">
        <v>4</v>
      </c>
      <c r="C3209">
        <v>3</v>
      </c>
      <c r="D3209" t="s">
        <v>5</v>
      </c>
      <c r="F3209" t="str" cm="1">
        <f t="array" ref="F3209">CategorizeComment(E3209)</f>
        <v>Other</v>
      </c>
      <c r="G3209" t="str" cm="1">
        <f t="array" ref="G3209">SubCategorizeComment(E3209)</f>
        <v>Other</v>
      </c>
    </row>
    <row r="3210" spans="1:7" x14ac:dyDescent="0.25">
      <c r="A3210">
        <v>24584</v>
      </c>
      <c r="B3210" t="s">
        <v>4</v>
      </c>
      <c r="C3210">
        <v>3</v>
      </c>
      <c r="D3210" t="s">
        <v>5</v>
      </c>
      <c r="F3210" t="str" cm="1">
        <f t="array" ref="F3210">CategorizeComment(E3210)</f>
        <v>Other</v>
      </c>
      <c r="G3210" t="str" cm="1">
        <f t="array" ref="G3210">SubCategorizeComment(E3210)</f>
        <v>Other</v>
      </c>
    </row>
    <row r="3211" spans="1:7" x14ac:dyDescent="0.25">
      <c r="A3211">
        <v>24589</v>
      </c>
      <c r="B3211" t="s">
        <v>4</v>
      </c>
      <c r="C3211">
        <v>3</v>
      </c>
      <c r="D3211" t="s">
        <v>5</v>
      </c>
      <c r="F3211" t="str" cm="1">
        <f t="array" ref="F3211">CategorizeComment(E3211)</f>
        <v>Other</v>
      </c>
      <c r="G3211" t="str" cm="1">
        <f t="array" ref="G3211">SubCategorizeComment(E3211)</f>
        <v>Other</v>
      </c>
    </row>
    <row r="3212" spans="1:7" x14ac:dyDescent="0.25">
      <c r="A3212">
        <v>24590</v>
      </c>
      <c r="B3212" t="s">
        <v>4</v>
      </c>
      <c r="C3212">
        <v>4</v>
      </c>
      <c r="D3212" t="s">
        <v>5</v>
      </c>
      <c r="F3212" t="str" cm="1">
        <f t="array" ref="F3212">CategorizeComment(E3212)</f>
        <v>Other</v>
      </c>
      <c r="G3212" t="str" cm="1">
        <f t="array" ref="G3212">SubCategorizeComment(E3212)</f>
        <v>Other</v>
      </c>
    </row>
    <row r="3213" spans="1:7" x14ac:dyDescent="0.25">
      <c r="A3213">
        <v>24602</v>
      </c>
      <c r="B3213" t="s">
        <v>4</v>
      </c>
      <c r="C3213">
        <v>3</v>
      </c>
      <c r="D3213" t="s">
        <v>5</v>
      </c>
      <c r="F3213" t="str" cm="1">
        <f t="array" ref="F3213">CategorizeComment(E3213)</f>
        <v>Other</v>
      </c>
      <c r="G3213" t="str" cm="1">
        <f t="array" ref="G3213">SubCategorizeComment(E3213)</f>
        <v>Other</v>
      </c>
    </row>
    <row r="3214" spans="1:7" x14ac:dyDescent="0.25">
      <c r="A3214">
        <v>24628</v>
      </c>
      <c r="B3214" t="s">
        <v>4</v>
      </c>
      <c r="C3214">
        <v>3</v>
      </c>
      <c r="D3214" t="s">
        <v>5</v>
      </c>
      <c r="F3214" t="str" cm="1">
        <f t="array" ref="F3214">CategorizeComment(E3214)</f>
        <v>Other</v>
      </c>
      <c r="G3214" t="str" cm="1">
        <f t="array" ref="G3214">SubCategorizeComment(E3214)</f>
        <v>Other</v>
      </c>
    </row>
    <row r="3215" spans="1:7" x14ac:dyDescent="0.25">
      <c r="A3215">
        <v>24642</v>
      </c>
      <c r="B3215" t="s">
        <v>4</v>
      </c>
      <c r="C3215">
        <v>3</v>
      </c>
      <c r="D3215" t="s">
        <v>5</v>
      </c>
      <c r="F3215" t="str" cm="1">
        <f t="array" ref="F3215">CategorizeComment(E3215)</f>
        <v>Other</v>
      </c>
      <c r="G3215" t="str" cm="1">
        <f t="array" ref="G3215">SubCategorizeComment(E3215)</f>
        <v>Other</v>
      </c>
    </row>
    <row r="3216" spans="1:7" x14ac:dyDescent="0.25">
      <c r="A3216">
        <v>24656</v>
      </c>
      <c r="B3216" t="s">
        <v>4</v>
      </c>
      <c r="C3216">
        <v>4</v>
      </c>
      <c r="D3216" t="s">
        <v>5</v>
      </c>
      <c r="F3216" t="str" cm="1">
        <f t="array" ref="F3216">CategorizeComment(E3216)</f>
        <v>Other</v>
      </c>
      <c r="G3216" t="str" cm="1">
        <f t="array" ref="G3216">SubCategorizeComment(E3216)</f>
        <v>Other</v>
      </c>
    </row>
    <row r="3217" spans="1:7" x14ac:dyDescent="0.25">
      <c r="A3217">
        <v>24659</v>
      </c>
      <c r="B3217" t="s">
        <v>4</v>
      </c>
      <c r="C3217">
        <v>3</v>
      </c>
      <c r="D3217" t="s">
        <v>5</v>
      </c>
      <c r="F3217" t="str" cm="1">
        <f t="array" ref="F3217">CategorizeComment(E3217)</f>
        <v>Other</v>
      </c>
      <c r="G3217" t="str" cm="1">
        <f t="array" ref="G3217">SubCategorizeComment(E3217)</f>
        <v>Other</v>
      </c>
    </row>
    <row r="3218" spans="1:7" x14ac:dyDescent="0.25">
      <c r="A3218">
        <v>24664</v>
      </c>
      <c r="B3218" t="s">
        <v>4</v>
      </c>
      <c r="C3218">
        <v>3</v>
      </c>
      <c r="D3218" t="s">
        <v>5</v>
      </c>
      <c r="F3218" t="str" cm="1">
        <f t="array" ref="F3218">CategorizeComment(E3218)</f>
        <v>Other</v>
      </c>
      <c r="G3218" t="str" cm="1">
        <f t="array" ref="G3218">SubCategorizeComment(E3218)</f>
        <v>Other</v>
      </c>
    </row>
    <row r="3219" spans="1:7" x14ac:dyDescent="0.25">
      <c r="A3219">
        <v>24666</v>
      </c>
      <c r="B3219" t="s">
        <v>4</v>
      </c>
      <c r="C3219">
        <v>3</v>
      </c>
      <c r="D3219" t="s">
        <v>5</v>
      </c>
      <c r="F3219" t="str" cm="1">
        <f t="array" ref="F3219">CategorizeComment(E3219)</f>
        <v>Other</v>
      </c>
      <c r="G3219" t="str" cm="1">
        <f t="array" ref="G3219">SubCategorizeComment(E3219)</f>
        <v>Other</v>
      </c>
    </row>
    <row r="3220" spans="1:7" x14ac:dyDescent="0.25">
      <c r="A3220">
        <v>24702</v>
      </c>
      <c r="B3220" t="s">
        <v>4</v>
      </c>
      <c r="C3220">
        <v>4</v>
      </c>
      <c r="D3220" t="s">
        <v>5</v>
      </c>
      <c r="F3220" t="str" cm="1">
        <f t="array" ref="F3220">CategorizeComment(E3220)</f>
        <v>Other</v>
      </c>
      <c r="G3220" t="str" cm="1">
        <f t="array" ref="G3220">SubCategorizeComment(E3220)</f>
        <v>Other</v>
      </c>
    </row>
    <row r="3221" spans="1:7" x14ac:dyDescent="0.25">
      <c r="A3221">
        <v>24708</v>
      </c>
      <c r="B3221" t="s">
        <v>4</v>
      </c>
      <c r="C3221">
        <v>4</v>
      </c>
      <c r="D3221" t="s">
        <v>5</v>
      </c>
      <c r="F3221" t="str" cm="1">
        <f t="array" ref="F3221">CategorizeComment(E3221)</f>
        <v>Other</v>
      </c>
      <c r="G3221" t="str" cm="1">
        <f t="array" ref="G3221">SubCategorizeComment(E3221)</f>
        <v>Other</v>
      </c>
    </row>
    <row r="3222" spans="1:7" x14ac:dyDescent="0.25">
      <c r="A3222">
        <v>24721</v>
      </c>
      <c r="B3222" t="s">
        <v>4</v>
      </c>
      <c r="C3222">
        <v>4</v>
      </c>
      <c r="D3222" t="s">
        <v>5</v>
      </c>
      <c r="F3222" t="str" cm="1">
        <f t="array" ref="F3222">CategorizeComment(E3222)</f>
        <v>Other</v>
      </c>
      <c r="G3222" t="str" cm="1">
        <f t="array" ref="G3222">SubCategorizeComment(E3222)</f>
        <v>Other</v>
      </c>
    </row>
    <row r="3223" spans="1:7" x14ac:dyDescent="0.25">
      <c r="A3223">
        <v>24724</v>
      </c>
      <c r="B3223" t="s">
        <v>4</v>
      </c>
      <c r="C3223">
        <v>3</v>
      </c>
      <c r="D3223" t="s">
        <v>5</v>
      </c>
      <c r="F3223" t="str" cm="1">
        <f t="array" ref="F3223">CategorizeComment(E3223)</f>
        <v>Other</v>
      </c>
      <c r="G3223" t="str" cm="1">
        <f t="array" ref="G3223">SubCategorizeComment(E3223)</f>
        <v>Other</v>
      </c>
    </row>
    <row r="3224" spans="1:7" x14ac:dyDescent="0.25">
      <c r="A3224">
        <v>24737</v>
      </c>
      <c r="B3224" t="s">
        <v>4</v>
      </c>
      <c r="C3224">
        <v>4</v>
      </c>
      <c r="D3224" t="s">
        <v>5</v>
      </c>
      <c r="F3224" t="str" cm="1">
        <f t="array" ref="F3224">CategorizeComment(E3224)</f>
        <v>Other</v>
      </c>
      <c r="G3224" t="str" cm="1">
        <f t="array" ref="G3224">SubCategorizeComment(E3224)</f>
        <v>Other</v>
      </c>
    </row>
    <row r="3225" spans="1:7" x14ac:dyDescent="0.25">
      <c r="A3225">
        <v>24762</v>
      </c>
      <c r="B3225" t="s">
        <v>4</v>
      </c>
      <c r="C3225">
        <v>4</v>
      </c>
      <c r="D3225" t="s">
        <v>5</v>
      </c>
      <c r="F3225" t="str" cm="1">
        <f t="array" ref="F3225">CategorizeComment(E3225)</f>
        <v>Other</v>
      </c>
      <c r="G3225" t="str" cm="1">
        <f t="array" ref="G3225">SubCategorizeComment(E3225)</f>
        <v>Other</v>
      </c>
    </row>
    <row r="3226" spans="1:7" x14ac:dyDescent="0.25">
      <c r="A3226">
        <v>24770</v>
      </c>
      <c r="B3226" t="s">
        <v>4</v>
      </c>
      <c r="C3226">
        <v>4</v>
      </c>
      <c r="D3226" t="s">
        <v>5</v>
      </c>
      <c r="F3226" t="str" cm="1">
        <f t="array" ref="F3226">CategorizeComment(E3226)</f>
        <v>Other</v>
      </c>
      <c r="G3226" t="str" cm="1">
        <f t="array" ref="G3226">SubCategorizeComment(E3226)</f>
        <v>Other</v>
      </c>
    </row>
    <row r="3227" spans="1:7" x14ac:dyDescent="0.25">
      <c r="A3227">
        <v>24771</v>
      </c>
      <c r="B3227" t="s">
        <v>4</v>
      </c>
      <c r="C3227">
        <v>4</v>
      </c>
      <c r="D3227" t="s">
        <v>5</v>
      </c>
      <c r="F3227" t="str" cm="1">
        <f t="array" ref="F3227">CategorizeComment(E3227)</f>
        <v>Other</v>
      </c>
      <c r="G3227" t="str" cm="1">
        <f t="array" ref="G3227">SubCategorizeComment(E3227)</f>
        <v>Other</v>
      </c>
    </row>
    <row r="3228" spans="1:7" x14ac:dyDescent="0.25">
      <c r="A3228">
        <v>24773</v>
      </c>
      <c r="B3228" t="s">
        <v>4</v>
      </c>
      <c r="C3228">
        <v>3</v>
      </c>
      <c r="D3228" t="s">
        <v>5</v>
      </c>
      <c r="F3228" t="str" cm="1">
        <f t="array" ref="F3228">CategorizeComment(E3228)</f>
        <v>Other</v>
      </c>
      <c r="G3228" t="str" cm="1">
        <f t="array" ref="G3228">SubCategorizeComment(E3228)</f>
        <v>Other</v>
      </c>
    </row>
    <row r="3229" spans="1:7" x14ac:dyDescent="0.25">
      <c r="A3229">
        <v>24776</v>
      </c>
      <c r="B3229" t="s">
        <v>4</v>
      </c>
      <c r="C3229">
        <v>4</v>
      </c>
      <c r="D3229" t="s">
        <v>5</v>
      </c>
      <c r="F3229" t="str" cm="1">
        <f t="array" ref="F3229">CategorizeComment(E3229)</f>
        <v>Other</v>
      </c>
      <c r="G3229" t="str" cm="1">
        <f t="array" ref="G3229">SubCategorizeComment(E3229)</f>
        <v>Other</v>
      </c>
    </row>
    <row r="3230" spans="1:7" x14ac:dyDescent="0.25">
      <c r="A3230">
        <v>24778</v>
      </c>
      <c r="B3230" t="s">
        <v>4</v>
      </c>
      <c r="C3230">
        <v>3</v>
      </c>
      <c r="D3230" t="s">
        <v>5</v>
      </c>
      <c r="F3230" t="str" cm="1">
        <f t="array" ref="F3230">CategorizeComment(E3230)</f>
        <v>Other</v>
      </c>
      <c r="G3230" t="str" cm="1">
        <f t="array" ref="G3230">SubCategorizeComment(E3230)</f>
        <v>Other</v>
      </c>
    </row>
    <row r="3231" spans="1:7" x14ac:dyDescent="0.25">
      <c r="A3231">
        <v>24811</v>
      </c>
      <c r="B3231" t="s">
        <v>4</v>
      </c>
      <c r="C3231">
        <v>4</v>
      </c>
      <c r="D3231" t="s">
        <v>5</v>
      </c>
      <c r="F3231" t="str" cm="1">
        <f t="array" ref="F3231">CategorizeComment(E3231)</f>
        <v>Other</v>
      </c>
      <c r="G3231" t="str" cm="1">
        <f t="array" ref="G3231">SubCategorizeComment(E3231)</f>
        <v>Other</v>
      </c>
    </row>
    <row r="3232" spans="1:7" x14ac:dyDescent="0.25">
      <c r="A3232">
        <v>24831</v>
      </c>
      <c r="B3232" t="s">
        <v>4</v>
      </c>
      <c r="C3232">
        <v>3</v>
      </c>
      <c r="D3232" t="s">
        <v>5</v>
      </c>
      <c r="F3232" t="str" cm="1">
        <f t="array" ref="F3232">CategorizeComment(E3232)</f>
        <v>Other</v>
      </c>
      <c r="G3232" t="str" cm="1">
        <f t="array" ref="G3232">SubCategorizeComment(E3232)</f>
        <v>Other</v>
      </c>
    </row>
    <row r="3233" spans="1:7" x14ac:dyDescent="0.25">
      <c r="A3233">
        <v>24852</v>
      </c>
      <c r="B3233" t="s">
        <v>4</v>
      </c>
      <c r="C3233">
        <v>4</v>
      </c>
      <c r="D3233" t="s">
        <v>5</v>
      </c>
      <c r="F3233" t="str" cm="1">
        <f t="array" ref="F3233">CategorizeComment(E3233)</f>
        <v>Other</v>
      </c>
      <c r="G3233" t="str" cm="1">
        <f t="array" ref="G3233">SubCategorizeComment(E3233)</f>
        <v>Other</v>
      </c>
    </row>
    <row r="3234" spans="1:7" x14ac:dyDescent="0.25">
      <c r="A3234">
        <v>24864</v>
      </c>
      <c r="B3234" t="s">
        <v>4</v>
      </c>
      <c r="C3234">
        <v>4</v>
      </c>
      <c r="D3234" t="s">
        <v>5</v>
      </c>
      <c r="F3234" t="str" cm="1">
        <f t="array" ref="F3234">CategorizeComment(E3234)</f>
        <v>Other</v>
      </c>
      <c r="G3234" t="str" cm="1">
        <f t="array" ref="G3234">SubCategorizeComment(E3234)</f>
        <v>Other</v>
      </c>
    </row>
    <row r="3235" spans="1:7" x14ac:dyDescent="0.25">
      <c r="A3235">
        <v>24865</v>
      </c>
      <c r="B3235" t="s">
        <v>4</v>
      </c>
      <c r="C3235">
        <v>4</v>
      </c>
      <c r="D3235" t="s">
        <v>5</v>
      </c>
      <c r="F3235" t="str" cm="1">
        <f t="array" ref="F3235">CategorizeComment(E3235)</f>
        <v>Other</v>
      </c>
      <c r="G3235" t="str" cm="1">
        <f t="array" ref="G3235">SubCategorizeComment(E3235)</f>
        <v>Other</v>
      </c>
    </row>
    <row r="3236" spans="1:7" x14ac:dyDescent="0.25">
      <c r="A3236">
        <v>24873</v>
      </c>
      <c r="B3236" t="s">
        <v>4</v>
      </c>
      <c r="C3236">
        <v>3</v>
      </c>
      <c r="D3236" t="s">
        <v>5</v>
      </c>
      <c r="F3236" t="str" cm="1">
        <f t="array" ref="F3236">CategorizeComment(E3236)</f>
        <v>Other</v>
      </c>
      <c r="G3236" t="str" cm="1">
        <f t="array" ref="G3236">SubCategorizeComment(E3236)</f>
        <v>Other</v>
      </c>
    </row>
    <row r="3237" spans="1:7" x14ac:dyDescent="0.25">
      <c r="A3237">
        <v>24884</v>
      </c>
      <c r="B3237" t="s">
        <v>4</v>
      </c>
      <c r="C3237">
        <v>3</v>
      </c>
      <c r="D3237" t="s">
        <v>5</v>
      </c>
      <c r="F3237" t="str" cm="1">
        <f t="array" ref="F3237">CategorizeComment(E3237)</f>
        <v>Other</v>
      </c>
      <c r="G3237" t="str" cm="1">
        <f t="array" ref="G3237">SubCategorizeComment(E3237)</f>
        <v>Other</v>
      </c>
    </row>
    <row r="3238" spans="1:7" x14ac:dyDescent="0.25">
      <c r="A3238">
        <v>24886</v>
      </c>
      <c r="B3238" t="s">
        <v>4</v>
      </c>
      <c r="C3238">
        <v>4</v>
      </c>
      <c r="D3238" t="s">
        <v>5</v>
      </c>
      <c r="F3238" t="str" cm="1">
        <f t="array" ref="F3238">CategorizeComment(E3238)</f>
        <v>Other</v>
      </c>
      <c r="G3238" t="str" cm="1">
        <f t="array" ref="G3238">SubCategorizeComment(E3238)</f>
        <v>Other</v>
      </c>
    </row>
    <row r="3239" spans="1:7" x14ac:dyDescent="0.25">
      <c r="A3239">
        <v>24891</v>
      </c>
      <c r="B3239" t="s">
        <v>4</v>
      </c>
      <c r="C3239">
        <v>4</v>
      </c>
      <c r="D3239" t="s">
        <v>5</v>
      </c>
      <c r="F3239" t="str" cm="1">
        <f t="array" ref="F3239">CategorizeComment(E3239)</f>
        <v>Other</v>
      </c>
      <c r="G3239" t="str" cm="1">
        <f t="array" ref="G3239">SubCategorizeComment(E3239)</f>
        <v>Other</v>
      </c>
    </row>
    <row r="3240" spans="1:7" x14ac:dyDescent="0.25">
      <c r="A3240">
        <v>24894</v>
      </c>
      <c r="B3240" t="s">
        <v>4</v>
      </c>
      <c r="C3240">
        <v>3</v>
      </c>
      <c r="D3240" t="s">
        <v>5</v>
      </c>
      <c r="F3240" t="str" cm="1">
        <f t="array" ref="F3240">CategorizeComment(E3240)</f>
        <v>Other</v>
      </c>
      <c r="G3240" t="str" cm="1">
        <f t="array" ref="G3240">SubCategorizeComment(E3240)</f>
        <v>Other</v>
      </c>
    </row>
    <row r="3241" spans="1:7" x14ac:dyDescent="0.25">
      <c r="A3241">
        <v>24898</v>
      </c>
      <c r="B3241" t="s">
        <v>4</v>
      </c>
      <c r="C3241">
        <v>3</v>
      </c>
      <c r="D3241" t="s">
        <v>5</v>
      </c>
      <c r="F3241" t="str" cm="1">
        <f t="array" ref="F3241">CategorizeComment(E3241)</f>
        <v>Other</v>
      </c>
      <c r="G3241" t="str" cm="1">
        <f t="array" ref="G3241">SubCategorizeComment(E3241)</f>
        <v>Other</v>
      </c>
    </row>
    <row r="3242" spans="1:7" x14ac:dyDescent="0.25">
      <c r="A3242">
        <v>24901</v>
      </c>
      <c r="B3242" t="s">
        <v>4</v>
      </c>
      <c r="C3242">
        <v>3</v>
      </c>
      <c r="D3242" t="s">
        <v>5</v>
      </c>
      <c r="F3242" t="str" cm="1">
        <f t="array" ref="F3242">CategorizeComment(E3242)</f>
        <v>Other</v>
      </c>
      <c r="G3242" t="str" cm="1">
        <f t="array" ref="G3242">SubCategorizeComment(E3242)</f>
        <v>Other</v>
      </c>
    </row>
    <row r="3243" spans="1:7" x14ac:dyDescent="0.25">
      <c r="A3243">
        <v>24917</v>
      </c>
      <c r="B3243" t="s">
        <v>4</v>
      </c>
      <c r="C3243">
        <v>3</v>
      </c>
      <c r="D3243" t="s">
        <v>5</v>
      </c>
      <c r="F3243" t="str" cm="1">
        <f t="array" ref="F3243">CategorizeComment(E3243)</f>
        <v>Other</v>
      </c>
      <c r="G3243" t="str" cm="1">
        <f t="array" ref="G3243">SubCategorizeComment(E3243)</f>
        <v>Other</v>
      </c>
    </row>
    <row r="3244" spans="1:7" x14ac:dyDescent="0.25">
      <c r="A3244">
        <v>24918</v>
      </c>
      <c r="B3244" t="s">
        <v>4</v>
      </c>
      <c r="C3244">
        <v>3</v>
      </c>
      <c r="D3244" t="s">
        <v>5</v>
      </c>
      <c r="F3244" t="str" cm="1">
        <f t="array" ref="F3244">CategorizeComment(E3244)</f>
        <v>Other</v>
      </c>
      <c r="G3244" t="str" cm="1">
        <f t="array" ref="G3244">SubCategorizeComment(E3244)</f>
        <v>Other</v>
      </c>
    </row>
    <row r="3245" spans="1:7" x14ac:dyDescent="0.25">
      <c r="A3245">
        <v>24938</v>
      </c>
      <c r="B3245" t="s">
        <v>4</v>
      </c>
      <c r="C3245">
        <v>4</v>
      </c>
      <c r="D3245" t="s">
        <v>5</v>
      </c>
      <c r="F3245" t="str" cm="1">
        <f t="array" ref="F3245">CategorizeComment(E3245)</f>
        <v>Other</v>
      </c>
      <c r="G3245" t="str" cm="1">
        <f t="array" ref="G3245">SubCategorizeComment(E3245)</f>
        <v>Other</v>
      </c>
    </row>
    <row r="3246" spans="1:7" x14ac:dyDescent="0.25">
      <c r="A3246">
        <v>24948</v>
      </c>
      <c r="B3246" t="s">
        <v>4</v>
      </c>
      <c r="C3246">
        <v>3</v>
      </c>
      <c r="D3246" t="s">
        <v>5</v>
      </c>
      <c r="F3246" t="str" cm="1">
        <f t="array" ref="F3246">CategorizeComment(E3246)</f>
        <v>Other</v>
      </c>
      <c r="G3246" t="str" cm="1">
        <f t="array" ref="G3246">SubCategorizeComment(E3246)</f>
        <v>Other</v>
      </c>
    </row>
    <row r="3247" spans="1:7" x14ac:dyDescent="0.25">
      <c r="A3247">
        <v>24951</v>
      </c>
      <c r="B3247" t="s">
        <v>4</v>
      </c>
      <c r="C3247">
        <v>3</v>
      </c>
      <c r="D3247" t="s">
        <v>5</v>
      </c>
      <c r="F3247" t="str" cm="1">
        <f t="array" ref="F3247">CategorizeComment(E3247)</f>
        <v>Other</v>
      </c>
      <c r="G3247" t="str" cm="1">
        <f t="array" ref="G3247">SubCategorizeComment(E3247)</f>
        <v>Other</v>
      </c>
    </row>
    <row r="3248" spans="1:7" x14ac:dyDescent="0.25">
      <c r="A3248">
        <v>24966</v>
      </c>
      <c r="B3248" t="s">
        <v>4</v>
      </c>
      <c r="C3248">
        <v>4</v>
      </c>
      <c r="D3248" t="s">
        <v>5</v>
      </c>
      <c r="F3248" t="str" cm="1">
        <f t="array" ref="F3248">CategorizeComment(E3248)</f>
        <v>Other</v>
      </c>
      <c r="G3248" t="str" cm="1">
        <f t="array" ref="G3248">SubCategorizeComment(E3248)</f>
        <v>Other</v>
      </c>
    </row>
    <row r="3249" spans="1:7" x14ac:dyDescent="0.25">
      <c r="A3249">
        <v>24973</v>
      </c>
      <c r="B3249" t="s">
        <v>4</v>
      </c>
      <c r="C3249">
        <v>4</v>
      </c>
      <c r="D3249" t="s">
        <v>5</v>
      </c>
      <c r="F3249" t="str" cm="1">
        <f t="array" ref="F3249">CategorizeComment(E3249)</f>
        <v>Other</v>
      </c>
      <c r="G3249" t="str" cm="1">
        <f t="array" ref="G3249">SubCategorizeComment(E3249)</f>
        <v>Other</v>
      </c>
    </row>
    <row r="3250" spans="1:7" x14ac:dyDescent="0.25">
      <c r="A3250">
        <v>24979</v>
      </c>
      <c r="B3250" t="s">
        <v>4</v>
      </c>
      <c r="C3250">
        <v>4</v>
      </c>
      <c r="D3250" t="s">
        <v>5</v>
      </c>
      <c r="F3250" t="str" cm="1">
        <f t="array" ref="F3250">CategorizeComment(E3250)</f>
        <v>Other</v>
      </c>
      <c r="G3250" t="str" cm="1">
        <f t="array" ref="G3250">SubCategorizeComment(E3250)</f>
        <v>Other</v>
      </c>
    </row>
    <row r="3251" spans="1:7" x14ac:dyDescent="0.25">
      <c r="A3251">
        <v>24991</v>
      </c>
      <c r="B3251" t="s">
        <v>4</v>
      </c>
      <c r="C3251">
        <v>3</v>
      </c>
      <c r="D3251" t="s">
        <v>5</v>
      </c>
      <c r="F3251" t="str" cm="1">
        <f t="array" ref="F3251">CategorizeComment(E3251)</f>
        <v>Other</v>
      </c>
      <c r="G3251" t="str" cm="1">
        <f t="array" ref="G3251">SubCategorizeComment(E3251)</f>
        <v>Other</v>
      </c>
    </row>
    <row r="3252" spans="1:7" x14ac:dyDescent="0.25">
      <c r="A3252">
        <v>24994</v>
      </c>
      <c r="B3252" t="s">
        <v>4</v>
      </c>
      <c r="C3252">
        <v>4</v>
      </c>
      <c r="D3252" t="s">
        <v>5</v>
      </c>
      <c r="F3252" t="str" cm="1">
        <f t="array" ref="F3252">CategorizeComment(E3252)</f>
        <v>Other</v>
      </c>
      <c r="G3252" t="str" cm="1">
        <f t="array" ref="G3252">SubCategorizeComment(E3252)</f>
        <v>Other</v>
      </c>
    </row>
    <row r="3253" spans="1:7" x14ac:dyDescent="0.25">
      <c r="A3253">
        <v>25005</v>
      </c>
      <c r="B3253" t="s">
        <v>4</v>
      </c>
      <c r="C3253">
        <v>4</v>
      </c>
      <c r="D3253" t="s">
        <v>5</v>
      </c>
      <c r="F3253" t="str" cm="1">
        <f t="array" ref="F3253">CategorizeComment(E3253)</f>
        <v>Other</v>
      </c>
      <c r="G3253" t="str" cm="1">
        <f t="array" ref="G3253">SubCategorizeComment(E3253)</f>
        <v>Other</v>
      </c>
    </row>
    <row r="3254" spans="1:7" x14ac:dyDescent="0.25">
      <c r="A3254">
        <v>25011</v>
      </c>
      <c r="B3254" t="s">
        <v>4</v>
      </c>
      <c r="C3254">
        <v>4</v>
      </c>
      <c r="D3254" t="s">
        <v>5</v>
      </c>
      <c r="F3254" t="str" cm="1">
        <f t="array" ref="F3254">CategorizeComment(E3254)</f>
        <v>Other</v>
      </c>
      <c r="G3254" t="str" cm="1">
        <f t="array" ref="G3254">SubCategorizeComment(E3254)</f>
        <v>Other</v>
      </c>
    </row>
    <row r="3255" spans="1:7" x14ac:dyDescent="0.25">
      <c r="A3255">
        <v>25020</v>
      </c>
      <c r="B3255" t="s">
        <v>4</v>
      </c>
      <c r="C3255">
        <v>3</v>
      </c>
      <c r="D3255" t="s">
        <v>5</v>
      </c>
      <c r="F3255" t="str" cm="1">
        <f t="array" ref="F3255">CategorizeComment(E3255)</f>
        <v>Other</v>
      </c>
      <c r="G3255" t="str" cm="1">
        <f t="array" ref="G3255">SubCategorizeComment(E3255)</f>
        <v>Other</v>
      </c>
    </row>
    <row r="3256" spans="1:7" x14ac:dyDescent="0.25">
      <c r="A3256">
        <v>25024</v>
      </c>
      <c r="B3256" t="s">
        <v>4</v>
      </c>
      <c r="C3256">
        <v>3</v>
      </c>
      <c r="D3256" t="s">
        <v>5</v>
      </c>
      <c r="F3256" t="str" cm="1">
        <f t="array" ref="F3256">CategorizeComment(E3256)</f>
        <v>Other</v>
      </c>
      <c r="G3256" t="str" cm="1">
        <f t="array" ref="G3256">SubCategorizeComment(E3256)</f>
        <v>Other</v>
      </c>
    </row>
    <row r="3257" spans="1:7" x14ac:dyDescent="0.25">
      <c r="A3257">
        <v>25028</v>
      </c>
      <c r="B3257" t="s">
        <v>4</v>
      </c>
      <c r="C3257">
        <v>4</v>
      </c>
      <c r="D3257" t="s">
        <v>5</v>
      </c>
      <c r="F3257" t="str" cm="1">
        <f t="array" ref="F3257">CategorizeComment(E3257)</f>
        <v>Other</v>
      </c>
      <c r="G3257" t="str" cm="1">
        <f t="array" ref="G3257">SubCategorizeComment(E3257)</f>
        <v>Other</v>
      </c>
    </row>
    <row r="3258" spans="1:7" x14ac:dyDescent="0.25">
      <c r="A3258">
        <v>25030</v>
      </c>
      <c r="B3258" t="s">
        <v>4</v>
      </c>
      <c r="C3258">
        <v>3</v>
      </c>
      <c r="D3258" t="s">
        <v>5</v>
      </c>
      <c r="F3258" t="str" cm="1">
        <f t="array" ref="F3258">CategorizeComment(E3258)</f>
        <v>Other</v>
      </c>
      <c r="G3258" t="str" cm="1">
        <f t="array" ref="G3258">SubCategorizeComment(E3258)</f>
        <v>Other</v>
      </c>
    </row>
    <row r="3259" spans="1:7" x14ac:dyDescent="0.25">
      <c r="A3259">
        <v>25052</v>
      </c>
      <c r="B3259" t="s">
        <v>4</v>
      </c>
      <c r="C3259">
        <v>4</v>
      </c>
      <c r="D3259" t="s">
        <v>5</v>
      </c>
      <c r="F3259" t="str" cm="1">
        <f t="array" ref="F3259">CategorizeComment(E3259)</f>
        <v>Other</v>
      </c>
      <c r="G3259" t="str" cm="1">
        <f t="array" ref="G3259">SubCategorizeComment(E3259)</f>
        <v>Other</v>
      </c>
    </row>
    <row r="3260" spans="1:7" x14ac:dyDescent="0.25">
      <c r="A3260">
        <v>25069</v>
      </c>
      <c r="B3260" t="s">
        <v>4</v>
      </c>
      <c r="C3260">
        <v>4</v>
      </c>
      <c r="D3260" t="s">
        <v>5</v>
      </c>
      <c r="F3260" t="str" cm="1">
        <f t="array" ref="F3260">CategorizeComment(E3260)</f>
        <v>Other</v>
      </c>
      <c r="G3260" t="str" cm="1">
        <f t="array" ref="G3260">SubCategorizeComment(E3260)</f>
        <v>Other</v>
      </c>
    </row>
    <row r="3261" spans="1:7" x14ac:dyDescent="0.25">
      <c r="A3261">
        <v>25079</v>
      </c>
      <c r="B3261" t="s">
        <v>4</v>
      </c>
      <c r="C3261">
        <v>4</v>
      </c>
      <c r="D3261" t="s">
        <v>5</v>
      </c>
      <c r="F3261" t="str" cm="1">
        <f t="array" ref="F3261">CategorizeComment(E3261)</f>
        <v>Other</v>
      </c>
      <c r="G3261" t="str" cm="1">
        <f t="array" ref="G3261">SubCategorizeComment(E3261)</f>
        <v>Other</v>
      </c>
    </row>
    <row r="3262" spans="1:7" x14ac:dyDescent="0.25">
      <c r="A3262">
        <v>25098</v>
      </c>
      <c r="B3262" t="s">
        <v>4</v>
      </c>
      <c r="C3262">
        <v>4</v>
      </c>
      <c r="D3262" t="s">
        <v>5</v>
      </c>
      <c r="F3262" t="str" cm="1">
        <f t="array" ref="F3262">CategorizeComment(E3262)</f>
        <v>Other</v>
      </c>
      <c r="G3262" t="str" cm="1">
        <f t="array" ref="G3262">SubCategorizeComment(E3262)</f>
        <v>Other</v>
      </c>
    </row>
    <row r="3263" spans="1:7" x14ac:dyDescent="0.25">
      <c r="A3263">
        <v>25111</v>
      </c>
      <c r="B3263" t="s">
        <v>4</v>
      </c>
      <c r="C3263">
        <v>3</v>
      </c>
      <c r="D3263" t="s">
        <v>5</v>
      </c>
      <c r="F3263" t="str" cm="1">
        <f t="array" ref="F3263">CategorizeComment(E3263)</f>
        <v>Other</v>
      </c>
      <c r="G3263" t="str" cm="1">
        <f t="array" ref="G3263">SubCategorizeComment(E3263)</f>
        <v>Other</v>
      </c>
    </row>
    <row r="3264" spans="1:7" x14ac:dyDescent="0.25">
      <c r="A3264">
        <v>25121</v>
      </c>
      <c r="B3264" t="s">
        <v>4</v>
      </c>
      <c r="C3264">
        <v>3</v>
      </c>
      <c r="D3264" t="s">
        <v>5</v>
      </c>
      <c r="F3264" t="str" cm="1">
        <f t="array" ref="F3264">CategorizeComment(E3264)</f>
        <v>Other</v>
      </c>
      <c r="G3264" t="str" cm="1">
        <f t="array" ref="G3264">SubCategorizeComment(E3264)</f>
        <v>Other</v>
      </c>
    </row>
    <row r="3265" spans="1:7" x14ac:dyDescent="0.25">
      <c r="A3265">
        <v>25151</v>
      </c>
      <c r="B3265" t="s">
        <v>4</v>
      </c>
      <c r="C3265">
        <v>4</v>
      </c>
      <c r="D3265" t="s">
        <v>5</v>
      </c>
      <c r="F3265" t="str" cm="1">
        <f t="array" ref="F3265">CategorizeComment(E3265)</f>
        <v>Other</v>
      </c>
      <c r="G3265" t="str" cm="1">
        <f t="array" ref="G3265">SubCategorizeComment(E3265)</f>
        <v>Other</v>
      </c>
    </row>
    <row r="3266" spans="1:7" x14ac:dyDescent="0.25">
      <c r="A3266">
        <v>25159</v>
      </c>
      <c r="B3266" t="s">
        <v>4</v>
      </c>
      <c r="C3266">
        <v>4</v>
      </c>
      <c r="D3266" t="s">
        <v>5</v>
      </c>
      <c r="F3266" t="str" cm="1">
        <f t="array" ref="F3266">CategorizeComment(E3266)</f>
        <v>Other</v>
      </c>
      <c r="G3266" t="str" cm="1">
        <f t="array" ref="G3266">SubCategorizeComment(E3266)</f>
        <v>Other</v>
      </c>
    </row>
    <row r="3267" spans="1:7" x14ac:dyDescent="0.25">
      <c r="A3267">
        <v>25167</v>
      </c>
      <c r="B3267" t="s">
        <v>4</v>
      </c>
      <c r="C3267">
        <v>3</v>
      </c>
      <c r="D3267" t="s">
        <v>5</v>
      </c>
      <c r="F3267" t="str" cm="1">
        <f t="array" ref="F3267">CategorizeComment(E3267)</f>
        <v>Other</v>
      </c>
      <c r="G3267" t="str" cm="1">
        <f t="array" ref="G3267">SubCategorizeComment(E3267)</f>
        <v>Other</v>
      </c>
    </row>
    <row r="3268" spans="1:7" x14ac:dyDescent="0.25">
      <c r="A3268">
        <v>25172</v>
      </c>
      <c r="B3268" t="s">
        <v>4</v>
      </c>
      <c r="C3268">
        <v>4</v>
      </c>
      <c r="D3268" t="s">
        <v>5</v>
      </c>
      <c r="F3268" t="str" cm="1">
        <f t="array" ref="F3268">CategorizeComment(E3268)</f>
        <v>Other</v>
      </c>
      <c r="G3268" t="str" cm="1">
        <f t="array" ref="G3268">SubCategorizeComment(E3268)</f>
        <v>Other</v>
      </c>
    </row>
    <row r="3269" spans="1:7" x14ac:dyDescent="0.25">
      <c r="A3269">
        <v>25178</v>
      </c>
      <c r="B3269" t="s">
        <v>4</v>
      </c>
      <c r="C3269">
        <v>4</v>
      </c>
      <c r="D3269" t="s">
        <v>5</v>
      </c>
      <c r="F3269" t="str" cm="1">
        <f t="array" ref="F3269">CategorizeComment(E3269)</f>
        <v>Other</v>
      </c>
      <c r="G3269" t="str" cm="1">
        <f t="array" ref="G3269">SubCategorizeComment(E3269)</f>
        <v>Other</v>
      </c>
    </row>
    <row r="3270" spans="1:7" x14ac:dyDescent="0.25">
      <c r="A3270">
        <v>25192</v>
      </c>
      <c r="B3270" t="s">
        <v>4</v>
      </c>
      <c r="C3270">
        <v>3</v>
      </c>
      <c r="D3270" t="s">
        <v>5</v>
      </c>
      <c r="F3270" t="str" cm="1">
        <f t="array" ref="F3270">CategorizeComment(E3270)</f>
        <v>Other</v>
      </c>
      <c r="G3270" t="str" cm="1">
        <f t="array" ref="G3270">SubCategorizeComment(E3270)</f>
        <v>Other</v>
      </c>
    </row>
    <row r="3271" spans="1:7" x14ac:dyDescent="0.25">
      <c r="A3271">
        <v>25194</v>
      </c>
      <c r="B3271" t="s">
        <v>4</v>
      </c>
      <c r="C3271">
        <v>3</v>
      </c>
      <c r="D3271" t="s">
        <v>5</v>
      </c>
      <c r="F3271" t="str" cm="1">
        <f t="array" ref="F3271">CategorizeComment(E3271)</f>
        <v>Other</v>
      </c>
      <c r="G3271" t="str" cm="1">
        <f t="array" ref="G3271">SubCategorizeComment(E3271)</f>
        <v>Other</v>
      </c>
    </row>
    <row r="3272" spans="1:7" x14ac:dyDescent="0.25">
      <c r="A3272">
        <v>25197</v>
      </c>
      <c r="B3272" t="s">
        <v>4</v>
      </c>
      <c r="C3272">
        <v>3</v>
      </c>
      <c r="D3272" t="s">
        <v>5</v>
      </c>
      <c r="F3272" t="str" cm="1">
        <f t="array" ref="F3272">CategorizeComment(E3272)</f>
        <v>Other</v>
      </c>
      <c r="G3272" t="str" cm="1">
        <f t="array" ref="G3272">SubCategorizeComment(E3272)</f>
        <v>Other</v>
      </c>
    </row>
    <row r="3273" spans="1:7" x14ac:dyDescent="0.25">
      <c r="A3273">
        <v>25213</v>
      </c>
      <c r="B3273" t="s">
        <v>4</v>
      </c>
      <c r="C3273">
        <v>4</v>
      </c>
      <c r="D3273" t="s">
        <v>5</v>
      </c>
      <c r="F3273" t="str" cm="1">
        <f t="array" ref="F3273">CategorizeComment(E3273)</f>
        <v>Other</v>
      </c>
      <c r="G3273" t="str" cm="1">
        <f t="array" ref="G3273">SubCategorizeComment(E3273)</f>
        <v>Other</v>
      </c>
    </row>
    <row r="3274" spans="1:7" x14ac:dyDescent="0.25">
      <c r="A3274">
        <v>25216</v>
      </c>
      <c r="B3274" t="s">
        <v>4</v>
      </c>
      <c r="C3274">
        <v>3</v>
      </c>
      <c r="D3274" t="s">
        <v>5</v>
      </c>
      <c r="F3274" t="str" cm="1">
        <f t="array" ref="F3274">CategorizeComment(E3274)</f>
        <v>Other</v>
      </c>
      <c r="G3274" t="str" cm="1">
        <f t="array" ref="G3274">SubCategorizeComment(E3274)</f>
        <v>Other</v>
      </c>
    </row>
    <row r="3275" spans="1:7" x14ac:dyDescent="0.25">
      <c r="A3275">
        <v>25220</v>
      </c>
      <c r="B3275" t="s">
        <v>4</v>
      </c>
      <c r="C3275">
        <v>3</v>
      </c>
      <c r="D3275" t="s">
        <v>5</v>
      </c>
      <c r="F3275" t="str" cm="1">
        <f t="array" ref="F3275">CategorizeComment(E3275)</f>
        <v>Other</v>
      </c>
      <c r="G3275" t="str" cm="1">
        <f t="array" ref="G3275">SubCategorizeComment(E3275)</f>
        <v>Other</v>
      </c>
    </row>
    <row r="3276" spans="1:7" x14ac:dyDescent="0.25">
      <c r="A3276">
        <v>25221</v>
      </c>
      <c r="B3276" t="s">
        <v>4</v>
      </c>
      <c r="C3276">
        <v>4</v>
      </c>
      <c r="D3276" t="s">
        <v>5</v>
      </c>
      <c r="F3276" t="str" cm="1">
        <f t="array" ref="F3276">CategorizeComment(E3276)</f>
        <v>Other</v>
      </c>
      <c r="G3276" t="str" cm="1">
        <f t="array" ref="G3276">SubCategorizeComment(E3276)</f>
        <v>Other</v>
      </c>
    </row>
    <row r="3277" spans="1:7" x14ac:dyDescent="0.25">
      <c r="A3277">
        <v>25225</v>
      </c>
      <c r="B3277" t="s">
        <v>4</v>
      </c>
      <c r="C3277">
        <v>4</v>
      </c>
      <c r="D3277" t="s">
        <v>5</v>
      </c>
      <c r="F3277" t="str" cm="1">
        <f t="array" ref="F3277">CategorizeComment(E3277)</f>
        <v>Other</v>
      </c>
      <c r="G3277" t="str" cm="1">
        <f t="array" ref="G3277">SubCategorizeComment(E3277)</f>
        <v>Other</v>
      </c>
    </row>
    <row r="3278" spans="1:7" x14ac:dyDescent="0.25">
      <c r="A3278">
        <v>25245</v>
      </c>
      <c r="B3278" t="s">
        <v>4</v>
      </c>
      <c r="C3278">
        <v>3</v>
      </c>
      <c r="D3278" t="s">
        <v>5</v>
      </c>
      <c r="F3278" t="str" cm="1">
        <f t="array" ref="F3278">CategorizeComment(E3278)</f>
        <v>Other</v>
      </c>
      <c r="G3278" t="str" cm="1">
        <f t="array" ref="G3278">SubCategorizeComment(E3278)</f>
        <v>Other</v>
      </c>
    </row>
    <row r="3279" spans="1:7" x14ac:dyDescent="0.25">
      <c r="A3279">
        <v>25267</v>
      </c>
      <c r="B3279" t="s">
        <v>4</v>
      </c>
      <c r="C3279">
        <v>3</v>
      </c>
      <c r="D3279" t="s">
        <v>5</v>
      </c>
      <c r="F3279" t="str" cm="1">
        <f t="array" ref="F3279">CategorizeComment(E3279)</f>
        <v>Other</v>
      </c>
      <c r="G3279" t="str" cm="1">
        <f t="array" ref="G3279">SubCategorizeComment(E3279)</f>
        <v>Other</v>
      </c>
    </row>
    <row r="3280" spans="1:7" x14ac:dyDescent="0.25">
      <c r="A3280">
        <v>25272</v>
      </c>
      <c r="B3280" t="s">
        <v>4</v>
      </c>
      <c r="C3280">
        <v>3</v>
      </c>
      <c r="D3280" t="s">
        <v>5</v>
      </c>
      <c r="F3280" t="str" cm="1">
        <f t="array" ref="F3280">CategorizeComment(E3280)</f>
        <v>Other</v>
      </c>
      <c r="G3280" t="str" cm="1">
        <f t="array" ref="G3280">SubCategorizeComment(E3280)</f>
        <v>Other</v>
      </c>
    </row>
    <row r="3281" spans="1:7" x14ac:dyDescent="0.25">
      <c r="A3281">
        <v>25274</v>
      </c>
      <c r="B3281" t="s">
        <v>4</v>
      </c>
      <c r="C3281">
        <v>4</v>
      </c>
      <c r="D3281" t="s">
        <v>5</v>
      </c>
      <c r="F3281" t="str" cm="1">
        <f t="array" ref="F3281">CategorizeComment(E3281)</f>
        <v>Other</v>
      </c>
      <c r="G3281" t="str" cm="1">
        <f t="array" ref="G3281">SubCategorizeComment(E3281)</f>
        <v>Other</v>
      </c>
    </row>
    <row r="3282" spans="1:7" x14ac:dyDescent="0.25">
      <c r="A3282">
        <v>25283</v>
      </c>
      <c r="B3282" t="s">
        <v>4</v>
      </c>
      <c r="C3282">
        <v>2</v>
      </c>
      <c r="D3282" t="s">
        <v>5</v>
      </c>
      <c r="F3282" t="str" cm="1">
        <f t="array" ref="F3282">CategorizeComment(E3282)</f>
        <v>Other</v>
      </c>
      <c r="G3282" t="str" cm="1">
        <f t="array" ref="G3282">SubCategorizeComment(E3282)</f>
        <v>Other</v>
      </c>
    </row>
    <row r="3283" spans="1:7" x14ac:dyDescent="0.25">
      <c r="A3283">
        <v>25284</v>
      </c>
      <c r="B3283" t="s">
        <v>4</v>
      </c>
      <c r="C3283">
        <v>3</v>
      </c>
      <c r="D3283" t="s">
        <v>5</v>
      </c>
      <c r="F3283" t="str" cm="1">
        <f t="array" ref="F3283">CategorizeComment(E3283)</f>
        <v>Other</v>
      </c>
      <c r="G3283" t="str" cm="1">
        <f t="array" ref="G3283">SubCategorizeComment(E3283)</f>
        <v>Other</v>
      </c>
    </row>
    <row r="3284" spans="1:7" x14ac:dyDescent="0.25">
      <c r="A3284">
        <v>25299</v>
      </c>
      <c r="B3284" t="s">
        <v>4</v>
      </c>
      <c r="C3284">
        <v>4</v>
      </c>
      <c r="D3284" t="s">
        <v>5</v>
      </c>
      <c r="F3284" t="str" cm="1">
        <f t="array" ref="F3284">CategorizeComment(E3284)</f>
        <v>Other</v>
      </c>
      <c r="G3284" t="str" cm="1">
        <f t="array" ref="G3284">SubCategorizeComment(E3284)</f>
        <v>Other</v>
      </c>
    </row>
    <row r="3285" spans="1:7" x14ac:dyDescent="0.25">
      <c r="A3285">
        <v>25304</v>
      </c>
      <c r="B3285" t="s">
        <v>4</v>
      </c>
      <c r="C3285">
        <v>3</v>
      </c>
      <c r="D3285" t="s">
        <v>5</v>
      </c>
      <c r="F3285" t="str" cm="1">
        <f t="array" ref="F3285">CategorizeComment(E3285)</f>
        <v>Other</v>
      </c>
      <c r="G3285" t="str" cm="1">
        <f t="array" ref="G3285">SubCategorizeComment(E3285)</f>
        <v>Other</v>
      </c>
    </row>
    <row r="3286" spans="1:7" x14ac:dyDescent="0.25">
      <c r="A3286">
        <v>25310</v>
      </c>
      <c r="B3286" t="s">
        <v>4</v>
      </c>
      <c r="C3286">
        <v>3</v>
      </c>
      <c r="D3286" t="s">
        <v>5</v>
      </c>
      <c r="F3286" t="str" cm="1">
        <f t="array" ref="F3286">CategorizeComment(E3286)</f>
        <v>Other</v>
      </c>
      <c r="G3286" t="str" cm="1">
        <f t="array" ref="G3286">SubCategorizeComment(E3286)</f>
        <v>Other</v>
      </c>
    </row>
    <row r="3287" spans="1:7" x14ac:dyDescent="0.25">
      <c r="A3287">
        <v>25312</v>
      </c>
      <c r="B3287" t="s">
        <v>4</v>
      </c>
      <c r="C3287">
        <v>3</v>
      </c>
      <c r="D3287" t="s">
        <v>5</v>
      </c>
      <c r="F3287" t="str" cm="1">
        <f t="array" ref="F3287">CategorizeComment(E3287)</f>
        <v>Other</v>
      </c>
      <c r="G3287" t="str" cm="1">
        <f t="array" ref="G3287">SubCategorizeComment(E3287)</f>
        <v>Other</v>
      </c>
    </row>
    <row r="3288" spans="1:7" x14ac:dyDescent="0.25">
      <c r="A3288">
        <v>25313</v>
      </c>
      <c r="B3288" t="s">
        <v>4</v>
      </c>
      <c r="C3288">
        <v>4</v>
      </c>
      <c r="D3288" t="s">
        <v>5</v>
      </c>
      <c r="F3288" t="str" cm="1">
        <f t="array" ref="F3288">CategorizeComment(E3288)</f>
        <v>Other</v>
      </c>
      <c r="G3288" t="str" cm="1">
        <f t="array" ref="G3288">SubCategorizeComment(E3288)</f>
        <v>Other</v>
      </c>
    </row>
    <row r="3289" spans="1:7" x14ac:dyDescent="0.25">
      <c r="A3289">
        <v>25342</v>
      </c>
      <c r="B3289" t="s">
        <v>4</v>
      </c>
      <c r="C3289">
        <v>3</v>
      </c>
      <c r="D3289" t="s">
        <v>5</v>
      </c>
      <c r="F3289" t="str" cm="1">
        <f t="array" ref="F3289">CategorizeComment(E3289)</f>
        <v>Other</v>
      </c>
      <c r="G3289" t="str" cm="1">
        <f t="array" ref="G3289">SubCategorizeComment(E3289)</f>
        <v>Other</v>
      </c>
    </row>
    <row r="3290" spans="1:7" x14ac:dyDescent="0.25">
      <c r="A3290">
        <v>25348</v>
      </c>
      <c r="B3290" t="s">
        <v>4</v>
      </c>
      <c r="C3290">
        <v>3</v>
      </c>
      <c r="D3290" t="s">
        <v>5</v>
      </c>
      <c r="F3290" t="str" cm="1">
        <f t="array" ref="F3290">CategorizeComment(E3290)</f>
        <v>Other</v>
      </c>
      <c r="G3290" t="str" cm="1">
        <f t="array" ref="G3290">SubCategorizeComment(E3290)</f>
        <v>Other</v>
      </c>
    </row>
    <row r="3291" spans="1:7" x14ac:dyDescent="0.25">
      <c r="A3291">
        <v>25356</v>
      </c>
      <c r="B3291" t="s">
        <v>4</v>
      </c>
      <c r="C3291">
        <v>4</v>
      </c>
      <c r="D3291" t="s">
        <v>5</v>
      </c>
      <c r="F3291" t="str" cm="1">
        <f t="array" ref="F3291">CategorizeComment(E3291)</f>
        <v>Other</v>
      </c>
      <c r="G3291" t="str" cm="1">
        <f t="array" ref="G3291">SubCategorizeComment(E3291)</f>
        <v>Other</v>
      </c>
    </row>
    <row r="3292" spans="1:7" x14ac:dyDescent="0.25">
      <c r="A3292">
        <v>25372</v>
      </c>
      <c r="B3292" t="s">
        <v>4</v>
      </c>
      <c r="C3292">
        <v>3</v>
      </c>
      <c r="D3292" t="s">
        <v>5</v>
      </c>
      <c r="F3292" t="str" cm="1">
        <f t="array" ref="F3292">CategorizeComment(E3292)</f>
        <v>Other</v>
      </c>
      <c r="G3292" t="str" cm="1">
        <f t="array" ref="G3292">SubCategorizeComment(E3292)</f>
        <v>Other</v>
      </c>
    </row>
    <row r="3293" spans="1:7" x14ac:dyDescent="0.25">
      <c r="A3293">
        <v>25373</v>
      </c>
      <c r="B3293" t="s">
        <v>4</v>
      </c>
      <c r="C3293">
        <v>3</v>
      </c>
      <c r="D3293" t="s">
        <v>5</v>
      </c>
      <c r="F3293" t="str" cm="1">
        <f t="array" ref="F3293">CategorizeComment(E3293)</f>
        <v>Other</v>
      </c>
      <c r="G3293" t="str" cm="1">
        <f t="array" ref="G3293">SubCategorizeComment(E3293)</f>
        <v>Other</v>
      </c>
    </row>
    <row r="3294" spans="1:7" x14ac:dyDescent="0.25">
      <c r="A3294">
        <v>25377</v>
      </c>
      <c r="B3294" t="s">
        <v>4</v>
      </c>
      <c r="C3294">
        <v>4</v>
      </c>
      <c r="D3294" t="s">
        <v>5</v>
      </c>
      <c r="F3294" t="str" cm="1">
        <f t="array" ref="F3294">CategorizeComment(E3294)</f>
        <v>Other</v>
      </c>
      <c r="G3294" t="str" cm="1">
        <f t="array" ref="G3294">SubCategorizeComment(E3294)</f>
        <v>Other</v>
      </c>
    </row>
    <row r="3295" spans="1:7" x14ac:dyDescent="0.25">
      <c r="A3295">
        <v>25380</v>
      </c>
      <c r="B3295" t="s">
        <v>4</v>
      </c>
      <c r="C3295">
        <v>4</v>
      </c>
      <c r="D3295" t="s">
        <v>5</v>
      </c>
      <c r="F3295" t="str" cm="1">
        <f t="array" ref="F3295">CategorizeComment(E3295)</f>
        <v>Other</v>
      </c>
      <c r="G3295" t="str" cm="1">
        <f t="array" ref="G3295">SubCategorizeComment(E3295)</f>
        <v>Other</v>
      </c>
    </row>
    <row r="3296" spans="1:7" x14ac:dyDescent="0.25">
      <c r="A3296">
        <v>25385</v>
      </c>
      <c r="B3296" t="s">
        <v>4</v>
      </c>
      <c r="C3296">
        <v>4</v>
      </c>
      <c r="D3296" t="s">
        <v>5</v>
      </c>
      <c r="F3296" t="str" cm="1">
        <f t="array" ref="F3296">CategorizeComment(E3296)</f>
        <v>Other</v>
      </c>
      <c r="G3296" t="str" cm="1">
        <f t="array" ref="G3296">SubCategorizeComment(E3296)</f>
        <v>Other</v>
      </c>
    </row>
    <row r="3297" spans="1:7" x14ac:dyDescent="0.25">
      <c r="A3297">
        <v>25395</v>
      </c>
      <c r="B3297" t="s">
        <v>4</v>
      </c>
      <c r="C3297">
        <v>3</v>
      </c>
      <c r="D3297" t="s">
        <v>5</v>
      </c>
      <c r="F3297" t="str" cm="1">
        <f t="array" ref="F3297">CategorizeComment(E3297)</f>
        <v>Other</v>
      </c>
      <c r="G3297" t="str" cm="1">
        <f t="array" ref="G3297">SubCategorizeComment(E3297)</f>
        <v>Other</v>
      </c>
    </row>
    <row r="3298" spans="1:7" x14ac:dyDescent="0.25">
      <c r="A3298">
        <v>25397</v>
      </c>
      <c r="B3298" t="s">
        <v>4</v>
      </c>
      <c r="C3298">
        <v>3</v>
      </c>
      <c r="D3298" t="s">
        <v>5</v>
      </c>
      <c r="F3298" t="str" cm="1">
        <f t="array" ref="F3298">CategorizeComment(E3298)</f>
        <v>Other</v>
      </c>
      <c r="G3298" t="str" cm="1">
        <f t="array" ref="G3298">SubCategorizeComment(E3298)</f>
        <v>Other</v>
      </c>
    </row>
    <row r="3299" spans="1:7" x14ac:dyDescent="0.25">
      <c r="A3299">
        <v>25408</v>
      </c>
      <c r="B3299" t="s">
        <v>4</v>
      </c>
      <c r="C3299">
        <v>4</v>
      </c>
      <c r="D3299" t="s">
        <v>5</v>
      </c>
      <c r="F3299" t="str" cm="1">
        <f t="array" ref="F3299">CategorizeComment(E3299)</f>
        <v>Other</v>
      </c>
      <c r="G3299" t="str" cm="1">
        <f t="array" ref="G3299">SubCategorizeComment(E3299)</f>
        <v>Other</v>
      </c>
    </row>
    <row r="3300" spans="1:7" x14ac:dyDescent="0.25">
      <c r="A3300">
        <v>25409</v>
      </c>
      <c r="B3300" t="s">
        <v>4</v>
      </c>
      <c r="C3300">
        <v>3</v>
      </c>
      <c r="D3300" t="s">
        <v>5</v>
      </c>
      <c r="F3300" t="str" cm="1">
        <f t="array" ref="F3300">CategorizeComment(E3300)</f>
        <v>Other</v>
      </c>
      <c r="G3300" t="str" cm="1">
        <f t="array" ref="G3300">SubCategorizeComment(E3300)</f>
        <v>Other</v>
      </c>
    </row>
    <row r="3301" spans="1:7" x14ac:dyDescent="0.25">
      <c r="A3301">
        <v>25417</v>
      </c>
      <c r="B3301" t="s">
        <v>4</v>
      </c>
      <c r="C3301">
        <v>4</v>
      </c>
      <c r="D3301" t="s">
        <v>5</v>
      </c>
      <c r="F3301" t="str" cm="1">
        <f t="array" ref="F3301">CategorizeComment(E3301)</f>
        <v>Other</v>
      </c>
      <c r="G3301" t="str" cm="1">
        <f t="array" ref="G3301">SubCategorizeComment(E3301)</f>
        <v>Other</v>
      </c>
    </row>
    <row r="3302" spans="1:7" x14ac:dyDescent="0.25">
      <c r="A3302">
        <v>25421</v>
      </c>
      <c r="B3302" t="s">
        <v>4</v>
      </c>
      <c r="C3302">
        <v>4</v>
      </c>
      <c r="D3302" t="s">
        <v>5</v>
      </c>
      <c r="F3302" t="str" cm="1">
        <f t="array" ref="F3302">CategorizeComment(E3302)</f>
        <v>Other</v>
      </c>
      <c r="G3302" t="str" cm="1">
        <f t="array" ref="G3302">SubCategorizeComment(E3302)</f>
        <v>Other</v>
      </c>
    </row>
    <row r="3303" spans="1:7" x14ac:dyDescent="0.25">
      <c r="A3303">
        <v>25429</v>
      </c>
      <c r="B3303" t="s">
        <v>4</v>
      </c>
      <c r="C3303">
        <v>4</v>
      </c>
      <c r="D3303" t="s">
        <v>5</v>
      </c>
      <c r="F3303" t="str" cm="1">
        <f t="array" ref="F3303">CategorizeComment(E3303)</f>
        <v>Other</v>
      </c>
      <c r="G3303" t="str" cm="1">
        <f t="array" ref="G3303">SubCategorizeComment(E3303)</f>
        <v>Other</v>
      </c>
    </row>
    <row r="3304" spans="1:7" x14ac:dyDescent="0.25">
      <c r="A3304">
        <v>25438</v>
      </c>
      <c r="B3304" t="s">
        <v>4</v>
      </c>
      <c r="C3304">
        <v>3</v>
      </c>
      <c r="D3304" t="s">
        <v>5</v>
      </c>
      <c r="F3304" t="str" cm="1">
        <f t="array" ref="F3304">CategorizeComment(E3304)</f>
        <v>Other</v>
      </c>
      <c r="G3304" t="str" cm="1">
        <f t="array" ref="G3304">SubCategorizeComment(E3304)</f>
        <v>Other</v>
      </c>
    </row>
    <row r="3305" spans="1:7" x14ac:dyDescent="0.25">
      <c r="A3305">
        <v>25441</v>
      </c>
      <c r="B3305" t="s">
        <v>4</v>
      </c>
      <c r="C3305">
        <v>4</v>
      </c>
      <c r="D3305" t="s">
        <v>5</v>
      </c>
      <c r="F3305" t="str" cm="1">
        <f t="array" ref="F3305">CategorizeComment(E3305)</f>
        <v>Other</v>
      </c>
      <c r="G3305" t="str" cm="1">
        <f t="array" ref="G3305">SubCategorizeComment(E3305)</f>
        <v>Other</v>
      </c>
    </row>
    <row r="3306" spans="1:7" x14ac:dyDescent="0.25">
      <c r="A3306">
        <v>25443</v>
      </c>
      <c r="B3306" t="s">
        <v>4</v>
      </c>
      <c r="C3306">
        <v>4</v>
      </c>
      <c r="D3306" t="s">
        <v>5</v>
      </c>
      <c r="F3306" t="str" cm="1">
        <f t="array" ref="F3306">CategorizeComment(E3306)</f>
        <v>Other</v>
      </c>
      <c r="G3306" t="str" cm="1">
        <f t="array" ref="G3306">SubCategorizeComment(E3306)</f>
        <v>Other</v>
      </c>
    </row>
    <row r="3307" spans="1:7" x14ac:dyDescent="0.25">
      <c r="A3307">
        <v>25458</v>
      </c>
      <c r="B3307" t="s">
        <v>4</v>
      </c>
      <c r="C3307">
        <v>4</v>
      </c>
      <c r="D3307" t="s">
        <v>5</v>
      </c>
      <c r="F3307" t="str" cm="1">
        <f t="array" ref="F3307">CategorizeComment(E3307)</f>
        <v>Other</v>
      </c>
      <c r="G3307" t="str" cm="1">
        <f t="array" ref="G3307">SubCategorizeComment(E3307)</f>
        <v>Other</v>
      </c>
    </row>
    <row r="3308" spans="1:7" x14ac:dyDescent="0.25">
      <c r="A3308">
        <v>25470</v>
      </c>
      <c r="B3308" t="s">
        <v>4</v>
      </c>
      <c r="C3308">
        <v>4</v>
      </c>
      <c r="D3308" t="s">
        <v>5</v>
      </c>
      <c r="F3308" t="str" cm="1">
        <f t="array" ref="F3308">CategorizeComment(E3308)</f>
        <v>Other</v>
      </c>
      <c r="G3308" t="str" cm="1">
        <f t="array" ref="G3308">SubCategorizeComment(E3308)</f>
        <v>Other</v>
      </c>
    </row>
    <row r="3309" spans="1:7" x14ac:dyDescent="0.25">
      <c r="A3309">
        <v>25477</v>
      </c>
      <c r="B3309" t="s">
        <v>4</v>
      </c>
      <c r="C3309">
        <v>4</v>
      </c>
      <c r="D3309" t="s">
        <v>5</v>
      </c>
      <c r="F3309" t="str" cm="1">
        <f t="array" ref="F3309">CategorizeComment(E3309)</f>
        <v>Other</v>
      </c>
      <c r="G3309" t="str" cm="1">
        <f t="array" ref="G3309">SubCategorizeComment(E3309)</f>
        <v>Other</v>
      </c>
    </row>
    <row r="3310" spans="1:7" x14ac:dyDescent="0.25">
      <c r="A3310">
        <v>25491</v>
      </c>
      <c r="B3310" t="s">
        <v>4</v>
      </c>
      <c r="C3310">
        <v>3</v>
      </c>
      <c r="D3310" t="s">
        <v>5</v>
      </c>
      <c r="F3310" t="str" cm="1">
        <f t="array" ref="F3310">CategorizeComment(E3310)</f>
        <v>Other</v>
      </c>
      <c r="G3310" t="str" cm="1">
        <f t="array" ref="G3310">SubCategorizeComment(E3310)</f>
        <v>Other</v>
      </c>
    </row>
    <row r="3311" spans="1:7" x14ac:dyDescent="0.25">
      <c r="A3311">
        <v>25505</v>
      </c>
      <c r="B3311" t="s">
        <v>4</v>
      </c>
      <c r="C3311">
        <v>3</v>
      </c>
      <c r="D3311" t="s">
        <v>5</v>
      </c>
      <c r="F3311" t="str" cm="1">
        <f t="array" ref="F3311">CategorizeComment(E3311)</f>
        <v>Other</v>
      </c>
      <c r="G3311" t="str" cm="1">
        <f t="array" ref="G3311">SubCategorizeComment(E3311)</f>
        <v>Other</v>
      </c>
    </row>
    <row r="3312" spans="1:7" x14ac:dyDescent="0.25">
      <c r="A3312">
        <v>25508</v>
      </c>
      <c r="B3312" t="s">
        <v>4</v>
      </c>
      <c r="C3312">
        <v>3</v>
      </c>
      <c r="D3312" t="s">
        <v>5</v>
      </c>
      <c r="F3312" t="str" cm="1">
        <f t="array" ref="F3312">CategorizeComment(E3312)</f>
        <v>Other</v>
      </c>
      <c r="G3312" t="str" cm="1">
        <f t="array" ref="G3312">SubCategorizeComment(E3312)</f>
        <v>Other</v>
      </c>
    </row>
    <row r="3313" spans="1:7" x14ac:dyDescent="0.25">
      <c r="A3313">
        <v>25533</v>
      </c>
      <c r="B3313" t="s">
        <v>4</v>
      </c>
      <c r="C3313">
        <v>4</v>
      </c>
      <c r="D3313" t="s">
        <v>5</v>
      </c>
      <c r="F3313" t="str" cm="1">
        <f t="array" ref="F3313">CategorizeComment(E3313)</f>
        <v>Other</v>
      </c>
      <c r="G3313" t="str" cm="1">
        <f t="array" ref="G3313">SubCategorizeComment(E3313)</f>
        <v>Other</v>
      </c>
    </row>
    <row r="3314" spans="1:7" x14ac:dyDescent="0.25">
      <c r="A3314">
        <v>25534</v>
      </c>
      <c r="B3314" t="s">
        <v>4</v>
      </c>
      <c r="C3314">
        <v>3</v>
      </c>
      <c r="D3314" t="s">
        <v>5</v>
      </c>
      <c r="F3314" t="str" cm="1">
        <f t="array" ref="F3314">CategorizeComment(E3314)</f>
        <v>Other</v>
      </c>
      <c r="G3314" t="str" cm="1">
        <f t="array" ref="G3314">SubCategorizeComment(E3314)</f>
        <v>Other</v>
      </c>
    </row>
    <row r="3315" spans="1:7" x14ac:dyDescent="0.25">
      <c r="A3315">
        <v>25540</v>
      </c>
      <c r="B3315" t="s">
        <v>4</v>
      </c>
      <c r="C3315">
        <v>3</v>
      </c>
      <c r="D3315" t="s">
        <v>5</v>
      </c>
      <c r="F3315" t="str" cm="1">
        <f t="array" ref="F3315">CategorizeComment(E3315)</f>
        <v>Other</v>
      </c>
      <c r="G3315" t="str" cm="1">
        <f t="array" ref="G3315">SubCategorizeComment(E3315)</f>
        <v>Other</v>
      </c>
    </row>
    <row r="3316" spans="1:7" x14ac:dyDescent="0.25">
      <c r="A3316">
        <v>25551</v>
      </c>
      <c r="B3316" t="s">
        <v>4</v>
      </c>
      <c r="C3316">
        <v>4</v>
      </c>
      <c r="D3316" t="s">
        <v>5</v>
      </c>
      <c r="F3316" t="str" cm="1">
        <f t="array" ref="F3316">CategorizeComment(E3316)</f>
        <v>Other</v>
      </c>
      <c r="G3316" t="str" cm="1">
        <f t="array" ref="G3316">SubCategorizeComment(E3316)</f>
        <v>Other</v>
      </c>
    </row>
    <row r="3317" spans="1:7" x14ac:dyDescent="0.25">
      <c r="A3317">
        <v>25554</v>
      </c>
      <c r="B3317" t="s">
        <v>4</v>
      </c>
      <c r="C3317">
        <v>3</v>
      </c>
      <c r="D3317" t="s">
        <v>5</v>
      </c>
      <c r="F3317" t="str" cm="1">
        <f t="array" ref="F3317">CategorizeComment(E3317)</f>
        <v>Other</v>
      </c>
      <c r="G3317" t="str" cm="1">
        <f t="array" ref="G3317">SubCategorizeComment(E3317)</f>
        <v>Other</v>
      </c>
    </row>
    <row r="3318" spans="1:7" x14ac:dyDescent="0.25">
      <c r="A3318">
        <v>25556</v>
      </c>
      <c r="B3318" t="s">
        <v>4</v>
      </c>
      <c r="C3318">
        <v>4</v>
      </c>
      <c r="D3318" t="s">
        <v>5</v>
      </c>
      <c r="F3318" t="str" cm="1">
        <f t="array" ref="F3318">CategorizeComment(E3318)</f>
        <v>Other</v>
      </c>
      <c r="G3318" t="str" cm="1">
        <f t="array" ref="G3318">SubCategorizeComment(E3318)</f>
        <v>Other</v>
      </c>
    </row>
    <row r="3319" spans="1:7" x14ac:dyDescent="0.25">
      <c r="A3319">
        <v>25570</v>
      </c>
      <c r="B3319" t="s">
        <v>4</v>
      </c>
      <c r="C3319">
        <v>3</v>
      </c>
      <c r="D3319" t="s">
        <v>5</v>
      </c>
      <c r="F3319" t="str" cm="1">
        <f t="array" ref="F3319">CategorizeComment(E3319)</f>
        <v>Other</v>
      </c>
      <c r="G3319" t="str" cm="1">
        <f t="array" ref="G3319">SubCategorizeComment(E3319)</f>
        <v>Other</v>
      </c>
    </row>
    <row r="3320" spans="1:7" x14ac:dyDescent="0.25">
      <c r="A3320">
        <v>25582</v>
      </c>
      <c r="B3320" t="s">
        <v>4</v>
      </c>
      <c r="C3320">
        <v>4</v>
      </c>
      <c r="D3320" t="s">
        <v>5</v>
      </c>
      <c r="F3320" t="str" cm="1">
        <f t="array" ref="F3320">CategorizeComment(E3320)</f>
        <v>Other</v>
      </c>
      <c r="G3320" t="str" cm="1">
        <f t="array" ref="G3320">SubCategorizeComment(E3320)</f>
        <v>Other</v>
      </c>
    </row>
    <row r="3321" spans="1:7" x14ac:dyDescent="0.25">
      <c r="A3321">
        <v>25588</v>
      </c>
      <c r="B3321" t="s">
        <v>4</v>
      </c>
      <c r="C3321">
        <v>4</v>
      </c>
      <c r="D3321" t="s">
        <v>5</v>
      </c>
      <c r="F3321" t="str" cm="1">
        <f t="array" ref="F3321">CategorizeComment(E3321)</f>
        <v>Other</v>
      </c>
      <c r="G3321" t="str" cm="1">
        <f t="array" ref="G3321">SubCategorizeComment(E3321)</f>
        <v>Other</v>
      </c>
    </row>
    <row r="3322" spans="1:7" x14ac:dyDescent="0.25">
      <c r="A3322">
        <v>25595</v>
      </c>
      <c r="B3322" t="s">
        <v>4</v>
      </c>
      <c r="C3322">
        <v>4</v>
      </c>
      <c r="D3322" t="s">
        <v>5</v>
      </c>
      <c r="F3322" t="str" cm="1">
        <f t="array" ref="F3322">CategorizeComment(E3322)</f>
        <v>Other</v>
      </c>
      <c r="G3322" t="str" cm="1">
        <f t="array" ref="G3322">SubCategorizeComment(E3322)</f>
        <v>Other</v>
      </c>
    </row>
    <row r="3323" spans="1:7" x14ac:dyDescent="0.25">
      <c r="A3323">
        <v>25597</v>
      </c>
      <c r="B3323" t="s">
        <v>4</v>
      </c>
      <c r="C3323">
        <v>4</v>
      </c>
      <c r="D3323" t="s">
        <v>5</v>
      </c>
      <c r="F3323" t="str" cm="1">
        <f t="array" ref="F3323">CategorizeComment(E3323)</f>
        <v>Other</v>
      </c>
      <c r="G3323" t="str" cm="1">
        <f t="array" ref="G3323">SubCategorizeComment(E3323)</f>
        <v>Other</v>
      </c>
    </row>
    <row r="3324" spans="1:7" x14ac:dyDescent="0.25">
      <c r="A3324">
        <v>25599</v>
      </c>
      <c r="B3324" t="s">
        <v>4</v>
      </c>
      <c r="C3324">
        <v>4</v>
      </c>
      <c r="D3324" t="s">
        <v>5</v>
      </c>
      <c r="F3324" t="str" cm="1">
        <f t="array" ref="F3324">CategorizeComment(E3324)</f>
        <v>Other</v>
      </c>
      <c r="G3324" t="str" cm="1">
        <f t="array" ref="G3324">SubCategorizeComment(E3324)</f>
        <v>Other</v>
      </c>
    </row>
    <row r="3325" spans="1:7" x14ac:dyDescent="0.25">
      <c r="A3325">
        <v>25607</v>
      </c>
      <c r="B3325" t="s">
        <v>4</v>
      </c>
      <c r="C3325">
        <v>4</v>
      </c>
      <c r="D3325" t="s">
        <v>5</v>
      </c>
      <c r="F3325" t="str" cm="1">
        <f t="array" ref="F3325">CategorizeComment(E3325)</f>
        <v>Other</v>
      </c>
      <c r="G3325" t="str" cm="1">
        <f t="array" ref="G3325">SubCategorizeComment(E3325)</f>
        <v>Other</v>
      </c>
    </row>
    <row r="3326" spans="1:7" x14ac:dyDescent="0.25">
      <c r="A3326">
        <v>25609</v>
      </c>
      <c r="B3326" t="s">
        <v>4</v>
      </c>
      <c r="C3326">
        <v>4</v>
      </c>
      <c r="D3326" t="s">
        <v>5</v>
      </c>
      <c r="F3326" t="str" cm="1">
        <f t="array" ref="F3326">CategorizeComment(E3326)</f>
        <v>Other</v>
      </c>
      <c r="G3326" t="str" cm="1">
        <f t="array" ref="G3326">SubCategorizeComment(E3326)</f>
        <v>Other</v>
      </c>
    </row>
    <row r="3327" spans="1:7" x14ac:dyDescent="0.25">
      <c r="A3327">
        <v>25611</v>
      </c>
      <c r="B3327" t="s">
        <v>4</v>
      </c>
      <c r="C3327">
        <v>4</v>
      </c>
      <c r="D3327" t="s">
        <v>5</v>
      </c>
      <c r="F3327" t="str" cm="1">
        <f t="array" ref="F3327">CategorizeComment(E3327)</f>
        <v>Other</v>
      </c>
      <c r="G3327" t="str" cm="1">
        <f t="array" ref="G3327">SubCategorizeComment(E3327)</f>
        <v>Other</v>
      </c>
    </row>
    <row r="3328" spans="1:7" x14ac:dyDescent="0.25">
      <c r="A3328">
        <v>25612</v>
      </c>
      <c r="B3328" t="s">
        <v>4</v>
      </c>
      <c r="C3328">
        <v>3</v>
      </c>
      <c r="D3328" t="s">
        <v>5</v>
      </c>
      <c r="F3328" t="str" cm="1">
        <f t="array" ref="F3328">CategorizeComment(E3328)</f>
        <v>Other</v>
      </c>
      <c r="G3328" t="str" cm="1">
        <f t="array" ref="G3328">SubCategorizeComment(E3328)</f>
        <v>Other</v>
      </c>
    </row>
    <row r="3329" spans="1:7" x14ac:dyDescent="0.25">
      <c r="A3329">
        <v>25629</v>
      </c>
      <c r="B3329" t="s">
        <v>4</v>
      </c>
      <c r="C3329">
        <v>3</v>
      </c>
      <c r="D3329" t="s">
        <v>5</v>
      </c>
      <c r="F3329" t="str" cm="1">
        <f t="array" ref="F3329">CategorizeComment(E3329)</f>
        <v>Other</v>
      </c>
      <c r="G3329" t="str" cm="1">
        <f t="array" ref="G3329">SubCategorizeComment(E3329)</f>
        <v>Other</v>
      </c>
    </row>
    <row r="3330" spans="1:7" x14ac:dyDescent="0.25">
      <c r="A3330">
        <v>25631</v>
      </c>
      <c r="B3330" t="s">
        <v>4</v>
      </c>
      <c r="C3330">
        <v>3</v>
      </c>
      <c r="D3330" t="s">
        <v>5</v>
      </c>
      <c r="F3330" t="str" cm="1">
        <f t="array" ref="F3330">CategorizeComment(E3330)</f>
        <v>Other</v>
      </c>
      <c r="G3330" t="str" cm="1">
        <f t="array" ref="G3330">SubCategorizeComment(E3330)</f>
        <v>Other</v>
      </c>
    </row>
    <row r="3331" spans="1:7" x14ac:dyDescent="0.25">
      <c r="A3331">
        <v>25637</v>
      </c>
      <c r="B3331" t="s">
        <v>4</v>
      </c>
      <c r="C3331">
        <v>3</v>
      </c>
      <c r="D3331" t="s">
        <v>5</v>
      </c>
      <c r="F3331" t="str" cm="1">
        <f t="array" ref="F3331">CategorizeComment(E3331)</f>
        <v>Other</v>
      </c>
      <c r="G3331" t="str" cm="1">
        <f t="array" ref="G3331">SubCategorizeComment(E3331)</f>
        <v>Other</v>
      </c>
    </row>
    <row r="3332" spans="1:7" x14ac:dyDescent="0.25">
      <c r="A3332">
        <v>25645</v>
      </c>
      <c r="B3332" t="s">
        <v>4</v>
      </c>
      <c r="C3332">
        <v>3</v>
      </c>
      <c r="D3332" t="s">
        <v>5</v>
      </c>
      <c r="F3332" t="str" cm="1">
        <f t="array" ref="F3332">CategorizeComment(E3332)</f>
        <v>Other</v>
      </c>
      <c r="G3332" t="str" cm="1">
        <f t="array" ref="G3332">SubCategorizeComment(E3332)</f>
        <v>Other</v>
      </c>
    </row>
    <row r="3333" spans="1:7" x14ac:dyDescent="0.25">
      <c r="A3333">
        <v>25656</v>
      </c>
      <c r="B3333" t="s">
        <v>4</v>
      </c>
      <c r="C3333">
        <v>3</v>
      </c>
      <c r="D3333" t="s">
        <v>5</v>
      </c>
      <c r="F3333" t="str" cm="1">
        <f t="array" ref="F3333">CategorizeComment(E3333)</f>
        <v>Other</v>
      </c>
      <c r="G3333" t="str" cm="1">
        <f t="array" ref="G3333">SubCategorizeComment(E3333)</f>
        <v>Other</v>
      </c>
    </row>
    <row r="3334" spans="1:7" x14ac:dyDescent="0.25">
      <c r="A3334">
        <v>25666</v>
      </c>
      <c r="B3334" t="s">
        <v>4</v>
      </c>
      <c r="C3334">
        <v>3</v>
      </c>
      <c r="D3334" t="s">
        <v>5</v>
      </c>
      <c r="F3334" t="str" cm="1">
        <f t="array" ref="F3334">CategorizeComment(E3334)</f>
        <v>Other</v>
      </c>
      <c r="G3334" t="str" cm="1">
        <f t="array" ref="G3334">SubCategorizeComment(E3334)</f>
        <v>Other</v>
      </c>
    </row>
    <row r="3335" spans="1:7" x14ac:dyDescent="0.25">
      <c r="A3335">
        <v>25668</v>
      </c>
      <c r="B3335" t="s">
        <v>4</v>
      </c>
      <c r="C3335">
        <v>3</v>
      </c>
      <c r="D3335" t="s">
        <v>5</v>
      </c>
      <c r="F3335" t="str" cm="1">
        <f t="array" ref="F3335">CategorizeComment(E3335)</f>
        <v>Other</v>
      </c>
      <c r="G3335" t="str" cm="1">
        <f t="array" ref="G3335">SubCategorizeComment(E3335)</f>
        <v>Other</v>
      </c>
    </row>
    <row r="3336" spans="1:7" x14ac:dyDescent="0.25">
      <c r="A3336">
        <v>25670</v>
      </c>
      <c r="B3336" t="s">
        <v>4</v>
      </c>
      <c r="C3336">
        <v>4</v>
      </c>
      <c r="D3336" t="s">
        <v>5</v>
      </c>
      <c r="F3336" t="str" cm="1">
        <f t="array" ref="F3336">CategorizeComment(E3336)</f>
        <v>Other</v>
      </c>
      <c r="G3336" t="str" cm="1">
        <f t="array" ref="G3336">SubCategorizeComment(E3336)</f>
        <v>Other</v>
      </c>
    </row>
    <row r="3337" spans="1:7" x14ac:dyDescent="0.25">
      <c r="A3337">
        <v>25678</v>
      </c>
      <c r="B3337" t="s">
        <v>4</v>
      </c>
      <c r="C3337">
        <v>3</v>
      </c>
      <c r="D3337" t="s">
        <v>5</v>
      </c>
      <c r="F3337" t="str" cm="1">
        <f t="array" ref="F3337">CategorizeComment(E3337)</f>
        <v>Other</v>
      </c>
      <c r="G3337" t="str" cm="1">
        <f t="array" ref="G3337">SubCategorizeComment(E3337)</f>
        <v>Other</v>
      </c>
    </row>
    <row r="3338" spans="1:7" x14ac:dyDescent="0.25">
      <c r="A3338">
        <v>25687</v>
      </c>
      <c r="B3338" t="s">
        <v>4</v>
      </c>
      <c r="C3338">
        <v>4</v>
      </c>
      <c r="D3338" t="s">
        <v>5</v>
      </c>
      <c r="F3338" t="str" cm="1">
        <f t="array" ref="F3338">CategorizeComment(E3338)</f>
        <v>Other</v>
      </c>
      <c r="G3338" t="str" cm="1">
        <f t="array" ref="G3338">SubCategorizeComment(E3338)</f>
        <v>Other</v>
      </c>
    </row>
    <row r="3339" spans="1:7" x14ac:dyDescent="0.25">
      <c r="A3339">
        <v>25697</v>
      </c>
      <c r="B3339" t="s">
        <v>4</v>
      </c>
      <c r="C3339">
        <v>4</v>
      </c>
      <c r="D3339" t="s">
        <v>5</v>
      </c>
      <c r="F3339" t="str" cm="1">
        <f t="array" ref="F3339">CategorizeComment(E3339)</f>
        <v>Other</v>
      </c>
      <c r="G3339" t="str" cm="1">
        <f t="array" ref="G3339">SubCategorizeComment(E3339)</f>
        <v>Other</v>
      </c>
    </row>
    <row r="3340" spans="1:7" x14ac:dyDescent="0.25">
      <c r="A3340">
        <v>25699</v>
      </c>
      <c r="B3340" t="s">
        <v>4</v>
      </c>
      <c r="C3340">
        <v>3</v>
      </c>
      <c r="D3340" t="s">
        <v>5</v>
      </c>
      <c r="F3340" t="str" cm="1">
        <f t="array" ref="F3340">CategorizeComment(E3340)</f>
        <v>Other</v>
      </c>
      <c r="G3340" t="str" cm="1">
        <f t="array" ref="G3340">SubCategorizeComment(E3340)</f>
        <v>Other</v>
      </c>
    </row>
    <row r="3341" spans="1:7" x14ac:dyDescent="0.25">
      <c r="A3341">
        <v>25709</v>
      </c>
      <c r="B3341" t="s">
        <v>4</v>
      </c>
      <c r="C3341">
        <v>4</v>
      </c>
      <c r="D3341" t="s">
        <v>5</v>
      </c>
      <c r="F3341" t="str" cm="1">
        <f t="array" ref="F3341">CategorizeComment(E3341)</f>
        <v>Other</v>
      </c>
      <c r="G3341" t="str" cm="1">
        <f t="array" ref="G3341">SubCategorizeComment(E3341)</f>
        <v>Other</v>
      </c>
    </row>
    <row r="3342" spans="1:7" x14ac:dyDescent="0.25">
      <c r="A3342">
        <v>25719</v>
      </c>
      <c r="B3342" t="s">
        <v>4</v>
      </c>
      <c r="C3342">
        <v>4</v>
      </c>
      <c r="D3342" t="s">
        <v>5</v>
      </c>
      <c r="F3342" t="str" cm="1">
        <f t="array" ref="F3342">CategorizeComment(E3342)</f>
        <v>Other</v>
      </c>
      <c r="G3342" t="str" cm="1">
        <f t="array" ref="G3342">SubCategorizeComment(E3342)</f>
        <v>Other</v>
      </c>
    </row>
    <row r="3343" spans="1:7" x14ac:dyDescent="0.25">
      <c r="A3343">
        <v>25751</v>
      </c>
      <c r="B3343" t="s">
        <v>4</v>
      </c>
      <c r="C3343">
        <v>4</v>
      </c>
      <c r="D3343" t="s">
        <v>5</v>
      </c>
      <c r="F3343" t="str" cm="1">
        <f t="array" ref="F3343">CategorizeComment(E3343)</f>
        <v>Other</v>
      </c>
      <c r="G3343" t="str" cm="1">
        <f t="array" ref="G3343">SubCategorizeComment(E3343)</f>
        <v>Other</v>
      </c>
    </row>
    <row r="3344" spans="1:7" x14ac:dyDescent="0.25">
      <c r="A3344">
        <v>25765</v>
      </c>
      <c r="B3344" t="s">
        <v>4</v>
      </c>
      <c r="C3344">
        <v>4</v>
      </c>
      <c r="D3344" t="s">
        <v>5</v>
      </c>
      <c r="F3344" t="str" cm="1">
        <f t="array" ref="F3344">CategorizeComment(E3344)</f>
        <v>Other</v>
      </c>
      <c r="G3344" t="str" cm="1">
        <f t="array" ref="G3344">SubCategorizeComment(E3344)</f>
        <v>Other</v>
      </c>
    </row>
    <row r="3345" spans="1:7" x14ac:dyDescent="0.25">
      <c r="A3345">
        <v>25767</v>
      </c>
      <c r="B3345" t="s">
        <v>4</v>
      </c>
      <c r="C3345">
        <v>3</v>
      </c>
      <c r="D3345" t="s">
        <v>5</v>
      </c>
      <c r="F3345" t="str" cm="1">
        <f t="array" ref="F3345">CategorizeComment(E3345)</f>
        <v>Other</v>
      </c>
      <c r="G3345" t="str" cm="1">
        <f t="array" ref="G3345">SubCategorizeComment(E3345)</f>
        <v>Other</v>
      </c>
    </row>
    <row r="3346" spans="1:7" x14ac:dyDescent="0.25">
      <c r="A3346">
        <v>25768</v>
      </c>
      <c r="B3346" t="s">
        <v>4</v>
      </c>
      <c r="C3346">
        <v>3</v>
      </c>
      <c r="D3346" t="s">
        <v>5</v>
      </c>
      <c r="F3346" t="str" cm="1">
        <f t="array" ref="F3346">CategorizeComment(E3346)</f>
        <v>Other</v>
      </c>
      <c r="G3346" t="str" cm="1">
        <f t="array" ref="G3346">SubCategorizeComment(E3346)</f>
        <v>Other</v>
      </c>
    </row>
    <row r="3347" spans="1:7" x14ac:dyDescent="0.25">
      <c r="A3347">
        <v>25769</v>
      </c>
      <c r="B3347" t="s">
        <v>4</v>
      </c>
      <c r="C3347">
        <v>3</v>
      </c>
      <c r="D3347" t="s">
        <v>5</v>
      </c>
      <c r="F3347" t="str" cm="1">
        <f t="array" ref="F3347">CategorizeComment(E3347)</f>
        <v>Other</v>
      </c>
      <c r="G3347" t="str" cm="1">
        <f t="array" ref="G3347">SubCategorizeComment(E3347)</f>
        <v>Other</v>
      </c>
    </row>
    <row r="3348" spans="1:7" x14ac:dyDescent="0.25">
      <c r="A3348">
        <v>25782</v>
      </c>
      <c r="B3348" t="s">
        <v>4</v>
      </c>
      <c r="C3348">
        <v>4</v>
      </c>
      <c r="D3348" t="s">
        <v>5</v>
      </c>
      <c r="F3348" t="str" cm="1">
        <f t="array" ref="F3348">CategorizeComment(E3348)</f>
        <v>Other</v>
      </c>
      <c r="G3348" t="str" cm="1">
        <f t="array" ref="G3348">SubCategorizeComment(E3348)</f>
        <v>Other</v>
      </c>
    </row>
    <row r="3349" spans="1:7" x14ac:dyDescent="0.25">
      <c r="A3349">
        <v>25789</v>
      </c>
      <c r="B3349" t="s">
        <v>4</v>
      </c>
      <c r="C3349">
        <v>4</v>
      </c>
      <c r="D3349" t="s">
        <v>5</v>
      </c>
      <c r="F3349" t="str" cm="1">
        <f t="array" ref="F3349">CategorizeComment(E3349)</f>
        <v>Other</v>
      </c>
      <c r="G3349" t="str" cm="1">
        <f t="array" ref="G3349">SubCategorizeComment(E3349)</f>
        <v>Other</v>
      </c>
    </row>
    <row r="3350" spans="1:7" x14ac:dyDescent="0.25">
      <c r="A3350">
        <v>25798</v>
      </c>
      <c r="B3350" t="s">
        <v>4</v>
      </c>
      <c r="C3350">
        <v>3</v>
      </c>
      <c r="D3350" t="s">
        <v>5</v>
      </c>
      <c r="F3350" t="str" cm="1">
        <f t="array" ref="F3350">CategorizeComment(E3350)</f>
        <v>Other</v>
      </c>
      <c r="G3350" t="str" cm="1">
        <f t="array" ref="G3350">SubCategorizeComment(E3350)</f>
        <v>Other</v>
      </c>
    </row>
    <row r="3351" spans="1:7" x14ac:dyDescent="0.25">
      <c r="A3351">
        <v>25799</v>
      </c>
      <c r="B3351" t="s">
        <v>4</v>
      </c>
      <c r="C3351">
        <v>4</v>
      </c>
      <c r="D3351" t="s">
        <v>5</v>
      </c>
      <c r="F3351" t="str" cm="1">
        <f t="array" ref="F3351">CategorizeComment(E3351)</f>
        <v>Other</v>
      </c>
      <c r="G3351" t="str" cm="1">
        <f t="array" ref="G3351">SubCategorizeComment(E3351)</f>
        <v>Other</v>
      </c>
    </row>
    <row r="3352" spans="1:7" x14ac:dyDescent="0.25">
      <c r="A3352">
        <v>25816</v>
      </c>
      <c r="B3352" t="s">
        <v>4</v>
      </c>
      <c r="C3352">
        <v>3</v>
      </c>
      <c r="D3352" t="s">
        <v>5</v>
      </c>
      <c r="F3352" t="str" cm="1">
        <f t="array" ref="F3352">CategorizeComment(E3352)</f>
        <v>Other</v>
      </c>
      <c r="G3352" t="str" cm="1">
        <f t="array" ref="G3352">SubCategorizeComment(E3352)</f>
        <v>Other</v>
      </c>
    </row>
    <row r="3353" spans="1:7" x14ac:dyDescent="0.25">
      <c r="A3353">
        <v>25818</v>
      </c>
      <c r="B3353" t="s">
        <v>4</v>
      </c>
      <c r="C3353">
        <v>4</v>
      </c>
      <c r="D3353" t="s">
        <v>5</v>
      </c>
      <c r="F3353" t="str" cm="1">
        <f t="array" ref="F3353">CategorizeComment(E3353)</f>
        <v>Other</v>
      </c>
      <c r="G3353" t="str" cm="1">
        <f t="array" ref="G3353">SubCategorizeComment(E3353)</f>
        <v>Other</v>
      </c>
    </row>
    <row r="3354" spans="1:7" x14ac:dyDescent="0.25">
      <c r="A3354">
        <v>25820</v>
      </c>
      <c r="B3354" t="s">
        <v>4</v>
      </c>
      <c r="C3354">
        <v>4</v>
      </c>
      <c r="D3354" t="s">
        <v>5</v>
      </c>
      <c r="F3354" t="str" cm="1">
        <f t="array" ref="F3354">CategorizeComment(E3354)</f>
        <v>Other</v>
      </c>
      <c r="G3354" t="str" cm="1">
        <f t="array" ref="G3354">SubCategorizeComment(E3354)</f>
        <v>Other</v>
      </c>
    </row>
    <row r="3355" spans="1:7" x14ac:dyDescent="0.25">
      <c r="A3355">
        <v>25821</v>
      </c>
      <c r="B3355" t="s">
        <v>4</v>
      </c>
      <c r="C3355">
        <v>3</v>
      </c>
      <c r="D3355" t="s">
        <v>5</v>
      </c>
      <c r="F3355" t="str" cm="1">
        <f t="array" ref="F3355">CategorizeComment(E3355)</f>
        <v>Other</v>
      </c>
      <c r="G3355" t="str" cm="1">
        <f t="array" ref="G3355">SubCategorizeComment(E3355)</f>
        <v>Other</v>
      </c>
    </row>
    <row r="3356" spans="1:7" x14ac:dyDescent="0.25">
      <c r="A3356">
        <v>25837</v>
      </c>
      <c r="B3356" t="s">
        <v>4</v>
      </c>
      <c r="C3356">
        <v>3</v>
      </c>
      <c r="D3356" t="s">
        <v>5</v>
      </c>
      <c r="F3356" t="str" cm="1">
        <f t="array" ref="F3356">CategorizeComment(E3356)</f>
        <v>Other</v>
      </c>
      <c r="G3356" t="str" cm="1">
        <f t="array" ref="G3356">SubCategorizeComment(E3356)</f>
        <v>Other</v>
      </c>
    </row>
    <row r="3357" spans="1:7" x14ac:dyDescent="0.25">
      <c r="A3357">
        <v>25844</v>
      </c>
      <c r="B3357" t="s">
        <v>4</v>
      </c>
      <c r="C3357">
        <v>3</v>
      </c>
      <c r="D3357" t="s">
        <v>5</v>
      </c>
      <c r="F3357" t="str" cm="1">
        <f t="array" ref="F3357">CategorizeComment(E3357)</f>
        <v>Other</v>
      </c>
      <c r="G3357" t="str" cm="1">
        <f t="array" ref="G3357">SubCategorizeComment(E3357)</f>
        <v>Other</v>
      </c>
    </row>
    <row r="3358" spans="1:7" x14ac:dyDescent="0.25">
      <c r="A3358">
        <v>25848</v>
      </c>
      <c r="B3358" t="s">
        <v>4</v>
      </c>
      <c r="C3358">
        <v>3</v>
      </c>
      <c r="D3358" t="s">
        <v>5</v>
      </c>
      <c r="F3358" t="str" cm="1">
        <f t="array" ref="F3358">CategorizeComment(E3358)</f>
        <v>Other</v>
      </c>
      <c r="G3358" t="str" cm="1">
        <f t="array" ref="G3358">SubCategorizeComment(E3358)</f>
        <v>Other</v>
      </c>
    </row>
    <row r="3359" spans="1:7" x14ac:dyDescent="0.25">
      <c r="A3359">
        <v>25865</v>
      </c>
      <c r="B3359" t="s">
        <v>4</v>
      </c>
      <c r="C3359">
        <v>4</v>
      </c>
      <c r="D3359" t="s">
        <v>5</v>
      </c>
      <c r="F3359" t="str" cm="1">
        <f t="array" ref="F3359">CategorizeComment(E3359)</f>
        <v>Other</v>
      </c>
      <c r="G3359" t="str" cm="1">
        <f t="array" ref="G3359">SubCategorizeComment(E3359)</f>
        <v>Other</v>
      </c>
    </row>
    <row r="3360" spans="1:7" x14ac:dyDescent="0.25">
      <c r="A3360">
        <v>25867</v>
      </c>
      <c r="B3360" t="s">
        <v>4</v>
      </c>
      <c r="C3360">
        <v>4</v>
      </c>
      <c r="D3360" t="s">
        <v>5</v>
      </c>
      <c r="F3360" t="str" cm="1">
        <f t="array" ref="F3360">CategorizeComment(E3360)</f>
        <v>Other</v>
      </c>
      <c r="G3360" t="str" cm="1">
        <f t="array" ref="G3360">SubCategorizeComment(E3360)</f>
        <v>Other</v>
      </c>
    </row>
    <row r="3361" spans="1:7" x14ac:dyDescent="0.25">
      <c r="A3361">
        <v>25869</v>
      </c>
      <c r="B3361" t="s">
        <v>4</v>
      </c>
      <c r="C3361">
        <v>3</v>
      </c>
      <c r="D3361" t="s">
        <v>5</v>
      </c>
      <c r="F3361" t="str" cm="1">
        <f t="array" ref="F3361">CategorizeComment(E3361)</f>
        <v>Other</v>
      </c>
      <c r="G3361" t="str" cm="1">
        <f t="array" ref="G3361">SubCategorizeComment(E3361)</f>
        <v>Other</v>
      </c>
    </row>
    <row r="3362" spans="1:7" x14ac:dyDescent="0.25">
      <c r="A3362">
        <v>25886</v>
      </c>
      <c r="B3362" t="s">
        <v>4</v>
      </c>
      <c r="C3362">
        <v>4</v>
      </c>
      <c r="D3362" t="s">
        <v>5</v>
      </c>
      <c r="F3362" t="str" cm="1">
        <f t="array" ref="F3362">CategorizeComment(E3362)</f>
        <v>Other</v>
      </c>
      <c r="G3362" t="str" cm="1">
        <f t="array" ref="G3362">SubCategorizeComment(E3362)</f>
        <v>Other</v>
      </c>
    </row>
    <row r="3363" spans="1:7" x14ac:dyDescent="0.25">
      <c r="A3363">
        <v>25887</v>
      </c>
      <c r="B3363" t="s">
        <v>4</v>
      </c>
      <c r="C3363">
        <v>3</v>
      </c>
      <c r="D3363" t="s">
        <v>5</v>
      </c>
      <c r="F3363" t="str" cm="1">
        <f t="array" ref="F3363">CategorizeComment(E3363)</f>
        <v>Other</v>
      </c>
      <c r="G3363" t="str" cm="1">
        <f t="array" ref="G3363">SubCategorizeComment(E3363)</f>
        <v>Other</v>
      </c>
    </row>
    <row r="3364" spans="1:7" x14ac:dyDescent="0.25">
      <c r="A3364">
        <v>25889</v>
      </c>
      <c r="B3364" t="s">
        <v>4</v>
      </c>
      <c r="C3364">
        <v>3</v>
      </c>
      <c r="D3364" t="s">
        <v>5</v>
      </c>
      <c r="F3364" t="str" cm="1">
        <f t="array" ref="F3364">CategorizeComment(E3364)</f>
        <v>Other</v>
      </c>
      <c r="G3364" t="str" cm="1">
        <f t="array" ref="G3364">SubCategorizeComment(E3364)</f>
        <v>Other</v>
      </c>
    </row>
    <row r="3365" spans="1:7" x14ac:dyDescent="0.25">
      <c r="A3365">
        <v>25893</v>
      </c>
      <c r="B3365" t="s">
        <v>4</v>
      </c>
      <c r="C3365">
        <v>3</v>
      </c>
      <c r="D3365" t="s">
        <v>5</v>
      </c>
      <c r="F3365" t="str" cm="1">
        <f t="array" ref="F3365">CategorizeComment(E3365)</f>
        <v>Other</v>
      </c>
      <c r="G3365" t="str" cm="1">
        <f t="array" ref="G3365">SubCategorizeComment(E3365)</f>
        <v>Other</v>
      </c>
    </row>
    <row r="3366" spans="1:7" x14ac:dyDescent="0.25">
      <c r="A3366">
        <v>25895</v>
      </c>
      <c r="B3366" t="s">
        <v>4</v>
      </c>
      <c r="C3366">
        <v>4</v>
      </c>
      <c r="D3366" t="s">
        <v>5</v>
      </c>
      <c r="F3366" t="str" cm="1">
        <f t="array" ref="F3366">CategorizeComment(E3366)</f>
        <v>Other</v>
      </c>
      <c r="G3366" t="str" cm="1">
        <f t="array" ref="G3366">SubCategorizeComment(E3366)</f>
        <v>Other</v>
      </c>
    </row>
    <row r="3367" spans="1:7" x14ac:dyDescent="0.25">
      <c r="A3367">
        <v>25896</v>
      </c>
      <c r="B3367" t="s">
        <v>4</v>
      </c>
      <c r="C3367">
        <v>3</v>
      </c>
      <c r="D3367" t="s">
        <v>5</v>
      </c>
      <c r="F3367" t="str" cm="1">
        <f t="array" ref="F3367">CategorizeComment(E3367)</f>
        <v>Other</v>
      </c>
      <c r="G3367" t="str" cm="1">
        <f t="array" ref="G3367">SubCategorizeComment(E3367)</f>
        <v>Other</v>
      </c>
    </row>
    <row r="3368" spans="1:7" x14ac:dyDescent="0.25">
      <c r="A3368">
        <v>25913</v>
      </c>
      <c r="B3368" t="s">
        <v>4</v>
      </c>
      <c r="C3368">
        <v>3</v>
      </c>
      <c r="D3368" t="s">
        <v>5</v>
      </c>
      <c r="F3368" t="str" cm="1">
        <f t="array" ref="F3368">CategorizeComment(E3368)</f>
        <v>Other</v>
      </c>
      <c r="G3368" t="str" cm="1">
        <f t="array" ref="G3368">SubCategorizeComment(E3368)</f>
        <v>Other</v>
      </c>
    </row>
    <row r="3369" spans="1:7" x14ac:dyDescent="0.25">
      <c r="A3369">
        <v>25917</v>
      </c>
      <c r="B3369" t="s">
        <v>4</v>
      </c>
      <c r="C3369">
        <v>3</v>
      </c>
      <c r="D3369" t="s">
        <v>5</v>
      </c>
      <c r="F3369" t="str" cm="1">
        <f t="array" ref="F3369">CategorizeComment(E3369)</f>
        <v>Other</v>
      </c>
      <c r="G3369" t="str" cm="1">
        <f t="array" ref="G3369">SubCategorizeComment(E3369)</f>
        <v>Other</v>
      </c>
    </row>
    <row r="3370" spans="1:7" x14ac:dyDescent="0.25">
      <c r="A3370">
        <v>25933</v>
      </c>
      <c r="B3370" t="s">
        <v>4</v>
      </c>
      <c r="C3370">
        <v>4</v>
      </c>
      <c r="D3370" t="s">
        <v>5</v>
      </c>
      <c r="F3370" t="str" cm="1">
        <f t="array" ref="F3370">CategorizeComment(E3370)</f>
        <v>Other</v>
      </c>
      <c r="G3370" t="str" cm="1">
        <f t="array" ref="G3370">SubCategorizeComment(E3370)</f>
        <v>Other</v>
      </c>
    </row>
    <row r="3371" spans="1:7" x14ac:dyDescent="0.25">
      <c r="A3371">
        <v>25938</v>
      </c>
      <c r="B3371" t="s">
        <v>4</v>
      </c>
      <c r="C3371">
        <v>4</v>
      </c>
      <c r="D3371" t="s">
        <v>5</v>
      </c>
      <c r="F3371" t="str" cm="1">
        <f t="array" ref="F3371">CategorizeComment(E3371)</f>
        <v>Other</v>
      </c>
      <c r="G3371" t="str" cm="1">
        <f t="array" ref="G3371">SubCategorizeComment(E3371)</f>
        <v>Other</v>
      </c>
    </row>
    <row r="3372" spans="1:7" x14ac:dyDescent="0.25">
      <c r="A3372">
        <v>25939</v>
      </c>
      <c r="B3372" t="s">
        <v>4</v>
      </c>
      <c r="C3372">
        <v>3</v>
      </c>
      <c r="D3372" t="s">
        <v>5</v>
      </c>
      <c r="F3372" t="str" cm="1">
        <f t="array" ref="F3372">CategorizeComment(E3372)</f>
        <v>Other</v>
      </c>
      <c r="G3372" t="str" cm="1">
        <f t="array" ref="G3372">SubCategorizeComment(E3372)</f>
        <v>Other</v>
      </c>
    </row>
    <row r="3373" spans="1:7" x14ac:dyDescent="0.25">
      <c r="A3373">
        <v>25943</v>
      </c>
      <c r="B3373" t="s">
        <v>4</v>
      </c>
      <c r="C3373">
        <v>4</v>
      </c>
      <c r="D3373" t="s">
        <v>5</v>
      </c>
      <c r="F3373" t="str" cm="1">
        <f t="array" ref="F3373">CategorizeComment(E3373)</f>
        <v>Other</v>
      </c>
      <c r="G3373" t="str" cm="1">
        <f t="array" ref="G3373">SubCategorizeComment(E3373)</f>
        <v>Other</v>
      </c>
    </row>
    <row r="3374" spans="1:7" x14ac:dyDescent="0.25">
      <c r="A3374">
        <v>25964</v>
      </c>
      <c r="B3374" t="s">
        <v>4</v>
      </c>
      <c r="C3374">
        <v>3</v>
      </c>
      <c r="D3374" t="s">
        <v>5</v>
      </c>
      <c r="F3374" t="str" cm="1">
        <f t="array" ref="F3374">CategorizeComment(E3374)</f>
        <v>Other</v>
      </c>
      <c r="G3374" t="str" cm="1">
        <f t="array" ref="G3374">SubCategorizeComment(E3374)</f>
        <v>Other</v>
      </c>
    </row>
    <row r="3375" spans="1:7" x14ac:dyDescent="0.25">
      <c r="A3375">
        <v>25970</v>
      </c>
      <c r="B3375" t="s">
        <v>4</v>
      </c>
      <c r="C3375">
        <v>4</v>
      </c>
      <c r="D3375" t="s">
        <v>5</v>
      </c>
      <c r="F3375" t="str" cm="1">
        <f t="array" ref="F3375">CategorizeComment(E3375)</f>
        <v>Other</v>
      </c>
      <c r="G3375" t="str" cm="1">
        <f t="array" ref="G3375">SubCategorizeComment(E3375)</f>
        <v>Other</v>
      </c>
    </row>
    <row r="3376" spans="1:7" x14ac:dyDescent="0.25">
      <c r="A3376">
        <v>25971</v>
      </c>
      <c r="B3376" t="s">
        <v>4</v>
      </c>
      <c r="C3376">
        <v>3</v>
      </c>
      <c r="D3376" t="s">
        <v>5</v>
      </c>
      <c r="F3376" t="str" cm="1">
        <f t="array" ref="F3376">CategorizeComment(E3376)</f>
        <v>Other</v>
      </c>
      <c r="G3376" t="str" cm="1">
        <f t="array" ref="G3376">SubCategorizeComment(E3376)</f>
        <v>Other</v>
      </c>
    </row>
    <row r="3377" spans="1:7" x14ac:dyDescent="0.25">
      <c r="A3377">
        <v>25973</v>
      </c>
      <c r="B3377" t="s">
        <v>4</v>
      </c>
      <c r="C3377">
        <v>3</v>
      </c>
      <c r="D3377" t="s">
        <v>5</v>
      </c>
      <c r="F3377" t="str" cm="1">
        <f t="array" ref="F3377">CategorizeComment(E3377)</f>
        <v>Other</v>
      </c>
      <c r="G3377" t="str" cm="1">
        <f t="array" ref="G3377">SubCategorizeComment(E3377)</f>
        <v>Other</v>
      </c>
    </row>
    <row r="3378" spans="1:7" x14ac:dyDescent="0.25">
      <c r="A3378">
        <v>25976</v>
      </c>
      <c r="B3378" t="s">
        <v>4</v>
      </c>
      <c r="C3378">
        <v>4</v>
      </c>
      <c r="D3378" t="s">
        <v>5</v>
      </c>
      <c r="F3378" t="str" cm="1">
        <f t="array" ref="F3378">CategorizeComment(E3378)</f>
        <v>Other</v>
      </c>
      <c r="G3378" t="str" cm="1">
        <f t="array" ref="G3378">SubCategorizeComment(E3378)</f>
        <v>Other</v>
      </c>
    </row>
    <row r="3379" spans="1:7" x14ac:dyDescent="0.25">
      <c r="A3379">
        <v>25977</v>
      </c>
      <c r="B3379" t="s">
        <v>4</v>
      </c>
      <c r="C3379">
        <v>4</v>
      </c>
      <c r="D3379" t="s">
        <v>5</v>
      </c>
      <c r="F3379" t="str" cm="1">
        <f t="array" ref="F3379">CategorizeComment(E3379)</f>
        <v>Other</v>
      </c>
      <c r="G3379" t="str" cm="1">
        <f t="array" ref="G3379">SubCategorizeComment(E3379)</f>
        <v>Other</v>
      </c>
    </row>
    <row r="3380" spans="1:7" x14ac:dyDescent="0.25">
      <c r="A3380">
        <v>25983</v>
      </c>
      <c r="B3380" t="s">
        <v>4</v>
      </c>
      <c r="C3380">
        <v>4</v>
      </c>
      <c r="D3380" t="s">
        <v>5</v>
      </c>
      <c r="F3380" t="str" cm="1">
        <f t="array" ref="F3380">CategorizeComment(E3380)</f>
        <v>Other</v>
      </c>
      <c r="G3380" t="str" cm="1">
        <f t="array" ref="G3380">SubCategorizeComment(E3380)</f>
        <v>Other</v>
      </c>
    </row>
    <row r="3381" spans="1:7" x14ac:dyDescent="0.25">
      <c r="A3381">
        <v>25986</v>
      </c>
      <c r="B3381" t="s">
        <v>4</v>
      </c>
      <c r="C3381">
        <v>3</v>
      </c>
      <c r="D3381" t="s">
        <v>5</v>
      </c>
      <c r="F3381" t="str" cm="1">
        <f t="array" ref="F3381">CategorizeComment(E3381)</f>
        <v>Other</v>
      </c>
      <c r="G3381" t="str" cm="1">
        <f t="array" ref="G3381">SubCategorizeComment(E3381)</f>
        <v>Other</v>
      </c>
    </row>
    <row r="3382" spans="1:7" x14ac:dyDescent="0.25">
      <c r="A3382">
        <v>25987</v>
      </c>
      <c r="B3382" t="s">
        <v>4</v>
      </c>
      <c r="C3382">
        <v>3</v>
      </c>
      <c r="D3382" t="s">
        <v>5</v>
      </c>
      <c r="F3382" t="str" cm="1">
        <f t="array" ref="F3382">CategorizeComment(E3382)</f>
        <v>Other</v>
      </c>
      <c r="G3382" t="str" cm="1">
        <f t="array" ref="G3382">SubCategorizeComment(E3382)</f>
        <v>Other</v>
      </c>
    </row>
    <row r="3383" spans="1:7" x14ac:dyDescent="0.25">
      <c r="A3383">
        <v>26007</v>
      </c>
      <c r="B3383" t="s">
        <v>4</v>
      </c>
      <c r="C3383">
        <v>4</v>
      </c>
      <c r="D3383" t="s">
        <v>5</v>
      </c>
      <c r="F3383" t="str" cm="1">
        <f t="array" ref="F3383">CategorizeComment(E3383)</f>
        <v>Other</v>
      </c>
      <c r="G3383" t="str" cm="1">
        <f t="array" ref="G3383">SubCategorizeComment(E3383)</f>
        <v>Other</v>
      </c>
    </row>
    <row r="3384" spans="1:7" x14ac:dyDescent="0.25">
      <c r="A3384">
        <v>26012</v>
      </c>
      <c r="B3384" t="s">
        <v>4</v>
      </c>
      <c r="C3384">
        <v>3</v>
      </c>
      <c r="D3384" t="s">
        <v>5</v>
      </c>
      <c r="F3384" t="str" cm="1">
        <f t="array" ref="F3384">CategorizeComment(E3384)</f>
        <v>Other</v>
      </c>
      <c r="G3384" t="str" cm="1">
        <f t="array" ref="G3384">SubCategorizeComment(E3384)</f>
        <v>Other</v>
      </c>
    </row>
    <row r="3385" spans="1:7" x14ac:dyDescent="0.25">
      <c r="A3385">
        <v>26013</v>
      </c>
      <c r="B3385" t="s">
        <v>4</v>
      </c>
      <c r="C3385">
        <v>3</v>
      </c>
      <c r="D3385" t="s">
        <v>5</v>
      </c>
      <c r="F3385" t="str" cm="1">
        <f t="array" ref="F3385">CategorizeComment(E3385)</f>
        <v>Other</v>
      </c>
      <c r="G3385" t="str" cm="1">
        <f t="array" ref="G3385">SubCategorizeComment(E3385)</f>
        <v>Other</v>
      </c>
    </row>
    <row r="3386" spans="1:7" x14ac:dyDescent="0.25">
      <c r="A3386">
        <v>26014</v>
      </c>
      <c r="B3386" t="s">
        <v>4</v>
      </c>
      <c r="C3386">
        <v>4</v>
      </c>
      <c r="D3386" t="s">
        <v>5</v>
      </c>
      <c r="F3386" t="str" cm="1">
        <f t="array" ref="F3386">CategorizeComment(E3386)</f>
        <v>Other</v>
      </c>
      <c r="G3386" t="str" cm="1">
        <f t="array" ref="G3386">SubCategorizeComment(E3386)</f>
        <v>Other</v>
      </c>
    </row>
    <row r="3387" spans="1:7" x14ac:dyDescent="0.25">
      <c r="A3387">
        <v>26015</v>
      </c>
      <c r="B3387" t="s">
        <v>4</v>
      </c>
      <c r="C3387">
        <v>4</v>
      </c>
      <c r="D3387" t="s">
        <v>5</v>
      </c>
      <c r="F3387" t="str" cm="1">
        <f t="array" ref="F3387">CategorizeComment(E3387)</f>
        <v>Other</v>
      </c>
      <c r="G3387" t="str" cm="1">
        <f t="array" ref="G3387">SubCategorizeComment(E3387)</f>
        <v>Other</v>
      </c>
    </row>
    <row r="3388" spans="1:7" x14ac:dyDescent="0.25">
      <c r="A3388">
        <v>26040</v>
      </c>
      <c r="B3388" t="s">
        <v>4</v>
      </c>
      <c r="C3388">
        <v>3</v>
      </c>
      <c r="D3388" t="s">
        <v>5</v>
      </c>
      <c r="F3388" t="str" cm="1">
        <f t="array" ref="F3388">CategorizeComment(E3388)</f>
        <v>Other</v>
      </c>
      <c r="G3388" t="str" cm="1">
        <f t="array" ref="G3388">SubCategorizeComment(E3388)</f>
        <v>Other</v>
      </c>
    </row>
    <row r="3389" spans="1:7" x14ac:dyDescent="0.25">
      <c r="A3389">
        <v>26045</v>
      </c>
      <c r="B3389" t="s">
        <v>4</v>
      </c>
      <c r="C3389">
        <v>4</v>
      </c>
      <c r="D3389" t="s">
        <v>5</v>
      </c>
      <c r="F3389" t="str" cm="1">
        <f t="array" ref="F3389">CategorizeComment(E3389)</f>
        <v>Other</v>
      </c>
      <c r="G3389" t="str" cm="1">
        <f t="array" ref="G3389">SubCategorizeComment(E3389)</f>
        <v>Other</v>
      </c>
    </row>
    <row r="3390" spans="1:7" x14ac:dyDescent="0.25">
      <c r="A3390">
        <v>26053</v>
      </c>
      <c r="B3390" t="s">
        <v>4</v>
      </c>
      <c r="C3390">
        <v>4</v>
      </c>
      <c r="D3390" t="s">
        <v>5</v>
      </c>
      <c r="F3390" t="str" cm="1">
        <f t="array" ref="F3390">CategorizeComment(E3390)</f>
        <v>Other</v>
      </c>
      <c r="G3390" t="str" cm="1">
        <f t="array" ref="G3390">SubCategorizeComment(E3390)</f>
        <v>Other</v>
      </c>
    </row>
    <row r="3391" spans="1:7" x14ac:dyDescent="0.25">
      <c r="A3391">
        <v>26062</v>
      </c>
      <c r="B3391" t="s">
        <v>4</v>
      </c>
      <c r="C3391">
        <v>4</v>
      </c>
      <c r="D3391" t="s">
        <v>5</v>
      </c>
      <c r="F3391" t="str" cm="1">
        <f t="array" ref="F3391">CategorizeComment(E3391)</f>
        <v>Other</v>
      </c>
      <c r="G3391" t="str" cm="1">
        <f t="array" ref="G3391">SubCategorizeComment(E3391)</f>
        <v>Other</v>
      </c>
    </row>
    <row r="3392" spans="1:7" x14ac:dyDescent="0.25">
      <c r="A3392">
        <v>26078</v>
      </c>
      <c r="B3392" t="s">
        <v>4</v>
      </c>
      <c r="C3392">
        <v>4</v>
      </c>
      <c r="D3392" t="s">
        <v>5</v>
      </c>
      <c r="F3392" t="str" cm="1">
        <f t="array" ref="F3392">CategorizeComment(E3392)</f>
        <v>Other</v>
      </c>
      <c r="G3392" t="str" cm="1">
        <f t="array" ref="G3392">SubCategorizeComment(E3392)</f>
        <v>Other</v>
      </c>
    </row>
    <row r="3393" spans="1:7" x14ac:dyDescent="0.25">
      <c r="A3393">
        <v>26084</v>
      </c>
      <c r="B3393" t="s">
        <v>4</v>
      </c>
      <c r="C3393">
        <v>3</v>
      </c>
      <c r="D3393" t="s">
        <v>5</v>
      </c>
      <c r="F3393" t="str" cm="1">
        <f t="array" ref="F3393">CategorizeComment(E3393)</f>
        <v>Other</v>
      </c>
      <c r="G3393" t="str" cm="1">
        <f t="array" ref="G3393">SubCategorizeComment(E3393)</f>
        <v>Other</v>
      </c>
    </row>
    <row r="3394" spans="1:7" x14ac:dyDescent="0.25">
      <c r="A3394">
        <v>26086</v>
      </c>
      <c r="B3394" t="s">
        <v>4</v>
      </c>
      <c r="C3394">
        <v>3</v>
      </c>
      <c r="D3394" t="s">
        <v>5</v>
      </c>
      <c r="F3394" t="str" cm="1">
        <f t="array" ref="F3394">CategorizeComment(E3394)</f>
        <v>Other</v>
      </c>
      <c r="G3394" t="str" cm="1">
        <f t="array" ref="G3394">SubCategorizeComment(E3394)</f>
        <v>Other</v>
      </c>
    </row>
    <row r="3395" spans="1:7" x14ac:dyDescent="0.25">
      <c r="A3395">
        <v>26088</v>
      </c>
      <c r="B3395" t="s">
        <v>4</v>
      </c>
      <c r="C3395">
        <v>4</v>
      </c>
      <c r="D3395" t="s">
        <v>5</v>
      </c>
      <c r="F3395" t="str" cm="1">
        <f t="array" ref="F3395">CategorizeComment(E3395)</f>
        <v>Other</v>
      </c>
      <c r="G3395" t="str" cm="1">
        <f t="array" ref="G3395">SubCategorizeComment(E3395)</f>
        <v>Other</v>
      </c>
    </row>
    <row r="3396" spans="1:7" x14ac:dyDescent="0.25">
      <c r="A3396">
        <v>26092</v>
      </c>
      <c r="B3396" t="s">
        <v>4</v>
      </c>
      <c r="C3396">
        <v>3</v>
      </c>
      <c r="D3396" t="s">
        <v>5</v>
      </c>
      <c r="F3396" t="str" cm="1">
        <f t="array" ref="F3396">CategorizeComment(E3396)</f>
        <v>Other</v>
      </c>
      <c r="G3396" t="str" cm="1">
        <f t="array" ref="G3396">SubCategorizeComment(E3396)</f>
        <v>Other</v>
      </c>
    </row>
    <row r="3397" spans="1:7" x14ac:dyDescent="0.25">
      <c r="A3397">
        <v>26152</v>
      </c>
      <c r="B3397" t="s">
        <v>4</v>
      </c>
      <c r="C3397">
        <v>4</v>
      </c>
      <c r="D3397" t="s">
        <v>5</v>
      </c>
      <c r="F3397" t="str" cm="1">
        <f t="array" ref="F3397">CategorizeComment(E3397)</f>
        <v>Other</v>
      </c>
      <c r="G3397" t="str" cm="1">
        <f t="array" ref="G3397">SubCategorizeComment(E3397)</f>
        <v>Other</v>
      </c>
    </row>
    <row r="3398" spans="1:7" x14ac:dyDescent="0.25">
      <c r="A3398">
        <v>26171</v>
      </c>
      <c r="B3398" t="s">
        <v>4</v>
      </c>
      <c r="C3398">
        <v>0</v>
      </c>
      <c r="D3398" t="s">
        <v>5</v>
      </c>
      <c r="F3398" t="str" cm="1">
        <f t="array" ref="F3398">CategorizeComment(E3398)</f>
        <v>Other</v>
      </c>
      <c r="G3398" t="str" cm="1">
        <f t="array" ref="G3398">SubCategorizeComment(E3398)</f>
        <v>Other</v>
      </c>
    </row>
    <row r="3399" spans="1:7" x14ac:dyDescent="0.25">
      <c r="A3399">
        <v>26174</v>
      </c>
      <c r="B3399" t="s">
        <v>4</v>
      </c>
      <c r="C3399">
        <v>3</v>
      </c>
      <c r="D3399" t="s">
        <v>5</v>
      </c>
      <c r="F3399" t="str" cm="1">
        <f t="array" ref="F3399">CategorizeComment(E3399)</f>
        <v>Other</v>
      </c>
      <c r="G3399" t="str" cm="1">
        <f t="array" ref="G3399">SubCategorizeComment(E3399)</f>
        <v>Other</v>
      </c>
    </row>
    <row r="3400" spans="1:7" x14ac:dyDescent="0.25">
      <c r="A3400">
        <v>26175</v>
      </c>
      <c r="B3400" t="s">
        <v>4</v>
      </c>
      <c r="C3400">
        <v>3</v>
      </c>
      <c r="D3400" t="s">
        <v>5</v>
      </c>
      <c r="F3400" t="str" cm="1">
        <f t="array" ref="F3400">CategorizeComment(E3400)</f>
        <v>Other</v>
      </c>
      <c r="G3400" t="str" cm="1">
        <f t="array" ref="G3400">SubCategorizeComment(E3400)</f>
        <v>Other</v>
      </c>
    </row>
    <row r="3401" spans="1:7" x14ac:dyDescent="0.25">
      <c r="A3401">
        <v>26183</v>
      </c>
      <c r="B3401" t="s">
        <v>4</v>
      </c>
      <c r="C3401">
        <v>4</v>
      </c>
      <c r="D3401" t="s">
        <v>5</v>
      </c>
      <c r="F3401" t="str" cm="1">
        <f t="array" ref="F3401">CategorizeComment(E3401)</f>
        <v>Other</v>
      </c>
      <c r="G3401" t="str" cm="1">
        <f t="array" ref="G3401">SubCategorizeComment(E3401)</f>
        <v>Other</v>
      </c>
    </row>
    <row r="3402" spans="1:7" x14ac:dyDescent="0.25">
      <c r="A3402">
        <v>26189</v>
      </c>
      <c r="B3402" t="s">
        <v>4</v>
      </c>
      <c r="C3402">
        <v>3</v>
      </c>
      <c r="D3402" t="s">
        <v>5</v>
      </c>
      <c r="F3402" t="str" cm="1">
        <f t="array" ref="F3402">CategorizeComment(E3402)</f>
        <v>Other</v>
      </c>
      <c r="G3402" t="str" cm="1">
        <f t="array" ref="G3402">SubCategorizeComment(E3402)</f>
        <v>Other</v>
      </c>
    </row>
    <row r="3403" spans="1:7" x14ac:dyDescent="0.25">
      <c r="A3403">
        <v>26199</v>
      </c>
      <c r="B3403" t="s">
        <v>4</v>
      </c>
      <c r="C3403">
        <v>3</v>
      </c>
      <c r="D3403" t="s">
        <v>5</v>
      </c>
      <c r="F3403" t="str" cm="1">
        <f t="array" ref="F3403">CategorizeComment(E3403)</f>
        <v>Other</v>
      </c>
      <c r="G3403" t="str" cm="1">
        <f t="array" ref="G3403">SubCategorizeComment(E3403)</f>
        <v>Other</v>
      </c>
    </row>
    <row r="3404" spans="1:7" x14ac:dyDescent="0.25">
      <c r="A3404">
        <v>26202</v>
      </c>
      <c r="B3404" t="s">
        <v>4</v>
      </c>
      <c r="C3404">
        <v>3</v>
      </c>
      <c r="D3404" t="s">
        <v>5</v>
      </c>
      <c r="F3404" t="str" cm="1">
        <f t="array" ref="F3404">CategorizeComment(E3404)</f>
        <v>Other</v>
      </c>
      <c r="G3404" t="str" cm="1">
        <f t="array" ref="G3404">SubCategorizeComment(E3404)</f>
        <v>Other</v>
      </c>
    </row>
    <row r="3405" spans="1:7" x14ac:dyDescent="0.25">
      <c r="A3405">
        <v>26205</v>
      </c>
      <c r="B3405" t="s">
        <v>4</v>
      </c>
      <c r="C3405">
        <v>3</v>
      </c>
      <c r="D3405" t="s">
        <v>5</v>
      </c>
      <c r="F3405" t="str" cm="1">
        <f t="array" ref="F3405">CategorizeComment(E3405)</f>
        <v>Other</v>
      </c>
      <c r="G3405" t="str" cm="1">
        <f t="array" ref="G3405">SubCategorizeComment(E3405)</f>
        <v>Other</v>
      </c>
    </row>
    <row r="3406" spans="1:7" x14ac:dyDescent="0.25">
      <c r="A3406">
        <v>26231</v>
      </c>
      <c r="B3406" t="s">
        <v>4</v>
      </c>
      <c r="C3406">
        <v>3</v>
      </c>
      <c r="D3406" t="s">
        <v>5</v>
      </c>
      <c r="F3406" t="str" cm="1">
        <f t="array" ref="F3406">CategorizeComment(E3406)</f>
        <v>Other</v>
      </c>
      <c r="G3406" t="str" cm="1">
        <f t="array" ref="G3406">SubCategorizeComment(E3406)</f>
        <v>Other</v>
      </c>
    </row>
    <row r="3407" spans="1:7" x14ac:dyDescent="0.25">
      <c r="A3407">
        <v>26232</v>
      </c>
      <c r="B3407" t="s">
        <v>4</v>
      </c>
      <c r="C3407">
        <v>4</v>
      </c>
      <c r="D3407" t="s">
        <v>5</v>
      </c>
      <c r="F3407" t="str" cm="1">
        <f t="array" ref="F3407">CategorizeComment(E3407)</f>
        <v>Other</v>
      </c>
      <c r="G3407" t="str" cm="1">
        <f t="array" ref="G3407">SubCategorizeComment(E3407)</f>
        <v>Other</v>
      </c>
    </row>
    <row r="3408" spans="1:7" x14ac:dyDescent="0.25">
      <c r="A3408">
        <v>26243</v>
      </c>
      <c r="B3408" t="s">
        <v>4</v>
      </c>
      <c r="C3408">
        <v>3</v>
      </c>
      <c r="D3408" t="s">
        <v>5</v>
      </c>
      <c r="F3408" t="str" cm="1">
        <f t="array" ref="F3408">CategorizeComment(E3408)</f>
        <v>Other</v>
      </c>
      <c r="G3408" t="str" cm="1">
        <f t="array" ref="G3408">SubCategorizeComment(E3408)</f>
        <v>Other</v>
      </c>
    </row>
    <row r="3409" spans="1:7" x14ac:dyDescent="0.25">
      <c r="A3409">
        <v>26246</v>
      </c>
      <c r="B3409" t="s">
        <v>4</v>
      </c>
      <c r="C3409">
        <v>3</v>
      </c>
      <c r="D3409" t="s">
        <v>5</v>
      </c>
      <c r="F3409" t="str" cm="1">
        <f t="array" ref="F3409">CategorizeComment(E3409)</f>
        <v>Other</v>
      </c>
      <c r="G3409" t="str" cm="1">
        <f t="array" ref="G3409">SubCategorizeComment(E3409)</f>
        <v>Other</v>
      </c>
    </row>
    <row r="3410" spans="1:7" x14ac:dyDescent="0.25">
      <c r="A3410">
        <v>26254</v>
      </c>
      <c r="B3410" t="s">
        <v>4</v>
      </c>
      <c r="C3410">
        <v>4</v>
      </c>
      <c r="D3410" t="s">
        <v>5</v>
      </c>
      <c r="F3410" t="str" cm="1">
        <f t="array" ref="F3410">CategorizeComment(E3410)</f>
        <v>Other</v>
      </c>
      <c r="G3410" t="str" cm="1">
        <f t="array" ref="G3410">SubCategorizeComment(E3410)</f>
        <v>Other</v>
      </c>
    </row>
    <row r="3411" spans="1:7" x14ac:dyDescent="0.25">
      <c r="A3411">
        <v>26259</v>
      </c>
      <c r="B3411" t="s">
        <v>4</v>
      </c>
      <c r="C3411">
        <v>3</v>
      </c>
      <c r="D3411" t="s">
        <v>5</v>
      </c>
      <c r="F3411" t="str" cm="1">
        <f t="array" ref="F3411">CategorizeComment(E3411)</f>
        <v>Other</v>
      </c>
      <c r="G3411" t="str" cm="1">
        <f t="array" ref="G3411">SubCategorizeComment(E3411)</f>
        <v>Other</v>
      </c>
    </row>
    <row r="3412" spans="1:7" x14ac:dyDescent="0.25">
      <c r="A3412">
        <v>26269</v>
      </c>
      <c r="B3412" t="s">
        <v>4</v>
      </c>
      <c r="C3412">
        <v>3</v>
      </c>
      <c r="D3412" t="s">
        <v>5</v>
      </c>
      <c r="F3412" t="str" cm="1">
        <f t="array" ref="F3412">CategorizeComment(E3412)</f>
        <v>Other</v>
      </c>
      <c r="G3412" t="str" cm="1">
        <f t="array" ref="G3412">SubCategorizeComment(E3412)</f>
        <v>Other</v>
      </c>
    </row>
    <row r="3413" spans="1:7" x14ac:dyDescent="0.25">
      <c r="A3413">
        <v>26279</v>
      </c>
      <c r="B3413" t="s">
        <v>4</v>
      </c>
      <c r="C3413">
        <v>3</v>
      </c>
      <c r="D3413" t="s">
        <v>5</v>
      </c>
      <c r="F3413" t="str" cm="1">
        <f t="array" ref="F3413">CategorizeComment(E3413)</f>
        <v>Other</v>
      </c>
      <c r="G3413" t="str" cm="1">
        <f t="array" ref="G3413">SubCategorizeComment(E3413)</f>
        <v>Other</v>
      </c>
    </row>
    <row r="3414" spans="1:7" x14ac:dyDescent="0.25">
      <c r="A3414">
        <v>26287</v>
      </c>
      <c r="B3414" t="s">
        <v>4</v>
      </c>
      <c r="C3414">
        <v>4</v>
      </c>
      <c r="D3414" t="s">
        <v>5</v>
      </c>
      <c r="F3414" t="str" cm="1">
        <f t="array" ref="F3414">CategorizeComment(E3414)</f>
        <v>Other</v>
      </c>
      <c r="G3414" t="str" cm="1">
        <f t="array" ref="G3414">SubCategorizeComment(E3414)</f>
        <v>Other</v>
      </c>
    </row>
    <row r="3415" spans="1:7" x14ac:dyDescent="0.25">
      <c r="A3415">
        <v>26290</v>
      </c>
      <c r="B3415" t="s">
        <v>4</v>
      </c>
      <c r="C3415">
        <v>3</v>
      </c>
      <c r="D3415" t="s">
        <v>5</v>
      </c>
      <c r="F3415" t="str" cm="1">
        <f t="array" ref="F3415">CategorizeComment(E3415)</f>
        <v>Other</v>
      </c>
      <c r="G3415" t="str" cm="1">
        <f t="array" ref="G3415">SubCategorizeComment(E3415)</f>
        <v>Other</v>
      </c>
    </row>
    <row r="3416" spans="1:7" x14ac:dyDescent="0.25">
      <c r="A3416">
        <v>26299</v>
      </c>
      <c r="B3416" t="s">
        <v>4</v>
      </c>
      <c r="C3416">
        <v>4</v>
      </c>
      <c r="D3416" t="s">
        <v>5</v>
      </c>
      <c r="F3416" t="str" cm="1">
        <f t="array" ref="F3416">CategorizeComment(E3416)</f>
        <v>Other</v>
      </c>
      <c r="G3416" t="str" cm="1">
        <f t="array" ref="G3416">SubCategorizeComment(E3416)</f>
        <v>Other</v>
      </c>
    </row>
    <row r="3417" spans="1:7" x14ac:dyDescent="0.25">
      <c r="A3417">
        <v>26309</v>
      </c>
      <c r="B3417" t="s">
        <v>4</v>
      </c>
      <c r="C3417">
        <v>4</v>
      </c>
      <c r="D3417" t="s">
        <v>5</v>
      </c>
      <c r="F3417" t="str" cm="1">
        <f t="array" ref="F3417">CategorizeComment(E3417)</f>
        <v>Other</v>
      </c>
      <c r="G3417" t="str" cm="1">
        <f t="array" ref="G3417">SubCategorizeComment(E3417)</f>
        <v>Other</v>
      </c>
    </row>
    <row r="3418" spans="1:7" x14ac:dyDescent="0.25">
      <c r="A3418">
        <v>26310</v>
      </c>
      <c r="B3418" t="s">
        <v>4</v>
      </c>
      <c r="C3418">
        <v>4</v>
      </c>
      <c r="D3418" t="s">
        <v>5</v>
      </c>
      <c r="F3418" t="str" cm="1">
        <f t="array" ref="F3418">CategorizeComment(E3418)</f>
        <v>Other</v>
      </c>
      <c r="G3418" t="str" cm="1">
        <f t="array" ref="G3418">SubCategorizeComment(E3418)</f>
        <v>Other</v>
      </c>
    </row>
    <row r="3419" spans="1:7" x14ac:dyDescent="0.25">
      <c r="A3419">
        <v>26332</v>
      </c>
      <c r="B3419" t="s">
        <v>4</v>
      </c>
      <c r="C3419">
        <v>4</v>
      </c>
      <c r="D3419" t="s">
        <v>5</v>
      </c>
      <c r="F3419" t="str" cm="1">
        <f t="array" ref="F3419">CategorizeComment(E3419)</f>
        <v>Other</v>
      </c>
      <c r="G3419" t="str" cm="1">
        <f t="array" ref="G3419">SubCategorizeComment(E3419)</f>
        <v>Other</v>
      </c>
    </row>
    <row r="3420" spans="1:7" x14ac:dyDescent="0.25">
      <c r="A3420">
        <v>26341</v>
      </c>
      <c r="B3420" t="s">
        <v>4</v>
      </c>
      <c r="C3420">
        <v>3</v>
      </c>
      <c r="D3420" t="s">
        <v>5</v>
      </c>
      <c r="F3420" t="str" cm="1">
        <f t="array" ref="F3420">CategorizeComment(E3420)</f>
        <v>Other</v>
      </c>
      <c r="G3420" t="str" cm="1">
        <f t="array" ref="G3420">SubCategorizeComment(E3420)</f>
        <v>Other</v>
      </c>
    </row>
    <row r="3421" spans="1:7" x14ac:dyDescent="0.25">
      <c r="A3421">
        <v>26343</v>
      </c>
      <c r="B3421" t="s">
        <v>4</v>
      </c>
      <c r="C3421">
        <v>4</v>
      </c>
      <c r="D3421" t="s">
        <v>5</v>
      </c>
      <c r="F3421" t="str" cm="1">
        <f t="array" ref="F3421">CategorizeComment(E3421)</f>
        <v>Other</v>
      </c>
      <c r="G3421" t="str" cm="1">
        <f t="array" ref="G3421">SubCategorizeComment(E3421)</f>
        <v>Other</v>
      </c>
    </row>
    <row r="3422" spans="1:7" x14ac:dyDescent="0.25">
      <c r="A3422">
        <v>26363</v>
      </c>
      <c r="B3422" t="s">
        <v>4</v>
      </c>
      <c r="C3422">
        <v>4</v>
      </c>
      <c r="D3422" t="s">
        <v>5</v>
      </c>
      <c r="F3422" t="str" cm="1">
        <f t="array" ref="F3422">CategorizeComment(E3422)</f>
        <v>Other</v>
      </c>
      <c r="G3422" t="str" cm="1">
        <f t="array" ref="G3422">SubCategorizeComment(E3422)</f>
        <v>Other</v>
      </c>
    </row>
    <row r="3423" spans="1:7" x14ac:dyDescent="0.25">
      <c r="A3423">
        <v>26371</v>
      </c>
      <c r="B3423" t="s">
        <v>4</v>
      </c>
      <c r="C3423">
        <v>3</v>
      </c>
      <c r="D3423" t="s">
        <v>5</v>
      </c>
      <c r="F3423" t="str" cm="1">
        <f t="array" ref="F3423">CategorizeComment(E3423)</f>
        <v>Other</v>
      </c>
      <c r="G3423" t="str" cm="1">
        <f t="array" ref="G3423">SubCategorizeComment(E3423)</f>
        <v>Other</v>
      </c>
    </row>
    <row r="3424" spans="1:7" x14ac:dyDescent="0.25">
      <c r="A3424">
        <v>26374</v>
      </c>
      <c r="B3424" t="s">
        <v>4</v>
      </c>
      <c r="C3424">
        <v>3</v>
      </c>
      <c r="D3424" t="s">
        <v>5</v>
      </c>
      <c r="F3424" t="str" cm="1">
        <f t="array" ref="F3424">CategorizeComment(E3424)</f>
        <v>Other</v>
      </c>
      <c r="G3424" t="str" cm="1">
        <f t="array" ref="G3424">SubCategorizeComment(E3424)</f>
        <v>Other</v>
      </c>
    </row>
    <row r="3425" spans="1:7" x14ac:dyDescent="0.25">
      <c r="A3425">
        <v>26380</v>
      </c>
      <c r="B3425" t="s">
        <v>4</v>
      </c>
      <c r="C3425">
        <v>3</v>
      </c>
      <c r="D3425" t="s">
        <v>5</v>
      </c>
      <c r="F3425" t="str" cm="1">
        <f t="array" ref="F3425">CategorizeComment(E3425)</f>
        <v>Other</v>
      </c>
      <c r="G3425" t="str" cm="1">
        <f t="array" ref="G3425">SubCategorizeComment(E3425)</f>
        <v>Other</v>
      </c>
    </row>
    <row r="3426" spans="1:7" x14ac:dyDescent="0.25">
      <c r="A3426">
        <v>26387</v>
      </c>
      <c r="B3426" t="s">
        <v>4</v>
      </c>
      <c r="C3426">
        <v>3</v>
      </c>
      <c r="D3426" t="s">
        <v>5</v>
      </c>
      <c r="F3426" t="str" cm="1">
        <f t="array" ref="F3426">CategorizeComment(E3426)</f>
        <v>Other</v>
      </c>
      <c r="G3426" t="str" cm="1">
        <f t="array" ref="G3426">SubCategorizeComment(E3426)</f>
        <v>Other</v>
      </c>
    </row>
    <row r="3427" spans="1:7" x14ac:dyDescent="0.25">
      <c r="A3427">
        <v>26388</v>
      </c>
      <c r="B3427" t="s">
        <v>4</v>
      </c>
      <c r="C3427">
        <v>4</v>
      </c>
      <c r="D3427" t="s">
        <v>5</v>
      </c>
      <c r="F3427" t="str" cm="1">
        <f t="array" ref="F3427">CategorizeComment(E3427)</f>
        <v>Other</v>
      </c>
      <c r="G3427" t="str" cm="1">
        <f t="array" ref="G3427">SubCategorizeComment(E3427)</f>
        <v>Other</v>
      </c>
    </row>
    <row r="3428" spans="1:7" x14ac:dyDescent="0.25">
      <c r="A3428">
        <v>26399</v>
      </c>
      <c r="B3428" t="s">
        <v>4</v>
      </c>
      <c r="C3428">
        <v>4</v>
      </c>
      <c r="D3428" t="s">
        <v>5</v>
      </c>
      <c r="F3428" t="str" cm="1">
        <f t="array" ref="F3428">CategorizeComment(E3428)</f>
        <v>Other</v>
      </c>
      <c r="G3428" t="str" cm="1">
        <f t="array" ref="G3428">SubCategorizeComment(E3428)</f>
        <v>Other</v>
      </c>
    </row>
    <row r="3429" spans="1:7" x14ac:dyDescent="0.25">
      <c r="A3429">
        <v>26402</v>
      </c>
      <c r="B3429" t="s">
        <v>4</v>
      </c>
      <c r="C3429">
        <v>3</v>
      </c>
      <c r="D3429" t="s">
        <v>5</v>
      </c>
      <c r="F3429" t="str" cm="1">
        <f t="array" ref="F3429">CategorizeComment(E3429)</f>
        <v>Other</v>
      </c>
      <c r="G3429" t="str" cm="1">
        <f t="array" ref="G3429">SubCategorizeComment(E3429)</f>
        <v>Other</v>
      </c>
    </row>
    <row r="3430" spans="1:7" x14ac:dyDescent="0.25">
      <c r="A3430">
        <v>26411</v>
      </c>
      <c r="B3430" t="s">
        <v>4</v>
      </c>
      <c r="C3430">
        <v>4</v>
      </c>
      <c r="D3430" t="s">
        <v>5</v>
      </c>
      <c r="F3430" t="str" cm="1">
        <f t="array" ref="F3430">CategorizeComment(E3430)</f>
        <v>Other</v>
      </c>
      <c r="G3430" t="str" cm="1">
        <f t="array" ref="G3430">SubCategorizeComment(E3430)</f>
        <v>Other</v>
      </c>
    </row>
    <row r="3431" spans="1:7" x14ac:dyDescent="0.25">
      <c r="A3431">
        <v>26417</v>
      </c>
      <c r="B3431" t="s">
        <v>4</v>
      </c>
      <c r="C3431">
        <v>4</v>
      </c>
      <c r="D3431" t="s">
        <v>5</v>
      </c>
      <c r="F3431" t="str" cm="1">
        <f t="array" ref="F3431">CategorizeComment(E3431)</f>
        <v>Other</v>
      </c>
      <c r="G3431" t="str" cm="1">
        <f t="array" ref="G3431">SubCategorizeComment(E3431)</f>
        <v>Other</v>
      </c>
    </row>
    <row r="3432" spans="1:7" x14ac:dyDescent="0.25">
      <c r="A3432">
        <v>26419</v>
      </c>
      <c r="B3432" t="s">
        <v>4</v>
      </c>
      <c r="C3432">
        <v>3</v>
      </c>
      <c r="D3432" t="s">
        <v>5</v>
      </c>
      <c r="F3432" t="str" cm="1">
        <f t="array" ref="F3432">CategorizeComment(E3432)</f>
        <v>Other</v>
      </c>
      <c r="G3432" t="str" cm="1">
        <f t="array" ref="G3432">SubCategorizeComment(E3432)</f>
        <v>Other</v>
      </c>
    </row>
    <row r="3433" spans="1:7" x14ac:dyDescent="0.25">
      <c r="A3433">
        <v>26439</v>
      </c>
      <c r="B3433" t="s">
        <v>4</v>
      </c>
      <c r="C3433">
        <v>4</v>
      </c>
      <c r="D3433" t="s">
        <v>5</v>
      </c>
      <c r="F3433" t="str" cm="1">
        <f t="array" ref="F3433">CategorizeComment(E3433)</f>
        <v>Other</v>
      </c>
      <c r="G3433" t="str" cm="1">
        <f t="array" ref="G3433">SubCategorizeComment(E3433)</f>
        <v>Other</v>
      </c>
    </row>
    <row r="3434" spans="1:7" x14ac:dyDescent="0.25">
      <c r="A3434">
        <v>26446</v>
      </c>
      <c r="B3434" t="s">
        <v>4</v>
      </c>
      <c r="C3434">
        <v>3</v>
      </c>
      <c r="D3434" t="s">
        <v>5</v>
      </c>
      <c r="F3434" t="str" cm="1">
        <f t="array" ref="F3434">CategorizeComment(E3434)</f>
        <v>Other</v>
      </c>
      <c r="G3434" t="str" cm="1">
        <f t="array" ref="G3434">SubCategorizeComment(E3434)</f>
        <v>Other</v>
      </c>
    </row>
    <row r="3435" spans="1:7" x14ac:dyDescent="0.25">
      <c r="A3435">
        <v>26471</v>
      </c>
      <c r="B3435" t="s">
        <v>4</v>
      </c>
      <c r="C3435">
        <v>4</v>
      </c>
      <c r="D3435" t="s">
        <v>5</v>
      </c>
      <c r="F3435" t="str" cm="1">
        <f t="array" ref="F3435">CategorizeComment(E3435)</f>
        <v>Other</v>
      </c>
      <c r="G3435" t="str" cm="1">
        <f t="array" ref="G3435">SubCategorizeComment(E3435)</f>
        <v>Other</v>
      </c>
    </row>
    <row r="3436" spans="1:7" x14ac:dyDescent="0.25">
      <c r="A3436">
        <v>26507</v>
      </c>
      <c r="B3436" t="s">
        <v>4</v>
      </c>
      <c r="C3436">
        <v>3</v>
      </c>
      <c r="D3436" t="s">
        <v>5</v>
      </c>
      <c r="F3436" t="str" cm="1">
        <f t="array" ref="F3436">CategorizeComment(E3436)</f>
        <v>Other</v>
      </c>
      <c r="G3436" t="str" cm="1">
        <f t="array" ref="G3436">SubCategorizeComment(E3436)</f>
        <v>Other</v>
      </c>
    </row>
    <row r="3437" spans="1:7" x14ac:dyDescent="0.25">
      <c r="A3437">
        <v>26514</v>
      </c>
      <c r="B3437" t="s">
        <v>4</v>
      </c>
      <c r="C3437">
        <v>3</v>
      </c>
      <c r="D3437" t="s">
        <v>5</v>
      </c>
      <c r="F3437" t="str" cm="1">
        <f t="array" ref="F3437">CategorizeComment(E3437)</f>
        <v>Other</v>
      </c>
      <c r="G3437" t="str" cm="1">
        <f t="array" ref="G3437">SubCategorizeComment(E3437)</f>
        <v>Other</v>
      </c>
    </row>
    <row r="3438" spans="1:7" x14ac:dyDescent="0.25">
      <c r="A3438">
        <v>26526</v>
      </c>
      <c r="B3438" t="s">
        <v>4</v>
      </c>
      <c r="C3438">
        <v>4</v>
      </c>
      <c r="D3438" t="s">
        <v>5</v>
      </c>
      <c r="F3438" t="str" cm="1">
        <f t="array" ref="F3438">CategorizeComment(E3438)</f>
        <v>Other</v>
      </c>
      <c r="G3438" t="str" cm="1">
        <f t="array" ref="G3438">SubCategorizeComment(E3438)</f>
        <v>Other</v>
      </c>
    </row>
    <row r="3439" spans="1:7" x14ac:dyDescent="0.25">
      <c r="A3439">
        <v>26531</v>
      </c>
      <c r="B3439" t="s">
        <v>4</v>
      </c>
      <c r="C3439">
        <v>4</v>
      </c>
      <c r="D3439" t="s">
        <v>5</v>
      </c>
      <c r="F3439" t="str" cm="1">
        <f t="array" ref="F3439">CategorizeComment(E3439)</f>
        <v>Other</v>
      </c>
      <c r="G3439" t="str" cm="1">
        <f t="array" ref="G3439">SubCategorizeComment(E3439)</f>
        <v>Other</v>
      </c>
    </row>
    <row r="3440" spans="1:7" x14ac:dyDescent="0.25">
      <c r="A3440">
        <v>26535</v>
      </c>
      <c r="B3440" t="s">
        <v>4</v>
      </c>
      <c r="C3440">
        <v>3</v>
      </c>
      <c r="D3440" t="s">
        <v>5</v>
      </c>
      <c r="F3440" t="str" cm="1">
        <f t="array" ref="F3440">CategorizeComment(E3440)</f>
        <v>Other</v>
      </c>
      <c r="G3440" t="str" cm="1">
        <f t="array" ref="G3440">SubCategorizeComment(E3440)</f>
        <v>Other</v>
      </c>
    </row>
    <row r="3441" spans="1:7" x14ac:dyDescent="0.25">
      <c r="A3441">
        <v>26538</v>
      </c>
      <c r="B3441" t="s">
        <v>4</v>
      </c>
      <c r="C3441">
        <v>4</v>
      </c>
      <c r="D3441" t="s">
        <v>5</v>
      </c>
      <c r="F3441" t="str" cm="1">
        <f t="array" ref="F3441">CategorizeComment(E3441)</f>
        <v>Other</v>
      </c>
      <c r="G3441" t="str" cm="1">
        <f t="array" ref="G3441">SubCategorizeComment(E3441)</f>
        <v>Other</v>
      </c>
    </row>
    <row r="3442" spans="1:7" x14ac:dyDescent="0.25">
      <c r="A3442">
        <v>26541</v>
      </c>
      <c r="B3442" t="s">
        <v>4</v>
      </c>
      <c r="C3442">
        <v>4</v>
      </c>
      <c r="D3442" t="s">
        <v>5</v>
      </c>
      <c r="F3442" t="str" cm="1">
        <f t="array" ref="F3442">CategorizeComment(E3442)</f>
        <v>Other</v>
      </c>
      <c r="G3442" t="str" cm="1">
        <f t="array" ref="G3442">SubCategorizeComment(E3442)</f>
        <v>Other</v>
      </c>
    </row>
    <row r="3443" spans="1:7" x14ac:dyDescent="0.25">
      <c r="A3443">
        <v>26549</v>
      </c>
      <c r="B3443" t="s">
        <v>4</v>
      </c>
      <c r="C3443">
        <v>4</v>
      </c>
      <c r="D3443" t="s">
        <v>5</v>
      </c>
      <c r="F3443" t="str" cm="1">
        <f t="array" ref="F3443">CategorizeComment(E3443)</f>
        <v>Other</v>
      </c>
      <c r="G3443" t="str" cm="1">
        <f t="array" ref="G3443">SubCategorizeComment(E3443)</f>
        <v>Other</v>
      </c>
    </row>
    <row r="3444" spans="1:7" x14ac:dyDescent="0.25">
      <c r="A3444">
        <v>26566</v>
      </c>
      <c r="B3444" t="s">
        <v>4</v>
      </c>
      <c r="C3444">
        <v>4</v>
      </c>
      <c r="D3444" t="s">
        <v>5</v>
      </c>
      <c r="F3444" t="str" cm="1">
        <f t="array" ref="F3444">CategorizeComment(E3444)</f>
        <v>Other</v>
      </c>
      <c r="G3444" t="str" cm="1">
        <f t="array" ref="G3444">SubCategorizeComment(E3444)</f>
        <v>Other</v>
      </c>
    </row>
    <row r="3445" spans="1:7" x14ac:dyDescent="0.25">
      <c r="A3445">
        <v>26571</v>
      </c>
      <c r="B3445" t="s">
        <v>4</v>
      </c>
      <c r="C3445">
        <v>4</v>
      </c>
      <c r="D3445" t="s">
        <v>5</v>
      </c>
      <c r="F3445" t="str" cm="1">
        <f t="array" ref="F3445">CategorizeComment(E3445)</f>
        <v>Other</v>
      </c>
      <c r="G3445" t="str" cm="1">
        <f t="array" ref="G3445">SubCategorizeComment(E3445)</f>
        <v>Other</v>
      </c>
    </row>
    <row r="3446" spans="1:7" x14ac:dyDescent="0.25">
      <c r="A3446">
        <v>26577</v>
      </c>
      <c r="B3446" t="s">
        <v>4</v>
      </c>
      <c r="C3446">
        <v>4</v>
      </c>
      <c r="D3446" t="s">
        <v>5</v>
      </c>
      <c r="F3446" t="str" cm="1">
        <f t="array" ref="F3446">CategorizeComment(E3446)</f>
        <v>Other</v>
      </c>
      <c r="G3446" t="str" cm="1">
        <f t="array" ref="G3446">SubCategorizeComment(E3446)</f>
        <v>Other</v>
      </c>
    </row>
    <row r="3447" spans="1:7" x14ac:dyDescent="0.25">
      <c r="A3447">
        <v>26582</v>
      </c>
      <c r="B3447" t="s">
        <v>4</v>
      </c>
      <c r="C3447">
        <v>4</v>
      </c>
      <c r="D3447" t="s">
        <v>5</v>
      </c>
      <c r="F3447" t="str" cm="1">
        <f t="array" ref="F3447">CategorizeComment(E3447)</f>
        <v>Other</v>
      </c>
      <c r="G3447" t="str" cm="1">
        <f t="array" ref="G3447">SubCategorizeComment(E3447)</f>
        <v>Other</v>
      </c>
    </row>
    <row r="3448" spans="1:7" x14ac:dyDescent="0.25">
      <c r="A3448">
        <v>26588</v>
      </c>
      <c r="B3448" t="s">
        <v>4</v>
      </c>
      <c r="C3448">
        <v>4</v>
      </c>
      <c r="D3448" t="s">
        <v>5</v>
      </c>
      <c r="F3448" t="str" cm="1">
        <f t="array" ref="F3448">CategorizeComment(E3448)</f>
        <v>Other</v>
      </c>
      <c r="G3448" t="str" cm="1">
        <f t="array" ref="G3448">SubCategorizeComment(E3448)</f>
        <v>Other</v>
      </c>
    </row>
    <row r="3449" spans="1:7" x14ac:dyDescent="0.25">
      <c r="A3449">
        <v>26611</v>
      </c>
      <c r="B3449" t="s">
        <v>4</v>
      </c>
      <c r="C3449">
        <v>3</v>
      </c>
      <c r="D3449" t="s">
        <v>5</v>
      </c>
      <c r="F3449" t="str" cm="1">
        <f t="array" ref="F3449">CategorizeComment(E3449)</f>
        <v>Other</v>
      </c>
      <c r="G3449" t="str" cm="1">
        <f t="array" ref="G3449">SubCategorizeComment(E3449)</f>
        <v>Other</v>
      </c>
    </row>
    <row r="3450" spans="1:7" x14ac:dyDescent="0.25">
      <c r="A3450">
        <v>26630</v>
      </c>
      <c r="B3450" t="s">
        <v>4</v>
      </c>
      <c r="C3450">
        <v>4</v>
      </c>
      <c r="D3450" t="s">
        <v>5</v>
      </c>
      <c r="F3450" t="str" cm="1">
        <f t="array" ref="F3450">CategorizeComment(E3450)</f>
        <v>Other</v>
      </c>
      <c r="G3450" t="str" cm="1">
        <f t="array" ref="G3450">SubCategorizeComment(E3450)</f>
        <v>Other</v>
      </c>
    </row>
    <row r="3451" spans="1:7" x14ac:dyDescent="0.25">
      <c r="A3451">
        <v>26634</v>
      </c>
      <c r="B3451" t="s">
        <v>4</v>
      </c>
      <c r="C3451">
        <v>4</v>
      </c>
      <c r="D3451" t="s">
        <v>5</v>
      </c>
      <c r="F3451" t="str" cm="1">
        <f t="array" ref="F3451">CategorizeComment(E3451)</f>
        <v>Other</v>
      </c>
      <c r="G3451" t="str" cm="1">
        <f t="array" ref="G3451">SubCategorizeComment(E3451)</f>
        <v>Other</v>
      </c>
    </row>
    <row r="3452" spans="1:7" x14ac:dyDescent="0.25">
      <c r="A3452">
        <v>26635</v>
      </c>
      <c r="B3452" t="s">
        <v>4</v>
      </c>
      <c r="C3452">
        <v>3</v>
      </c>
      <c r="D3452" t="s">
        <v>5</v>
      </c>
      <c r="F3452" t="str" cm="1">
        <f t="array" ref="F3452">CategorizeComment(E3452)</f>
        <v>Other</v>
      </c>
      <c r="G3452" t="str" cm="1">
        <f t="array" ref="G3452">SubCategorizeComment(E3452)</f>
        <v>Other</v>
      </c>
    </row>
    <row r="3453" spans="1:7" x14ac:dyDescent="0.25">
      <c r="A3453">
        <v>26648</v>
      </c>
      <c r="B3453" t="s">
        <v>4</v>
      </c>
      <c r="C3453">
        <v>3</v>
      </c>
      <c r="D3453" t="s">
        <v>5</v>
      </c>
      <c r="F3453" t="str" cm="1">
        <f t="array" ref="F3453">CategorizeComment(E3453)</f>
        <v>Other</v>
      </c>
      <c r="G3453" t="str" cm="1">
        <f t="array" ref="G3453">SubCategorizeComment(E3453)</f>
        <v>Other</v>
      </c>
    </row>
    <row r="3454" spans="1:7" x14ac:dyDescent="0.25">
      <c r="A3454">
        <v>26663</v>
      </c>
      <c r="B3454" t="s">
        <v>4</v>
      </c>
      <c r="C3454">
        <v>3</v>
      </c>
      <c r="D3454" t="s">
        <v>5</v>
      </c>
      <c r="F3454" t="str" cm="1">
        <f t="array" ref="F3454">CategorizeComment(E3454)</f>
        <v>Other</v>
      </c>
      <c r="G3454" t="str" cm="1">
        <f t="array" ref="G3454">SubCategorizeComment(E3454)</f>
        <v>Other</v>
      </c>
    </row>
    <row r="3455" spans="1:7" x14ac:dyDescent="0.25">
      <c r="A3455">
        <v>26664</v>
      </c>
      <c r="B3455" t="s">
        <v>4</v>
      </c>
      <c r="C3455">
        <v>3</v>
      </c>
      <c r="D3455" t="s">
        <v>5</v>
      </c>
      <c r="F3455" t="str" cm="1">
        <f t="array" ref="F3455">CategorizeComment(E3455)</f>
        <v>Other</v>
      </c>
      <c r="G3455" t="str" cm="1">
        <f t="array" ref="G3455">SubCategorizeComment(E3455)</f>
        <v>Other</v>
      </c>
    </row>
    <row r="3456" spans="1:7" x14ac:dyDescent="0.25">
      <c r="A3456">
        <v>26694</v>
      </c>
      <c r="B3456" t="s">
        <v>4</v>
      </c>
      <c r="C3456">
        <v>4</v>
      </c>
      <c r="D3456" t="s">
        <v>5</v>
      </c>
      <c r="F3456" t="str" cm="1">
        <f t="array" ref="F3456">CategorizeComment(E3456)</f>
        <v>Other</v>
      </c>
      <c r="G3456" t="str" cm="1">
        <f t="array" ref="G3456">SubCategorizeComment(E3456)</f>
        <v>Other</v>
      </c>
    </row>
    <row r="3457" spans="1:7" x14ac:dyDescent="0.25">
      <c r="A3457">
        <v>26708</v>
      </c>
      <c r="B3457" t="s">
        <v>4</v>
      </c>
      <c r="C3457">
        <v>4</v>
      </c>
      <c r="D3457" t="s">
        <v>5</v>
      </c>
      <c r="F3457" t="str" cm="1">
        <f t="array" ref="F3457">CategorizeComment(E3457)</f>
        <v>Other</v>
      </c>
      <c r="G3457" t="str" cm="1">
        <f t="array" ref="G3457">SubCategorizeComment(E3457)</f>
        <v>Other</v>
      </c>
    </row>
    <row r="3458" spans="1:7" x14ac:dyDescent="0.25">
      <c r="A3458">
        <v>26747</v>
      </c>
      <c r="B3458" t="s">
        <v>4</v>
      </c>
      <c r="C3458">
        <v>4</v>
      </c>
      <c r="D3458" t="s">
        <v>5</v>
      </c>
      <c r="F3458" t="str" cm="1">
        <f t="array" ref="F3458">CategorizeComment(E3458)</f>
        <v>Other</v>
      </c>
      <c r="G3458" t="str" cm="1">
        <f t="array" ref="G3458">SubCategorizeComment(E3458)</f>
        <v>Other</v>
      </c>
    </row>
    <row r="3459" spans="1:7" x14ac:dyDescent="0.25">
      <c r="A3459">
        <v>26750</v>
      </c>
      <c r="B3459" t="s">
        <v>4</v>
      </c>
      <c r="C3459">
        <v>4</v>
      </c>
      <c r="D3459" t="s">
        <v>5</v>
      </c>
      <c r="F3459" t="str" cm="1">
        <f t="array" ref="F3459">CategorizeComment(E3459)</f>
        <v>Other</v>
      </c>
      <c r="G3459" t="str" cm="1">
        <f t="array" ref="G3459">SubCategorizeComment(E3459)</f>
        <v>Other</v>
      </c>
    </row>
    <row r="3460" spans="1:7" x14ac:dyDescent="0.25">
      <c r="A3460">
        <v>26752</v>
      </c>
      <c r="B3460" t="s">
        <v>4</v>
      </c>
      <c r="C3460">
        <v>3</v>
      </c>
      <c r="D3460" t="s">
        <v>5</v>
      </c>
      <c r="F3460" t="str" cm="1">
        <f t="array" ref="F3460">CategorizeComment(E3460)</f>
        <v>Other</v>
      </c>
      <c r="G3460" t="str" cm="1">
        <f t="array" ref="G3460">SubCategorizeComment(E3460)</f>
        <v>Other</v>
      </c>
    </row>
    <row r="3461" spans="1:7" x14ac:dyDescent="0.25">
      <c r="A3461">
        <v>26753</v>
      </c>
      <c r="B3461" t="s">
        <v>4</v>
      </c>
      <c r="C3461">
        <v>3</v>
      </c>
      <c r="D3461" t="s">
        <v>5</v>
      </c>
      <c r="F3461" t="str" cm="1">
        <f t="array" ref="F3461">CategorizeComment(E3461)</f>
        <v>Other</v>
      </c>
      <c r="G3461" t="str" cm="1">
        <f t="array" ref="G3461">SubCategorizeComment(E3461)</f>
        <v>Other</v>
      </c>
    </row>
    <row r="3462" spans="1:7" x14ac:dyDescent="0.25">
      <c r="A3462">
        <v>26754</v>
      </c>
      <c r="B3462" t="s">
        <v>4</v>
      </c>
      <c r="C3462">
        <v>4</v>
      </c>
      <c r="D3462" t="s">
        <v>5</v>
      </c>
      <c r="F3462" t="str" cm="1">
        <f t="array" ref="F3462">CategorizeComment(E3462)</f>
        <v>Other</v>
      </c>
      <c r="G3462" t="str" cm="1">
        <f t="array" ref="G3462">SubCategorizeComment(E3462)</f>
        <v>Other</v>
      </c>
    </row>
    <row r="3463" spans="1:7" x14ac:dyDescent="0.25">
      <c r="A3463">
        <v>26759</v>
      </c>
      <c r="B3463" t="s">
        <v>4</v>
      </c>
      <c r="C3463">
        <v>3</v>
      </c>
      <c r="D3463" t="s">
        <v>5</v>
      </c>
      <c r="F3463" t="str" cm="1">
        <f t="array" ref="F3463">CategorizeComment(E3463)</f>
        <v>Other</v>
      </c>
      <c r="G3463" t="str" cm="1">
        <f t="array" ref="G3463">SubCategorizeComment(E3463)</f>
        <v>Other</v>
      </c>
    </row>
    <row r="3464" spans="1:7" x14ac:dyDescent="0.25">
      <c r="A3464">
        <v>26787</v>
      </c>
      <c r="B3464" t="s">
        <v>4</v>
      </c>
      <c r="C3464">
        <v>4</v>
      </c>
      <c r="D3464" t="s">
        <v>5</v>
      </c>
      <c r="F3464" t="str" cm="1">
        <f t="array" ref="F3464">CategorizeComment(E3464)</f>
        <v>Other</v>
      </c>
      <c r="G3464" t="str" cm="1">
        <f t="array" ref="G3464">SubCategorizeComment(E3464)</f>
        <v>Other</v>
      </c>
    </row>
    <row r="3465" spans="1:7" x14ac:dyDescent="0.25">
      <c r="A3465">
        <v>26802</v>
      </c>
      <c r="B3465" t="s">
        <v>4</v>
      </c>
      <c r="C3465">
        <v>3</v>
      </c>
      <c r="D3465" t="s">
        <v>5</v>
      </c>
      <c r="F3465" t="str" cm="1">
        <f t="array" ref="F3465">CategorizeComment(E3465)</f>
        <v>Other</v>
      </c>
      <c r="G3465" t="str" cm="1">
        <f t="array" ref="G3465">SubCategorizeComment(E3465)</f>
        <v>Other</v>
      </c>
    </row>
    <row r="3466" spans="1:7" x14ac:dyDescent="0.25">
      <c r="A3466">
        <v>26804</v>
      </c>
      <c r="B3466" t="s">
        <v>4</v>
      </c>
      <c r="C3466">
        <v>4</v>
      </c>
      <c r="D3466" t="s">
        <v>5</v>
      </c>
      <c r="F3466" t="str" cm="1">
        <f t="array" ref="F3466">CategorizeComment(E3466)</f>
        <v>Other</v>
      </c>
      <c r="G3466" t="str" cm="1">
        <f t="array" ref="G3466">SubCategorizeComment(E3466)</f>
        <v>Other</v>
      </c>
    </row>
    <row r="3467" spans="1:7" x14ac:dyDescent="0.25">
      <c r="A3467">
        <v>26810</v>
      </c>
      <c r="B3467" t="s">
        <v>4</v>
      </c>
      <c r="C3467">
        <v>3</v>
      </c>
      <c r="D3467" t="s">
        <v>5</v>
      </c>
      <c r="F3467" t="str" cm="1">
        <f t="array" ref="F3467">CategorizeComment(E3467)</f>
        <v>Other</v>
      </c>
      <c r="G3467" t="str" cm="1">
        <f t="array" ref="G3467">SubCategorizeComment(E3467)</f>
        <v>Other</v>
      </c>
    </row>
    <row r="3468" spans="1:7" x14ac:dyDescent="0.25">
      <c r="A3468">
        <v>26815</v>
      </c>
      <c r="B3468" t="s">
        <v>4</v>
      </c>
      <c r="C3468">
        <v>3</v>
      </c>
      <c r="D3468" t="s">
        <v>5</v>
      </c>
      <c r="F3468" t="str" cm="1">
        <f t="array" ref="F3468">CategorizeComment(E3468)</f>
        <v>Other</v>
      </c>
      <c r="G3468" t="str" cm="1">
        <f t="array" ref="G3468">SubCategorizeComment(E3468)</f>
        <v>Other</v>
      </c>
    </row>
    <row r="3469" spans="1:7" x14ac:dyDescent="0.25">
      <c r="A3469">
        <v>26828</v>
      </c>
      <c r="B3469" t="s">
        <v>4</v>
      </c>
      <c r="C3469">
        <v>3</v>
      </c>
      <c r="D3469" t="s">
        <v>5</v>
      </c>
      <c r="F3469" t="str" cm="1">
        <f t="array" ref="F3469">CategorizeComment(E3469)</f>
        <v>Other</v>
      </c>
      <c r="G3469" t="str" cm="1">
        <f t="array" ref="G3469">SubCategorizeComment(E3469)</f>
        <v>Other</v>
      </c>
    </row>
    <row r="3470" spans="1:7" x14ac:dyDescent="0.25">
      <c r="A3470">
        <v>26835</v>
      </c>
      <c r="B3470" t="s">
        <v>4</v>
      </c>
      <c r="C3470">
        <v>3</v>
      </c>
      <c r="D3470" t="s">
        <v>5</v>
      </c>
      <c r="F3470" t="str" cm="1">
        <f t="array" ref="F3470">CategorizeComment(E3470)</f>
        <v>Other</v>
      </c>
      <c r="G3470" t="str" cm="1">
        <f t="array" ref="G3470">SubCategorizeComment(E3470)</f>
        <v>Other</v>
      </c>
    </row>
    <row r="3471" spans="1:7" x14ac:dyDescent="0.25">
      <c r="A3471">
        <v>26847</v>
      </c>
      <c r="B3471" t="s">
        <v>4</v>
      </c>
      <c r="C3471">
        <v>3</v>
      </c>
      <c r="D3471" t="s">
        <v>5</v>
      </c>
      <c r="F3471" t="str" cm="1">
        <f t="array" ref="F3471">CategorizeComment(E3471)</f>
        <v>Other</v>
      </c>
      <c r="G3471" t="str" cm="1">
        <f t="array" ref="G3471">SubCategorizeComment(E3471)</f>
        <v>Other</v>
      </c>
    </row>
    <row r="3472" spans="1:7" x14ac:dyDescent="0.25">
      <c r="A3472">
        <v>26854</v>
      </c>
      <c r="B3472" t="s">
        <v>4</v>
      </c>
      <c r="C3472">
        <v>3</v>
      </c>
      <c r="D3472" t="s">
        <v>5</v>
      </c>
      <c r="F3472" t="str" cm="1">
        <f t="array" ref="F3472">CategorizeComment(E3472)</f>
        <v>Other</v>
      </c>
      <c r="G3472" t="str" cm="1">
        <f t="array" ref="G3472">SubCategorizeComment(E3472)</f>
        <v>Other</v>
      </c>
    </row>
    <row r="3473" spans="1:7" x14ac:dyDescent="0.25">
      <c r="A3473">
        <v>26864</v>
      </c>
      <c r="B3473" t="s">
        <v>4</v>
      </c>
      <c r="C3473">
        <v>4</v>
      </c>
      <c r="D3473" t="s">
        <v>5</v>
      </c>
      <c r="F3473" t="str" cm="1">
        <f t="array" ref="F3473">CategorizeComment(E3473)</f>
        <v>Other</v>
      </c>
      <c r="G3473" t="str" cm="1">
        <f t="array" ref="G3473">SubCategorizeComment(E3473)</f>
        <v>Other</v>
      </c>
    </row>
    <row r="3474" spans="1:7" x14ac:dyDescent="0.25">
      <c r="A3474">
        <v>26865</v>
      </c>
      <c r="B3474" t="s">
        <v>4</v>
      </c>
      <c r="C3474">
        <v>4</v>
      </c>
      <c r="D3474" t="s">
        <v>5</v>
      </c>
      <c r="F3474" t="str" cm="1">
        <f t="array" ref="F3474">CategorizeComment(E3474)</f>
        <v>Other</v>
      </c>
      <c r="G3474" t="str" cm="1">
        <f t="array" ref="G3474">SubCategorizeComment(E3474)</f>
        <v>Other</v>
      </c>
    </row>
    <row r="3475" spans="1:7" x14ac:dyDescent="0.25">
      <c r="A3475">
        <v>26876</v>
      </c>
      <c r="B3475" t="s">
        <v>4</v>
      </c>
      <c r="C3475">
        <v>3</v>
      </c>
      <c r="D3475" t="s">
        <v>5</v>
      </c>
      <c r="F3475" t="str" cm="1">
        <f t="array" ref="F3475">CategorizeComment(E3475)</f>
        <v>Other</v>
      </c>
      <c r="G3475" t="str" cm="1">
        <f t="array" ref="G3475">SubCategorizeComment(E3475)</f>
        <v>Other</v>
      </c>
    </row>
    <row r="3476" spans="1:7" x14ac:dyDescent="0.25">
      <c r="A3476">
        <v>26889</v>
      </c>
      <c r="B3476" t="s">
        <v>4</v>
      </c>
      <c r="C3476">
        <v>3</v>
      </c>
      <c r="D3476" t="s">
        <v>5</v>
      </c>
      <c r="F3476" t="str" cm="1">
        <f t="array" ref="F3476">CategorizeComment(E3476)</f>
        <v>Other</v>
      </c>
      <c r="G3476" t="str" cm="1">
        <f t="array" ref="G3476">SubCategorizeComment(E3476)</f>
        <v>Other</v>
      </c>
    </row>
    <row r="3477" spans="1:7" x14ac:dyDescent="0.25">
      <c r="A3477">
        <v>26910</v>
      </c>
      <c r="B3477" t="s">
        <v>4</v>
      </c>
      <c r="C3477">
        <v>4</v>
      </c>
      <c r="D3477" t="s">
        <v>5</v>
      </c>
      <c r="F3477" t="str" cm="1">
        <f t="array" ref="F3477">CategorizeComment(E3477)</f>
        <v>Other</v>
      </c>
      <c r="G3477" t="str" cm="1">
        <f t="array" ref="G3477">SubCategorizeComment(E3477)</f>
        <v>Other</v>
      </c>
    </row>
    <row r="3478" spans="1:7" x14ac:dyDescent="0.25">
      <c r="A3478">
        <v>26911</v>
      </c>
      <c r="B3478" t="s">
        <v>4</v>
      </c>
      <c r="C3478">
        <v>3</v>
      </c>
      <c r="D3478" t="s">
        <v>5</v>
      </c>
      <c r="F3478" t="str" cm="1">
        <f t="array" ref="F3478">CategorizeComment(E3478)</f>
        <v>Other</v>
      </c>
      <c r="G3478" t="str" cm="1">
        <f t="array" ref="G3478">SubCategorizeComment(E3478)</f>
        <v>Other</v>
      </c>
    </row>
    <row r="3479" spans="1:7" x14ac:dyDescent="0.25">
      <c r="A3479">
        <v>26917</v>
      </c>
      <c r="B3479" t="s">
        <v>4</v>
      </c>
      <c r="C3479">
        <v>3</v>
      </c>
      <c r="D3479" t="s">
        <v>5</v>
      </c>
      <c r="F3479" t="str" cm="1">
        <f t="array" ref="F3479">CategorizeComment(E3479)</f>
        <v>Other</v>
      </c>
      <c r="G3479" t="str" cm="1">
        <f t="array" ref="G3479">SubCategorizeComment(E3479)</f>
        <v>Other</v>
      </c>
    </row>
    <row r="3480" spans="1:7" x14ac:dyDescent="0.25">
      <c r="A3480">
        <v>26922</v>
      </c>
      <c r="B3480" t="s">
        <v>4</v>
      </c>
      <c r="C3480">
        <v>4</v>
      </c>
      <c r="D3480" t="s">
        <v>5</v>
      </c>
      <c r="F3480" t="str" cm="1">
        <f t="array" ref="F3480">CategorizeComment(E3480)</f>
        <v>Other</v>
      </c>
      <c r="G3480" t="str" cm="1">
        <f t="array" ref="G3480">SubCategorizeComment(E3480)</f>
        <v>Other</v>
      </c>
    </row>
    <row r="3481" spans="1:7" x14ac:dyDescent="0.25">
      <c r="A3481">
        <v>26926</v>
      </c>
      <c r="B3481" t="s">
        <v>4</v>
      </c>
      <c r="C3481">
        <v>3</v>
      </c>
      <c r="D3481" t="s">
        <v>5</v>
      </c>
      <c r="F3481" t="str" cm="1">
        <f t="array" ref="F3481">CategorizeComment(E3481)</f>
        <v>Other</v>
      </c>
      <c r="G3481" t="str" cm="1">
        <f t="array" ref="G3481">SubCategorizeComment(E3481)</f>
        <v>Other</v>
      </c>
    </row>
    <row r="3482" spans="1:7" x14ac:dyDescent="0.25">
      <c r="A3482">
        <v>26930</v>
      </c>
      <c r="B3482" t="s">
        <v>4</v>
      </c>
      <c r="C3482">
        <v>3</v>
      </c>
      <c r="D3482" t="s">
        <v>5</v>
      </c>
      <c r="F3482" t="str" cm="1">
        <f t="array" ref="F3482">CategorizeComment(E3482)</f>
        <v>Other</v>
      </c>
      <c r="G3482" t="str" cm="1">
        <f t="array" ref="G3482">SubCategorizeComment(E3482)</f>
        <v>Other</v>
      </c>
    </row>
    <row r="3483" spans="1:7" x14ac:dyDescent="0.25">
      <c r="A3483">
        <v>26932</v>
      </c>
      <c r="B3483" t="s">
        <v>4</v>
      </c>
      <c r="C3483">
        <v>3</v>
      </c>
      <c r="D3483" t="s">
        <v>5</v>
      </c>
      <c r="F3483" t="str" cm="1">
        <f t="array" ref="F3483">CategorizeComment(E3483)</f>
        <v>Other</v>
      </c>
      <c r="G3483" t="str" cm="1">
        <f t="array" ref="G3483">SubCategorizeComment(E3483)</f>
        <v>Other</v>
      </c>
    </row>
    <row r="3484" spans="1:7" x14ac:dyDescent="0.25">
      <c r="A3484">
        <v>26943</v>
      </c>
      <c r="B3484" t="s">
        <v>4</v>
      </c>
      <c r="C3484">
        <v>4</v>
      </c>
      <c r="D3484" t="s">
        <v>5</v>
      </c>
      <c r="F3484" t="str" cm="1">
        <f t="array" ref="F3484">CategorizeComment(E3484)</f>
        <v>Other</v>
      </c>
      <c r="G3484" t="str" cm="1">
        <f t="array" ref="G3484">SubCategorizeComment(E3484)</f>
        <v>Other</v>
      </c>
    </row>
    <row r="3485" spans="1:7" x14ac:dyDescent="0.25">
      <c r="A3485">
        <v>26952</v>
      </c>
      <c r="B3485" t="s">
        <v>4</v>
      </c>
      <c r="C3485">
        <v>2</v>
      </c>
      <c r="D3485" t="s">
        <v>5</v>
      </c>
      <c r="F3485" t="str" cm="1">
        <f t="array" ref="F3485">CategorizeComment(E3485)</f>
        <v>Other</v>
      </c>
      <c r="G3485" t="str" cm="1">
        <f t="array" ref="G3485">SubCategorizeComment(E3485)</f>
        <v>Other</v>
      </c>
    </row>
    <row r="3486" spans="1:7" x14ac:dyDescent="0.25">
      <c r="A3486">
        <v>26962</v>
      </c>
      <c r="B3486" t="s">
        <v>4</v>
      </c>
      <c r="C3486">
        <v>4</v>
      </c>
      <c r="D3486" t="s">
        <v>5</v>
      </c>
      <c r="F3486" t="str" cm="1">
        <f t="array" ref="F3486">CategorizeComment(E3486)</f>
        <v>Other</v>
      </c>
      <c r="G3486" t="str" cm="1">
        <f t="array" ref="G3486">SubCategorizeComment(E3486)</f>
        <v>Other</v>
      </c>
    </row>
    <row r="3487" spans="1:7" x14ac:dyDescent="0.25">
      <c r="A3487">
        <v>26978</v>
      </c>
      <c r="B3487" t="s">
        <v>4</v>
      </c>
      <c r="C3487">
        <v>3</v>
      </c>
      <c r="D3487" t="s">
        <v>5</v>
      </c>
      <c r="F3487" t="str" cm="1">
        <f t="array" ref="F3487">CategorizeComment(E3487)</f>
        <v>Other</v>
      </c>
      <c r="G3487" t="str" cm="1">
        <f t="array" ref="G3487">SubCategorizeComment(E3487)</f>
        <v>Other</v>
      </c>
    </row>
    <row r="3488" spans="1:7" x14ac:dyDescent="0.25">
      <c r="A3488">
        <v>26985</v>
      </c>
      <c r="B3488" t="s">
        <v>4</v>
      </c>
      <c r="C3488">
        <v>3</v>
      </c>
      <c r="D3488" t="s">
        <v>5</v>
      </c>
      <c r="F3488" t="str" cm="1">
        <f t="array" ref="F3488">CategorizeComment(E3488)</f>
        <v>Other</v>
      </c>
      <c r="G3488" t="str" cm="1">
        <f t="array" ref="G3488">SubCategorizeComment(E3488)</f>
        <v>Other</v>
      </c>
    </row>
    <row r="3489" spans="1:7" x14ac:dyDescent="0.25">
      <c r="A3489">
        <v>26989</v>
      </c>
      <c r="B3489" t="s">
        <v>4</v>
      </c>
      <c r="C3489">
        <v>4</v>
      </c>
      <c r="D3489" t="s">
        <v>5</v>
      </c>
      <c r="F3489" t="str" cm="1">
        <f t="array" ref="F3489">CategorizeComment(E3489)</f>
        <v>Other</v>
      </c>
      <c r="G3489" t="str" cm="1">
        <f t="array" ref="G3489">SubCategorizeComment(E3489)</f>
        <v>Other</v>
      </c>
    </row>
    <row r="3490" spans="1:7" x14ac:dyDescent="0.25">
      <c r="A3490">
        <v>26991</v>
      </c>
      <c r="B3490" t="s">
        <v>4</v>
      </c>
      <c r="C3490">
        <v>3</v>
      </c>
      <c r="D3490" t="s">
        <v>5</v>
      </c>
      <c r="F3490" t="str" cm="1">
        <f t="array" ref="F3490">CategorizeComment(E3490)</f>
        <v>Other</v>
      </c>
      <c r="G3490" t="str" cm="1">
        <f t="array" ref="G3490">SubCategorizeComment(E3490)</f>
        <v>Other</v>
      </c>
    </row>
    <row r="3491" spans="1:7" x14ac:dyDescent="0.25">
      <c r="A3491">
        <v>27038</v>
      </c>
      <c r="B3491" t="s">
        <v>4</v>
      </c>
      <c r="C3491">
        <v>4</v>
      </c>
      <c r="D3491" t="s">
        <v>5</v>
      </c>
      <c r="F3491" t="str" cm="1">
        <f t="array" ref="F3491">CategorizeComment(E3491)</f>
        <v>Other</v>
      </c>
      <c r="G3491" t="str" cm="1">
        <f t="array" ref="G3491">SubCategorizeComment(E3491)</f>
        <v>Other</v>
      </c>
    </row>
    <row r="3492" spans="1:7" x14ac:dyDescent="0.25">
      <c r="A3492">
        <v>27040</v>
      </c>
      <c r="B3492" t="s">
        <v>4</v>
      </c>
      <c r="C3492">
        <v>3</v>
      </c>
      <c r="D3492" t="s">
        <v>5</v>
      </c>
      <c r="F3492" t="str" cm="1">
        <f t="array" ref="F3492">CategorizeComment(E3492)</f>
        <v>Other</v>
      </c>
      <c r="G3492" t="str" cm="1">
        <f t="array" ref="G3492">SubCategorizeComment(E3492)</f>
        <v>Other</v>
      </c>
    </row>
    <row r="3493" spans="1:7" x14ac:dyDescent="0.25">
      <c r="A3493">
        <v>27063</v>
      </c>
      <c r="B3493" t="s">
        <v>4</v>
      </c>
      <c r="C3493">
        <v>4</v>
      </c>
      <c r="D3493" t="s">
        <v>5</v>
      </c>
      <c r="F3493" t="str" cm="1">
        <f t="array" ref="F3493">CategorizeComment(E3493)</f>
        <v>Other</v>
      </c>
      <c r="G3493" t="str" cm="1">
        <f t="array" ref="G3493">SubCategorizeComment(E3493)</f>
        <v>Other</v>
      </c>
    </row>
    <row r="3494" spans="1:7" x14ac:dyDescent="0.25">
      <c r="A3494">
        <v>27065</v>
      </c>
      <c r="B3494" t="s">
        <v>4</v>
      </c>
      <c r="C3494">
        <v>4</v>
      </c>
      <c r="D3494" t="s">
        <v>5</v>
      </c>
      <c r="F3494" t="str" cm="1">
        <f t="array" ref="F3494">CategorizeComment(E3494)</f>
        <v>Other</v>
      </c>
      <c r="G3494" t="str" cm="1">
        <f t="array" ref="G3494">SubCategorizeComment(E3494)</f>
        <v>Other</v>
      </c>
    </row>
    <row r="3495" spans="1:7" x14ac:dyDescent="0.25">
      <c r="A3495">
        <v>27075</v>
      </c>
      <c r="B3495" t="s">
        <v>4</v>
      </c>
      <c r="C3495">
        <v>4</v>
      </c>
      <c r="D3495" t="s">
        <v>5</v>
      </c>
      <c r="F3495" t="str" cm="1">
        <f t="array" ref="F3495">CategorizeComment(E3495)</f>
        <v>Other</v>
      </c>
      <c r="G3495" t="str" cm="1">
        <f t="array" ref="G3495">SubCategorizeComment(E3495)</f>
        <v>Other</v>
      </c>
    </row>
    <row r="3496" spans="1:7" x14ac:dyDescent="0.25">
      <c r="A3496">
        <v>27089</v>
      </c>
      <c r="B3496" t="s">
        <v>4</v>
      </c>
      <c r="C3496">
        <v>3</v>
      </c>
      <c r="D3496" t="s">
        <v>5</v>
      </c>
      <c r="F3496" t="str" cm="1">
        <f t="array" ref="F3496">CategorizeComment(E3496)</f>
        <v>Other</v>
      </c>
      <c r="G3496" t="str" cm="1">
        <f t="array" ref="G3496">SubCategorizeComment(E3496)</f>
        <v>Other</v>
      </c>
    </row>
    <row r="3497" spans="1:7" x14ac:dyDescent="0.25">
      <c r="A3497">
        <v>27096</v>
      </c>
      <c r="B3497" t="s">
        <v>4</v>
      </c>
      <c r="C3497">
        <v>4</v>
      </c>
      <c r="D3497" t="s">
        <v>5</v>
      </c>
      <c r="F3497" t="str" cm="1">
        <f t="array" ref="F3497">CategorizeComment(E3497)</f>
        <v>Other</v>
      </c>
      <c r="G3497" t="str" cm="1">
        <f t="array" ref="G3497">SubCategorizeComment(E3497)</f>
        <v>Other</v>
      </c>
    </row>
    <row r="3498" spans="1:7" x14ac:dyDescent="0.25">
      <c r="A3498">
        <v>27099</v>
      </c>
      <c r="B3498" t="s">
        <v>4</v>
      </c>
      <c r="C3498">
        <v>4</v>
      </c>
      <c r="D3498" t="s">
        <v>5</v>
      </c>
      <c r="F3498" t="str" cm="1">
        <f t="array" ref="F3498">CategorizeComment(E3498)</f>
        <v>Other</v>
      </c>
      <c r="G3498" t="str" cm="1">
        <f t="array" ref="G3498">SubCategorizeComment(E3498)</f>
        <v>Other</v>
      </c>
    </row>
    <row r="3499" spans="1:7" x14ac:dyDescent="0.25">
      <c r="A3499">
        <v>27116</v>
      </c>
      <c r="B3499" t="s">
        <v>4</v>
      </c>
      <c r="C3499">
        <v>3</v>
      </c>
      <c r="D3499" t="s">
        <v>5</v>
      </c>
      <c r="F3499" t="str" cm="1">
        <f t="array" ref="F3499">CategorizeComment(E3499)</f>
        <v>Other</v>
      </c>
      <c r="G3499" t="str" cm="1">
        <f t="array" ref="G3499">SubCategorizeComment(E3499)</f>
        <v>Other</v>
      </c>
    </row>
    <row r="3500" spans="1:7" x14ac:dyDescent="0.25">
      <c r="A3500">
        <v>27128</v>
      </c>
      <c r="B3500" t="s">
        <v>4</v>
      </c>
      <c r="C3500">
        <v>3</v>
      </c>
      <c r="D3500" t="s">
        <v>5</v>
      </c>
      <c r="F3500" t="str" cm="1">
        <f t="array" ref="F3500">CategorizeComment(E3500)</f>
        <v>Other</v>
      </c>
      <c r="G3500" t="str" cm="1">
        <f t="array" ref="G3500">SubCategorizeComment(E3500)</f>
        <v>Other</v>
      </c>
    </row>
    <row r="3501" spans="1:7" x14ac:dyDescent="0.25">
      <c r="A3501">
        <v>27133</v>
      </c>
      <c r="B3501" t="s">
        <v>4</v>
      </c>
      <c r="C3501">
        <v>4</v>
      </c>
      <c r="D3501" t="s">
        <v>5</v>
      </c>
      <c r="F3501" t="str" cm="1">
        <f t="array" ref="F3501">CategorizeComment(E3501)</f>
        <v>Other</v>
      </c>
      <c r="G3501" t="str" cm="1">
        <f t="array" ref="G3501">SubCategorizeComment(E3501)</f>
        <v>Other</v>
      </c>
    </row>
    <row r="3502" spans="1:7" x14ac:dyDescent="0.25">
      <c r="A3502">
        <v>27139</v>
      </c>
      <c r="B3502" t="s">
        <v>4</v>
      </c>
      <c r="C3502">
        <v>3</v>
      </c>
      <c r="D3502" t="s">
        <v>5</v>
      </c>
      <c r="F3502" t="str" cm="1">
        <f t="array" ref="F3502">CategorizeComment(E3502)</f>
        <v>Other</v>
      </c>
      <c r="G3502" t="str" cm="1">
        <f t="array" ref="G3502">SubCategorizeComment(E3502)</f>
        <v>Other</v>
      </c>
    </row>
    <row r="3503" spans="1:7" x14ac:dyDescent="0.25">
      <c r="A3503">
        <v>27140</v>
      </c>
      <c r="B3503" t="s">
        <v>4</v>
      </c>
      <c r="C3503">
        <v>3</v>
      </c>
      <c r="D3503" t="s">
        <v>5</v>
      </c>
      <c r="F3503" t="str" cm="1">
        <f t="array" ref="F3503">CategorizeComment(E3503)</f>
        <v>Other</v>
      </c>
      <c r="G3503" t="str" cm="1">
        <f t="array" ref="G3503">SubCategorizeComment(E3503)</f>
        <v>Other</v>
      </c>
    </row>
    <row r="3504" spans="1:7" x14ac:dyDescent="0.25">
      <c r="A3504">
        <v>27141</v>
      </c>
      <c r="B3504" t="s">
        <v>4</v>
      </c>
      <c r="C3504">
        <v>4</v>
      </c>
      <c r="D3504" t="s">
        <v>5</v>
      </c>
      <c r="F3504" t="str" cm="1">
        <f t="array" ref="F3504">CategorizeComment(E3504)</f>
        <v>Other</v>
      </c>
      <c r="G3504" t="str" cm="1">
        <f t="array" ref="G3504">SubCategorizeComment(E3504)</f>
        <v>Other</v>
      </c>
    </row>
    <row r="3505" spans="1:7" x14ac:dyDescent="0.25">
      <c r="A3505">
        <v>27143</v>
      </c>
      <c r="B3505" t="s">
        <v>4</v>
      </c>
      <c r="C3505">
        <v>3</v>
      </c>
      <c r="D3505" t="s">
        <v>5</v>
      </c>
      <c r="F3505" t="str" cm="1">
        <f t="array" ref="F3505">CategorizeComment(E3505)</f>
        <v>Other</v>
      </c>
      <c r="G3505" t="str" cm="1">
        <f t="array" ref="G3505">SubCategorizeComment(E3505)</f>
        <v>Other</v>
      </c>
    </row>
    <row r="3506" spans="1:7" x14ac:dyDescent="0.25">
      <c r="A3506">
        <v>27157</v>
      </c>
      <c r="B3506" t="s">
        <v>4</v>
      </c>
      <c r="C3506">
        <v>4</v>
      </c>
      <c r="D3506" t="s">
        <v>5</v>
      </c>
      <c r="F3506" t="str" cm="1">
        <f t="array" ref="F3506">CategorizeComment(E3506)</f>
        <v>Other</v>
      </c>
      <c r="G3506" t="str" cm="1">
        <f t="array" ref="G3506">SubCategorizeComment(E3506)</f>
        <v>Other</v>
      </c>
    </row>
    <row r="3507" spans="1:7" x14ac:dyDescent="0.25">
      <c r="A3507">
        <v>27164</v>
      </c>
      <c r="B3507" t="s">
        <v>4</v>
      </c>
      <c r="C3507">
        <v>4</v>
      </c>
      <c r="D3507" t="s">
        <v>5</v>
      </c>
      <c r="F3507" t="str" cm="1">
        <f t="array" ref="F3507">CategorizeComment(E3507)</f>
        <v>Other</v>
      </c>
      <c r="G3507" t="str" cm="1">
        <f t="array" ref="G3507">SubCategorizeComment(E3507)</f>
        <v>Other</v>
      </c>
    </row>
    <row r="3508" spans="1:7" x14ac:dyDescent="0.25">
      <c r="A3508">
        <v>27170</v>
      </c>
      <c r="B3508" t="s">
        <v>4</v>
      </c>
      <c r="C3508">
        <v>3</v>
      </c>
      <c r="D3508" t="s">
        <v>5</v>
      </c>
      <c r="F3508" t="str" cm="1">
        <f t="array" ref="F3508">CategorizeComment(E3508)</f>
        <v>Other</v>
      </c>
      <c r="G3508" t="str" cm="1">
        <f t="array" ref="G3508">SubCategorizeComment(E3508)</f>
        <v>Other</v>
      </c>
    </row>
    <row r="3509" spans="1:7" x14ac:dyDescent="0.25">
      <c r="A3509">
        <v>27173</v>
      </c>
      <c r="B3509" t="s">
        <v>4</v>
      </c>
      <c r="C3509">
        <v>4</v>
      </c>
      <c r="D3509" t="s">
        <v>5</v>
      </c>
      <c r="F3509" t="str" cm="1">
        <f t="array" ref="F3509">CategorizeComment(E3509)</f>
        <v>Other</v>
      </c>
      <c r="G3509" t="str" cm="1">
        <f t="array" ref="G3509">SubCategorizeComment(E3509)</f>
        <v>Other</v>
      </c>
    </row>
    <row r="3510" spans="1:7" x14ac:dyDescent="0.25">
      <c r="A3510">
        <v>27178</v>
      </c>
      <c r="B3510" t="s">
        <v>4</v>
      </c>
      <c r="C3510">
        <v>3</v>
      </c>
      <c r="D3510" t="s">
        <v>5</v>
      </c>
      <c r="F3510" t="str" cm="1">
        <f t="array" ref="F3510">CategorizeComment(E3510)</f>
        <v>Other</v>
      </c>
      <c r="G3510" t="str" cm="1">
        <f t="array" ref="G3510">SubCategorizeComment(E3510)</f>
        <v>Other</v>
      </c>
    </row>
    <row r="3511" spans="1:7" x14ac:dyDescent="0.25">
      <c r="A3511">
        <v>27187</v>
      </c>
      <c r="B3511" t="s">
        <v>4</v>
      </c>
      <c r="C3511">
        <v>4</v>
      </c>
      <c r="D3511" t="s">
        <v>5</v>
      </c>
      <c r="F3511" t="str" cm="1">
        <f t="array" ref="F3511">CategorizeComment(E3511)</f>
        <v>Other</v>
      </c>
      <c r="G3511" t="str" cm="1">
        <f t="array" ref="G3511">SubCategorizeComment(E3511)</f>
        <v>Other</v>
      </c>
    </row>
    <row r="3512" spans="1:7" x14ac:dyDescent="0.25">
      <c r="A3512">
        <v>27191</v>
      </c>
      <c r="B3512" t="s">
        <v>4</v>
      </c>
      <c r="C3512">
        <v>4</v>
      </c>
      <c r="D3512" t="s">
        <v>5</v>
      </c>
      <c r="F3512" t="str" cm="1">
        <f t="array" ref="F3512">CategorizeComment(E3512)</f>
        <v>Other</v>
      </c>
      <c r="G3512" t="str" cm="1">
        <f t="array" ref="G3512">SubCategorizeComment(E3512)</f>
        <v>Other</v>
      </c>
    </row>
    <row r="3513" spans="1:7" x14ac:dyDescent="0.25">
      <c r="A3513">
        <v>27192</v>
      </c>
      <c r="B3513" t="s">
        <v>4</v>
      </c>
      <c r="C3513">
        <v>4</v>
      </c>
      <c r="D3513" t="s">
        <v>5</v>
      </c>
      <c r="F3513" t="str" cm="1">
        <f t="array" ref="F3513">CategorizeComment(E3513)</f>
        <v>Other</v>
      </c>
      <c r="G3513" t="str" cm="1">
        <f t="array" ref="G3513">SubCategorizeComment(E3513)</f>
        <v>Other</v>
      </c>
    </row>
    <row r="3514" spans="1:7" x14ac:dyDescent="0.25">
      <c r="A3514">
        <v>27193</v>
      </c>
      <c r="B3514" t="s">
        <v>4</v>
      </c>
      <c r="C3514">
        <v>4</v>
      </c>
      <c r="D3514" t="s">
        <v>5</v>
      </c>
      <c r="F3514" t="str" cm="1">
        <f t="array" ref="F3514">CategorizeComment(E3514)</f>
        <v>Other</v>
      </c>
      <c r="G3514" t="str" cm="1">
        <f t="array" ref="G3514">SubCategorizeComment(E3514)</f>
        <v>Other</v>
      </c>
    </row>
    <row r="3515" spans="1:7" x14ac:dyDescent="0.25">
      <c r="A3515">
        <v>27198</v>
      </c>
      <c r="B3515" t="s">
        <v>4</v>
      </c>
      <c r="C3515">
        <v>4</v>
      </c>
      <c r="D3515" t="s">
        <v>5</v>
      </c>
      <c r="F3515" t="str" cm="1">
        <f t="array" ref="F3515">CategorizeComment(E3515)</f>
        <v>Other</v>
      </c>
      <c r="G3515" t="str" cm="1">
        <f t="array" ref="G3515">SubCategorizeComment(E3515)</f>
        <v>Other</v>
      </c>
    </row>
    <row r="3516" spans="1:7" x14ac:dyDescent="0.25">
      <c r="A3516">
        <v>27227</v>
      </c>
      <c r="B3516" t="s">
        <v>4</v>
      </c>
      <c r="C3516">
        <v>4</v>
      </c>
      <c r="D3516" t="s">
        <v>5</v>
      </c>
      <c r="F3516" t="str" cm="1">
        <f t="array" ref="F3516">CategorizeComment(E3516)</f>
        <v>Other</v>
      </c>
      <c r="G3516" t="str" cm="1">
        <f t="array" ref="G3516">SubCategorizeComment(E3516)</f>
        <v>Other</v>
      </c>
    </row>
    <row r="3517" spans="1:7" x14ac:dyDescent="0.25">
      <c r="A3517">
        <v>27228</v>
      </c>
      <c r="B3517" t="s">
        <v>4</v>
      </c>
      <c r="C3517">
        <v>4</v>
      </c>
      <c r="D3517" t="s">
        <v>5</v>
      </c>
      <c r="F3517" t="str" cm="1">
        <f t="array" ref="F3517">CategorizeComment(E3517)</f>
        <v>Other</v>
      </c>
      <c r="G3517" t="str" cm="1">
        <f t="array" ref="G3517">SubCategorizeComment(E3517)</f>
        <v>Other</v>
      </c>
    </row>
    <row r="3518" spans="1:7" x14ac:dyDescent="0.25">
      <c r="A3518">
        <v>27230</v>
      </c>
      <c r="B3518" t="s">
        <v>4</v>
      </c>
      <c r="C3518">
        <v>3</v>
      </c>
      <c r="D3518" t="s">
        <v>5</v>
      </c>
      <c r="F3518" t="str" cm="1">
        <f t="array" ref="F3518">CategorizeComment(E3518)</f>
        <v>Other</v>
      </c>
      <c r="G3518" t="str" cm="1">
        <f t="array" ref="G3518">SubCategorizeComment(E3518)</f>
        <v>Other</v>
      </c>
    </row>
    <row r="3519" spans="1:7" x14ac:dyDescent="0.25">
      <c r="A3519">
        <v>27276</v>
      </c>
      <c r="B3519" t="s">
        <v>4</v>
      </c>
      <c r="C3519">
        <v>4</v>
      </c>
      <c r="D3519" t="s">
        <v>5</v>
      </c>
      <c r="F3519" t="str" cm="1">
        <f t="array" ref="F3519">CategorizeComment(E3519)</f>
        <v>Other</v>
      </c>
      <c r="G3519" t="str" cm="1">
        <f t="array" ref="G3519">SubCategorizeComment(E3519)</f>
        <v>Other</v>
      </c>
    </row>
    <row r="3520" spans="1:7" x14ac:dyDescent="0.25">
      <c r="A3520">
        <v>27301</v>
      </c>
      <c r="B3520" t="s">
        <v>4</v>
      </c>
      <c r="C3520">
        <v>3</v>
      </c>
      <c r="D3520" t="s">
        <v>5</v>
      </c>
      <c r="F3520" t="str" cm="1">
        <f t="array" ref="F3520">CategorizeComment(E3520)</f>
        <v>Other</v>
      </c>
      <c r="G3520" t="str" cm="1">
        <f t="array" ref="G3520">SubCategorizeComment(E3520)</f>
        <v>Other</v>
      </c>
    </row>
    <row r="3521" spans="1:7" x14ac:dyDescent="0.25">
      <c r="A3521">
        <v>27319</v>
      </c>
      <c r="B3521" t="s">
        <v>4</v>
      </c>
      <c r="C3521">
        <v>4</v>
      </c>
      <c r="D3521" t="s">
        <v>5</v>
      </c>
      <c r="F3521" t="str" cm="1">
        <f t="array" ref="F3521">CategorizeComment(E3521)</f>
        <v>Other</v>
      </c>
      <c r="G3521" t="str" cm="1">
        <f t="array" ref="G3521">SubCategorizeComment(E3521)</f>
        <v>Other</v>
      </c>
    </row>
    <row r="3522" spans="1:7" x14ac:dyDescent="0.25">
      <c r="A3522">
        <v>27344</v>
      </c>
      <c r="B3522" t="s">
        <v>4</v>
      </c>
      <c r="C3522">
        <v>4</v>
      </c>
      <c r="D3522" t="s">
        <v>5</v>
      </c>
      <c r="F3522" t="str" cm="1">
        <f t="array" ref="F3522">CategorizeComment(E3522)</f>
        <v>Other</v>
      </c>
      <c r="G3522" t="str" cm="1">
        <f t="array" ref="G3522">SubCategorizeComment(E3522)</f>
        <v>Other</v>
      </c>
    </row>
    <row r="3523" spans="1:7" x14ac:dyDescent="0.25">
      <c r="A3523">
        <v>27359</v>
      </c>
      <c r="B3523" t="s">
        <v>4</v>
      </c>
      <c r="C3523">
        <v>4</v>
      </c>
      <c r="D3523" t="s">
        <v>5</v>
      </c>
      <c r="F3523" t="str" cm="1">
        <f t="array" ref="F3523">CategorizeComment(E3523)</f>
        <v>Other</v>
      </c>
      <c r="G3523" t="str" cm="1">
        <f t="array" ref="G3523">SubCategorizeComment(E3523)</f>
        <v>Other</v>
      </c>
    </row>
    <row r="3524" spans="1:7" x14ac:dyDescent="0.25">
      <c r="A3524">
        <v>27379</v>
      </c>
      <c r="B3524" t="s">
        <v>4</v>
      </c>
      <c r="C3524">
        <v>4</v>
      </c>
      <c r="D3524" t="s">
        <v>5</v>
      </c>
      <c r="F3524" t="str" cm="1">
        <f t="array" ref="F3524">CategorizeComment(E3524)</f>
        <v>Other</v>
      </c>
      <c r="G3524" t="str" cm="1">
        <f t="array" ref="G3524">SubCategorizeComment(E3524)</f>
        <v>Other</v>
      </c>
    </row>
    <row r="3525" spans="1:7" x14ac:dyDescent="0.25">
      <c r="A3525">
        <v>27382</v>
      </c>
      <c r="B3525" t="s">
        <v>4</v>
      </c>
      <c r="C3525">
        <v>4</v>
      </c>
      <c r="D3525" t="s">
        <v>5</v>
      </c>
      <c r="F3525" t="str" cm="1">
        <f t="array" ref="F3525">CategorizeComment(E3525)</f>
        <v>Other</v>
      </c>
      <c r="G3525" t="str" cm="1">
        <f t="array" ref="G3525">SubCategorizeComment(E3525)</f>
        <v>Other</v>
      </c>
    </row>
    <row r="3526" spans="1:7" x14ac:dyDescent="0.25">
      <c r="A3526">
        <v>27389</v>
      </c>
      <c r="B3526" t="s">
        <v>4</v>
      </c>
      <c r="C3526">
        <v>4</v>
      </c>
      <c r="D3526" t="s">
        <v>5</v>
      </c>
      <c r="F3526" t="str" cm="1">
        <f t="array" ref="F3526">CategorizeComment(E3526)</f>
        <v>Other</v>
      </c>
      <c r="G3526" t="str" cm="1">
        <f t="array" ref="G3526">SubCategorizeComment(E3526)</f>
        <v>Other</v>
      </c>
    </row>
    <row r="3527" spans="1:7" x14ac:dyDescent="0.25">
      <c r="A3527">
        <v>27407</v>
      </c>
      <c r="B3527" t="s">
        <v>4</v>
      </c>
      <c r="C3527">
        <v>3</v>
      </c>
      <c r="D3527" t="s">
        <v>5</v>
      </c>
      <c r="F3527" t="str" cm="1">
        <f t="array" ref="F3527">CategorizeComment(E3527)</f>
        <v>Other</v>
      </c>
      <c r="G3527" t="str" cm="1">
        <f t="array" ref="G3527">SubCategorizeComment(E3527)</f>
        <v>Other</v>
      </c>
    </row>
    <row r="3528" spans="1:7" x14ac:dyDescent="0.25">
      <c r="A3528">
        <v>27418</v>
      </c>
      <c r="B3528" t="s">
        <v>4</v>
      </c>
      <c r="C3528">
        <v>4</v>
      </c>
      <c r="D3528" t="s">
        <v>5</v>
      </c>
      <c r="F3528" t="str" cm="1">
        <f t="array" ref="F3528">CategorizeComment(E3528)</f>
        <v>Other</v>
      </c>
      <c r="G3528" t="str" cm="1">
        <f t="array" ref="G3528">SubCategorizeComment(E3528)</f>
        <v>Other</v>
      </c>
    </row>
    <row r="3529" spans="1:7" x14ac:dyDescent="0.25">
      <c r="A3529">
        <v>27422</v>
      </c>
      <c r="B3529" t="s">
        <v>4</v>
      </c>
      <c r="C3529">
        <v>3</v>
      </c>
      <c r="D3529" t="s">
        <v>5</v>
      </c>
      <c r="F3529" t="str" cm="1">
        <f t="array" ref="F3529">CategorizeComment(E3529)</f>
        <v>Other</v>
      </c>
      <c r="G3529" t="str" cm="1">
        <f t="array" ref="G3529">SubCategorizeComment(E3529)</f>
        <v>Other</v>
      </c>
    </row>
    <row r="3530" spans="1:7" x14ac:dyDescent="0.25">
      <c r="A3530">
        <v>27424</v>
      </c>
      <c r="B3530" t="s">
        <v>4</v>
      </c>
      <c r="C3530">
        <v>4</v>
      </c>
      <c r="D3530" t="s">
        <v>5</v>
      </c>
      <c r="F3530" t="str" cm="1">
        <f t="array" ref="F3530">CategorizeComment(E3530)</f>
        <v>Other</v>
      </c>
      <c r="G3530" t="str" cm="1">
        <f t="array" ref="G3530">SubCategorizeComment(E3530)</f>
        <v>Other</v>
      </c>
    </row>
    <row r="3531" spans="1:7" x14ac:dyDescent="0.25">
      <c r="A3531">
        <v>27431</v>
      </c>
      <c r="B3531" t="s">
        <v>4</v>
      </c>
      <c r="C3531">
        <v>4</v>
      </c>
      <c r="D3531" t="s">
        <v>5</v>
      </c>
      <c r="F3531" t="str" cm="1">
        <f t="array" ref="F3531">CategorizeComment(E3531)</f>
        <v>Other</v>
      </c>
      <c r="G3531" t="str" cm="1">
        <f t="array" ref="G3531">SubCategorizeComment(E3531)</f>
        <v>Other</v>
      </c>
    </row>
    <row r="3532" spans="1:7" x14ac:dyDescent="0.25">
      <c r="A3532">
        <v>27443</v>
      </c>
      <c r="B3532" t="s">
        <v>4</v>
      </c>
      <c r="C3532">
        <v>4</v>
      </c>
      <c r="D3532" t="s">
        <v>5</v>
      </c>
      <c r="F3532" t="str" cm="1">
        <f t="array" ref="F3532">CategorizeComment(E3532)</f>
        <v>Other</v>
      </c>
      <c r="G3532" t="str" cm="1">
        <f t="array" ref="G3532">SubCategorizeComment(E3532)</f>
        <v>Other</v>
      </c>
    </row>
    <row r="3533" spans="1:7" x14ac:dyDescent="0.25">
      <c r="A3533">
        <v>27444</v>
      </c>
      <c r="B3533" t="s">
        <v>4</v>
      </c>
      <c r="C3533">
        <v>3</v>
      </c>
      <c r="D3533" t="s">
        <v>5</v>
      </c>
      <c r="F3533" t="str" cm="1">
        <f t="array" ref="F3533">CategorizeComment(E3533)</f>
        <v>Other</v>
      </c>
      <c r="G3533" t="str" cm="1">
        <f t="array" ref="G3533">SubCategorizeComment(E3533)</f>
        <v>Other</v>
      </c>
    </row>
    <row r="3534" spans="1:7" x14ac:dyDescent="0.25">
      <c r="A3534">
        <v>27449</v>
      </c>
      <c r="B3534" t="s">
        <v>4</v>
      </c>
      <c r="C3534">
        <v>3</v>
      </c>
      <c r="D3534" t="s">
        <v>5</v>
      </c>
      <c r="F3534" t="str" cm="1">
        <f t="array" ref="F3534">CategorizeComment(E3534)</f>
        <v>Other</v>
      </c>
      <c r="G3534" t="str" cm="1">
        <f t="array" ref="G3534">SubCategorizeComment(E3534)</f>
        <v>Other</v>
      </c>
    </row>
    <row r="3535" spans="1:7" x14ac:dyDescent="0.25">
      <c r="A3535">
        <v>27457</v>
      </c>
      <c r="B3535" t="s">
        <v>4</v>
      </c>
      <c r="C3535">
        <v>4</v>
      </c>
      <c r="D3535" t="s">
        <v>5</v>
      </c>
      <c r="F3535" t="str" cm="1">
        <f t="array" ref="F3535">CategorizeComment(E3535)</f>
        <v>Other</v>
      </c>
      <c r="G3535" t="str" cm="1">
        <f t="array" ref="G3535">SubCategorizeComment(E3535)</f>
        <v>Other</v>
      </c>
    </row>
    <row r="3536" spans="1:7" x14ac:dyDescent="0.25">
      <c r="A3536">
        <v>27458</v>
      </c>
      <c r="B3536" t="s">
        <v>4</v>
      </c>
      <c r="C3536">
        <v>3</v>
      </c>
      <c r="D3536" t="s">
        <v>5</v>
      </c>
      <c r="F3536" t="str" cm="1">
        <f t="array" ref="F3536">CategorizeComment(E3536)</f>
        <v>Other</v>
      </c>
      <c r="G3536" t="str" cm="1">
        <f t="array" ref="G3536">SubCategorizeComment(E3536)</f>
        <v>Other</v>
      </c>
    </row>
    <row r="3537" spans="1:7" x14ac:dyDescent="0.25">
      <c r="A3537">
        <v>27460</v>
      </c>
      <c r="B3537" t="s">
        <v>4</v>
      </c>
      <c r="C3537">
        <v>4</v>
      </c>
      <c r="D3537" t="s">
        <v>5</v>
      </c>
      <c r="F3537" t="str" cm="1">
        <f t="array" ref="F3537">CategorizeComment(E3537)</f>
        <v>Other</v>
      </c>
      <c r="G3537" t="str" cm="1">
        <f t="array" ref="G3537">SubCategorizeComment(E3537)</f>
        <v>Other</v>
      </c>
    </row>
    <row r="3538" spans="1:7" x14ac:dyDescent="0.25">
      <c r="A3538">
        <v>27469</v>
      </c>
      <c r="B3538" t="s">
        <v>4</v>
      </c>
      <c r="C3538">
        <v>4</v>
      </c>
      <c r="D3538" t="s">
        <v>5</v>
      </c>
      <c r="F3538" t="str" cm="1">
        <f t="array" ref="F3538">CategorizeComment(E3538)</f>
        <v>Other</v>
      </c>
      <c r="G3538" t="str" cm="1">
        <f t="array" ref="G3538">SubCategorizeComment(E3538)</f>
        <v>Other</v>
      </c>
    </row>
    <row r="3539" spans="1:7" x14ac:dyDescent="0.25">
      <c r="A3539">
        <v>27471</v>
      </c>
      <c r="B3539" t="s">
        <v>4</v>
      </c>
      <c r="C3539">
        <v>3</v>
      </c>
      <c r="D3539" t="s">
        <v>5</v>
      </c>
      <c r="F3539" t="str" cm="1">
        <f t="array" ref="F3539">CategorizeComment(E3539)</f>
        <v>Other</v>
      </c>
      <c r="G3539" t="str" cm="1">
        <f t="array" ref="G3539">SubCategorizeComment(E3539)</f>
        <v>Other</v>
      </c>
    </row>
    <row r="3540" spans="1:7" x14ac:dyDescent="0.25">
      <c r="A3540">
        <v>27473</v>
      </c>
      <c r="B3540" t="s">
        <v>4</v>
      </c>
      <c r="C3540">
        <v>3</v>
      </c>
      <c r="D3540" t="s">
        <v>5</v>
      </c>
      <c r="F3540" t="str" cm="1">
        <f t="array" ref="F3540">CategorizeComment(E3540)</f>
        <v>Other</v>
      </c>
      <c r="G3540" t="str" cm="1">
        <f t="array" ref="G3540">SubCategorizeComment(E3540)</f>
        <v>Other</v>
      </c>
    </row>
    <row r="3541" spans="1:7" x14ac:dyDescent="0.25">
      <c r="A3541">
        <v>27477</v>
      </c>
      <c r="B3541" t="s">
        <v>4</v>
      </c>
      <c r="C3541">
        <v>3</v>
      </c>
      <c r="D3541" t="s">
        <v>5</v>
      </c>
      <c r="F3541" t="str" cm="1">
        <f t="array" ref="F3541">CategorizeComment(E3541)</f>
        <v>Other</v>
      </c>
      <c r="G3541" t="str" cm="1">
        <f t="array" ref="G3541">SubCategorizeComment(E3541)</f>
        <v>Other</v>
      </c>
    </row>
    <row r="3542" spans="1:7" x14ac:dyDescent="0.25">
      <c r="A3542">
        <v>27484</v>
      </c>
      <c r="B3542" t="s">
        <v>4</v>
      </c>
      <c r="C3542">
        <v>3</v>
      </c>
      <c r="D3542" t="s">
        <v>5</v>
      </c>
      <c r="F3542" t="str" cm="1">
        <f t="array" ref="F3542">CategorizeComment(E3542)</f>
        <v>Other</v>
      </c>
      <c r="G3542" t="str" cm="1">
        <f t="array" ref="G3542">SubCategorizeComment(E3542)</f>
        <v>Other</v>
      </c>
    </row>
    <row r="3543" spans="1:7" x14ac:dyDescent="0.25">
      <c r="A3543">
        <v>27510</v>
      </c>
      <c r="B3543" t="s">
        <v>4</v>
      </c>
      <c r="C3543">
        <v>4</v>
      </c>
      <c r="D3543" t="s">
        <v>5</v>
      </c>
      <c r="F3543" t="str" cm="1">
        <f t="array" ref="F3543">CategorizeComment(E3543)</f>
        <v>Other</v>
      </c>
      <c r="G3543" t="str" cm="1">
        <f t="array" ref="G3543">SubCategorizeComment(E3543)</f>
        <v>Other</v>
      </c>
    </row>
    <row r="3544" spans="1:7" x14ac:dyDescent="0.25">
      <c r="A3544">
        <v>27524</v>
      </c>
      <c r="B3544" t="s">
        <v>4</v>
      </c>
      <c r="C3544">
        <v>3</v>
      </c>
      <c r="D3544" t="s">
        <v>5</v>
      </c>
      <c r="F3544" t="str" cm="1">
        <f t="array" ref="F3544">CategorizeComment(E3544)</f>
        <v>Other</v>
      </c>
      <c r="G3544" t="str" cm="1">
        <f t="array" ref="G3544">SubCategorizeComment(E3544)</f>
        <v>Other</v>
      </c>
    </row>
    <row r="3545" spans="1:7" x14ac:dyDescent="0.25">
      <c r="A3545">
        <v>27529</v>
      </c>
      <c r="B3545" t="s">
        <v>4</v>
      </c>
      <c r="C3545">
        <v>4</v>
      </c>
      <c r="D3545" t="s">
        <v>5</v>
      </c>
      <c r="F3545" t="str" cm="1">
        <f t="array" ref="F3545">CategorizeComment(E3545)</f>
        <v>Other</v>
      </c>
      <c r="G3545" t="str" cm="1">
        <f t="array" ref="G3545">SubCategorizeComment(E3545)</f>
        <v>Other</v>
      </c>
    </row>
    <row r="3546" spans="1:7" x14ac:dyDescent="0.25">
      <c r="A3546">
        <v>27531</v>
      </c>
      <c r="B3546" t="s">
        <v>4</v>
      </c>
      <c r="C3546">
        <v>3</v>
      </c>
      <c r="D3546" t="s">
        <v>5</v>
      </c>
      <c r="F3546" t="str" cm="1">
        <f t="array" ref="F3546">CategorizeComment(E3546)</f>
        <v>Other</v>
      </c>
      <c r="G3546" t="str" cm="1">
        <f t="array" ref="G3546">SubCategorizeComment(E3546)</f>
        <v>Other</v>
      </c>
    </row>
    <row r="3547" spans="1:7" x14ac:dyDescent="0.25">
      <c r="A3547">
        <v>27544</v>
      </c>
      <c r="B3547" t="s">
        <v>4</v>
      </c>
      <c r="C3547">
        <v>3</v>
      </c>
      <c r="D3547" t="s">
        <v>5</v>
      </c>
      <c r="F3547" t="str" cm="1">
        <f t="array" ref="F3547">CategorizeComment(E3547)</f>
        <v>Other</v>
      </c>
      <c r="G3547" t="str" cm="1">
        <f t="array" ref="G3547">SubCategorizeComment(E3547)</f>
        <v>Other</v>
      </c>
    </row>
    <row r="3548" spans="1:7" x14ac:dyDescent="0.25">
      <c r="A3548">
        <v>27549</v>
      </c>
      <c r="B3548" t="s">
        <v>4</v>
      </c>
      <c r="C3548">
        <v>4</v>
      </c>
      <c r="D3548" t="s">
        <v>5</v>
      </c>
      <c r="F3548" t="str" cm="1">
        <f t="array" ref="F3548">CategorizeComment(E3548)</f>
        <v>Other</v>
      </c>
      <c r="G3548" t="str" cm="1">
        <f t="array" ref="G3548">SubCategorizeComment(E3548)</f>
        <v>Other</v>
      </c>
    </row>
    <row r="3549" spans="1:7" x14ac:dyDescent="0.25">
      <c r="A3549">
        <v>27560</v>
      </c>
      <c r="B3549" t="s">
        <v>4</v>
      </c>
      <c r="C3549">
        <v>3</v>
      </c>
      <c r="D3549" t="s">
        <v>5</v>
      </c>
      <c r="F3549" t="str" cm="1">
        <f t="array" ref="F3549">CategorizeComment(E3549)</f>
        <v>Other</v>
      </c>
      <c r="G3549" t="str" cm="1">
        <f t="array" ref="G3549">SubCategorizeComment(E3549)</f>
        <v>Other</v>
      </c>
    </row>
    <row r="3550" spans="1:7" x14ac:dyDescent="0.25">
      <c r="A3550">
        <v>27561</v>
      </c>
      <c r="B3550" t="s">
        <v>4</v>
      </c>
      <c r="C3550">
        <v>4</v>
      </c>
      <c r="D3550" t="s">
        <v>5</v>
      </c>
      <c r="F3550" t="str" cm="1">
        <f t="array" ref="F3550">CategorizeComment(E3550)</f>
        <v>Other</v>
      </c>
      <c r="G3550" t="str" cm="1">
        <f t="array" ref="G3550">SubCategorizeComment(E3550)</f>
        <v>Other</v>
      </c>
    </row>
    <row r="3551" spans="1:7" x14ac:dyDescent="0.25">
      <c r="A3551">
        <v>27568</v>
      </c>
      <c r="B3551" t="s">
        <v>4</v>
      </c>
      <c r="C3551">
        <v>4</v>
      </c>
      <c r="D3551" t="s">
        <v>5</v>
      </c>
      <c r="F3551" t="str" cm="1">
        <f t="array" ref="F3551">CategorizeComment(E3551)</f>
        <v>Other</v>
      </c>
      <c r="G3551" t="str" cm="1">
        <f t="array" ref="G3551">SubCategorizeComment(E3551)</f>
        <v>Other</v>
      </c>
    </row>
    <row r="3552" spans="1:7" x14ac:dyDescent="0.25">
      <c r="A3552">
        <v>27582</v>
      </c>
      <c r="B3552" t="s">
        <v>4</v>
      </c>
      <c r="C3552">
        <v>3</v>
      </c>
      <c r="D3552" t="s">
        <v>5</v>
      </c>
      <c r="F3552" t="str" cm="1">
        <f t="array" ref="F3552">CategorizeComment(E3552)</f>
        <v>Other</v>
      </c>
      <c r="G3552" t="str" cm="1">
        <f t="array" ref="G3552">SubCategorizeComment(E3552)</f>
        <v>Other</v>
      </c>
    </row>
    <row r="3553" spans="1:7" x14ac:dyDescent="0.25">
      <c r="A3553">
        <v>27586</v>
      </c>
      <c r="B3553" t="s">
        <v>4</v>
      </c>
      <c r="C3553">
        <v>4</v>
      </c>
      <c r="D3553" t="s">
        <v>5</v>
      </c>
      <c r="F3553" t="str" cm="1">
        <f t="array" ref="F3553">CategorizeComment(E3553)</f>
        <v>Other</v>
      </c>
      <c r="G3553" t="str" cm="1">
        <f t="array" ref="G3553">SubCategorizeComment(E3553)</f>
        <v>Other</v>
      </c>
    </row>
    <row r="3554" spans="1:7" x14ac:dyDescent="0.25">
      <c r="A3554">
        <v>27597</v>
      </c>
      <c r="B3554" t="s">
        <v>4</v>
      </c>
      <c r="C3554">
        <v>4</v>
      </c>
      <c r="D3554" t="s">
        <v>5</v>
      </c>
      <c r="F3554" t="str" cm="1">
        <f t="array" ref="F3554">CategorizeComment(E3554)</f>
        <v>Other</v>
      </c>
      <c r="G3554" t="str" cm="1">
        <f t="array" ref="G3554">SubCategorizeComment(E3554)</f>
        <v>Other</v>
      </c>
    </row>
    <row r="3555" spans="1:7" x14ac:dyDescent="0.25">
      <c r="A3555">
        <v>27601</v>
      </c>
      <c r="B3555" t="s">
        <v>4</v>
      </c>
      <c r="C3555">
        <v>3</v>
      </c>
      <c r="D3555" t="s">
        <v>5</v>
      </c>
      <c r="F3555" t="str" cm="1">
        <f t="array" ref="F3555">CategorizeComment(E3555)</f>
        <v>Other</v>
      </c>
      <c r="G3555" t="str" cm="1">
        <f t="array" ref="G3555">SubCategorizeComment(E3555)</f>
        <v>Other</v>
      </c>
    </row>
    <row r="3556" spans="1:7" x14ac:dyDescent="0.25">
      <c r="A3556">
        <v>27623</v>
      </c>
      <c r="B3556" t="s">
        <v>4</v>
      </c>
      <c r="C3556">
        <v>4</v>
      </c>
      <c r="D3556" t="s">
        <v>5</v>
      </c>
      <c r="F3556" t="str" cm="1">
        <f t="array" ref="F3556">CategorizeComment(E3556)</f>
        <v>Other</v>
      </c>
      <c r="G3556" t="str" cm="1">
        <f t="array" ref="G3556">SubCategorizeComment(E3556)</f>
        <v>Other</v>
      </c>
    </row>
    <row r="3557" spans="1:7" x14ac:dyDescent="0.25">
      <c r="A3557">
        <v>27624</v>
      </c>
      <c r="B3557" t="s">
        <v>4</v>
      </c>
      <c r="C3557">
        <v>3</v>
      </c>
      <c r="D3557" t="s">
        <v>5</v>
      </c>
      <c r="F3557" t="str" cm="1">
        <f t="array" ref="F3557">CategorizeComment(E3557)</f>
        <v>Other</v>
      </c>
      <c r="G3557" t="str" cm="1">
        <f t="array" ref="G3557">SubCategorizeComment(E3557)</f>
        <v>Other</v>
      </c>
    </row>
    <row r="3558" spans="1:7" x14ac:dyDescent="0.25">
      <c r="A3558">
        <v>27632</v>
      </c>
      <c r="B3558" t="s">
        <v>4</v>
      </c>
      <c r="C3558">
        <v>3</v>
      </c>
      <c r="D3558" t="s">
        <v>5</v>
      </c>
      <c r="F3558" t="str" cm="1">
        <f t="array" ref="F3558">CategorizeComment(E3558)</f>
        <v>Other</v>
      </c>
      <c r="G3558" t="str" cm="1">
        <f t="array" ref="G3558">SubCategorizeComment(E3558)</f>
        <v>Other</v>
      </c>
    </row>
    <row r="3559" spans="1:7" x14ac:dyDescent="0.25">
      <c r="A3559">
        <v>27654</v>
      </c>
      <c r="B3559" t="s">
        <v>4</v>
      </c>
      <c r="C3559">
        <v>4</v>
      </c>
      <c r="D3559" t="s">
        <v>5</v>
      </c>
      <c r="F3559" t="str" cm="1">
        <f t="array" ref="F3559">CategorizeComment(E3559)</f>
        <v>Other</v>
      </c>
      <c r="G3559" t="str" cm="1">
        <f t="array" ref="G3559">SubCategorizeComment(E3559)</f>
        <v>Other</v>
      </c>
    </row>
    <row r="3560" spans="1:7" x14ac:dyDescent="0.25">
      <c r="A3560">
        <v>27662</v>
      </c>
      <c r="B3560" t="s">
        <v>4</v>
      </c>
      <c r="C3560">
        <v>3</v>
      </c>
      <c r="D3560" t="s">
        <v>5</v>
      </c>
      <c r="F3560" t="str" cm="1">
        <f t="array" ref="F3560">CategorizeComment(E3560)</f>
        <v>Other</v>
      </c>
      <c r="G3560" t="str" cm="1">
        <f t="array" ref="G3560">SubCategorizeComment(E3560)</f>
        <v>Other</v>
      </c>
    </row>
    <row r="3561" spans="1:7" x14ac:dyDescent="0.25">
      <c r="A3561">
        <v>27677</v>
      </c>
      <c r="B3561" t="s">
        <v>4</v>
      </c>
      <c r="C3561">
        <v>3</v>
      </c>
      <c r="D3561" t="s">
        <v>5</v>
      </c>
      <c r="F3561" t="str" cm="1">
        <f t="array" ref="F3561">CategorizeComment(E3561)</f>
        <v>Other</v>
      </c>
      <c r="G3561" t="str" cm="1">
        <f t="array" ref="G3561">SubCategorizeComment(E3561)</f>
        <v>Other</v>
      </c>
    </row>
    <row r="3562" spans="1:7" x14ac:dyDescent="0.25">
      <c r="A3562">
        <v>27678</v>
      </c>
      <c r="B3562" t="s">
        <v>4</v>
      </c>
      <c r="C3562">
        <v>4</v>
      </c>
      <c r="D3562" t="s">
        <v>5</v>
      </c>
      <c r="F3562" t="str" cm="1">
        <f t="array" ref="F3562">CategorizeComment(E3562)</f>
        <v>Other</v>
      </c>
      <c r="G3562" t="str" cm="1">
        <f t="array" ref="G3562">SubCategorizeComment(E3562)</f>
        <v>Other</v>
      </c>
    </row>
    <row r="3563" spans="1:7" x14ac:dyDescent="0.25">
      <c r="A3563">
        <v>27683</v>
      </c>
      <c r="B3563" t="s">
        <v>4</v>
      </c>
      <c r="C3563">
        <v>4</v>
      </c>
      <c r="D3563" t="s">
        <v>5</v>
      </c>
      <c r="F3563" t="str" cm="1">
        <f t="array" ref="F3563">CategorizeComment(E3563)</f>
        <v>Other</v>
      </c>
      <c r="G3563" t="str" cm="1">
        <f t="array" ref="G3563">SubCategorizeComment(E3563)</f>
        <v>Other</v>
      </c>
    </row>
    <row r="3564" spans="1:7" x14ac:dyDescent="0.25">
      <c r="A3564">
        <v>27696</v>
      </c>
      <c r="B3564" t="s">
        <v>4</v>
      </c>
      <c r="C3564">
        <v>4</v>
      </c>
      <c r="D3564" t="s">
        <v>5</v>
      </c>
      <c r="F3564" t="str" cm="1">
        <f t="array" ref="F3564">CategorizeComment(E3564)</f>
        <v>Other</v>
      </c>
      <c r="G3564" t="str" cm="1">
        <f t="array" ref="G3564">SubCategorizeComment(E3564)</f>
        <v>Other</v>
      </c>
    </row>
    <row r="3565" spans="1:7" x14ac:dyDescent="0.25">
      <c r="A3565">
        <v>27698</v>
      </c>
      <c r="B3565" t="s">
        <v>4</v>
      </c>
      <c r="C3565">
        <v>4</v>
      </c>
      <c r="D3565" t="s">
        <v>5</v>
      </c>
      <c r="F3565" t="str" cm="1">
        <f t="array" ref="F3565">CategorizeComment(E3565)</f>
        <v>Other</v>
      </c>
      <c r="G3565" t="str" cm="1">
        <f t="array" ref="G3565">SubCategorizeComment(E3565)</f>
        <v>Other</v>
      </c>
    </row>
    <row r="3566" spans="1:7" x14ac:dyDescent="0.25">
      <c r="A3566">
        <v>27701</v>
      </c>
      <c r="B3566" t="s">
        <v>4</v>
      </c>
      <c r="C3566">
        <v>3</v>
      </c>
      <c r="D3566" t="s">
        <v>5</v>
      </c>
      <c r="F3566" t="str" cm="1">
        <f t="array" ref="F3566">CategorizeComment(E3566)</f>
        <v>Other</v>
      </c>
      <c r="G3566" t="str" cm="1">
        <f t="array" ref="G3566">SubCategorizeComment(E3566)</f>
        <v>Other</v>
      </c>
    </row>
    <row r="3567" spans="1:7" x14ac:dyDescent="0.25">
      <c r="A3567">
        <v>27704</v>
      </c>
      <c r="B3567" t="s">
        <v>4</v>
      </c>
      <c r="C3567">
        <v>3</v>
      </c>
      <c r="D3567" t="s">
        <v>5</v>
      </c>
      <c r="F3567" t="str" cm="1">
        <f t="array" ref="F3567">CategorizeComment(E3567)</f>
        <v>Other</v>
      </c>
      <c r="G3567" t="str" cm="1">
        <f t="array" ref="G3567">SubCategorizeComment(E3567)</f>
        <v>Other</v>
      </c>
    </row>
    <row r="3568" spans="1:7" x14ac:dyDescent="0.25">
      <c r="A3568">
        <v>27709</v>
      </c>
      <c r="B3568" t="s">
        <v>4</v>
      </c>
      <c r="C3568">
        <v>4</v>
      </c>
      <c r="D3568" t="s">
        <v>5</v>
      </c>
      <c r="F3568" t="str" cm="1">
        <f t="array" ref="F3568">CategorizeComment(E3568)</f>
        <v>Other</v>
      </c>
      <c r="G3568" t="str" cm="1">
        <f t="array" ref="G3568">SubCategorizeComment(E3568)</f>
        <v>Other</v>
      </c>
    </row>
    <row r="3569" spans="1:7" x14ac:dyDescent="0.25">
      <c r="A3569">
        <v>27711</v>
      </c>
      <c r="B3569" t="s">
        <v>4</v>
      </c>
      <c r="C3569">
        <v>4</v>
      </c>
      <c r="D3569" t="s">
        <v>5</v>
      </c>
      <c r="F3569" t="str" cm="1">
        <f t="array" ref="F3569">CategorizeComment(E3569)</f>
        <v>Other</v>
      </c>
      <c r="G3569" t="str" cm="1">
        <f t="array" ref="G3569">SubCategorizeComment(E3569)</f>
        <v>Other</v>
      </c>
    </row>
    <row r="3570" spans="1:7" x14ac:dyDescent="0.25">
      <c r="A3570">
        <v>27714</v>
      </c>
      <c r="B3570" t="s">
        <v>4</v>
      </c>
      <c r="C3570">
        <v>3</v>
      </c>
      <c r="D3570" t="s">
        <v>5</v>
      </c>
      <c r="F3570" t="str" cm="1">
        <f t="array" ref="F3570">CategorizeComment(E3570)</f>
        <v>Other</v>
      </c>
      <c r="G3570" t="str" cm="1">
        <f t="array" ref="G3570">SubCategorizeComment(E3570)</f>
        <v>Other</v>
      </c>
    </row>
    <row r="3571" spans="1:7" x14ac:dyDescent="0.25">
      <c r="A3571">
        <v>27723</v>
      </c>
      <c r="B3571" t="s">
        <v>4</v>
      </c>
      <c r="C3571">
        <v>3</v>
      </c>
      <c r="D3571" t="s">
        <v>5</v>
      </c>
      <c r="F3571" t="str" cm="1">
        <f t="array" ref="F3571">CategorizeComment(E3571)</f>
        <v>Other</v>
      </c>
      <c r="G3571" t="str" cm="1">
        <f t="array" ref="G3571">SubCategorizeComment(E3571)</f>
        <v>Other</v>
      </c>
    </row>
    <row r="3572" spans="1:7" x14ac:dyDescent="0.25">
      <c r="A3572">
        <v>27739</v>
      </c>
      <c r="B3572" t="s">
        <v>4</v>
      </c>
      <c r="C3572">
        <v>3</v>
      </c>
      <c r="D3572" t="s">
        <v>5</v>
      </c>
      <c r="F3572" t="str" cm="1">
        <f t="array" ref="F3572">CategorizeComment(E3572)</f>
        <v>Other</v>
      </c>
      <c r="G3572" t="str" cm="1">
        <f t="array" ref="G3572">SubCategorizeComment(E3572)</f>
        <v>Other</v>
      </c>
    </row>
    <row r="3573" spans="1:7" x14ac:dyDescent="0.25">
      <c r="A3573">
        <v>27768</v>
      </c>
      <c r="B3573" t="s">
        <v>4</v>
      </c>
      <c r="C3573">
        <v>3</v>
      </c>
      <c r="D3573" t="s">
        <v>5</v>
      </c>
      <c r="F3573" t="str" cm="1">
        <f t="array" ref="F3573">CategorizeComment(E3573)</f>
        <v>Other</v>
      </c>
      <c r="G3573" t="str" cm="1">
        <f t="array" ref="G3573">SubCategorizeComment(E3573)</f>
        <v>Other</v>
      </c>
    </row>
    <row r="3574" spans="1:7" x14ac:dyDescent="0.25">
      <c r="A3574">
        <v>27771</v>
      </c>
      <c r="B3574" t="s">
        <v>4</v>
      </c>
      <c r="C3574">
        <v>4</v>
      </c>
      <c r="D3574" t="s">
        <v>5</v>
      </c>
      <c r="F3574" t="str" cm="1">
        <f t="array" ref="F3574">CategorizeComment(E3574)</f>
        <v>Other</v>
      </c>
      <c r="G3574" t="str" cm="1">
        <f t="array" ref="G3574">SubCategorizeComment(E3574)</f>
        <v>Other</v>
      </c>
    </row>
    <row r="3575" spans="1:7" x14ac:dyDescent="0.25">
      <c r="A3575">
        <v>27777</v>
      </c>
      <c r="B3575" t="s">
        <v>4</v>
      </c>
      <c r="C3575">
        <v>3</v>
      </c>
      <c r="D3575" t="s">
        <v>5</v>
      </c>
      <c r="F3575" t="str" cm="1">
        <f t="array" ref="F3575">CategorizeComment(E3575)</f>
        <v>Other</v>
      </c>
      <c r="G3575" t="str" cm="1">
        <f t="array" ref="G3575">SubCategorizeComment(E3575)</f>
        <v>Other</v>
      </c>
    </row>
    <row r="3576" spans="1:7" x14ac:dyDescent="0.25">
      <c r="A3576">
        <v>27782</v>
      </c>
      <c r="B3576" t="s">
        <v>4</v>
      </c>
      <c r="C3576">
        <v>4</v>
      </c>
      <c r="D3576" t="s">
        <v>5</v>
      </c>
      <c r="F3576" t="str" cm="1">
        <f t="array" ref="F3576">CategorizeComment(E3576)</f>
        <v>Other</v>
      </c>
      <c r="G3576" t="str" cm="1">
        <f t="array" ref="G3576">SubCategorizeComment(E3576)</f>
        <v>Other</v>
      </c>
    </row>
    <row r="3577" spans="1:7" x14ac:dyDescent="0.25">
      <c r="A3577">
        <v>27788</v>
      </c>
      <c r="B3577" t="s">
        <v>4</v>
      </c>
      <c r="C3577">
        <v>3</v>
      </c>
      <c r="D3577" t="s">
        <v>5</v>
      </c>
      <c r="F3577" t="str" cm="1">
        <f t="array" ref="F3577">CategorizeComment(E3577)</f>
        <v>Other</v>
      </c>
      <c r="G3577" t="str" cm="1">
        <f t="array" ref="G3577">SubCategorizeComment(E3577)</f>
        <v>Other</v>
      </c>
    </row>
    <row r="3578" spans="1:7" x14ac:dyDescent="0.25">
      <c r="A3578">
        <v>27789</v>
      </c>
      <c r="B3578" t="s">
        <v>4</v>
      </c>
      <c r="C3578">
        <v>4</v>
      </c>
      <c r="D3578" t="s">
        <v>5</v>
      </c>
      <c r="F3578" t="str" cm="1">
        <f t="array" ref="F3578">CategorizeComment(E3578)</f>
        <v>Other</v>
      </c>
      <c r="G3578" t="str" cm="1">
        <f t="array" ref="G3578">SubCategorizeComment(E3578)</f>
        <v>Other</v>
      </c>
    </row>
    <row r="3579" spans="1:7" x14ac:dyDescent="0.25">
      <c r="A3579">
        <v>27798</v>
      </c>
      <c r="B3579" t="s">
        <v>4</v>
      </c>
      <c r="C3579">
        <v>3</v>
      </c>
      <c r="D3579" t="s">
        <v>5</v>
      </c>
      <c r="F3579" t="str" cm="1">
        <f t="array" ref="F3579">CategorizeComment(E3579)</f>
        <v>Other</v>
      </c>
      <c r="G3579" t="str" cm="1">
        <f t="array" ref="G3579">SubCategorizeComment(E3579)</f>
        <v>Other</v>
      </c>
    </row>
    <row r="3580" spans="1:7" x14ac:dyDescent="0.25">
      <c r="A3580">
        <v>27805</v>
      </c>
      <c r="B3580" t="s">
        <v>4</v>
      </c>
      <c r="C3580">
        <v>3</v>
      </c>
      <c r="D3580" t="s">
        <v>5</v>
      </c>
      <c r="F3580" t="str" cm="1">
        <f t="array" ref="F3580">CategorizeComment(E3580)</f>
        <v>Other</v>
      </c>
      <c r="G3580" t="str" cm="1">
        <f t="array" ref="G3580">SubCategorizeComment(E3580)</f>
        <v>Other</v>
      </c>
    </row>
    <row r="3581" spans="1:7" x14ac:dyDescent="0.25">
      <c r="A3581">
        <v>27819</v>
      </c>
      <c r="B3581" t="s">
        <v>4</v>
      </c>
      <c r="C3581">
        <v>3</v>
      </c>
      <c r="D3581" t="s">
        <v>5</v>
      </c>
      <c r="F3581" t="str" cm="1">
        <f t="array" ref="F3581">CategorizeComment(E3581)</f>
        <v>Other</v>
      </c>
      <c r="G3581" t="str" cm="1">
        <f t="array" ref="G3581">SubCategorizeComment(E3581)</f>
        <v>Other</v>
      </c>
    </row>
    <row r="3582" spans="1:7" x14ac:dyDescent="0.25">
      <c r="A3582">
        <v>27822</v>
      </c>
      <c r="B3582" t="s">
        <v>4</v>
      </c>
      <c r="C3582">
        <v>4</v>
      </c>
      <c r="D3582" t="s">
        <v>5</v>
      </c>
      <c r="F3582" t="str" cm="1">
        <f t="array" ref="F3582">CategorizeComment(E3582)</f>
        <v>Other</v>
      </c>
      <c r="G3582" t="str" cm="1">
        <f t="array" ref="G3582">SubCategorizeComment(E3582)</f>
        <v>Other</v>
      </c>
    </row>
    <row r="3583" spans="1:7" x14ac:dyDescent="0.25">
      <c r="A3583">
        <v>27827</v>
      </c>
      <c r="B3583" t="s">
        <v>4</v>
      </c>
      <c r="C3583">
        <v>4</v>
      </c>
      <c r="D3583" t="s">
        <v>5</v>
      </c>
      <c r="F3583" t="str" cm="1">
        <f t="array" ref="F3583">CategorizeComment(E3583)</f>
        <v>Other</v>
      </c>
      <c r="G3583" t="str" cm="1">
        <f t="array" ref="G3583">SubCategorizeComment(E3583)</f>
        <v>Other</v>
      </c>
    </row>
    <row r="3584" spans="1:7" x14ac:dyDescent="0.25">
      <c r="A3584">
        <v>27848</v>
      </c>
      <c r="B3584" t="s">
        <v>4</v>
      </c>
      <c r="C3584">
        <v>3</v>
      </c>
      <c r="D3584" t="s">
        <v>5</v>
      </c>
      <c r="F3584" t="str" cm="1">
        <f t="array" ref="F3584">CategorizeComment(E3584)</f>
        <v>Other</v>
      </c>
      <c r="G3584" t="str" cm="1">
        <f t="array" ref="G3584">SubCategorizeComment(E3584)</f>
        <v>Other</v>
      </c>
    </row>
    <row r="3585" spans="1:7" x14ac:dyDescent="0.25">
      <c r="A3585">
        <v>27849</v>
      </c>
      <c r="B3585" t="s">
        <v>4</v>
      </c>
      <c r="C3585">
        <v>4</v>
      </c>
      <c r="D3585" t="s">
        <v>5</v>
      </c>
      <c r="F3585" t="str" cm="1">
        <f t="array" ref="F3585">CategorizeComment(E3585)</f>
        <v>Other</v>
      </c>
      <c r="G3585" t="str" cm="1">
        <f t="array" ref="G3585">SubCategorizeComment(E3585)</f>
        <v>Other</v>
      </c>
    </row>
    <row r="3586" spans="1:7" x14ac:dyDescent="0.25">
      <c r="A3586">
        <v>27864</v>
      </c>
      <c r="B3586" t="s">
        <v>4</v>
      </c>
      <c r="C3586">
        <v>4</v>
      </c>
      <c r="D3586" t="s">
        <v>5</v>
      </c>
      <c r="F3586" t="str" cm="1">
        <f t="array" ref="F3586">CategorizeComment(E3586)</f>
        <v>Other</v>
      </c>
      <c r="G3586" t="str" cm="1">
        <f t="array" ref="G3586">SubCategorizeComment(E3586)</f>
        <v>Other</v>
      </c>
    </row>
    <row r="3587" spans="1:7" x14ac:dyDescent="0.25">
      <c r="A3587">
        <v>27875</v>
      </c>
      <c r="B3587" t="s">
        <v>4</v>
      </c>
      <c r="C3587">
        <v>3</v>
      </c>
      <c r="D3587" t="s">
        <v>5</v>
      </c>
      <c r="F3587" t="str" cm="1">
        <f t="array" ref="F3587">CategorizeComment(E3587)</f>
        <v>Other</v>
      </c>
      <c r="G3587" t="str" cm="1">
        <f t="array" ref="G3587">SubCategorizeComment(E3587)</f>
        <v>Other</v>
      </c>
    </row>
    <row r="3588" spans="1:7" x14ac:dyDescent="0.25">
      <c r="A3588">
        <v>27879</v>
      </c>
      <c r="B3588" t="s">
        <v>4</v>
      </c>
      <c r="C3588">
        <v>3</v>
      </c>
      <c r="D3588" t="s">
        <v>5</v>
      </c>
      <c r="F3588" t="str" cm="1">
        <f t="array" ref="F3588">CategorizeComment(E3588)</f>
        <v>Other</v>
      </c>
      <c r="G3588" t="str" cm="1">
        <f t="array" ref="G3588">SubCategorizeComment(E3588)</f>
        <v>Other</v>
      </c>
    </row>
    <row r="3589" spans="1:7" x14ac:dyDescent="0.25">
      <c r="A3589">
        <v>27880</v>
      </c>
      <c r="B3589" t="s">
        <v>4</v>
      </c>
      <c r="C3589">
        <v>4</v>
      </c>
      <c r="D3589" t="s">
        <v>5</v>
      </c>
      <c r="F3589" t="str" cm="1">
        <f t="array" ref="F3589">CategorizeComment(E3589)</f>
        <v>Other</v>
      </c>
      <c r="G3589" t="str" cm="1">
        <f t="array" ref="G3589">SubCategorizeComment(E3589)</f>
        <v>Other</v>
      </c>
    </row>
    <row r="3590" spans="1:7" x14ac:dyDescent="0.25">
      <c r="A3590">
        <v>27889</v>
      </c>
      <c r="B3590" t="s">
        <v>4</v>
      </c>
      <c r="C3590">
        <v>4</v>
      </c>
      <c r="D3590" t="s">
        <v>5</v>
      </c>
      <c r="F3590" t="str" cm="1">
        <f t="array" ref="F3590">CategorizeComment(E3590)</f>
        <v>Other</v>
      </c>
      <c r="G3590" t="str" cm="1">
        <f t="array" ref="G3590">SubCategorizeComment(E3590)</f>
        <v>Other</v>
      </c>
    </row>
    <row r="3591" spans="1:7" x14ac:dyDescent="0.25">
      <c r="A3591">
        <v>27890</v>
      </c>
      <c r="B3591" t="s">
        <v>4</v>
      </c>
      <c r="C3591">
        <v>4</v>
      </c>
      <c r="D3591" t="s">
        <v>5</v>
      </c>
      <c r="F3591" t="str" cm="1">
        <f t="array" ref="F3591">CategorizeComment(E3591)</f>
        <v>Other</v>
      </c>
      <c r="G3591" t="str" cm="1">
        <f t="array" ref="G3591">SubCategorizeComment(E3591)</f>
        <v>Other</v>
      </c>
    </row>
    <row r="3592" spans="1:7" x14ac:dyDescent="0.25">
      <c r="A3592">
        <v>27896</v>
      </c>
      <c r="B3592" t="s">
        <v>4</v>
      </c>
      <c r="C3592">
        <v>3</v>
      </c>
      <c r="D3592" t="s">
        <v>5</v>
      </c>
      <c r="F3592" t="str" cm="1">
        <f t="array" ref="F3592">CategorizeComment(E3592)</f>
        <v>Other</v>
      </c>
      <c r="G3592" t="str" cm="1">
        <f t="array" ref="G3592">SubCategorizeComment(E3592)</f>
        <v>Other</v>
      </c>
    </row>
    <row r="3593" spans="1:7" x14ac:dyDescent="0.25">
      <c r="A3593">
        <v>27915</v>
      </c>
      <c r="B3593" t="s">
        <v>4</v>
      </c>
      <c r="C3593">
        <v>3</v>
      </c>
      <c r="D3593" t="s">
        <v>5</v>
      </c>
      <c r="F3593" t="str" cm="1">
        <f t="array" ref="F3593">CategorizeComment(E3593)</f>
        <v>Other</v>
      </c>
      <c r="G3593" t="str" cm="1">
        <f t="array" ref="G3593">SubCategorizeComment(E3593)</f>
        <v>Other</v>
      </c>
    </row>
    <row r="3594" spans="1:7" x14ac:dyDescent="0.25">
      <c r="A3594">
        <v>27918</v>
      </c>
      <c r="B3594" t="s">
        <v>4</v>
      </c>
      <c r="C3594">
        <v>3</v>
      </c>
      <c r="D3594" t="s">
        <v>5</v>
      </c>
      <c r="F3594" t="str" cm="1">
        <f t="array" ref="F3594">CategorizeComment(E3594)</f>
        <v>Other</v>
      </c>
      <c r="G3594" t="str" cm="1">
        <f t="array" ref="G3594">SubCategorizeComment(E3594)</f>
        <v>Other</v>
      </c>
    </row>
    <row r="3595" spans="1:7" x14ac:dyDescent="0.25">
      <c r="A3595">
        <v>27927</v>
      </c>
      <c r="B3595" t="s">
        <v>4</v>
      </c>
      <c r="C3595">
        <v>4</v>
      </c>
      <c r="D3595" t="s">
        <v>5</v>
      </c>
      <c r="F3595" t="str" cm="1">
        <f t="array" ref="F3595">CategorizeComment(E3595)</f>
        <v>Other</v>
      </c>
      <c r="G3595" t="str" cm="1">
        <f t="array" ref="G3595">SubCategorizeComment(E3595)</f>
        <v>Other</v>
      </c>
    </row>
    <row r="3596" spans="1:7" x14ac:dyDescent="0.25">
      <c r="A3596">
        <v>27945</v>
      </c>
      <c r="B3596" t="s">
        <v>4</v>
      </c>
      <c r="C3596">
        <v>3</v>
      </c>
      <c r="D3596" t="s">
        <v>5</v>
      </c>
      <c r="F3596" t="str" cm="1">
        <f t="array" ref="F3596">CategorizeComment(E3596)</f>
        <v>Other</v>
      </c>
      <c r="G3596" t="str" cm="1">
        <f t="array" ref="G3596">SubCategorizeComment(E3596)</f>
        <v>Other</v>
      </c>
    </row>
    <row r="3597" spans="1:7" x14ac:dyDescent="0.25">
      <c r="A3597">
        <v>27949</v>
      </c>
      <c r="B3597" t="s">
        <v>4</v>
      </c>
      <c r="C3597">
        <v>4</v>
      </c>
      <c r="D3597" t="s">
        <v>5</v>
      </c>
      <c r="F3597" t="str" cm="1">
        <f t="array" ref="F3597">CategorizeComment(E3597)</f>
        <v>Other</v>
      </c>
      <c r="G3597" t="str" cm="1">
        <f t="array" ref="G3597">SubCategorizeComment(E3597)</f>
        <v>Other</v>
      </c>
    </row>
    <row r="3598" spans="1:7" x14ac:dyDescent="0.25">
      <c r="A3598">
        <v>27950</v>
      </c>
      <c r="B3598" t="s">
        <v>4</v>
      </c>
      <c r="C3598">
        <v>3</v>
      </c>
      <c r="D3598" t="s">
        <v>5</v>
      </c>
      <c r="F3598" t="str" cm="1">
        <f t="array" ref="F3598">CategorizeComment(E3598)</f>
        <v>Other</v>
      </c>
      <c r="G3598" t="str" cm="1">
        <f t="array" ref="G3598">SubCategorizeComment(E3598)</f>
        <v>Other</v>
      </c>
    </row>
    <row r="3599" spans="1:7" x14ac:dyDescent="0.25">
      <c r="A3599">
        <v>27957</v>
      </c>
      <c r="B3599" t="s">
        <v>4</v>
      </c>
      <c r="C3599">
        <v>4</v>
      </c>
      <c r="D3599" t="s">
        <v>5</v>
      </c>
      <c r="F3599" t="str" cm="1">
        <f t="array" ref="F3599">CategorizeComment(E3599)</f>
        <v>Other</v>
      </c>
      <c r="G3599" t="str" cm="1">
        <f t="array" ref="G3599">SubCategorizeComment(E3599)</f>
        <v>Other</v>
      </c>
    </row>
    <row r="3600" spans="1:7" x14ac:dyDescent="0.25">
      <c r="A3600">
        <v>27959</v>
      </c>
      <c r="B3600" t="s">
        <v>4</v>
      </c>
      <c r="C3600">
        <v>3</v>
      </c>
      <c r="D3600" t="s">
        <v>5</v>
      </c>
      <c r="F3600" t="str" cm="1">
        <f t="array" ref="F3600">CategorizeComment(E3600)</f>
        <v>Other</v>
      </c>
      <c r="G3600" t="str" cm="1">
        <f t="array" ref="G3600">SubCategorizeComment(E3600)</f>
        <v>Other</v>
      </c>
    </row>
    <row r="3601" spans="1:7" x14ac:dyDescent="0.25">
      <c r="A3601">
        <v>28014</v>
      </c>
      <c r="B3601" t="s">
        <v>4</v>
      </c>
      <c r="C3601">
        <v>4</v>
      </c>
      <c r="D3601" t="s">
        <v>5</v>
      </c>
      <c r="F3601" t="str" cm="1">
        <f t="array" ref="F3601">CategorizeComment(E3601)</f>
        <v>Other</v>
      </c>
      <c r="G3601" t="str" cm="1">
        <f t="array" ref="G3601">SubCategorizeComment(E3601)</f>
        <v>Other</v>
      </c>
    </row>
    <row r="3602" spans="1:7" x14ac:dyDescent="0.25">
      <c r="A3602">
        <v>28015</v>
      </c>
      <c r="B3602" t="s">
        <v>4</v>
      </c>
      <c r="C3602">
        <v>4</v>
      </c>
      <c r="D3602" t="s">
        <v>5</v>
      </c>
      <c r="F3602" t="str" cm="1">
        <f t="array" ref="F3602">CategorizeComment(E3602)</f>
        <v>Other</v>
      </c>
      <c r="G3602" t="str" cm="1">
        <f t="array" ref="G3602">SubCategorizeComment(E3602)</f>
        <v>Other</v>
      </c>
    </row>
    <row r="3603" spans="1:7" x14ac:dyDescent="0.25">
      <c r="A3603">
        <v>28028</v>
      </c>
      <c r="B3603" t="s">
        <v>4</v>
      </c>
      <c r="C3603">
        <v>4</v>
      </c>
      <c r="D3603" t="s">
        <v>5</v>
      </c>
      <c r="F3603" t="str" cm="1">
        <f t="array" ref="F3603">CategorizeComment(E3603)</f>
        <v>Other</v>
      </c>
      <c r="G3603" t="str" cm="1">
        <f t="array" ref="G3603">SubCategorizeComment(E3603)</f>
        <v>Other</v>
      </c>
    </row>
    <row r="3604" spans="1:7" x14ac:dyDescent="0.25">
      <c r="A3604">
        <v>28030</v>
      </c>
      <c r="B3604" t="s">
        <v>4</v>
      </c>
      <c r="C3604">
        <v>3</v>
      </c>
      <c r="D3604" t="s">
        <v>5</v>
      </c>
      <c r="F3604" t="str" cm="1">
        <f t="array" ref="F3604">CategorizeComment(E3604)</f>
        <v>Other</v>
      </c>
      <c r="G3604" t="str" cm="1">
        <f t="array" ref="G3604">SubCategorizeComment(E3604)</f>
        <v>Other</v>
      </c>
    </row>
    <row r="3605" spans="1:7" x14ac:dyDescent="0.25">
      <c r="A3605">
        <v>28034</v>
      </c>
      <c r="B3605" t="s">
        <v>4</v>
      </c>
      <c r="C3605">
        <v>4</v>
      </c>
      <c r="D3605" t="s">
        <v>5</v>
      </c>
      <c r="F3605" t="str" cm="1">
        <f t="array" ref="F3605">CategorizeComment(E3605)</f>
        <v>Other</v>
      </c>
      <c r="G3605" t="str" cm="1">
        <f t="array" ref="G3605">SubCategorizeComment(E3605)</f>
        <v>Other</v>
      </c>
    </row>
    <row r="3606" spans="1:7" x14ac:dyDescent="0.25">
      <c r="A3606">
        <v>28067</v>
      </c>
      <c r="B3606" t="s">
        <v>4</v>
      </c>
      <c r="C3606">
        <v>3</v>
      </c>
      <c r="D3606" t="s">
        <v>5</v>
      </c>
      <c r="F3606" t="str" cm="1">
        <f t="array" ref="F3606">CategorizeComment(E3606)</f>
        <v>Other</v>
      </c>
      <c r="G3606" t="str" cm="1">
        <f t="array" ref="G3606">SubCategorizeComment(E3606)</f>
        <v>Other</v>
      </c>
    </row>
    <row r="3607" spans="1:7" x14ac:dyDescent="0.25">
      <c r="A3607">
        <v>28071</v>
      </c>
      <c r="B3607" t="s">
        <v>4</v>
      </c>
      <c r="C3607">
        <v>3</v>
      </c>
      <c r="D3607" t="s">
        <v>5</v>
      </c>
      <c r="F3607" t="str" cm="1">
        <f t="array" ref="F3607">CategorizeComment(E3607)</f>
        <v>Other</v>
      </c>
      <c r="G3607" t="str" cm="1">
        <f t="array" ref="G3607">SubCategorizeComment(E3607)</f>
        <v>Other</v>
      </c>
    </row>
    <row r="3608" spans="1:7" x14ac:dyDescent="0.25">
      <c r="A3608">
        <v>28085</v>
      </c>
      <c r="B3608" t="s">
        <v>4</v>
      </c>
      <c r="C3608">
        <v>4</v>
      </c>
      <c r="D3608" t="s">
        <v>5</v>
      </c>
      <c r="F3608" t="str" cm="1">
        <f t="array" ref="F3608">CategorizeComment(E3608)</f>
        <v>Other</v>
      </c>
      <c r="G3608" t="str" cm="1">
        <f t="array" ref="G3608">SubCategorizeComment(E3608)</f>
        <v>Other</v>
      </c>
    </row>
    <row r="3609" spans="1:7" x14ac:dyDescent="0.25">
      <c r="A3609">
        <v>28104</v>
      </c>
      <c r="B3609" t="s">
        <v>4</v>
      </c>
      <c r="C3609">
        <v>3</v>
      </c>
      <c r="D3609" t="s">
        <v>5</v>
      </c>
      <c r="F3609" t="str" cm="1">
        <f t="array" ref="F3609">CategorizeComment(E3609)</f>
        <v>Other</v>
      </c>
      <c r="G3609" t="str" cm="1">
        <f t="array" ref="G3609">SubCategorizeComment(E3609)</f>
        <v>Other</v>
      </c>
    </row>
    <row r="3610" spans="1:7" x14ac:dyDescent="0.25">
      <c r="A3610">
        <v>28136</v>
      </c>
      <c r="B3610" t="s">
        <v>4</v>
      </c>
      <c r="C3610">
        <v>3</v>
      </c>
      <c r="D3610" t="s">
        <v>5</v>
      </c>
      <c r="F3610" t="str" cm="1">
        <f t="array" ref="F3610">CategorizeComment(E3610)</f>
        <v>Other</v>
      </c>
      <c r="G3610" t="str" cm="1">
        <f t="array" ref="G3610">SubCategorizeComment(E3610)</f>
        <v>Other</v>
      </c>
    </row>
    <row r="3611" spans="1:7" x14ac:dyDescent="0.25">
      <c r="A3611">
        <v>28137</v>
      </c>
      <c r="B3611" t="s">
        <v>4</v>
      </c>
      <c r="C3611">
        <v>3</v>
      </c>
      <c r="D3611" t="s">
        <v>5</v>
      </c>
      <c r="F3611" t="str" cm="1">
        <f t="array" ref="F3611">CategorizeComment(E3611)</f>
        <v>Other</v>
      </c>
      <c r="G3611" t="str" cm="1">
        <f t="array" ref="G3611">SubCategorizeComment(E3611)</f>
        <v>Other</v>
      </c>
    </row>
    <row r="3612" spans="1:7" x14ac:dyDescent="0.25">
      <c r="A3612">
        <v>28138</v>
      </c>
      <c r="B3612" t="s">
        <v>4</v>
      </c>
      <c r="C3612">
        <v>4</v>
      </c>
      <c r="D3612" t="s">
        <v>5</v>
      </c>
      <c r="F3612" t="str" cm="1">
        <f t="array" ref="F3612">CategorizeComment(E3612)</f>
        <v>Other</v>
      </c>
      <c r="G3612" t="str" cm="1">
        <f t="array" ref="G3612">SubCategorizeComment(E3612)</f>
        <v>Other</v>
      </c>
    </row>
    <row r="3613" spans="1:7" x14ac:dyDescent="0.25">
      <c r="A3613">
        <v>28152</v>
      </c>
      <c r="B3613" t="s">
        <v>4</v>
      </c>
      <c r="C3613">
        <v>4</v>
      </c>
      <c r="D3613" t="s">
        <v>5</v>
      </c>
      <c r="F3613" t="str" cm="1">
        <f t="array" ref="F3613">CategorizeComment(E3613)</f>
        <v>Other</v>
      </c>
      <c r="G3613" t="str" cm="1">
        <f t="array" ref="G3613">SubCategorizeComment(E3613)</f>
        <v>Other</v>
      </c>
    </row>
    <row r="3614" spans="1:7" x14ac:dyDescent="0.25">
      <c r="A3614">
        <v>28153</v>
      </c>
      <c r="B3614" t="s">
        <v>4</v>
      </c>
      <c r="C3614">
        <v>4</v>
      </c>
      <c r="D3614" t="s">
        <v>5</v>
      </c>
      <c r="F3614" t="str" cm="1">
        <f t="array" ref="F3614">CategorizeComment(E3614)</f>
        <v>Other</v>
      </c>
      <c r="G3614" t="str" cm="1">
        <f t="array" ref="G3614">SubCategorizeComment(E3614)</f>
        <v>Other</v>
      </c>
    </row>
    <row r="3615" spans="1:7" x14ac:dyDescent="0.25">
      <c r="A3615">
        <v>28155</v>
      </c>
      <c r="B3615" t="s">
        <v>4</v>
      </c>
      <c r="C3615">
        <v>4</v>
      </c>
      <c r="D3615" t="s">
        <v>5</v>
      </c>
      <c r="F3615" t="str" cm="1">
        <f t="array" ref="F3615">CategorizeComment(E3615)</f>
        <v>Other</v>
      </c>
      <c r="G3615" t="str" cm="1">
        <f t="array" ref="G3615">SubCategorizeComment(E3615)</f>
        <v>Other</v>
      </c>
    </row>
    <row r="3616" spans="1:7" x14ac:dyDescent="0.25">
      <c r="A3616">
        <v>28159</v>
      </c>
      <c r="B3616" t="s">
        <v>4</v>
      </c>
      <c r="C3616">
        <v>3</v>
      </c>
      <c r="D3616" t="s">
        <v>5</v>
      </c>
      <c r="F3616" t="str" cm="1">
        <f t="array" ref="F3616">CategorizeComment(E3616)</f>
        <v>Other</v>
      </c>
      <c r="G3616" t="str" cm="1">
        <f t="array" ref="G3616">SubCategorizeComment(E3616)</f>
        <v>Other</v>
      </c>
    </row>
    <row r="3617" spans="1:7" x14ac:dyDescent="0.25">
      <c r="A3617">
        <v>28161</v>
      </c>
      <c r="B3617" t="s">
        <v>4</v>
      </c>
      <c r="C3617">
        <v>3</v>
      </c>
      <c r="D3617" t="s">
        <v>5</v>
      </c>
      <c r="F3617" t="str" cm="1">
        <f t="array" ref="F3617">CategorizeComment(E3617)</f>
        <v>Other</v>
      </c>
      <c r="G3617" t="str" cm="1">
        <f t="array" ref="G3617">SubCategorizeComment(E3617)</f>
        <v>Other</v>
      </c>
    </row>
    <row r="3618" spans="1:7" x14ac:dyDescent="0.25">
      <c r="A3618">
        <v>28162</v>
      </c>
      <c r="B3618" t="s">
        <v>4</v>
      </c>
      <c r="C3618">
        <v>4</v>
      </c>
      <c r="D3618" t="s">
        <v>5</v>
      </c>
      <c r="F3618" t="str" cm="1">
        <f t="array" ref="F3618">CategorizeComment(E3618)</f>
        <v>Other</v>
      </c>
      <c r="G3618" t="str" cm="1">
        <f t="array" ref="G3618">SubCategorizeComment(E3618)</f>
        <v>Other</v>
      </c>
    </row>
    <row r="3619" spans="1:7" x14ac:dyDescent="0.25">
      <c r="A3619">
        <v>28163</v>
      </c>
      <c r="B3619" t="s">
        <v>4</v>
      </c>
      <c r="C3619">
        <v>4</v>
      </c>
      <c r="D3619" t="s">
        <v>5</v>
      </c>
      <c r="F3619" t="str" cm="1">
        <f t="array" ref="F3619">CategorizeComment(E3619)</f>
        <v>Other</v>
      </c>
      <c r="G3619" t="str" cm="1">
        <f t="array" ref="G3619">SubCategorizeComment(E3619)</f>
        <v>Other</v>
      </c>
    </row>
    <row r="3620" spans="1:7" x14ac:dyDescent="0.25">
      <c r="A3620">
        <v>28165</v>
      </c>
      <c r="B3620" t="s">
        <v>4</v>
      </c>
      <c r="C3620">
        <v>3</v>
      </c>
      <c r="D3620" t="s">
        <v>5</v>
      </c>
      <c r="F3620" t="str" cm="1">
        <f t="array" ref="F3620">CategorizeComment(E3620)</f>
        <v>Other</v>
      </c>
      <c r="G3620" t="str" cm="1">
        <f t="array" ref="G3620">SubCategorizeComment(E3620)</f>
        <v>Other</v>
      </c>
    </row>
    <row r="3621" spans="1:7" x14ac:dyDescent="0.25">
      <c r="A3621">
        <v>28168</v>
      </c>
      <c r="B3621" t="s">
        <v>4</v>
      </c>
      <c r="C3621">
        <v>4</v>
      </c>
      <c r="D3621" t="s">
        <v>5</v>
      </c>
      <c r="F3621" t="str" cm="1">
        <f t="array" ref="F3621">CategorizeComment(E3621)</f>
        <v>Other</v>
      </c>
      <c r="G3621" t="str" cm="1">
        <f t="array" ref="G3621">SubCategorizeComment(E3621)</f>
        <v>Other</v>
      </c>
    </row>
    <row r="3622" spans="1:7" x14ac:dyDescent="0.25">
      <c r="A3622">
        <v>28193</v>
      </c>
      <c r="B3622" t="s">
        <v>4</v>
      </c>
      <c r="C3622">
        <v>3</v>
      </c>
      <c r="D3622" t="s">
        <v>5</v>
      </c>
      <c r="F3622" t="str" cm="1">
        <f t="array" ref="F3622">CategorizeComment(E3622)</f>
        <v>Other</v>
      </c>
      <c r="G3622" t="str" cm="1">
        <f t="array" ref="G3622">SubCategorizeComment(E3622)</f>
        <v>Other</v>
      </c>
    </row>
    <row r="3623" spans="1:7" x14ac:dyDescent="0.25">
      <c r="A3623">
        <v>28196</v>
      </c>
      <c r="B3623" t="s">
        <v>4</v>
      </c>
      <c r="C3623">
        <v>4</v>
      </c>
      <c r="D3623" t="s">
        <v>5</v>
      </c>
      <c r="F3623" t="str" cm="1">
        <f t="array" ref="F3623">CategorizeComment(E3623)</f>
        <v>Other</v>
      </c>
      <c r="G3623" t="str" cm="1">
        <f t="array" ref="G3623">SubCategorizeComment(E3623)</f>
        <v>Other</v>
      </c>
    </row>
    <row r="3624" spans="1:7" x14ac:dyDescent="0.25">
      <c r="A3624">
        <v>28202</v>
      </c>
      <c r="B3624" t="s">
        <v>4</v>
      </c>
      <c r="C3624">
        <v>3</v>
      </c>
      <c r="D3624" t="s">
        <v>5</v>
      </c>
      <c r="F3624" t="str" cm="1">
        <f t="array" ref="F3624">CategorizeComment(E3624)</f>
        <v>Other</v>
      </c>
      <c r="G3624" t="str" cm="1">
        <f t="array" ref="G3624">SubCategorizeComment(E3624)</f>
        <v>Other</v>
      </c>
    </row>
    <row r="3625" spans="1:7" x14ac:dyDescent="0.25">
      <c r="A3625">
        <v>28213</v>
      </c>
      <c r="B3625" t="s">
        <v>4</v>
      </c>
      <c r="C3625">
        <v>3</v>
      </c>
      <c r="D3625" t="s">
        <v>5</v>
      </c>
      <c r="F3625" t="str" cm="1">
        <f t="array" ref="F3625">CategorizeComment(E3625)</f>
        <v>Other</v>
      </c>
      <c r="G3625" t="str" cm="1">
        <f t="array" ref="G3625">SubCategorizeComment(E3625)</f>
        <v>Other</v>
      </c>
    </row>
    <row r="3626" spans="1:7" x14ac:dyDescent="0.25">
      <c r="A3626">
        <v>28220</v>
      </c>
      <c r="B3626" t="s">
        <v>4</v>
      </c>
      <c r="C3626">
        <v>3</v>
      </c>
      <c r="D3626" t="s">
        <v>5</v>
      </c>
      <c r="F3626" t="str" cm="1">
        <f t="array" ref="F3626">CategorizeComment(E3626)</f>
        <v>Other</v>
      </c>
      <c r="G3626" t="str" cm="1">
        <f t="array" ref="G3626">SubCategorizeComment(E3626)</f>
        <v>Other</v>
      </c>
    </row>
    <row r="3627" spans="1:7" x14ac:dyDescent="0.25">
      <c r="A3627">
        <v>28229</v>
      </c>
      <c r="B3627" t="s">
        <v>4</v>
      </c>
      <c r="C3627">
        <v>3</v>
      </c>
      <c r="D3627" t="s">
        <v>5</v>
      </c>
      <c r="F3627" t="str" cm="1">
        <f t="array" ref="F3627">CategorizeComment(E3627)</f>
        <v>Other</v>
      </c>
      <c r="G3627" t="str" cm="1">
        <f t="array" ref="G3627">SubCategorizeComment(E3627)</f>
        <v>Other</v>
      </c>
    </row>
    <row r="3628" spans="1:7" x14ac:dyDescent="0.25">
      <c r="A3628">
        <v>28233</v>
      </c>
      <c r="B3628" t="s">
        <v>4</v>
      </c>
      <c r="C3628">
        <v>3</v>
      </c>
      <c r="D3628" t="s">
        <v>5</v>
      </c>
      <c r="F3628" t="str" cm="1">
        <f t="array" ref="F3628">CategorizeComment(E3628)</f>
        <v>Other</v>
      </c>
      <c r="G3628" t="str" cm="1">
        <f t="array" ref="G3628">SubCategorizeComment(E3628)</f>
        <v>Other</v>
      </c>
    </row>
    <row r="3629" spans="1:7" x14ac:dyDescent="0.25">
      <c r="A3629">
        <v>28236</v>
      </c>
      <c r="B3629" t="s">
        <v>4</v>
      </c>
      <c r="C3629">
        <v>4</v>
      </c>
      <c r="D3629" t="s">
        <v>5</v>
      </c>
      <c r="F3629" t="str" cm="1">
        <f t="array" ref="F3629">CategorizeComment(E3629)</f>
        <v>Other</v>
      </c>
      <c r="G3629" t="str" cm="1">
        <f t="array" ref="G3629">SubCategorizeComment(E3629)</f>
        <v>Other</v>
      </c>
    </row>
    <row r="3630" spans="1:7" x14ac:dyDescent="0.25">
      <c r="A3630">
        <v>28259</v>
      </c>
      <c r="B3630" t="s">
        <v>4</v>
      </c>
      <c r="C3630">
        <v>3</v>
      </c>
      <c r="D3630" t="s">
        <v>5</v>
      </c>
      <c r="F3630" t="str" cm="1">
        <f t="array" ref="F3630">CategorizeComment(E3630)</f>
        <v>Other</v>
      </c>
      <c r="G3630" t="str" cm="1">
        <f t="array" ref="G3630">SubCategorizeComment(E3630)</f>
        <v>Other</v>
      </c>
    </row>
    <row r="3631" spans="1:7" x14ac:dyDescent="0.25">
      <c r="A3631">
        <v>28269</v>
      </c>
      <c r="B3631" t="s">
        <v>4</v>
      </c>
      <c r="C3631">
        <v>3</v>
      </c>
      <c r="D3631" t="s">
        <v>5</v>
      </c>
      <c r="F3631" t="str" cm="1">
        <f t="array" ref="F3631">CategorizeComment(E3631)</f>
        <v>Other</v>
      </c>
      <c r="G3631" t="str" cm="1">
        <f t="array" ref="G3631">SubCategorizeComment(E3631)</f>
        <v>Other</v>
      </c>
    </row>
    <row r="3632" spans="1:7" x14ac:dyDescent="0.25">
      <c r="A3632">
        <v>28276</v>
      </c>
      <c r="B3632" t="s">
        <v>4</v>
      </c>
      <c r="C3632">
        <v>4</v>
      </c>
      <c r="D3632" t="s">
        <v>5</v>
      </c>
      <c r="F3632" t="str" cm="1">
        <f t="array" ref="F3632">CategorizeComment(E3632)</f>
        <v>Other</v>
      </c>
      <c r="G3632" t="str" cm="1">
        <f t="array" ref="G3632">SubCategorizeComment(E3632)</f>
        <v>Other</v>
      </c>
    </row>
    <row r="3633" spans="1:7" x14ac:dyDescent="0.25">
      <c r="A3633">
        <v>28282</v>
      </c>
      <c r="B3633" t="s">
        <v>4</v>
      </c>
      <c r="C3633">
        <v>4</v>
      </c>
      <c r="D3633" t="s">
        <v>5</v>
      </c>
      <c r="F3633" t="str" cm="1">
        <f t="array" ref="F3633">CategorizeComment(E3633)</f>
        <v>Other</v>
      </c>
      <c r="G3633" t="str" cm="1">
        <f t="array" ref="G3633">SubCategorizeComment(E3633)</f>
        <v>Other</v>
      </c>
    </row>
    <row r="3634" spans="1:7" x14ac:dyDescent="0.25">
      <c r="A3634">
        <v>28290</v>
      </c>
      <c r="B3634" t="s">
        <v>4</v>
      </c>
      <c r="C3634">
        <v>3</v>
      </c>
      <c r="D3634" t="s">
        <v>5</v>
      </c>
      <c r="F3634" t="str" cm="1">
        <f t="array" ref="F3634">CategorizeComment(E3634)</f>
        <v>Other</v>
      </c>
      <c r="G3634" t="str" cm="1">
        <f t="array" ref="G3634">SubCategorizeComment(E3634)</f>
        <v>Other</v>
      </c>
    </row>
    <row r="3635" spans="1:7" x14ac:dyDescent="0.25">
      <c r="A3635">
        <v>28316</v>
      </c>
      <c r="B3635" t="s">
        <v>4</v>
      </c>
      <c r="C3635">
        <v>4</v>
      </c>
      <c r="D3635" t="s">
        <v>5</v>
      </c>
      <c r="F3635" t="str" cm="1">
        <f t="array" ref="F3635">CategorizeComment(E3635)</f>
        <v>Other</v>
      </c>
      <c r="G3635" t="str" cm="1">
        <f t="array" ref="G3635">SubCategorizeComment(E3635)</f>
        <v>Other</v>
      </c>
    </row>
    <row r="3636" spans="1:7" x14ac:dyDescent="0.25">
      <c r="A3636">
        <v>28318</v>
      </c>
      <c r="B3636" t="s">
        <v>4</v>
      </c>
      <c r="C3636">
        <v>4</v>
      </c>
      <c r="D3636" t="s">
        <v>5</v>
      </c>
      <c r="F3636" t="str" cm="1">
        <f t="array" ref="F3636">CategorizeComment(E3636)</f>
        <v>Other</v>
      </c>
      <c r="G3636" t="str" cm="1">
        <f t="array" ref="G3636">SubCategorizeComment(E3636)</f>
        <v>Other</v>
      </c>
    </row>
    <row r="3637" spans="1:7" x14ac:dyDescent="0.25">
      <c r="A3637">
        <v>28325</v>
      </c>
      <c r="B3637" t="s">
        <v>4</v>
      </c>
      <c r="C3637">
        <v>3</v>
      </c>
      <c r="D3637" t="s">
        <v>5</v>
      </c>
      <c r="F3637" t="str" cm="1">
        <f t="array" ref="F3637">CategorizeComment(E3637)</f>
        <v>Other</v>
      </c>
      <c r="G3637" t="str" cm="1">
        <f t="array" ref="G3637">SubCategorizeComment(E3637)</f>
        <v>Other</v>
      </c>
    </row>
    <row r="3638" spans="1:7" x14ac:dyDescent="0.25">
      <c r="A3638">
        <v>28331</v>
      </c>
      <c r="B3638" t="s">
        <v>4</v>
      </c>
      <c r="C3638">
        <v>3</v>
      </c>
      <c r="D3638" t="s">
        <v>5</v>
      </c>
      <c r="F3638" t="str" cm="1">
        <f t="array" ref="F3638">CategorizeComment(E3638)</f>
        <v>Other</v>
      </c>
      <c r="G3638" t="str" cm="1">
        <f t="array" ref="G3638">SubCategorizeComment(E3638)</f>
        <v>Other</v>
      </c>
    </row>
    <row r="3639" spans="1:7" x14ac:dyDescent="0.25">
      <c r="A3639">
        <v>28333</v>
      </c>
      <c r="B3639" t="s">
        <v>4</v>
      </c>
      <c r="C3639">
        <v>3</v>
      </c>
      <c r="D3639" t="s">
        <v>5</v>
      </c>
      <c r="F3639" t="str" cm="1">
        <f t="array" ref="F3639">CategorizeComment(E3639)</f>
        <v>Other</v>
      </c>
      <c r="G3639" t="str" cm="1">
        <f t="array" ref="G3639">SubCategorizeComment(E3639)</f>
        <v>Other</v>
      </c>
    </row>
    <row r="3640" spans="1:7" x14ac:dyDescent="0.25">
      <c r="A3640">
        <v>28334</v>
      </c>
      <c r="B3640" t="s">
        <v>4</v>
      </c>
      <c r="C3640">
        <v>4</v>
      </c>
      <c r="D3640" t="s">
        <v>5</v>
      </c>
      <c r="F3640" t="str" cm="1">
        <f t="array" ref="F3640">CategorizeComment(E3640)</f>
        <v>Other</v>
      </c>
      <c r="G3640" t="str" cm="1">
        <f t="array" ref="G3640">SubCategorizeComment(E3640)</f>
        <v>Other</v>
      </c>
    </row>
    <row r="3641" spans="1:7" x14ac:dyDescent="0.25">
      <c r="A3641">
        <v>28339</v>
      </c>
      <c r="B3641" t="s">
        <v>4</v>
      </c>
      <c r="C3641">
        <v>3</v>
      </c>
      <c r="D3641" t="s">
        <v>5</v>
      </c>
      <c r="F3641" t="str" cm="1">
        <f t="array" ref="F3641">CategorizeComment(E3641)</f>
        <v>Other</v>
      </c>
      <c r="G3641" t="str" cm="1">
        <f t="array" ref="G3641">SubCategorizeComment(E3641)</f>
        <v>Other</v>
      </c>
    </row>
    <row r="3642" spans="1:7" x14ac:dyDescent="0.25">
      <c r="A3642">
        <v>28340</v>
      </c>
      <c r="B3642" t="s">
        <v>4</v>
      </c>
      <c r="C3642">
        <v>3</v>
      </c>
      <c r="D3642" t="s">
        <v>5</v>
      </c>
      <c r="F3642" t="str" cm="1">
        <f t="array" ref="F3642">CategorizeComment(E3642)</f>
        <v>Other</v>
      </c>
      <c r="G3642" t="str" cm="1">
        <f t="array" ref="G3642">SubCategorizeComment(E3642)</f>
        <v>Other</v>
      </c>
    </row>
    <row r="3643" spans="1:7" x14ac:dyDescent="0.25">
      <c r="A3643">
        <v>28347</v>
      </c>
      <c r="B3643" t="s">
        <v>4</v>
      </c>
      <c r="C3643">
        <v>4</v>
      </c>
      <c r="D3643" t="s">
        <v>5</v>
      </c>
      <c r="F3643" t="str" cm="1">
        <f t="array" ref="F3643">CategorizeComment(E3643)</f>
        <v>Other</v>
      </c>
      <c r="G3643" t="str" cm="1">
        <f t="array" ref="G3643">SubCategorizeComment(E3643)</f>
        <v>Other</v>
      </c>
    </row>
    <row r="3644" spans="1:7" x14ac:dyDescent="0.25">
      <c r="A3644">
        <v>28350</v>
      </c>
      <c r="B3644" t="s">
        <v>4</v>
      </c>
      <c r="C3644">
        <v>4</v>
      </c>
      <c r="D3644" t="s">
        <v>5</v>
      </c>
      <c r="F3644" t="str" cm="1">
        <f t="array" ref="F3644">CategorizeComment(E3644)</f>
        <v>Other</v>
      </c>
      <c r="G3644" t="str" cm="1">
        <f t="array" ref="G3644">SubCategorizeComment(E3644)</f>
        <v>Other</v>
      </c>
    </row>
    <row r="3645" spans="1:7" x14ac:dyDescent="0.25">
      <c r="A3645">
        <v>28355</v>
      </c>
      <c r="B3645" t="s">
        <v>4</v>
      </c>
      <c r="C3645">
        <v>4</v>
      </c>
      <c r="D3645" t="s">
        <v>5</v>
      </c>
      <c r="F3645" t="str" cm="1">
        <f t="array" ref="F3645">CategorizeComment(E3645)</f>
        <v>Other</v>
      </c>
      <c r="G3645" t="str" cm="1">
        <f t="array" ref="G3645">SubCategorizeComment(E3645)</f>
        <v>Other</v>
      </c>
    </row>
    <row r="3646" spans="1:7" x14ac:dyDescent="0.25">
      <c r="A3646">
        <v>28358</v>
      </c>
      <c r="B3646" t="s">
        <v>4</v>
      </c>
      <c r="C3646">
        <v>3</v>
      </c>
      <c r="D3646" t="s">
        <v>5</v>
      </c>
      <c r="F3646" t="str" cm="1">
        <f t="array" ref="F3646">CategorizeComment(E3646)</f>
        <v>Other</v>
      </c>
      <c r="G3646" t="str" cm="1">
        <f t="array" ref="G3646">SubCategorizeComment(E3646)</f>
        <v>Other</v>
      </c>
    </row>
    <row r="3647" spans="1:7" x14ac:dyDescent="0.25">
      <c r="A3647">
        <v>28362</v>
      </c>
      <c r="B3647" t="s">
        <v>4</v>
      </c>
      <c r="C3647">
        <v>4</v>
      </c>
      <c r="D3647" t="s">
        <v>5</v>
      </c>
      <c r="F3647" t="str" cm="1">
        <f t="array" ref="F3647">CategorizeComment(E3647)</f>
        <v>Other</v>
      </c>
      <c r="G3647" t="str" cm="1">
        <f t="array" ref="G3647">SubCategorizeComment(E3647)</f>
        <v>Other</v>
      </c>
    </row>
    <row r="3648" spans="1:7" x14ac:dyDescent="0.25">
      <c r="A3648">
        <v>28369</v>
      </c>
      <c r="B3648" t="s">
        <v>4</v>
      </c>
      <c r="C3648">
        <v>4</v>
      </c>
      <c r="D3648" t="s">
        <v>5</v>
      </c>
      <c r="F3648" t="str" cm="1">
        <f t="array" ref="F3648">CategorizeComment(E3648)</f>
        <v>Other</v>
      </c>
      <c r="G3648" t="str" cm="1">
        <f t="array" ref="G3648">SubCategorizeComment(E3648)</f>
        <v>Other</v>
      </c>
    </row>
    <row r="3649" spans="1:7" x14ac:dyDescent="0.25">
      <c r="A3649">
        <v>28376</v>
      </c>
      <c r="B3649" t="s">
        <v>4</v>
      </c>
      <c r="C3649">
        <v>3</v>
      </c>
      <c r="D3649" t="s">
        <v>5</v>
      </c>
      <c r="F3649" t="str" cm="1">
        <f t="array" ref="F3649">CategorizeComment(E3649)</f>
        <v>Other</v>
      </c>
      <c r="G3649" t="str" cm="1">
        <f t="array" ref="G3649">SubCategorizeComment(E3649)</f>
        <v>Other</v>
      </c>
    </row>
    <row r="3650" spans="1:7" x14ac:dyDescent="0.25">
      <c r="A3650">
        <v>28383</v>
      </c>
      <c r="B3650" t="s">
        <v>4</v>
      </c>
      <c r="C3650">
        <v>4</v>
      </c>
      <c r="D3650" t="s">
        <v>5</v>
      </c>
      <c r="F3650" t="str" cm="1">
        <f t="array" ref="F3650">CategorizeComment(E3650)</f>
        <v>Other</v>
      </c>
      <c r="G3650" t="str" cm="1">
        <f t="array" ref="G3650">SubCategorizeComment(E3650)</f>
        <v>Other</v>
      </c>
    </row>
    <row r="3651" spans="1:7" x14ac:dyDescent="0.25">
      <c r="A3651">
        <v>28400</v>
      </c>
      <c r="B3651" t="s">
        <v>4</v>
      </c>
      <c r="C3651">
        <v>3</v>
      </c>
      <c r="D3651" t="s">
        <v>5</v>
      </c>
      <c r="F3651" t="str" cm="1">
        <f t="array" ref="F3651">CategorizeComment(E3651)</f>
        <v>Other</v>
      </c>
      <c r="G3651" t="str" cm="1">
        <f t="array" ref="G3651">SubCategorizeComment(E3651)</f>
        <v>Other</v>
      </c>
    </row>
    <row r="3652" spans="1:7" x14ac:dyDescent="0.25">
      <c r="A3652">
        <v>28401</v>
      </c>
      <c r="B3652" t="s">
        <v>4</v>
      </c>
      <c r="C3652">
        <v>4</v>
      </c>
      <c r="D3652" t="s">
        <v>5</v>
      </c>
      <c r="F3652" t="str" cm="1">
        <f t="array" ref="F3652">CategorizeComment(E3652)</f>
        <v>Other</v>
      </c>
      <c r="G3652" t="str" cm="1">
        <f t="array" ref="G3652">SubCategorizeComment(E3652)</f>
        <v>Other</v>
      </c>
    </row>
    <row r="3653" spans="1:7" x14ac:dyDescent="0.25">
      <c r="A3653">
        <v>28405</v>
      </c>
      <c r="B3653" t="s">
        <v>4</v>
      </c>
      <c r="C3653">
        <v>3</v>
      </c>
      <c r="D3653" t="s">
        <v>5</v>
      </c>
      <c r="F3653" t="str" cm="1">
        <f t="array" ref="F3653">CategorizeComment(E3653)</f>
        <v>Other</v>
      </c>
      <c r="G3653" t="str" cm="1">
        <f t="array" ref="G3653">SubCategorizeComment(E3653)</f>
        <v>Other</v>
      </c>
    </row>
    <row r="3654" spans="1:7" x14ac:dyDescent="0.25">
      <c r="A3654">
        <v>28423</v>
      </c>
      <c r="B3654" t="s">
        <v>4</v>
      </c>
      <c r="C3654">
        <v>4</v>
      </c>
      <c r="D3654" t="s">
        <v>5</v>
      </c>
      <c r="F3654" t="str" cm="1">
        <f t="array" ref="F3654">CategorizeComment(E3654)</f>
        <v>Other</v>
      </c>
      <c r="G3654" t="str" cm="1">
        <f t="array" ref="G3654">SubCategorizeComment(E3654)</f>
        <v>Other</v>
      </c>
    </row>
    <row r="3655" spans="1:7" x14ac:dyDescent="0.25">
      <c r="A3655">
        <v>28463</v>
      </c>
      <c r="B3655" t="s">
        <v>4</v>
      </c>
      <c r="C3655">
        <v>3</v>
      </c>
      <c r="D3655" t="s">
        <v>5</v>
      </c>
      <c r="F3655" t="str" cm="1">
        <f t="array" ref="F3655">CategorizeComment(E3655)</f>
        <v>Other</v>
      </c>
      <c r="G3655" t="str" cm="1">
        <f t="array" ref="G3655">SubCategorizeComment(E3655)</f>
        <v>Other</v>
      </c>
    </row>
    <row r="3656" spans="1:7" x14ac:dyDescent="0.25">
      <c r="A3656">
        <v>28464</v>
      </c>
      <c r="B3656" t="s">
        <v>4</v>
      </c>
      <c r="C3656">
        <v>3</v>
      </c>
      <c r="D3656" t="s">
        <v>5</v>
      </c>
      <c r="F3656" t="str" cm="1">
        <f t="array" ref="F3656">CategorizeComment(E3656)</f>
        <v>Other</v>
      </c>
      <c r="G3656" t="str" cm="1">
        <f t="array" ref="G3656">SubCategorizeComment(E3656)</f>
        <v>Other</v>
      </c>
    </row>
    <row r="3657" spans="1:7" x14ac:dyDescent="0.25">
      <c r="A3657">
        <v>28465</v>
      </c>
      <c r="B3657" t="s">
        <v>4</v>
      </c>
      <c r="C3657">
        <v>3</v>
      </c>
      <c r="D3657" t="s">
        <v>5</v>
      </c>
      <c r="F3657" t="str" cm="1">
        <f t="array" ref="F3657">CategorizeComment(E3657)</f>
        <v>Other</v>
      </c>
      <c r="G3657" t="str" cm="1">
        <f t="array" ref="G3657">SubCategorizeComment(E3657)</f>
        <v>Other</v>
      </c>
    </row>
    <row r="3658" spans="1:7" x14ac:dyDescent="0.25">
      <c r="A3658">
        <v>28487</v>
      </c>
      <c r="B3658" t="s">
        <v>4</v>
      </c>
      <c r="C3658">
        <v>3</v>
      </c>
      <c r="D3658" t="s">
        <v>5</v>
      </c>
      <c r="F3658" t="str" cm="1">
        <f t="array" ref="F3658">CategorizeComment(E3658)</f>
        <v>Other</v>
      </c>
      <c r="G3658" t="str" cm="1">
        <f t="array" ref="G3658">SubCategorizeComment(E3658)</f>
        <v>Other</v>
      </c>
    </row>
    <row r="3659" spans="1:7" x14ac:dyDescent="0.25">
      <c r="A3659">
        <v>28494</v>
      </c>
      <c r="B3659" t="s">
        <v>4</v>
      </c>
      <c r="C3659">
        <v>4</v>
      </c>
      <c r="D3659" t="s">
        <v>5</v>
      </c>
      <c r="F3659" t="str" cm="1">
        <f t="array" ref="F3659">CategorizeComment(E3659)</f>
        <v>Other</v>
      </c>
      <c r="G3659" t="str" cm="1">
        <f t="array" ref="G3659">SubCategorizeComment(E3659)</f>
        <v>Other</v>
      </c>
    </row>
    <row r="3660" spans="1:7" x14ac:dyDescent="0.25">
      <c r="A3660">
        <v>28498</v>
      </c>
      <c r="B3660" t="s">
        <v>4</v>
      </c>
      <c r="C3660">
        <v>4</v>
      </c>
      <c r="D3660" t="s">
        <v>5</v>
      </c>
      <c r="F3660" t="str" cm="1">
        <f t="array" ref="F3660">CategorizeComment(E3660)</f>
        <v>Other</v>
      </c>
      <c r="G3660" t="str" cm="1">
        <f t="array" ref="G3660">SubCategorizeComment(E3660)</f>
        <v>Other</v>
      </c>
    </row>
    <row r="3661" spans="1:7" x14ac:dyDescent="0.25">
      <c r="A3661">
        <v>28523</v>
      </c>
      <c r="B3661" t="s">
        <v>4</v>
      </c>
      <c r="C3661">
        <v>4</v>
      </c>
      <c r="D3661" t="s">
        <v>5</v>
      </c>
      <c r="F3661" t="str" cm="1">
        <f t="array" ref="F3661">CategorizeComment(E3661)</f>
        <v>Other</v>
      </c>
      <c r="G3661" t="str" cm="1">
        <f t="array" ref="G3661">SubCategorizeComment(E3661)</f>
        <v>Other</v>
      </c>
    </row>
    <row r="3662" spans="1:7" x14ac:dyDescent="0.25">
      <c r="A3662">
        <v>28525</v>
      </c>
      <c r="B3662" t="s">
        <v>4</v>
      </c>
      <c r="C3662">
        <v>3</v>
      </c>
      <c r="D3662" t="s">
        <v>5</v>
      </c>
      <c r="F3662" t="str" cm="1">
        <f t="array" ref="F3662">CategorizeComment(E3662)</f>
        <v>Other</v>
      </c>
      <c r="G3662" t="str" cm="1">
        <f t="array" ref="G3662">SubCategorizeComment(E3662)</f>
        <v>Other</v>
      </c>
    </row>
    <row r="3663" spans="1:7" x14ac:dyDescent="0.25">
      <c r="A3663">
        <v>28527</v>
      </c>
      <c r="B3663" t="s">
        <v>4</v>
      </c>
      <c r="C3663">
        <v>4</v>
      </c>
      <c r="D3663" t="s">
        <v>5</v>
      </c>
      <c r="F3663" t="str" cm="1">
        <f t="array" ref="F3663">CategorizeComment(E3663)</f>
        <v>Other</v>
      </c>
      <c r="G3663" t="str" cm="1">
        <f t="array" ref="G3663">SubCategorizeComment(E3663)</f>
        <v>Other</v>
      </c>
    </row>
    <row r="3664" spans="1:7" x14ac:dyDescent="0.25">
      <c r="A3664">
        <v>28530</v>
      </c>
      <c r="B3664" t="s">
        <v>4</v>
      </c>
      <c r="C3664">
        <v>4</v>
      </c>
      <c r="D3664" t="s">
        <v>5</v>
      </c>
      <c r="F3664" t="str" cm="1">
        <f t="array" ref="F3664">CategorizeComment(E3664)</f>
        <v>Other</v>
      </c>
      <c r="G3664" t="str" cm="1">
        <f t="array" ref="G3664">SubCategorizeComment(E3664)</f>
        <v>Other</v>
      </c>
    </row>
    <row r="3665" spans="1:7" x14ac:dyDescent="0.25">
      <c r="A3665">
        <v>28533</v>
      </c>
      <c r="B3665" t="s">
        <v>4</v>
      </c>
      <c r="C3665">
        <v>3</v>
      </c>
      <c r="D3665" t="s">
        <v>5</v>
      </c>
      <c r="F3665" t="str" cm="1">
        <f t="array" ref="F3665">CategorizeComment(E3665)</f>
        <v>Other</v>
      </c>
      <c r="G3665" t="str" cm="1">
        <f t="array" ref="G3665">SubCategorizeComment(E3665)</f>
        <v>Other</v>
      </c>
    </row>
    <row r="3666" spans="1:7" x14ac:dyDescent="0.25">
      <c r="A3666">
        <v>28537</v>
      </c>
      <c r="B3666" t="s">
        <v>4</v>
      </c>
      <c r="C3666">
        <v>4</v>
      </c>
      <c r="D3666" t="s">
        <v>5</v>
      </c>
      <c r="F3666" t="str" cm="1">
        <f t="array" ref="F3666">CategorizeComment(E3666)</f>
        <v>Other</v>
      </c>
      <c r="G3666" t="str" cm="1">
        <f t="array" ref="G3666">SubCategorizeComment(E3666)</f>
        <v>Other</v>
      </c>
    </row>
    <row r="3667" spans="1:7" x14ac:dyDescent="0.25">
      <c r="A3667">
        <v>28543</v>
      </c>
      <c r="B3667" t="s">
        <v>4</v>
      </c>
      <c r="C3667">
        <v>3</v>
      </c>
      <c r="D3667" t="s">
        <v>5</v>
      </c>
      <c r="F3667" t="str" cm="1">
        <f t="array" ref="F3667">CategorizeComment(E3667)</f>
        <v>Other</v>
      </c>
      <c r="G3667" t="str" cm="1">
        <f t="array" ref="G3667">SubCategorizeComment(E3667)</f>
        <v>Other</v>
      </c>
    </row>
    <row r="3668" spans="1:7" x14ac:dyDescent="0.25">
      <c r="A3668">
        <v>28580</v>
      </c>
      <c r="B3668" t="s">
        <v>4</v>
      </c>
      <c r="C3668">
        <v>4</v>
      </c>
      <c r="D3668" t="s">
        <v>5</v>
      </c>
      <c r="F3668" t="str" cm="1">
        <f t="array" ref="F3668">CategorizeComment(E3668)</f>
        <v>Other</v>
      </c>
      <c r="G3668" t="str" cm="1">
        <f t="array" ref="G3668">SubCategorizeComment(E3668)</f>
        <v>Other</v>
      </c>
    </row>
    <row r="3669" spans="1:7" x14ac:dyDescent="0.25">
      <c r="A3669">
        <v>28586</v>
      </c>
      <c r="B3669" t="s">
        <v>4</v>
      </c>
      <c r="C3669">
        <v>4</v>
      </c>
      <c r="D3669" t="s">
        <v>5</v>
      </c>
      <c r="F3669" t="str" cm="1">
        <f t="array" ref="F3669">CategorizeComment(E3669)</f>
        <v>Other</v>
      </c>
      <c r="G3669" t="str" cm="1">
        <f t="array" ref="G3669">SubCategorizeComment(E3669)</f>
        <v>Other</v>
      </c>
    </row>
    <row r="3670" spans="1:7" x14ac:dyDescent="0.25">
      <c r="A3670">
        <v>28620</v>
      </c>
      <c r="B3670" t="s">
        <v>4</v>
      </c>
      <c r="C3670">
        <v>3</v>
      </c>
      <c r="D3670" t="s">
        <v>5</v>
      </c>
      <c r="F3670" t="str" cm="1">
        <f t="array" ref="F3670">CategorizeComment(E3670)</f>
        <v>Other</v>
      </c>
      <c r="G3670" t="str" cm="1">
        <f t="array" ref="G3670">SubCategorizeComment(E3670)</f>
        <v>Other</v>
      </c>
    </row>
    <row r="3671" spans="1:7" x14ac:dyDescent="0.25">
      <c r="A3671">
        <v>28628</v>
      </c>
      <c r="B3671" t="s">
        <v>4</v>
      </c>
      <c r="C3671">
        <v>4</v>
      </c>
      <c r="D3671" t="s">
        <v>5</v>
      </c>
      <c r="F3671" t="str" cm="1">
        <f t="array" ref="F3671">CategorizeComment(E3671)</f>
        <v>Other</v>
      </c>
      <c r="G3671" t="str" cm="1">
        <f t="array" ref="G3671">SubCategorizeComment(E3671)</f>
        <v>Other</v>
      </c>
    </row>
    <row r="3672" spans="1:7" x14ac:dyDescent="0.25">
      <c r="A3672">
        <v>28634</v>
      </c>
      <c r="B3672" t="s">
        <v>4</v>
      </c>
      <c r="C3672">
        <v>4</v>
      </c>
      <c r="D3672" t="s">
        <v>5</v>
      </c>
      <c r="F3672" t="str" cm="1">
        <f t="array" ref="F3672">CategorizeComment(E3672)</f>
        <v>Other</v>
      </c>
      <c r="G3672" t="str" cm="1">
        <f t="array" ref="G3672">SubCategorizeComment(E3672)</f>
        <v>Other</v>
      </c>
    </row>
    <row r="3673" spans="1:7" x14ac:dyDescent="0.25">
      <c r="A3673">
        <v>28639</v>
      </c>
      <c r="B3673" t="s">
        <v>4</v>
      </c>
      <c r="C3673">
        <v>4</v>
      </c>
      <c r="D3673" t="s">
        <v>5</v>
      </c>
      <c r="F3673" t="str" cm="1">
        <f t="array" ref="F3673">CategorizeComment(E3673)</f>
        <v>Other</v>
      </c>
      <c r="G3673" t="str" cm="1">
        <f t="array" ref="G3673">SubCategorizeComment(E3673)</f>
        <v>Other</v>
      </c>
    </row>
    <row r="3674" spans="1:7" x14ac:dyDescent="0.25">
      <c r="A3674">
        <v>28669</v>
      </c>
      <c r="B3674" t="s">
        <v>4</v>
      </c>
      <c r="C3674">
        <v>4</v>
      </c>
      <c r="D3674" t="s">
        <v>5</v>
      </c>
      <c r="F3674" t="str" cm="1">
        <f t="array" ref="F3674">CategorizeComment(E3674)</f>
        <v>Other</v>
      </c>
      <c r="G3674" t="str" cm="1">
        <f t="array" ref="G3674">SubCategorizeComment(E3674)</f>
        <v>Other</v>
      </c>
    </row>
    <row r="3675" spans="1:7" x14ac:dyDescent="0.25">
      <c r="A3675">
        <v>28682</v>
      </c>
      <c r="B3675" t="s">
        <v>4</v>
      </c>
      <c r="C3675">
        <v>3</v>
      </c>
      <c r="D3675" t="s">
        <v>5</v>
      </c>
      <c r="F3675" t="str" cm="1">
        <f t="array" ref="F3675">CategorizeComment(E3675)</f>
        <v>Other</v>
      </c>
      <c r="G3675" t="str" cm="1">
        <f t="array" ref="G3675">SubCategorizeComment(E3675)</f>
        <v>Other</v>
      </c>
    </row>
    <row r="3676" spans="1:7" x14ac:dyDescent="0.25">
      <c r="A3676">
        <v>28684</v>
      </c>
      <c r="B3676" t="s">
        <v>4</v>
      </c>
      <c r="C3676">
        <v>3</v>
      </c>
      <c r="D3676" t="s">
        <v>5</v>
      </c>
      <c r="F3676" t="str" cm="1">
        <f t="array" ref="F3676">CategorizeComment(E3676)</f>
        <v>Other</v>
      </c>
      <c r="G3676" t="str" cm="1">
        <f t="array" ref="G3676">SubCategorizeComment(E3676)</f>
        <v>Other</v>
      </c>
    </row>
    <row r="3677" spans="1:7" x14ac:dyDescent="0.25">
      <c r="A3677">
        <v>28688</v>
      </c>
      <c r="B3677" t="s">
        <v>4</v>
      </c>
      <c r="C3677">
        <v>3</v>
      </c>
      <c r="D3677" t="s">
        <v>5</v>
      </c>
      <c r="F3677" t="str" cm="1">
        <f t="array" ref="F3677">CategorizeComment(E3677)</f>
        <v>Other</v>
      </c>
      <c r="G3677" t="str" cm="1">
        <f t="array" ref="G3677">SubCategorizeComment(E3677)</f>
        <v>Other</v>
      </c>
    </row>
    <row r="3678" spans="1:7" x14ac:dyDescent="0.25">
      <c r="A3678">
        <v>28704</v>
      </c>
      <c r="B3678" t="s">
        <v>4</v>
      </c>
      <c r="C3678">
        <v>4</v>
      </c>
      <c r="D3678" t="s">
        <v>5</v>
      </c>
      <c r="F3678" t="str" cm="1">
        <f t="array" ref="F3678">CategorizeComment(E3678)</f>
        <v>Other</v>
      </c>
      <c r="G3678" t="str" cm="1">
        <f t="array" ref="G3678">SubCategorizeComment(E3678)</f>
        <v>Other</v>
      </c>
    </row>
    <row r="3679" spans="1:7" x14ac:dyDescent="0.25">
      <c r="A3679">
        <v>28740</v>
      </c>
      <c r="B3679" t="s">
        <v>4</v>
      </c>
      <c r="C3679">
        <v>3</v>
      </c>
      <c r="D3679" t="s">
        <v>5</v>
      </c>
      <c r="F3679" t="str" cm="1">
        <f t="array" ref="F3679">CategorizeComment(E3679)</f>
        <v>Other</v>
      </c>
      <c r="G3679" t="str" cm="1">
        <f t="array" ref="G3679">SubCategorizeComment(E3679)</f>
        <v>Other</v>
      </c>
    </row>
    <row r="3680" spans="1:7" x14ac:dyDescent="0.25">
      <c r="A3680">
        <v>28743</v>
      </c>
      <c r="B3680" t="s">
        <v>4</v>
      </c>
      <c r="C3680">
        <v>4</v>
      </c>
      <c r="D3680" t="s">
        <v>5</v>
      </c>
      <c r="F3680" t="str" cm="1">
        <f t="array" ref="F3680">CategorizeComment(E3680)</f>
        <v>Other</v>
      </c>
      <c r="G3680" t="str" cm="1">
        <f t="array" ref="G3680">SubCategorizeComment(E3680)</f>
        <v>Other</v>
      </c>
    </row>
    <row r="3681" spans="1:7" x14ac:dyDescent="0.25">
      <c r="A3681">
        <v>28786</v>
      </c>
      <c r="B3681" t="s">
        <v>4</v>
      </c>
      <c r="C3681">
        <v>4</v>
      </c>
      <c r="D3681" t="s">
        <v>5</v>
      </c>
      <c r="F3681" t="str" cm="1">
        <f t="array" ref="F3681">CategorizeComment(E3681)</f>
        <v>Other</v>
      </c>
      <c r="G3681" t="str" cm="1">
        <f t="array" ref="G3681">SubCategorizeComment(E3681)</f>
        <v>Other</v>
      </c>
    </row>
    <row r="3682" spans="1:7" x14ac:dyDescent="0.25">
      <c r="A3682">
        <v>28799</v>
      </c>
      <c r="B3682" t="s">
        <v>4</v>
      </c>
      <c r="C3682">
        <v>4</v>
      </c>
      <c r="D3682" t="s">
        <v>5</v>
      </c>
      <c r="F3682" t="str" cm="1">
        <f t="array" ref="F3682">CategorizeComment(E3682)</f>
        <v>Other</v>
      </c>
      <c r="G3682" t="str" cm="1">
        <f t="array" ref="G3682">SubCategorizeComment(E3682)</f>
        <v>Other</v>
      </c>
    </row>
    <row r="3683" spans="1:7" x14ac:dyDescent="0.25">
      <c r="A3683">
        <v>28805</v>
      </c>
      <c r="B3683" t="s">
        <v>4</v>
      </c>
      <c r="C3683">
        <v>3</v>
      </c>
      <c r="D3683" t="s">
        <v>5</v>
      </c>
      <c r="F3683" t="str" cm="1">
        <f t="array" ref="F3683">CategorizeComment(E3683)</f>
        <v>Other</v>
      </c>
      <c r="G3683" t="str" cm="1">
        <f t="array" ref="G3683">SubCategorizeComment(E3683)</f>
        <v>Other</v>
      </c>
    </row>
    <row r="3684" spans="1:7" x14ac:dyDescent="0.25">
      <c r="A3684">
        <v>28815</v>
      </c>
      <c r="B3684" t="s">
        <v>4</v>
      </c>
      <c r="C3684">
        <v>3</v>
      </c>
      <c r="D3684" t="s">
        <v>5</v>
      </c>
      <c r="F3684" t="str" cm="1">
        <f t="array" ref="F3684">CategorizeComment(E3684)</f>
        <v>Other</v>
      </c>
      <c r="G3684" t="str" cm="1">
        <f t="array" ref="G3684">SubCategorizeComment(E3684)</f>
        <v>Other</v>
      </c>
    </row>
    <row r="3685" spans="1:7" x14ac:dyDescent="0.25">
      <c r="A3685">
        <v>28873</v>
      </c>
      <c r="B3685" t="s">
        <v>4</v>
      </c>
      <c r="C3685">
        <v>4</v>
      </c>
      <c r="D3685" t="s">
        <v>5</v>
      </c>
      <c r="F3685" t="str" cm="1">
        <f t="array" ref="F3685">CategorizeComment(E3685)</f>
        <v>Other</v>
      </c>
      <c r="G3685" t="str" cm="1">
        <f t="array" ref="G3685">SubCategorizeComment(E3685)</f>
        <v>Other</v>
      </c>
    </row>
    <row r="3686" spans="1:7" x14ac:dyDescent="0.25">
      <c r="A3686">
        <v>28878</v>
      </c>
      <c r="B3686" t="s">
        <v>4</v>
      </c>
      <c r="C3686">
        <v>3</v>
      </c>
      <c r="D3686" t="s">
        <v>5</v>
      </c>
      <c r="F3686" t="str" cm="1">
        <f t="array" ref="F3686">CategorizeComment(E3686)</f>
        <v>Other</v>
      </c>
      <c r="G3686" t="str" cm="1">
        <f t="array" ref="G3686">SubCategorizeComment(E3686)</f>
        <v>Other</v>
      </c>
    </row>
    <row r="3687" spans="1:7" x14ac:dyDescent="0.25">
      <c r="A3687">
        <v>28880</v>
      </c>
      <c r="B3687" t="s">
        <v>4</v>
      </c>
      <c r="C3687">
        <v>4</v>
      </c>
      <c r="D3687" t="s">
        <v>5</v>
      </c>
      <c r="F3687" t="str" cm="1">
        <f t="array" ref="F3687">CategorizeComment(E3687)</f>
        <v>Other</v>
      </c>
      <c r="G3687" t="str" cm="1">
        <f t="array" ref="G3687">SubCategorizeComment(E3687)</f>
        <v>Other</v>
      </c>
    </row>
    <row r="3688" spans="1:7" x14ac:dyDescent="0.25">
      <c r="A3688">
        <v>28908</v>
      </c>
      <c r="B3688" t="s">
        <v>4</v>
      </c>
      <c r="C3688">
        <v>3</v>
      </c>
      <c r="D3688" t="s">
        <v>5</v>
      </c>
      <c r="F3688" t="str" cm="1">
        <f t="array" ref="F3688">CategorizeComment(E3688)</f>
        <v>Other</v>
      </c>
      <c r="G3688" t="str" cm="1">
        <f t="array" ref="G3688">SubCategorizeComment(E3688)</f>
        <v>Other</v>
      </c>
    </row>
    <row r="3689" spans="1:7" x14ac:dyDescent="0.25">
      <c r="A3689">
        <v>28911</v>
      </c>
      <c r="B3689" t="s">
        <v>4</v>
      </c>
      <c r="C3689">
        <v>4</v>
      </c>
      <c r="D3689" t="s">
        <v>5</v>
      </c>
      <c r="F3689" t="str" cm="1">
        <f t="array" ref="F3689">CategorizeComment(E3689)</f>
        <v>Other</v>
      </c>
      <c r="G3689" t="str" cm="1">
        <f t="array" ref="G3689">SubCategorizeComment(E3689)</f>
        <v>Other</v>
      </c>
    </row>
    <row r="3690" spans="1:7" x14ac:dyDescent="0.25">
      <c r="A3690">
        <v>28921</v>
      </c>
      <c r="B3690" t="s">
        <v>4</v>
      </c>
      <c r="C3690">
        <v>3</v>
      </c>
      <c r="D3690" t="s">
        <v>5</v>
      </c>
      <c r="F3690" t="str" cm="1">
        <f t="array" ref="F3690">CategorizeComment(E3690)</f>
        <v>Other</v>
      </c>
      <c r="G3690" t="str" cm="1">
        <f t="array" ref="G3690">SubCategorizeComment(E3690)</f>
        <v>Other</v>
      </c>
    </row>
    <row r="3691" spans="1:7" x14ac:dyDescent="0.25">
      <c r="A3691">
        <v>28932</v>
      </c>
      <c r="B3691" t="s">
        <v>4</v>
      </c>
      <c r="C3691">
        <v>3</v>
      </c>
      <c r="D3691" t="s">
        <v>5</v>
      </c>
      <c r="F3691" t="str" cm="1">
        <f t="array" ref="F3691">CategorizeComment(E3691)</f>
        <v>Other</v>
      </c>
      <c r="G3691" t="str" cm="1">
        <f t="array" ref="G3691">SubCategorizeComment(E3691)</f>
        <v>Other</v>
      </c>
    </row>
    <row r="3692" spans="1:7" x14ac:dyDescent="0.25">
      <c r="A3692">
        <v>28935</v>
      </c>
      <c r="B3692" t="s">
        <v>4</v>
      </c>
      <c r="C3692">
        <v>3</v>
      </c>
      <c r="D3692" t="s">
        <v>5</v>
      </c>
      <c r="F3692" t="str" cm="1">
        <f t="array" ref="F3692">CategorizeComment(E3692)</f>
        <v>Other</v>
      </c>
      <c r="G3692" t="str" cm="1">
        <f t="array" ref="G3692">SubCategorizeComment(E3692)</f>
        <v>Other</v>
      </c>
    </row>
    <row r="3693" spans="1:7" x14ac:dyDescent="0.25">
      <c r="A3693">
        <v>28946</v>
      </c>
      <c r="B3693" t="s">
        <v>4</v>
      </c>
      <c r="C3693">
        <v>4</v>
      </c>
      <c r="D3693" t="s">
        <v>5</v>
      </c>
      <c r="F3693" t="str" cm="1">
        <f t="array" ref="F3693">CategorizeComment(E3693)</f>
        <v>Other</v>
      </c>
      <c r="G3693" t="str" cm="1">
        <f t="array" ref="G3693">SubCategorizeComment(E3693)</f>
        <v>Other</v>
      </c>
    </row>
    <row r="3694" spans="1:7" x14ac:dyDescent="0.25">
      <c r="A3694">
        <v>28954</v>
      </c>
      <c r="B3694" t="s">
        <v>4</v>
      </c>
      <c r="C3694">
        <v>3</v>
      </c>
      <c r="D3694" t="s">
        <v>5</v>
      </c>
      <c r="F3694" t="str" cm="1">
        <f t="array" ref="F3694">CategorizeComment(E3694)</f>
        <v>Other</v>
      </c>
      <c r="G3694" t="str" cm="1">
        <f t="array" ref="G3694">SubCategorizeComment(E3694)</f>
        <v>Other</v>
      </c>
    </row>
    <row r="3695" spans="1:7" x14ac:dyDescent="0.25">
      <c r="A3695">
        <v>28960</v>
      </c>
      <c r="B3695" t="s">
        <v>4</v>
      </c>
      <c r="C3695">
        <v>4</v>
      </c>
      <c r="D3695" t="s">
        <v>5</v>
      </c>
      <c r="F3695" t="str" cm="1">
        <f t="array" ref="F3695">CategorizeComment(E3695)</f>
        <v>Other</v>
      </c>
      <c r="G3695" t="str" cm="1">
        <f t="array" ref="G3695">SubCategorizeComment(E3695)</f>
        <v>Other</v>
      </c>
    </row>
    <row r="3696" spans="1:7" x14ac:dyDescent="0.25">
      <c r="A3696">
        <v>28965</v>
      </c>
      <c r="B3696" t="s">
        <v>4</v>
      </c>
      <c r="C3696">
        <v>3</v>
      </c>
      <c r="D3696" t="s">
        <v>5</v>
      </c>
      <c r="F3696" t="str" cm="1">
        <f t="array" ref="F3696">CategorizeComment(E3696)</f>
        <v>Other</v>
      </c>
      <c r="G3696" t="str" cm="1">
        <f t="array" ref="G3696">SubCategorizeComment(E3696)</f>
        <v>Other</v>
      </c>
    </row>
    <row r="3697" spans="1:7" x14ac:dyDescent="0.25">
      <c r="A3697">
        <v>28971</v>
      </c>
      <c r="B3697" t="s">
        <v>4</v>
      </c>
      <c r="C3697">
        <v>4</v>
      </c>
      <c r="D3697" t="s">
        <v>5</v>
      </c>
      <c r="F3697" t="str" cm="1">
        <f t="array" ref="F3697">CategorizeComment(E3697)</f>
        <v>Other</v>
      </c>
      <c r="G3697" t="str" cm="1">
        <f t="array" ref="G3697">SubCategorizeComment(E3697)</f>
        <v>Other</v>
      </c>
    </row>
    <row r="3698" spans="1:7" x14ac:dyDescent="0.25">
      <c r="A3698">
        <v>28975</v>
      </c>
      <c r="B3698" t="s">
        <v>4</v>
      </c>
      <c r="C3698">
        <v>3</v>
      </c>
      <c r="D3698" t="s">
        <v>5</v>
      </c>
      <c r="F3698" t="str" cm="1">
        <f t="array" ref="F3698">CategorizeComment(E3698)</f>
        <v>Other</v>
      </c>
      <c r="G3698" t="str" cm="1">
        <f t="array" ref="G3698">SubCategorizeComment(E3698)</f>
        <v>Other</v>
      </c>
    </row>
    <row r="3699" spans="1:7" x14ac:dyDescent="0.25">
      <c r="A3699">
        <v>28982</v>
      </c>
      <c r="B3699" t="s">
        <v>4</v>
      </c>
      <c r="C3699">
        <v>4</v>
      </c>
      <c r="D3699" t="s">
        <v>5</v>
      </c>
      <c r="F3699" t="str" cm="1">
        <f t="array" ref="F3699">CategorizeComment(E3699)</f>
        <v>Other</v>
      </c>
      <c r="G3699" t="str" cm="1">
        <f t="array" ref="G3699">SubCategorizeComment(E3699)</f>
        <v>Other</v>
      </c>
    </row>
    <row r="3700" spans="1:7" x14ac:dyDescent="0.25">
      <c r="A3700">
        <v>28984</v>
      </c>
      <c r="B3700" t="s">
        <v>4</v>
      </c>
      <c r="C3700">
        <v>4</v>
      </c>
      <c r="D3700" t="s">
        <v>5</v>
      </c>
      <c r="F3700" t="str" cm="1">
        <f t="array" ref="F3700">CategorizeComment(E3700)</f>
        <v>Other</v>
      </c>
      <c r="G3700" t="str" cm="1">
        <f t="array" ref="G3700">SubCategorizeComment(E3700)</f>
        <v>Other</v>
      </c>
    </row>
    <row r="3701" spans="1:7" x14ac:dyDescent="0.25">
      <c r="A3701">
        <v>28995</v>
      </c>
      <c r="B3701" t="s">
        <v>4</v>
      </c>
      <c r="C3701">
        <v>4</v>
      </c>
      <c r="D3701" t="s">
        <v>5</v>
      </c>
      <c r="F3701" t="str" cm="1">
        <f t="array" ref="F3701">CategorizeComment(E3701)</f>
        <v>Other</v>
      </c>
      <c r="G3701" t="str" cm="1">
        <f t="array" ref="G3701">SubCategorizeComment(E3701)</f>
        <v>Other</v>
      </c>
    </row>
    <row r="3702" spans="1:7" x14ac:dyDescent="0.25">
      <c r="A3702">
        <v>29001</v>
      </c>
      <c r="B3702" t="s">
        <v>4</v>
      </c>
      <c r="C3702">
        <v>3</v>
      </c>
      <c r="D3702" t="s">
        <v>5</v>
      </c>
      <c r="F3702" t="str" cm="1">
        <f t="array" ref="F3702">CategorizeComment(E3702)</f>
        <v>Other</v>
      </c>
      <c r="G3702" t="str" cm="1">
        <f t="array" ref="G3702">SubCategorizeComment(E3702)</f>
        <v>Other</v>
      </c>
    </row>
    <row r="3703" spans="1:7" x14ac:dyDescent="0.25">
      <c r="A3703">
        <v>29007</v>
      </c>
      <c r="B3703" t="s">
        <v>4</v>
      </c>
      <c r="C3703">
        <v>4</v>
      </c>
      <c r="D3703" t="s">
        <v>5</v>
      </c>
      <c r="F3703" t="str" cm="1">
        <f t="array" ref="F3703">CategorizeComment(E3703)</f>
        <v>Other</v>
      </c>
      <c r="G3703" t="str" cm="1">
        <f t="array" ref="G3703">SubCategorizeComment(E3703)</f>
        <v>Other</v>
      </c>
    </row>
    <row r="3704" spans="1:7" x14ac:dyDescent="0.25">
      <c r="A3704">
        <v>29009</v>
      </c>
      <c r="B3704" t="s">
        <v>4</v>
      </c>
      <c r="C3704">
        <v>3</v>
      </c>
      <c r="D3704" t="s">
        <v>5</v>
      </c>
      <c r="F3704" t="str" cm="1">
        <f t="array" ref="F3704">CategorizeComment(E3704)</f>
        <v>Other</v>
      </c>
      <c r="G3704" t="str" cm="1">
        <f t="array" ref="G3704">SubCategorizeComment(E3704)</f>
        <v>Other</v>
      </c>
    </row>
    <row r="3705" spans="1:7" x14ac:dyDescent="0.25">
      <c r="A3705">
        <v>29013</v>
      </c>
      <c r="B3705" t="s">
        <v>4</v>
      </c>
      <c r="C3705">
        <v>4</v>
      </c>
      <c r="D3705" t="s">
        <v>5</v>
      </c>
      <c r="F3705" t="str" cm="1">
        <f t="array" ref="F3705">CategorizeComment(E3705)</f>
        <v>Other</v>
      </c>
      <c r="G3705" t="str" cm="1">
        <f t="array" ref="G3705">SubCategorizeComment(E3705)</f>
        <v>Other</v>
      </c>
    </row>
    <row r="3706" spans="1:7" x14ac:dyDescent="0.25">
      <c r="A3706">
        <v>29016</v>
      </c>
      <c r="B3706" t="s">
        <v>4</v>
      </c>
      <c r="C3706">
        <v>3</v>
      </c>
      <c r="D3706" t="s">
        <v>5</v>
      </c>
      <c r="F3706" t="str" cm="1">
        <f t="array" ref="F3706">CategorizeComment(E3706)</f>
        <v>Other</v>
      </c>
      <c r="G3706" t="str" cm="1">
        <f t="array" ref="G3706">SubCategorizeComment(E3706)</f>
        <v>Other</v>
      </c>
    </row>
    <row r="3707" spans="1:7" x14ac:dyDescent="0.25">
      <c r="A3707">
        <v>29051</v>
      </c>
      <c r="B3707" t="s">
        <v>4</v>
      </c>
      <c r="C3707">
        <v>4</v>
      </c>
      <c r="D3707" t="s">
        <v>5</v>
      </c>
      <c r="F3707" t="str" cm="1">
        <f t="array" ref="F3707">CategorizeComment(E3707)</f>
        <v>Other</v>
      </c>
      <c r="G3707" t="str" cm="1">
        <f t="array" ref="G3707">SubCategorizeComment(E3707)</f>
        <v>Other</v>
      </c>
    </row>
    <row r="3708" spans="1:7" x14ac:dyDescent="0.25">
      <c r="A3708">
        <v>29060</v>
      </c>
      <c r="B3708" t="s">
        <v>4</v>
      </c>
      <c r="C3708">
        <v>3</v>
      </c>
      <c r="D3708" t="s">
        <v>5</v>
      </c>
      <c r="F3708" t="str" cm="1">
        <f t="array" ref="F3708">CategorizeComment(E3708)</f>
        <v>Other</v>
      </c>
      <c r="G3708" t="str" cm="1">
        <f t="array" ref="G3708">SubCategorizeComment(E3708)</f>
        <v>Other</v>
      </c>
    </row>
    <row r="3709" spans="1:7" x14ac:dyDescent="0.25">
      <c r="A3709">
        <v>29073</v>
      </c>
      <c r="B3709" t="s">
        <v>4</v>
      </c>
      <c r="C3709">
        <v>4</v>
      </c>
      <c r="D3709" t="s">
        <v>5</v>
      </c>
      <c r="F3709" t="str" cm="1">
        <f t="array" ref="F3709">CategorizeComment(E3709)</f>
        <v>Other</v>
      </c>
      <c r="G3709" t="str" cm="1">
        <f t="array" ref="G3709">SubCategorizeComment(E3709)</f>
        <v>Other</v>
      </c>
    </row>
    <row r="3710" spans="1:7" x14ac:dyDescent="0.25">
      <c r="A3710">
        <v>29078</v>
      </c>
      <c r="B3710" t="s">
        <v>4</v>
      </c>
      <c r="C3710">
        <v>3</v>
      </c>
      <c r="D3710" t="s">
        <v>5</v>
      </c>
      <c r="F3710" t="str" cm="1">
        <f t="array" ref="F3710">CategorizeComment(E3710)</f>
        <v>Other</v>
      </c>
      <c r="G3710" t="str" cm="1">
        <f t="array" ref="G3710">SubCategorizeComment(E3710)</f>
        <v>Other</v>
      </c>
    </row>
    <row r="3711" spans="1:7" x14ac:dyDescent="0.25">
      <c r="A3711">
        <v>29079</v>
      </c>
      <c r="B3711" t="s">
        <v>4</v>
      </c>
      <c r="C3711">
        <v>4</v>
      </c>
      <c r="D3711" t="s">
        <v>5</v>
      </c>
      <c r="F3711" t="str" cm="1">
        <f t="array" ref="F3711">CategorizeComment(E3711)</f>
        <v>Other</v>
      </c>
      <c r="G3711" t="str" cm="1">
        <f t="array" ref="G3711">SubCategorizeComment(E3711)</f>
        <v>Other</v>
      </c>
    </row>
    <row r="3712" spans="1:7" x14ac:dyDescent="0.25">
      <c r="A3712">
        <v>29085</v>
      </c>
      <c r="B3712" t="s">
        <v>4</v>
      </c>
      <c r="C3712">
        <v>3</v>
      </c>
      <c r="D3712" t="s">
        <v>5</v>
      </c>
      <c r="F3712" t="str" cm="1">
        <f t="array" ref="F3712">CategorizeComment(E3712)</f>
        <v>Other</v>
      </c>
      <c r="G3712" t="str" cm="1">
        <f t="array" ref="G3712">SubCategorizeComment(E3712)</f>
        <v>Other</v>
      </c>
    </row>
    <row r="3713" spans="1:7" x14ac:dyDescent="0.25">
      <c r="A3713">
        <v>29091</v>
      </c>
      <c r="B3713" t="s">
        <v>4</v>
      </c>
      <c r="C3713">
        <v>3</v>
      </c>
      <c r="D3713" t="s">
        <v>5</v>
      </c>
      <c r="F3713" t="str" cm="1">
        <f t="array" ref="F3713">CategorizeComment(E3713)</f>
        <v>Other</v>
      </c>
      <c r="G3713" t="str" cm="1">
        <f t="array" ref="G3713">SubCategorizeComment(E3713)</f>
        <v>Other</v>
      </c>
    </row>
    <row r="3714" spans="1:7" x14ac:dyDescent="0.25">
      <c r="A3714">
        <v>29093</v>
      </c>
      <c r="B3714" t="s">
        <v>4</v>
      </c>
      <c r="C3714">
        <v>3</v>
      </c>
      <c r="D3714" t="s">
        <v>5</v>
      </c>
      <c r="F3714" t="str" cm="1">
        <f t="array" ref="F3714">CategorizeComment(E3714)</f>
        <v>Other</v>
      </c>
      <c r="G3714" t="str" cm="1">
        <f t="array" ref="G3714">SubCategorizeComment(E3714)</f>
        <v>Other</v>
      </c>
    </row>
    <row r="3715" spans="1:7" x14ac:dyDescent="0.25">
      <c r="A3715">
        <v>29106</v>
      </c>
      <c r="B3715" t="s">
        <v>4</v>
      </c>
      <c r="C3715">
        <v>3</v>
      </c>
      <c r="D3715" t="s">
        <v>5</v>
      </c>
      <c r="F3715" t="str" cm="1">
        <f t="array" ref="F3715">CategorizeComment(E3715)</f>
        <v>Other</v>
      </c>
      <c r="G3715" t="str" cm="1">
        <f t="array" ref="G3715">SubCategorizeComment(E3715)</f>
        <v>Other</v>
      </c>
    </row>
    <row r="3716" spans="1:7" x14ac:dyDescent="0.25">
      <c r="A3716">
        <v>29119</v>
      </c>
      <c r="B3716" t="s">
        <v>4</v>
      </c>
      <c r="C3716">
        <v>3</v>
      </c>
      <c r="D3716" t="s">
        <v>5</v>
      </c>
      <c r="F3716" t="str" cm="1">
        <f t="array" ref="F3716">CategorizeComment(E3716)</f>
        <v>Other</v>
      </c>
      <c r="G3716" t="str" cm="1">
        <f t="array" ref="G3716">SubCategorizeComment(E3716)</f>
        <v>Other</v>
      </c>
    </row>
    <row r="3717" spans="1:7" x14ac:dyDescent="0.25">
      <c r="A3717">
        <v>29127</v>
      </c>
      <c r="B3717" t="s">
        <v>4</v>
      </c>
      <c r="C3717">
        <v>4</v>
      </c>
      <c r="D3717" t="s">
        <v>5</v>
      </c>
      <c r="F3717" t="str" cm="1">
        <f t="array" ref="F3717">CategorizeComment(E3717)</f>
        <v>Other</v>
      </c>
      <c r="G3717" t="str" cm="1">
        <f t="array" ref="G3717">SubCategorizeComment(E3717)</f>
        <v>Other</v>
      </c>
    </row>
    <row r="3718" spans="1:7" x14ac:dyDescent="0.25">
      <c r="A3718">
        <v>29142</v>
      </c>
      <c r="B3718" t="s">
        <v>4</v>
      </c>
      <c r="C3718">
        <v>4</v>
      </c>
      <c r="D3718" t="s">
        <v>5</v>
      </c>
      <c r="F3718" t="str" cm="1">
        <f t="array" ref="F3718">CategorizeComment(E3718)</f>
        <v>Other</v>
      </c>
      <c r="G3718" t="str" cm="1">
        <f t="array" ref="G3718">SubCategorizeComment(E3718)</f>
        <v>Other</v>
      </c>
    </row>
    <row r="3719" spans="1:7" x14ac:dyDescent="0.25">
      <c r="A3719">
        <v>29160</v>
      </c>
      <c r="B3719" t="s">
        <v>4</v>
      </c>
      <c r="C3719">
        <v>4</v>
      </c>
      <c r="D3719" t="s">
        <v>5</v>
      </c>
      <c r="F3719" t="str" cm="1">
        <f t="array" ref="F3719">CategorizeComment(E3719)</f>
        <v>Other</v>
      </c>
      <c r="G3719" t="str" cm="1">
        <f t="array" ref="G3719">SubCategorizeComment(E3719)</f>
        <v>Other</v>
      </c>
    </row>
    <row r="3720" spans="1:7" x14ac:dyDescent="0.25">
      <c r="A3720">
        <v>29164</v>
      </c>
      <c r="B3720" t="s">
        <v>4</v>
      </c>
      <c r="C3720">
        <v>3</v>
      </c>
      <c r="D3720" t="s">
        <v>5</v>
      </c>
      <c r="F3720" t="str" cm="1">
        <f t="array" ref="F3720">CategorizeComment(E3720)</f>
        <v>Other</v>
      </c>
      <c r="G3720" t="str" cm="1">
        <f t="array" ref="G3720">SubCategorizeComment(E3720)</f>
        <v>Other</v>
      </c>
    </row>
    <row r="3721" spans="1:7" x14ac:dyDescent="0.25">
      <c r="A3721">
        <v>29168</v>
      </c>
      <c r="B3721" t="s">
        <v>4</v>
      </c>
      <c r="C3721">
        <v>3</v>
      </c>
      <c r="D3721" t="s">
        <v>5</v>
      </c>
      <c r="F3721" t="str" cm="1">
        <f t="array" ref="F3721">CategorizeComment(E3721)</f>
        <v>Other</v>
      </c>
      <c r="G3721" t="str" cm="1">
        <f t="array" ref="G3721">SubCategorizeComment(E3721)</f>
        <v>Other</v>
      </c>
    </row>
    <row r="3722" spans="1:7" x14ac:dyDescent="0.25">
      <c r="A3722">
        <v>29171</v>
      </c>
      <c r="B3722" t="s">
        <v>4</v>
      </c>
      <c r="C3722">
        <v>3</v>
      </c>
      <c r="D3722" t="s">
        <v>5</v>
      </c>
      <c r="F3722" t="str" cm="1">
        <f t="array" ref="F3722">CategorizeComment(E3722)</f>
        <v>Other</v>
      </c>
      <c r="G3722" t="str" cm="1">
        <f t="array" ref="G3722">SubCategorizeComment(E3722)</f>
        <v>Other</v>
      </c>
    </row>
    <row r="3723" spans="1:7" x14ac:dyDescent="0.25">
      <c r="A3723">
        <v>29200</v>
      </c>
      <c r="B3723" t="s">
        <v>4</v>
      </c>
      <c r="C3723">
        <v>3</v>
      </c>
      <c r="D3723" t="s">
        <v>5</v>
      </c>
      <c r="F3723" t="str" cm="1">
        <f t="array" ref="F3723">CategorizeComment(E3723)</f>
        <v>Other</v>
      </c>
      <c r="G3723" t="str" cm="1">
        <f t="array" ref="G3723">SubCategorizeComment(E3723)</f>
        <v>Other</v>
      </c>
    </row>
    <row r="3724" spans="1:7" x14ac:dyDescent="0.25">
      <c r="A3724">
        <v>29201</v>
      </c>
      <c r="B3724" t="s">
        <v>4</v>
      </c>
      <c r="C3724">
        <v>3</v>
      </c>
      <c r="D3724" t="s">
        <v>5</v>
      </c>
      <c r="F3724" t="str" cm="1">
        <f t="array" ref="F3724">CategorizeComment(E3724)</f>
        <v>Other</v>
      </c>
      <c r="G3724" t="str" cm="1">
        <f t="array" ref="G3724">SubCategorizeComment(E3724)</f>
        <v>Other</v>
      </c>
    </row>
    <row r="3725" spans="1:7" x14ac:dyDescent="0.25">
      <c r="A3725">
        <v>29209</v>
      </c>
      <c r="B3725" t="s">
        <v>4</v>
      </c>
      <c r="C3725">
        <v>3</v>
      </c>
      <c r="D3725" t="s">
        <v>5</v>
      </c>
      <c r="F3725" t="str" cm="1">
        <f t="array" ref="F3725">CategorizeComment(E3725)</f>
        <v>Other</v>
      </c>
      <c r="G3725" t="str" cm="1">
        <f t="array" ref="G3725">SubCategorizeComment(E3725)</f>
        <v>Other</v>
      </c>
    </row>
    <row r="3726" spans="1:7" x14ac:dyDescent="0.25">
      <c r="A3726">
        <v>29229</v>
      </c>
      <c r="B3726" t="s">
        <v>4</v>
      </c>
      <c r="C3726">
        <v>4</v>
      </c>
      <c r="D3726" t="s">
        <v>5</v>
      </c>
      <c r="F3726" t="str" cm="1">
        <f t="array" ref="F3726">CategorizeComment(E3726)</f>
        <v>Other</v>
      </c>
      <c r="G3726" t="str" cm="1">
        <f t="array" ref="G3726">SubCategorizeComment(E3726)</f>
        <v>Other</v>
      </c>
    </row>
    <row r="3727" spans="1:7" x14ac:dyDescent="0.25">
      <c r="A3727">
        <v>29233</v>
      </c>
      <c r="B3727" t="s">
        <v>4</v>
      </c>
      <c r="C3727">
        <v>4</v>
      </c>
      <c r="D3727" t="s">
        <v>5</v>
      </c>
      <c r="F3727" t="str" cm="1">
        <f t="array" ref="F3727">CategorizeComment(E3727)</f>
        <v>Other</v>
      </c>
      <c r="G3727" t="str" cm="1">
        <f t="array" ref="G3727">SubCategorizeComment(E3727)</f>
        <v>Other</v>
      </c>
    </row>
    <row r="3728" spans="1:7" x14ac:dyDescent="0.25">
      <c r="A3728">
        <v>29244</v>
      </c>
      <c r="B3728" t="s">
        <v>4</v>
      </c>
      <c r="C3728">
        <v>4</v>
      </c>
      <c r="D3728" t="s">
        <v>5</v>
      </c>
      <c r="F3728" t="str" cm="1">
        <f t="array" ref="F3728">CategorizeComment(E3728)</f>
        <v>Other</v>
      </c>
      <c r="G3728" t="str" cm="1">
        <f t="array" ref="G3728">SubCategorizeComment(E3728)</f>
        <v>Other</v>
      </c>
    </row>
    <row r="3729" spans="1:7" x14ac:dyDescent="0.25">
      <c r="A3729">
        <v>29249</v>
      </c>
      <c r="B3729" t="s">
        <v>4</v>
      </c>
      <c r="C3729">
        <v>4</v>
      </c>
      <c r="D3729" t="s">
        <v>5</v>
      </c>
      <c r="F3729" t="str" cm="1">
        <f t="array" ref="F3729">CategorizeComment(E3729)</f>
        <v>Other</v>
      </c>
      <c r="G3729" t="str" cm="1">
        <f t="array" ref="G3729">SubCategorizeComment(E3729)</f>
        <v>Other</v>
      </c>
    </row>
    <row r="3730" spans="1:7" x14ac:dyDescent="0.25">
      <c r="A3730">
        <v>29254</v>
      </c>
      <c r="B3730" t="s">
        <v>4</v>
      </c>
      <c r="C3730">
        <v>3</v>
      </c>
      <c r="D3730" t="s">
        <v>5</v>
      </c>
      <c r="F3730" t="str" cm="1">
        <f t="array" ref="F3730">CategorizeComment(E3730)</f>
        <v>Other</v>
      </c>
      <c r="G3730" t="str" cm="1">
        <f t="array" ref="G3730">SubCategorizeComment(E3730)</f>
        <v>Other</v>
      </c>
    </row>
    <row r="3731" spans="1:7" x14ac:dyDescent="0.25">
      <c r="A3731">
        <v>29266</v>
      </c>
      <c r="B3731" t="s">
        <v>4</v>
      </c>
      <c r="C3731">
        <v>3</v>
      </c>
      <c r="D3731" t="s">
        <v>5</v>
      </c>
      <c r="F3731" t="str" cm="1">
        <f t="array" ref="F3731">CategorizeComment(E3731)</f>
        <v>Other</v>
      </c>
      <c r="G3731" t="str" cm="1">
        <f t="array" ref="G3731">SubCategorizeComment(E3731)</f>
        <v>Other</v>
      </c>
    </row>
    <row r="3732" spans="1:7" x14ac:dyDescent="0.25">
      <c r="A3732">
        <v>29270</v>
      </c>
      <c r="B3732" t="s">
        <v>4</v>
      </c>
      <c r="C3732">
        <v>3</v>
      </c>
      <c r="D3732" t="s">
        <v>5</v>
      </c>
      <c r="F3732" t="str" cm="1">
        <f t="array" ref="F3732">CategorizeComment(E3732)</f>
        <v>Other</v>
      </c>
      <c r="G3732" t="str" cm="1">
        <f t="array" ref="G3732">SubCategorizeComment(E3732)</f>
        <v>Other</v>
      </c>
    </row>
    <row r="3733" spans="1:7" x14ac:dyDescent="0.25">
      <c r="A3733">
        <v>29272</v>
      </c>
      <c r="B3733" t="s">
        <v>4</v>
      </c>
      <c r="C3733">
        <v>3</v>
      </c>
      <c r="D3733" t="s">
        <v>5</v>
      </c>
      <c r="F3733" t="str" cm="1">
        <f t="array" ref="F3733">CategorizeComment(E3733)</f>
        <v>Other</v>
      </c>
      <c r="G3733" t="str" cm="1">
        <f t="array" ref="G3733">SubCategorizeComment(E3733)</f>
        <v>Other</v>
      </c>
    </row>
    <row r="3734" spans="1:7" x14ac:dyDescent="0.25">
      <c r="A3734">
        <v>29278</v>
      </c>
      <c r="B3734" t="s">
        <v>4</v>
      </c>
      <c r="C3734">
        <v>3</v>
      </c>
      <c r="D3734" t="s">
        <v>5</v>
      </c>
      <c r="F3734" t="str" cm="1">
        <f t="array" ref="F3734">CategorizeComment(E3734)</f>
        <v>Other</v>
      </c>
      <c r="G3734" t="str" cm="1">
        <f t="array" ref="G3734">SubCategorizeComment(E3734)</f>
        <v>Other</v>
      </c>
    </row>
    <row r="3735" spans="1:7" x14ac:dyDescent="0.25">
      <c r="A3735">
        <v>29280</v>
      </c>
      <c r="B3735" t="s">
        <v>4</v>
      </c>
      <c r="C3735">
        <v>4</v>
      </c>
      <c r="D3735" t="s">
        <v>5</v>
      </c>
      <c r="F3735" t="str" cm="1">
        <f t="array" ref="F3735">CategorizeComment(E3735)</f>
        <v>Other</v>
      </c>
      <c r="G3735" t="str" cm="1">
        <f t="array" ref="G3735">SubCategorizeComment(E3735)</f>
        <v>Other</v>
      </c>
    </row>
    <row r="3736" spans="1:7" x14ac:dyDescent="0.25">
      <c r="A3736">
        <v>29286</v>
      </c>
      <c r="B3736" t="s">
        <v>4</v>
      </c>
      <c r="C3736">
        <v>3</v>
      </c>
      <c r="D3736" t="s">
        <v>5</v>
      </c>
      <c r="F3736" t="str" cm="1">
        <f t="array" ref="F3736">CategorizeComment(E3736)</f>
        <v>Other</v>
      </c>
      <c r="G3736" t="str" cm="1">
        <f t="array" ref="G3736">SubCategorizeComment(E3736)</f>
        <v>Other</v>
      </c>
    </row>
    <row r="3737" spans="1:7" x14ac:dyDescent="0.25">
      <c r="A3737">
        <v>29289</v>
      </c>
      <c r="B3737" t="s">
        <v>4</v>
      </c>
      <c r="C3737">
        <v>4</v>
      </c>
      <c r="D3737" t="s">
        <v>5</v>
      </c>
      <c r="F3737" t="str" cm="1">
        <f t="array" ref="F3737">CategorizeComment(E3737)</f>
        <v>Other</v>
      </c>
      <c r="G3737" t="str" cm="1">
        <f t="array" ref="G3737">SubCategorizeComment(E3737)</f>
        <v>Other</v>
      </c>
    </row>
    <row r="3738" spans="1:7" x14ac:dyDescent="0.25">
      <c r="A3738">
        <v>29291</v>
      </c>
      <c r="B3738" t="s">
        <v>4</v>
      </c>
      <c r="C3738">
        <v>4</v>
      </c>
      <c r="D3738" t="s">
        <v>5</v>
      </c>
      <c r="F3738" t="str" cm="1">
        <f t="array" ref="F3738">CategorizeComment(E3738)</f>
        <v>Other</v>
      </c>
      <c r="G3738" t="str" cm="1">
        <f t="array" ref="G3738">SubCategorizeComment(E3738)</f>
        <v>Other</v>
      </c>
    </row>
    <row r="3739" spans="1:7" x14ac:dyDescent="0.25">
      <c r="A3739">
        <v>29294</v>
      </c>
      <c r="B3739" t="s">
        <v>4</v>
      </c>
      <c r="C3739">
        <v>4</v>
      </c>
      <c r="D3739" t="s">
        <v>5</v>
      </c>
      <c r="F3739" t="str" cm="1">
        <f t="array" ref="F3739">CategorizeComment(E3739)</f>
        <v>Other</v>
      </c>
      <c r="G3739" t="str" cm="1">
        <f t="array" ref="G3739">SubCategorizeComment(E3739)</f>
        <v>Other</v>
      </c>
    </row>
    <row r="3740" spans="1:7" x14ac:dyDescent="0.25">
      <c r="A3740">
        <v>29296</v>
      </c>
      <c r="B3740" t="s">
        <v>4</v>
      </c>
      <c r="C3740">
        <v>3</v>
      </c>
      <c r="D3740" t="s">
        <v>5</v>
      </c>
      <c r="F3740" t="str" cm="1">
        <f t="array" ref="F3740">CategorizeComment(E3740)</f>
        <v>Other</v>
      </c>
      <c r="G3740" t="str" cm="1">
        <f t="array" ref="G3740">SubCategorizeComment(E3740)</f>
        <v>Other</v>
      </c>
    </row>
    <row r="3741" spans="1:7" x14ac:dyDescent="0.25">
      <c r="A3741">
        <v>29309</v>
      </c>
      <c r="B3741" t="s">
        <v>4</v>
      </c>
      <c r="C3741">
        <v>3</v>
      </c>
      <c r="D3741" t="s">
        <v>5</v>
      </c>
      <c r="F3741" t="str" cm="1">
        <f t="array" ref="F3741">CategorizeComment(E3741)</f>
        <v>Other</v>
      </c>
      <c r="G3741" t="str" cm="1">
        <f t="array" ref="G3741">SubCategorizeComment(E3741)</f>
        <v>Other</v>
      </c>
    </row>
    <row r="3742" spans="1:7" x14ac:dyDescent="0.25">
      <c r="A3742">
        <v>29320</v>
      </c>
      <c r="B3742" t="s">
        <v>4</v>
      </c>
      <c r="C3742">
        <v>3</v>
      </c>
      <c r="D3742" t="s">
        <v>5</v>
      </c>
      <c r="F3742" t="str" cm="1">
        <f t="array" ref="F3742">CategorizeComment(E3742)</f>
        <v>Other</v>
      </c>
      <c r="G3742" t="str" cm="1">
        <f t="array" ref="G3742">SubCategorizeComment(E3742)</f>
        <v>Other</v>
      </c>
    </row>
    <row r="3743" spans="1:7" x14ac:dyDescent="0.25">
      <c r="A3743">
        <v>29323</v>
      </c>
      <c r="B3743" t="s">
        <v>4</v>
      </c>
      <c r="C3743">
        <v>4</v>
      </c>
      <c r="D3743" t="s">
        <v>5</v>
      </c>
      <c r="F3743" t="str" cm="1">
        <f t="array" ref="F3743">CategorizeComment(E3743)</f>
        <v>Other</v>
      </c>
      <c r="G3743" t="str" cm="1">
        <f t="array" ref="G3743">SubCategorizeComment(E3743)</f>
        <v>Other</v>
      </c>
    </row>
    <row r="3744" spans="1:7" x14ac:dyDescent="0.25">
      <c r="A3744">
        <v>29350</v>
      </c>
      <c r="B3744" t="s">
        <v>4</v>
      </c>
      <c r="C3744">
        <v>4</v>
      </c>
      <c r="D3744" t="s">
        <v>5</v>
      </c>
      <c r="F3744" t="str" cm="1">
        <f t="array" ref="F3744">CategorizeComment(E3744)</f>
        <v>Other</v>
      </c>
      <c r="G3744" t="str" cm="1">
        <f t="array" ref="G3744">SubCategorizeComment(E3744)</f>
        <v>Other</v>
      </c>
    </row>
    <row r="3745" spans="1:7" x14ac:dyDescent="0.25">
      <c r="A3745">
        <v>29352</v>
      </c>
      <c r="B3745" t="s">
        <v>4</v>
      </c>
      <c r="C3745">
        <v>3</v>
      </c>
      <c r="D3745" t="s">
        <v>5</v>
      </c>
      <c r="F3745" t="str" cm="1">
        <f t="array" ref="F3745">CategorizeComment(E3745)</f>
        <v>Other</v>
      </c>
      <c r="G3745" t="str" cm="1">
        <f t="array" ref="G3745">SubCategorizeComment(E3745)</f>
        <v>Other</v>
      </c>
    </row>
    <row r="3746" spans="1:7" x14ac:dyDescent="0.25">
      <c r="A3746">
        <v>29375</v>
      </c>
      <c r="B3746" t="s">
        <v>4</v>
      </c>
      <c r="C3746">
        <v>4</v>
      </c>
      <c r="D3746" t="s">
        <v>5</v>
      </c>
      <c r="F3746" t="str" cm="1">
        <f t="array" ref="F3746">CategorizeComment(E3746)</f>
        <v>Other</v>
      </c>
      <c r="G3746" t="str" cm="1">
        <f t="array" ref="G3746">SubCategorizeComment(E3746)</f>
        <v>Other</v>
      </c>
    </row>
    <row r="3747" spans="1:7" x14ac:dyDescent="0.25">
      <c r="A3747">
        <v>29383</v>
      </c>
      <c r="B3747" t="s">
        <v>4</v>
      </c>
      <c r="C3747">
        <v>4</v>
      </c>
      <c r="D3747" t="s">
        <v>5</v>
      </c>
      <c r="F3747" t="str" cm="1">
        <f t="array" ref="F3747">CategorizeComment(E3747)</f>
        <v>Other</v>
      </c>
      <c r="G3747" t="str" cm="1">
        <f t="array" ref="G3747">SubCategorizeComment(E3747)</f>
        <v>Other</v>
      </c>
    </row>
    <row r="3748" spans="1:7" x14ac:dyDescent="0.25">
      <c r="A3748">
        <v>29396</v>
      </c>
      <c r="B3748" t="s">
        <v>4</v>
      </c>
      <c r="C3748">
        <v>4</v>
      </c>
      <c r="D3748" t="s">
        <v>5</v>
      </c>
      <c r="F3748" t="str" cm="1">
        <f t="array" ref="F3748">CategorizeComment(E3748)</f>
        <v>Other</v>
      </c>
      <c r="G3748" t="str" cm="1">
        <f t="array" ref="G3748">SubCategorizeComment(E3748)</f>
        <v>Other</v>
      </c>
    </row>
    <row r="3749" spans="1:7" x14ac:dyDescent="0.25">
      <c r="A3749">
        <v>29398</v>
      </c>
      <c r="B3749" t="s">
        <v>4</v>
      </c>
      <c r="C3749">
        <v>4</v>
      </c>
      <c r="D3749" t="s">
        <v>5</v>
      </c>
      <c r="F3749" t="str" cm="1">
        <f t="array" ref="F3749">CategorizeComment(E3749)</f>
        <v>Other</v>
      </c>
      <c r="G3749" t="str" cm="1">
        <f t="array" ref="G3749">SubCategorizeComment(E3749)</f>
        <v>Other</v>
      </c>
    </row>
    <row r="3750" spans="1:7" x14ac:dyDescent="0.25">
      <c r="A3750">
        <v>29400</v>
      </c>
      <c r="B3750" t="s">
        <v>4</v>
      </c>
      <c r="C3750">
        <v>4</v>
      </c>
      <c r="D3750" t="s">
        <v>5</v>
      </c>
      <c r="F3750" t="str" cm="1">
        <f t="array" ref="F3750">CategorizeComment(E3750)</f>
        <v>Other</v>
      </c>
      <c r="G3750" t="str" cm="1">
        <f t="array" ref="G3750">SubCategorizeComment(E3750)</f>
        <v>Other</v>
      </c>
    </row>
    <row r="3751" spans="1:7" x14ac:dyDescent="0.25">
      <c r="A3751">
        <v>29401</v>
      </c>
      <c r="B3751" t="s">
        <v>4</v>
      </c>
      <c r="C3751">
        <v>3</v>
      </c>
      <c r="D3751" t="s">
        <v>5</v>
      </c>
      <c r="F3751" t="str" cm="1">
        <f t="array" ref="F3751">CategorizeComment(E3751)</f>
        <v>Other</v>
      </c>
      <c r="G3751" t="str" cm="1">
        <f t="array" ref="G3751">SubCategorizeComment(E3751)</f>
        <v>Other</v>
      </c>
    </row>
    <row r="3752" spans="1:7" x14ac:dyDescent="0.25">
      <c r="A3752">
        <v>29442</v>
      </c>
      <c r="B3752" t="s">
        <v>4</v>
      </c>
      <c r="C3752">
        <v>3</v>
      </c>
      <c r="D3752" t="s">
        <v>5</v>
      </c>
      <c r="F3752" t="str" cm="1">
        <f t="array" ref="F3752">CategorizeComment(E3752)</f>
        <v>Other</v>
      </c>
      <c r="G3752" t="str" cm="1">
        <f t="array" ref="G3752">SubCategorizeComment(E3752)</f>
        <v>Other</v>
      </c>
    </row>
    <row r="3753" spans="1:7" x14ac:dyDescent="0.25">
      <c r="A3753">
        <v>29448</v>
      </c>
      <c r="B3753" t="s">
        <v>4</v>
      </c>
      <c r="C3753">
        <v>3</v>
      </c>
      <c r="D3753" t="s">
        <v>5</v>
      </c>
      <c r="F3753" t="str" cm="1">
        <f t="array" ref="F3753">CategorizeComment(E3753)</f>
        <v>Other</v>
      </c>
      <c r="G3753" t="str" cm="1">
        <f t="array" ref="G3753">SubCategorizeComment(E3753)</f>
        <v>Other</v>
      </c>
    </row>
    <row r="3754" spans="1:7" x14ac:dyDescent="0.25">
      <c r="A3754">
        <v>29461</v>
      </c>
      <c r="B3754" t="s">
        <v>4</v>
      </c>
      <c r="C3754">
        <v>3</v>
      </c>
      <c r="D3754" t="s">
        <v>5</v>
      </c>
      <c r="F3754" t="str" cm="1">
        <f t="array" ref="F3754">CategorizeComment(E3754)</f>
        <v>Other</v>
      </c>
      <c r="G3754" t="str" cm="1">
        <f t="array" ref="G3754">SubCategorizeComment(E3754)</f>
        <v>Other</v>
      </c>
    </row>
    <row r="3755" spans="1:7" x14ac:dyDescent="0.25">
      <c r="A3755">
        <v>29483</v>
      </c>
      <c r="B3755" t="s">
        <v>4</v>
      </c>
      <c r="C3755">
        <v>3</v>
      </c>
      <c r="D3755" t="s">
        <v>5</v>
      </c>
      <c r="F3755" t="str" cm="1">
        <f t="array" ref="F3755">CategorizeComment(E3755)</f>
        <v>Other</v>
      </c>
      <c r="G3755" t="str" cm="1">
        <f t="array" ref="G3755">SubCategorizeComment(E3755)</f>
        <v>Other</v>
      </c>
    </row>
    <row r="3756" spans="1:7" x14ac:dyDescent="0.25">
      <c r="A3756">
        <v>29484</v>
      </c>
      <c r="B3756" t="s">
        <v>4</v>
      </c>
      <c r="C3756">
        <v>4</v>
      </c>
      <c r="D3756" t="s">
        <v>5</v>
      </c>
      <c r="F3756" t="str" cm="1">
        <f t="array" ref="F3756">CategorizeComment(E3756)</f>
        <v>Other</v>
      </c>
      <c r="G3756" t="str" cm="1">
        <f t="array" ref="G3756">SubCategorizeComment(E3756)</f>
        <v>Other</v>
      </c>
    </row>
    <row r="3757" spans="1:7" x14ac:dyDescent="0.25">
      <c r="A3757">
        <v>29487</v>
      </c>
      <c r="B3757" t="s">
        <v>4</v>
      </c>
      <c r="C3757">
        <v>3</v>
      </c>
      <c r="D3757" t="s">
        <v>5</v>
      </c>
      <c r="F3757" t="str" cm="1">
        <f t="array" ref="F3757">CategorizeComment(E3757)</f>
        <v>Other</v>
      </c>
      <c r="G3757" t="str" cm="1">
        <f t="array" ref="G3757">SubCategorizeComment(E3757)</f>
        <v>Other</v>
      </c>
    </row>
    <row r="3758" spans="1:7" x14ac:dyDescent="0.25">
      <c r="A3758">
        <v>29488</v>
      </c>
      <c r="B3758" t="s">
        <v>4</v>
      </c>
      <c r="C3758">
        <v>4</v>
      </c>
      <c r="D3758" t="s">
        <v>5</v>
      </c>
      <c r="F3758" t="str" cm="1">
        <f t="array" ref="F3758">CategorizeComment(E3758)</f>
        <v>Other</v>
      </c>
      <c r="G3758" t="str" cm="1">
        <f t="array" ref="G3758">SubCategorizeComment(E3758)</f>
        <v>Other</v>
      </c>
    </row>
    <row r="3759" spans="1:7" x14ac:dyDescent="0.25">
      <c r="A3759">
        <v>29491</v>
      </c>
      <c r="B3759" t="s">
        <v>4</v>
      </c>
      <c r="C3759">
        <v>3</v>
      </c>
      <c r="D3759" t="s">
        <v>5</v>
      </c>
      <c r="F3759" t="str" cm="1">
        <f t="array" ref="F3759">CategorizeComment(E3759)</f>
        <v>Other</v>
      </c>
      <c r="G3759" t="str" cm="1">
        <f t="array" ref="G3759">SubCategorizeComment(E3759)</f>
        <v>Other</v>
      </c>
    </row>
    <row r="3760" spans="1:7" x14ac:dyDescent="0.25">
      <c r="A3760">
        <v>29494</v>
      </c>
      <c r="B3760" t="s">
        <v>4</v>
      </c>
      <c r="C3760">
        <v>3</v>
      </c>
      <c r="D3760" t="s">
        <v>5</v>
      </c>
      <c r="F3760" t="str" cm="1">
        <f t="array" ref="F3760">CategorizeComment(E3760)</f>
        <v>Other</v>
      </c>
      <c r="G3760" t="str" cm="1">
        <f t="array" ref="G3760">SubCategorizeComment(E3760)</f>
        <v>Other</v>
      </c>
    </row>
    <row r="3761" spans="1:7" x14ac:dyDescent="0.25">
      <c r="A3761">
        <v>29522</v>
      </c>
      <c r="B3761" t="s">
        <v>4</v>
      </c>
      <c r="C3761">
        <v>3</v>
      </c>
      <c r="D3761" t="s">
        <v>5</v>
      </c>
      <c r="F3761" t="str" cm="1">
        <f t="array" ref="F3761">CategorizeComment(E3761)</f>
        <v>Other</v>
      </c>
      <c r="G3761" t="str" cm="1">
        <f t="array" ref="G3761">SubCategorizeComment(E3761)</f>
        <v>Other</v>
      </c>
    </row>
    <row r="3762" spans="1:7" x14ac:dyDescent="0.25">
      <c r="A3762">
        <v>29523</v>
      </c>
      <c r="B3762" t="s">
        <v>4</v>
      </c>
      <c r="C3762">
        <v>4</v>
      </c>
      <c r="D3762" t="s">
        <v>5</v>
      </c>
      <c r="F3762" t="str" cm="1">
        <f t="array" ref="F3762">CategorizeComment(E3762)</f>
        <v>Other</v>
      </c>
      <c r="G3762" t="str" cm="1">
        <f t="array" ref="G3762">SubCategorizeComment(E3762)</f>
        <v>Other</v>
      </c>
    </row>
    <row r="3763" spans="1:7" x14ac:dyDescent="0.25">
      <c r="A3763">
        <v>29525</v>
      </c>
      <c r="B3763" t="s">
        <v>4</v>
      </c>
      <c r="C3763">
        <v>4</v>
      </c>
      <c r="D3763" t="s">
        <v>5</v>
      </c>
      <c r="F3763" t="str" cm="1">
        <f t="array" ref="F3763">CategorizeComment(E3763)</f>
        <v>Other</v>
      </c>
      <c r="G3763" t="str" cm="1">
        <f t="array" ref="G3763">SubCategorizeComment(E3763)</f>
        <v>Other</v>
      </c>
    </row>
    <row r="3764" spans="1:7" x14ac:dyDescent="0.25">
      <c r="A3764">
        <v>29535</v>
      </c>
      <c r="B3764" t="s">
        <v>4</v>
      </c>
      <c r="C3764">
        <v>3</v>
      </c>
      <c r="D3764" t="s">
        <v>5</v>
      </c>
      <c r="F3764" t="str" cm="1">
        <f t="array" ref="F3764">CategorizeComment(E3764)</f>
        <v>Other</v>
      </c>
      <c r="G3764" t="str" cm="1">
        <f t="array" ref="G3764">SubCategorizeComment(E3764)</f>
        <v>Other</v>
      </c>
    </row>
    <row r="3765" spans="1:7" x14ac:dyDescent="0.25">
      <c r="A3765">
        <v>29594</v>
      </c>
      <c r="B3765" t="s">
        <v>4</v>
      </c>
      <c r="C3765">
        <v>3</v>
      </c>
      <c r="D3765" t="s">
        <v>5</v>
      </c>
      <c r="F3765" t="str" cm="1">
        <f t="array" ref="F3765">CategorizeComment(E3765)</f>
        <v>Other</v>
      </c>
      <c r="G3765" t="str" cm="1">
        <f t="array" ref="G3765">SubCategorizeComment(E3765)</f>
        <v>Other</v>
      </c>
    </row>
    <row r="3766" spans="1:7" x14ac:dyDescent="0.25">
      <c r="A3766">
        <v>29599</v>
      </c>
      <c r="B3766" t="s">
        <v>4</v>
      </c>
      <c r="C3766">
        <v>4</v>
      </c>
      <c r="D3766" t="s">
        <v>5</v>
      </c>
      <c r="F3766" t="str" cm="1">
        <f t="array" ref="F3766">CategorizeComment(E3766)</f>
        <v>Other</v>
      </c>
      <c r="G3766" t="str" cm="1">
        <f t="array" ref="G3766">SubCategorizeComment(E3766)</f>
        <v>Other</v>
      </c>
    </row>
    <row r="3767" spans="1:7" x14ac:dyDescent="0.25">
      <c r="A3767">
        <v>29601</v>
      </c>
      <c r="B3767" t="s">
        <v>4</v>
      </c>
      <c r="C3767">
        <v>4</v>
      </c>
      <c r="D3767" t="s">
        <v>5</v>
      </c>
      <c r="F3767" t="str" cm="1">
        <f t="array" ref="F3767">CategorizeComment(E3767)</f>
        <v>Other</v>
      </c>
      <c r="G3767" t="str" cm="1">
        <f t="array" ref="G3767">SubCategorizeComment(E3767)</f>
        <v>Other</v>
      </c>
    </row>
    <row r="3768" spans="1:7" x14ac:dyDescent="0.25">
      <c r="A3768">
        <v>29603</v>
      </c>
      <c r="B3768" t="s">
        <v>4</v>
      </c>
      <c r="C3768">
        <v>4</v>
      </c>
      <c r="D3768" t="s">
        <v>5</v>
      </c>
      <c r="F3768" t="str" cm="1">
        <f t="array" ref="F3768">CategorizeComment(E3768)</f>
        <v>Other</v>
      </c>
      <c r="G3768" t="str" cm="1">
        <f t="array" ref="G3768">SubCategorizeComment(E3768)</f>
        <v>Other</v>
      </c>
    </row>
    <row r="3769" spans="1:7" x14ac:dyDescent="0.25">
      <c r="A3769">
        <v>29606</v>
      </c>
      <c r="B3769" t="s">
        <v>4</v>
      </c>
      <c r="C3769">
        <v>3</v>
      </c>
      <c r="D3769" t="s">
        <v>5</v>
      </c>
      <c r="F3769" t="str" cm="1">
        <f t="array" ref="F3769">CategorizeComment(E3769)</f>
        <v>Other</v>
      </c>
      <c r="G3769" t="str" cm="1">
        <f t="array" ref="G3769">SubCategorizeComment(E3769)</f>
        <v>Other</v>
      </c>
    </row>
    <row r="3770" spans="1:7" x14ac:dyDescent="0.25">
      <c r="A3770">
        <v>29607</v>
      </c>
      <c r="B3770" t="s">
        <v>4</v>
      </c>
      <c r="C3770">
        <v>4</v>
      </c>
      <c r="D3770" t="s">
        <v>5</v>
      </c>
      <c r="F3770" t="str" cm="1">
        <f t="array" ref="F3770">CategorizeComment(E3770)</f>
        <v>Other</v>
      </c>
      <c r="G3770" t="str" cm="1">
        <f t="array" ref="G3770">SubCategorizeComment(E3770)</f>
        <v>Other</v>
      </c>
    </row>
    <row r="3771" spans="1:7" x14ac:dyDescent="0.25">
      <c r="A3771">
        <v>29616</v>
      </c>
      <c r="B3771" t="s">
        <v>4</v>
      </c>
      <c r="C3771">
        <v>4</v>
      </c>
      <c r="D3771" t="s">
        <v>5</v>
      </c>
      <c r="F3771" t="str" cm="1">
        <f t="array" ref="F3771">CategorizeComment(E3771)</f>
        <v>Other</v>
      </c>
      <c r="G3771" t="str" cm="1">
        <f t="array" ref="G3771">SubCategorizeComment(E3771)</f>
        <v>Other</v>
      </c>
    </row>
    <row r="3772" spans="1:7" x14ac:dyDescent="0.25">
      <c r="A3772">
        <v>29619</v>
      </c>
      <c r="B3772" t="s">
        <v>4</v>
      </c>
      <c r="C3772">
        <v>3</v>
      </c>
      <c r="D3772" t="s">
        <v>5</v>
      </c>
      <c r="F3772" t="str" cm="1">
        <f t="array" ref="F3772">CategorizeComment(E3772)</f>
        <v>Other</v>
      </c>
      <c r="G3772" t="str" cm="1">
        <f t="array" ref="G3772">SubCategorizeComment(E3772)</f>
        <v>Other</v>
      </c>
    </row>
    <row r="3773" spans="1:7" x14ac:dyDescent="0.25">
      <c r="A3773">
        <v>29628</v>
      </c>
      <c r="B3773" t="s">
        <v>4</v>
      </c>
      <c r="C3773">
        <v>3</v>
      </c>
      <c r="D3773" t="s">
        <v>5</v>
      </c>
      <c r="F3773" t="str" cm="1">
        <f t="array" ref="F3773">CategorizeComment(E3773)</f>
        <v>Other</v>
      </c>
      <c r="G3773" t="str" cm="1">
        <f t="array" ref="G3773">SubCategorizeComment(E3773)</f>
        <v>Other</v>
      </c>
    </row>
    <row r="3774" spans="1:7" x14ac:dyDescent="0.25">
      <c r="A3774">
        <v>29633</v>
      </c>
      <c r="B3774" t="s">
        <v>4</v>
      </c>
      <c r="C3774">
        <v>3</v>
      </c>
      <c r="D3774" t="s">
        <v>5</v>
      </c>
      <c r="F3774" t="str" cm="1">
        <f t="array" ref="F3774">CategorizeComment(E3774)</f>
        <v>Other</v>
      </c>
      <c r="G3774" t="str" cm="1">
        <f t="array" ref="G3774">SubCategorizeComment(E3774)</f>
        <v>Other</v>
      </c>
    </row>
    <row r="3775" spans="1:7" x14ac:dyDescent="0.25">
      <c r="A3775">
        <v>29638</v>
      </c>
      <c r="B3775" t="s">
        <v>4</v>
      </c>
      <c r="C3775">
        <v>4</v>
      </c>
      <c r="D3775" t="s">
        <v>5</v>
      </c>
      <c r="F3775" t="str" cm="1">
        <f t="array" ref="F3775">CategorizeComment(E3775)</f>
        <v>Other</v>
      </c>
      <c r="G3775" t="str" cm="1">
        <f t="array" ref="G3775">SubCategorizeComment(E3775)</f>
        <v>Other</v>
      </c>
    </row>
    <row r="3776" spans="1:7" x14ac:dyDescent="0.25">
      <c r="A3776">
        <v>29657</v>
      </c>
      <c r="B3776" t="s">
        <v>4</v>
      </c>
      <c r="C3776">
        <v>3</v>
      </c>
      <c r="D3776" t="s">
        <v>5</v>
      </c>
      <c r="F3776" t="str" cm="1">
        <f t="array" ref="F3776">CategorizeComment(E3776)</f>
        <v>Other</v>
      </c>
      <c r="G3776" t="str" cm="1">
        <f t="array" ref="G3776">SubCategorizeComment(E3776)</f>
        <v>Other</v>
      </c>
    </row>
    <row r="3777" spans="1:7" x14ac:dyDescent="0.25">
      <c r="A3777">
        <v>29667</v>
      </c>
      <c r="B3777" t="s">
        <v>4</v>
      </c>
      <c r="C3777">
        <v>3</v>
      </c>
      <c r="D3777" t="s">
        <v>5</v>
      </c>
      <c r="F3777" t="str" cm="1">
        <f t="array" ref="F3777">CategorizeComment(E3777)</f>
        <v>Other</v>
      </c>
      <c r="G3777" t="str" cm="1">
        <f t="array" ref="G3777">SubCategorizeComment(E3777)</f>
        <v>Other</v>
      </c>
    </row>
    <row r="3778" spans="1:7" x14ac:dyDescent="0.25">
      <c r="A3778">
        <v>29670</v>
      </c>
      <c r="B3778" t="s">
        <v>4</v>
      </c>
      <c r="C3778">
        <v>4</v>
      </c>
      <c r="D3778" t="s">
        <v>5</v>
      </c>
      <c r="F3778" t="str" cm="1">
        <f t="array" ref="F3778">CategorizeComment(E3778)</f>
        <v>Other</v>
      </c>
      <c r="G3778" t="str" cm="1">
        <f t="array" ref="G3778">SubCategorizeComment(E3778)</f>
        <v>Other</v>
      </c>
    </row>
    <row r="3779" spans="1:7" x14ac:dyDescent="0.25">
      <c r="A3779">
        <v>29682</v>
      </c>
      <c r="B3779" t="s">
        <v>4</v>
      </c>
      <c r="C3779">
        <v>3</v>
      </c>
      <c r="D3779" t="s">
        <v>5</v>
      </c>
      <c r="F3779" t="str" cm="1">
        <f t="array" ref="F3779">CategorizeComment(E3779)</f>
        <v>Other</v>
      </c>
      <c r="G3779" t="str" cm="1">
        <f t="array" ref="G3779">SubCategorizeComment(E3779)</f>
        <v>Other</v>
      </c>
    </row>
    <row r="3780" spans="1:7" x14ac:dyDescent="0.25">
      <c r="A3780">
        <v>29684</v>
      </c>
      <c r="B3780" t="s">
        <v>4</v>
      </c>
      <c r="C3780">
        <v>4</v>
      </c>
      <c r="D3780" t="s">
        <v>5</v>
      </c>
      <c r="F3780" t="str" cm="1">
        <f t="array" ref="F3780">CategorizeComment(E3780)</f>
        <v>Other</v>
      </c>
      <c r="G3780" t="str" cm="1">
        <f t="array" ref="G3780">SubCategorizeComment(E3780)</f>
        <v>Other</v>
      </c>
    </row>
    <row r="3781" spans="1:7" x14ac:dyDescent="0.25">
      <c r="A3781">
        <v>29694</v>
      </c>
      <c r="B3781" t="s">
        <v>4</v>
      </c>
      <c r="C3781">
        <v>3</v>
      </c>
      <c r="D3781" t="s">
        <v>5</v>
      </c>
      <c r="F3781" t="str" cm="1">
        <f t="array" ref="F3781">CategorizeComment(E3781)</f>
        <v>Other</v>
      </c>
      <c r="G3781" t="str" cm="1">
        <f t="array" ref="G3781">SubCategorizeComment(E3781)</f>
        <v>Other</v>
      </c>
    </row>
    <row r="3782" spans="1:7" x14ac:dyDescent="0.25">
      <c r="A3782">
        <v>29703</v>
      </c>
      <c r="B3782" t="s">
        <v>4</v>
      </c>
      <c r="C3782">
        <v>4</v>
      </c>
      <c r="D3782" t="s">
        <v>5</v>
      </c>
      <c r="F3782" t="str" cm="1">
        <f t="array" ref="F3782">CategorizeComment(E3782)</f>
        <v>Other</v>
      </c>
      <c r="G3782" t="str" cm="1">
        <f t="array" ref="G3782">SubCategorizeComment(E3782)</f>
        <v>Other</v>
      </c>
    </row>
    <row r="3783" spans="1:7" x14ac:dyDescent="0.25">
      <c r="A3783">
        <v>29721</v>
      </c>
      <c r="B3783" t="s">
        <v>4</v>
      </c>
      <c r="C3783">
        <v>4</v>
      </c>
      <c r="D3783" t="s">
        <v>5</v>
      </c>
      <c r="F3783" t="str" cm="1">
        <f t="array" ref="F3783">CategorizeComment(E3783)</f>
        <v>Other</v>
      </c>
      <c r="G3783" t="str" cm="1">
        <f t="array" ref="G3783">SubCategorizeComment(E3783)</f>
        <v>Other</v>
      </c>
    </row>
    <row r="3784" spans="1:7" x14ac:dyDescent="0.25">
      <c r="A3784">
        <v>29774</v>
      </c>
      <c r="B3784" t="s">
        <v>4</v>
      </c>
      <c r="C3784">
        <v>3</v>
      </c>
      <c r="D3784" t="s">
        <v>5</v>
      </c>
      <c r="F3784" t="str" cm="1">
        <f t="array" ref="F3784">CategorizeComment(E3784)</f>
        <v>Other</v>
      </c>
      <c r="G3784" t="str" cm="1">
        <f t="array" ref="G3784">SubCategorizeComment(E3784)</f>
        <v>Other</v>
      </c>
    </row>
    <row r="3785" spans="1:7" x14ac:dyDescent="0.25">
      <c r="A3785">
        <v>29778</v>
      </c>
      <c r="B3785" t="s">
        <v>4</v>
      </c>
      <c r="C3785">
        <v>3</v>
      </c>
      <c r="D3785" t="s">
        <v>5</v>
      </c>
      <c r="F3785" t="str" cm="1">
        <f t="array" ref="F3785">CategorizeComment(E3785)</f>
        <v>Other</v>
      </c>
      <c r="G3785" t="str" cm="1">
        <f t="array" ref="G3785">SubCategorizeComment(E3785)</f>
        <v>Other</v>
      </c>
    </row>
    <row r="3786" spans="1:7" x14ac:dyDescent="0.25">
      <c r="A3786">
        <v>29780</v>
      </c>
      <c r="B3786" t="s">
        <v>4</v>
      </c>
      <c r="C3786">
        <v>4</v>
      </c>
      <c r="D3786" t="s">
        <v>5</v>
      </c>
      <c r="F3786" t="str" cm="1">
        <f t="array" ref="F3786">CategorizeComment(E3786)</f>
        <v>Other</v>
      </c>
      <c r="G3786" t="str" cm="1">
        <f t="array" ref="G3786">SubCategorizeComment(E3786)</f>
        <v>Other</v>
      </c>
    </row>
    <row r="3787" spans="1:7" x14ac:dyDescent="0.25">
      <c r="A3787">
        <v>29817</v>
      </c>
      <c r="B3787" t="s">
        <v>4</v>
      </c>
      <c r="C3787">
        <v>4</v>
      </c>
      <c r="D3787" t="s">
        <v>5</v>
      </c>
      <c r="F3787" t="str" cm="1">
        <f t="array" ref="F3787">CategorizeComment(E3787)</f>
        <v>Other</v>
      </c>
      <c r="G3787" t="str" cm="1">
        <f t="array" ref="G3787">SubCategorizeComment(E3787)</f>
        <v>Other</v>
      </c>
    </row>
    <row r="3788" spans="1:7" x14ac:dyDescent="0.25">
      <c r="A3788">
        <v>29842</v>
      </c>
      <c r="B3788" t="s">
        <v>4</v>
      </c>
      <c r="C3788">
        <v>4</v>
      </c>
      <c r="D3788" t="s">
        <v>5</v>
      </c>
      <c r="F3788" t="str" cm="1">
        <f t="array" ref="F3788">CategorizeComment(E3788)</f>
        <v>Other</v>
      </c>
      <c r="G3788" t="str" cm="1">
        <f t="array" ref="G3788">SubCategorizeComment(E3788)</f>
        <v>Other</v>
      </c>
    </row>
    <row r="3789" spans="1:7" x14ac:dyDescent="0.25">
      <c r="A3789">
        <v>29871</v>
      </c>
      <c r="B3789" t="s">
        <v>4</v>
      </c>
      <c r="C3789">
        <v>3</v>
      </c>
      <c r="D3789" t="s">
        <v>5</v>
      </c>
      <c r="F3789" t="str" cm="1">
        <f t="array" ref="F3789">CategorizeComment(E3789)</f>
        <v>Other</v>
      </c>
      <c r="G3789" t="str" cm="1">
        <f t="array" ref="G3789">SubCategorizeComment(E3789)</f>
        <v>Other</v>
      </c>
    </row>
    <row r="3790" spans="1:7" x14ac:dyDescent="0.25">
      <c r="A3790">
        <v>29875</v>
      </c>
      <c r="B3790" t="s">
        <v>4</v>
      </c>
      <c r="C3790">
        <v>3</v>
      </c>
      <c r="D3790" t="s">
        <v>5</v>
      </c>
      <c r="F3790" t="str" cm="1">
        <f t="array" ref="F3790">CategorizeComment(E3790)</f>
        <v>Other</v>
      </c>
      <c r="G3790" t="str" cm="1">
        <f t="array" ref="G3790">SubCategorizeComment(E3790)</f>
        <v>Other</v>
      </c>
    </row>
    <row r="3791" spans="1:7" x14ac:dyDescent="0.25">
      <c r="A3791">
        <v>29883</v>
      </c>
      <c r="B3791" t="s">
        <v>4</v>
      </c>
      <c r="C3791">
        <v>3</v>
      </c>
      <c r="D3791" t="s">
        <v>5</v>
      </c>
      <c r="F3791" t="str" cm="1">
        <f t="array" ref="F3791">CategorizeComment(E3791)</f>
        <v>Other</v>
      </c>
      <c r="G3791" t="str" cm="1">
        <f t="array" ref="G3791">SubCategorizeComment(E3791)</f>
        <v>Other</v>
      </c>
    </row>
    <row r="3792" spans="1:7" x14ac:dyDescent="0.25">
      <c r="A3792">
        <v>29900</v>
      </c>
      <c r="B3792" t="s">
        <v>4</v>
      </c>
      <c r="C3792">
        <v>4</v>
      </c>
      <c r="D3792" t="s">
        <v>5</v>
      </c>
      <c r="F3792" t="str" cm="1">
        <f t="array" ref="F3792">CategorizeComment(E3792)</f>
        <v>Other</v>
      </c>
      <c r="G3792" t="str" cm="1">
        <f t="array" ref="G3792">SubCategorizeComment(E3792)</f>
        <v>Other</v>
      </c>
    </row>
    <row r="3793" spans="1:7" x14ac:dyDescent="0.25">
      <c r="A3793">
        <v>29902</v>
      </c>
      <c r="B3793" t="s">
        <v>4</v>
      </c>
      <c r="C3793">
        <v>4</v>
      </c>
      <c r="D3793" t="s">
        <v>5</v>
      </c>
      <c r="F3793" t="str" cm="1">
        <f t="array" ref="F3793">CategorizeComment(E3793)</f>
        <v>Other</v>
      </c>
      <c r="G3793" t="str" cm="1">
        <f t="array" ref="G3793">SubCategorizeComment(E3793)</f>
        <v>Other</v>
      </c>
    </row>
    <row r="3794" spans="1:7" x14ac:dyDescent="0.25">
      <c r="A3794">
        <v>29928</v>
      </c>
      <c r="B3794" t="s">
        <v>4</v>
      </c>
      <c r="C3794">
        <v>3</v>
      </c>
      <c r="D3794" t="s">
        <v>5</v>
      </c>
      <c r="F3794" t="str" cm="1">
        <f t="array" ref="F3794">CategorizeComment(E3794)</f>
        <v>Other</v>
      </c>
      <c r="G3794" t="str" cm="1">
        <f t="array" ref="G3794">SubCategorizeComment(E3794)</f>
        <v>Other</v>
      </c>
    </row>
    <row r="3795" spans="1:7" x14ac:dyDescent="0.25">
      <c r="A3795">
        <v>29937</v>
      </c>
      <c r="B3795" t="s">
        <v>4</v>
      </c>
      <c r="C3795">
        <v>3</v>
      </c>
      <c r="D3795" t="s">
        <v>5</v>
      </c>
      <c r="F3795" t="str" cm="1">
        <f t="array" ref="F3795">CategorizeComment(E3795)</f>
        <v>Other</v>
      </c>
      <c r="G3795" t="str" cm="1">
        <f t="array" ref="G3795">SubCategorizeComment(E3795)</f>
        <v>Other</v>
      </c>
    </row>
    <row r="3796" spans="1:7" x14ac:dyDescent="0.25">
      <c r="A3796">
        <v>29940</v>
      </c>
      <c r="B3796" t="s">
        <v>4</v>
      </c>
      <c r="C3796">
        <v>4</v>
      </c>
      <c r="D3796" t="s">
        <v>5</v>
      </c>
      <c r="F3796" t="str" cm="1">
        <f t="array" ref="F3796">CategorizeComment(E3796)</f>
        <v>Other</v>
      </c>
      <c r="G3796" t="str" cm="1">
        <f t="array" ref="G3796">SubCategorizeComment(E3796)</f>
        <v>Other</v>
      </c>
    </row>
    <row r="3797" spans="1:7" x14ac:dyDescent="0.25">
      <c r="A3797">
        <v>29942</v>
      </c>
      <c r="B3797" t="s">
        <v>4</v>
      </c>
      <c r="C3797">
        <v>3</v>
      </c>
      <c r="D3797" t="s">
        <v>5</v>
      </c>
      <c r="F3797" t="str" cm="1">
        <f t="array" ref="F3797">CategorizeComment(E3797)</f>
        <v>Other</v>
      </c>
      <c r="G3797" t="str" cm="1">
        <f t="array" ref="G3797">SubCategorizeComment(E3797)</f>
        <v>Other</v>
      </c>
    </row>
    <row r="3798" spans="1:7" x14ac:dyDescent="0.25">
      <c r="A3798">
        <v>29959</v>
      </c>
      <c r="B3798" t="s">
        <v>4</v>
      </c>
      <c r="C3798">
        <v>3</v>
      </c>
      <c r="D3798" t="s">
        <v>5</v>
      </c>
      <c r="F3798" t="str" cm="1">
        <f t="array" ref="F3798">CategorizeComment(E3798)</f>
        <v>Other</v>
      </c>
      <c r="G3798" t="str" cm="1">
        <f t="array" ref="G3798">SubCategorizeComment(E3798)</f>
        <v>Other</v>
      </c>
    </row>
    <row r="3799" spans="1:7" x14ac:dyDescent="0.25">
      <c r="A3799">
        <v>29964</v>
      </c>
      <c r="B3799" t="s">
        <v>4</v>
      </c>
      <c r="C3799">
        <v>4</v>
      </c>
      <c r="D3799" t="s">
        <v>5</v>
      </c>
      <c r="F3799" t="str" cm="1">
        <f t="array" ref="F3799">CategorizeComment(E3799)</f>
        <v>Other</v>
      </c>
      <c r="G3799" t="str" cm="1">
        <f t="array" ref="G3799">SubCategorizeComment(E3799)</f>
        <v>Other</v>
      </c>
    </row>
    <row r="3800" spans="1:7" x14ac:dyDescent="0.25">
      <c r="A3800">
        <v>29970</v>
      </c>
      <c r="B3800" t="s">
        <v>4</v>
      </c>
      <c r="C3800">
        <v>4</v>
      </c>
      <c r="D3800" t="s">
        <v>5</v>
      </c>
      <c r="F3800" t="str" cm="1">
        <f t="array" ref="F3800">CategorizeComment(E3800)</f>
        <v>Other</v>
      </c>
      <c r="G3800" t="str" cm="1">
        <f t="array" ref="G3800">SubCategorizeComment(E3800)</f>
        <v>Other</v>
      </c>
    </row>
    <row r="3801" spans="1:7" x14ac:dyDescent="0.25">
      <c r="A3801">
        <v>29972</v>
      </c>
      <c r="B3801" t="s">
        <v>4</v>
      </c>
      <c r="C3801">
        <v>4</v>
      </c>
      <c r="D3801" t="s">
        <v>5</v>
      </c>
      <c r="F3801" t="str" cm="1">
        <f t="array" ref="F3801">CategorizeComment(E3801)</f>
        <v>Other</v>
      </c>
      <c r="G3801" t="str" cm="1">
        <f t="array" ref="G3801">SubCategorizeComment(E3801)</f>
        <v>Other</v>
      </c>
    </row>
    <row r="3802" spans="1:7" x14ac:dyDescent="0.25">
      <c r="A3802">
        <v>29979</v>
      </c>
      <c r="B3802" t="s">
        <v>4</v>
      </c>
      <c r="C3802">
        <v>4</v>
      </c>
      <c r="D3802" t="s">
        <v>5</v>
      </c>
      <c r="F3802" t="str" cm="1">
        <f t="array" ref="F3802">CategorizeComment(E3802)</f>
        <v>Other</v>
      </c>
      <c r="G3802" t="str" cm="1">
        <f t="array" ref="G3802">SubCategorizeComment(E3802)</f>
        <v>Other</v>
      </c>
    </row>
    <row r="3803" spans="1:7" x14ac:dyDescent="0.25">
      <c r="A3803">
        <v>29993</v>
      </c>
      <c r="B3803" t="s">
        <v>4</v>
      </c>
      <c r="C3803">
        <v>4</v>
      </c>
      <c r="D3803" t="s">
        <v>5</v>
      </c>
      <c r="F3803" t="str" cm="1">
        <f t="array" ref="F3803">CategorizeComment(E3803)</f>
        <v>Other</v>
      </c>
      <c r="G3803" t="str" cm="1">
        <f t="array" ref="G3803">SubCategorizeComment(E3803)</f>
        <v>Other</v>
      </c>
    </row>
    <row r="3804" spans="1:7" x14ac:dyDescent="0.25">
      <c r="A3804">
        <v>29998</v>
      </c>
      <c r="B3804" t="s">
        <v>4</v>
      </c>
      <c r="C3804">
        <v>4</v>
      </c>
      <c r="D3804" t="s">
        <v>5</v>
      </c>
      <c r="F3804" t="str" cm="1">
        <f t="array" ref="F3804">CategorizeComment(E3804)</f>
        <v>Other</v>
      </c>
      <c r="G3804" t="str" cm="1">
        <f t="array" ref="G3804">SubCategorizeComment(E3804)</f>
        <v>Other</v>
      </c>
    </row>
    <row r="3805" spans="1:7" x14ac:dyDescent="0.25">
      <c r="A3805">
        <v>30004</v>
      </c>
      <c r="B3805" t="s">
        <v>4</v>
      </c>
      <c r="C3805">
        <v>4</v>
      </c>
      <c r="D3805" t="s">
        <v>5</v>
      </c>
      <c r="F3805" t="str" cm="1">
        <f t="array" ref="F3805">CategorizeComment(E3805)</f>
        <v>Other</v>
      </c>
      <c r="G3805" t="str" cm="1">
        <f t="array" ref="G3805">SubCategorizeComment(E3805)</f>
        <v>Other</v>
      </c>
    </row>
    <row r="3806" spans="1:7" x14ac:dyDescent="0.25">
      <c r="A3806">
        <v>30005</v>
      </c>
      <c r="B3806" t="s">
        <v>4</v>
      </c>
      <c r="C3806">
        <v>4</v>
      </c>
      <c r="D3806" t="s">
        <v>5</v>
      </c>
      <c r="F3806" t="str" cm="1">
        <f t="array" ref="F3806">CategorizeComment(E3806)</f>
        <v>Other</v>
      </c>
      <c r="G3806" t="str" cm="1">
        <f t="array" ref="G3806">SubCategorizeComment(E3806)</f>
        <v>Other</v>
      </c>
    </row>
    <row r="3807" spans="1:7" x14ac:dyDescent="0.25">
      <c r="A3807">
        <v>30010</v>
      </c>
      <c r="B3807" t="s">
        <v>4</v>
      </c>
      <c r="C3807">
        <v>4</v>
      </c>
      <c r="D3807" t="s">
        <v>5</v>
      </c>
      <c r="F3807" t="str" cm="1">
        <f t="array" ref="F3807">CategorizeComment(E3807)</f>
        <v>Other</v>
      </c>
      <c r="G3807" t="str" cm="1">
        <f t="array" ref="G3807">SubCategorizeComment(E3807)</f>
        <v>Other</v>
      </c>
    </row>
    <row r="3808" spans="1:7" x14ac:dyDescent="0.25">
      <c r="A3808">
        <v>30011</v>
      </c>
      <c r="B3808" t="s">
        <v>4</v>
      </c>
      <c r="C3808">
        <v>4</v>
      </c>
      <c r="D3808" t="s">
        <v>5</v>
      </c>
      <c r="F3808" t="str" cm="1">
        <f t="array" ref="F3808">CategorizeComment(E3808)</f>
        <v>Other</v>
      </c>
      <c r="G3808" t="str" cm="1">
        <f t="array" ref="G3808">SubCategorizeComment(E3808)</f>
        <v>Other</v>
      </c>
    </row>
    <row r="3809" spans="1:7" x14ac:dyDescent="0.25">
      <c r="A3809">
        <v>30012</v>
      </c>
      <c r="B3809" t="s">
        <v>4</v>
      </c>
      <c r="C3809">
        <v>4</v>
      </c>
      <c r="D3809" t="s">
        <v>5</v>
      </c>
      <c r="F3809" t="str" cm="1">
        <f t="array" ref="F3809">CategorizeComment(E3809)</f>
        <v>Other</v>
      </c>
      <c r="G3809" t="str" cm="1">
        <f t="array" ref="G3809">SubCategorizeComment(E3809)</f>
        <v>Other</v>
      </c>
    </row>
    <row r="3810" spans="1:7" x14ac:dyDescent="0.25">
      <c r="A3810">
        <v>30018</v>
      </c>
      <c r="B3810" t="s">
        <v>4</v>
      </c>
      <c r="C3810">
        <v>3</v>
      </c>
      <c r="D3810" t="s">
        <v>5</v>
      </c>
      <c r="F3810" t="str" cm="1">
        <f t="array" ref="F3810">CategorizeComment(E3810)</f>
        <v>Other</v>
      </c>
      <c r="G3810" t="str" cm="1">
        <f t="array" ref="G3810">SubCategorizeComment(E3810)</f>
        <v>Other</v>
      </c>
    </row>
    <row r="3811" spans="1:7" x14ac:dyDescent="0.25">
      <c r="A3811">
        <v>30020</v>
      </c>
      <c r="B3811" t="s">
        <v>4</v>
      </c>
      <c r="C3811">
        <v>4</v>
      </c>
      <c r="D3811" t="s">
        <v>5</v>
      </c>
      <c r="F3811" t="str" cm="1">
        <f t="array" ref="F3811">CategorizeComment(E3811)</f>
        <v>Other</v>
      </c>
      <c r="G3811" t="str" cm="1">
        <f t="array" ref="G3811">SubCategorizeComment(E3811)</f>
        <v>Other</v>
      </c>
    </row>
    <row r="3812" spans="1:7" x14ac:dyDescent="0.25">
      <c r="A3812">
        <v>30022</v>
      </c>
      <c r="B3812" t="s">
        <v>4</v>
      </c>
      <c r="C3812">
        <v>4</v>
      </c>
      <c r="D3812" t="s">
        <v>5</v>
      </c>
      <c r="F3812" t="str" cm="1">
        <f t="array" ref="F3812">CategorizeComment(E3812)</f>
        <v>Other</v>
      </c>
      <c r="G3812" t="str" cm="1">
        <f t="array" ref="G3812">SubCategorizeComment(E3812)</f>
        <v>Other</v>
      </c>
    </row>
    <row r="3813" spans="1:7" x14ac:dyDescent="0.25">
      <c r="A3813">
        <v>30023</v>
      </c>
      <c r="B3813" t="s">
        <v>4</v>
      </c>
      <c r="C3813">
        <v>4</v>
      </c>
      <c r="D3813" t="s">
        <v>5</v>
      </c>
      <c r="F3813" t="str" cm="1">
        <f t="array" ref="F3813">CategorizeComment(E3813)</f>
        <v>Other</v>
      </c>
      <c r="G3813" t="str" cm="1">
        <f t="array" ref="G3813">SubCategorizeComment(E3813)</f>
        <v>Other</v>
      </c>
    </row>
    <row r="3814" spans="1:7" x14ac:dyDescent="0.25">
      <c r="A3814">
        <v>30027</v>
      </c>
      <c r="B3814" t="s">
        <v>4</v>
      </c>
      <c r="C3814">
        <v>3</v>
      </c>
      <c r="D3814" t="s">
        <v>5</v>
      </c>
      <c r="F3814" t="str" cm="1">
        <f t="array" ref="F3814">CategorizeComment(E3814)</f>
        <v>Other</v>
      </c>
      <c r="G3814" t="str" cm="1">
        <f t="array" ref="G3814">SubCategorizeComment(E3814)</f>
        <v>Other</v>
      </c>
    </row>
    <row r="3815" spans="1:7" x14ac:dyDescent="0.25">
      <c r="A3815">
        <v>30030</v>
      </c>
      <c r="B3815" t="s">
        <v>4</v>
      </c>
      <c r="C3815">
        <v>3</v>
      </c>
      <c r="D3815" t="s">
        <v>5</v>
      </c>
      <c r="F3815" t="str" cm="1">
        <f t="array" ref="F3815">CategorizeComment(E3815)</f>
        <v>Other</v>
      </c>
      <c r="G3815" t="str" cm="1">
        <f t="array" ref="G3815">SubCategorizeComment(E3815)</f>
        <v>Other</v>
      </c>
    </row>
    <row r="3816" spans="1:7" x14ac:dyDescent="0.25">
      <c r="A3816">
        <v>30032</v>
      </c>
      <c r="B3816" t="s">
        <v>4</v>
      </c>
      <c r="C3816">
        <v>4</v>
      </c>
      <c r="D3816" t="s">
        <v>5</v>
      </c>
      <c r="F3816" t="str" cm="1">
        <f t="array" ref="F3816">CategorizeComment(E3816)</f>
        <v>Other</v>
      </c>
      <c r="G3816" t="str" cm="1">
        <f t="array" ref="G3816">SubCategorizeComment(E3816)</f>
        <v>Other</v>
      </c>
    </row>
    <row r="3817" spans="1:7" x14ac:dyDescent="0.25">
      <c r="A3817">
        <v>30034</v>
      </c>
      <c r="B3817" t="s">
        <v>4</v>
      </c>
      <c r="C3817">
        <v>3</v>
      </c>
      <c r="D3817" t="s">
        <v>5</v>
      </c>
      <c r="F3817" t="str" cm="1">
        <f t="array" ref="F3817">CategorizeComment(E3817)</f>
        <v>Other</v>
      </c>
      <c r="G3817" t="str" cm="1">
        <f t="array" ref="G3817">SubCategorizeComment(E3817)</f>
        <v>Other</v>
      </c>
    </row>
    <row r="3818" spans="1:7" x14ac:dyDescent="0.25">
      <c r="A3818">
        <v>30040</v>
      </c>
      <c r="B3818" t="s">
        <v>4</v>
      </c>
      <c r="C3818">
        <v>3</v>
      </c>
      <c r="D3818" t="s">
        <v>5</v>
      </c>
      <c r="F3818" t="str" cm="1">
        <f t="array" ref="F3818">CategorizeComment(E3818)</f>
        <v>Other</v>
      </c>
      <c r="G3818" t="str" cm="1">
        <f t="array" ref="G3818">SubCategorizeComment(E3818)</f>
        <v>Other</v>
      </c>
    </row>
    <row r="3819" spans="1:7" x14ac:dyDescent="0.25">
      <c r="A3819">
        <v>30049</v>
      </c>
      <c r="B3819" t="s">
        <v>4</v>
      </c>
      <c r="C3819">
        <v>3</v>
      </c>
      <c r="D3819" t="s">
        <v>5</v>
      </c>
      <c r="F3819" t="str" cm="1">
        <f t="array" ref="F3819">CategorizeComment(E3819)</f>
        <v>Other</v>
      </c>
      <c r="G3819" t="str" cm="1">
        <f t="array" ref="G3819">SubCategorizeComment(E3819)</f>
        <v>Other</v>
      </c>
    </row>
    <row r="3820" spans="1:7" x14ac:dyDescent="0.25">
      <c r="A3820">
        <v>30054</v>
      </c>
      <c r="B3820" t="s">
        <v>4</v>
      </c>
      <c r="C3820">
        <v>3</v>
      </c>
      <c r="D3820" t="s">
        <v>5</v>
      </c>
      <c r="F3820" t="str" cm="1">
        <f t="array" ref="F3820">CategorizeComment(E3820)</f>
        <v>Other</v>
      </c>
      <c r="G3820" t="str" cm="1">
        <f t="array" ref="G3820">SubCategorizeComment(E3820)</f>
        <v>Other</v>
      </c>
    </row>
    <row r="3821" spans="1:7" x14ac:dyDescent="0.25">
      <c r="A3821">
        <v>30064</v>
      </c>
      <c r="B3821" t="s">
        <v>4</v>
      </c>
      <c r="C3821">
        <v>3</v>
      </c>
      <c r="D3821" t="s">
        <v>5</v>
      </c>
      <c r="F3821" t="str" cm="1">
        <f t="array" ref="F3821">CategorizeComment(E3821)</f>
        <v>Other</v>
      </c>
      <c r="G3821" t="str" cm="1">
        <f t="array" ref="G3821">SubCategorizeComment(E3821)</f>
        <v>Other</v>
      </c>
    </row>
    <row r="3822" spans="1:7" x14ac:dyDescent="0.25">
      <c r="A3822">
        <v>30065</v>
      </c>
      <c r="B3822" t="s">
        <v>4</v>
      </c>
      <c r="C3822">
        <v>4</v>
      </c>
      <c r="D3822" t="s">
        <v>5</v>
      </c>
      <c r="F3822" t="str" cm="1">
        <f t="array" ref="F3822">CategorizeComment(E3822)</f>
        <v>Other</v>
      </c>
      <c r="G3822" t="str" cm="1">
        <f t="array" ref="G3822">SubCategorizeComment(E3822)</f>
        <v>Other</v>
      </c>
    </row>
    <row r="3823" spans="1:7" x14ac:dyDescent="0.25">
      <c r="A3823">
        <v>30074</v>
      </c>
      <c r="B3823" t="s">
        <v>4</v>
      </c>
      <c r="C3823">
        <v>4</v>
      </c>
      <c r="D3823" t="s">
        <v>5</v>
      </c>
      <c r="F3823" t="str" cm="1">
        <f t="array" ref="F3823">CategorizeComment(E3823)</f>
        <v>Other</v>
      </c>
      <c r="G3823" t="str" cm="1">
        <f t="array" ref="G3823">SubCategorizeComment(E3823)</f>
        <v>Other</v>
      </c>
    </row>
    <row r="3824" spans="1:7" x14ac:dyDescent="0.25">
      <c r="A3824">
        <v>30077</v>
      </c>
      <c r="B3824" t="s">
        <v>4</v>
      </c>
      <c r="C3824">
        <v>4</v>
      </c>
      <c r="D3824" t="s">
        <v>5</v>
      </c>
      <c r="F3824" t="str" cm="1">
        <f t="array" ref="F3824">CategorizeComment(E3824)</f>
        <v>Other</v>
      </c>
      <c r="G3824" t="str" cm="1">
        <f t="array" ref="G3824">SubCategorizeComment(E3824)</f>
        <v>Other</v>
      </c>
    </row>
    <row r="3825" spans="1:7" x14ac:dyDescent="0.25">
      <c r="A3825">
        <v>30098</v>
      </c>
      <c r="B3825" t="s">
        <v>4</v>
      </c>
      <c r="C3825">
        <v>4</v>
      </c>
      <c r="D3825" t="s">
        <v>5</v>
      </c>
      <c r="F3825" t="str" cm="1">
        <f t="array" ref="F3825">CategorizeComment(E3825)</f>
        <v>Other</v>
      </c>
      <c r="G3825" t="str" cm="1">
        <f t="array" ref="G3825">SubCategorizeComment(E3825)</f>
        <v>Other</v>
      </c>
    </row>
    <row r="3826" spans="1:7" x14ac:dyDescent="0.25">
      <c r="A3826">
        <v>30104</v>
      </c>
      <c r="B3826" t="s">
        <v>4</v>
      </c>
      <c r="C3826">
        <v>3</v>
      </c>
      <c r="D3826" t="s">
        <v>5</v>
      </c>
      <c r="F3826" t="str" cm="1">
        <f t="array" ref="F3826">CategorizeComment(E3826)</f>
        <v>Other</v>
      </c>
      <c r="G3826" t="str" cm="1">
        <f t="array" ref="G3826">SubCategorizeComment(E3826)</f>
        <v>Other</v>
      </c>
    </row>
    <row r="3827" spans="1:7" x14ac:dyDescent="0.25">
      <c r="A3827">
        <v>30110</v>
      </c>
      <c r="B3827" t="s">
        <v>4</v>
      </c>
      <c r="C3827">
        <v>3</v>
      </c>
      <c r="D3827" t="s">
        <v>5</v>
      </c>
      <c r="F3827" t="str" cm="1">
        <f t="array" ref="F3827">CategorizeComment(E3827)</f>
        <v>Other</v>
      </c>
      <c r="G3827" t="str" cm="1">
        <f t="array" ref="G3827">SubCategorizeComment(E3827)</f>
        <v>Other</v>
      </c>
    </row>
    <row r="3828" spans="1:7" x14ac:dyDescent="0.25">
      <c r="A3828">
        <v>30122</v>
      </c>
      <c r="B3828" t="s">
        <v>4</v>
      </c>
      <c r="C3828">
        <v>3</v>
      </c>
      <c r="D3828" t="s">
        <v>5</v>
      </c>
      <c r="F3828" t="str" cm="1">
        <f t="array" ref="F3828">CategorizeComment(E3828)</f>
        <v>Other</v>
      </c>
      <c r="G3828" t="str" cm="1">
        <f t="array" ref="G3828">SubCategorizeComment(E3828)</f>
        <v>Other</v>
      </c>
    </row>
    <row r="3829" spans="1:7" x14ac:dyDescent="0.25">
      <c r="A3829">
        <v>30130</v>
      </c>
      <c r="B3829" t="s">
        <v>4</v>
      </c>
      <c r="C3829">
        <v>3</v>
      </c>
      <c r="D3829" t="s">
        <v>5</v>
      </c>
      <c r="F3829" t="str" cm="1">
        <f t="array" ref="F3829">CategorizeComment(E3829)</f>
        <v>Other</v>
      </c>
      <c r="G3829" t="str" cm="1">
        <f t="array" ref="G3829">SubCategorizeComment(E3829)</f>
        <v>Other</v>
      </c>
    </row>
    <row r="3830" spans="1:7" x14ac:dyDescent="0.25">
      <c r="A3830">
        <v>30137</v>
      </c>
      <c r="B3830" t="s">
        <v>4</v>
      </c>
      <c r="C3830">
        <v>3</v>
      </c>
      <c r="D3830" t="s">
        <v>5</v>
      </c>
      <c r="F3830" t="str" cm="1">
        <f t="array" ref="F3830">CategorizeComment(E3830)</f>
        <v>Other</v>
      </c>
      <c r="G3830" t="str" cm="1">
        <f t="array" ref="G3830">SubCategorizeComment(E3830)</f>
        <v>Other</v>
      </c>
    </row>
    <row r="3831" spans="1:7" x14ac:dyDescent="0.25">
      <c r="A3831">
        <v>30144</v>
      </c>
      <c r="B3831" t="s">
        <v>4</v>
      </c>
      <c r="C3831">
        <v>3</v>
      </c>
      <c r="D3831" t="s">
        <v>5</v>
      </c>
      <c r="F3831" t="str" cm="1">
        <f t="array" ref="F3831">CategorizeComment(E3831)</f>
        <v>Other</v>
      </c>
      <c r="G3831" t="str" cm="1">
        <f t="array" ref="G3831">SubCategorizeComment(E3831)</f>
        <v>Other</v>
      </c>
    </row>
    <row r="3832" spans="1:7" x14ac:dyDescent="0.25">
      <c r="A3832">
        <v>30147</v>
      </c>
      <c r="B3832" t="s">
        <v>4</v>
      </c>
      <c r="C3832">
        <v>3</v>
      </c>
      <c r="D3832" t="s">
        <v>5</v>
      </c>
      <c r="F3832" t="str" cm="1">
        <f t="array" ref="F3832">CategorizeComment(E3832)</f>
        <v>Other</v>
      </c>
      <c r="G3832" t="str" cm="1">
        <f t="array" ref="G3832">SubCategorizeComment(E3832)</f>
        <v>Other</v>
      </c>
    </row>
    <row r="3833" spans="1:7" x14ac:dyDescent="0.25">
      <c r="A3833">
        <v>30168</v>
      </c>
      <c r="B3833" t="s">
        <v>4</v>
      </c>
      <c r="C3833">
        <v>4</v>
      </c>
      <c r="D3833" t="s">
        <v>5</v>
      </c>
      <c r="F3833" t="str" cm="1">
        <f t="array" ref="F3833">CategorizeComment(E3833)</f>
        <v>Other</v>
      </c>
      <c r="G3833" t="str" cm="1">
        <f t="array" ref="G3833">SubCategorizeComment(E3833)</f>
        <v>Other</v>
      </c>
    </row>
    <row r="3834" spans="1:7" x14ac:dyDescent="0.25">
      <c r="A3834">
        <v>30170</v>
      </c>
      <c r="B3834" t="s">
        <v>4</v>
      </c>
      <c r="C3834">
        <v>4</v>
      </c>
      <c r="D3834" t="s">
        <v>5</v>
      </c>
      <c r="F3834" t="str" cm="1">
        <f t="array" ref="F3834">CategorizeComment(E3834)</f>
        <v>Other</v>
      </c>
      <c r="G3834" t="str" cm="1">
        <f t="array" ref="G3834">SubCategorizeComment(E3834)</f>
        <v>Other</v>
      </c>
    </row>
    <row r="3835" spans="1:7" x14ac:dyDescent="0.25">
      <c r="A3835">
        <v>30182</v>
      </c>
      <c r="B3835" t="s">
        <v>4</v>
      </c>
      <c r="C3835">
        <v>3</v>
      </c>
      <c r="D3835" t="s">
        <v>5</v>
      </c>
      <c r="F3835" t="str" cm="1">
        <f t="array" ref="F3835">CategorizeComment(E3835)</f>
        <v>Other</v>
      </c>
      <c r="G3835" t="str" cm="1">
        <f t="array" ref="G3835">SubCategorizeComment(E3835)</f>
        <v>Other</v>
      </c>
    </row>
    <row r="3836" spans="1:7" x14ac:dyDescent="0.25">
      <c r="A3836">
        <v>30207</v>
      </c>
      <c r="B3836" t="s">
        <v>4</v>
      </c>
      <c r="C3836">
        <v>4</v>
      </c>
      <c r="D3836" t="s">
        <v>5</v>
      </c>
      <c r="F3836" t="str" cm="1">
        <f t="array" ref="F3836">CategorizeComment(E3836)</f>
        <v>Other</v>
      </c>
      <c r="G3836" t="str" cm="1">
        <f t="array" ref="G3836">SubCategorizeComment(E3836)</f>
        <v>Other</v>
      </c>
    </row>
    <row r="3837" spans="1:7" x14ac:dyDescent="0.25">
      <c r="A3837">
        <v>30210</v>
      </c>
      <c r="B3837" t="s">
        <v>4</v>
      </c>
      <c r="C3837">
        <v>4</v>
      </c>
      <c r="D3837" t="s">
        <v>5</v>
      </c>
      <c r="F3837" t="str" cm="1">
        <f t="array" ref="F3837">CategorizeComment(E3837)</f>
        <v>Other</v>
      </c>
      <c r="G3837" t="str" cm="1">
        <f t="array" ref="G3837">SubCategorizeComment(E3837)</f>
        <v>Other</v>
      </c>
    </row>
    <row r="3838" spans="1:7" x14ac:dyDescent="0.25">
      <c r="A3838">
        <v>30222</v>
      </c>
      <c r="B3838" t="s">
        <v>4</v>
      </c>
      <c r="C3838">
        <v>3</v>
      </c>
      <c r="D3838" t="s">
        <v>5</v>
      </c>
      <c r="F3838" t="str" cm="1">
        <f t="array" ref="F3838">CategorizeComment(E3838)</f>
        <v>Other</v>
      </c>
      <c r="G3838" t="str" cm="1">
        <f t="array" ref="G3838">SubCategorizeComment(E3838)</f>
        <v>Other</v>
      </c>
    </row>
    <row r="3839" spans="1:7" x14ac:dyDescent="0.25">
      <c r="A3839">
        <v>30233</v>
      </c>
      <c r="B3839" t="s">
        <v>4</v>
      </c>
      <c r="C3839">
        <v>4</v>
      </c>
      <c r="D3839" t="s">
        <v>5</v>
      </c>
      <c r="F3839" t="str" cm="1">
        <f t="array" ref="F3839">CategorizeComment(E3839)</f>
        <v>Other</v>
      </c>
      <c r="G3839" t="str" cm="1">
        <f t="array" ref="G3839">SubCategorizeComment(E3839)</f>
        <v>Other</v>
      </c>
    </row>
    <row r="3840" spans="1:7" x14ac:dyDescent="0.25">
      <c r="A3840">
        <v>30237</v>
      </c>
      <c r="B3840" t="s">
        <v>4</v>
      </c>
      <c r="C3840">
        <v>4</v>
      </c>
      <c r="D3840" t="s">
        <v>5</v>
      </c>
      <c r="F3840" t="str" cm="1">
        <f t="array" ref="F3840">CategorizeComment(E3840)</f>
        <v>Other</v>
      </c>
      <c r="G3840" t="str" cm="1">
        <f t="array" ref="G3840">SubCategorizeComment(E3840)</f>
        <v>Other</v>
      </c>
    </row>
    <row r="3841" spans="1:7" x14ac:dyDescent="0.25">
      <c r="A3841">
        <v>30243</v>
      </c>
      <c r="B3841" t="s">
        <v>4</v>
      </c>
      <c r="C3841">
        <v>4</v>
      </c>
      <c r="D3841" t="s">
        <v>5</v>
      </c>
      <c r="F3841" t="str" cm="1">
        <f t="array" ref="F3841">CategorizeComment(E3841)</f>
        <v>Other</v>
      </c>
      <c r="G3841" t="str" cm="1">
        <f t="array" ref="G3841">SubCategorizeComment(E3841)</f>
        <v>Other</v>
      </c>
    </row>
    <row r="3842" spans="1:7" x14ac:dyDescent="0.25">
      <c r="A3842">
        <v>30250</v>
      </c>
      <c r="B3842" t="s">
        <v>4</v>
      </c>
      <c r="C3842">
        <v>3</v>
      </c>
      <c r="D3842" t="s">
        <v>5</v>
      </c>
      <c r="F3842" t="str" cm="1">
        <f t="array" ref="F3842">CategorizeComment(E3842)</f>
        <v>Other</v>
      </c>
      <c r="G3842" t="str" cm="1">
        <f t="array" ref="G3842">SubCategorizeComment(E3842)</f>
        <v>Other</v>
      </c>
    </row>
    <row r="3843" spans="1:7" x14ac:dyDescent="0.25">
      <c r="A3843">
        <v>30265</v>
      </c>
      <c r="B3843" t="s">
        <v>4</v>
      </c>
      <c r="C3843">
        <v>4</v>
      </c>
      <c r="D3843" t="s">
        <v>5</v>
      </c>
      <c r="F3843" t="str" cm="1">
        <f t="array" ref="F3843">CategorizeComment(E3843)</f>
        <v>Other</v>
      </c>
      <c r="G3843" t="str" cm="1">
        <f t="array" ref="G3843">SubCategorizeComment(E3843)</f>
        <v>Other</v>
      </c>
    </row>
    <row r="3844" spans="1:7" x14ac:dyDescent="0.25">
      <c r="A3844">
        <v>30282</v>
      </c>
      <c r="B3844" t="s">
        <v>4</v>
      </c>
      <c r="C3844">
        <v>4</v>
      </c>
      <c r="D3844" t="s">
        <v>5</v>
      </c>
      <c r="F3844" t="str" cm="1">
        <f t="array" ref="F3844">CategorizeComment(E3844)</f>
        <v>Other</v>
      </c>
      <c r="G3844" t="str" cm="1">
        <f t="array" ref="G3844">SubCategorizeComment(E3844)</f>
        <v>Other</v>
      </c>
    </row>
    <row r="3845" spans="1:7" x14ac:dyDescent="0.25">
      <c r="A3845">
        <v>30304</v>
      </c>
      <c r="B3845" t="s">
        <v>4</v>
      </c>
      <c r="C3845">
        <v>4</v>
      </c>
      <c r="D3845" t="s">
        <v>5</v>
      </c>
      <c r="F3845" t="str" cm="1">
        <f t="array" ref="F3845">CategorizeComment(E3845)</f>
        <v>Other</v>
      </c>
      <c r="G3845" t="str" cm="1">
        <f t="array" ref="G3845">SubCategorizeComment(E3845)</f>
        <v>Other</v>
      </c>
    </row>
    <row r="3846" spans="1:7" x14ac:dyDescent="0.25">
      <c r="A3846">
        <v>30306</v>
      </c>
      <c r="B3846" t="s">
        <v>4</v>
      </c>
      <c r="C3846">
        <v>3</v>
      </c>
      <c r="D3846" t="s">
        <v>5</v>
      </c>
      <c r="F3846" t="str" cm="1">
        <f t="array" ref="F3846">CategorizeComment(E3846)</f>
        <v>Other</v>
      </c>
      <c r="G3846" t="str" cm="1">
        <f t="array" ref="G3846">SubCategorizeComment(E3846)</f>
        <v>Other</v>
      </c>
    </row>
    <row r="3847" spans="1:7" x14ac:dyDescent="0.25">
      <c r="A3847">
        <v>30307</v>
      </c>
      <c r="B3847" t="s">
        <v>4</v>
      </c>
      <c r="C3847">
        <v>3</v>
      </c>
      <c r="D3847" t="s">
        <v>5</v>
      </c>
      <c r="F3847" t="str" cm="1">
        <f t="array" ref="F3847">CategorizeComment(E3847)</f>
        <v>Other</v>
      </c>
      <c r="G3847" t="str" cm="1">
        <f t="array" ref="G3847">SubCategorizeComment(E3847)</f>
        <v>Other</v>
      </c>
    </row>
    <row r="3848" spans="1:7" x14ac:dyDescent="0.25">
      <c r="A3848">
        <v>30374</v>
      </c>
      <c r="B3848" t="s">
        <v>4</v>
      </c>
      <c r="C3848">
        <v>4</v>
      </c>
      <c r="D3848" t="s">
        <v>5</v>
      </c>
      <c r="F3848" t="str" cm="1">
        <f t="array" ref="F3848">CategorizeComment(E3848)</f>
        <v>Other</v>
      </c>
      <c r="G3848" t="str" cm="1">
        <f t="array" ref="G3848">SubCategorizeComment(E3848)</f>
        <v>Other</v>
      </c>
    </row>
    <row r="3849" spans="1:7" x14ac:dyDescent="0.25">
      <c r="A3849">
        <v>30375</v>
      </c>
      <c r="B3849" t="s">
        <v>4</v>
      </c>
      <c r="C3849">
        <v>4</v>
      </c>
      <c r="D3849" t="s">
        <v>5</v>
      </c>
      <c r="F3849" t="str" cm="1">
        <f t="array" ref="F3849">CategorizeComment(E3849)</f>
        <v>Other</v>
      </c>
      <c r="G3849" t="str" cm="1">
        <f t="array" ref="G3849">SubCategorizeComment(E3849)</f>
        <v>Other</v>
      </c>
    </row>
    <row r="3850" spans="1:7" x14ac:dyDescent="0.25">
      <c r="A3850">
        <v>30379</v>
      </c>
      <c r="B3850" t="s">
        <v>4</v>
      </c>
      <c r="C3850">
        <v>3</v>
      </c>
      <c r="D3850" t="s">
        <v>5</v>
      </c>
      <c r="F3850" t="str" cm="1">
        <f t="array" ref="F3850">CategorizeComment(E3850)</f>
        <v>Other</v>
      </c>
      <c r="G3850" t="str" cm="1">
        <f t="array" ref="G3850">SubCategorizeComment(E3850)</f>
        <v>Other</v>
      </c>
    </row>
    <row r="3851" spans="1:7" x14ac:dyDescent="0.25">
      <c r="A3851">
        <v>30387</v>
      </c>
      <c r="B3851" t="s">
        <v>4</v>
      </c>
      <c r="C3851">
        <v>3</v>
      </c>
      <c r="D3851" t="s">
        <v>5</v>
      </c>
      <c r="F3851" t="str" cm="1">
        <f t="array" ref="F3851">CategorizeComment(E3851)</f>
        <v>Other</v>
      </c>
      <c r="G3851" t="str" cm="1">
        <f t="array" ref="G3851">SubCategorizeComment(E3851)</f>
        <v>Other</v>
      </c>
    </row>
    <row r="3852" spans="1:7" x14ac:dyDescent="0.25">
      <c r="A3852">
        <v>30395</v>
      </c>
      <c r="B3852" t="s">
        <v>4</v>
      </c>
      <c r="C3852">
        <v>3</v>
      </c>
      <c r="D3852" t="s">
        <v>5</v>
      </c>
      <c r="F3852" t="str" cm="1">
        <f t="array" ref="F3852">CategorizeComment(E3852)</f>
        <v>Other</v>
      </c>
      <c r="G3852" t="str" cm="1">
        <f t="array" ref="G3852">SubCategorizeComment(E3852)</f>
        <v>Other</v>
      </c>
    </row>
    <row r="3853" spans="1:7" x14ac:dyDescent="0.25">
      <c r="A3853">
        <v>30427</v>
      </c>
      <c r="B3853" t="s">
        <v>4</v>
      </c>
      <c r="C3853">
        <v>4</v>
      </c>
      <c r="D3853" t="s">
        <v>5</v>
      </c>
      <c r="F3853" t="str" cm="1">
        <f t="array" ref="F3853">CategorizeComment(E3853)</f>
        <v>Other</v>
      </c>
      <c r="G3853" t="str" cm="1">
        <f t="array" ref="G3853">SubCategorizeComment(E3853)</f>
        <v>Other</v>
      </c>
    </row>
    <row r="3854" spans="1:7" x14ac:dyDescent="0.25">
      <c r="A3854">
        <v>30466</v>
      </c>
      <c r="B3854" t="s">
        <v>4</v>
      </c>
      <c r="C3854">
        <v>4</v>
      </c>
      <c r="D3854" t="s">
        <v>5</v>
      </c>
      <c r="F3854" t="str" cm="1">
        <f t="array" ref="F3854">CategorizeComment(E3854)</f>
        <v>Other</v>
      </c>
      <c r="G3854" t="str" cm="1">
        <f t="array" ref="G3854">SubCategorizeComment(E3854)</f>
        <v>Other</v>
      </c>
    </row>
    <row r="3855" spans="1:7" x14ac:dyDescent="0.25">
      <c r="A3855">
        <v>30471</v>
      </c>
      <c r="B3855" t="s">
        <v>4</v>
      </c>
      <c r="C3855">
        <v>3</v>
      </c>
      <c r="D3855" t="s">
        <v>5</v>
      </c>
      <c r="F3855" t="str" cm="1">
        <f t="array" ref="F3855">CategorizeComment(E3855)</f>
        <v>Other</v>
      </c>
      <c r="G3855" t="str" cm="1">
        <f t="array" ref="G3855">SubCategorizeComment(E3855)</f>
        <v>Other</v>
      </c>
    </row>
    <row r="3856" spans="1:7" x14ac:dyDescent="0.25">
      <c r="A3856">
        <v>30479</v>
      </c>
      <c r="B3856" t="s">
        <v>4</v>
      </c>
      <c r="C3856">
        <v>4</v>
      </c>
      <c r="D3856" t="s">
        <v>5</v>
      </c>
      <c r="F3856" t="str" cm="1">
        <f t="array" ref="F3856">CategorizeComment(E3856)</f>
        <v>Other</v>
      </c>
      <c r="G3856" t="str" cm="1">
        <f t="array" ref="G3856">SubCategorizeComment(E3856)</f>
        <v>Other</v>
      </c>
    </row>
    <row r="3857" spans="1:7" x14ac:dyDescent="0.25">
      <c r="A3857">
        <v>30482</v>
      </c>
      <c r="B3857" t="s">
        <v>4</v>
      </c>
      <c r="C3857">
        <v>4</v>
      </c>
      <c r="D3857" t="s">
        <v>5</v>
      </c>
      <c r="F3857" t="str" cm="1">
        <f t="array" ref="F3857">CategorizeComment(E3857)</f>
        <v>Other</v>
      </c>
      <c r="G3857" t="str" cm="1">
        <f t="array" ref="G3857">SubCategorizeComment(E3857)</f>
        <v>Other</v>
      </c>
    </row>
    <row r="3858" spans="1:7" x14ac:dyDescent="0.25">
      <c r="A3858">
        <v>30487</v>
      </c>
      <c r="B3858" t="s">
        <v>4</v>
      </c>
      <c r="C3858">
        <v>4</v>
      </c>
      <c r="D3858" t="s">
        <v>5</v>
      </c>
      <c r="F3858" t="str" cm="1">
        <f t="array" ref="F3858">CategorizeComment(E3858)</f>
        <v>Other</v>
      </c>
      <c r="G3858" t="str" cm="1">
        <f t="array" ref="G3858">SubCategorizeComment(E3858)</f>
        <v>Other</v>
      </c>
    </row>
    <row r="3859" spans="1:7" x14ac:dyDescent="0.25">
      <c r="A3859">
        <v>30491</v>
      </c>
      <c r="B3859" t="s">
        <v>4</v>
      </c>
      <c r="C3859">
        <v>3</v>
      </c>
      <c r="D3859" t="s">
        <v>5</v>
      </c>
      <c r="F3859" t="str" cm="1">
        <f t="array" ref="F3859">CategorizeComment(E3859)</f>
        <v>Other</v>
      </c>
      <c r="G3859" t="str" cm="1">
        <f t="array" ref="G3859">SubCategorizeComment(E3859)</f>
        <v>Other</v>
      </c>
    </row>
    <row r="3860" spans="1:7" x14ac:dyDescent="0.25">
      <c r="A3860">
        <v>30492</v>
      </c>
      <c r="B3860" t="s">
        <v>4</v>
      </c>
      <c r="C3860">
        <v>4</v>
      </c>
      <c r="D3860" t="s">
        <v>5</v>
      </c>
      <c r="F3860" t="str" cm="1">
        <f t="array" ref="F3860">CategorizeComment(E3860)</f>
        <v>Other</v>
      </c>
      <c r="G3860" t="str" cm="1">
        <f t="array" ref="G3860">SubCategorizeComment(E3860)</f>
        <v>Other</v>
      </c>
    </row>
    <row r="3861" spans="1:7" x14ac:dyDescent="0.25">
      <c r="A3861">
        <v>30494</v>
      </c>
      <c r="B3861" t="s">
        <v>4</v>
      </c>
      <c r="C3861">
        <v>4</v>
      </c>
      <c r="D3861" t="s">
        <v>5</v>
      </c>
      <c r="F3861" t="str" cm="1">
        <f t="array" ref="F3861">CategorizeComment(E3861)</f>
        <v>Other</v>
      </c>
      <c r="G3861" t="str" cm="1">
        <f t="array" ref="G3861">SubCategorizeComment(E3861)</f>
        <v>Other</v>
      </c>
    </row>
    <row r="3862" spans="1:7" x14ac:dyDescent="0.25">
      <c r="A3862">
        <v>30495</v>
      </c>
      <c r="B3862" t="s">
        <v>4</v>
      </c>
      <c r="C3862">
        <v>4</v>
      </c>
      <c r="D3862" t="s">
        <v>5</v>
      </c>
      <c r="F3862" t="str" cm="1">
        <f t="array" ref="F3862">CategorizeComment(E3862)</f>
        <v>Other</v>
      </c>
      <c r="G3862" t="str" cm="1">
        <f t="array" ref="G3862">SubCategorizeComment(E3862)</f>
        <v>Other</v>
      </c>
    </row>
    <row r="3863" spans="1:7" x14ac:dyDescent="0.25">
      <c r="A3863">
        <v>30501</v>
      </c>
      <c r="B3863" t="s">
        <v>4</v>
      </c>
      <c r="C3863">
        <v>3</v>
      </c>
      <c r="D3863" t="s">
        <v>5</v>
      </c>
      <c r="F3863" t="str" cm="1">
        <f t="array" ref="F3863">CategorizeComment(E3863)</f>
        <v>Other</v>
      </c>
      <c r="G3863" t="str" cm="1">
        <f t="array" ref="G3863">SubCategorizeComment(E3863)</f>
        <v>Other</v>
      </c>
    </row>
    <row r="3864" spans="1:7" x14ac:dyDescent="0.25">
      <c r="A3864">
        <v>30505</v>
      </c>
      <c r="B3864" t="s">
        <v>4</v>
      </c>
      <c r="C3864">
        <v>4</v>
      </c>
      <c r="D3864" t="s">
        <v>5</v>
      </c>
      <c r="F3864" t="str" cm="1">
        <f t="array" ref="F3864">CategorizeComment(E3864)</f>
        <v>Other</v>
      </c>
      <c r="G3864" t="str" cm="1">
        <f t="array" ref="G3864">SubCategorizeComment(E3864)</f>
        <v>Other</v>
      </c>
    </row>
    <row r="3865" spans="1:7" x14ac:dyDescent="0.25">
      <c r="A3865">
        <v>30524</v>
      </c>
      <c r="B3865" t="s">
        <v>4</v>
      </c>
      <c r="C3865">
        <v>3</v>
      </c>
      <c r="D3865" t="s">
        <v>5</v>
      </c>
      <c r="F3865" t="str" cm="1">
        <f t="array" ref="F3865">CategorizeComment(E3865)</f>
        <v>Other</v>
      </c>
      <c r="G3865" t="str" cm="1">
        <f t="array" ref="G3865">SubCategorizeComment(E3865)</f>
        <v>Other</v>
      </c>
    </row>
    <row r="3866" spans="1:7" x14ac:dyDescent="0.25">
      <c r="A3866">
        <v>30542</v>
      </c>
      <c r="B3866" t="s">
        <v>4</v>
      </c>
      <c r="C3866">
        <v>4</v>
      </c>
      <c r="D3866" t="s">
        <v>5</v>
      </c>
      <c r="F3866" t="str" cm="1">
        <f t="array" ref="F3866">CategorizeComment(E3866)</f>
        <v>Other</v>
      </c>
      <c r="G3866" t="str" cm="1">
        <f t="array" ref="G3866">SubCategorizeComment(E3866)</f>
        <v>Other</v>
      </c>
    </row>
    <row r="3867" spans="1:7" x14ac:dyDescent="0.25">
      <c r="A3867">
        <v>30548</v>
      </c>
      <c r="B3867" t="s">
        <v>4</v>
      </c>
      <c r="C3867">
        <v>4</v>
      </c>
      <c r="D3867" t="s">
        <v>5</v>
      </c>
      <c r="F3867" t="str" cm="1">
        <f t="array" ref="F3867">CategorizeComment(E3867)</f>
        <v>Other</v>
      </c>
      <c r="G3867" t="str" cm="1">
        <f t="array" ref="G3867">SubCategorizeComment(E3867)</f>
        <v>Other</v>
      </c>
    </row>
    <row r="3868" spans="1:7" x14ac:dyDescent="0.25">
      <c r="A3868">
        <v>30563</v>
      </c>
      <c r="B3868" t="s">
        <v>4</v>
      </c>
      <c r="C3868">
        <v>4</v>
      </c>
      <c r="D3868" t="s">
        <v>5</v>
      </c>
      <c r="F3868" t="str" cm="1">
        <f t="array" ref="F3868">CategorizeComment(E3868)</f>
        <v>Other</v>
      </c>
      <c r="G3868" t="str" cm="1">
        <f t="array" ref="G3868">SubCategorizeComment(E3868)</f>
        <v>Other</v>
      </c>
    </row>
    <row r="3869" spans="1:7" x14ac:dyDescent="0.25">
      <c r="A3869">
        <v>30573</v>
      </c>
      <c r="B3869" t="s">
        <v>4</v>
      </c>
      <c r="C3869">
        <v>3</v>
      </c>
      <c r="D3869" t="s">
        <v>5</v>
      </c>
      <c r="F3869" t="str" cm="1">
        <f t="array" ref="F3869">CategorizeComment(E3869)</f>
        <v>Other</v>
      </c>
      <c r="G3869" t="str" cm="1">
        <f t="array" ref="G3869">SubCategorizeComment(E3869)</f>
        <v>Other</v>
      </c>
    </row>
    <row r="3870" spans="1:7" x14ac:dyDescent="0.25">
      <c r="A3870">
        <v>30574</v>
      </c>
      <c r="B3870" t="s">
        <v>4</v>
      </c>
      <c r="C3870">
        <v>3</v>
      </c>
      <c r="D3870" t="s">
        <v>5</v>
      </c>
      <c r="F3870" t="str" cm="1">
        <f t="array" ref="F3870">CategorizeComment(E3870)</f>
        <v>Other</v>
      </c>
      <c r="G3870" t="str" cm="1">
        <f t="array" ref="G3870">SubCategorizeComment(E3870)</f>
        <v>Other</v>
      </c>
    </row>
    <row r="3871" spans="1:7" x14ac:dyDescent="0.25">
      <c r="A3871">
        <v>30579</v>
      </c>
      <c r="B3871" t="s">
        <v>4</v>
      </c>
      <c r="C3871">
        <v>3</v>
      </c>
      <c r="D3871" t="s">
        <v>5</v>
      </c>
      <c r="F3871" t="str" cm="1">
        <f t="array" ref="F3871">CategorizeComment(E3871)</f>
        <v>Other</v>
      </c>
      <c r="G3871" t="str" cm="1">
        <f t="array" ref="G3871">SubCategorizeComment(E3871)</f>
        <v>Other</v>
      </c>
    </row>
    <row r="3872" spans="1:7" x14ac:dyDescent="0.25">
      <c r="A3872">
        <v>30596</v>
      </c>
      <c r="B3872" t="s">
        <v>4</v>
      </c>
      <c r="C3872">
        <v>4</v>
      </c>
      <c r="D3872" t="s">
        <v>5</v>
      </c>
      <c r="F3872" t="str" cm="1">
        <f t="array" ref="F3872">CategorizeComment(E3872)</f>
        <v>Other</v>
      </c>
      <c r="G3872" t="str" cm="1">
        <f t="array" ref="G3872">SubCategorizeComment(E3872)</f>
        <v>Other</v>
      </c>
    </row>
    <row r="3873" spans="1:7" x14ac:dyDescent="0.25">
      <c r="A3873">
        <v>30603</v>
      </c>
      <c r="B3873" t="s">
        <v>4</v>
      </c>
      <c r="C3873">
        <v>4</v>
      </c>
      <c r="D3873" t="s">
        <v>5</v>
      </c>
      <c r="F3873" t="str" cm="1">
        <f t="array" ref="F3873">CategorizeComment(E3873)</f>
        <v>Other</v>
      </c>
      <c r="G3873" t="str" cm="1">
        <f t="array" ref="G3873">SubCategorizeComment(E3873)</f>
        <v>Other</v>
      </c>
    </row>
    <row r="3874" spans="1:7" x14ac:dyDescent="0.25">
      <c r="A3874">
        <v>30608</v>
      </c>
      <c r="B3874" t="s">
        <v>4</v>
      </c>
      <c r="C3874">
        <v>3</v>
      </c>
      <c r="D3874" t="s">
        <v>5</v>
      </c>
      <c r="F3874" t="str" cm="1">
        <f t="array" ref="F3874">CategorizeComment(E3874)</f>
        <v>Other</v>
      </c>
      <c r="G3874" t="str" cm="1">
        <f t="array" ref="G3874">SubCategorizeComment(E3874)</f>
        <v>Other</v>
      </c>
    </row>
    <row r="3875" spans="1:7" x14ac:dyDescent="0.25">
      <c r="A3875">
        <v>30616</v>
      </c>
      <c r="B3875" t="s">
        <v>4</v>
      </c>
      <c r="C3875">
        <v>4</v>
      </c>
      <c r="D3875" t="s">
        <v>5</v>
      </c>
      <c r="F3875" t="str" cm="1">
        <f t="array" ref="F3875">CategorizeComment(E3875)</f>
        <v>Other</v>
      </c>
      <c r="G3875" t="str" cm="1">
        <f t="array" ref="G3875">SubCategorizeComment(E3875)</f>
        <v>Other</v>
      </c>
    </row>
    <row r="3876" spans="1:7" x14ac:dyDescent="0.25">
      <c r="A3876">
        <v>30621</v>
      </c>
      <c r="B3876" t="s">
        <v>4</v>
      </c>
      <c r="C3876">
        <v>4</v>
      </c>
      <c r="D3876" t="s">
        <v>5</v>
      </c>
      <c r="F3876" t="str" cm="1">
        <f t="array" ref="F3876">CategorizeComment(E3876)</f>
        <v>Other</v>
      </c>
      <c r="G3876" t="str" cm="1">
        <f t="array" ref="G3876">SubCategorizeComment(E3876)</f>
        <v>Other</v>
      </c>
    </row>
    <row r="3877" spans="1:7" x14ac:dyDescent="0.25">
      <c r="A3877">
        <v>30625</v>
      </c>
      <c r="B3877" t="s">
        <v>4</v>
      </c>
      <c r="C3877">
        <v>4</v>
      </c>
      <c r="D3877" t="s">
        <v>5</v>
      </c>
      <c r="F3877" t="str" cm="1">
        <f t="array" ref="F3877">CategorizeComment(E3877)</f>
        <v>Other</v>
      </c>
      <c r="G3877" t="str" cm="1">
        <f t="array" ref="G3877">SubCategorizeComment(E3877)</f>
        <v>Other</v>
      </c>
    </row>
    <row r="3878" spans="1:7" x14ac:dyDescent="0.25">
      <c r="A3878">
        <v>30636</v>
      </c>
      <c r="B3878" t="s">
        <v>4</v>
      </c>
      <c r="C3878">
        <v>3</v>
      </c>
      <c r="D3878" t="s">
        <v>5</v>
      </c>
      <c r="F3878" t="str" cm="1">
        <f t="array" ref="F3878">CategorizeComment(E3878)</f>
        <v>Other</v>
      </c>
      <c r="G3878" t="str" cm="1">
        <f t="array" ref="G3878">SubCategorizeComment(E3878)</f>
        <v>Other</v>
      </c>
    </row>
    <row r="3879" spans="1:7" x14ac:dyDescent="0.25">
      <c r="A3879">
        <v>30643</v>
      </c>
      <c r="B3879" t="s">
        <v>4</v>
      </c>
      <c r="C3879">
        <v>4</v>
      </c>
      <c r="D3879" t="s">
        <v>5</v>
      </c>
      <c r="F3879" t="str" cm="1">
        <f t="array" ref="F3879">CategorizeComment(E3879)</f>
        <v>Other</v>
      </c>
      <c r="G3879" t="str" cm="1">
        <f t="array" ref="G3879">SubCategorizeComment(E3879)</f>
        <v>Other</v>
      </c>
    </row>
    <row r="3880" spans="1:7" x14ac:dyDescent="0.25">
      <c r="A3880">
        <v>30645</v>
      </c>
      <c r="B3880" t="s">
        <v>4</v>
      </c>
      <c r="C3880">
        <v>3</v>
      </c>
      <c r="D3880" t="s">
        <v>5</v>
      </c>
      <c r="F3880" t="str" cm="1">
        <f t="array" ref="F3880">CategorizeComment(E3880)</f>
        <v>Other</v>
      </c>
      <c r="G3880" t="str" cm="1">
        <f t="array" ref="G3880">SubCategorizeComment(E3880)</f>
        <v>Other</v>
      </c>
    </row>
    <row r="3881" spans="1:7" x14ac:dyDescent="0.25">
      <c r="A3881">
        <v>30666</v>
      </c>
      <c r="B3881" t="s">
        <v>4</v>
      </c>
      <c r="C3881">
        <v>3</v>
      </c>
      <c r="D3881" t="s">
        <v>5</v>
      </c>
      <c r="F3881" t="str" cm="1">
        <f t="array" ref="F3881">CategorizeComment(E3881)</f>
        <v>Other</v>
      </c>
      <c r="G3881" t="str" cm="1">
        <f t="array" ref="G3881">SubCategorizeComment(E3881)</f>
        <v>Other</v>
      </c>
    </row>
    <row r="3882" spans="1:7" x14ac:dyDescent="0.25">
      <c r="A3882">
        <v>30685</v>
      </c>
      <c r="B3882" t="s">
        <v>4</v>
      </c>
      <c r="C3882">
        <v>3</v>
      </c>
      <c r="D3882" t="s">
        <v>5</v>
      </c>
      <c r="F3882" t="str" cm="1">
        <f t="array" ref="F3882">CategorizeComment(E3882)</f>
        <v>Other</v>
      </c>
      <c r="G3882" t="str" cm="1">
        <f t="array" ref="G3882">SubCategorizeComment(E3882)</f>
        <v>Other</v>
      </c>
    </row>
    <row r="3883" spans="1:7" x14ac:dyDescent="0.25">
      <c r="A3883">
        <v>30687</v>
      </c>
      <c r="B3883" t="s">
        <v>4</v>
      </c>
      <c r="C3883">
        <v>3</v>
      </c>
      <c r="D3883" t="s">
        <v>5</v>
      </c>
      <c r="F3883" t="str" cm="1">
        <f t="array" ref="F3883">CategorizeComment(E3883)</f>
        <v>Other</v>
      </c>
      <c r="G3883" t="str" cm="1">
        <f t="array" ref="G3883">SubCategorizeComment(E3883)</f>
        <v>Other</v>
      </c>
    </row>
    <row r="3884" spans="1:7" x14ac:dyDescent="0.25">
      <c r="A3884">
        <v>30694</v>
      </c>
      <c r="B3884" t="s">
        <v>4</v>
      </c>
      <c r="C3884">
        <v>4</v>
      </c>
      <c r="D3884" t="s">
        <v>5</v>
      </c>
      <c r="F3884" t="str" cm="1">
        <f t="array" ref="F3884">CategorizeComment(E3884)</f>
        <v>Other</v>
      </c>
      <c r="G3884" t="str" cm="1">
        <f t="array" ref="G3884">SubCategorizeComment(E3884)</f>
        <v>Other</v>
      </c>
    </row>
    <row r="3885" spans="1:7" x14ac:dyDescent="0.25">
      <c r="A3885">
        <v>30699</v>
      </c>
      <c r="B3885" t="s">
        <v>4</v>
      </c>
      <c r="C3885">
        <v>4</v>
      </c>
      <c r="D3885" t="s">
        <v>5</v>
      </c>
      <c r="F3885" t="str" cm="1">
        <f t="array" ref="F3885">CategorizeComment(E3885)</f>
        <v>Other</v>
      </c>
      <c r="G3885" t="str" cm="1">
        <f t="array" ref="G3885">SubCategorizeComment(E3885)</f>
        <v>Other</v>
      </c>
    </row>
    <row r="3886" spans="1:7" x14ac:dyDescent="0.25">
      <c r="A3886">
        <v>30718</v>
      </c>
      <c r="B3886" t="s">
        <v>4</v>
      </c>
      <c r="C3886">
        <v>3</v>
      </c>
      <c r="D3886" t="s">
        <v>5</v>
      </c>
      <c r="F3886" t="str" cm="1">
        <f t="array" ref="F3886">CategorizeComment(E3886)</f>
        <v>Other</v>
      </c>
      <c r="G3886" t="str" cm="1">
        <f t="array" ref="G3886">SubCategorizeComment(E3886)</f>
        <v>Other</v>
      </c>
    </row>
    <row r="3887" spans="1:7" x14ac:dyDescent="0.25">
      <c r="A3887">
        <v>30728</v>
      </c>
      <c r="B3887" t="s">
        <v>4</v>
      </c>
      <c r="C3887">
        <v>3</v>
      </c>
      <c r="D3887" t="s">
        <v>5</v>
      </c>
      <c r="F3887" t="str" cm="1">
        <f t="array" ref="F3887">CategorizeComment(E3887)</f>
        <v>Other</v>
      </c>
      <c r="G3887" t="str" cm="1">
        <f t="array" ref="G3887">SubCategorizeComment(E3887)</f>
        <v>Other</v>
      </c>
    </row>
    <row r="3888" spans="1:7" x14ac:dyDescent="0.25">
      <c r="A3888">
        <v>30732</v>
      </c>
      <c r="B3888" t="s">
        <v>4</v>
      </c>
      <c r="C3888">
        <v>4</v>
      </c>
      <c r="D3888" t="s">
        <v>5</v>
      </c>
      <c r="F3888" t="str" cm="1">
        <f t="array" ref="F3888">CategorizeComment(E3888)</f>
        <v>Other</v>
      </c>
      <c r="G3888" t="str" cm="1">
        <f t="array" ref="G3888">SubCategorizeComment(E3888)</f>
        <v>Other</v>
      </c>
    </row>
    <row r="3889" spans="1:7" x14ac:dyDescent="0.25">
      <c r="A3889">
        <v>30734</v>
      </c>
      <c r="B3889" t="s">
        <v>4</v>
      </c>
      <c r="C3889">
        <v>3</v>
      </c>
      <c r="D3889" t="s">
        <v>5</v>
      </c>
      <c r="F3889" t="str" cm="1">
        <f t="array" ref="F3889">CategorizeComment(E3889)</f>
        <v>Other</v>
      </c>
      <c r="G3889" t="str" cm="1">
        <f t="array" ref="G3889">SubCategorizeComment(E3889)</f>
        <v>Other</v>
      </c>
    </row>
    <row r="3890" spans="1:7" x14ac:dyDescent="0.25">
      <c r="A3890">
        <v>30735</v>
      </c>
      <c r="B3890" t="s">
        <v>4</v>
      </c>
      <c r="C3890">
        <v>3</v>
      </c>
      <c r="D3890" t="s">
        <v>5</v>
      </c>
      <c r="F3890" t="str" cm="1">
        <f t="array" ref="F3890">CategorizeComment(E3890)</f>
        <v>Other</v>
      </c>
      <c r="G3890" t="str" cm="1">
        <f t="array" ref="G3890">SubCategorizeComment(E3890)</f>
        <v>Other</v>
      </c>
    </row>
    <row r="3891" spans="1:7" x14ac:dyDescent="0.25">
      <c r="A3891">
        <v>30741</v>
      </c>
      <c r="B3891" t="s">
        <v>4</v>
      </c>
      <c r="C3891">
        <v>3</v>
      </c>
      <c r="D3891" t="s">
        <v>5</v>
      </c>
      <c r="F3891" t="str" cm="1">
        <f t="array" ref="F3891">CategorizeComment(E3891)</f>
        <v>Other</v>
      </c>
      <c r="G3891" t="str" cm="1">
        <f t="array" ref="G3891">SubCategorizeComment(E3891)</f>
        <v>Other</v>
      </c>
    </row>
    <row r="3892" spans="1:7" x14ac:dyDescent="0.25">
      <c r="A3892">
        <v>30748</v>
      </c>
      <c r="B3892" t="s">
        <v>4</v>
      </c>
      <c r="C3892">
        <v>3</v>
      </c>
      <c r="D3892" t="s">
        <v>5</v>
      </c>
      <c r="F3892" t="str" cm="1">
        <f t="array" ref="F3892">CategorizeComment(E3892)</f>
        <v>Other</v>
      </c>
      <c r="G3892" t="str" cm="1">
        <f t="array" ref="G3892">SubCategorizeComment(E3892)</f>
        <v>Other</v>
      </c>
    </row>
    <row r="3893" spans="1:7" x14ac:dyDescent="0.25">
      <c r="A3893">
        <v>30762</v>
      </c>
      <c r="B3893" t="s">
        <v>4</v>
      </c>
      <c r="C3893">
        <v>4</v>
      </c>
      <c r="D3893" t="s">
        <v>5</v>
      </c>
      <c r="F3893" t="str" cm="1">
        <f t="array" ref="F3893">CategorizeComment(E3893)</f>
        <v>Other</v>
      </c>
      <c r="G3893" t="str" cm="1">
        <f t="array" ref="G3893">SubCategorizeComment(E3893)</f>
        <v>Other</v>
      </c>
    </row>
    <row r="3894" spans="1:7" x14ac:dyDescent="0.25">
      <c r="A3894">
        <v>30772</v>
      </c>
      <c r="B3894" t="s">
        <v>4</v>
      </c>
      <c r="C3894">
        <v>4</v>
      </c>
      <c r="D3894" t="s">
        <v>5</v>
      </c>
      <c r="F3894" t="str" cm="1">
        <f t="array" ref="F3894">CategorizeComment(E3894)</f>
        <v>Other</v>
      </c>
      <c r="G3894" t="str" cm="1">
        <f t="array" ref="G3894">SubCategorizeComment(E3894)</f>
        <v>Other</v>
      </c>
    </row>
    <row r="3895" spans="1:7" x14ac:dyDescent="0.25">
      <c r="A3895">
        <v>30776</v>
      </c>
      <c r="B3895" t="s">
        <v>4</v>
      </c>
      <c r="C3895">
        <v>3</v>
      </c>
      <c r="D3895" t="s">
        <v>5</v>
      </c>
      <c r="F3895" t="str" cm="1">
        <f t="array" ref="F3895">CategorizeComment(E3895)</f>
        <v>Other</v>
      </c>
      <c r="G3895" t="str" cm="1">
        <f t="array" ref="G3895">SubCategorizeComment(E3895)</f>
        <v>Other</v>
      </c>
    </row>
    <row r="3896" spans="1:7" x14ac:dyDescent="0.25">
      <c r="A3896">
        <v>30778</v>
      </c>
      <c r="B3896" t="s">
        <v>4</v>
      </c>
      <c r="C3896">
        <v>3</v>
      </c>
      <c r="D3896" t="s">
        <v>5</v>
      </c>
      <c r="F3896" t="str" cm="1">
        <f t="array" ref="F3896">CategorizeComment(E3896)</f>
        <v>Other</v>
      </c>
      <c r="G3896" t="str" cm="1">
        <f t="array" ref="G3896">SubCategorizeComment(E3896)</f>
        <v>Other</v>
      </c>
    </row>
    <row r="3897" spans="1:7" x14ac:dyDescent="0.25">
      <c r="A3897">
        <v>30786</v>
      </c>
      <c r="B3897" t="s">
        <v>4</v>
      </c>
      <c r="C3897">
        <v>3</v>
      </c>
      <c r="D3897" t="s">
        <v>5</v>
      </c>
      <c r="F3897" t="str" cm="1">
        <f t="array" ref="F3897">CategorizeComment(E3897)</f>
        <v>Other</v>
      </c>
      <c r="G3897" t="str" cm="1">
        <f t="array" ref="G3897">SubCategorizeComment(E3897)</f>
        <v>Other</v>
      </c>
    </row>
    <row r="3898" spans="1:7" x14ac:dyDescent="0.25">
      <c r="A3898">
        <v>30793</v>
      </c>
      <c r="B3898" t="s">
        <v>4</v>
      </c>
      <c r="C3898">
        <v>3</v>
      </c>
      <c r="D3898" t="s">
        <v>5</v>
      </c>
      <c r="F3898" t="str" cm="1">
        <f t="array" ref="F3898">CategorizeComment(E3898)</f>
        <v>Other</v>
      </c>
      <c r="G3898" t="str" cm="1">
        <f t="array" ref="G3898">SubCategorizeComment(E3898)</f>
        <v>Other</v>
      </c>
    </row>
    <row r="3899" spans="1:7" x14ac:dyDescent="0.25">
      <c r="A3899">
        <v>30796</v>
      </c>
      <c r="B3899" t="s">
        <v>4</v>
      </c>
      <c r="C3899">
        <v>4</v>
      </c>
      <c r="D3899" t="s">
        <v>5</v>
      </c>
      <c r="F3899" t="str" cm="1">
        <f t="array" ref="F3899">CategorizeComment(E3899)</f>
        <v>Other</v>
      </c>
      <c r="G3899" t="str" cm="1">
        <f t="array" ref="G3899">SubCategorizeComment(E3899)</f>
        <v>Other</v>
      </c>
    </row>
    <row r="3900" spans="1:7" x14ac:dyDescent="0.25">
      <c r="A3900">
        <v>30804</v>
      </c>
      <c r="B3900" t="s">
        <v>4</v>
      </c>
      <c r="C3900">
        <v>4</v>
      </c>
      <c r="D3900" t="s">
        <v>5</v>
      </c>
      <c r="F3900" t="str" cm="1">
        <f t="array" ref="F3900">CategorizeComment(E3900)</f>
        <v>Other</v>
      </c>
      <c r="G3900" t="str" cm="1">
        <f t="array" ref="G3900">SubCategorizeComment(E3900)</f>
        <v>Other</v>
      </c>
    </row>
    <row r="3901" spans="1:7" x14ac:dyDescent="0.25">
      <c r="A3901">
        <v>30819</v>
      </c>
      <c r="B3901" t="s">
        <v>4</v>
      </c>
      <c r="C3901">
        <v>4</v>
      </c>
      <c r="D3901" t="s">
        <v>5</v>
      </c>
      <c r="F3901" t="str" cm="1">
        <f t="array" ref="F3901">CategorizeComment(E3901)</f>
        <v>Other</v>
      </c>
      <c r="G3901" t="str" cm="1">
        <f t="array" ref="G3901">SubCategorizeComment(E3901)</f>
        <v>Other</v>
      </c>
    </row>
    <row r="3902" spans="1:7" x14ac:dyDescent="0.25">
      <c r="A3902">
        <v>30833</v>
      </c>
      <c r="B3902" t="s">
        <v>4</v>
      </c>
      <c r="C3902">
        <v>4</v>
      </c>
      <c r="D3902" t="s">
        <v>5</v>
      </c>
      <c r="F3902" t="str" cm="1">
        <f t="array" ref="F3902">CategorizeComment(E3902)</f>
        <v>Other</v>
      </c>
      <c r="G3902" t="str" cm="1">
        <f t="array" ref="G3902">SubCategorizeComment(E3902)</f>
        <v>Other</v>
      </c>
    </row>
    <row r="3903" spans="1:7" x14ac:dyDescent="0.25">
      <c r="A3903">
        <v>30837</v>
      </c>
      <c r="B3903" t="s">
        <v>4</v>
      </c>
      <c r="C3903">
        <v>4</v>
      </c>
      <c r="D3903" t="s">
        <v>5</v>
      </c>
      <c r="F3903" t="str" cm="1">
        <f t="array" ref="F3903">CategorizeComment(E3903)</f>
        <v>Other</v>
      </c>
      <c r="G3903" t="str" cm="1">
        <f t="array" ref="G3903">SubCategorizeComment(E3903)</f>
        <v>Other</v>
      </c>
    </row>
    <row r="3904" spans="1:7" x14ac:dyDescent="0.25">
      <c r="A3904">
        <v>30841</v>
      </c>
      <c r="B3904" t="s">
        <v>4</v>
      </c>
      <c r="C3904">
        <v>4</v>
      </c>
      <c r="D3904" t="s">
        <v>5</v>
      </c>
      <c r="F3904" t="str" cm="1">
        <f t="array" ref="F3904">CategorizeComment(E3904)</f>
        <v>Other</v>
      </c>
      <c r="G3904" t="str" cm="1">
        <f t="array" ref="G3904">SubCategorizeComment(E3904)</f>
        <v>Other</v>
      </c>
    </row>
    <row r="3905" spans="1:7" x14ac:dyDescent="0.25">
      <c r="A3905">
        <v>30842</v>
      </c>
      <c r="B3905" t="s">
        <v>4</v>
      </c>
      <c r="C3905">
        <v>3</v>
      </c>
      <c r="D3905" t="s">
        <v>5</v>
      </c>
      <c r="F3905" t="str" cm="1">
        <f t="array" ref="F3905">CategorizeComment(E3905)</f>
        <v>Other</v>
      </c>
      <c r="G3905" t="str" cm="1">
        <f t="array" ref="G3905">SubCategorizeComment(E3905)</f>
        <v>Other</v>
      </c>
    </row>
    <row r="3906" spans="1:7" x14ac:dyDescent="0.25">
      <c r="A3906">
        <v>30846</v>
      </c>
      <c r="B3906" t="s">
        <v>4</v>
      </c>
      <c r="C3906">
        <v>4</v>
      </c>
      <c r="D3906" t="s">
        <v>5</v>
      </c>
      <c r="F3906" t="str" cm="1">
        <f t="array" ref="F3906">CategorizeComment(E3906)</f>
        <v>Other</v>
      </c>
      <c r="G3906" t="str" cm="1">
        <f t="array" ref="G3906">SubCategorizeComment(E3906)</f>
        <v>Other</v>
      </c>
    </row>
    <row r="3907" spans="1:7" x14ac:dyDescent="0.25">
      <c r="A3907">
        <v>30850</v>
      </c>
      <c r="B3907" t="s">
        <v>4</v>
      </c>
      <c r="C3907">
        <v>4</v>
      </c>
      <c r="D3907" t="s">
        <v>5</v>
      </c>
      <c r="F3907" t="str" cm="1">
        <f t="array" ref="F3907">CategorizeComment(E3907)</f>
        <v>Other</v>
      </c>
      <c r="G3907" t="str" cm="1">
        <f t="array" ref="G3907">SubCategorizeComment(E3907)</f>
        <v>Other</v>
      </c>
    </row>
    <row r="3908" spans="1:7" x14ac:dyDescent="0.25">
      <c r="A3908">
        <v>30854</v>
      </c>
      <c r="B3908" t="s">
        <v>4</v>
      </c>
      <c r="C3908">
        <v>4</v>
      </c>
      <c r="D3908" t="s">
        <v>5</v>
      </c>
      <c r="F3908" t="str" cm="1">
        <f t="array" ref="F3908">CategorizeComment(E3908)</f>
        <v>Other</v>
      </c>
      <c r="G3908" t="str" cm="1">
        <f t="array" ref="G3908">SubCategorizeComment(E3908)</f>
        <v>Other</v>
      </c>
    </row>
    <row r="3909" spans="1:7" x14ac:dyDescent="0.25">
      <c r="A3909">
        <v>30867</v>
      </c>
      <c r="B3909" t="s">
        <v>4</v>
      </c>
      <c r="C3909">
        <v>4</v>
      </c>
      <c r="D3909" t="s">
        <v>5</v>
      </c>
      <c r="F3909" t="str" cm="1">
        <f t="array" ref="F3909">CategorizeComment(E3909)</f>
        <v>Other</v>
      </c>
      <c r="G3909" t="str" cm="1">
        <f t="array" ref="G3909">SubCategorizeComment(E3909)</f>
        <v>Other</v>
      </c>
    </row>
    <row r="3910" spans="1:7" x14ac:dyDescent="0.25">
      <c r="A3910">
        <v>30872</v>
      </c>
      <c r="B3910" t="s">
        <v>4</v>
      </c>
      <c r="C3910">
        <v>3</v>
      </c>
      <c r="D3910" t="s">
        <v>5</v>
      </c>
      <c r="F3910" t="str" cm="1">
        <f t="array" ref="F3910">CategorizeComment(E3910)</f>
        <v>Other</v>
      </c>
      <c r="G3910" t="str" cm="1">
        <f t="array" ref="G3910">SubCategorizeComment(E3910)</f>
        <v>Other</v>
      </c>
    </row>
    <row r="3911" spans="1:7" x14ac:dyDescent="0.25">
      <c r="A3911">
        <v>30873</v>
      </c>
      <c r="B3911" t="s">
        <v>4</v>
      </c>
      <c r="C3911">
        <v>3</v>
      </c>
      <c r="D3911" t="s">
        <v>5</v>
      </c>
      <c r="F3911" t="str" cm="1">
        <f t="array" ref="F3911">CategorizeComment(E3911)</f>
        <v>Other</v>
      </c>
      <c r="G3911" t="str" cm="1">
        <f t="array" ref="G3911">SubCategorizeComment(E3911)</f>
        <v>Other</v>
      </c>
    </row>
    <row r="3912" spans="1:7" x14ac:dyDescent="0.25">
      <c r="A3912">
        <v>30878</v>
      </c>
      <c r="B3912" t="s">
        <v>4</v>
      </c>
      <c r="C3912">
        <v>3</v>
      </c>
      <c r="D3912" t="s">
        <v>5</v>
      </c>
      <c r="F3912" t="str" cm="1">
        <f t="array" ref="F3912">CategorizeComment(E3912)</f>
        <v>Other</v>
      </c>
      <c r="G3912" t="str" cm="1">
        <f t="array" ref="G3912">SubCategorizeComment(E3912)</f>
        <v>Other</v>
      </c>
    </row>
    <row r="3913" spans="1:7" x14ac:dyDescent="0.25">
      <c r="A3913">
        <v>30885</v>
      </c>
      <c r="B3913" t="s">
        <v>4</v>
      </c>
      <c r="C3913">
        <v>3</v>
      </c>
      <c r="D3913" t="s">
        <v>5</v>
      </c>
      <c r="F3913" t="str" cm="1">
        <f t="array" ref="F3913">CategorizeComment(E3913)</f>
        <v>Other</v>
      </c>
      <c r="G3913" t="str" cm="1">
        <f t="array" ref="G3913">SubCategorizeComment(E3913)</f>
        <v>Other</v>
      </c>
    </row>
    <row r="3914" spans="1:7" x14ac:dyDescent="0.25">
      <c r="A3914">
        <v>30917</v>
      </c>
      <c r="B3914" t="s">
        <v>4</v>
      </c>
      <c r="C3914">
        <v>3</v>
      </c>
      <c r="D3914" t="s">
        <v>5</v>
      </c>
      <c r="F3914" t="str" cm="1">
        <f t="array" ref="F3914">CategorizeComment(E3914)</f>
        <v>Other</v>
      </c>
      <c r="G3914" t="str" cm="1">
        <f t="array" ref="G3914">SubCategorizeComment(E3914)</f>
        <v>Other</v>
      </c>
    </row>
    <row r="3915" spans="1:7" x14ac:dyDescent="0.25">
      <c r="A3915">
        <v>30921</v>
      </c>
      <c r="B3915" t="s">
        <v>4</v>
      </c>
      <c r="C3915">
        <v>4</v>
      </c>
      <c r="D3915" t="s">
        <v>5</v>
      </c>
      <c r="F3915" t="str" cm="1">
        <f t="array" ref="F3915">CategorizeComment(E3915)</f>
        <v>Other</v>
      </c>
      <c r="G3915" t="str" cm="1">
        <f t="array" ref="G3915">SubCategorizeComment(E3915)</f>
        <v>Other</v>
      </c>
    </row>
    <row r="3916" spans="1:7" x14ac:dyDescent="0.25">
      <c r="A3916">
        <v>30925</v>
      </c>
      <c r="B3916" t="s">
        <v>4</v>
      </c>
      <c r="C3916">
        <v>4</v>
      </c>
      <c r="D3916" t="s">
        <v>5</v>
      </c>
      <c r="F3916" t="str" cm="1">
        <f t="array" ref="F3916">CategorizeComment(E3916)</f>
        <v>Other</v>
      </c>
      <c r="G3916" t="str" cm="1">
        <f t="array" ref="G3916">SubCategorizeComment(E3916)</f>
        <v>Other</v>
      </c>
    </row>
    <row r="3917" spans="1:7" x14ac:dyDescent="0.25">
      <c r="A3917">
        <v>30939</v>
      </c>
      <c r="B3917" t="s">
        <v>4</v>
      </c>
      <c r="C3917">
        <v>4</v>
      </c>
      <c r="D3917" t="s">
        <v>5</v>
      </c>
      <c r="F3917" t="str" cm="1">
        <f t="array" ref="F3917">CategorizeComment(E3917)</f>
        <v>Other</v>
      </c>
      <c r="G3917" t="str" cm="1">
        <f t="array" ref="G3917">SubCategorizeComment(E3917)</f>
        <v>Other</v>
      </c>
    </row>
    <row r="3918" spans="1:7" x14ac:dyDescent="0.25">
      <c r="A3918">
        <v>30941</v>
      </c>
      <c r="B3918" t="s">
        <v>4</v>
      </c>
      <c r="C3918">
        <v>4</v>
      </c>
      <c r="D3918" t="s">
        <v>5</v>
      </c>
      <c r="F3918" t="str" cm="1">
        <f t="array" ref="F3918">CategorizeComment(E3918)</f>
        <v>Other</v>
      </c>
      <c r="G3918" t="str" cm="1">
        <f t="array" ref="G3918">SubCategorizeComment(E3918)</f>
        <v>Other</v>
      </c>
    </row>
    <row r="3919" spans="1:7" x14ac:dyDescent="0.25">
      <c r="A3919">
        <v>30978</v>
      </c>
      <c r="B3919" t="s">
        <v>4</v>
      </c>
      <c r="C3919">
        <v>4</v>
      </c>
      <c r="D3919" t="s">
        <v>5</v>
      </c>
      <c r="F3919" t="str" cm="1">
        <f t="array" ref="F3919">CategorizeComment(E3919)</f>
        <v>Other</v>
      </c>
      <c r="G3919" t="str" cm="1">
        <f t="array" ref="G3919">SubCategorizeComment(E3919)</f>
        <v>Other</v>
      </c>
    </row>
    <row r="3920" spans="1:7" x14ac:dyDescent="0.25">
      <c r="A3920">
        <v>30983</v>
      </c>
      <c r="B3920" t="s">
        <v>4</v>
      </c>
      <c r="C3920">
        <v>4</v>
      </c>
      <c r="D3920" t="s">
        <v>5</v>
      </c>
      <c r="F3920" t="str" cm="1">
        <f t="array" ref="F3920">CategorizeComment(E3920)</f>
        <v>Other</v>
      </c>
      <c r="G3920" t="str" cm="1">
        <f t="array" ref="G3920">SubCategorizeComment(E3920)</f>
        <v>Other</v>
      </c>
    </row>
    <row r="3921" spans="1:7" x14ac:dyDescent="0.25">
      <c r="A3921">
        <v>30986</v>
      </c>
      <c r="B3921" t="s">
        <v>4</v>
      </c>
      <c r="C3921">
        <v>4</v>
      </c>
      <c r="D3921" t="s">
        <v>5</v>
      </c>
      <c r="F3921" t="str" cm="1">
        <f t="array" ref="F3921">CategorizeComment(E3921)</f>
        <v>Other</v>
      </c>
      <c r="G3921" t="str" cm="1">
        <f t="array" ref="G3921">SubCategorizeComment(E3921)</f>
        <v>Other</v>
      </c>
    </row>
    <row r="3922" spans="1:7" x14ac:dyDescent="0.25">
      <c r="A3922">
        <v>30989</v>
      </c>
      <c r="B3922" t="s">
        <v>4</v>
      </c>
      <c r="C3922">
        <v>3</v>
      </c>
      <c r="D3922" t="s">
        <v>5</v>
      </c>
      <c r="F3922" t="str" cm="1">
        <f t="array" ref="F3922">CategorizeComment(E3922)</f>
        <v>Other</v>
      </c>
      <c r="G3922" t="str" cm="1">
        <f t="array" ref="G3922">SubCategorizeComment(E3922)</f>
        <v>Other</v>
      </c>
    </row>
    <row r="3923" spans="1:7" x14ac:dyDescent="0.25">
      <c r="A3923">
        <v>31004</v>
      </c>
      <c r="B3923" t="s">
        <v>4</v>
      </c>
      <c r="C3923">
        <v>4</v>
      </c>
      <c r="D3923" t="s">
        <v>5</v>
      </c>
      <c r="F3923" t="str" cm="1">
        <f t="array" ref="F3923">CategorizeComment(E3923)</f>
        <v>Other</v>
      </c>
      <c r="G3923" t="str" cm="1">
        <f t="array" ref="G3923">SubCategorizeComment(E3923)</f>
        <v>Other</v>
      </c>
    </row>
    <row r="3924" spans="1:7" x14ac:dyDescent="0.25">
      <c r="A3924">
        <v>31005</v>
      </c>
      <c r="B3924" t="s">
        <v>4</v>
      </c>
      <c r="C3924">
        <v>3</v>
      </c>
      <c r="D3924" t="s">
        <v>5</v>
      </c>
      <c r="F3924" t="str" cm="1">
        <f t="array" ref="F3924">CategorizeComment(E3924)</f>
        <v>Other</v>
      </c>
      <c r="G3924" t="str" cm="1">
        <f t="array" ref="G3924">SubCategorizeComment(E3924)</f>
        <v>Other</v>
      </c>
    </row>
    <row r="3925" spans="1:7" x14ac:dyDescent="0.25">
      <c r="A3925">
        <v>31008</v>
      </c>
      <c r="B3925" t="s">
        <v>4</v>
      </c>
      <c r="C3925">
        <v>4</v>
      </c>
      <c r="D3925" t="s">
        <v>5</v>
      </c>
      <c r="F3925" t="str" cm="1">
        <f t="array" ref="F3925">CategorizeComment(E3925)</f>
        <v>Other</v>
      </c>
      <c r="G3925" t="str" cm="1">
        <f t="array" ref="G3925">SubCategorizeComment(E3925)</f>
        <v>Other</v>
      </c>
    </row>
    <row r="3926" spans="1:7" x14ac:dyDescent="0.25">
      <c r="A3926">
        <v>31026</v>
      </c>
      <c r="B3926" t="s">
        <v>4</v>
      </c>
      <c r="C3926">
        <v>4</v>
      </c>
      <c r="D3926" t="s">
        <v>5</v>
      </c>
      <c r="F3926" t="str" cm="1">
        <f t="array" ref="F3926">CategorizeComment(E3926)</f>
        <v>Other</v>
      </c>
      <c r="G3926" t="str" cm="1">
        <f t="array" ref="G3926">SubCategorizeComment(E3926)</f>
        <v>Other</v>
      </c>
    </row>
    <row r="3927" spans="1:7" x14ac:dyDescent="0.25">
      <c r="A3927">
        <v>31043</v>
      </c>
      <c r="B3927" t="s">
        <v>4</v>
      </c>
      <c r="C3927">
        <v>3</v>
      </c>
      <c r="D3927" t="s">
        <v>5</v>
      </c>
      <c r="F3927" t="str" cm="1">
        <f t="array" ref="F3927">CategorizeComment(E3927)</f>
        <v>Other</v>
      </c>
      <c r="G3927" t="str" cm="1">
        <f t="array" ref="G3927">SubCategorizeComment(E3927)</f>
        <v>Other</v>
      </c>
    </row>
    <row r="3928" spans="1:7" x14ac:dyDescent="0.25">
      <c r="A3928">
        <v>31050</v>
      </c>
      <c r="B3928" t="s">
        <v>4</v>
      </c>
      <c r="C3928">
        <v>4</v>
      </c>
      <c r="D3928" t="s">
        <v>5</v>
      </c>
      <c r="F3928" t="str" cm="1">
        <f t="array" ref="F3928">CategorizeComment(E3928)</f>
        <v>Other</v>
      </c>
      <c r="G3928" t="str" cm="1">
        <f t="array" ref="G3928">SubCategorizeComment(E3928)</f>
        <v>Other</v>
      </c>
    </row>
    <row r="3929" spans="1:7" x14ac:dyDescent="0.25">
      <c r="A3929">
        <v>31052</v>
      </c>
      <c r="B3929" t="s">
        <v>4</v>
      </c>
      <c r="C3929">
        <v>3</v>
      </c>
      <c r="D3929" t="s">
        <v>5</v>
      </c>
      <c r="F3929" t="str" cm="1">
        <f t="array" ref="F3929">CategorizeComment(E3929)</f>
        <v>Other</v>
      </c>
      <c r="G3929" t="str" cm="1">
        <f t="array" ref="G3929">SubCategorizeComment(E3929)</f>
        <v>Other</v>
      </c>
    </row>
    <row r="3930" spans="1:7" x14ac:dyDescent="0.25">
      <c r="A3930">
        <v>31056</v>
      </c>
      <c r="B3930" t="s">
        <v>4</v>
      </c>
      <c r="C3930">
        <v>4</v>
      </c>
      <c r="D3930" t="s">
        <v>5</v>
      </c>
      <c r="F3930" t="str" cm="1">
        <f t="array" ref="F3930">CategorizeComment(E3930)</f>
        <v>Other</v>
      </c>
      <c r="G3930" t="str" cm="1">
        <f t="array" ref="G3930">SubCategorizeComment(E3930)</f>
        <v>Other</v>
      </c>
    </row>
    <row r="3931" spans="1:7" x14ac:dyDescent="0.25">
      <c r="A3931">
        <v>31084</v>
      </c>
      <c r="B3931" t="s">
        <v>4</v>
      </c>
      <c r="C3931">
        <v>3</v>
      </c>
      <c r="D3931" t="s">
        <v>5</v>
      </c>
      <c r="F3931" t="str" cm="1">
        <f t="array" ref="F3931">CategorizeComment(E3931)</f>
        <v>Other</v>
      </c>
      <c r="G3931" t="str" cm="1">
        <f t="array" ref="G3931">SubCategorizeComment(E3931)</f>
        <v>Other</v>
      </c>
    </row>
    <row r="3932" spans="1:7" x14ac:dyDescent="0.25">
      <c r="A3932">
        <v>31095</v>
      </c>
      <c r="B3932" t="s">
        <v>4</v>
      </c>
      <c r="C3932">
        <v>4</v>
      </c>
      <c r="D3932" t="s">
        <v>5</v>
      </c>
      <c r="F3932" t="str" cm="1">
        <f t="array" ref="F3932">CategorizeComment(E3932)</f>
        <v>Other</v>
      </c>
      <c r="G3932" t="str" cm="1">
        <f t="array" ref="G3932">SubCategorizeComment(E3932)</f>
        <v>Other</v>
      </c>
    </row>
    <row r="3933" spans="1:7" x14ac:dyDescent="0.25">
      <c r="A3933">
        <v>31103</v>
      </c>
      <c r="B3933" t="s">
        <v>4</v>
      </c>
      <c r="C3933">
        <v>3</v>
      </c>
      <c r="D3933" t="s">
        <v>5</v>
      </c>
      <c r="F3933" t="str" cm="1">
        <f t="array" ref="F3933">CategorizeComment(E3933)</f>
        <v>Other</v>
      </c>
      <c r="G3933" t="str" cm="1">
        <f t="array" ref="G3933">SubCategorizeComment(E3933)</f>
        <v>Other</v>
      </c>
    </row>
    <row r="3934" spans="1:7" x14ac:dyDescent="0.25">
      <c r="A3934">
        <v>31108</v>
      </c>
      <c r="B3934" t="s">
        <v>4</v>
      </c>
      <c r="C3934">
        <v>3</v>
      </c>
      <c r="D3934" t="s">
        <v>5</v>
      </c>
      <c r="F3934" t="str" cm="1">
        <f t="array" ref="F3934">CategorizeComment(E3934)</f>
        <v>Other</v>
      </c>
      <c r="G3934" t="str" cm="1">
        <f t="array" ref="G3934">SubCategorizeComment(E3934)</f>
        <v>Other</v>
      </c>
    </row>
    <row r="3935" spans="1:7" x14ac:dyDescent="0.25">
      <c r="A3935">
        <v>31128</v>
      </c>
      <c r="B3935" t="s">
        <v>4</v>
      </c>
      <c r="C3935">
        <v>3</v>
      </c>
      <c r="D3935" t="s">
        <v>5</v>
      </c>
      <c r="F3935" t="str" cm="1">
        <f t="array" ref="F3935">CategorizeComment(E3935)</f>
        <v>Other</v>
      </c>
      <c r="G3935" t="str" cm="1">
        <f t="array" ref="G3935">SubCategorizeComment(E3935)</f>
        <v>Other</v>
      </c>
    </row>
    <row r="3936" spans="1:7" x14ac:dyDescent="0.25">
      <c r="A3936">
        <v>31132</v>
      </c>
      <c r="B3936" t="s">
        <v>4</v>
      </c>
      <c r="C3936">
        <v>3</v>
      </c>
      <c r="D3936" t="s">
        <v>5</v>
      </c>
      <c r="F3936" t="str" cm="1">
        <f t="array" ref="F3936">CategorizeComment(E3936)</f>
        <v>Other</v>
      </c>
      <c r="G3936" t="str" cm="1">
        <f t="array" ref="G3936">SubCategorizeComment(E3936)</f>
        <v>Other</v>
      </c>
    </row>
    <row r="3937" spans="1:7" x14ac:dyDescent="0.25">
      <c r="A3937">
        <v>31151</v>
      </c>
      <c r="B3937" t="s">
        <v>4</v>
      </c>
      <c r="C3937">
        <v>4</v>
      </c>
      <c r="D3937" t="s">
        <v>5</v>
      </c>
      <c r="F3937" t="str" cm="1">
        <f t="array" ref="F3937">CategorizeComment(E3937)</f>
        <v>Other</v>
      </c>
      <c r="G3937" t="str" cm="1">
        <f t="array" ref="G3937">SubCategorizeComment(E3937)</f>
        <v>Other</v>
      </c>
    </row>
    <row r="3938" spans="1:7" x14ac:dyDescent="0.25">
      <c r="A3938">
        <v>31163</v>
      </c>
      <c r="B3938" t="s">
        <v>4</v>
      </c>
      <c r="C3938">
        <v>4</v>
      </c>
      <c r="D3938" t="s">
        <v>5</v>
      </c>
      <c r="F3938" t="str" cm="1">
        <f t="array" ref="F3938">CategorizeComment(E3938)</f>
        <v>Other</v>
      </c>
      <c r="G3938" t="str" cm="1">
        <f t="array" ref="G3938">SubCategorizeComment(E3938)</f>
        <v>Other</v>
      </c>
    </row>
    <row r="3939" spans="1:7" x14ac:dyDescent="0.25">
      <c r="A3939">
        <v>31166</v>
      </c>
      <c r="B3939" t="s">
        <v>4</v>
      </c>
      <c r="C3939">
        <v>4</v>
      </c>
      <c r="D3939" t="s">
        <v>5</v>
      </c>
      <c r="F3939" t="str" cm="1">
        <f t="array" ref="F3939">CategorizeComment(E3939)</f>
        <v>Other</v>
      </c>
      <c r="G3939" t="str" cm="1">
        <f t="array" ref="G3939">SubCategorizeComment(E3939)</f>
        <v>Other</v>
      </c>
    </row>
    <row r="3940" spans="1:7" x14ac:dyDescent="0.25">
      <c r="A3940">
        <v>31173</v>
      </c>
      <c r="B3940" t="s">
        <v>4</v>
      </c>
      <c r="C3940">
        <v>3</v>
      </c>
      <c r="D3940" t="s">
        <v>5</v>
      </c>
      <c r="F3940" t="str" cm="1">
        <f t="array" ref="F3940">CategorizeComment(E3940)</f>
        <v>Other</v>
      </c>
      <c r="G3940" t="str" cm="1">
        <f t="array" ref="G3940">SubCategorizeComment(E3940)</f>
        <v>Other</v>
      </c>
    </row>
    <row r="3941" spans="1:7" x14ac:dyDescent="0.25">
      <c r="A3941">
        <v>31194</v>
      </c>
      <c r="B3941" t="s">
        <v>4</v>
      </c>
      <c r="C3941">
        <v>4</v>
      </c>
      <c r="D3941" t="s">
        <v>5</v>
      </c>
      <c r="F3941" t="str" cm="1">
        <f t="array" ref="F3941">CategorizeComment(E3941)</f>
        <v>Other</v>
      </c>
      <c r="G3941" t="str" cm="1">
        <f t="array" ref="G3941">SubCategorizeComment(E3941)</f>
        <v>Other</v>
      </c>
    </row>
    <row r="3942" spans="1:7" x14ac:dyDescent="0.25">
      <c r="A3942">
        <v>31197</v>
      </c>
      <c r="B3942" t="s">
        <v>4</v>
      </c>
      <c r="C3942">
        <v>4</v>
      </c>
      <c r="D3942" t="s">
        <v>5</v>
      </c>
      <c r="F3942" t="str" cm="1">
        <f t="array" ref="F3942">CategorizeComment(E3942)</f>
        <v>Other</v>
      </c>
      <c r="G3942" t="str" cm="1">
        <f t="array" ref="G3942">SubCategorizeComment(E3942)</f>
        <v>Other</v>
      </c>
    </row>
    <row r="3943" spans="1:7" x14ac:dyDescent="0.25">
      <c r="A3943">
        <v>31203</v>
      </c>
      <c r="B3943" t="s">
        <v>4</v>
      </c>
      <c r="C3943">
        <v>3</v>
      </c>
      <c r="D3943" t="s">
        <v>5</v>
      </c>
      <c r="F3943" t="str" cm="1">
        <f t="array" ref="F3943">CategorizeComment(E3943)</f>
        <v>Other</v>
      </c>
      <c r="G3943" t="str" cm="1">
        <f t="array" ref="G3943">SubCategorizeComment(E3943)</f>
        <v>Other</v>
      </c>
    </row>
    <row r="3944" spans="1:7" x14ac:dyDescent="0.25">
      <c r="A3944">
        <v>31208</v>
      </c>
      <c r="B3944" t="s">
        <v>4</v>
      </c>
      <c r="C3944">
        <v>4</v>
      </c>
      <c r="D3944" t="s">
        <v>5</v>
      </c>
      <c r="F3944" t="str" cm="1">
        <f t="array" ref="F3944">CategorizeComment(E3944)</f>
        <v>Other</v>
      </c>
      <c r="G3944" t="str" cm="1">
        <f t="array" ref="G3944">SubCategorizeComment(E3944)</f>
        <v>Other</v>
      </c>
    </row>
    <row r="3945" spans="1:7" x14ac:dyDescent="0.25">
      <c r="A3945">
        <v>31225</v>
      </c>
      <c r="B3945" t="s">
        <v>4</v>
      </c>
      <c r="C3945">
        <v>3</v>
      </c>
      <c r="D3945" t="s">
        <v>5</v>
      </c>
      <c r="F3945" t="str" cm="1">
        <f t="array" ref="F3945">CategorizeComment(E3945)</f>
        <v>Other</v>
      </c>
      <c r="G3945" t="str" cm="1">
        <f t="array" ref="G3945">SubCategorizeComment(E3945)</f>
        <v>Other</v>
      </c>
    </row>
    <row r="3946" spans="1:7" x14ac:dyDescent="0.25">
      <c r="A3946">
        <v>31227</v>
      </c>
      <c r="B3946" t="s">
        <v>4</v>
      </c>
      <c r="C3946">
        <v>3</v>
      </c>
      <c r="D3946" t="s">
        <v>5</v>
      </c>
      <c r="F3946" t="str" cm="1">
        <f t="array" ref="F3946">CategorizeComment(E3946)</f>
        <v>Other</v>
      </c>
      <c r="G3946" t="str" cm="1">
        <f t="array" ref="G3946">SubCategorizeComment(E3946)</f>
        <v>Other</v>
      </c>
    </row>
    <row r="3947" spans="1:7" x14ac:dyDescent="0.25">
      <c r="A3947">
        <v>31231</v>
      </c>
      <c r="B3947" t="s">
        <v>4</v>
      </c>
      <c r="C3947">
        <v>3</v>
      </c>
      <c r="D3947" t="s">
        <v>5</v>
      </c>
      <c r="F3947" t="str" cm="1">
        <f t="array" ref="F3947">CategorizeComment(E3947)</f>
        <v>Other</v>
      </c>
      <c r="G3947" t="str" cm="1">
        <f t="array" ref="G3947">SubCategorizeComment(E3947)</f>
        <v>Other</v>
      </c>
    </row>
    <row r="3948" spans="1:7" x14ac:dyDescent="0.25">
      <c r="A3948">
        <v>31236</v>
      </c>
      <c r="B3948" t="s">
        <v>4</v>
      </c>
      <c r="C3948">
        <v>4</v>
      </c>
      <c r="D3948" t="s">
        <v>5</v>
      </c>
      <c r="F3948" t="str" cm="1">
        <f t="array" ref="F3948">CategorizeComment(E3948)</f>
        <v>Other</v>
      </c>
      <c r="G3948" t="str" cm="1">
        <f t="array" ref="G3948">SubCategorizeComment(E3948)</f>
        <v>Other</v>
      </c>
    </row>
    <row r="3949" spans="1:7" x14ac:dyDescent="0.25">
      <c r="A3949">
        <v>31242</v>
      </c>
      <c r="B3949" t="s">
        <v>4</v>
      </c>
      <c r="C3949">
        <v>3</v>
      </c>
      <c r="D3949" t="s">
        <v>5</v>
      </c>
      <c r="F3949" t="str" cm="1">
        <f t="array" ref="F3949">CategorizeComment(E3949)</f>
        <v>Other</v>
      </c>
      <c r="G3949" t="str" cm="1">
        <f t="array" ref="G3949">SubCategorizeComment(E3949)</f>
        <v>Other</v>
      </c>
    </row>
    <row r="3950" spans="1:7" x14ac:dyDescent="0.25">
      <c r="A3950">
        <v>31245</v>
      </c>
      <c r="B3950" t="s">
        <v>4</v>
      </c>
      <c r="C3950">
        <v>4</v>
      </c>
      <c r="D3950" t="s">
        <v>5</v>
      </c>
      <c r="F3950" t="str" cm="1">
        <f t="array" ref="F3950">CategorizeComment(E3950)</f>
        <v>Other</v>
      </c>
      <c r="G3950" t="str" cm="1">
        <f t="array" ref="G3950">SubCategorizeComment(E3950)</f>
        <v>Other</v>
      </c>
    </row>
    <row r="3951" spans="1:7" x14ac:dyDescent="0.25">
      <c r="A3951">
        <v>31246</v>
      </c>
      <c r="B3951" t="s">
        <v>4</v>
      </c>
      <c r="C3951">
        <v>3</v>
      </c>
      <c r="D3951" t="s">
        <v>5</v>
      </c>
      <c r="F3951" t="str" cm="1">
        <f t="array" ref="F3951">CategorizeComment(E3951)</f>
        <v>Other</v>
      </c>
      <c r="G3951" t="str" cm="1">
        <f t="array" ref="G3951">SubCategorizeComment(E3951)</f>
        <v>Other</v>
      </c>
    </row>
    <row r="3952" spans="1:7" x14ac:dyDescent="0.25">
      <c r="A3952">
        <v>31276</v>
      </c>
      <c r="B3952" t="s">
        <v>4</v>
      </c>
      <c r="C3952">
        <v>4</v>
      </c>
      <c r="D3952" t="s">
        <v>5</v>
      </c>
      <c r="F3952" t="str" cm="1">
        <f t="array" ref="F3952">CategorizeComment(E3952)</f>
        <v>Other</v>
      </c>
      <c r="G3952" t="str" cm="1">
        <f t="array" ref="G3952">SubCategorizeComment(E3952)</f>
        <v>Other</v>
      </c>
    </row>
    <row r="3953" spans="1:7" x14ac:dyDescent="0.25">
      <c r="A3953">
        <v>31277</v>
      </c>
      <c r="B3953" t="s">
        <v>4</v>
      </c>
      <c r="C3953">
        <v>3</v>
      </c>
      <c r="D3953" t="s">
        <v>5</v>
      </c>
      <c r="F3953" t="str" cm="1">
        <f t="array" ref="F3953">CategorizeComment(E3953)</f>
        <v>Other</v>
      </c>
      <c r="G3953" t="str" cm="1">
        <f t="array" ref="G3953">SubCategorizeComment(E3953)</f>
        <v>Other</v>
      </c>
    </row>
    <row r="3954" spans="1:7" x14ac:dyDescent="0.25">
      <c r="A3954">
        <v>31280</v>
      </c>
      <c r="B3954" t="s">
        <v>4</v>
      </c>
      <c r="C3954">
        <v>3</v>
      </c>
      <c r="D3954" t="s">
        <v>5</v>
      </c>
      <c r="F3954" t="str" cm="1">
        <f t="array" ref="F3954">CategorizeComment(E3954)</f>
        <v>Other</v>
      </c>
      <c r="G3954" t="str" cm="1">
        <f t="array" ref="G3954">SubCategorizeComment(E3954)</f>
        <v>Other</v>
      </c>
    </row>
    <row r="3955" spans="1:7" x14ac:dyDescent="0.25">
      <c r="A3955">
        <v>31290</v>
      </c>
      <c r="B3955" t="s">
        <v>4</v>
      </c>
      <c r="C3955">
        <v>3</v>
      </c>
      <c r="D3955" t="s">
        <v>5</v>
      </c>
      <c r="F3955" t="str" cm="1">
        <f t="array" ref="F3955">CategorizeComment(E3955)</f>
        <v>Other</v>
      </c>
      <c r="G3955" t="str" cm="1">
        <f t="array" ref="G3955">SubCategorizeComment(E3955)</f>
        <v>Other</v>
      </c>
    </row>
    <row r="3956" spans="1:7" x14ac:dyDescent="0.25">
      <c r="A3956">
        <v>31296</v>
      </c>
      <c r="B3956" t="s">
        <v>4</v>
      </c>
      <c r="C3956">
        <v>4</v>
      </c>
      <c r="D3956" t="s">
        <v>5</v>
      </c>
      <c r="F3956" t="str" cm="1">
        <f t="array" ref="F3956">CategorizeComment(E3956)</f>
        <v>Other</v>
      </c>
      <c r="G3956" t="str" cm="1">
        <f t="array" ref="G3956">SubCategorizeComment(E3956)</f>
        <v>Other</v>
      </c>
    </row>
    <row r="3957" spans="1:7" x14ac:dyDescent="0.25">
      <c r="A3957">
        <v>31298</v>
      </c>
      <c r="B3957" t="s">
        <v>4</v>
      </c>
      <c r="C3957">
        <v>3</v>
      </c>
      <c r="D3957" t="s">
        <v>5</v>
      </c>
      <c r="F3957" t="str" cm="1">
        <f t="array" ref="F3957">CategorizeComment(E3957)</f>
        <v>Other</v>
      </c>
      <c r="G3957" t="str" cm="1">
        <f t="array" ref="G3957">SubCategorizeComment(E3957)</f>
        <v>Other</v>
      </c>
    </row>
    <row r="3958" spans="1:7" x14ac:dyDescent="0.25">
      <c r="A3958">
        <v>31313</v>
      </c>
      <c r="B3958" t="s">
        <v>4</v>
      </c>
      <c r="C3958">
        <v>3</v>
      </c>
      <c r="D3958" t="s">
        <v>5</v>
      </c>
      <c r="F3958" t="str" cm="1">
        <f t="array" ref="F3958">CategorizeComment(E3958)</f>
        <v>Other</v>
      </c>
      <c r="G3958" t="str" cm="1">
        <f t="array" ref="G3958">SubCategorizeComment(E3958)</f>
        <v>Other</v>
      </c>
    </row>
    <row r="3959" spans="1:7" x14ac:dyDescent="0.25">
      <c r="A3959">
        <v>31324</v>
      </c>
      <c r="B3959" t="s">
        <v>4</v>
      </c>
      <c r="C3959">
        <v>3</v>
      </c>
      <c r="D3959" t="s">
        <v>5</v>
      </c>
      <c r="F3959" t="str" cm="1">
        <f t="array" ref="F3959">CategorizeComment(E3959)</f>
        <v>Other</v>
      </c>
      <c r="G3959" t="str" cm="1">
        <f t="array" ref="G3959">SubCategorizeComment(E3959)</f>
        <v>Other</v>
      </c>
    </row>
    <row r="3960" spans="1:7" x14ac:dyDescent="0.25">
      <c r="A3960">
        <v>31326</v>
      </c>
      <c r="B3960" t="s">
        <v>4</v>
      </c>
      <c r="C3960">
        <v>4</v>
      </c>
      <c r="D3960" t="s">
        <v>5</v>
      </c>
      <c r="F3960" t="str" cm="1">
        <f t="array" ref="F3960">CategorizeComment(E3960)</f>
        <v>Other</v>
      </c>
      <c r="G3960" t="str" cm="1">
        <f t="array" ref="G3960">SubCategorizeComment(E3960)</f>
        <v>Other</v>
      </c>
    </row>
    <row r="3961" spans="1:7" x14ac:dyDescent="0.25">
      <c r="A3961">
        <v>31335</v>
      </c>
      <c r="B3961" t="s">
        <v>4</v>
      </c>
      <c r="C3961">
        <v>3</v>
      </c>
      <c r="D3961" t="s">
        <v>5</v>
      </c>
      <c r="F3961" t="str" cm="1">
        <f t="array" ref="F3961">CategorizeComment(E3961)</f>
        <v>Other</v>
      </c>
      <c r="G3961" t="str" cm="1">
        <f t="array" ref="G3961">SubCategorizeComment(E3961)</f>
        <v>Other</v>
      </c>
    </row>
    <row r="3962" spans="1:7" x14ac:dyDescent="0.25">
      <c r="A3962">
        <v>31340</v>
      </c>
      <c r="B3962" t="s">
        <v>4</v>
      </c>
      <c r="C3962">
        <v>3</v>
      </c>
      <c r="D3962" t="s">
        <v>5</v>
      </c>
      <c r="F3962" t="str" cm="1">
        <f t="array" ref="F3962">CategorizeComment(E3962)</f>
        <v>Other</v>
      </c>
      <c r="G3962" t="str" cm="1">
        <f t="array" ref="G3962">SubCategorizeComment(E3962)</f>
        <v>Other</v>
      </c>
    </row>
    <row r="3963" spans="1:7" x14ac:dyDescent="0.25">
      <c r="A3963">
        <v>31352</v>
      </c>
      <c r="B3963" t="s">
        <v>4</v>
      </c>
      <c r="C3963">
        <v>4</v>
      </c>
      <c r="D3963" t="s">
        <v>5</v>
      </c>
      <c r="F3963" t="str" cm="1">
        <f t="array" ref="F3963">CategorizeComment(E3963)</f>
        <v>Other</v>
      </c>
      <c r="G3963" t="str" cm="1">
        <f t="array" ref="G3963">SubCategorizeComment(E3963)</f>
        <v>Other</v>
      </c>
    </row>
    <row r="3964" spans="1:7" x14ac:dyDescent="0.25">
      <c r="A3964">
        <v>31387</v>
      </c>
      <c r="B3964" t="s">
        <v>4</v>
      </c>
      <c r="C3964">
        <v>3</v>
      </c>
      <c r="D3964" t="s">
        <v>5</v>
      </c>
      <c r="F3964" t="str" cm="1">
        <f t="array" ref="F3964">CategorizeComment(E3964)</f>
        <v>Other</v>
      </c>
      <c r="G3964" t="str" cm="1">
        <f t="array" ref="G3964">SubCategorizeComment(E3964)</f>
        <v>Other</v>
      </c>
    </row>
    <row r="3965" spans="1:7" x14ac:dyDescent="0.25">
      <c r="A3965">
        <v>31398</v>
      </c>
      <c r="B3965" t="s">
        <v>4</v>
      </c>
      <c r="C3965">
        <v>4</v>
      </c>
      <c r="D3965" t="s">
        <v>5</v>
      </c>
      <c r="F3965" t="str" cm="1">
        <f t="array" ref="F3965">CategorizeComment(E3965)</f>
        <v>Other</v>
      </c>
      <c r="G3965" t="str" cm="1">
        <f t="array" ref="G3965">SubCategorizeComment(E3965)</f>
        <v>Other</v>
      </c>
    </row>
    <row r="3966" spans="1:7" x14ac:dyDescent="0.25">
      <c r="A3966">
        <v>31403</v>
      </c>
      <c r="B3966" t="s">
        <v>4</v>
      </c>
      <c r="C3966">
        <v>4</v>
      </c>
      <c r="D3966" t="s">
        <v>5</v>
      </c>
      <c r="F3966" t="str" cm="1">
        <f t="array" ref="F3966">CategorizeComment(E3966)</f>
        <v>Other</v>
      </c>
      <c r="G3966" t="str" cm="1">
        <f t="array" ref="G3966">SubCategorizeComment(E3966)</f>
        <v>Other</v>
      </c>
    </row>
    <row r="3967" spans="1:7" x14ac:dyDescent="0.25">
      <c r="A3967">
        <v>31411</v>
      </c>
      <c r="B3967" t="s">
        <v>4</v>
      </c>
      <c r="C3967">
        <v>3</v>
      </c>
      <c r="D3967" t="s">
        <v>5</v>
      </c>
      <c r="F3967" t="str" cm="1">
        <f t="array" ref="F3967">CategorizeComment(E3967)</f>
        <v>Other</v>
      </c>
      <c r="G3967" t="str" cm="1">
        <f t="array" ref="G3967">SubCategorizeComment(E3967)</f>
        <v>Other</v>
      </c>
    </row>
    <row r="3968" spans="1:7" x14ac:dyDescent="0.25">
      <c r="A3968">
        <v>31416</v>
      </c>
      <c r="B3968" t="s">
        <v>4</v>
      </c>
      <c r="C3968">
        <v>3</v>
      </c>
      <c r="D3968" t="s">
        <v>5</v>
      </c>
      <c r="F3968" t="str" cm="1">
        <f t="array" ref="F3968">CategorizeComment(E3968)</f>
        <v>Other</v>
      </c>
      <c r="G3968" t="str" cm="1">
        <f t="array" ref="G3968">SubCategorizeComment(E3968)</f>
        <v>Other</v>
      </c>
    </row>
    <row r="3969" spans="1:7" x14ac:dyDescent="0.25">
      <c r="A3969">
        <v>31419</v>
      </c>
      <c r="B3969" t="s">
        <v>4</v>
      </c>
      <c r="C3969">
        <v>3</v>
      </c>
      <c r="D3969" t="s">
        <v>5</v>
      </c>
      <c r="F3969" t="str" cm="1">
        <f t="array" ref="F3969">CategorizeComment(E3969)</f>
        <v>Other</v>
      </c>
      <c r="G3969" t="str" cm="1">
        <f t="array" ref="G3969">SubCategorizeComment(E3969)</f>
        <v>Other</v>
      </c>
    </row>
    <row r="3970" spans="1:7" x14ac:dyDescent="0.25">
      <c r="A3970">
        <v>31421</v>
      </c>
      <c r="B3970" t="s">
        <v>4</v>
      </c>
      <c r="C3970">
        <v>4</v>
      </c>
      <c r="D3970" t="s">
        <v>5</v>
      </c>
      <c r="F3970" t="str" cm="1">
        <f t="array" ref="F3970">CategorizeComment(E3970)</f>
        <v>Other</v>
      </c>
      <c r="G3970" t="str" cm="1">
        <f t="array" ref="G3970">SubCategorizeComment(E3970)</f>
        <v>Other</v>
      </c>
    </row>
    <row r="3971" spans="1:7" x14ac:dyDescent="0.25">
      <c r="A3971">
        <v>31423</v>
      </c>
      <c r="B3971" t="s">
        <v>4</v>
      </c>
      <c r="C3971">
        <v>4</v>
      </c>
      <c r="D3971" t="s">
        <v>5</v>
      </c>
      <c r="F3971" t="str" cm="1">
        <f t="array" ref="F3971">CategorizeComment(E3971)</f>
        <v>Other</v>
      </c>
      <c r="G3971" t="str" cm="1">
        <f t="array" ref="G3971">SubCategorizeComment(E3971)</f>
        <v>Other</v>
      </c>
    </row>
    <row r="3972" spans="1:7" x14ac:dyDescent="0.25">
      <c r="A3972">
        <v>31472</v>
      </c>
      <c r="B3972" t="s">
        <v>4</v>
      </c>
      <c r="C3972">
        <v>4</v>
      </c>
      <c r="D3972" t="s">
        <v>5</v>
      </c>
      <c r="F3972" t="str" cm="1">
        <f t="array" ref="F3972">CategorizeComment(E3972)</f>
        <v>Other</v>
      </c>
      <c r="G3972" t="str" cm="1">
        <f t="array" ref="G3972">SubCategorizeComment(E3972)</f>
        <v>Other</v>
      </c>
    </row>
    <row r="3973" spans="1:7" x14ac:dyDescent="0.25">
      <c r="A3973">
        <v>31479</v>
      </c>
      <c r="B3973" t="s">
        <v>4</v>
      </c>
      <c r="C3973">
        <v>4</v>
      </c>
      <c r="D3973" t="s">
        <v>5</v>
      </c>
      <c r="F3973" t="str" cm="1">
        <f t="array" ref="F3973">CategorizeComment(E3973)</f>
        <v>Other</v>
      </c>
      <c r="G3973" t="str" cm="1">
        <f t="array" ref="G3973">SubCategorizeComment(E3973)</f>
        <v>Other</v>
      </c>
    </row>
    <row r="3974" spans="1:7" x14ac:dyDescent="0.25">
      <c r="A3974">
        <v>31485</v>
      </c>
      <c r="B3974" t="s">
        <v>4</v>
      </c>
      <c r="C3974">
        <v>4</v>
      </c>
      <c r="D3974" t="s">
        <v>5</v>
      </c>
      <c r="F3974" t="str" cm="1">
        <f t="array" ref="F3974">CategorizeComment(E3974)</f>
        <v>Other</v>
      </c>
      <c r="G3974" t="str" cm="1">
        <f t="array" ref="G3974">SubCategorizeComment(E3974)</f>
        <v>Other</v>
      </c>
    </row>
    <row r="3975" spans="1:7" x14ac:dyDescent="0.25">
      <c r="A3975">
        <v>31498</v>
      </c>
      <c r="B3975" t="s">
        <v>4</v>
      </c>
      <c r="C3975">
        <v>4</v>
      </c>
      <c r="D3975" t="s">
        <v>5</v>
      </c>
      <c r="F3975" t="str" cm="1">
        <f t="array" ref="F3975">CategorizeComment(E3975)</f>
        <v>Other</v>
      </c>
      <c r="G3975" t="str" cm="1">
        <f t="array" ref="G3975">SubCategorizeComment(E3975)</f>
        <v>Other</v>
      </c>
    </row>
    <row r="3976" spans="1:7" x14ac:dyDescent="0.25">
      <c r="A3976">
        <v>31509</v>
      </c>
      <c r="B3976" t="s">
        <v>4</v>
      </c>
      <c r="C3976">
        <v>3</v>
      </c>
      <c r="D3976" t="s">
        <v>5</v>
      </c>
      <c r="F3976" t="str" cm="1">
        <f t="array" ref="F3976">CategorizeComment(E3976)</f>
        <v>Other</v>
      </c>
      <c r="G3976" t="str" cm="1">
        <f t="array" ref="G3976">SubCategorizeComment(E3976)</f>
        <v>Other</v>
      </c>
    </row>
    <row r="3977" spans="1:7" x14ac:dyDescent="0.25">
      <c r="A3977">
        <v>31512</v>
      </c>
      <c r="B3977" t="s">
        <v>4</v>
      </c>
      <c r="C3977">
        <v>4</v>
      </c>
      <c r="D3977" t="s">
        <v>5</v>
      </c>
      <c r="F3977" t="str" cm="1">
        <f t="array" ref="F3977">CategorizeComment(E3977)</f>
        <v>Other</v>
      </c>
      <c r="G3977" t="str" cm="1">
        <f t="array" ref="G3977">SubCategorizeComment(E3977)</f>
        <v>Other</v>
      </c>
    </row>
    <row r="3978" spans="1:7" x14ac:dyDescent="0.25">
      <c r="A3978">
        <v>31515</v>
      </c>
      <c r="B3978" t="s">
        <v>4</v>
      </c>
      <c r="C3978">
        <v>3</v>
      </c>
      <c r="D3978" t="s">
        <v>5</v>
      </c>
      <c r="F3978" t="str" cm="1">
        <f t="array" ref="F3978">CategorizeComment(E3978)</f>
        <v>Other</v>
      </c>
      <c r="G3978" t="str" cm="1">
        <f t="array" ref="G3978">SubCategorizeComment(E3978)</f>
        <v>Other</v>
      </c>
    </row>
    <row r="3979" spans="1:7" x14ac:dyDescent="0.25">
      <c r="A3979">
        <v>31521</v>
      </c>
      <c r="B3979" t="s">
        <v>4</v>
      </c>
      <c r="C3979">
        <v>4</v>
      </c>
      <c r="D3979" t="s">
        <v>5</v>
      </c>
      <c r="F3979" t="str" cm="1">
        <f t="array" ref="F3979">CategorizeComment(E3979)</f>
        <v>Other</v>
      </c>
      <c r="G3979" t="str" cm="1">
        <f t="array" ref="G3979">SubCategorizeComment(E3979)</f>
        <v>Other</v>
      </c>
    </row>
    <row r="3980" spans="1:7" x14ac:dyDescent="0.25">
      <c r="A3980">
        <v>31538</v>
      </c>
      <c r="B3980" t="s">
        <v>4</v>
      </c>
      <c r="C3980">
        <v>3</v>
      </c>
      <c r="D3980" t="s">
        <v>5</v>
      </c>
      <c r="F3980" t="str" cm="1">
        <f t="array" ref="F3980">CategorizeComment(E3980)</f>
        <v>Other</v>
      </c>
      <c r="G3980" t="str" cm="1">
        <f t="array" ref="G3980">SubCategorizeComment(E3980)</f>
        <v>Other</v>
      </c>
    </row>
    <row r="3981" spans="1:7" x14ac:dyDescent="0.25">
      <c r="A3981">
        <v>31541</v>
      </c>
      <c r="B3981" t="s">
        <v>4</v>
      </c>
      <c r="C3981">
        <v>4</v>
      </c>
      <c r="D3981" t="s">
        <v>5</v>
      </c>
      <c r="F3981" t="str" cm="1">
        <f t="array" ref="F3981">CategorizeComment(E3981)</f>
        <v>Other</v>
      </c>
      <c r="G3981" t="str" cm="1">
        <f t="array" ref="G3981">SubCategorizeComment(E3981)</f>
        <v>Other</v>
      </c>
    </row>
    <row r="3982" spans="1:7" x14ac:dyDescent="0.25">
      <c r="A3982">
        <v>31550</v>
      </c>
      <c r="B3982" t="s">
        <v>4</v>
      </c>
      <c r="C3982">
        <v>3</v>
      </c>
      <c r="D3982" t="s">
        <v>5</v>
      </c>
      <c r="F3982" t="str" cm="1">
        <f t="array" ref="F3982">CategorizeComment(E3982)</f>
        <v>Other</v>
      </c>
      <c r="G3982" t="str" cm="1">
        <f t="array" ref="G3982">SubCategorizeComment(E3982)</f>
        <v>Other</v>
      </c>
    </row>
    <row r="3983" spans="1:7" x14ac:dyDescent="0.25">
      <c r="A3983">
        <v>31567</v>
      </c>
      <c r="B3983" t="s">
        <v>4</v>
      </c>
      <c r="C3983">
        <v>3</v>
      </c>
      <c r="D3983" t="s">
        <v>5</v>
      </c>
      <c r="F3983" t="str" cm="1">
        <f t="array" ref="F3983">CategorizeComment(E3983)</f>
        <v>Other</v>
      </c>
      <c r="G3983" t="str" cm="1">
        <f t="array" ref="G3983">SubCategorizeComment(E3983)</f>
        <v>Other</v>
      </c>
    </row>
    <row r="3984" spans="1:7" x14ac:dyDescent="0.25">
      <c r="A3984">
        <v>31593</v>
      </c>
      <c r="B3984" t="s">
        <v>4</v>
      </c>
      <c r="C3984">
        <v>3</v>
      </c>
      <c r="D3984" t="s">
        <v>5</v>
      </c>
      <c r="F3984" t="str" cm="1">
        <f t="array" ref="F3984">CategorizeComment(E3984)</f>
        <v>Other</v>
      </c>
      <c r="G3984" t="str" cm="1">
        <f t="array" ref="G3984">SubCategorizeComment(E3984)</f>
        <v>Other</v>
      </c>
    </row>
    <row r="3985" spans="1:7" x14ac:dyDescent="0.25">
      <c r="A3985">
        <v>31597</v>
      </c>
      <c r="B3985" t="s">
        <v>4</v>
      </c>
      <c r="C3985">
        <v>4</v>
      </c>
      <c r="D3985" t="s">
        <v>5</v>
      </c>
      <c r="F3985" t="str" cm="1">
        <f t="array" ref="F3985">CategorizeComment(E3985)</f>
        <v>Other</v>
      </c>
      <c r="G3985" t="str" cm="1">
        <f t="array" ref="G3985">SubCategorizeComment(E3985)</f>
        <v>Other</v>
      </c>
    </row>
    <row r="3986" spans="1:7" x14ac:dyDescent="0.25">
      <c r="A3986">
        <v>31598</v>
      </c>
      <c r="B3986" t="s">
        <v>4</v>
      </c>
      <c r="C3986">
        <v>3</v>
      </c>
      <c r="D3986" t="s">
        <v>5</v>
      </c>
      <c r="F3986" t="str" cm="1">
        <f t="array" ref="F3986">CategorizeComment(E3986)</f>
        <v>Other</v>
      </c>
      <c r="G3986" t="str" cm="1">
        <f t="array" ref="G3986">SubCategorizeComment(E3986)</f>
        <v>Other</v>
      </c>
    </row>
    <row r="3987" spans="1:7" x14ac:dyDescent="0.25">
      <c r="A3987">
        <v>31617</v>
      </c>
      <c r="B3987" t="s">
        <v>4</v>
      </c>
      <c r="C3987">
        <v>3</v>
      </c>
      <c r="D3987" t="s">
        <v>5</v>
      </c>
      <c r="F3987" t="str" cm="1">
        <f t="array" ref="F3987">CategorizeComment(E3987)</f>
        <v>Other</v>
      </c>
      <c r="G3987" t="str" cm="1">
        <f t="array" ref="G3987">SubCategorizeComment(E3987)</f>
        <v>Other</v>
      </c>
    </row>
    <row r="3988" spans="1:7" x14ac:dyDescent="0.25">
      <c r="A3988">
        <v>31624</v>
      </c>
      <c r="B3988" t="s">
        <v>4</v>
      </c>
      <c r="C3988">
        <v>3</v>
      </c>
      <c r="D3988" t="s">
        <v>5</v>
      </c>
      <c r="F3988" t="str" cm="1">
        <f t="array" ref="F3988">CategorizeComment(E3988)</f>
        <v>Other</v>
      </c>
      <c r="G3988" t="str" cm="1">
        <f t="array" ref="G3988">SubCategorizeComment(E3988)</f>
        <v>Other</v>
      </c>
    </row>
    <row r="3989" spans="1:7" x14ac:dyDescent="0.25">
      <c r="A3989">
        <v>31643</v>
      </c>
      <c r="B3989" t="s">
        <v>4</v>
      </c>
      <c r="C3989">
        <v>4</v>
      </c>
      <c r="D3989" t="s">
        <v>5</v>
      </c>
      <c r="F3989" t="str" cm="1">
        <f t="array" ref="F3989">CategorizeComment(E3989)</f>
        <v>Other</v>
      </c>
      <c r="G3989" t="str" cm="1">
        <f t="array" ref="G3989">SubCategorizeComment(E3989)</f>
        <v>Other</v>
      </c>
    </row>
    <row r="3990" spans="1:7" x14ac:dyDescent="0.25">
      <c r="A3990">
        <v>31656</v>
      </c>
      <c r="B3990" t="s">
        <v>4</v>
      </c>
      <c r="C3990">
        <v>4</v>
      </c>
      <c r="D3990" t="s">
        <v>5</v>
      </c>
      <c r="F3990" t="str" cm="1">
        <f t="array" ref="F3990">CategorizeComment(E3990)</f>
        <v>Other</v>
      </c>
      <c r="G3990" t="str" cm="1">
        <f t="array" ref="G3990">SubCategorizeComment(E3990)</f>
        <v>Other</v>
      </c>
    </row>
    <row r="3991" spans="1:7" x14ac:dyDescent="0.25">
      <c r="A3991">
        <v>31666</v>
      </c>
      <c r="B3991" t="s">
        <v>4</v>
      </c>
      <c r="C3991">
        <v>4</v>
      </c>
      <c r="D3991" t="s">
        <v>5</v>
      </c>
      <c r="F3991" t="str" cm="1">
        <f t="array" ref="F3991">CategorizeComment(E3991)</f>
        <v>Other</v>
      </c>
      <c r="G3991" t="str" cm="1">
        <f t="array" ref="G3991">SubCategorizeComment(E3991)</f>
        <v>Other</v>
      </c>
    </row>
    <row r="3992" spans="1:7" x14ac:dyDescent="0.25">
      <c r="A3992">
        <v>31673</v>
      </c>
      <c r="B3992" t="s">
        <v>4</v>
      </c>
      <c r="C3992">
        <v>4</v>
      </c>
      <c r="D3992" t="s">
        <v>5</v>
      </c>
      <c r="F3992" t="str" cm="1">
        <f t="array" ref="F3992">CategorizeComment(E3992)</f>
        <v>Other</v>
      </c>
      <c r="G3992" t="str" cm="1">
        <f t="array" ref="G3992">SubCategorizeComment(E3992)</f>
        <v>Other</v>
      </c>
    </row>
    <row r="3993" spans="1:7" x14ac:dyDescent="0.25">
      <c r="A3993">
        <v>31674</v>
      </c>
      <c r="B3993" t="s">
        <v>4</v>
      </c>
      <c r="C3993">
        <v>4</v>
      </c>
      <c r="D3993" t="s">
        <v>5</v>
      </c>
      <c r="F3993" t="str" cm="1">
        <f t="array" ref="F3993">CategorizeComment(E3993)</f>
        <v>Other</v>
      </c>
      <c r="G3993" t="str" cm="1">
        <f t="array" ref="G3993">SubCategorizeComment(E3993)</f>
        <v>Other</v>
      </c>
    </row>
    <row r="3994" spans="1:7" x14ac:dyDescent="0.25">
      <c r="A3994">
        <v>31677</v>
      </c>
      <c r="B3994" t="s">
        <v>4</v>
      </c>
      <c r="C3994">
        <v>3</v>
      </c>
      <c r="D3994" t="s">
        <v>5</v>
      </c>
      <c r="F3994" t="str" cm="1">
        <f t="array" ref="F3994">CategorizeComment(E3994)</f>
        <v>Other</v>
      </c>
      <c r="G3994" t="str" cm="1">
        <f t="array" ref="G3994">SubCategorizeComment(E3994)</f>
        <v>Other</v>
      </c>
    </row>
    <row r="3995" spans="1:7" x14ac:dyDescent="0.25">
      <c r="A3995">
        <v>31679</v>
      </c>
      <c r="B3995" t="s">
        <v>4</v>
      </c>
      <c r="C3995">
        <v>3</v>
      </c>
      <c r="D3995" t="s">
        <v>5</v>
      </c>
      <c r="F3995" t="str" cm="1">
        <f t="array" ref="F3995">CategorizeComment(E3995)</f>
        <v>Other</v>
      </c>
      <c r="G3995" t="str" cm="1">
        <f t="array" ref="G3995">SubCategorizeComment(E3995)</f>
        <v>Other</v>
      </c>
    </row>
    <row r="3996" spans="1:7" x14ac:dyDescent="0.25">
      <c r="A3996">
        <v>31683</v>
      </c>
      <c r="B3996" t="s">
        <v>4</v>
      </c>
      <c r="C3996">
        <v>4</v>
      </c>
      <c r="D3996" t="s">
        <v>5</v>
      </c>
      <c r="F3996" t="str" cm="1">
        <f t="array" ref="F3996">CategorizeComment(E3996)</f>
        <v>Other</v>
      </c>
      <c r="G3996" t="str" cm="1">
        <f t="array" ref="G3996">SubCategorizeComment(E3996)</f>
        <v>Other</v>
      </c>
    </row>
    <row r="3997" spans="1:7" x14ac:dyDescent="0.25">
      <c r="A3997">
        <v>31686</v>
      </c>
      <c r="B3997" t="s">
        <v>4</v>
      </c>
      <c r="C3997">
        <v>3</v>
      </c>
      <c r="D3997" t="s">
        <v>5</v>
      </c>
      <c r="F3997" t="str" cm="1">
        <f t="array" ref="F3997">CategorizeComment(E3997)</f>
        <v>Other</v>
      </c>
      <c r="G3997" t="str" cm="1">
        <f t="array" ref="G3997">SubCategorizeComment(E3997)</f>
        <v>Other</v>
      </c>
    </row>
    <row r="3998" spans="1:7" x14ac:dyDescent="0.25">
      <c r="A3998">
        <v>31687</v>
      </c>
      <c r="B3998" t="s">
        <v>4</v>
      </c>
      <c r="C3998">
        <v>3</v>
      </c>
      <c r="D3998" t="s">
        <v>5</v>
      </c>
      <c r="F3998" t="str" cm="1">
        <f t="array" ref="F3998">CategorizeComment(E3998)</f>
        <v>Other</v>
      </c>
      <c r="G3998" t="str" cm="1">
        <f t="array" ref="G3998">SubCategorizeComment(E3998)</f>
        <v>Other</v>
      </c>
    </row>
    <row r="3999" spans="1:7" x14ac:dyDescent="0.25">
      <c r="A3999">
        <v>31688</v>
      </c>
      <c r="B3999" t="s">
        <v>4</v>
      </c>
      <c r="C3999">
        <v>4</v>
      </c>
      <c r="D3999" t="s">
        <v>5</v>
      </c>
      <c r="F3999" t="str" cm="1">
        <f t="array" ref="F3999">CategorizeComment(E3999)</f>
        <v>Other</v>
      </c>
      <c r="G3999" t="str" cm="1">
        <f t="array" ref="G3999">SubCategorizeComment(E3999)</f>
        <v>Other</v>
      </c>
    </row>
    <row r="4000" spans="1:7" x14ac:dyDescent="0.25">
      <c r="A4000">
        <v>31702</v>
      </c>
      <c r="B4000" t="s">
        <v>4</v>
      </c>
      <c r="C4000">
        <v>3</v>
      </c>
      <c r="D4000" t="s">
        <v>5</v>
      </c>
      <c r="F4000" t="str" cm="1">
        <f t="array" ref="F4000">CategorizeComment(E4000)</f>
        <v>Other</v>
      </c>
      <c r="G4000" t="str" cm="1">
        <f t="array" ref="G4000">SubCategorizeComment(E4000)</f>
        <v>Other</v>
      </c>
    </row>
    <row r="4001" spans="1:7" x14ac:dyDescent="0.25">
      <c r="A4001">
        <v>31719</v>
      </c>
      <c r="B4001" t="s">
        <v>4</v>
      </c>
      <c r="C4001">
        <v>3</v>
      </c>
      <c r="D4001" t="s">
        <v>5</v>
      </c>
      <c r="F4001" t="str" cm="1">
        <f t="array" ref="F4001">CategorizeComment(E4001)</f>
        <v>Other</v>
      </c>
      <c r="G4001" t="str" cm="1">
        <f t="array" ref="G4001">SubCategorizeComment(E4001)</f>
        <v>Other</v>
      </c>
    </row>
    <row r="4002" spans="1:7" x14ac:dyDescent="0.25">
      <c r="A4002">
        <v>31723</v>
      </c>
      <c r="B4002" t="s">
        <v>4</v>
      </c>
      <c r="C4002">
        <v>4</v>
      </c>
      <c r="D4002" t="s">
        <v>5</v>
      </c>
      <c r="F4002" t="str" cm="1">
        <f t="array" ref="F4002">CategorizeComment(E4002)</f>
        <v>Other</v>
      </c>
      <c r="G4002" t="str" cm="1">
        <f t="array" ref="G4002">SubCategorizeComment(E4002)</f>
        <v>Other</v>
      </c>
    </row>
    <row r="4003" spans="1:7" x14ac:dyDescent="0.25">
      <c r="A4003">
        <v>31742</v>
      </c>
      <c r="B4003" t="s">
        <v>4</v>
      </c>
      <c r="C4003">
        <v>3</v>
      </c>
      <c r="D4003" t="s">
        <v>5</v>
      </c>
      <c r="F4003" t="str" cm="1">
        <f t="array" ref="F4003">CategorizeComment(E4003)</f>
        <v>Other</v>
      </c>
      <c r="G4003" t="str" cm="1">
        <f t="array" ref="G4003">SubCategorizeComment(E4003)</f>
        <v>Other</v>
      </c>
    </row>
    <row r="4004" spans="1:7" x14ac:dyDescent="0.25">
      <c r="A4004">
        <v>31752</v>
      </c>
      <c r="B4004" t="s">
        <v>4</v>
      </c>
      <c r="C4004">
        <v>4</v>
      </c>
      <c r="D4004" t="s">
        <v>5</v>
      </c>
      <c r="F4004" t="str" cm="1">
        <f t="array" ref="F4004">CategorizeComment(E4004)</f>
        <v>Other</v>
      </c>
      <c r="G4004" t="str" cm="1">
        <f t="array" ref="G4004">SubCategorizeComment(E4004)</f>
        <v>Other</v>
      </c>
    </row>
    <row r="4005" spans="1:7" x14ac:dyDescent="0.25">
      <c r="A4005">
        <v>31755</v>
      </c>
      <c r="B4005" t="s">
        <v>4</v>
      </c>
      <c r="C4005">
        <v>4</v>
      </c>
      <c r="D4005" t="s">
        <v>5</v>
      </c>
      <c r="F4005" t="str" cm="1">
        <f t="array" ref="F4005">CategorizeComment(E4005)</f>
        <v>Other</v>
      </c>
      <c r="G4005" t="str" cm="1">
        <f t="array" ref="G4005">SubCategorizeComment(E4005)</f>
        <v>Other</v>
      </c>
    </row>
    <row r="4006" spans="1:7" x14ac:dyDescent="0.25">
      <c r="A4006">
        <v>31781</v>
      </c>
      <c r="B4006" t="s">
        <v>4</v>
      </c>
      <c r="C4006">
        <v>3</v>
      </c>
      <c r="D4006" t="s">
        <v>5</v>
      </c>
      <c r="F4006" t="str" cm="1">
        <f t="array" ref="F4006">CategorizeComment(E4006)</f>
        <v>Other</v>
      </c>
      <c r="G4006" t="str" cm="1">
        <f t="array" ref="G4006">SubCategorizeComment(E4006)</f>
        <v>Other</v>
      </c>
    </row>
    <row r="4007" spans="1:7" x14ac:dyDescent="0.25">
      <c r="A4007">
        <v>31782</v>
      </c>
      <c r="B4007" t="s">
        <v>4</v>
      </c>
      <c r="C4007">
        <v>3</v>
      </c>
      <c r="D4007" t="s">
        <v>5</v>
      </c>
      <c r="F4007" t="str" cm="1">
        <f t="array" ref="F4007">CategorizeComment(E4007)</f>
        <v>Other</v>
      </c>
      <c r="G4007" t="str" cm="1">
        <f t="array" ref="G4007">SubCategorizeComment(E4007)</f>
        <v>Other</v>
      </c>
    </row>
    <row r="4008" spans="1:7" x14ac:dyDescent="0.25">
      <c r="A4008">
        <v>31796</v>
      </c>
      <c r="B4008" t="s">
        <v>4</v>
      </c>
      <c r="C4008">
        <v>4</v>
      </c>
      <c r="D4008" t="s">
        <v>5</v>
      </c>
      <c r="F4008" t="str" cm="1">
        <f t="array" ref="F4008">CategorizeComment(E4008)</f>
        <v>Other</v>
      </c>
      <c r="G4008" t="str" cm="1">
        <f t="array" ref="G4008">SubCategorizeComment(E4008)</f>
        <v>Other</v>
      </c>
    </row>
    <row r="4009" spans="1:7" x14ac:dyDescent="0.25">
      <c r="A4009">
        <v>31799</v>
      </c>
      <c r="B4009" t="s">
        <v>4</v>
      </c>
      <c r="C4009">
        <v>4</v>
      </c>
      <c r="D4009" t="s">
        <v>5</v>
      </c>
      <c r="F4009" t="str" cm="1">
        <f t="array" ref="F4009">CategorizeComment(E4009)</f>
        <v>Other</v>
      </c>
      <c r="G4009" t="str" cm="1">
        <f t="array" ref="G4009">SubCategorizeComment(E4009)</f>
        <v>Other</v>
      </c>
    </row>
    <row r="4010" spans="1:7" x14ac:dyDescent="0.25">
      <c r="A4010">
        <v>31809</v>
      </c>
      <c r="B4010" t="s">
        <v>4</v>
      </c>
      <c r="C4010">
        <v>3</v>
      </c>
      <c r="D4010" t="s">
        <v>5</v>
      </c>
      <c r="F4010" t="str" cm="1">
        <f t="array" ref="F4010">CategorizeComment(E4010)</f>
        <v>Other</v>
      </c>
      <c r="G4010" t="str" cm="1">
        <f t="array" ref="G4010">SubCategorizeComment(E4010)</f>
        <v>Other</v>
      </c>
    </row>
    <row r="4011" spans="1:7" x14ac:dyDescent="0.25">
      <c r="A4011">
        <v>31816</v>
      </c>
      <c r="B4011" t="s">
        <v>4</v>
      </c>
      <c r="C4011">
        <v>4</v>
      </c>
      <c r="D4011" t="s">
        <v>5</v>
      </c>
      <c r="F4011" t="str" cm="1">
        <f t="array" ref="F4011">CategorizeComment(E4011)</f>
        <v>Other</v>
      </c>
      <c r="G4011" t="str" cm="1">
        <f t="array" ref="G4011">SubCategorizeComment(E4011)</f>
        <v>Other</v>
      </c>
    </row>
    <row r="4012" spans="1:7" x14ac:dyDescent="0.25">
      <c r="A4012">
        <v>31830</v>
      </c>
      <c r="B4012" t="s">
        <v>4</v>
      </c>
      <c r="C4012">
        <v>3</v>
      </c>
      <c r="D4012" t="s">
        <v>5</v>
      </c>
      <c r="F4012" t="str" cm="1">
        <f t="array" ref="F4012">CategorizeComment(E4012)</f>
        <v>Other</v>
      </c>
      <c r="G4012" t="str" cm="1">
        <f t="array" ref="G4012">SubCategorizeComment(E4012)</f>
        <v>Other</v>
      </c>
    </row>
    <row r="4013" spans="1:7" x14ac:dyDescent="0.25">
      <c r="A4013">
        <v>31836</v>
      </c>
      <c r="B4013" t="s">
        <v>4</v>
      </c>
      <c r="C4013">
        <v>4</v>
      </c>
      <c r="D4013" t="s">
        <v>5</v>
      </c>
      <c r="F4013" t="str" cm="1">
        <f t="array" ref="F4013">CategorizeComment(E4013)</f>
        <v>Other</v>
      </c>
      <c r="G4013" t="str" cm="1">
        <f t="array" ref="G4013">SubCategorizeComment(E4013)</f>
        <v>Other</v>
      </c>
    </row>
    <row r="4014" spans="1:7" x14ac:dyDescent="0.25">
      <c r="A4014">
        <v>31848</v>
      </c>
      <c r="B4014" t="s">
        <v>4</v>
      </c>
      <c r="C4014">
        <v>3</v>
      </c>
      <c r="D4014" t="s">
        <v>5</v>
      </c>
      <c r="F4014" t="str" cm="1">
        <f t="array" ref="F4014">CategorizeComment(E4014)</f>
        <v>Other</v>
      </c>
      <c r="G4014" t="str" cm="1">
        <f t="array" ref="G4014">SubCategorizeComment(E4014)</f>
        <v>Other</v>
      </c>
    </row>
    <row r="4015" spans="1:7" x14ac:dyDescent="0.25">
      <c r="A4015">
        <v>31851</v>
      </c>
      <c r="B4015" t="s">
        <v>4</v>
      </c>
      <c r="C4015">
        <v>4</v>
      </c>
      <c r="D4015" t="s">
        <v>5</v>
      </c>
      <c r="F4015" t="str" cm="1">
        <f t="array" ref="F4015">CategorizeComment(E4015)</f>
        <v>Other</v>
      </c>
      <c r="G4015" t="str" cm="1">
        <f t="array" ref="G4015">SubCategorizeComment(E4015)</f>
        <v>Other</v>
      </c>
    </row>
    <row r="4016" spans="1:7" x14ac:dyDescent="0.25">
      <c r="A4016">
        <v>31855</v>
      </c>
      <c r="B4016" t="s">
        <v>4</v>
      </c>
      <c r="C4016">
        <v>3</v>
      </c>
      <c r="D4016" t="s">
        <v>5</v>
      </c>
      <c r="F4016" t="str" cm="1">
        <f t="array" ref="F4016">CategorizeComment(E4016)</f>
        <v>Other</v>
      </c>
      <c r="G4016" t="str" cm="1">
        <f t="array" ref="G4016">SubCategorizeComment(E4016)</f>
        <v>Other</v>
      </c>
    </row>
    <row r="4017" spans="1:7" x14ac:dyDescent="0.25">
      <c r="A4017">
        <v>31863</v>
      </c>
      <c r="B4017" t="s">
        <v>4</v>
      </c>
      <c r="C4017">
        <v>3</v>
      </c>
      <c r="D4017" t="s">
        <v>5</v>
      </c>
      <c r="F4017" t="str" cm="1">
        <f t="array" ref="F4017">CategorizeComment(E4017)</f>
        <v>Other</v>
      </c>
      <c r="G4017" t="str" cm="1">
        <f t="array" ref="G4017">SubCategorizeComment(E4017)</f>
        <v>Other</v>
      </c>
    </row>
    <row r="4018" spans="1:7" x14ac:dyDescent="0.25">
      <c r="A4018">
        <v>31868</v>
      </c>
      <c r="B4018" t="s">
        <v>4</v>
      </c>
      <c r="C4018">
        <v>4</v>
      </c>
      <c r="D4018" t="s">
        <v>5</v>
      </c>
      <c r="F4018" t="str" cm="1">
        <f t="array" ref="F4018">CategorizeComment(E4018)</f>
        <v>Other</v>
      </c>
      <c r="G4018" t="str" cm="1">
        <f t="array" ref="G4018">SubCategorizeComment(E4018)</f>
        <v>Other</v>
      </c>
    </row>
    <row r="4019" spans="1:7" x14ac:dyDescent="0.25">
      <c r="A4019">
        <v>31889</v>
      </c>
      <c r="B4019" t="s">
        <v>4</v>
      </c>
      <c r="C4019">
        <v>4</v>
      </c>
      <c r="D4019" t="s">
        <v>5</v>
      </c>
      <c r="F4019" t="str" cm="1">
        <f t="array" ref="F4019">CategorizeComment(E4019)</f>
        <v>Other</v>
      </c>
      <c r="G4019" t="str" cm="1">
        <f t="array" ref="G4019">SubCategorizeComment(E4019)</f>
        <v>Other</v>
      </c>
    </row>
    <row r="4020" spans="1:7" x14ac:dyDescent="0.25">
      <c r="A4020">
        <v>31892</v>
      </c>
      <c r="B4020" t="s">
        <v>4</v>
      </c>
      <c r="C4020">
        <v>4</v>
      </c>
      <c r="D4020" t="s">
        <v>5</v>
      </c>
      <c r="F4020" t="str" cm="1">
        <f t="array" ref="F4020">CategorizeComment(E4020)</f>
        <v>Other</v>
      </c>
      <c r="G4020" t="str" cm="1">
        <f t="array" ref="G4020">SubCategorizeComment(E4020)</f>
        <v>Other</v>
      </c>
    </row>
    <row r="4021" spans="1:7" x14ac:dyDescent="0.25">
      <c r="A4021">
        <v>31894</v>
      </c>
      <c r="B4021" t="s">
        <v>4</v>
      </c>
      <c r="C4021">
        <v>4</v>
      </c>
      <c r="D4021" t="s">
        <v>5</v>
      </c>
      <c r="F4021" t="str" cm="1">
        <f t="array" ref="F4021">CategorizeComment(E4021)</f>
        <v>Other</v>
      </c>
      <c r="G4021" t="str" cm="1">
        <f t="array" ref="G4021">SubCategorizeComment(E4021)</f>
        <v>Other</v>
      </c>
    </row>
    <row r="4022" spans="1:7" x14ac:dyDescent="0.25">
      <c r="A4022">
        <v>31954</v>
      </c>
      <c r="B4022" t="s">
        <v>4</v>
      </c>
      <c r="C4022">
        <v>4</v>
      </c>
      <c r="D4022" t="s">
        <v>5</v>
      </c>
      <c r="F4022" t="str" cm="1">
        <f t="array" ref="F4022">CategorizeComment(E4022)</f>
        <v>Other</v>
      </c>
      <c r="G4022" t="str" cm="1">
        <f t="array" ref="G4022">SubCategorizeComment(E4022)</f>
        <v>Other</v>
      </c>
    </row>
    <row r="4023" spans="1:7" x14ac:dyDescent="0.25">
      <c r="A4023">
        <v>31956</v>
      </c>
      <c r="B4023" t="s">
        <v>4</v>
      </c>
      <c r="C4023">
        <v>3</v>
      </c>
      <c r="D4023" t="s">
        <v>5</v>
      </c>
      <c r="F4023" t="str" cm="1">
        <f t="array" ref="F4023">CategorizeComment(E4023)</f>
        <v>Other</v>
      </c>
      <c r="G4023" t="str" cm="1">
        <f t="array" ref="G4023">SubCategorizeComment(E4023)</f>
        <v>Other</v>
      </c>
    </row>
    <row r="4024" spans="1:7" x14ac:dyDescent="0.25">
      <c r="A4024">
        <v>31960</v>
      </c>
      <c r="B4024" t="s">
        <v>4</v>
      </c>
      <c r="C4024">
        <v>3</v>
      </c>
      <c r="D4024" t="s">
        <v>5</v>
      </c>
      <c r="F4024" t="str" cm="1">
        <f t="array" ref="F4024">CategorizeComment(E4024)</f>
        <v>Other</v>
      </c>
      <c r="G4024" t="str" cm="1">
        <f t="array" ref="G4024">SubCategorizeComment(E4024)</f>
        <v>Other</v>
      </c>
    </row>
    <row r="4025" spans="1:7" x14ac:dyDescent="0.25">
      <c r="A4025">
        <v>31961</v>
      </c>
      <c r="B4025" t="s">
        <v>4</v>
      </c>
      <c r="C4025">
        <v>4</v>
      </c>
      <c r="D4025" t="s">
        <v>5</v>
      </c>
      <c r="F4025" t="str" cm="1">
        <f t="array" ref="F4025">CategorizeComment(E4025)</f>
        <v>Other</v>
      </c>
      <c r="G4025" t="str" cm="1">
        <f t="array" ref="G4025">SubCategorizeComment(E4025)</f>
        <v>Other</v>
      </c>
    </row>
    <row r="4026" spans="1:7" x14ac:dyDescent="0.25">
      <c r="A4026">
        <v>31987</v>
      </c>
      <c r="B4026" t="s">
        <v>4</v>
      </c>
      <c r="C4026">
        <v>4</v>
      </c>
      <c r="D4026" t="s">
        <v>5</v>
      </c>
      <c r="F4026" t="str" cm="1">
        <f t="array" ref="F4026">CategorizeComment(E4026)</f>
        <v>Other</v>
      </c>
      <c r="G4026" t="str" cm="1">
        <f t="array" ref="G4026">SubCategorizeComment(E4026)</f>
        <v>Other</v>
      </c>
    </row>
    <row r="4027" spans="1:7" x14ac:dyDescent="0.25">
      <c r="A4027">
        <v>31997</v>
      </c>
      <c r="B4027" t="s">
        <v>4</v>
      </c>
      <c r="C4027">
        <v>4</v>
      </c>
      <c r="D4027" t="s">
        <v>5</v>
      </c>
      <c r="F4027" t="str" cm="1">
        <f t="array" ref="F4027">CategorizeComment(E4027)</f>
        <v>Other</v>
      </c>
      <c r="G4027" t="str" cm="1">
        <f t="array" ref="G4027">SubCategorizeComment(E4027)</f>
        <v>Other</v>
      </c>
    </row>
    <row r="4028" spans="1:7" x14ac:dyDescent="0.25">
      <c r="A4028">
        <v>31998</v>
      </c>
      <c r="B4028" t="s">
        <v>4</v>
      </c>
      <c r="C4028">
        <v>3</v>
      </c>
      <c r="D4028" t="s">
        <v>5</v>
      </c>
      <c r="F4028" t="str" cm="1">
        <f t="array" ref="F4028">CategorizeComment(E4028)</f>
        <v>Other</v>
      </c>
      <c r="G4028" t="str" cm="1">
        <f t="array" ref="G4028">SubCategorizeComment(E4028)</f>
        <v>Other</v>
      </c>
    </row>
    <row r="4029" spans="1:7" x14ac:dyDescent="0.25">
      <c r="A4029">
        <v>32008</v>
      </c>
      <c r="B4029" t="s">
        <v>4</v>
      </c>
      <c r="C4029">
        <v>3</v>
      </c>
      <c r="D4029" t="s">
        <v>5</v>
      </c>
      <c r="F4029" t="str" cm="1">
        <f t="array" ref="F4029">CategorizeComment(E4029)</f>
        <v>Other</v>
      </c>
      <c r="G4029" t="str" cm="1">
        <f t="array" ref="G4029">SubCategorizeComment(E4029)</f>
        <v>Other</v>
      </c>
    </row>
    <row r="4030" spans="1:7" x14ac:dyDescent="0.25">
      <c r="A4030">
        <v>32010</v>
      </c>
      <c r="B4030" t="s">
        <v>4</v>
      </c>
      <c r="C4030">
        <v>4</v>
      </c>
      <c r="D4030" t="s">
        <v>5</v>
      </c>
      <c r="F4030" t="str" cm="1">
        <f t="array" ref="F4030">CategorizeComment(E4030)</f>
        <v>Other</v>
      </c>
      <c r="G4030" t="str" cm="1">
        <f t="array" ref="G4030">SubCategorizeComment(E4030)</f>
        <v>Other</v>
      </c>
    </row>
    <row r="4031" spans="1:7" x14ac:dyDescent="0.25">
      <c r="A4031">
        <v>32029</v>
      </c>
      <c r="B4031" t="s">
        <v>4</v>
      </c>
      <c r="C4031">
        <v>4</v>
      </c>
      <c r="D4031" t="s">
        <v>5</v>
      </c>
      <c r="F4031" t="str" cm="1">
        <f t="array" ref="F4031">CategorizeComment(E4031)</f>
        <v>Other</v>
      </c>
      <c r="G4031" t="str" cm="1">
        <f t="array" ref="G4031">SubCategorizeComment(E4031)</f>
        <v>Other</v>
      </c>
    </row>
    <row r="4032" spans="1:7" x14ac:dyDescent="0.25">
      <c r="A4032">
        <v>32037</v>
      </c>
      <c r="B4032" t="s">
        <v>4</v>
      </c>
      <c r="C4032">
        <v>3</v>
      </c>
      <c r="D4032" t="s">
        <v>5</v>
      </c>
      <c r="F4032" t="str" cm="1">
        <f t="array" ref="F4032">CategorizeComment(E4032)</f>
        <v>Other</v>
      </c>
      <c r="G4032" t="str" cm="1">
        <f t="array" ref="G4032">SubCategorizeComment(E4032)</f>
        <v>Other</v>
      </c>
    </row>
    <row r="4033" spans="1:7" x14ac:dyDescent="0.25">
      <c r="A4033">
        <v>32047</v>
      </c>
      <c r="B4033" t="s">
        <v>4</v>
      </c>
      <c r="C4033">
        <v>3</v>
      </c>
      <c r="D4033" t="s">
        <v>5</v>
      </c>
      <c r="F4033" t="str" cm="1">
        <f t="array" ref="F4033">CategorizeComment(E4033)</f>
        <v>Other</v>
      </c>
      <c r="G4033" t="str" cm="1">
        <f t="array" ref="G4033">SubCategorizeComment(E4033)</f>
        <v>Other</v>
      </c>
    </row>
    <row r="4034" spans="1:7" x14ac:dyDescent="0.25">
      <c r="A4034">
        <v>32102</v>
      </c>
      <c r="B4034" t="s">
        <v>4</v>
      </c>
      <c r="C4034">
        <v>3</v>
      </c>
      <c r="D4034" t="s">
        <v>5</v>
      </c>
      <c r="F4034" t="str" cm="1">
        <f t="array" ref="F4034">CategorizeComment(E4034)</f>
        <v>Other</v>
      </c>
      <c r="G4034" t="str" cm="1">
        <f t="array" ref="G4034">SubCategorizeComment(E4034)</f>
        <v>Other</v>
      </c>
    </row>
    <row r="4035" spans="1:7" x14ac:dyDescent="0.25">
      <c r="A4035">
        <v>32108</v>
      </c>
      <c r="B4035" t="s">
        <v>4</v>
      </c>
      <c r="C4035">
        <v>3</v>
      </c>
      <c r="D4035" t="s">
        <v>5</v>
      </c>
      <c r="F4035" t="str" cm="1">
        <f t="array" ref="F4035">CategorizeComment(E4035)</f>
        <v>Other</v>
      </c>
      <c r="G4035" t="str" cm="1">
        <f t="array" ref="G4035">SubCategorizeComment(E4035)</f>
        <v>Other</v>
      </c>
    </row>
    <row r="4036" spans="1:7" x14ac:dyDescent="0.25">
      <c r="A4036">
        <v>32110</v>
      </c>
      <c r="B4036" t="s">
        <v>4</v>
      </c>
      <c r="C4036">
        <v>3</v>
      </c>
      <c r="D4036" t="s">
        <v>5</v>
      </c>
      <c r="F4036" t="str" cm="1">
        <f t="array" ref="F4036">CategorizeComment(E4036)</f>
        <v>Other</v>
      </c>
      <c r="G4036" t="str" cm="1">
        <f t="array" ref="G4036">SubCategorizeComment(E4036)</f>
        <v>Other</v>
      </c>
    </row>
    <row r="4037" spans="1:7" x14ac:dyDescent="0.25">
      <c r="A4037">
        <v>32217</v>
      </c>
      <c r="B4037" t="s">
        <v>4</v>
      </c>
      <c r="C4037">
        <v>3</v>
      </c>
      <c r="D4037" t="s">
        <v>5</v>
      </c>
      <c r="F4037" t="str" cm="1">
        <f t="array" ref="F4037">CategorizeComment(E4037)</f>
        <v>Other</v>
      </c>
      <c r="G4037" t="str" cm="1">
        <f t="array" ref="G4037">SubCategorizeComment(E4037)</f>
        <v>Other</v>
      </c>
    </row>
    <row r="4038" spans="1:7" x14ac:dyDescent="0.25">
      <c r="A4038">
        <v>32230</v>
      </c>
      <c r="B4038" t="s">
        <v>4</v>
      </c>
      <c r="C4038">
        <v>4</v>
      </c>
      <c r="D4038" t="s">
        <v>5</v>
      </c>
      <c r="F4038" t="str" cm="1">
        <f t="array" ref="F4038">CategorizeComment(E4038)</f>
        <v>Other</v>
      </c>
      <c r="G4038" t="str" cm="1">
        <f t="array" ref="G4038">SubCategorizeComment(E4038)</f>
        <v>Other</v>
      </c>
    </row>
    <row r="4039" spans="1:7" x14ac:dyDescent="0.25">
      <c r="A4039">
        <v>32243</v>
      </c>
      <c r="B4039" t="s">
        <v>4</v>
      </c>
      <c r="C4039">
        <v>3</v>
      </c>
      <c r="D4039" t="s">
        <v>5</v>
      </c>
      <c r="F4039" t="str" cm="1">
        <f t="array" ref="F4039">CategorizeComment(E4039)</f>
        <v>Other</v>
      </c>
      <c r="G4039" t="str" cm="1">
        <f t="array" ref="G4039">SubCategorizeComment(E4039)</f>
        <v>Other</v>
      </c>
    </row>
    <row r="4040" spans="1:7" x14ac:dyDescent="0.25">
      <c r="A4040">
        <v>32262</v>
      </c>
      <c r="B4040" t="s">
        <v>4</v>
      </c>
      <c r="C4040">
        <v>4</v>
      </c>
      <c r="D4040" t="s">
        <v>5</v>
      </c>
      <c r="F4040" t="str" cm="1">
        <f t="array" ref="F4040">CategorizeComment(E4040)</f>
        <v>Other</v>
      </c>
      <c r="G4040" t="str" cm="1">
        <f t="array" ref="G4040">SubCategorizeComment(E4040)</f>
        <v>Other</v>
      </c>
    </row>
    <row r="4041" spans="1:7" x14ac:dyDescent="0.25">
      <c r="A4041">
        <v>32300</v>
      </c>
      <c r="B4041" t="s">
        <v>4</v>
      </c>
      <c r="C4041">
        <v>3</v>
      </c>
      <c r="D4041" t="s">
        <v>5</v>
      </c>
      <c r="F4041" t="str" cm="1">
        <f t="array" ref="F4041">CategorizeComment(E4041)</f>
        <v>Other</v>
      </c>
      <c r="G4041" t="str" cm="1">
        <f t="array" ref="G4041">SubCategorizeComment(E4041)</f>
        <v>Other</v>
      </c>
    </row>
    <row r="4042" spans="1:7" x14ac:dyDescent="0.25">
      <c r="A4042">
        <v>32316</v>
      </c>
      <c r="B4042" t="s">
        <v>4</v>
      </c>
      <c r="C4042">
        <v>3</v>
      </c>
      <c r="D4042" t="s">
        <v>5</v>
      </c>
      <c r="F4042" t="str" cm="1">
        <f t="array" ref="F4042">CategorizeComment(E4042)</f>
        <v>Other</v>
      </c>
      <c r="G4042" t="str" cm="1">
        <f t="array" ref="G4042">SubCategorizeComment(E4042)</f>
        <v>Other</v>
      </c>
    </row>
    <row r="4043" spans="1:7" x14ac:dyDescent="0.25">
      <c r="A4043">
        <v>32320</v>
      </c>
      <c r="B4043" t="s">
        <v>4</v>
      </c>
      <c r="C4043">
        <v>4</v>
      </c>
      <c r="D4043" t="s">
        <v>5</v>
      </c>
      <c r="F4043" t="str" cm="1">
        <f t="array" ref="F4043">CategorizeComment(E4043)</f>
        <v>Other</v>
      </c>
      <c r="G4043" t="str" cm="1">
        <f t="array" ref="G4043">SubCategorizeComment(E4043)</f>
        <v>Other</v>
      </c>
    </row>
    <row r="4044" spans="1:7" x14ac:dyDescent="0.25">
      <c r="A4044">
        <v>32331</v>
      </c>
      <c r="B4044" t="s">
        <v>4</v>
      </c>
      <c r="C4044">
        <v>4</v>
      </c>
      <c r="D4044" t="s">
        <v>5</v>
      </c>
      <c r="F4044" t="str" cm="1">
        <f t="array" ref="F4044">CategorizeComment(E4044)</f>
        <v>Other</v>
      </c>
      <c r="G4044" t="str" cm="1">
        <f t="array" ref="G4044">SubCategorizeComment(E4044)</f>
        <v>Other</v>
      </c>
    </row>
    <row r="4045" spans="1:7" x14ac:dyDescent="0.25">
      <c r="A4045">
        <v>32336</v>
      </c>
      <c r="B4045" t="s">
        <v>4</v>
      </c>
      <c r="C4045">
        <v>4</v>
      </c>
      <c r="D4045" t="s">
        <v>5</v>
      </c>
      <c r="F4045" t="str" cm="1">
        <f t="array" ref="F4045">CategorizeComment(E4045)</f>
        <v>Other</v>
      </c>
      <c r="G4045" t="str" cm="1">
        <f t="array" ref="G4045">SubCategorizeComment(E4045)</f>
        <v>Other</v>
      </c>
    </row>
    <row r="4046" spans="1:7" x14ac:dyDescent="0.25">
      <c r="A4046">
        <v>32368</v>
      </c>
      <c r="B4046" t="s">
        <v>4</v>
      </c>
      <c r="C4046">
        <v>4</v>
      </c>
      <c r="D4046" t="s">
        <v>5</v>
      </c>
      <c r="F4046" t="str" cm="1">
        <f t="array" ref="F4046">CategorizeComment(E4046)</f>
        <v>Other</v>
      </c>
      <c r="G4046" t="str" cm="1">
        <f t="array" ref="G4046">SubCategorizeComment(E4046)</f>
        <v>Other</v>
      </c>
    </row>
    <row r="4047" spans="1:7" x14ac:dyDescent="0.25">
      <c r="A4047">
        <v>32386</v>
      </c>
      <c r="B4047" t="s">
        <v>4</v>
      </c>
      <c r="C4047">
        <v>3</v>
      </c>
      <c r="D4047" t="s">
        <v>5</v>
      </c>
      <c r="F4047" t="str" cm="1">
        <f t="array" ref="F4047">CategorizeComment(E4047)</f>
        <v>Other</v>
      </c>
      <c r="G4047" t="str" cm="1">
        <f t="array" ref="G4047">SubCategorizeComment(E4047)</f>
        <v>Other</v>
      </c>
    </row>
    <row r="4048" spans="1:7" x14ac:dyDescent="0.25">
      <c r="A4048">
        <v>32387</v>
      </c>
      <c r="B4048" t="s">
        <v>4</v>
      </c>
      <c r="C4048">
        <v>4</v>
      </c>
      <c r="D4048" t="s">
        <v>5</v>
      </c>
      <c r="F4048" t="str" cm="1">
        <f t="array" ref="F4048">CategorizeComment(E4048)</f>
        <v>Other</v>
      </c>
      <c r="G4048" t="str" cm="1">
        <f t="array" ref="G4048">SubCategorizeComment(E4048)</f>
        <v>Other</v>
      </c>
    </row>
    <row r="4049" spans="1:7" x14ac:dyDescent="0.25">
      <c r="A4049">
        <v>32414</v>
      </c>
      <c r="B4049" t="s">
        <v>4</v>
      </c>
      <c r="C4049">
        <v>4</v>
      </c>
      <c r="D4049" t="s">
        <v>5</v>
      </c>
      <c r="F4049" t="str" cm="1">
        <f t="array" ref="F4049">CategorizeComment(E4049)</f>
        <v>Other</v>
      </c>
      <c r="G4049" t="str" cm="1">
        <f t="array" ref="G4049">SubCategorizeComment(E4049)</f>
        <v>Other</v>
      </c>
    </row>
    <row r="4050" spans="1:7" x14ac:dyDescent="0.25">
      <c r="A4050">
        <v>32419</v>
      </c>
      <c r="B4050" t="s">
        <v>4</v>
      </c>
      <c r="C4050">
        <v>4</v>
      </c>
      <c r="D4050" t="s">
        <v>5</v>
      </c>
      <c r="F4050" t="str" cm="1">
        <f t="array" ref="F4050">CategorizeComment(E4050)</f>
        <v>Other</v>
      </c>
      <c r="G4050" t="str" cm="1">
        <f t="array" ref="G4050">SubCategorizeComment(E4050)</f>
        <v>Other</v>
      </c>
    </row>
    <row r="4051" spans="1:7" x14ac:dyDescent="0.25">
      <c r="A4051">
        <v>32422</v>
      </c>
      <c r="B4051" t="s">
        <v>4</v>
      </c>
      <c r="C4051">
        <v>4</v>
      </c>
      <c r="D4051" t="s">
        <v>5</v>
      </c>
      <c r="F4051" t="str" cm="1">
        <f t="array" ref="F4051">CategorizeComment(E4051)</f>
        <v>Other</v>
      </c>
      <c r="G4051" t="str" cm="1">
        <f t="array" ref="G4051">SubCategorizeComment(E4051)</f>
        <v>Other</v>
      </c>
    </row>
    <row r="4052" spans="1:7" x14ac:dyDescent="0.25">
      <c r="A4052">
        <v>32428</v>
      </c>
      <c r="B4052" t="s">
        <v>4</v>
      </c>
      <c r="C4052">
        <v>4</v>
      </c>
      <c r="D4052" t="s">
        <v>5</v>
      </c>
      <c r="F4052" t="str" cm="1">
        <f t="array" ref="F4052">CategorizeComment(E4052)</f>
        <v>Other</v>
      </c>
      <c r="G4052" t="str" cm="1">
        <f t="array" ref="G4052">SubCategorizeComment(E4052)</f>
        <v>Other</v>
      </c>
    </row>
    <row r="4053" spans="1:7" x14ac:dyDescent="0.25">
      <c r="A4053">
        <v>32446</v>
      </c>
      <c r="B4053" t="s">
        <v>4</v>
      </c>
      <c r="C4053">
        <v>4</v>
      </c>
      <c r="D4053" t="s">
        <v>5</v>
      </c>
      <c r="F4053" t="str" cm="1">
        <f t="array" ref="F4053">CategorizeComment(E4053)</f>
        <v>Other</v>
      </c>
      <c r="G4053" t="str" cm="1">
        <f t="array" ref="G4053">SubCategorizeComment(E4053)</f>
        <v>Other</v>
      </c>
    </row>
    <row r="4054" spans="1:7" x14ac:dyDescent="0.25">
      <c r="A4054">
        <v>32456</v>
      </c>
      <c r="B4054" t="s">
        <v>4</v>
      </c>
      <c r="C4054">
        <v>3</v>
      </c>
      <c r="D4054" t="s">
        <v>5</v>
      </c>
      <c r="F4054" t="str" cm="1">
        <f t="array" ref="F4054">CategorizeComment(E4054)</f>
        <v>Other</v>
      </c>
      <c r="G4054" t="str" cm="1">
        <f t="array" ref="G4054">SubCategorizeComment(E4054)</f>
        <v>Other</v>
      </c>
    </row>
    <row r="4055" spans="1:7" x14ac:dyDescent="0.25">
      <c r="A4055">
        <v>32457</v>
      </c>
      <c r="B4055" t="s">
        <v>4</v>
      </c>
      <c r="C4055">
        <v>3</v>
      </c>
      <c r="D4055" t="s">
        <v>5</v>
      </c>
      <c r="F4055" t="str" cm="1">
        <f t="array" ref="F4055">CategorizeComment(E4055)</f>
        <v>Other</v>
      </c>
      <c r="G4055" t="str" cm="1">
        <f t="array" ref="G4055">SubCategorizeComment(E4055)</f>
        <v>Other</v>
      </c>
    </row>
    <row r="4056" spans="1:7" x14ac:dyDescent="0.25">
      <c r="A4056">
        <v>32458</v>
      </c>
      <c r="B4056" t="s">
        <v>4</v>
      </c>
      <c r="C4056">
        <v>3</v>
      </c>
      <c r="D4056" t="s">
        <v>5</v>
      </c>
      <c r="F4056" t="str" cm="1">
        <f t="array" ref="F4056">CategorizeComment(E4056)</f>
        <v>Other</v>
      </c>
      <c r="G4056" t="str" cm="1">
        <f t="array" ref="G4056">SubCategorizeComment(E4056)</f>
        <v>Other</v>
      </c>
    </row>
    <row r="4057" spans="1:7" x14ac:dyDescent="0.25">
      <c r="A4057">
        <v>32459</v>
      </c>
      <c r="B4057" t="s">
        <v>4</v>
      </c>
      <c r="C4057">
        <v>4</v>
      </c>
      <c r="D4057" t="s">
        <v>5</v>
      </c>
      <c r="F4057" t="str" cm="1">
        <f t="array" ref="F4057">CategorizeComment(E4057)</f>
        <v>Other</v>
      </c>
      <c r="G4057" t="str" cm="1">
        <f t="array" ref="G4057">SubCategorizeComment(E4057)</f>
        <v>Other</v>
      </c>
    </row>
    <row r="4058" spans="1:7" x14ac:dyDescent="0.25">
      <c r="A4058">
        <v>32470</v>
      </c>
      <c r="B4058" t="s">
        <v>4</v>
      </c>
      <c r="C4058">
        <v>3</v>
      </c>
      <c r="D4058" t="s">
        <v>5</v>
      </c>
      <c r="F4058" t="str" cm="1">
        <f t="array" ref="F4058">CategorizeComment(E4058)</f>
        <v>Other</v>
      </c>
      <c r="G4058" t="str" cm="1">
        <f t="array" ref="G4058">SubCategorizeComment(E4058)</f>
        <v>Other</v>
      </c>
    </row>
    <row r="4059" spans="1:7" x14ac:dyDescent="0.25">
      <c r="A4059">
        <v>32488</v>
      </c>
      <c r="B4059" t="s">
        <v>4</v>
      </c>
      <c r="C4059">
        <v>4</v>
      </c>
      <c r="D4059" t="s">
        <v>5</v>
      </c>
      <c r="F4059" t="str" cm="1">
        <f t="array" ref="F4059">CategorizeComment(E4059)</f>
        <v>Other</v>
      </c>
      <c r="G4059" t="str" cm="1">
        <f t="array" ref="G4059">SubCategorizeComment(E4059)</f>
        <v>Other</v>
      </c>
    </row>
    <row r="4060" spans="1:7" x14ac:dyDescent="0.25">
      <c r="A4060">
        <v>32493</v>
      </c>
      <c r="B4060" t="s">
        <v>4</v>
      </c>
      <c r="C4060">
        <v>4</v>
      </c>
      <c r="D4060" t="s">
        <v>5</v>
      </c>
      <c r="F4060" t="str" cm="1">
        <f t="array" ref="F4060">CategorizeComment(E4060)</f>
        <v>Other</v>
      </c>
      <c r="G4060" t="str" cm="1">
        <f t="array" ref="G4060">SubCategorizeComment(E4060)</f>
        <v>Other</v>
      </c>
    </row>
    <row r="4061" spans="1:7" x14ac:dyDescent="0.25">
      <c r="A4061">
        <v>32498</v>
      </c>
      <c r="B4061" t="s">
        <v>4</v>
      </c>
      <c r="C4061">
        <v>3</v>
      </c>
      <c r="D4061" t="s">
        <v>5</v>
      </c>
      <c r="F4061" t="str" cm="1">
        <f t="array" ref="F4061">CategorizeComment(E4061)</f>
        <v>Other</v>
      </c>
      <c r="G4061" t="str" cm="1">
        <f t="array" ref="G4061">SubCategorizeComment(E4061)</f>
        <v>Other</v>
      </c>
    </row>
    <row r="4062" spans="1:7" x14ac:dyDescent="0.25">
      <c r="A4062">
        <v>32503</v>
      </c>
      <c r="B4062" t="s">
        <v>4</v>
      </c>
      <c r="C4062">
        <v>4</v>
      </c>
      <c r="D4062" t="s">
        <v>5</v>
      </c>
      <c r="F4062" t="str" cm="1">
        <f t="array" ref="F4062">CategorizeComment(E4062)</f>
        <v>Other</v>
      </c>
      <c r="G4062" t="str" cm="1">
        <f t="array" ref="G4062">SubCategorizeComment(E4062)</f>
        <v>Other</v>
      </c>
    </row>
    <row r="4063" spans="1:7" x14ac:dyDescent="0.25">
      <c r="A4063">
        <v>32517</v>
      </c>
      <c r="B4063" t="s">
        <v>4</v>
      </c>
      <c r="C4063">
        <v>3</v>
      </c>
      <c r="D4063" t="s">
        <v>5</v>
      </c>
      <c r="F4063" t="str" cm="1">
        <f t="array" ref="F4063">CategorizeComment(E4063)</f>
        <v>Other</v>
      </c>
      <c r="G4063" t="str" cm="1">
        <f t="array" ref="G4063">SubCategorizeComment(E4063)</f>
        <v>Other</v>
      </c>
    </row>
    <row r="4064" spans="1:7" x14ac:dyDescent="0.25">
      <c r="A4064">
        <v>32527</v>
      </c>
      <c r="B4064" t="s">
        <v>4</v>
      </c>
      <c r="C4064">
        <v>3</v>
      </c>
      <c r="D4064" t="s">
        <v>5</v>
      </c>
      <c r="F4064" t="str" cm="1">
        <f t="array" ref="F4064">CategorizeComment(E4064)</f>
        <v>Other</v>
      </c>
      <c r="G4064" t="str" cm="1">
        <f t="array" ref="G4064">SubCategorizeComment(E4064)</f>
        <v>Other</v>
      </c>
    </row>
    <row r="4065" spans="1:7" x14ac:dyDescent="0.25">
      <c r="A4065">
        <v>32535</v>
      </c>
      <c r="B4065" t="s">
        <v>4</v>
      </c>
      <c r="C4065">
        <v>3</v>
      </c>
      <c r="D4065" t="s">
        <v>5</v>
      </c>
      <c r="F4065" t="str" cm="1">
        <f t="array" ref="F4065">CategorizeComment(E4065)</f>
        <v>Other</v>
      </c>
      <c r="G4065" t="str" cm="1">
        <f t="array" ref="G4065">SubCategorizeComment(E4065)</f>
        <v>Other</v>
      </c>
    </row>
    <row r="4066" spans="1:7" x14ac:dyDescent="0.25">
      <c r="A4066">
        <v>32539</v>
      </c>
      <c r="B4066" t="s">
        <v>4</v>
      </c>
      <c r="C4066">
        <v>4</v>
      </c>
      <c r="D4066" t="s">
        <v>5</v>
      </c>
      <c r="F4066" t="str" cm="1">
        <f t="array" ref="F4066">CategorizeComment(E4066)</f>
        <v>Other</v>
      </c>
      <c r="G4066" t="str" cm="1">
        <f t="array" ref="G4066">SubCategorizeComment(E4066)</f>
        <v>Other</v>
      </c>
    </row>
    <row r="4067" spans="1:7" x14ac:dyDescent="0.25">
      <c r="A4067">
        <v>32577</v>
      </c>
      <c r="B4067" t="s">
        <v>4</v>
      </c>
      <c r="C4067">
        <v>0</v>
      </c>
      <c r="D4067" t="s">
        <v>5</v>
      </c>
      <c r="F4067" t="str" cm="1">
        <f t="array" ref="F4067">CategorizeComment(E4067)</f>
        <v>Other</v>
      </c>
      <c r="G4067" t="str" cm="1">
        <f t="array" ref="G4067">SubCategorizeComment(E4067)</f>
        <v>Other</v>
      </c>
    </row>
    <row r="4068" spans="1:7" x14ac:dyDescent="0.25">
      <c r="A4068">
        <v>32585</v>
      </c>
      <c r="B4068" t="s">
        <v>4</v>
      </c>
      <c r="C4068">
        <v>4</v>
      </c>
      <c r="D4068" t="s">
        <v>5</v>
      </c>
      <c r="F4068" t="str" cm="1">
        <f t="array" ref="F4068">CategorizeComment(E4068)</f>
        <v>Other</v>
      </c>
      <c r="G4068" t="str" cm="1">
        <f t="array" ref="G4068">SubCategorizeComment(E4068)</f>
        <v>Other</v>
      </c>
    </row>
    <row r="4069" spans="1:7" x14ac:dyDescent="0.25">
      <c r="A4069">
        <v>32598</v>
      </c>
      <c r="B4069" t="s">
        <v>4</v>
      </c>
      <c r="C4069">
        <v>3</v>
      </c>
      <c r="D4069" t="s">
        <v>5</v>
      </c>
      <c r="F4069" t="str" cm="1">
        <f t="array" ref="F4069">CategorizeComment(E4069)</f>
        <v>Other</v>
      </c>
      <c r="G4069" t="str" cm="1">
        <f t="array" ref="G4069">SubCategorizeComment(E4069)</f>
        <v>Other</v>
      </c>
    </row>
    <row r="4070" spans="1:7" x14ac:dyDescent="0.25">
      <c r="A4070">
        <v>32603</v>
      </c>
      <c r="B4070" t="s">
        <v>4</v>
      </c>
      <c r="C4070">
        <v>3</v>
      </c>
      <c r="D4070" t="s">
        <v>5</v>
      </c>
      <c r="F4070" t="str" cm="1">
        <f t="array" ref="F4070">CategorizeComment(E4070)</f>
        <v>Other</v>
      </c>
      <c r="G4070" t="str" cm="1">
        <f t="array" ref="G4070">SubCategorizeComment(E4070)</f>
        <v>Other</v>
      </c>
    </row>
    <row r="4071" spans="1:7" x14ac:dyDescent="0.25">
      <c r="A4071">
        <v>32616</v>
      </c>
      <c r="B4071" t="s">
        <v>4</v>
      </c>
      <c r="C4071">
        <v>4</v>
      </c>
      <c r="D4071" t="s">
        <v>5</v>
      </c>
      <c r="F4071" t="str" cm="1">
        <f t="array" ref="F4071">CategorizeComment(E4071)</f>
        <v>Other</v>
      </c>
      <c r="G4071" t="str" cm="1">
        <f t="array" ref="G4071">SubCategorizeComment(E4071)</f>
        <v>Other</v>
      </c>
    </row>
    <row r="4072" spans="1:7" x14ac:dyDescent="0.25">
      <c r="A4072">
        <v>32619</v>
      </c>
      <c r="B4072" t="s">
        <v>4</v>
      </c>
      <c r="C4072">
        <v>3</v>
      </c>
      <c r="D4072" t="s">
        <v>5</v>
      </c>
      <c r="F4072" t="str" cm="1">
        <f t="array" ref="F4072">CategorizeComment(E4072)</f>
        <v>Other</v>
      </c>
      <c r="G4072" t="str" cm="1">
        <f t="array" ref="G4072">SubCategorizeComment(E4072)</f>
        <v>Other</v>
      </c>
    </row>
    <row r="4073" spans="1:7" x14ac:dyDescent="0.25">
      <c r="A4073">
        <v>32646</v>
      </c>
      <c r="B4073" t="s">
        <v>4</v>
      </c>
      <c r="C4073">
        <v>3</v>
      </c>
      <c r="D4073" t="s">
        <v>5</v>
      </c>
      <c r="F4073" t="str" cm="1">
        <f t="array" ref="F4073">CategorizeComment(E4073)</f>
        <v>Other</v>
      </c>
      <c r="G4073" t="str" cm="1">
        <f t="array" ref="G4073">SubCategorizeComment(E4073)</f>
        <v>Other</v>
      </c>
    </row>
    <row r="4074" spans="1:7" x14ac:dyDescent="0.25">
      <c r="A4074">
        <v>32647</v>
      </c>
      <c r="B4074" t="s">
        <v>4</v>
      </c>
      <c r="C4074">
        <v>4</v>
      </c>
      <c r="D4074" t="s">
        <v>5</v>
      </c>
      <c r="F4074" t="str" cm="1">
        <f t="array" ref="F4074">CategorizeComment(E4074)</f>
        <v>Other</v>
      </c>
      <c r="G4074" t="str" cm="1">
        <f t="array" ref="G4074">SubCategorizeComment(E4074)</f>
        <v>Other</v>
      </c>
    </row>
    <row r="4075" spans="1:7" x14ac:dyDescent="0.25">
      <c r="A4075">
        <v>32648</v>
      </c>
      <c r="B4075" t="s">
        <v>4</v>
      </c>
      <c r="C4075">
        <v>3</v>
      </c>
      <c r="D4075" t="s">
        <v>5</v>
      </c>
      <c r="F4075" t="str" cm="1">
        <f t="array" ref="F4075">CategorizeComment(E4075)</f>
        <v>Other</v>
      </c>
      <c r="G4075" t="str" cm="1">
        <f t="array" ref="G4075">SubCategorizeComment(E4075)</f>
        <v>Other</v>
      </c>
    </row>
    <row r="4076" spans="1:7" x14ac:dyDescent="0.25">
      <c r="A4076">
        <v>32662</v>
      </c>
      <c r="B4076" t="s">
        <v>4</v>
      </c>
      <c r="C4076">
        <v>4</v>
      </c>
      <c r="D4076" t="s">
        <v>5</v>
      </c>
      <c r="F4076" t="str" cm="1">
        <f t="array" ref="F4076">CategorizeComment(E4076)</f>
        <v>Other</v>
      </c>
      <c r="G4076" t="str" cm="1">
        <f t="array" ref="G4076">SubCategorizeComment(E4076)</f>
        <v>Other</v>
      </c>
    </row>
    <row r="4077" spans="1:7" x14ac:dyDescent="0.25">
      <c r="A4077">
        <v>32668</v>
      </c>
      <c r="B4077" t="s">
        <v>4</v>
      </c>
      <c r="C4077">
        <v>4</v>
      </c>
      <c r="D4077" t="s">
        <v>5</v>
      </c>
      <c r="F4077" t="str" cm="1">
        <f t="array" ref="F4077">CategorizeComment(E4077)</f>
        <v>Other</v>
      </c>
      <c r="G4077" t="str" cm="1">
        <f t="array" ref="G4077">SubCategorizeComment(E4077)</f>
        <v>Other</v>
      </c>
    </row>
    <row r="4078" spans="1:7" x14ac:dyDescent="0.25">
      <c r="A4078">
        <v>32669</v>
      </c>
      <c r="B4078" t="s">
        <v>4</v>
      </c>
      <c r="C4078">
        <v>3</v>
      </c>
      <c r="D4078" t="s">
        <v>5</v>
      </c>
      <c r="F4078" t="str" cm="1">
        <f t="array" ref="F4078">CategorizeComment(E4078)</f>
        <v>Other</v>
      </c>
      <c r="G4078" t="str" cm="1">
        <f t="array" ref="G4078">SubCategorizeComment(E4078)</f>
        <v>Other</v>
      </c>
    </row>
    <row r="4079" spans="1:7" x14ac:dyDescent="0.25">
      <c r="A4079">
        <v>32670</v>
      </c>
      <c r="B4079" t="s">
        <v>4</v>
      </c>
      <c r="C4079">
        <v>3</v>
      </c>
      <c r="D4079" t="s">
        <v>5</v>
      </c>
      <c r="F4079" t="str" cm="1">
        <f t="array" ref="F4079">CategorizeComment(E4079)</f>
        <v>Other</v>
      </c>
      <c r="G4079" t="str" cm="1">
        <f t="array" ref="G4079">SubCategorizeComment(E4079)</f>
        <v>Other</v>
      </c>
    </row>
    <row r="4080" spans="1:7" x14ac:dyDescent="0.25">
      <c r="A4080">
        <v>32672</v>
      </c>
      <c r="B4080" t="s">
        <v>4</v>
      </c>
      <c r="C4080">
        <v>3</v>
      </c>
      <c r="D4080" t="s">
        <v>5</v>
      </c>
      <c r="F4080" t="str" cm="1">
        <f t="array" ref="F4080">CategorizeComment(E4080)</f>
        <v>Other</v>
      </c>
      <c r="G4080" t="str" cm="1">
        <f t="array" ref="G4080">SubCategorizeComment(E4080)</f>
        <v>Other</v>
      </c>
    </row>
    <row r="4081" spans="1:7" x14ac:dyDescent="0.25">
      <c r="A4081">
        <v>32673</v>
      </c>
      <c r="B4081" t="s">
        <v>4</v>
      </c>
      <c r="C4081">
        <v>3</v>
      </c>
      <c r="D4081" t="s">
        <v>5</v>
      </c>
      <c r="F4081" t="str" cm="1">
        <f t="array" ref="F4081">CategorizeComment(E4081)</f>
        <v>Other</v>
      </c>
      <c r="G4081" t="str" cm="1">
        <f t="array" ref="G4081">SubCategorizeComment(E4081)</f>
        <v>Other</v>
      </c>
    </row>
    <row r="4082" spans="1:7" x14ac:dyDescent="0.25">
      <c r="A4082">
        <v>32681</v>
      </c>
      <c r="B4082" t="s">
        <v>4</v>
      </c>
      <c r="C4082">
        <v>4</v>
      </c>
      <c r="D4082" t="s">
        <v>5</v>
      </c>
      <c r="F4082" t="str" cm="1">
        <f t="array" ref="F4082">CategorizeComment(E4082)</f>
        <v>Other</v>
      </c>
      <c r="G4082" t="str" cm="1">
        <f t="array" ref="G4082">SubCategorizeComment(E4082)</f>
        <v>Other</v>
      </c>
    </row>
    <row r="4083" spans="1:7" x14ac:dyDescent="0.25">
      <c r="A4083">
        <v>32685</v>
      </c>
      <c r="B4083" t="s">
        <v>4</v>
      </c>
      <c r="C4083">
        <v>3</v>
      </c>
      <c r="D4083" t="s">
        <v>5</v>
      </c>
      <c r="F4083" t="str" cm="1">
        <f t="array" ref="F4083">CategorizeComment(E4083)</f>
        <v>Other</v>
      </c>
      <c r="G4083" t="str" cm="1">
        <f t="array" ref="G4083">SubCategorizeComment(E4083)</f>
        <v>Other</v>
      </c>
    </row>
    <row r="4084" spans="1:7" x14ac:dyDescent="0.25">
      <c r="A4084">
        <v>32687</v>
      </c>
      <c r="B4084" t="s">
        <v>4</v>
      </c>
      <c r="C4084">
        <v>3</v>
      </c>
      <c r="D4084" t="s">
        <v>5</v>
      </c>
      <c r="F4084" t="str" cm="1">
        <f t="array" ref="F4084">CategorizeComment(E4084)</f>
        <v>Other</v>
      </c>
      <c r="G4084" t="str" cm="1">
        <f t="array" ref="G4084">SubCategorizeComment(E4084)</f>
        <v>Other</v>
      </c>
    </row>
    <row r="4085" spans="1:7" x14ac:dyDescent="0.25">
      <c r="A4085">
        <v>32688</v>
      </c>
      <c r="B4085" t="s">
        <v>4</v>
      </c>
      <c r="C4085">
        <v>3</v>
      </c>
      <c r="D4085" t="s">
        <v>5</v>
      </c>
      <c r="F4085" t="str" cm="1">
        <f t="array" ref="F4085">CategorizeComment(E4085)</f>
        <v>Other</v>
      </c>
      <c r="G4085" t="str" cm="1">
        <f t="array" ref="G4085">SubCategorizeComment(E4085)</f>
        <v>Other</v>
      </c>
    </row>
    <row r="4086" spans="1:7" x14ac:dyDescent="0.25">
      <c r="A4086">
        <v>32700</v>
      </c>
      <c r="B4086" t="s">
        <v>4</v>
      </c>
      <c r="C4086">
        <v>3</v>
      </c>
      <c r="D4086" t="s">
        <v>5</v>
      </c>
      <c r="F4086" t="str" cm="1">
        <f t="array" ref="F4086">CategorizeComment(E4086)</f>
        <v>Other</v>
      </c>
      <c r="G4086" t="str" cm="1">
        <f t="array" ref="G4086">SubCategorizeComment(E4086)</f>
        <v>Other</v>
      </c>
    </row>
    <row r="4087" spans="1:7" x14ac:dyDescent="0.25">
      <c r="A4087">
        <v>32703</v>
      </c>
      <c r="B4087" t="s">
        <v>4</v>
      </c>
      <c r="C4087">
        <v>4</v>
      </c>
      <c r="D4087" t="s">
        <v>5</v>
      </c>
      <c r="F4087" t="str" cm="1">
        <f t="array" ref="F4087">CategorizeComment(E4087)</f>
        <v>Other</v>
      </c>
      <c r="G4087" t="str" cm="1">
        <f t="array" ref="G4087">SubCategorizeComment(E4087)</f>
        <v>Other</v>
      </c>
    </row>
    <row r="4088" spans="1:7" x14ac:dyDescent="0.25">
      <c r="A4088">
        <v>32714</v>
      </c>
      <c r="B4088" t="s">
        <v>4</v>
      </c>
      <c r="C4088">
        <v>4</v>
      </c>
      <c r="D4088" t="s">
        <v>5</v>
      </c>
      <c r="F4088" t="str" cm="1">
        <f t="array" ref="F4088">CategorizeComment(E4088)</f>
        <v>Other</v>
      </c>
      <c r="G4088" t="str" cm="1">
        <f t="array" ref="G4088">SubCategorizeComment(E4088)</f>
        <v>Other</v>
      </c>
    </row>
    <row r="4089" spans="1:7" x14ac:dyDescent="0.25">
      <c r="A4089">
        <v>32727</v>
      </c>
      <c r="B4089" t="s">
        <v>4</v>
      </c>
      <c r="C4089">
        <v>4</v>
      </c>
      <c r="D4089" t="s">
        <v>5</v>
      </c>
      <c r="F4089" t="str" cm="1">
        <f t="array" ref="F4089">CategorizeComment(E4089)</f>
        <v>Other</v>
      </c>
      <c r="G4089" t="str" cm="1">
        <f t="array" ref="G4089">SubCategorizeComment(E4089)</f>
        <v>Other</v>
      </c>
    </row>
    <row r="4090" spans="1:7" x14ac:dyDescent="0.25">
      <c r="A4090">
        <v>32735</v>
      </c>
      <c r="B4090" t="s">
        <v>4</v>
      </c>
      <c r="C4090">
        <v>3</v>
      </c>
      <c r="D4090" t="s">
        <v>5</v>
      </c>
      <c r="F4090" t="str" cm="1">
        <f t="array" ref="F4090">CategorizeComment(E4090)</f>
        <v>Other</v>
      </c>
      <c r="G4090" t="str" cm="1">
        <f t="array" ref="G4090">SubCategorizeComment(E4090)</f>
        <v>Other</v>
      </c>
    </row>
    <row r="4091" spans="1:7" x14ac:dyDescent="0.25">
      <c r="A4091">
        <v>32739</v>
      </c>
      <c r="B4091" t="s">
        <v>4</v>
      </c>
      <c r="C4091">
        <v>3</v>
      </c>
      <c r="D4091" t="s">
        <v>5</v>
      </c>
      <c r="F4091" t="str" cm="1">
        <f t="array" ref="F4091">CategorizeComment(E4091)</f>
        <v>Other</v>
      </c>
      <c r="G4091" t="str" cm="1">
        <f t="array" ref="G4091">SubCategorizeComment(E4091)</f>
        <v>Other</v>
      </c>
    </row>
    <row r="4092" spans="1:7" x14ac:dyDescent="0.25">
      <c r="A4092">
        <v>32740</v>
      </c>
      <c r="B4092" t="s">
        <v>4</v>
      </c>
      <c r="C4092">
        <v>4</v>
      </c>
      <c r="D4092" t="s">
        <v>5</v>
      </c>
      <c r="F4092" t="str" cm="1">
        <f t="array" ref="F4092">CategorizeComment(E4092)</f>
        <v>Other</v>
      </c>
      <c r="G4092" t="str" cm="1">
        <f t="array" ref="G4092">SubCategorizeComment(E4092)</f>
        <v>Other</v>
      </c>
    </row>
    <row r="4093" spans="1:7" x14ac:dyDescent="0.25">
      <c r="A4093">
        <v>32761</v>
      </c>
      <c r="B4093" t="s">
        <v>4</v>
      </c>
      <c r="C4093">
        <v>3</v>
      </c>
      <c r="D4093" t="s">
        <v>5</v>
      </c>
      <c r="F4093" t="str" cm="1">
        <f t="array" ref="F4093">CategorizeComment(E4093)</f>
        <v>Other</v>
      </c>
      <c r="G4093" t="str" cm="1">
        <f t="array" ref="G4093">SubCategorizeComment(E4093)</f>
        <v>Other</v>
      </c>
    </row>
    <row r="4094" spans="1:7" x14ac:dyDescent="0.25">
      <c r="A4094">
        <v>32773</v>
      </c>
      <c r="B4094" t="s">
        <v>4</v>
      </c>
      <c r="C4094">
        <v>4</v>
      </c>
      <c r="D4094" t="s">
        <v>5</v>
      </c>
      <c r="F4094" t="str" cm="1">
        <f t="array" ref="F4094">CategorizeComment(E4094)</f>
        <v>Other</v>
      </c>
      <c r="G4094" t="str" cm="1">
        <f t="array" ref="G4094">SubCategorizeComment(E4094)</f>
        <v>Other</v>
      </c>
    </row>
    <row r="4095" spans="1:7" x14ac:dyDescent="0.25">
      <c r="A4095">
        <v>32782</v>
      </c>
      <c r="B4095" t="s">
        <v>4</v>
      </c>
      <c r="C4095">
        <v>4</v>
      </c>
      <c r="D4095" t="s">
        <v>5</v>
      </c>
      <c r="F4095" t="str" cm="1">
        <f t="array" ref="F4095">CategorizeComment(E4095)</f>
        <v>Other</v>
      </c>
      <c r="G4095" t="str" cm="1">
        <f t="array" ref="G4095">SubCategorizeComment(E4095)</f>
        <v>Other</v>
      </c>
    </row>
    <row r="4096" spans="1:7" x14ac:dyDescent="0.25">
      <c r="A4096">
        <v>32793</v>
      </c>
      <c r="B4096" t="s">
        <v>4</v>
      </c>
      <c r="C4096">
        <v>4</v>
      </c>
      <c r="D4096" t="s">
        <v>5</v>
      </c>
      <c r="F4096" t="str" cm="1">
        <f t="array" ref="F4096">CategorizeComment(E4096)</f>
        <v>Other</v>
      </c>
      <c r="G4096" t="str" cm="1">
        <f t="array" ref="G4096">SubCategorizeComment(E4096)</f>
        <v>Other</v>
      </c>
    </row>
    <row r="4097" spans="1:7" x14ac:dyDescent="0.25">
      <c r="A4097">
        <v>32816</v>
      </c>
      <c r="B4097" t="s">
        <v>4</v>
      </c>
      <c r="C4097">
        <v>3</v>
      </c>
      <c r="D4097" t="s">
        <v>5</v>
      </c>
      <c r="F4097" t="str" cm="1">
        <f t="array" ref="F4097">CategorizeComment(E4097)</f>
        <v>Other</v>
      </c>
      <c r="G4097" t="str" cm="1">
        <f t="array" ref="G4097">SubCategorizeComment(E4097)</f>
        <v>Other</v>
      </c>
    </row>
    <row r="4098" spans="1:7" x14ac:dyDescent="0.25">
      <c r="A4098">
        <v>32817</v>
      </c>
      <c r="B4098" t="s">
        <v>4</v>
      </c>
      <c r="C4098">
        <v>3</v>
      </c>
      <c r="D4098" t="s">
        <v>5</v>
      </c>
      <c r="F4098" t="str" cm="1">
        <f t="array" ref="F4098">CategorizeComment(E4098)</f>
        <v>Other</v>
      </c>
      <c r="G4098" t="str" cm="1">
        <f t="array" ref="G4098">SubCategorizeComment(E4098)</f>
        <v>Other</v>
      </c>
    </row>
    <row r="4099" spans="1:7" x14ac:dyDescent="0.25">
      <c r="A4099">
        <v>32818</v>
      </c>
      <c r="B4099" t="s">
        <v>4</v>
      </c>
      <c r="C4099">
        <v>3</v>
      </c>
      <c r="D4099" t="s">
        <v>5</v>
      </c>
      <c r="F4099" t="str" cm="1">
        <f t="array" ref="F4099">CategorizeComment(E4099)</f>
        <v>Other</v>
      </c>
      <c r="G4099" t="str" cm="1">
        <f t="array" ref="G4099">SubCategorizeComment(E4099)</f>
        <v>Other</v>
      </c>
    </row>
    <row r="4100" spans="1:7" x14ac:dyDescent="0.25">
      <c r="A4100">
        <v>32823</v>
      </c>
      <c r="B4100" t="s">
        <v>4</v>
      </c>
      <c r="C4100">
        <v>3</v>
      </c>
      <c r="D4100" t="s">
        <v>5</v>
      </c>
      <c r="F4100" t="str" cm="1">
        <f t="array" ref="F4100">CategorizeComment(E4100)</f>
        <v>Other</v>
      </c>
      <c r="G4100" t="str" cm="1">
        <f t="array" ref="G4100">SubCategorizeComment(E4100)</f>
        <v>Other</v>
      </c>
    </row>
    <row r="4101" spans="1:7" x14ac:dyDescent="0.25">
      <c r="A4101">
        <v>32828</v>
      </c>
      <c r="B4101" t="s">
        <v>4</v>
      </c>
      <c r="C4101">
        <v>3</v>
      </c>
      <c r="D4101" t="s">
        <v>5</v>
      </c>
      <c r="F4101" t="str" cm="1">
        <f t="array" ref="F4101">CategorizeComment(E4101)</f>
        <v>Other</v>
      </c>
      <c r="G4101" t="str" cm="1">
        <f t="array" ref="G4101">SubCategorizeComment(E4101)</f>
        <v>Other</v>
      </c>
    </row>
    <row r="4102" spans="1:7" x14ac:dyDescent="0.25">
      <c r="A4102">
        <v>32849</v>
      </c>
      <c r="B4102" t="s">
        <v>4</v>
      </c>
      <c r="C4102">
        <v>4</v>
      </c>
      <c r="D4102" t="s">
        <v>5</v>
      </c>
      <c r="F4102" t="str" cm="1">
        <f t="array" ref="F4102">CategorizeComment(E4102)</f>
        <v>Other</v>
      </c>
      <c r="G4102" t="str" cm="1">
        <f t="array" ref="G4102">SubCategorizeComment(E4102)</f>
        <v>Other</v>
      </c>
    </row>
    <row r="4103" spans="1:7" x14ac:dyDescent="0.25">
      <c r="A4103">
        <v>32855</v>
      </c>
      <c r="B4103" t="s">
        <v>4</v>
      </c>
      <c r="C4103">
        <v>3</v>
      </c>
      <c r="D4103" t="s">
        <v>5</v>
      </c>
      <c r="F4103" t="str" cm="1">
        <f t="array" ref="F4103">CategorizeComment(E4103)</f>
        <v>Other</v>
      </c>
      <c r="G4103" t="str" cm="1">
        <f t="array" ref="G4103">SubCategorizeComment(E4103)</f>
        <v>Other</v>
      </c>
    </row>
    <row r="4104" spans="1:7" x14ac:dyDescent="0.25">
      <c r="A4104">
        <v>32859</v>
      </c>
      <c r="B4104" t="s">
        <v>4</v>
      </c>
      <c r="C4104">
        <v>4</v>
      </c>
      <c r="D4104" t="s">
        <v>5</v>
      </c>
      <c r="F4104" t="str" cm="1">
        <f t="array" ref="F4104">CategorizeComment(E4104)</f>
        <v>Other</v>
      </c>
      <c r="G4104" t="str" cm="1">
        <f t="array" ref="G4104">SubCategorizeComment(E4104)</f>
        <v>Other</v>
      </c>
    </row>
    <row r="4105" spans="1:7" x14ac:dyDescent="0.25">
      <c r="A4105">
        <v>32861</v>
      </c>
      <c r="B4105" t="s">
        <v>4</v>
      </c>
      <c r="C4105">
        <v>3</v>
      </c>
      <c r="D4105" t="s">
        <v>5</v>
      </c>
      <c r="F4105" t="str" cm="1">
        <f t="array" ref="F4105">CategorizeComment(E4105)</f>
        <v>Other</v>
      </c>
      <c r="G4105" t="str" cm="1">
        <f t="array" ref="G4105">SubCategorizeComment(E4105)</f>
        <v>Other</v>
      </c>
    </row>
    <row r="4106" spans="1:7" x14ac:dyDescent="0.25">
      <c r="A4106">
        <v>32873</v>
      </c>
      <c r="B4106" t="s">
        <v>4</v>
      </c>
      <c r="C4106">
        <v>3</v>
      </c>
      <c r="D4106" t="s">
        <v>5</v>
      </c>
      <c r="F4106" t="str" cm="1">
        <f t="array" ref="F4106">CategorizeComment(E4106)</f>
        <v>Other</v>
      </c>
      <c r="G4106" t="str" cm="1">
        <f t="array" ref="G4106">SubCategorizeComment(E4106)</f>
        <v>Other</v>
      </c>
    </row>
    <row r="4107" spans="1:7" x14ac:dyDescent="0.25">
      <c r="A4107">
        <v>32875</v>
      </c>
      <c r="B4107" t="s">
        <v>4</v>
      </c>
      <c r="C4107">
        <v>3</v>
      </c>
      <c r="D4107" t="s">
        <v>5</v>
      </c>
      <c r="F4107" t="str" cm="1">
        <f t="array" ref="F4107">CategorizeComment(E4107)</f>
        <v>Other</v>
      </c>
      <c r="G4107" t="str" cm="1">
        <f t="array" ref="G4107">SubCategorizeComment(E4107)</f>
        <v>Other</v>
      </c>
    </row>
    <row r="4108" spans="1:7" x14ac:dyDescent="0.25">
      <c r="A4108">
        <v>32901</v>
      </c>
      <c r="B4108" t="s">
        <v>4</v>
      </c>
      <c r="C4108">
        <v>4</v>
      </c>
      <c r="D4108" t="s">
        <v>5</v>
      </c>
      <c r="F4108" t="str" cm="1">
        <f t="array" ref="F4108">CategorizeComment(E4108)</f>
        <v>Other</v>
      </c>
      <c r="G4108" t="str" cm="1">
        <f t="array" ref="G4108">SubCategorizeComment(E4108)</f>
        <v>Other</v>
      </c>
    </row>
    <row r="4109" spans="1:7" x14ac:dyDescent="0.25">
      <c r="A4109">
        <v>32905</v>
      </c>
      <c r="B4109" t="s">
        <v>4</v>
      </c>
      <c r="C4109">
        <v>4</v>
      </c>
      <c r="D4109" t="s">
        <v>5</v>
      </c>
      <c r="F4109" t="str" cm="1">
        <f t="array" ref="F4109">CategorizeComment(E4109)</f>
        <v>Other</v>
      </c>
      <c r="G4109" t="str" cm="1">
        <f t="array" ref="G4109">SubCategorizeComment(E4109)</f>
        <v>Other</v>
      </c>
    </row>
    <row r="4110" spans="1:7" x14ac:dyDescent="0.25">
      <c r="A4110">
        <v>32911</v>
      </c>
      <c r="B4110" t="s">
        <v>4</v>
      </c>
      <c r="C4110">
        <v>3</v>
      </c>
      <c r="D4110" t="s">
        <v>5</v>
      </c>
      <c r="F4110" t="str" cm="1">
        <f t="array" ref="F4110">CategorizeComment(E4110)</f>
        <v>Other</v>
      </c>
      <c r="G4110" t="str" cm="1">
        <f t="array" ref="G4110">SubCategorizeComment(E4110)</f>
        <v>Other</v>
      </c>
    </row>
    <row r="4111" spans="1:7" x14ac:dyDescent="0.25">
      <c r="A4111">
        <v>32917</v>
      </c>
      <c r="B4111" t="s">
        <v>4</v>
      </c>
      <c r="C4111">
        <v>4</v>
      </c>
      <c r="D4111" t="s">
        <v>5</v>
      </c>
      <c r="F4111" t="str" cm="1">
        <f t="array" ref="F4111">CategorizeComment(E4111)</f>
        <v>Other</v>
      </c>
      <c r="G4111" t="str" cm="1">
        <f t="array" ref="G4111">SubCategorizeComment(E4111)</f>
        <v>Other</v>
      </c>
    </row>
    <row r="4112" spans="1:7" x14ac:dyDescent="0.25">
      <c r="A4112">
        <v>32919</v>
      </c>
      <c r="B4112" t="s">
        <v>4</v>
      </c>
      <c r="C4112">
        <v>3</v>
      </c>
      <c r="D4112" t="s">
        <v>5</v>
      </c>
      <c r="F4112" t="str" cm="1">
        <f t="array" ref="F4112">CategorizeComment(E4112)</f>
        <v>Other</v>
      </c>
      <c r="G4112" t="str" cm="1">
        <f t="array" ref="G4112">SubCategorizeComment(E4112)</f>
        <v>Other</v>
      </c>
    </row>
    <row r="4113" spans="1:7" x14ac:dyDescent="0.25">
      <c r="A4113">
        <v>32922</v>
      </c>
      <c r="B4113" t="s">
        <v>4</v>
      </c>
      <c r="C4113">
        <v>3</v>
      </c>
      <c r="D4113" t="s">
        <v>5</v>
      </c>
      <c r="F4113" t="str" cm="1">
        <f t="array" ref="F4113">CategorizeComment(E4113)</f>
        <v>Other</v>
      </c>
      <c r="G4113" t="str" cm="1">
        <f t="array" ref="G4113">SubCategorizeComment(E4113)</f>
        <v>Other</v>
      </c>
    </row>
    <row r="4114" spans="1:7" x14ac:dyDescent="0.25">
      <c r="A4114">
        <v>32924</v>
      </c>
      <c r="B4114" t="s">
        <v>4</v>
      </c>
      <c r="C4114">
        <v>4</v>
      </c>
      <c r="D4114" t="s">
        <v>5</v>
      </c>
      <c r="F4114" t="str" cm="1">
        <f t="array" ref="F4114">CategorizeComment(E4114)</f>
        <v>Other</v>
      </c>
      <c r="G4114" t="str" cm="1">
        <f t="array" ref="G4114">SubCategorizeComment(E4114)</f>
        <v>Other</v>
      </c>
    </row>
    <row r="4115" spans="1:7" x14ac:dyDescent="0.25">
      <c r="A4115">
        <v>32947</v>
      </c>
      <c r="B4115" t="s">
        <v>4</v>
      </c>
      <c r="C4115">
        <v>3</v>
      </c>
      <c r="D4115" t="s">
        <v>5</v>
      </c>
      <c r="F4115" t="str" cm="1">
        <f t="array" ref="F4115">CategorizeComment(E4115)</f>
        <v>Other</v>
      </c>
      <c r="G4115" t="str" cm="1">
        <f t="array" ref="G4115">SubCategorizeComment(E4115)</f>
        <v>Other</v>
      </c>
    </row>
    <row r="4116" spans="1:7" x14ac:dyDescent="0.25">
      <c r="A4116">
        <v>32950</v>
      </c>
      <c r="B4116" t="s">
        <v>4</v>
      </c>
      <c r="C4116">
        <v>4</v>
      </c>
      <c r="D4116" t="s">
        <v>5</v>
      </c>
      <c r="F4116" t="str" cm="1">
        <f t="array" ref="F4116">CategorizeComment(E4116)</f>
        <v>Other</v>
      </c>
      <c r="G4116" t="str" cm="1">
        <f t="array" ref="G4116">SubCategorizeComment(E4116)</f>
        <v>Other</v>
      </c>
    </row>
    <row r="4117" spans="1:7" x14ac:dyDescent="0.25">
      <c r="A4117">
        <v>32956</v>
      </c>
      <c r="B4117" t="s">
        <v>4</v>
      </c>
      <c r="C4117">
        <v>4</v>
      </c>
      <c r="D4117" t="s">
        <v>5</v>
      </c>
      <c r="F4117" t="str" cm="1">
        <f t="array" ref="F4117">CategorizeComment(E4117)</f>
        <v>Other</v>
      </c>
      <c r="G4117" t="str" cm="1">
        <f t="array" ref="G4117">SubCategorizeComment(E4117)</f>
        <v>Other</v>
      </c>
    </row>
    <row r="4118" spans="1:7" x14ac:dyDescent="0.25">
      <c r="A4118">
        <v>32957</v>
      </c>
      <c r="B4118" t="s">
        <v>4</v>
      </c>
      <c r="C4118">
        <v>4</v>
      </c>
      <c r="D4118" t="s">
        <v>5</v>
      </c>
      <c r="F4118" t="str" cm="1">
        <f t="array" ref="F4118">CategorizeComment(E4118)</f>
        <v>Other</v>
      </c>
      <c r="G4118" t="str" cm="1">
        <f t="array" ref="G4118">SubCategorizeComment(E4118)</f>
        <v>Other</v>
      </c>
    </row>
    <row r="4119" spans="1:7" x14ac:dyDescent="0.25">
      <c r="A4119">
        <v>32959</v>
      </c>
      <c r="B4119" t="s">
        <v>4</v>
      </c>
      <c r="C4119">
        <v>4</v>
      </c>
      <c r="D4119" t="s">
        <v>5</v>
      </c>
      <c r="F4119" t="str" cm="1">
        <f t="array" ref="F4119">CategorizeComment(E4119)</f>
        <v>Other</v>
      </c>
      <c r="G4119" t="str" cm="1">
        <f t="array" ref="G4119">SubCategorizeComment(E4119)</f>
        <v>Other</v>
      </c>
    </row>
    <row r="4120" spans="1:7" x14ac:dyDescent="0.25">
      <c r="A4120">
        <v>32960</v>
      </c>
      <c r="B4120" t="s">
        <v>4</v>
      </c>
      <c r="C4120">
        <v>4</v>
      </c>
      <c r="D4120" t="s">
        <v>5</v>
      </c>
      <c r="F4120" t="str" cm="1">
        <f t="array" ref="F4120">CategorizeComment(E4120)</f>
        <v>Other</v>
      </c>
      <c r="G4120" t="str" cm="1">
        <f t="array" ref="G4120">SubCategorizeComment(E4120)</f>
        <v>Other</v>
      </c>
    </row>
    <row r="4121" spans="1:7" x14ac:dyDescent="0.25">
      <c r="A4121">
        <v>32966</v>
      </c>
      <c r="B4121" t="s">
        <v>4</v>
      </c>
      <c r="C4121">
        <v>3</v>
      </c>
      <c r="D4121" t="s">
        <v>5</v>
      </c>
      <c r="F4121" t="str" cm="1">
        <f t="array" ref="F4121">CategorizeComment(E4121)</f>
        <v>Other</v>
      </c>
      <c r="G4121" t="str" cm="1">
        <f t="array" ref="G4121">SubCategorizeComment(E4121)</f>
        <v>Other</v>
      </c>
    </row>
    <row r="4122" spans="1:7" x14ac:dyDescent="0.25">
      <c r="A4122">
        <v>32989</v>
      </c>
      <c r="B4122" t="s">
        <v>4</v>
      </c>
      <c r="C4122">
        <v>4</v>
      </c>
      <c r="D4122" t="s">
        <v>5</v>
      </c>
      <c r="F4122" t="str" cm="1">
        <f t="array" ref="F4122">CategorizeComment(E4122)</f>
        <v>Other</v>
      </c>
      <c r="G4122" t="str" cm="1">
        <f t="array" ref="G4122">SubCategorizeComment(E4122)</f>
        <v>Other</v>
      </c>
    </row>
    <row r="4123" spans="1:7" x14ac:dyDescent="0.25">
      <c r="A4123">
        <v>32990</v>
      </c>
      <c r="B4123" t="s">
        <v>4</v>
      </c>
      <c r="C4123">
        <v>3</v>
      </c>
      <c r="D4123" t="s">
        <v>5</v>
      </c>
      <c r="F4123" t="str" cm="1">
        <f t="array" ref="F4123">CategorizeComment(E4123)</f>
        <v>Other</v>
      </c>
      <c r="G4123" t="str" cm="1">
        <f t="array" ref="G4123">SubCategorizeComment(E4123)</f>
        <v>Other</v>
      </c>
    </row>
    <row r="4124" spans="1:7" x14ac:dyDescent="0.25">
      <c r="A4124">
        <v>32995</v>
      </c>
      <c r="B4124" t="s">
        <v>4</v>
      </c>
      <c r="C4124">
        <v>3</v>
      </c>
      <c r="D4124" t="s">
        <v>5</v>
      </c>
      <c r="F4124" t="str" cm="1">
        <f t="array" ref="F4124">CategorizeComment(E4124)</f>
        <v>Other</v>
      </c>
      <c r="G4124" t="str" cm="1">
        <f t="array" ref="G4124">SubCategorizeComment(E4124)</f>
        <v>Other</v>
      </c>
    </row>
    <row r="4125" spans="1:7" x14ac:dyDescent="0.25">
      <c r="A4125">
        <v>32999</v>
      </c>
      <c r="B4125" t="s">
        <v>4</v>
      </c>
      <c r="C4125">
        <v>4</v>
      </c>
      <c r="D4125" t="s">
        <v>5</v>
      </c>
      <c r="F4125" t="str" cm="1">
        <f t="array" ref="F4125">CategorizeComment(E4125)</f>
        <v>Other</v>
      </c>
      <c r="G4125" t="str" cm="1">
        <f t="array" ref="G4125">SubCategorizeComment(E4125)</f>
        <v>Other</v>
      </c>
    </row>
    <row r="4126" spans="1:7" x14ac:dyDescent="0.25">
      <c r="A4126">
        <v>33002</v>
      </c>
      <c r="B4126" t="s">
        <v>4</v>
      </c>
      <c r="C4126">
        <v>3</v>
      </c>
      <c r="D4126" t="s">
        <v>5</v>
      </c>
      <c r="F4126" t="str" cm="1">
        <f t="array" ref="F4126">CategorizeComment(E4126)</f>
        <v>Other</v>
      </c>
      <c r="G4126" t="str" cm="1">
        <f t="array" ref="G4126">SubCategorizeComment(E4126)</f>
        <v>Other</v>
      </c>
    </row>
    <row r="4127" spans="1:7" x14ac:dyDescent="0.25">
      <c r="A4127">
        <v>33018</v>
      </c>
      <c r="B4127" t="s">
        <v>4</v>
      </c>
      <c r="C4127">
        <v>3</v>
      </c>
      <c r="D4127" t="s">
        <v>5</v>
      </c>
      <c r="F4127" t="str" cm="1">
        <f t="array" ref="F4127">CategorizeComment(E4127)</f>
        <v>Other</v>
      </c>
      <c r="G4127" t="str" cm="1">
        <f t="array" ref="G4127">SubCategorizeComment(E4127)</f>
        <v>Other</v>
      </c>
    </row>
    <row r="4128" spans="1:7" x14ac:dyDescent="0.25">
      <c r="A4128">
        <v>33019</v>
      </c>
      <c r="B4128" t="s">
        <v>4</v>
      </c>
      <c r="C4128">
        <v>3</v>
      </c>
      <c r="D4128" t="s">
        <v>5</v>
      </c>
      <c r="F4128" t="str" cm="1">
        <f t="array" ref="F4128">CategorizeComment(E4128)</f>
        <v>Other</v>
      </c>
      <c r="G4128" t="str" cm="1">
        <f t="array" ref="G4128">SubCategorizeComment(E4128)</f>
        <v>Other</v>
      </c>
    </row>
    <row r="4129" spans="1:7" x14ac:dyDescent="0.25">
      <c r="A4129">
        <v>33022</v>
      </c>
      <c r="B4129" t="s">
        <v>4</v>
      </c>
      <c r="C4129">
        <v>3</v>
      </c>
      <c r="D4129" t="s">
        <v>5</v>
      </c>
      <c r="F4129" t="str" cm="1">
        <f t="array" ref="F4129">CategorizeComment(E4129)</f>
        <v>Other</v>
      </c>
      <c r="G4129" t="str" cm="1">
        <f t="array" ref="G4129">SubCategorizeComment(E4129)</f>
        <v>Other</v>
      </c>
    </row>
    <row r="4130" spans="1:7" x14ac:dyDescent="0.25">
      <c r="A4130">
        <v>33040</v>
      </c>
      <c r="B4130" t="s">
        <v>4</v>
      </c>
      <c r="C4130">
        <v>3</v>
      </c>
      <c r="D4130" t="s">
        <v>5</v>
      </c>
      <c r="F4130" t="str" cm="1">
        <f t="array" ref="F4130">CategorizeComment(E4130)</f>
        <v>Other</v>
      </c>
      <c r="G4130" t="str" cm="1">
        <f t="array" ref="G4130">SubCategorizeComment(E4130)</f>
        <v>Other</v>
      </c>
    </row>
    <row r="4131" spans="1:7" x14ac:dyDescent="0.25">
      <c r="A4131">
        <v>33041</v>
      </c>
      <c r="B4131" t="s">
        <v>4</v>
      </c>
      <c r="C4131">
        <v>4</v>
      </c>
      <c r="D4131" t="s">
        <v>5</v>
      </c>
      <c r="F4131" t="str" cm="1">
        <f t="array" ref="F4131">CategorizeComment(E4131)</f>
        <v>Other</v>
      </c>
      <c r="G4131" t="str" cm="1">
        <f t="array" ref="G4131">SubCategorizeComment(E4131)</f>
        <v>Other</v>
      </c>
    </row>
    <row r="4132" spans="1:7" x14ac:dyDescent="0.25">
      <c r="A4132">
        <v>33049</v>
      </c>
      <c r="B4132" t="s">
        <v>4</v>
      </c>
      <c r="C4132">
        <v>4</v>
      </c>
      <c r="D4132" t="s">
        <v>5</v>
      </c>
      <c r="F4132" t="str" cm="1">
        <f t="array" ref="F4132">CategorizeComment(E4132)</f>
        <v>Other</v>
      </c>
      <c r="G4132" t="str" cm="1">
        <f t="array" ref="G4132">SubCategorizeComment(E4132)</f>
        <v>Other</v>
      </c>
    </row>
    <row r="4133" spans="1:7" x14ac:dyDescent="0.25">
      <c r="A4133">
        <v>33052</v>
      </c>
      <c r="B4133" t="s">
        <v>4</v>
      </c>
      <c r="C4133">
        <v>4</v>
      </c>
      <c r="D4133" t="s">
        <v>5</v>
      </c>
      <c r="F4133" t="str" cm="1">
        <f t="array" ref="F4133">CategorizeComment(E4133)</f>
        <v>Other</v>
      </c>
      <c r="G4133" t="str" cm="1">
        <f t="array" ref="G4133">SubCategorizeComment(E4133)</f>
        <v>Other</v>
      </c>
    </row>
    <row r="4134" spans="1:7" x14ac:dyDescent="0.25">
      <c r="A4134">
        <v>33065</v>
      </c>
      <c r="B4134" t="s">
        <v>4</v>
      </c>
      <c r="C4134">
        <v>3</v>
      </c>
      <c r="D4134" t="s">
        <v>5</v>
      </c>
      <c r="F4134" t="str" cm="1">
        <f t="array" ref="F4134">CategorizeComment(E4134)</f>
        <v>Other</v>
      </c>
      <c r="G4134" t="str" cm="1">
        <f t="array" ref="G4134">SubCategorizeComment(E4134)</f>
        <v>Other</v>
      </c>
    </row>
    <row r="4135" spans="1:7" x14ac:dyDescent="0.25">
      <c r="A4135">
        <v>33066</v>
      </c>
      <c r="B4135" t="s">
        <v>4</v>
      </c>
      <c r="C4135">
        <v>4</v>
      </c>
      <c r="D4135" t="s">
        <v>5</v>
      </c>
      <c r="F4135" t="str" cm="1">
        <f t="array" ref="F4135">CategorizeComment(E4135)</f>
        <v>Other</v>
      </c>
      <c r="G4135" t="str" cm="1">
        <f t="array" ref="G4135">SubCategorizeComment(E4135)</f>
        <v>Other</v>
      </c>
    </row>
    <row r="4136" spans="1:7" x14ac:dyDescent="0.25">
      <c r="A4136">
        <v>33069</v>
      </c>
      <c r="B4136" t="s">
        <v>4</v>
      </c>
      <c r="C4136">
        <v>4</v>
      </c>
      <c r="D4136" t="s">
        <v>5</v>
      </c>
      <c r="F4136" t="str" cm="1">
        <f t="array" ref="F4136">CategorizeComment(E4136)</f>
        <v>Other</v>
      </c>
      <c r="G4136" t="str" cm="1">
        <f t="array" ref="G4136">SubCategorizeComment(E4136)</f>
        <v>Other</v>
      </c>
    </row>
    <row r="4137" spans="1:7" x14ac:dyDescent="0.25">
      <c r="A4137">
        <v>33082</v>
      </c>
      <c r="B4137" t="s">
        <v>4</v>
      </c>
      <c r="C4137">
        <v>3</v>
      </c>
      <c r="D4137" t="s">
        <v>5</v>
      </c>
      <c r="F4137" t="str" cm="1">
        <f t="array" ref="F4137">CategorizeComment(E4137)</f>
        <v>Other</v>
      </c>
      <c r="G4137" t="str" cm="1">
        <f t="array" ref="G4137">SubCategorizeComment(E4137)</f>
        <v>Other</v>
      </c>
    </row>
    <row r="4138" spans="1:7" x14ac:dyDescent="0.25">
      <c r="A4138">
        <v>33094</v>
      </c>
      <c r="B4138" t="s">
        <v>4</v>
      </c>
      <c r="C4138">
        <v>3</v>
      </c>
      <c r="D4138" t="s">
        <v>5</v>
      </c>
      <c r="F4138" t="str" cm="1">
        <f t="array" ref="F4138">CategorizeComment(E4138)</f>
        <v>Other</v>
      </c>
      <c r="G4138" t="str" cm="1">
        <f t="array" ref="G4138">SubCategorizeComment(E4138)</f>
        <v>Other</v>
      </c>
    </row>
    <row r="4139" spans="1:7" x14ac:dyDescent="0.25">
      <c r="A4139">
        <v>33100</v>
      </c>
      <c r="B4139" t="s">
        <v>4</v>
      </c>
      <c r="C4139">
        <v>4</v>
      </c>
      <c r="D4139" t="s">
        <v>5</v>
      </c>
      <c r="F4139" t="str" cm="1">
        <f t="array" ref="F4139">CategorizeComment(E4139)</f>
        <v>Other</v>
      </c>
      <c r="G4139" t="str" cm="1">
        <f t="array" ref="G4139">SubCategorizeComment(E4139)</f>
        <v>Other</v>
      </c>
    </row>
    <row r="4140" spans="1:7" x14ac:dyDescent="0.25">
      <c r="A4140">
        <v>33102</v>
      </c>
      <c r="B4140" t="s">
        <v>4</v>
      </c>
      <c r="C4140">
        <v>3</v>
      </c>
      <c r="D4140" t="s">
        <v>5</v>
      </c>
      <c r="F4140" t="str" cm="1">
        <f t="array" ref="F4140">CategorizeComment(E4140)</f>
        <v>Other</v>
      </c>
      <c r="G4140" t="str" cm="1">
        <f t="array" ref="G4140">SubCategorizeComment(E4140)</f>
        <v>Other</v>
      </c>
    </row>
    <row r="4141" spans="1:7" x14ac:dyDescent="0.25">
      <c r="A4141">
        <v>33107</v>
      </c>
      <c r="B4141" t="s">
        <v>4</v>
      </c>
      <c r="C4141">
        <v>4</v>
      </c>
      <c r="D4141" t="s">
        <v>5</v>
      </c>
      <c r="F4141" t="str" cm="1">
        <f t="array" ref="F4141">CategorizeComment(E4141)</f>
        <v>Other</v>
      </c>
      <c r="G4141" t="str" cm="1">
        <f t="array" ref="G4141">SubCategorizeComment(E4141)</f>
        <v>Other</v>
      </c>
    </row>
    <row r="4142" spans="1:7" x14ac:dyDescent="0.25">
      <c r="A4142">
        <v>33110</v>
      </c>
      <c r="B4142" t="s">
        <v>4</v>
      </c>
      <c r="C4142">
        <v>3</v>
      </c>
      <c r="D4142" t="s">
        <v>5</v>
      </c>
      <c r="F4142" t="str" cm="1">
        <f t="array" ref="F4142">CategorizeComment(E4142)</f>
        <v>Other</v>
      </c>
      <c r="G4142" t="str" cm="1">
        <f t="array" ref="G4142">SubCategorizeComment(E4142)</f>
        <v>Other</v>
      </c>
    </row>
    <row r="4143" spans="1:7" x14ac:dyDescent="0.25">
      <c r="A4143">
        <v>33112</v>
      </c>
      <c r="B4143" t="s">
        <v>4</v>
      </c>
      <c r="C4143">
        <v>3</v>
      </c>
      <c r="D4143" t="s">
        <v>5</v>
      </c>
      <c r="F4143" t="str" cm="1">
        <f t="array" ref="F4143">CategorizeComment(E4143)</f>
        <v>Other</v>
      </c>
      <c r="G4143" t="str" cm="1">
        <f t="array" ref="G4143">SubCategorizeComment(E4143)</f>
        <v>Other</v>
      </c>
    </row>
    <row r="4144" spans="1:7" x14ac:dyDescent="0.25">
      <c r="A4144">
        <v>33113</v>
      </c>
      <c r="B4144" t="s">
        <v>4</v>
      </c>
      <c r="C4144">
        <v>4</v>
      </c>
      <c r="D4144" t="s">
        <v>5</v>
      </c>
      <c r="F4144" t="str" cm="1">
        <f t="array" ref="F4144">CategorizeComment(E4144)</f>
        <v>Other</v>
      </c>
      <c r="G4144" t="str" cm="1">
        <f t="array" ref="G4144">SubCategorizeComment(E4144)</f>
        <v>Other</v>
      </c>
    </row>
    <row r="4145" spans="1:7" x14ac:dyDescent="0.25">
      <c r="A4145">
        <v>33116</v>
      </c>
      <c r="B4145" t="s">
        <v>4</v>
      </c>
      <c r="C4145">
        <v>3</v>
      </c>
      <c r="D4145" t="s">
        <v>5</v>
      </c>
      <c r="F4145" t="str" cm="1">
        <f t="array" ref="F4145">CategorizeComment(E4145)</f>
        <v>Other</v>
      </c>
      <c r="G4145" t="str" cm="1">
        <f t="array" ref="G4145">SubCategorizeComment(E4145)</f>
        <v>Other</v>
      </c>
    </row>
    <row r="4146" spans="1:7" x14ac:dyDescent="0.25">
      <c r="A4146">
        <v>33122</v>
      </c>
      <c r="B4146" t="s">
        <v>4</v>
      </c>
      <c r="C4146">
        <v>3</v>
      </c>
      <c r="D4146" t="s">
        <v>5</v>
      </c>
      <c r="F4146" t="str" cm="1">
        <f t="array" ref="F4146">CategorizeComment(E4146)</f>
        <v>Other</v>
      </c>
      <c r="G4146" t="str" cm="1">
        <f t="array" ref="G4146">SubCategorizeComment(E4146)</f>
        <v>Other</v>
      </c>
    </row>
    <row r="4147" spans="1:7" x14ac:dyDescent="0.25">
      <c r="A4147">
        <v>33134</v>
      </c>
      <c r="B4147" t="s">
        <v>4</v>
      </c>
      <c r="C4147">
        <v>4</v>
      </c>
      <c r="D4147" t="s">
        <v>5</v>
      </c>
      <c r="F4147" t="str" cm="1">
        <f t="array" ref="F4147">CategorizeComment(E4147)</f>
        <v>Other</v>
      </c>
      <c r="G4147" t="str" cm="1">
        <f t="array" ref="G4147">SubCategorizeComment(E4147)</f>
        <v>Other</v>
      </c>
    </row>
    <row r="4148" spans="1:7" x14ac:dyDescent="0.25">
      <c r="A4148">
        <v>33138</v>
      </c>
      <c r="B4148" t="s">
        <v>4</v>
      </c>
      <c r="C4148">
        <v>3</v>
      </c>
      <c r="D4148" t="s">
        <v>5</v>
      </c>
      <c r="F4148" t="str" cm="1">
        <f t="array" ref="F4148">CategorizeComment(E4148)</f>
        <v>Other</v>
      </c>
      <c r="G4148" t="str" cm="1">
        <f t="array" ref="G4148">SubCategorizeComment(E4148)</f>
        <v>Other</v>
      </c>
    </row>
    <row r="4149" spans="1:7" x14ac:dyDescent="0.25">
      <c r="A4149">
        <v>33143</v>
      </c>
      <c r="B4149" t="s">
        <v>4</v>
      </c>
      <c r="C4149">
        <v>4</v>
      </c>
      <c r="D4149" t="s">
        <v>5</v>
      </c>
      <c r="F4149" t="str" cm="1">
        <f t="array" ref="F4149">CategorizeComment(E4149)</f>
        <v>Other</v>
      </c>
      <c r="G4149" t="str" cm="1">
        <f t="array" ref="G4149">SubCategorizeComment(E4149)</f>
        <v>Other</v>
      </c>
    </row>
    <row r="4150" spans="1:7" x14ac:dyDescent="0.25">
      <c r="A4150">
        <v>33147</v>
      </c>
      <c r="B4150" t="s">
        <v>4</v>
      </c>
      <c r="C4150">
        <v>4</v>
      </c>
      <c r="D4150" t="s">
        <v>5</v>
      </c>
      <c r="F4150" t="str" cm="1">
        <f t="array" ref="F4150">CategorizeComment(E4150)</f>
        <v>Other</v>
      </c>
      <c r="G4150" t="str" cm="1">
        <f t="array" ref="G4150">SubCategorizeComment(E4150)</f>
        <v>Other</v>
      </c>
    </row>
    <row r="4151" spans="1:7" x14ac:dyDescent="0.25">
      <c r="A4151">
        <v>33149</v>
      </c>
      <c r="B4151" t="s">
        <v>4</v>
      </c>
      <c r="C4151">
        <v>3</v>
      </c>
      <c r="D4151" t="s">
        <v>5</v>
      </c>
      <c r="F4151" t="str" cm="1">
        <f t="array" ref="F4151">CategorizeComment(E4151)</f>
        <v>Other</v>
      </c>
      <c r="G4151" t="str" cm="1">
        <f t="array" ref="G4151">SubCategorizeComment(E4151)</f>
        <v>Other</v>
      </c>
    </row>
    <row r="4152" spans="1:7" x14ac:dyDescent="0.25">
      <c r="A4152">
        <v>33151</v>
      </c>
      <c r="B4152" t="s">
        <v>4</v>
      </c>
      <c r="C4152">
        <v>3</v>
      </c>
      <c r="D4152" t="s">
        <v>5</v>
      </c>
      <c r="F4152" t="str" cm="1">
        <f t="array" ref="F4152">CategorizeComment(E4152)</f>
        <v>Other</v>
      </c>
      <c r="G4152" t="str" cm="1">
        <f t="array" ref="G4152">SubCategorizeComment(E4152)</f>
        <v>Other</v>
      </c>
    </row>
    <row r="4153" spans="1:7" x14ac:dyDescent="0.25">
      <c r="A4153">
        <v>33163</v>
      </c>
      <c r="B4153" t="s">
        <v>4</v>
      </c>
      <c r="C4153">
        <v>3</v>
      </c>
      <c r="D4153" t="s">
        <v>5</v>
      </c>
      <c r="F4153" t="str" cm="1">
        <f t="array" ref="F4153">CategorizeComment(E4153)</f>
        <v>Other</v>
      </c>
      <c r="G4153" t="str" cm="1">
        <f t="array" ref="G4153">SubCategorizeComment(E4153)</f>
        <v>Other</v>
      </c>
    </row>
    <row r="4154" spans="1:7" x14ac:dyDescent="0.25">
      <c r="A4154">
        <v>33172</v>
      </c>
      <c r="B4154" t="s">
        <v>4</v>
      </c>
      <c r="C4154">
        <v>3</v>
      </c>
      <c r="D4154" t="s">
        <v>5</v>
      </c>
      <c r="F4154" t="str" cm="1">
        <f t="array" ref="F4154">CategorizeComment(E4154)</f>
        <v>Other</v>
      </c>
      <c r="G4154" t="str" cm="1">
        <f t="array" ref="G4154">SubCategorizeComment(E4154)</f>
        <v>Other</v>
      </c>
    </row>
    <row r="4155" spans="1:7" x14ac:dyDescent="0.25">
      <c r="A4155">
        <v>33231</v>
      </c>
      <c r="B4155" t="s">
        <v>4</v>
      </c>
      <c r="C4155">
        <v>4</v>
      </c>
      <c r="D4155" t="s">
        <v>5</v>
      </c>
      <c r="F4155" t="str" cm="1">
        <f t="array" ref="F4155">CategorizeComment(E4155)</f>
        <v>Other</v>
      </c>
      <c r="G4155" t="str" cm="1">
        <f t="array" ref="G4155">SubCategorizeComment(E4155)</f>
        <v>Other</v>
      </c>
    </row>
    <row r="4156" spans="1:7" x14ac:dyDescent="0.25">
      <c r="A4156">
        <v>33232</v>
      </c>
      <c r="B4156" t="s">
        <v>4</v>
      </c>
      <c r="C4156">
        <v>4</v>
      </c>
      <c r="D4156" t="s">
        <v>5</v>
      </c>
      <c r="F4156" t="str" cm="1">
        <f t="array" ref="F4156">CategorizeComment(E4156)</f>
        <v>Other</v>
      </c>
      <c r="G4156" t="str" cm="1">
        <f t="array" ref="G4156">SubCategorizeComment(E4156)</f>
        <v>Other</v>
      </c>
    </row>
    <row r="4157" spans="1:7" x14ac:dyDescent="0.25">
      <c r="A4157">
        <v>33234</v>
      </c>
      <c r="B4157" t="s">
        <v>4</v>
      </c>
      <c r="C4157">
        <v>4</v>
      </c>
      <c r="D4157" t="s">
        <v>5</v>
      </c>
      <c r="F4157" t="str" cm="1">
        <f t="array" ref="F4157">CategorizeComment(E4157)</f>
        <v>Other</v>
      </c>
      <c r="G4157" t="str" cm="1">
        <f t="array" ref="G4157">SubCategorizeComment(E4157)</f>
        <v>Other</v>
      </c>
    </row>
    <row r="4158" spans="1:7" x14ac:dyDescent="0.25">
      <c r="A4158">
        <v>33240</v>
      </c>
      <c r="B4158" t="s">
        <v>4</v>
      </c>
      <c r="C4158">
        <v>4</v>
      </c>
      <c r="D4158" t="s">
        <v>5</v>
      </c>
      <c r="F4158" t="str" cm="1">
        <f t="array" ref="F4158">CategorizeComment(E4158)</f>
        <v>Other</v>
      </c>
      <c r="G4158" t="str" cm="1">
        <f t="array" ref="G4158">SubCategorizeComment(E4158)</f>
        <v>Other</v>
      </c>
    </row>
    <row r="4159" spans="1:7" x14ac:dyDescent="0.25">
      <c r="A4159">
        <v>33241</v>
      </c>
      <c r="B4159" t="s">
        <v>4</v>
      </c>
      <c r="C4159">
        <v>4</v>
      </c>
      <c r="D4159" t="s">
        <v>5</v>
      </c>
      <c r="F4159" t="str" cm="1">
        <f t="array" ref="F4159">CategorizeComment(E4159)</f>
        <v>Other</v>
      </c>
      <c r="G4159" t="str" cm="1">
        <f t="array" ref="G4159">SubCategorizeComment(E4159)</f>
        <v>Other</v>
      </c>
    </row>
    <row r="4160" spans="1:7" x14ac:dyDescent="0.25">
      <c r="A4160">
        <v>33259</v>
      </c>
      <c r="B4160" t="s">
        <v>4</v>
      </c>
      <c r="C4160">
        <v>3</v>
      </c>
      <c r="D4160" t="s">
        <v>5</v>
      </c>
      <c r="F4160" t="str" cm="1">
        <f t="array" ref="F4160">CategorizeComment(E4160)</f>
        <v>Other</v>
      </c>
      <c r="G4160" t="str" cm="1">
        <f t="array" ref="G4160">SubCategorizeComment(E4160)</f>
        <v>Other</v>
      </c>
    </row>
    <row r="4161" spans="1:7" x14ac:dyDescent="0.25">
      <c r="A4161">
        <v>33269</v>
      </c>
      <c r="B4161" t="s">
        <v>4</v>
      </c>
      <c r="C4161">
        <v>4</v>
      </c>
      <c r="D4161" t="s">
        <v>5</v>
      </c>
      <c r="F4161" t="str" cm="1">
        <f t="array" ref="F4161">CategorizeComment(E4161)</f>
        <v>Other</v>
      </c>
      <c r="G4161" t="str" cm="1">
        <f t="array" ref="G4161">SubCategorizeComment(E4161)</f>
        <v>Other</v>
      </c>
    </row>
    <row r="4162" spans="1:7" x14ac:dyDescent="0.25">
      <c r="A4162">
        <v>33305</v>
      </c>
      <c r="B4162" t="s">
        <v>4</v>
      </c>
      <c r="C4162">
        <v>4</v>
      </c>
      <c r="D4162" t="s">
        <v>5</v>
      </c>
      <c r="F4162" t="str" cm="1">
        <f t="array" ref="F4162">CategorizeComment(E4162)</f>
        <v>Other</v>
      </c>
      <c r="G4162" t="str" cm="1">
        <f t="array" ref="G4162">SubCategorizeComment(E4162)</f>
        <v>Other</v>
      </c>
    </row>
    <row r="4163" spans="1:7" x14ac:dyDescent="0.25">
      <c r="A4163">
        <v>33310</v>
      </c>
      <c r="B4163" t="s">
        <v>4</v>
      </c>
      <c r="C4163">
        <v>3</v>
      </c>
      <c r="D4163" t="s">
        <v>5</v>
      </c>
      <c r="F4163" t="str" cm="1">
        <f t="array" ref="F4163">CategorizeComment(E4163)</f>
        <v>Other</v>
      </c>
      <c r="G4163" t="str" cm="1">
        <f t="array" ref="G4163">SubCategorizeComment(E4163)</f>
        <v>Other</v>
      </c>
    </row>
    <row r="4164" spans="1:7" x14ac:dyDescent="0.25">
      <c r="A4164">
        <v>33319</v>
      </c>
      <c r="B4164" t="s">
        <v>4</v>
      </c>
      <c r="C4164">
        <v>3</v>
      </c>
      <c r="D4164" t="s">
        <v>5</v>
      </c>
      <c r="F4164" t="str" cm="1">
        <f t="array" ref="F4164">CategorizeComment(E4164)</f>
        <v>Other</v>
      </c>
      <c r="G4164" t="str" cm="1">
        <f t="array" ref="G4164">SubCategorizeComment(E4164)</f>
        <v>Other</v>
      </c>
    </row>
    <row r="4165" spans="1:7" x14ac:dyDescent="0.25">
      <c r="A4165">
        <v>33330</v>
      </c>
      <c r="B4165" t="s">
        <v>4</v>
      </c>
      <c r="C4165">
        <v>4</v>
      </c>
      <c r="D4165" t="s">
        <v>5</v>
      </c>
      <c r="F4165" t="str" cm="1">
        <f t="array" ref="F4165">CategorizeComment(E4165)</f>
        <v>Other</v>
      </c>
      <c r="G4165" t="str" cm="1">
        <f t="array" ref="G4165">SubCategorizeComment(E4165)</f>
        <v>Other</v>
      </c>
    </row>
    <row r="4166" spans="1:7" x14ac:dyDescent="0.25">
      <c r="A4166">
        <v>33333</v>
      </c>
      <c r="B4166" t="s">
        <v>4</v>
      </c>
      <c r="C4166">
        <v>3</v>
      </c>
      <c r="D4166" t="s">
        <v>5</v>
      </c>
      <c r="F4166" t="str" cm="1">
        <f t="array" ref="F4166">CategorizeComment(E4166)</f>
        <v>Other</v>
      </c>
      <c r="G4166" t="str" cm="1">
        <f t="array" ref="G4166">SubCategorizeComment(E4166)</f>
        <v>Other</v>
      </c>
    </row>
    <row r="4167" spans="1:7" x14ac:dyDescent="0.25">
      <c r="A4167">
        <v>33335</v>
      </c>
      <c r="B4167" t="s">
        <v>4</v>
      </c>
      <c r="C4167">
        <v>4</v>
      </c>
      <c r="D4167" t="s">
        <v>5</v>
      </c>
      <c r="F4167" t="str" cm="1">
        <f t="array" ref="F4167">CategorizeComment(E4167)</f>
        <v>Other</v>
      </c>
      <c r="G4167" t="str" cm="1">
        <f t="array" ref="G4167">SubCategorizeComment(E4167)</f>
        <v>Other</v>
      </c>
    </row>
    <row r="4168" spans="1:7" x14ac:dyDescent="0.25">
      <c r="A4168">
        <v>33348</v>
      </c>
      <c r="B4168" t="s">
        <v>4</v>
      </c>
      <c r="C4168">
        <v>3</v>
      </c>
      <c r="D4168" t="s">
        <v>5</v>
      </c>
      <c r="F4168" t="str" cm="1">
        <f t="array" ref="F4168">CategorizeComment(E4168)</f>
        <v>Other</v>
      </c>
      <c r="G4168" t="str" cm="1">
        <f t="array" ref="G4168">SubCategorizeComment(E4168)</f>
        <v>Other</v>
      </c>
    </row>
    <row r="4169" spans="1:7" x14ac:dyDescent="0.25">
      <c r="A4169">
        <v>33353</v>
      </c>
      <c r="B4169" t="s">
        <v>4</v>
      </c>
      <c r="C4169">
        <v>4</v>
      </c>
      <c r="D4169" t="s">
        <v>5</v>
      </c>
      <c r="F4169" t="str" cm="1">
        <f t="array" ref="F4169">CategorizeComment(E4169)</f>
        <v>Other</v>
      </c>
      <c r="G4169" t="str" cm="1">
        <f t="array" ref="G4169">SubCategorizeComment(E4169)</f>
        <v>Other</v>
      </c>
    </row>
    <row r="4170" spans="1:7" x14ac:dyDescent="0.25">
      <c r="A4170">
        <v>33357</v>
      </c>
      <c r="B4170" t="s">
        <v>4</v>
      </c>
      <c r="C4170">
        <v>4</v>
      </c>
      <c r="D4170" t="s">
        <v>5</v>
      </c>
      <c r="F4170" t="str" cm="1">
        <f t="array" ref="F4170">CategorizeComment(E4170)</f>
        <v>Other</v>
      </c>
      <c r="G4170" t="str" cm="1">
        <f t="array" ref="G4170">SubCategorizeComment(E4170)</f>
        <v>Other</v>
      </c>
    </row>
    <row r="4171" spans="1:7" x14ac:dyDescent="0.25">
      <c r="A4171">
        <v>33362</v>
      </c>
      <c r="B4171" t="s">
        <v>4</v>
      </c>
      <c r="C4171">
        <v>3</v>
      </c>
      <c r="D4171" t="s">
        <v>5</v>
      </c>
      <c r="F4171" t="str" cm="1">
        <f t="array" ref="F4171">CategorizeComment(E4171)</f>
        <v>Other</v>
      </c>
      <c r="G4171" t="str" cm="1">
        <f t="array" ref="G4171">SubCategorizeComment(E4171)</f>
        <v>Other</v>
      </c>
    </row>
    <row r="4172" spans="1:7" x14ac:dyDescent="0.25">
      <c r="A4172">
        <v>33381</v>
      </c>
      <c r="B4172" t="s">
        <v>4</v>
      </c>
      <c r="C4172">
        <v>4</v>
      </c>
      <c r="D4172" t="s">
        <v>5</v>
      </c>
      <c r="F4172" t="str" cm="1">
        <f t="array" ref="F4172">CategorizeComment(E4172)</f>
        <v>Other</v>
      </c>
      <c r="G4172" t="str" cm="1">
        <f t="array" ref="G4172">SubCategorizeComment(E4172)</f>
        <v>Other</v>
      </c>
    </row>
    <row r="4173" spans="1:7" x14ac:dyDescent="0.25">
      <c r="A4173">
        <v>33386</v>
      </c>
      <c r="B4173" t="s">
        <v>4</v>
      </c>
      <c r="C4173">
        <v>3</v>
      </c>
      <c r="D4173" t="s">
        <v>5</v>
      </c>
      <c r="F4173" t="str" cm="1">
        <f t="array" ref="F4173">CategorizeComment(E4173)</f>
        <v>Other</v>
      </c>
      <c r="G4173" t="str" cm="1">
        <f t="array" ref="G4173">SubCategorizeComment(E4173)</f>
        <v>Other</v>
      </c>
    </row>
    <row r="4174" spans="1:7" x14ac:dyDescent="0.25">
      <c r="A4174">
        <v>33390</v>
      </c>
      <c r="B4174" t="s">
        <v>4</v>
      </c>
      <c r="C4174">
        <v>3</v>
      </c>
      <c r="D4174" t="s">
        <v>5</v>
      </c>
      <c r="F4174" t="str" cm="1">
        <f t="array" ref="F4174">CategorizeComment(E4174)</f>
        <v>Other</v>
      </c>
      <c r="G4174" t="str" cm="1">
        <f t="array" ref="G4174">SubCategorizeComment(E4174)</f>
        <v>Other</v>
      </c>
    </row>
    <row r="4175" spans="1:7" x14ac:dyDescent="0.25">
      <c r="A4175">
        <v>33402</v>
      </c>
      <c r="B4175" t="s">
        <v>4</v>
      </c>
      <c r="C4175">
        <v>4</v>
      </c>
      <c r="D4175" t="s">
        <v>5</v>
      </c>
      <c r="F4175" t="str" cm="1">
        <f t="array" ref="F4175">CategorizeComment(E4175)</f>
        <v>Other</v>
      </c>
      <c r="G4175" t="str" cm="1">
        <f t="array" ref="G4175">SubCategorizeComment(E4175)</f>
        <v>Other</v>
      </c>
    </row>
    <row r="4176" spans="1:7" x14ac:dyDescent="0.25">
      <c r="A4176">
        <v>33420</v>
      </c>
      <c r="B4176" t="s">
        <v>4</v>
      </c>
      <c r="C4176">
        <v>4</v>
      </c>
      <c r="D4176" t="s">
        <v>5</v>
      </c>
      <c r="F4176" t="str" cm="1">
        <f t="array" ref="F4176">CategorizeComment(E4176)</f>
        <v>Other</v>
      </c>
      <c r="G4176" t="str" cm="1">
        <f t="array" ref="G4176">SubCategorizeComment(E4176)</f>
        <v>Other</v>
      </c>
    </row>
    <row r="4177" spans="1:7" x14ac:dyDescent="0.25">
      <c r="A4177">
        <v>33425</v>
      </c>
      <c r="B4177" t="s">
        <v>4</v>
      </c>
      <c r="C4177">
        <v>4</v>
      </c>
      <c r="D4177" t="s">
        <v>5</v>
      </c>
      <c r="F4177" t="str" cm="1">
        <f t="array" ref="F4177">CategorizeComment(E4177)</f>
        <v>Other</v>
      </c>
      <c r="G4177" t="str" cm="1">
        <f t="array" ref="G4177">SubCategorizeComment(E4177)</f>
        <v>Other</v>
      </c>
    </row>
    <row r="4178" spans="1:7" x14ac:dyDescent="0.25">
      <c r="A4178">
        <v>33427</v>
      </c>
      <c r="B4178" t="s">
        <v>4</v>
      </c>
      <c r="C4178">
        <v>4</v>
      </c>
      <c r="D4178" t="s">
        <v>5</v>
      </c>
      <c r="F4178" t="str" cm="1">
        <f t="array" ref="F4178">CategorizeComment(E4178)</f>
        <v>Other</v>
      </c>
      <c r="G4178" t="str" cm="1">
        <f t="array" ref="G4178">SubCategorizeComment(E4178)</f>
        <v>Other</v>
      </c>
    </row>
    <row r="4179" spans="1:7" x14ac:dyDescent="0.25">
      <c r="A4179">
        <v>33433</v>
      </c>
      <c r="B4179" t="s">
        <v>4</v>
      </c>
      <c r="C4179">
        <v>4</v>
      </c>
      <c r="D4179" t="s">
        <v>5</v>
      </c>
      <c r="F4179" t="str" cm="1">
        <f t="array" ref="F4179">CategorizeComment(E4179)</f>
        <v>Other</v>
      </c>
      <c r="G4179" t="str" cm="1">
        <f t="array" ref="G4179">SubCategorizeComment(E4179)</f>
        <v>Other</v>
      </c>
    </row>
    <row r="4180" spans="1:7" x14ac:dyDescent="0.25">
      <c r="A4180">
        <v>33437</v>
      </c>
      <c r="B4180" t="s">
        <v>4</v>
      </c>
      <c r="C4180">
        <v>4</v>
      </c>
      <c r="D4180" t="s">
        <v>5</v>
      </c>
      <c r="F4180" t="str" cm="1">
        <f t="array" ref="F4180">CategorizeComment(E4180)</f>
        <v>Other</v>
      </c>
      <c r="G4180" t="str" cm="1">
        <f t="array" ref="G4180">SubCategorizeComment(E4180)</f>
        <v>Other</v>
      </c>
    </row>
    <row r="4181" spans="1:7" x14ac:dyDescent="0.25">
      <c r="A4181">
        <v>33446</v>
      </c>
      <c r="B4181" t="s">
        <v>4</v>
      </c>
      <c r="C4181">
        <v>3</v>
      </c>
      <c r="D4181" t="s">
        <v>5</v>
      </c>
      <c r="F4181" t="str" cm="1">
        <f t="array" ref="F4181">CategorizeComment(E4181)</f>
        <v>Other</v>
      </c>
      <c r="G4181" t="str" cm="1">
        <f t="array" ref="G4181">SubCategorizeComment(E4181)</f>
        <v>Other</v>
      </c>
    </row>
    <row r="4182" spans="1:7" x14ac:dyDescent="0.25">
      <c r="A4182">
        <v>33455</v>
      </c>
      <c r="B4182" t="s">
        <v>4</v>
      </c>
      <c r="C4182">
        <v>4</v>
      </c>
      <c r="D4182" t="s">
        <v>5</v>
      </c>
      <c r="F4182" t="str" cm="1">
        <f t="array" ref="F4182">CategorizeComment(E4182)</f>
        <v>Other</v>
      </c>
      <c r="G4182" t="str" cm="1">
        <f t="array" ref="G4182">SubCategorizeComment(E4182)</f>
        <v>Other</v>
      </c>
    </row>
    <row r="4183" spans="1:7" x14ac:dyDescent="0.25">
      <c r="A4183">
        <v>33456</v>
      </c>
      <c r="B4183" t="s">
        <v>4</v>
      </c>
      <c r="C4183">
        <v>3</v>
      </c>
      <c r="D4183" t="s">
        <v>5</v>
      </c>
      <c r="F4183" t="str" cm="1">
        <f t="array" ref="F4183">CategorizeComment(E4183)</f>
        <v>Other</v>
      </c>
      <c r="G4183" t="str" cm="1">
        <f t="array" ref="G4183">SubCategorizeComment(E4183)</f>
        <v>Other</v>
      </c>
    </row>
    <row r="4184" spans="1:7" x14ac:dyDescent="0.25">
      <c r="A4184">
        <v>33461</v>
      </c>
      <c r="B4184" t="s">
        <v>4</v>
      </c>
      <c r="C4184">
        <v>3</v>
      </c>
      <c r="D4184" t="s">
        <v>5</v>
      </c>
      <c r="F4184" t="str" cm="1">
        <f t="array" ref="F4184">CategorizeComment(E4184)</f>
        <v>Other</v>
      </c>
      <c r="G4184" t="str" cm="1">
        <f t="array" ref="G4184">SubCategorizeComment(E4184)</f>
        <v>Other</v>
      </c>
    </row>
    <row r="4185" spans="1:7" x14ac:dyDescent="0.25">
      <c r="A4185">
        <v>33469</v>
      </c>
      <c r="B4185" t="s">
        <v>4</v>
      </c>
      <c r="C4185">
        <v>3</v>
      </c>
      <c r="D4185" t="s">
        <v>5</v>
      </c>
      <c r="F4185" t="str" cm="1">
        <f t="array" ref="F4185">CategorizeComment(E4185)</f>
        <v>Other</v>
      </c>
      <c r="G4185" t="str" cm="1">
        <f t="array" ref="G4185">SubCategorizeComment(E4185)</f>
        <v>Other</v>
      </c>
    </row>
    <row r="4186" spans="1:7" x14ac:dyDescent="0.25">
      <c r="A4186">
        <v>33474</v>
      </c>
      <c r="B4186" t="s">
        <v>4</v>
      </c>
      <c r="C4186">
        <v>4</v>
      </c>
      <c r="D4186" t="s">
        <v>5</v>
      </c>
      <c r="F4186" t="str" cm="1">
        <f t="array" ref="F4186">CategorizeComment(E4186)</f>
        <v>Other</v>
      </c>
      <c r="G4186" t="str" cm="1">
        <f t="array" ref="G4186">SubCategorizeComment(E4186)</f>
        <v>Other</v>
      </c>
    </row>
    <row r="4187" spans="1:7" x14ac:dyDescent="0.25">
      <c r="A4187">
        <v>33487</v>
      </c>
      <c r="B4187" t="s">
        <v>4</v>
      </c>
      <c r="C4187">
        <v>4</v>
      </c>
      <c r="D4187" t="s">
        <v>5</v>
      </c>
      <c r="F4187" t="str" cm="1">
        <f t="array" ref="F4187">CategorizeComment(E4187)</f>
        <v>Other</v>
      </c>
      <c r="G4187" t="str" cm="1">
        <f t="array" ref="G4187">SubCategorizeComment(E4187)</f>
        <v>Other</v>
      </c>
    </row>
    <row r="4188" spans="1:7" x14ac:dyDescent="0.25">
      <c r="A4188">
        <v>33488</v>
      </c>
      <c r="B4188" t="s">
        <v>4</v>
      </c>
      <c r="C4188">
        <v>4</v>
      </c>
      <c r="D4188" t="s">
        <v>5</v>
      </c>
      <c r="F4188" t="str" cm="1">
        <f t="array" ref="F4188">CategorizeComment(E4188)</f>
        <v>Other</v>
      </c>
      <c r="G4188" t="str" cm="1">
        <f t="array" ref="G4188">SubCategorizeComment(E4188)</f>
        <v>Other</v>
      </c>
    </row>
    <row r="4189" spans="1:7" x14ac:dyDescent="0.25">
      <c r="A4189">
        <v>33496</v>
      </c>
      <c r="B4189" t="s">
        <v>4</v>
      </c>
      <c r="C4189">
        <v>4</v>
      </c>
      <c r="D4189" t="s">
        <v>5</v>
      </c>
      <c r="F4189" t="str" cm="1">
        <f t="array" ref="F4189">CategorizeComment(E4189)</f>
        <v>Other</v>
      </c>
      <c r="G4189" t="str" cm="1">
        <f t="array" ref="G4189">SubCategorizeComment(E4189)</f>
        <v>Other</v>
      </c>
    </row>
    <row r="4190" spans="1:7" x14ac:dyDescent="0.25">
      <c r="A4190">
        <v>33540</v>
      </c>
      <c r="B4190" t="s">
        <v>4</v>
      </c>
      <c r="C4190">
        <v>3</v>
      </c>
      <c r="D4190" t="s">
        <v>5</v>
      </c>
      <c r="F4190" t="str" cm="1">
        <f t="array" ref="F4190">CategorizeComment(E4190)</f>
        <v>Other</v>
      </c>
      <c r="G4190" t="str" cm="1">
        <f t="array" ref="G4190">SubCategorizeComment(E4190)</f>
        <v>Other</v>
      </c>
    </row>
    <row r="4191" spans="1:7" x14ac:dyDescent="0.25">
      <c r="A4191">
        <v>33548</v>
      </c>
      <c r="B4191" t="s">
        <v>4</v>
      </c>
      <c r="C4191">
        <v>3</v>
      </c>
      <c r="D4191" t="s">
        <v>5</v>
      </c>
      <c r="F4191" t="str" cm="1">
        <f t="array" ref="F4191">CategorizeComment(E4191)</f>
        <v>Other</v>
      </c>
      <c r="G4191" t="str" cm="1">
        <f t="array" ref="G4191">SubCategorizeComment(E4191)</f>
        <v>Other</v>
      </c>
    </row>
    <row r="4192" spans="1:7" x14ac:dyDescent="0.25">
      <c r="A4192">
        <v>33574</v>
      </c>
      <c r="B4192" t="s">
        <v>4</v>
      </c>
      <c r="C4192">
        <v>3</v>
      </c>
      <c r="D4192" t="s">
        <v>5</v>
      </c>
      <c r="F4192" t="str" cm="1">
        <f t="array" ref="F4192">CategorizeComment(E4192)</f>
        <v>Other</v>
      </c>
      <c r="G4192" t="str" cm="1">
        <f t="array" ref="G4192">SubCategorizeComment(E4192)</f>
        <v>Other</v>
      </c>
    </row>
    <row r="4193" spans="1:7" x14ac:dyDescent="0.25">
      <c r="A4193">
        <v>33575</v>
      </c>
      <c r="B4193" t="s">
        <v>4</v>
      </c>
      <c r="C4193">
        <v>3</v>
      </c>
      <c r="D4193" t="s">
        <v>5</v>
      </c>
      <c r="F4193" t="str" cm="1">
        <f t="array" ref="F4193">CategorizeComment(E4193)</f>
        <v>Other</v>
      </c>
      <c r="G4193" t="str" cm="1">
        <f t="array" ref="G4193">SubCategorizeComment(E4193)</f>
        <v>Other</v>
      </c>
    </row>
    <row r="4194" spans="1:7" x14ac:dyDescent="0.25">
      <c r="A4194">
        <v>33577</v>
      </c>
      <c r="B4194" t="s">
        <v>4</v>
      </c>
      <c r="C4194">
        <v>4</v>
      </c>
      <c r="D4194" t="s">
        <v>5</v>
      </c>
      <c r="F4194" t="str" cm="1">
        <f t="array" ref="F4194">CategorizeComment(E4194)</f>
        <v>Other</v>
      </c>
      <c r="G4194" t="str" cm="1">
        <f t="array" ref="G4194">SubCategorizeComment(E4194)</f>
        <v>Other</v>
      </c>
    </row>
    <row r="4195" spans="1:7" x14ac:dyDescent="0.25">
      <c r="A4195">
        <v>33580</v>
      </c>
      <c r="B4195" t="s">
        <v>4</v>
      </c>
      <c r="C4195">
        <v>3</v>
      </c>
      <c r="D4195" t="s">
        <v>5</v>
      </c>
      <c r="F4195" t="str" cm="1">
        <f t="array" ref="F4195">CategorizeComment(E4195)</f>
        <v>Other</v>
      </c>
      <c r="G4195" t="str" cm="1">
        <f t="array" ref="G4195">SubCategorizeComment(E4195)</f>
        <v>Other</v>
      </c>
    </row>
    <row r="4196" spans="1:7" x14ac:dyDescent="0.25">
      <c r="A4196">
        <v>33589</v>
      </c>
      <c r="B4196" t="s">
        <v>4</v>
      </c>
      <c r="C4196">
        <v>4</v>
      </c>
      <c r="D4196" t="s">
        <v>5</v>
      </c>
      <c r="F4196" t="str" cm="1">
        <f t="array" ref="F4196">CategorizeComment(E4196)</f>
        <v>Other</v>
      </c>
      <c r="G4196" t="str" cm="1">
        <f t="array" ref="G4196">SubCategorizeComment(E4196)</f>
        <v>Other</v>
      </c>
    </row>
    <row r="4197" spans="1:7" x14ac:dyDescent="0.25">
      <c r="A4197">
        <v>33598</v>
      </c>
      <c r="B4197" t="s">
        <v>4</v>
      </c>
      <c r="C4197">
        <v>4</v>
      </c>
      <c r="D4197" t="s">
        <v>5</v>
      </c>
      <c r="F4197" t="str" cm="1">
        <f t="array" ref="F4197">CategorizeComment(E4197)</f>
        <v>Other</v>
      </c>
      <c r="G4197" t="str" cm="1">
        <f t="array" ref="G4197">SubCategorizeComment(E4197)</f>
        <v>Other</v>
      </c>
    </row>
    <row r="4198" spans="1:7" x14ac:dyDescent="0.25">
      <c r="A4198">
        <v>33614</v>
      </c>
      <c r="B4198" t="s">
        <v>4</v>
      </c>
      <c r="C4198">
        <v>4</v>
      </c>
      <c r="D4198" t="s">
        <v>5</v>
      </c>
      <c r="F4198" t="str" cm="1">
        <f t="array" ref="F4198">CategorizeComment(E4198)</f>
        <v>Other</v>
      </c>
      <c r="G4198" t="str" cm="1">
        <f t="array" ref="G4198">SubCategorizeComment(E4198)</f>
        <v>Other</v>
      </c>
    </row>
    <row r="4199" spans="1:7" x14ac:dyDescent="0.25">
      <c r="A4199">
        <v>33618</v>
      </c>
      <c r="B4199" t="s">
        <v>4</v>
      </c>
      <c r="C4199">
        <v>3</v>
      </c>
      <c r="D4199" t="s">
        <v>5</v>
      </c>
      <c r="F4199" t="str" cm="1">
        <f t="array" ref="F4199">CategorizeComment(E4199)</f>
        <v>Other</v>
      </c>
      <c r="G4199" t="str" cm="1">
        <f t="array" ref="G4199">SubCategorizeComment(E4199)</f>
        <v>Other</v>
      </c>
    </row>
    <row r="4200" spans="1:7" x14ac:dyDescent="0.25">
      <c r="A4200">
        <v>33620</v>
      </c>
      <c r="B4200" t="s">
        <v>4</v>
      </c>
      <c r="C4200">
        <v>3</v>
      </c>
      <c r="D4200" t="s">
        <v>5</v>
      </c>
      <c r="F4200" t="str" cm="1">
        <f t="array" ref="F4200">CategorizeComment(E4200)</f>
        <v>Other</v>
      </c>
      <c r="G4200" t="str" cm="1">
        <f t="array" ref="G4200">SubCategorizeComment(E4200)</f>
        <v>Other</v>
      </c>
    </row>
    <row r="4201" spans="1:7" x14ac:dyDescent="0.25">
      <c r="A4201">
        <v>33623</v>
      </c>
      <c r="B4201" t="s">
        <v>4</v>
      </c>
      <c r="C4201">
        <v>4</v>
      </c>
      <c r="D4201" t="s">
        <v>5</v>
      </c>
      <c r="F4201" t="str" cm="1">
        <f t="array" ref="F4201">CategorizeComment(E4201)</f>
        <v>Other</v>
      </c>
      <c r="G4201" t="str" cm="1">
        <f t="array" ref="G4201">SubCategorizeComment(E4201)</f>
        <v>Other</v>
      </c>
    </row>
    <row r="4202" spans="1:7" x14ac:dyDescent="0.25">
      <c r="A4202">
        <v>33631</v>
      </c>
      <c r="B4202" t="s">
        <v>4</v>
      </c>
      <c r="C4202">
        <v>4</v>
      </c>
      <c r="D4202" t="s">
        <v>5</v>
      </c>
      <c r="F4202" t="str" cm="1">
        <f t="array" ref="F4202">CategorizeComment(E4202)</f>
        <v>Other</v>
      </c>
      <c r="G4202" t="str" cm="1">
        <f t="array" ref="G4202">SubCategorizeComment(E4202)</f>
        <v>Other</v>
      </c>
    </row>
    <row r="4203" spans="1:7" x14ac:dyDescent="0.25">
      <c r="A4203">
        <v>33653</v>
      </c>
      <c r="B4203" t="s">
        <v>4</v>
      </c>
      <c r="C4203">
        <v>4</v>
      </c>
      <c r="D4203" t="s">
        <v>5</v>
      </c>
      <c r="F4203" t="str" cm="1">
        <f t="array" ref="F4203">CategorizeComment(E4203)</f>
        <v>Other</v>
      </c>
      <c r="G4203" t="str" cm="1">
        <f t="array" ref="G4203">SubCategorizeComment(E4203)</f>
        <v>Other</v>
      </c>
    </row>
    <row r="4204" spans="1:7" x14ac:dyDescent="0.25">
      <c r="A4204">
        <v>33661</v>
      </c>
      <c r="B4204" t="s">
        <v>4</v>
      </c>
      <c r="C4204">
        <v>4</v>
      </c>
      <c r="D4204" t="s">
        <v>5</v>
      </c>
      <c r="F4204" t="str" cm="1">
        <f t="array" ref="F4204">CategorizeComment(E4204)</f>
        <v>Other</v>
      </c>
      <c r="G4204" t="str" cm="1">
        <f t="array" ref="G4204">SubCategorizeComment(E4204)</f>
        <v>Other</v>
      </c>
    </row>
    <row r="4205" spans="1:7" x14ac:dyDescent="0.25">
      <c r="A4205">
        <v>33696</v>
      </c>
      <c r="B4205" t="s">
        <v>4</v>
      </c>
      <c r="C4205">
        <v>4</v>
      </c>
      <c r="D4205" t="s">
        <v>5</v>
      </c>
      <c r="F4205" t="str" cm="1">
        <f t="array" ref="F4205">CategorizeComment(E4205)</f>
        <v>Other</v>
      </c>
      <c r="G4205" t="str" cm="1">
        <f t="array" ref="G4205">SubCategorizeComment(E4205)</f>
        <v>Other</v>
      </c>
    </row>
    <row r="4206" spans="1:7" x14ac:dyDescent="0.25">
      <c r="A4206">
        <v>33701</v>
      </c>
      <c r="B4206" t="s">
        <v>4</v>
      </c>
      <c r="C4206">
        <v>4</v>
      </c>
      <c r="D4206" t="s">
        <v>5</v>
      </c>
      <c r="F4206" t="str" cm="1">
        <f t="array" ref="F4206">CategorizeComment(E4206)</f>
        <v>Other</v>
      </c>
      <c r="G4206" t="str" cm="1">
        <f t="array" ref="G4206">SubCategorizeComment(E4206)</f>
        <v>Other</v>
      </c>
    </row>
    <row r="4207" spans="1:7" x14ac:dyDescent="0.25">
      <c r="A4207">
        <v>33702</v>
      </c>
      <c r="B4207" t="s">
        <v>4</v>
      </c>
      <c r="C4207">
        <v>4</v>
      </c>
      <c r="D4207" t="s">
        <v>5</v>
      </c>
      <c r="F4207" t="str" cm="1">
        <f t="array" ref="F4207">CategorizeComment(E4207)</f>
        <v>Other</v>
      </c>
      <c r="G4207" t="str" cm="1">
        <f t="array" ref="G4207">SubCategorizeComment(E4207)</f>
        <v>Other</v>
      </c>
    </row>
    <row r="4208" spans="1:7" x14ac:dyDescent="0.25">
      <c r="A4208">
        <v>33706</v>
      </c>
      <c r="B4208" t="s">
        <v>4</v>
      </c>
      <c r="C4208">
        <v>4</v>
      </c>
      <c r="D4208" t="s">
        <v>5</v>
      </c>
      <c r="F4208" t="str" cm="1">
        <f t="array" ref="F4208">CategorizeComment(E4208)</f>
        <v>Other</v>
      </c>
      <c r="G4208" t="str" cm="1">
        <f t="array" ref="G4208">SubCategorizeComment(E4208)</f>
        <v>Other</v>
      </c>
    </row>
    <row r="4209" spans="1:7" x14ac:dyDescent="0.25">
      <c r="A4209">
        <v>33707</v>
      </c>
      <c r="B4209" t="s">
        <v>4</v>
      </c>
      <c r="C4209">
        <v>3</v>
      </c>
      <c r="D4209" t="s">
        <v>5</v>
      </c>
      <c r="F4209" t="str" cm="1">
        <f t="array" ref="F4209">CategorizeComment(E4209)</f>
        <v>Other</v>
      </c>
      <c r="G4209" t="str" cm="1">
        <f t="array" ref="G4209">SubCategorizeComment(E4209)</f>
        <v>Other</v>
      </c>
    </row>
    <row r="4210" spans="1:7" x14ac:dyDescent="0.25">
      <c r="A4210">
        <v>33712</v>
      </c>
      <c r="B4210" t="s">
        <v>4</v>
      </c>
      <c r="C4210">
        <v>4</v>
      </c>
      <c r="D4210" t="s">
        <v>5</v>
      </c>
      <c r="F4210" t="str" cm="1">
        <f t="array" ref="F4210">CategorizeComment(E4210)</f>
        <v>Other</v>
      </c>
      <c r="G4210" t="str" cm="1">
        <f t="array" ref="G4210">SubCategorizeComment(E4210)</f>
        <v>Other</v>
      </c>
    </row>
    <row r="4211" spans="1:7" x14ac:dyDescent="0.25">
      <c r="A4211">
        <v>33714</v>
      </c>
      <c r="B4211" t="s">
        <v>4</v>
      </c>
      <c r="C4211">
        <v>4</v>
      </c>
      <c r="D4211" t="s">
        <v>5</v>
      </c>
      <c r="F4211" t="str" cm="1">
        <f t="array" ref="F4211">CategorizeComment(E4211)</f>
        <v>Other</v>
      </c>
      <c r="G4211" t="str" cm="1">
        <f t="array" ref="G4211">SubCategorizeComment(E4211)</f>
        <v>Other</v>
      </c>
    </row>
    <row r="4212" spans="1:7" x14ac:dyDescent="0.25">
      <c r="A4212">
        <v>33716</v>
      </c>
      <c r="B4212" t="s">
        <v>4</v>
      </c>
      <c r="C4212">
        <v>3</v>
      </c>
      <c r="D4212" t="s">
        <v>5</v>
      </c>
      <c r="F4212" t="str" cm="1">
        <f t="array" ref="F4212">CategorizeComment(E4212)</f>
        <v>Other</v>
      </c>
      <c r="G4212" t="str" cm="1">
        <f t="array" ref="G4212">SubCategorizeComment(E4212)</f>
        <v>Other</v>
      </c>
    </row>
    <row r="4213" spans="1:7" x14ac:dyDescent="0.25">
      <c r="A4213">
        <v>33722</v>
      </c>
      <c r="B4213" t="s">
        <v>4</v>
      </c>
      <c r="C4213">
        <v>4</v>
      </c>
      <c r="D4213" t="s">
        <v>5</v>
      </c>
      <c r="F4213" t="str" cm="1">
        <f t="array" ref="F4213">CategorizeComment(E4213)</f>
        <v>Other</v>
      </c>
      <c r="G4213" t="str" cm="1">
        <f t="array" ref="G4213">SubCategorizeComment(E4213)</f>
        <v>Other</v>
      </c>
    </row>
    <row r="4214" spans="1:7" x14ac:dyDescent="0.25">
      <c r="A4214">
        <v>33723</v>
      </c>
      <c r="B4214" t="s">
        <v>4</v>
      </c>
      <c r="C4214">
        <v>3</v>
      </c>
      <c r="D4214" t="s">
        <v>5</v>
      </c>
      <c r="F4214" t="str" cm="1">
        <f t="array" ref="F4214">CategorizeComment(E4214)</f>
        <v>Other</v>
      </c>
      <c r="G4214" t="str" cm="1">
        <f t="array" ref="G4214">SubCategorizeComment(E4214)</f>
        <v>Other</v>
      </c>
    </row>
    <row r="4215" spans="1:7" x14ac:dyDescent="0.25">
      <c r="A4215">
        <v>33732</v>
      </c>
      <c r="B4215" t="s">
        <v>4</v>
      </c>
      <c r="C4215">
        <v>4</v>
      </c>
      <c r="D4215" t="s">
        <v>5</v>
      </c>
      <c r="F4215" t="str" cm="1">
        <f t="array" ref="F4215">CategorizeComment(E4215)</f>
        <v>Other</v>
      </c>
      <c r="G4215" t="str" cm="1">
        <f t="array" ref="G4215">SubCategorizeComment(E4215)</f>
        <v>Other</v>
      </c>
    </row>
    <row r="4216" spans="1:7" x14ac:dyDescent="0.25">
      <c r="A4216">
        <v>33734</v>
      </c>
      <c r="B4216" t="s">
        <v>4</v>
      </c>
      <c r="C4216">
        <v>4</v>
      </c>
      <c r="D4216" t="s">
        <v>5</v>
      </c>
      <c r="F4216" t="str" cm="1">
        <f t="array" ref="F4216">CategorizeComment(E4216)</f>
        <v>Other</v>
      </c>
      <c r="G4216" t="str" cm="1">
        <f t="array" ref="G4216">SubCategorizeComment(E4216)</f>
        <v>Other</v>
      </c>
    </row>
    <row r="4217" spans="1:7" x14ac:dyDescent="0.25">
      <c r="A4217">
        <v>33740</v>
      </c>
      <c r="B4217" t="s">
        <v>4</v>
      </c>
      <c r="C4217">
        <v>4</v>
      </c>
      <c r="D4217" t="s">
        <v>5</v>
      </c>
      <c r="F4217" t="str" cm="1">
        <f t="array" ref="F4217">CategorizeComment(E4217)</f>
        <v>Other</v>
      </c>
      <c r="G4217" t="str" cm="1">
        <f t="array" ref="G4217">SubCategorizeComment(E4217)</f>
        <v>Other</v>
      </c>
    </row>
    <row r="4218" spans="1:7" x14ac:dyDescent="0.25">
      <c r="A4218">
        <v>33745</v>
      </c>
      <c r="B4218" t="s">
        <v>4</v>
      </c>
      <c r="C4218">
        <v>0</v>
      </c>
      <c r="D4218" t="s">
        <v>5</v>
      </c>
      <c r="F4218" t="str" cm="1">
        <f t="array" ref="F4218">CategorizeComment(E4218)</f>
        <v>Other</v>
      </c>
      <c r="G4218" t="str" cm="1">
        <f t="array" ref="G4218">SubCategorizeComment(E4218)</f>
        <v>Other</v>
      </c>
    </row>
    <row r="4219" spans="1:7" x14ac:dyDescent="0.25">
      <c r="A4219">
        <v>33768</v>
      </c>
      <c r="B4219" t="s">
        <v>4</v>
      </c>
      <c r="C4219">
        <v>3</v>
      </c>
      <c r="D4219" t="s">
        <v>5</v>
      </c>
      <c r="F4219" t="str" cm="1">
        <f t="array" ref="F4219">CategorizeComment(E4219)</f>
        <v>Other</v>
      </c>
      <c r="G4219" t="str" cm="1">
        <f t="array" ref="G4219">SubCategorizeComment(E4219)</f>
        <v>Other</v>
      </c>
    </row>
    <row r="4220" spans="1:7" x14ac:dyDescent="0.25">
      <c r="A4220">
        <v>33775</v>
      </c>
      <c r="B4220" t="s">
        <v>4</v>
      </c>
      <c r="C4220">
        <v>4</v>
      </c>
      <c r="D4220" t="s">
        <v>5</v>
      </c>
      <c r="F4220" t="str" cm="1">
        <f t="array" ref="F4220">CategorizeComment(E4220)</f>
        <v>Other</v>
      </c>
      <c r="G4220" t="str" cm="1">
        <f t="array" ref="G4220">SubCategorizeComment(E4220)</f>
        <v>Other</v>
      </c>
    </row>
    <row r="4221" spans="1:7" x14ac:dyDescent="0.25">
      <c r="A4221">
        <v>33813</v>
      </c>
      <c r="B4221" t="s">
        <v>4</v>
      </c>
      <c r="C4221">
        <v>4</v>
      </c>
      <c r="D4221" t="s">
        <v>5</v>
      </c>
      <c r="F4221" t="str" cm="1">
        <f t="array" ref="F4221">CategorizeComment(E4221)</f>
        <v>Other</v>
      </c>
      <c r="G4221" t="str" cm="1">
        <f t="array" ref="G4221">SubCategorizeComment(E4221)</f>
        <v>Other</v>
      </c>
    </row>
    <row r="4222" spans="1:7" x14ac:dyDescent="0.25">
      <c r="A4222">
        <v>33814</v>
      </c>
      <c r="B4222" t="s">
        <v>4</v>
      </c>
      <c r="C4222">
        <v>4</v>
      </c>
      <c r="D4222" t="s">
        <v>5</v>
      </c>
      <c r="F4222" t="str" cm="1">
        <f t="array" ref="F4222">CategorizeComment(E4222)</f>
        <v>Other</v>
      </c>
      <c r="G4222" t="str" cm="1">
        <f t="array" ref="G4222">SubCategorizeComment(E4222)</f>
        <v>Other</v>
      </c>
    </row>
    <row r="4223" spans="1:7" x14ac:dyDescent="0.25">
      <c r="A4223">
        <v>33817</v>
      </c>
      <c r="B4223" t="s">
        <v>4</v>
      </c>
      <c r="C4223">
        <v>3</v>
      </c>
      <c r="D4223" t="s">
        <v>5</v>
      </c>
      <c r="F4223" t="str" cm="1">
        <f t="array" ref="F4223">CategorizeComment(E4223)</f>
        <v>Other</v>
      </c>
      <c r="G4223" t="str" cm="1">
        <f t="array" ref="G4223">SubCategorizeComment(E4223)</f>
        <v>Other</v>
      </c>
    </row>
    <row r="4224" spans="1:7" x14ac:dyDescent="0.25">
      <c r="A4224">
        <v>33826</v>
      </c>
      <c r="B4224" t="s">
        <v>4</v>
      </c>
      <c r="C4224">
        <v>4</v>
      </c>
      <c r="D4224" t="s">
        <v>5</v>
      </c>
      <c r="F4224" t="str" cm="1">
        <f t="array" ref="F4224">CategorizeComment(E4224)</f>
        <v>Other</v>
      </c>
      <c r="G4224" t="str" cm="1">
        <f t="array" ref="G4224">SubCategorizeComment(E4224)</f>
        <v>Other</v>
      </c>
    </row>
    <row r="4225" spans="1:7" x14ac:dyDescent="0.25">
      <c r="A4225">
        <v>33840</v>
      </c>
      <c r="B4225" t="s">
        <v>4</v>
      </c>
      <c r="C4225">
        <v>4</v>
      </c>
      <c r="D4225" t="s">
        <v>5</v>
      </c>
      <c r="F4225" t="str" cm="1">
        <f t="array" ref="F4225">CategorizeComment(E4225)</f>
        <v>Other</v>
      </c>
      <c r="G4225" t="str" cm="1">
        <f t="array" ref="G4225">SubCategorizeComment(E4225)</f>
        <v>Other</v>
      </c>
    </row>
    <row r="4226" spans="1:7" x14ac:dyDescent="0.25">
      <c r="A4226">
        <v>33843</v>
      </c>
      <c r="B4226" t="s">
        <v>4</v>
      </c>
      <c r="C4226">
        <v>3</v>
      </c>
      <c r="D4226" t="s">
        <v>5</v>
      </c>
      <c r="F4226" t="str" cm="1">
        <f t="array" ref="F4226">CategorizeComment(E4226)</f>
        <v>Other</v>
      </c>
      <c r="G4226" t="str" cm="1">
        <f t="array" ref="G4226">SubCategorizeComment(E4226)</f>
        <v>Other</v>
      </c>
    </row>
    <row r="4227" spans="1:7" x14ac:dyDescent="0.25">
      <c r="A4227">
        <v>33858</v>
      </c>
      <c r="B4227" t="s">
        <v>4</v>
      </c>
      <c r="C4227">
        <v>4</v>
      </c>
      <c r="D4227" t="s">
        <v>5</v>
      </c>
      <c r="F4227" t="str" cm="1">
        <f t="array" ref="F4227">CategorizeComment(E4227)</f>
        <v>Other</v>
      </c>
      <c r="G4227" t="str" cm="1">
        <f t="array" ref="G4227">SubCategorizeComment(E4227)</f>
        <v>Other</v>
      </c>
    </row>
    <row r="4228" spans="1:7" x14ac:dyDescent="0.25">
      <c r="A4228">
        <v>33877</v>
      </c>
      <c r="B4228" t="s">
        <v>4</v>
      </c>
      <c r="C4228">
        <v>4</v>
      </c>
      <c r="D4228" t="s">
        <v>5</v>
      </c>
      <c r="F4228" t="str" cm="1">
        <f t="array" ref="F4228">CategorizeComment(E4228)</f>
        <v>Other</v>
      </c>
      <c r="G4228" t="str" cm="1">
        <f t="array" ref="G4228">SubCategorizeComment(E4228)</f>
        <v>Other</v>
      </c>
    </row>
    <row r="4229" spans="1:7" x14ac:dyDescent="0.25">
      <c r="A4229">
        <v>33899</v>
      </c>
      <c r="B4229" t="s">
        <v>4</v>
      </c>
      <c r="C4229">
        <v>4</v>
      </c>
      <c r="D4229" t="s">
        <v>5</v>
      </c>
      <c r="F4229" t="str" cm="1">
        <f t="array" ref="F4229">CategorizeComment(E4229)</f>
        <v>Other</v>
      </c>
      <c r="G4229" t="str" cm="1">
        <f t="array" ref="G4229">SubCategorizeComment(E4229)</f>
        <v>Other</v>
      </c>
    </row>
    <row r="4230" spans="1:7" x14ac:dyDescent="0.25">
      <c r="A4230">
        <v>33900</v>
      </c>
      <c r="B4230" t="s">
        <v>4</v>
      </c>
      <c r="C4230">
        <v>3</v>
      </c>
      <c r="D4230" t="s">
        <v>5</v>
      </c>
      <c r="F4230" t="str" cm="1">
        <f t="array" ref="F4230">CategorizeComment(E4230)</f>
        <v>Other</v>
      </c>
      <c r="G4230" t="str" cm="1">
        <f t="array" ref="G4230">SubCategorizeComment(E4230)</f>
        <v>Other</v>
      </c>
    </row>
    <row r="4231" spans="1:7" x14ac:dyDescent="0.25">
      <c r="A4231">
        <v>33903</v>
      </c>
      <c r="B4231" t="s">
        <v>4</v>
      </c>
      <c r="C4231">
        <v>4</v>
      </c>
      <c r="D4231" t="s">
        <v>5</v>
      </c>
      <c r="F4231" t="str" cm="1">
        <f t="array" ref="F4231">CategorizeComment(E4231)</f>
        <v>Other</v>
      </c>
      <c r="G4231" t="str" cm="1">
        <f t="array" ref="G4231">SubCategorizeComment(E4231)</f>
        <v>Other</v>
      </c>
    </row>
    <row r="4232" spans="1:7" x14ac:dyDescent="0.25">
      <c r="A4232">
        <v>33904</v>
      </c>
      <c r="B4232" t="s">
        <v>4</v>
      </c>
      <c r="C4232">
        <v>3</v>
      </c>
      <c r="D4232" t="s">
        <v>5</v>
      </c>
      <c r="F4232" t="str" cm="1">
        <f t="array" ref="F4232">CategorizeComment(E4232)</f>
        <v>Other</v>
      </c>
      <c r="G4232" t="str" cm="1">
        <f t="array" ref="G4232">SubCategorizeComment(E4232)</f>
        <v>Other</v>
      </c>
    </row>
    <row r="4233" spans="1:7" x14ac:dyDescent="0.25">
      <c r="A4233">
        <v>33908</v>
      </c>
      <c r="B4233" t="s">
        <v>4</v>
      </c>
      <c r="C4233">
        <v>3</v>
      </c>
      <c r="D4233" t="s">
        <v>5</v>
      </c>
      <c r="F4233" t="str" cm="1">
        <f t="array" ref="F4233">CategorizeComment(E4233)</f>
        <v>Other</v>
      </c>
      <c r="G4233" t="str" cm="1">
        <f t="array" ref="G4233">SubCategorizeComment(E4233)</f>
        <v>Other</v>
      </c>
    </row>
    <row r="4234" spans="1:7" x14ac:dyDescent="0.25">
      <c r="A4234">
        <v>33909</v>
      </c>
      <c r="B4234" t="s">
        <v>4</v>
      </c>
      <c r="C4234">
        <v>4</v>
      </c>
      <c r="D4234" t="s">
        <v>5</v>
      </c>
      <c r="F4234" t="str" cm="1">
        <f t="array" ref="F4234">CategorizeComment(E4234)</f>
        <v>Other</v>
      </c>
      <c r="G4234" t="str" cm="1">
        <f t="array" ref="G4234">SubCategorizeComment(E4234)</f>
        <v>Other</v>
      </c>
    </row>
    <row r="4235" spans="1:7" x14ac:dyDescent="0.25">
      <c r="A4235">
        <v>33910</v>
      </c>
      <c r="B4235" t="s">
        <v>4</v>
      </c>
      <c r="C4235">
        <v>3</v>
      </c>
      <c r="D4235" t="s">
        <v>5</v>
      </c>
      <c r="F4235" t="str" cm="1">
        <f t="array" ref="F4235">CategorizeComment(E4235)</f>
        <v>Other</v>
      </c>
      <c r="G4235" t="str" cm="1">
        <f t="array" ref="G4235">SubCategorizeComment(E4235)</f>
        <v>Other</v>
      </c>
    </row>
    <row r="4236" spans="1:7" x14ac:dyDescent="0.25">
      <c r="A4236">
        <v>33929</v>
      </c>
      <c r="B4236" t="s">
        <v>4</v>
      </c>
      <c r="C4236">
        <v>3</v>
      </c>
      <c r="D4236" t="s">
        <v>5</v>
      </c>
      <c r="F4236" t="str" cm="1">
        <f t="array" ref="F4236">CategorizeComment(E4236)</f>
        <v>Other</v>
      </c>
      <c r="G4236" t="str" cm="1">
        <f t="array" ref="G4236">SubCategorizeComment(E4236)</f>
        <v>Other</v>
      </c>
    </row>
    <row r="4237" spans="1:7" x14ac:dyDescent="0.25">
      <c r="A4237">
        <v>33937</v>
      </c>
      <c r="B4237" t="s">
        <v>4</v>
      </c>
      <c r="C4237">
        <v>4</v>
      </c>
      <c r="D4237" t="s">
        <v>5</v>
      </c>
      <c r="F4237" t="str" cm="1">
        <f t="array" ref="F4237">CategorizeComment(E4237)</f>
        <v>Other</v>
      </c>
      <c r="G4237" t="str" cm="1">
        <f t="array" ref="G4237">SubCategorizeComment(E4237)</f>
        <v>Other</v>
      </c>
    </row>
    <row r="4238" spans="1:7" x14ac:dyDescent="0.25">
      <c r="A4238">
        <v>33946</v>
      </c>
      <c r="B4238" t="s">
        <v>4</v>
      </c>
      <c r="C4238">
        <v>4</v>
      </c>
      <c r="D4238" t="s">
        <v>5</v>
      </c>
      <c r="F4238" t="str" cm="1">
        <f t="array" ref="F4238">CategorizeComment(E4238)</f>
        <v>Other</v>
      </c>
      <c r="G4238" t="str" cm="1">
        <f t="array" ref="G4238">SubCategorizeComment(E4238)</f>
        <v>Other</v>
      </c>
    </row>
    <row r="4239" spans="1:7" x14ac:dyDescent="0.25">
      <c r="A4239">
        <v>33967</v>
      </c>
      <c r="B4239" t="s">
        <v>4</v>
      </c>
      <c r="C4239">
        <v>3</v>
      </c>
      <c r="D4239" t="s">
        <v>5</v>
      </c>
      <c r="F4239" t="str" cm="1">
        <f t="array" ref="F4239">CategorizeComment(E4239)</f>
        <v>Other</v>
      </c>
      <c r="G4239" t="str" cm="1">
        <f t="array" ref="G4239">SubCategorizeComment(E4239)</f>
        <v>Other</v>
      </c>
    </row>
    <row r="4240" spans="1:7" x14ac:dyDescent="0.25">
      <c r="A4240">
        <v>33976</v>
      </c>
      <c r="B4240" t="s">
        <v>4</v>
      </c>
      <c r="C4240">
        <v>4</v>
      </c>
      <c r="D4240" t="s">
        <v>5</v>
      </c>
      <c r="F4240" t="str" cm="1">
        <f t="array" ref="F4240">CategorizeComment(E4240)</f>
        <v>Other</v>
      </c>
      <c r="G4240" t="str" cm="1">
        <f t="array" ref="G4240">SubCategorizeComment(E4240)</f>
        <v>Other</v>
      </c>
    </row>
    <row r="4241" spans="1:7" x14ac:dyDescent="0.25">
      <c r="A4241">
        <v>33983</v>
      </c>
      <c r="B4241" t="s">
        <v>4</v>
      </c>
      <c r="C4241">
        <v>3</v>
      </c>
      <c r="D4241" t="s">
        <v>5</v>
      </c>
      <c r="F4241" t="str" cm="1">
        <f t="array" ref="F4241">CategorizeComment(E4241)</f>
        <v>Other</v>
      </c>
      <c r="G4241" t="str" cm="1">
        <f t="array" ref="G4241">SubCategorizeComment(E4241)</f>
        <v>Other</v>
      </c>
    </row>
    <row r="4242" spans="1:7" x14ac:dyDescent="0.25">
      <c r="A4242">
        <v>33998</v>
      </c>
      <c r="B4242" t="s">
        <v>4</v>
      </c>
      <c r="C4242">
        <v>3</v>
      </c>
      <c r="D4242" t="s">
        <v>5</v>
      </c>
      <c r="F4242" t="str" cm="1">
        <f t="array" ref="F4242">CategorizeComment(E4242)</f>
        <v>Other</v>
      </c>
      <c r="G4242" t="str" cm="1">
        <f t="array" ref="G4242">SubCategorizeComment(E4242)</f>
        <v>Other</v>
      </c>
    </row>
    <row r="4243" spans="1:7" x14ac:dyDescent="0.25">
      <c r="A4243">
        <v>34004</v>
      </c>
      <c r="B4243" t="s">
        <v>4</v>
      </c>
      <c r="C4243">
        <v>3</v>
      </c>
      <c r="D4243" t="s">
        <v>5</v>
      </c>
      <c r="F4243" t="str" cm="1">
        <f t="array" ref="F4243">CategorizeComment(E4243)</f>
        <v>Other</v>
      </c>
      <c r="G4243" t="str" cm="1">
        <f t="array" ref="G4243">SubCategorizeComment(E4243)</f>
        <v>Other</v>
      </c>
    </row>
    <row r="4244" spans="1:7" x14ac:dyDescent="0.25">
      <c r="A4244">
        <v>34015</v>
      </c>
      <c r="B4244" t="s">
        <v>4</v>
      </c>
      <c r="C4244">
        <v>4</v>
      </c>
      <c r="D4244" t="s">
        <v>5</v>
      </c>
      <c r="F4244" t="str" cm="1">
        <f t="array" ref="F4244">CategorizeComment(E4244)</f>
        <v>Other</v>
      </c>
      <c r="G4244" t="str" cm="1">
        <f t="array" ref="G4244">SubCategorizeComment(E4244)</f>
        <v>Other</v>
      </c>
    </row>
    <row r="4245" spans="1:7" x14ac:dyDescent="0.25">
      <c r="A4245">
        <v>34031</v>
      </c>
      <c r="B4245" t="s">
        <v>4</v>
      </c>
      <c r="C4245">
        <v>4</v>
      </c>
      <c r="D4245" t="s">
        <v>5</v>
      </c>
      <c r="F4245" t="str" cm="1">
        <f t="array" ref="F4245">CategorizeComment(E4245)</f>
        <v>Other</v>
      </c>
      <c r="G4245" t="str" cm="1">
        <f t="array" ref="G4245">SubCategorizeComment(E4245)</f>
        <v>Other</v>
      </c>
    </row>
    <row r="4246" spans="1:7" x14ac:dyDescent="0.25">
      <c r="A4246">
        <v>34040</v>
      </c>
      <c r="B4246" t="s">
        <v>4</v>
      </c>
      <c r="C4246">
        <v>3</v>
      </c>
      <c r="D4246" t="s">
        <v>5</v>
      </c>
      <c r="F4246" t="str" cm="1">
        <f t="array" ref="F4246">CategorizeComment(E4246)</f>
        <v>Other</v>
      </c>
      <c r="G4246" t="str" cm="1">
        <f t="array" ref="G4246">SubCategorizeComment(E4246)</f>
        <v>Other</v>
      </c>
    </row>
    <row r="4247" spans="1:7" x14ac:dyDescent="0.25">
      <c r="A4247">
        <v>34070</v>
      </c>
      <c r="B4247" t="s">
        <v>4</v>
      </c>
      <c r="C4247">
        <v>3</v>
      </c>
      <c r="D4247" t="s">
        <v>5</v>
      </c>
      <c r="F4247" t="str" cm="1">
        <f t="array" ref="F4247">CategorizeComment(E4247)</f>
        <v>Other</v>
      </c>
      <c r="G4247" t="str" cm="1">
        <f t="array" ref="G4247">SubCategorizeComment(E4247)</f>
        <v>Other</v>
      </c>
    </row>
    <row r="4248" spans="1:7" x14ac:dyDescent="0.25">
      <c r="A4248">
        <v>34082</v>
      </c>
      <c r="B4248" t="s">
        <v>4</v>
      </c>
      <c r="C4248">
        <v>4</v>
      </c>
      <c r="D4248" t="s">
        <v>5</v>
      </c>
      <c r="F4248" t="str" cm="1">
        <f t="array" ref="F4248">CategorizeComment(E4248)</f>
        <v>Other</v>
      </c>
      <c r="G4248" t="str" cm="1">
        <f t="array" ref="G4248">SubCategorizeComment(E4248)</f>
        <v>Other</v>
      </c>
    </row>
    <row r="4249" spans="1:7" x14ac:dyDescent="0.25">
      <c r="A4249">
        <v>34086</v>
      </c>
      <c r="B4249" t="s">
        <v>4</v>
      </c>
      <c r="C4249">
        <v>3</v>
      </c>
      <c r="D4249" t="s">
        <v>5</v>
      </c>
      <c r="F4249" t="str" cm="1">
        <f t="array" ref="F4249">CategorizeComment(E4249)</f>
        <v>Other</v>
      </c>
      <c r="G4249" t="str" cm="1">
        <f t="array" ref="G4249">SubCategorizeComment(E4249)</f>
        <v>Other</v>
      </c>
    </row>
    <row r="4250" spans="1:7" x14ac:dyDescent="0.25">
      <c r="A4250">
        <v>34109</v>
      </c>
      <c r="B4250" t="s">
        <v>4</v>
      </c>
      <c r="C4250">
        <v>3</v>
      </c>
      <c r="D4250" t="s">
        <v>5</v>
      </c>
      <c r="F4250" t="str" cm="1">
        <f t="array" ref="F4250">CategorizeComment(E4250)</f>
        <v>Other</v>
      </c>
      <c r="G4250" t="str" cm="1">
        <f t="array" ref="G4250">SubCategorizeComment(E4250)</f>
        <v>Other</v>
      </c>
    </row>
    <row r="4251" spans="1:7" x14ac:dyDescent="0.25">
      <c r="A4251">
        <v>34145</v>
      </c>
      <c r="B4251" t="s">
        <v>4</v>
      </c>
      <c r="C4251">
        <v>3</v>
      </c>
      <c r="D4251" t="s">
        <v>5</v>
      </c>
      <c r="F4251" t="str" cm="1">
        <f t="array" ref="F4251">CategorizeComment(E4251)</f>
        <v>Other</v>
      </c>
      <c r="G4251" t="str" cm="1">
        <f t="array" ref="G4251">SubCategorizeComment(E4251)</f>
        <v>Other</v>
      </c>
    </row>
    <row r="4252" spans="1:7" x14ac:dyDescent="0.25">
      <c r="A4252">
        <v>34148</v>
      </c>
      <c r="B4252" t="s">
        <v>4</v>
      </c>
      <c r="C4252">
        <v>3</v>
      </c>
      <c r="D4252" t="s">
        <v>5</v>
      </c>
      <c r="F4252" t="str" cm="1">
        <f t="array" ref="F4252">CategorizeComment(E4252)</f>
        <v>Other</v>
      </c>
      <c r="G4252" t="str" cm="1">
        <f t="array" ref="G4252">SubCategorizeComment(E4252)</f>
        <v>Other</v>
      </c>
    </row>
    <row r="4253" spans="1:7" x14ac:dyDescent="0.25">
      <c r="A4253">
        <v>34155</v>
      </c>
      <c r="B4253" t="s">
        <v>4</v>
      </c>
      <c r="C4253">
        <v>3</v>
      </c>
      <c r="D4253" t="s">
        <v>5</v>
      </c>
      <c r="F4253" t="str" cm="1">
        <f t="array" ref="F4253">CategorizeComment(E4253)</f>
        <v>Other</v>
      </c>
      <c r="G4253" t="str" cm="1">
        <f t="array" ref="G4253">SubCategorizeComment(E4253)</f>
        <v>Other</v>
      </c>
    </row>
    <row r="4254" spans="1:7" x14ac:dyDescent="0.25">
      <c r="A4254">
        <v>34157</v>
      </c>
      <c r="B4254" t="s">
        <v>4</v>
      </c>
      <c r="C4254">
        <v>3</v>
      </c>
      <c r="D4254" t="s">
        <v>5</v>
      </c>
      <c r="F4254" t="str" cm="1">
        <f t="array" ref="F4254">CategorizeComment(E4254)</f>
        <v>Other</v>
      </c>
      <c r="G4254" t="str" cm="1">
        <f t="array" ref="G4254">SubCategorizeComment(E4254)</f>
        <v>Other</v>
      </c>
    </row>
    <row r="4255" spans="1:7" x14ac:dyDescent="0.25">
      <c r="A4255">
        <v>34159</v>
      </c>
      <c r="B4255" t="s">
        <v>4</v>
      </c>
      <c r="C4255">
        <v>3</v>
      </c>
      <c r="D4255" t="s">
        <v>5</v>
      </c>
      <c r="F4255" t="str" cm="1">
        <f t="array" ref="F4255">CategorizeComment(E4255)</f>
        <v>Other</v>
      </c>
      <c r="G4255" t="str" cm="1">
        <f t="array" ref="G4255">SubCategorizeComment(E4255)</f>
        <v>Other</v>
      </c>
    </row>
    <row r="4256" spans="1:7" x14ac:dyDescent="0.25">
      <c r="A4256">
        <v>34168</v>
      </c>
      <c r="B4256" t="s">
        <v>4</v>
      </c>
      <c r="C4256">
        <v>4</v>
      </c>
      <c r="D4256" t="s">
        <v>5</v>
      </c>
      <c r="F4256" t="str" cm="1">
        <f t="array" ref="F4256">CategorizeComment(E4256)</f>
        <v>Other</v>
      </c>
      <c r="G4256" t="str" cm="1">
        <f t="array" ref="G4256">SubCategorizeComment(E4256)</f>
        <v>Other</v>
      </c>
    </row>
    <row r="4257" spans="1:7" x14ac:dyDescent="0.25">
      <c r="A4257">
        <v>34173</v>
      </c>
      <c r="B4257" t="s">
        <v>4</v>
      </c>
      <c r="C4257">
        <v>4</v>
      </c>
      <c r="D4257" t="s">
        <v>5</v>
      </c>
      <c r="F4257" t="str" cm="1">
        <f t="array" ref="F4257">CategorizeComment(E4257)</f>
        <v>Other</v>
      </c>
      <c r="G4257" t="str" cm="1">
        <f t="array" ref="G4257">SubCategorizeComment(E4257)</f>
        <v>Other</v>
      </c>
    </row>
    <row r="4258" spans="1:7" x14ac:dyDescent="0.25">
      <c r="A4258">
        <v>34185</v>
      </c>
      <c r="B4258" t="s">
        <v>4</v>
      </c>
      <c r="C4258">
        <v>4</v>
      </c>
      <c r="D4258" t="s">
        <v>5</v>
      </c>
      <c r="F4258" t="str" cm="1">
        <f t="array" ref="F4258">CategorizeComment(E4258)</f>
        <v>Other</v>
      </c>
      <c r="G4258" t="str" cm="1">
        <f t="array" ref="G4258">SubCategorizeComment(E4258)</f>
        <v>Other</v>
      </c>
    </row>
    <row r="4259" spans="1:7" x14ac:dyDescent="0.25">
      <c r="A4259">
        <v>34199</v>
      </c>
      <c r="B4259" t="s">
        <v>4</v>
      </c>
      <c r="C4259">
        <v>4</v>
      </c>
      <c r="D4259" t="s">
        <v>5</v>
      </c>
      <c r="F4259" t="str" cm="1">
        <f t="array" ref="F4259">CategorizeComment(E4259)</f>
        <v>Other</v>
      </c>
      <c r="G4259" t="str" cm="1">
        <f t="array" ref="G4259">SubCategorizeComment(E4259)</f>
        <v>Other</v>
      </c>
    </row>
    <row r="4260" spans="1:7" x14ac:dyDescent="0.25">
      <c r="A4260">
        <v>34208</v>
      </c>
      <c r="B4260" t="s">
        <v>4</v>
      </c>
      <c r="C4260">
        <v>4</v>
      </c>
      <c r="D4260" t="s">
        <v>5</v>
      </c>
      <c r="F4260" t="str" cm="1">
        <f t="array" ref="F4260">CategorizeComment(E4260)</f>
        <v>Other</v>
      </c>
      <c r="G4260" t="str" cm="1">
        <f t="array" ref="G4260">SubCategorizeComment(E4260)</f>
        <v>Other</v>
      </c>
    </row>
    <row r="4261" spans="1:7" x14ac:dyDescent="0.25">
      <c r="A4261">
        <v>34220</v>
      </c>
      <c r="B4261" t="s">
        <v>4</v>
      </c>
      <c r="C4261">
        <v>3</v>
      </c>
      <c r="D4261" t="s">
        <v>5</v>
      </c>
      <c r="F4261" t="str" cm="1">
        <f t="array" ref="F4261">CategorizeComment(E4261)</f>
        <v>Other</v>
      </c>
      <c r="G4261" t="str" cm="1">
        <f t="array" ref="G4261">SubCategorizeComment(E4261)</f>
        <v>Other</v>
      </c>
    </row>
    <row r="4262" spans="1:7" x14ac:dyDescent="0.25">
      <c r="A4262">
        <v>34229</v>
      </c>
      <c r="B4262" t="s">
        <v>4</v>
      </c>
      <c r="C4262">
        <v>4</v>
      </c>
      <c r="D4262" t="s">
        <v>5</v>
      </c>
      <c r="F4262" t="str" cm="1">
        <f t="array" ref="F4262">CategorizeComment(E4262)</f>
        <v>Other</v>
      </c>
      <c r="G4262" t="str" cm="1">
        <f t="array" ref="G4262">SubCategorizeComment(E4262)</f>
        <v>Other</v>
      </c>
    </row>
    <row r="4263" spans="1:7" x14ac:dyDescent="0.25">
      <c r="A4263">
        <v>34234</v>
      </c>
      <c r="B4263" t="s">
        <v>4</v>
      </c>
      <c r="C4263">
        <v>3</v>
      </c>
      <c r="D4263" t="s">
        <v>5</v>
      </c>
      <c r="F4263" t="str" cm="1">
        <f t="array" ref="F4263">CategorizeComment(E4263)</f>
        <v>Other</v>
      </c>
      <c r="G4263" t="str" cm="1">
        <f t="array" ref="G4263">SubCategorizeComment(E4263)</f>
        <v>Other</v>
      </c>
    </row>
    <row r="4264" spans="1:7" x14ac:dyDescent="0.25">
      <c r="A4264">
        <v>34257</v>
      </c>
      <c r="B4264" t="s">
        <v>4</v>
      </c>
      <c r="C4264">
        <v>3</v>
      </c>
      <c r="D4264" t="s">
        <v>5</v>
      </c>
      <c r="F4264" t="str" cm="1">
        <f t="array" ref="F4264">CategorizeComment(E4264)</f>
        <v>Other</v>
      </c>
      <c r="G4264" t="str" cm="1">
        <f t="array" ref="G4264">SubCategorizeComment(E4264)</f>
        <v>Other</v>
      </c>
    </row>
    <row r="4265" spans="1:7" x14ac:dyDescent="0.25">
      <c r="A4265">
        <v>34282</v>
      </c>
      <c r="B4265" t="s">
        <v>4</v>
      </c>
      <c r="C4265">
        <v>3</v>
      </c>
      <c r="D4265" t="s">
        <v>5</v>
      </c>
      <c r="F4265" t="str" cm="1">
        <f t="array" ref="F4265">CategorizeComment(E4265)</f>
        <v>Other</v>
      </c>
      <c r="G4265" t="str" cm="1">
        <f t="array" ref="G4265">SubCategorizeComment(E4265)</f>
        <v>Other</v>
      </c>
    </row>
    <row r="4266" spans="1:7" x14ac:dyDescent="0.25">
      <c r="A4266">
        <v>34289</v>
      </c>
      <c r="B4266" t="s">
        <v>4</v>
      </c>
      <c r="C4266">
        <v>2</v>
      </c>
      <c r="D4266" t="s">
        <v>5</v>
      </c>
      <c r="F4266" t="str" cm="1">
        <f t="array" ref="F4266">CategorizeComment(E4266)</f>
        <v>Other</v>
      </c>
      <c r="G4266" t="str" cm="1">
        <f t="array" ref="G4266">SubCategorizeComment(E4266)</f>
        <v>Other</v>
      </c>
    </row>
    <row r="4267" spans="1:7" x14ac:dyDescent="0.25">
      <c r="A4267">
        <v>34334</v>
      </c>
      <c r="B4267" t="s">
        <v>4</v>
      </c>
      <c r="C4267">
        <v>3</v>
      </c>
      <c r="D4267" t="s">
        <v>5</v>
      </c>
      <c r="F4267" t="str" cm="1">
        <f t="array" ref="F4267">CategorizeComment(E4267)</f>
        <v>Other</v>
      </c>
      <c r="G4267" t="str" cm="1">
        <f t="array" ref="G4267">SubCategorizeComment(E4267)</f>
        <v>Other</v>
      </c>
    </row>
    <row r="4268" spans="1:7" x14ac:dyDescent="0.25">
      <c r="A4268">
        <v>34336</v>
      </c>
      <c r="B4268" t="s">
        <v>4</v>
      </c>
      <c r="C4268">
        <v>3</v>
      </c>
      <c r="D4268" t="s">
        <v>5</v>
      </c>
      <c r="F4268" t="str" cm="1">
        <f t="array" ref="F4268">CategorizeComment(E4268)</f>
        <v>Other</v>
      </c>
      <c r="G4268" t="str" cm="1">
        <f t="array" ref="G4268">SubCategorizeComment(E4268)</f>
        <v>Other</v>
      </c>
    </row>
    <row r="4269" spans="1:7" x14ac:dyDescent="0.25">
      <c r="A4269">
        <v>34338</v>
      </c>
      <c r="B4269" t="s">
        <v>4</v>
      </c>
      <c r="C4269">
        <v>3</v>
      </c>
      <c r="D4269" t="s">
        <v>5</v>
      </c>
      <c r="F4269" t="str" cm="1">
        <f t="array" ref="F4269">CategorizeComment(E4269)</f>
        <v>Other</v>
      </c>
      <c r="G4269" t="str" cm="1">
        <f t="array" ref="G4269">SubCategorizeComment(E4269)</f>
        <v>Other</v>
      </c>
    </row>
    <row r="4270" spans="1:7" x14ac:dyDescent="0.25">
      <c r="A4270">
        <v>34353</v>
      </c>
      <c r="B4270" t="s">
        <v>4</v>
      </c>
      <c r="C4270">
        <v>3</v>
      </c>
      <c r="D4270" t="s">
        <v>5</v>
      </c>
      <c r="F4270" t="str" cm="1">
        <f t="array" ref="F4270">CategorizeComment(E4270)</f>
        <v>Other</v>
      </c>
      <c r="G4270" t="str" cm="1">
        <f t="array" ref="G4270">SubCategorizeComment(E4270)</f>
        <v>Other</v>
      </c>
    </row>
    <row r="4271" spans="1:7" x14ac:dyDescent="0.25">
      <c r="A4271">
        <v>34359</v>
      </c>
      <c r="B4271" t="s">
        <v>4</v>
      </c>
      <c r="C4271">
        <v>4</v>
      </c>
      <c r="D4271" t="s">
        <v>5</v>
      </c>
      <c r="F4271" t="str" cm="1">
        <f t="array" ref="F4271">CategorizeComment(E4271)</f>
        <v>Other</v>
      </c>
      <c r="G4271" t="str" cm="1">
        <f t="array" ref="G4271">SubCategorizeComment(E4271)</f>
        <v>Other</v>
      </c>
    </row>
    <row r="4272" spans="1:7" x14ac:dyDescent="0.25">
      <c r="A4272">
        <v>34360</v>
      </c>
      <c r="B4272" t="s">
        <v>4</v>
      </c>
      <c r="C4272">
        <v>3</v>
      </c>
      <c r="D4272" t="s">
        <v>5</v>
      </c>
      <c r="F4272" t="str" cm="1">
        <f t="array" ref="F4272">CategorizeComment(E4272)</f>
        <v>Other</v>
      </c>
      <c r="G4272" t="str" cm="1">
        <f t="array" ref="G4272">SubCategorizeComment(E4272)</f>
        <v>Other</v>
      </c>
    </row>
    <row r="4273" spans="1:7" x14ac:dyDescent="0.25">
      <c r="A4273">
        <v>34362</v>
      </c>
      <c r="B4273" t="s">
        <v>4</v>
      </c>
      <c r="C4273">
        <v>3</v>
      </c>
      <c r="D4273" t="s">
        <v>5</v>
      </c>
      <c r="F4273" t="str" cm="1">
        <f t="array" ref="F4273">CategorizeComment(E4273)</f>
        <v>Other</v>
      </c>
      <c r="G4273" t="str" cm="1">
        <f t="array" ref="G4273">SubCategorizeComment(E4273)</f>
        <v>Other</v>
      </c>
    </row>
    <row r="4274" spans="1:7" x14ac:dyDescent="0.25">
      <c r="A4274">
        <v>34387</v>
      </c>
      <c r="B4274" t="s">
        <v>4</v>
      </c>
      <c r="C4274">
        <v>3</v>
      </c>
      <c r="D4274" t="s">
        <v>5</v>
      </c>
      <c r="F4274" t="str" cm="1">
        <f t="array" ref="F4274">CategorizeComment(E4274)</f>
        <v>Other</v>
      </c>
      <c r="G4274" t="str" cm="1">
        <f t="array" ref="G4274">SubCategorizeComment(E4274)</f>
        <v>Other</v>
      </c>
    </row>
    <row r="4275" spans="1:7" x14ac:dyDescent="0.25">
      <c r="A4275">
        <v>34389</v>
      </c>
      <c r="B4275" t="s">
        <v>4</v>
      </c>
      <c r="C4275">
        <v>4</v>
      </c>
      <c r="D4275" t="s">
        <v>5</v>
      </c>
      <c r="F4275" t="str" cm="1">
        <f t="array" ref="F4275">CategorizeComment(E4275)</f>
        <v>Other</v>
      </c>
      <c r="G4275" t="str" cm="1">
        <f t="array" ref="G4275">SubCategorizeComment(E4275)</f>
        <v>Other</v>
      </c>
    </row>
    <row r="4276" spans="1:7" x14ac:dyDescent="0.25">
      <c r="A4276">
        <v>34392</v>
      </c>
      <c r="B4276" t="s">
        <v>4</v>
      </c>
      <c r="C4276">
        <v>4</v>
      </c>
      <c r="D4276" t="s">
        <v>5</v>
      </c>
      <c r="F4276" t="str" cm="1">
        <f t="array" ref="F4276">CategorizeComment(E4276)</f>
        <v>Other</v>
      </c>
      <c r="G4276" t="str" cm="1">
        <f t="array" ref="G4276">SubCategorizeComment(E4276)</f>
        <v>Other</v>
      </c>
    </row>
    <row r="4277" spans="1:7" x14ac:dyDescent="0.25">
      <c r="A4277">
        <v>34401</v>
      </c>
      <c r="B4277" t="s">
        <v>4</v>
      </c>
      <c r="C4277">
        <v>4</v>
      </c>
      <c r="D4277" t="s">
        <v>5</v>
      </c>
      <c r="F4277" t="str" cm="1">
        <f t="array" ref="F4277">CategorizeComment(E4277)</f>
        <v>Other</v>
      </c>
      <c r="G4277" t="str" cm="1">
        <f t="array" ref="G4277">SubCategorizeComment(E4277)</f>
        <v>Other</v>
      </c>
    </row>
    <row r="4278" spans="1:7" x14ac:dyDescent="0.25">
      <c r="A4278">
        <v>34415</v>
      </c>
      <c r="B4278" t="s">
        <v>4</v>
      </c>
      <c r="C4278">
        <v>3</v>
      </c>
      <c r="D4278" t="s">
        <v>5</v>
      </c>
      <c r="F4278" t="str" cm="1">
        <f t="array" ref="F4278">CategorizeComment(E4278)</f>
        <v>Other</v>
      </c>
      <c r="G4278" t="str" cm="1">
        <f t="array" ref="G4278">SubCategorizeComment(E4278)</f>
        <v>Other</v>
      </c>
    </row>
    <row r="4279" spans="1:7" x14ac:dyDescent="0.25">
      <c r="A4279">
        <v>34418</v>
      </c>
      <c r="B4279" t="s">
        <v>4</v>
      </c>
      <c r="C4279">
        <v>3</v>
      </c>
      <c r="D4279" t="s">
        <v>5</v>
      </c>
      <c r="F4279" t="str" cm="1">
        <f t="array" ref="F4279">CategorizeComment(E4279)</f>
        <v>Other</v>
      </c>
      <c r="G4279" t="str" cm="1">
        <f t="array" ref="G4279">SubCategorizeComment(E4279)</f>
        <v>Other</v>
      </c>
    </row>
    <row r="4280" spans="1:7" x14ac:dyDescent="0.25">
      <c r="A4280">
        <v>34420</v>
      </c>
      <c r="B4280" t="s">
        <v>4</v>
      </c>
      <c r="C4280">
        <v>4</v>
      </c>
      <c r="D4280" t="s">
        <v>5</v>
      </c>
      <c r="F4280" t="str" cm="1">
        <f t="array" ref="F4280">CategorizeComment(E4280)</f>
        <v>Other</v>
      </c>
      <c r="G4280" t="str" cm="1">
        <f t="array" ref="G4280">SubCategorizeComment(E4280)</f>
        <v>Other</v>
      </c>
    </row>
    <row r="4281" spans="1:7" x14ac:dyDescent="0.25">
      <c r="A4281">
        <v>34431</v>
      </c>
      <c r="B4281" t="s">
        <v>4</v>
      </c>
      <c r="C4281">
        <v>4</v>
      </c>
      <c r="D4281" t="s">
        <v>5</v>
      </c>
      <c r="F4281" t="str" cm="1">
        <f t="array" ref="F4281">CategorizeComment(E4281)</f>
        <v>Other</v>
      </c>
      <c r="G4281" t="str" cm="1">
        <f t="array" ref="G4281">SubCategorizeComment(E4281)</f>
        <v>Other</v>
      </c>
    </row>
    <row r="4282" spans="1:7" x14ac:dyDescent="0.25">
      <c r="A4282">
        <v>34442</v>
      </c>
      <c r="B4282" t="s">
        <v>4</v>
      </c>
      <c r="C4282">
        <v>4</v>
      </c>
      <c r="D4282" t="s">
        <v>5</v>
      </c>
      <c r="F4282" t="str" cm="1">
        <f t="array" ref="F4282">CategorizeComment(E4282)</f>
        <v>Other</v>
      </c>
      <c r="G4282" t="str" cm="1">
        <f t="array" ref="G4282">SubCategorizeComment(E4282)</f>
        <v>Other</v>
      </c>
    </row>
    <row r="4283" spans="1:7" x14ac:dyDescent="0.25">
      <c r="A4283">
        <v>34443</v>
      </c>
      <c r="B4283" t="s">
        <v>4</v>
      </c>
      <c r="C4283">
        <v>3</v>
      </c>
      <c r="D4283" t="s">
        <v>5</v>
      </c>
      <c r="F4283" t="str" cm="1">
        <f t="array" ref="F4283">CategorizeComment(E4283)</f>
        <v>Other</v>
      </c>
      <c r="G4283" t="str" cm="1">
        <f t="array" ref="G4283">SubCategorizeComment(E4283)</f>
        <v>Other</v>
      </c>
    </row>
    <row r="4284" spans="1:7" x14ac:dyDescent="0.25">
      <c r="A4284">
        <v>34449</v>
      </c>
      <c r="B4284" t="s">
        <v>4</v>
      </c>
      <c r="C4284">
        <v>3</v>
      </c>
      <c r="D4284" t="s">
        <v>5</v>
      </c>
      <c r="F4284" t="str" cm="1">
        <f t="array" ref="F4284">CategorizeComment(E4284)</f>
        <v>Other</v>
      </c>
      <c r="G4284" t="str" cm="1">
        <f t="array" ref="G4284">SubCategorizeComment(E4284)</f>
        <v>Other</v>
      </c>
    </row>
    <row r="4285" spans="1:7" x14ac:dyDescent="0.25">
      <c r="A4285">
        <v>34461</v>
      </c>
      <c r="B4285" t="s">
        <v>4</v>
      </c>
      <c r="C4285">
        <v>4</v>
      </c>
      <c r="D4285" t="s">
        <v>5</v>
      </c>
      <c r="F4285" t="str" cm="1">
        <f t="array" ref="F4285">CategorizeComment(E4285)</f>
        <v>Other</v>
      </c>
      <c r="G4285" t="str" cm="1">
        <f t="array" ref="G4285">SubCategorizeComment(E4285)</f>
        <v>Other</v>
      </c>
    </row>
    <row r="4286" spans="1:7" x14ac:dyDescent="0.25">
      <c r="A4286">
        <v>34498</v>
      </c>
      <c r="B4286" t="s">
        <v>4</v>
      </c>
      <c r="C4286">
        <v>4</v>
      </c>
      <c r="D4286" t="s">
        <v>5</v>
      </c>
      <c r="F4286" t="str" cm="1">
        <f t="array" ref="F4286">CategorizeComment(E4286)</f>
        <v>Other</v>
      </c>
      <c r="G4286" t="str" cm="1">
        <f t="array" ref="G4286">SubCategorizeComment(E4286)</f>
        <v>Other</v>
      </c>
    </row>
    <row r="4287" spans="1:7" x14ac:dyDescent="0.25">
      <c r="A4287">
        <v>34499</v>
      </c>
      <c r="B4287" t="s">
        <v>4</v>
      </c>
      <c r="C4287">
        <v>3</v>
      </c>
      <c r="D4287" t="s">
        <v>5</v>
      </c>
      <c r="F4287" t="str" cm="1">
        <f t="array" ref="F4287">CategorizeComment(E4287)</f>
        <v>Other</v>
      </c>
      <c r="G4287" t="str" cm="1">
        <f t="array" ref="G4287">SubCategorizeComment(E4287)</f>
        <v>Other</v>
      </c>
    </row>
    <row r="4288" spans="1:7" x14ac:dyDescent="0.25">
      <c r="A4288">
        <v>34510</v>
      </c>
      <c r="B4288" t="s">
        <v>4</v>
      </c>
      <c r="C4288">
        <v>4</v>
      </c>
      <c r="D4288" t="s">
        <v>5</v>
      </c>
      <c r="F4288" t="str" cm="1">
        <f t="array" ref="F4288">CategorizeComment(E4288)</f>
        <v>Other</v>
      </c>
      <c r="G4288" t="str" cm="1">
        <f t="array" ref="G4288">SubCategorizeComment(E4288)</f>
        <v>Other</v>
      </c>
    </row>
    <row r="4289" spans="1:7" x14ac:dyDescent="0.25">
      <c r="A4289">
        <v>34512</v>
      </c>
      <c r="B4289" t="s">
        <v>4</v>
      </c>
      <c r="C4289">
        <v>3</v>
      </c>
      <c r="D4289" t="s">
        <v>5</v>
      </c>
      <c r="F4289" t="str" cm="1">
        <f t="array" ref="F4289">CategorizeComment(E4289)</f>
        <v>Other</v>
      </c>
      <c r="G4289" t="str" cm="1">
        <f t="array" ref="G4289">SubCategorizeComment(E4289)</f>
        <v>Other</v>
      </c>
    </row>
    <row r="4290" spans="1:7" x14ac:dyDescent="0.25">
      <c r="A4290">
        <v>34521</v>
      </c>
      <c r="B4290" t="s">
        <v>4</v>
      </c>
      <c r="C4290">
        <v>4</v>
      </c>
      <c r="D4290" t="s">
        <v>5</v>
      </c>
      <c r="F4290" t="str" cm="1">
        <f t="array" ref="F4290">CategorizeComment(E4290)</f>
        <v>Other</v>
      </c>
      <c r="G4290" t="str" cm="1">
        <f t="array" ref="G4290">SubCategorizeComment(E4290)</f>
        <v>Other</v>
      </c>
    </row>
    <row r="4291" spans="1:7" x14ac:dyDescent="0.25">
      <c r="A4291">
        <v>34523</v>
      </c>
      <c r="B4291" t="s">
        <v>4</v>
      </c>
      <c r="C4291">
        <v>3</v>
      </c>
      <c r="D4291" t="s">
        <v>5</v>
      </c>
      <c r="F4291" t="str" cm="1">
        <f t="array" ref="F4291">CategorizeComment(E4291)</f>
        <v>Other</v>
      </c>
      <c r="G4291" t="str" cm="1">
        <f t="array" ref="G4291">SubCategorizeComment(E4291)</f>
        <v>Other</v>
      </c>
    </row>
    <row r="4292" spans="1:7" x14ac:dyDescent="0.25">
      <c r="A4292">
        <v>34534</v>
      </c>
      <c r="B4292" t="s">
        <v>4</v>
      </c>
      <c r="C4292">
        <v>3</v>
      </c>
      <c r="D4292" t="s">
        <v>5</v>
      </c>
      <c r="F4292" t="str" cm="1">
        <f t="array" ref="F4292">CategorizeComment(E4292)</f>
        <v>Other</v>
      </c>
      <c r="G4292" t="str" cm="1">
        <f t="array" ref="G4292">SubCategorizeComment(E4292)</f>
        <v>Other</v>
      </c>
    </row>
    <row r="4293" spans="1:7" x14ac:dyDescent="0.25">
      <c r="A4293">
        <v>34563</v>
      </c>
      <c r="B4293" t="s">
        <v>4</v>
      </c>
      <c r="C4293">
        <v>4</v>
      </c>
      <c r="D4293" t="s">
        <v>5</v>
      </c>
      <c r="F4293" t="str" cm="1">
        <f t="array" ref="F4293">CategorizeComment(E4293)</f>
        <v>Other</v>
      </c>
      <c r="G4293" t="str" cm="1">
        <f t="array" ref="G4293">SubCategorizeComment(E4293)</f>
        <v>Other</v>
      </c>
    </row>
    <row r="4294" spans="1:7" x14ac:dyDescent="0.25">
      <c r="A4294">
        <v>34592</v>
      </c>
      <c r="B4294" t="s">
        <v>4</v>
      </c>
      <c r="C4294">
        <v>4</v>
      </c>
      <c r="D4294" t="s">
        <v>5</v>
      </c>
      <c r="F4294" t="str" cm="1">
        <f t="array" ref="F4294">CategorizeComment(E4294)</f>
        <v>Other</v>
      </c>
      <c r="G4294" t="str" cm="1">
        <f t="array" ref="G4294">SubCategorizeComment(E4294)</f>
        <v>Other</v>
      </c>
    </row>
    <row r="4295" spans="1:7" x14ac:dyDescent="0.25">
      <c r="A4295">
        <v>34597</v>
      </c>
      <c r="B4295" t="s">
        <v>4</v>
      </c>
      <c r="C4295">
        <v>4</v>
      </c>
      <c r="D4295" t="s">
        <v>5</v>
      </c>
      <c r="F4295" t="str" cm="1">
        <f t="array" ref="F4295">CategorizeComment(E4295)</f>
        <v>Other</v>
      </c>
      <c r="G4295" t="str" cm="1">
        <f t="array" ref="G4295">SubCategorizeComment(E4295)</f>
        <v>Other</v>
      </c>
    </row>
    <row r="4296" spans="1:7" x14ac:dyDescent="0.25">
      <c r="A4296">
        <v>34658</v>
      </c>
      <c r="B4296" t="s">
        <v>4</v>
      </c>
      <c r="C4296">
        <v>4</v>
      </c>
      <c r="D4296" t="s">
        <v>5</v>
      </c>
      <c r="F4296" t="str" cm="1">
        <f t="array" ref="F4296">CategorizeComment(E4296)</f>
        <v>Other</v>
      </c>
      <c r="G4296" t="str" cm="1">
        <f t="array" ref="G4296">SubCategorizeComment(E4296)</f>
        <v>Other</v>
      </c>
    </row>
    <row r="4297" spans="1:7" x14ac:dyDescent="0.25">
      <c r="A4297">
        <v>34664</v>
      </c>
      <c r="B4297" t="s">
        <v>4</v>
      </c>
      <c r="C4297">
        <v>4</v>
      </c>
      <c r="D4297" t="s">
        <v>5</v>
      </c>
      <c r="F4297" t="str" cm="1">
        <f t="array" ref="F4297">CategorizeComment(E4297)</f>
        <v>Other</v>
      </c>
      <c r="G4297" t="str" cm="1">
        <f t="array" ref="G4297">SubCategorizeComment(E4297)</f>
        <v>Other</v>
      </c>
    </row>
    <row r="4298" spans="1:7" x14ac:dyDescent="0.25">
      <c r="A4298">
        <v>34666</v>
      </c>
      <c r="B4298" t="s">
        <v>4</v>
      </c>
      <c r="C4298">
        <v>4</v>
      </c>
      <c r="D4298" t="s">
        <v>5</v>
      </c>
      <c r="F4298" t="str" cm="1">
        <f t="array" ref="F4298">CategorizeComment(E4298)</f>
        <v>Other</v>
      </c>
      <c r="G4298" t="str" cm="1">
        <f t="array" ref="G4298">SubCategorizeComment(E4298)</f>
        <v>Other</v>
      </c>
    </row>
    <row r="4299" spans="1:7" x14ac:dyDescent="0.25">
      <c r="A4299">
        <v>34686</v>
      </c>
      <c r="B4299" t="s">
        <v>4</v>
      </c>
      <c r="C4299">
        <v>3</v>
      </c>
      <c r="D4299" t="s">
        <v>5</v>
      </c>
      <c r="F4299" t="str" cm="1">
        <f t="array" ref="F4299">CategorizeComment(E4299)</f>
        <v>Other</v>
      </c>
      <c r="G4299" t="str" cm="1">
        <f t="array" ref="G4299">SubCategorizeComment(E4299)</f>
        <v>Other</v>
      </c>
    </row>
    <row r="4300" spans="1:7" x14ac:dyDescent="0.25">
      <c r="A4300">
        <v>34743</v>
      </c>
      <c r="B4300" t="s">
        <v>4</v>
      </c>
      <c r="C4300">
        <v>3</v>
      </c>
      <c r="D4300" t="s">
        <v>5</v>
      </c>
      <c r="F4300" t="str" cm="1">
        <f t="array" ref="F4300">CategorizeComment(E4300)</f>
        <v>Other</v>
      </c>
      <c r="G4300" t="str" cm="1">
        <f t="array" ref="G4300">SubCategorizeComment(E4300)</f>
        <v>Other</v>
      </c>
    </row>
    <row r="4301" spans="1:7" x14ac:dyDescent="0.25">
      <c r="A4301">
        <v>34747</v>
      </c>
      <c r="B4301" t="s">
        <v>4</v>
      </c>
      <c r="C4301">
        <v>4</v>
      </c>
      <c r="D4301" t="s">
        <v>5</v>
      </c>
      <c r="F4301" t="str" cm="1">
        <f t="array" ref="F4301">CategorizeComment(E4301)</f>
        <v>Other</v>
      </c>
      <c r="G4301" t="str" cm="1">
        <f t="array" ref="G4301">SubCategorizeComment(E4301)</f>
        <v>Other</v>
      </c>
    </row>
    <row r="4302" spans="1:7" x14ac:dyDescent="0.25">
      <c r="A4302">
        <v>34748</v>
      </c>
      <c r="B4302" t="s">
        <v>4</v>
      </c>
      <c r="C4302">
        <v>3</v>
      </c>
      <c r="D4302" t="s">
        <v>5</v>
      </c>
      <c r="F4302" t="str" cm="1">
        <f t="array" ref="F4302">CategorizeComment(E4302)</f>
        <v>Other</v>
      </c>
      <c r="G4302" t="str" cm="1">
        <f t="array" ref="G4302">SubCategorizeComment(E4302)</f>
        <v>Other</v>
      </c>
    </row>
    <row r="4303" spans="1:7" x14ac:dyDescent="0.25">
      <c r="A4303">
        <v>34753</v>
      </c>
      <c r="B4303" t="s">
        <v>4</v>
      </c>
      <c r="C4303">
        <v>3</v>
      </c>
      <c r="D4303" t="s">
        <v>5</v>
      </c>
      <c r="F4303" t="str" cm="1">
        <f t="array" ref="F4303">CategorizeComment(E4303)</f>
        <v>Other</v>
      </c>
      <c r="G4303" t="str" cm="1">
        <f t="array" ref="G4303">SubCategorizeComment(E4303)</f>
        <v>Other</v>
      </c>
    </row>
    <row r="4304" spans="1:7" x14ac:dyDescent="0.25">
      <c r="A4304">
        <v>34754</v>
      </c>
      <c r="B4304" t="s">
        <v>4</v>
      </c>
      <c r="C4304">
        <v>3</v>
      </c>
      <c r="D4304" t="s">
        <v>5</v>
      </c>
      <c r="F4304" t="str" cm="1">
        <f t="array" ref="F4304">CategorizeComment(E4304)</f>
        <v>Other</v>
      </c>
      <c r="G4304" t="str" cm="1">
        <f t="array" ref="G4304">SubCategorizeComment(E4304)</f>
        <v>Other</v>
      </c>
    </row>
    <row r="4305" spans="1:7" x14ac:dyDescent="0.25">
      <c r="A4305">
        <v>34759</v>
      </c>
      <c r="B4305" t="s">
        <v>4</v>
      </c>
      <c r="C4305">
        <v>4</v>
      </c>
      <c r="D4305" t="s">
        <v>5</v>
      </c>
      <c r="F4305" t="str" cm="1">
        <f t="array" ref="F4305">CategorizeComment(E4305)</f>
        <v>Other</v>
      </c>
      <c r="G4305" t="str" cm="1">
        <f t="array" ref="G4305">SubCategorizeComment(E4305)</f>
        <v>Other</v>
      </c>
    </row>
    <row r="4306" spans="1:7" x14ac:dyDescent="0.25">
      <c r="A4306">
        <v>34763</v>
      </c>
      <c r="B4306" t="s">
        <v>4</v>
      </c>
      <c r="C4306">
        <v>3</v>
      </c>
      <c r="D4306" t="s">
        <v>5</v>
      </c>
      <c r="F4306" t="str" cm="1">
        <f t="array" ref="F4306">CategorizeComment(E4306)</f>
        <v>Other</v>
      </c>
      <c r="G4306" t="str" cm="1">
        <f t="array" ref="G4306">SubCategorizeComment(E4306)</f>
        <v>Other</v>
      </c>
    </row>
    <row r="4307" spans="1:7" x14ac:dyDescent="0.25">
      <c r="A4307">
        <v>34773</v>
      </c>
      <c r="B4307" t="s">
        <v>4</v>
      </c>
      <c r="C4307">
        <v>3</v>
      </c>
      <c r="D4307" t="s">
        <v>5</v>
      </c>
      <c r="F4307" t="str" cm="1">
        <f t="array" ref="F4307">CategorizeComment(E4307)</f>
        <v>Other</v>
      </c>
      <c r="G4307" t="str" cm="1">
        <f t="array" ref="G4307">SubCategorizeComment(E4307)</f>
        <v>Other</v>
      </c>
    </row>
    <row r="4308" spans="1:7" x14ac:dyDescent="0.25">
      <c r="A4308">
        <v>34780</v>
      </c>
      <c r="B4308" t="s">
        <v>4</v>
      </c>
      <c r="C4308">
        <v>4</v>
      </c>
      <c r="D4308" t="s">
        <v>5</v>
      </c>
      <c r="F4308" t="str" cm="1">
        <f t="array" ref="F4308">CategorizeComment(E4308)</f>
        <v>Other</v>
      </c>
      <c r="G4308" t="str" cm="1">
        <f t="array" ref="G4308">SubCategorizeComment(E4308)</f>
        <v>Other</v>
      </c>
    </row>
    <row r="4309" spans="1:7" x14ac:dyDescent="0.25">
      <c r="A4309">
        <v>34782</v>
      </c>
      <c r="B4309" t="s">
        <v>4</v>
      </c>
      <c r="C4309">
        <v>4</v>
      </c>
      <c r="D4309" t="s">
        <v>5</v>
      </c>
      <c r="F4309" t="str" cm="1">
        <f t="array" ref="F4309">CategorizeComment(E4309)</f>
        <v>Other</v>
      </c>
      <c r="G4309" t="str" cm="1">
        <f t="array" ref="G4309">SubCategorizeComment(E4309)</f>
        <v>Other</v>
      </c>
    </row>
    <row r="4310" spans="1:7" x14ac:dyDescent="0.25">
      <c r="A4310">
        <v>34784</v>
      </c>
      <c r="B4310" t="s">
        <v>4</v>
      </c>
      <c r="C4310">
        <v>4</v>
      </c>
      <c r="D4310" t="s">
        <v>5</v>
      </c>
      <c r="F4310" t="str" cm="1">
        <f t="array" ref="F4310">CategorizeComment(E4310)</f>
        <v>Other</v>
      </c>
      <c r="G4310" t="str" cm="1">
        <f t="array" ref="G4310">SubCategorizeComment(E4310)</f>
        <v>Other</v>
      </c>
    </row>
    <row r="4311" spans="1:7" x14ac:dyDescent="0.25">
      <c r="A4311">
        <v>34789</v>
      </c>
      <c r="B4311" t="s">
        <v>4</v>
      </c>
      <c r="C4311">
        <v>4</v>
      </c>
      <c r="D4311" t="s">
        <v>5</v>
      </c>
      <c r="F4311" t="str" cm="1">
        <f t="array" ref="F4311">CategorizeComment(E4311)</f>
        <v>Other</v>
      </c>
      <c r="G4311" t="str" cm="1">
        <f t="array" ref="G4311">SubCategorizeComment(E4311)</f>
        <v>Other</v>
      </c>
    </row>
    <row r="4312" spans="1:7" x14ac:dyDescent="0.25">
      <c r="A4312">
        <v>34799</v>
      </c>
      <c r="B4312" t="s">
        <v>4</v>
      </c>
      <c r="C4312">
        <v>4</v>
      </c>
      <c r="D4312" t="s">
        <v>5</v>
      </c>
      <c r="F4312" t="str" cm="1">
        <f t="array" ref="F4312">CategorizeComment(E4312)</f>
        <v>Other</v>
      </c>
      <c r="G4312" t="str" cm="1">
        <f t="array" ref="G4312">SubCategorizeComment(E4312)</f>
        <v>Other</v>
      </c>
    </row>
    <row r="4313" spans="1:7" x14ac:dyDescent="0.25">
      <c r="A4313">
        <v>34801</v>
      </c>
      <c r="B4313" t="s">
        <v>4</v>
      </c>
      <c r="C4313">
        <v>3</v>
      </c>
      <c r="D4313" t="s">
        <v>5</v>
      </c>
      <c r="F4313" t="str" cm="1">
        <f t="array" ref="F4313">CategorizeComment(E4313)</f>
        <v>Other</v>
      </c>
      <c r="G4313" t="str" cm="1">
        <f t="array" ref="G4313">SubCategorizeComment(E4313)</f>
        <v>Other</v>
      </c>
    </row>
    <row r="4314" spans="1:7" x14ac:dyDescent="0.25">
      <c r="A4314">
        <v>34803</v>
      </c>
      <c r="B4314" t="s">
        <v>4</v>
      </c>
      <c r="C4314">
        <v>4</v>
      </c>
      <c r="D4314" t="s">
        <v>5</v>
      </c>
      <c r="F4314" t="str" cm="1">
        <f t="array" ref="F4314">CategorizeComment(E4314)</f>
        <v>Other</v>
      </c>
      <c r="G4314" t="str" cm="1">
        <f t="array" ref="G4314">SubCategorizeComment(E4314)</f>
        <v>Other</v>
      </c>
    </row>
    <row r="4315" spans="1:7" x14ac:dyDescent="0.25">
      <c r="A4315">
        <v>34811</v>
      </c>
      <c r="B4315" t="s">
        <v>4</v>
      </c>
      <c r="C4315">
        <v>3</v>
      </c>
      <c r="D4315" t="s">
        <v>5</v>
      </c>
      <c r="F4315" t="str" cm="1">
        <f t="array" ref="F4315">CategorizeComment(E4315)</f>
        <v>Other</v>
      </c>
      <c r="G4315" t="str" cm="1">
        <f t="array" ref="G4315">SubCategorizeComment(E4315)</f>
        <v>Other</v>
      </c>
    </row>
    <row r="4316" spans="1:7" x14ac:dyDescent="0.25">
      <c r="A4316">
        <v>34820</v>
      </c>
      <c r="B4316" t="s">
        <v>4</v>
      </c>
      <c r="C4316">
        <v>3</v>
      </c>
      <c r="D4316" t="s">
        <v>5</v>
      </c>
      <c r="F4316" t="str" cm="1">
        <f t="array" ref="F4316">CategorizeComment(E4316)</f>
        <v>Other</v>
      </c>
      <c r="G4316" t="str" cm="1">
        <f t="array" ref="G4316">SubCategorizeComment(E4316)</f>
        <v>Other</v>
      </c>
    </row>
    <row r="4317" spans="1:7" x14ac:dyDescent="0.25">
      <c r="A4317">
        <v>34821</v>
      </c>
      <c r="B4317" t="s">
        <v>4</v>
      </c>
      <c r="C4317">
        <v>4</v>
      </c>
      <c r="D4317" t="s">
        <v>5</v>
      </c>
      <c r="F4317" t="str" cm="1">
        <f t="array" ref="F4317">CategorizeComment(E4317)</f>
        <v>Other</v>
      </c>
      <c r="G4317" t="str" cm="1">
        <f t="array" ref="G4317">SubCategorizeComment(E4317)</f>
        <v>Other</v>
      </c>
    </row>
    <row r="4318" spans="1:7" x14ac:dyDescent="0.25">
      <c r="A4318">
        <v>34834</v>
      </c>
      <c r="B4318" t="s">
        <v>4</v>
      </c>
      <c r="C4318">
        <v>3</v>
      </c>
      <c r="D4318" t="s">
        <v>5</v>
      </c>
      <c r="F4318" t="str" cm="1">
        <f t="array" ref="F4318">CategorizeComment(E4318)</f>
        <v>Other</v>
      </c>
      <c r="G4318" t="str" cm="1">
        <f t="array" ref="G4318">SubCategorizeComment(E4318)</f>
        <v>Other</v>
      </c>
    </row>
    <row r="4319" spans="1:7" x14ac:dyDescent="0.25">
      <c r="A4319">
        <v>34837</v>
      </c>
      <c r="B4319" t="s">
        <v>4</v>
      </c>
      <c r="C4319">
        <v>3</v>
      </c>
      <c r="D4319" t="s">
        <v>5</v>
      </c>
      <c r="F4319" t="str" cm="1">
        <f t="array" ref="F4319">CategorizeComment(E4319)</f>
        <v>Other</v>
      </c>
      <c r="G4319" t="str" cm="1">
        <f t="array" ref="G4319">SubCategorizeComment(E4319)</f>
        <v>Other</v>
      </c>
    </row>
    <row r="4320" spans="1:7" x14ac:dyDescent="0.25">
      <c r="A4320">
        <v>34849</v>
      </c>
      <c r="B4320" t="s">
        <v>4</v>
      </c>
      <c r="C4320">
        <v>4</v>
      </c>
      <c r="D4320" t="s">
        <v>5</v>
      </c>
      <c r="F4320" t="str" cm="1">
        <f t="array" ref="F4320">CategorizeComment(E4320)</f>
        <v>Other</v>
      </c>
      <c r="G4320" t="str" cm="1">
        <f t="array" ref="G4320">SubCategorizeComment(E4320)</f>
        <v>Other</v>
      </c>
    </row>
    <row r="4321" spans="1:7" x14ac:dyDescent="0.25">
      <c r="A4321">
        <v>34869</v>
      </c>
      <c r="B4321" t="s">
        <v>4</v>
      </c>
      <c r="C4321">
        <v>4</v>
      </c>
      <c r="D4321" t="s">
        <v>5</v>
      </c>
      <c r="F4321" t="str" cm="1">
        <f t="array" ref="F4321">CategorizeComment(E4321)</f>
        <v>Other</v>
      </c>
      <c r="G4321" t="str" cm="1">
        <f t="array" ref="G4321">SubCategorizeComment(E4321)</f>
        <v>Other</v>
      </c>
    </row>
    <row r="4322" spans="1:7" x14ac:dyDescent="0.25">
      <c r="A4322">
        <v>34870</v>
      </c>
      <c r="B4322" t="s">
        <v>4</v>
      </c>
      <c r="C4322">
        <v>3</v>
      </c>
      <c r="D4322" t="s">
        <v>5</v>
      </c>
      <c r="F4322" t="str" cm="1">
        <f t="array" ref="F4322">CategorizeComment(E4322)</f>
        <v>Other</v>
      </c>
      <c r="G4322" t="str" cm="1">
        <f t="array" ref="G4322">SubCategorizeComment(E4322)</f>
        <v>Other</v>
      </c>
    </row>
    <row r="4323" spans="1:7" x14ac:dyDescent="0.25">
      <c r="A4323">
        <v>34892</v>
      </c>
      <c r="B4323" t="s">
        <v>4</v>
      </c>
      <c r="C4323">
        <v>3</v>
      </c>
      <c r="D4323" t="s">
        <v>5</v>
      </c>
      <c r="F4323" t="str" cm="1">
        <f t="array" ref="F4323">CategorizeComment(E4323)</f>
        <v>Other</v>
      </c>
      <c r="G4323" t="str" cm="1">
        <f t="array" ref="G4323">SubCategorizeComment(E4323)</f>
        <v>Other</v>
      </c>
    </row>
    <row r="4324" spans="1:7" x14ac:dyDescent="0.25">
      <c r="A4324">
        <v>34915</v>
      </c>
      <c r="B4324" t="s">
        <v>4</v>
      </c>
      <c r="C4324">
        <v>3</v>
      </c>
      <c r="D4324" t="s">
        <v>5</v>
      </c>
      <c r="F4324" t="str" cm="1">
        <f t="array" ref="F4324">CategorizeComment(E4324)</f>
        <v>Other</v>
      </c>
      <c r="G4324" t="str" cm="1">
        <f t="array" ref="G4324">SubCategorizeComment(E4324)</f>
        <v>Other</v>
      </c>
    </row>
    <row r="4325" spans="1:7" x14ac:dyDescent="0.25">
      <c r="A4325">
        <v>34924</v>
      </c>
      <c r="B4325" t="s">
        <v>4</v>
      </c>
      <c r="C4325">
        <v>4</v>
      </c>
      <c r="D4325" t="s">
        <v>5</v>
      </c>
      <c r="F4325" t="str" cm="1">
        <f t="array" ref="F4325">CategorizeComment(E4325)</f>
        <v>Other</v>
      </c>
      <c r="G4325" t="str" cm="1">
        <f t="array" ref="G4325">SubCategorizeComment(E4325)</f>
        <v>Other</v>
      </c>
    </row>
    <row r="4326" spans="1:7" x14ac:dyDescent="0.25">
      <c r="A4326">
        <v>34925</v>
      </c>
      <c r="B4326" t="s">
        <v>4</v>
      </c>
      <c r="C4326">
        <v>3</v>
      </c>
      <c r="D4326" t="s">
        <v>5</v>
      </c>
      <c r="F4326" t="str" cm="1">
        <f t="array" ref="F4326">CategorizeComment(E4326)</f>
        <v>Other</v>
      </c>
      <c r="G4326" t="str" cm="1">
        <f t="array" ref="G4326">SubCategorizeComment(E4326)</f>
        <v>Other</v>
      </c>
    </row>
    <row r="4327" spans="1:7" x14ac:dyDescent="0.25">
      <c r="A4327">
        <v>34965</v>
      </c>
      <c r="B4327" t="s">
        <v>4</v>
      </c>
      <c r="C4327">
        <v>4</v>
      </c>
      <c r="D4327" t="s">
        <v>5</v>
      </c>
      <c r="F4327" t="str" cm="1">
        <f t="array" ref="F4327">CategorizeComment(E4327)</f>
        <v>Other</v>
      </c>
      <c r="G4327" t="str" cm="1">
        <f t="array" ref="G4327">SubCategorizeComment(E4327)</f>
        <v>Other</v>
      </c>
    </row>
    <row r="4328" spans="1:7" x14ac:dyDescent="0.25">
      <c r="A4328">
        <v>34966</v>
      </c>
      <c r="B4328" t="s">
        <v>4</v>
      </c>
      <c r="C4328">
        <v>4</v>
      </c>
      <c r="D4328" t="s">
        <v>5</v>
      </c>
      <c r="F4328" t="str" cm="1">
        <f t="array" ref="F4328">CategorizeComment(E4328)</f>
        <v>Other</v>
      </c>
      <c r="G4328" t="str" cm="1">
        <f t="array" ref="G4328">SubCategorizeComment(E4328)</f>
        <v>Other</v>
      </c>
    </row>
    <row r="4329" spans="1:7" x14ac:dyDescent="0.25">
      <c r="A4329">
        <v>34973</v>
      </c>
      <c r="B4329" t="s">
        <v>4</v>
      </c>
      <c r="C4329">
        <v>4</v>
      </c>
      <c r="D4329" t="s">
        <v>5</v>
      </c>
      <c r="F4329" t="str" cm="1">
        <f t="array" ref="F4329">CategorizeComment(E4329)</f>
        <v>Other</v>
      </c>
      <c r="G4329" t="str" cm="1">
        <f t="array" ref="G4329">SubCategorizeComment(E4329)</f>
        <v>Other</v>
      </c>
    </row>
    <row r="4330" spans="1:7" x14ac:dyDescent="0.25">
      <c r="A4330">
        <v>34979</v>
      </c>
      <c r="B4330" t="s">
        <v>4</v>
      </c>
      <c r="C4330">
        <v>3</v>
      </c>
      <c r="D4330" t="s">
        <v>5</v>
      </c>
      <c r="F4330" t="str" cm="1">
        <f t="array" ref="F4330">CategorizeComment(E4330)</f>
        <v>Other</v>
      </c>
      <c r="G4330" t="str" cm="1">
        <f t="array" ref="G4330">SubCategorizeComment(E4330)</f>
        <v>Other</v>
      </c>
    </row>
    <row r="4331" spans="1:7" x14ac:dyDescent="0.25">
      <c r="A4331">
        <v>34982</v>
      </c>
      <c r="B4331" t="s">
        <v>4</v>
      </c>
      <c r="C4331">
        <v>4</v>
      </c>
      <c r="D4331" t="s">
        <v>5</v>
      </c>
      <c r="F4331" t="str" cm="1">
        <f t="array" ref="F4331">CategorizeComment(E4331)</f>
        <v>Other</v>
      </c>
      <c r="G4331" t="str" cm="1">
        <f t="array" ref="G4331">SubCategorizeComment(E4331)</f>
        <v>Other</v>
      </c>
    </row>
    <row r="4332" spans="1:7" x14ac:dyDescent="0.25">
      <c r="A4332">
        <v>34998</v>
      </c>
      <c r="B4332" t="s">
        <v>4</v>
      </c>
      <c r="C4332">
        <v>3</v>
      </c>
      <c r="D4332" t="s">
        <v>5</v>
      </c>
      <c r="F4332" t="str" cm="1">
        <f t="array" ref="F4332">CategorizeComment(E4332)</f>
        <v>Other</v>
      </c>
      <c r="G4332" t="str" cm="1">
        <f t="array" ref="G4332">SubCategorizeComment(E4332)</f>
        <v>Other</v>
      </c>
    </row>
    <row r="4333" spans="1:7" x14ac:dyDescent="0.25">
      <c r="A4333">
        <v>34999</v>
      </c>
      <c r="B4333" t="s">
        <v>4</v>
      </c>
      <c r="C4333">
        <v>4</v>
      </c>
      <c r="D4333" t="s">
        <v>5</v>
      </c>
      <c r="F4333" t="str" cm="1">
        <f t="array" ref="F4333">CategorizeComment(E4333)</f>
        <v>Other</v>
      </c>
      <c r="G4333" t="str" cm="1">
        <f t="array" ref="G4333">SubCategorizeComment(E4333)</f>
        <v>Other</v>
      </c>
    </row>
    <row r="4334" spans="1:7" x14ac:dyDescent="0.25">
      <c r="A4334">
        <v>35001</v>
      </c>
      <c r="B4334" t="s">
        <v>4</v>
      </c>
      <c r="C4334">
        <v>4</v>
      </c>
      <c r="D4334" t="s">
        <v>5</v>
      </c>
      <c r="F4334" t="str" cm="1">
        <f t="array" ref="F4334">CategorizeComment(E4334)</f>
        <v>Other</v>
      </c>
      <c r="G4334" t="str" cm="1">
        <f t="array" ref="G4334">SubCategorizeComment(E4334)</f>
        <v>Other</v>
      </c>
    </row>
    <row r="4335" spans="1:7" x14ac:dyDescent="0.25">
      <c r="A4335">
        <v>35007</v>
      </c>
      <c r="B4335" t="s">
        <v>4</v>
      </c>
      <c r="C4335">
        <v>4</v>
      </c>
      <c r="D4335" t="s">
        <v>5</v>
      </c>
      <c r="F4335" t="str" cm="1">
        <f t="array" ref="F4335">CategorizeComment(E4335)</f>
        <v>Other</v>
      </c>
      <c r="G4335" t="str" cm="1">
        <f t="array" ref="G4335">SubCategorizeComment(E4335)</f>
        <v>Other</v>
      </c>
    </row>
    <row r="4336" spans="1:7" x14ac:dyDescent="0.25">
      <c r="A4336">
        <v>35014</v>
      </c>
      <c r="B4336" t="s">
        <v>4</v>
      </c>
      <c r="C4336">
        <v>3</v>
      </c>
      <c r="D4336" t="s">
        <v>5</v>
      </c>
      <c r="F4336" t="str" cm="1">
        <f t="array" ref="F4336">CategorizeComment(E4336)</f>
        <v>Other</v>
      </c>
      <c r="G4336" t="str" cm="1">
        <f t="array" ref="G4336">SubCategorizeComment(E4336)</f>
        <v>Other</v>
      </c>
    </row>
    <row r="4337" spans="1:7" x14ac:dyDescent="0.25">
      <c r="A4337">
        <v>35028</v>
      </c>
      <c r="B4337" t="s">
        <v>4</v>
      </c>
      <c r="C4337">
        <v>3</v>
      </c>
      <c r="D4337" t="s">
        <v>5</v>
      </c>
      <c r="F4337" t="str" cm="1">
        <f t="array" ref="F4337">CategorizeComment(E4337)</f>
        <v>Other</v>
      </c>
      <c r="G4337" t="str" cm="1">
        <f t="array" ref="G4337">SubCategorizeComment(E4337)</f>
        <v>Other</v>
      </c>
    </row>
    <row r="4338" spans="1:7" x14ac:dyDescent="0.25">
      <c r="A4338">
        <v>35044</v>
      </c>
      <c r="B4338" t="s">
        <v>4</v>
      </c>
      <c r="C4338">
        <v>3</v>
      </c>
      <c r="D4338" t="s">
        <v>5</v>
      </c>
      <c r="F4338" t="str" cm="1">
        <f t="array" ref="F4338">CategorizeComment(E4338)</f>
        <v>Other</v>
      </c>
      <c r="G4338" t="str" cm="1">
        <f t="array" ref="G4338">SubCategorizeComment(E4338)</f>
        <v>Other</v>
      </c>
    </row>
    <row r="4339" spans="1:7" x14ac:dyDescent="0.25">
      <c r="A4339">
        <v>35071</v>
      </c>
      <c r="B4339" t="s">
        <v>4</v>
      </c>
      <c r="C4339">
        <v>4</v>
      </c>
      <c r="D4339" t="s">
        <v>5</v>
      </c>
      <c r="F4339" t="str" cm="1">
        <f t="array" ref="F4339">CategorizeComment(E4339)</f>
        <v>Other</v>
      </c>
      <c r="G4339" t="str" cm="1">
        <f t="array" ref="G4339">SubCategorizeComment(E4339)</f>
        <v>Other</v>
      </c>
    </row>
    <row r="4340" spans="1:7" x14ac:dyDescent="0.25">
      <c r="A4340">
        <v>35074</v>
      </c>
      <c r="B4340" t="s">
        <v>4</v>
      </c>
      <c r="C4340">
        <v>3</v>
      </c>
      <c r="D4340" t="s">
        <v>5</v>
      </c>
      <c r="F4340" t="str" cm="1">
        <f t="array" ref="F4340">CategorizeComment(E4340)</f>
        <v>Other</v>
      </c>
      <c r="G4340" t="str" cm="1">
        <f t="array" ref="G4340">SubCategorizeComment(E4340)</f>
        <v>Other</v>
      </c>
    </row>
    <row r="4341" spans="1:7" x14ac:dyDescent="0.25">
      <c r="A4341">
        <v>35075</v>
      </c>
      <c r="B4341" t="s">
        <v>4</v>
      </c>
      <c r="C4341">
        <v>3</v>
      </c>
      <c r="D4341" t="s">
        <v>5</v>
      </c>
      <c r="F4341" t="str" cm="1">
        <f t="array" ref="F4341">CategorizeComment(E4341)</f>
        <v>Other</v>
      </c>
      <c r="G4341" t="str" cm="1">
        <f t="array" ref="G4341">SubCategorizeComment(E4341)</f>
        <v>Other</v>
      </c>
    </row>
    <row r="4342" spans="1:7" x14ac:dyDescent="0.25">
      <c r="A4342">
        <v>35088</v>
      </c>
      <c r="B4342" t="s">
        <v>4</v>
      </c>
      <c r="C4342">
        <v>3</v>
      </c>
      <c r="D4342" t="s">
        <v>5</v>
      </c>
      <c r="F4342" t="str" cm="1">
        <f t="array" ref="F4342">CategorizeComment(E4342)</f>
        <v>Other</v>
      </c>
      <c r="G4342" t="str" cm="1">
        <f t="array" ref="G4342">SubCategorizeComment(E4342)</f>
        <v>Other</v>
      </c>
    </row>
    <row r="4343" spans="1:7" x14ac:dyDescent="0.25">
      <c r="A4343">
        <v>35091</v>
      </c>
      <c r="B4343" t="s">
        <v>4</v>
      </c>
      <c r="C4343">
        <v>4</v>
      </c>
      <c r="D4343" t="s">
        <v>5</v>
      </c>
      <c r="F4343" t="str" cm="1">
        <f t="array" ref="F4343">CategorizeComment(E4343)</f>
        <v>Other</v>
      </c>
      <c r="G4343" t="str" cm="1">
        <f t="array" ref="G4343">SubCategorizeComment(E4343)</f>
        <v>Other</v>
      </c>
    </row>
    <row r="4344" spans="1:7" x14ac:dyDescent="0.25">
      <c r="A4344">
        <v>35137</v>
      </c>
      <c r="B4344" t="s">
        <v>4</v>
      </c>
      <c r="C4344">
        <v>4</v>
      </c>
      <c r="D4344" t="s">
        <v>5</v>
      </c>
      <c r="F4344" t="str" cm="1">
        <f t="array" ref="F4344">CategorizeComment(E4344)</f>
        <v>Other</v>
      </c>
      <c r="G4344" t="str" cm="1">
        <f t="array" ref="G4344">SubCategorizeComment(E4344)</f>
        <v>Other</v>
      </c>
    </row>
    <row r="4345" spans="1:7" x14ac:dyDescent="0.25">
      <c r="A4345">
        <v>35142</v>
      </c>
      <c r="B4345" t="s">
        <v>4</v>
      </c>
      <c r="C4345">
        <v>3</v>
      </c>
      <c r="D4345" t="s">
        <v>5</v>
      </c>
      <c r="F4345" t="str" cm="1">
        <f t="array" ref="F4345">CategorizeComment(E4345)</f>
        <v>Other</v>
      </c>
      <c r="G4345" t="str" cm="1">
        <f t="array" ref="G4345">SubCategorizeComment(E4345)</f>
        <v>Other</v>
      </c>
    </row>
    <row r="4346" spans="1:7" x14ac:dyDescent="0.25">
      <c r="A4346">
        <v>35182</v>
      </c>
      <c r="B4346" t="s">
        <v>4</v>
      </c>
      <c r="C4346">
        <v>4</v>
      </c>
      <c r="D4346" t="s">
        <v>5</v>
      </c>
      <c r="F4346" t="str" cm="1">
        <f t="array" ref="F4346">CategorizeComment(E4346)</f>
        <v>Other</v>
      </c>
      <c r="G4346" t="str" cm="1">
        <f t="array" ref="G4346">SubCategorizeComment(E4346)</f>
        <v>Other</v>
      </c>
    </row>
    <row r="4347" spans="1:7" x14ac:dyDescent="0.25">
      <c r="A4347">
        <v>35212</v>
      </c>
      <c r="B4347" t="s">
        <v>4</v>
      </c>
      <c r="C4347">
        <v>4</v>
      </c>
      <c r="D4347" t="s">
        <v>5</v>
      </c>
      <c r="F4347" t="str" cm="1">
        <f t="array" ref="F4347">CategorizeComment(E4347)</f>
        <v>Other</v>
      </c>
      <c r="G4347" t="str" cm="1">
        <f t="array" ref="G4347">SubCategorizeComment(E4347)</f>
        <v>Other</v>
      </c>
    </row>
    <row r="4348" spans="1:7" x14ac:dyDescent="0.25">
      <c r="A4348">
        <v>35260</v>
      </c>
      <c r="B4348" t="s">
        <v>4</v>
      </c>
      <c r="C4348">
        <v>3</v>
      </c>
      <c r="D4348" t="s">
        <v>5</v>
      </c>
      <c r="F4348" t="str" cm="1">
        <f t="array" ref="F4348">CategorizeComment(E4348)</f>
        <v>Other</v>
      </c>
      <c r="G4348" t="str" cm="1">
        <f t="array" ref="G4348">SubCategorizeComment(E4348)</f>
        <v>Other</v>
      </c>
    </row>
    <row r="4349" spans="1:7" x14ac:dyDescent="0.25">
      <c r="A4349">
        <v>35267</v>
      </c>
      <c r="B4349" t="s">
        <v>4</v>
      </c>
      <c r="C4349">
        <v>4</v>
      </c>
      <c r="D4349" t="s">
        <v>5</v>
      </c>
      <c r="F4349" t="str" cm="1">
        <f t="array" ref="F4349">CategorizeComment(E4349)</f>
        <v>Other</v>
      </c>
      <c r="G4349" t="str" cm="1">
        <f t="array" ref="G4349">SubCategorizeComment(E4349)</f>
        <v>Other</v>
      </c>
    </row>
    <row r="4350" spans="1:7" x14ac:dyDescent="0.25">
      <c r="A4350">
        <v>35274</v>
      </c>
      <c r="B4350" t="s">
        <v>4</v>
      </c>
      <c r="C4350">
        <v>4</v>
      </c>
      <c r="D4350" t="s">
        <v>5</v>
      </c>
      <c r="F4350" t="str" cm="1">
        <f t="array" ref="F4350">CategorizeComment(E4350)</f>
        <v>Other</v>
      </c>
      <c r="G4350" t="str" cm="1">
        <f t="array" ref="G4350">SubCategorizeComment(E4350)</f>
        <v>Other</v>
      </c>
    </row>
    <row r="4351" spans="1:7" x14ac:dyDescent="0.25">
      <c r="A4351">
        <v>35301</v>
      </c>
      <c r="B4351" t="s">
        <v>4</v>
      </c>
      <c r="C4351">
        <v>3</v>
      </c>
      <c r="D4351" t="s">
        <v>5</v>
      </c>
      <c r="F4351" t="str" cm="1">
        <f t="array" ref="F4351">CategorizeComment(E4351)</f>
        <v>Other</v>
      </c>
      <c r="G4351" t="str" cm="1">
        <f t="array" ref="G4351">SubCategorizeComment(E4351)</f>
        <v>Other</v>
      </c>
    </row>
    <row r="4352" spans="1:7" x14ac:dyDescent="0.25">
      <c r="A4352">
        <v>35313</v>
      </c>
      <c r="B4352" t="s">
        <v>4</v>
      </c>
      <c r="C4352">
        <v>3</v>
      </c>
      <c r="D4352" t="s">
        <v>5</v>
      </c>
      <c r="F4352" t="str" cm="1">
        <f t="array" ref="F4352">CategorizeComment(E4352)</f>
        <v>Other</v>
      </c>
      <c r="G4352" t="str" cm="1">
        <f t="array" ref="G4352">SubCategorizeComment(E4352)</f>
        <v>Other</v>
      </c>
    </row>
    <row r="4353" spans="1:7" x14ac:dyDescent="0.25">
      <c r="A4353">
        <v>35314</v>
      </c>
      <c r="B4353" t="s">
        <v>4</v>
      </c>
      <c r="C4353">
        <v>3</v>
      </c>
      <c r="D4353" t="s">
        <v>5</v>
      </c>
      <c r="F4353" t="str" cm="1">
        <f t="array" ref="F4353">CategorizeComment(E4353)</f>
        <v>Other</v>
      </c>
      <c r="G4353" t="str" cm="1">
        <f t="array" ref="G4353">SubCategorizeComment(E4353)</f>
        <v>Other</v>
      </c>
    </row>
    <row r="4354" spans="1:7" x14ac:dyDescent="0.25">
      <c r="A4354">
        <v>35315</v>
      </c>
      <c r="B4354" t="s">
        <v>4</v>
      </c>
      <c r="C4354">
        <v>3</v>
      </c>
      <c r="D4354" t="s">
        <v>5</v>
      </c>
      <c r="F4354" t="str" cm="1">
        <f t="array" ref="F4354">CategorizeComment(E4354)</f>
        <v>Other</v>
      </c>
      <c r="G4354" t="str" cm="1">
        <f t="array" ref="G4354">SubCategorizeComment(E4354)</f>
        <v>Other</v>
      </c>
    </row>
    <row r="4355" spans="1:7" x14ac:dyDescent="0.25">
      <c r="A4355">
        <v>35324</v>
      </c>
      <c r="B4355" t="s">
        <v>4</v>
      </c>
      <c r="C4355">
        <v>4</v>
      </c>
      <c r="D4355" t="s">
        <v>5</v>
      </c>
      <c r="F4355" t="str" cm="1">
        <f t="array" ref="F4355">CategorizeComment(E4355)</f>
        <v>Other</v>
      </c>
      <c r="G4355" t="str" cm="1">
        <f t="array" ref="G4355">SubCategorizeComment(E4355)</f>
        <v>Other</v>
      </c>
    </row>
    <row r="4356" spans="1:7" x14ac:dyDescent="0.25">
      <c r="A4356">
        <v>35327</v>
      </c>
      <c r="B4356" t="s">
        <v>4</v>
      </c>
      <c r="C4356">
        <v>3</v>
      </c>
      <c r="D4356" t="s">
        <v>5</v>
      </c>
      <c r="F4356" t="str" cm="1">
        <f t="array" ref="F4356">CategorizeComment(E4356)</f>
        <v>Other</v>
      </c>
      <c r="G4356" t="str" cm="1">
        <f t="array" ref="G4356">SubCategorizeComment(E4356)</f>
        <v>Other</v>
      </c>
    </row>
    <row r="4357" spans="1:7" x14ac:dyDescent="0.25">
      <c r="A4357">
        <v>35329</v>
      </c>
      <c r="B4357" t="s">
        <v>4</v>
      </c>
      <c r="C4357">
        <v>3</v>
      </c>
      <c r="D4357" t="s">
        <v>5</v>
      </c>
      <c r="F4357" t="str" cm="1">
        <f t="array" ref="F4357">CategorizeComment(E4357)</f>
        <v>Other</v>
      </c>
      <c r="G4357" t="str" cm="1">
        <f t="array" ref="G4357">SubCategorizeComment(E4357)</f>
        <v>Other</v>
      </c>
    </row>
    <row r="4358" spans="1:7" x14ac:dyDescent="0.25">
      <c r="A4358">
        <v>35336</v>
      </c>
      <c r="B4358" t="s">
        <v>4</v>
      </c>
      <c r="C4358">
        <v>4</v>
      </c>
      <c r="D4358" t="s">
        <v>5</v>
      </c>
      <c r="F4358" t="str" cm="1">
        <f t="array" ref="F4358">CategorizeComment(E4358)</f>
        <v>Other</v>
      </c>
      <c r="G4358" t="str" cm="1">
        <f t="array" ref="G4358">SubCategorizeComment(E4358)</f>
        <v>Other</v>
      </c>
    </row>
    <row r="4359" spans="1:7" x14ac:dyDescent="0.25">
      <c r="A4359">
        <v>35344</v>
      </c>
      <c r="B4359" t="s">
        <v>4</v>
      </c>
      <c r="C4359">
        <v>3</v>
      </c>
      <c r="D4359" t="s">
        <v>5</v>
      </c>
      <c r="F4359" t="str" cm="1">
        <f t="array" ref="F4359">CategorizeComment(E4359)</f>
        <v>Other</v>
      </c>
      <c r="G4359" t="str" cm="1">
        <f t="array" ref="G4359">SubCategorizeComment(E4359)</f>
        <v>Other</v>
      </c>
    </row>
    <row r="4360" spans="1:7" x14ac:dyDescent="0.25">
      <c r="A4360">
        <v>35346</v>
      </c>
      <c r="B4360" t="s">
        <v>4</v>
      </c>
      <c r="C4360">
        <v>3</v>
      </c>
      <c r="D4360" t="s">
        <v>5</v>
      </c>
      <c r="F4360" t="str" cm="1">
        <f t="array" ref="F4360">CategorizeComment(E4360)</f>
        <v>Other</v>
      </c>
      <c r="G4360" t="str" cm="1">
        <f t="array" ref="G4360">SubCategorizeComment(E4360)</f>
        <v>Other</v>
      </c>
    </row>
    <row r="4361" spans="1:7" x14ac:dyDescent="0.25">
      <c r="A4361">
        <v>35363</v>
      </c>
      <c r="B4361" t="s">
        <v>4</v>
      </c>
      <c r="C4361">
        <v>3</v>
      </c>
      <c r="D4361" t="s">
        <v>5</v>
      </c>
      <c r="F4361" t="str" cm="1">
        <f t="array" ref="F4361">CategorizeComment(E4361)</f>
        <v>Other</v>
      </c>
      <c r="G4361" t="str" cm="1">
        <f t="array" ref="G4361">SubCategorizeComment(E4361)</f>
        <v>Other</v>
      </c>
    </row>
    <row r="4362" spans="1:7" x14ac:dyDescent="0.25">
      <c r="A4362">
        <v>35364</v>
      </c>
      <c r="B4362" t="s">
        <v>4</v>
      </c>
      <c r="C4362">
        <v>3</v>
      </c>
      <c r="D4362" t="s">
        <v>5</v>
      </c>
      <c r="F4362" t="str" cm="1">
        <f t="array" ref="F4362">CategorizeComment(E4362)</f>
        <v>Other</v>
      </c>
      <c r="G4362" t="str" cm="1">
        <f t="array" ref="G4362">SubCategorizeComment(E4362)</f>
        <v>Other</v>
      </c>
    </row>
    <row r="4363" spans="1:7" x14ac:dyDescent="0.25">
      <c r="A4363">
        <v>35367</v>
      </c>
      <c r="B4363" t="s">
        <v>4</v>
      </c>
      <c r="C4363">
        <v>4</v>
      </c>
      <c r="D4363" t="s">
        <v>5</v>
      </c>
      <c r="F4363" t="str" cm="1">
        <f t="array" ref="F4363">CategorizeComment(E4363)</f>
        <v>Other</v>
      </c>
      <c r="G4363" t="str" cm="1">
        <f t="array" ref="G4363">SubCategorizeComment(E4363)</f>
        <v>Other</v>
      </c>
    </row>
    <row r="4364" spans="1:7" x14ac:dyDescent="0.25">
      <c r="A4364">
        <v>35368</v>
      </c>
      <c r="B4364" t="s">
        <v>4</v>
      </c>
      <c r="C4364">
        <v>4</v>
      </c>
      <c r="D4364" t="s">
        <v>5</v>
      </c>
      <c r="F4364" t="str" cm="1">
        <f t="array" ref="F4364">CategorizeComment(E4364)</f>
        <v>Other</v>
      </c>
      <c r="G4364" t="str" cm="1">
        <f t="array" ref="G4364">SubCategorizeComment(E4364)</f>
        <v>Other</v>
      </c>
    </row>
    <row r="4365" spans="1:7" x14ac:dyDescent="0.25">
      <c r="A4365">
        <v>35370</v>
      </c>
      <c r="B4365" t="s">
        <v>4</v>
      </c>
      <c r="C4365">
        <v>3</v>
      </c>
      <c r="D4365" t="s">
        <v>5</v>
      </c>
      <c r="F4365" t="str" cm="1">
        <f t="array" ref="F4365">CategorizeComment(E4365)</f>
        <v>Other</v>
      </c>
      <c r="G4365" t="str" cm="1">
        <f t="array" ref="G4365">SubCategorizeComment(E4365)</f>
        <v>Other</v>
      </c>
    </row>
    <row r="4366" spans="1:7" x14ac:dyDescent="0.25">
      <c r="A4366">
        <v>35379</v>
      </c>
      <c r="B4366" t="s">
        <v>4</v>
      </c>
      <c r="C4366">
        <v>4</v>
      </c>
      <c r="D4366" t="s">
        <v>5</v>
      </c>
      <c r="F4366" t="str" cm="1">
        <f t="array" ref="F4366">CategorizeComment(E4366)</f>
        <v>Other</v>
      </c>
      <c r="G4366" t="str" cm="1">
        <f t="array" ref="G4366">SubCategorizeComment(E4366)</f>
        <v>Other</v>
      </c>
    </row>
    <row r="4367" spans="1:7" x14ac:dyDescent="0.25">
      <c r="A4367">
        <v>35395</v>
      </c>
      <c r="B4367" t="s">
        <v>4</v>
      </c>
      <c r="C4367">
        <v>3</v>
      </c>
      <c r="D4367" t="s">
        <v>5</v>
      </c>
      <c r="F4367" t="str" cm="1">
        <f t="array" ref="F4367">CategorizeComment(E4367)</f>
        <v>Other</v>
      </c>
      <c r="G4367" t="str" cm="1">
        <f t="array" ref="G4367">SubCategorizeComment(E4367)</f>
        <v>Other</v>
      </c>
    </row>
    <row r="4368" spans="1:7" x14ac:dyDescent="0.25">
      <c r="A4368">
        <v>35402</v>
      </c>
      <c r="B4368" t="s">
        <v>4</v>
      </c>
      <c r="C4368">
        <v>4</v>
      </c>
      <c r="D4368" t="s">
        <v>5</v>
      </c>
      <c r="F4368" t="str" cm="1">
        <f t="array" ref="F4368">CategorizeComment(E4368)</f>
        <v>Other</v>
      </c>
      <c r="G4368" t="str" cm="1">
        <f t="array" ref="G4368">SubCategorizeComment(E4368)</f>
        <v>Other</v>
      </c>
    </row>
    <row r="4369" spans="1:7" x14ac:dyDescent="0.25">
      <c r="A4369">
        <v>35404</v>
      </c>
      <c r="B4369" t="s">
        <v>4</v>
      </c>
      <c r="C4369">
        <v>3</v>
      </c>
      <c r="D4369" t="s">
        <v>5</v>
      </c>
      <c r="F4369" t="str" cm="1">
        <f t="array" ref="F4369">CategorizeComment(E4369)</f>
        <v>Other</v>
      </c>
      <c r="G4369" t="str" cm="1">
        <f t="array" ref="G4369">SubCategorizeComment(E4369)</f>
        <v>Other</v>
      </c>
    </row>
    <row r="4370" spans="1:7" x14ac:dyDescent="0.25">
      <c r="A4370">
        <v>35407</v>
      </c>
      <c r="B4370" t="s">
        <v>4</v>
      </c>
      <c r="C4370">
        <v>4</v>
      </c>
      <c r="D4370" t="s">
        <v>5</v>
      </c>
      <c r="F4370" t="str" cm="1">
        <f t="array" ref="F4370">CategorizeComment(E4370)</f>
        <v>Other</v>
      </c>
      <c r="G4370" t="str" cm="1">
        <f t="array" ref="G4370">SubCategorizeComment(E4370)</f>
        <v>Other</v>
      </c>
    </row>
    <row r="4371" spans="1:7" x14ac:dyDescent="0.25">
      <c r="A4371">
        <v>35408</v>
      </c>
      <c r="B4371" t="s">
        <v>4</v>
      </c>
      <c r="C4371">
        <v>4</v>
      </c>
      <c r="D4371" t="s">
        <v>5</v>
      </c>
      <c r="F4371" t="str" cm="1">
        <f t="array" ref="F4371">CategorizeComment(E4371)</f>
        <v>Other</v>
      </c>
      <c r="G4371" t="str" cm="1">
        <f t="array" ref="G4371">SubCategorizeComment(E4371)</f>
        <v>Other</v>
      </c>
    </row>
    <row r="4372" spans="1:7" x14ac:dyDescent="0.25">
      <c r="A4372">
        <v>35410</v>
      </c>
      <c r="B4372" t="s">
        <v>4</v>
      </c>
      <c r="C4372">
        <v>3</v>
      </c>
      <c r="D4372" t="s">
        <v>5</v>
      </c>
      <c r="F4372" t="str" cm="1">
        <f t="array" ref="F4372">CategorizeComment(E4372)</f>
        <v>Other</v>
      </c>
      <c r="G4372" t="str" cm="1">
        <f t="array" ref="G4372">SubCategorizeComment(E4372)</f>
        <v>Other</v>
      </c>
    </row>
    <row r="4373" spans="1:7" x14ac:dyDescent="0.25">
      <c r="A4373">
        <v>35416</v>
      </c>
      <c r="B4373" t="s">
        <v>4</v>
      </c>
      <c r="C4373">
        <v>3</v>
      </c>
      <c r="D4373" t="s">
        <v>5</v>
      </c>
      <c r="F4373" t="str" cm="1">
        <f t="array" ref="F4373">CategorizeComment(E4373)</f>
        <v>Other</v>
      </c>
      <c r="G4373" t="str" cm="1">
        <f t="array" ref="G4373">SubCategorizeComment(E4373)</f>
        <v>Other</v>
      </c>
    </row>
    <row r="4374" spans="1:7" x14ac:dyDescent="0.25">
      <c r="A4374">
        <v>35445</v>
      </c>
      <c r="B4374" t="s">
        <v>4</v>
      </c>
      <c r="C4374">
        <v>3</v>
      </c>
      <c r="D4374" t="s">
        <v>5</v>
      </c>
      <c r="F4374" t="str" cm="1">
        <f t="array" ref="F4374">CategorizeComment(E4374)</f>
        <v>Other</v>
      </c>
      <c r="G4374" t="str" cm="1">
        <f t="array" ref="G4374">SubCategorizeComment(E4374)</f>
        <v>Other</v>
      </c>
    </row>
    <row r="4375" spans="1:7" x14ac:dyDescent="0.25">
      <c r="A4375">
        <v>35453</v>
      </c>
      <c r="B4375" t="s">
        <v>4</v>
      </c>
      <c r="C4375">
        <v>3</v>
      </c>
      <c r="D4375" t="s">
        <v>5</v>
      </c>
      <c r="F4375" t="str" cm="1">
        <f t="array" ref="F4375">CategorizeComment(E4375)</f>
        <v>Other</v>
      </c>
      <c r="G4375" t="str" cm="1">
        <f t="array" ref="G4375">SubCategorizeComment(E4375)</f>
        <v>Other</v>
      </c>
    </row>
    <row r="4376" spans="1:7" x14ac:dyDescent="0.25">
      <c r="A4376">
        <v>35478</v>
      </c>
      <c r="B4376" t="s">
        <v>4</v>
      </c>
      <c r="C4376">
        <v>3</v>
      </c>
      <c r="D4376" t="s">
        <v>5</v>
      </c>
      <c r="F4376" t="str" cm="1">
        <f t="array" ref="F4376">CategorizeComment(E4376)</f>
        <v>Other</v>
      </c>
      <c r="G4376" t="str" cm="1">
        <f t="array" ref="G4376">SubCategorizeComment(E4376)</f>
        <v>Other</v>
      </c>
    </row>
    <row r="4377" spans="1:7" x14ac:dyDescent="0.25">
      <c r="A4377">
        <v>35481</v>
      </c>
      <c r="B4377" t="s">
        <v>4</v>
      </c>
      <c r="C4377">
        <v>3</v>
      </c>
      <c r="D4377" t="s">
        <v>5</v>
      </c>
      <c r="F4377" t="str" cm="1">
        <f t="array" ref="F4377">CategorizeComment(E4377)</f>
        <v>Other</v>
      </c>
      <c r="G4377" t="str" cm="1">
        <f t="array" ref="G4377">SubCategorizeComment(E4377)</f>
        <v>Other</v>
      </c>
    </row>
    <row r="4378" spans="1:7" x14ac:dyDescent="0.25">
      <c r="A4378">
        <v>35482</v>
      </c>
      <c r="B4378" t="s">
        <v>4</v>
      </c>
      <c r="C4378">
        <v>4</v>
      </c>
      <c r="D4378" t="s">
        <v>5</v>
      </c>
      <c r="F4378" t="str" cm="1">
        <f t="array" ref="F4378">CategorizeComment(E4378)</f>
        <v>Other</v>
      </c>
      <c r="G4378" t="str" cm="1">
        <f t="array" ref="G4378">SubCategorizeComment(E4378)</f>
        <v>Other</v>
      </c>
    </row>
    <row r="4379" spans="1:7" x14ac:dyDescent="0.25">
      <c r="A4379">
        <v>35507</v>
      </c>
      <c r="B4379" t="s">
        <v>4</v>
      </c>
      <c r="C4379">
        <v>3</v>
      </c>
      <c r="D4379" t="s">
        <v>5</v>
      </c>
      <c r="F4379" t="str" cm="1">
        <f t="array" ref="F4379">CategorizeComment(E4379)</f>
        <v>Other</v>
      </c>
      <c r="G4379" t="str" cm="1">
        <f t="array" ref="G4379">SubCategorizeComment(E4379)</f>
        <v>Other</v>
      </c>
    </row>
    <row r="4380" spans="1:7" x14ac:dyDescent="0.25">
      <c r="A4380">
        <v>35508</v>
      </c>
      <c r="B4380" t="s">
        <v>4</v>
      </c>
      <c r="C4380">
        <v>4</v>
      </c>
      <c r="D4380" t="s">
        <v>5</v>
      </c>
      <c r="F4380" t="str" cm="1">
        <f t="array" ref="F4380">CategorizeComment(E4380)</f>
        <v>Other</v>
      </c>
      <c r="G4380" t="str" cm="1">
        <f t="array" ref="G4380">SubCategorizeComment(E4380)</f>
        <v>Other</v>
      </c>
    </row>
    <row r="4381" spans="1:7" x14ac:dyDescent="0.25">
      <c r="A4381">
        <v>35512</v>
      </c>
      <c r="B4381" t="s">
        <v>4</v>
      </c>
      <c r="C4381">
        <v>3</v>
      </c>
      <c r="D4381" t="s">
        <v>5</v>
      </c>
      <c r="F4381" t="str" cm="1">
        <f t="array" ref="F4381">CategorizeComment(E4381)</f>
        <v>Other</v>
      </c>
      <c r="G4381" t="str" cm="1">
        <f t="array" ref="G4381">SubCategorizeComment(E4381)</f>
        <v>Other</v>
      </c>
    </row>
    <row r="4382" spans="1:7" x14ac:dyDescent="0.25">
      <c r="A4382">
        <v>35518</v>
      </c>
      <c r="B4382" t="s">
        <v>4</v>
      </c>
      <c r="C4382">
        <v>4</v>
      </c>
      <c r="D4382" t="s">
        <v>5</v>
      </c>
      <c r="F4382" t="str" cm="1">
        <f t="array" ref="F4382">CategorizeComment(E4382)</f>
        <v>Other</v>
      </c>
      <c r="G4382" t="str" cm="1">
        <f t="array" ref="G4382">SubCategorizeComment(E4382)</f>
        <v>Other</v>
      </c>
    </row>
    <row r="4383" spans="1:7" x14ac:dyDescent="0.25">
      <c r="A4383">
        <v>35533</v>
      </c>
      <c r="B4383" t="s">
        <v>4</v>
      </c>
      <c r="C4383">
        <v>3</v>
      </c>
      <c r="D4383" t="s">
        <v>5</v>
      </c>
      <c r="F4383" t="str" cm="1">
        <f t="array" ref="F4383">CategorizeComment(E4383)</f>
        <v>Other</v>
      </c>
      <c r="G4383" t="str" cm="1">
        <f t="array" ref="G4383">SubCategorizeComment(E4383)</f>
        <v>Other</v>
      </c>
    </row>
    <row r="4384" spans="1:7" x14ac:dyDescent="0.25">
      <c r="A4384">
        <v>35549</v>
      </c>
      <c r="B4384" t="s">
        <v>4</v>
      </c>
      <c r="C4384">
        <v>3</v>
      </c>
      <c r="D4384" t="s">
        <v>5</v>
      </c>
      <c r="F4384" t="str" cm="1">
        <f t="array" ref="F4384">CategorizeComment(E4384)</f>
        <v>Other</v>
      </c>
      <c r="G4384" t="str" cm="1">
        <f t="array" ref="G4384">SubCategorizeComment(E4384)</f>
        <v>Other</v>
      </c>
    </row>
    <row r="4385" spans="1:7" x14ac:dyDescent="0.25">
      <c r="A4385">
        <v>35551</v>
      </c>
      <c r="B4385" t="s">
        <v>4</v>
      </c>
      <c r="C4385">
        <v>4</v>
      </c>
      <c r="D4385" t="s">
        <v>5</v>
      </c>
      <c r="F4385" t="str" cm="1">
        <f t="array" ref="F4385">CategorizeComment(E4385)</f>
        <v>Other</v>
      </c>
      <c r="G4385" t="str" cm="1">
        <f t="array" ref="G4385">SubCategorizeComment(E4385)</f>
        <v>Other</v>
      </c>
    </row>
    <row r="4386" spans="1:7" x14ac:dyDescent="0.25">
      <c r="A4386">
        <v>35553</v>
      </c>
      <c r="B4386" t="s">
        <v>4</v>
      </c>
      <c r="C4386">
        <v>4</v>
      </c>
      <c r="D4386" t="s">
        <v>5</v>
      </c>
      <c r="F4386" t="str" cm="1">
        <f t="array" ref="F4386">CategorizeComment(E4386)</f>
        <v>Other</v>
      </c>
      <c r="G4386" t="str" cm="1">
        <f t="array" ref="G4386">SubCategorizeComment(E4386)</f>
        <v>Other</v>
      </c>
    </row>
    <row r="4387" spans="1:7" x14ac:dyDescent="0.25">
      <c r="A4387">
        <v>35558</v>
      </c>
      <c r="B4387" t="s">
        <v>4</v>
      </c>
      <c r="C4387">
        <v>4</v>
      </c>
      <c r="D4387" t="s">
        <v>5</v>
      </c>
      <c r="F4387" t="str" cm="1">
        <f t="array" ref="F4387">CategorizeComment(E4387)</f>
        <v>Other</v>
      </c>
      <c r="G4387" t="str" cm="1">
        <f t="array" ref="G4387">SubCategorizeComment(E4387)</f>
        <v>Other</v>
      </c>
    </row>
    <row r="4388" spans="1:7" x14ac:dyDescent="0.25">
      <c r="A4388">
        <v>35566</v>
      </c>
      <c r="B4388" t="s">
        <v>4</v>
      </c>
      <c r="C4388">
        <v>4</v>
      </c>
      <c r="D4388" t="s">
        <v>5</v>
      </c>
      <c r="F4388" t="str" cm="1">
        <f t="array" ref="F4388">CategorizeComment(E4388)</f>
        <v>Other</v>
      </c>
      <c r="G4388" t="str" cm="1">
        <f t="array" ref="G4388">SubCategorizeComment(E4388)</f>
        <v>Other</v>
      </c>
    </row>
    <row r="4389" spans="1:7" x14ac:dyDescent="0.25">
      <c r="A4389">
        <v>35574</v>
      </c>
      <c r="B4389" t="s">
        <v>4</v>
      </c>
      <c r="C4389">
        <v>4</v>
      </c>
      <c r="D4389" t="s">
        <v>5</v>
      </c>
      <c r="F4389" t="str" cm="1">
        <f t="array" ref="F4389">CategorizeComment(E4389)</f>
        <v>Other</v>
      </c>
      <c r="G4389" t="str" cm="1">
        <f t="array" ref="G4389">SubCategorizeComment(E4389)</f>
        <v>Other</v>
      </c>
    </row>
    <row r="4390" spans="1:7" x14ac:dyDescent="0.25">
      <c r="A4390">
        <v>35584</v>
      </c>
      <c r="B4390" t="s">
        <v>4</v>
      </c>
      <c r="C4390">
        <v>4</v>
      </c>
      <c r="D4390" t="s">
        <v>5</v>
      </c>
      <c r="F4390" t="str" cm="1">
        <f t="array" ref="F4390">CategorizeComment(E4390)</f>
        <v>Other</v>
      </c>
      <c r="G4390" t="str" cm="1">
        <f t="array" ref="G4390">SubCategorizeComment(E4390)</f>
        <v>Other</v>
      </c>
    </row>
    <row r="4391" spans="1:7" x14ac:dyDescent="0.25">
      <c r="A4391">
        <v>35589</v>
      </c>
      <c r="B4391" t="s">
        <v>4</v>
      </c>
      <c r="C4391">
        <v>3</v>
      </c>
      <c r="D4391" t="s">
        <v>5</v>
      </c>
      <c r="F4391" t="str" cm="1">
        <f t="array" ref="F4391">CategorizeComment(E4391)</f>
        <v>Other</v>
      </c>
      <c r="G4391" t="str" cm="1">
        <f t="array" ref="G4391">SubCategorizeComment(E4391)</f>
        <v>Other</v>
      </c>
    </row>
    <row r="4392" spans="1:7" x14ac:dyDescent="0.25">
      <c r="A4392">
        <v>35592</v>
      </c>
      <c r="B4392" t="s">
        <v>4</v>
      </c>
      <c r="C4392">
        <v>4</v>
      </c>
      <c r="D4392" t="s">
        <v>5</v>
      </c>
      <c r="F4392" t="str" cm="1">
        <f t="array" ref="F4392">CategorizeComment(E4392)</f>
        <v>Other</v>
      </c>
      <c r="G4392" t="str" cm="1">
        <f t="array" ref="G4392">SubCategorizeComment(E4392)</f>
        <v>Other</v>
      </c>
    </row>
    <row r="4393" spans="1:7" x14ac:dyDescent="0.25">
      <c r="A4393">
        <v>35596</v>
      </c>
      <c r="B4393" t="s">
        <v>4</v>
      </c>
      <c r="C4393">
        <v>4</v>
      </c>
      <c r="D4393" t="s">
        <v>5</v>
      </c>
      <c r="F4393" t="str" cm="1">
        <f t="array" ref="F4393">CategorizeComment(E4393)</f>
        <v>Other</v>
      </c>
      <c r="G4393" t="str" cm="1">
        <f t="array" ref="G4393">SubCategorizeComment(E4393)</f>
        <v>Other</v>
      </c>
    </row>
    <row r="4394" spans="1:7" x14ac:dyDescent="0.25">
      <c r="A4394">
        <v>35598</v>
      </c>
      <c r="B4394" t="s">
        <v>4</v>
      </c>
      <c r="C4394">
        <v>3</v>
      </c>
      <c r="D4394" t="s">
        <v>5</v>
      </c>
      <c r="F4394" t="str" cm="1">
        <f t="array" ref="F4394">CategorizeComment(E4394)</f>
        <v>Other</v>
      </c>
      <c r="G4394" t="str" cm="1">
        <f t="array" ref="G4394">SubCategorizeComment(E4394)</f>
        <v>Other</v>
      </c>
    </row>
    <row r="4395" spans="1:7" x14ac:dyDescent="0.25">
      <c r="A4395">
        <v>35608</v>
      </c>
      <c r="B4395" t="s">
        <v>4</v>
      </c>
      <c r="C4395">
        <v>3</v>
      </c>
      <c r="D4395" t="s">
        <v>5</v>
      </c>
      <c r="F4395" t="str" cm="1">
        <f t="array" ref="F4395">CategorizeComment(E4395)</f>
        <v>Other</v>
      </c>
      <c r="G4395" t="str" cm="1">
        <f t="array" ref="G4395">SubCategorizeComment(E4395)</f>
        <v>Other</v>
      </c>
    </row>
    <row r="4396" spans="1:7" x14ac:dyDescent="0.25">
      <c r="A4396">
        <v>35641</v>
      </c>
      <c r="B4396" t="s">
        <v>4</v>
      </c>
      <c r="C4396">
        <v>3</v>
      </c>
      <c r="D4396" t="s">
        <v>5</v>
      </c>
      <c r="F4396" t="str" cm="1">
        <f t="array" ref="F4396">CategorizeComment(E4396)</f>
        <v>Other</v>
      </c>
      <c r="G4396" t="str" cm="1">
        <f t="array" ref="G4396">SubCategorizeComment(E4396)</f>
        <v>Other</v>
      </c>
    </row>
    <row r="4397" spans="1:7" x14ac:dyDescent="0.25">
      <c r="A4397">
        <v>35682</v>
      </c>
      <c r="B4397" t="s">
        <v>4</v>
      </c>
      <c r="C4397">
        <v>3</v>
      </c>
      <c r="D4397" t="s">
        <v>5</v>
      </c>
      <c r="F4397" t="str" cm="1">
        <f t="array" ref="F4397">CategorizeComment(E4397)</f>
        <v>Other</v>
      </c>
      <c r="G4397" t="str" cm="1">
        <f t="array" ref="G4397">SubCategorizeComment(E4397)</f>
        <v>Other</v>
      </c>
    </row>
    <row r="4398" spans="1:7" x14ac:dyDescent="0.25">
      <c r="A4398">
        <v>35685</v>
      </c>
      <c r="B4398" t="s">
        <v>4</v>
      </c>
      <c r="C4398">
        <v>3</v>
      </c>
      <c r="D4398" t="s">
        <v>5</v>
      </c>
      <c r="F4398" t="str" cm="1">
        <f t="array" ref="F4398">CategorizeComment(E4398)</f>
        <v>Other</v>
      </c>
      <c r="G4398" t="str" cm="1">
        <f t="array" ref="G4398">SubCategorizeComment(E4398)</f>
        <v>Other</v>
      </c>
    </row>
    <row r="4399" spans="1:7" x14ac:dyDescent="0.25">
      <c r="A4399">
        <v>35687</v>
      </c>
      <c r="B4399" t="s">
        <v>4</v>
      </c>
      <c r="C4399">
        <v>3</v>
      </c>
      <c r="D4399" t="s">
        <v>5</v>
      </c>
      <c r="F4399" t="str" cm="1">
        <f t="array" ref="F4399">CategorizeComment(E4399)</f>
        <v>Other</v>
      </c>
      <c r="G4399" t="str" cm="1">
        <f t="array" ref="G4399">SubCategorizeComment(E4399)</f>
        <v>Other</v>
      </c>
    </row>
    <row r="4400" spans="1:7" x14ac:dyDescent="0.25">
      <c r="A4400">
        <v>35695</v>
      </c>
      <c r="B4400" t="s">
        <v>4</v>
      </c>
      <c r="C4400">
        <v>4</v>
      </c>
      <c r="D4400" t="s">
        <v>5</v>
      </c>
      <c r="F4400" t="str" cm="1">
        <f t="array" ref="F4400">CategorizeComment(E4400)</f>
        <v>Other</v>
      </c>
      <c r="G4400" t="str" cm="1">
        <f t="array" ref="G4400">SubCategorizeComment(E4400)</f>
        <v>Other</v>
      </c>
    </row>
    <row r="4401" spans="1:7" x14ac:dyDescent="0.25">
      <c r="A4401">
        <v>35697</v>
      </c>
      <c r="B4401" t="s">
        <v>4</v>
      </c>
      <c r="C4401">
        <v>4</v>
      </c>
      <c r="D4401" t="s">
        <v>5</v>
      </c>
      <c r="F4401" t="str" cm="1">
        <f t="array" ref="F4401">CategorizeComment(E4401)</f>
        <v>Other</v>
      </c>
      <c r="G4401" t="str" cm="1">
        <f t="array" ref="G4401">SubCategorizeComment(E4401)</f>
        <v>Other</v>
      </c>
    </row>
    <row r="4402" spans="1:7" x14ac:dyDescent="0.25">
      <c r="A4402">
        <v>35699</v>
      </c>
      <c r="B4402" t="s">
        <v>4</v>
      </c>
      <c r="C4402">
        <v>4</v>
      </c>
      <c r="D4402" t="s">
        <v>5</v>
      </c>
      <c r="F4402" t="str" cm="1">
        <f t="array" ref="F4402">CategorizeComment(E4402)</f>
        <v>Other</v>
      </c>
      <c r="G4402" t="str" cm="1">
        <f t="array" ref="G4402">SubCategorizeComment(E4402)</f>
        <v>Other</v>
      </c>
    </row>
    <row r="4403" spans="1:7" x14ac:dyDescent="0.25">
      <c r="A4403">
        <v>35701</v>
      </c>
      <c r="B4403" t="s">
        <v>4</v>
      </c>
      <c r="C4403">
        <v>3</v>
      </c>
      <c r="D4403" t="s">
        <v>5</v>
      </c>
      <c r="F4403" t="str" cm="1">
        <f t="array" ref="F4403">CategorizeComment(E4403)</f>
        <v>Other</v>
      </c>
      <c r="G4403" t="str" cm="1">
        <f t="array" ref="G4403">SubCategorizeComment(E4403)</f>
        <v>Other</v>
      </c>
    </row>
    <row r="4404" spans="1:7" x14ac:dyDescent="0.25">
      <c r="A4404">
        <v>35731</v>
      </c>
      <c r="B4404" t="s">
        <v>4</v>
      </c>
      <c r="C4404">
        <v>3</v>
      </c>
      <c r="D4404" t="s">
        <v>5</v>
      </c>
      <c r="F4404" t="str" cm="1">
        <f t="array" ref="F4404">CategorizeComment(E4404)</f>
        <v>Other</v>
      </c>
      <c r="G4404" t="str" cm="1">
        <f t="array" ref="G4404">SubCategorizeComment(E4404)</f>
        <v>Other</v>
      </c>
    </row>
    <row r="4405" spans="1:7" x14ac:dyDescent="0.25">
      <c r="A4405">
        <v>35742</v>
      </c>
      <c r="B4405" t="s">
        <v>4</v>
      </c>
      <c r="C4405">
        <v>3</v>
      </c>
      <c r="D4405" t="s">
        <v>5</v>
      </c>
      <c r="F4405" t="str" cm="1">
        <f t="array" ref="F4405">CategorizeComment(E4405)</f>
        <v>Other</v>
      </c>
      <c r="G4405" t="str" cm="1">
        <f t="array" ref="G4405">SubCategorizeComment(E4405)</f>
        <v>Other</v>
      </c>
    </row>
    <row r="4406" spans="1:7" x14ac:dyDescent="0.25">
      <c r="A4406">
        <v>35745</v>
      </c>
      <c r="B4406" t="s">
        <v>4</v>
      </c>
      <c r="C4406">
        <v>3</v>
      </c>
      <c r="D4406" t="s">
        <v>5</v>
      </c>
      <c r="F4406" t="str" cm="1">
        <f t="array" ref="F4406">CategorizeComment(E4406)</f>
        <v>Other</v>
      </c>
      <c r="G4406" t="str" cm="1">
        <f t="array" ref="G4406">SubCategorizeComment(E4406)</f>
        <v>Other</v>
      </c>
    </row>
    <row r="4407" spans="1:7" x14ac:dyDescent="0.25">
      <c r="A4407">
        <v>35754</v>
      </c>
      <c r="B4407" t="s">
        <v>4</v>
      </c>
      <c r="C4407">
        <v>4</v>
      </c>
      <c r="D4407" t="s">
        <v>5</v>
      </c>
      <c r="F4407" t="str" cm="1">
        <f t="array" ref="F4407">CategorizeComment(E4407)</f>
        <v>Other</v>
      </c>
      <c r="G4407" t="str" cm="1">
        <f t="array" ref="G4407">SubCategorizeComment(E4407)</f>
        <v>Other</v>
      </c>
    </row>
    <row r="4408" spans="1:7" x14ac:dyDescent="0.25">
      <c r="A4408">
        <v>35757</v>
      </c>
      <c r="B4408" t="s">
        <v>4</v>
      </c>
      <c r="C4408">
        <v>3</v>
      </c>
      <c r="D4408" t="s">
        <v>5</v>
      </c>
      <c r="F4408" t="str" cm="1">
        <f t="array" ref="F4408">CategorizeComment(E4408)</f>
        <v>Other</v>
      </c>
      <c r="G4408" t="str" cm="1">
        <f t="array" ref="G4408">SubCategorizeComment(E4408)</f>
        <v>Other</v>
      </c>
    </row>
    <row r="4409" spans="1:7" x14ac:dyDescent="0.25">
      <c r="A4409">
        <v>35776</v>
      </c>
      <c r="B4409" t="s">
        <v>4</v>
      </c>
      <c r="C4409">
        <v>3</v>
      </c>
      <c r="D4409" t="s">
        <v>5</v>
      </c>
      <c r="F4409" t="str" cm="1">
        <f t="array" ref="F4409">CategorizeComment(E4409)</f>
        <v>Other</v>
      </c>
      <c r="G4409" t="str" cm="1">
        <f t="array" ref="G4409">SubCategorizeComment(E4409)</f>
        <v>Other</v>
      </c>
    </row>
    <row r="4410" spans="1:7" x14ac:dyDescent="0.25">
      <c r="A4410">
        <v>35778</v>
      </c>
      <c r="B4410" t="s">
        <v>4</v>
      </c>
      <c r="C4410">
        <v>3</v>
      </c>
      <c r="D4410" t="s">
        <v>5</v>
      </c>
      <c r="F4410" t="str" cm="1">
        <f t="array" ref="F4410">CategorizeComment(E4410)</f>
        <v>Other</v>
      </c>
      <c r="G4410" t="str" cm="1">
        <f t="array" ref="G4410">SubCategorizeComment(E4410)</f>
        <v>Other</v>
      </c>
    </row>
    <row r="4411" spans="1:7" x14ac:dyDescent="0.25">
      <c r="A4411">
        <v>35791</v>
      </c>
      <c r="B4411" t="s">
        <v>4</v>
      </c>
      <c r="C4411">
        <v>4</v>
      </c>
      <c r="D4411" t="s">
        <v>5</v>
      </c>
      <c r="F4411" t="str" cm="1">
        <f t="array" ref="F4411">CategorizeComment(E4411)</f>
        <v>Other</v>
      </c>
      <c r="G4411" t="str" cm="1">
        <f t="array" ref="G4411">SubCategorizeComment(E4411)</f>
        <v>Other</v>
      </c>
    </row>
    <row r="4412" spans="1:7" x14ac:dyDescent="0.25">
      <c r="A4412">
        <v>35796</v>
      </c>
      <c r="B4412" t="s">
        <v>4</v>
      </c>
      <c r="C4412">
        <v>3</v>
      </c>
      <c r="D4412" t="s">
        <v>5</v>
      </c>
      <c r="F4412" t="str" cm="1">
        <f t="array" ref="F4412">CategorizeComment(E4412)</f>
        <v>Other</v>
      </c>
      <c r="G4412" t="str" cm="1">
        <f t="array" ref="G4412">SubCategorizeComment(E4412)</f>
        <v>Other</v>
      </c>
    </row>
    <row r="4413" spans="1:7" x14ac:dyDescent="0.25">
      <c r="A4413">
        <v>35804</v>
      </c>
      <c r="B4413" t="s">
        <v>4</v>
      </c>
      <c r="C4413">
        <v>4</v>
      </c>
      <c r="D4413" t="s">
        <v>5</v>
      </c>
      <c r="F4413" t="str" cm="1">
        <f t="array" ref="F4413">CategorizeComment(E4413)</f>
        <v>Other</v>
      </c>
      <c r="G4413" t="str" cm="1">
        <f t="array" ref="G4413">SubCategorizeComment(E4413)</f>
        <v>Other</v>
      </c>
    </row>
    <row r="4414" spans="1:7" x14ac:dyDescent="0.25">
      <c r="A4414">
        <v>35822</v>
      </c>
      <c r="B4414" t="s">
        <v>4</v>
      </c>
      <c r="C4414">
        <v>3</v>
      </c>
      <c r="D4414" t="s">
        <v>5</v>
      </c>
      <c r="F4414" t="str" cm="1">
        <f t="array" ref="F4414">CategorizeComment(E4414)</f>
        <v>Other</v>
      </c>
      <c r="G4414" t="str" cm="1">
        <f t="array" ref="G4414">SubCategorizeComment(E4414)</f>
        <v>Other</v>
      </c>
    </row>
    <row r="4415" spans="1:7" x14ac:dyDescent="0.25">
      <c r="A4415">
        <v>35834</v>
      </c>
      <c r="B4415" t="s">
        <v>4</v>
      </c>
      <c r="C4415">
        <v>4</v>
      </c>
      <c r="D4415" t="s">
        <v>5</v>
      </c>
      <c r="F4415" t="str" cm="1">
        <f t="array" ref="F4415">CategorizeComment(E4415)</f>
        <v>Other</v>
      </c>
      <c r="G4415" t="str" cm="1">
        <f t="array" ref="G4415">SubCategorizeComment(E4415)</f>
        <v>Other</v>
      </c>
    </row>
    <row r="4416" spans="1:7" x14ac:dyDescent="0.25">
      <c r="A4416">
        <v>35840</v>
      </c>
      <c r="B4416" t="s">
        <v>4</v>
      </c>
      <c r="C4416">
        <v>3</v>
      </c>
      <c r="D4416" t="s">
        <v>5</v>
      </c>
      <c r="F4416" t="str" cm="1">
        <f t="array" ref="F4416">CategorizeComment(E4416)</f>
        <v>Other</v>
      </c>
      <c r="G4416" t="str" cm="1">
        <f t="array" ref="G4416">SubCategorizeComment(E4416)</f>
        <v>Other</v>
      </c>
    </row>
    <row r="4417" spans="1:7" x14ac:dyDescent="0.25">
      <c r="A4417">
        <v>35841</v>
      </c>
      <c r="B4417" t="s">
        <v>4</v>
      </c>
      <c r="C4417">
        <v>1</v>
      </c>
      <c r="D4417" t="s">
        <v>5</v>
      </c>
      <c r="F4417" t="str" cm="1">
        <f t="array" ref="F4417">CategorizeComment(E4417)</f>
        <v>Other</v>
      </c>
      <c r="G4417" t="str" cm="1">
        <f t="array" ref="G4417">SubCategorizeComment(E4417)</f>
        <v>Other</v>
      </c>
    </row>
    <row r="4418" spans="1:7" x14ac:dyDescent="0.25">
      <c r="A4418">
        <v>35845</v>
      </c>
      <c r="B4418" t="s">
        <v>4</v>
      </c>
      <c r="C4418">
        <v>4</v>
      </c>
      <c r="D4418" t="s">
        <v>5</v>
      </c>
      <c r="F4418" t="str" cm="1">
        <f t="array" ref="F4418">CategorizeComment(E4418)</f>
        <v>Other</v>
      </c>
      <c r="G4418" t="str" cm="1">
        <f t="array" ref="G4418">SubCategorizeComment(E4418)</f>
        <v>Other</v>
      </c>
    </row>
    <row r="4419" spans="1:7" x14ac:dyDescent="0.25">
      <c r="A4419">
        <v>35848</v>
      </c>
      <c r="B4419" t="s">
        <v>4</v>
      </c>
      <c r="C4419">
        <v>3</v>
      </c>
      <c r="D4419" t="s">
        <v>5</v>
      </c>
      <c r="F4419" t="str" cm="1">
        <f t="array" ref="F4419">CategorizeComment(E4419)</f>
        <v>Other</v>
      </c>
      <c r="G4419" t="str" cm="1">
        <f t="array" ref="G4419">SubCategorizeComment(E4419)</f>
        <v>Other</v>
      </c>
    </row>
    <row r="4420" spans="1:7" x14ac:dyDescent="0.25">
      <c r="A4420">
        <v>35862</v>
      </c>
      <c r="B4420" t="s">
        <v>4</v>
      </c>
      <c r="C4420">
        <v>4</v>
      </c>
      <c r="D4420" t="s">
        <v>5</v>
      </c>
      <c r="F4420" t="str" cm="1">
        <f t="array" ref="F4420">CategorizeComment(E4420)</f>
        <v>Other</v>
      </c>
      <c r="G4420" t="str" cm="1">
        <f t="array" ref="G4420">SubCategorizeComment(E4420)</f>
        <v>Other</v>
      </c>
    </row>
    <row r="4421" spans="1:7" x14ac:dyDescent="0.25">
      <c r="A4421">
        <v>35866</v>
      </c>
      <c r="B4421" t="s">
        <v>4</v>
      </c>
      <c r="C4421">
        <v>3</v>
      </c>
      <c r="D4421" t="s">
        <v>5</v>
      </c>
      <c r="F4421" t="str" cm="1">
        <f t="array" ref="F4421">CategorizeComment(E4421)</f>
        <v>Other</v>
      </c>
      <c r="G4421" t="str" cm="1">
        <f t="array" ref="G4421">SubCategorizeComment(E4421)</f>
        <v>Other</v>
      </c>
    </row>
    <row r="4422" spans="1:7" x14ac:dyDescent="0.25">
      <c r="A4422">
        <v>35903</v>
      </c>
      <c r="B4422" t="s">
        <v>4</v>
      </c>
      <c r="C4422">
        <v>3</v>
      </c>
      <c r="D4422" t="s">
        <v>5</v>
      </c>
      <c r="F4422" t="str" cm="1">
        <f t="array" ref="F4422">CategorizeComment(E4422)</f>
        <v>Other</v>
      </c>
      <c r="G4422" t="str" cm="1">
        <f t="array" ref="G4422">SubCategorizeComment(E4422)</f>
        <v>Other</v>
      </c>
    </row>
    <row r="4423" spans="1:7" x14ac:dyDescent="0.25">
      <c r="A4423">
        <v>35922</v>
      </c>
      <c r="B4423" t="s">
        <v>4</v>
      </c>
      <c r="C4423">
        <v>4</v>
      </c>
      <c r="D4423" t="s">
        <v>5</v>
      </c>
      <c r="F4423" t="str" cm="1">
        <f t="array" ref="F4423">CategorizeComment(E4423)</f>
        <v>Other</v>
      </c>
      <c r="G4423" t="str" cm="1">
        <f t="array" ref="G4423">SubCategorizeComment(E4423)</f>
        <v>Other</v>
      </c>
    </row>
    <row r="4424" spans="1:7" x14ac:dyDescent="0.25">
      <c r="A4424">
        <v>35929</v>
      </c>
      <c r="B4424" t="s">
        <v>4</v>
      </c>
      <c r="C4424">
        <v>4</v>
      </c>
      <c r="D4424" t="s">
        <v>5</v>
      </c>
      <c r="F4424" t="str" cm="1">
        <f t="array" ref="F4424">CategorizeComment(E4424)</f>
        <v>Other</v>
      </c>
      <c r="G4424" t="str" cm="1">
        <f t="array" ref="G4424">SubCategorizeComment(E4424)</f>
        <v>Other</v>
      </c>
    </row>
    <row r="4425" spans="1:7" x14ac:dyDescent="0.25">
      <c r="A4425">
        <v>35930</v>
      </c>
      <c r="B4425" t="s">
        <v>4</v>
      </c>
      <c r="C4425">
        <v>4</v>
      </c>
      <c r="D4425" t="s">
        <v>5</v>
      </c>
      <c r="F4425" t="str" cm="1">
        <f t="array" ref="F4425">CategorizeComment(E4425)</f>
        <v>Other</v>
      </c>
      <c r="G4425" t="str" cm="1">
        <f t="array" ref="G4425">SubCategorizeComment(E4425)</f>
        <v>Other</v>
      </c>
    </row>
    <row r="4426" spans="1:7" x14ac:dyDescent="0.25">
      <c r="A4426">
        <v>35933</v>
      </c>
      <c r="B4426" t="s">
        <v>4</v>
      </c>
      <c r="C4426">
        <v>3</v>
      </c>
      <c r="D4426" t="s">
        <v>5</v>
      </c>
      <c r="F4426" t="str" cm="1">
        <f t="array" ref="F4426">CategorizeComment(E4426)</f>
        <v>Other</v>
      </c>
      <c r="G4426" t="str" cm="1">
        <f t="array" ref="G4426">SubCategorizeComment(E4426)</f>
        <v>Other</v>
      </c>
    </row>
    <row r="4427" spans="1:7" x14ac:dyDescent="0.25">
      <c r="A4427">
        <v>35942</v>
      </c>
      <c r="B4427" t="s">
        <v>4</v>
      </c>
      <c r="C4427">
        <v>4</v>
      </c>
      <c r="D4427" t="s">
        <v>5</v>
      </c>
      <c r="F4427" t="str" cm="1">
        <f t="array" ref="F4427">CategorizeComment(E4427)</f>
        <v>Other</v>
      </c>
      <c r="G4427" t="str" cm="1">
        <f t="array" ref="G4427">SubCategorizeComment(E4427)</f>
        <v>Other</v>
      </c>
    </row>
    <row r="4428" spans="1:7" x14ac:dyDescent="0.25">
      <c r="A4428">
        <v>35954</v>
      </c>
      <c r="B4428" t="s">
        <v>4</v>
      </c>
      <c r="C4428">
        <v>3</v>
      </c>
      <c r="D4428" t="s">
        <v>5</v>
      </c>
      <c r="F4428" t="str" cm="1">
        <f t="array" ref="F4428">CategorizeComment(E4428)</f>
        <v>Other</v>
      </c>
      <c r="G4428" t="str" cm="1">
        <f t="array" ref="G4428">SubCategorizeComment(E4428)</f>
        <v>Other</v>
      </c>
    </row>
    <row r="4429" spans="1:7" x14ac:dyDescent="0.25">
      <c r="A4429">
        <v>35955</v>
      </c>
      <c r="B4429" t="s">
        <v>4</v>
      </c>
      <c r="C4429">
        <v>4</v>
      </c>
      <c r="D4429" t="s">
        <v>5</v>
      </c>
      <c r="F4429" t="str" cm="1">
        <f t="array" ref="F4429">CategorizeComment(E4429)</f>
        <v>Other</v>
      </c>
      <c r="G4429" t="str" cm="1">
        <f t="array" ref="G4429">SubCategorizeComment(E4429)</f>
        <v>Other</v>
      </c>
    </row>
    <row r="4430" spans="1:7" x14ac:dyDescent="0.25">
      <c r="A4430">
        <v>35963</v>
      </c>
      <c r="B4430" t="s">
        <v>4</v>
      </c>
      <c r="C4430">
        <v>4</v>
      </c>
      <c r="D4430" t="s">
        <v>5</v>
      </c>
      <c r="F4430" t="str" cm="1">
        <f t="array" ref="F4430">CategorizeComment(E4430)</f>
        <v>Other</v>
      </c>
      <c r="G4430" t="str" cm="1">
        <f t="array" ref="G4430">SubCategorizeComment(E4430)</f>
        <v>Other</v>
      </c>
    </row>
    <row r="4431" spans="1:7" x14ac:dyDescent="0.25">
      <c r="A4431">
        <v>35970</v>
      </c>
      <c r="B4431" t="s">
        <v>4</v>
      </c>
      <c r="C4431">
        <v>3</v>
      </c>
      <c r="D4431" t="s">
        <v>5</v>
      </c>
      <c r="F4431" t="str" cm="1">
        <f t="array" ref="F4431">CategorizeComment(E4431)</f>
        <v>Other</v>
      </c>
      <c r="G4431" t="str" cm="1">
        <f t="array" ref="G4431">SubCategorizeComment(E4431)</f>
        <v>Other</v>
      </c>
    </row>
    <row r="4432" spans="1:7" x14ac:dyDescent="0.25">
      <c r="A4432">
        <v>35976</v>
      </c>
      <c r="B4432" t="s">
        <v>4</v>
      </c>
      <c r="C4432">
        <v>3</v>
      </c>
      <c r="D4432" t="s">
        <v>5</v>
      </c>
      <c r="F4432" t="str" cm="1">
        <f t="array" ref="F4432">CategorizeComment(E4432)</f>
        <v>Other</v>
      </c>
      <c r="G4432" t="str" cm="1">
        <f t="array" ref="G4432">SubCategorizeComment(E4432)</f>
        <v>Other</v>
      </c>
    </row>
    <row r="4433" spans="1:7" x14ac:dyDescent="0.25">
      <c r="A4433">
        <v>35986</v>
      </c>
      <c r="B4433" t="s">
        <v>4</v>
      </c>
      <c r="C4433">
        <v>3</v>
      </c>
      <c r="D4433" t="s">
        <v>5</v>
      </c>
      <c r="F4433" t="str" cm="1">
        <f t="array" ref="F4433">CategorizeComment(E4433)</f>
        <v>Other</v>
      </c>
      <c r="G4433" t="str" cm="1">
        <f t="array" ref="G4433">SubCategorizeComment(E4433)</f>
        <v>Other</v>
      </c>
    </row>
    <row r="4434" spans="1:7" x14ac:dyDescent="0.25">
      <c r="A4434">
        <v>35991</v>
      </c>
      <c r="B4434" t="s">
        <v>4</v>
      </c>
      <c r="C4434">
        <v>3</v>
      </c>
      <c r="D4434" t="s">
        <v>5</v>
      </c>
      <c r="F4434" t="str" cm="1">
        <f t="array" ref="F4434">CategorizeComment(E4434)</f>
        <v>Other</v>
      </c>
      <c r="G4434" t="str" cm="1">
        <f t="array" ref="G4434">SubCategorizeComment(E4434)</f>
        <v>Other</v>
      </c>
    </row>
    <row r="4435" spans="1:7" x14ac:dyDescent="0.25">
      <c r="A4435">
        <v>36024</v>
      </c>
      <c r="B4435" t="s">
        <v>4</v>
      </c>
      <c r="C4435">
        <v>4</v>
      </c>
      <c r="D4435" t="s">
        <v>5</v>
      </c>
      <c r="F4435" t="str" cm="1">
        <f t="array" ref="F4435">CategorizeComment(E4435)</f>
        <v>Other</v>
      </c>
      <c r="G4435" t="str" cm="1">
        <f t="array" ref="G4435">SubCategorizeComment(E4435)</f>
        <v>Other</v>
      </c>
    </row>
    <row r="4436" spans="1:7" x14ac:dyDescent="0.25">
      <c r="A4436">
        <v>36052</v>
      </c>
      <c r="B4436" t="s">
        <v>4</v>
      </c>
      <c r="C4436">
        <v>4</v>
      </c>
      <c r="D4436" t="s">
        <v>5</v>
      </c>
      <c r="F4436" t="str" cm="1">
        <f t="array" ref="F4436">CategorizeComment(E4436)</f>
        <v>Other</v>
      </c>
      <c r="G4436" t="str" cm="1">
        <f t="array" ref="G4436">SubCategorizeComment(E4436)</f>
        <v>Other</v>
      </c>
    </row>
    <row r="4437" spans="1:7" x14ac:dyDescent="0.25">
      <c r="A4437">
        <v>36060</v>
      </c>
      <c r="B4437" t="s">
        <v>4</v>
      </c>
      <c r="C4437">
        <v>4</v>
      </c>
      <c r="D4437" t="s">
        <v>5</v>
      </c>
      <c r="F4437" t="str" cm="1">
        <f t="array" ref="F4437">CategorizeComment(E4437)</f>
        <v>Other</v>
      </c>
      <c r="G4437" t="str" cm="1">
        <f t="array" ref="G4437">SubCategorizeComment(E4437)</f>
        <v>Other</v>
      </c>
    </row>
    <row r="4438" spans="1:7" x14ac:dyDescent="0.25">
      <c r="A4438">
        <v>36063</v>
      </c>
      <c r="B4438" t="s">
        <v>4</v>
      </c>
      <c r="C4438">
        <v>4</v>
      </c>
      <c r="D4438" t="s">
        <v>5</v>
      </c>
      <c r="F4438" t="str" cm="1">
        <f t="array" ref="F4438">CategorizeComment(E4438)</f>
        <v>Other</v>
      </c>
      <c r="G4438" t="str" cm="1">
        <f t="array" ref="G4438">SubCategorizeComment(E4438)</f>
        <v>Other</v>
      </c>
    </row>
    <row r="4439" spans="1:7" x14ac:dyDescent="0.25">
      <c r="A4439">
        <v>36068</v>
      </c>
      <c r="B4439" t="s">
        <v>4</v>
      </c>
      <c r="C4439">
        <v>4</v>
      </c>
      <c r="D4439" t="s">
        <v>5</v>
      </c>
      <c r="F4439" t="str" cm="1">
        <f t="array" ref="F4439">CategorizeComment(E4439)</f>
        <v>Other</v>
      </c>
      <c r="G4439" t="str" cm="1">
        <f t="array" ref="G4439">SubCategorizeComment(E4439)</f>
        <v>Other</v>
      </c>
    </row>
    <row r="4440" spans="1:7" x14ac:dyDescent="0.25">
      <c r="A4440">
        <v>36090</v>
      </c>
      <c r="B4440" t="s">
        <v>4</v>
      </c>
      <c r="C4440">
        <v>3</v>
      </c>
      <c r="D4440" t="s">
        <v>5</v>
      </c>
      <c r="F4440" t="str" cm="1">
        <f t="array" ref="F4440">CategorizeComment(E4440)</f>
        <v>Other</v>
      </c>
      <c r="G4440" t="str" cm="1">
        <f t="array" ref="G4440">SubCategorizeComment(E4440)</f>
        <v>Other</v>
      </c>
    </row>
    <row r="4441" spans="1:7" x14ac:dyDescent="0.25">
      <c r="A4441">
        <v>36093</v>
      </c>
      <c r="B4441" t="s">
        <v>4</v>
      </c>
      <c r="C4441">
        <v>3</v>
      </c>
      <c r="D4441" t="s">
        <v>5</v>
      </c>
      <c r="F4441" t="str" cm="1">
        <f t="array" ref="F4441">CategorizeComment(E4441)</f>
        <v>Other</v>
      </c>
      <c r="G4441" t="str" cm="1">
        <f t="array" ref="G4441">SubCategorizeComment(E4441)</f>
        <v>Other</v>
      </c>
    </row>
    <row r="4442" spans="1:7" x14ac:dyDescent="0.25">
      <c r="A4442">
        <v>36099</v>
      </c>
      <c r="B4442" t="s">
        <v>4</v>
      </c>
      <c r="C4442">
        <v>3</v>
      </c>
      <c r="D4442" t="s">
        <v>5</v>
      </c>
      <c r="F4442" t="str" cm="1">
        <f t="array" ref="F4442">CategorizeComment(E4442)</f>
        <v>Other</v>
      </c>
      <c r="G4442" t="str" cm="1">
        <f t="array" ref="G4442">SubCategorizeComment(E4442)</f>
        <v>Other</v>
      </c>
    </row>
    <row r="4443" spans="1:7" x14ac:dyDescent="0.25">
      <c r="A4443">
        <v>36137</v>
      </c>
      <c r="B4443" t="s">
        <v>4</v>
      </c>
      <c r="C4443">
        <v>4</v>
      </c>
      <c r="D4443" t="s">
        <v>5</v>
      </c>
      <c r="F4443" t="str" cm="1">
        <f t="array" ref="F4443">CategorizeComment(E4443)</f>
        <v>Other</v>
      </c>
      <c r="G4443" t="str" cm="1">
        <f t="array" ref="G4443">SubCategorizeComment(E4443)</f>
        <v>Other</v>
      </c>
    </row>
    <row r="4444" spans="1:7" x14ac:dyDescent="0.25">
      <c r="A4444">
        <v>36141</v>
      </c>
      <c r="B4444" t="s">
        <v>4</v>
      </c>
      <c r="C4444">
        <v>3</v>
      </c>
      <c r="D4444" t="s">
        <v>5</v>
      </c>
      <c r="F4444" t="str" cm="1">
        <f t="array" ref="F4444">CategorizeComment(E4444)</f>
        <v>Other</v>
      </c>
      <c r="G4444" t="str" cm="1">
        <f t="array" ref="G4444">SubCategorizeComment(E4444)</f>
        <v>Other</v>
      </c>
    </row>
    <row r="4445" spans="1:7" x14ac:dyDescent="0.25">
      <c r="A4445">
        <v>36151</v>
      </c>
      <c r="B4445" t="s">
        <v>4</v>
      </c>
      <c r="C4445">
        <v>4</v>
      </c>
      <c r="D4445" t="s">
        <v>5</v>
      </c>
      <c r="F4445" t="str" cm="1">
        <f t="array" ref="F4445">CategorizeComment(E4445)</f>
        <v>Other</v>
      </c>
      <c r="G4445" t="str" cm="1">
        <f t="array" ref="G4445">SubCategorizeComment(E4445)</f>
        <v>Other</v>
      </c>
    </row>
    <row r="4446" spans="1:7" x14ac:dyDescent="0.25">
      <c r="A4446">
        <v>36152</v>
      </c>
      <c r="B4446" t="s">
        <v>4</v>
      </c>
      <c r="C4446">
        <v>4</v>
      </c>
      <c r="D4446" t="s">
        <v>5</v>
      </c>
      <c r="F4446" t="str" cm="1">
        <f t="array" ref="F4446">CategorizeComment(E4446)</f>
        <v>Other</v>
      </c>
      <c r="G4446" t="str" cm="1">
        <f t="array" ref="G4446">SubCategorizeComment(E4446)</f>
        <v>Other</v>
      </c>
    </row>
    <row r="4447" spans="1:7" x14ac:dyDescent="0.25">
      <c r="A4447">
        <v>36167</v>
      </c>
      <c r="B4447" t="s">
        <v>4</v>
      </c>
      <c r="C4447">
        <v>4</v>
      </c>
      <c r="D4447" t="s">
        <v>5</v>
      </c>
      <c r="F4447" t="str" cm="1">
        <f t="array" ref="F4447">CategorizeComment(E4447)</f>
        <v>Other</v>
      </c>
      <c r="G4447" t="str" cm="1">
        <f t="array" ref="G4447">SubCategorizeComment(E4447)</f>
        <v>Other</v>
      </c>
    </row>
    <row r="4448" spans="1:7" x14ac:dyDescent="0.25">
      <c r="A4448">
        <v>36168</v>
      </c>
      <c r="B4448" t="s">
        <v>4</v>
      </c>
      <c r="C4448">
        <v>4</v>
      </c>
      <c r="D4448" t="s">
        <v>5</v>
      </c>
      <c r="F4448" t="str" cm="1">
        <f t="array" ref="F4448">CategorizeComment(E4448)</f>
        <v>Other</v>
      </c>
      <c r="G4448" t="str" cm="1">
        <f t="array" ref="G4448">SubCategorizeComment(E4448)</f>
        <v>Other</v>
      </c>
    </row>
    <row r="4449" spans="1:7" x14ac:dyDescent="0.25">
      <c r="A4449">
        <v>36170</v>
      </c>
      <c r="B4449" t="s">
        <v>4</v>
      </c>
      <c r="C4449">
        <v>4</v>
      </c>
      <c r="D4449" t="s">
        <v>5</v>
      </c>
      <c r="F4449" t="str" cm="1">
        <f t="array" ref="F4449">CategorizeComment(E4449)</f>
        <v>Other</v>
      </c>
      <c r="G4449" t="str" cm="1">
        <f t="array" ref="G4449">SubCategorizeComment(E4449)</f>
        <v>Other</v>
      </c>
    </row>
    <row r="4450" spans="1:7" x14ac:dyDescent="0.25">
      <c r="A4450">
        <v>36174</v>
      </c>
      <c r="B4450" t="s">
        <v>4</v>
      </c>
      <c r="C4450">
        <v>4</v>
      </c>
      <c r="D4450" t="s">
        <v>5</v>
      </c>
      <c r="F4450" t="str" cm="1">
        <f t="array" ref="F4450">CategorizeComment(E4450)</f>
        <v>Other</v>
      </c>
      <c r="G4450" t="str" cm="1">
        <f t="array" ref="G4450">SubCategorizeComment(E4450)</f>
        <v>Other</v>
      </c>
    </row>
    <row r="4451" spans="1:7" x14ac:dyDescent="0.25">
      <c r="A4451">
        <v>36177</v>
      </c>
      <c r="B4451" t="s">
        <v>4</v>
      </c>
      <c r="C4451">
        <v>4</v>
      </c>
      <c r="D4451" t="s">
        <v>5</v>
      </c>
      <c r="F4451" t="str" cm="1">
        <f t="array" ref="F4451">CategorizeComment(E4451)</f>
        <v>Other</v>
      </c>
      <c r="G4451" t="str" cm="1">
        <f t="array" ref="G4451">SubCategorizeComment(E4451)</f>
        <v>Other</v>
      </c>
    </row>
    <row r="4452" spans="1:7" x14ac:dyDescent="0.25">
      <c r="A4452">
        <v>36179</v>
      </c>
      <c r="B4452" t="s">
        <v>4</v>
      </c>
      <c r="C4452">
        <v>4</v>
      </c>
      <c r="D4452" t="s">
        <v>5</v>
      </c>
      <c r="F4452" t="str" cm="1">
        <f t="array" ref="F4452">CategorizeComment(E4452)</f>
        <v>Other</v>
      </c>
      <c r="G4452" t="str" cm="1">
        <f t="array" ref="G4452">SubCategorizeComment(E4452)</f>
        <v>Other</v>
      </c>
    </row>
    <row r="4453" spans="1:7" x14ac:dyDescent="0.25">
      <c r="A4453">
        <v>36180</v>
      </c>
      <c r="B4453" t="s">
        <v>4</v>
      </c>
      <c r="C4453">
        <v>4</v>
      </c>
      <c r="D4453" t="s">
        <v>5</v>
      </c>
      <c r="F4453" t="str" cm="1">
        <f t="array" ref="F4453">CategorizeComment(E4453)</f>
        <v>Other</v>
      </c>
      <c r="G4453" t="str" cm="1">
        <f t="array" ref="G4453">SubCategorizeComment(E4453)</f>
        <v>Other</v>
      </c>
    </row>
    <row r="4454" spans="1:7" x14ac:dyDescent="0.25">
      <c r="A4454">
        <v>36182</v>
      </c>
      <c r="B4454" t="s">
        <v>4</v>
      </c>
      <c r="C4454">
        <v>4</v>
      </c>
      <c r="D4454" t="s">
        <v>5</v>
      </c>
      <c r="F4454" t="str" cm="1">
        <f t="array" ref="F4454">CategorizeComment(E4454)</f>
        <v>Other</v>
      </c>
      <c r="G4454" t="str" cm="1">
        <f t="array" ref="G4454">SubCategorizeComment(E4454)</f>
        <v>Other</v>
      </c>
    </row>
    <row r="4455" spans="1:7" x14ac:dyDescent="0.25">
      <c r="A4455">
        <v>36183</v>
      </c>
      <c r="B4455" t="s">
        <v>4</v>
      </c>
      <c r="C4455">
        <v>3</v>
      </c>
      <c r="D4455" t="s">
        <v>5</v>
      </c>
      <c r="F4455" t="str" cm="1">
        <f t="array" ref="F4455">CategorizeComment(E4455)</f>
        <v>Other</v>
      </c>
      <c r="G4455" t="str" cm="1">
        <f t="array" ref="G4455">SubCategorizeComment(E4455)</f>
        <v>Other</v>
      </c>
    </row>
    <row r="4456" spans="1:7" x14ac:dyDescent="0.25">
      <c r="A4456">
        <v>36185</v>
      </c>
      <c r="B4456" t="s">
        <v>4</v>
      </c>
      <c r="C4456">
        <v>3</v>
      </c>
      <c r="D4456" t="s">
        <v>5</v>
      </c>
      <c r="F4456" t="str" cm="1">
        <f t="array" ref="F4456">CategorizeComment(E4456)</f>
        <v>Other</v>
      </c>
      <c r="G4456" t="str" cm="1">
        <f t="array" ref="G4456">SubCategorizeComment(E4456)</f>
        <v>Other</v>
      </c>
    </row>
    <row r="4457" spans="1:7" x14ac:dyDescent="0.25">
      <c r="A4457">
        <v>36189</v>
      </c>
      <c r="B4457" t="s">
        <v>4</v>
      </c>
      <c r="C4457">
        <v>3</v>
      </c>
      <c r="D4457" t="s">
        <v>5</v>
      </c>
      <c r="F4457" t="str" cm="1">
        <f t="array" ref="F4457">CategorizeComment(E4457)</f>
        <v>Other</v>
      </c>
      <c r="G4457" t="str" cm="1">
        <f t="array" ref="G4457">SubCategorizeComment(E4457)</f>
        <v>Other</v>
      </c>
    </row>
    <row r="4458" spans="1:7" x14ac:dyDescent="0.25">
      <c r="A4458">
        <v>36201</v>
      </c>
      <c r="B4458" t="s">
        <v>4</v>
      </c>
      <c r="C4458">
        <v>3</v>
      </c>
      <c r="D4458" t="s">
        <v>5</v>
      </c>
      <c r="F4458" t="str" cm="1">
        <f t="array" ref="F4458">CategorizeComment(E4458)</f>
        <v>Other</v>
      </c>
      <c r="G4458" t="str" cm="1">
        <f t="array" ref="G4458">SubCategorizeComment(E4458)</f>
        <v>Other</v>
      </c>
    </row>
    <row r="4459" spans="1:7" x14ac:dyDescent="0.25">
      <c r="A4459">
        <v>36212</v>
      </c>
      <c r="B4459" t="s">
        <v>4</v>
      </c>
      <c r="C4459">
        <v>3</v>
      </c>
      <c r="D4459" t="s">
        <v>5</v>
      </c>
      <c r="F4459" t="str" cm="1">
        <f t="array" ref="F4459">CategorizeComment(E4459)</f>
        <v>Other</v>
      </c>
      <c r="G4459" t="str" cm="1">
        <f t="array" ref="G4459">SubCategorizeComment(E4459)</f>
        <v>Other</v>
      </c>
    </row>
    <row r="4460" spans="1:7" x14ac:dyDescent="0.25">
      <c r="A4460">
        <v>36221</v>
      </c>
      <c r="B4460" t="s">
        <v>4</v>
      </c>
      <c r="C4460">
        <v>3</v>
      </c>
      <c r="D4460" t="s">
        <v>5</v>
      </c>
      <c r="F4460" t="str" cm="1">
        <f t="array" ref="F4460">CategorizeComment(E4460)</f>
        <v>Other</v>
      </c>
      <c r="G4460" t="str" cm="1">
        <f t="array" ref="G4460">SubCategorizeComment(E4460)</f>
        <v>Other</v>
      </c>
    </row>
    <row r="4461" spans="1:7" x14ac:dyDescent="0.25">
      <c r="A4461">
        <v>36233</v>
      </c>
      <c r="B4461" t="s">
        <v>4</v>
      </c>
      <c r="C4461">
        <v>3</v>
      </c>
      <c r="D4461" t="s">
        <v>5</v>
      </c>
      <c r="F4461" t="str" cm="1">
        <f t="array" ref="F4461">CategorizeComment(E4461)</f>
        <v>Other</v>
      </c>
      <c r="G4461" t="str" cm="1">
        <f t="array" ref="G4461">SubCategorizeComment(E4461)</f>
        <v>Other</v>
      </c>
    </row>
    <row r="4462" spans="1:7" x14ac:dyDescent="0.25">
      <c r="A4462">
        <v>36238</v>
      </c>
      <c r="B4462" t="s">
        <v>4</v>
      </c>
      <c r="C4462">
        <v>4</v>
      </c>
      <c r="D4462" t="s">
        <v>5</v>
      </c>
      <c r="F4462" t="str" cm="1">
        <f t="array" ref="F4462">CategorizeComment(E4462)</f>
        <v>Other</v>
      </c>
      <c r="G4462" t="str" cm="1">
        <f t="array" ref="G4462">SubCategorizeComment(E4462)</f>
        <v>Other</v>
      </c>
    </row>
    <row r="4463" spans="1:7" x14ac:dyDescent="0.25">
      <c r="A4463">
        <v>36240</v>
      </c>
      <c r="B4463" t="s">
        <v>4</v>
      </c>
      <c r="C4463">
        <v>4</v>
      </c>
      <c r="D4463" t="s">
        <v>5</v>
      </c>
      <c r="F4463" t="str" cm="1">
        <f t="array" ref="F4463">CategorizeComment(E4463)</f>
        <v>Other</v>
      </c>
      <c r="G4463" t="str" cm="1">
        <f t="array" ref="G4463">SubCategorizeComment(E4463)</f>
        <v>Other</v>
      </c>
    </row>
    <row r="4464" spans="1:7" x14ac:dyDescent="0.25">
      <c r="A4464">
        <v>36242</v>
      </c>
      <c r="B4464" t="s">
        <v>4</v>
      </c>
      <c r="C4464">
        <v>3</v>
      </c>
      <c r="D4464" t="s">
        <v>5</v>
      </c>
      <c r="F4464" t="str" cm="1">
        <f t="array" ref="F4464">CategorizeComment(E4464)</f>
        <v>Other</v>
      </c>
      <c r="G4464" t="str" cm="1">
        <f t="array" ref="G4464">SubCategorizeComment(E4464)</f>
        <v>Other</v>
      </c>
    </row>
    <row r="4465" spans="1:7" x14ac:dyDescent="0.25">
      <c r="A4465">
        <v>36250</v>
      </c>
      <c r="B4465" t="s">
        <v>4</v>
      </c>
      <c r="C4465">
        <v>3</v>
      </c>
      <c r="D4465" t="s">
        <v>5</v>
      </c>
      <c r="F4465" t="str" cm="1">
        <f t="array" ref="F4465">CategorizeComment(E4465)</f>
        <v>Other</v>
      </c>
      <c r="G4465" t="str" cm="1">
        <f t="array" ref="G4465">SubCategorizeComment(E4465)</f>
        <v>Other</v>
      </c>
    </row>
    <row r="4466" spans="1:7" x14ac:dyDescent="0.25">
      <c r="A4466">
        <v>36253</v>
      </c>
      <c r="B4466" t="s">
        <v>4</v>
      </c>
      <c r="C4466">
        <v>4</v>
      </c>
      <c r="D4466" t="s">
        <v>5</v>
      </c>
      <c r="F4466" t="str" cm="1">
        <f t="array" ref="F4466">CategorizeComment(E4466)</f>
        <v>Other</v>
      </c>
      <c r="G4466" t="str" cm="1">
        <f t="array" ref="G4466">SubCategorizeComment(E4466)</f>
        <v>Other</v>
      </c>
    </row>
    <row r="4467" spans="1:7" x14ac:dyDescent="0.25">
      <c r="A4467">
        <v>36254</v>
      </c>
      <c r="B4467" t="s">
        <v>4</v>
      </c>
      <c r="C4467">
        <v>4</v>
      </c>
      <c r="D4467" t="s">
        <v>5</v>
      </c>
      <c r="F4467" t="str" cm="1">
        <f t="array" ref="F4467">CategorizeComment(E4467)</f>
        <v>Other</v>
      </c>
      <c r="G4467" t="str" cm="1">
        <f t="array" ref="G4467">SubCategorizeComment(E4467)</f>
        <v>Other</v>
      </c>
    </row>
    <row r="4468" spans="1:7" x14ac:dyDescent="0.25">
      <c r="A4468">
        <v>36257</v>
      </c>
      <c r="B4468" t="s">
        <v>4</v>
      </c>
      <c r="C4468">
        <v>4</v>
      </c>
      <c r="D4468" t="s">
        <v>5</v>
      </c>
      <c r="F4468" t="str" cm="1">
        <f t="array" ref="F4468">CategorizeComment(E4468)</f>
        <v>Other</v>
      </c>
      <c r="G4468" t="str" cm="1">
        <f t="array" ref="G4468">SubCategorizeComment(E4468)</f>
        <v>Other</v>
      </c>
    </row>
    <row r="4469" spans="1:7" x14ac:dyDescent="0.25">
      <c r="A4469">
        <v>36263</v>
      </c>
      <c r="B4469" t="s">
        <v>4</v>
      </c>
      <c r="C4469">
        <v>4</v>
      </c>
      <c r="D4469" t="s">
        <v>5</v>
      </c>
      <c r="F4469" t="str" cm="1">
        <f t="array" ref="F4469">CategorizeComment(E4469)</f>
        <v>Other</v>
      </c>
      <c r="G4469" t="str" cm="1">
        <f t="array" ref="G4469">SubCategorizeComment(E4469)</f>
        <v>Other</v>
      </c>
    </row>
    <row r="4470" spans="1:7" x14ac:dyDescent="0.25">
      <c r="A4470">
        <v>36264</v>
      </c>
      <c r="B4470" t="s">
        <v>4</v>
      </c>
      <c r="C4470">
        <v>4</v>
      </c>
      <c r="D4470" t="s">
        <v>5</v>
      </c>
      <c r="F4470" t="str" cm="1">
        <f t="array" ref="F4470">CategorizeComment(E4470)</f>
        <v>Other</v>
      </c>
      <c r="G4470" t="str" cm="1">
        <f t="array" ref="G4470">SubCategorizeComment(E4470)</f>
        <v>Other</v>
      </c>
    </row>
    <row r="4471" spans="1:7" x14ac:dyDescent="0.25">
      <c r="A4471">
        <v>36269</v>
      </c>
      <c r="B4471" t="s">
        <v>4</v>
      </c>
      <c r="C4471">
        <v>3</v>
      </c>
      <c r="D4471" t="s">
        <v>5</v>
      </c>
      <c r="F4471" t="str" cm="1">
        <f t="array" ref="F4471">CategorizeComment(E4471)</f>
        <v>Other</v>
      </c>
      <c r="G4471" t="str" cm="1">
        <f t="array" ref="G4471">SubCategorizeComment(E4471)</f>
        <v>Other</v>
      </c>
    </row>
    <row r="4472" spans="1:7" x14ac:dyDescent="0.25">
      <c r="A4472">
        <v>36301</v>
      </c>
      <c r="B4472" t="s">
        <v>4</v>
      </c>
      <c r="C4472">
        <v>3</v>
      </c>
      <c r="D4472" t="s">
        <v>5</v>
      </c>
      <c r="F4472" t="str" cm="1">
        <f t="array" ref="F4472">CategorizeComment(E4472)</f>
        <v>Other</v>
      </c>
      <c r="G4472" t="str" cm="1">
        <f t="array" ref="G4472">SubCategorizeComment(E4472)</f>
        <v>Other</v>
      </c>
    </row>
    <row r="4473" spans="1:7" x14ac:dyDescent="0.25">
      <c r="A4473">
        <v>36310</v>
      </c>
      <c r="B4473" t="s">
        <v>4</v>
      </c>
      <c r="C4473">
        <v>3</v>
      </c>
      <c r="D4473" t="s">
        <v>5</v>
      </c>
      <c r="F4473" t="str" cm="1">
        <f t="array" ref="F4473">CategorizeComment(E4473)</f>
        <v>Other</v>
      </c>
      <c r="G4473" t="str" cm="1">
        <f t="array" ref="G4473">SubCategorizeComment(E4473)</f>
        <v>Other</v>
      </c>
    </row>
    <row r="4474" spans="1:7" x14ac:dyDescent="0.25">
      <c r="A4474">
        <v>36312</v>
      </c>
      <c r="B4474" t="s">
        <v>4</v>
      </c>
      <c r="C4474">
        <v>4</v>
      </c>
      <c r="D4474" t="s">
        <v>5</v>
      </c>
      <c r="F4474" t="str" cm="1">
        <f t="array" ref="F4474">CategorizeComment(E4474)</f>
        <v>Other</v>
      </c>
      <c r="G4474" t="str" cm="1">
        <f t="array" ref="G4474">SubCategorizeComment(E4474)</f>
        <v>Other</v>
      </c>
    </row>
    <row r="4475" spans="1:7" x14ac:dyDescent="0.25">
      <c r="A4475">
        <v>36330</v>
      </c>
      <c r="B4475" t="s">
        <v>4</v>
      </c>
      <c r="C4475">
        <v>4</v>
      </c>
      <c r="D4475" t="s">
        <v>5</v>
      </c>
      <c r="F4475" t="str" cm="1">
        <f t="array" ref="F4475">CategorizeComment(E4475)</f>
        <v>Other</v>
      </c>
      <c r="G4475" t="str" cm="1">
        <f t="array" ref="G4475">SubCategorizeComment(E4475)</f>
        <v>Other</v>
      </c>
    </row>
    <row r="4476" spans="1:7" x14ac:dyDescent="0.25">
      <c r="A4476">
        <v>36333</v>
      </c>
      <c r="B4476" t="s">
        <v>4</v>
      </c>
      <c r="C4476">
        <v>4</v>
      </c>
      <c r="D4476" t="s">
        <v>5</v>
      </c>
      <c r="F4476" t="str" cm="1">
        <f t="array" ref="F4476">CategorizeComment(E4476)</f>
        <v>Other</v>
      </c>
      <c r="G4476" t="str" cm="1">
        <f t="array" ref="G4476">SubCategorizeComment(E4476)</f>
        <v>Other</v>
      </c>
    </row>
    <row r="4477" spans="1:7" x14ac:dyDescent="0.25">
      <c r="A4477">
        <v>36343</v>
      </c>
      <c r="B4477" t="s">
        <v>4</v>
      </c>
      <c r="C4477">
        <v>3</v>
      </c>
      <c r="D4477" t="s">
        <v>5</v>
      </c>
      <c r="F4477" t="str" cm="1">
        <f t="array" ref="F4477">CategorizeComment(E4477)</f>
        <v>Other</v>
      </c>
      <c r="G4477" t="str" cm="1">
        <f t="array" ref="G4477">SubCategorizeComment(E4477)</f>
        <v>Other</v>
      </c>
    </row>
    <row r="4478" spans="1:7" x14ac:dyDescent="0.25">
      <c r="A4478">
        <v>36355</v>
      </c>
      <c r="B4478" t="s">
        <v>4</v>
      </c>
      <c r="C4478">
        <v>4</v>
      </c>
      <c r="D4478" t="s">
        <v>5</v>
      </c>
      <c r="F4478" t="str" cm="1">
        <f t="array" ref="F4478">CategorizeComment(E4478)</f>
        <v>Other</v>
      </c>
      <c r="G4478" t="str" cm="1">
        <f t="array" ref="G4478">SubCategorizeComment(E4478)</f>
        <v>Other</v>
      </c>
    </row>
    <row r="4479" spans="1:7" x14ac:dyDescent="0.25">
      <c r="A4479">
        <v>36378</v>
      </c>
      <c r="B4479" t="s">
        <v>4</v>
      </c>
      <c r="C4479">
        <v>4</v>
      </c>
      <c r="D4479" t="s">
        <v>5</v>
      </c>
      <c r="F4479" t="str" cm="1">
        <f t="array" ref="F4479">CategorizeComment(E4479)</f>
        <v>Other</v>
      </c>
      <c r="G4479" t="str" cm="1">
        <f t="array" ref="G4479">SubCategorizeComment(E4479)</f>
        <v>Other</v>
      </c>
    </row>
    <row r="4480" spans="1:7" x14ac:dyDescent="0.25">
      <c r="A4480">
        <v>36386</v>
      </c>
      <c r="B4480" t="s">
        <v>4</v>
      </c>
      <c r="C4480">
        <v>4</v>
      </c>
      <c r="D4480" t="s">
        <v>5</v>
      </c>
      <c r="F4480" t="str" cm="1">
        <f t="array" ref="F4480">CategorizeComment(E4480)</f>
        <v>Other</v>
      </c>
      <c r="G4480" t="str" cm="1">
        <f t="array" ref="G4480">SubCategorizeComment(E4480)</f>
        <v>Other</v>
      </c>
    </row>
    <row r="4481" spans="1:7" x14ac:dyDescent="0.25">
      <c r="A4481">
        <v>36393</v>
      </c>
      <c r="B4481" t="s">
        <v>4</v>
      </c>
      <c r="C4481">
        <v>4</v>
      </c>
      <c r="D4481" t="s">
        <v>5</v>
      </c>
      <c r="F4481" t="str" cm="1">
        <f t="array" ref="F4481">CategorizeComment(E4481)</f>
        <v>Other</v>
      </c>
      <c r="G4481" t="str" cm="1">
        <f t="array" ref="G4481">SubCategorizeComment(E4481)</f>
        <v>Other</v>
      </c>
    </row>
    <row r="4482" spans="1:7" x14ac:dyDescent="0.25">
      <c r="A4482">
        <v>36394</v>
      </c>
      <c r="B4482" t="s">
        <v>4</v>
      </c>
      <c r="C4482">
        <v>4</v>
      </c>
      <c r="D4482" t="s">
        <v>5</v>
      </c>
      <c r="F4482" t="str" cm="1">
        <f t="array" ref="F4482">CategorizeComment(E4482)</f>
        <v>Other</v>
      </c>
      <c r="G4482" t="str" cm="1">
        <f t="array" ref="G4482">SubCategorizeComment(E4482)</f>
        <v>Other</v>
      </c>
    </row>
    <row r="4483" spans="1:7" x14ac:dyDescent="0.25">
      <c r="A4483">
        <v>36426</v>
      </c>
      <c r="B4483" t="s">
        <v>4</v>
      </c>
      <c r="C4483">
        <v>4</v>
      </c>
      <c r="D4483" t="s">
        <v>5</v>
      </c>
      <c r="F4483" t="str" cm="1">
        <f t="array" ref="F4483">CategorizeComment(E4483)</f>
        <v>Other</v>
      </c>
      <c r="G4483" t="str" cm="1">
        <f t="array" ref="G4483">SubCategorizeComment(E4483)</f>
        <v>Other</v>
      </c>
    </row>
    <row r="4484" spans="1:7" x14ac:dyDescent="0.25">
      <c r="A4484">
        <v>36444</v>
      </c>
      <c r="B4484" t="s">
        <v>4</v>
      </c>
      <c r="C4484">
        <v>4</v>
      </c>
      <c r="D4484" t="s">
        <v>5</v>
      </c>
      <c r="F4484" t="str" cm="1">
        <f t="array" ref="F4484">CategorizeComment(E4484)</f>
        <v>Other</v>
      </c>
      <c r="G4484" t="str" cm="1">
        <f t="array" ref="G4484">SubCategorizeComment(E4484)</f>
        <v>Other</v>
      </c>
    </row>
    <row r="4485" spans="1:7" x14ac:dyDescent="0.25">
      <c r="A4485">
        <v>36451</v>
      </c>
      <c r="B4485" t="s">
        <v>4</v>
      </c>
      <c r="C4485">
        <v>4</v>
      </c>
      <c r="D4485" t="s">
        <v>5</v>
      </c>
      <c r="F4485" t="str" cm="1">
        <f t="array" ref="F4485">CategorizeComment(E4485)</f>
        <v>Other</v>
      </c>
      <c r="G4485" t="str" cm="1">
        <f t="array" ref="G4485">SubCategorizeComment(E4485)</f>
        <v>Other</v>
      </c>
    </row>
    <row r="4486" spans="1:7" x14ac:dyDescent="0.25">
      <c r="A4486">
        <v>36491</v>
      </c>
      <c r="B4486" t="s">
        <v>4</v>
      </c>
      <c r="C4486">
        <v>3</v>
      </c>
      <c r="D4486" t="s">
        <v>5</v>
      </c>
      <c r="F4486" t="str" cm="1">
        <f t="array" ref="F4486">CategorizeComment(E4486)</f>
        <v>Other</v>
      </c>
      <c r="G4486" t="str" cm="1">
        <f t="array" ref="G4486">SubCategorizeComment(E4486)</f>
        <v>Other</v>
      </c>
    </row>
    <row r="4487" spans="1:7" x14ac:dyDescent="0.25">
      <c r="A4487">
        <v>36494</v>
      </c>
      <c r="B4487" t="s">
        <v>4</v>
      </c>
      <c r="C4487">
        <v>3</v>
      </c>
      <c r="D4487" t="s">
        <v>5</v>
      </c>
      <c r="F4487" t="str" cm="1">
        <f t="array" ref="F4487">CategorizeComment(E4487)</f>
        <v>Other</v>
      </c>
      <c r="G4487" t="str" cm="1">
        <f t="array" ref="G4487">SubCategorizeComment(E4487)</f>
        <v>Other</v>
      </c>
    </row>
    <row r="4488" spans="1:7" x14ac:dyDescent="0.25">
      <c r="A4488">
        <v>36521</v>
      </c>
      <c r="B4488" t="s">
        <v>4</v>
      </c>
      <c r="C4488">
        <v>3</v>
      </c>
      <c r="D4488" t="s">
        <v>5</v>
      </c>
      <c r="F4488" t="str" cm="1">
        <f t="array" ref="F4488">CategorizeComment(E4488)</f>
        <v>Other</v>
      </c>
      <c r="G4488" t="str" cm="1">
        <f t="array" ref="G4488">SubCategorizeComment(E4488)</f>
        <v>Other</v>
      </c>
    </row>
    <row r="4489" spans="1:7" x14ac:dyDescent="0.25">
      <c r="A4489">
        <v>36564</v>
      </c>
      <c r="B4489" t="s">
        <v>4</v>
      </c>
      <c r="C4489">
        <v>3</v>
      </c>
      <c r="D4489" t="s">
        <v>5</v>
      </c>
      <c r="F4489" t="str" cm="1">
        <f t="array" ref="F4489">CategorizeComment(E4489)</f>
        <v>Other</v>
      </c>
      <c r="G4489" t="str" cm="1">
        <f t="array" ref="G4489">SubCategorizeComment(E4489)</f>
        <v>Other</v>
      </c>
    </row>
    <row r="4490" spans="1:7" x14ac:dyDescent="0.25">
      <c r="A4490">
        <v>36566</v>
      </c>
      <c r="B4490" t="s">
        <v>4</v>
      </c>
      <c r="C4490">
        <v>3</v>
      </c>
      <c r="D4490" t="s">
        <v>5</v>
      </c>
      <c r="F4490" t="str" cm="1">
        <f t="array" ref="F4490">CategorizeComment(E4490)</f>
        <v>Other</v>
      </c>
      <c r="G4490" t="str" cm="1">
        <f t="array" ref="G4490">SubCategorizeComment(E4490)</f>
        <v>Other</v>
      </c>
    </row>
    <row r="4491" spans="1:7" x14ac:dyDescent="0.25">
      <c r="A4491">
        <v>36580</v>
      </c>
      <c r="B4491" t="s">
        <v>4</v>
      </c>
      <c r="C4491">
        <v>3</v>
      </c>
      <c r="D4491" t="s">
        <v>5</v>
      </c>
      <c r="F4491" t="str" cm="1">
        <f t="array" ref="F4491">CategorizeComment(E4491)</f>
        <v>Other</v>
      </c>
      <c r="G4491" t="str" cm="1">
        <f t="array" ref="G4491">SubCategorizeComment(E4491)</f>
        <v>Other</v>
      </c>
    </row>
    <row r="4492" spans="1:7" x14ac:dyDescent="0.25">
      <c r="A4492">
        <v>36581</v>
      </c>
      <c r="B4492" t="s">
        <v>4</v>
      </c>
      <c r="C4492">
        <v>3</v>
      </c>
      <c r="D4492" t="s">
        <v>5</v>
      </c>
      <c r="F4492" t="str" cm="1">
        <f t="array" ref="F4492">CategorizeComment(E4492)</f>
        <v>Other</v>
      </c>
      <c r="G4492" t="str" cm="1">
        <f t="array" ref="G4492">SubCategorizeComment(E4492)</f>
        <v>Other</v>
      </c>
    </row>
    <row r="4493" spans="1:7" x14ac:dyDescent="0.25">
      <c r="A4493">
        <v>36584</v>
      </c>
      <c r="B4493" t="s">
        <v>4</v>
      </c>
      <c r="C4493">
        <v>3</v>
      </c>
      <c r="D4493" t="s">
        <v>5</v>
      </c>
      <c r="F4493" t="str" cm="1">
        <f t="array" ref="F4493">CategorizeComment(E4493)</f>
        <v>Other</v>
      </c>
      <c r="G4493" t="str" cm="1">
        <f t="array" ref="G4493">SubCategorizeComment(E4493)</f>
        <v>Other</v>
      </c>
    </row>
    <row r="4494" spans="1:7" x14ac:dyDescent="0.25">
      <c r="A4494">
        <v>36585</v>
      </c>
      <c r="B4494" t="s">
        <v>4</v>
      </c>
      <c r="C4494">
        <v>3</v>
      </c>
      <c r="D4494" t="s">
        <v>5</v>
      </c>
      <c r="F4494" t="str" cm="1">
        <f t="array" ref="F4494">CategorizeComment(E4494)</f>
        <v>Other</v>
      </c>
      <c r="G4494" t="str" cm="1">
        <f t="array" ref="G4494">SubCategorizeComment(E4494)</f>
        <v>Other</v>
      </c>
    </row>
    <row r="4495" spans="1:7" x14ac:dyDescent="0.25">
      <c r="A4495">
        <v>36592</v>
      </c>
      <c r="B4495" t="s">
        <v>4</v>
      </c>
      <c r="C4495">
        <v>3</v>
      </c>
      <c r="D4495" t="s">
        <v>5</v>
      </c>
      <c r="F4495" t="str" cm="1">
        <f t="array" ref="F4495">CategorizeComment(E4495)</f>
        <v>Other</v>
      </c>
      <c r="G4495" t="str" cm="1">
        <f t="array" ref="G4495">SubCategorizeComment(E4495)</f>
        <v>Other</v>
      </c>
    </row>
    <row r="4496" spans="1:7" x14ac:dyDescent="0.25">
      <c r="A4496">
        <v>36593</v>
      </c>
      <c r="B4496" t="s">
        <v>4</v>
      </c>
      <c r="C4496">
        <v>4</v>
      </c>
      <c r="D4496" t="s">
        <v>5</v>
      </c>
      <c r="F4496" t="str" cm="1">
        <f t="array" ref="F4496">CategorizeComment(E4496)</f>
        <v>Other</v>
      </c>
      <c r="G4496" t="str" cm="1">
        <f t="array" ref="G4496">SubCategorizeComment(E4496)</f>
        <v>Other</v>
      </c>
    </row>
    <row r="4497" spans="1:7" x14ac:dyDescent="0.25">
      <c r="A4497">
        <v>36595</v>
      </c>
      <c r="B4497" t="s">
        <v>4</v>
      </c>
      <c r="C4497">
        <v>4</v>
      </c>
      <c r="D4497" t="s">
        <v>5</v>
      </c>
      <c r="F4497" t="str" cm="1">
        <f t="array" ref="F4497">CategorizeComment(E4497)</f>
        <v>Other</v>
      </c>
      <c r="G4497" t="str" cm="1">
        <f t="array" ref="G4497">SubCategorizeComment(E4497)</f>
        <v>Other</v>
      </c>
    </row>
    <row r="4498" spans="1:7" x14ac:dyDescent="0.25">
      <c r="A4498">
        <v>36601</v>
      </c>
      <c r="B4498" t="s">
        <v>4</v>
      </c>
      <c r="C4498">
        <v>3</v>
      </c>
      <c r="D4498" t="s">
        <v>5</v>
      </c>
      <c r="F4498" t="str" cm="1">
        <f t="array" ref="F4498">CategorizeComment(E4498)</f>
        <v>Other</v>
      </c>
      <c r="G4498" t="str" cm="1">
        <f t="array" ref="G4498">SubCategorizeComment(E4498)</f>
        <v>Other</v>
      </c>
    </row>
    <row r="4499" spans="1:7" x14ac:dyDescent="0.25">
      <c r="A4499">
        <v>36602</v>
      </c>
      <c r="B4499" t="s">
        <v>4</v>
      </c>
      <c r="C4499">
        <v>4</v>
      </c>
      <c r="D4499" t="s">
        <v>5</v>
      </c>
      <c r="F4499" t="str" cm="1">
        <f t="array" ref="F4499">CategorizeComment(E4499)</f>
        <v>Other</v>
      </c>
      <c r="G4499" t="str" cm="1">
        <f t="array" ref="G4499">SubCategorizeComment(E4499)</f>
        <v>Other</v>
      </c>
    </row>
    <row r="4500" spans="1:7" x14ac:dyDescent="0.25">
      <c r="A4500">
        <v>36616</v>
      </c>
      <c r="B4500" t="s">
        <v>4</v>
      </c>
      <c r="C4500">
        <v>3</v>
      </c>
      <c r="D4500" t="s">
        <v>5</v>
      </c>
      <c r="F4500" t="str" cm="1">
        <f t="array" ref="F4500">CategorizeComment(E4500)</f>
        <v>Other</v>
      </c>
      <c r="G4500" t="str" cm="1">
        <f t="array" ref="G4500">SubCategorizeComment(E4500)</f>
        <v>Other</v>
      </c>
    </row>
    <row r="4501" spans="1:7" x14ac:dyDescent="0.25">
      <c r="A4501">
        <v>36626</v>
      </c>
      <c r="B4501" t="s">
        <v>4</v>
      </c>
      <c r="C4501">
        <v>4</v>
      </c>
      <c r="D4501" t="s">
        <v>5</v>
      </c>
      <c r="F4501" t="str" cm="1">
        <f t="array" ref="F4501">CategorizeComment(E4501)</f>
        <v>Other</v>
      </c>
      <c r="G4501" t="str" cm="1">
        <f t="array" ref="G4501">SubCategorizeComment(E4501)</f>
        <v>Other</v>
      </c>
    </row>
    <row r="4502" spans="1:7" x14ac:dyDescent="0.25">
      <c r="A4502">
        <v>36628</v>
      </c>
      <c r="B4502" t="s">
        <v>4</v>
      </c>
      <c r="C4502">
        <v>3</v>
      </c>
      <c r="D4502" t="s">
        <v>5</v>
      </c>
      <c r="F4502" t="str" cm="1">
        <f t="array" ref="F4502">CategorizeComment(E4502)</f>
        <v>Other</v>
      </c>
      <c r="G4502" t="str" cm="1">
        <f t="array" ref="G4502">SubCategorizeComment(E4502)</f>
        <v>Other</v>
      </c>
    </row>
    <row r="4503" spans="1:7" x14ac:dyDescent="0.25">
      <c r="A4503">
        <v>36632</v>
      </c>
      <c r="B4503" t="s">
        <v>4</v>
      </c>
      <c r="C4503">
        <v>4</v>
      </c>
      <c r="D4503" t="s">
        <v>5</v>
      </c>
      <c r="F4503" t="str" cm="1">
        <f t="array" ref="F4503">CategorizeComment(E4503)</f>
        <v>Other</v>
      </c>
      <c r="G4503" t="str" cm="1">
        <f t="array" ref="G4503">SubCategorizeComment(E4503)</f>
        <v>Other</v>
      </c>
    </row>
    <row r="4504" spans="1:7" x14ac:dyDescent="0.25">
      <c r="A4504">
        <v>36633</v>
      </c>
      <c r="B4504" t="s">
        <v>4</v>
      </c>
      <c r="C4504">
        <v>3</v>
      </c>
      <c r="D4504" t="s">
        <v>5</v>
      </c>
      <c r="F4504" t="str" cm="1">
        <f t="array" ref="F4504">CategorizeComment(E4504)</f>
        <v>Other</v>
      </c>
      <c r="G4504" t="str" cm="1">
        <f t="array" ref="G4504">SubCategorizeComment(E4504)</f>
        <v>Other</v>
      </c>
    </row>
    <row r="4505" spans="1:7" x14ac:dyDescent="0.25">
      <c r="A4505">
        <v>36648</v>
      </c>
      <c r="B4505" t="s">
        <v>4</v>
      </c>
      <c r="C4505">
        <v>3</v>
      </c>
      <c r="D4505" t="s">
        <v>5</v>
      </c>
      <c r="F4505" t="str" cm="1">
        <f t="array" ref="F4505">CategorizeComment(E4505)</f>
        <v>Other</v>
      </c>
      <c r="G4505" t="str" cm="1">
        <f t="array" ref="G4505">SubCategorizeComment(E4505)</f>
        <v>Other</v>
      </c>
    </row>
    <row r="4506" spans="1:7" x14ac:dyDescent="0.25">
      <c r="A4506">
        <v>36671</v>
      </c>
      <c r="B4506" t="s">
        <v>4</v>
      </c>
      <c r="C4506">
        <v>4</v>
      </c>
      <c r="D4506" t="s">
        <v>5</v>
      </c>
      <c r="F4506" t="str" cm="1">
        <f t="array" ref="F4506">CategorizeComment(E4506)</f>
        <v>Other</v>
      </c>
      <c r="G4506" t="str" cm="1">
        <f t="array" ref="G4506">SubCategorizeComment(E4506)</f>
        <v>Other</v>
      </c>
    </row>
    <row r="4507" spans="1:7" x14ac:dyDescent="0.25">
      <c r="A4507">
        <v>36672</v>
      </c>
      <c r="B4507" t="s">
        <v>4</v>
      </c>
      <c r="C4507">
        <v>3</v>
      </c>
      <c r="D4507" t="s">
        <v>5</v>
      </c>
      <c r="F4507" t="str" cm="1">
        <f t="array" ref="F4507">CategorizeComment(E4507)</f>
        <v>Other</v>
      </c>
      <c r="G4507" t="str" cm="1">
        <f t="array" ref="G4507">SubCategorizeComment(E4507)</f>
        <v>Other</v>
      </c>
    </row>
    <row r="4508" spans="1:7" x14ac:dyDescent="0.25">
      <c r="A4508">
        <v>36674</v>
      </c>
      <c r="B4508" t="s">
        <v>4</v>
      </c>
      <c r="C4508">
        <v>3</v>
      </c>
      <c r="D4508" t="s">
        <v>5</v>
      </c>
      <c r="F4508" t="str" cm="1">
        <f t="array" ref="F4508">CategorizeComment(E4508)</f>
        <v>Other</v>
      </c>
      <c r="G4508" t="str" cm="1">
        <f t="array" ref="G4508">SubCategorizeComment(E4508)</f>
        <v>Other</v>
      </c>
    </row>
    <row r="4509" spans="1:7" x14ac:dyDescent="0.25">
      <c r="A4509">
        <v>36701</v>
      </c>
      <c r="B4509" t="s">
        <v>4</v>
      </c>
      <c r="C4509">
        <v>4</v>
      </c>
      <c r="D4509" t="s">
        <v>5</v>
      </c>
      <c r="F4509" t="str" cm="1">
        <f t="array" ref="F4509">CategorizeComment(E4509)</f>
        <v>Other</v>
      </c>
      <c r="G4509" t="str" cm="1">
        <f t="array" ref="G4509">SubCategorizeComment(E4509)</f>
        <v>Other</v>
      </c>
    </row>
    <row r="4510" spans="1:7" x14ac:dyDescent="0.25">
      <c r="A4510">
        <v>36707</v>
      </c>
      <c r="B4510" t="s">
        <v>4</v>
      </c>
      <c r="C4510">
        <v>3</v>
      </c>
      <c r="D4510" t="s">
        <v>5</v>
      </c>
      <c r="F4510" t="str" cm="1">
        <f t="array" ref="F4510">CategorizeComment(E4510)</f>
        <v>Other</v>
      </c>
      <c r="G4510" t="str" cm="1">
        <f t="array" ref="G4510">SubCategorizeComment(E4510)</f>
        <v>Other</v>
      </c>
    </row>
    <row r="4511" spans="1:7" x14ac:dyDescent="0.25">
      <c r="A4511">
        <v>36716</v>
      </c>
      <c r="B4511" t="s">
        <v>4</v>
      </c>
      <c r="C4511">
        <v>4</v>
      </c>
      <c r="D4511" t="s">
        <v>5</v>
      </c>
      <c r="F4511" t="str" cm="1">
        <f t="array" ref="F4511">CategorizeComment(E4511)</f>
        <v>Other</v>
      </c>
      <c r="G4511" t="str" cm="1">
        <f t="array" ref="G4511">SubCategorizeComment(E4511)</f>
        <v>Other</v>
      </c>
    </row>
    <row r="4512" spans="1:7" x14ac:dyDescent="0.25">
      <c r="A4512">
        <v>36724</v>
      </c>
      <c r="B4512" t="s">
        <v>4</v>
      </c>
      <c r="C4512">
        <v>3</v>
      </c>
      <c r="D4512" t="s">
        <v>5</v>
      </c>
      <c r="F4512" t="str" cm="1">
        <f t="array" ref="F4512">CategorizeComment(E4512)</f>
        <v>Other</v>
      </c>
      <c r="G4512" t="str" cm="1">
        <f t="array" ref="G4512">SubCategorizeComment(E4512)</f>
        <v>Other</v>
      </c>
    </row>
    <row r="4513" spans="1:7" x14ac:dyDescent="0.25">
      <c r="A4513">
        <v>36726</v>
      </c>
      <c r="B4513" t="s">
        <v>4</v>
      </c>
      <c r="C4513">
        <v>4</v>
      </c>
      <c r="D4513" t="s">
        <v>5</v>
      </c>
      <c r="F4513" t="str" cm="1">
        <f t="array" ref="F4513">CategorizeComment(E4513)</f>
        <v>Other</v>
      </c>
      <c r="G4513" t="str" cm="1">
        <f t="array" ref="G4513">SubCategorizeComment(E4513)</f>
        <v>Other</v>
      </c>
    </row>
    <row r="4514" spans="1:7" x14ac:dyDescent="0.25">
      <c r="A4514">
        <v>36734</v>
      </c>
      <c r="B4514" t="s">
        <v>4</v>
      </c>
      <c r="C4514">
        <v>3</v>
      </c>
      <c r="D4514" t="s">
        <v>5</v>
      </c>
      <c r="F4514" t="str" cm="1">
        <f t="array" ref="F4514">CategorizeComment(E4514)</f>
        <v>Other</v>
      </c>
      <c r="G4514" t="str" cm="1">
        <f t="array" ref="G4514">SubCategorizeComment(E4514)</f>
        <v>Other</v>
      </c>
    </row>
    <row r="4515" spans="1:7" x14ac:dyDescent="0.25">
      <c r="A4515">
        <v>36735</v>
      </c>
      <c r="B4515" t="s">
        <v>4</v>
      </c>
      <c r="C4515">
        <v>4</v>
      </c>
      <c r="D4515" t="s">
        <v>5</v>
      </c>
      <c r="F4515" t="str" cm="1">
        <f t="array" ref="F4515">CategorizeComment(E4515)</f>
        <v>Other</v>
      </c>
      <c r="G4515" t="str" cm="1">
        <f t="array" ref="G4515">SubCategorizeComment(E4515)</f>
        <v>Other</v>
      </c>
    </row>
    <row r="4516" spans="1:7" x14ac:dyDescent="0.25">
      <c r="A4516">
        <v>36742</v>
      </c>
      <c r="B4516" t="s">
        <v>4</v>
      </c>
      <c r="C4516">
        <v>4</v>
      </c>
      <c r="D4516" t="s">
        <v>5</v>
      </c>
      <c r="F4516" t="str" cm="1">
        <f t="array" ref="F4516">CategorizeComment(E4516)</f>
        <v>Other</v>
      </c>
      <c r="G4516" t="str" cm="1">
        <f t="array" ref="G4516">SubCategorizeComment(E4516)</f>
        <v>Other</v>
      </c>
    </row>
    <row r="4517" spans="1:7" x14ac:dyDescent="0.25">
      <c r="A4517">
        <v>36748</v>
      </c>
      <c r="B4517" t="s">
        <v>4</v>
      </c>
      <c r="C4517">
        <v>3</v>
      </c>
      <c r="D4517" t="s">
        <v>5</v>
      </c>
      <c r="F4517" t="str" cm="1">
        <f t="array" ref="F4517">CategorizeComment(E4517)</f>
        <v>Other</v>
      </c>
      <c r="G4517" t="str" cm="1">
        <f t="array" ref="G4517">SubCategorizeComment(E4517)</f>
        <v>Other</v>
      </c>
    </row>
    <row r="4518" spans="1:7" x14ac:dyDescent="0.25">
      <c r="A4518">
        <v>36768</v>
      </c>
      <c r="B4518" t="s">
        <v>4</v>
      </c>
      <c r="C4518">
        <v>4</v>
      </c>
      <c r="D4518" t="s">
        <v>5</v>
      </c>
      <c r="F4518" t="str" cm="1">
        <f t="array" ref="F4518">CategorizeComment(E4518)</f>
        <v>Other</v>
      </c>
      <c r="G4518" t="str" cm="1">
        <f t="array" ref="G4518">SubCategorizeComment(E4518)</f>
        <v>Other</v>
      </c>
    </row>
    <row r="4519" spans="1:7" x14ac:dyDescent="0.25">
      <c r="A4519">
        <v>36774</v>
      </c>
      <c r="B4519" t="s">
        <v>4</v>
      </c>
      <c r="C4519">
        <v>3</v>
      </c>
      <c r="D4519" t="s">
        <v>5</v>
      </c>
      <c r="F4519" t="str" cm="1">
        <f t="array" ref="F4519">CategorizeComment(E4519)</f>
        <v>Other</v>
      </c>
      <c r="G4519" t="str" cm="1">
        <f t="array" ref="G4519">SubCategorizeComment(E4519)</f>
        <v>Other</v>
      </c>
    </row>
    <row r="4520" spans="1:7" x14ac:dyDescent="0.25">
      <c r="A4520">
        <v>36776</v>
      </c>
      <c r="B4520" t="s">
        <v>4</v>
      </c>
      <c r="C4520">
        <v>4</v>
      </c>
      <c r="D4520" t="s">
        <v>5</v>
      </c>
      <c r="F4520" t="str" cm="1">
        <f t="array" ref="F4520">CategorizeComment(E4520)</f>
        <v>Other</v>
      </c>
      <c r="G4520" t="str" cm="1">
        <f t="array" ref="G4520">SubCategorizeComment(E4520)</f>
        <v>Other</v>
      </c>
    </row>
    <row r="4521" spans="1:7" x14ac:dyDescent="0.25">
      <c r="A4521">
        <v>36779</v>
      </c>
      <c r="B4521" t="s">
        <v>4</v>
      </c>
      <c r="C4521">
        <v>3</v>
      </c>
      <c r="D4521" t="s">
        <v>5</v>
      </c>
      <c r="F4521" t="str" cm="1">
        <f t="array" ref="F4521">CategorizeComment(E4521)</f>
        <v>Other</v>
      </c>
      <c r="G4521" t="str" cm="1">
        <f t="array" ref="G4521">SubCategorizeComment(E4521)</f>
        <v>Other</v>
      </c>
    </row>
    <row r="4522" spans="1:7" x14ac:dyDescent="0.25">
      <c r="A4522">
        <v>36781</v>
      </c>
      <c r="B4522" t="s">
        <v>4</v>
      </c>
      <c r="C4522">
        <v>4</v>
      </c>
      <c r="D4522" t="s">
        <v>5</v>
      </c>
      <c r="F4522" t="str" cm="1">
        <f t="array" ref="F4522">CategorizeComment(E4522)</f>
        <v>Other</v>
      </c>
      <c r="G4522" t="str" cm="1">
        <f t="array" ref="G4522">SubCategorizeComment(E4522)</f>
        <v>Other</v>
      </c>
    </row>
    <row r="4523" spans="1:7" x14ac:dyDescent="0.25">
      <c r="A4523">
        <v>36782</v>
      </c>
      <c r="B4523" t="s">
        <v>4</v>
      </c>
      <c r="C4523">
        <v>3</v>
      </c>
      <c r="D4523" t="s">
        <v>5</v>
      </c>
      <c r="F4523" t="str" cm="1">
        <f t="array" ref="F4523">CategorizeComment(E4523)</f>
        <v>Other</v>
      </c>
      <c r="G4523" t="str" cm="1">
        <f t="array" ref="G4523">SubCategorizeComment(E4523)</f>
        <v>Other</v>
      </c>
    </row>
    <row r="4524" spans="1:7" x14ac:dyDescent="0.25">
      <c r="A4524">
        <v>36802</v>
      </c>
      <c r="B4524" t="s">
        <v>4</v>
      </c>
      <c r="C4524">
        <v>3</v>
      </c>
      <c r="D4524" t="s">
        <v>5</v>
      </c>
      <c r="F4524" t="str" cm="1">
        <f t="array" ref="F4524">CategorizeComment(E4524)</f>
        <v>Other</v>
      </c>
      <c r="G4524" t="str" cm="1">
        <f t="array" ref="G4524">SubCategorizeComment(E4524)</f>
        <v>Other</v>
      </c>
    </row>
    <row r="4525" spans="1:7" x14ac:dyDescent="0.25">
      <c r="A4525">
        <v>36809</v>
      </c>
      <c r="B4525" t="s">
        <v>4</v>
      </c>
      <c r="C4525">
        <v>3</v>
      </c>
      <c r="D4525" t="s">
        <v>5</v>
      </c>
      <c r="F4525" t="str" cm="1">
        <f t="array" ref="F4525">CategorizeComment(E4525)</f>
        <v>Other</v>
      </c>
      <c r="G4525" t="str" cm="1">
        <f t="array" ref="G4525">SubCategorizeComment(E4525)</f>
        <v>Other</v>
      </c>
    </row>
    <row r="4526" spans="1:7" x14ac:dyDescent="0.25">
      <c r="A4526">
        <v>36814</v>
      </c>
      <c r="B4526" t="s">
        <v>4</v>
      </c>
      <c r="C4526">
        <v>4</v>
      </c>
      <c r="D4526" t="s">
        <v>5</v>
      </c>
      <c r="F4526" t="str" cm="1">
        <f t="array" ref="F4526">CategorizeComment(E4526)</f>
        <v>Other</v>
      </c>
      <c r="G4526" t="str" cm="1">
        <f t="array" ref="G4526">SubCategorizeComment(E4526)</f>
        <v>Other</v>
      </c>
    </row>
    <row r="4527" spans="1:7" x14ac:dyDescent="0.25">
      <c r="A4527">
        <v>36838</v>
      </c>
      <c r="B4527" t="s">
        <v>4</v>
      </c>
      <c r="C4527">
        <v>4</v>
      </c>
      <c r="D4527" t="s">
        <v>5</v>
      </c>
      <c r="F4527" t="str" cm="1">
        <f t="array" ref="F4527">CategorizeComment(E4527)</f>
        <v>Other</v>
      </c>
      <c r="G4527" t="str" cm="1">
        <f t="array" ref="G4527">SubCategorizeComment(E4527)</f>
        <v>Other</v>
      </c>
    </row>
    <row r="4528" spans="1:7" x14ac:dyDescent="0.25">
      <c r="A4528">
        <v>36848</v>
      </c>
      <c r="B4528" t="s">
        <v>4</v>
      </c>
      <c r="C4528">
        <v>4</v>
      </c>
      <c r="D4528" t="s">
        <v>5</v>
      </c>
      <c r="F4528" t="str" cm="1">
        <f t="array" ref="F4528">CategorizeComment(E4528)</f>
        <v>Other</v>
      </c>
      <c r="G4528" t="str" cm="1">
        <f t="array" ref="G4528">SubCategorizeComment(E4528)</f>
        <v>Other</v>
      </c>
    </row>
    <row r="4529" spans="1:7" x14ac:dyDescent="0.25">
      <c r="A4529">
        <v>36860</v>
      </c>
      <c r="B4529" t="s">
        <v>4</v>
      </c>
      <c r="C4529">
        <v>3</v>
      </c>
      <c r="D4529" t="s">
        <v>5</v>
      </c>
      <c r="F4529" t="str" cm="1">
        <f t="array" ref="F4529">CategorizeComment(E4529)</f>
        <v>Other</v>
      </c>
      <c r="G4529" t="str" cm="1">
        <f t="array" ref="G4529">SubCategorizeComment(E4529)</f>
        <v>Other</v>
      </c>
    </row>
    <row r="4530" spans="1:7" x14ac:dyDescent="0.25">
      <c r="A4530">
        <v>36874</v>
      </c>
      <c r="B4530" t="s">
        <v>4</v>
      </c>
      <c r="C4530">
        <v>3</v>
      </c>
      <c r="D4530" t="s">
        <v>5</v>
      </c>
      <c r="F4530" t="str" cm="1">
        <f t="array" ref="F4530">CategorizeComment(E4530)</f>
        <v>Other</v>
      </c>
      <c r="G4530" t="str" cm="1">
        <f t="array" ref="G4530">SubCategorizeComment(E4530)</f>
        <v>Other</v>
      </c>
    </row>
    <row r="4531" spans="1:7" x14ac:dyDescent="0.25">
      <c r="A4531">
        <v>36904</v>
      </c>
      <c r="B4531" t="s">
        <v>4</v>
      </c>
      <c r="C4531">
        <v>4</v>
      </c>
      <c r="D4531" t="s">
        <v>5</v>
      </c>
      <c r="F4531" t="str" cm="1">
        <f t="array" ref="F4531">CategorizeComment(E4531)</f>
        <v>Other</v>
      </c>
      <c r="G4531" t="str" cm="1">
        <f t="array" ref="G4531">SubCategorizeComment(E4531)</f>
        <v>Other</v>
      </c>
    </row>
    <row r="4532" spans="1:7" x14ac:dyDescent="0.25">
      <c r="A4532">
        <v>36919</v>
      </c>
      <c r="B4532" t="s">
        <v>4</v>
      </c>
      <c r="C4532">
        <v>3</v>
      </c>
      <c r="D4532" t="s">
        <v>5</v>
      </c>
      <c r="F4532" t="str" cm="1">
        <f t="array" ref="F4532">CategorizeComment(E4532)</f>
        <v>Other</v>
      </c>
      <c r="G4532" t="str" cm="1">
        <f t="array" ref="G4532">SubCategorizeComment(E4532)</f>
        <v>Other</v>
      </c>
    </row>
    <row r="4533" spans="1:7" x14ac:dyDescent="0.25">
      <c r="A4533">
        <v>36922</v>
      </c>
      <c r="B4533" t="s">
        <v>4</v>
      </c>
      <c r="C4533">
        <v>4</v>
      </c>
      <c r="D4533" t="s">
        <v>5</v>
      </c>
      <c r="F4533" t="str" cm="1">
        <f t="array" ref="F4533">CategorizeComment(E4533)</f>
        <v>Other</v>
      </c>
      <c r="G4533" t="str" cm="1">
        <f t="array" ref="G4533">SubCategorizeComment(E4533)</f>
        <v>Other</v>
      </c>
    </row>
    <row r="4534" spans="1:7" x14ac:dyDescent="0.25">
      <c r="A4534">
        <v>36945</v>
      </c>
      <c r="B4534" t="s">
        <v>4</v>
      </c>
      <c r="C4534">
        <v>4</v>
      </c>
      <c r="D4534" t="s">
        <v>5</v>
      </c>
      <c r="F4534" t="str" cm="1">
        <f t="array" ref="F4534">CategorizeComment(E4534)</f>
        <v>Other</v>
      </c>
      <c r="G4534" t="str" cm="1">
        <f t="array" ref="G4534">SubCategorizeComment(E4534)</f>
        <v>Other</v>
      </c>
    </row>
    <row r="4535" spans="1:7" x14ac:dyDescent="0.25">
      <c r="A4535">
        <v>36947</v>
      </c>
      <c r="B4535" t="s">
        <v>4</v>
      </c>
      <c r="C4535">
        <v>4</v>
      </c>
      <c r="D4535" t="s">
        <v>5</v>
      </c>
      <c r="F4535" t="str" cm="1">
        <f t="array" ref="F4535">CategorizeComment(E4535)</f>
        <v>Other</v>
      </c>
      <c r="G4535" t="str" cm="1">
        <f t="array" ref="G4535">SubCategorizeComment(E4535)</f>
        <v>Other</v>
      </c>
    </row>
    <row r="4536" spans="1:7" x14ac:dyDescent="0.25">
      <c r="A4536">
        <v>36992</v>
      </c>
      <c r="B4536" t="s">
        <v>4</v>
      </c>
      <c r="C4536">
        <v>3</v>
      </c>
      <c r="D4536" t="s">
        <v>5</v>
      </c>
      <c r="F4536" t="str" cm="1">
        <f t="array" ref="F4536">CategorizeComment(E4536)</f>
        <v>Other</v>
      </c>
      <c r="G4536" t="str" cm="1">
        <f t="array" ref="G4536">SubCategorizeComment(E4536)</f>
        <v>Other</v>
      </c>
    </row>
    <row r="4537" spans="1:7" x14ac:dyDescent="0.25">
      <c r="A4537">
        <v>36993</v>
      </c>
      <c r="B4537" t="s">
        <v>4</v>
      </c>
      <c r="C4537">
        <v>3</v>
      </c>
      <c r="D4537" t="s">
        <v>5</v>
      </c>
      <c r="F4537" t="str" cm="1">
        <f t="array" ref="F4537">CategorizeComment(E4537)</f>
        <v>Other</v>
      </c>
      <c r="G4537" t="str" cm="1">
        <f t="array" ref="G4537">SubCategorizeComment(E4537)</f>
        <v>Other</v>
      </c>
    </row>
    <row r="4538" spans="1:7" x14ac:dyDescent="0.25">
      <c r="A4538">
        <v>37000</v>
      </c>
      <c r="B4538" t="s">
        <v>4</v>
      </c>
      <c r="C4538">
        <v>4</v>
      </c>
      <c r="D4538" t="s">
        <v>5</v>
      </c>
      <c r="F4538" t="str" cm="1">
        <f t="array" ref="F4538">CategorizeComment(E4538)</f>
        <v>Other</v>
      </c>
      <c r="G4538" t="str" cm="1">
        <f t="array" ref="G4538">SubCategorizeComment(E4538)</f>
        <v>Other</v>
      </c>
    </row>
    <row r="4539" spans="1:7" x14ac:dyDescent="0.25">
      <c r="A4539">
        <v>37007</v>
      </c>
      <c r="B4539" t="s">
        <v>4</v>
      </c>
      <c r="C4539">
        <v>3</v>
      </c>
      <c r="D4539" t="s">
        <v>5</v>
      </c>
      <c r="F4539" t="str" cm="1">
        <f t="array" ref="F4539">CategorizeComment(E4539)</f>
        <v>Other</v>
      </c>
      <c r="G4539" t="str" cm="1">
        <f t="array" ref="G4539">SubCategorizeComment(E4539)</f>
        <v>Other</v>
      </c>
    </row>
    <row r="4540" spans="1:7" x14ac:dyDescent="0.25">
      <c r="A4540">
        <v>37014</v>
      </c>
      <c r="B4540" t="s">
        <v>4</v>
      </c>
      <c r="C4540">
        <v>4</v>
      </c>
      <c r="D4540" t="s">
        <v>5</v>
      </c>
      <c r="F4540" t="str" cm="1">
        <f t="array" ref="F4540">CategorizeComment(E4540)</f>
        <v>Other</v>
      </c>
      <c r="G4540" t="str" cm="1">
        <f t="array" ref="G4540">SubCategorizeComment(E4540)</f>
        <v>Other</v>
      </c>
    </row>
    <row r="4541" spans="1:7" x14ac:dyDescent="0.25">
      <c r="A4541">
        <v>37039</v>
      </c>
      <c r="B4541" t="s">
        <v>4</v>
      </c>
      <c r="C4541">
        <v>4</v>
      </c>
      <c r="D4541" t="s">
        <v>5</v>
      </c>
      <c r="F4541" t="str" cm="1">
        <f t="array" ref="F4541">CategorizeComment(E4541)</f>
        <v>Other</v>
      </c>
      <c r="G4541" t="str" cm="1">
        <f t="array" ref="G4541">SubCategorizeComment(E4541)</f>
        <v>Other</v>
      </c>
    </row>
    <row r="4542" spans="1:7" x14ac:dyDescent="0.25">
      <c r="A4542">
        <v>37046</v>
      </c>
      <c r="B4542" t="s">
        <v>4</v>
      </c>
      <c r="C4542">
        <v>3</v>
      </c>
      <c r="D4542" t="s">
        <v>5</v>
      </c>
      <c r="F4542" t="str" cm="1">
        <f t="array" ref="F4542">CategorizeComment(E4542)</f>
        <v>Other</v>
      </c>
      <c r="G4542" t="str" cm="1">
        <f t="array" ref="G4542">SubCategorizeComment(E4542)</f>
        <v>Other</v>
      </c>
    </row>
    <row r="4543" spans="1:7" x14ac:dyDescent="0.25">
      <c r="A4543">
        <v>37048</v>
      </c>
      <c r="B4543" t="s">
        <v>4</v>
      </c>
      <c r="C4543">
        <v>3</v>
      </c>
      <c r="D4543" t="s">
        <v>5</v>
      </c>
      <c r="F4543" t="str" cm="1">
        <f t="array" ref="F4543">CategorizeComment(E4543)</f>
        <v>Other</v>
      </c>
      <c r="G4543" t="str" cm="1">
        <f t="array" ref="G4543">SubCategorizeComment(E4543)</f>
        <v>Other</v>
      </c>
    </row>
    <row r="4544" spans="1:7" x14ac:dyDescent="0.25">
      <c r="A4544">
        <v>37049</v>
      </c>
      <c r="B4544" t="s">
        <v>4</v>
      </c>
      <c r="C4544">
        <v>4</v>
      </c>
      <c r="D4544" t="s">
        <v>5</v>
      </c>
      <c r="F4544" t="str" cm="1">
        <f t="array" ref="F4544">CategorizeComment(E4544)</f>
        <v>Other</v>
      </c>
      <c r="G4544" t="str" cm="1">
        <f t="array" ref="G4544">SubCategorizeComment(E4544)</f>
        <v>Other</v>
      </c>
    </row>
    <row r="4545" spans="1:7" x14ac:dyDescent="0.25">
      <c r="A4545">
        <v>37087</v>
      </c>
      <c r="B4545" t="s">
        <v>4</v>
      </c>
      <c r="C4545">
        <v>3</v>
      </c>
      <c r="D4545" t="s">
        <v>5</v>
      </c>
      <c r="F4545" t="str" cm="1">
        <f t="array" ref="F4545">CategorizeComment(E4545)</f>
        <v>Other</v>
      </c>
      <c r="G4545" t="str" cm="1">
        <f t="array" ref="G4545">SubCategorizeComment(E4545)</f>
        <v>Other</v>
      </c>
    </row>
    <row r="4546" spans="1:7" x14ac:dyDescent="0.25">
      <c r="A4546">
        <v>37104</v>
      </c>
      <c r="B4546" t="s">
        <v>4</v>
      </c>
      <c r="C4546">
        <v>3</v>
      </c>
      <c r="D4546" t="s">
        <v>5</v>
      </c>
      <c r="F4546" t="str" cm="1">
        <f t="array" ref="F4546">CategorizeComment(E4546)</f>
        <v>Other</v>
      </c>
      <c r="G4546" t="str" cm="1">
        <f t="array" ref="G4546">SubCategorizeComment(E4546)</f>
        <v>Other</v>
      </c>
    </row>
    <row r="4547" spans="1:7" x14ac:dyDescent="0.25">
      <c r="A4547">
        <v>37110</v>
      </c>
      <c r="B4547" t="s">
        <v>4</v>
      </c>
      <c r="C4547">
        <v>4</v>
      </c>
      <c r="D4547" t="s">
        <v>5</v>
      </c>
      <c r="F4547" t="str" cm="1">
        <f t="array" ref="F4547">CategorizeComment(E4547)</f>
        <v>Other</v>
      </c>
      <c r="G4547" t="str" cm="1">
        <f t="array" ref="G4547">SubCategorizeComment(E4547)</f>
        <v>Other</v>
      </c>
    </row>
    <row r="4548" spans="1:7" x14ac:dyDescent="0.25">
      <c r="A4548">
        <v>37130</v>
      </c>
      <c r="B4548" t="s">
        <v>4</v>
      </c>
      <c r="C4548">
        <v>3</v>
      </c>
      <c r="D4548" t="s">
        <v>5</v>
      </c>
      <c r="F4548" t="str" cm="1">
        <f t="array" ref="F4548">CategorizeComment(E4548)</f>
        <v>Other</v>
      </c>
      <c r="G4548" t="str" cm="1">
        <f t="array" ref="G4548">SubCategorizeComment(E4548)</f>
        <v>Other</v>
      </c>
    </row>
    <row r="4549" spans="1:7" x14ac:dyDescent="0.25">
      <c r="A4549">
        <v>37132</v>
      </c>
      <c r="B4549" t="s">
        <v>4</v>
      </c>
      <c r="C4549">
        <v>4</v>
      </c>
      <c r="D4549" t="s">
        <v>5</v>
      </c>
      <c r="F4549" t="str" cm="1">
        <f t="array" ref="F4549">CategorizeComment(E4549)</f>
        <v>Other</v>
      </c>
      <c r="G4549" t="str" cm="1">
        <f t="array" ref="G4549">SubCategorizeComment(E4549)</f>
        <v>Other</v>
      </c>
    </row>
    <row r="4550" spans="1:7" x14ac:dyDescent="0.25">
      <c r="A4550">
        <v>37140</v>
      </c>
      <c r="B4550" t="s">
        <v>4</v>
      </c>
      <c r="C4550">
        <v>3</v>
      </c>
      <c r="D4550" t="s">
        <v>5</v>
      </c>
      <c r="F4550" t="str" cm="1">
        <f t="array" ref="F4550">CategorizeComment(E4550)</f>
        <v>Other</v>
      </c>
      <c r="G4550" t="str" cm="1">
        <f t="array" ref="G4550">SubCategorizeComment(E4550)</f>
        <v>Other</v>
      </c>
    </row>
    <row r="4551" spans="1:7" x14ac:dyDescent="0.25">
      <c r="A4551">
        <v>37151</v>
      </c>
      <c r="B4551" t="s">
        <v>4</v>
      </c>
      <c r="C4551">
        <v>3</v>
      </c>
      <c r="D4551" t="s">
        <v>5</v>
      </c>
      <c r="F4551" t="str" cm="1">
        <f t="array" ref="F4551">CategorizeComment(E4551)</f>
        <v>Other</v>
      </c>
      <c r="G4551" t="str" cm="1">
        <f t="array" ref="G4551">SubCategorizeComment(E4551)</f>
        <v>Other</v>
      </c>
    </row>
    <row r="4552" spans="1:7" x14ac:dyDescent="0.25">
      <c r="A4552">
        <v>37168</v>
      </c>
      <c r="B4552" t="s">
        <v>4</v>
      </c>
      <c r="C4552">
        <v>4</v>
      </c>
      <c r="D4552" t="s">
        <v>5</v>
      </c>
      <c r="F4552" t="str" cm="1">
        <f t="array" ref="F4552">CategorizeComment(E4552)</f>
        <v>Other</v>
      </c>
      <c r="G4552" t="str" cm="1">
        <f t="array" ref="G4552">SubCategorizeComment(E4552)</f>
        <v>Other</v>
      </c>
    </row>
    <row r="4553" spans="1:7" x14ac:dyDescent="0.25">
      <c r="A4553">
        <v>37178</v>
      </c>
      <c r="B4553" t="s">
        <v>4</v>
      </c>
      <c r="C4553">
        <v>4</v>
      </c>
      <c r="D4553" t="s">
        <v>5</v>
      </c>
      <c r="F4553" t="str" cm="1">
        <f t="array" ref="F4553">CategorizeComment(E4553)</f>
        <v>Other</v>
      </c>
      <c r="G4553" t="str" cm="1">
        <f t="array" ref="G4553">SubCategorizeComment(E4553)</f>
        <v>Other</v>
      </c>
    </row>
    <row r="4554" spans="1:7" x14ac:dyDescent="0.25">
      <c r="A4554">
        <v>37183</v>
      </c>
      <c r="B4554" t="s">
        <v>4</v>
      </c>
      <c r="C4554">
        <v>4</v>
      </c>
      <c r="D4554" t="s">
        <v>5</v>
      </c>
      <c r="F4554" t="str" cm="1">
        <f t="array" ref="F4554">CategorizeComment(E4554)</f>
        <v>Other</v>
      </c>
      <c r="G4554" t="str" cm="1">
        <f t="array" ref="G4554">SubCategorizeComment(E4554)</f>
        <v>Other</v>
      </c>
    </row>
    <row r="4555" spans="1:7" x14ac:dyDescent="0.25">
      <c r="A4555">
        <v>37188</v>
      </c>
      <c r="B4555" t="s">
        <v>4</v>
      </c>
      <c r="C4555">
        <v>3</v>
      </c>
      <c r="D4555" t="s">
        <v>5</v>
      </c>
      <c r="F4555" t="str" cm="1">
        <f t="array" ref="F4555">CategorizeComment(E4555)</f>
        <v>Other</v>
      </c>
      <c r="G4555" t="str" cm="1">
        <f t="array" ref="G4555">SubCategorizeComment(E4555)</f>
        <v>Other</v>
      </c>
    </row>
    <row r="4556" spans="1:7" x14ac:dyDescent="0.25">
      <c r="A4556">
        <v>37193</v>
      </c>
      <c r="B4556" t="s">
        <v>4</v>
      </c>
      <c r="C4556">
        <v>3</v>
      </c>
      <c r="D4556" t="s">
        <v>5</v>
      </c>
      <c r="F4556" t="str" cm="1">
        <f t="array" ref="F4556">CategorizeComment(E4556)</f>
        <v>Other</v>
      </c>
      <c r="G4556" t="str" cm="1">
        <f t="array" ref="G4556">SubCategorizeComment(E4556)</f>
        <v>Other</v>
      </c>
    </row>
    <row r="4557" spans="1:7" x14ac:dyDescent="0.25">
      <c r="A4557">
        <v>37195</v>
      </c>
      <c r="B4557" t="s">
        <v>4</v>
      </c>
      <c r="C4557">
        <v>3</v>
      </c>
      <c r="D4557" t="s">
        <v>5</v>
      </c>
      <c r="F4557" t="str" cm="1">
        <f t="array" ref="F4557">CategorizeComment(E4557)</f>
        <v>Other</v>
      </c>
      <c r="G4557" t="str" cm="1">
        <f t="array" ref="G4557">SubCategorizeComment(E4557)</f>
        <v>Other</v>
      </c>
    </row>
    <row r="4558" spans="1:7" x14ac:dyDescent="0.25">
      <c r="A4558">
        <v>37196</v>
      </c>
      <c r="B4558" t="s">
        <v>4</v>
      </c>
      <c r="C4558">
        <v>4</v>
      </c>
      <c r="D4558" t="s">
        <v>5</v>
      </c>
      <c r="F4558" t="str" cm="1">
        <f t="array" ref="F4558">CategorizeComment(E4558)</f>
        <v>Other</v>
      </c>
      <c r="G4558" t="str" cm="1">
        <f t="array" ref="G4558">SubCategorizeComment(E4558)</f>
        <v>Other</v>
      </c>
    </row>
    <row r="4559" spans="1:7" x14ac:dyDescent="0.25">
      <c r="A4559">
        <v>37221</v>
      </c>
      <c r="B4559" t="s">
        <v>4</v>
      </c>
      <c r="C4559">
        <v>4</v>
      </c>
      <c r="D4559" t="s">
        <v>5</v>
      </c>
      <c r="F4559" t="str" cm="1">
        <f t="array" ref="F4559">CategorizeComment(E4559)</f>
        <v>Other</v>
      </c>
      <c r="G4559" t="str" cm="1">
        <f t="array" ref="G4559">SubCategorizeComment(E4559)</f>
        <v>Other</v>
      </c>
    </row>
    <row r="4560" spans="1:7" x14ac:dyDescent="0.25">
      <c r="A4560">
        <v>37232</v>
      </c>
      <c r="B4560" t="s">
        <v>4</v>
      </c>
      <c r="C4560">
        <v>4</v>
      </c>
      <c r="D4560" t="s">
        <v>5</v>
      </c>
      <c r="F4560" t="str" cm="1">
        <f t="array" ref="F4560">CategorizeComment(E4560)</f>
        <v>Other</v>
      </c>
      <c r="G4560" t="str" cm="1">
        <f t="array" ref="G4560">SubCategorizeComment(E4560)</f>
        <v>Other</v>
      </c>
    </row>
    <row r="4561" spans="1:7" x14ac:dyDescent="0.25">
      <c r="A4561">
        <v>37236</v>
      </c>
      <c r="B4561" t="s">
        <v>4</v>
      </c>
      <c r="C4561">
        <v>4</v>
      </c>
      <c r="D4561" t="s">
        <v>5</v>
      </c>
      <c r="F4561" t="str" cm="1">
        <f t="array" ref="F4561">CategorizeComment(E4561)</f>
        <v>Other</v>
      </c>
      <c r="G4561" t="str" cm="1">
        <f t="array" ref="G4561">SubCategorizeComment(E4561)</f>
        <v>Other</v>
      </c>
    </row>
    <row r="4562" spans="1:7" x14ac:dyDescent="0.25">
      <c r="A4562">
        <v>37277</v>
      </c>
      <c r="B4562" t="s">
        <v>4</v>
      </c>
      <c r="C4562">
        <v>3</v>
      </c>
      <c r="D4562" t="s">
        <v>5</v>
      </c>
      <c r="F4562" t="str" cm="1">
        <f t="array" ref="F4562">CategorizeComment(E4562)</f>
        <v>Other</v>
      </c>
      <c r="G4562" t="str" cm="1">
        <f t="array" ref="G4562">SubCategorizeComment(E4562)</f>
        <v>Other</v>
      </c>
    </row>
    <row r="4563" spans="1:7" x14ac:dyDescent="0.25">
      <c r="A4563">
        <v>37313</v>
      </c>
      <c r="B4563" t="s">
        <v>4</v>
      </c>
      <c r="C4563">
        <v>3</v>
      </c>
      <c r="D4563" t="s">
        <v>5</v>
      </c>
      <c r="F4563" t="str" cm="1">
        <f t="array" ref="F4563">CategorizeComment(E4563)</f>
        <v>Other</v>
      </c>
      <c r="G4563" t="str" cm="1">
        <f t="array" ref="G4563">SubCategorizeComment(E4563)</f>
        <v>Other</v>
      </c>
    </row>
    <row r="4564" spans="1:7" x14ac:dyDescent="0.25">
      <c r="A4564">
        <v>37318</v>
      </c>
      <c r="B4564" t="s">
        <v>4</v>
      </c>
      <c r="C4564">
        <v>3</v>
      </c>
      <c r="D4564" t="s">
        <v>5</v>
      </c>
      <c r="F4564" t="str" cm="1">
        <f t="array" ref="F4564">CategorizeComment(E4564)</f>
        <v>Other</v>
      </c>
      <c r="G4564" t="str" cm="1">
        <f t="array" ref="G4564">SubCategorizeComment(E4564)</f>
        <v>Other</v>
      </c>
    </row>
    <row r="4565" spans="1:7" x14ac:dyDescent="0.25">
      <c r="A4565">
        <v>37322</v>
      </c>
      <c r="B4565" t="s">
        <v>4</v>
      </c>
      <c r="C4565">
        <v>3</v>
      </c>
      <c r="D4565" t="s">
        <v>5</v>
      </c>
      <c r="F4565" t="str" cm="1">
        <f t="array" ref="F4565">CategorizeComment(E4565)</f>
        <v>Other</v>
      </c>
      <c r="G4565" t="str" cm="1">
        <f t="array" ref="G4565">SubCategorizeComment(E4565)</f>
        <v>Other</v>
      </c>
    </row>
    <row r="4566" spans="1:7" x14ac:dyDescent="0.25">
      <c r="A4566">
        <v>37335</v>
      </c>
      <c r="B4566" t="s">
        <v>4</v>
      </c>
      <c r="C4566">
        <v>2</v>
      </c>
      <c r="D4566" t="s">
        <v>5</v>
      </c>
      <c r="F4566" t="str" cm="1">
        <f t="array" ref="F4566">CategorizeComment(E4566)</f>
        <v>Other</v>
      </c>
      <c r="G4566" t="str" cm="1">
        <f t="array" ref="G4566">SubCategorizeComment(E4566)</f>
        <v>Other</v>
      </c>
    </row>
    <row r="4567" spans="1:7" x14ac:dyDescent="0.25">
      <c r="A4567">
        <v>37346</v>
      </c>
      <c r="B4567" t="s">
        <v>4</v>
      </c>
      <c r="C4567">
        <v>3</v>
      </c>
      <c r="D4567" t="s">
        <v>5</v>
      </c>
      <c r="F4567" t="str" cm="1">
        <f t="array" ref="F4567">CategorizeComment(E4567)</f>
        <v>Other</v>
      </c>
      <c r="G4567" t="str" cm="1">
        <f t="array" ref="G4567">SubCategorizeComment(E4567)</f>
        <v>Other</v>
      </c>
    </row>
    <row r="4568" spans="1:7" x14ac:dyDescent="0.25">
      <c r="A4568">
        <v>37373</v>
      </c>
      <c r="B4568" t="s">
        <v>4</v>
      </c>
      <c r="C4568">
        <v>3</v>
      </c>
      <c r="D4568" t="s">
        <v>5</v>
      </c>
      <c r="F4568" t="str" cm="1">
        <f t="array" ref="F4568">CategorizeComment(E4568)</f>
        <v>Other</v>
      </c>
      <c r="G4568" t="str" cm="1">
        <f t="array" ref="G4568">SubCategorizeComment(E4568)</f>
        <v>Other</v>
      </c>
    </row>
    <row r="4569" spans="1:7" x14ac:dyDescent="0.25">
      <c r="A4569">
        <v>37375</v>
      </c>
      <c r="B4569" t="s">
        <v>4</v>
      </c>
      <c r="C4569">
        <v>4</v>
      </c>
      <c r="D4569" t="s">
        <v>5</v>
      </c>
      <c r="F4569" t="str" cm="1">
        <f t="array" ref="F4569">CategorizeComment(E4569)</f>
        <v>Other</v>
      </c>
      <c r="G4569" t="str" cm="1">
        <f t="array" ref="G4569">SubCategorizeComment(E4569)</f>
        <v>Other</v>
      </c>
    </row>
    <row r="4570" spans="1:7" x14ac:dyDescent="0.25">
      <c r="A4570">
        <v>37381</v>
      </c>
      <c r="B4570" t="s">
        <v>4</v>
      </c>
      <c r="C4570">
        <v>4</v>
      </c>
      <c r="D4570" t="s">
        <v>5</v>
      </c>
      <c r="F4570" t="str" cm="1">
        <f t="array" ref="F4570">CategorizeComment(E4570)</f>
        <v>Other</v>
      </c>
      <c r="G4570" t="str" cm="1">
        <f t="array" ref="G4570">SubCategorizeComment(E4570)</f>
        <v>Other</v>
      </c>
    </row>
    <row r="4571" spans="1:7" x14ac:dyDescent="0.25">
      <c r="A4571">
        <v>37386</v>
      </c>
      <c r="B4571" t="s">
        <v>4</v>
      </c>
      <c r="C4571">
        <v>3</v>
      </c>
      <c r="D4571" t="s">
        <v>5</v>
      </c>
      <c r="F4571" t="str" cm="1">
        <f t="array" ref="F4571">CategorizeComment(E4571)</f>
        <v>Other</v>
      </c>
      <c r="G4571" t="str" cm="1">
        <f t="array" ref="G4571">SubCategorizeComment(E4571)</f>
        <v>Other</v>
      </c>
    </row>
    <row r="4572" spans="1:7" x14ac:dyDescent="0.25">
      <c r="A4572">
        <v>37404</v>
      </c>
      <c r="B4572" t="s">
        <v>4</v>
      </c>
      <c r="C4572">
        <v>4</v>
      </c>
      <c r="D4572" t="s">
        <v>5</v>
      </c>
      <c r="F4572" t="str" cm="1">
        <f t="array" ref="F4572">CategorizeComment(E4572)</f>
        <v>Other</v>
      </c>
      <c r="G4572" t="str" cm="1">
        <f t="array" ref="G4572">SubCategorizeComment(E4572)</f>
        <v>Other</v>
      </c>
    </row>
    <row r="4573" spans="1:7" x14ac:dyDescent="0.25">
      <c r="A4573">
        <v>37407</v>
      </c>
      <c r="B4573" t="s">
        <v>4</v>
      </c>
      <c r="C4573">
        <v>4</v>
      </c>
      <c r="D4573" t="s">
        <v>5</v>
      </c>
      <c r="F4573" t="str" cm="1">
        <f t="array" ref="F4573">CategorizeComment(E4573)</f>
        <v>Other</v>
      </c>
      <c r="G4573" t="str" cm="1">
        <f t="array" ref="G4573">SubCategorizeComment(E4573)</f>
        <v>Other</v>
      </c>
    </row>
    <row r="4574" spans="1:7" x14ac:dyDescent="0.25">
      <c r="A4574">
        <v>37421</v>
      </c>
      <c r="B4574" t="s">
        <v>4</v>
      </c>
      <c r="C4574">
        <v>3</v>
      </c>
      <c r="D4574" t="s">
        <v>5</v>
      </c>
      <c r="F4574" t="str" cm="1">
        <f t="array" ref="F4574">CategorizeComment(E4574)</f>
        <v>Other</v>
      </c>
      <c r="G4574" t="str" cm="1">
        <f t="array" ref="G4574">SubCategorizeComment(E4574)</f>
        <v>Other</v>
      </c>
    </row>
    <row r="4575" spans="1:7" x14ac:dyDescent="0.25">
      <c r="A4575">
        <v>37424</v>
      </c>
      <c r="B4575" t="s">
        <v>4</v>
      </c>
      <c r="C4575">
        <v>3</v>
      </c>
      <c r="D4575" t="s">
        <v>5</v>
      </c>
      <c r="F4575" t="str" cm="1">
        <f t="array" ref="F4575">CategorizeComment(E4575)</f>
        <v>Other</v>
      </c>
      <c r="G4575" t="str" cm="1">
        <f t="array" ref="G4575">SubCategorizeComment(E4575)</f>
        <v>Other</v>
      </c>
    </row>
    <row r="4576" spans="1:7" x14ac:dyDescent="0.25">
      <c r="A4576">
        <v>37425</v>
      </c>
      <c r="B4576" t="s">
        <v>4</v>
      </c>
      <c r="C4576">
        <v>4</v>
      </c>
      <c r="D4576" t="s">
        <v>5</v>
      </c>
      <c r="F4576" t="str" cm="1">
        <f t="array" ref="F4576">CategorizeComment(E4576)</f>
        <v>Other</v>
      </c>
      <c r="G4576" t="str" cm="1">
        <f t="array" ref="G4576">SubCategorizeComment(E4576)</f>
        <v>Other</v>
      </c>
    </row>
    <row r="4577" spans="1:7" x14ac:dyDescent="0.25">
      <c r="A4577">
        <v>37426</v>
      </c>
      <c r="B4577" t="s">
        <v>4</v>
      </c>
      <c r="C4577">
        <v>4</v>
      </c>
      <c r="D4577" t="s">
        <v>5</v>
      </c>
      <c r="F4577" t="str" cm="1">
        <f t="array" ref="F4577">CategorizeComment(E4577)</f>
        <v>Other</v>
      </c>
      <c r="G4577" t="str" cm="1">
        <f t="array" ref="G4577">SubCategorizeComment(E4577)</f>
        <v>Other</v>
      </c>
    </row>
    <row r="4578" spans="1:7" x14ac:dyDescent="0.25">
      <c r="A4578">
        <v>37433</v>
      </c>
      <c r="B4578" t="s">
        <v>4</v>
      </c>
      <c r="C4578">
        <v>4</v>
      </c>
      <c r="D4578" t="s">
        <v>5</v>
      </c>
      <c r="F4578" t="str" cm="1">
        <f t="array" ref="F4578">CategorizeComment(E4578)</f>
        <v>Other</v>
      </c>
      <c r="G4578" t="str" cm="1">
        <f t="array" ref="G4578">SubCategorizeComment(E4578)</f>
        <v>Other</v>
      </c>
    </row>
    <row r="4579" spans="1:7" x14ac:dyDescent="0.25">
      <c r="A4579">
        <v>37438</v>
      </c>
      <c r="B4579" t="s">
        <v>4</v>
      </c>
      <c r="C4579">
        <v>4</v>
      </c>
      <c r="D4579" t="s">
        <v>5</v>
      </c>
      <c r="F4579" t="str" cm="1">
        <f t="array" ref="F4579">CategorizeComment(E4579)</f>
        <v>Other</v>
      </c>
      <c r="G4579" t="str" cm="1">
        <f t="array" ref="G4579">SubCategorizeComment(E4579)</f>
        <v>Other</v>
      </c>
    </row>
    <row r="4580" spans="1:7" x14ac:dyDescent="0.25">
      <c r="A4580">
        <v>37451</v>
      </c>
      <c r="B4580" t="s">
        <v>4</v>
      </c>
      <c r="C4580">
        <v>4</v>
      </c>
      <c r="D4580" t="s">
        <v>5</v>
      </c>
      <c r="F4580" t="str" cm="1">
        <f t="array" ref="F4580">CategorizeComment(E4580)</f>
        <v>Other</v>
      </c>
      <c r="G4580" t="str" cm="1">
        <f t="array" ref="G4580">SubCategorizeComment(E4580)</f>
        <v>Other</v>
      </c>
    </row>
    <row r="4581" spans="1:7" x14ac:dyDescent="0.25">
      <c r="A4581">
        <v>37459</v>
      </c>
      <c r="B4581" t="s">
        <v>4</v>
      </c>
      <c r="C4581">
        <v>3</v>
      </c>
      <c r="D4581" t="s">
        <v>5</v>
      </c>
      <c r="F4581" t="str" cm="1">
        <f t="array" ref="F4581">CategorizeComment(E4581)</f>
        <v>Other</v>
      </c>
      <c r="G4581" t="str" cm="1">
        <f t="array" ref="G4581">SubCategorizeComment(E4581)</f>
        <v>Other</v>
      </c>
    </row>
    <row r="4582" spans="1:7" x14ac:dyDescent="0.25">
      <c r="A4582">
        <v>37470</v>
      </c>
      <c r="B4582" t="s">
        <v>4</v>
      </c>
      <c r="C4582">
        <v>4</v>
      </c>
      <c r="D4582" t="s">
        <v>5</v>
      </c>
      <c r="F4582" t="str" cm="1">
        <f t="array" ref="F4582">CategorizeComment(E4582)</f>
        <v>Other</v>
      </c>
      <c r="G4582" t="str" cm="1">
        <f t="array" ref="G4582">SubCategorizeComment(E4582)</f>
        <v>Other</v>
      </c>
    </row>
    <row r="4583" spans="1:7" x14ac:dyDescent="0.25">
      <c r="A4583">
        <v>37474</v>
      </c>
      <c r="B4583" t="s">
        <v>4</v>
      </c>
      <c r="C4583">
        <v>4</v>
      </c>
      <c r="D4583" t="s">
        <v>5</v>
      </c>
      <c r="F4583" t="str" cm="1">
        <f t="array" ref="F4583">CategorizeComment(E4583)</f>
        <v>Other</v>
      </c>
      <c r="G4583" t="str" cm="1">
        <f t="array" ref="G4583">SubCategorizeComment(E4583)</f>
        <v>Other</v>
      </c>
    </row>
    <row r="4584" spans="1:7" x14ac:dyDescent="0.25">
      <c r="A4584">
        <v>37476</v>
      </c>
      <c r="B4584" t="s">
        <v>4</v>
      </c>
      <c r="C4584">
        <v>3</v>
      </c>
      <c r="D4584" t="s">
        <v>5</v>
      </c>
      <c r="F4584" t="str" cm="1">
        <f t="array" ref="F4584">CategorizeComment(E4584)</f>
        <v>Other</v>
      </c>
      <c r="G4584" t="str" cm="1">
        <f t="array" ref="G4584">SubCategorizeComment(E4584)</f>
        <v>Other</v>
      </c>
    </row>
    <row r="4585" spans="1:7" x14ac:dyDescent="0.25">
      <c r="A4585">
        <v>37477</v>
      </c>
      <c r="B4585" t="s">
        <v>4</v>
      </c>
      <c r="C4585">
        <v>4</v>
      </c>
      <c r="D4585" t="s">
        <v>5</v>
      </c>
      <c r="F4585" t="str" cm="1">
        <f t="array" ref="F4585">CategorizeComment(E4585)</f>
        <v>Other</v>
      </c>
      <c r="G4585" t="str" cm="1">
        <f t="array" ref="G4585">SubCategorizeComment(E4585)</f>
        <v>Other</v>
      </c>
    </row>
    <row r="4586" spans="1:7" x14ac:dyDescent="0.25">
      <c r="A4586">
        <v>37484</v>
      </c>
      <c r="B4586" t="s">
        <v>4</v>
      </c>
      <c r="C4586">
        <v>3</v>
      </c>
      <c r="D4586" t="s">
        <v>5</v>
      </c>
      <c r="F4586" t="str" cm="1">
        <f t="array" ref="F4586">CategorizeComment(E4586)</f>
        <v>Other</v>
      </c>
      <c r="G4586" t="str" cm="1">
        <f t="array" ref="G4586">SubCategorizeComment(E4586)</f>
        <v>Other</v>
      </c>
    </row>
    <row r="4587" spans="1:7" x14ac:dyDescent="0.25">
      <c r="A4587">
        <v>37485</v>
      </c>
      <c r="B4587" t="s">
        <v>4</v>
      </c>
      <c r="C4587">
        <v>4</v>
      </c>
      <c r="D4587" t="s">
        <v>5</v>
      </c>
      <c r="F4587" t="str" cm="1">
        <f t="array" ref="F4587">CategorizeComment(E4587)</f>
        <v>Other</v>
      </c>
      <c r="G4587" t="str" cm="1">
        <f t="array" ref="G4587">SubCategorizeComment(E4587)</f>
        <v>Other</v>
      </c>
    </row>
    <row r="4588" spans="1:7" x14ac:dyDescent="0.25">
      <c r="A4588">
        <v>37486</v>
      </c>
      <c r="B4588" t="s">
        <v>4</v>
      </c>
      <c r="C4588">
        <v>3</v>
      </c>
      <c r="D4588" t="s">
        <v>5</v>
      </c>
      <c r="F4588" t="str" cm="1">
        <f t="array" ref="F4588">CategorizeComment(E4588)</f>
        <v>Other</v>
      </c>
      <c r="G4588" t="str" cm="1">
        <f t="array" ref="G4588">SubCategorizeComment(E4588)</f>
        <v>Other</v>
      </c>
    </row>
    <row r="4589" spans="1:7" x14ac:dyDescent="0.25">
      <c r="A4589">
        <v>37490</v>
      </c>
      <c r="B4589" t="s">
        <v>4</v>
      </c>
      <c r="C4589">
        <v>3</v>
      </c>
      <c r="D4589" t="s">
        <v>5</v>
      </c>
      <c r="F4589" t="str" cm="1">
        <f t="array" ref="F4589">CategorizeComment(E4589)</f>
        <v>Other</v>
      </c>
      <c r="G4589" t="str" cm="1">
        <f t="array" ref="G4589">SubCategorizeComment(E4589)</f>
        <v>Other</v>
      </c>
    </row>
    <row r="4590" spans="1:7" x14ac:dyDescent="0.25">
      <c r="A4590">
        <v>37496</v>
      </c>
      <c r="B4590" t="s">
        <v>4</v>
      </c>
      <c r="C4590">
        <v>4</v>
      </c>
      <c r="D4590" t="s">
        <v>5</v>
      </c>
      <c r="F4590" t="str" cm="1">
        <f t="array" ref="F4590">CategorizeComment(E4590)</f>
        <v>Other</v>
      </c>
      <c r="G4590" t="str" cm="1">
        <f t="array" ref="G4590">SubCategorizeComment(E4590)</f>
        <v>Other</v>
      </c>
    </row>
    <row r="4591" spans="1:7" x14ac:dyDescent="0.25">
      <c r="A4591">
        <v>37521</v>
      </c>
      <c r="B4591" t="s">
        <v>4</v>
      </c>
      <c r="C4591">
        <v>3</v>
      </c>
      <c r="D4591" t="s">
        <v>5</v>
      </c>
      <c r="F4591" t="str" cm="1">
        <f t="array" ref="F4591">CategorizeComment(E4591)</f>
        <v>Other</v>
      </c>
      <c r="G4591" t="str" cm="1">
        <f t="array" ref="G4591">SubCategorizeComment(E4591)</f>
        <v>Other</v>
      </c>
    </row>
    <row r="4592" spans="1:7" x14ac:dyDescent="0.25">
      <c r="A4592">
        <v>37530</v>
      </c>
      <c r="B4592" t="s">
        <v>4</v>
      </c>
      <c r="C4592">
        <v>4</v>
      </c>
      <c r="D4592" t="s">
        <v>5</v>
      </c>
      <c r="F4592" t="str" cm="1">
        <f t="array" ref="F4592">CategorizeComment(E4592)</f>
        <v>Other</v>
      </c>
      <c r="G4592" t="str" cm="1">
        <f t="array" ref="G4592">SubCategorizeComment(E4592)</f>
        <v>Other</v>
      </c>
    </row>
    <row r="4593" spans="1:7" x14ac:dyDescent="0.25">
      <c r="A4593">
        <v>37539</v>
      </c>
      <c r="B4593" t="s">
        <v>4</v>
      </c>
      <c r="C4593">
        <v>3</v>
      </c>
      <c r="D4593" t="s">
        <v>5</v>
      </c>
      <c r="F4593" t="str" cm="1">
        <f t="array" ref="F4593">CategorizeComment(E4593)</f>
        <v>Other</v>
      </c>
      <c r="G4593" t="str" cm="1">
        <f t="array" ref="G4593">SubCategorizeComment(E4593)</f>
        <v>Other</v>
      </c>
    </row>
    <row r="4594" spans="1:7" x14ac:dyDescent="0.25">
      <c r="A4594">
        <v>37544</v>
      </c>
      <c r="B4594" t="s">
        <v>4</v>
      </c>
      <c r="C4594">
        <v>4</v>
      </c>
      <c r="D4594" t="s">
        <v>5</v>
      </c>
      <c r="F4594" t="str" cm="1">
        <f t="array" ref="F4594">CategorizeComment(E4594)</f>
        <v>Other</v>
      </c>
      <c r="G4594" t="str" cm="1">
        <f t="array" ref="G4594">SubCategorizeComment(E4594)</f>
        <v>Other</v>
      </c>
    </row>
    <row r="4595" spans="1:7" x14ac:dyDescent="0.25">
      <c r="A4595">
        <v>37548</v>
      </c>
      <c r="B4595" t="s">
        <v>4</v>
      </c>
      <c r="C4595">
        <v>4</v>
      </c>
      <c r="D4595" t="s">
        <v>5</v>
      </c>
      <c r="F4595" t="str" cm="1">
        <f t="array" ref="F4595">CategorizeComment(E4595)</f>
        <v>Other</v>
      </c>
      <c r="G4595" t="str" cm="1">
        <f t="array" ref="G4595">SubCategorizeComment(E4595)</f>
        <v>Other</v>
      </c>
    </row>
    <row r="4596" spans="1:7" x14ac:dyDescent="0.25">
      <c r="A4596">
        <v>37550</v>
      </c>
      <c r="B4596" t="s">
        <v>4</v>
      </c>
      <c r="C4596">
        <v>3</v>
      </c>
      <c r="D4596" t="s">
        <v>5</v>
      </c>
      <c r="F4596" t="str" cm="1">
        <f t="array" ref="F4596">CategorizeComment(E4596)</f>
        <v>Other</v>
      </c>
      <c r="G4596" t="str" cm="1">
        <f t="array" ref="G4596">SubCategorizeComment(E4596)</f>
        <v>Other</v>
      </c>
    </row>
    <row r="4597" spans="1:7" x14ac:dyDescent="0.25">
      <c r="A4597">
        <v>37568</v>
      </c>
      <c r="B4597" t="s">
        <v>4</v>
      </c>
      <c r="C4597">
        <v>3</v>
      </c>
      <c r="D4597" t="s">
        <v>5</v>
      </c>
      <c r="F4597" t="str" cm="1">
        <f t="array" ref="F4597">CategorizeComment(E4597)</f>
        <v>Other</v>
      </c>
      <c r="G4597" t="str" cm="1">
        <f t="array" ref="G4597">SubCategorizeComment(E4597)</f>
        <v>Other</v>
      </c>
    </row>
    <row r="4598" spans="1:7" x14ac:dyDescent="0.25">
      <c r="A4598">
        <v>37584</v>
      </c>
      <c r="B4598" t="s">
        <v>4</v>
      </c>
      <c r="C4598">
        <v>3</v>
      </c>
      <c r="D4598" t="s">
        <v>5</v>
      </c>
      <c r="F4598" t="str" cm="1">
        <f t="array" ref="F4598">CategorizeComment(E4598)</f>
        <v>Other</v>
      </c>
      <c r="G4598" t="str" cm="1">
        <f t="array" ref="G4598">SubCategorizeComment(E4598)</f>
        <v>Other</v>
      </c>
    </row>
    <row r="4599" spans="1:7" x14ac:dyDescent="0.25">
      <c r="A4599">
        <v>37587</v>
      </c>
      <c r="B4599" t="s">
        <v>4</v>
      </c>
      <c r="C4599">
        <v>4</v>
      </c>
      <c r="D4599" t="s">
        <v>5</v>
      </c>
      <c r="F4599" t="str" cm="1">
        <f t="array" ref="F4599">CategorizeComment(E4599)</f>
        <v>Other</v>
      </c>
      <c r="G4599" t="str" cm="1">
        <f t="array" ref="G4599">SubCategorizeComment(E4599)</f>
        <v>Other</v>
      </c>
    </row>
    <row r="4600" spans="1:7" x14ac:dyDescent="0.25">
      <c r="A4600">
        <v>37591</v>
      </c>
      <c r="B4600" t="s">
        <v>4</v>
      </c>
      <c r="C4600">
        <v>4</v>
      </c>
      <c r="D4600" t="s">
        <v>5</v>
      </c>
      <c r="F4600" t="str" cm="1">
        <f t="array" ref="F4600">CategorizeComment(E4600)</f>
        <v>Other</v>
      </c>
      <c r="G4600" t="str" cm="1">
        <f t="array" ref="G4600">SubCategorizeComment(E4600)</f>
        <v>Other</v>
      </c>
    </row>
    <row r="4601" spans="1:7" x14ac:dyDescent="0.25">
      <c r="A4601">
        <v>37613</v>
      </c>
      <c r="B4601" t="s">
        <v>4</v>
      </c>
      <c r="C4601">
        <v>3</v>
      </c>
      <c r="D4601" t="s">
        <v>5</v>
      </c>
      <c r="F4601" t="str" cm="1">
        <f t="array" ref="F4601">CategorizeComment(E4601)</f>
        <v>Other</v>
      </c>
      <c r="G4601" t="str" cm="1">
        <f t="array" ref="G4601">SubCategorizeComment(E4601)</f>
        <v>Other</v>
      </c>
    </row>
    <row r="4602" spans="1:7" x14ac:dyDescent="0.25">
      <c r="A4602">
        <v>37623</v>
      </c>
      <c r="B4602" t="s">
        <v>4</v>
      </c>
      <c r="C4602">
        <v>4</v>
      </c>
      <c r="D4602" t="s">
        <v>5</v>
      </c>
      <c r="F4602" t="str" cm="1">
        <f t="array" ref="F4602">CategorizeComment(E4602)</f>
        <v>Other</v>
      </c>
      <c r="G4602" t="str" cm="1">
        <f t="array" ref="G4602">SubCategorizeComment(E4602)</f>
        <v>Other</v>
      </c>
    </row>
    <row r="4603" spans="1:7" x14ac:dyDescent="0.25">
      <c r="A4603">
        <v>37625</v>
      </c>
      <c r="B4603" t="s">
        <v>4</v>
      </c>
      <c r="C4603">
        <v>3</v>
      </c>
      <c r="D4603" t="s">
        <v>5</v>
      </c>
      <c r="F4603" t="str" cm="1">
        <f t="array" ref="F4603">CategorizeComment(E4603)</f>
        <v>Other</v>
      </c>
      <c r="G4603" t="str" cm="1">
        <f t="array" ref="G4603">SubCategorizeComment(E4603)</f>
        <v>Other</v>
      </c>
    </row>
    <row r="4604" spans="1:7" x14ac:dyDescent="0.25">
      <c r="A4604">
        <v>37626</v>
      </c>
      <c r="B4604" t="s">
        <v>4</v>
      </c>
      <c r="C4604">
        <v>3</v>
      </c>
      <c r="D4604" t="s">
        <v>5</v>
      </c>
      <c r="F4604" t="str" cm="1">
        <f t="array" ref="F4604">CategorizeComment(E4604)</f>
        <v>Other</v>
      </c>
      <c r="G4604" t="str" cm="1">
        <f t="array" ref="G4604">SubCategorizeComment(E4604)</f>
        <v>Other</v>
      </c>
    </row>
    <row r="4605" spans="1:7" x14ac:dyDescent="0.25">
      <c r="A4605">
        <v>37634</v>
      </c>
      <c r="B4605" t="s">
        <v>4</v>
      </c>
      <c r="C4605">
        <v>4</v>
      </c>
      <c r="D4605" t="s">
        <v>5</v>
      </c>
      <c r="F4605" t="str" cm="1">
        <f t="array" ref="F4605">CategorizeComment(E4605)</f>
        <v>Other</v>
      </c>
      <c r="G4605" t="str" cm="1">
        <f t="array" ref="G4605">SubCategorizeComment(E4605)</f>
        <v>Other</v>
      </c>
    </row>
    <row r="4606" spans="1:7" x14ac:dyDescent="0.25">
      <c r="A4606">
        <v>37649</v>
      </c>
      <c r="B4606" t="s">
        <v>4</v>
      </c>
      <c r="C4606">
        <v>4</v>
      </c>
      <c r="D4606" t="s">
        <v>5</v>
      </c>
      <c r="F4606" t="str" cm="1">
        <f t="array" ref="F4606">CategorizeComment(E4606)</f>
        <v>Other</v>
      </c>
      <c r="G4606" t="str" cm="1">
        <f t="array" ref="G4606">SubCategorizeComment(E4606)</f>
        <v>Other</v>
      </c>
    </row>
    <row r="4607" spans="1:7" x14ac:dyDescent="0.25">
      <c r="A4607">
        <v>37657</v>
      </c>
      <c r="B4607" t="s">
        <v>4</v>
      </c>
      <c r="C4607">
        <v>4</v>
      </c>
      <c r="D4607" t="s">
        <v>5</v>
      </c>
      <c r="F4607" t="str" cm="1">
        <f t="array" ref="F4607">CategorizeComment(E4607)</f>
        <v>Other</v>
      </c>
      <c r="G4607" t="str" cm="1">
        <f t="array" ref="G4607">SubCategorizeComment(E4607)</f>
        <v>Other</v>
      </c>
    </row>
    <row r="4608" spans="1:7" x14ac:dyDescent="0.25">
      <c r="A4608">
        <v>37660</v>
      </c>
      <c r="B4608" t="s">
        <v>4</v>
      </c>
      <c r="C4608">
        <v>4</v>
      </c>
      <c r="D4608" t="s">
        <v>5</v>
      </c>
      <c r="F4608" t="str" cm="1">
        <f t="array" ref="F4608">CategorizeComment(E4608)</f>
        <v>Other</v>
      </c>
      <c r="G4608" t="str" cm="1">
        <f t="array" ref="G4608">SubCategorizeComment(E4608)</f>
        <v>Other</v>
      </c>
    </row>
    <row r="4609" spans="1:7" x14ac:dyDescent="0.25">
      <c r="A4609">
        <v>37668</v>
      </c>
      <c r="B4609" t="s">
        <v>4</v>
      </c>
      <c r="C4609">
        <v>3</v>
      </c>
      <c r="D4609" t="s">
        <v>5</v>
      </c>
      <c r="F4609" t="str" cm="1">
        <f t="array" ref="F4609">CategorizeComment(E4609)</f>
        <v>Other</v>
      </c>
      <c r="G4609" t="str" cm="1">
        <f t="array" ref="G4609">SubCategorizeComment(E4609)</f>
        <v>Other</v>
      </c>
    </row>
    <row r="4610" spans="1:7" x14ac:dyDescent="0.25">
      <c r="A4610">
        <v>37697</v>
      </c>
      <c r="B4610" t="s">
        <v>4</v>
      </c>
      <c r="C4610">
        <v>4</v>
      </c>
      <c r="D4610" t="s">
        <v>5</v>
      </c>
      <c r="F4610" t="str" cm="1">
        <f t="array" ref="F4610">CategorizeComment(E4610)</f>
        <v>Other</v>
      </c>
      <c r="G4610" t="str" cm="1">
        <f t="array" ref="G4610">SubCategorizeComment(E4610)</f>
        <v>Other</v>
      </c>
    </row>
    <row r="4611" spans="1:7" x14ac:dyDescent="0.25">
      <c r="A4611">
        <v>37707</v>
      </c>
      <c r="B4611" t="s">
        <v>4</v>
      </c>
      <c r="C4611">
        <v>3</v>
      </c>
      <c r="D4611" t="s">
        <v>5</v>
      </c>
      <c r="F4611" t="str" cm="1">
        <f t="array" ref="F4611">CategorizeComment(E4611)</f>
        <v>Other</v>
      </c>
      <c r="G4611" t="str" cm="1">
        <f t="array" ref="G4611">SubCategorizeComment(E4611)</f>
        <v>Other</v>
      </c>
    </row>
    <row r="4612" spans="1:7" x14ac:dyDescent="0.25">
      <c r="A4612">
        <v>37722</v>
      </c>
      <c r="B4612" t="s">
        <v>4</v>
      </c>
      <c r="C4612">
        <v>3</v>
      </c>
      <c r="D4612" t="s">
        <v>5</v>
      </c>
      <c r="F4612" t="str" cm="1">
        <f t="array" ref="F4612">CategorizeComment(E4612)</f>
        <v>Other</v>
      </c>
      <c r="G4612" t="str" cm="1">
        <f t="array" ref="G4612">SubCategorizeComment(E4612)</f>
        <v>Other</v>
      </c>
    </row>
    <row r="4613" spans="1:7" x14ac:dyDescent="0.25">
      <c r="A4613">
        <v>37725</v>
      </c>
      <c r="B4613" t="s">
        <v>4</v>
      </c>
      <c r="C4613">
        <v>3</v>
      </c>
      <c r="D4613" t="s">
        <v>5</v>
      </c>
      <c r="F4613" t="str" cm="1">
        <f t="array" ref="F4613">CategorizeComment(E4613)</f>
        <v>Other</v>
      </c>
      <c r="G4613" t="str" cm="1">
        <f t="array" ref="G4613">SubCategorizeComment(E4613)</f>
        <v>Other</v>
      </c>
    </row>
    <row r="4614" spans="1:7" x14ac:dyDescent="0.25">
      <c r="A4614">
        <v>37732</v>
      </c>
      <c r="B4614" t="s">
        <v>4</v>
      </c>
      <c r="C4614">
        <v>4</v>
      </c>
      <c r="D4614" t="s">
        <v>5</v>
      </c>
      <c r="F4614" t="str" cm="1">
        <f t="array" ref="F4614">CategorizeComment(E4614)</f>
        <v>Other</v>
      </c>
      <c r="G4614" t="str" cm="1">
        <f t="array" ref="G4614">SubCategorizeComment(E4614)</f>
        <v>Other</v>
      </c>
    </row>
    <row r="4615" spans="1:7" x14ac:dyDescent="0.25">
      <c r="A4615">
        <v>37736</v>
      </c>
      <c r="B4615" t="s">
        <v>4</v>
      </c>
      <c r="C4615">
        <v>3</v>
      </c>
      <c r="D4615" t="s">
        <v>5</v>
      </c>
      <c r="F4615" t="str" cm="1">
        <f t="array" ref="F4615">CategorizeComment(E4615)</f>
        <v>Other</v>
      </c>
      <c r="G4615" t="str" cm="1">
        <f t="array" ref="G4615">SubCategorizeComment(E4615)</f>
        <v>Other</v>
      </c>
    </row>
    <row r="4616" spans="1:7" x14ac:dyDescent="0.25">
      <c r="A4616">
        <v>37743</v>
      </c>
      <c r="B4616" t="s">
        <v>4</v>
      </c>
      <c r="C4616">
        <v>3</v>
      </c>
      <c r="D4616" t="s">
        <v>5</v>
      </c>
      <c r="F4616" t="str" cm="1">
        <f t="array" ref="F4616">CategorizeComment(E4616)</f>
        <v>Other</v>
      </c>
      <c r="G4616" t="str" cm="1">
        <f t="array" ref="G4616">SubCategorizeComment(E4616)</f>
        <v>Other</v>
      </c>
    </row>
    <row r="4617" spans="1:7" x14ac:dyDescent="0.25">
      <c r="A4617">
        <v>37768</v>
      </c>
      <c r="B4617" t="s">
        <v>4</v>
      </c>
      <c r="C4617">
        <v>4</v>
      </c>
      <c r="D4617" t="s">
        <v>5</v>
      </c>
      <c r="F4617" t="str" cm="1">
        <f t="array" ref="F4617">CategorizeComment(E4617)</f>
        <v>Other</v>
      </c>
      <c r="G4617" t="str" cm="1">
        <f t="array" ref="G4617">SubCategorizeComment(E4617)</f>
        <v>Other</v>
      </c>
    </row>
    <row r="4618" spans="1:7" x14ac:dyDescent="0.25">
      <c r="A4618">
        <v>37776</v>
      </c>
      <c r="B4618" t="s">
        <v>4</v>
      </c>
      <c r="C4618">
        <v>3</v>
      </c>
      <c r="D4618" t="s">
        <v>5</v>
      </c>
      <c r="F4618" t="str" cm="1">
        <f t="array" ref="F4618">CategorizeComment(E4618)</f>
        <v>Other</v>
      </c>
      <c r="G4618" t="str" cm="1">
        <f t="array" ref="G4618">SubCategorizeComment(E4618)</f>
        <v>Other</v>
      </c>
    </row>
    <row r="4619" spans="1:7" x14ac:dyDescent="0.25">
      <c r="A4619">
        <v>37795</v>
      </c>
      <c r="B4619" t="s">
        <v>4</v>
      </c>
      <c r="C4619">
        <v>4</v>
      </c>
      <c r="D4619" t="s">
        <v>5</v>
      </c>
      <c r="F4619" t="str" cm="1">
        <f t="array" ref="F4619">CategorizeComment(E4619)</f>
        <v>Other</v>
      </c>
      <c r="G4619" t="str" cm="1">
        <f t="array" ref="G4619">SubCategorizeComment(E4619)</f>
        <v>Other</v>
      </c>
    </row>
    <row r="4620" spans="1:7" x14ac:dyDescent="0.25">
      <c r="A4620">
        <v>37803</v>
      </c>
      <c r="B4620" t="s">
        <v>4</v>
      </c>
      <c r="C4620">
        <v>3</v>
      </c>
      <c r="D4620" t="s">
        <v>5</v>
      </c>
      <c r="F4620" t="str" cm="1">
        <f t="array" ref="F4620">CategorizeComment(E4620)</f>
        <v>Other</v>
      </c>
      <c r="G4620" t="str" cm="1">
        <f t="array" ref="G4620">SubCategorizeComment(E4620)</f>
        <v>Other</v>
      </c>
    </row>
    <row r="4621" spans="1:7" x14ac:dyDescent="0.25">
      <c r="A4621">
        <v>37844</v>
      </c>
      <c r="B4621" t="s">
        <v>4</v>
      </c>
      <c r="C4621">
        <v>4</v>
      </c>
      <c r="D4621" t="s">
        <v>5</v>
      </c>
      <c r="F4621" t="str" cm="1">
        <f t="array" ref="F4621">CategorizeComment(E4621)</f>
        <v>Other</v>
      </c>
      <c r="G4621" t="str" cm="1">
        <f t="array" ref="G4621">SubCategorizeComment(E4621)</f>
        <v>Other</v>
      </c>
    </row>
    <row r="4622" spans="1:7" x14ac:dyDescent="0.25">
      <c r="A4622">
        <v>37859</v>
      </c>
      <c r="B4622" t="s">
        <v>4</v>
      </c>
      <c r="C4622">
        <v>4</v>
      </c>
      <c r="D4622" t="s">
        <v>5</v>
      </c>
      <c r="F4622" t="str" cm="1">
        <f t="array" ref="F4622">CategorizeComment(E4622)</f>
        <v>Other</v>
      </c>
      <c r="G4622" t="str" cm="1">
        <f t="array" ref="G4622">SubCategorizeComment(E4622)</f>
        <v>Other</v>
      </c>
    </row>
    <row r="4623" spans="1:7" x14ac:dyDescent="0.25">
      <c r="A4623">
        <v>37862</v>
      </c>
      <c r="B4623" t="s">
        <v>4</v>
      </c>
      <c r="C4623">
        <v>3</v>
      </c>
      <c r="D4623" t="s">
        <v>5</v>
      </c>
      <c r="F4623" t="str" cm="1">
        <f t="array" ref="F4623">CategorizeComment(E4623)</f>
        <v>Other</v>
      </c>
      <c r="G4623" t="str" cm="1">
        <f t="array" ref="G4623">SubCategorizeComment(E4623)</f>
        <v>Other</v>
      </c>
    </row>
    <row r="4624" spans="1:7" x14ac:dyDescent="0.25">
      <c r="A4624">
        <v>37868</v>
      </c>
      <c r="B4624" t="s">
        <v>4</v>
      </c>
      <c r="C4624">
        <v>4</v>
      </c>
      <c r="D4624" t="s">
        <v>5</v>
      </c>
      <c r="F4624" t="str" cm="1">
        <f t="array" ref="F4624">CategorizeComment(E4624)</f>
        <v>Other</v>
      </c>
      <c r="G4624" t="str" cm="1">
        <f t="array" ref="G4624">SubCategorizeComment(E4624)</f>
        <v>Other</v>
      </c>
    </row>
    <row r="4625" spans="1:7" x14ac:dyDescent="0.25">
      <c r="A4625">
        <v>37879</v>
      </c>
      <c r="B4625" t="s">
        <v>4</v>
      </c>
      <c r="C4625">
        <v>3</v>
      </c>
      <c r="D4625" t="s">
        <v>5</v>
      </c>
      <c r="F4625" t="str" cm="1">
        <f t="array" ref="F4625">CategorizeComment(E4625)</f>
        <v>Other</v>
      </c>
      <c r="G4625" t="str" cm="1">
        <f t="array" ref="G4625">SubCategorizeComment(E4625)</f>
        <v>Other</v>
      </c>
    </row>
    <row r="4626" spans="1:7" x14ac:dyDescent="0.25">
      <c r="A4626">
        <v>37882</v>
      </c>
      <c r="B4626" t="s">
        <v>4</v>
      </c>
      <c r="C4626">
        <v>4</v>
      </c>
      <c r="D4626" t="s">
        <v>5</v>
      </c>
      <c r="F4626" t="str" cm="1">
        <f t="array" ref="F4626">CategorizeComment(E4626)</f>
        <v>Other</v>
      </c>
      <c r="G4626" t="str" cm="1">
        <f t="array" ref="G4626">SubCategorizeComment(E4626)</f>
        <v>Other</v>
      </c>
    </row>
    <row r="4627" spans="1:7" x14ac:dyDescent="0.25">
      <c r="A4627">
        <v>37885</v>
      </c>
      <c r="B4627" t="s">
        <v>4</v>
      </c>
      <c r="C4627">
        <v>3</v>
      </c>
      <c r="D4627" t="s">
        <v>5</v>
      </c>
      <c r="F4627" t="str" cm="1">
        <f t="array" ref="F4627">CategorizeComment(E4627)</f>
        <v>Other</v>
      </c>
      <c r="G4627" t="str" cm="1">
        <f t="array" ref="G4627">SubCategorizeComment(E4627)</f>
        <v>Other</v>
      </c>
    </row>
    <row r="4628" spans="1:7" x14ac:dyDescent="0.25">
      <c r="A4628">
        <v>37888</v>
      </c>
      <c r="B4628" t="s">
        <v>4</v>
      </c>
      <c r="C4628">
        <v>3</v>
      </c>
      <c r="D4628" t="s">
        <v>5</v>
      </c>
      <c r="F4628" t="str" cm="1">
        <f t="array" ref="F4628">CategorizeComment(E4628)</f>
        <v>Other</v>
      </c>
      <c r="G4628" t="str" cm="1">
        <f t="array" ref="G4628">SubCategorizeComment(E4628)</f>
        <v>Other</v>
      </c>
    </row>
    <row r="4629" spans="1:7" x14ac:dyDescent="0.25">
      <c r="A4629">
        <v>37889</v>
      </c>
      <c r="B4629" t="s">
        <v>4</v>
      </c>
      <c r="C4629">
        <v>3</v>
      </c>
      <c r="D4629" t="s">
        <v>5</v>
      </c>
      <c r="F4629" t="str" cm="1">
        <f t="array" ref="F4629">CategorizeComment(E4629)</f>
        <v>Other</v>
      </c>
      <c r="G4629" t="str" cm="1">
        <f t="array" ref="G4629">SubCategorizeComment(E4629)</f>
        <v>Other</v>
      </c>
    </row>
    <row r="4630" spans="1:7" x14ac:dyDescent="0.25">
      <c r="A4630">
        <v>37890</v>
      </c>
      <c r="B4630" t="s">
        <v>4</v>
      </c>
      <c r="C4630">
        <v>3</v>
      </c>
      <c r="D4630" t="s">
        <v>5</v>
      </c>
      <c r="F4630" t="str" cm="1">
        <f t="array" ref="F4630">CategorizeComment(E4630)</f>
        <v>Other</v>
      </c>
      <c r="G4630" t="str" cm="1">
        <f t="array" ref="G4630">SubCategorizeComment(E4630)</f>
        <v>Other</v>
      </c>
    </row>
    <row r="4631" spans="1:7" x14ac:dyDescent="0.25">
      <c r="A4631">
        <v>37891</v>
      </c>
      <c r="B4631" t="s">
        <v>4</v>
      </c>
      <c r="C4631">
        <v>4</v>
      </c>
      <c r="D4631" t="s">
        <v>5</v>
      </c>
      <c r="F4631" t="str" cm="1">
        <f t="array" ref="F4631">CategorizeComment(E4631)</f>
        <v>Other</v>
      </c>
      <c r="G4631" t="str" cm="1">
        <f t="array" ref="G4631">SubCategorizeComment(E4631)</f>
        <v>Other</v>
      </c>
    </row>
    <row r="4632" spans="1:7" x14ac:dyDescent="0.25">
      <c r="A4632">
        <v>37892</v>
      </c>
      <c r="B4632" t="s">
        <v>4</v>
      </c>
      <c r="C4632">
        <v>4</v>
      </c>
      <c r="D4632" t="s">
        <v>5</v>
      </c>
      <c r="F4632" t="str" cm="1">
        <f t="array" ref="F4632">CategorizeComment(E4632)</f>
        <v>Other</v>
      </c>
      <c r="G4632" t="str" cm="1">
        <f t="array" ref="G4632">SubCategorizeComment(E4632)</f>
        <v>Other</v>
      </c>
    </row>
    <row r="4633" spans="1:7" x14ac:dyDescent="0.25">
      <c r="A4633">
        <v>37894</v>
      </c>
      <c r="B4633" t="s">
        <v>4</v>
      </c>
      <c r="C4633">
        <v>4</v>
      </c>
      <c r="D4633" t="s">
        <v>5</v>
      </c>
      <c r="F4633" t="str" cm="1">
        <f t="array" ref="F4633">CategorizeComment(E4633)</f>
        <v>Other</v>
      </c>
      <c r="G4633" t="str" cm="1">
        <f t="array" ref="G4633">SubCategorizeComment(E4633)</f>
        <v>Other</v>
      </c>
    </row>
    <row r="4634" spans="1:7" x14ac:dyDescent="0.25">
      <c r="A4634">
        <v>37904</v>
      </c>
      <c r="B4634" t="s">
        <v>4</v>
      </c>
      <c r="C4634">
        <v>3</v>
      </c>
      <c r="D4634" t="s">
        <v>5</v>
      </c>
      <c r="F4634" t="str" cm="1">
        <f t="array" ref="F4634">CategorizeComment(E4634)</f>
        <v>Other</v>
      </c>
      <c r="G4634" t="str" cm="1">
        <f t="array" ref="G4634">SubCategorizeComment(E4634)</f>
        <v>Other</v>
      </c>
    </row>
    <row r="4635" spans="1:7" x14ac:dyDescent="0.25">
      <c r="A4635">
        <v>37912</v>
      </c>
      <c r="B4635" t="s">
        <v>4</v>
      </c>
      <c r="C4635">
        <v>3</v>
      </c>
      <c r="D4635" t="s">
        <v>5</v>
      </c>
      <c r="F4635" t="str" cm="1">
        <f t="array" ref="F4635">CategorizeComment(E4635)</f>
        <v>Other</v>
      </c>
      <c r="G4635" t="str" cm="1">
        <f t="array" ref="G4635">SubCategorizeComment(E4635)</f>
        <v>Other</v>
      </c>
    </row>
    <row r="4636" spans="1:7" x14ac:dyDescent="0.25">
      <c r="A4636">
        <v>37918</v>
      </c>
      <c r="B4636" t="s">
        <v>4</v>
      </c>
      <c r="C4636">
        <v>4</v>
      </c>
      <c r="D4636" t="s">
        <v>5</v>
      </c>
      <c r="F4636" t="str" cm="1">
        <f t="array" ref="F4636">CategorizeComment(E4636)</f>
        <v>Other</v>
      </c>
      <c r="G4636" t="str" cm="1">
        <f t="array" ref="G4636">SubCategorizeComment(E4636)</f>
        <v>Other</v>
      </c>
    </row>
    <row r="4637" spans="1:7" x14ac:dyDescent="0.25">
      <c r="A4637">
        <v>37931</v>
      </c>
      <c r="B4637" t="s">
        <v>4</v>
      </c>
      <c r="C4637">
        <v>3</v>
      </c>
      <c r="D4637" t="s">
        <v>5</v>
      </c>
      <c r="F4637" t="str" cm="1">
        <f t="array" ref="F4637">CategorizeComment(E4637)</f>
        <v>Other</v>
      </c>
      <c r="G4637" t="str" cm="1">
        <f t="array" ref="G4637">SubCategorizeComment(E4637)</f>
        <v>Other</v>
      </c>
    </row>
    <row r="4638" spans="1:7" x14ac:dyDescent="0.25">
      <c r="A4638">
        <v>37933</v>
      </c>
      <c r="B4638" t="s">
        <v>4</v>
      </c>
      <c r="C4638">
        <v>3</v>
      </c>
      <c r="D4638" t="s">
        <v>5</v>
      </c>
      <c r="F4638" t="str" cm="1">
        <f t="array" ref="F4638">CategorizeComment(E4638)</f>
        <v>Other</v>
      </c>
      <c r="G4638" t="str" cm="1">
        <f t="array" ref="G4638">SubCategorizeComment(E4638)</f>
        <v>Other</v>
      </c>
    </row>
    <row r="4639" spans="1:7" x14ac:dyDescent="0.25">
      <c r="A4639">
        <v>37934</v>
      </c>
      <c r="B4639" t="s">
        <v>4</v>
      </c>
      <c r="C4639">
        <v>3</v>
      </c>
      <c r="D4639" t="s">
        <v>5</v>
      </c>
      <c r="F4639" t="str" cm="1">
        <f t="array" ref="F4639">CategorizeComment(E4639)</f>
        <v>Other</v>
      </c>
      <c r="G4639" t="str" cm="1">
        <f t="array" ref="G4639">SubCategorizeComment(E4639)</f>
        <v>Other</v>
      </c>
    </row>
    <row r="4640" spans="1:7" x14ac:dyDescent="0.25">
      <c r="A4640">
        <v>37947</v>
      </c>
      <c r="B4640" t="s">
        <v>4</v>
      </c>
      <c r="C4640">
        <v>4</v>
      </c>
      <c r="D4640" t="s">
        <v>5</v>
      </c>
      <c r="F4640" t="str" cm="1">
        <f t="array" ref="F4640">CategorizeComment(E4640)</f>
        <v>Other</v>
      </c>
      <c r="G4640" t="str" cm="1">
        <f t="array" ref="G4640">SubCategorizeComment(E4640)</f>
        <v>Other</v>
      </c>
    </row>
    <row r="4641" spans="1:7" x14ac:dyDescent="0.25">
      <c r="A4641">
        <v>37972</v>
      </c>
      <c r="B4641" t="s">
        <v>4</v>
      </c>
      <c r="C4641">
        <v>4</v>
      </c>
      <c r="D4641" t="s">
        <v>5</v>
      </c>
      <c r="F4641" t="str" cm="1">
        <f t="array" ref="F4641">CategorizeComment(E4641)</f>
        <v>Other</v>
      </c>
      <c r="G4641" t="str" cm="1">
        <f t="array" ref="G4641">SubCategorizeComment(E4641)</f>
        <v>Other</v>
      </c>
    </row>
    <row r="4642" spans="1:7" x14ac:dyDescent="0.25">
      <c r="A4642">
        <v>37973</v>
      </c>
      <c r="B4642" t="s">
        <v>4</v>
      </c>
      <c r="C4642">
        <v>4</v>
      </c>
      <c r="D4642" t="s">
        <v>5</v>
      </c>
      <c r="F4642" t="str" cm="1">
        <f t="array" ref="F4642">CategorizeComment(E4642)</f>
        <v>Other</v>
      </c>
      <c r="G4642" t="str" cm="1">
        <f t="array" ref="G4642">SubCategorizeComment(E4642)</f>
        <v>Other</v>
      </c>
    </row>
    <row r="4643" spans="1:7" x14ac:dyDescent="0.25">
      <c r="A4643">
        <v>37978</v>
      </c>
      <c r="B4643" t="s">
        <v>4</v>
      </c>
      <c r="C4643">
        <v>3</v>
      </c>
      <c r="D4643" t="s">
        <v>5</v>
      </c>
      <c r="F4643" t="str" cm="1">
        <f t="array" ref="F4643">CategorizeComment(E4643)</f>
        <v>Other</v>
      </c>
      <c r="G4643" t="str" cm="1">
        <f t="array" ref="G4643">SubCategorizeComment(E4643)</f>
        <v>Other</v>
      </c>
    </row>
    <row r="4644" spans="1:7" x14ac:dyDescent="0.25">
      <c r="A4644">
        <v>37984</v>
      </c>
      <c r="B4644" t="s">
        <v>4</v>
      </c>
      <c r="C4644">
        <v>4</v>
      </c>
      <c r="D4644" t="s">
        <v>5</v>
      </c>
      <c r="F4644" t="str" cm="1">
        <f t="array" ref="F4644">CategorizeComment(E4644)</f>
        <v>Other</v>
      </c>
      <c r="G4644" t="str" cm="1">
        <f t="array" ref="G4644">SubCategorizeComment(E4644)</f>
        <v>Other</v>
      </c>
    </row>
    <row r="4645" spans="1:7" x14ac:dyDescent="0.25">
      <c r="A4645">
        <v>37988</v>
      </c>
      <c r="B4645" t="s">
        <v>4</v>
      </c>
      <c r="C4645">
        <v>4</v>
      </c>
      <c r="D4645" t="s">
        <v>5</v>
      </c>
      <c r="F4645" t="str" cm="1">
        <f t="array" ref="F4645">CategorizeComment(E4645)</f>
        <v>Other</v>
      </c>
      <c r="G4645" t="str" cm="1">
        <f t="array" ref="G4645">SubCategorizeComment(E4645)</f>
        <v>Other</v>
      </c>
    </row>
    <row r="4646" spans="1:7" x14ac:dyDescent="0.25">
      <c r="A4646">
        <v>38004</v>
      </c>
      <c r="B4646" t="s">
        <v>4</v>
      </c>
      <c r="C4646">
        <v>4</v>
      </c>
      <c r="D4646" t="s">
        <v>5</v>
      </c>
      <c r="F4646" t="str" cm="1">
        <f t="array" ref="F4646">CategorizeComment(E4646)</f>
        <v>Other</v>
      </c>
      <c r="G4646" t="str" cm="1">
        <f t="array" ref="G4646">SubCategorizeComment(E4646)</f>
        <v>Other</v>
      </c>
    </row>
    <row r="4647" spans="1:7" x14ac:dyDescent="0.25">
      <c r="A4647">
        <v>38037</v>
      </c>
      <c r="B4647" t="s">
        <v>4</v>
      </c>
      <c r="C4647">
        <v>3</v>
      </c>
      <c r="D4647" t="s">
        <v>5</v>
      </c>
      <c r="F4647" t="str" cm="1">
        <f t="array" ref="F4647">CategorizeComment(E4647)</f>
        <v>Other</v>
      </c>
      <c r="G4647" t="str" cm="1">
        <f t="array" ref="G4647">SubCategorizeComment(E4647)</f>
        <v>Other</v>
      </c>
    </row>
    <row r="4648" spans="1:7" x14ac:dyDescent="0.25">
      <c r="A4648">
        <v>38065</v>
      </c>
      <c r="B4648" t="s">
        <v>4</v>
      </c>
      <c r="C4648">
        <v>4</v>
      </c>
      <c r="D4648" t="s">
        <v>5</v>
      </c>
      <c r="F4648" t="str" cm="1">
        <f t="array" ref="F4648">CategorizeComment(E4648)</f>
        <v>Other</v>
      </c>
      <c r="G4648" t="str" cm="1">
        <f t="array" ref="G4648">SubCategorizeComment(E4648)</f>
        <v>Other</v>
      </c>
    </row>
    <row r="4649" spans="1:7" x14ac:dyDescent="0.25">
      <c r="A4649">
        <v>38088</v>
      </c>
      <c r="B4649" t="s">
        <v>4</v>
      </c>
      <c r="C4649">
        <v>3</v>
      </c>
      <c r="D4649" t="s">
        <v>5</v>
      </c>
      <c r="F4649" t="str" cm="1">
        <f t="array" ref="F4649">CategorizeComment(E4649)</f>
        <v>Other</v>
      </c>
      <c r="G4649" t="str" cm="1">
        <f t="array" ref="G4649">SubCategorizeComment(E4649)</f>
        <v>Other</v>
      </c>
    </row>
    <row r="4650" spans="1:7" x14ac:dyDescent="0.25">
      <c r="A4650">
        <v>38090</v>
      </c>
      <c r="B4650" t="s">
        <v>4</v>
      </c>
      <c r="C4650">
        <v>4</v>
      </c>
      <c r="D4650" t="s">
        <v>5</v>
      </c>
      <c r="F4650" t="str" cm="1">
        <f t="array" ref="F4650">CategorizeComment(E4650)</f>
        <v>Other</v>
      </c>
      <c r="G4650" t="str" cm="1">
        <f t="array" ref="G4650">SubCategorizeComment(E4650)</f>
        <v>Other</v>
      </c>
    </row>
    <row r="4651" spans="1:7" x14ac:dyDescent="0.25">
      <c r="A4651">
        <v>38096</v>
      </c>
      <c r="B4651" t="s">
        <v>4</v>
      </c>
      <c r="C4651">
        <v>4</v>
      </c>
      <c r="D4651" t="s">
        <v>5</v>
      </c>
      <c r="F4651" t="str" cm="1">
        <f t="array" ref="F4651">CategorizeComment(E4651)</f>
        <v>Other</v>
      </c>
      <c r="G4651" t="str" cm="1">
        <f t="array" ref="G4651">SubCategorizeComment(E4651)</f>
        <v>Other</v>
      </c>
    </row>
    <row r="4652" spans="1:7" x14ac:dyDescent="0.25">
      <c r="A4652">
        <v>38097</v>
      </c>
      <c r="B4652" t="s">
        <v>4</v>
      </c>
      <c r="C4652">
        <v>4</v>
      </c>
      <c r="D4652" t="s">
        <v>5</v>
      </c>
      <c r="F4652" t="str" cm="1">
        <f t="array" ref="F4652">CategorizeComment(E4652)</f>
        <v>Other</v>
      </c>
      <c r="G4652" t="str" cm="1">
        <f t="array" ref="G4652">SubCategorizeComment(E4652)</f>
        <v>Other</v>
      </c>
    </row>
    <row r="4653" spans="1:7" x14ac:dyDescent="0.25">
      <c r="A4653">
        <v>38100</v>
      </c>
      <c r="B4653" t="s">
        <v>4</v>
      </c>
      <c r="C4653">
        <v>3</v>
      </c>
      <c r="D4653" t="s">
        <v>5</v>
      </c>
      <c r="F4653" t="str" cm="1">
        <f t="array" ref="F4653">CategorizeComment(E4653)</f>
        <v>Other</v>
      </c>
      <c r="G4653" t="str" cm="1">
        <f t="array" ref="G4653">SubCategorizeComment(E4653)</f>
        <v>Other</v>
      </c>
    </row>
    <row r="4654" spans="1:7" x14ac:dyDescent="0.25">
      <c r="A4654">
        <v>38104</v>
      </c>
      <c r="B4654" t="s">
        <v>4</v>
      </c>
      <c r="C4654">
        <v>3</v>
      </c>
      <c r="D4654" t="s">
        <v>5</v>
      </c>
      <c r="F4654" t="str" cm="1">
        <f t="array" ref="F4654">CategorizeComment(E4654)</f>
        <v>Other</v>
      </c>
      <c r="G4654" t="str" cm="1">
        <f t="array" ref="G4654">SubCategorizeComment(E4654)</f>
        <v>Other</v>
      </c>
    </row>
    <row r="4655" spans="1:7" x14ac:dyDescent="0.25">
      <c r="A4655">
        <v>38105</v>
      </c>
      <c r="B4655" t="s">
        <v>4</v>
      </c>
      <c r="C4655">
        <v>4</v>
      </c>
      <c r="D4655" t="s">
        <v>5</v>
      </c>
      <c r="F4655" t="str" cm="1">
        <f t="array" ref="F4655">CategorizeComment(E4655)</f>
        <v>Other</v>
      </c>
      <c r="G4655" t="str" cm="1">
        <f t="array" ref="G4655">SubCategorizeComment(E4655)</f>
        <v>Other</v>
      </c>
    </row>
    <row r="4656" spans="1:7" x14ac:dyDescent="0.25">
      <c r="A4656">
        <v>38114</v>
      </c>
      <c r="B4656" t="s">
        <v>4</v>
      </c>
      <c r="C4656">
        <v>3</v>
      </c>
      <c r="D4656" t="s">
        <v>5</v>
      </c>
      <c r="F4656" t="str" cm="1">
        <f t="array" ref="F4656">CategorizeComment(E4656)</f>
        <v>Other</v>
      </c>
      <c r="G4656" t="str" cm="1">
        <f t="array" ref="G4656">SubCategorizeComment(E4656)</f>
        <v>Other</v>
      </c>
    </row>
    <row r="4657" spans="1:7" x14ac:dyDescent="0.25">
      <c r="A4657">
        <v>38125</v>
      </c>
      <c r="B4657" t="s">
        <v>4</v>
      </c>
      <c r="C4657">
        <v>3</v>
      </c>
      <c r="D4657" t="s">
        <v>5</v>
      </c>
      <c r="F4657" t="str" cm="1">
        <f t="array" ref="F4657">CategorizeComment(E4657)</f>
        <v>Other</v>
      </c>
      <c r="G4657" t="str" cm="1">
        <f t="array" ref="G4657">SubCategorizeComment(E4657)</f>
        <v>Other</v>
      </c>
    </row>
    <row r="4658" spans="1:7" x14ac:dyDescent="0.25">
      <c r="A4658">
        <v>38129</v>
      </c>
      <c r="B4658" t="s">
        <v>4</v>
      </c>
      <c r="C4658">
        <v>4</v>
      </c>
      <c r="D4658" t="s">
        <v>5</v>
      </c>
      <c r="F4658" t="str" cm="1">
        <f t="array" ref="F4658">CategorizeComment(E4658)</f>
        <v>Other</v>
      </c>
      <c r="G4658" t="str" cm="1">
        <f t="array" ref="G4658">SubCategorizeComment(E4658)</f>
        <v>Other</v>
      </c>
    </row>
    <row r="4659" spans="1:7" x14ac:dyDescent="0.25">
      <c r="A4659">
        <v>38133</v>
      </c>
      <c r="B4659" t="s">
        <v>4</v>
      </c>
      <c r="C4659">
        <v>4</v>
      </c>
      <c r="D4659" t="s">
        <v>5</v>
      </c>
      <c r="F4659" t="str" cm="1">
        <f t="array" ref="F4659">CategorizeComment(E4659)</f>
        <v>Other</v>
      </c>
      <c r="G4659" t="str" cm="1">
        <f t="array" ref="G4659">SubCategorizeComment(E4659)</f>
        <v>Other</v>
      </c>
    </row>
    <row r="4660" spans="1:7" x14ac:dyDescent="0.25">
      <c r="A4660">
        <v>38140</v>
      </c>
      <c r="B4660" t="s">
        <v>4</v>
      </c>
      <c r="C4660">
        <v>4</v>
      </c>
      <c r="D4660" t="s">
        <v>5</v>
      </c>
      <c r="F4660" t="str" cm="1">
        <f t="array" ref="F4660">CategorizeComment(E4660)</f>
        <v>Other</v>
      </c>
      <c r="G4660" t="str" cm="1">
        <f t="array" ref="G4660">SubCategorizeComment(E4660)</f>
        <v>Other</v>
      </c>
    </row>
    <row r="4661" spans="1:7" x14ac:dyDescent="0.25">
      <c r="A4661">
        <v>38152</v>
      </c>
      <c r="B4661" t="s">
        <v>4</v>
      </c>
      <c r="C4661">
        <v>3</v>
      </c>
      <c r="D4661" t="s">
        <v>5</v>
      </c>
      <c r="F4661" t="str" cm="1">
        <f t="array" ref="F4661">CategorizeComment(E4661)</f>
        <v>Other</v>
      </c>
      <c r="G4661" t="str" cm="1">
        <f t="array" ref="G4661">SubCategorizeComment(E4661)</f>
        <v>Other</v>
      </c>
    </row>
    <row r="4662" spans="1:7" x14ac:dyDescent="0.25">
      <c r="A4662">
        <v>38156</v>
      </c>
      <c r="B4662" t="s">
        <v>4</v>
      </c>
      <c r="C4662">
        <v>4</v>
      </c>
      <c r="D4662" t="s">
        <v>5</v>
      </c>
      <c r="F4662" t="str" cm="1">
        <f t="array" ref="F4662">CategorizeComment(E4662)</f>
        <v>Other</v>
      </c>
      <c r="G4662" t="str" cm="1">
        <f t="array" ref="G4662">SubCategorizeComment(E4662)</f>
        <v>Other</v>
      </c>
    </row>
    <row r="4663" spans="1:7" x14ac:dyDescent="0.25">
      <c r="A4663">
        <v>38158</v>
      </c>
      <c r="B4663" t="s">
        <v>4</v>
      </c>
      <c r="C4663">
        <v>3</v>
      </c>
      <c r="D4663" t="s">
        <v>5</v>
      </c>
      <c r="F4663" t="str" cm="1">
        <f t="array" ref="F4663">CategorizeComment(E4663)</f>
        <v>Other</v>
      </c>
      <c r="G4663" t="str" cm="1">
        <f t="array" ref="G4663">SubCategorizeComment(E4663)</f>
        <v>Other</v>
      </c>
    </row>
    <row r="4664" spans="1:7" x14ac:dyDescent="0.25">
      <c r="A4664">
        <v>38177</v>
      </c>
      <c r="B4664" t="s">
        <v>4</v>
      </c>
      <c r="C4664">
        <v>3</v>
      </c>
      <c r="D4664" t="s">
        <v>5</v>
      </c>
      <c r="F4664" t="str" cm="1">
        <f t="array" ref="F4664">CategorizeComment(E4664)</f>
        <v>Other</v>
      </c>
      <c r="G4664" t="str" cm="1">
        <f t="array" ref="G4664">SubCategorizeComment(E4664)</f>
        <v>Other</v>
      </c>
    </row>
    <row r="4665" spans="1:7" x14ac:dyDescent="0.25">
      <c r="A4665">
        <v>38179</v>
      </c>
      <c r="B4665" t="s">
        <v>4</v>
      </c>
      <c r="C4665">
        <v>3</v>
      </c>
      <c r="D4665" t="s">
        <v>5</v>
      </c>
      <c r="F4665" t="str" cm="1">
        <f t="array" ref="F4665">CategorizeComment(E4665)</f>
        <v>Other</v>
      </c>
      <c r="G4665" t="str" cm="1">
        <f t="array" ref="G4665">SubCategorizeComment(E4665)</f>
        <v>Other</v>
      </c>
    </row>
    <row r="4666" spans="1:7" x14ac:dyDescent="0.25">
      <c r="A4666">
        <v>38187</v>
      </c>
      <c r="B4666" t="s">
        <v>4</v>
      </c>
      <c r="C4666">
        <v>4</v>
      </c>
      <c r="D4666" t="s">
        <v>5</v>
      </c>
      <c r="F4666" t="str" cm="1">
        <f t="array" ref="F4666">CategorizeComment(E4666)</f>
        <v>Other</v>
      </c>
      <c r="G4666" t="str" cm="1">
        <f t="array" ref="G4666">SubCategorizeComment(E4666)</f>
        <v>Other</v>
      </c>
    </row>
    <row r="4667" spans="1:7" x14ac:dyDescent="0.25">
      <c r="A4667">
        <v>38215</v>
      </c>
      <c r="B4667" t="s">
        <v>4</v>
      </c>
      <c r="C4667">
        <v>3</v>
      </c>
      <c r="D4667" t="s">
        <v>5</v>
      </c>
      <c r="F4667" t="str" cm="1">
        <f t="array" ref="F4667">CategorizeComment(E4667)</f>
        <v>Other</v>
      </c>
      <c r="G4667" t="str" cm="1">
        <f t="array" ref="G4667">SubCategorizeComment(E4667)</f>
        <v>Other</v>
      </c>
    </row>
    <row r="4668" spans="1:7" x14ac:dyDescent="0.25">
      <c r="A4668">
        <v>38239</v>
      </c>
      <c r="B4668" t="s">
        <v>4</v>
      </c>
      <c r="C4668">
        <v>4</v>
      </c>
      <c r="D4668" t="s">
        <v>5</v>
      </c>
      <c r="F4668" t="str" cm="1">
        <f t="array" ref="F4668">CategorizeComment(E4668)</f>
        <v>Other</v>
      </c>
      <c r="G4668" t="str" cm="1">
        <f t="array" ref="G4668">SubCategorizeComment(E4668)</f>
        <v>Other</v>
      </c>
    </row>
    <row r="4669" spans="1:7" x14ac:dyDescent="0.25">
      <c r="A4669">
        <v>38248</v>
      </c>
      <c r="B4669" t="s">
        <v>4</v>
      </c>
      <c r="C4669">
        <v>4</v>
      </c>
      <c r="D4669" t="s">
        <v>5</v>
      </c>
      <c r="F4669" t="str" cm="1">
        <f t="array" ref="F4669">CategorizeComment(E4669)</f>
        <v>Other</v>
      </c>
      <c r="G4669" t="str" cm="1">
        <f t="array" ref="G4669">SubCategorizeComment(E4669)</f>
        <v>Other</v>
      </c>
    </row>
    <row r="4670" spans="1:7" x14ac:dyDescent="0.25">
      <c r="A4670">
        <v>38267</v>
      </c>
      <c r="B4670" t="s">
        <v>4</v>
      </c>
      <c r="C4670">
        <v>4</v>
      </c>
      <c r="D4670" t="s">
        <v>5</v>
      </c>
      <c r="F4670" t="str" cm="1">
        <f t="array" ref="F4670">CategorizeComment(E4670)</f>
        <v>Other</v>
      </c>
      <c r="G4670" t="str" cm="1">
        <f t="array" ref="G4670">SubCategorizeComment(E4670)</f>
        <v>Other</v>
      </c>
    </row>
    <row r="4671" spans="1:7" x14ac:dyDescent="0.25">
      <c r="A4671">
        <v>38268</v>
      </c>
      <c r="B4671" t="s">
        <v>4</v>
      </c>
      <c r="C4671">
        <v>3</v>
      </c>
      <c r="D4671" t="s">
        <v>5</v>
      </c>
      <c r="F4671" t="str" cm="1">
        <f t="array" ref="F4671">CategorizeComment(E4671)</f>
        <v>Other</v>
      </c>
      <c r="G4671" t="str" cm="1">
        <f t="array" ref="G4671">SubCategorizeComment(E4671)</f>
        <v>Other</v>
      </c>
    </row>
    <row r="4672" spans="1:7" x14ac:dyDescent="0.25">
      <c r="A4672">
        <v>38287</v>
      </c>
      <c r="B4672" t="s">
        <v>4</v>
      </c>
      <c r="C4672">
        <v>3</v>
      </c>
      <c r="D4672" t="s">
        <v>5</v>
      </c>
      <c r="F4672" t="str" cm="1">
        <f t="array" ref="F4672">CategorizeComment(E4672)</f>
        <v>Other</v>
      </c>
      <c r="G4672" t="str" cm="1">
        <f t="array" ref="G4672">SubCategorizeComment(E4672)</f>
        <v>Other</v>
      </c>
    </row>
    <row r="4673" spans="1:7" x14ac:dyDescent="0.25">
      <c r="A4673">
        <v>38298</v>
      </c>
      <c r="B4673" t="s">
        <v>4</v>
      </c>
      <c r="C4673">
        <v>4</v>
      </c>
      <c r="D4673" t="s">
        <v>5</v>
      </c>
      <c r="F4673" t="str" cm="1">
        <f t="array" ref="F4673">CategorizeComment(E4673)</f>
        <v>Other</v>
      </c>
      <c r="G4673" t="str" cm="1">
        <f t="array" ref="G4673">SubCategorizeComment(E4673)</f>
        <v>Other</v>
      </c>
    </row>
    <row r="4674" spans="1:7" x14ac:dyDescent="0.25">
      <c r="A4674">
        <v>38303</v>
      </c>
      <c r="B4674" t="s">
        <v>4</v>
      </c>
      <c r="C4674">
        <v>4</v>
      </c>
      <c r="D4674" t="s">
        <v>5</v>
      </c>
      <c r="F4674" t="str" cm="1">
        <f t="array" ref="F4674">CategorizeComment(E4674)</f>
        <v>Other</v>
      </c>
      <c r="G4674" t="str" cm="1">
        <f t="array" ref="G4674">SubCategorizeComment(E4674)</f>
        <v>Other</v>
      </c>
    </row>
    <row r="4675" spans="1:7" x14ac:dyDescent="0.25">
      <c r="A4675">
        <v>38319</v>
      </c>
      <c r="B4675" t="s">
        <v>4</v>
      </c>
      <c r="C4675">
        <v>4</v>
      </c>
      <c r="D4675" t="s">
        <v>5</v>
      </c>
      <c r="F4675" t="str" cm="1">
        <f t="array" ref="F4675">CategorizeComment(E4675)</f>
        <v>Other</v>
      </c>
      <c r="G4675" t="str" cm="1">
        <f t="array" ref="G4675">SubCategorizeComment(E4675)</f>
        <v>Other</v>
      </c>
    </row>
    <row r="4676" spans="1:7" x14ac:dyDescent="0.25">
      <c r="A4676">
        <v>38349</v>
      </c>
      <c r="B4676" t="s">
        <v>4</v>
      </c>
      <c r="C4676">
        <v>3</v>
      </c>
      <c r="D4676" t="s">
        <v>5</v>
      </c>
      <c r="F4676" t="str" cm="1">
        <f t="array" ref="F4676">CategorizeComment(E4676)</f>
        <v>Other</v>
      </c>
      <c r="G4676" t="str" cm="1">
        <f t="array" ref="G4676">SubCategorizeComment(E4676)</f>
        <v>Other</v>
      </c>
    </row>
    <row r="4677" spans="1:7" x14ac:dyDescent="0.25">
      <c r="A4677">
        <v>38355</v>
      </c>
      <c r="B4677" t="s">
        <v>4</v>
      </c>
      <c r="C4677">
        <v>4</v>
      </c>
      <c r="D4677" t="s">
        <v>5</v>
      </c>
      <c r="F4677" t="str" cm="1">
        <f t="array" ref="F4677">CategorizeComment(E4677)</f>
        <v>Other</v>
      </c>
      <c r="G4677" t="str" cm="1">
        <f t="array" ref="G4677">SubCategorizeComment(E4677)</f>
        <v>Other</v>
      </c>
    </row>
    <row r="4678" spans="1:7" x14ac:dyDescent="0.25">
      <c r="A4678">
        <v>38360</v>
      </c>
      <c r="B4678" t="s">
        <v>4</v>
      </c>
      <c r="C4678">
        <v>3</v>
      </c>
      <c r="D4678" t="s">
        <v>5</v>
      </c>
      <c r="F4678" t="str" cm="1">
        <f t="array" ref="F4678">CategorizeComment(E4678)</f>
        <v>Other</v>
      </c>
      <c r="G4678" t="str" cm="1">
        <f t="array" ref="G4678">SubCategorizeComment(E4678)</f>
        <v>Other</v>
      </c>
    </row>
    <row r="4679" spans="1:7" x14ac:dyDescent="0.25">
      <c r="A4679">
        <v>38392</v>
      </c>
      <c r="B4679" t="s">
        <v>4</v>
      </c>
      <c r="C4679">
        <v>3</v>
      </c>
      <c r="D4679" t="s">
        <v>5</v>
      </c>
      <c r="F4679" t="str" cm="1">
        <f t="array" ref="F4679">CategorizeComment(E4679)</f>
        <v>Other</v>
      </c>
      <c r="G4679" t="str" cm="1">
        <f t="array" ref="G4679">SubCategorizeComment(E4679)</f>
        <v>Other</v>
      </c>
    </row>
    <row r="4680" spans="1:7" x14ac:dyDescent="0.25">
      <c r="A4680">
        <v>38395</v>
      </c>
      <c r="B4680" t="s">
        <v>4</v>
      </c>
      <c r="C4680">
        <v>4</v>
      </c>
      <c r="D4680" t="s">
        <v>5</v>
      </c>
      <c r="F4680" t="str" cm="1">
        <f t="array" ref="F4680">CategorizeComment(E4680)</f>
        <v>Other</v>
      </c>
      <c r="G4680" t="str" cm="1">
        <f t="array" ref="G4680">SubCategorizeComment(E4680)</f>
        <v>Other</v>
      </c>
    </row>
    <row r="4681" spans="1:7" x14ac:dyDescent="0.25">
      <c r="A4681">
        <v>38397</v>
      </c>
      <c r="B4681" t="s">
        <v>4</v>
      </c>
      <c r="C4681">
        <v>3</v>
      </c>
      <c r="D4681" t="s">
        <v>5</v>
      </c>
      <c r="F4681" t="str" cm="1">
        <f t="array" ref="F4681">CategorizeComment(E4681)</f>
        <v>Other</v>
      </c>
      <c r="G4681" t="str" cm="1">
        <f t="array" ref="G4681">SubCategorizeComment(E4681)</f>
        <v>Other</v>
      </c>
    </row>
    <row r="4682" spans="1:7" x14ac:dyDescent="0.25">
      <c r="A4682">
        <v>38404</v>
      </c>
      <c r="B4682" t="s">
        <v>4</v>
      </c>
      <c r="C4682">
        <v>4</v>
      </c>
      <c r="D4682" t="s">
        <v>5</v>
      </c>
      <c r="F4682" t="str" cm="1">
        <f t="array" ref="F4682">CategorizeComment(E4682)</f>
        <v>Other</v>
      </c>
      <c r="G4682" t="str" cm="1">
        <f t="array" ref="G4682">SubCategorizeComment(E4682)</f>
        <v>Other</v>
      </c>
    </row>
    <row r="4683" spans="1:7" x14ac:dyDescent="0.25">
      <c r="A4683">
        <v>38405</v>
      </c>
      <c r="B4683" t="s">
        <v>4</v>
      </c>
      <c r="C4683">
        <v>4</v>
      </c>
      <c r="D4683" t="s">
        <v>5</v>
      </c>
      <c r="F4683" t="str" cm="1">
        <f t="array" ref="F4683">CategorizeComment(E4683)</f>
        <v>Other</v>
      </c>
      <c r="G4683" t="str" cm="1">
        <f t="array" ref="G4683">SubCategorizeComment(E4683)</f>
        <v>Other</v>
      </c>
    </row>
    <row r="4684" spans="1:7" x14ac:dyDescent="0.25">
      <c r="A4684">
        <v>38424</v>
      </c>
      <c r="B4684" t="s">
        <v>4</v>
      </c>
      <c r="C4684">
        <v>3</v>
      </c>
      <c r="D4684" t="s">
        <v>5</v>
      </c>
      <c r="F4684" t="str" cm="1">
        <f t="array" ref="F4684">CategorizeComment(E4684)</f>
        <v>Other</v>
      </c>
      <c r="G4684" t="str" cm="1">
        <f t="array" ref="G4684">SubCategorizeComment(E4684)</f>
        <v>Other</v>
      </c>
    </row>
    <row r="4685" spans="1:7" x14ac:dyDescent="0.25">
      <c r="A4685">
        <v>38427</v>
      </c>
      <c r="B4685" t="s">
        <v>4</v>
      </c>
      <c r="C4685">
        <v>4</v>
      </c>
      <c r="D4685" t="s">
        <v>5</v>
      </c>
      <c r="F4685" t="str" cm="1">
        <f t="array" ref="F4685">CategorizeComment(E4685)</f>
        <v>Other</v>
      </c>
      <c r="G4685" t="str" cm="1">
        <f t="array" ref="G4685">SubCategorizeComment(E4685)</f>
        <v>Other</v>
      </c>
    </row>
    <row r="4686" spans="1:7" x14ac:dyDescent="0.25">
      <c r="A4686">
        <v>38459</v>
      </c>
      <c r="B4686" t="s">
        <v>4</v>
      </c>
      <c r="C4686">
        <v>4</v>
      </c>
      <c r="D4686" t="s">
        <v>5</v>
      </c>
      <c r="F4686" t="str" cm="1">
        <f t="array" ref="F4686">CategorizeComment(E4686)</f>
        <v>Other</v>
      </c>
      <c r="G4686" t="str" cm="1">
        <f t="array" ref="G4686">SubCategorizeComment(E4686)</f>
        <v>Other</v>
      </c>
    </row>
    <row r="4687" spans="1:7" x14ac:dyDescent="0.25">
      <c r="A4687">
        <v>38469</v>
      </c>
      <c r="B4687" t="s">
        <v>4</v>
      </c>
      <c r="C4687">
        <v>4</v>
      </c>
      <c r="D4687" t="s">
        <v>5</v>
      </c>
      <c r="F4687" t="str" cm="1">
        <f t="array" ref="F4687">CategorizeComment(E4687)</f>
        <v>Other</v>
      </c>
      <c r="G4687" t="str" cm="1">
        <f t="array" ref="G4687">SubCategorizeComment(E4687)</f>
        <v>Other</v>
      </c>
    </row>
    <row r="4688" spans="1:7" x14ac:dyDescent="0.25">
      <c r="A4688">
        <v>38473</v>
      </c>
      <c r="B4688" t="s">
        <v>4</v>
      </c>
      <c r="C4688">
        <v>4</v>
      </c>
      <c r="D4688" t="s">
        <v>5</v>
      </c>
      <c r="F4688" t="str" cm="1">
        <f t="array" ref="F4688">CategorizeComment(E4688)</f>
        <v>Other</v>
      </c>
      <c r="G4688" t="str" cm="1">
        <f t="array" ref="G4688">SubCategorizeComment(E4688)</f>
        <v>Other</v>
      </c>
    </row>
    <row r="4689" spans="1:7" x14ac:dyDescent="0.25">
      <c r="A4689">
        <v>38480</v>
      </c>
      <c r="B4689" t="s">
        <v>4</v>
      </c>
      <c r="C4689">
        <v>3</v>
      </c>
      <c r="D4689" t="s">
        <v>5</v>
      </c>
      <c r="F4689" t="str" cm="1">
        <f t="array" ref="F4689">CategorizeComment(E4689)</f>
        <v>Other</v>
      </c>
      <c r="G4689" t="str" cm="1">
        <f t="array" ref="G4689">SubCategorizeComment(E4689)</f>
        <v>Other</v>
      </c>
    </row>
    <row r="4690" spans="1:7" x14ac:dyDescent="0.25">
      <c r="A4690">
        <v>38517</v>
      </c>
      <c r="B4690" t="s">
        <v>4</v>
      </c>
      <c r="C4690">
        <v>3</v>
      </c>
      <c r="D4690" t="s">
        <v>5</v>
      </c>
      <c r="F4690" t="str" cm="1">
        <f t="array" ref="F4690">CategorizeComment(E4690)</f>
        <v>Other</v>
      </c>
      <c r="G4690" t="str" cm="1">
        <f t="array" ref="G4690">SubCategorizeComment(E4690)</f>
        <v>Other</v>
      </c>
    </row>
    <row r="4691" spans="1:7" x14ac:dyDescent="0.25">
      <c r="A4691">
        <v>38533</v>
      </c>
      <c r="B4691" t="s">
        <v>4</v>
      </c>
      <c r="C4691">
        <v>4</v>
      </c>
      <c r="D4691" t="s">
        <v>5</v>
      </c>
      <c r="F4691" t="str" cm="1">
        <f t="array" ref="F4691">CategorizeComment(E4691)</f>
        <v>Other</v>
      </c>
      <c r="G4691" t="str" cm="1">
        <f t="array" ref="G4691">SubCategorizeComment(E4691)</f>
        <v>Other</v>
      </c>
    </row>
    <row r="4692" spans="1:7" x14ac:dyDescent="0.25">
      <c r="A4692">
        <v>38536</v>
      </c>
      <c r="B4692" t="s">
        <v>4</v>
      </c>
      <c r="C4692">
        <v>4</v>
      </c>
      <c r="D4692" t="s">
        <v>5</v>
      </c>
      <c r="F4692" t="str" cm="1">
        <f t="array" ref="F4692">CategorizeComment(E4692)</f>
        <v>Other</v>
      </c>
      <c r="G4692" t="str" cm="1">
        <f t="array" ref="G4692">SubCategorizeComment(E4692)</f>
        <v>Other</v>
      </c>
    </row>
    <row r="4693" spans="1:7" x14ac:dyDescent="0.25">
      <c r="A4693">
        <v>38539</v>
      </c>
      <c r="B4693" t="s">
        <v>4</v>
      </c>
      <c r="C4693">
        <v>3</v>
      </c>
      <c r="D4693" t="s">
        <v>5</v>
      </c>
      <c r="F4693" t="str" cm="1">
        <f t="array" ref="F4693">CategorizeComment(E4693)</f>
        <v>Other</v>
      </c>
      <c r="G4693" t="str" cm="1">
        <f t="array" ref="G4693">SubCategorizeComment(E4693)</f>
        <v>Other</v>
      </c>
    </row>
    <row r="4694" spans="1:7" x14ac:dyDescent="0.25">
      <c r="A4694">
        <v>38540</v>
      </c>
      <c r="B4694" t="s">
        <v>4</v>
      </c>
      <c r="C4694">
        <v>3</v>
      </c>
      <c r="D4694" t="s">
        <v>5</v>
      </c>
      <c r="F4694" t="str" cm="1">
        <f t="array" ref="F4694">CategorizeComment(E4694)</f>
        <v>Other</v>
      </c>
      <c r="G4694" t="str" cm="1">
        <f t="array" ref="G4694">SubCategorizeComment(E4694)</f>
        <v>Other</v>
      </c>
    </row>
    <row r="4695" spans="1:7" x14ac:dyDescent="0.25">
      <c r="A4695">
        <v>38545</v>
      </c>
      <c r="B4695" t="s">
        <v>4</v>
      </c>
      <c r="C4695">
        <v>3</v>
      </c>
      <c r="D4695" t="s">
        <v>5</v>
      </c>
      <c r="F4695" t="str" cm="1">
        <f t="array" ref="F4695">CategorizeComment(E4695)</f>
        <v>Other</v>
      </c>
      <c r="G4695" t="str" cm="1">
        <f t="array" ref="G4695">SubCategorizeComment(E4695)</f>
        <v>Other</v>
      </c>
    </row>
    <row r="4696" spans="1:7" x14ac:dyDescent="0.25">
      <c r="A4696">
        <v>38550</v>
      </c>
      <c r="B4696" t="s">
        <v>4</v>
      </c>
      <c r="C4696">
        <v>4</v>
      </c>
      <c r="D4696" t="s">
        <v>5</v>
      </c>
      <c r="F4696" t="str" cm="1">
        <f t="array" ref="F4696">CategorizeComment(E4696)</f>
        <v>Other</v>
      </c>
      <c r="G4696" t="str" cm="1">
        <f t="array" ref="G4696">SubCategorizeComment(E4696)</f>
        <v>Other</v>
      </c>
    </row>
    <row r="4697" spans="1:7" x14ac:dyDescent="0.25">
      <c r="A4697">
        <v>38558</v>
      </c>
      <c r="B4697" t="s">
        <v>4</v>
      </c>
      <c r="C4697">
        <v>4</v>
      </c>
      <c r="D4697" t="s">
        <v>5</v>
      </c>
      <c r="F4697" t="str" cm="1">
        <f t="array" ref="F4697">CategorizeComment(E4697)</f>
        <v>Other</v>
      </c>
      <c r="G4697" t="str" cm="1">
        <f t="array" ref="G4697">SubCategorizeComment(E4697)</f>
        <v>Other</v>
      </c>
    </row>
    <row r="4698" spans="1:7" x14ac:dyDescent="0.25">
      <c r="A4698">
        <v>38560</v>
      </c>
      <c r="B4698" t="s">
        <v>4</v>
      </c>
      <c r="C4698">
        <v>3</v>
      </c>
      <c r="D4698" t="s">
        <v>5</v>
      </c>
      <c r="F4698" t="str" cm="1">
        <f t="array" ref="F4698">CategorizeComment(E4698)</f>
        <v>Other</v>
      </c>
      <c r="G4698" t="str" cm="1">
        <f t="array" ref="G4698">SubCategorizeComment(E4698)</f>
        <v>Other</v>
      </c>
    </row>
    <row r="4699" spans="1:7" x14ac:dyDescent="0.25">
      <c r="A4699">
        <v>38562</v>
      </c>
      <c r="B4699" t="s">
        <v>4</v>
      </c>
      <c r="C4699">
        <v>3</v>
      </c>
      <c r="D4699" t="s">
        <v>5</v>
      </c>
      <c r="F4699" t="str" cm="1">
        <f t="array" ref="F4699">CategorizeComment(E4699)</f>
        <v>Other</v>
      </c>
      <c r="G4699" t="str" cm="1">
        <f t="array" ref="G4699">SubCategorizeComment(E4699)</f>
        <v>Other</v>
      </c>
    </row>
    <row r="4700" spans="1:7" x14ac:dyDescent="0.25">
      <c r="A4700">
        <v>38563</v>
      </c>
      <c r="B4700" t="s">
        <v>4</v>
      </c>
      <c r="C4700">
        <v>3</v>
      </c>
      <c r="D4700" t="s">
        <v>5</v>
      </c>
      <c r="F4700" t="str" cm="1">
        <f t="array" ref="F4700">CategorizeComment(E4700)</f>
        <v>Other</v>
      </c>
      <c r="G4700" t="str" cm="1">
        <f t="array" ref="G4700">SubCategorizeComment(E4700)</f>
        <v>Other</v>
      </c>
    </row>
    <row r="4701" spans="1:7" x14ac:dyDescent="0.25">
      <c r="A4701">
        <v>38565</v>
      </c>
      <c r="B4701" t="s">
        <v>4</v>
      </c>
      <c r="C4701">
        <v>4</v>
      </c>
      <c r="D4701" t="s">
        <v>5</v>
      </c>
      <c r="F4701" t="str" cm="1">
        <f t="array" ref="F4701">CategorizeComment(E4701)</f>
        <v>Other</v>
      </c>
      <c r="G4701" t="str" cm="1">
        <f t="array" ref="G4701">SubCategorizeComment(E4701)</f>
        <v>Other</v>
      </c>
    </row>
    <row r="4702" spans="1:7" x14ac:dyDescent="0.25">
      <c r="A4702">
        <v>38578</v>
      </c>
      <c r="B4702" t="s">
        <v>4</v>
      </c>
      <c r="C4702">
        <v>3</v>
      </c>
      <c r="D4702" t="s">
        <v>5</v>
      </c>
      <c r="F4702" t="str" cm="1">
        <f t="array" ref="F4702">CategorizeComment(E4702)</f>
        <v>Other</v>
      </c>
      <c r="G4702" t="str" cm="1">
        <f t="array" ref="G4702">SubCategorizeComment(E4702)</f>
        <v>Other</v>
      </c>
    </row>
    <row r="4703" spans="1:7" x14ac:dyDescent="0.25">
      <c r="A4703">
        <v>38582</v>
      </c>
      <c r="B4703" t="s">
        <v>4</v>
      </c>
      <c r="C4703">
        <v>4</v>
      </c>
      <c r="D4703" t="s">
        <v>5</v>
      </c>
      <c r="F4703" t="str" cm="1">
        <f t="array" ref="F4703">CategorizeComment(E4703)</f>
        <v>Other</v>
      </c>
      <c r="G4703" t="str" cm="1">
        <f t="array" ref="G4703">SubCategorizeComment(E4703)</f>
        <v>Other</v>
      </c>
    </row>
    <row r="4704" spans="1:7" x14ac:dyDescent="0.25">
      <c r="A4704">
        <v>38583</v>
      </c>
      <c r="B4704" t="s">
        <v>4</v>
      </c>
      <c r="C4704">
        <v>3</v>
      </c>
      <c r="D4704" t="s">
        <v>5</v>
      </c>
      <c r="F4704" t="str" cm="1">
        <f t="array" ref="F4704">CategorizeComment(E4704)</f>
        <v>Other</v>
      </c>
      <c r="G4704" t="str" cm="1">
        <f t="array" ref="G4704">SubCategorizeComment(E4704)</f>
        <v>Other</v>
      </c>
    </row>
    <row r="4705" spans="1:7" x14ac:dyDescent="0.25">
      <c r="A4705">
        <v>38589</v>
      </c>
      <c r="B4705" t="s">
        <v>4</v>
      </c>
      <c r="C4705">
        <v>3</v>
      </c>
      <c r="D4705" t="s">
        <v>5</v>
      </c>
      <c r="F4705" t="str" cm="1">
        <f t="array" ref="F4705">CategorizeComment(E4705)</f>
        <v>Other</v>
      </c>
      <c r="G4705" t="str" cm="1">
        <f t="array" ref="G4705">SubCategorizeComment(E4705)</f>
        <v>Other</v>
      </c>
    </row>
    <row r="4706" spans="1:7" x14ac:dyDescent="0.25">
      <c r="A4706">
        <v>38620</v>
      </c>
      <c r="B4706" t="s">
        <v>4</v>
      </c>
      <c r="C4706">
        <v>3</v>
      </c>
      <c r="D4706" t="s">
        <v>5</v>
      </c>
      <c r="F4706" t="str" cm="1">
        <f t="array" ref="F4706">CategorizeComment(E4706)</f>
        <v>Other</v>
      </c>
      <c r="G4706" t="str" cm="1">
        <f t="array" ref="G4706">SubCategorizeComment(E4706)</f>
        <v>Other</v>
      </c>
    </row>
    <row r="4707" spans="1:7" x14ac:dyDescent="0.25">
      <c r="A4707">
        <v>38644</v>
      </c>
      <c r="B4707" t="s">
        <v>4</v>
      </c>
      <c r="C4707">
        <v>4</v>
      </c>
      <c r="D4707" t="s">
        <v>5</v>
      </c>
      <c r="F4707" t="str" cm="1">
        <f t="array" ref="F4707">CategorizeComment(E4707)</f>
        <v>Other</v>
      </c>
      <c r="G4707" t="str" cm="1">
        <f t="array" ref="G4707">SubCategorizeComment(E4707)</f>
        <v>Other</v>
      </c>
    </row>
    <row r="4708" spans="1:7" x14ac:dyDescent="0.25">
      <c r="A4708">
        <v>38650</v>
      </c>
      <c r="B4708" t="s">
        <v>4</v>
      </c>
      <c r="C4708">
        <v>3</v>
      </c>
      <c r="D4708" t="s">
        <v>5</v>
      </c>
      <c r="F4708" t="str" cm="1">
        <f t="array" ref="F4708">CategorizeComment(E4708)</f>
        <v>Other</v>
      </c>
      <c r="G4708" t="str" cm="1">
        <f t="array" ref="G4708">SubCategorizeComment(E4708)</f>
        <v>Other</v>
      </c>
    </row>
    <row r="4709" spans="1:7" x14ac:dyDescent="0.25">
      <c r="A4709">
        <v>38658</v>
      </c>
      <c r="B4709" t="s">
        <v>4</v>
      </c>
      <c r="C4709">
        <v>4</v>
      </c>
      <c r="D4709" t="s">
        <v>5</v>
      </c>
      <c r="F4709" t="str" cm="1">
        <f t="array" ref="F4709">CategorizeComment(E4709)</f>
        <v>Other</v>
      </c>
      <c r="G4709" t="str" cm="1">
        <f t="array" ref="G4709">SubCategorizeComment(E4709)</f>
        <v>Other</v>
      </c>
    </row>
    <row r="4710" spans="1:7" x14ac:dyDescent="0.25">
      <c r="A4710">
        <v>38662</v>
      </c>
      <c r="B4710" t="s">
        <v>4</v>
      </c>
      <c r="C4710">
        <v>4</v>
      </c>
      <c r="D4710" t="s">
        <v>5</v>
      </c>
      <c r="F4710" t="str" cm="1">
        <f t="array" ref="F4710">CategorizeComment(E4710)</f>
        <v>Other</v>
      </c>
      <c r="G4710" t="str" cm="1">
        <f t="array" ref="G4710">SubCategorizeComment(E4710)</f>
        <v>Other</v>
      </c>
    </row>
    <row r="4711" spans="1:7" x14ac:dyDescent="0.25">
      <c r="A4711">
        <v>38672</v>
      </c>
      <c r="B4711" t="s">
        <v>4</v>
      </c>
      <c r="C4711">
        <v>4</v>
      </c>
      <c r="D4711" t="s">
        <v>5</v>
      </c>
      <c r="F4711" t="str" cm="1">
        <f t="array" ref="F4711">CategorizeComment(E4711)</f>
        <v>Other</v>
      </c>
      <c r="G4711" t="str" cm="1">
        <f t="array" ref="G4711">SubCategorizeComment(E4711)</f>
        <v>Other</v>
      </c>
    </row>
    <row r="4712" spans="1:7" x14ac:dyDescent="0.25">
      <c r="A4712">
        <v>38675</v>
      </c>
      <c r="B4712" t="s">
        <v>4</v>
      </c>
      <c r="C4712">
        <v>4</v>
      </c>
      <c r="D4712" t="s">
        <v>5</v>
      </c>
      <c r="F4712" t="str" cm="1">
        <f t="array" ref="F4712">CategorizeComment(E4712)</f>
        <v>Other</v>
      </c>
      <c r="G4712" t="str" cm="1">
        <f t="array" ref="G4712">SubCategorizeComment(E4712)</f>
        <v>Other</v>
      </c>
    </row>
    <row r="4713" spans="1:7" x14ac:dyDescent="0.25">
      <c r="A4713">
        <v>38698</v>
      </c>
      <c r="B4713" t="s">
        <v>4</v>
      </c>
      <c r="C4713">
        <v>4</v>
      </c>
      <c r="D4713" t="s">
        <v>5</v>
      </c>
      <c r="F4713" t="str" cm="1">
        <f t="array" ref="F4713">CategorizeComment(E4713)</f>
        <v>Other</v>
      </c>
      <c r="G4713" t="str" cm="1">
        <f t="array" ref="G4713">SubCategorizeComment(E4713)</f>
        <v>Other</v>
      </c>
    </row>
    <row r="4714" spans="1:7" x14ac:dyDescent="0.25">
      <c r="A4714">
        <v>38699</v>
      </c>
      <c r="B4714" t="s">
        <v>4</v>
      </c>
      <c r="C4714">
        <v>3</v>
      </c>
      <c r="D4714" t="s">
        <v>5</v>
      </c>
      <c r="F4714" t="str" cm="1">
        <f t="array" ref="F4714">CategorizeComment(E4714)</f>
        <v>Other</v>
      </c>
      <c r="G4714" t="str" cm="1">
        <f t="array" ref="G4714">SubCategorizeComment(E4714)</f>
        <v>Other</v>
      </c>
    </row>
    <row r="4715" spans="1:7" x14ac:dyDescent="0.25">
      <c r="A4715">
        <v>38743</v>
      </c>
      <c r="B4715" t="s">
        <v>4</v>
      </c>
      <c r="C4715">
        <v>3</v>
      </c>
      <c r="D4715" t="s">
        <v>5</v>
      </c>
      <c r="F4715" t="str" cm="1">
        <f t="array" ref="F4715">CategorizeComment(E4715)</f>
        <v>Other</v>
      </c>
      <c r="G4715" t="str" cm="1">
        <f t="array" ref="G4715">SubCategorizeComment(E4715)</f>
        <v>Other</v>
      </c>
    </row>
    <row r="4716" spans="1:7" x14ac:dyDescent="0.25">
      <c r="A4716">
        <v>38747</v>
      </c>
      <c r="B4716" t="s">
        <v>4</v>
      </c>
      <c r="C4716">
        <v>4</v>
      </c>
      <c r="D4716" t="s">
        <v>5</v>
      </c>
      <c r="F4716" t="str" cm="1">
        <f t="array" ref="F4716">CategorizeComment(E4716)</f>
        <v>Other</v>
      </c>
      <c r="G4716" t="str" cm="1">
        <f t="array" ref="G4716">SubCategorizeComment(E4716)</f>
        <v>Other</v>
      </c>
    </row>
    <row r="4717" spans="1:7" x14ac:dyDescent="0.25">
      <c r="A4717">
        <v>38757</v>
      </c>
      <c r="B4717" t="s">
        <v>4</v>
      </c>
      <c r="C4717">
        <v>3</v>
      </c>
      <c r="D4717" t="s">
        <v>5</v>
      </c>
      <c r="F4717" t="str" cm="1">
        <f t="array" ref="F4717">CategorizeComment(E4717)</f>
        <v>Other</v>
      </c>
      <c r="G4717" t="str" cm="1">
        <f t="array" ref="G4717">SubCategorizeComment(E4717)</f>
        <v>Other</v>
      </c>
    </row>
    <row r="4718" spans="1:7" x14ac:dyDescent="0.25">
      <c r="A4718">
        <v>38768</v>
      </c>
      <c r="B4718" t="s">
        <v>4</v>
      </c>
      <c r="C4718">
        <v>3</v>
      </c>
      <c r="D4718" t="s">
        <v>5</v>
      </c>
      <c r="F4718" t="str" cm="1">
        <f t="array" ref="F4718">CategorizeComment(E4718)</f>
        <v>Other</v>
      </c>
      <c r="G4718" t="str" cm="1">
        <f t="array" ref="G4718">SubCategorizeComment(E4718)</f>
        <v>Other</v>
      </c>
    </row>
    <row r="4719" spans="1:7" x14ac:dyDescent="0.25">
      <c r="A4719">
        <v>38773</v>
      </c>
      <c r="B4719" t="s">
        <v>4</v>
      </c>
      <c r="C4719">
        <v>4</v>
      </c>
      <c r="D4719" t="s">
        <v>5</v>
      </c>
      <c r="F4719" t="str" cm="1">
        <f t="array" ref="F4719">CategorizeComment(E4719)</f>
        <v>Other</v>
      </c>
      <c r="G4719" t="str" cm="1">
        <f t="array" ref="G4719">SubCategorizeComment(E4719)</f>
        <v>Other</v>
      </c>
    </row>
    <row r="4720" spans="1:7" x14ac:dyDescent="0.25">
      <c r="A4720">
        <v>38775</v>
      </c>
      <c r="B4720" t="s">
        <v>4</v>
      </c>
      <c r="C4720">
        <v>4</v>
      </c>
      <c r="D4720" t="s">
        <v>5</v>
      </c>
      <c r="F4720" t="str" cm="1">
        <f t="array" ref="F4720">CategorizeComment(E4720)</f>
        <v>Other</v>
      </c>
      <c r="G4720" t="str" cm="1">
        <f t="array" ref="G4720">SubCategorizeComment(E4720)</f>
        <v>Other</v>
      </c>
    </row>
    <row r="4721" spans="1:7" x14ac:dyDescent="0.25">
      <c r="A4721">
        <v>38783</v>
      </c>
      <c r="B4721" t="s">
        <v>4</v>
      </c>
      <c r="C4721">
        <v>4</v>
      </c>
      <c r="D4721" t="s">
        <v>5</v>
      </c>
      <c r="F4721" t="str" cm="1">
        <f t="array" ref="F4721">CategorizeComment(E4721)</f>
        <v>Other</v>
      </c>
      <c r="G4721" t="str" cm="1">
        <f t="array" ref="G4721">SubCategorizeComment(E4721)</f>
        <v>Other</v>
      </c>
    </row>
    <row r="4722" spans="1:7" x14ac:dyDescent="0.25">
      <c r="A4722">
        <v>38785</v>
      </c>
      <c r="B4722" t="s">
        <v>4</v>
      </c>
      <c r="C4722">
        <v>3</v>
      </c>
      <c r="D4722" t="s">
        <v>5</v>
      </c>
      <c r="F4722" t="str" cm="1">
        <f t="array" ref="F4722">CategorizeComment(E4722)</f>
        <v>Other</v>
      </c>
      <c r="G4722" t="str" cm="1">
        <f t="array" ref="G4722">SubCategorizeComment(E4722)</f>
        <v>Other</v>
      </c>
    </row>
    <row r="4723" spans="1:7" x14ac:dyDescent="0.25">
      <c r="A4723">
        <v>38802</v>
      </c>
      <c r="B4723" t="s">
        <v>4</v>
      </c>
      <c r="C4723">
        <v>4</v>
      </c>
      <c r="D4723" t="s">
        <v>5</v>
      </c>
      <c r="F4723" t="str" cm="1">
        <f t="array" ref="F4723">CategorizeComment(E4723)</f>
        <v>Other</v>
      </c>
      <c r="G4723" t="str" cm="1">
        <f t="array" ref="G4723">SubCategorizeComment(E4723)</f>
        <v>Other</v>
      </c>
    </row>
    <row r="4724" spans="1:7" x14ac:dyDescent="0.25">
      <c r="A4724">
        <v>38803</v>
      </c>
      <c r="B4724" t="s">
        <v>4</v>
      </c>
      <c r="C4724">
        <v>4</v>
      </c>
      <c r="D4724" t="s">
        <v>5</v>
      </c>
      <c r="F4724" t="str" cm="1">
        <f t="array" ref="F4724">CategorizeComment(E4724)</f>
        <v>Other</v>
      </c>
      <c r="G4724" t="str" cm="1">
        <f t="array" ref="G4724">SubCategorizeComment(E4724)</f>
        <v>Other</v>
      </c>
    </row>
    <row r="4725" spans="1:7" x14ac:dyDescent="0.25">
      <c r="A4725">
        <v>38813</v>
      </c>
      <c r="B4725" t="s">
        <v>4</v>
      </c>
      <c r="C4725">
        <v>3</v>
      </c>
      <c r="D4725" t="s">
        <v>5</v>
      </c>
      <c r="F4725" t="str" cm="1">
        <f t="array" ref="F4725">CategorizeComment(E4725)</f>
        <v>Other</v>
      </c>
      <c r="G4725" t="str" cm="1">
        <f t="array" ref="G4725">SubCategorizeComment(E4725)</f>
        <v>Other</v>
      </c>
    </row>
    <row r="4726" spans="1:7" x14ac:dyDescent="0.25">
      <c r="A4726">
        <v>38815</v>
      </c>
      <c r="B4726" t="s">
        <v>4</v>
      </c>
      <c r="C4726">
        <v>4</v>
      </c>
      <c r="D4726" t="s">
        <v>5</v>
      </c>
      <c r="F4726" t="str" cm="1">
        <f t="array" ref="F4726">CategorizeComment(E4726)</f>
        <v>Other</v>
      </c>
      <c r="G4726" t="str" cm="1">
        <f t="array" ref="G4726">SubCategorizeComment(E4726)</f>
        <v>Other</v>
      </c>
    </row>
    <row r="4727" spans="1:7" x14ac:dyDescent="0.25">
      <c r="A4727">
        <v>38817</v>
      </c>
      <c r="B4727" t="s">
        <v>4</v>
      </c>
      <c r="C4727">
        <v>3</v>
      </c>
      <c r="D4727" t="s">
        <v>5</v>
      </c>
      <c r="F4727" t="str" cm="1">
        <f t="array" ref="F4727">CategorizeComment(E4727)</f>
        <v>Other</v>
      </c>
      <c r="G4727" t="str" cm="1">
        <f t="array" ref="G4727">SubCategorizeComment(E4727)</f>
        <v>Other</v>
      </c>
    </row>
    <row r="4728" spans="1:7" x14ac:dyDescent="0.25">
      <c r="A4728">
        <v>38843</v>
      </c>
      <c r="B4728" t="s">
        <v>4</v>
      </c>
      <c r="C4728">
        <v>3</v>
      </c>
      <c r="D4728" t="s">
        <v>5</v>
      </c>
      <c r="F4728" t="str" cm="1">
        <f t="array" ref="F4728">CategorizeComment(E4728)</f>
        <v>Other</v>
      </c>
      <c r="G4728" t="str" cm="1">
        <f t="array" ref="G4728">SubCategorizeComment(E4728)</f>
        <v>Other</v>
      </c>
    </row>
    <row r="4729" spans="1:7" x14ac:dyDescent="0.25">
      <c r="A4729">
        <v>38852</v>
      </c>
      <c r="B4729" t="s">
        <v>4</v>
      </c>
      <c r="C4729">
        <v>4</v>
      </c>
      <c r="D4729" t="s">
        <v>5</v>
      </c>
      <c r="F4729" t="str" cm="1">
        <f t="array" ref="F4729">CategorizeComment(E4729)</f>
        <v>Other</v>
      </c>
      <c r="G4729" t="str" cm="1">
        <f t="array" ref="G4729">SubCategorizeComment(E4729)</f>
        <v>Other</v>
      </c>
    </row>
    <row r="4730" spans="1:7" x14ac:dyDescent="0.25">
      <c r="A4730">
        <v>38862</v>
      </c>
      <c r="B4730" t="s">
        <v>4</v>
      </c>
      <c r="C4730">
        <v>4</v>
      </c>
      <c r="D4730" t="s">
        <v>5</v>
      </c>
      <c r="F4730" t="str" cm="1">
        <f t="array" ref="F4730">CategorizeComment(E4730)</f>
        <v>Other</v>
      </c>
      <c r="G4730" t="str" cm="1">
        <f t="array" ref="G4730">SubCategorizeComment(E4730)</f>
        <v>Other</v>
      </c>
    </row>
    <row r="4731" spans="1:7" x14ac:dyDescent="0.25">
      <c r="A4731">
        <v>38866</v>
      </c>
      <c r="B4731" t="s">
        <v>4</v>
      </c>
      <c r="C4731">
        <v>4</v>
      </c>
      <c r="D4731" t="s">
        <v>5</v>
      </c>
      <c r="F4731" t="str" cm="1">
        <f t="array" ref="F4731">CategorizeComment(E4731)</f>
        <v>Other</v>
      </c>
      <c r="G4731" t="str" cm="1">
        <f t="array" ref="G4731">SubCategorizeComment(E4731)</f>
        <v>Other</v>
      </c>
    </row>
    <row r="4732" spans="1:7" x14ac:dyDescent="0.25">
      <c r="A4732">
        <v>38870</v>
      </c>
      <c r="B4732" t="s">
        <v>4</v>
      </c>
      <c r="C4732">
        <v>3</v>
      </c>
      <c r="D4732" t="s">
        <v>5</v>
      </c>
      <c r="F4732" t="str" cm="1">
        <f t="array" ref="F4732">CategorizeComment(E4732)</f>
        <v>Other</v>
      </c>
      <c r="G4732" t="str" cm="1">
        <f t="array" ref="G4732">SubCategorizeComment(E4732)</f>
        <v>Other</v>
      </c>
    </row>
    <row r="4733" spans="1:7" x14ac:dyDescent="0.25">
      <c r="A4733">
        <v>38876</v>
      </c>
      <c r="B4733" t="s">
        <v>4</v>
      </c>
      <c r="C4733">
        <v>3</v>
      </c>
      <c r="D4733" t="s">
        <v>5</v>
      </c>
      <c r="F4733" t="str" cm="1">
        <f t="array" ref="F4733">CategorizeComment(E4733)</f>
        <v>Other</v>
      </c>
      <c r="G4733" t="str" cm="1">
        <f t="array" ref="G4733">SubCategorizeComment(E4733)</f>
        <v>Other</v>
      </c>
    </row>
    <row r="4734" spans="1:7" x14ac:dyDescent="0.25">
      <c r="A4734">
        <v>38881</v>
      </c>
      <c r="B4734" t="s">
        <v>4</v>
      </c>
      <c r="C4734">
        <v>3</v>
      </c>
      <c r="D4734" t="s">
        <v>5</v>
      </c>
      <c r="F4734" t="str" cm="1">
        <f t="array" ref="F4734">CategorizeComment(E4734)</f>
        <v>Other</v>
      </c>
      <c r="G4734" t="str" cm="1">
        <f t="array" ref="G4734">SubCategorizeComment(E4734)</f>
        <v>Other</v>
      </c>
    </row>
    <row r="4735" spans="1:7" x14ac:dyDescent="0.25">
      <c r="A4735">
        <v>38890</v>
      </c>
      <c r="B4735" t="s">
        <v>4</v>
      </c>
      <c r="C4735">
        <v>3</v>
      </c>
      <c r="D4735" t="s">
        <v>5</v>
      </c>
      <c r="F4735" t="str" cm="1">
        <f t="array" ref="F4735">CategorizeComment(E4735)</f>
        <v>Other</v>
      </c>
      <c r="G4735" t="str" cm="1">
        <f t="array" ref="G4735">SubCategorizeComment(E4735)</f>
        <v>Other</v>
      </c>
    </row>
    <row r="4736" spans="1:7" x14ac:dyDescent="0.25">
      <c r="A4736">
        <v>38902</v>
      </c>
      <c r="B4736" t="s">
        <v>4</v>
      </c>
      <c r="C4736">
        <v>3</v>
      </c>
      <c r="D4736" t="s">
        <v>5</v>
      </c>
      <c r="F4736" t="str" cm="1">
        <f t="array" ref="F4736">CategorizeComment(E4736)</f>
        <v>Other</v>
      </c>
      <c r="G4736" t="str" cm="1">
        <f t="array" ref="G4736">SubCategorizeComment(E4736)</f>
        <v>Other</v>
      </c>
    </row>
    <row r="4737" spans="1:7" x14ac:dyDescent="0.25">
      <c r="A4737">
        <v>38912</v>
      </c>
      <c r="B4737" t="s">
        <v>4</v>
      </c>
      <c r="C4737">
        <v>3</v>
      </c>
      <c r="D4737" t="s">
        <v>5</v>
      </c>
      <c r="F4737" t="str" cm="1">
        <f t="array" ref="F4737">CategorizeComment(E4737)</f>
        <v>Other</v>
      </c>
      <c r="G4737" t="str" cm="1">
        <f t="array" ref="G4737">SubCategorizeComment(E4737)</f>
        <v>Other</v>
      </c>
    </row>
    <row r="4738" spans="1:7" x14ac:dyDescent="0.25">
      <c r="A4738">
        <v>38915</v>
      </c>
      <c r="B4738" t="s">
        <v>4</v>
      </c>
      <c r="C4738">
        <v>4</v>
      </c>
      <c r="D4738" t="s">
        <v>5</v>
      </c>
      <c r="F4738" t="str" cm="1">
        <f t="array" ref="F4738">CategorizeComment(E4738)</f>
        <v>Other</v>
      </c>
      <c r="G4738" t="str" cm="1">
        <f t="array" ref="G4738">SubCategorizeComment(E4738)</f>
        <v>Other</v>
      </c>
    </row>
    <row r="4739" spans="1:7" x14ac:dyDescent="0.25">
      <c r="A4739">
        <v>38916</v>
      </c>
      <c r="B4739" t="s">
        <v>4</v>
      </c>
      <c r="C4739">
        <v>4</v>
      </c>
      <c r="D4739" t="s">
        <v>5</v>
      </c>
      <c r="F4739" t="str" cm="1">
        <f t="array" ref="F4739">CategorizeComment(E4739)</f>
        <v>Other</v>
      </c>
      <c r="G4739" t="str" cm="1">
        <f t="array" ref="G4739">SubCategorizeComment(E4739)</f>
        <v>Other</v>
      </c>
    </row>
    <row r="4740" spans="1:7" x14ac:dyDescent="0.25">
      <c r="A4740">
        <v>38921</v>
      </c>
      <c r="B4740" t="s">
        <v>4</v>
      </c>
      <c r="C4740">
        <v>3</v>
      </c>
      <c r="D4740" t="s">
        <v>5</v>
      </c>
      <c r="F4740" t="str" cm="1">
        <f t="array" ref="F4740">CategorizeComment(E4740)</f>
        <v>Other</v>
      </c>
      <c r="G4740" t="str" cm="1">
        <f t="array" ref="G4740">SubCategorizeComment(E4740)</f>
        <v>Other</v>
      </c>
    </row>
    <row r="4741" spans="1:7" x14ac:dyDescent="0.25">
      <c r="A4741">
        <v>38937</v>
      </c>
      <c r="B4741" t="s">
        <v>4</v>
      </c>
      <c r="C4741">
        <v>4</v>
      </c>
      <c r="D4741" t="s">
        <v>5</v>
      </c>
      <c r="F4741" t="str" cm="1">
        <f t="array" ref="F4741">CategorizeComment(E4741)</f>
        <v>Other</v>
      </c>
      <c r="G4741" t="str" cm="1">
        <f t="array" ref="G4741">SubCategorizeComment(E4741)</f>
        <v>Other</v>
      </c>
    </row>
    <row r="4742" spans="1:7" x14ac:dyDescent="0.25">
      <c r="A4742">
        <v>38938</v>
      </c>
      <c r="B4742" t="s">
        <v>4</v>
      </c>
      <c r="C4742">
        <v>3</v>
      </c>
      <c r="D4742" t="s">
        <v>5</v>
      </c>
      <c r="F4742" t="str" cm="1">
        <f t="array" ref="F4742">CategorizeComment(E4742)</f>
        <v>Other</v>
      </c>
      <c r="G4742" t="str" cm="1">
        <f t="array" ref="G4742">SubCategorizeComment(E4742)</f>
        <v>Other</v>
      </c>
    </row>
    <row r="4743" spans="1:7" x14ac:dyDescent="0.25">
      <c r="A4743">
        <v>38941</v>
      </c>
      <c r="B4743" t="s">
        <v>4</v>
      </c>
      <c r="C4743">
        <v>3</v>
      </c>
      <c r="D4743" t="s">
        <v>5</v>
      </c>
      <c r="F4743" t="str" cm="1">
        <f t="array" ref="F4743">CategorizeComment(E4743)</f>
        <v>Other</v>
      </c>
      <c r="G4743" t="str" cm="1">
        <f t="array" ref="G4743">SubCategorizeComment(E4743)</f>
        <v>Other</v>
      </c>
    </row>
    <row r="4744" spans="1:7" x14ac:dyDescent="0.25">
      <c r="A4744">
        <v>38950</v>
      </c>
      <c r="B4744" t="s">
        <v>4</v>
      </c>
      <c r="C4744">
        <v>3</v>
      </c>
      <c r="D4744" t="s">
        <v>5</v>
      </c>
      <c r="F4744" t="str" cm="1">
        <f t="array" ref="F4744">CategorizeComment(E4744)</f>
        <v>Other</v>
      </c>
      <c r="G4744" t="str" cm="1">
        <f t="array" ref="G4744">SubCategorizeComment(E4744)</f>
        <v>Other</v>
      </c>
    </row>
    <row r="4745" spans="1:7" x14ac:dyDescent="0.25">
      <c r="A4745">
        <v>38960</v>
      </c>
      <c r="B4745" t="s">
        <v>4</v>
      </c>
      <c r="C4745">
        <v>3</v>
      </c>
      <c r="D4745" t="s">
        <v>5</v>
      </c>
      <c r="F4745" t="str" cm="1">
        <f t="array" ref="F4745">CategorizeComment(E4745)</f>
        <v>Other</v>
      </c>
      <c r="G4745" t="str" cm="1">
        <f t="array" ref="G4745">SubCategorizeComment(E4745)</f>
        <v>Other</v>
      </c>
    </row>
    <row r="4746" spans="1:7" x14ac:dyDescent="0.25">
      <c r="A4746">
        <v>38963</v>
      </c>
      <c r="B4746" t="s">
        <v>4</v>
      </c>
      <c r="C4746">
        <v>3</v>
      </c>
      <c r="D4746" t="s">
        <v>5</v>
      </c>
      <c r="F4746" t="str" cm="1">
        <f t="array" ref="F4746">CategorizeComment(E4746)</f>
        <v>Other</v>
      </c>
      <c r="G4746" t="str" cm="1">
        <f t="array" ref="G4746">SubCategorizeComment(E4746)</f>
        <v>Other</v>
      </c>
    </row>
    <row r="4747" spans="1:7" x14ac:dyDescent="0.25">
      <c r="A4747">
        <v>38964</v>
      </c>
      <c r="B4747" t="s">
        <v>4</v>
      </c>
      <c r="C4747">
        <v>3</v>
      </c>
      <c r="D4747" t="s">
        <v>5</v>
      </c>
      <c r="F4747" t="str" cm="1">
        <f t="array" ref="F4747">CategorizeComment(E4747)</f>
        <v>Other</v>
      </c>
      <c r="G4747" t="str" cm="1">
        <f t="array" ref="G4747">SubCategorizeComment(E4747)</f>
        <v>Other</v>
      </c>
    </row>
    <row r="4748" spans="1:7" x14ac:dyDescent="0.25">
      <c r="A4748">
        <v>38973</v>
      </c>
      <c r="B4748" t="s">
        <v>4</v>
      </c>
      <c r="C4748">
        <v>4</v>
      </c>
      <c r="D4748" t="s">
        <v>5</v>
      </c>
      <c r="F4748" t="str" cm="1">
        <f t="array" ref="F4748">CategorizeComment(E4748)</f>
        <v>Other</v>
      </c>
      <c r="G4748" t="str" cm="1">
        <f t="array" ref="G4748">SubCategorizeComment(E4748)</f>
        <v>Other</v>
      </c>
    </row>
    <row r="4749" spans="1:7" x14ac:dyDescent="0.25">
      <c r="A4749">
        <v>38979</v>
      </c>
      <c r="B4749" t="s">
        <v>4</v>
      </c>
      <c r="C4749">
        <v>3</v>
      </c>
      <c r="D4749" t="s">
        <v>5</v>
      </c>
      <c r="F4749" t="str" cm="1">
        <f t="array" ref="F4749">CategorizeComment(E4749)</f>
        <v>Other</v>
      </c>
      <c r="G4749" t="str" cm="1">
        <f t="array" ref="G4749">SubCategorizeComment(E4749)</f>
        <v>Other</v>
      </c>
    </row>
    <row r="4750" spans="1:7" x14ac:dyDescent="0.25">
      <c r="A4750">
        <v>38998</v>
      </c>
      <c r="B4750" t="s">
        <v>4</v>
      </c>
      <c r="C4750">
        <v>4</v>
      </c>
      <c r="D4750" t="s">
        <v>5</v>
      </c>
      <c r="F4750" t="str" cm="1">
        <f t="array" ref="F4750">CategorizeComment(E4750)</f>
        <v>Other</v>
      </c>
      <c r="G4750" t="str" cm="1">
        <f t="array" ref="G4750">SubCategorizeComment(E4750)</f>
        <v>Other</v>
      </c>
    </row>
    <row r="4751" spans="1:7" x14ac:dyDescent="0.25">
      <c r="A4751">
        <v>39002</v>
      </c>
      <c r="B4751" t="s">
        <v>4</v>
      </c>
      <c r="C4751">
        <v>4</v>
      </c>
      <c r="D4751" t="s">
        <v>5</v>
      </c>
      <c r="F4751" t="str" cm="1">
        <f t="array" ref="F4751">CategorizeComment(E4751)</f>
        <v>Other</v>
      </c>
      <c r="G4751" t="str" cm="1">
        <f t="array" ref="G4751">SubCategorizeComment(E4751)</f>
        <v>Other</v>
      </c>
    </row>
    <row r="4752" spans="1:7" x14ac:dyDescent="0.25">
      <c r="A4752">
        <v>39005</v>
      </c>
      <c r="B4752" t="s">
        <v>4</v>
      </c>
      <c r="C4752">
        <v>4</v>
      </c>
      <c r="D4752" t="s">
        <v>5</v>
      </c>
      <c r="F4752" t="str" cm="1">
        <f t="array" ref="F4752">CategorizeComment(E4752)</f>
        <v>Other</v>
      </c>
      <c r="G4752" t="str" cm="1">
        <f t="array" ref="G4752">SubCategorizeComment(E4752)</f>
        <v>Other</v>
      </c>
    </row>
    <row r="4753" spans="1:7" x14ac:dyDescent="0.25">
      <c r="A4753">
        <v>39006</v>
      </c>
      <c r="B4753" t="s">
        <v>4</v>
      </c>
      <c r="C4753">
        <v>3</v>
      </c>
      <c r="D4753" t="s">
        <v>5</v>
      </c>
      <c r="F4753" t="str" cm="1">
        <f t="array" ref="F4753">CategorizeComment(E4753)</f>
        <v>Other</v>
      </c>
      <c r="G4753" t="str" cm="1">
        <f t="array" ref="G4753">SubCategorizeComment(E4753)</f>
        <v>Other</v>
      </c>
    </row>
    <row r="4754" spans="1:7" x14ac:dyDescent="0.25">
      <c r="A4754">
        <v>39008</v>
      </c>
      <c r="B4754" t="s">
        <v>4</v>
      </c>
      <c r="C4754">
        <v>3</v>
      </c>
      <c r="D4754" t="s">
        <v>5</v>
      </c>
      <c r="F4754" t="str" cm="1">
        <f t="array" ref="F4754">CategorizeComment(E4754)</f>
        <v>Other</v>
      </c>
      <c r="G4754" t="str" cm="1">
        <f t="array" ref="G4754">SubCategorizeComment(E4754)</f>
        <v>Other</v>
      </c>
    </row>
    <row r="4755" spans="1:7" x14ac:dyDescent="0.25">
      <c r="A4755">
        <v>39011</v>
      </c>
      <c r="B4755" t="s">
        <v>4</v>
      </c>
      <c r="C4755">
        <v>4</v>
      </c>
      <c r="D4755" t="s">
        <v>5</v>
      </c>
      <c r="F4755" t="str" cm="1">
        <f t="array" ref="F4755">CategorizeComment(E4755)</f>
        <v>Other</v>
      </c>
      <c r="G4755" t="str" cm="1">
        <f t="array" ref="G4755">SubCategorizeComment(E4755)</f>
        <v>Other</v>
      </c>
    </row>
    <row r="4756" spans="1:7" x14ac:dyDescent="0.25">
      <c r="A4756">
        <v>39027</v>
      </c>
      <c r="B4756" t="s">
        <v>4</v>
      </c>
      <c r="C4756">
        <v>4</v>
      </c>
      <c r="D4756" t="s">
        <v>5</v>
      </c>
      <c r="F4756" t="str" cm="1">
        <f t="array" ref="F4756">CategorizeComment(E4756)</f>
        <v>Other</v>
      </c>
      <c r="G4756" t="str" cm="1">
        <f t="array" ref="G4756">SubCategorizeComment(E4756)</f>
        <v>Other</v>
      </c>
    </row>
    <row r="4757" spans="1:7" x14ac:dyDescent="0.25">
      <c r="A4757">
        <v>39028</v>
      </c>
      <c r="B4757" t="s">
        <v>4</v>
      </c>
      <c r="C4757">
        <v>4</v>
      </c>
      <c r="D4757" t="s">
        <v>5</v>
      </c>
      <c r="F4757" t="str" cm="1">
        <f t="array" ref="F4757">CategorizeComment(E4757)</f>
        <v>Other</v>
      </c>
      <c r="G4757" t="str" cm="1">
        <f t="array" ref="G4757">SubCategorizeComment(E4757)</f>
        <v>Other</v>
      </c>
    </row>
    <row r="4758" spans="1:7" x14ac:dyDescent="0.25">
      <c r="A4758">
        <v>39036</v>
      </c>
      <c r="B4758" t="s">
        <v>4</v>
      </c>
      <c r="C4758">
        <v>3</v>
      </c>
      <c r="D4758" t="s">
        <v>5</v>
      </c>
      <c r="F4758" t="str" cm="1">
        <f t="array" ref="F4758">CategorizeComment(E4758)</f>
        <v>Other</v>
      </c>
      <c r="G4758" t="str" cm="1">
        <f t="array" ref="G4758">SubCategorizeComment(E4758)</f>
        <v>Other</v>
      </c>
    </row>
    <row r="4759" spans="1:7" x14ac:dyDescent="0.25">
      <c r="A4759">
        <v>39038</v>
      </c>
      <c r="B4759" t="s">
        <v>4</v>
      </c>
      <c r="C4759">
        <v>4</v>
      </c>
      <c r="D4759" t="s">
        <v>5</v>
      </c>
      <c r="F4759" t="str" cm="1">
        <f t="array" ref="F4759">CategorizeComment(E4759)</f>
        <v>Other</v>
      </c>
      <c r="G4759" t="str" cm="1">
        <f t="array" ref="G4759">SubCategorizeComment(E4759)</f>
        <v>Other</v>
      </c>
    </row>
    <row r="4760" spans="1:7" x14ac:dyDescent="0.25">
      <c r="A4760">
        <v>39044</v>
      </c>
      <c r="B4760" t="s">
        <v>4</v>
      </c>
      <c r="C4760">
        <v>3</v>
      </c>
      <c r="D4760" t="s">
        <v>5</v>
      </c>
      <c r="F4760" t="str" cm="1">
        <f t="array" ref="F4760">CategorizeComment(E4760)</f>
        <v>Other</v>
      </c>
      <c r="G4760" t="str" cm="1">
        <f t="array" ref="G4760">SubCategorizeComment(E4760)</f>
        <v>Other</v>
      </c>
    </row>
    <row r="4761" spans="1:7" x14ac:dyDescent="0.25">
      <c r="A4761">
        <v>39069</v>
      </c>
      <c r="B4761" t="s">
        <v>4</v>
      </c>
      <c r="C4761">
        <v>3</v>
      </c>
      <c r="D4761" t="s">
        <v>5</v>
      </c>
      <c r="F4761" t="str" cm="1">
        <f t="array" ref="F4761">CategorizeComment(E4761)</f>
        <v>Other</v>
      </c>
      <c r="G4761" t="str" cm="1">
        <f t="array" ref="G4761">SubCategorizeComment(E4761)</f>
        <v>Other</v>
      </c>
    </row>
    <row r="4762" spans="1:7" x14ac:dyDescent="0.25">
      <c r="A4762">
        <v>39075</v>
      </c>
      <c r="B4762" t="s">
        <v>4</v>
      </c>
      <c r="C4762">
        <v>4</v>
      </c>
      <c r="D4762" t="s">
        <v>5</v>
      </c>
      <c r="F4762" t="str" cm="1">
        <f t="array" ref="F4762">CategorizeComment(E4762)</f>
        <v>Other</v>
      </c>
      <c r="G4762" t="str" cm="1">
        <f t="array" ref="G4762">SubCategorizeComment(E4762)</f>
        <v>Other</v>
      </c>
    </row>
    <row r="4763" spans="1:7" x14ac:dyDescent="0.25">
      <c r="A4763">
        <v>39086</v>
      </c>
      <c r="B4763" t="s">
        <v>4</v>
      </c>
      <c r="C4763">
        <v>3</v>
      </c>
      <c r="D4763" t="s">
        <v>5</v>
      </c>
      <c r="F4763" t="str" cm="1">
        <f t="array" ref="F4763">CategorizeComment(E4763)</f>
        <v>Other</v>
      </c>
      <c r="G4763" t="str" cm="1">
        <f t="array" ref="G4763">SubCategorizeComment(E4763)</f>
        <v>Other</v>
      </c>
    </row>
    <row r="4764" spans="1:7" x14ac:dyDescent="0.25">
      <c r="A4764">
        <v>39087</v>
      </c>
      <c r="B4764" t="s">
        <v>4</v>
      </c>
      <c r="C4764">
        <v>4</v>
      </c>
      <c r="D4764" t="s">
        <v>5</v>
      </c>
      <c r="F4764" t="str" cm="1">
        <f t="array" ref="F4764">CategorizeComment(E4764)</f>
        <v>Other</v>
      </c>
      <c r="G4764" t="str" cm="1">
        <f t="array" ref="G4764">SubCategorizeComment(E4764)</f>
        <v>Other</v>
      </c>
    </row>
    <row r="4765" spans="1:7" x14ac:dyDescent="0.25">
      <c r="A4765">
        <v>39089</v>
      </c>
      <c r="B4765" t="s">
        <v>4</v>
      </c>
      <c r="C4765">
        <v>4</v>
      </c>
      <c r="D4765" t="s">
        <v>5</v>
      </c>
      <c r="F4765" t="str" cm="1">
        <f t="array" ref="F4765">CategorizeComment(E4765)</f>
        <v>Other</v>
      </c>
      <c r="G4765" t="str" cm="1">
        <f t="array" ref="G4765">SubCategorizeComment(E4765)</f>
        <v>Other</v>
      </c>
    </row>
    <row r="4766" spans="1:7" x14ac:dyDescent="0.25">
      <c r="A4766">
        <v>39100</v>
      </c>
      <c r="B4766" t="s">
        <v>4</v>
      </c>
      <c r="C4766">
        <v>3</v>
      </c>
      <c r="D4766" t="s">
        <v>5</v>
      </c>
      <c r="F4766" t="str" cm="1">
        <f t="array" ref="F4766">CategorizeComment(E4766)</f>
        <v>Other</v>
      </c>
      <c r="G4766" t="str" cm="1">
        <f t="array" ref="G4766">SubCategorizeComment(E4766)</f>
        <v>Other</v>
      </c>
    </row>
    <row r="4767" spans="1:7" x14ac:dyDescent="0.25">
      <c r="A4767">
        <v>39105</v>
      </c>
      <c r="B4767" t="s">
        <v>4</v>
      </c>
      <c r="C4767">
        <v>3</v>
      </c>
      <c r="D4767" t="s">
        <v>5</v>
      </c>
      <c r="F4767" t="str" cm="1">
        <f t="array" ref="F4767">CategorizeComment(E4767)</f>
        <v>Other</v>
      </c>
      <c r="G4767" t="str" cm="1">
        <f t="array" ref="G4767">SubCategorizeComment(E4767)</f>
        <v>Other</v>
      </c>
    </row>
    <row r="4768" spans="1:7" x14ac:dyDescent="0.25">
      <c r="A4768">
        <v>39115</v>
      </c>
      <c r="B4768" t="s">
        <v>4</v>
      </c>
      <c r="C4768">
        <v>3</v>
      </c>
      <c r="D4768" t="s">
        <v>5</v>
      </c>
      <c r="F4768" t="str" cm="1">
        <f t="array" ref="F4768">CategorizeComment(E4768)</f>
        <v>Other</v>
      </c>
      <c r="G4768" t="str" cm="1">
        <f t="array" ref="G4768">SubCategorizeComment(E4768)</f>
        <v>Other</v>
      </c>
    </row>
    <row r="4769" spans="1:7" x14ac:dyDescent="0.25">
      <c r="A4769">
        <v>39116</v>
      </c>
      <c r="B4769" t="s">
        <v>4</v>
      </c>
      <c r="C4769">
        <v>4</v>
      </c>
      <c r="D4769" t="s">
        <v>5</v>
      </c>
      <c r="F4769" t="str" cm="1">
        <f t="array" ref="F4769">CategorizeComment(E4769)</f>
        <v>Other</v>
      </c>
      <c r="G4769" t="str" cm="1">
        <f t="array" ref="G4769">SubCategorizeComment(E4769)</f>
        <v>Other</v>
      </c>
    </row>
    <row r="4770" spans="1:7" x14ac:dyDescent="0.25">
      <c r="A4770">
        <v>39118</v>
      </c>
      <c r="B4770" t="s">
        <v>4</v>
      </c>
      <c r="C4770">
        <v>3</v>
      </c>
      <c r="D4770" t="s">
        <v>5</v>
      </c>
      <c r="F4770" t="str" cm="1">
        <f t="array" ref="F4770">CategorizeComment(E4770)</f>
        <v>Other</v>
      </c>
      <c r="G4770" t="str" cm="1">
        <f t="array" ref="G4770">SubCategorizeComment(E4770)</f>
        <v>Other</v>
      </c>
    </row>
    <row r="4771" spans="1:7" x14ac:dyDescent="0.25">
      <c r="A4771">
        <v>39138</v>
      </c>
      <c r="B4771" t="s">
        <v>4</v>
      </c>
      <c r="C4771">
        <v>4</v>
      </c>
      <c r="D4771" t="s">
        <v>5</v>
      </c>
      <c r="F4771" t="str" cm="1">
        <f t="array" ref="F4771">CategorizeComment(E4771)</f>
        <v>Other</v>
      </c>
      <c r="G4771" t="str" cm="1">
        <f t="array" ref="G4771">SubCategorizeComment(E4771)</f>
        <v>Other</v>
      </c>
    </row>
    <row r="4772" spans="1:7" x14ac:dyDescent="0.25">
      <c r="A4772">
        <v>39154</v>
      </c>
      <c r="B4772" t="s">
        <v>4</v>
      </c>
      <c r="C4772">
        <v>4</v>
      </c>
      <c r="D4772" t="s">
        <v>5</v>
      </c>
      <c r="F4772" t="str" cm="1">
        <f t="array" ref="F4772">CategorizeComment(E4772)</f>
        <v>Other</v>
      </c>
      <c r="G4772" t="str" cm="1">
        <f t="array" ref="G4772">SubCategorizeComment(E4772)</f>
        <v>Other</v>
      </c>
    </row>
    <row r="4773" spans="1:7" x14ac:dyDescent="0.25">
      <c r="A4773">
        <v>39173</v>
      </c>
      <c r="B4773" t="s">
        <v>4</v>
      </c>
      <c r="C4773">
        <v>3</v>
      </c>
      <c r="D4773" t="s">
        <v>5</v>
      </c>
      <c r="F4773" t="str" cm="1">
        <f t="array" ref="F4773">CategorizeComment(E4773)</f>
        <v>Other</v>
      </c>
      <c r="G4773" t="str" cm="1">
        <f t="array" ref="G4773">SubCategorizeComment(E4773)</f>
        <v>Other</v>
      </c>
    </row>
    <row r="4774" spans="1:7" x14ac:dyDescent="0.25">
      <c r="A4774">
        <v>39180</v>
      </c>
      <c r="B4774" t="s">
        <v>4</v>
      </c>
      <c r="C4774">
        <v>3</v>
      </c>
      <c r="D4774" t="s">
        <v>5</v>
      </c>
      <c r="F4774" t="str" cm="1">
        <f t="array" ref="F4774">CategorizeComment(E4774)</f>
        <v>Other</v>
      </c>
      <c r="G4774" t="str" cm="1">
        <f t="array" ref="G4774">SubCategorizeComment(E4774)</f>
        <v>Other</v>
      </c>
    </row>
    <row r="4775" spans="1:7" x14ac:dyDescent="0.25">
      <c r="A4775">
        <v>39187</v>
      </c>
      <c r="B4775" t="s">
        <v>4</v>
      </c>
      <c r="C4775">
        <v>4</v>
      </c>
      <c r="D4775" t="s">
        <v>5</v>
      </c>
      <c r="F4775" t="str" cm="1">
        <f t="array" ref="F4775">CategorizeComment(E4775)</f>
        <v>Other</v>
      </c>
      <c r="G4775" t="str" cm="1">
        <f t="array" ref="G4775">SubCategorizeComment(E4775)</f>
        <v>Other</v>
      </c>
    </row>
    <row r="4776" spans="1:7" x14ac:dyDescent="0.25">
      <c r="A4776">
        <v>39197</v>
      </c>
      <c r="B4776" t="s">
        <v>4</v>
      </c>
      <c r="C4776">
        <v>4</v>
      </c>
      <c r="D4776" t="s">
        <v>5</v>
      </c>
      <c r="F4776" t="str" cm="1">
        <f t="array" ref="F4776">CategorizeComment(E4776)</f>
        <v>Other</v>
      </c>
      <c r="G4776" t="str" cm="1">
        <f t="array" ref="G4776">SubCategorizeComment(E4776)</f>
        <v>Other</v>
      </c>
    </row>
    <row r="4777" spans="1:7" x14ac:dyDescent="0.25">
      <c r="A4777">
        <v>39208</v>
      </c>
      <c r="B4777" t="s">
        <v>4</v>
      </c>
      <c r="C4777">
        <v>4</v>
      </c>
      <c r="D4777" t="s">
        <v>5</v>
      </c>
      <c r="F4777" t="str" cm="1">
        <f t="array" ref="F4777">CategorizeComment(E4777)</f>
        <v>Other</v>
      </c>
      <c r="G4777" t="str" cm="1">
        <f t="array" ref="G4777">SubCategorizeComment(E4777)</f>
        <v>Other</v>
      </c>
    </row>
    <row r="4778" spans="1:7" x14ac:dyDescent="0.25">
      <c r="A4778">
        <v>39252</v>
      </c>
      <c r="B4778" t="s">
        <v>4</v>
      </c>
      <c r="C4778">
        <v>3</v>
      </c>
      <c r="D4778" t="s">
        <v>5</v>
      </c>
      <c r="F4778" t="str" cm="1">
        <f t="array" ref="F4778">CategorizeComment(E4778)</f>
        <v>Other</v>
      </c>
      <c r="G4778" t="str" cm="1">
        <f t="array" ref="G4778">SubCategorizeComment(E4778)</f>
        <v>Other</v>
      </c>
    </row>
    <row r="4779" spans="1:7" x14ac:dyDescent="0.25">
      <c r="A4779">
        <v>39254</v>
      </c>
      <c r="B4779" t="s">
        <v>4</v>
      </c>
      <c r="C4779">
        <v>4</v>
      </c>
      <c r="D4779" t="s">
        <v>5</v>
      </c>
      <c r="F4779" t="str" cm="1">
        <f t="array" ref="F4779">CategorizeComment(E4779)</f>
        <v>Other</v>
      </c>
      <c r="G4779" t="str" cm="1">
        <f t="array" ref="G4779">SubCategorizeComment(E4779)</f>
        <v>Other</v>
      </c>
    </row>
    <row r="4780" spans="1:7" x14ac:dyDescent="0.25">
      <c r="A4780">
        <v>39255</v>
      </c>
      <c r="B4780" t="s">
        <v>4</v>
      </c>
      <c r="C4780">
        <v>4</v>
      </c>
      <c r="D4780" t="s">
        <v>5</v>
      </c>
      <c r="F4780" t="str" cm="1">
        <f t="array" ref="F4780">CategorizeComment(E4780)</f>
        <v>Other</v>
      </c>
      <c r="G4780" t="str" cm="1">
        <f t="array" ref="G4780">SubCategorizeComment(E4780)</f>
        <v>Other</v>
      </c>
    </row>
    <row r="4781" spans="1:7" x14ac:dyDescent="0.25">
      <c r="A4781">
        <v>39257</v>
      </c>
      <c r="B4781" t="s">
        <v>4</v>
      </c>
      <c r="C4781">
        <v>4</v>
      </c>
      <c r="D4781" t="s">
        <v>5</v>
      </c>
      <c r="F4781" t="str" cm="1">
        <f t="array" ref="F4781">CategorizeComment(E4781)</f>
        <v>Other</v>
      </c>
      <c r="G4781" t="str" cm="1">
        <f t="array" ref="G4781">SubCategorizeComment(E4781)</f>
        <v>Other</v>
      </c>
    </row>
    <row r="4782" spans="1:7" x14ac:dyDescent="0.25">
      <c r="A4782">
        <v>39260</v>
      </c>
      <c r="B4782" t="s">
        <v>4</v>
      </c>
      <c r="C4782">
        <v>4</v>
      </c>
      <c r="D4782" t="s">
        <v>5</v>
      </c>
      <c r="F4782" t="str" cm="1">
        <f t="array" ref="F4782">CategorizeComment(E4782)</f>
        <v>Other</v>
      </c>
      <c r="G4782" t="str" cm="1">
        <f t="array" ref="G4782">SubCategorizeComment(E4782)</f>
        <v>Other</v>
      </c>
    </row>
    <row r="4783" spans="1:7" x14ac:dyDescent="0.25">
      <c r="A4783">
        <v>39264</v>
      </c>
      <c r="B4783" t="s">
        <v>4</v>
      </c>
      <c r="C4783">
        <v>3</v>
      </c>
      <c r="D4783" t="s">
        <v>5</v>
      </c>
      <c r="F4783" t="str" cm="1">
        <f t="array" ref="F4783">CategorizeComment(E4783)</f>
        <v>Other</v>
      </c>
      <c r="G4783" t="str" cm="1">
        <f t="array" ref="G4783">SubCategorizeComment(E4783)</f>
        <v>Other</v>
      </c>
    </row>
    <row r="4784" spans="1:7" x14ac:dyDescent="0.25">
      <c r="A4784">
        <v>39267</v>
      </c>
      <c r="B4784" t="s">
        <v>4</v>
      </c>
      <c r="C4784">
        <v>4</v>
      </c>
      <c r="D4784" t="s">
        <v>5</v>
      </c>
      <c r="F4784" t="str" cm="1">
        <f t="array" ref="F4784">CategorizeComment(E4784)</f>
        <v>Other</v>
      </c>
      <c r="G4784" t="str" cm="1">
        <f t="array" ref="G4784">SubCategorizeComment(E4784)</f>
        <v>Other</v>
      </c>
    </row>
    <row r="4785" spans="1:7" x14ac:dyDescent="0.25">
      <c r="A4785">
        <v>39268</v>
      </c>
      <c r="B4785" t="s">
        <v>4</v>
      </c>
      <c r="C4785">
        <v>4</v>
      </c>
      <c r="D4785" t="s">
        <v>5</v>
      </c>
      <c r="F4785" t="str" cm="1">
        <f t="array" ref="F4785">CategorizeComment(E4785)</f>
        <v>Other</v>
      </c>
      <c r="G4785" t="str" cm="1">
        <f t="array" ref="G4785">SubCategorizeComment(E4785)</f>
        <v>Other</v>
      </c>
    </row>
    <row r="4786" spans="1:7" x14ac:dyDescent="0.25">
      <c r="A4786">
        <v>39269</v>
      </c>
      <c r="B4786" t="s">
        <v>4</v>
      </c>
      <c r="C4786">
        <v>3</v>
      </c>
      <c r="D4786" t="s">
        <v>5</v>
      </c>
      <c r="F4786" t="str" cm="1">
        <f t="array" ref="F4786">CategorizeComment(E4786)</f>
        <v>Other</v>
      </c>
      <c r="G4786" t="str" cm="1">
        <f t="array" ref="G4786">SubCategorizeComment(E4786)</f>
        <v>Other</v>
      </c>
    </row>
    <row r="4787" spans="1:7" x14ac:dyDescent="0.25">
      <c r="A4787">
        <v>39270</v>
      </c>
      <c r="B4787" t="s">
        <v>4</v>
      </c>
      <c r="C4787">
        <v>4</v>
      </c>
      <c r="D4787" t="s">
        <v>5</v>
      </c>
      <c r="F4787" t="str" cm="1">
        <f t="array" ref="F4787">CategorizeComment(E4787)</f>
        <v>Other</v>
      </c>
      <c r="G4787" t="str" cm="1">
        <f t="array" ref="G4787">SubCategorizeComment(E4787)</f>
        <v>Other</v>
      </c>
    </row>
    <row r="4788" spans="1:7" x14ac:dyDescent="0.25">
      <c r="A4788">
        <v>39273</v>
      </c>
      <c r="B4788" t="s">
        <v>4</v>
      </c>
      <c r="C4788">
        <v>3</v>
      </c>
      <c r="D4788" t="s">
        <v>5</v>
      </c>
      <c r="F4788" t="str" cm="1">
        <f t="array" ref="F4788">CategorizeComment(E4788)</f>
        <v>Other</v>
      </c>
      <c r="G4788" t="str" cm="1">
        <f t="array" ref="G4788">SubCategorizeComment(E4788)</f>
        <v>Other</v>
      </c>
    </row>
    <row r="4789" spans="1:7" x14ac:dyDescent="0.25">
      <c r="A4789">
        <v>39282</v>
      </c>
      <c r="B4789" t="s">
        <v>4</v>
      </c>
      <c r="C4789">
        <v>4</v>
      </c>
      <c r="D4789" t="s">
        <v>5</v>
      </c>
      <c r="F4789" t="str" cm="1">
        <f t="array" ref="F4789">CategorizeComment(E4789)</f>
        <v>Other</v>
      </c>
      <c r="G4789" t="str" cm="1">
        <f t="array" ref="G4789">SubCategorizeComment(E4789)</f>
        <v>Other</v>
      </c>
    </row>
    <row r="4790" spans="1:7" x14ac:dyDescent="0.25">
      <c r="A4790">
        <v>39284</v>
      </c>
      <c r="B4790" t="s">
        <v>4</v>
      </c>
      <c r="C4790">
        <v>4</v>
      </c>
      <c r="D4790" t="s">
        <v>5</v>
      </c>
      <c r="F4790" t="str" cm="1">
        <f t="array" ref="F4790">CategorizeComment(E4790)</f>
        <v>Other</v>
      </c>
      <c r="G4790" t="str" cm="1">
        <f t="array" ref="G4790">SubCategorizeComment(E4790)</f>
        <v>Other</v>
      </c>
    </row>
    <row r="4791" spans="1:7" x14ac:dyDescent="0.25">
      <c r="A4791">
        <v>39298</v>
      </c>
      <c r="B4791" t="s">
        <v>4</v>
      </c>
      <c r="C4791">
        <v>4</v>
      </c>
      <c r="D4791" t="s">
        <v>5</v>
      </c>
      <c r="F4791" t="str" cm="1">
        <f t="array" ref="F4791">CategorizeComment(E4791)</f>
        <v>Other</v>
      </c>
      <c r="G4791" t="str" cm="1">
        <f t="array" ref="G4791">SubCategorizeComment(E4791)</f>
        <v>Other</v>
      </c>
    </row>
    <row r="4792" spans="1:7" x14ac:dyDescent="0.25">
      <c r="A4792">
        <v>39312</v>
      </c>
      <c r="B4792" t="s">
        <v>4</v>
      </c>
      <c r="C4792">
        <v>3</v>
      </c>
      <c r="D4792" t="s">
        <v>5</v>
      </c>
      <c r="F4792" t="str" cm="1">
        <f t="array" ref="F4792">CategorizeComment(E4792)</f>
        <v>Other</v>
      </c>
      <c r="G4792" t="str" cm="1">
        <f t="array" ref="G4792">SubCategorizeComment(E4792)</f>
        <v>Other</v>
      </c>
    </row>
    <row r="4793" spans="1:7" x14ac:dyDescent="0.25">
      <c r="A4793">
        <v>39315</v>
      </c>
      <c r="B4793" t="s">
        <v>4</v>
      </c>
      <c r="C4793">
        <v>3</v>
      </c>
      <c r="D4793" t="s">
        <v>5</v>
      </c>
      <c r="F4793" t="str" cm="1">
        <f t="array" ref="F4793">CategorizeComment(E4793)</f>
        <v>Other</v>
      </c>
      <c r="G4793" t="str" cm="1">
        <f t="array" ref="G4793">SubCategorizeComment(E4793)</f>
        <v>Other</v>
      </c>
    </row>
    <row r="4794" spans="1:7" x14ac:dyDescent="0.25">
      <c r="A4794">
        <v>39323</v>
      </c>
      <c r="B4794" t="s">
        <v>4</v>
      </c>
      <c r="C4794">
        <v>4</v>
      </c>
      <c r="D4794" t="s">
        <v>5</v>
      </c>
      <c r="F4794" t="str" cm="1">
        <f t="array" ref="F4794">CategorizeComment(E4794)</f>
        <v>Other</v>
      </c>
      <c r="G4794" t="str" cm="1">
        <f t="array" ref="G4794">SubCategorizeComment(E4794)</f>
        <v>Other</v>
      </c>
    </row>
    <row r="4795" spans="1:7" x14ac:dyDescent="0.25">
      <c r="A4795">
        <v>39331</v>
      </c>
      <c r="B4795" t="s">
        <v>4</v>
      </c>
      <c r="C4795">
        <v>3</v>
      </c>
      <c r="D4795" t="s">
        <v>5</v>
      </c>
      <c r="F4795" t="str" cm="1">
        <f t="array" ref="F4795">CategorizeComment(E4795)</f>
        <v>Other</v>
      </c>
      <c r="G4795" t="str" cm="1">
        <f t="array" ref="G4795">SubCategorizeComment(E4795)</f>
        <v>Other</v>
      </c>
    </row>
    <row r="4796" spans="1:7" x14ac:dyDescent="0.25">
      <c r="A4796">
        <v>39364</v>
      </c>
      <c r="B4796" t="s">
        <v>4</v>
      </c>
      <c r="C4796">
        <v>4</v>
      </c>
      <c r="D4796" t="s">
        <v>5</v>
      </c>
      <c r="F4796" t="str" cm="1">
        <f t="array" ref="F4796">CategorizeComment(E4796)</f>
        <v>Other</v>
      </c>
      <c r="G4796" t="str" cm="1">
        <f t="array" ref="G4796">SubCategorizeComment(E4796)</f>
        <v>Other</v>
      </c>
    </row>
    <row r="4797" spans="1:7" x14ac:dyDescent="0.25">
      <c r="A4797">
        <v>39365</v>
      </c>
      <c r="B4797" t="s">
        <v>4</v>
      </c>
      <c r="C4797">
        <v>3</v>
      </c>
      <c r="D4797" t="s">
        <v>5</v>
      </c>
      <c r="F4797" t="str" cm="1">
        <f t="array" ref="F4797">CategorizeComment(E4797)</f>
        <v>Other</v>
      </c>
      <c r="G4797" t="str" cm="1">
        <f t="array" ref="G4797">SubCategorizeComment(E4797)</f>
        <v>Other</v>
      </c>
    </row>
    <row r="4798" spans="1:7" x14ac:dyDescent="0.25">
      <c r="A4798">
        <v>39384</v>
      </c>
      <c r="B4798" t="s">
        <v>4</v>
      </c>
      <c r="C4798">
        <v>3</v>
      </c>
      <c r="D4798" t="s">
        <v>5</v>
      </c>
      <c r="F4798" t="str" cm="1">
        <f t="array" ref="F4798">CategorizeComment(E4798)</f>
        <v>Other</v>
      </c>
      <c r="G4798" t="str" cm="1">
        <f t="array" ref="G4798">SubCategorizeComment(E4798)</f>
        <v>Other</v>
      </c>
    </row>
    <row r="4799" spans="1:7" x14ac:dyDescent="0.25">
      <c r="A4799">
        <v>39387</v>
      </c>
      <c r="B4799" t="s">
        <v>4</v>
      </c>
      <c r="C4799">
        <v>4</v>
      </c>
      <c r="D4799" t="s">
        <v>5</v>
      </c>
      <c r="F4799" t="str" cm="1">
        <f t="array" ref="F4799">CategorizeComment(E4799)</f>
        <v>Other</v>
      </c>
      <c r="G4799" t="str" cm="1">
        <f t="array" ref="G4799">SubCategorizeComment(E4799)</f>
        <v>Other</v>
      </c>
    </row>
    <row r="4800" spans="1:7" x14ac:dyDescent="0.25">
      <c r="A4800">
        <v>39400</v>
      </c>
      <c r="B4800" t="s">
        <v>4</v>
      </c>
      <c r="C4800">
        <v>4</v>
      </c>
      <c r="D4800" t="s">
        <v>5</v>
      </c>
      <c r="F4800" t="str" cm="1">
        <f t="array" ref="F4800">CategorizeComment(E4800)</f>
        <v>Other</v>
      </c>
      <c r="G4800" t="str" cm="1">
        <f t="array" ref="G4800">SubCategorizeComment(E4800)</f>
        <v>Other</v>
      </c>
    </row>
    <row r="4801" spans="1:7" x14ac:dyDescent="0.25">
      <c r="A4801">
        <v>39403</v>
      </c>
      <c r="B4801" t="s">
        <v>4</v>
      </c>
      <c r="C4801">
        <v>3</v>
      </c>
      <c r="D4801" t="s">
        <v>5</v>
      </c>
      <c r="F4801" t="str" cm="1">
        <f t="array" ref="F4801">CategorizeComment(E4801)</f>
        <v>Other</v>
      </c>
      <c r="G4801" t="str" cm="1">
        <f t="array" ref="G4801">SubCategorizeComment(E4801)</f>
        <v>Other</v>
      </c>
    </row>
    <row r="4802" spans="1:7" x14ac:dyDescent="0.25">
      <c r="A4802">
        <v>39433</v>
      </c>
      <c r="B4802" t="s">
        <v>4</v>
      </c>
      <c r="C4802">
        <v>3</v>
      </c>
      <c r="D4802" t="s">
        <v>5</v>
      </c>
      <c r="F4802" t="str" cm="1">
        <f t="array" ref="F4802">CategorizeComment(E4802)</f>
        <v>Other</v>
      </c>
      <c r="G4802" t="str" cm="1">
        <f t="array" ref="G4802">SubCategorizeComment(E4802)</f>
        <v>Other</v>
      </c>
    </row>
    <row r="4803" spans="1:7" x14ac:dyDescent="0.25">
      <c r="A4803">
        <v>39453</v>
      </c>
      <c r="B4803" t="s">
        <v>4</v>
      </c>
      <c r="C4803">
        <v>3</v>
      </c>
      <c r="D4803" t="s">
        <v>5</v>
      </c>
      <c r="F4803" t="str" cm="1">
        <f t="array" ref="F4803">CategorizeComment(E4803)</f>
        <v>Other</v>
      </c>
      <c r="G4803" t="str" cm="1">
        <f t="array" ref="G4803">SubCategorizeComment(E4803)</f>
        <v>Other</v>
      </c>
    </row>
    <row r="4804" spans="1:7" x14ac:dyDescent="0.25">
      <c r="A4804">
        <v>39454</v>
      </c>
      <c r="B4804" t="s">
        <v>4</v>
      </c>
      <c r="C4804">
        <v>3</v>
      </c>
      <c r="D4804" t="s">
        <v>5</v>
      </c>
      <c r="F4804" t="str" cm="1">
        <f t="array" ref="F4804">CategorizeComment(E4804)</f>
        <v>Other</v>
      </c>
      <c r="G4804" t="str" cm="1">
        <f t="array" ref="G4804">SubCategorizeComment(E4804)</f>
        <v>Other</v>
      </c>
    </row>
    <row r="4805" spans="1:7" x14ac:dyDescent="0.25">
      <c r="A4805">
        <v>39457</v>
      </c>
      <c r="B4805" t="s">
        <v>4</v>
      </c>
      <c r="C4805">
        <v>4</v>
      </c>
      <c r="D4805" t="s">
        <v>5</v>
      </c>
      <c r="F4805" t="str" cm="1">
        <f t="array" ref="F4805">CategorizeComment(E4805)</f>
        <v>Other</v>
      </c>
      <c r="G4805" t="str" cm="1">
        <f t="array" ref="G4805">SubCategorizeComment(E4805)</f>
        <v>Other</v>
      </c>
    </row>
    <row r="4806" spans="1:7" x14ac:dyDescent="0.25">
      <c r="A4806">
        <v>39468</v>
      </c>
      <c r="B4806" t="s">
        <v>4</v>
      </c>
      <c r="C4806">
        <v>4</v>
      </c>
      <c r="D4806" t="s">
        <v>5</v>
      </c>
      <c r="F4806" t="str" cm="1">
        <f t="array" ref="F4806">CategorizeComment(E4806)</f>
        <v>Other</v>
      </c>
      <c r="G4806" t="str" cm="1">
        <f t="array" ref="G4806">SubCategorizeComment(E4806)</f>
        <v>Other</v>
      </c>
    </row>
    <row r="4807" spans="1:7" x14ac:dyDescent="0.25">
      <c r="A4807">
        <v>39469</v>
      </c>
      <c r="B4807" t="s">
        <v>4</v>
      </c>
      <c r="C4807">
        <v>4</v>
      </c>
      <c r="D4807" t="s">
        <v>5</v>
      </c>
      <c r="F4807" t="str" cm="1">
        <f t="array" ref="F4807">CategorizeComment(E4807)</f>
        <v>Other</v>
      </c>
      <c r="G4807" t="str" cm="1">
        <f t="array" ref="G4807">SubCategorizeComment(E4807)</f>
        <v>Other</v>
      </c>
    </row>
    <row r="4808" spans="1:7" x14ac:dyDescent="0.25">
      <c r="A4808">
        <v>39475</v>
      </c>
      <c r="B4808" t="s">
        <v>4</v>
      </c>
      <c r="C4808">
        <v>4</v>
      </c>
      <c r="D4808" t="s">
        <v>5</v>
      </c>
      <c r="F4808" t="str" cm="1">
        <f t="array" ref="F4808">CategorizeComment(E4808)</f>
        <v>Other</v>
      </c>
      <c r="G4808" t="str" cm="1">
        <f t="array" ref="G4808">SubCategorizeComment(E4808)</f>
        <v>Other</v>
      </c>
    </row>
    <row r="4809" spans="1:7" x14ac:dyDescent="0.25">
      <c r="A4809">
        <v>39485</v>
      </c>
      <c r="B4809" t="s">
        <v>4</v>
      </c>
      <c r="C4809">
        <v>3</v>
      </c>
      <c r="D4809" t="s">
        <v>5</v>
      </c>
      <c r="F4809" t="str" cm="1">
        <f t="array" ref="F4809">CategorizeComment(E4809)</f>
        <v>Other</v>
      </c>
      <c r="G4809" t="str" cm="1">
        <f t="array" ref="G4809">SubCategorizeComment(E4809)</f>
        <v>Other</v>
      </c>
    </row>
    <row r="4810" spans="1:7" x14ac:dyDescent="0.25">
      <c r="A4810">
        <v>39487</v>
      </c>
      <c r="B4810" t="s">
        <v>4</v>
      </c>
      <c r="C4810">
        <v>4</v>
      </c>
      <c r="D4810" t="s">
        <v>5</v>
      </c>
      <c r="F4810" t="str" cm="1">
        <f t="array" ref="F4810">CategorizeComment(E4810)</f>
        <v>Other</v>
      </c>
      <c r="G4810" t="str" cm="1">
        <f t="array" ref="G4810">SubCategorizeComment(E4810)</f>
        <v>Other</v>
      </c>
    </row>
    <row r="4811" spans="1:7" x14ac:dyDescent="0.25">
      <c r="A4811">
        <v>39494</v>
      </c>
      <c r="B4811" t="s">
        <v>4</v>
      </c>
      <c r="C4811">
        <v>3</v>
      </c>
      <c r="D4811" t="s">
        <v>5</v>
      </c>
      <c r="F4811" t="str" cm="1">
        <f t="array" ref="F4811">CategorizeComment(E4811)</f>
        <v>Other</v>
      </c>
      <c r="G4811" t="str" cm="1">
        <f t="array" ref="G4811">SubCategorizeComment(E4811)</f>
        <v>Other</v>
      </c>
    </row>
    <row r="4812" spans="1:7" x14ac:dyDescent="0.25">
      <c r="A4812">
        <v>39505</v>
      </c>
      <c r="B4812" t="s">
        <v>4</v>
      </c>
      <c r="C4812">
        <v>3</v>
      </c>
      <c r="D4812" t="s">
        <v>5</v>
      </c>
      <c r="F4812" t="str" cm="1">
        <f t="array" ref="F4812">CategorizeComment(E4812)</f>
        <v>Other</v>
      </c>
      <c r="G4812" t="str" cm="1">
        <f t="array" ref="G4812">SubCategorizeComment(E4812)</f>
        <v>Other</v>
      </c>
    </row>
    <row r="4813" spans="1:7" x14ac:dyDescent="0.25">
      <c r="A4813">
        <v>39514</v>
      </c>
      <c r="B4813" t="s">
        <v>4</v>
      </c>
      <c r="C4813">
        <v>3</v>
      </c>
      <c r="D4813" t="s">
        <v>5</v>
      </c>
      <c r="F4813" t="str" cm="1">
        <f t="array" ref="F4813">CategorizeComment(E4813)</f>
        <v>Other</v>
      </c>
      <c r="G4813" t="str" cm="1">
        <f t="array" ref="G4813">SubCategorizeComment(E4813)</f>
        <v>Other</v>
      </c>
    </row>
    <row r="4814" spans="1:7" x14ac:dyDescent="0.25">
      <c r="A4814">
        <v>39524</v>
      </c>
      <c r="B4814" t="s">
        <v>4</v>
      </c>
      <c r="C4814">
        <v>3</v>
      </c>
      <c r="D4814" t="s">
        <v>5</v>
      </c>
      <c r="F4814" t="str" cm="1">
        <f t="array" ref="F4814">CategorizeComment(E4814)</f>
        <v>Other</v>
      </c>
      <c r="G4814" t="str" cm="1">
        <f t="array" ref="G4814">SubCategorizeComment(E4814)</f>
        <v>Other</v>
      </c>
    </row>
    <row r="4815" spans="1:7" x14ac:dyDescent="0.25">
      <c r="A4815">
        <v>39534</v>
      </c>
      <c r="B4815" t="s">
        <v>4</v>
      </c>
      <c r="C4815">
        <v>4</v>
      </c>
      <c r="D4815" t="s">
        <v>5</v>
      </c>
      <c r="F4815" t="str" cm="1">
        <f t="array" ref="F4815">CategorizeComment(E4815)</f>
        <v>Other</v>
      </c>
      <c r="G4815" t="str" cm="1">
        <f t="array" ref="G4815">SubCategorizeComment(E4815)</f>
        <v>Other</v>
      </c>
    </row>
    <row r="4816" spans="1:7" x14ac:dyDescent="0.25">
      <c r="A4816">
        <v>39543</v>
      </c>
      <c r="B4816" t="s">
        <v>4</v>
      </c>
      <c r="C4816">
        <v>4</v>
      </c>
      <c r="D4816" t="s">
        <v>5</v>
      </c>
      <c r="F4816" t="str" cm="1">
        <f t="array" ref="F4816">CategorizeComment(E4816)</f>
        <v>Other</v>
      </c>
      <c r="G4816" t="str" cm="1">
        <f t="array" ref="G4816">SubCategorizeComment(E4816)</f>
        <v>Other</v>
      </c>
    </row>
    <row r="4817" spans="1:7" x14ac:dyDescent="0.25">
      <c r="A4817">
        <v>39559</v>
      </c>
      <c r="B4817" t="s">
        <v>4</v>
      </c>
      <c r="C4817">
        <v>3</v>
      </c>
      <c r="D4817" t="s">
        <v>5</v>
      </c>
      <c r="F4817" t="str" cm="1">
        <f t="array" ref="F4817">CategorizeComment(E4817)</f>
        <v>Other</v>
      </c>
      <c r="G4817" t="str" cm="1">
        <f t="array" ref="G4817">SubCategorizeComment(E4817)</f>
        <v>Other</v>
      </c>
    </row>
    <row r="4818" spans="1:7" x14ac:dyDescent="0.25">
      <c r="A4818">
        <v>39572</v>
      </c>
      <c r="B4818" t="s">
        <v>4</v>
      </c>
      <c r="C4818">
        <v>3</v>
      </c>
      <c r="D4818" t="s">
        <v>5</v>
      </c>
      <c r="F4818" t="str" cm="1">
        <f t="array" ref="F4818">CategorizeComment(E4818)</f>
        <v>Other</v>
      </c>
      <c r="G4818" t="str" cm="1">
        <f t="array" ref="G4818">SubCategorizeComment(E4818)</f>
        <v>Other</v>
      </c>
    </row>
    <row r="4819" spans="1:7" x14ac:dyDescent="0.25">
      <c r="A4819">
        <v>39577</v>
      </c>
      <c r="B4819" t="s">
        <v>4</v>
      </c>
      <c r="C4819">
        <v>3</v>
      </c>
      <c r="D4819" t="s">
        <v>5</v>
      </c>
      <c r="F4819" t="str" cm="1">
        <f t="array" ref="F4819">CategorizeComment(E4819)</f>
        <v>Other</v>
      </c>
      <c r="G4819" t="str" cm="1">
        <f t="array" ref="G4819">SubCategorizeComment(E4819)</f>
        <v>Other</v>
      </c>
    </row>
    <row r="4820" spans="1:7" x14ac:dyDescent="0.25">
      <c r="A4820">
        <v>39579</v>
      </c>
      <c r="B4820" t="s">
        <v>4</v>
      </c>
      <c r="C4820">
        <v>3</v>
      </c>
      <c r="D4820" t="s">
        <v>5</v>
      </c>
      <c r="F4820" t="str" cm="1">
        <f t="array" ref="F4820">CategorizeComment(E4820)</f>
        <v>Other</v>
      </c>
      <c r="G4820" t="str" cm="1">
        <f t="array" ref="G4820">SubCategorizeComment(E4820)</f>
        <v>Other</v>
      </c>
    </row>
    <row r="4821" spans="1:7" x14ac:dyDescent="0.25">
      <c r="A4821">
        <v>39592</v>
      </c>
      <c r="B4821" t="s">
        <v>4</v>
      </c>
      <c r="C4821">
        <v>3</v>
      </c>
      <c r="D4821" t="s">
        <v>5</v>
      </c>
      <c r="F4821" t="str" cm="1">
        <f t="array" ref="F4821">CategorizeComment(E4821)</f>
        <v>Other</v>
      </c>
      <c r="G4821" t="str" cm="1">
        <f t="array" ref="G4821">SubCategorizeComment(E4821)</f>
        <v>Other</v>
      </c>
    </row>
    <row r="4822" spans="1:7" x14ac:dyDescent="0.25">
      <c r="A4822">
        <v>39594</v>
      </c>
      <c r="B4822" t="s">
        <v>4</v>
      </c>
      <c r="C4822">
        <v>3</v>
      </c>
      <c r="D4822" t="s">
        <v>5</v>
      </c>
      <c r="F4822" t="str" cm="1">
        <f t="array" ref="F4822">CategorizeComment(E4822)</f>
        <v>Other</v>
      </c>
      <c r="G4822" t="str" cm="1">
        <f t="array" ref="G4822">SubCategorizeComment(E4822)</f>
        <v>Other</v>
      </c>
    </row>
    <row r="4823" spans="1:7" x14ac:dyDescent="0.25">
      <c r="A4823">
        <v>39595</v>
      </c>
      <c r="B4823" t="s">
        <v>4</v>
      </c>
      <c r="C4823">
        <v>4</v>
      </c>
      <c r="D4823" t="s">
        <v>5</v>
      </c>
      <c r="F4823" t="str" cm="1">
        <f t="array" ref="F4823">CategorizeComment(E4823)</f>
        <v>Other</v>
      </c>
      <c r="G4823" t="str" cm="1">
        <f t="array" ref="G4823">SubCategorizeComment(E4823)</f>
        <v>Other</v>
      </c>
    </row>
    <row r="4824" spans="1:7" x14ac:dyDescent="0.25">
      <c r="A4824">
        <v>39600</v>
      </c>
      <c r="B4824" t="s">
        <v>4</v>
      </c>
      <c r="C4824">
        <v>4</v>
      </c>
      <c r="D4824" t="s">
        <v>5</v>
      </c>
      <c r="F4824" t="str" cm="1">
        <f t="array" ref="F4824">CategorizeComment(E4824)</f>
        <v>Other</v>
      </c>
      <c r="G4824" t="str" cm="1">
        <f t="array" ref="G4824">SubCategorizeComment(E4824)</f>
        <v>Other</v>
      </c>
    </row>
    <row r="4825" spans="1:7" x14ac:dyDescent="0.25">
      <c r="A4825">
        <v>39613</v>
      </c>
      <c r="B4825" t="s">
        <v>4</v>
      </c>
      <c r="C4825">
        <v>4</v>
      </c>
      <c r="D4825" t="s">
        <v>5</v>
      </c>
      <c r="F4825" t="str" cm="1">
        <f t="array" ref="F4825">CategorizeComment(E4825)</f>
        <v>Other</v>
      </c>
      <c r="G4825" t="str" cm="1">
        <f t="array" ref="G4825">SubCategorizeComment(E4825)</f>
        <v>Other</v>
      </c>
    </row>
    <row r="4826" spans="1:7" x14ac:dyDescent="0.25">
      <c r="A4826">
        <v>39615</v>
      </c>
      <c r="B4826" t="s">
        <v>4</v>
      </c>
      <c r="C4826">
        <v>3</v>
      </c>
      <c r="D4826" t="s">
        <v>5</v>
      </c>
      <c r="F4826" t="str" cm="1">
        <f t="array" ref="F4826">CategorizeComment(E4826)</f>
        <v>Other</v>
      </c>
      <c r="G4826" t="str" cm="1">
        <f t="array" ref="G4826">SubCategorizeComment(E4826)</f>
        <v>Other</v>
      </c>
    </row>
    <row r="4827" spans="1:7" x14ac:dyDescent="0.25">
      <c r="A4827">
        <v>39620</v>
      </c>
      <c r="B4827" t="s">
        <v>4</v>
      </c>
      <c r="C4827">
        <v>4</v>
      </c>
      <c r="D4827" t="s">
        <v>5</v>
      </c>
      <c r="F4827" t="str" cm="1">
        <f t="array" ref="F4827">CategorizeComment(E4827)</f>
        <v>Other</v>
      </c>
      <c r="G4827" t="str" cm="1">
        <f t="array" ref="G4827">SubCategorizeComment(E4827)</f>
        <v>Other</v>
      </c>
    </row>
    <row r="4828" spans="1:7" x14ac:dyDescent="0.25">
      <c r="A4828">
        <v>39631</v>
      </c>
      <c r="B4828" t="s">
        <v>4</v>
      </c>
      <c r="C4828">
        <v>4</v>
      </c>
      <c r="D4828" t="s">
        <v>5</v>
      </c>
      <c r="F4828" t="str" cm="1">
        <f t="array" ref="F4828">CategorizeComment(E4828)</f>
        <v>Other</v>
      </c>
      <c r="G4828" t="str" cm="1">
        <f t="array" ref="G4828">SubCategorizeComment(E4828)</f>
        <v>Other</v>
      </c>
    </row>
    <row r="4829" spans="1:7" x14ac:dyDescent="0.25">
      <c r="A4829">
        <v>39641</v>
      </c>
      <c r="B4829" t="s">
        <v>4</v>
      </c>
      <c r="C4829">
        <v>3</v>
      </c>
      <c r="D4829" t="s">
        <v>5</v>
      </c>
      <c r="F4829" t="str" cm="1">
        <f t="array" ref="F4829">CategorizeComment(E4829)</f>
        <v>Other</v>
      </c>
      <c r="G4829" t="str" cm="1">
        <f t="array" ref="G4829">SubCategorizeComment(E4829)</f>
        <v>Other</v>
      </c>
    </row>
    <row r="4830" spans="1:7" x14ac:dyDescent="0.25">
      <c r="A4830">
        <v>39655</v>
      </c>
      <c r="B4830" t="s">
        <v>4</v>
      </c>
      <c r="C4830">
        <v>3</v>
      </c>
      <c r="D4830" t="s">
        <v>5</v>
      </c>
      <c r="F4830" t="str" cm="1">
        <f t="array" ref="F4830">CategorizeComment(E4830)</f>
        <v>Other</v>
      </c>
      <c r="G4830" t="str" cm="1">
        <f t="array" ref="G4830">SubCategorizeComment(E4830)</f>
        <v>Other</v>
      </c>
    </row>
    <row r="4831" spans="1:7" x14ac:dyDescent="0.25">
      <c r="A4831">
        <v>39672</v>
      </c>
      <c r="B4831" t="s">
        <v>4</v>
      </c>
      <c r="C4831">
        <v>3</v>
      </c>
      <c r="D4831" t="s">
        <v>5</v>
      </c>
      <c r="F4831" t="str" cm="1">
        <f t="array" ref="F4831">CategorizeComment(E4831)</f>
        <v>Other</v>
      </c>
      <c r="G4831" t="str" cm="1">
        <f t="array" ref="G4831">SubCategorizeComment(E4831)</f>
        <v>Other</v>
      </c>
    </row>
    <row r="4832" spans="1:7" x14ac:dyDescent="0.25">
      <c r="A4832">
        <v>39673</v>
      </c>
      <c r="B4832" t="s">
        <v>4</v>
      </c>
      <c r="C4832">
        <v>4</v>
      </c>
      <c r="D4832" t="s">
        <v>5</v>
      </c>
      <c r="F4832" t="str" cm="1">
        <f t="array" ref="F4832">CategorizeComment(E4832)</f>
        <v>Other</v>
      </c>
      <c r="G4832" t="str" cm="1">
        <f t="array" ref="G4832">SubCategorizeComment(E4832)</f>
        <v>Other</v>
      </c>
    </row>
    <row r="4833" spans="1:7" x14ac:dyDescent="0.25">
      <c r="A4833">
        <v>39676</v>
      </c>
      <c r="B4833" t="s">
        <v>4</v>
      </c>
      <c r="C4833">
        <v>4</v>
      </c>
      <c r="D4833" t="s">
        <v>5</v>
      </c>
      <c r="F4833" t="str" cm="1">
        <f t="array" ref="F4833">CategorizeComment(E4833)</f>
        <v>Other</v>
      </c>
      <c r="G4833" t="str" cm="1">
        <f t="array" ref="G4833">SubCategorizeComment(E4833)</f>
        <v>Other</v>
      </c>
    </row>
    <row r="4834" spans="1:7" x14ac:dyDescent="0.25">
      <c r="A4834">
        <v>39678</v>
      </c>
      <c r="B4834" t="s">
        <v>4</v>
      </c>
      <c r="C4834">
        <v>3</v>
      </c>
      <c r="D4834" t="s">
        <v>5</v>
      </c>
      <c r="F4834" t="str" cm="1">
        <f t="array" ref="F4834">CategorizeComment(E4834)</f>
        <v>Other</v>
      </c>
      <c r="G4834" t="str" cm="1">
        <f t="array" ref="G4834">SubCategorizeComment(E4834)</f>
        <v>Other</v>
      </c>
    </row>
    <row r="4835" spans="1:7" x14ac:dyDescent="0.25">
      <c r="A4835">
        <v>39679</v>
      </c>
      <c r="B4835" t="s">
        <v>4</v>
      </c>
      <c r="C4835">
        <v>3</v>
      </c>
      <c r="D4835" t="s">
        <v>5</v>
      </c>
      <c r="F4835" t="str" cm="1">
        <f t="array" ref="F4835">CategorizeComment(E4835)</f>
        <v>Other</v>
      </c>
      <c r="G4835" t="str" cm="1">
        <f t="array" ref="G4835">SubCategorizeComment(E4835)</f>
        <v>Other</v>
      </c>
    </row>
    <row r="4836" spans="1:7" x14ac:dyDescent="0.25">
      <c r="A4836">
        <v>39681</v>
      </c>
      <c r="B4836" t="s">
        <v>4</v>
      </c>
      <c r="C4836">
        <v>4</v>
      </c>
      <c r="D4836" t="s">
        <v>5</v>
      </c>
      <c r="F4836" t="str" cm="1">
        <f t="array" ref="F4836">CategorizeComment(E4836)</f>
        <v>Other</v>
      </c>
      <c r="G4836" t="str" cm="1">
        <f t="array" ref="G4836">SubCategorizeComment(E4836)</f>
        <v>Other</v>
      </c>
    </row>
    <row r="4837" spans="1:7" x14ac:dyDescent="0.25">
      <c r="A4837">
        <v>39682</v>
      </c>
      <c r="B4837" t="s">
        <v>4</v>
      </c>
      <c r="C4837">
        <v>3</v>
      </c>
      <c r="D4837" t="s">
        <v>5</v>
      </c>
      <c r="F4837" t="str" cm="1">
        <f t="array" ref="F4837">CategorizeComment(E4837)</f>
        <v>Other</v>
      </c>
      <c r="G4837" t="str" cm="1">
        <f t="array" ref="G4837">SubCategorizeComment(E4837)</f>
        <v>Other</v>
      </c>
    </row>
    <row r="4838" spans="1:7" x14ac:dyDescent="0.25">
      <c r="A4838">
        <v>39685</v>
      </c>
      <c r="B4838" t="s">
        <v>4</v>
      </c>
      <c r="C4838">
        <v>4</v>
      </c>
      <c r="D4838" t="s">
        <v>5</v>
      </c>
      <c r="F4838" t="str" cm="1">
        <f t="array" ref="F4838">CategorizeComment(E4838)</f>
        <v>Other</v>
      </c>
      <c r="G4838" t="str" cm="1">
        <f t="array" ref="G4838">SubCategorizeComment(E4838)</f>
        <v>Other</v>
      </c>
    </row>
    <row r="4839" spans="1:7" x14ac:dyDescent="0.25">
      <c r="A4839">
        <v>39689</v>
      </c>
      <c r="B4839" t="s">
        <v>4</v>
      </c>
      <c r="C4839">
        <v>3</v>
      </c>
      <c r="D4839" t="s">
        <v>5</v>
      </c>
      <c r="F4839" t="str" cm="1">
        <f t="array" ref="F4839">CategorizeComment(E4839)</f>
        <v>Other</v>
      </c>
      <c r="G4839" t="str" cm="1">
        <f t="array" ref="G4839">SubCategorizeComment(E4839)</f>
        <v>Other</v>
      </c>
    </row>
    <row r="4840" spans="1:7" x14ac:dyDescent="0.25">
      <c r="A4840">
        <v>39710</v>
      </c>
      <c r="B4840" t="s">
        <v>4</v>
      </c>
      <c r="C4840">
        <v>4</v>
      </c>
      <c r="D4840" t="s">
        <v>5</v>
      </c>
      <c r="F4840" t="str" cm="1">
        <f t="array" ref="F4840">CategorizeComment(E4840)</f>
        <v>Other</v>
      </c>
      <c r="G4840" t="str" cm="1">
        <f t="array" ref="G4840">SubCategorizeComment(E4840)</f>
        <v>Other</v>
      </c>
    </row>
    <row r="4841" spans="1:7" x14ac:dyDescent="0.25">
      <c r="A4841">
        <v>39728</v>
      </c>
      <c r="B4841" t="s">
        <v>4</v>
      </c>
      <c r="C4841">
        <v>3</v>
      </c>
      <c r="D4841" t="s">
        <v>5</v>
      </c>
      <c r="F4841" t="str" cm="1">
        <f t="array" ref="F4841">CategorizeComment(E4841)</f>
        <v>Other</v>
      </c>
      <c r="G4841" t="str" cm="1">
        <f t="array" ref="G4841">SubCategorizeComment(E4841)</f>
        <v>Other</v>
      </c>
    </row>
    <row r="4842" spans="1:7" x14ac:dyDescent="0.25">
      <c r="A4842">
        <v>39734</v>
      </c>
      <c r="B4842" t="s">
        <v>4</v>
      </c>
      <c r="C4842">
        <v>3</v>
      </c>
      <c r="D4842" t="s">
        <v>5</v>
      </c>
      <c r="F4842" t="str" cm="1">
        <f t="array" ref="F4842">CategorizeComment(E4842)</f>
        <v>Other</v>
      </c>
      <c r="G4842" t="str" cm="1">
        <f t="array" ref="G4842">SubCategorizeComment(E4842)</f>
        <v>Other</v>
      </c>
    </row>
    <row r="4843" spans="1:7" x14ac:dyDescent="0.25">
      <c r="A4843">
        <v>39735</v>
      </c>
      <c r="B4843" t="s">
        <v>4</v>
      </c>
      <c r="C4843">
        <v>3</v>
      </c>
      <c r="D4843" t="s">
        <v>5</v>
      </c>
      <c r="F4843" t="str" cm="1">
        <f t="array" ref="F4843">CategorizeComment(E4843)</f>
        <v>Other</v>
      </c>
      <c r="G4843" t="str" cm="1">
        <f t="array" ref="G4843">SubCategorizeComment(E4843)</f>
        <v>Other</v>
      </c>
    </row>
    <row r="4844" spans="1:7" x14ac:dyDescent="0.25">
      <c r="A4844">
        <v>39747</v>
      </c>
      <c r="B4844" t="s">
        <v>4</v>
      </c>
      <c r="C4844">
        <v>3</v>
      </c>
      <c r="D4844" t="s">
        <v>5</v>
      </c>
      <c r="F4844" t="str" cm="1">
        <f t="array" ref="F4844">CategorizeComment(E4844)</f>
        <v>Other</v>
      </c>
      <c r="G4844" t="str" cm="1">
        <f t="array" ref="G4844">SubCategorizeComment(E4844)</f>
        <v>Other</v>
      </c>
    </row>
    <row r="4845" spans="1:7" x14ac:dyDescent="0.25">
      <c r="A4845">
        <v>39749</v>
      </c>
      <c r="B4845" t="s">
        <v>4</v>
      </c>
      <c r="C4845">
        <v>4</v>
      </c>
      <c r="D4845" t="s">
        <v>5</v>
      </c>
      <c r="F4845" t="str" cm="1">
        <f t="array" ref="F4845">CategorizeComment(E4845)</f>
        <v>Other</v>
      </c>
      <c r="G4845" t="str" cm="1">
        <f t="array" ref="G4845">SubCategorizeComment(E4845)</f>
        <v>Other</v>
      </c>
    </row>
    <row r="4846" spans="1:7" x14ac:dyDescent="0.25">
      <c r="A4846">
        <v>39761</v>
      </c>
      <c r="B4846" t="s">
        <v>4</v>
      </c>
      <c r="C4846">
        <v>4</v>
      </c>
      <c r="D4846" t="s">
        <v>5</v>
      </c>
      <c r="F4846" t="str" cm="1">
        <f t="array" ref="F4846">CategorizeComment(E4846)</f>
        <v>Other</v>
      </c>
      <c r="G4846" t="str" cm="1">
        <f t="array" ref="G4846">SubCategorizeComment(E4846)</f>
        <v>Other</v>
      </c>
    </row>
    <row r="4847" spans="1:7" x14ac:dyDescent="0.25">
      <c r="A4847">
        <v>39767</v>
      </c>
      <c r="B4847" t="s">
        <v>4</v>
      </c>
      <c r="C4847">
        <v>3</v>
      </c>
      <c r="D4847" t="s">
        <v>5</v>
      </c>
      <c r="F4847" t="str" cm="1">
        <f t="array" ref="F4847">CategorizeComment(E4847)</f>
        <v>Other</v>
      </c>
      <c r="G4847" t="str" cm="1">
        <f t="array" ref="G4847">SubCategorizeComment(E4847)</f>
        <v>Other</v>
      </c>
    </row>
    <row r="4848" spans="1:7" x14ac:dyDescent="0.25">
      <c r="A4848">
        <v>39778</v>
      </c>
      <c r="B4848" t="s">
        <v>4</v>
      </c>
      <c r="C4848">
        <v>4</v>
      </c>
      <c r="D4848" t="s">
        <v>5</v>
      </c>
      <c r="F4848" t="str" cm="1">
        <f t="array" ref="F4848">CategorizeComment(E4848)</f>
        <v>Other</v>
      </c>
      <c r="G4848" t="str" cm="1">
        <f t="array" ref="G4848">SubCategorizeComment(E4848)</f>
        <v>Other</v>
      </c>
    </row>
    <row r="4849" spans="1:7" x14ac:dyDescent="0.25">
      <c r="A4849">
        <v>39779</v>
      </c>
      <c r="B4849" t="s">
        <v>4</v>
      </c>
      <c r="C4849">
        <v>3</v>
      </c>
      <c r="D4849" t="s">
        <v>5</v>
      </c>
      <c r="F4849" t="str" cm="1">
        <f t="array" ref="F4849">CategorizeComment(E4849)</f>
        <v>Other</v>
      </c>
      <c r="G4849" t="str" cm="1">
        <f t="array" ref="G4849">SubCategorizeComment(E4849)</f>
        <v>Other</v>
      </c>
    </row>
    <row r="4850" spans="1:7" x14ac:dyDescent="0.25">
      <c r="A4850">
        <v>39790</v>
      </c>
      <c r="B4850" t="s">
        <v>4</v>
      </c>
      <c r="C4850">
        <v>3</v>
      </c>
      <c r="D4850" t="s">
        <v>5</v>
      </c>
      <c r="F4850" t="str" cm="1">
        <f t="array" ref="F4850">CategorizeComment(E4850)</f>
        <v>Other</v>
      </c>
      <c r="G4850" t="str" cm="1">
        <f t="array" ref="G4850">SubCategorizeComment(E4850)</f>
        <v>Other</v>
      </c>
    </row>
    <row r="4851" spans="1:7" x14ac:dyDescent="0.25">
      <c r="A4851">
        <v>39806</v>
      </c>
      <c r="B4851" t="s">
        <v>4</v>
      </c>
      <c r="C4851">
        <v>3</v>
      </c>
      <c r="D4851" t="s">
        <v>5</v>
      </c>
      <c r="F4851" t="str" cm="1">
        <f t="array" ref="F4851">CategorizeComment(E4851)</f>
        <v>Other</v>
      </c>
      <c r="G4851" t="str" cm="1">
        <f t="array" ref="G4851">SubCategorizeComment(E4851)</f>
        <v>Other</v>
      </c>
    </row>
    <row r="4852" spans="1:7" x14ac:dyDescent="0.25">
      <c r="A4852">
        <v>39815</v>
      </c>
      <c r="B4852" t="s">
        <v>4</v>
      </c>
      <c r="C4852">
        <v>4</v>
      </c>
      <c r="D4852" t="s">
        <v>5</v>
      </c>
      <c r="F4852" t="str" cm="1">
        <f t="array" ref="F4852">CategorizeComment(E4852)</f>
        <v>Other</v>
      </c>
      <c r="G4852" t="str" cm="1">
        <f t="array" ref="G4852">SubCategorizeComment(E4852)</f>
        <v>Other</v>
      </c>
    </row>
    <row r="4853" spans="1:7" x14ac:dyDescent="0.25">
      <c r="A4853">
        <v>39817</v>
      </c>
      <c r="B4853" t="s">
        <v>4</v>
      </c>
      <c r="C4853">
        <v>3</v>
      </c>
      <c r="D4853" t="s">
        <v>5</v>
      </c>
      <c r="F4853" t="str" cm="1">
        <f t="array" ref="F4853">CategorizeComment(E4853)</f>
        <v>Other</v>
      </c>
      <c r="G4853" t="str" cm="1">
        <f t="array" ref="G4853">SubCategorizeComment(E4853)</f>
        <v>Other</v>
      </c>
    </row>
    <row r="4854" spans="1:7" x14ac:dyDescent="0.25">
      <c r="A4854">
        <v>39872</v>
      </c>
      <c r="B4854" t="s">
        <v>4</v>
      </c>
      <c r="C4854">
        <v>4</v>
      </c>
      <c r="D4854" t="s">
        <v>5</v>
      </c>
      <c r="F4854" t="str" cm="1">
        <f t="array" ref="F4854">CategorizeComment(E4854)</f>
        <v>Other</v>
      </c>
      <c r="G4854" t="str" cm="1">
        <f t="array" ref="G4854">SubCategorizeComment(E4854)</f>
        <v>Other</v>
      </c>
    </row>
    <row r="4855" spans="1:7" x14ac:dyDescent="0.25">
      <c r="A4855">
        <v>39879</v>
      </c>
      <c r="B4855" t="s">
        <v>4</v>
      </c>
      <c r="C4855">
        <v>3</v>
      </c>
      <c r="D4855" t="s">
        <v>5</v>
      </c>
      <c r="F4855" t="str" cm="1">
        <f t="array" ref="F4855">CategorizeComment(E4855)</f>
        <v>Other</v>
      </c>
      <c r="G4855" t="str" cm="1">
        <f t="array" ref="G4855">SubCategorizeComment(E4855)</f>
        <v>Other</v>
      </c>
    </row>
    <row r="4856" spans="1:7" x14ac:dyDescent="0.25">
      <c r="A4856">
        <v>39880</v>
      </c>
      <c r="B4856" t="s">
        <v>4</v>
      </c>
      <c r="C4856">
        <v>4</v>
      </c>
      <c r="D4856" t="s">
        <v>5</v>
      </c>
      <c r="F4856" t="str" cm="1">
        <f t="array" ref="F4856">CategorizeComment(E4856)</f>
        <v>Other</v>
      </c>
      <c r="G4856" t="str" cm="1">
        <f t="array" ref="G4856">SubCategorizeComment(E4856)</f>
        <v>Other</v>
      </c>
    </row>
    <row r="4857" spans="1:7" x14ac:dyDescent="0.25">
      <c r="A4857">
        <v>39887</v>
      </c>
      <c r="B4857" t="s">
        <v>4</v>
      </c>
      <c r="C4857">
        <v>4</v>
      </c>
      <c r="D4857" t="s">
        <v>5</v>
      </c>
      <c r="F4857" t="str" cm="1">
        <f t="array" ref="F4857">CategorizeComment(E4857)</f>
        <v>Other</v>
      </c>
      <c r="G4857" t="str" cm="1">
        <f t="array" ref="G4857">SubCategorizeComment(E4857)</f>
        <v>Other</v>
      </c>
    </row>
    <row r="4858" spans="1:7" x14ac:dyDescent="0.25">
      <c r="A4858">
        <v>39897</v>
      </c>
      <c r="B4858" t="s">
        <v>4</v>
      </c>
      <c r="C4858">
        <v>3</v>
      </c>
      <c r="D4858" t="s">
        <v>5</v>
      </c>
      <c r="F4858" t="str" cm="1">
        <f t="array" ref="F4858">CategorizeComment(E4858)</f>
        <v>Other</v>
      </c>
      <c r="G4858" t="str" cm="1">
        <f t="array" ref="G4858">SubCategorizeComment(E4858)</f>
        <v>Other</v>
      </c>
    </row>
    <row r="4859" spans="1:7" x14ac:dyDescent="0.25">
      <c r="A4859">
        <v>39902</v>
      </c>
      <c r="B4859" t="s">
        <v>4</v>
      </c>
      <c r="C4859">
        <v>3</v>
      </c>
      <c r="D4859" t="s">
        <v>5</v>
      </c>
      <c r="F4859" t="str" cm="1">
        <f t="array" ref="F4859">CategorizeComment(E4859)</f>
        <v>Other</v>
      </c>
      <c r="G4859" t="str" cm="1">
        <f t="array" ref="G4859">SubCategorizeComment(E4859)</f>
        <v>Other</v>
      </c>
    </row>
    <row r="4860" spans="1:7" x14ac:dyDescent="0.25">
      <c r="A4860">
        <v>39904</v>
      </c>
      <c r="B4860" t="s">
        <v>4</v>
      </c>
      <c r="C4860">
        <v>4</v>
      </c>
      <c r="D4860" t="s">
        <v>5</v>
      </c>
      <c r="F4860" t="str" cm="1">
        <f t="array" ref="F4860">CategorizeComment(E4860)</f>
        <v>Other</v>
      </c>
      <c r="G4860" t="str" cm="1">
        <f t="array" ref="G4860">SubCategorizeComment(E4860)</f>
        <v>Other</v>
      </c>
    </row>
    <row r="4861" spans="1:7" x14ac:dyDescent="0.25">
      <c r="A4861">
        <v>39912</v>
      </c>
      <c r="B4861" t="s">
        <v>4</v>
      </c>
      <c r="C4861">
        <v>3</v>
      </c>
      <c r="D4861" t="s">
        <v>5</v>
      </c>
      <c r="F4861" t="str" cm="1">
        <f t="array" ref="F4861">CategorizeComment(E4861)</f>
        <v>Other</v>
      </c>
      <c r="G4861" t="str" cm="1">
        <f t="array" ref="G4861">SubCategorizeComment(E4861)</f>
        <v>Other</v>
      </c>
    </row>
    <row r="4862" spans="1:7" x14ac:dyDescent="0.25">
      <c r="A4862">
        <v>39960</v>
      </c>
      <c r="B4862" t="s">
        <v>4</v>
      </c>
      <c r="C4862">
        <v>3</v>
      </c>
      <c r="D4862" t="s">
        <v>5</v>
      </c>
      <c r="F4862" t="str" cm="1">
        <f t="array" ref="F4862">CategorizeComment(E4862)</f>
        <v>Other</v>
      </c>
      <c r="G4862" t="str" cm="1">
        <f t="array" ref="G4862">SubCategorizeComment(E4862)</f>
        <v>Other</v>
      </c>
    </row>
    <row r="4863" spans="1:7" x14ac:dyDescent="0.25">
      <c r="A4863">
        <v>39964</v>
      </c>
      <c r="B4863" t="s">
        <v>4</v>
      </c>
      <c r="C4863">
        <v>4</v>
      </c>
      <c r="D4863" t="s">
        <v>5</v>
      </c>
      <c r="F4863" t="str" cm="1">
        <f t="array" ref="F4863">CategorizeComment(E4863)</f>
        <v>Other</v>
      </c>
      <c r="G4863" t="str" cm="1">
        <f t="array" ref="G4863">SubCategorizeComment(E4863)</f>
        <v>Other</v>
      </c>
    </row>
    <row r="4864" spans="1:7" x14ac:dyDescent="0.25">
      <c r="A4864">
        <v>39966</v>
      </c>
      <c r="B4864" t="s">
        <v>4</v>
      </c>
      <c r="C4864">
        <v>3</v>
      </c>
      <c r="D4864" t="s">
        <v>5</v>
      </c>
      <c r="F4864" t="str" cm="1">
        <f t="array" ref="F4864">CategorizeComment(E4864)</f>
        <v>Other</v>
      </c>
      <c r="G4864" t="str" cm="1">
        <f t="array" ref="G4864">SubCategorizeComment(E4864)</f>
        <v>Other</v>
      </c>
    </row>
    <row r="4865" spans="1:7" x14ac:dyDescent="0.25">
      <c r="A4865">
        <v>39971</v>
      </c>
      <c r="B4865" t="s">
        <v>4</v>
      </c>
      <c r="C4865">
        <v>3</v>
      </c>
      <c r="D4865" t="s">
        <v>5</v>
      </c>
      <c r="F4865" t="str" cm="1">
        <f t="array" ref="F4865">CategorizeComment(E4865)</f>
        <v>Other</v>
      </c>
      <c r="G4865" t="str" cm="1">
        <f t="array" ref="G4865">SubCategorizeComment(E4865)</f>
        <v>Other</v>
      </c>
    </row>
    <row r="4866" spans="1:7" x14ac:dyDescent="0.25">
      <c r="A4866">
        <v>39975</v>
      </c>
      <c r="B4866" t="s">
        <v>4</v>
      </c>
      <c r="C4866">
        <v>3</v>
      </c>
      <c r="D4866" t="s">
        <v>5</v>
      </c>
      <c r="F4866" t="str" cm="1">
        <f t="array" ref="F4866">CategorizeComment(E4866)</f>
        <v>Other</v>
      </c>
      <c r="G4866" t="str" cm="1">
        <f t="array" ref="G4866">SubCategorizeComment(E4866)</f>
        <v>Other</v>
      </c>
    </row>
    <row r="4867" spans="1:7" x14ac:dyDescent="0.25">
      <c r="A4867">
        <v>39979</v>
      </c>
      <c r="B4867" t="s">
        <v>4</v>
      </c>
      <c r="C4867">
        <v>3</v>
      </c>
      <c r="D4867" t="s">
        <v>5</v>
      </c>
      <c r="F4867" t="str" cm="1">
        <f t="array" ref="F4867">CategorizeComment(E4867)</f>
        <v>Other</v>
      </c>
      <c r="G4867" t="str" cm="1">
        <f t="array" ref="G4867">SubCategorizeComment(E4867)</f>
        <v>Other</v>
      </c>
    </row>
    <row r="4868" spans="1:7" x14ac:dyDescent="0.25">
      <c r="A4868">
        <v>39981</v>
      </c>
      <c r="B4868" t="s">
        <v>4</v>
      </c>
      <c r="C4868">
        <v>3</v>
      </c>
      <c r="D4868" t="s">
        <v>5</v>
      </c>
      <c r="F4868" t="str" cm="1">
        <f t="array" ref="F4868">CategorizeComment(E4868)</f>
        <v>Other</v>
      </c>
      <c r="G4868" t="str" cm="1">
        <f t="array" ref="G4868">SubCategorizeComment(E4868)</f>
        <v>Other</v>
      </c>
    </row>
    <row r="4869" spans="1:7" x14ac:dyDescent="0.25">
      <c r="A4869">
        <v>39994</v>
      </c>
      <c r="B4869" t="s">
        <v>4</v>
      </c>
      <c r="C4869">
        <v>3</v>
      </c>
      <c r="D4869" t="s">
        <v>5</v>
      </c>
      <c r="F4869" t="str" cm="1">
        <f t="array" ref="F4869">CategorizeComment(E4869)</f>
        <v>Other</v>
      </c>
      <c r="G4869" t="str" cm="1">
        <f t="array" ref="G4869">SubCategorizeComment(E4869)</f>
        <v>Other</v>
      </c>
    </row>
    <row r="4870" spans="1:7" x14ac:dyDescent="0.25">
      <c r="A4870">
        <v>40000</v>
      </c>
      <c r="B4870" t="s">
        <v>4</v>
      </c>
      <c r="C4870">
        <v>3</v>
      </c>
      <c r="D4870" t="s">
        <v>5</v>
      </c>
      <c r="F4870" t="str" cm="1">
        <f t="array" ref="F4870">CategorizeComment(E4870)</f>
        <v>Other</v>
      </c>
      <c r="G4870" t="str" cm="1">
        <f t="array" ref="G4870">SubCategorizeComment(E4870)</f>
        <v>Other</v>
      </c>
    </row>
    <row r="4871" spans="1:7" x14ac:dyDescent="0.25">
      <c r="A4871">
        <v>40027</v>
      </c>
      <c r="B4871" t="s">
        <v>4</v>
      </c>
      <c r="C4871">
        <v>4</v>
      </c>
      <c r="D4871" t="s">
        <v>5</v>
      </c>
      <c r="F4871" t="str" cm="1">
        <f t="array" ref="F4871">CategorizeComment(E4871)</f>
        <v>Other</v>
      </c>
      <c r="G4871" t="str" cm="1">
        <f t="array" ref="G4871">SubCategorizeComment(E4871)</f>
        <v>Other</v>
      </c>
    </row>
    <row r="4872" spans="1:7" x14ac:dyDescent="0.25">
      <c r="A4872">
        <v>40047</v>
      </c>
      <c r="B4872" t="s">
        <v>4</v>
      </c>
      <c r="C4872">
        <v>4</v>
      </c>
      <c r="D4872" t="s">
        <v>5</v>
      </c>
      <c r="F4872" t="str" cm="1">
        <f t="array" ref="F4872">CategorizeComment(E4872)</f>
        <v>Other</v>
      </c>
      <c r="G4872" t="str" cm="1">
        <f t="array" ref="G4872">SubCategorizeComment(E4872)</f>
        <v>Other</v>
      </c>
    </row>
    <row r="4873" spans="1:7" x14ac:dyDescent="0.25">
      <c r="A4873">
        <v>40052</v>
      </c>
      <c r="B4873" t="s">
        <v>4</v>
      </c>
      <c r="C4873">
        <v>3</v>
      </c>
      <c r="D4873" t="s">
        <v>5</v>
      </c>
      <c r="F4873" t="str" cm="1">
        <f t="array" ref="F4873">CategorizeComment(E4873)</f>
        <v>Other</v>
      </c>
      <c r="G4873" t="str" cm="1">
        <f t="array" ref="G4873">SubCategorizeComment(E4873)</f>
        <v>Other</v>
      </c>
    </row>
    <row r="4874" spans="1:7" x14ac:dyDescent="0.25">
      <c r="A4874">
        <v>40074</v>
      </c>
      <c r="B4874" t="s">
        <v>4</v>
      </c>
      <c r="C4874">
        <v>3</v>
      </c>
      <c r="D4874" t="s">
        <v>5</v>
      </c>
      <c r="F4874" t="str" cm="1">
        <f t="array" ref="F4874">CategorizeComment(E4874)</f>
        <v>Other</v>
      </c>
      <c r="G4874" t="str" cm="1">
        <f t="array" ref="G4874">SubCategorizeComment(E4874)</f>
        <v>Other</v>
      </c>
    </row>
    <row r="4875" spans="1:7" x14ac:dyDescent="0.25">
      <c r="A4875">
        <v>40075</v>
      </c>
      <c r="B4875" t="s">
        <v>4</v>
      </c>
      <c r="C4875">
        <v>4</v>
      </c>
      <c r="D4875" t="s">
        <v>5</v>
      </c>
      <c r="F4875" t="str" cm="1">
        <f t="array" ref="F4875">CategorizeComment(E4875)</f>
        <v>Other</v>
      </c>
      <c r="G4875" t="str" cm="1">
        <f t="array" ref="G4875">SubCategorizeComment(E4875)</f>
        <v>Other</v>
      </c>
    </row>
    <row r="4876" spans="1:7" x14ac:dyDescent="0.25">
      <c r="A4876">
        <v>40084</v>
      </c>
      <c r="B4876" t="s">
        <v>4</v>
      </c>
      <c r="C4876">
        <v>3</v>
      </c>
      <c r="D4876" t="s">
        <v>5</v>
      </c>
      <c r="F4876" t="str" cm="1">
        <f t="array" ref="F4876">CategorizeComment(E4876)</f>
        <v>Other</v>
      </c>
      <c r="G4876" t="str" cm="1">
        <f t="array" ref="G4876">SubCategorizeComment(E4876)</f>
        <v>Other</v>
      </c>
    </row>
    <row r="4877" spans="1:7" x14ac:dyDescent="0.25">
      <c r="A4877">
        <v>40120</v>
      </c>
      <c r="B4877" t="s">
        <v>4</v>
      </c>
      <c r="C4877">
        <v>3</v>
      </c>
      <c r="D4877" t="s">
        <v>5</v>
      </c>
      <c r="F4877" t="str" cm="1">
        <f t="array" ref="F4877">CategorizeComment(E4877)</f>
        <v>Other</v>
      </c>
      <c r="G4877" t="str" cm="1">
        <f t="array" ref="G4877">SubCategorizeComment(E4877)</f>
        <v>Other</v>
      </c>
    </row>
    <row r="4878" spans="1:7" x14ac:dyDescent="0.25">
      <c r="A4878">
        <v>40124</v>
      </c>
      <c r="B4878" t="s">
        <v>4</v>
      </c>
      <c r="C4878">
        <v>3</v>
      </c>
      <c r="D4878" t="s">
        <v>5</v>
      </c>
      <c r="F4878" t="str" cm="1">
        <f t="array" ref="F4878">CategorizeComment(E4878)</f>
        <v>Other</v>
      </c>
      <c r="G4878" t="str" cm="1">
        <f t="array" ref="G4878">SubCategorizeComment(E4878)</f>
        <v>Other</v>
      </c>
    </row>
    <row r="4879" spans="1:7" x14ac:dyDescent="0.25">
      <c r="A4879">
        <v>40139</v>
      </c>
      <c r="B4879" t="s">
        <v>4</v>
      </c>
      <c r="C4879">
        <v>3</v>
      </c>
      <c r="D4879" t="s">
        <v>5</v>
      </c>
      <c r="F4879" t="str" cm="1">
        <f t="array" ref="F4879">CategorizeComment(E4879)</f>
        <v>Other</v>
      </c>
      <c r="G4879" t="str" cm="1">
        <f t="array" ref="G4879">SubCategorizeComment(E4879)</f>
        <v>Other</v>
      </c>
    </row>
    <row r="4880" spans="1:7" x14ac:dyDescent="0.25">
      <c r="A4880">
        <v>40141</v>
      </c>
      <c r="B4880" t="s">
        <v>4</v>
      </c>
      <c r="C4880">
        <v>4</v>
      </c>
      <c r="D4880" t="s">
        <v>5</v>
      </c>
      <c r="F4880" t="str" cm="1">
        <f t="array" ref="F4880">CategorizeComment(E4880)</f>
        <v>Other</v>
      </c>
      <c r="G4880" t="str" cm="1">
        <f t="array" ref="G4880">SubCategorizeComment(E4880)</f>
        <v>Other</v>
      </c>
    </row>
    <row r="4881" spans="1:7" x14ac:dyDescent="0.25">
      <c r="A4881">
        <v>40161</v>
      </c>
      <c r="B4881" t="s">
        <v>4</v>
      </c>
      <c r="C4881">
        <v>4</v>
      </c>
      <c r="D4881" t="s">
        <v>5</v>
      </c>
      <c r="F4881" t="str" cm="1">
        <f t="array" ref="F4881">CategorizeComment(E4881)</f>
        <v>Other</v>
      </c>
      <c r="G4881" t="str" cm="1">
        <f t="array" ref="G4881">SubCategorizeComment(E4881)</f>
        <v>Other</v>
      </c>
    </row>
    <row r="4882" spans="1:7" x14ac:dyDescent="0.25">
      <c r="A4882">
        <v>40166</v>
      </c>
      <c r="B4882" t="s">
        <v>4</v>
      </c>
      <c r="C4882">
        <v>4</v>
      </c>
      <c r="D4882" t="s">
        <v>5</v>
      </c>
      <c r="F4882" t="str" cm="1">
        <f t="array" ref="F4882">CategorizeComment(E4882)</f>
        <v>Other</v>
      </c>
      <c r="G4882" t="str" cm="1">
        <f t="array" ref="G4882">SubCategorizeComment(E4882)</f>
        <v>Other</v>
      </c>
    </row>
    <row r="4883" spans="1:7" x14ac:dyDescent="0.25">
      <c r="A4883">
        <v>40184</v>
      </c>
      <c r="B4883" t="s">
        <v>4</v>
      </c>
      <c r="C4883">
        <v>3</v>
      </c>
      <c r="D4883" t="s">
        <v>5</v>
      </c>
      <c r="F4883" t="str" cm="1">
        <f t="array" ref="F4883">CategorizeComment(E4883)</f>
        <v>Other</v>
      </c>
      <c r="G4883" t="str" cm="1">
        <f t="array" ref="G4883">SubCategorizeComment(E4883)</f>
        <v>Other</v>
      </c>
    </row>
    <row r="4884" spans="1:7" x14ac:dyDescent="0.25">
      <c r="A4884">
        <v>40200</v>
      </c>
      <c r="B4884" t="s">
        <v>4</v>
      </c>
      <c r="C4884">
        <v>3</v>
      </c>
      <c r="D4884" t="s">
        <v>5</v>
      </c>
      <c r="F4884" t="str" cm="1">
        <f t="array" ref="F4884">CategorizeComment(E4884)</f>
        <v>Other</v>
      </c>
      <c r="G4884" t="str" cm="1">
        <f t="array" ref="G4884">SubCategorizeComment(E4884)</f>
        <v>Other</v>
      </c>
    </row>
    <row r="4885" spans="1:7" x14ac:dyDescent="0.25">
      <c r="A4885">
        <v>40222</v>
      </c>
      <c r="B4885" t="s">
        <v>4</v>
      </c>
      <c r="C4885">
        <v>3</v>
      </c>
      <c r="D4885" t="s">
        <v>5</v>
      </c>
      <c r="F4885" t="str" cm="1">
        <f t="array" ref="F4885">CategorizeComment(E4885)</f>
        <v>Other</v>
      </c>
      <c r="G4885" t="str" cm="1">
        <f t="array" ref="G4885">SubCategorizeComment(E4885)</f>
        <v>Other</v>
      </c>
    </row>
    <row r="4886" spans="1:7" x14ac:dyDescent="0.25">
      <c r="A4886">
        <v>40234</v>
      </c>
      <c r="B4886" t="s">
        <v>4</v>
      </c>
      <c r="C4886">
        <v>3</v>
      </c>
      <c r="D4886" t="s">
        <v>5</v>
      </c>
      <c r="F4886" t="str" cm="1">
        <f t="array" ref="F4886">CategorizeComment(E4886)</f>
        <v>Other</v>
      </c>
      <c r="G4886" t="str" cm="1">
        <f t="array" ref="G4886">SubCategorizeComment(E4886)</f>
        <v>Other</v>
      </c>
    </row>
    <row r="4887" spans="1:7" x14ac:dyDescent="0.25">
      <c r="A4887">
        <v>40245</v>
      </c>
      <c r="B4887" t="s">
        <v>4</v>
      </c>
      <c r="C4887">
        <v>3</v>
      </c>
      <c r="D4887" t="s">
        <v>5</v>
      </c>
      <c r="F4887" t="str" cm="1">
        <f t="array" ref="F4887">CategorizeComment(E4887)</f>
        <v>Other</v>
      </c>
      <c r="G4887" t="str" cm="1">
        <f t="array" ref="G4887">SubCategorizeComment(E4887)</f>
        <v>Other</v>
      </c>
    </row>
    <row r="4888" spans="1:7" x14ac:dyDescent="0.25">
      <c r="A4888">
        <v>40248</v>
      </c>
      <c r="B4888" t="s">
        <v>4</v>
      </c>
      <c r="C4888">
        <v>3</v>
      </c>
      <c r="D4888" t="s">
        <v>5</v>
      </c>
      <c r="F4888" t="str" cm="1">
        <f t="array" ref="F4888">CategorizeComment(E4888)</f>
        <v>Other</v>
      </c>
      <c r="G4888" t="str" cm="1">
        <f t="array" ref="G4888">SubCategorizeComment(E4888)</f>
        <v>Other</v>
      </c>
    </row>
    <row r="4889" spans="1:7" x14ac:dyDescent="0.25">
      <c r="A4889">
        <v>40250</v>
      </c>
      <c r="B4889" t="s">
        <v>4</v>
      </c>
      <c r="C4889">
        <v>3</v>
      </c>
      <c r="D4889" t="s">
        <v>5</v>
      </c>
      <c r="F4889" t="str" cm="1">
        <f t="array" ref="F4889">CategorizeComment(E4889)</f>
        <v>Other</v>
      </c>
      <c r="G4889" t="str" cm="1">
        <f t="array" ref="G4889">SubCategorizeComment(E4889)</f>
        <v>Other</v>
      </c>
    </row>
    <row r="4890" spans="1:7" x14ac:dyDescent="0.25">
      <c r="A4890">
        <v>40254</v>
      </c>
      <c r="B4890" t="s">
        <v>4</v>
      </c>
      <c r="C4890">
        <v>4</v>
      </c>
      <c r="D4890" t="s">
        <v>5</v>
      </c>
      <c r="F4890" t="str" cm="1">
        <f t="array" ref="F4890">CategorizeComment(E4890)</f>
        <v>Other</v>
      </c>
      <c r="G4890" t="str" cm="1">
        <f t="array" ref="G4890">SubCategorizeComment(E4890)</f>
        <v>Other</v>
      </c>
    </row>
    <row r="4891" spans="1:7" x14ac:dyDescent="0.25">
      <c r="A4891">
        <v>40262</v>
      </c>
      <c r="B4891" t="s">
        <v>4</v>
      </c>
      <c r="C4891">
        <v>3</v>
      </c>
      <c r="D4891" t="s">
        <v>5</v>
      </c>
      <c r="F4891" t="str" cm="1">
        <f t="array" ref="F4891">CategorizeComment(E4891)</f>
        <v>Other</v>
      </c>
      <c r="G4891" t="str" cm="1">
        <f t="array" ref="G4891">SubCategorizeComment(E4891)</f>
        <v>Other</v>
      </c>
    </row>
    <row r="4892" spans="1:7" x14ac:dyDescent="0.25">
      <c r="A4892">
        <v>40263</v>
      </c>
      <c r="B4892" t="s">
        <v>4</v>
      </c>
      <c r="C4892">
        <v>4</v>
      </c>
      <c r="D4892" t="s">
        <v>5</v>
      </c>
      <c r="F4892" t="str" cm="1">
        <f t="array" ref="F4892">CategorizeComment(E4892)</f>
        <v>Other</v>
      </c>
      <c r="G4892" t="str" cm="1">
        <f t="array" ref="G4892">SubCategorizeComment(E4892)</f>
        <v>Other</v>
      </c>
    </row>
    <row r="4893" spans="1:7" x14ac:dyDescent="0.25">
      <c r="A4893">
        <v>40278</v>
      </c>
      <c r="B4893" t="s">
        <v>4</v>
      </c>
      <c r="C4893">
        <v>3</v>
      </c>
      <c r="D4893" t="s">
        <v>5</v>
      </c>
      <c r="F4893" t="str" cm="1">
        <f t="array" ref="F4893">CategorizeComment(E4893)</f>
        <v>Other</v>
      </c>
      <c r="G4893" t="str" cm="1">
        <f t="array" ref="G4893">SubCategorizeComment(E4893)</f>
        <v>Other</v>
      </c>
    </row>
    <row r="4894" spans="1:7" x14ac:dyDescent="0.25">
      <c r="A4894">
        <v>40304</v>
      </c>
      <c r="B4894" t="s">
        <v>4</v>
      </c>
      <c r="C4894">
        <v>3</v>
      </c>
      <c r="D4894" t="s">
        <v>5</v>
      </c>
      <c r="F4894" t="str" cm="1">
        <f t="array" ref="F4894">CategorizeComment(E4894)</f>
        <v>Other</v>
      </c>
      <c r="G4894" t="str" cm="1">
        <f t="array" ref="G4894">SubCategorizeComment(E4894)</f>
        <v>Other</v>
      </c>
    </row>
    <row r="4895" spans="1:7" x14ac:dyDescent="0.25">
      <c r="A4895">
        <v>40306</v>
      </c>
      <c r="B4895" t="s">
        <v>4</v>
      </c>
      <c r="C4895">
        <v>4</v>
      </c>
      <c r="D4895" t="s">
        <v>5</v>
      </c>
      <c r="F4895" t="str" cm="1">
        <f t="array" ref="F4895">CategorizeComment(E4895)</f>
        <v>Other</v>
      </c>
      <c r="G4895" t="str" cm="1">
        <f t="array" ref="G4895">SubCategorizeComment(E4895)</f>
        <v>Other</v>
      </c>
    </row>
    <row r="4896" spans="1:7" x14ac:dyDescent="0.25">
      <c r="A4896">
        <v>40307</v>
      </c>
      <c r="B4896" t="s">
        <v>4</v>
      </c>
      <c r="C4896">
        <v>3</v>
      </c>
      <c r="D4896" t="s">
        <v>5</v>
      </c>
      <c r="F4896" t="str" cm="1">
        <f t="array" ref="F4896">CategorizeComment(E4896)</f>
        <v>Other</v>
      </c>
      <c r="G4896" t="str" cm="1">
        <f t="array" ref="G4896">SubCategorizeComment(E4896)</f>
        <v>Other</v>
      </c>
    </row>
    <row r="4897" spans="1:7" x14ac:dyDescent="0.25">
      <c r="A4897">
        <v>40332</v>
      </c>
      <c r="B4897" t="s">
        <v>4</v>
      </c>
      <c r="C4897">
        <v>3</v>
      </c>
      <c r="D4897" t="s">
        <v>5</v>
      </c>
      <c r="F4897" t="str" cm="1">
        <f t="array" ref="F4897">CategorizeComment(E4897)</f>
        <v>Other</v>
      </c>
      <c r="G4897" t="str" cm="1">
        <f t="array" ref="G4897">SubCategorizeComment(E4897)</f>
        <v>Other</v>
      </c>
    </row>
    <row r="4898" spans="1:7" x14ac:dyDescent="0.25">
      <c r="A4898">
        <v>40344</v>
      </c>
      <c r="B4898" t="s">
        <v>4</v>
      </c>
      <c r="C4898">
        <v>3</v>
      </c>
      <c r="D4898" t="s">
        <v>5</v>
      </c>
      <c r="F4898" t="str" cm="1">
        <f t="array" ref="F4898">CategorizeComment(E4898)</f>
        <v>Other</v>
      </c>
      <c r="G4898" t="str" cm="1">
        <f t="array" ref="G4898">SubCategorizeComment(E4898)</f>
        <v>Other</v>
      </c>
    </row>
    <row r="4899" spans="1:7" x14ac:dyDescent="0.25">
      <c r="A4899">
        <v>40366</v>
      </c>
      <c r="B4899" t="s">
        <v>4</v>
      </c>
      <c r="C4899">
        <v>4</v>
      </c>
      <c r="D4899" t="s">
        <v>5</v>
      </c>
      <c r="F4899" t="str" cm="1">
        <f t="array" ref="F4899">CategorizeComment(E4899)</f>
        <v>Other</v>
      </c>
      <c r="G4899" t="str" cm="1">
        <f t="array" ref="G4899">SubCategorizeComment(E4899)</f>
        <v>Other</v>
      </c>
    </row>
    <row r="4900" spans="1:7" x14ac:dyDescent="0.25">
      <c r="A4900">
        <v>40367</v>
      </c>
      <c r="B4900" t="s">
        <v>4</v>
      </c>
      <c r="C4900">
        <v>3</v>
      </c>
      <c r="D4900" t="s">
        <v>5</v>
      </c>
      <c r="F4900" t="str" cm="1">
        <f t="array" ref="F4900">CategorizeComment(E4900)</f>
        <v>Other</v>
      </c>
      <c r="G4900" t="str" cm="1">
        <f t="array" ref="G4900">SubCategorizeComment(E4900)</f>
        <v>Other</v>
      </c>
    </row>
    <row r="4901" spans="1:7" x14ac:dyDescent="0.25">
      <c r="A4901">
        <v>40376</v>
      </c>
      <c r="B4901" t="s">
        <v>4</v>
      </c>
      <c r="C4901">
        <v>4</v>
      </c>
      <c r="D4901" t="s">
        <v>5</v>
      </c>
      <c r="F4901" t="str" cm="1">
        <f t="array" ref="F4901">CategorizeComment(E4901)</f>
        <v>Other</v>
      </c>
      <c r="G4901" t="str" cm="1">
        <f t="array" ref="G4901">SubCategorizeComment(E4901)</f>
        <v>Other</v>
      </c>
    </row>
    <row r="4902" spans="1:7" x14ac:dyDescent="0.25">
      <c r="A4902">
        <v>40380</v>
      </c>
      <c r="B4902" t="s">
        <v>4</v>
      </c>
      <c r="C4902">
        <v>3</v>
      </c>
      <c r="D4902" t="s">
        <v>5</v>
      </c>
      <c r="F4902" t="str" cm="1">
        <f t="array" ref="F4902">CategorizeComment(E4902)</f>
        <v>Other</v>
      </c>
      <c r="G4902" t="str" cm="1">
        <f t="array" ref="G4902">SubCategorizeComment(E4902)</f>
        <v>Other</v>
      </c>
    </row>
    <row r="4903" spans="1:7" x14ac:dyDescent="0.25">
      <c r="A4903">
        <v>40383</v>
      </c>
      <c r="B4903" t="s">
        <v>4</v>
      </c>
      <c r="C4903">
        <v>3</v>
      </c>
      <c r="D4903" t="s">
        <v>5</v>
      </c>
      <c r="F4903" t="str" cm="1">
        <f t="array" ref="F4903">CategorizeComment(E4903)</f>
        <v>Other</v>
      </c>
      <c r="G4903" t="str" cm="1">
        <f t="array" ref="G4903">SubCategorizeComment(E4903)</f>
        <v>Other</v>
      </c>
    </row>
    <row r="4904" spans="1:7" x14ac:dyDescent="0.25">
      <c r="A4904">
        <v>40384</v>
      </c>
      <c r="B4904" t="s">
        <v>4</v>
      </c>
      <c r="C4904">
        <v>3</v>
      </c>
      <c r="D4904" t="s">
        <v>5</v>
      </c>
      <c r="F4904" t="str" cm="1">
        <f t="array" ref="F4904">CategorizeComment(E4904)</f>
        <v>Other</v>
      </c>
      <c r="G4904" t="str" cm="1">
        <f t="array" ref="G4904">SubCategorizeComment(E4904)</f>
        <v>Other</v>
      </c>
    </row>
    <row r="4905" spans="1:7" x14ac:dyDescent="0.25">
      <c r="A4905">
        <v>40422</v>
      </c>
      <c r="B4905" t="s">
        <v>4</v>
      </c>
      <c r="C4905">
        <v>3</v>
      </c>
      <c r="D4905" t="s">
        <v>5</v>
      </c>
      <c r="F4905" t="str" cm="1">
        <f t="array" ref="F4905">CategorizeComment(E4905)</f>
        <v>Other</v>
      </c>
      <c r="G4905" t="str" cm="1">
        <f t="array" ref="G4905">SubCategorizeComment(E4905)</f>
        <v>Other</v>
      </c>
    </row>
    <row r="4906" spans="1:7" x14ac:dyDescent="0.25">
      <c r="A4906">
        <v>40456</v>
      </c>
      <c r="B4906" t="s">
        <v>4</v>
      </c>
      <c r="C4906">
        <v>3</v>
      </c>
      <c r="D4906" t="s">
        <v>5</v>
      </c>
      <c r="F4906" t="str" cm="1">
        <f t="array" ref="F4906">CategorizeComment(E4906)</f>
        <v>Other</v>
      </c>
      <c r="G4906" t="str" cm="1">
        <f t="array" ref="G4906">SubCategorizeComment(E4906)</f>
        <v>Other</v>
      </c>
    </row>
    <row r="4907" spans="1:7" x14ac:dyDescent="0.25">
      <c r="A4907">
        <v>40460</v>
      </c>
      <c r="B4907" t="s">
        <v>4</v>
      </c>
      <c r="C4907">
        <v>4</v>
      </c>
      <c r="D4907" t="s">
        <v>5</v>
      </c>
      <c r="F4907" t="str" cm="1">
        <f t="array" ref="F4907">CategorizeComment(E4907)</f>
        <v>Other</v>
      </c>
      <c r="G4907" t="str" cm="1">
        <f t="array" ref="G4907">SubCategorizeComment(E4907)</f>
        <v>Other</v>
      </c>
    </row>
    <row r="4908" spans="1:7" x14ac:dyDescent="0.25">
      <c r="A4908">
        <v>40461</v>
      </c>
      <c r="B4908" t="s">
        <v>4</v>
      </c>
      <c r="C4908">
        <v>4</v>
      </c>
      <c r="D4908" t="s">
        <v>5</v>
      </c>
      <c r="F4908" t="str" cm="1">
        <f t="array" ref="F4908">CategorizeComment(E4908)</f>
        <v>Other</v>
      </c>
      <c r="G4908" t="str" cm="1">
        <f t="array" ref="G4908">SubCategorizeComment(E4908)</f>
        <v>Other</v>
      </c>
    </row>
    <row r="4909" spans="1:7" x14ac:dyDescent="0.25">
      <c r="A4909">
        <v>40462</v>
      </c>
      <c r="B4909" t="s">
        <v>4</v>
      </c>
      <c r="C4909">
        <v>4</v>
      </c>
      <c r="D4909" t="s">
        <v>5</v>
      </c>
      <c r="F4909" t="str" cm="1">
        <f t="array" ref="F4909">CategorizeComment(E4909)</f>
        <v>Other</v>
      </c>
      <c r="G4909" t="str" cm="1">
        <f t="array" ref="G4909">SubCategorizeComment(E4909)</f>
        <v>Other</v>
      </c>
    </row>
    <row r="4910" spans="1:7" x14ac:dyDescent="0.25">
      <c r="A4910">
        <v>40472</v>
      </c>
      <c r="B4910" t="s">
        <v>4</v>
      </c>
      <c r="C4910">
        <v>3</v>
      </c>
      <c r="D4910" t="s">
        <v>5</v>
      </c>
      <c r="F4910" t="str" cm="1">
        <f t="array" ref="F4910">CategorizeComment(E4910)</f>
        <v>Other</v>
      </c>
      <c r="G4910" t="str" cm="1">
        <f t="array" ref="G4910">SubCategorizeComment(E4910)</f>
        <v>Other</v>
      </c>
    </row>
    <row r="4911" spans="1:7" x14ac:dyDescent="0.25">
      <c r="A4911">
        <v>40473</v>
      </c>
      <c r="B4911" t="s">
        <v>4</v>
      </c>
      <c r="C4911">
        <v>4</v>
      </c>
      <c r="D4911" t="s">
        <v>5</v>
      </c>
      <c r="F4911" t="str" cm="1">
        <f t="array" ref="F4911">CategorizeComment(E4911)</f>
        <v>Other</v>
      </c>
      <c r="G4911" t="str" cm="1">
        <f t="array" ref="G4911">SubCategorizeComment(E4911)</f>
        <v>Other</v>
      </c>
    </row>
    <row r="4912" spans="1:7" x14ac:dyDescent="0.25">
      <c r="A4912">
        <v>40477</v>
      </c>
      <c r="B4912" t="s">
        <v>4</v>
      </c>
      <c r="C4912">
        <v>3</v>
      </c>
      <c r="D4912" t="s">
        <v>5</v>
      </c>
      <c r="F4912" t="str" cm="1">
        <f t="array" ref="F4912">CategorizeComment(E4912)</f>
        <v>Other</v>
      </c>
      <c r="G4912" t="str" cm="1">
        <f t="array" ref="G4912">SubCategorizeComment(E4912)</f>
        <v>Other</v>
      </c>
    </row>
    <row r="4913" spans="1:7" x14ac:dyDescent="0.25">
      <c r="A4913">
        <v>40489</v>
      </c>
      <c r="B4913" t="s">
        <v>4</v>
      </c>
      <c r="C4913">
        <v>3</v>
      </c>
      <c r="D4913" t="s">
        <v>5</v>
      </c>
      <c r="F4913" t="str" cm="1">
        <f t="array" ref="F4913">CategorizeComment(E4913)</f>
        <v>Other</v>
      </c>
      <c r="G4913" t="str" cm="1">
        <f t="array" ref="G4913">SubCategorizeComment(E4913)</f>
        <v>Other</v>
      </c>
    </row>
    <row r="4914" spans="1:7" x14ac:dyDescent="0.25">
      <c r="A4914">
        <v>40507</v>
      </c>
      <c r="B4914" t="s">
        <v>4</v>
      </c>
      <c r="C4914">
        <v>4</v>
      </c>
      <c r="D4914" t="s">
        <v>5</v>
      </c>
      <c r="F4914" t="str" cm="1">
        <f t="array" ref="F4914">CategorizeComment(E4914)</f>
        <v>Other</v>
      </c>
      <c r="G4914" t="str" cm="1">
        <f t="array" ref="G4914">SubCategorizeComment(E4914)</f>
        <v>Other</v>
      </c>
    </row>
    <row r="4915" spans="1:7" x14ac:dyDescent="0.25">
      <c r="A4915">
        <v>40546</v>
      </c>
      <c r="B4915" t="s">
        <v>4</v>
      </c>
      <c r="C4915">
        <v>3</v>
      </c>
      <c r="D4915" t="s">
        <v>5</v>
      </c>
      <c r="F4915" t="str" cm="1">
        <f t="array" ref="F4915">CategorizeComment(E4915)</f>
        <v>Other</v>
      </c>
      <c r="G4915" t="str" cm="1">
        <f t="array" ref="G4915">SubCategorizeComment(E4915)</f>
        <v>Other</v>
      </c>
    </row>
    <row r="4916" spans="1:7" x14ac:dyDescent="0.25">
      <c r="A4916">
        <v>40573</v>
      </c>
      <c r="B4916" t="s">
        <v>4</v>
      </c>
      <c r="C4916">
        <v>3</v>
      </c>
      <c r="D4916" t="s">
        <v>5</v>
      </c>
      <c r="F4916" t="str" cm="1">
        <f t="array" ref="F4916">CategorizeComment(E4916)</f>
        <v>Other</v>
      </c>
      <c r="G4916" t="str" cm="1">
        <f t="array" ref="G4916">SubCategorizeComment(E4916)</f>
        <v>Other</v>
      </c>
    </row>
    <row r="4917" spans="1:7" x14ac:dyDescent="0.25">
      <c r="A4917">
        <v>40574</v>
      </c>
      <c r="B4917" t="s">
        <v>4</v>
      </c>
      <c r="C4917">
        <v>3</v>
      </c>
      <c r="D4917" t="s">
        <v>5</v>
      </c>
      <c r="F4917" t="str" cm="1">
        <f t="array" ref="F4917">CategorizeComment(E4917)</f>
        <v>Other</v>
      </c>
      <c r="G4917" t="str" cm="1">
        <f t="array" ref="G4917">SubCategorizeComment(E4917)</f>
        <v>Other</v>
      </c>
    </row>
    <row r="4918" spans="1:7" x14ac:dyDescent="0.25">
      <c r="A4918">
        <v>40577</v>
      </c>
      <c r="B4918" t="s">
        <v>4</v>
      </c>
      <c r="C4918">
        <v>4</v>
      </c>
      <c r="D4918" t="s">
        <v>5</v>
      </c>
      <c r="F4918" t="str" cm="1">
        <f t="array" ref="F4918">CategorizeComment(E4918)</f>
        <v>Other</v>
      </c>
      <c r="G4918" t="str" cm="1">
        <f t="array" ref="G4918">SubCategorizeComment(E4918)</f>
        <v>Other</v>
      </c>
    </row>
    <row r="4919" spans="1:7" x14ac:dyDescent="0.25">
      <c r="A4919">
        <v>40584</v>
      </c>
      <c r="B4919" t="s">
        <v>4</v>
      </c>
      <c r="C4919">
        <v>3</v>
      </c>
      <c r="D4919" t="s">
        <v>5</v>
      </c>
      <c r="F4919" t="str" cm="1">
        <f t="array" ref="F4919">CategorizeComment(E4919)</f>
        <v>Other</v>
      </c>
      <c r="G4919" t="str" cm="1">
        <f t="array" ref="G4919">SubCategorizeComment(E4919)</f>
        <v>Other</v>
      </c>
    </row>
    <row r="4920" spans="1:7" x14ac:dyDescent="0.25">
      <c r="A4920">
        <v>40587</v>
      </c>
      <c r="B4920" t="s">
        <v>4</v>
      </c>
      <c r="C4920">
        <v>4</v>
      </c>
      <c r="D4920" t="s">
        <v>5</v>
      </c>
      <c r="F4920" t="str" cm="1">
        <f t="array" ref="F4920">CategorizeComment(E4920)</f>
        <v>Other</v>
      </c>
      <c r="G4920" t="str" cm="1">
        <f t="array" ref="G4920">SubCategorizeComment(E4920)</f>
        <v>Other</v>
      </c>
    </row>
    <row r="4921" spans="1:7" x14ac:dyDescent="0.25">
      <c r="A4921">
        <v>40591</v>
      </c>
      <c r="B4921" t="s">
        <v>4</v>
      </c>
      <c r="C4921">
        <v>3</v>
      </c>
      <c r="D4921" t="s">
        <v>5</v>
      </c>
      <c r="F4921" t="str" cm="1">
        <f t="array" ref="F4921">CategorizeComment(E4921)</f>
        <v>Other</v>
      </c>
      <c r="G4921" t="str" cm="1">
        <f t="array" ref="G4921">SubCategorizeComment(E4921)</f>
        <v>Other</v>
      </c>
    </row>
    <row r="4922" spans="1:7" x14ac:dyDescent="0.25">
      <c r="A4922">
        <v>40597</v>
      </c>
      <c r="B4922" t="s">
        <v>4</v>
      </c>
      <c r="C4922">
        <v>3</v>
      </c>
      <c r="D4922" t="s">
        <v>5</v>
      </c>
      <c r="F4922" t="str" cm="1">
        <f t="array" ref="F4922">CategorizeComment(E4922)</f>
        <v>Other</v>
      </c>
      <c r="G4922" t="str" cm="1">
        <f t="array" ref="G4922">SubCategorizeComment(E4922)</f>
        <v>Other</v>
      </c>
    </row>
    <row r="4923" spans="1:7" x14ac:dyDescent="0.25">
      <c r="A4923">
        <v>40603</v>
      </c>
      <c r="B4923" t="s">
        <v>4</v>
      </c>
      <c r="C4923">
        <v>3</v>
      </c>
      <c r="D4923" t="s">
        <v>5</v>
      </c>
      <c r="F4923" t="str" cm="1">
        <f t="array" ref="F4923">CategorizeComment(E4923)</f>
        <v>Other</v>
      </c>
      <c r="G4923" t="str" cm="1">
        <f t="array" ref="G4923">SubCategorizeComment(E4923)</f>
        <v>Other</v>
      </c>
    </row>
    <row r="4924" spans="1:7" x14ac:dyDescent="0.25">
      <c r="A4924">
        <v>40636</v>
      </c>
      <c r="B4924" t="s">
        <v>4</v>
      </c>
      <c r="C4924">
        <v>3</v>
      </c>
      <c r="D4924" t="s">
        <v>5</v>
      </c>
      <c r="F4924" t="str" cm="1">
        <f t="array" ref="F4924">CategorizeComment(E4924)</f>
        <v>Other</v>
      </c>
      <c r="G4924" t="str" cm="1">
        <f t="array" ref="G4924">SubCategorizeComment(E4924)</f>
        <v>Other</v>
      </c>
    </row>
    <row r="4925" spans="1:7" x14ac:dyDescent="0.25">
      <c r="A4925">
        <v>40638</v>
      </c>
      <c r="B4925" t="s">
        <v>4</v>
      </c>
      <c r="C4925">
        <v>3</v>
      </c>
      <c r="D4925" t="s">
        <v>5</v>
      </c>
      <c r="F4925" t="str" cm="1">
        <f t="array" ref="F4925">CategorizeComment(E4925)</f>
        <v>Other</v>
      </c>
      <c r="G4925" t="str" cm="1">
        <f t="array" ref="G4925">SubCategorizeComment(E4925)</f>
        <v>Other</v>
      </c>
    </row>
    <row r="4926" spans="1:7" x14ac:dyDescent="0.25">
      <c r="A4926">
        <v>40665</v>
      </c>
      <c r="B4926" t="s">
        <v>4</v>
      </c>
      <c r="C4926">
        <v>3</v>
      </c>
      <c r="D4926" t="s">
        <v>5</v>
      </c>
      <c r="F4926" t="str" cm="1">
        <f t="array" ref="F4926">CategorizeComment(E4926)</f>
        <v>Other</v>
      </c>
      <c r="G4926" t="str" cm="1">
        <f t="array" ref="G4926">SubCategorizeComment(E4926)</f>
        <v>Other</v>
      </c>
    </row>
    <row r="4927" spans="1:7" x14ac:dyDescent="0.25">
      <c r="A4927">
        <v>40672</v>
      </c>
      <c r="B4927" t="s">
        <v>4</v>
      </c>
      <c r="C4927">
        <v>4</v>
      </c>
      <c r="D4927" t="s">
        <v>5</v>
      </c>
      <c r="F4927" t="str" cm="1">
        <f t="array" ref="F4927">CategorizeComment(E4927)</f>
        <v>Other</v>
      </c>
      <c r="G4927" t="str" cm="1">
        <f t="array" ref="G4927">SubCategorizeComment(E4927)</f>
        <v>Other</v>
      </c>
    </row>
    <row r="4928" spans="1:7" x14ac:dyDescent="0.25">
      <c r="A4928">
        <v>40710</v>
      </c>
      <c r="B4928" t="s">
        <v>4</v>
      </c>
      <c r="C4928">
        <v>4</v>
      </c>
      <c r="D4928" t="s">
        <v>5</v>
      </c>
      <c r="F4928" t="str" cm="1">
        <f t="array" ref="F4928">CategorizeComment(E4928)</f>
        <v>Other</v>
      </c>
      <c r="G4928" t="str" cm="1">
        <f t="array" ref="G4928">SubCategorizeComment(E4928)</f>
        <v>Other</v>
      </c>
    </row>
    <row r="4929" spans="1:7" x14ac:dyDescent="0.25">
      <c r="A4929">
        <v>40715</v>
      </c>
      <c r="B4929" t="s">
        <v>4</v>
      </c>
      <c r="C4929">
        <v>3</v>
      </c>
      <c r="D4929" t="s">
        <v>5</v>
      </c>
      <c r="F4929" t="str" cm="1">
        <f t="array" ref="F4929">CategorizeComment(E4929)</f>
        <v>Other</v>
      </c>
      <c r="G4929" t="str" cm="1">
        <f t="array" ref="G4929">SubCategorizeComment(E4929)</f>
        <v>Other</v>
      </c>
    </row>
    <row r="4930" spans="1:7" x14ac:dyDescent="0.25">
      <c r="A4930">
        <v>40723</v>
      </c>
      <c r="B4930" t="s">
        <v>4</v>
      </c>
      <c r="C4930">
        <v>4</v>
      </c>
      <c r="D4930" t="s">
        <v>5</v>
      </c>
      <c r="F4930" t="str" cm="1">
        <f t="array" ref="F4930">CategorizeComment(E4930)</f>
        <v>Other</v>
      </c>
      <c r="G4930" t="str" cm="1">
        <f t="array" ref="G4930">SubCategorizeComment(E4930)</f>
        <v>Other</v>
      </c>
    </row>
    <row r="4931" spans="1:7" x14ac:dyDescent="0.25">
      <c r="A4931">
        <v>40734</v>
      </c>
      <c r="B4931" t="s">
        <v>4</v>
      </c>
      <c r="C4931">
        <v>3</v>
      </c>
      <c r="D4931" t="s">
        <v>5</v>
      </c>
      <c r="F4931" t="str" cm="1">
        <f t="array" ref="F4931">CategorizeComment(E4931)</f>
        <v>Other</v>
      </c>
      <c r="G4931" t="str" cm="1">
        <f t="array" ref="G4931">SubCategorizeComment(E4931)</f>
        <v>Other</v>
      </c>
    </row>
    <row r="4932" spans="1:7" x14ac:dyDescent="0.25">
      <c r="A4932">
        <v>40740</v>
      </c>
      <c r="B4932" t="s">
        <v>4</v>
      </c>
      <c r="C4932">
        <v>2</v>
      </c>
      <c r="D4932" t="s">
        <v>5</v>
      </c>
      <c r="F4932" t="str" cm="1">
        <f t="array" ref="F4932">CategorizeComment(E4932)</f>
        <v>Other</v>
      </c>
      <c r="G4932" t="str" cm="1">
        <f t="array" ref="G4932">SubCategorizeComment(E4932)</f>
        <v>Other</v>
      </c>
    </row>
    <row r="4933" spans="1:7" x14ac:dyDescent="0.25">
      <c r="A4933">
        <v>40761</v>
      </c>
      <c r="B4933" t="s">
        <v>4</v>
      </c>
      <c r="C4933">
        <v>3</v>
      </c>
      <c r="D4933" t="s">
        <v>5</v>
      </c>
      <c r="F4933" t="str" cm="1">
        <f t="array" ref="F4933">CategorizeComment(E4933)</f>
        <v>Other</v>
      </c>
      <c r="G4933" t="str" cm="1">
        <f t="array" ref="G4933">SubCategorizeComment(E4933)</f>
        <v>Other</v>
      </c>
    </row>
    <row r="4934" spans="1:7" x14ac:dyDescent="0.25">
      <c r="A4934">
        <v>40766</v>
      </c>
      <c r="B4934" t="s">
        <v>4</v>
      </c>
      <c r="C4934">
        <v>3</v>
      </c>
      <c r="D4934" t="s">
        <v>5</v>
      </c>
      <c r="F4934" t="str" cm="1">
        <f t="array" ref="F4934">CategorizeComment(E4934)</f>
        <v>Other</v>
      </c>
      <c r="G4934" t="str" cm="1">
        <f t="array" ref="G4934">SubCategorizeComment(E4934)</f>
        <v>Other</v>
      </c>
    </row>
    <row r="4935" spans="1:7" x14ac:dyDescent="0.25">
      <c r="A4935">
        <v>40782</v>
      </c>
      <c r="B4935" t="s">
        <v>4</v>
      </c>
      <c r="C4935">
        <v>3</v>
      </c>
      <c r="D4935" t="s">
        <v>5</v>
      </c>
      <c r="F4935" t="str" cm="1">
        <f t="array" ref="F4935">CategorizeComment(E4935)</f>
        <v>Other</v>
      </c>
      <c r="G4935" t="str" cm="1">
        <f t="array" ref="G4935">SubCategorizeComment(E4935)</f>
        <v>Other</v>
      </c>
    </row>
    <row r="4936" spans="1:7" x14ac:dyDescent="0.25">
      <c r="A4936">
        <v>40791</v>
      </c>
      <c r="B4936" t="s">
        <v>4</v>
      </c>
      <c r="C4936">
        <v>3</v>
      </c>
      <c r="D4936" t="s">
        <v>5</v>
      </c>
      <c r="F4936" t="str" cm="1">
        <f t="array" ref="F4936">CategorizeComment(E4936)</f>
        <v>Other</v>
      </c>
      <c r="G4936" t="str" cm="1">
        <f t="array" ref="G4936">SubCategorizeComment(E4936)</f>
        <v>Other</v>
      </c>
    </row>
    <row r="4937" spans="1:7" x14ac:dyDescent="0.25">
      <c r="A4937">
        <v>40793</v>
      </c>
      <c r="B4937" t="s">
        <v>4</v>
      </c>
      <c r="C4937">
        <v>3</v>
      </c>
      <c r="D4937" t="s">
        <v>5</v>
      </c>
      <c r="F4937" t="str" cm="1">
        <f t="array" ref="F4937">CategorizeComment(E4937)</f>
        <v>Other</v>
      </c>
      <c r="G4937" t="str" cm="1">
        <f t="array" ref="G4937">SubCategorizeComment(E4937)</f>
        <v>Other</v>
      </c>
    </row>
    <row r="4938" spans="1:7" x14ac:dyDescent="0.25">
      <c r="A4938">
        <v>40806</v>
      </c>
      <c r="B4938" t="s">
        <v>4</v>
      </c>
      <c r="C4938">
        <v>2</v>
      </c>
      <c r="D4938" t="s">
        <v>5</v>
      </c>
      <c r="F4938" t="str" cm="1">
        <f t="array" ref="F4938">CategorizeComment(E4938)</f>
        <v>Other</v>
      </c>
      <c r="G4938" t="str" cm="1">
        <f t="array" ref="G4938">SubCategorizeComment(E4938)</f>
        <v>Other</v>
      </c>
    </row>
    <row r="4939" spans="1:7" x14ac:dyDescent="0.25">
      <c r="A4939">
        <v>40809</v>
      </c>
      <c r="B4939" t="s">
        <v>4</v>
      </c>
      <c r="C4939">
        <v>4</v>
      </c>
      <c r="D4939" t="s">
        <v>5</v>
      </c>
      <c r="F4939" t="str" cm="1">
        <f t="array" ref="F4939">CategorizeComment(E4939)</f>
        <v>Other</v>
      </c>
      <c r="G4939" t="str" cm="1">
        <f t="array" ref="G4939">SubCategorizeComment(E4939)</f>
        <v>Other</v>
      </c>
    </row>
    <row r="4940" spans="1:7" x14ac:dyDescent="0.25">
      <c r="A4940">
        <v>40814</v>
      </c>
      <c r="B4940" t="s">
        <v>4</v>
      </c>
      <c r="C4940">
        <v>4</v>
      </c>
      <c r="D4940" t="s">
        <v>5</v>
      </c>
      <c r="F4940" t="str" cm="1">
        <f t="array" ref="F4940">CategorizeComment(E4940)</f>
        <v>Other</v>
      </c>
      <c r="G4940" t="str" cm="1">
        <f t="array" ref="G4940">SubCategorizeComment(E4940)</f>
        <v>Other</v>
      </c>
    </row>
    <row r="4941" spans="1:7" x14ac:dyDescent="0.25">
      <c r="A4941">
        <v>40815</v>
      </c>
      <c r="B4941" t="s">
        <v>4</v>
      </c>
      <c r="C4941">
        <v>4</v>
      </c>
      <c r="D4941" t="s">
        <v>5</v>
      </c>
      <c r="F4941" t="str" cm="1">
        <f t="array" ref="F4941">CategorizeComment(E4941)</f>
        <v>Other</v>
      </c>
      <c r="G4941" t="str" cm="1">
        <f t="array" ref="G4941">SubCategorizeComment(E4941)</f>
        <v>Other</v>
      </c>
    </row>
    <row r="4942" spans="1:7" x14ac:dyDescent="0.25">
      <c r="A4942">
        <v>40825</v>
      </c>
      <c r="B4942" t="s">
        <v>4</v>
      </c>
      <c r="C4942">
        <v>4</v>
      </c>
      <c r="D4942" t="s">
        <v>5</v>
      </c>
      <c r="F4942" t="str" cm="1">
        <f t="array" ref="F4942">CategorizeComment(E4942)</f>
        <v>Other</v>
      </c>
      <c r="G4942" t="str" cm="1">
        <f t="array" ref="G4942">SubCategorizeComment(E4942)</f>
        <v>Other</v>
      </c>
    </row>
    <row r="4943" spans="1:7" x14ac:dyDescent="0.25">
      <c r="A4943">
        <v>40842</v>
      </c>
      <c r="B4943" t="s">
        <v>4</v>
      </c>
      <c r="C4943">
        <v>4</v>
      </c>
      <c r="D4943" t="s">
        <v>5</v>
      </c>
      <c r="F4943" t="str" cm="1">
        <f t="array" ref="F4943">CategorizeComment(E4943)</f>
        <v>Other</v>
      </c>
      <c r="G4943" t="str" cm="1">
        <f t="array" ref="G4943">SubCategorizeComment(E4943)</f>
        <v>Other</v>
      </c>
    </row>
    <row r="4944" spans="1:7" x14ac:dyDescent="0.25">
      <c r="A4944">
        <v>40844</v>
      </c>
      <c r="B4944" t="s">
        <v>4</v>
      </c>
      <c r="C4944">
        <v>3</v>
      </c>
      <c r="D4944" t="s">
        <v>5</v>
      </c>
      <c r="F4944" t="str" cm="1">
        <f t="array" ref="F4944">CategorizeComment(E4944)</f>
        <v>Other</v>
      </c>
      <c r="G4944" t="str" cm="1">
        <f t="array" ref="G4944">SubCategorizeComment(E4944)</f>
        <v>Other</v>
      </c>
    </row>
    <row r="4945" spans="1:7" x14ac:dyDescent="0.25">
      <c r="A4945">
        <v>40845</v>
      </c>
      <c r="B4945" t="s">
        <v>4</v>
      </c>
      <c r="C4945">
        <v>4</v>
      </c>
      <c r="D4945" t="s">
        <v>5</v>
      </c>
      <c r="F4945" t="str" cm="1">
        <f t="array" ref="F4945">CategorizeComment(E4945)</f>
        <v>Other</v>
      </c>
      <c r="G4945" t="str" cm="1">
        <f t="array" ref="G4945">SubCategorizeComment(E4945)</f>
        <v>Other</v>
      </c>
    </row>
    <row r="4946" spans="1:7" x14ac:dyDescent="0.25">
      <c r="A4946">
        <v>40861</v>
      </c>
      <c r="B4946" t="s">
        <v>4</v>
      </c>
      <c r="C4946">
        <v>4</v>
      </c>
      <c r="D4946" t="s">
        <v>5</v>
      </c>
      <c r="F4946" t="str" cm="1">
        <f t="array" ref="F4946">CategorizeComment(E4946)</f>
        <v>Other</v>
      </c>
      <c r="G4946" t="str" cm="1">
        <f t="array" ref="G4946">SubCategorizeComment(E4946)</f>
        <v>Other</v>
      </c>
    </row>
    <row r="4947" spans="1:7" x14ac:dyDescent="0.25">
      <c r="A4947">
        <v>40880</v>
      </c>
      <c r="B4947" t="s">
        <v>4</v>
      </c>
      <c r="C4947">
        <v>4</v>
      </c>
      <c r="D4947" t="s">
        <v>5</v>
      </c>
      <c r="F4947" t="str" cm="1">
        <f t="array" ref="F4947">CategorizeComment(E4947)</f>
        <v>Other</v>
      </c>
      <c r="G4947" t="str" cm="1">
        <f t="array" ref="G4947">SubCategorizeComment(E4947)</f>
        <v>Other</v>
      </c>
    </row>
    <row r="4948" spans="1:7" x14ac:dyDescent="0.25">
      <c r="A4948">
        <v>40898</v>
      </c>
      <c r="B4948" t="s">
        <v>4</v>
      </c>
      <c r="C4948">
        <v>4</v>
      </c>
      <c r="D4948" t="s">
        <v>5</v>
      </c>
      <c r="F4948" t="str" cm="1">
        <f t="array" ref="F4948">CategorizeComment(E4948)</f>
        <v>Other</v>
      </c>
      <c r="G4948" t="str" cm="1">
        <f t="array" ref="G4948">SubCategorizeComment(E4948)</f>
        <v>Other</v>
      </c>
    </row>
    <row r="4949" spans="1:7" x14ac:dyDescent="0.25">
      <c r="A4949">
        <v>40937</v>
      </c>
      <c r="B4949" t="s">
        <v>4</v>
      </c>
      <c r="C4949">
        <v>4</v>
      </c>
      <c r="D4949" t="s">
        <v>5</v>
      </c>
      <c r="F4949" t="str" cm="1">
        <f t="array" ref="F4949">CategorizeComment(E4949)</f>
        <v>Other</v>
      </c>
      <c r="G4949" t="str" cm="1">
        <f t="array" ref="G4949">SubCategorizeComment(E4949)</f>
        <v>Other</v>
      </c>
    </row>
    <row r="4950" spans="1:7" x14ac:dyDescent="0.25">
      <c r="A4950">
        <v>40939</v>
      </c>
      <c r="B4950" t="s">
        <v>4</v>
      </c>
      <c r="C4950">
        <v>4</v>
      </c>
      <c r="D4950" t="s">
        <v>5</v>
      </c>
      <c r="F4950" t="str" cm="1">
        <f t="array" ref="F4950">CategorizeComment(E4950)</f>
        <v>Other</v>
      </c>
      <c r="G4950" t="str" cm="1">
        <f t="array" ref="G4950">SubCategorizeComment(E4950)</f>
        <v>Other</v>
      </c>
    </row>
    <row r="4951" spans="1:7" x14ac:dyDescent="0.25">
      <c r="A4951">
        <v>40942</v>
      </c>
      <c r="B4951" t="s">
        <v>4</v>
      </c>
      <c r="C4951">
        <v>4</v>
      </c>
      <c r="D4951" t="s">
        <v>5</v>
      </c>
      <c r="F4951" t="str" cm="1">
        <f t="array" ref="F4951">CategorizeComment(E4951)</f>
        <v>Other</v>
      </c>
      <c r="G4951" t="str" cm="1">
        <f t="array" ref="G4951">SubCategorizeComment(E4951)</f>
        <v>Other</v>
      </c>
    </row>
    <row r="4952" spans="1:7" x14ac:dyDescent="0.25">
      <c r="A4952">
        <v>40963</v>
      </c>
      <c r="B4952" t="s">
        <v>4</v>
      </c>
      <c r="C4952">
        <v>4</v>
      </c>
      <c r="D4952" t="s">
        <v>5</v>
      </c>
      <c r="F4952" t="str" cm="1">
        <f t="array" ref="F4952">CategorizeComment(E4952)</f>
        <v>Other</v>
      </c>
      <c r="G4952" t="str" cm="1">
        <f t="array" ref="G4952">SubCategorizeComment(E4952)</f>
        <v>Other</v>
      </c>
    </row>
    <row r="4953" spans="1:7" x14ac:dyDescent="0.25">
      <c r="A4953">
        <v>40976</v>
      </c>
      <c r="B4953" t="s">
        <v>4</v>
      </c>
      <c r="C4953">
        <v>3</v>
      </c>
      <c r="D4953" t="s">
        <v>5</v>
      </c>
      <c r="F4953" t="str" cm="1">
        <f t="array" ref="F4953">CategorizeComment(E4953)</f>
        <v>Other</v>
      </c>
      <c r="G4953" t="str" cm="1">
        <f t="array" ref="G4953">SubCategorizeComment(E4953)</f>
        <v>Other</v>
      </c>
    </row>
    <row r="4954" spans="1:7" x14ac:dyDescent="0.25">
      <c r="A4954">
        <v>40982</v>
      </c>
      <c r="B4954" t="s">
        <v>4</v>
      </c>
      <c r="C4954">
        <v>3</v>
      </c>
      <c r="D4954" t="s">
        <v>5</v>
      </c>
      <c r="F4954" t="str" cm="1">
        <f t="array" ref="F4954">CategorizeComment(E4954)</f>
        <v>Other</v>
      </c>
      <c r="G4954" t="str" cm="1">
        <f t="array" ref="G4954">SubCategorizeComment(E4954)</f>
        <v>Other</v>
      </c>
    </row>
    <row r="4955" spans="1:7" x14ac:dyDescent="0.25">
      <c r="A4955">
        <v>40990</v>
      </c>
      <c r="B4955" t="s">
        <v>4</v>
      </c>
      <c r="C4955">
        <v>4</v>
      </c>
      <c r="D4955" t="s">
        <v>5</v>
      </c>
      <c r="F4955" t="str" cm="1">
        <f t="array" ref="F4955">CategorizeComment(E4955)</f>
        <v>Other</v>
      </c>
      <c r="G4955" t="str" cm="1">
        <f t="array" ref="G4955">SubCategorizeComment(E4955)</f>
        <v>Other</v>
      </c>
    </row>
    <row r="4956" spans="1:7" x14ac:dyDescent="0.25">
      <c r="A4956">
        <v>41026</v>
      </c>
      <c r="B4956" t="s">
        <v>4</v>
      </c>
      <c r="C4956">
        <v>3</v>
      </c>
      <c r="D4956" t="s">
        <v>5</v>
      </c>
      <c r="F4956" t="str" cm="1">
        <f t="array" ref="F4956">CategorizeComment(E4956)</f>
        <v>Other</v>
      </c>
      <c r="G4956" t="str" cm="1">
        <f t="array" ref="G4956">SubCategorizeComment(E4956)</f>
        <v>Other</v>
      </c>
    </row>
    <row r="4957" spans="1:7" x14ac:dyDescent="0.25">
      <c r="A4957">
        <v>41033</v>
      </c>
      <c r="B4957" t="s">
        <v>4</v>
      </c>
      <c r="C4957">
        <v>4</v>
      </c>
      <c r="D4957" t="s">
        <v>5</v>
      </c>
      <c r="F4957" t="str" cm="1">
        <f t="array" ref="F4957">CategorizeComment(E4957)</f>
        <v>Other</v>
      </c>
      <c r="G4957" t="str" cm="1">
        <f t="array" ref="G4957">SubCategorizeComment(E4957)</f>
        <v>Other</v>
      </c>
    </row>
    <row r="4958" spans="1:7" x14ac:dyDescent="0.25">
      <c r="A4958">
        <v>41046</v>
      </c>
      <c r="B4958" t="s">
        <v>4</v>
      </c>
      <c r="C4958">
        <v>3</v>
      </c>
      <c r="D4958" t="s">
        <v>5</v>
      </c>
      <c r="F4958" t="str" cm="1">
        <f t="array" ref="F4958">CategorizeComment(E4958)</f>
        <v>Other</v>
      </c>
      <c r="G4958" t="str" cm="1">
        <f t="array" ref="G4958">SubCategorizeComment(E4958)</f>
        <v>Other</v>
      </c>
    </row>
    <row r="4959" spans="1:7" x14ac:dyDescent="0.25">
      <c r="A4959">
        <v>41058</v>
      </c>
      <c r="B4959" t="s">
        <v>4</v>
      </c>
      <c r="C4959">
        <v>4</v>
      </c>
      <c r="D4959" t="s">
        <v>5</v>
      </c>
      <c r="F4959" t="str" cm="1">
        <f t="array" ref="F4959">CategorizeComment(E4959)</f>
        <v>Other</v>
      </c>
      <c r="G4959" t="str" cm="1">
        <f t="array" ref="G4959">SubCategorizeComment(E4959)</f>
        <v>Other</v>
      </c>
    </row>
    <row r="4960" spans="1:7" x14ac:dyDescent="0.25">
      <c r="A4960">
        <v>41079</v>
      </c>
      <c r="B4960" t="s">
        <v>4</v>
      </c>
      <c r="C4960">
        <v>4</v>
      </c>
      <c r="D4960" t="s">
        <v>5</v>
      </c>
      <c r="F4960" t="str" cm="1">
        <f t="array" ref="F4960">CategorizeComment(E4960)</f>
        <v>Other</v>
      </c>
      <c r="G4960" t="str" cm="1">
        <f t="array" ref="G4960">SubCategorizeComment(E4960)</f>
        <v>Other</v>
      </c>
    </row>
    <row r="4961" spans="1:7" x14ac:dyDescent="0.25">
      <c r="A4961">
        <v>41097</v>
      </c>
      <c r="B4961" t="s">
        <v>4</v>
      </c>
      <c r="C4961">
        <v>4</v>
      </c>
      <c r="D4961" t="s">
        <v>5</v>
      </c>
      <c r="F4961" t="str" cm="1">
        <f t="array" ref="F4961">CategorizeComment(E4961)</f>
        <v>Other</v>
      </c>
      <c r="G4961" t="str" cm="1">
        <f t="array" ref="G4961">SubCategorizeComment(E4961)</f>
        <v>Other</v>
      </c>
    </row>
    <row r="4962" spans="1:7" x14ac:dyDescent="0.25">
      <c r="A4962">
        <v>41108</v>
      </c>
      <c r="B4962" t="s">
        <v>4</v>
      </c>
      <c r="C4962">
        <v>4</v>
      </c>
      <c r="D4962" t="s">
        <v>5</v>
      </c>
      <c r="F4962" t="str" cm="1">
        <f t="array" ref="F4962">CategorizeComment(E4962)</f>
        <v>Other</v>
      </c>
      <c r="G4962" t="str" cm="1">
        <f t="array" ref="G4962">SubCategorizeComment(E4962)</f>
        <v>Other</v>
      </c>
    </row>
    <row r="4963" spans="1:7" x14ac:dyDescent="0.25">
      <c r="A4963">
        <v>41109</v>
      </c>
      <c r="B4963" t="s">
        <v>4</v>
      </c>
      <c r="C4963">
        <v>3</v>
      </c>
      <c r="D4963" t="s">
        <v>5</v>
      </c>
      <c r="F4963" t="str" cm="1">
        <f t="array" ref="F4963">CategorizeComment(E4963)</f>
        <v>Other</v>
      </c>
      <c r="G4963" t="str" cm="1">
        <f t="array" ref="G4963">SubCategorizeComment(E4963)</f>
        <v>Other</v>
      </c>
    </row>
    <row r="4964" spans="1:7" x14ac:dyDescent="0.25">
      <c r="A4964">
        <v>41110</v>
      </c>
      <c r="B4964" t="s">
        <v>4</v>
      </c>
      <c r="C4964">
        <v>3</v>
      </c>
      <c r="D4964" t="s">
        <v>5</v>
      </c>
      <c r="F4964" t="str" cm="1">
        <f t="array" ref="F4964">CategorizeComment(E4964)</f>
        <v>Other</v>
      </c>
      <c r="G4964" t="str" cm="1">
        <f t="array" ref="G4964">SubCategorizeComment(E4964)</f>
        <v>Other</v>
      </c>
    </row>
    <row r="4965" spans="1:7" x14ac:dyDescent="0.25">
      <c r="A4965">
        <v>41116</v>
      </c>
      <c r="B4965" t="s">
        <v>4</v>
      </c>
      <c r="C4965">
        <v>3</v>
      </c>
      <c r="D4965" t="s">
        <v>5</v>
      </c>
      <c r="F4965" t="str" cm="1">
        <f t="array" ref="F4965">CategorizeComment(E4965)</f>
        <v>Other</v>
      </c>
      <c r="G4965" t="str" cm="1">
        <f t="array" ref="G4965">SubCategorizeComment(E4965)</f>
        <v>Other</v>
      </c>
    </row>
    <row r="4966" spans="1:7" x14ac:dyDescent="0.25">
      <c r="A4966">
        <v>41123</v>
      </c>
      <c r="B4966" t="s">
        <v>4</v>
      </c>
      <c r="C4966">
        <v>3</v>
      </c>
      <c r="D4966" t="s">
        <v>5</v>
      </c>
      <c r="F4966" t="str" cm="1">
        <f t="array" ref="F4966">CategorizeComment(E4966)</f>
        <v>Other</v>
      </c>
      <c r="G4966" t="str" cm="1">
        <f t="array" ref="G4966">SubCategorizeComment(E4966)</f>
        <v>Other</v>
      </c>
    </row>
    <row r="4967" spans="1:7" x14ac:dyDescent="0.25">
      <c r="A4967">
        <v>41150</v>
      </c>
      <c r="B4967" t="s">
        <v>4</v>
      </c>
      <c r="C4967">
        <v>4</v>
      </c>
      <c r="D4967" t="s">
        <v>5</v>
      </c>
      <c r="F4967" t="str" cm="1">
        <f t="array" ref="F4967">CategorizeComment(E4967)</f>
        <v>Other</v>
      </c>
      <c r="G4967" t="str" cm="1">
        <f t="array" ref="G4967">SubCategorizeComment(E4967)</f>
        <v>Other</v>
      </c>
    </row>
    <row r="4968" spans="1:7" x14ac:dyDescent="0.25">
      <c r="A4968">
        <v>41152</v>
      </c>
      <c r="B4968" t="s">
        <v>4</v>
      </c>
      <c r="C4968">
        <v>4</v>
      </c>
      <c r="D4968" t="s">
        <v>5</v>
      </c>
      <c r="F4968" t="str" cm="1">
        <f t="array" ref="F4968">CategorizeComment(E4968)</f>
        <v>Other</v>
      </c>
      <c r="G4968" t="str" cm="1">
        <f t="array" ref="G4968">SubCategorizeComment(E4968)</f>
        <v>Other</v>
      </c>
    </row>
    <row r="4969" spans="1:7" x14ac:dyDescent="0.25">
      <c r="A4969">
        <v>41156</v>
      </c>
      <c r="B4969" t="s">
        <v>4</v>
      </c>
      <c r="C4969">
        <v>4</v>
      </c>
      <c r="D4969" t="s">
        <v>5</v>
      </c>
      <c r="F4969" t="str" cm="1">
        <f t="array" ref="F4969">CategorizeComment(E4969)</f>
        <v>Other</v>
      </c>
      <c r="G4969" t="str" cm="1">
        <f t="array" ref="G4969">SubCategorizeComment(E4969)</f>
        <v>Other</v>
      </c>
    </row>
    <row r="4970" spans="1:7" x14ac:dyDescent="0.25">
      <c r="A4970">
        <v>41157</v>
      </c>
      <c r="B4970" t="s">
        <v>4</v>
      </c>
      <c r="C4970">
        <v>3</v>
      </c>
      <c r="D4970" t="s">
        <v>5</v>
      </c>
      <c r="F4970" t="str" cm="1">
        <f t="array" ref="F4970">CategorizeComment(E4970)</f>
        <v>Other</v>
      </c>
      <c r="G4970" t="str" cm="1">
        <f t="array" ref="G4970">SubCategorizeComment(E4970)</f>
        <v>Other</v>
      </c>
    </row>
    <row r="4971" spans="1:7" x14ac:dyDescent="0.25">
      <c r="A4971">
        <v>41167</v>
      </c>
      <c r="B4971" t="s">
        <v>4</v>
      </c>
      <c r="C4971">
        <v>4</v>
      </c>
      <c r="D4971" t="s">
        <v>5</v>
      </c>
      <c r="F4971" t="str" cm="1">
        <f t="array" ref="F4971">CategorizeComment(E4971)</f>
        <v>Other</v>
      </c>
      <c r="G4971" t="str" cm="1">
        <f t="array" ref="G4971">SubCategorizeComment(E4971)</f>
        <v>Other</v>
      </c>
    </row>
    <row r="4972" spans="1:7" x14ac:dyDescent="0.25">
      <c r="A4972">
        <v>41174</v>
      </c>
      <c r="B4972" t="s">
        <v>4</v>
      </c>
      <c r="C4972">
        <v>4</v>
      </c>
      <c r="D4972" t="s">
        <v>5</v>
      </c>
      <c r="F4972" t="str" cm="1">
        <f t="array" ref="F4972">CategorizeComment(E4972)</f>
        <v>Other</v>
      </c>
      <c r="G4972" t="str" cm="1">
        <f t="array" ref="G4972">SubCategorizeComment(E4972)</f>
        <v>Other</v>
      </c>
    </row>
    <row r="4973" spans="1:7" x14ac:dyDescent="0.25">
      <c r="A4973">
        <v>41212</v>
      </c>
      <c r="B4973" t="s">
        <v>4</v>
      </c>
      <c r="C4973">
        <v>4</v>
      </c>
      <c r="D4973" t="s">
        <v>5</v>
      </c>
      <c r="F4973" t="str" cm="1">
        <f t="array" ref="F4973">CategorizeComment(E4973)</f>
        <v>Other</v>
      </c>
      <c r="G4973" t="str" cm="1">
        <f t="array" ref="G4973">SubCategorizeComment(E4973)</f>
        <v>Other</v>
      </c>
    </row>
    <row r="4974" spans="1:7" x14ac:dyDescent="0.25">
      <c r="A4974">
        <v>41213</v>
      </c>
      <c r="B4974" t="s">
        <v>4</v>
      </c>
      <c r="C4974">
        <v>4</v>
      </c>
      <c r="D4974" t="s">
        <v>5</v>
      </c>
      <c r="F4974" t="str" cm="1">
        <f t="array" ref="F4974">CategorizeComment(E4974)</f>
        <v>Other</v>
      </c>
      <c r="G4974" t="str" cm="1">
        <f t="array" ref="G4974">SubCategorizeComment(E4974)</f>
        <v>Other</v>
      </c>
    </row>
    <row r="4975" spans="1:7" x14ac:dyDescent="0.25">
      <c r="A4975">
        <v>41233</v>
      </c>
      <c r="B4975" t="s">
        <v>4</v>
      </c>
      <c r="C4975">
        <v>4</v>
      </c>
      <c r="D4975" t="s">
        <v>5</v>
      </c>
      <c r="F4975" t="str" cm="1">
        <f t="array" ref="F4975">CategorizeComment(E4975)</f>
        <v>Other</v>
      </c>
      <c r="G4975" t="str" cm="1">
        <f t="array" ref="G4975">SubCategorizeComment(E4975)</f>
        <v>Other</v>
      </c>
    </row>
    <row r="4976" spans="1:7" x14ac:dyDescent="0.25">
      <c r="A4976">
        <v>41246</v>
      </c>
      <c r="B4976" t="s">
        <v>4</v>
      </c>
      <c r="C4976">
        <v>4</v>
      </c>
      <c r="D4976" t="s">
        <v>5</v>
      </c>
      <c r="F4976" t="str" cm="1">
        <f t="array" ref="F4976">CategorizeComment(E4976)</f>
        <v>Other</v>
      </c>
      <c r="G4976" t="str" cm="1">
        <f t="array" ref="G4976">SubCategorizeComment(E4976)</f>
        <v>Other</v>
      </c>
    </row>
    <row r="4977" spans="1:7" x14ac:dyDescent="0.25">
      <c r="A4977">
        <v>41267</v>
      </c>
      <c r="B4977" t="s">
        <v>4</v>
      </c>
      <c r="C4977">
        <v>4</v>
      </c>
      <c r="D4977" t="s">
        <v>5</v>
      </c>
      <c r="F4977" t="str" cm="1">
        <f t="array" ref="F4977">CategorizeComment(E4977)</f>
        <v>Other</v>
      </c>
      <c r="G4977" t="str" cm="1">
        <f t="array" ref="G4977">SubCategorizeComment(E4977)</f>
        <v>Other</v>
      </c>
    </row>
    <row r="4978" spans="1:7" x14ac:dyDescent="0.25">
      <c r="A4978">
        <v>41282</v>
      </c>
      <c r="B4978" t="s">
        <v>4</v>
      </c>
      <c r="C4978">
        <v>3</v>
      </c>
      <c r="D4978" t="s">
        <v>5</v>
      </c>
      <c r="F4978" t="str" cm="1">
        <f t="array" ref="F4978">CategorizeComment(E4978)</f>
        <v>Other</v>
      </c>
      <c r="G4978" t="str" cm="1">
        <f t="array" ref="G4978">SubCategorizeComment(E4978)</f>
        <v>Other</v>
      </c>
    </row>
    <row r="4979" spans="1:7" x14ac:dyDescent="0.25">
      <c r="A4979">
        <v>41284</v>
      </c>
      <c r="B4979" t="s">
        <v>4</v>
      </c>
      <c r="C4979">
        <v>3</v>
      </c>
      <c r="D4979" t="s">
        <v>5</v>
      </c>
      <c r="F4979" t="str" cm="1">
        <f t="array" ref="F4979">CategorizeComment(E4979)</f>
        <v>Other</v>
      </c>
      <c r="G4979" t="str" cm="1">
        <f t="array" ref="G4979">SubCategorizeComment(E4979)</f>
        <v>Other</v>
      </c>
    </row>
    <row r="4980" spans="1:7" x14ac:dyDescent="0.25">
      <c r="A4980">
        <v>41293</v>
      </c>
      <c r="B4980" t="s">
        <v>4</v>
      </c>
      <c r="C4980">
        <v>4</v>
      </c>
      <c r="D4980" t="s">
        <v>5</v>
      </c>
      <c r="F4980" t="str" cm="1">
        <f t="array" ref="F4980">CategorizeComment(E4980)</f>
        <v>Other</v>
      </c>
      <c r="G4980" t="str" cm="1">
        <f t="array" ref="G4980">SubCategorizeComment(E4980)</f>
        <v>Other</v>
      </c>
    </row>
    <row r="4981" spans="1:7" x14ac:dyDescent="0.25">
      <c r="A4981">
        <v>41316</v>
      </c>
      <c r="B4981" t="s">
        <v>4</v>
      </c>
      <c r="C4981">
        <v>4</v>
      </c>
      <c r="D4981" t="s">
        <v>5</v>
      </c>
      <c r="F4981" t="str" cm="1">
        <f t="array" ref="F4981">CategorizeComment(E4981)</f>
        <v>Other</v>
      </c>
      <c r="G4981" t="str" cm="1">
        <f t="array" ref="G4981">SubCategorizeComment(E4981)</f>
        <v>Other</v>
      </c>
    </row>
    <row r="4982" spans="1:7" x14ac:dyDescent="0.25">
      <c r="A4982">
        <v>41322</v>
      </c>
      <c r="B4982" t="s">
        <v>4</v>
      </c>
      <c r="C4982">
        <v>3</v>
      </c>
      <c r="D4982" t="s">
        <v>5</v>
      </c>
      <c r="F4982" t="str" cm="1">
        <f t="array" ref="F4982">CategorizeComment(E4982)</f>
        <v>Other</v>
      </c>
      <c r="G4982" t="str" cm="1">
        <f t="array" ref="G4982">SubCategorizeComment(E4982)</f>
        <v>Other</v>
      </c>
    </row>
    <row r="4983" spans="1:7" x14ac:dyDescent="0.25">
      <c r="A4983">
        <v>41328</v>
      </c>
      <c r="B4983" t="s">
        <v>4</v>
      </c>
      <c r="C4983">
        <v>3</v>
      </c>
      <c r="D4983" t="s">
        <v>5</v>
      </c>
      <c r="F4983" t="str" cm="1">
        <f t="array" ref="F4983">CategorizeComment(E4983)</f>
        <v>Other</v>
      </c>
      <c r="G4983" t="str" cm="1">
        <f t="array" ref="G4983">SubCategorizeComment(E4983)</f>
        <v>Other</v>
      </c>
    </row>
    <row r="4984" spans="1:7" x14ac:dyDescent="0.25">
      <c r="A4984">
        <v>41329</v>
      </c>
      <c r="B4984" t="s">
        <v>4</v>
      </c>
      <c r="C4984">
        <v>3</v>
      </c>
      <c r="D4984" t="s">
        <v>5</v>
      </c>
      <c r="F4984" t="str" cm="1">
        <f t="array" ref="F4984">CategorizeComment(E4984)</f>
        <v>Other</v>
      </c>
      <c r="G4984" t="str" cm="1">
        <f t="array" ref="G4984">SubCategorizeComment(E4984)</f>
        <v>Other</v>
      </c>
    </row>
    <row r="4985" spans="1:7" x14ac:dyDescent="0.25">
      <c r="A4985">
        <v>41334</v>
      </c>
      <c r="B4985" t="s">
        <v>4</v>
      </c>
      <c r="C4985">
        <v>3</v>
      </c>
      <c r="D4985" t="s">
        <v>5</v>
      </c>
      <c r="F4985" t="str" cm="1">
        <f t="array" ref="F4985">CategorizeComment(E4985)</f>
        <v>Other</v>
      </c>
      <c r="G4985" t="str" cm="1">
        <f t="array" ref="G4985">SubCategorizeComment(E4985)</f>
        <v>Other</v>
      </c>
    </row>
    <row r="4986" spans="1:7" x14ac:dyDescent="0.25">
      <c r="A4986">
        <v>41337</v>
      </c>
      <c r="B4986" t="s">
        <v>4</v>
      </c>
      <c r="C4986">
        <v>4</v>
      </c>
      <c r="D4986" t="s">
        <v>5</v>
      </c>
      <c r="F4986" t="str" cm="1">
        <f t="array" ref="F4986">CategorizeComment(E4986)</f>
        <v>Other</v>
      </c>
      <c r="G4986" t="str" cm="1">
        <f t="array" ref="G4986">SubCategorizeComment(E4986)</f>
        <v>Other</v>
      </c>
    </row>
    <row r="4987" spans="1:7" x14ac:dyDescent="0.25">
      <c r="A4987">
        <v>41338</v>
      </c>
      <c r="B4987" t="s">
        <v>4</v>
      </c>
      <c r="C4987">
        <v>4</v>
      </c>
      <c r="D4987" t="s">
        <v>5</v>
      </c>
      <c r="F4987" t="str" cm="1">
        <f t="array" ref="F4987">CategorizeComment(E4987)</f>
        <v>Other</v>
      </c>
      <c r="G4987" t="str" cm="1">
        <f t="array" ref="G4987">SubCategorizeComment(E4987)</f>
        <v>Other</v>
      </c>
    </row>
    <row r="4988" spans="1:7" x14ac:dyDescent="0.25">
      <c r="A4988">
        <v>41339</v>
      </c>
      <c r="B4988" t="s">
        <v>4</v>
      </c>
      <c r="C4988">
        <v>4</v>
      </c>
      <c r="D4988" t="s">
        <v>5</v>
      </c>
      <c r="F4988" t="str" cm="1">
        <f t="array" ref="F4988">CategorizeComment(E4988)</f>
        <v>Other</v>
      </c>
      <c r="G4988" t="str" cm="1">
        <f t="array" ref="G4988">SubCategorizeComment(E4988)</f>
        <v>Other</v>
      </c>
    </row>
    <row r="4989" spans="1:7" x14ac:dyDescent="0.25">
      <c r="A4989">
        <v>41358</v>
      </c>
      <c r="B4989" t="s">
        <v>4</v>
      </c>
      <c r="C4989">
        <v>3</v>
      </c>
      <c r="D4989" t="s">
        <v>5</v>
      </c>
      <c r="F4989" t="str" cm="1">
        <f t="array" ref="F4989">CategorizeComment(E4989)</f>
        <v>Other</v>
      </c>
      <c r="G4989" t="str" cm="1">
        <f t="array" ref="G4989">SubCategorizeComment(E4989)</f>
        <v>Other</v>
      </c>
    </row>
    <row r="4990" spans="1:7" x14ac:dyDescent="0.25">
      <c r="A4990">
        <v>41376</v>
      </c>
      <c r="B4990" t="s">
        <v>4</v>
      </c>
      <c r="C4990">
        <v>4</v>
      </c>
      <c r="D4990" t="s">
        <v>5</v>
      </c>
      <c r="F4990" t="str" cm="1">
        <f t="array" ref="F4990">CategorizeComment(E4990)</f>
        <v>Other</v>
      </c>
      <c r="G4990" t="str" cm="1">
        <f t="array" ref="G4990">SubCategorizeComment(E4990)</f>
        <v>Other</v>
      </c>
    </row>
    <row r="4991" spans="1:7" x14ac:dyDescent="0.25">
      <c r="A4991">
        <v>41379</v>
      </c>
      <c r="B4991" t="s">
        <v>4</v>
      </c>
      <c r="C4991">
        <v>3</v>
      </c>
      <c r="D4991" t="s">
        <v>5</v>
      </c>
      <c r="F4991" t="str" cm="1">
        <f t="array" ref="F4991">CategorizeComment(E4991)</f>
        <v>Other</v>
      </c>
      <c r="G4991" t="str" cm="1">
        <f t="array" ref="G4991">SubCategorizeComment(E4991)</f>
        <v>Other</v>
      </c>
    </row>
    <row r="4992" spans="1:7" x14ac:dyDescent="0.25">
      <c r="A4992">
        <v>41387</v>
      </c>
      <c r="B4992" t="s">
        <v>4</v>
      </c>
      <c r="C4992">
        <v>4</v>
      </c>
      <c r="D4992" t="s">
        <v>5</v>
      </c>
      <c r="F4992" t="str" cm="1">
        <f t="array" ref="F4992">CategorizeComment(E4992)</f>
        <v>Other</v>
      </c>
      <c r="G4992" t="str" cm="1">
        <f t="array" ref="G4992">SubCategorizeComment(E4992)</f>
        <v>Other</v>
      </c>
    </row>
    <row r="4993" spans="1:7" x14ac:dyDescent="0.25">
      <c r="A4993">
        <v>41391</v>
      </c>
      <c r="B4993" t="s">
        <v>4</v>
      </c>
      <c r="C4993">
        <v>4</v>
      </c>
      <c r="D4993" t="s">
        <v>5</v>
      </c>
      <c r="F4993" t="str" cm="1">
        <f t="array" ref="F4993">CategorizeComment(E4993)</f>
        <v>Other</v>
      </c>
      <c r="G4993" t="str" cm="1">
        <f t="array" ref="G4993">SubCategorizeComment(E4993)</f>
        <v>Other</v>
      </c>
    </row>
    <row r="4994" spans="1:7" x14ac:dyDescent="0.25">
      <c r="A4994">
        <v>41398</v>
      </c>
      <c r="B4994" t="s">
        <v>4</v>
      </c>
      <c r="C4994">
        <v>4</v>
      </c>
      <c r="D4994" t="s">
        <v>5</v>
      </c>
      <c r="F4994" t="str" cm="1">
        <f t="array" ref="F4994">CategorizeComment(E4994)</f>
        <v>Other</v>
      </c>
      <c r="G4994" t="str" cm="1">
        <f t="array" ref="G4994">SubCategorizeComment(E4994)</f>
        <v>Other</v>
      </c>
    </row>
    <row r="4995" spans="1:7" x14ac:dyDescent="0.25">
      <c r="A4995">
        <v>41401</v>
      </c>
      <c r="B4995" t="s">
        <v>4</v>
      </c>
      <c r="C4995">
        <v>3</v>
      </c>
      <c r="D4995" t="s">
        <v>5</v>
      </c>
      <c r="F4995" t="str" cm="1">
        <f t="array" ref="F4995">CategorizeComment(E4995)</f>
        <v>Other</v>
      </c>
      <c r="G4995" t="str" cm="1">
        <f t="array" ref="G4995">SubCategorizeComment(E4995)</f>
        <v>Other</v>
      </c>
    </row>
    <row r="4996" spans="1:7" x14ac:dyDescent="0.25">
      <c r="A4996">
        <v>41405</v>
      </c>
      <c r="B4996" t="s">
        <v>4</v>
      </c>
      <c r="C4996">
        <v>3</v>
      </c>
      <c r="D4996" t="s">
        <v>5</v>
      </c>
      <c r="F4996" t="str" cm="1">
        <f t="array" ref="F4996">CategorizeComment(E4996)</f>
        <v>Other</v>
      </c>
      <c r="G4996" t="str" cm="1">
        <f t="array" ref="G4996">SubCategorizeComment(E4996)</f>
        <v>Other</v>
      </c>
    </row>
    <row r="4997" spans="1:7" x14ac:dyDescent="0.25">
      <c r="A4997">
        <v>41406</v>
      </c>
      <c r="B4997" t="s">
        <v>4</v>
      </c>
      <c r="C4997">
        <v>3</v>
      </c>
      <c r="D4997" t="s">
        <v>5</v>
      </c>
      <c r="F4997" t="str" cm="1">
        <f t="array" ref="F4997">CategorizeComment(E4997)</f>
        <v>Other</v>
      </c>
      <c r="G4997" t="str" cm="1">
        <f t="array" ref="G4997">SubCategorizeComment(E4997)</f>
        <v>Other</v>
      </c>
    </row>
    <row r="4998" spans="1:7" x14ac:dyDescent="0.25">
      <c r="A4998">
        <v>41407</v>
      </c>
      <c r="B4998" t="s">
        <v>4</v>
      </c>
      <c r="C4998">
        <v>3</v>
      </c>
      <c r="D4998" t="s">
        <v>5</v>
      </c>
      <c r="F4998" t="str" cm="1">
        <f t="array" ref="F4998">CategorizeComment(E4998)</f>
        <v>Other</v>
      </c>
      <c r="G4998" t="str" cm="1">
        <f t="array" ref="G4998">SubCategorizeComment(E4998)</f>
        <v>Other</v>
      </c>
    </row>
    <row r="4999" spans="1:7" x14ac:dyDescent="0.25">
      <c r="A4999">
        <v>41411</v>
      </c>
      <c r="B4999" t="s">
        <v>4</v>
      </c>
      <c r="C4999">
        <v>4</v>
      </c>
      <c r="D4999" t="s">
        <v>5</v>
      </c>
      <c r="F4999" t="str" cm="1">
        <f t="array" ref="F4999">CategorizeComment(E4999)</f>
        <v>Other</v>
      </c>
      <c r="G4999" t="str" cm="1">
        <f t="array" ref="G4999">SubCategorizeComment(E4999)</f>
        <v>Other</v>
      </c>
    </row>
    <row r="5000" spans="1:7" x14ac:dyDescent="0.25">
      <c r="A5000">
        <v>41456</v>
      </c>
      <c r="B5000" t="s">
        <v>4</v>
      </c>
      <c r="C5000">
        <v>3</v>
      </c>
      <c r="D5000" t="s">
        <v>5</v>
      </c>
      <c r="F5000" t="str" cm="1">
        <f t="array" ref="F5000">CategorizeComment(E5000)</f>
        <v>Other</v>
      </c>
      <c r="G5000" t="str" cm="1">
        <f t="array" ref="G5000">SubCategorizeComment(E5000)</f>
        <v>Other</v>
      </c>
    </row>
    <row r="5001" spans="1:7" x14ac:dyDescent="0.25">
      <c r="A5001">
        <v>41478</v>
      </c>
      <c r="B5001" t="s">
        <v>4</v>
      </c>
      <c r="C5001">
        <v>4</v>
      </c>
      <c r="D5001" t="s">
        <v>5</v>
      </c>
      <c r="F5001" t="str" cm="1">
        <f t="array" ref="F5001">CategorizeComment(E5001)</f>
        <v>Other</v>
      </c>
      <c r="G5001" t="str" cm="1">
        <f t="array" ref="G5001">SubCategorizeComment(E5001)</f>
        <v>Other</v>
      </c>
    </row>
    <row r="5002" spans="1:7" x14ac:dyDescent="0.25">
      <c r="A5002">
        <v>41503</v>
      </c>
      <c r="B5002" t="s">
        <v>4</v>
      </c>
      <c r="C5002">
        <v>3</v>
      </c>
      <c r="D5002" t="s">
        <v>5</v>
      </c>
      <c r="F5002" t="str" cm="1">
        <f t="array" ref="F5002">CategorizeComment(E5002)</f>
        <v>Other</v>
      </c>
      <c r="G5002" t="str" cm="1">
        <f t="array" ref="G5002">SubCategorizeComment(E5002)</f>
        <v>Other</v>
      </c>
    </row>
    <row r="5003" spans="1:7" x14ac:dyDescent="0.25">
      <c r="A5003">
        <v>41528</v>
      </c>
      <c r="B5003" t="s">
        <v>4</v>
      </c>
      <c r="C5003">
        <v>4</v>
      </c>
      <c r="D5003" t="s">
        <v>5</v>
      </c>
      <c r="F5003" t="str" cm="1">
        <f t="array" ref="F5003">CategorizeComment(E5003)</f>
        <v>Other</v>
      </c>
      <c r="G5003" t="str" cm="1">
        <f t="array" ref="G5003">SubCategorizeComment(E5003)</f>
        <v>Other</v>
      </c>
    </row>
    <row r="5004" spans="1:7" x14ac:dyDescent="0.25">
      <c r="A5004">
        <v>41538</v>
      </c>
      <c r="B5004" t="s">
        <v>4</v>
      </c>
      <c r="C5004">
        <v>4</v>
      </c>
      <c r="D5004" t="s">
        <v>5</v>
      </c>
      <c r="F5004" t="str" cm="1">
        <f t="array" ref="F5004">CategorizeComment(E5004)</f>
        <v>Other</v>
      </c>
      <c r="G5004" t="str" cm="1">
        <f t="array" ref="G5004">SubCategorizeComment(E5004)</f>
        <v>Other</v>
      </c>
    </row>
    <row r="5005" spans="1:7" x14ac:dyDescent="0.25">
      <c r="A5005">
        <v>41541</v>
      </c>
      <c r="B5005" t="s">
        <v>4</v>
      </c>
      <c r="C5005">
        <v>3</v>
      </c>
      <c r="D5005" t="s">
        <v>5</v>
      </c>
      <c r="F5005" t="str" cm="1">
        <f t="array" ref="F5005">CategorizeComment(E5005)</f>
        <v>Other</v>
      </c>
      <c r="G5005" t="str" cm="1">
        <f t="array" ref="G5005">SubCategorizeComment(E5005)</f>
        <v>Other</v>
      </c>
    </row>
    <row r="5006" spans="1:7" x14ac:dyDescent="0.25">
      <c r="A5006">
        <v>41543</v>
      </c>
      <c r="B5006" t="s">
        <v>4</v>
      </c>
      <c r="C5006">
        <v>3</v>
      </c>
      <c r="D5006" t="s">
        <v>5</v>
      </c>
      <c r="F5006" t="str" cm="1">
        <f t="array" ref="F5006">CategorizeComment(E5006)</f>
        <v>Other</v>
      </c>
      <c r="G5006" t="str" cm="1">
        <f t="array" ref="G5006">SubCategorizeComment(E5006)</f>
        <v>Other</v>
      </c>
    </row>
    <row r="5007" spans="1:7" x14ac:dyDescent="0.25">
      <c r="A5007">
        <v>41550</v>
      </c>
      <c r="B5007" t="s">
        <v>4</v>
      </c>
      <c r="C5007">
        <v>3</v>
      </c>
      <c r="D5007" t="s">
        <v>5</v>
      </c>
      <c r="F5007" t="str" cm="1">
        <f t="array" ref="F5007">CategorizeComment(E5007)</f>
        <v>Other</v>
      </c>
      <c r="G5007" t="str" cm="1">
        <f t="array" ref="G5007">SubCategorizeComment(E5007)</f>
        <v>Other</v>
      </c>
    </row>
    <row r="5008" spans="1:7" x14ac:dyDescent="0.25">
      <c r="A5008">
        <v>41552</v>
      </c>
      <c r="B5008" t="s">
        <v>4</v>
      </c>
      <c r="C5008">
        <v>4</v>
      </c>
      <c r="D5008" t="s">
        <v>5</v>
      </c>
      <c r="F5008" t="str" cm="1">
        <f t="array" ref="F5008">CategorizeComment(E5008)</f>
        <v>Other</v>
      </c>
      <c r="G5008" t="str" cm="1">
        <f t="array" ref="G5008">SubCategorizeComment(E5008)</f>
        <v>Other</v>
      </c>
    </row>
    <row r="5009" spans="1:7" x14ac:dyDescent="0.25">
      <c r="A5009">
        <v>41557</v>
      </c>
      <c r="B5009" t="s">
        <v>4</v>
      </c>
      <c r="C5009">
        <v>4</v>
      </c>
      <c r="D5009" t="s">
        <v>5</v>
      </c>
      <c r="F5009" t="str" cm="1">
        <f t="array" ref="F5009">CategorizeComment(E5009)</f>
        <v>Other</v>
      </c>
      <c r="G5009" t="str" cm="1">
        <f t="array" ref="G5009">SubCategorizeComment(E5009)</f>
        <v>Other</v>
      </c>
    </row>
    <row r="5010" spans="1:7" x14ac:dyDescent="0.25">
      <c r="A5010">
        <v>41558</v>
      </c>
      <c r="B5010" t="s">
        <v>4</v>
      </c>
      <c r="C5010">
        <v>4</v>
      </c>
      <c r="D5010" t="s">
        <v>5</v>
      </c>
      <c r="F5010" t="str" cm="1">
        <f t="array" ref="F5010">CategorizeComment(E5010)</f>
        <v>Other</v>
      </c>
      <c r="G5010" t="str" cm="1">
        <f t="array" ref="G5010">SubCategorizeComment(E5010)</f>
        <v>Other</v>
      </c>
    </row>
    <row r="5011" spans="1:7" x14ac:dyDescent="0.25">
      <c r="A5011">
        <v>41565</v>
      </c>
      <c r="B5011" t="s">
        <v>4</v>
      </c>
      <c r="C5011">
        <v>4</v>
      </c>
      <c r="D5011" t="s">
        <v>5</v>
      </c>
      <c r="F5011" t="str" cm="1">
        <f t="array" ref="F5011">CategorizeComment(E5011)</f>
        <v>Other</v>
      </c>
      <c r="G5011" t="str" cm="1">
        <f t="array" ref="G5011">SubCategorizeComment(E5011)</f>
        <v>Other</v>
      </c>
    </row>
    <row r="5012" spans="1:7" x14ac:dyDescent="0.25">
      <c r="A5012">
        <v>41574</v>
      </c>
      <c r="B5012" t="s">
        <v>4</v>
      </c>
      <c r="C5012">
        <v>3</v>
      </c>
      <c r="D5012" t="s">
        <v>5</v>
      </c>
      <c r="F5012" t="str" cm="1">
        <f t="array" ref="F5012">CategorizeComment(E5012)</f>
        <v>Other</v>
      </c>
      <c r="G5012" t="str" cm="1">
        <f t="array" ref="G5012">SubCategorizeComment(E5012)</f>
        <v>Other</v>
      </c>
    </row>
    <row r="5013" spans="1:7" x14ac:dyDescent="0.25">
      <c r="A5013">
        <v>41583</v>
      </c>
      <c r="B5013" t="s">
        <v>4</v>
      </c>
      <c r="C5013">
        <v>4</v>
      </c>
      <c r="D5013" t="s">
        <v>5</v>
      </c>
      <c r="F5013" t="str" cm="1">
        <f t="array" ref="F5013">CategorizeComment(E5013)</f>
        <v>Other</v>
      </c>
      <c r="G5013" t="str" cm="1">
        <f t="array" ref="G5013">SubCategorizeComment(E5013)</f>
        <v>Other</v>
      </c>
    </row>
    <row r="5014" spans="1:7" x14ac:dyDescent="0.25">
      <c r="A5014">
        <v>41586</v>
      </c>
      <c r="B5014" t="s">
        <v>4</v>
      </c>
      <c r="C5014">
        <v>3</v>
      </c>
      <c r="D5014" t="s">
        <v>5</v>
      </c>
      <c r="F5014" t="str" cm="1">
        <f t="array" ref="F5014">CategorizeComment(E5014)</f>
        <v>Other</v>
      </c>
      <c r="G5014" t="str" cm="1">
        <f t="array" ref="G5014">SubCategorizeComment(E5014)</f>
        <v>Other</v>
      </c>
    </row>
    <row r="5015" spans="1:7" x14ac:dyDescent="0.25">
      <c r="A5015">
        <v>41591</v>
      </c>
      <c r="B5015" t="s">
        <v>4</v>
      </c>
      <c r="C5015">
        <v>3</v>
      </c>
      <c r="D5015" t="s">
        <v>5</v>
      </c>
      <c r="F5015" t="str" cm="1">
        <f t="array" ref="F5015">CategorizeComment(E5015)</f>
        <v>Other</v>
      </c>
      <c r="G5015" t="str" cm="1">
        <f t="array" ref="G5015">SubCategorizeComment(E5015)</f>
        <v>Other</v>
      </c>
    </row>
    <row r="5016" spans="1:7" x14ac:dyDescent="0.25">
      <c r="A5016">
        <v>41594</v>
      </c>
      <c r="B5016" t="s">
        <v>4</v>
      </c>
      <c r="C5016">
        <v>4</v>
      </c>
      <c r="D5016" t="s">
        <v>5</v>
      </c>
      <c r="F5016" t="str" cm="1">
        <f t="array" ref="F5016">CategorizeComment(E5016)</f>
        <v>Other</v>
      </c>
      <c r="G5016" t="str" cm="1">
        <f t="array" ref="G5016">SubCategorizeComment(E5016)</f>
        <v>Other</v>
      </c>
    </row>
    <row r="5017" spans="1:7" x14ac:dyDescent="0.25">
      <c r="A5017">
        <v>41596</v>
      </c>
      <c r="B5017" t="s">
        <v>4</v>
      </c>
      <c r="C5017">
        <v>4</v>
      </c>
      <c r="D5017" t="s">
        <v>5</v>
      </c>
      <c r="F5017" t="str" cm="1">
        <f t="array" ref="F5017">CategorizeComment(E5017)</f>
        <v>Other</v>
      </c>
      <c r="G5017" t="str" cm="1">
        <f t="array" ref="G5017">SubCategorizeComment(E5017)</f>
        <v>Other</v>
      </c>
    </row>
    <row r="5018" spans="1:7" x14ac:dyDescent="0.25">
      <c r="A5018">
        <v>41607</v>
      </c>
      <c r="B5018" t="s">
        <v>4</v>
      </c>
      <c r="C5018">
        <v>4</v>
      </c>
      <c r="D5018" t="s">
        <v>5</v>
      </c>
      <c r="F5018" t="str" cm="1">
        <f t="array" ref="F5018">CategorizeComment(E5018)</f>
        <v>Other</v>
      </c>
      <c r="G5018" t="str" cm="1">
        <f t="array" ref="G5018">SubCategorizeComment(E5018)</f>
        <v>Other</v>
      </c>
    </row>
    <row r="5019" spans="1:7" x14ac:dyDescent="0.25">
      <c r="A5019">
        <v>41612</v>
      </c>
      <c r="B5019" t="s">
        <v>4</v>
      </c>
      <c r="C5019">
        <v>3</v>
      </c>
      <c r="D5019" t="s">
        <v>5</v>
      </c>
      <c r="F5019" t="str" cm="1">
        <f t="array" ref="F5019">CategorizeComment(E5019)</f>
        <v>Other</v>
      </c>
      <c r="G5019" t="str" cm="1">
        <f t="array" ref="G5019">SubCategorizeComment(E5019)</f>
        <v>Other</v>
      </c>
    </row>
    <row r="5020" spans="1:7" x14ac:dyDescent="0.25">
      <c r="A5020">
        <v>41625</v>
      </c>
      <c r="B5020" t="s">
        <v>4</v>
      </c>
      <c r="C5020">
        <v>4</v>
      </c>
      <c r="D5020" t="s">
        <v>5</v>
      </c>
      <c r="F5020" t="str" cm="1">
        <f t="array" ref="F5020">CategorizeComment(E5020)</f>
        <v>Other</v>
      </c>
      <c r="G5020" t="str" cm="1">
        <f t="array" ref="G5020">SubCategorizeComment(E5020)</f>
        <v>Other</v>
      </c>
    </row>
    <row r="5021" spans="1:7" x14ac:dyDescent="0.25">
      <c r="A5021">
        <v>41627</v>
      </c>
      <c r="B5021" t="s">
        <v>4</v>
      </c>
      <c r="C5021">
        <v>4</v>
      </c>
      <c r="D5021" t="s">
        <v>5</v>
      </c>
      <c r="F5021" t="str" cm="1">
        <f t="array" ref="F5021">CategorizeComment(E5021)</f>
        <v>Other</v>
      </c>
      <c r="G5021" t="str" cm="1">
        <f t="array" ref="G5021">SubCategorizeComment(E5021)</f>
        <v>Other</v>
      </c>
    </row>
    <row r="5022" spans="1:7" x14ac:dyDescent="0.25">
      <c r="A5022">
        <v>41630</v>
      </c>
      <c r="B5022" t="s">
        <v>4</v>
      </c>
      <c r="C5022">
        <v>3</v>
      </c>
      <c r="D5022" t="s">
        <v>5</v>
      </c>
      <c r="F5022" t="str" cm="1">
        <f t="array" ref="F5022">CategorizeComment(E5022)</f>
        <v>Other</v>
      </c>
      <c r="G5022" t="str" cm="1">
        <f t="array" ref="G5022">SubCategorizeComment(E5022)</f>
        <v>Other</v>
      </c>
    </row>
    <row r="5023" spans="1:7" x14ac:dyDescent="0.25">
      <c r="A5023">
        <v>41634</v>
      </c>
      <c r="B5023" t="s">
        <v>4</v>
      </c>
      <c r="C5023">
        <v>3</v>
      </c>
      <c r="D5023" t="s">
        <v>5</v>
      </c>
      <c r="F5023" t="str" cm="1">
        <f t="array" ref="F5023">CategorizeComment(E5023)</f>
        <v>Other</v>
      </c>
      <c r="G5023" t="str" cm="1">
        <f t="array" ref="G5023">SubCategorizeComment(E5023)</f>
        <v>Other</v>
      </c>
    </row>
    <row r="5024" spans="1:7" x14ac:dyDescent="0.25">
      <c r="A5024">
        <v>41646</v>
      </c>
      <c r="B5024" t="s">
        <v>4</v>
      </c>
      <c r="C5024">
        <v>3</v>
      </c>
      <c r="D5024" t="s">
        <v>5</v>
      </c>
      <c r="F5024" t="str" cm="1">
        <f t="array" ref="F5024">CategorizeComment(E5024)</f>
        <v>Other</v>
      </c>
      <c r="G5024" t="str" cm="1">
        <f t="array" ref="G5024">SubCategorizeComment(E5024)</f>
        <v>Other</v>
      </c>
    </row>
    <row r="5025" spans="1:7" x14ac:dyDescent="0.25">
      <c r="A5025">
        <v>41656</v>
      </c>
      <c r="B5025" t="s">
        <v>4</v>
      </c>
      <c r="C5025">
        <v>3</v>
      </c>
      <c r="D5025" t="s">
        <v>5</v>
      </c>
      <c r="F5025" t="str" cm="1">
        <f t="array" ref="F5025">CategorizeComment(E5025)</f>
        <v>Other</v>
      </c>
      <c r="G5025" t="str" cm="1">
        <f t="array" ref="G5025">SubCategorizeComment(E5025)</f>
        <v>Other</v>
      </c>
    </row>
    <row r="5026" spans="1:7" x14ac:dyDescent="0.25">
      <c r="A5026">
        <v>41663</v>
      </c>
      <c r="B5026" t="s">
        <v>4</v>
      </c>
      <c r="C5026">
        <v>4</v>
      </c>
      <c r="D5026" t="s">
        <v>5</v>
      </c>
      <c r="F5026" t="str" cm="1">
        <f t="array" ref="F5026">CategorizeComment(E5026)</f>
        <v>Other</v>
      </c>
      <c r="G5026" t="str" cm="1">
        <f t="array" ref="G5026">SubCategorizeComment(E5026)</f>
        <v>Other</v>
      </c>
    </row>
    <row r="5027" spans="1:7" x14ac:dyDescent="0.25">
      <c r="A5027">
        <v>41666</v>
      </c>
      <c r="B5027" t="s">
        <v>4</v>
      </c>
      <c r="C5027">
        <v>3</v>
      </c>
      <c r="D5027" t="s">
        <v>5</v>
      </c>
      <c r="F5027" t="str" cm="1">
        <f t="array" ref="F5027">CategorizeComment(E5027)</f>
        <v>Other</v>
      </c>
      <c r="G5027" t="str" cm="1">
        <f t="array" ref="G5027">SubCategorizeComment(E5027)</f>
        <v>Other</v>
      </c>
    </row>
    <row r="5028" spans="1:7" x14ac:dyDescent="0.25">
      <c r="A5028">
        <v>41683</v>
      </c>
      <c r="B5028" t="s">
        <v>4</v>
      </c>
      <c r="C5028">
        <v>4</v>
      </c>
      <c r="D5028" t="s">
        <v>5</v>
      </c>
      <c r="F5028" t="str" cm="1">
        <f t="array" ref="F5028">CategorizeComment(E5028)</f>
        <v>Other</v>
      </c>
      <c r="G5028" t="str" cm="1">
        <f t="array" ref="G5028">SubCategorizeComment(E5028)</f>
        <v>Other</v>
      </c>
    </row>
    <row r="5029" spans="1:7" x14ac:dyDescent="0.25">
      <c r="A5029">
        <v>41692</v>
      </c>
      <c r="B5029" t="s">
        <v>4</v>
      </c>
      <c r="C5029">
        <v>3</v>
      </c>
      <c r="D5029" t="s">
        <v>5</v>
      </c>
      <c r="F5029" t="str" cm="1">
        <f t="array" ref="F5029">CategorizeComment(E5029)</f>
        <v>Other</v>
      </c>
      <c r="G5029" t="str" cm="1">
        <f t="array" ref="G5029">SubCategorizeComment(E5029)</f>
        <v>Other</v>
      </c>
    </row>
    <row r="5030" spans="1:7" x14ac:dyDescent="0.25">
      <c r="A5030">
        <v>41709</v>
      </c>
      <c r="B5030" t="s">
        <v>4</v>
      </c>
      <c r="C5030">
        <v>3</v>
      </c>
      <c r="D5030" t="s">
        <v>5</v>
      </c>
      <c r="F5030" t="str" cm="1">
        <f t="array" ref="F5030">CategorizeComment(E5030)</f>
        <v>Other</v>
      </c>
      <c r="G5030" t="str" cm="1">
        <f t="array" ref="G5030">SubCategorizeComment(E5030)</f>
        <v>Other</v>
      </c>
    </row>
    <row r="5031" spans="1:7" x14ac:dyDescent="0.25">
      <c r="A5031">
        <v>41719</v>
      </c>
      <c r="B5031" t="s">
        <v>4</v>
      </c>
      <c r="C5031">
        <v>3</v>
      </c>
      <c r="D5031" t="s">
        <v>5</v>
      </c>
      <c r="F5031" t="str" cm="1">
        <f t="array" ref="F5031">CategorizeComment(E5031)</f>
        <v>Other</v>
      </c>
      <c r="G5031" t="str" cm="1">
        <f t="array" ref="G5031">SubCategorizeComment(E5031)</f>
        <v>Other</v>
      </c>
    </row>
    <row r="5032" spans="1:7" x14ac:dyDescent="0.25">
      <c r="A5032">
        <v>41727</v>
      </c>
      <c r="B5032" t="s">
        <v>4</v>
      </c>
      <c r="C5032">
        <v>3</v>
      </c>
      <c r="D5032" t="s">
        <v>5</v>
      </c>
      <c r="F5032" t="str" cm="1">
        <f t="array" ref="F5032">CategorizeComment(E5032)</f>
        <v>Other</v>
      </c>
      <c r="G5032" t="str" cm="1">
        <f t="array" ref="G5032">SubCategorizeComment(E5032)</f>
        <v>Other</v>
      </c>
    </row>
    <row r="5033" spans="1:7" x14ac:dyDescent="0.25">
      <c r="A5033">
        <v>41740</v>
      </c>
      <c r="B5033" t="s">
        <v>4</v>
      </c>
      <c r="C5033">
        <v>3</v>
      </c>
      <c r="D5033" t="s">
        <v>5</v>
      </c>
      <c r="F5033" t="str" cm="1">
        <f t="array" ref="F5033">CategorizeComment(E5033)</f>
        <v>Other</v>
      </c>
      <c r="G5033" t="str" cm="1">
        <f t="array" ref="G5033">SubCategorizeComment(E5033)</f>
        <v>Other</v>
      </c>
    </row>
    <row r="5034" spans="1:7" x14ac:dyDescent="0.25">
      <c r="A5034">
        <v>41748</v>
      </c>
      <c r="B5034" t="s">
        <v>4</v>
      </c>
      <c r="C5034">
        <v>4</v>
      </c>
      <c r="D5034" t="s">
        <v>5</v>
      </c>
      <c r="F5034" t="str" cm="1">
        <f t="array" ref="F5034">CategorizeComment(E5034)</f>
        <v>Other</v>
      </c>
      <c r="G5034" t="str" cm="1">
        <f t="array" ref="G5034">SubCategorizeComment(E5034)</f>
        <v>Other</v>
      </c>
    </row>
    <row r="5035" spans="1:7" x14ac:dyDescent="0.25">
      <c r="A5035">
        <v>41762</v>
      </c>
      <c r="B5035" t="s">
        <v>4</v>
      </c>
      <c r="C5035">
        <v>4</v>
      </c>
      <c r="D5035" t="s">
        <v>5</v>
      </c>
      <c r="F5035" t="str" cm="1">
        <f t="array" ref="F5035">CategorizeComment(E5035)</f>
        <v>Other</v>
      </c>
      <c r="G5035" t="str" cm="1">
        <f t="array" ref="G5035">SubCategorizeComment(E5035)</f>
        <v>Other</v>
      </c>
    </row>
    <row r="5036" spans="1:7" x14ac:dyDescent="0.25">
      <c r="A5036">
        <v>41766</v>
      </c>
      <c r="B5036" t="s">
        <v>4</v>
      </c>
      <c r="C5036">
        <v>4</v>
      </c>
      <c r="D5036" t="s">
        <v>5</v>
      </c>
      <c r="F5036" t="str" cm="1">
        <f t="array" ref="F5036">CategorizeComment(E5036)</f>
        <v>Other</v>
      </c>
      <c r="G5036" t="str" cm="1">
        <f t="array" ref="G5036">SubCategorizeComment(E5036)</f>
        <v>Other</v>
      </c>
    </row>
    <row r="5037" spans="1:7" x14ac:dyDescent="0.25">
      <c r="A5037">
        <v>41768</v>
      </c>
      <c r="B5037" t="s">
        <v>4</v>
      </c>
      <c r="C5037">
        <v>3</v>
      </c>
      <c r="D5037" t="s">
        <v>5</v>
      </c>
      <c r="F5037" t="str" cm="1">
        <f t="array" ref="F5037">CategorizeComment(E5037)</f>
        <v>Other</v>
      </c>
      <c r="G5037" t="str" cm="1">
        <f t="array" ref="G5037">SubCategorizeComment(E5037)</f>
        <v>Other</v>
      </c>
    </row>
    <row r="5038" spans="1:7" x14ac:dyDescent="0.25">
      <c r="A5038">
        <v>41770</v>
      </c>
      <c r="B5038" t="s">
        <v>4</v>
      </c>
      <c r="C5038">
        <v>4</v>
      </c>
      <c r="D5038" t="s">
        <v>5</v>
      </c>
      <c r="F5038" t="str" cm="1">
        <f t="array" ref="F5038">CategorizeComment(E5038)</f>
        <v>Other</v>
      </c>
      <c r="G5038" t="str" cm="1">
        <f t="array" ref="G5038">SubCategorizeComment(E5038)</f>
        <v>Other</v>
      </c>
    </row>
    <row r="5039" spans="1:7" x14ac:dyDescent="0.25">
      <c r="A5039">
        <v>41772</v>
      </c>
      <c r="B5039" t="s">
        <v>4</v>
      </c>
      <c r="C5039">
        <v>3</v>
      </c>
      <c r="D5039" t="s">
        <v>5</v>
      </c>
      <c r="F5039" t="str" cm="1">
        <f t="array" ref="F5039">CategorizeComment(E5039)</f>
        <v>Other</v>
      </c>
      <c r="G5039" t="str" cm="1">
        <f t="array" ref="G5039">SubCategorizeComment(E5039)</f>
        <v>Other</v>
      </c>
    </row>
    <row r="5040" spans="1:7" x14ac:dyDescent="0.25">
      <c r="A5040">
        <v>41780</v>
      </c>
      <c r="B5040" t="s">
        <v>4</v>
      </c>
      <c r="C5040">
        <v>3</v>
      </c>
      <c r="D5040" t="s">
        <v>5</v>
      </c>
      <c r="F5040" t="str" cm="1">
        <f t="array" ref="F5040">CategorizeComment(E5040)</f>
        <v>Other</v>
      </c>
      <c r="G5040" t="str" cm="1">
        <f t="array" ref="G5040">SubCategorizeComment(E5040)</f>
        <v>Other</v>
      </c>
    </row>
    <row r="5041" spans="1:7" x14ac:dyDescent="0.25">
      <c r="A5041">
        <v>41797</v>
      </c>
      <c r="B5041" t="s">
        <v>4</v>
      </c>
      <c r="C5041">
        <v>3</v>
      </c>
      <c r="D5041" t="s">
        <v>5</v>
      </c>
      <c r="F5041" t="str" cm="1">
        <f t="array" ref="F5041">CategorizeComment(E5041)</f>
        <v>Other</v>
      </c>
      <c r="G5041" t="str" cm="1">
        <f t="array" ref="G5041">SubCategorizeComment(E5041)</f>
        <v>Other</v>
      </c>
    </row>
    <row r="5042" spans="1:7" x14ac:dyDescent="0.25">
      <c r="A5042">
        <v>41804</v>
      </c>
      <c r="B5042" t="s">
        <v>4</v>
      </c>
      <c r="C5042">
        <v>3</v>
      </c>
      <c r="D5042" t="s">
        <v>5</v>
      </c>
      <c r="F5042" t="str" cm="1">
        <f t="array" ref="F5042">CategorizeComment(E5042)</f>
        <v>Other</v>
      </c>
      <c r="G5042" t="str" cm="1">
        <f t="array" ref="G5042">SubCategorizeComment(E5042)</f>
        <v>Other</v>
      </c>
    </row>
    <row r="5043" spans="1:7" x14ac:dyDescent="0.25">
      <c r="A5043">
        <v>41810</v>
      </c>
      <c r="B5043" t="s">
        <v>4</v>
      </c>
      <c r="C5043">
        <v>3</v>
      </c>
      <c r="D5043" t="s">
        <v>5</v>
      </c>
      <c r="F5043" t="str" cm="1">
        <f t="array" ref="F5043">CategorizeComment(E5043)</f>
        <v>Other</v>
      </c>
      <c r="G5043" t="str" cm="1">
        <f t="array" ref="G5043">SubCategorizeComment(E5043)</f>
        <v>Other</v>
      </c>
    </row>
    <row r="5044" spans="1:7" x14ac:dyDescent="0.25">
      <c r="A5044">
        <v>41813</v>
      </c>
      <c r="B5044" t="s">
        <v>4</v>
      </c>
      <c r="C5044">
        <v>3</v>
      </c>
      <c r="D5044" t="s">
        <v>5</v>
      </c>
      <c r="F5044" t="str" cm="1">
        <f t="array" ref="F5044">CategorizeComment(E5044)</f>
        <v>Other</v>
      </c>
      <c r="G5044" t="str" cm="1">
        <f t="array" ref="G5044">SubCategorizeComment(E5044)</f>
        <v>Other</v>
      </c>
    </row>
    <row r="5045" spans="1:7" x14ac:dyDescent="0.25">
      <c r="A5045">
        <v>41827</v>
      </c>
      <c r="B5045" t="s">
        <v>4</v>
      </c>
      <c r="C5045">
        <v>4</v>
      </c>
      <c r="D5045" t="s">
        <v>5</v>
      </c>
      <c r="F5045" t="str" cm="1">
        <f t="array" ref="F5045">CategorizeComment(E5045)</f>
        <v>Other</v>
      </c>
      <c r="G5045" t="str" cm="1">
        <f t="array" ref="G5045">SubCategorizeComment(E5045)</f>
        <v>Other</v>
      </c>
    </row>
    <row r="5046" spans="1:7" x14ac:dyDescent="0.25">
      <c r="A5046">
        <v>41828</v>
      </c>
      <c r="B5046" t="s">
        <v>4</v>
      </c>
      <c r="C5046">
        <v>4</v>
      </c>
      <c r="D5046" t="s">
        <v>5</v>
      </c>
      <c r="F5046" t="str" cm="1">
        <f t="array" ref="F5046">CategorizeComment(E5046)</f>
        <v>Other</v>
      </c>
      <c r="G5046" t="str" cm="1">
        <f t="array" ref="G5046">SubCategorizeComment(E5046)</f>
        <v>Other</v>
      </c>
    </row>
    <row r="5047" spans="1:7" x14ac:dyDescent="0.25">
      <c r="A5047">
        <v>41859</v>
      </c>
      <c r="B5047" t="s">
        <v>4</v>
      </c>
      <c r="C5047">
        <v>4</v>
      </c>
      <c r="D5047" t="s">
        <v>5</v>
      </c>
      <c r="F5047" t="str" cm="1">
        <f t="array" ref="F5047">CategorizeComment(E5047)</f>
        <v>Other</v>
      </c>
      <c r="G5047" t="str" cm="1">
        <f t="array" ref="G5047">SubCategorizeComment(E5047)</f>
        <v>Other</v>
      </c>
    </row>
    <row r="5048" spans="1:7" x14ac:dyDescent="0.25">
      <c r="A5048">
        <v>41869</v>
      </c>
      <c r="B5048" t="s">
        <v>4</v>
      </c>
      <c r="C5048">
        <v>4</v>
      </c>
      <c r="D5048" t="s">
        <v>5</v>
      </c>
      <c r="F5048" t="str" cm="1">
        <f t="array" ref="F5048">CategorizeComment(E5048)</f>
        <v>Other</v>
      </c>
      <c r="G5048" t="str" cm="1">
        <f t="array" ref="G5048">SubCategorizeComment(E5048)</f>
        <v>Other</v>
      </c>
    </row>
    <row r="5049" spans="1:7" x14ac:dyDescent="0.25">
      <c r="A5049">
        <v>41874</v>
      </c>
      <c r="B5049" t="s">
        <v>4</v>
      </c>
      <c r="C5049">
        <v>4</v>
      </c>
      <c r="D5049" t="s">
        <v>5</v>
      </c>
      <c r="F5049" t="str" cm="1">
        <f t="array" ref="F5049">CategorizeComment(E5049)</f>
        <v>Other</v>
      </c>
      <c r="G5049" t="str" cm="1">
        <f t="array" ref="G5049">SubCategorizeComment(E5049)</f>
        <v>Other</v>
      </c>
    </row>
    <row r="5050" spans="1:7" x14ac:dyDescent="0.25">
      <c r="A5050">
        <v>41885</v>
      </c>
      <c r="B5050" t="s">
        <v>4</v>
      </c>
      <c r="C5050">
        <v>3</v>
      </c>
      <c r="D5050" t="s">
        <v>5</v>
      </c>
      <c r="F5050" t="str" cm="1">
        <f t="array" ref="F5050">CategorizeComment(E5050)</f>
        <v>Other</v>
      </c>
      <c r="G5050" t="str" cm="1">
        <f t="array" ref="G5050">SubCategorizeComment(E5050)</f>
        <v>Other</v>
      </c>
    </row>
    <row r="5051" spans="1:7" x14ac:dyDescent="0.25">
      <c r="A5051">
        <v>41908</v>
      </c>
      <c r="B5051" t="s">
        <v>4</v>
      </c>
      <c r="C5051">
        <v>4</v>
      </c>
      <c r="D5051" t="s">
        <v>5</v>
      </c>
      <c r="F5051" t="str" cm="1">
        <f t="array" ref="F5051">CategorizeComment(E5051)</f>
        <v>Other</v>
      </c>
      <c r="G5051" t="str" cm="1">
        <f t="array" ref="G5051">SubCategorizeComment(E5051)</f>
        <v>Other</v>
      </c>
    </row>
    <row r="5052" spans="1:7" x14ac:dyDescent="0.25">
      <c r="A5052">
        <v>41916</v>
      </c>
      <c r="B5052" t="s">
        <v>4</v>
      </c>
      <c r="C5052">
        <v>3</v>
      </c>
      <c r="D5052" t="s">
        <v>5</v>
      </c>
      <c r="F5052" t="str" cm="1">
        <f t="array" ref="F5052">CategorizeComment(E5052)</f>
        <v>Other</v>
      </c>
      <c r="G5052" t="str" cm="1">
        <f t="array" ref="G5052">SubCategorizeComment(E5052)</f>
        <v>Other</v>
      </c>
    </row>
    <row r="5053" spans="1:7" x14ac:dyDescent="0.25">
      <c r="A5053">
        <v>41920</v>
      </c>
      <c r="B5053" t="s">
        <v>4</v>
      </c>
      <c r="C5053">
        <v>4</v>
      </c>
      <c r="D5053" t="s">
        <v>5</v>
      </c>
      <c r="F5053" t="str" cm="1">
        <f t="array" ref="F5053">CategorizeComment(E5053)</f>
        <v>Other</v>
      </c>
      <c r="G5053" t="str" cm="1">
        <f t="array" ref="G5053">SubCategorizeComment(E5053)</f>
        <v>Other</v>
      </c>
    </row>
    <row r="5054" spans="1:7" x14ac:dyDescent="0.25">
      <c r="A5054">
        <v>41923</v>
      </c>
      <c r="B5054" t="s">
        <v>4</v>
      </c>
      <c r="C5054">
        <v>3</v>
      </c>
      <c r="D5054" t="s">
        <v>5</v>
      </c>
      <c r="F5054" t="str" cm="1">
        <f t="array" ref="F5054">CategorizeComment(E5054)</f>
        <v>Other</v>
      </c>
      <c r="G5054" t="str" cm="1">
        <f t="array" ref="G5054">SubCategorizeComment(E5054)</f>
        <v>Other</v>
      </c>
    </row>
    <row r="5055" spans="1:7" x14ac:dyDescent="0.25">
      <c r="A5055">
        <v>41925</v>
      </c>
      <c r="B5055" t="s">
        <v>4</v>
      </c>
      <c r="C5055">
        <v>3</v>
      </c>
      <c r="D5055" t="s">
        <v>5</v>
      </c>
      <c r="F5055" t="str" cm="1">
        <f t="array" ref="F5055">CategorizeComment(E5055)</f>
        <v>Other</v>
      </c>
      <c r="G5055" t="str" cm="1">
        <f t="array" ref="G5055">SubCategorizeComment(E5055)</f>
        <v>Other</v>
      </c>
    </row>
    <row r="5056" spans="1:7" x14ac:dyDescent="0.25">
      <c r="A5056">
        <v>41927</v>
      </c>
      <c r="B5056" t="s">
        <v>4</v>
      </c>
      <c r="C5056">
        <v>3</v>
      </c>
      <c r="D5056" t="s">
        <v>5</v>
      </c>
      <c r="F5056" t="str" cm="1">
        <f t="array" ref="F5056">CategorizeComment(E5056)</f>
        <v>Other</v>
      </c>
      <c r="G5056" t="str" cm="1">
        <f t="array" ref="G5056">SubCategorizeComment(E5056)</f>
        <v>Other</v>
      </c>
    </row>
    <row r="5057" spans="1:7" x14ac:dyDescent="0.25">
      <c r="A5057">
        <v>41933</v>
      </c>
      <c r="B5057" t="s">
        <v>4</v>
      </c>
      <c r="C5057">
        <v>3</v>
      </c>
      <c r="D5057" t="s">
        <v>5</v>
      </c>
      <c r="F5057" t="str" cm="1">
        <f t="array" ref="F5057">CategorizeComment(E5057)</f>
        <v>Other</v>
      </c>
      <c r="G5057" t="str" cm="1">
        <f t="array" ref="G5057">SubCategorizeComment(E5057)</f>
        <v>Other</v>
      </c>
    </row>
    <row r="5058" spans="1:7" x14ac:dyDescent="0.25">
      <c r="A5058">
        <v>41934</v>
      </c>
      <c r="B5058" t="s">
        <v>4</v>
      </c>
      <c r="C5058">
        <v>4</v>
      </c>
      <c r="D5058" t="s">
        <v>5</v>
      </c>
      <c r="F5058" t="str" cm="1">
        <f t="array" ref="F5058">CategorizeComment(E5058)</f>
        <v>Other</v>
      </c>
      <c r="G5058" t="str" cm="1">
        <f t="array" ref="G5058">SubCategorizeComment(E5058)</f>
        <v>Other</v>
      </c>
    </row>
    <row r="5059" spans="1:7" x14ac:dyDescent="0.25">
      <c r="A5059">
        <v>41940</v>
      </c>
      <c r="B5059" t="s">
        <v>4</v>
      </c>
      <c r="C5059">
        <v>4</v>
      </c>
      <c r="D5059" t="s">
        <v>5</v>
      </c>
      <c r="F5059" t="str" cm="1">
        <f t="array" ref="F5059">CategorizeComment(E5059)</f>
        <v>Other</v>
      </c>
      <c r="G5059" t="str" cm="1">
        <f t="array" ref="G5059">SubCategorizeComment(E5059)</f>
        <v>Other</v>
      </c>
    </row>
    <row r="5060" spans="1:7" x14ac:dyDescent="0.25">
      <c r="A5060">
        <v>41941</v>
      </c>
      <c r="B5060" t="s">
        <v>4</v>
      </c>
      <c r="C5060">
        <v>3</v>
      </c>
      <c r="D5060" t="s">
        <v>5</v>
      </c>
      <c r="F5060" t="str" cm="1">
        <f t="array" ref="F5060">CategorizeComment(E5060)</f>
        <v>Other</v>
      </c>
      <c r="G5060" t="str" cm="1">
        <f t="array" ref="G5060">SubCategorizeComment(E5060)</f>
        <v>Other</v>
      </c>
    </row>
    <row r="5061" spans="1:7" x14ac:dyDescent="0.25">
      <c r="A5061">
        <v>41945</v>
      </c>
      <c r="B5061" t="s">
        <v>4</v>
      </c>
      <c r="C5061">
        <v>3</v>
      </c>
      <c r="D5061" t="s">
        <v>5</v>
      </c>
      <c r="F5061" t="str" cm="1">
        <f t="array" ref="F5061">CategorizeComment(E5061)</f>
        <v>Other</v>
      </c>
      <c r="G5061" t="str" cm="1">
        <f t="array" ref="G5061">SubCategorizeComment(E5061)</f>
        <v>Other</v>
      </c>
    </row>
    <row r="5062" spans="1:7" x14ac:dyDescent="0.25">
      <c r="A5062">
        <v>41955</v>
      </c>
      <c r="B5062" t="s">
        <v>4</v>
      </c>
      <c r="C5062">
        <v>4</v>
      </c>
      <c r="D5062" t="s">
        <v>5</v>
      </c>
      <c r="F5062" t="str" cm="1">
        <f t="array" ref="F5062">CategorizeComment(E5062)</f>
        <v>Other</v>
      </c>
      <c r="G5062" t="str" cm="1">
        <f t="array" ref="G5062">SubCategorizeComment(E5062)</f>
        <v>Other</v>
      </c>
    </row>
    <row r="5063" spans="1:7" x14ac:dyDescent="0.25">
      <c r="A5063">
        <v>41960</v>
      </c>
      <c r="B5063" t="s">
        <v>4</v>
      </c>
      <c r="C5063">
        <v>4</v>
      </c>
      <c r="D5063" t="s">
        <v>5</v>
      </c>
      <c r="F5063" t="str" cm="1">
        <f t="array" ref="F5063">CategorizeComment(E5063)</f>
        <v>Other</v>
      </c>
      <c r="G5063" t="str" cm="1">
        <f t="array" ref="G5063">SubCategorizeComment(E5063)</f>
        <v>Other</v>
      </c>
    </row>
    <row r="5064" spans="1:7" x14ac:dyDescent="0.25">
      <c r="A5064">
        <v>41962</v>
      </c>
      <c r="B5064" t="s">
        <v>4</v>
      </c>
      <c r="C5064">
        <v>4</v>
      </c>
      <c r="D5064" t="s">
        <v>5</v>
      </c>
      <c r="F5064" t="str" cm="1">
        <f t="array" ref="F5064">CategorizeComment(E5064)</f>
        <v>Other</v>
      </c>
      <c r="G5064" t="str" cm="1">
        <f t="array" ref="G5064">SubCategorizeComment(E5064)</f>
        <v>Other</v>
      </c>
    </row>
    <row r="5065" spans="1:7" x14ac:dyDescent="0.25">
      <c r="A5065">
        <v>41964</v>
      </c>
      <c r="B5065" t="s">
        <v>4</v>
      </c>
      <c r="C5065">
        <v>3</v>
      </c>
      <c r="D5065" t="s">
        <v>5</v>
      </c>
      <c r="F5065" t="str" cm="1">
        <f t="array" ref="F5065">CategorizeComment(E5065)</f>
        <v>Other</v>
      </c>
      <c r="G5065" t="str" cm="1">
        <f t="array" ref="G5065">SubCategorizeComment(E5065)</f>
        <v>Other</v>
      </c>
    </row>
    <row r="5066" spans="1:7" x14ac:dyDescent="0.25">
      <c r="A5066">
        <v>41988</v>
      </c>
      <c r="B5066" t="s">
        <v>4</v>
      </c>
      <c r="C5066">
        <v>3</v>
      </c>
      <c r="D5066" t="s">
        <v>5</v>
      </c>
      <c r="F5066" t="str" cm="1">
        <f t="array" ref="F5066">CategorizeComment(E5066)</f>
        <v>Other</v>
      </c>
      <c r="G5066" t="str" cm="1">
        <f t="array" ref="G5066">SubCategorizeComment(E5066)</f>
        <v>Other</v>
      </c>
    </row>
    <row r="5067" spans="1:7" x14ac:dyDescent="0.25">
      <c r="A5067">
        <v>42024</v>
      </c>
      <c r="B5067" t="s">
        <v>4</v>
      </c>
      <c r="C5067">
        <v>4</v>
      </c>
      <c r="D5067" t="s">
        <v>5</v>
      </c>
      <c r="F5067" t="str" cm="1">
        <f t="array" ref="F5067">CategorizeComment(E5067)</f>
        <v>Other</v>
      </c>
      <c r="G5067" t="str" cm="1">
        <f t="array" ref="G5067">SubCategorizeComment(E5067)</f>
        <v>Other</v>
      </c>
    </row>
    <row r="5068" spans="1:7" x14ac:dyDescent="0.25">
      <c r="A5068">
        <v>42033</v>
      </c>
      <c r="B5068" t="s">
        <v>4</v>
      </c>
      <c r="C5068">
        <v>4</v>
      </c>
      <c r="D5068" t="s">
        <v>5</v>
      </c>
      <c r="F5068" t="str" cm="1">
        <f t="array" ref="F5068">CategorizeComment(E5068)</f>
        <v>Other</v>
      </c>
      <c r="G5068" t="str" cm="1">
        <f t="array" ref="G5068">SubCategorizeComment(E5068)</f>
        <v>Other</v>
      </c>
    </row>
    <row r="5069" spans="1:7" x14ac:dyDescent="0.25">
      <c r="A5069">
        <v>42037</v>
      </c>
      <c r="B5069" t="s">
        <v>4</v>
      </c>
      <c r="C5069">
        <v>4</v>
      </c>
      <c r="D5069" t="s">
        <v>5</v>
      </c>
      <c r="F5069" t="str" cm="1">
        <f t="array" ref="F5069">CategorizeComment(E5069)</f>
        <v>Other</v>
      </c>
      <c r="G5069" t="str" cm="1">
        <f t="array" ref="G5069">SubCategorizeComment(E5069)</f>
        <v>Other</v>
      </c>
    </row>
    <row r="5070" spans="1:7" x14ac:dyDescent="0.25">
      <c r="A5070">
        <v>42042</v>
      </c>
      <c r="B5070" t="s">
        <v>4</v>
      </c>
      <c r="C5070">
        <v>4</v>
      </c>
      <c r="D5070" t="s">
        <v>5</v>
      </c>
      <c r="F5070" t="str" cm="1">
        <f t="array" ref="F5070">CategorizeComment(E5070)</f>
        <v>Other</v>
      </c>
      <c r="G5070" t="str" cm="1">
        <f t="array" ref="G5070">SubCategorizeComment(E5070)</f>
        <v>Other</v>
      </c>
    </row>
    <row r="5071" spans="1:7" x14ac:dyDescent="0.25">
      <c r="A5071">
        <v>42047</v>
      </c>
      <c r="B5071" t="s">
        <v>4</v>
      </c>
      <c r="C5071">
        <v>4</v>
      </c>
      <c r="D5071" t="s">
        <v>5</v>
      </c>
      <c r="F5071" t="str" cm="1">
        <f t="array" ref="F5071">CategorizeComment(E5071)</f>
        <v>Other</v>
      </c>
      <c r="G5071" t="str" cm="1">
        <f t="array" ref="G5071">SubCategorizeComment(E5071)</f>
        <v>Other</v>
      </c>
    </row>
    <row r="5072" spans="1:7" x14ac:dyDescent="0.25">
      <c r="A5072">
        <v>42051</v>
      </c>
      <c r="B5072" t="s">
        <v>4</v>
      </c>
      <c r="C5072">
        <v>3</v>
      </c>
      <c r="D5072" t="s">
        <v>5</v>
      </c>
      <c r="F5072" t="str" cm="1">
        <f t="array" ref="F5072">CategorizeComment(E5072)</f>
        <v>Other</v>
      </c>
      <c r="G5072" t="str" cm="1">
        <f t="array" ref="G5072">SubCategorizeComment(E5072)</f>
        <v>Other</v>
      </c>
    </row>
    <row r="5073" spans="1:7" x14ac:dyDescent="0.25">
      <c r="A5073">
        <v>42055</v>
      </c>
      <c r="B5073" t="s">
        <v>4</v>
      </c>
      <c r="C5073">
        <v>4</v>
      </c>
      <c r="D5073" t="s">
        <v>5</v>
      </c>
      <c r="F5073" t="str" cm="1">
        <f t="array" ref="F5073">CategorizeComment(E5073)</f>
        <v>Other</v>
      </c>
      <c r="G5073" t="str" cm="1">
        <f t="array" ref="G5073">SubCategorizeComment(E5073)</f>
        <v>Other</v>
      </c>
    </row>
    <row r="5074" spans="1:7" x14ac:dyDescent="0.25">
      <c r="A5074">
        <v>42056</v>
      </c>
      <c r="B5074" t="s">
        <v>4</v>
      </c>
      <c r="C5074">
        <v>3</v>
      </c>
      <c r="D5074" t="s">
        <v>5</v>
      </c>
      <c r="F5074" t="str" cm="1">
        <f t="array" ref="F5074">CategorizeComment(E5074)</f>
        <v>Other</v>
      </c>
      <c r="G5074" t="str" cm="1">
        <f t="array" ref="G5074">SubCategorizeComment(E5074)</f>
        <v>Other</v>
      </c>
    </row>
    <row r="5075" spans="1:7" x14ac:dyDescent="0.25">
      <c r="A5075">
        <v>42071</v>
      </c>
      <c r="B5075" t="s">
        <v>4</v>
      </c>
      <c r="C5075">
        <v>3</v>
      </c>
      <c r="D5075" t="s">
        <v>5</v>
      </c>
      <c r="F5075" t="str" cm="1">
        <f t="array" ref="F5075">CategorizeComment(E5075)</f>
        <v>Other</v>
      </c>
      <c r="G5075" t="str" cm="1">
        <f t="array" ref="G5075">SubCategorizeComment(E5075)</f>
        <v>Other</v>
      </c>
    </row>
    <row r="5076" spans="1:7" x14ac:dyDescent="0.25">
      <c r="A5076">
        <v>42098</v>
      </c>
      <c r="B5076" t="s">
        <v>4</v>
      </c>
      <c r="C5076">
        <v>3</v>
      </c>
      <c r="D5076" t="s">
        <v>5</v>
      </c>
      <c r="F5076" t="str" cm="1">
        <f t="array" ref="F5076">CategorizeComment(E5076)</f>
        <v>Other</v>
      </c>
      <c r="G5076" t="str" cm="1">
        <f t="array" ref="G5076">SubCategorizeComment(E5076)</f>
        <v>Other</v>
      </c>
    </row>
    <row r="5077" spans="1:7" x14ac:dyDescent="0.25">
      <c r="A5077">
        <v>42100</v>
      </c>
      <c r="B5077" t="s">
        <v>4</v>
      </c>
      <c r="C5077">
        <v>3</v>
      </c>
      <c r="D5077" t="s">
        <v>5</v>
      </c>
      <c r="F5077" t="str" cm="1">
        <f t="array" ref="F5077">CategorizeComment(E5077)</f>
        <v>Other</v>
      </c>
      <c r="G5077" t="str" cm="1">
        <f t="array" ref="G5077">SubCategorizeComment(E5077)</f>
        <v>Other</v>
      </c>
    </row>
    <row r="5078" spans="1:7" x14ac:dyDescent="0.25">
      <c r="A5078">
        <v>42108</v>
      </c>
      <c r="B5078" t="s">
        <v>4</v>
      </c>
      <c r="C5078">
        <v>3</v>
      </c>
      <c r="D5078" t="s">
        <v>5</v>
      </c>
      <c r="F5078" t="str" cm="1">
        <f t="array" ref="F5078">CategorizeComment(E5078)</f>
        <v>Other</v>
      </c>
      <c r="G5078" t="str" cm="1">
        <f t="array" ref="G5078">SubCategorizeComment(E5078)</f>
        <v>Other</v>
      </c>
    </row>
    <row r="5079" spans="1:7" x14ac:dyDescent="0.25">
      <c r="A5079">
        <v>42109</v>
      </c>
      <c r="B5079" t="s">
        <v>4</v>
      </c>
      <c r="C5079">
        <v>4</v>
      </c>
      <c r="D5079" t="s">
        <v>5</v>
      </c>
      <c r="F5079" t="str" cm="1">
        <f t="array" ref="F5079">CategorizeComment(E5079)</f>
        <v>Other</v>
      </c>
      <c r="G5079" t="str" cm="1">
        <f t="array" ref="G5079">SubCategorizeComment(E5079)</f>
        <v>Other</v>
      </c>
    </row>
    <row r="5080" spans="1:7" x14ac:dyDescent="0.25">
      <c r="A5080">
        <v>42114</v>
      </c>
      <c r="B5080" t="s">
        <v>4</v>
      </c>
      <c r="C5080">
        <v>4</v>
      </c>
      <c r="D5080" t="s">
        <v>5</v>
      </c>
      <c r="F5080" t="str" cm="1">
        <f t="array" ref="F5080">CategorizeComment(E5080)</f>
        <v>Other</v>
      </c>
      <c r="G5080" t="str" cm="1">
        <f t="array" ref="G5080">SubCategorizeComment(E5080)</f>
        <v>Other</v>
      </c>
    </row>
    <row r="5081" spans="1:7" x14ac:dyDescent="0.25">
      <c r="A5081">
        <v>42116</v>
      </c>
      <c r="B5081" t="s">
        <v>4</v>
      </c>
      <c r="C5081">
        <v>4</v>
      </c>
      <c r="D5081" t="s">
        <v>5</v>
      </c>
      <c r="F5081" t="str" cm="1">
        <f t="array" ref="F5081">CategorizeComment(E5081)</f>
        <v>Other</v>
      </c>
      <c r="G5081" t="str" cm="1">
        <f t="array" ref="G5081">SubCategorizeComment(E5081)</f>
        <v>Other</v>
      </c>
    </row>
    <row r="5082" spans="1:7" x14ac:dyDescent="0.25">
      <c r="A5082">
        <v>42118</v>
      </c>
      <c r="B5082" t="s">
        <v>4</v>
      </c>
      <c r="C5082">
        <v>4</v>
      </c>
      <c r="D5082" t="s">
        <v>5</v>
      </c>
      <c r="F5082" t="str" cm="1">
        <f t="array" ref="F5082">CategorizeComment(E5082)</f>
        <v>Other</v>
      </c>
      <c r="G5082" t="str" cm="1">
        <f t="array" ref="G5082">SubCategorizeComment(E5082)</f>
        <v>Other</v>
      </c>
    </row>
    <row r="5083" spans="1:7" x14ac:dyDescent="0.25">
      <c r="A5083">
        <v>42135</v>
      </c>
      <c r="B5083" t="s">
        <v>4</v>
      </c>
      <c r="C5083">
        <v>3</v>
      </c>
      <c r="D5083" t="s">
        <v>5</v>
      </c>
      <c r="F5083" t="str" cm="1">
        <f t="array" ref="F5083">CategorizeComment(E5083)</f>
        <v>Other</v>
      </c>
      <c r="G5083" t="str" cm="1">
        <f t="array" ref="G5083">SubCategorizeComment(E5083)</f>
        <v>Other</v>
      </c>
    </row>
    <row r="5084" spans="1:7" x14ac:dyDescent="0.25">
      <c r="A5084">
        <v>42149</v>
      </c>
      <c r="B5084" t="s">
        <v>4</v>
      </c>
      <c r="C5084">
        <v>3</v>
      </c>
      <c r="D5084" t="s">
        <v>5</v>
      </c>
      <c r="F5084" t="str" cm="1">
        <f t="array" ref="F5084">CategorizeComment(E5084)</f>
        <v>Other</v>
      </c>
      <c r="G5084" t="str" cm="1">
        <f t="array" ref="G5084">SubCategorizeComment(E5084)</f>
        <v>Other</v>
      </c>
    </row>
    <row r="5085" spans="1:7" x14ac:dyDescent="0.25">
      <c r="A5085">
        <v>42152</v>
      </c>
      <c r="B5085" t="s">
        <v>4</v>
      </c>
      <c r="C5085">
        <v>3</v>
      </c>
      <c r="D5085" t="s">
        <v>5</v>
      </c>
      <c r="F5085" t="str" cm="1">
        <f t="array" ref="F5085">CategorizeComment(E5085)</f>
        <v>Other</v>
      </c>
      <c r="G5085" t="str" cm="1">
        <f t="array" ref="G5085">SubCategorizeComment(E5085)</f>
        <v>Other</v>
      </c>
    </row>
    <row r="5086" spans="1:7" x14ac:dyDescent="0.25">
      <c r="A5086">
        <v>42199</v>
      </c>
      <c r="B5086" t="s">
        <v>4</v>
      </c>
      <c r="C5086">
        <v>3</v>
      </c>
      <c r="D5086" t="s">
        <v>5</v>
      </c>
      <c r="F5086" t="str" cm="1">
        <f t="array" ref="F5086">CategorizeComment(E5086)</f>
        <v>Other</v>
      </c>
      <c r="G5086" t="str" cm="1">
        <f t="array" ref="G5086">SubCategorizeComment(E5086)</f>
        <v>Other</v>
      </c>
    </row>
    <row r="5087" spans="1:7" x14ac:dyDescent="0.25">
      <c r="A5087">
        <v>42201</v>
      </c>
      <c r="B5087" t="s">
        <v>4</v>
      </c>
      <c r="C5087">
        <v>3</v>
      </c>
      <c r="D5087" t="s">
        <v>5</v>
      </c>
      <c r="F5087" t="str" cm="1">
        <f t="array" ref="F5087">CategorizeComment(E5087)</f>
        <v>Other</v>
      </c>
      <c r="G5087" t="str" cm="1">
        <f t="array" ref="G5087">SubCategorizeComment(E5087)</f>
        <v>Other</v>
      </c>
    </row>
    <row r="5088" spans="1:7" x14ac:dyDescent="0.25">
      <c r="A5088">
        <v>42211</v>
      </c>
      <c r="B5088" t="s">
        <v>4</v>
      </c>
      <c r="C5088">
        <v>3</v>
      </c>
      <c r="D5088" t="s">
        <v>5</v>
      </c>
      <c r="F5088" t="str" cm="1">
        <f t="array" ref="F5088">CategorizeComment(E5088)</f>
        <v>Other</v>
      </c>
      <c r="G5088" t="str" cm="1">
        <f t="array" ref="G5088">SubCategorizeComment(E5088)</f>
        <v>Other</v>
      </c>
    </row>
    <row r="5089" spans="1:7" x14ac:dyDescent="0.25">
      <c r="A5089">
        <v>42226</v>
      </c>
      <c r="B5089" t="s">
        <v>4</v>
      </c>
      <c r="C5089">
        <v>3</v>
      </c>
      <c r="D5089" t="s">
        <v>5</v>
      </c>
      <c r="F5089" t="str" cm="1">
        <f t="array" ref="F5089">CategorizeComment(E5089)</f>
        <v>Other</v>
      </c>
      <c r="G5089" t="str" cm="1">
        <f t="array" ref="G5089">SubCategorizeComment(E5089)</f>
        <v>Other</v>
      </c>
    </row>
    <row r="5090" spans="1:7" x14ac:dyDescent="0.25">
      <c r="A5090">
        <v>42230</v>
      </c>
      <c r="B5090" t="s">
        <v>4</v>
      </c>
      <c r="C5090">
        <v>4</v>
      </c>
      <c r="D5090" t="s">
        <v>5</v>
      </c>
      <c r="F5090" t="str" cm="1">
        <f t="array" ref="F5090">CategorizeComment(E5090)</f>
        <v>Other</v>
      </c>
      <c r="G5090" t="str" cm="1">
        <f t="array" ref="G5090">SubCategorizeComment(E5090)</f>
        <v>Other</v>
      </c>
    </row>
    <row r="5091" spans="1:7" x14ac:dyDescent="0.25">
      <c r="A5091">
        <v>42233</v>
      </c>
      <c r="B5091" t="s">
        <v>4</v>
      </c>
      <c r="C5091">
        <v>3</v>
      </c>
      <c r="D5091" t="s">
        <v>5</v>
      </c>
      <c r="F5091" t="str" cm="1">
        <f t="array" ref="F5091">CategorizeComment(E5091)</f>
        <v>Other</v>
      </c>
      <c r="G5091" t="str" cm="1">
        <f t="array" ref="G5091">SubCategorizeComment(E5091)</f>
        <v>Other</v>
      </c>
    </row>
    <row r="5092" spans="1:7" x14ac:dyDescent="0.25">
      <c r="A5092">
        <v>42247</v>
      </c>
      <c r="B5092" t="s">
        <v>4</v>
      </c>
      <c r="C5092">
        <v>4</v>
      </c>
      <c r="D5092" t="s">
        <v>5</v>
      </c>
      <c r="F5092" t="str" cm="1">
        <f t="array" ref="F5092">CategorizeComment(E5092)</f>
        <v>Other</v>
      </c>
      <c r="G5092" t="str" cm="1">
        <f t="array" ref="G5092">SubCategorizeComment(E5092)</f>
        <v>Other</v>
      </c>
    </row>
    <row r="5093" spans="1:7" x14ac:dyDescent="0.25">
      <c r="A5093">
        <v>42248</v>
      </c>
      <c r="B5093" t="s">
        <v>4</v>
      </c>
      <c r="C5093">
        <v>4</v>
      </c>
      <c r="D5093" t="s">
        <v>5</v>
      </c>
      <c r="F5093" t="str" cm="1">
        <f t="array" ref="F5093">CategorizeComment(E5093)</f>
        <v>Other</v>
      </c>
      <c r="G5093" t="str" cm="1">
        <f t="array" ref="G5093">SubCategorizeComment(E5093)</f>
        <v>Other</v>
      </c>
    </row>
    <row r="5094" spans="1:7" x14ac:dyDescent="0.25">
      <c r="A5094">
        <v>42265</v>
      </c>
      <c r="B5094" t="s">
        <v>4</v>
      </c>
      <c r="C5094">
        <v>4</v>
      </c>
      <c r="D5094" t="s">
        <v>5</v>
      </c>
      <c r="F5094" t="str" cm="1">
        <f t="array" ref="F5094">CategorizeComment(E5094)</f>
        <v>Other</v>
      </c>
      <c r="G5094" t="str" cm="1">
        <f t="array" ref="G5094">SubCategorizeComment(E5094)</f>
        <v>Other</v>
      </c>
    </row>
    <row r="5095" spans="1:7" x14ac:dyDescent="0.25">
      <c r="A5095">
        <v>42280</v>
      </c>
      <c r="B5095" t="s">
        <v>4</v>
      </c>
      <c r="C5095">
        <v>3</v>
      </c>
      <c r="D5095" t="s">
        <v>5</v>
      </c>
      <c r="F5095" t="str" cm="1">
        <f t="array" ref="F5095">CategorizeComment(E5095)</f>
        <v>Other</v>
      </c>
      <c r="G5095" t="str" cm="1">
        <f t="array" ref="G5095">SubCategorizeComment(E5095)</f>
        <v>Other</v>
      </c>
    </row>
    <row r="5096" spans="1:7" x14ac:dyDescent="0.25">
      <c r="A5096">
        <v>42281</v>
      </c>
      <c r="B5096" t="s">
        <v>4</v>
      </c>
      <c r="C5096">
        <v>4</v>
      </c>
      <c r="D5096" t="s">
        <v>5</v>
      </c>
      <c r="F5096" t="str" cm="1">
        <f t="array" ref="F5096">CategorizeComment(E5096)</f>
        <v>Other</v>
      </c>
      <c r="G5096" t="str" cm="1">
        <f t="array" ref="G5096">SubCategorizeComment(E5096)</f>
        <v>Other</v>
      </c>
    </row>
    <row r="5097" spans="1:7" x14ac:dyDescent="0.25">
      <c r="A5097">
        <v>42282</v>
      </c>
      <c r="B5097" t="s">
        <v>4</v>
      </c>
      <c r="C5097">
        <v>4</v>
      </c>
      <c r="D5097" t="s">
        <v>5</v>
      </c>
      <c r="F5097" t="str" cm="1">
        <f t="array" ref="F5097">CategorizeComment(E5097)</f>
        <v>Other</v>
      </c>
      <c r="G5097" t="str" cm="1">
        <f t="array" ref="G5097">SubCategorizeComment(E5097)</f>
        <v>Other</v>
      </c>
    </row>
    <row r="5098" spans="1:7" x14ac:dyDescent="0.25">
      <c r="A5098">
        <v>42286</v>
      </c>
      <c r="B5098" t="s">
        <v>4</v>
      </c>
      <c r="C5098">
        <v>4</v>
      </c>
      <c r="D5098" t="s">
        <v>5</v>
      </c>
      <c r="F5098" t="str" cm="1">
        <f t="array" ref="F5098">CategorizeComment(E5098)</f>
        <v>Other</v>
      </c>
      <c r="G5098" t="str" cm="1">
        <f t="array" ref="G5098">SubCategorizeComment(E5098)</f>
        <v>Other</v>
      </c>
    </row>
    <row r="5099" spans="1:7" x14ac:dyDescent="0.25">
      <c r="A5099">
        <v>42287</v>
      </c>
      <c r="B5099" t="s">
        <v>4</v>
      </c>
      <c r="C5099">
        <v>3</v>
      </c>
      <c r="D5099" t="s">
        <v>5</v>
      </c>
      <c r="F5099" t="str" cm="1">
        <f t="array" ref="F5099">CategorizeComment(E5099)</f>
        <v>Other</v>
      </c>
      <c r="G5099" t="str" cm="1">
        <f t="array" ref="G5099">SubCategorizeComment(E5099)</f>
        <v>Other</v>
      </c>
    </row>
    <row r="5100" spans="1:7" x14ac:dyDescent="0.25">
      <c r="A5100">
        <v>42296</v>
      </c>
      <c r="B5100" t="s">
        <v>4</v>
      </c>
      <c r="C5100">
        <v>4</v>
      </c>
      <c r="D5100" t="s">
        <v>5</v>
      </c>
      <c r="F5100" t="str" cm="1">
        <f t="array" ref="F5100">CategorizeComment(E5100)</f>
        <v>Other</v>
      </c>
      <c r="G5100" t="str" cm="1">
        <f t="array" ref="G5100">SubCategorizeComment(E5100)</f>
        <v>Other</v>
      </c>
    </row>
    <row r="5101" spans="1:7" x14ac:dyDescent="0.25">
      <c r="A5101">
        <v>42300</v>
      </c>
      <c r="B5101" t="s">
        <v>4</v>
      </c>
      <c r="C5101">
        <v>3</v>
      </c>
      <c r="D5101" t="s">
        <v>5</v>
      </c>
      <c r="F5101" t="str" cm="1">
        <f t="array" ref="F5101">CategorizeComment(E5101)</f>
        <v>Other</v>
      </c>
      <c r="G5101" t="str" cm="1">
        <f t="array" ref="G5101">SubCategorizeComment(E5101)</f>
        <v>Other</v>
      </c>
    </row>
    <row r="5102" spans="1:7" x14ac:dyDescent="0.25">
      <c r="A5102">
        <v>42303</v>
      </c>
      <c r="B5102" t="s">
        <v>4</v>
      </c>
      <c r="C5102">
        <v>4</v>
      </c>
      <c r="D5102" t="s">
        <v>5</v>
      </c>
      <c r="F5102" t="str" cm="1">
        <f t="array" ref="F5102">CategorizeComment(E5102)</f>
        <v>Other</v>
      </c>
      <c r="G5102" t="str" cm="1">
        <f t="array" ref="G5102">SubCategorizeComment(E5102)</f>
        <v>Other</v>
      </c>
    </row>
    <row r="5103" spans="1:7" x14ac:dyDescent="0.25">
      <c r="A5103">
        <v>42305</v>
      </c>
      <c r="B5103" t="s">
        <v>4</v>
      </c>
      <c r="C5103">
        <v>3</v>
      </c>
      <c r="D5103" t="s">
        <v>5</v>
      </c>
      <c r="F5103" t="str" cm="1">
        <f t="array" ref="F5103">CategorizeComment(E5103)</f>
        <v>Other</v>
      </c>
      <c r="G5103" t="str" cm="1">
        <f t="array" ref="G5103">SubCategorizeComment(E5103)</f>
        <v>Other</v>
      </c>
    </row>
    <row r="5104" spans="1:7" x14ac:dyDescent="0.25">
      <c r="A5104">
        <v>42307</v>
      </c>
      <c r="B5104" t="s">
        <v>4</v>
      </c>
      <c r="C5104">
        <v>3</v>
      </c>
      <c r="D5104" t="s">
        <v>5</v>
      </c>
      <c r="F5104" t="str" cm="1">
        <f t="array" ref="F5104">CategorizeComment(E5104)</f>
        <v>Other</v>
      </c>
      <c r="G5104" t="str" cm="1">
        <f t="array" ref="G5104">SubCategorizeComment(E5104)</f>
        <v>Other</v>
      </c>
    </row>
    <row r="5105" spans="1:7" x14ac:dyDescent="0.25">
      <c r="A5105">
        <v>42309</v>
      </c>
      <c r="B5105" t="s">
        <v>4</v>
      </c>
      <c r="C5105">
        <v>4</v>
      </c>
      <c r="D5105" t="s">
        <v>5</v>
      </c>
      <c r="F5105" t="str" cm="1">
        <f t="array" ref="F5105">CategorizeComment(E5105)</f>
        <v>Other</v>
      </c>
      <c r="G5105" t="str" cm="1">
        <f t="array" ref="G5105">SubCategorizeComment(E5105)</f>
        <v>Other</v>
      </c>
    </row>
    <row r="5106" spans="1:7" x14ac:dyDescent="0.25">
      <c r="A5106">
        <v>42327</v>
      </c>
      <c r="B5106" t="s">
        <v>4</v>
      </c>
      <c r="C5106">
        <v>4</v>
      </c>
      <c r="D5106" t="s">
        <v>5</v>
      </c>
      <c r="F5106" t="str" cm="1">
        <f t="array" ref="F5106">CategorizeComment(E5106)</f>
        <v>Other</v>
      </c>
      <c r="G5106" t="str" cm="1">
        <f t="array" ref="G5106">SubCategorizeComment(E5106)</f>
        <v>Other</v>
      </c>
    </row>
    <row r="5107" spans="1:7" x14ac:dyDescent="0.25">
      <c r="A5107">
        <v>42329</v>
      </c>
      <c r="B5107" t="s">
        <v>4</v>
      </c>
      <c r="C5107">
        <v>4</v>
      </c>
      <c r="D5107" t="s">
        <v>5</v>
      </c>
      <c r="F5107" t="str" cm="1">
        <f t="array" ref="F5107">CategorizeComment(E5107)</f>
        <v>Other</v>
      </c>
      <c r="G5107" t="str" cm="1">
        <f t="array" ref="G5107">SubCategorizeComment(E5107)</f>
        <v>Other</v>
      </c>
    </row>
    <row r="5108" spans="1:7" x14ac:dyDescent="0.25">
      <c r="A5108">
        <v>42350</v>
      </c>
      <c r="B5108" t="s">
        <v>4</v>
      </c>
      <c r="C5108">
        <v>3</v>
      </c>
      <c r="D5108" t="s">
        <v>5</v>
      </c>
      <c r="F5108" t="str" cm="1">
        <f t="array" ref="F5108">CategorizeComment(E5108)</f>
        <v>Other</v>
      </c>
      <c r="G5108" t="str" cm="1">
        <f t="array" ref="G5108">SubCategorizeComment(E5108)</f>
        <v>Other</v>
      </c>
    </row>
    <row r="5109" spans="1:7" x14ac:dyDescent="0.25">
      <c r="A5109">
        <v>42380</v>
      </c>
      <c r="B5109" t="s">
        <v>4</v>
      </c>
      <c r="C5109">
        <v>4</v>
      </c>
      <c r="D5109" t="s">
        <v>5</v>
      </c>
      <c r="F5109" t="str" cm="1">
        <f t="array" ref="F5109">CategorizeComment(E5109)</f>
        <v>Other</v>
      </c>
      <c r="G5109" t="str" cm="1">
        <f t="array" ref="G5109">SubCategorizeComment(E5109)</f>
        <v>Other</v>
      </c>
    </row>
    <row r="5110" spans="1:7" x14ac:dyDescent="0.25">
      <c r="A5110">
        <v>42405</v>
      </c>
      <c r="B5110" t="s">
        <v>4</v>
      </c>
      <c r="C5110">
        <v>4</v>
      </c>
      <c r="D5110" t="s">
        <v>5</v>
      </c>
      <c r="F5110" t="str" cm="1">
        <f t="array" ref="F5110">CategorizeComment(E5110)</f>
        <v>Other</v>
      </c>
      <c r="G5110" t="str" cm="1">
        <f t="array" ref="G5110">SubCategorizeComment(E5110)</f>
        <v>Other</v>
      </c>
    </row>
    <row r="5111" spans="1:7" x14ac:dyDescent="0.25">
      <c r="A5111">
        <v>42414</v>
      </c>
      <c r="B5111" t="s">
        <v>4</v>
      </c>
      <c r="C5111">
        <v>3</v>
      </c>
      <c r="D5111" t="s">
        <v>5</v>
      </c>
      <c r="F5111" t="str" cm="1">
        <f t="array" ref="F5111">CategorizeComment(E5111)</f>
        <v>Other</v>
      </c>
      <c r="G5111" t="str" cm="1">
        <f t="array" ref="G5111">SubCategorizeComment(E5111)</f>
        <v>Other</v>
      </c>
    </row>
    <row r="5112" spans="1:7" x14ac:dyDescent="0.25">
      <c r="A5112">
        <v>42419</v>
      </c>
      <c r="B5112" t="s">
        <v>4</v>
      </c>
      <c r="C5112">
        <v>3</v>
      </c>
      <c r="D5112" t="s">
        <v>5</v>
      </c>
      <c r="F5112" t="str" cm="1">
        <f t="array" ref="F5112">CategorizeComment(E5112)</f>
        <v>Other</v>
      </c>
      <c r="G5112" t="str" cm="1">
        <f t="array" ref="G5112">SubCategorizeComment(E5112)</f>
        <v>Other</v>
      </c>
    </row>
    <row r="5113" spans="1:7" x14ac:dyDescent="0.25">
      <c r="A5113">
        <v>42420</v>
      </c>
      <c r="B5113" t="s">
        <v>4</v>
      </c>
      <c r="C5113">
        <v>4</v>
      </c>
      <c r="D5113" t="s">
        <v>5</v>
      </c>
      <c r="F5113" t="str" cm="1">
        <f t="array" ref="F5113">CategorizeComment(E5113)</f>
        <v>Other</v>
      </c>
      <c r="G5113" t="str" cm="1">
        <f t="array" ref="G5113">SubCategorizeComment(E5113)</f>
        <v>Other</v>
      </c>
    </row>
    <row r="5114" spans="1:7" x14ac:dyDescent="0.25">
      <c r="A5114">
        <v>42433</v>
      </c>
      <c r="B5114" t="s">
        <v>4</v>
      </c>
      <c r="C5114">
        <v>3</v>
      </c>
      <c r="D5114" t="s">
        <v>5</v>
      </c>
      <c r="F5114" t="str" cm="1">
        <f t="array" ref="F5114">CategorizeComment(E5114)</f>
        <v>Other</v>
      </c>
      <c r="G5114" t="str" cm="1">
        <f t="array" ref="G5114">SubCategorizeComment(E5114)</f>
        <v>Other</v>
      </c>
    </row>
    <row r="5115" spans="1:7" x14ac:dyDescent="0.25">
      <c r="A5115">
        <v>42434</v>
      </c>
      <c r="B5115" t="s">
        <v>4</v>
      </c>
      <c r="C5115">
        <v>3</v>
      </c>
      <c r="D5115" t="s">
        <v>5</v>
      </c>
      <c r="F5115" t="str" cm="1">
        <f t="array" ref="F5115">CategorizeComment(E5115)</f>
        <v>Other</v>
      </c>
      <c r="G5115" t="str" cm="1">
        <f t="array" ref="G5115">SubCategorizeComment(E5115)</f>
        <v>Other</v>
      </c>
    </row>
    <row r="5116" spans="1:7" x14ac:dyDescent="0.25">
      <c r="A5116">
        <v>42446</v>
      </c>
      <c r="B5116" t="s">
        <v>4</v>
      </c>
      <c r="C5116">
        <v>3</v>
      </c>
      <c r="D5116" t="s">
        <v>5</v>
      </c>
      <c r="F5116" t="str" cm="1">
        <f t="array" ref="F5116">CategorizeComment(E5116)</f>
        <v>Other</v>
      </c>
      <c r="G5116" t="str" cm="1">
        <f t="array" ref="G5116">SubCategorizeComment(E5116)</f>
        <v>Other</v>
      </c>
    </row>
    <row r="5117" spans="1:7" x14ac:dyDescent="0.25">
      <c r="A5117">
        <v>42449</v>
      </c>
      <c r="B5117" t="s">
        <v>4</v>
      </c>
      <c r="C5117">
        <v>3</v>
      </c>
      <c r="D5117" t="s">
        <v>5</v>
      </c>
      <c r="F5117" t="str" cm="1">
        <f t="array" ref="F5117">CategorizeComment(E5117)</f>
        <v>Other</v>
      </c>
      <c r="G5117" t="str" cm="1">
        <f t="array" ref="G5117">SubCategorizeComment(E5117)</f>
        <v>Other</v>
      </c>
    </row>
    <row r="5118" spans="1:7" x14ac:dyDescent="0.25">
      <c r="A5118">
        <v>42450</v>
      </c>
      <c r="B5118" t="s">
        <v>4</v>
      </c>
      <c r="C5118">
        <v>4</v>
      </c>
      <c r="D5118" t="s">
        <v>5</v>
      </c>
      <c r="F5118" t="str" cm="1">
        <f t="array" ref="F5118">CategorizeComment(E5118)</f>
        <v>Other</v>
      </c>
      <c r="G5118" t="str" cm="1">
        <f t="array" ref="G5118">SubCategorizeComment(E5118)</f>
        <v>Other</v>
      </c>
    </row>
    <row r="5119" spans="1:7" x14ac:dyDescent="0.25">
      <c r="A5119">
        <v>42469</v>
      </c>
      <c r="B5119" t="s">
        <v>4</v>
      </c>
      <c r="C5119">
        <v>3</v>
      </c>
      <c r="D5119" t="s">
        <v>5</v>
      </c>
      <c r="F5119" t="str" cm="1">
        <f t="array" ref="F5119">CategorizeComment(E5119)</f>
        <v>Other</v>
      </c>
      <c r="G5119" t="str" cm="1">
        <f t="array" ref="G5119">SubCategorizeComment(E5119)</f>
        <v>Other</v>
      </c>
    </row>
    <row r="5120" spans="1:7" x14ac:dyDescent="0.25">
      <c r="A5120">
        <v>42477</v>
      </c>
      <c r="B5120" t="s">
        <v>4</v>
      </c>
      <c r="C5120">
        <v>4</v>
      </c>
      <c r="D5120" t="s">
        <v>5</v>
      </c>
      <c r="F5120" t="str" cm="1">
        <f t="array" ref="F5120">CategorizeComment(E5120)</f>
        <v>Other</v>
      </c>
      <c r="G5120" t="str" cm="1">
        <f t="array" ref="G5120">SubCategorizeComment(E5120)</f>
        <v>Other</v>
      </c>
    </row>
    <row r="5121" spans="1:7" x14ac:dyDescent="0.25">
      <c r="A5121">
        <v>42485</v>
      </c>
      <c r="B5121" t="s">
        <v>4</v>
      </c>
      <c r="C5121">
        <v>3</v>
      </c>
      <c r="D5121" t="s">
        <v>5</v>
      </c>
      <c r="F5121" t="str" cm="1">
        <f t="array" ref="F5121">CategorizeComment(E5121)</f>
        <v>Other</v>
      </c>
      <c r="G5121" t="str" cm="1">
        <f t="array" ref="G5121">SubCategorizeComment(E5121)</f>
        <v>Other</v>
      </c>
    </row>
    <row r="5122" spans="1:7" x14ac:dyDescent="0.25">
      <c r="A5122">
        <v>42489</v>
      </c>
      <c r="B5122" t="s">
        <v>4</v>
      </c>
      <c r="C5122">
        <v>3</v>
      </c>
      <c r="D5122" t="s">
        <v>5</v>
      </c>
      <c r="F5122" t="str" cm="1">
        <f t="array" ref="F5122">CategorizeComment(E5122)</f>
        <v>Other</v>
      </c>
      <c r="G5122" t="str" cm="1">
        <f t="array" ref="G5122">SubCategorizeComment(E5122)</f>
        <v>Other</v>
      </c>
    </row>
    <row r="5123" spans="1:7" x14ac:dyDescent="0.25">
      <c r="A5123">
        <v>42490</v>
      </c>
      <c r="B5123" t="s">
        <v>4</v>
      </c>
      <c r="C5123">
        <v>4</v>
      </c>
      <c r="D5123" t="s">
        <v>5</v>
      </c>
      <c r="F5123" t="str" cm="1">
        <f t="array" ref="F5123">CategorizeComment(E5123)</f>
        <v>Other</v>
      </c>
      <c r="G5123" t="str" cm="1">
        <f t="array" ref="G5123">SubCategorizeComment(E5123)</f>
        <v>Other</v>
      </c>
    </row>
    <row r="5124" spans="1:7" x14ac:dyDescent="0.25">
      <c r="A5124">
        <v>42497</v>
      </c>
      <c r="B5124" t="s">
        <v>4</v>
      </c>
      <c r="C5124">
        <v>4</v>
      </c>
      <c r="D5124" t="s">
        <v>5</v>
      </c>
      <c r="F5124" t="str" cm="1">
        <f t="array" ref="F5124">CategorizeComment(E5124)</f>
        <v>Other</v>
      </c>
      <c r="G5124" t="str" cm="1">
        <f t="array" ref="G5124">SubCategorizeComment(E5124)</f>
        <v>Other</v>
      </c>
    </row>
    <row r="5125" spans="1:7" x14ac:dyDescent="0.25">
      <c r="A5125">
        <v>42508</v>
      </c>
      <c r="B5125" t="s">
        <v>4</v>
      </c>
      <c r="C5125">
        <v>3</v>
      </c>
      <c r="D5125" t="s">
        <v>5</v>
      </c>
      <c r="F5125" t="str" cm="1">
        <f t="array" ref="F5125">CategorizeComment(E5125)</f>
        <v>Other</v>
      </c>
      <c r="G5125" t="str" cm="1">
        <f t="array" ref="G5125">SubCategorizeComment(E5125)</f>
        <v>Other</v>
      </c>
    </row>
    <row r="5126" spans="1:7" x14ac:dyDescent="0.25">
      <c r="A5126">
        <v>42517</v>
      </c>
      <c r="B5126" t="s">
        <v>4</v>
      </c>
      <c r="C5126">
        <v>4</v>
      </c>
      <c r="D5126" t="s">
        <v>5</v>
      </c>
      <c r="F5126" t="str" cm="1">
        <f t="array" ref="F5126">CategorizeComment(E5126)</f>
        <v>Other</v>
      </c>
      <c r="G5126" t="str" cm="1">
        <f t="array" ref="G5126">SubCategorizeComment(E5126)</f>
        <v>Other</v>
      </c>
    </row>
    <row r="5127" spans="1:7" x14ac:dyDescent="0.25">
      <c r="A5127">
        <v>42527</v>
      </c>
      <c r="B5127" t="s">
        <v>4</v>
      </c>
      <c r="C5127">
        <v>3</v>
      </c>
      <c r="D5127" t="s">
        <v>5</v>
      </c>
      <c r="F5127" t="str" cm="1">
        <f t="array" ref="F5127">CategorizeComment(E5127)</f>
        <v>Other</v>
      </c>
      <c r="G5127" t="str" cm="1">
        <f t="array" ref="G5127">SubCategorizeComment(E5127)</f>
        <v>Other</v>
      </c>
    </row>
    <row r="5128" spans="1:7" x14ac:dyDescent="0.25">
      <c r="A5128">
        <v>42535</v>
      </c>
      <c r="B5128" t="s">
        <v>4</v>
      </c>
      <c r="C5128">
        <v>4</v>
      </c>
      <c r="D5128" t="s">
        <v>5</v>
      </c>
      <c r="F5128" t="str" cm="1">
        <f t="array" ref="F5128">CategorizeComment(E5128)</f>
        <v>Other</v>
      </c>
      <c r="G5128" t="str" cm="1">
        <f t="array" ref="G5128">SubCategorizeComment(E5128)</f>
        <v>Other</v>
      </c>
    </row>
    <row r="5129" spans="1:7" x14ac:dyDescent="0.25">
      <c r="A5129">
        <v>42542</v>
      </c>
      <c r="B5129" t="s">
        <v>4</v>
      </c>
      <c r="C5129">
        <v>3</v>
      </c>
      <c r="D5129" t="s">
        <v>5</v>
      </c>
      <c r="F5129" t="str" cm="1">
        <f t="array" ref="F5129">CategorizeComment(E5129)</f>
        <v>Other</v>
      </c>
      <c r="G5129" t="str" cm="1">
        <f t="array" ref="G5129">SubCategorizeComment(E5129)</f>
        <v>Other</v>
      </c>
    </row>
    <row r="5130" spans="1:7" x14ac:dyDescent="0.25">
      <c r="A5130">
        <v>42557</v>
      </c>
      <c r="B5130" t="s">
        <v>4</v>
      </c>
      <c r="C5130">
        <v>3</v>
      </c>
      <c r="D5130" t="s">
        <v>5</v>
      </c>
      <c r="F5130" t="str" cm="1">
        <f t="array" ref="F5130">CategorizeComment(E5130)</f>
        <v>Other</v>
      </c>
      <c r="G5130" t="str" cm="1">
        <f t="array" ref="G5130">SubCategorizeComment(E5130)</f>
        <v>Other</v>
      </c>
    </row>
    <row r="5131" spans="1:7" x14ac:dyDescent="0.25">
      <c r="A5131">
        <v>42565</v>
      </c>
      <c r="B5131" t="s">
        <v>4</v>
      </c>
      <c r="C5131">
        <v>4</v>
      </c>
      <c r="D5131" t="s">
        <v>5</v>
      </c>
      <c r="F5131" t="str" cm="1">
        <f t="array" ref="F5131">CategorizeComment(E5131)</f>
        <v>Other</v>
      </c>
      <c r="G5131" t="str" cm="1">
        <f t="array" ref="G5131">SubCategorizeComment(E5131)</f>
        <v>Other</v>
      </c>
    </row>
    <row r="5132" spans="1:7" x14ac:dyDescent="0.25">
      <c r="A5132">
        <v>42576</v>
      </c>
      <c r="B5132" t="s">
        <v>4</v>
      </c>
      <c r="C5132">
        <v>4</v>
      </c>
      <c r="D5132" t="s">
        <v>5</v>
      </c>
      <c r="F5132" t="str" cm="1">
        <f t="array" ref="F5132">CategorizeComment(E5132)</f>
        <v>Other</v>
      </c>
      <c r="G5132" t="str" cm="1">
        <f t="array" ref="G5132">SubCategorizeComment(E5132)</f>
        <v>Other</v>
      </c>
    </row>
    <row r="5133" spans="1:7" x14ac:dyDescent="0.25">
      <c r="A5133">
        <v>42584</v>
      </c>
      <c r="B5133" t="s">
        <v>4</v>
      </c>
      <c r="C5133">
        <v>4</v>
      </c>
      <c r="D5133" t="s">
        <v>5</v>
      </c>
      <c r="F5133" t="str" cm="1">
        <f t="array" ref="F5133">CategorizeComment(E5133)</f>
        <v>Other</v>
      </c>
      <c r="G5133" t="str" cm="1">
        <f t="array" ref="G5133">SubCategorizeComment(E5133)</f>
        <v>Other</v>
      </c>
    </row>
    <row r="5134" spans="1:7" x14ac:dyDescent="0.25">
      <c r="A5134">
        <v>42607</v>
      </c>
      <c r="B5134" t="s">
        <v>4</v>
      </c>
      <c r="C5134">
        <v>4</v>
      </c>
      <c r="D5134" t="s">
        <v>5</v>
      </c>
      <c r="F5134" t="str" cm="1">
        <f t="array" ref="F5134">CategorizeComment(E5134)</f>
        <v>Other</v>
      </c>
      <c r="G5134" t="str" cm="1">
        <f t="array" ref="G5134">SubCategorizeComment(E5134)</f>
        <v>Other</v>
      </c>
    </row>
    <row r="5135" spans="1:7" x14ac:dyDescent="0.25">
      <c r="A5135">
        <v>42611</v>
      </c>
      <c r="B5135" t="s">
        <v>4</v>
      </c>
      <c r="C5135">
        <v>4</v>
      </c>
      <c r="D5135" t="s">
        <v>5</v>
      </c>
      <c r="F5135" t="str" cm="1">
        <f t="array" ref="F5135">CategorizeComment(E5135)</f>
        <v>Other</v>
      </c>
      <c r="G5135" t="str" cm="1">
        <f t="array" ref="G5135">SubCategorizeComment(E5135)</f>
        <v>Other</v>
      </c>
    </row>
    <row r="5136" spans="1:7" x14ac:dyDescent="0.25">
      <c r="A5136">
        <v>42613</v>
      </c>
      <c r="B5136" t="s">
        <v>4</v>
      </c>
      <c r="C5136">
        <v>3</v>
      </c>
      <c r="D5136" t="s">
        <v>5</v>
      </c>
      <c r="F5136" t="str" cm="1">
        <f t="array" ref="F5136">CategorizeComment(E5136)</f>
        <v>Other</v>
      </c>
      <c r="G5136" t="str" cm="1">
        <f t="array" ref="G5136">SubCategorizeComment(E5136)</f>
        <v>Other</v>
      </c>
    </row>
    <row r="5137" spans="1:7" x14ac:dyDescent="0.25">
      <c r="A5137">
        <v>42627</v>
      </c>
      <c r="B5137" t="s">
        <v>4</v>
      </c>
      <c r="C5137">
        <v>3</v>
      </c>
      <c r="D5137" t="s">
        <v>5</v>
      </c>
      <c r="F5137" t="str" cm="1">
        <f t="array" ref="F5137">CategorizeComment(E5137)</f>
        <v>Other</v>
      </c>
      <c r="G5137" t="str" cm="1">
        <f t="array" ref="G5137">SubCategorizeComment(E5137)</f>
        <v>Other</v>
      </c>
    </row>
    <row r="5138" spans="1:7" x14ac:dyDescent="0.25">
      <c r="A5138">
        <v>42628</v>
      </c>
      <c r="B5138" t="s">
        <v>4</v>
      </c>
      <c r="C5138">
        <v>4</v>
      </c>
      <c r="D5138" t="s">
        <v>5</v>
      </c>
      <c r="F5138" t="str" cm="1">
        <f t="array" ref="F5138">CategorizeComment(E5138)</f>
        <v>Other</v>
      </c>
      <c r="G5138" t="str" cm="1">
        <f t="array" ref="G5138">SubCategorizeComment(E5138)</f>
        <v>Other</v>
      </c>
    </row>
    <row r="5139" spans="1:7" x14ac:dyDescent="0.25">
      <c r="A5139">
        <v>42630</v>
      </c>
      <c r="B5139" t="s">
        <v>4</v>
      </c>
      <c r="C5139">
        <v>4</v>
      </c>
      <c r="D5139" t="s">
        <v>5</v>
      </c>
      <c r="F5139" t="str" cm="1">
        <f t="array" ref="F5139">CategorizeComment(E5139)</f>
        <v>Other</v>
      </c>
      <c r="G5139" t="str" cm="1">
        <f t="array" ref="G5139">SubCategorizeComment(E5139)</f>
        <v>Other</v>
      </c>
    </row>
    <row r="5140" spans="1:7" x14ac:dyDescent="0.25">
      <c r="A5140">
        <v>42644</v>
      </c>
      <c r="B5140" t="s">
        <v>4</v>
      </c>
      <c r="C5140">
        <v>4</v>
      </c>
      <c r="D5140" t="s">
        <v>5</v>
      </c>
      <c r="F5140" t="str" cm="1">
        <f t="array" ref="F5140">CategorizeComment(E5140)</f>
        <v>Other</v>
      </c>
      <c r="G5140" t="str" cm="1">
        <f t="array" ref="G5140">SubCategorizeComment(E5140)</f>
        <v>Other</v>
      </c>
    </row>
    <row r="5141" spans="1:7" x14ac:dyDescent="0.25">
      <c r="A5141">
        <v>42655</v>
      </c>
      <c r="B5141" t="s">
        <v>4</v>
      </c>
      <c r="C5141">
        <v>3</v>
      </c>
      <c r="D5141" t="s">
        <v>5</v>
      </c>
      <c r="F5141" t="str" cm="1">
        <f t="array" ref="F5141">CategorizeComment(E5141)</f>
        <v>Other</v>
      </c>
      <c r="G5141" t="str" cm="1">
        <f t="array" ref="G5141">SubCategorizeComment(E5141)</f>
        <v>Other</v>
      </c>
    </row>
    <row r="5142" spans="1:7" x14ac:dyDescent="0.25">
      <c r="A5142">
        <v>42662</v>
      </c>
      <c r="B5142" t="s">
        <v>4</v>
      </c>
      <c r="C5142">
        <v>3</v>
      </c>
      <c r="D5142" t="s">
        <v>5</v>
      </c>
      <c r="F5142" t="str" cm="1">
        <f t="array" ref="F5142">CategorizeComment(E5142)</f>
        <v>Other</v>
      </c>
      <c r="G5142" t="str" cm="1">
        <f t="array" ref="G5142">SubCategorizeComment(E5142)</f>
        <v>Other</v>
      </c>
    </row>
    <row r="5143" spans="1:7" x14ac:dyDescent="0.25">
      <c r="A5143">
        <v>42664</v>
      </c>
      <c r="B5143" t="s">
        <v>4</v>
      </c>
      <c r="C5143">
        <v>4</v>
      </c>
      <c r="D5143" t="s">
        <v>5</v>
      </c>
      <c r="F5143" t="str" cm="1">
        <f t="array" ref="F5143">CategorizeComment(E5143)</f>
        <v>Other</v>
      </c>
      <c r="G5143" t="str" cm="1">
        <f t="array" ref="G5143">SubCategorizeComment(E5143)</f>
        <v>Other</v>
      </c>
    </row>
    <row r="5144" spans="1:7" x14ac:dyDescent="0.25">
      <c r="A5144">
        <v>42684</v>
      </c>
      <c r="B5144" t="s">
        <v>4</v>
      </c>
      <c r="C5144">
        <v>4</v>
      </c>
      <c r="D5144" t="s">
        <v>5</v>
      </c>
      <c r="F5144" t="str" cm="1">
        <f t="array" ref="F5144">CategorizeComment(E5144)</f>
        <v>Other</v>
      </c>
      <c r="G5144" t="str" cm="1">
        <f t="array" ref="G5144">SubCategorizeComment(E5144)</f>
        <v>Other</v>
      </c>
    </row>
    <row r="5145" spans="1:7" x14ac:dyDescent="0.25">
      <c r="A5145">
        <v>42718</v>
      </c>
      <c r="B5145" t="s">
        <v>4</v>
      </c>
      <c r="C5145">
        <v>4</v>
      </c>
      <c r="D5145" t="s">
        <v>5</v>
      </c>
      <c r="F5145" t="str" cm="1">
        <f t="array" ref="F5145">CategorizeComment(E5145)</f>
        <v>Other</v>
      </c>
      <c r="G5145" t="str" cm="1">
        <f t="array" ref="G5145">SubCategorizeComment(E5145)</f>
        <v>Other</v>
      </c>
    </row>
    <row r="5146" spans="1:7" x14ac:dyDescent="0.25">
      <c r="A5146">
        <v>42722</v>
      </c>
      <c r="B5146" t="s">
        <v>4</v>
      </c>
      <c r="C5146">
        <v>3</v>
      </c>
      <c r="D5146" t="s">
        <v>5</v>
      </c>
      <c r="F5146" t="str" cm="1">
        <f t="array" ref="F5146">CategorizeComment(E5146)</f>
        <v>Other</v>
      </c>
      <c r="G5146" t="str" cm="1">
        <f t="array" ref="G5146">SubCategorizeComment(E5146)</f>
        <v>Other</v>
      </c>
    </row>
    <row r="5147" spans="1:7" x14ac:dyDescent="0.25">
      <c r="A5147">
        <v>42723</v>
      </c>
      <c r="B5147" t="s">
        <v>4</v>
      </c>
      <c r="C5147">
        <v>4</v>
      </c>
      <c r="D5147" t="s">
        <v>5</v>
      </c>
      <c r="F5147" t="str" cm="1">
        <f t="array" ref="F5147">CategorizeComment(E5147)</f>
        <v>Other</v>
      </c>
      <c r="G5147" t="str" cm="1">
        <f t="array" ref="G5147">SubCategorizeComment(E5147)</f>
        <v>Other</v>
      </c>
    </row>
    <row r="5148" spans="1:7" x14ac:dyDescent="0.25">
      <c r="A5148">
        <v>42758</v>
      </c>
      <c r="B5148" t="s">
        <v>4</v>
      </c>
      <c r="C5148">
        <v>4</v>
      </c>
      <c r="D5148" t="s">
        <v>5</v>
      </c>
      <c r="F5148" t="str" cm="1">
        <f t="array" ref="F5148">CategorizeComment(E5148)</f>
        <v>Other</v>
      </c>
      <c r="G5148" t="str" cm="1">
        <f t="array" ref="G5148">SubCategorizeComment(E5148)</f>
        <v>Other</v>
      </c>
    </row>
    <row r="5149" spans="1:7" x14ac:dyDescent="0.25">
      <c r="A5149">
        <v>42762</v>
      </c>
      <c r="B5149" t="s">
        <v>4</v>
      </c>
      <c r="C5149">
        <v>3</v>
      </c>
      <c r="D5149" t="s">
        <v>5</v>
      </c>
      <c r="F5149" t="str" cm="1">
        <f t="array" ref="F5149">CategorizeComment(E5149)</f>
        <v>Other</v>
      </c>
      <c r="G5149" t="str" cm="1">
        <f t="array" ref="G5149">SubCategorizeComment(E5149)</f>
        <v>Other</v>
      </c>
    </row>
    <row r="5150" spans="1:7" x14ac:dyDescent="0.25">
      <c r="A5150">
        <v>42763</v>
      </c>
      <c r="B5150" t="s">
        <v>4</v>
      </c>
      <c r="C5150">
        <v>4</v>
      </c>
      <c r="D5150" t="s">
        <v>5</v>
      </c>
      <c r="F5150" t="str" cm="1">
        <f t="array" ref="F5150">CategorizeComment(E5150)</f>
        <v>Other</v>
      </c>
      <c r="G5150" t="str" cm="1">
        <f t="array" ref="G5150">SubCategorizeComment(E5150)</f>
        <v>Other</v>
      </c>
    </row>
    <row r="5151" spans="1:7" x14ac:dyDescent="0.25">
      <c r="A5151">
        <v>42768</v>
      </c>
      <c r="B5151" t="s">
        <v>4</v>
      </c>
      <c r="C5151">
        <v>3</v>
      </c>
      <c r="D5151" t="s">
        <v>5</v>
      </c>
      <c r="F5151" t="str" cm="1">
        <f t="array" ref="F5151">CategorizeComment(E5151)</f>
        <v>Other</v>
      </c>
      <c r="G5151" t="str" cm="1">
        <f t="array" ref="G5151">SubCategorizeComment(E5151)</f>
        <v>Other</v>
      </c>
    </row>
    <row r="5152" spans="1:7" x14ac:dyDescent="0.25">
      <c r="A5152">
        <v>42798</v>
      </c>
      <c r="B5152" t="s">
        <v>4</v>
      </c>
      <c r="C5152">
        <v>4</v>
      </c>
      <c r="D5152" t="s">
        <v>5</v>
      </c>
      <c r="F5152" t="str" cm="1">
        <f t="array" ref="F5152">CategorizeComment(E5152)</f>
        <v>Other</v>
      </c>
      <c r="G5152" t="str" cm="1">
        <f t="array" ref="G5152">SubCategorizeComment(E5152)</f>
        <v>Other</v>
      </c>
    </row>
    <row r="5153" spans="1:7" x14ac:dyDescent="0.25">
      <c r="A5153">
        <v>42812</v>
      </c>
      <c r="B5153" t="s">
        <v>4</v>
      </c>
      <c r="C5153">
        <v>3</v>
      </c>
      <c r="D5153" t="s">
        <v>5</v>
      </c>
      <c r="F5153" t="str" cm="1">
        <f t="array" ref="F5153">CategorizeComment(E5153)</f>
        <v>Other</v>
      </c>
      <c r="G5153" t="str" cm="1">
        <f t="array" ref="G5153">SubCategorizeComment(E5153)</f>
        <v>Other</v>
      </c>
    </row>
    <row r="5154" spans="1:7" x14ac:dyDescent="0.25">
      <c r="A5154">
        <v>42813</v>
      </c>
      <c r="B5154" t="s">
        <v>4</v>
      </c>
      <c r="C5154">
        <v>4</v>
      </c>
      <c r="D5154" t="s">
        <v>5</v>
      </c>
      <c r="F5154" t="str" cm="1">
        <f t="array" ref="F5154">CategorizeComment(E5154)</f>
        <v>Other</v>
      </c>
      <c r="G5154" t="str" cm="1">
        <f t="array" ref="G5154">SubCategorizeComment(E5154)</f>
        <v>Other</v>
      </c>
    </row>
    <row r="5155" spans="1:7" x14ac:dyDescent="0.25">
      <c r="A5155">
        <v>42814</v>
      </c>
      <c r="B5155" t="s">
        <v>4</v>
      </c>
      <c r="C5155">
        <v>4</v>
      </c>
      <c r="D5155" t="s">
        <v>5</v>
      </c>
      <c r="F5155" t="str" cm="1">
        <f t="array" ref="F5155">CategorizeComment(E5155)</f>
        <v>Other</v>
      </c>
      <c r="G5155" t="str" cm="1">
        <f t="array" ref="G5155">SubCategorizeComment(E5155)</f>
        <v>Other</v>
      </c>
    </row>
    <row r="5156" spans="1:7" x14ac:dyDescent="0.25">
      <c r="A5156">
        <v>42820</v>
      </c>
      <c r="B5156" t="s">
        <v>4</v>
      </c>
      <c r="C5156">
        <v>3</v>
      </c>
      <c r="D5156" t="s">
        <v>5</v>
      </c>
      <c r="F5156" t="str" cm="1">
        <f t="array" ref="F5156">CategorizeComment(E5156)</f>
        <v>Other</v>
      </c>
      <c r="G5156" t="str" cm="1">
        <f t="array" ref="G5156">SubCategorizeComment(E5156)</f>
        <v>Other</v>
      </c>
    </row>
    <row r="5157" spans="1:7" x14ac:dyDescent="0.25">
      <c r="A5157">
        <v>42821</v>
      </c>
      <c r="B5157" t="s">
        <v>4</v>
      </c>
      <c r="C5157">
        <v>4</v>
      </c>
      <c r="D5157" t="s">
        <v>5</v>
      </c>
      <c r="F5157" t="str" cm="1">
        <f t="array" ref="F5157">CategorizeComment(E5157)</f>
        <v>Other</v>
      </c>
      <c r="G5157" t="str" cm="1">
        <f t="array" ref="G5157">SubCategorizeComment(E5157)</f>
        <v>Other</v>
      </c>
    </row>
    <row r="5158" spans="1:7" x14ac:dyDescent="0.25">
      <c r="A5158">
        <v>42822</v>
      </c>
      <c r="B5158" t="s">
        <v>4</v>
      </c>
      <c r="C5158">
        <v>3</v>
      </c>
      <c r="D5158" t="s">
        <v>5</v>
      </c>
      <c r="F5158" t="str" cm="1">
        <f t="array" ref="F5158">CategorizeComment(E5158)</f>
        <v>Other</v>
      </c>
      <c r="G5158" t="str" cm="1">
        <f t="array" ref="G5158">SubCategorizeComment(E5158)</f>
        <v>Other</v>
      </c>
    </row>
    <row r="5159" spans="1:7" x14ac:dyDescent="0.25">
      <c r="A5159">
        <v>42836</v>
      </c>
      <c r="B5159" t="s">
        <v>4</v>
      </c>
      <c r="C5159">
        <v>4</v>
      </c>
      <c r="D5159" t="s">
        <v>5</v>
      </c>
      <c r="F5159" t="str" cm="1">
        <f t="array" ref="F5159">CategorizeComment(E5159)</f>
        <v>Other</v>
      </c>
      <c r="G5159" t="str" cm="1">
        <f t="array" ref="G5159">SubCategorizeComment(E5159)</f>
        <v>Other</v>
      </c>
    </row>
    <row r="5160" spans="1:7" x14ac:dyDescent="0.25">
      <c r="A5160">
        <v>42843</v>
      </c>
      <c r="B5160" t="s">
        <v>4</v>
      </c>
      <c r="C5160">
        <v>4</v>
      </c>
      <c r="D5160" t="s">
        <v>5</v>
      </c>
      <c r="F5160" t="str" cm="1">
        <f t="array" ref="F5160">CategorizeComment(E5160)</f>
        <v>Other</v>
      </c>
      <c r="G5160" t="str" cm="1">
        <f t="array" ref="G5160">SubCategorizeComment(E5160)</f>
        <v>Other</v>
      </c>
    </row>
    <row r="5161" spans="1:7" x14ac:dyDescent="0.25">
      <c r="A5161">
        <v>42869</v>
      </c>
      <c r="B5161" t="s">
        <v>4</v>
      </c>
      <c r="C5161">
        <v>4</v>
      </c>
      <c r="D5161" t="s">
        <v>5</v>
      </c>
      <c r="F5161" t="str" cm="1">
        <f t="array" ref="F5161">CategorizeComment(E5161)</f>
        <v>Other</v>
      </c>
      <c r="G5161" t="str" cm="1">
        <f t="array" ref="G5161">SubCategorizeComment(E5161)</f>
        <v>Other</v>
      </c>
    </row>
    <row r="5162" spans="1:7" x14ac:dyDescent="0.25">
      <c r="A5162">
        <v>42871</v>
      </c>
      <c r="B5162" t="s">
        <v>4</v>
      </c>
      <c r="C5162">
        <v>3</v>
      </c>
      <c r="D5162" t="s">
        <v>5</v>
      </c>
      <c r="F5162" t="str" cm="1">
        <f t="array" ref="F5162">CategorizeComment(E5162)</f>
        <v>Other</v>
      </c>
      <c r="G5162" t="str" cm="1">
        <f t="array" ref="G5162">SubCategorizeComment(E5162)</f>
        <v>Other</v>
      </c>
    </row>
    <row r="5163" spans="1:7" x14ac:dyDescent="0.25">
      <c r="A5163">
        <v>42872</v>
      </c>
      <c r="B5163" t="s">
        <v>4</v>
      </c>
      <c r="C5163">
        <v>3</v>
      </c>
      <c r="D5163" t="s">
        <v>5</v>
      </c>
      <c r="F5163" t="str" cm="1">
        <f t="array" ref="F5163">CategorizeComment(E5163)</f>
        <v>Other</v>
      </c>
      <c r="G5163" t="str" cm="1">
        <f t="array" ref="G5163">SubCategorizeComment(E5163)</f>
        <v>Other</v>
      </c>
    </row>
    <row r="5164" spans="1:7" x14ac:dyDescent="0.25">
      <c r="A5164">
        <v>42873</v>
      </c>
      <c r="B5164" t="s">
        <v>4</v>
      </c>
      <c r="C5164">
        <v>3</v>
      </c>
      <c r="D5164" t="s">
        <v>5</v>
      </c>
      <c r="F5164" t="str" cm="1">
        <f t="array" ref="F5164">CategorizeComment(E5164)</f>
        <v>Other</v>
      </c>
      <c r="G5164" t="str" cm="1">
        <f t="array" ref="G5164">SubCategorizeComment(E5164)</f>
        <v>Other</v>
      </c>
    </row>
    <row r="5165" spans="1:7" x14ac:dyDescent="0.25">
      <c r="A5165">
        <v>42886</v>
      </c>
      <c r="B5165" t="s">
        <v>4</v>
      </c>
      <c r="C5165">
        <v>4</v>
      </c>
      <c r="D5165" t="s">
        <v>5</v>
      </c>
      <c r="F5165" t="str" cm="1">
        <f t="array" ref="F5165">CategorizeComment(E5165)</f>
        <v>Other</v>
      </c>
      <c r="G5165" t="str" cm="1">
        <f t="array" ref="G5165">SubCategorizeComment(E5165)</f>
        <v>Other</v>
      </c>
    </row>
    <row r="5166" spans="1:7" x14ac:dyDescent="0.25">
      <c r="A5166">
        <v>42899</v>
      </c>
      <c r="B5166" t="s">
        <v>4</v>
      </c>
      <c r="C5166">
        <v>3</v>
      </c>
      <c r="D5166" t="s">
        <v>5</v>
      </c>
      <c r="F5166" t="str" cm="1">
        <f t="array" ref="F5166">CategorizeComment(E5166)</f>
        <v>Other</v>
      </c>
      <c r="G5166" t="str" cm="1">
        <f t="array" ref="G5166">SubCategorizeComment(E5166)</f>
        <v>Other</v>
      </c>
    </row>
    <row r="5167" spans="1:7" x14ac:dyDescent="0.25">
      <c r="A5167">
        <v>42920</v>
      </c>
      <c r="B5167" t="s">
        <v>4</v>
      </c>
      <c r="C5167">
        <v>4</v>
      </c>
      <c r="D5167" t="s">
        <v>5</v>
      </c>
      <c r="F5167" t="str" cm="1">
        <f t="array" ref="F5167">CategorizeComment(E5167)</f>
        <v>Other</v>
      </c>
      <c r="G5167" t="str" cm="1">
        <f t="array" ref="G5167">SubCategorizeComment(E5167)</f>
        <v>Other</v>
      </c>
    </row>
    <row r="5168" spans="1:7" x14ac:dyDescent="0.25">
      <c r="A5168">
        <v>42921</v>
      </c>
      <c r="B5168" t="s">
        <v>4</v>
      </c>
      <c r="C5168">
        <v>4</v>
      </c>
      <c r="D5168" t="s">
        <v>5</v>
      </c>
      <c r="F5168" t="str" cm="1">
        <f t="array" ref="F5168">CategorizeComment(E5168)</f>
        <v>Other</v>
      </c>
      <c r="G5168" t="str" cm="1">
        <f t="array" ref="G5168">SubCategorizeComment(E5168)</f>
        <v>Other</v>
      </c>
    </row>
    <row r="5169" spans="1:7" x14ac:dyDescent="0.25">
      <c r="A5169">
        <v>42946</v>
      </c>
      <c r="B5169" t="s">
        <v>4</v>
      </c>
      <c r="C5169">
        <v>3</v>
      </c>
      <c r="D5169" t="s">
        <v>5</v>
      </c>
      <c r="F5169" t="str" cm="1">
        <f t="array" ref="F5169">CategorizeComment(E5169)</f>
        <v>Other</v>
      </c>
      <c r="G5169" t="str" cm="1">
        <f t="array" ref="G5169">SubCategorizeComment(E5169)</f>
        <v>Other</v>
      </c>
    </row>
    <row r="5170" spans="1:7" x14ac:dyDescent="0.25">
      <c r="A5170">
        <v>42967</v>
      </c>
      <c r="B5170" t="s">
        <v>4</v>
      </c>
      <c r="C5170">
        <v>4</v>
      </c>
      <c r="D5170" t="s">
        <v>5</v>
      </c>
      <c r="F5170" t="str" cm="1">
        <f t="array" ref="F5170">CategorizeComment(E5170)</f>
        <v>Other</v>
      </c>
      <c r="G5170" t="str" cm="1">
        <f t="array" ref="G5170">SubCategorizeComment(E5170)</f>
        <v>Other</v>
      </c>
    </row>
    <row r="5171" spans="1:7" x14ac:dyDescent="0.25">
      <c r="A5171">
        <v>42997</v>
      </c>
      <c r="B5171" t="s">
        <v>4</v>
      </c>
      <c r="C5171">
        <v>3</v>
      </c>
      <c r="D5171" t="s">
        <v>5</v>
      </c>
      <c r="F5171" t="str" cm="1">
        <f t="array" ref="F5171">CategorizeComment(E5171)</f>
        <v>Other</v>
      </c>
      <c r="G5171" t="str" cm="1">
        <f t="array" ref="G5171">SubCategorizeComment(E5171)</f>
        <v>Other</v>
      </c>
    </row>
    <row r="5172" spans="1:7" x14ac:dyDescent="0.25">
      <c r="A5172">
        <v>42999</v>
      </c>
      <c r="B5172" t="s">
        <v>4</v>
      </c>
      <c r="C5172">
        <v>4</v>
      </c>
      <c r="D5172" t="s">
        <v>5</v>
      </c>
      <c r="F5172" t="str" cm="1">
        <f t="array" ref="F5172">CategorizeComment(E5172)</f>
        <v>Other</v>
      </c>
      <c r="G5172" t="str" cm="1">
        <f t="array" ref="G5172">SubCategorizeComment(E5172)</f>
        <v>Other</v>
      </c>
    </row>
    <row r="5173" spans="1:7" x14ac:dyDescent="0.25">
      <c r="A5173">
        <v>43006</v>
      </c>
      <c r="B5173" t="s">
        <v>4</v>
      </c>
      <c r="C5173">
        <v>3</v>
      </c>
      <c r="D5173" t="s">
        <v>5</v>
      </c>
      <c r="F5173" t="str" cm="1">
        <f t="array" ref="F5173">CategorizeComment(E5173)</f>
        <v>Other</v>
      </c>
      <c r="G5173" t="str" cm="1">
        <f t="array" ref="G5173">SubCategorizeComment(E5173)</f>
        <v>Other</v>
      </c>
    </row>
    <row r="5174" spans="1:7" x14ac:dyDescent="0.25">
      <c r="A5174">
        <v>43030</v>
      </c>
      <c r="B5174" t="s">
        <v>4</v>
      </c>
      <c r="C5174">
        <v>4</v>
      </c>
      <c r="D5174" t="s">
        <v>5</v>
      </c>
      <c r="F5174" t="str" cm="1">
        <f t="array" ref="F5174">CategorizeComment(E5174)</f>
        <v>Other</v>
      </c>
      <c r="G5174" t="str" cm="1">
        <f t="array" ref="G5174">SubCategorizeComment(E5174)</f>
        <v>Other</v>
      </c>
    </row>
    <row r="5175" spans="1:7" x14ac:dyDescent="0.25">
      <c r="A5175">
        <v>43035</v>
      </c>
      <c r="B5175" t="s">
        <v>4</v>
      </c>
      <c r="C5175">
        <v>4</v>
      </c>
      <c r="D5175" t="s">
        <v>5</v>
      </c>
      <c r="F5175" t="str" cm="1">
        <f t="array" ref="F5175">CategorizeComment(E5175)</f>
        <v>Other</v>
      </c>
      <c r="G5175" t="str" cm="1">
        <f t="array" ref="G5175">SubCategorizeComment(E5175)</f>
        <v>Other</v>
      </c>
    </row>
    <row r="5176" spans="1:7" x14ac:dyDescent="0.25">
      <c r="A5176">
        <v>43037</v>
      </c>
      <c r="B5176" t="s">
        <v>4</v>
      </c>
      <c r="C5176">
        <v>3</v>
      </c>
      <c r="D5176" t="s">
        <v>5</v>
      </c>
      <c r="F5176" t="str" cm="1">
        <f t="array" ref="F5176">CategorizeComment(E5176)</f>
        <v>Other</v>
      </c>
      <c r="G5176" t="str" cm="1">
        <f t="array" ref="G5176">SubCategorizeComment(E5176)</f>
        <v>Other</v>
      </c>
    </row>
    <row r="5177" spans="1:7" x14ac:dyDescent="0.25">
      <c r="A5177">
        <v>43045</v>
      </c>
      <c r="B5177" t="s">
        <v>4</v>
      </c>
      <c r="C5177">
        <v>4</v>
      </c>
      <c r="D5177" t="s">
        <v>5</v>
      </c>
      <c r="F5177" t="str" cm="1">
        <f t="array" ref="F5177">CategorizeComment(E5177)</f>
        <v>Other</v>
      </c>
      <c r="G5177" t="str" cm="1">
        <f t="array" ref="G5177">SubCategorizeComment(E5177)</f>
        <v>Other</v>
      </c>
    </row>
    <row r="5178" spans="1:7" x14ac:dyDescent="0.25">
      <c r="A5178">
        <v>43046</v>
      </c>
      <c r="B5178" t="s">
        <v>4</v>
      </c>
      <c r="C5178">
        <v>4</v>
      </c>
      <c r="D5178" t="s">
        <v>5</v>
      </c>
      <c r="F5178" t="str" cm="1">
        <f t="array" ref="F5178">CategorizeComment(E5178)</f>
        <v>Other</v>
      </c>
      <c r="G5178" t="str" cm="1">
        <f t="array" ref="G5178">SubCategorizeComment(E5178)</f>
        <v>Other</v>
      </c>
    </row>
    <row r="5179" spans="1:7" x14ac:dyDescent="0.25">
      <c r="A5179">
        <v>43049</v>
      </c>
      <c r="B5179" t="s">
        <v>4</v>
      </c>
      <c r="C5179">
        <v>4</v>
      </c>
      <c r="D5179" t="s">
        <v>5</v>
      </c>
      <c r="F5179" t="str" cm="1">
        <f t="array" ref="F5179">CategorizeComment(E5179)</f>
        <v>Other</v>
      </c>
      <c r="G5179" t="str" cm="1">
        <f t="array" ref="G5179">SubCategorizeComment(E5179)</f>
        <v>Other</v>
      </c>
    </row>
    <row r="5180" spans="1:7" x14ac:dyDescent="0.25">
      <c r="A5180">
        <v>43061</v>
      </c>
      <c r="B5180" t="s">
        <v>4</v>
      </c>
      <c r="C5180">
        <v>4</v>
      </c>
      <c r="D5180" t="s">
        <v>5</v>
      </c>
      <c r="F5180" t="str" cm="1">
        <f t="array" ref="F5180">CategorizeComment(E5180)</f>
        <v>Other</v>
      </c>
      <c r="G5180" t="str" cm="1">
        <f t="array" ref="G5180">SubCategorizeComment(E5180)</f>
        <v>Other</v>
      </c>
    </row>
    <row r="5181" spans="1:7" x14ac:dyDescent="0.25">
      <c r="A5181">
        <v>43065</v>
      </c>
      <c r="B5181" t="s">
        <v>4</v>
      </c>
      <c r="C5181">
        <v>3</v>
      </c>
      <c r="D5181" t="s">
        <v>5</v>
      </c>
      <c r="F5181" t="str" cm="1">
        <f t="array" ref="F5181">CategorizeComment(E5181)</f>
        <v>Other</v>
      </c>
      <c r="G5181" t="str" cm="1">
        <f t="array" ref="G5181">SubCategorizeComment(E5181)</f>
        <v>Other</v>
      </c>
    </row>
    <row r="5182" spans="1:7" x14ac:dyDescent="0.25">
      <c r="A5182">
        <v>43078</v>
      </c>
      <c r="B5182" t="s">
        <v>4</v>
      </c>
      <c r="C5182">
        <v>4</v>
      </c>
      <c r="D5182" t="s">
        <v>5</v>
      </c>
      <c r="F5182" t="str" cm="1">
        <f t="array" ref="F5182">CategorizeComment(E5182)</f>
        <v>Other</v>
      </c>
      <c r="G5182" t="str" cm="1">
        <f t="array" ref="G5182">SubCategorizeComment(E5182)</f>
        <v>Other</v>
      </c>
    </row>
    <row r="5183" spans="1:7" x14ac:dyDescent="0.25">
      <c r="A5183">
        <v>43084</v>
      </c>
      <c r="B5183" t="s">
        <v>4</v>
      </c>
      <c r="C5183">
        <v>3</v>
      </c>
      <c r="D5183" t="s">
        <v>5</v>
      </c>
      <c r="F5183" t="str" cm="1">
        <f t="array" ref="F5183">CategorizeComment(E5183)</f>
        <v>Other</v>
      </c>
      <c r="G5183" t="str" cm="1">
        <f t="array" ref="G5183">SubCategorizeComment(E5183)</f>
        <v>Other</v>
      </c>
    </row>
    <row r="5184" spans="1:7" x14ac:dyDescent="0.25">
      <c r="A5184">
        <v>43104</v>
      </c>
      <c r="B5184" t="s">
        <v>4</v>
      </c>
      <c r="C5184">
        <v>4</v>
      </c>
      <c r="D5184" t="s">
        <v>5</v>
      </c>
      <c r="F5184" t="str" cm="1">
        <f t="array" ref="F5184">CategorizeComment(E5184)</f>
        <v>Other</v>
      </c>
      <c r="G5184" t="str" cm="1">
        <f t="array" ref="G5184">SubCategorizeComment(E5184)</f>
        <v>Other</v>
      </c>
    </row>
    <row r="5185" spans="1:7" x14ac:dyDescent="0.25">
      <c r="A5185">
        <v>43111</v>
      </c>
      <c r="B5185" t="s">
        <v>4</v>
      </c>
      <c r="C5185">
        <v>4</v>
      </c>
      <c r="D5185" t="s">
        <v>5</v>
      </c>
      <c r="F5185" t="str" cm="1">
        <f t="array" ref="F5185">CategorizeComment(E5185)</f>
        <v>Other</v>
      </c>
      <c r="G5185" t="str" cm="1">
        <f t="array" ref="G5185">SubCategorizeComment(E5185)</f>
        <v>Other</v>
      </c>
    </row>
    <row r="5186" spans="1:7" x14ac:dyDescent="0.25">
      <c r="A5186">
        <v>43118</v>
      </c>
      <c r="B5186" t="s">
        <v>4</v>
      </c>
      <c r="C5186">
        <v>4</v>
      </c>
      <c r="D5186" t="s">
        <v>5</v>
      </c>
      <c r="F5186" t="str" cm="1">
        <f t="array" ref="F5186">CategorizeComment(E5186)</f>
        <v>Other</v>
      </c>
      <c r="G5186" t="str" cm="1">
        <f t="array" ref="G5186">SubCategorizeComment(E5186)</f>
        <v>Other</v>
      </c>
    </row>
    <row r="5187" spans="1:7" x14ac:dyDescent="0.25">
      <c r="A5187">
        <v>43129</v>
      </c>
      <c r="B5187" t="s">
        <v>4</v>
      </c>
      <c r="C5187">
        <v>4</v>
      </c>
      <c r="D5187" t="s">
        <v>5</v>
      </c>
      <c r="F5187" t="str" cm="1">
        <f t="array" ref="F5187">CategorizeComment(E5187)</f>
        <v>Other</v>
      </c>
      <c r="G5187" t="str" cm="1">
        <f t="array" ref="G5187">SubCategorizeComment(E5187)</f>
        <v>Other</v>
      </c>
    </row>
    <row r="5188" spans="1:7" x14ac:dyDescent="0.25">
      <c r="A5188">
        <v>43130</v>
      </c>
      <c r="B5188" t="s">
        <v>4</v>
      </c>
      <c r="C5188">
        <v>4</v>
      </c>
      <c r="D5188" t="s">
        <v>5</v>
      </c>
      <c r="F5188" t="str" cm="1">
        <f t="array" ref="F5188">CategorizeComment(E5188)</f>
        <v>Other</v>
      </c>
      <c r="G5188" t="str" cm="1">
        <f t="array" ref="G5188">SubCategorizeComment(E5188)</f>
        <v>Other</v>
      </c>
    </row>
    <row r="5189" spans="1:7" x14ac:dyDescent="0.25">
      <c r="A5189">
        <v>43139</v>
      </c>
      <c r="B5189" t="s">
        <v>4</v>
      </c>
      <c r="C5189">
        <v>3</v>
      </c>
      <c r="D5189" t="s">
        <v>5</v>
      </c>
      <c r="F5189" t="str" cm="1">
        <f t="array" ref="F5189">CategorizeComment(E5189)</f>
        <v>Other</v>
      </c>
      <c r="G5189" t="str" cm="1">
        <f t="array" ref="G5189">SubCategorizeComment(E5189)</f>
        <v>Other</v>
      </c>
    </row>
    <row r="5190" spans="1:7" x14ac:dyDescent="0.25">
      <c r="A5190">
        <v>43145</v>
      </c>
      <c r="B5190" t="s">
        <v>4</v>
      </c>
      <c r="C5190">
        <v>4</v>
      </c>
      <c r="D5190" t="s">
        <v>5</v>
      </c>
      <c r="F5190" t="str" cm="1">
        <f t="array" ref="F5190">CategorizeComment(E5190)</f>
        <v>Other</v>
      </c>
      <c r="G5190" t="str" cm="1">
        <f t="array" ref="G5190">SubCategorizeComment(E5190)</f>
        <v>Other</v>
      </c>
    </row>
    <row r="5191" spans="1:7" x14ac:dyDescent="0.25">
      <c r="A5191">
        <v>43146</v>
      </c>
      <c r="B5191" t="s">
        <v>4</v>
      </c>
      <c r="C5191">
        <v>4</v>
      </c>
      <c r="D5191" t="s">
        <v>5</v>
      </c>
      <c r="F5191" t="str" cm="1">
        <f t="array" ref="F5191">CategorizeComment(E5191)</f>
        <v>Other</v>
      </c>
      <c r="G5191" t="str" cm="1">
        <f t="array" ref="G5191">SubCategorizeComment(E5191)</f>
        <v>Other</v>
      </c>
    </row>
    <row r="5192" spans="1:7" x14ac:dyDescent="0.25">
      <c r="A5192">
        <v>43148</v>
      </c>
      <c r="B5192" t="s">
        <v>4</v>
      </c>
      <c r="C5192">
        <v>3</v>
      </c>
      <c r="D5192" t="s">
        <v>5</v>
      </c>
      <c r="F5192" t="str" cm="1">
        <f t="array" ref="F5192">CategorizeComment(E5192)</f>
        <v>Other</v>
      </c>
      <c r="G5192" t="str" cm="1">
        <f t="array" ref="G5192">SubCategorizeComment(E5192)</f>
        <v>Other</v>
      </c>
    </row>
    <row r="5193" spans="1:7" x14ac:dyDescent="0.25">
      <c r="A5193">
        <v>43151</v>
      </c>
      <c r="B5193" t="s">
        <v>4</v>
      </c>
      <c r="C5193">
        <v>3</v>
      </c>
      <c r="D5193" t="s">
        <v>5</v>
      </c>
      <c r="F5193" t="str" cm="1">
        <f t="array" ref="F5193">CategorizeComment(E5193)</f>
        <v>Other</v>
      </c>
      <c r="G5193" t="str" cm="1">
        <f t="array" ref="G5193">SubCategorizeComment(E5193)</f>
        <v>Other</v>
      </c>
    </row>
    <row r="5194" spans="1:7" x14ac:dyDescent="0.25">
      <c r="A5194">
        <v>43153</v>
      </c>
      <c r="B5194" t="s">
        <v>4</v>
      </c>
      <c r="C5194">
        <v>4</v>
      </c>
      <c r="D5194" t="s">
        <v>5</v>
      </c>
      <c r="F5194" t="str" cm="1">
        <f t="array" ref="F5194">CategorizeComment(E5194)</f>
        <v>Other</v>
      </c>
      <c r="G5194" t="str" cm="1">
        <f t="array" ref="G5194">SubCategorizeComment(E5194)</f>
        <v>Other</v>
      </c>
    </row>
    <row r="5195" spans="1:7" x14ac:dyDescent="0.25">
      <c r="A5195">
        <v>43157</v>
      </c>
      <c r="B5195" t="s">
        <v>4</v>
      </c>
      <c r="C5195">
        <v>3</v>
      </c>
      <c r="D5195" t="s">
        <v>5</v>
      </c>
      <c r="F5195" t="str" cm="1">
        <f t="array" ref="F5195">CategorizeComment(E5195)</f>
        <v>Other</v>
      </c>
      <c r="G5195" t="str" cm="1">
        <f t="array" ref="G5195">SubCategorizeComment(E5195)</f>
        <v>Other</v>
      </c>
    </row>
    <row r="5196" spans="1:7" x14ac:dyDescent="0.25">
      <c r="A5196">
        <v>43173</v>
      </c>
      <c r="B5196" t="s">
        <v>4</v>
      </c>
      <c r="C5196">
        <v>4</v>
      </c>
      <c r="D5196" t="s">
        <v>5</v>
      </c>
      <c r="F5196" t="str" cm="1">
        <f t="array" ref="F5196">CategorizeComment(E5196)</f>
        <v>Other</v>
      </c>
      <c r="G5196" t="str" cm="1">
        <f t="array" ref="G5196">SubCategorizeComment(E5196)</f>
        <v>Other</v>
      </c>
    </row>
    <row r="5197" spans="1:7" x14ac:dyDescent="0.25">
      <c r="A5197">
        <v>43196</v>
      </c>
      <c r="B5197" t="s">
        <v>4</v>
      </c>
      <c r="C5197">
        <v>3</v>
      </c>
      <c r="D5197" t="s">
        <v>5</v>
      </c>
      <c r="F5197" t="str" cm="1">
        <f t="array" ref="F5197">CategorizeComment(E5197)</f>
        <v>Other</v>
      </c>
      <c r="G5197" t="str" cm="1">
        <f t="array" ref="G5197">SubCategorizeComment(E5197)</f>
        <v>Other</v>
      </c>
    </row>
    <row r="5198" spans="1:7" x14ac:dyDescent="0.25">
      <c r="A5198">
        <v>43197</v>
      </c>
      <c r="B5198" t="s">
        <v>4</v>
      </c>
      <c r="C5198">
        <v>4</v>
      </c>
      <c r="D5198" t="s">
        <v>5</v>
      </c>
      <c r="F5198" t="str" cm="1">
        <f t="array" ref="F5198">CategorizeComment(E5198)</f>
        <v>Other</v>
      </c>
      <c r="G5198" t="str" cm="1">
        <f t="array" ref="G5198">SubCategorizeComment(E5198)</f>
        <v>Other</v>
      </c>
    </row>
    <row r="5199" spans="1:7" x14ac:dyDescent="0.25">
      <c r="A5199">
        <v>43203</v>
      </c>
      <c r="B5199" t="s">
        <v>4</v>
      </c>
      <c r="C5199">
        <v>3</v>
      </c>
      <c r="D5199" t="s">
        <v>5</v>
      </c>
      <c r="F5199" t="str" cm="1">
        <f t="array" ref="F5199">CategorizeComment(E5199)</f>
        <v>Other</v>
      </c>
      <c r="G5199" t="str" cm="1">
        <f t="array" ref="G5199">SubCategorizeComment(E5199)</f>
        <v>Other</v>
      </c>
    </row>
    <row r="5200" spans="1:7" x14ac:dyDescent="0.25">
      <c r="A5200">
        <v>43219</v>
      </c>
      <c r="B5200" t="s">
        <v>4</v>
      </c>
      <c r="C5200">
        <v>4</v>
      </c>
      <c r="D5200" t="s">
        <v>5</v>
      </c>
      <c r="F5200" t="str" cm="1">
        <f t="array" ref="F5200">CategorizeComment(E5200)</f>
        <v>Other</v>
      </c>
      <c r="G5200" t="str" cm="1">
        <f t="array" ref="G5200">SubCategorizeComment(E5200)</f>
        <v>Other</v>
      </c>
    </row>
    <row r="5201" spans="1:7" x14ac:dyDescent="0.25">
      <c r="A5201">
        <v>43221</v>
      </c>
      <c r="B5201" t="s">
        <v>4</v>
      </c>
      <c r="C5201">
        <v>3</v>
      </c>
      <c r="D5201" t="s">
        <v>5</v>
      </c>
      <c r="F5201" t="str" cm="1">
        <f t="array" ref="F5201">CategorizeComment(E5201)</f>
        <v>Other</v>
      </c>
      <c r="G5201" t="str" cm="1">
        <f t="array" ref="G5201">SubCategorizeComment(E5201)</f>
        <v>Other</v>
      </c>
    </row>
    <row r="5202" spans="1:7" x14ac:dyDescent="0.25">
      <c r="A5202">
        <v>43224</v>
      </c>
      <c r="B5202" t="s">
        <v>4</v>
      </c>
      <c r="C5202">
        <v>3</v>
      </c>
      <c r="D5202" t="s">
        <v>5</v>
      </c>
      <c r="F5202" t="str" cm="1">
        <f t="array" ref="F5202">CategorizeComment(E5202)</f>
        <v>Other</v>
      </c>
      <c r="G5202" t="str" cm="1">
        <f t="array" ref="G5202">SubCategorizeComment(E5202)</f>
        <v>Other</v>
      </c>
    </row>
    <row r="5203" spans="1:7" x14ac:dyDescent="0.25">
      <c r="A5203">
        <v>43246</v>
      </c>
      <c r="B5203" t="s">
        <v>4</v>
      </c>
      <c r="C5203">
        <v>4</v>
      </c>
      <c r="D5203" t="s">
        <v>5</v>
      </c>
      <c r="F5203" t="str" cm="1">
        <f t="array" ref="F5203">CategorizeComment(E5203)</f>
        <v>Other</v>
      </c>
      <c r="G5203" t="str" cm="1">
        <f t="array" ref="G5203">SubCategorizeComment(E5203)</f>
        <v>Other</v>
      </c>
    </row>
    <row r="5204" spans="1:7" x14ac:dyDescent="0.25">
      <c r="A5204">
        <v>43260</v>
      </c>
      <c r="B5204" t="s">
        <v>4</v>
      </c>
      <c r="C5204">
        <v>3</v>
      </c>
      <c r="D5204" t="s">
        <v>5</v>
      </c>
      <c r="F5204" t="str" cm="1">
        <f t="array" ref="F5204">CategorizeComment(E5204)</f>
        <v>Other</v>
      </c>
      <c r="G5204" t="str" cm="1">
        <f t="array" ref="G5204">SubCategorizeComment(E5204)</f>
        <v>Other</v>
      </c>
    </row>
    <row r="5205" spans="1:7" x14ac:dyDescent="0.25">
      <c r="A5205">
        <v>43261</v>
      </c>
      <c r="B5205" t="s">
        <v>4</v>
      </c>
      <c r="C5205">
        <v>3</v>
      </c>
      <c r="D5205" t="s">
        <v>5</v>
      </c>
      <c r="F5205" t="str" cm="1">
        <f t="array" ref="F5205">CategorizeComment(E5205)</f>
        <v>Other</v>
      </c>
      <c r="G5205" t="str" cm="1">
        <f t="array" ref="G5205">SubCategorizeComment(E5205)</f>
        <v>Other</v>
      </c>
    </row>
    <row r="5206" spans="1:7" x14ac:dyDescent="0.25">
      <c r="A5206">
        <v>43268</v>
      </c>
      <c r="B5206" t="s">
        <v>4</v>
      </c>
      <c r="C5206">
        <v>3</v>
      </c>
      <c r="D5206" t="s">
        <v>5</v>
      </c>
      <c r="F5206" t="str" cm="1">
        <f t="array" ref="F5206">CategorizeComment(E5206)</f>
        <v>Other</v>
      </c>
      <c r="G5206" t="str" cm="1">
        <f t="array" ref="G5206">SubCategorizeComment(E5206)</f>
        <v>Other</v>
      </c>
    </row>
    <row r="5207" spans="1:7" x14ac:dyDescent="0.25">
      <c r="A5207">
        <v>43285</v>
      </c>
      <c r="B5207" t="s">
        <v>4</v>
      </c>
      <c r="C5207">
        <v>3</v>
      </c>
      <c r="D5207" t="s">
        <v>5</v>
      </c>
      <c r="F5207" t="str" cm="1">
        <f t="array" ref="F5207">CategorizeComment(E5207)</f>
        <v>Other</v>
      </c>
      <c r="G5207" t="str" cm="1">
        <f t="array" ref="G5207">SubCategorizeComment(E5207)</f>
        <v>Other</v>
      </c>
    </row>
    <row r="5208" spans="1:7" x14ac:dyDescent="0.25">
      <c r="A5208">
        <v>43286</v>
      </c>
      <c r="B5208" t="s">
        <v>4</v>
      </c>
      <c r="C5208">
        <v>4</v>
      </c>
      <c r="D5208" t="s">
        <v>5</v>
      </c>
      <c r="F5208" t="str" cm="1">
        <f t="array" ref="F5208">CategorizeComment(E5208)</f>
        <v>Other</v>
      </c>
      <c r="G5208" t="str" cm="1">
        <f t="array" ref="G5208">SubCategorizeComment(E5208)</f>
        <v>Other</v>
      </c>
    </row>
    <row r="5209" spans="1:7" x14ac:dyDescent="0.25">
      <c r="A5209">
        <v>43292</v>
      </c>
      <c r="B5209" t="s">
        <v>4</v>
      </c>
      <c r="C5209">
        <v>3</v>
      </c>
      <c r="D5209" t="s">
        <v>5</v>
      </c>
      <c r="F5209" t="str" cm="1">
        <f t="array" ref="F5209">CategorizeComment(E5209)</f>
        <v>Other</v>
      </c>
      <c r="G5209" t="str" cm="1">
        <f t="array" ref="G5209">SubCategorizeComment(E5209)</f>
        <v>Other</v>
      </c>
    </row>
    <row r="5210" spans="1:7" x14ac:dyDescent="0.25">
      <c r="A5210">
        <v>43296</v>
      </c>
      <c r="B5210" t="s">
        <v>4</v>
      </c>
      <c r="C5210">
        <v>3</v>
      </c>
      <c r="D5210" t="s">
        <v>5</v>
      </c>
      <c r="F5210" t="str" cm="1">
        <f t="array" ref="F5210">CategorizeComment(E5210)</f>
        <v>Other</v>
      </c>
      <c r="G5210" t="str" cm="1">
        <f t="array" ref="G5210">SubCategorizeComment(E5210)</f>
        <v>Other</v>
      </c>
    </row>
    <row r="5211" spans="1:7" x14ac:dyDescent="0.25">
      <c r="A5211">
        <v>43304</v>
      </c>
      <c r="B5211" t="s">
        <v>4</v>
      </c>
      <c r="C5211">
        <v>3</v>
      </c>
      <c r="D5211" t="s">
        <v>5</v>
      </c>
      <c r="F5211" t="str" cm="1">
        <f t="array" ref="F5211">CategorizeComment(E5211)</f>
        <v>Other</v>
      </c>
      <c r="G5211" t="str" cm="1">
        <f t="array" ref="G5211">SubCategorizeComment(E5211)</f>
        <v>Other</v>
      </c>
    </row>
    <row r="5212" spans="1:7" x14ac:dyDescent="0.25">
      <c r="A5212">
        <v>43315</v>
      </c>
      <c r="B5212" t="s">
        <v>4</v>
      </c>
      <c r="C5212">
        <v>4</v>
      </c>
      <c r="D5212" t="s">
        <v>5</v>
      </c>
      <c r="F5212" t="str" cm="1">
        <f t="array" ref="F5212">CategorizeComment(E5212)</f>
        <v>Other</v>
      </c>
      <c r="G5212" t="str" cm="1">
        <f t="array" ref="G5212">SubCategorizeComment(E5212)</f>
        <v>Other</v>
      </c>
    </row>
    <row r="5213" spans="1:7" x14ac:dyDescent="0.25">
      <c r="A5213">
        <v>43316</v>
      </c>
      <c r="B5213" t="s">
        <v>4</v>
      </c>
      <c r="C5213">
        <v>3</v>
      </c>
      <c r="D5213" t="s">
        <v>5</v>
      </c>
      <c r="F5213" t="str" cm="1">
        <f t="array" ref="F5213">CategorizeComment(E5213)</f>
        <v>Other</v>
      </c>
      <c r="G5213" t="str" cm="1">
        <f t="array" ref="G5213">SubCategorizeComment(E5213)</f>
        <v>Other</v>
      </c>
    </row>
    <row r="5214" spans="1:7" x14ac:dyDescent="0.25">
      <c r="A5214">
        <v>43320</v>
      </c>
      <c r="B5214" t="s">
        <v>4</v>
      </c>
      <c r="C5214">
        <v>4</v>
      </c>
      <c r="D5214" t="s">
        <v>5</v>
      </c>
      <c r="F5214" t="str" cm="1">
        <f t="array" ref="F5214">CategorizeComment(E5214)</f>
        <v>Other</v>
      </c>
      <c r="G5214" t="str" cm="1">
        <f t="array" ref="G5214">SubCategorizeComment(E5214)</f>
        <v>Other</v>
      </c>
    </row>
    <row r="5215" spans="1:7" x14ac:dyDescent="0.25">
      <c r="A5215">
        <v>43329</v>
      </c>
      <c r="B5215" t="s">
        <v>4</v>
      </c>
      <c r="C5215">
        <v>4</v>
      </c>
      <c r="D5215" t="s">
        <v>5</v>
      </c>
      <c r="F5215" t="str" cm="1">
        <f t="array" ref="F5215">CategorizeComment(E5215)</f>
        <v>Other</v>
      </c>
      <c r="G5215" t="str" cm="1">
        <f t="array" ref="G5215">SubCategorizeComment(E5215)</f>
        <v>Other</v>
      </c>
    </row>
    <row r="5216" spans="1:7" x14ac:dyDescent="0.25">
      <c r="A5216">
        <v>43330</v>
      </c>
      <c r="B5216" t="s">
        <v>4</v>
      </c>
      <c r="C5216">
        <v>3</v>
      </c>
      <c r="D5216" t="s">
        <v>5</v>
      </c>
      <c r="F5216" t="str" cm="1">
        <f t="array" ref="F5216">CategorizeComment(E5216)</f>
        <v>Other</v>
      </c>
      <c r="G5216" t="str" cm="1">
        <f t="array" ref="G5216">SubCategorizeComment(E5216)</f>
        <v>Other</v>
      </c>
    </row>
    <row r="5217" spans="1:7" x14ac:dyDescent="0.25">
      <c r="A5217">
        <v>43338</v>
      </c>
      <c r="B5217" t="s">
        <v>4</v>
      </c>
      <c r="C5217">
        <v>4</v>
      </c>
      <c r="D5217" t="s">
        <v>5</v>
      </c>
      <c r="F5217" t="str" cm="1">
        <f t="array" ref="F5217">CategorizeComment(E5217)</f>
        <v>Other</v>
      </c>
      <c r="G5217" t="str" cm="1">
        <f t="array" ref="G5217">SubCategorizeComment(E5217)</f>
        <v>Other</v>
      </c>
    </row>
    <row r="5218" spans="1:7" x14ac:dyDescent="0.25">
      <c r="A5218">
        <v>43339</v>
      </c>
      <c r="B5218" t="s">
        <v>4</v>
      </c>
      <c r="C5218">
        <v>4</v>
      </c>
      <c r="D5218" t="s">
        <v>5</v>
      </c>
      <c r="F5218" t="str" cm="1">
        <f t="array" ref="F5218">CategorizeComment(E5218)</f>
        <v>Other</v>
      </c>
      <c r="G5218" t="str" cm="1">
        <f t="array" ref="G5218">SubCategorizeComment(E5218)</f>
        <v>Other</v>
      </c>
    </row>
    <row r="5219" spans="1:7" x14ac:dyDescent="0.25">
      <c r="A5219">
        <v>43340</v>
      </c>
      <c r="B5219" t="s">
        <v>4</v>
      </c>
      <c r="C5219">
        <v>3</v>
      </c>
      <c r="D5219" t="s">
        <v>5</v>
      </c>
      <c r="F5219" t="str" cm="1">
        <f t="array" ref="F5219">CategorizeComment(E5219)</f>
        <v>Other</v>
      </c>
      <c r="G5219" t="str" cm="1">
        <f t="array" ref="G5219">SubCategorizeComment(E5219)</f>
        <v>Other</v>
      </c>
    </row>
    <row r="5220" spans="1:7" x14ac:dyDescent="0.25">
      <c r="A5220">
        <v>43350</v>
      </c>
      <c r="B5220" t="s">
        <v>4</v>
      </c>
      <c r="C5220">
        <v>3</v>
      </c>
      <c r="D5220" t="s">
        <v>5</v>
      </c>
      <c r="F5220" t="str" cm="1">
        <f t="array" ref="F5220">CategorizeComment(E5220)</f>
        <v>Other</v>
      </c>
      <c r="G5220" t="str" cm="1">
        <f t="array" ref="G5220">SubCategorizeComment(E5220)</f>
        <v>Other</v>
      </c>
    </row>
    <row r="5221" spans="1:7" x14ac:dyDescent="0.25">
      <c r="A5221">
        <v>43353</v>
      </c>
      <c r="B5221" t="s">
        <v>4</v>
      </c>
      <c r="C5221">
        <v>3</v>
      </c>
      <c r="D5221" t="s">
        <v>5</v>
      </c>
      <c r="F5221" t="str" cm="1">
        <f t="array" ref="F5221">CategorizeComment(E5221)</f>
        <v>Other</v>
      </c>
      <c r="G5221" t="str" cm="1">
        <f t="array" ref="G5221">SubCategorizeComment(E5221)</f>
        <v>Other</v>
      </c>
    </row>
    <row r="5222" spans="1:7" x14ac:dyDescent="0.25">
      <c r="A5222">
        <v>43372</v>
      </c>
      <c r="B5222" t="s">
        <v>4</v>
      </c>
      <c r="C5222">
        <v>4</v>
      </c>
      <c r="D5222" t="s">
        <v>5</v>
      </c>
      <c r="F5222" t="str" cm="1">
        <f t="array" ref="F5222">CategorizeComment(E5222)</f>
        <v>Other</v>
      </c>
      <c r="G5222" t="str" cm="1">
        <f t="array" ref="G5222">SubCategorizeComment(E5222)</f>
        <v>Other</v>
      </c>
    </row>
    <row r="5223" spans="1:7" x14ac:dyDescent="0.25">
      <c r="A5223">
        <v>43374</v>
      </c>
      <c r="B5223" t="s">
        <v>4</v>
      </c>
      <c r="C5223">
        <v>3</v>
      </c>
      <c r="D5223" t="s">
        <v>5</v>
      </c>
      <c r="F5223" t="str" cm="1">
        <f t="array" ref="F5223">CategorizeComment(E5223)</f>
        <v>Other</v>
      </c>
      <c r="G5223" t="str" cm="1">
        <f t="array" ref="G5223">SubCategorizeComment(E5223)</f>
        <v>Other</v>
      </c>
    </row>
    <row r="5224" spans="1:7" x14ac:dyDescent="0.25">
      <c r="A5224">
        <v>43401</v>
      </c>
      <c r="B5224" t="s">
        <v>4</v>
      </c>
      <c r="C5224">
        <v>3</v>
      </c>
      <c r="D5224" t="s">
        <v>5</v>
      </c>
      <c r="F5224" t="str" cm="1">
        <f t="array" ref="F5224">CategorizeComment(E5224)</f>
        <v>Other</v>
      </c>
      <c r="G5224" t="str" cm="1">
        <f t="array" ref="G5224">SubCategorizeComment(E5224)</f>
        <v>Other</v>
      </c>
    </row>
    <row r="5225" spans="1:7" x14ac:dyDescent="0.25">
      <c r="A5225">
        <v>43415</v>
      </c>
      <c r="B5225" t="s">
        <v>4</v>
      </c>
      <c r="C5225">
        <v>3</v>
      </c>
      <c r="D5225" t="s">
        <v>5</v>
      </c>
      <c r="F5225" t="str" cm="1">
        <f t="array" ref="F5225">CategorizeComment(E5225)</f>
        <v>Other</v>
      </c>
      <c r="G5225" t="str" cm="1">
        <f t="array" ref="G5225">SubCategorizeComment(E5225)</f>
        <v>Other</v>
      </c>
    </row>
    <row r="5226" spans="1:7" x14ac:dyDescent="0.25">
      <c r="A5226">
        <v>43417</v>
      </c>
      <c r="B5226" t="s">
        <v>4</v>
      </c>
      <c r="C5226">
        <v>3</v>
      </c>
      <c r="D5226" t="s">
        <v>5</v>
      </c>
      <c r="F5226" t="str" cm="1">
        <f t="array" ref="F5226">CategorizeComment(E5226)</f>
        <v>Other</v>
      </c>
      <c r="G5226" t="str" cm="1">
        <f t="array" ref="G5226">SubCategorizeComment(E5226)</f>
        <v>Other</v>
      </c>
    </row>
    <row r="5227" spans="1:7" x14ac:dyDescent="0.25">
      <c r="A5227">
        <v>43421</v>
      </c>
      <c r="B5227" t="s">
        <v>4</v>
      </c>
      <c r="C5227">
        <v>3</v>
      </c>
      <c r="D5227" t="s">
        <v>5</v>
      </c>
      <c r="F5227" t="str" cm="1">
        <f t="array" ref="F5227">CategorizeComment(E5227)</f>
        <v>Other</v>
      </c>
      <c r="G5227" t="str" cm="1">
        <f t="array" ref="G5227">SubCategorizeComment(E5227)</f>
        <v>Other</v>
      </c>
    </row>
    <row r="5228" spans="1:7" x14ac:dyDescent="0.25">
      <c r="A5228">
        <v>43426</v>
      </c>
      <c r="B5228" t="s">
        <v>4</v>
      </c>
      <c r="C5228">
        <v>3</v>
      </c>
      <c r="D5228" t="s">
        <v>5</v>
      </c>
      <c r="F5228" t="str" cm="1">
        <f t="array" ref="F5228">CategorizeComment(E5228)</f>
        <v>Other</v>
      </c>
      <c r="G5228" t="str" cm="1">
        <f t="array" ref="G5228">SubCategorizeComment(E5228)</f>
        <v>Other</v>
      </c>
    </row>
    <row r="5229" spans="1:7" x14ac:dyDescent="0.25">
      <c r="A5229">
        <v>43456</v>
      </c>
      <c r="B5229" t="s">
        <v>4</v>
      </c>
      <c r="C5229">
        <v>3</v>
      </c>
      <c r="D5229" t="s">
        <v>5</v>
      </c>
      <c r="F5229" t="str" cm="1">
        <f t="array" ref="F5229">CategorizeComment(E5229)</f>
        <v>Other</v>
      </c>
      <c r="G5229" t="str" cm="1">
        <f t="array" ref="G5229">SubCategorizeComment(E5229)</f>
        <v>Other</v>
      </c>
    </row>
    <row r="5230" spans="1:7" x14ac:dyDescent="0.25">
      <c r="A5230">
        <v>43467</v>
      </c>
      <c r="B5230" t="s">
        <v>4</v>
      </c>
      <c r="C5230">
        <v>3</v>
      </c>
      <c r="D5230" t="s">
        <v>5</v>
      </c>
      <c r="F5230" t="str" cm="1">
        <f t="array" ref="F5230">CategorizeComment(E5230)</f>
        <v>Other</v>
      </c>
      <c r="G5230" t="str" cm="1">
        <f t="array" ref="G5230">SubCategorizeComment(E5230)</f>
        <v>Other</v>
      </c>
    </row>
    <row r="5231" spans="1:7" x14ac:dyDescent="0.25">
      <c r="A5231">
        <v>43468</v>
      </c>
      <c r="B5231" t="s">
        <v>4</v>
      </c>
      <c r="C5231">
        <v>3</v>
      </c>
      <c r="D5231" t="s">
        <v>5</v>
      </c>
      <c r="F5231" t="str" cm="1">
        <f t="array" ref="F5231">CategorizeComment(E5231)</f>
        <v>Other</v>
      </c>
      <c r="G5231" t="str" cm="1">
        <f t="array" ref="G5231">SubCategorizeComment(E5231)</f>
        <v>Other</v>
      </c>
    </row>
    <row r="5232" spans="1:7" x14ac:dyDescent="0.25">
      <c r="A5232">
        <v>43469</v>
      </c>
      <c r="B5232" t="s">
        <v>4</v>
      </c>
      <c r="C5232">
        <v>3</v>
      </c>
      <c r="D5232" t="s">
        <v>5</v>
      </c>
      <c r="F5232" t="str" cm="1">
        <f t="array" ref="F5232">CategorizeComment(E5232)</f>
        <v>Other</v>
      </c>
      <c r="G5232" t="str" cm="1">
        <f t="array" ref="G5232">SubCategorizeComment(E5232)</f>
        <v>Other</v>
      </c>
    </row>
    <row r="5233" spans="1:7" x14ac:dyDescent="0.25">
      <c r="A5233">
        <v>43479</v>
      </c>
      <c r="B5233" t="s">
        <v>4</v>
      </c>
      <c r="C5233">
        <v>4</v>
      </c>
      <c r="D5233" t="s">
        <v>5</v>
      </c>
      <c r="F5233" t="str" cm="1">
        <f t="array" ref="F5233">CategorizeComment(E5233)</f>
        <v>Other</v>
      </c>
      <c r="G5233" t="str" cm="1">
        <f t="array" ref="G5233">SubCategorizeComment(E5233)</f>
        <v>Other</v>
      </c>
    </row>
    <row r="5234" spans="1:7" x14ac:dyDescent="0.25">
      <c r="A5234">
        <v>43485</v>
      </c>
      <c r="B5234" t="s">
        <v>4</v>
      </c>
      <c r="C5234">
        <v>4</v>
      </c>
      <c r="D5234" t="s">
        <v>5</v>
      </c>
      <c r="F5234" t="str" cm="1">
        <f t="array" ref="F5234">CategorizeComment(E5234)</f>
        <v>Other</v>
      </c>
      <c r="G5234" t="str" cm="1">
        <f t="array" ref="G5234">SubCategorizeComment(E5234)</f>
        <v>Other</v>
      </c>
    </row>
    <row r="5235" spans="1:7" x14ac:dyDescent="0.25">
      <c r="A5235">
        <v>43489</v>
      </c>
      <c r="B5235" t="s">
        <v>4</v>
      </c>
      <c r="C5235">
        <v>4</v>
      </c>
      <c r="D5235" t="s">
        <v>5</v>
      </c>
      <c r="F5235" t="str" cm="1">
        <f t="array" ref="F5235">CategorizeComment(E5235)</f>
        <v>Other</v>
      </c>
      <c r="G5235" t="str" cm="1">
        <f t="array" ref="G5235">SubCategorizeComment(E5235)</f>
        <v>Other</v>
      </c>
    </row>
    <row r="5236" spans="1:7" x14ac:dyDescent="0.25">
      <c r="A5236">
        <v>43499</v>
      </c>
      <c r="B5236" t="s">
        <v>4</v>
      </c>
      <c r="C5236">
        <v>4</v>
      </c>
      <c r="D5236" t="s">
        <v>5</v>
      </c>
      <c r="F5236" t="str" cm="1">
        <f t="array" ref="F5236">CategorizeComment(E5236)</f>
        <v>Other</v>
      </c>
      <c r="G5236" t="str" cm="1">
        <f t="array" ref="G5236">SubCategorizeComment(E5236)</f>
        <v>Other</v>
      </c>
    </row>
    <row r="5237" spans="1:7" x14ac:dyDescent="0.25">
      <c r="A5237">
        <v>43501</v>
      </c>
      <c r="B5237" t="s">
        <v>4</v>
      </c>
      <c r="C5237">
        <v>3</v>
      </c>
      <c r="D5237" t="s">
        <v>5</v>
      </c>
      <c r="F5237" t="str" cm="1">
        <f t="array" ref="F5237">CategorizeComment(E5237)</f>
        <v>Other</v>
      </c>
      <c r="G5237" t="str" cm="1">
        <f t="array" ref="G5237">SubCategorizeComment(E5237)</f>
        <v>Other</v>
      </c>
    </row>
    <row r="5238" spans="1:7" x14ac:dyDescent="0.25">
      <c r="A5238">
        <v>43534</v>
      </c>
      <c r="B5238" t="s">
        <v>4</v>
      </c>
      <c r="C5238">
        <v>3</v>
      </c>
      <c r="D5238" t="s">
        <v>5</v>
      </c>
      <c r="F5238" t="str" cm="1">
        <f t="array" ref="F5238">CategorizeComment(E5238)</f>
        <v>Other</v>
      </c>
      <c r="G5238" t="str" cm="1">
        <f t="array" ref="G5238">SubCategorizeComment(E5238)</f>
        <v>Other</v>
      </c>
    </row>
    <row r="5239" spans="1:7" x14ac:dyDescent="0.25">
      <c r="A5239">
        <v>43536</v>
      </c>
      <c r="B5239" t="s">
        <v>4</v>
      </c>
      <c r="C5239">
        <v>4</v>
      </c>
      <c r="D5239" t="s">
        <v>5</v>
      </c>
      <c r="F5239" t="str" cm="1">
        <f t="array" ref="F5239">CategorizeComment(E5239)</f>
        <v>Other</v>
      </c>
      <c r="G5239" t="str" cm="1">
        <f t="array" ref="G5239">SubCategorizeComment(E5239)</f>
        <v>Other</v>
      </c>
    </row>
    <row r="5240" spans="1:7" x14ac:dyDescent="0.25">
      <c r="A5240">
        <v>43537</v>
      </c>
      <c r="B5240" t="s">
        <v>4</v>
      </c>
      <c r="C5240">
        <v>3</v>
      </c>
      <c r="D5240" t="s">
        <v>5</v>
      </c>
      <c r="F5240" t="str" cm="1">
        <f t="array" ref="F5240">CategorizeComment(E5240)</f>
        <v>Other</v>
      </c>
      <c r="G5240" t="str" cm="1">
        <f t="array" ref="G5240">SubCategorizeComment(E5240)</f>
        <v>Other</v>
      </c>
    </row>
    <row r="5241" spans="1:7" x14ac:dyDescent="0.25">
      <c r="A5241">
        <v>43544</v>
      </c>
      <c r="B5241" t="s">
        <v>4</v>
      </c>
      <c r="C5241">
        <v>3</v>
      </c>
      <c r="D5241" t="s">
        <v>5</v>
      </c>
      <c r="F5241" t="str" cm="1">
        <f t="array" ref="F5241">CategorizeComment(E5241)</f>
        <v>Other</v>
      </c>
      <c r="G5241" t="str" cm="1">
        <f t="array" ref="G5241">SubCategorizeComment(E5241)</f>
        <v>Other</v>
      </c>
    </row>
    <row r="5242" spans="1:7" x14ac:dyDescent="0.25">
      <c r="A5242">
        <v>43548</v>
      </c>
      <c r="B5242" t="s">
        <v>4</v>
      </c>
      <c r="C5242">
        <v>4</v>
      </c>
      <c r="D5242" t="s">
        <v>5</v>
      </c>
      <c r="F5242" t="str" cm="1">
        <f t="array" ref="F5242">CategorizeComment(E5242)</f>
        <v>Other</v>
      </c>
      <c r="G5242" t="str" cm="1">
        <f t="array" ref="G5242">SubCategorizeComment(E5242)</f>
        <v>Other</v>
      </c>
    </row>
    <row r="5243" spans="1:7" x14ac:dyDescent="0.25">
      <c r="A5243">
        <v>43558</v>
      </c>
      <c r="B5243" t="s">
        <v>4</v>
      </c>
      <c r="C5243">
        <v>3</v>
      </c>
      <c r="D5243" t="s">
        <v>5</v>
      </c>
      <c r="F5243" t="str" cm="1">
        <f t="array" ref="F5243">CategorizeComment(E5243)</f>
        <v>Other</v>
      </c>
      <c r="G5243" t="str" cm="1">
        <f t="array" ref="G5243">SubCategorizeComment(E5243)</f>
        <v>Other</v>
      </c>
    </row>
    <row r="5244" spans="1:7" x14ac:dyDescent="0.25">
      <c r="A5244">
        <v>43563</v>
      </c>
      <c r="B5244" t="s">
        <v>4</v>
      </c>
      <c r="C5244">
        <v>4</v>
      </c>
      <c r="D5244" t="s">
        <v>5</v>
      </c>
      <c r="F5244" t="str" cm="1">
        <f t="array" ref="F5244">CategorizeComment(E5244)</f>
        <v>Other</v>
      </c>
      <c r="G5244" t="str" cm="1">
        <f t="array" ref="G5244">SubCategorizeComment(E5244)</f>
        <v>Other</v>
      </c>
    </row>
    <row r="5245" spans="1:7" x14ac:dyDescent="0.25">
      <c r="A5245">
        <v>43566</v>
      </c>
      <c r="B5245" t="s">
        <v>4</v>
      </c>
      <c r="C5245">
        <v>4</v>
      </c>
      <c r="D5245" t="s">
        <v>5</v>
      </c>
      <c r="F5245" t="str" cm="1">
        <f t="array" ref="F5245">CategorizeComment(E5245)</f>
        <v>Other</v>
      </c>
      <c r="G5245" t="str" cm="1">
        <f t="array" ref="G5245">SubCategorizeComment(E5245)</f>
        <v>Other</v>
      </c>
    </row>
    <row r="5246" spans="1:7" x14ac:dyDescent="0.25">
      <c r="A5246">
        <v>43575</v>
      </c>
      <c r="B5246" t="s">
        <v>4</v>
      </c>
      <c r="C5246">
        <v>3</v>
      </c>
      <c r="D5246" t="s">
        <v>5</v>
      </c>
      <c r="F5246" t="str" cm="1">
        <f t="array" ref="F5246">CategorizeComment(E5246)</f>
        <v>Other</v>
      </c>
      <c r="G5246" t="str" cm="1">
        <f t="array" ref="G5246">SubCategorizeComment(E5246)</f>
        <v>Other</v>
      </c>
    </row>
    <row r="5247" spans="1:7" x14ac:dyDescent="0.25">
      <c r="A5247">
        <v>43589</v>
      </c>
      <c r="B5247" t="s">
        <v>4</v>
      </c>
      <c r="C5247">
        <v>3</v>
      </c>
      <c r="D5247" t="s">
        <v>5</v>
      </c>
      <c r="F5247" t="str" cm="1">
        <f t="array" ref="F5247">CategorizeComment(E5247)</f>
        <v>Other</v>
      </c>
      <c r="G5247" t="str" cm="1">
        <f t="array" ref="G5247">SubCategorizeComment(E5247)</f>
        <v>Other</v>
      </c>
    </row>
    <row r="5248" spans="1:7" x14ac:dyDescent="0.25">
      <c r="A5248">
        <v>43590</v>
      </c>
      <c r="B5248" t="s">
        <v>4</v>
      </c>
      <c r="C5248">
        <v>3</v>
      </c>
      <c r="D5248" t="s">
        <v>5</v>
      </c>
      <c r="F5248" t="str" cm="1">
        <f t="array" ref="F5248">CategorizeComment(E5248)</f>
        <v>Other</v>
      </c>
      <c r="G5248" t="str" cm="1">
        <f t="array" ref="G5248">SubCategorizeComment(E5248)</f>
        <v>Other</v>
      </c>
    </row>
    <row r="5249" spans="1:7" x14ac:dyDescent="0.25">
      <c r="A5249">
        <v>43607</v>
      </c>
      <c r="B5249" t="s">
        <v>4</v>
      </c>
      <c r="C5249">
        <v>4</v>
      </c>
      <c r="D5249" t="s">
        <v>5</v>
      </c>
      <c r="F5249" t="str" cm="1">
        <f t="array" ref="F5249">CategorizeComment(E5249)</f>
        <v>Other</v>
      </c>
      <c r="G5249" t="str" cm="1">
        <f t="array" ref="G5249">SubCategorizeComment(E5249)</f>
        <v>Other</v>
      </c>
    </row>
    <row r="5250" spans="1:7" x14ac:dyDescent="0.25">
      <c r="A5250">
        <v>43608</v>
      </c>
      <c r="B5250" t="s">
        <v>4</v>
      </c>
      <c r="C5250">
        <v>4</v>
      </c>
      <c r="D5250" t="s">
        <v>5</v>
      </c>
      <c r="F5250" t="str" cm="1">
        <f t="array" ref="F5250">CategorizeComment(E5250)</f>
        <v>Other</v>
      </c>
      <c r="G5250" t="str" cm="1">
        <f t="array" ref="G5250">SubCategorizeComment(E5250)</f>
        <v>Other</v>
      </c>
    </row>
    <row r="5251" spans="1:7" x14ac:dyDescent="0.25">
      <c r="A5251">
        <v>43610</v>
      </c>
      <c r="B5251" t="s">
        <v>4</v>
      </c>
      <c r="C5251">
        <v>3</v>
      </c>
      <c r="D5251" t="s">
        <v>5</v>
      </c>
      <c r="F5251" t="str" cm="1">
        <f t="array" ref="F5251">CategorizeComment(E5251)</f>
        <v>Other</v>
      </c>
      <c r="G5251" t="str" cm="1">
        <f t="array" ref="G5251">SubCategorizeComment(E5251)</f>
        <v>Other</v>
      </c>
    </row>
    <row r="5252" spans="1:7" x14ac:dyDescent="0.25">
      <c r="A5252">
        <v>43614</v>
      </c>
      <c r="B5252" t="s">
        <v>4</v>
      </c>
      <c r="C5252">
        <v>4</v>
      </c>
      <c r="D5252" t="s">
        <v>5</v>
      </c>
      <c r="F5252" t="str" cm="1">
        <f t="array" ref="F5252">CategorizeComment(E5252)</f>
        <v>Other</v>
      </c>
      <c r="G5252" t="str" cm="1">
        <f t="array" ref="G5252">SubCategorizeComment(E5252)</f>
        <v>Other</v>
      </c>
    </row>
    <row r="5253" spans="1:7" x14ac:dyDescent="0.25">
      <c r="A5253">
        <v>43633</v>
      </c>
      <c r="B5253" t="s">
        <v>4</v>
      </c>
      <c r="C5253">
        <v>4</v>
      </c>
      <c r="D5253" t="s">
        <v>5</v>
      </c>
      <c r="F5253" t="str" cm="1">
        <f t="array" ref="F5253">CategorizeComment(E5253)</f>
        <v>Other</v>
      </c>
      <c r="G5253" t="str" cm="1">
        <f t="array" ref="G5253">SubCategorizeComment(E5253)</f>
        <v>Other</v>
      </c>
    </row>
    <row r="5254" spans="1:7" x14ac:dyDescent="0.25">
      <c r="A5254">
        <v>43634</v>
      </c>
      <c r="B5254" t="s">
        <v>4</v>
      </c>
      <c r="C5254">
        <v>4</v>
      </c>
      <c r="D5254" t="s">
        <v>5</v>
      </c>
      <c r="F5254" t="str" cm="1">
        <f t="array" ref="F5254">CategorizeComment(E5254)</f>
        <v>Other</v>
      </c>
      <c r="G5254" t="str" cm="1">
        <f t="array" ref="G5254">SubCategorizeComment(E5254)</f>
        <v>Other</v>
      </c>
    </row>
    <row r="5255" spans="1:7" x14ac:dyDescent="0.25">
      <c r="A5255">
        <v>43644</v>
      </c>
      <c r="B5255" t="s">
        <v>4</v>
      </c>
      <c r="C5255">
        <v>3</v>
      </c>
      <c r="D5255" t="s">
        <v>5</v>
      </c>
      <c r="F5255" t="str" cm="1">
        <f t="array" ref="F5255">CategorizeComment(E5255)</f>
        <v>Other</v>
      </c>
      <c r="G5255" t="str" cm="1">
        <f t="array" ref="G5255">SubCategorizeComment(E5255)</f>
        <v>Other</v>
      </c>
    </row>
    <row r="5256" spans="1:7" x14ac:dyDescent="0.25">
      <c r="A5256">
        <v>43649</v>
      </c>
      <c r="B5256" t="s">
        <v>4</v>
      </c>
      <c r="C5256">
        <v>3</v>
      </c>
      <c r="D5256" t="s">
        <v>5</v>
      </c>
      <c r="F5256" t="str" cm="1">
        <f t="array" ref="F5256">CategorizeComment(E5256)</f>
        <v>Other</v>
      </c>
      <c r="G5256" t="str" cm="1">
        <f t="array" ref="G5256">SubCategorizeComment(E5256)</f>
        <v>Other</v>
      </c>
    </row>
    <row r="5257" spans="1:7" x14ac:dyDescent="0.25">
      <c r="A5257">
        <v>43657</v>
      </c>
      <c r="B5257" t="s">
        <v>4</v>
      </c>
      <c r="C5257">
        <v>4</v>
      </c>
      <c r="D5257" t="s">
        <v>5</v>
      </c>
      <c r="F5257" t="str" cm="1">
        <f t="array" ref="F5257">CategorizeComment(E5257)</f>
        <v>Other</v>
      </c>
      <c r="G5257" t="str" cm="1">
        <f t="array" ref="G5257">SubCategorizeComment(E5257)</f>
        <v>Other</v>
      </c>
    </row>
    <row r="5258" spans="1:7" x14ac:dyDescent="0.25">
      <c r="A5258">
        <v>43660</v>
      </c>
      <c r="B5258" t="s">
        <v>4</v>
      </c>
      <c r="C5258">
        <v>3</v>
      </c>
      <c r="D5258" t="s">
        <v>5</v>
      </c>
      <c r="F5258" t="str" cm="1">
        <f t="array" ref="F5258">CategorizeComment(E5258)</f>
        <v>Other</v>
      </c>
      <c r="G5258" t="str" cm="1">
        <f t="array" ref="G5258">SubCategorizeComment(E5258)</f>
        <v>Other</v>
      </c>
    </row>
    <row r="5259" spans="1:7" x14ac:dyDescent="0.25">
      <c r="A5259">
        <v>43661</v>
      </c>
      <c r="B5259" t="s">
        <v>4</v>
      </c>
      <c r="C5259">
        <v>4</v>
      </c>
      <c r="D5259" t="s">
        <v>5</v>
      </c>
      <c r="F5259" t="str" cm="1">
        <f t="array" ref="F5259">CategorizeComment(E5259)</f>
        <v>Other</v>
      </c>
      <c r="G5259" t="str" cm="1">
        <f t="array" ref="G5259">SubCategorizeComment(E5259)</f>
        <v>Other</v>
      </c>
    </row>
    <row r="5260" spans="1:7" x14ac:dyDescent="0.25">
      <c r="A5260">
        <v>43667</v>
      </c>
      <c r="B5260" t="s">
        <v>4</v>
      </c>
      <c r="C5260">
        <v>4</v>
      </c>
      <c r="D5260" t="s">
        <v>5</v>
      </c>
      <c r="F5260" t="str" cm="1">
        <f t="array" ref="F5260">CategorizeComment(E5260)</f>
        <v>Other</v>
      </c>
      <c r="G5260" t="str" cm="1">
        <f t="array" ref="G5260">SubCategorizeComment(E5260)</f>
        <v>Other</v>
      </c>
    </row>
    <row r="5261" spans="1:7" x14ac:dyDescent="0.25">
      <c r="A5261">
        <v>43670</v>
      </c>
      <c r="B5261" t="s">
        <v>4</v>
      </c>
      <c r="C5261">
        <v>3</v>
      </c>
      <c r="D5261" t="s">
        <v>5</v>
      </c>
      <c r="F5261" t="str" cm="1">
        <f t="array" ref="F5261">CategorizeComment(E5261)</f>
        <v>Other</v>
      </c>
      <c r="G5261" t="str" cm="1">
        <f t="array" ref="G5261">SubCategorizeComment(E5261)</f>
        <v>Other</v>
      </c>
    </row>
    <row r="5262" spans="1:7" x14ac:dyDescent="0.25">
      <c r="A5262">
        <v>43672</v>
      </c>
      <c r="B5262" t="s">
        <v>4</v>
      </c>
      <c r="C5262">
        <v>3</v>
      </c>
      <c r="D5262" t="s">
        <v>5</v>
      </c>
      <c r="F5262" t="str" cm="1">
        <f t="array" ref="F5262">CategorizeComment(E5262)</f>
        <v>Other</v>
      </c>
      <c r="G5262" t="str" cm="1">
        <f t="array" ref="G5262">SubCategorizeComment(E5262)</f>
        <v>Other</v>
      </c>
    </row>
    <row r="5263" spans="1:7" x14ac:dyDescent="0.25">
      <c r="A5263">
        <v>43681</v>
      </c>
      <c r="B5263" t="s">
        <v>4</v>
      </c>
      <c r="C5263">
        <v>3</v>
      </c>
      <c r="D5263" t="s">
        <v>5</v>
      </c>
      <c r="F5263" t="str" cm="1">
        <f t="array" ref="F5263">CategorizeComment(E5263)</f>
        <v>Other</v>
      </c>
      <c r="G5263" t="str" cm="1">
        <f t="array" ref="G5263">SubCategorizeComment(E5263)</f>
        <v>Other</v>
      </c>
    </row>
    <row r="5264" spans="1:7" x14ac:dyDescent="0.25">
      <c r="A5264">
        <v>43683</v>
      </c>
      <c r="B5264" t="s">
        <v>4</v>
      </c>
      <c r="C5264">
        <v>4</v>
      </c>
      <c r="D5264" t="s">
        <v>5</v>
      </c>
      <c r="F5264" t="str" cm="1">
        <f t="array" ref="F5264">CategorizeComment(E5264)</f>
        <v>Other</v>
      </c>
      <c r="G5264" t="str" cm="1">
        <f t="array" ref="G5264">SubCategorizeComment(E5264)</f>
        <v>Other</v>
      </c>
    </row>
    <row r="5265" spans="1:7" x14ac:dyDescent="0.25">
      <c r="A5265">
        <v>43687</v>
      </c>
      <c r="B5265" t="s">
        <v>4</v>
      </c>
      <c r="C5265">
        <v>3</v>
      </c>
      <c r="D5265" t="s">
        <v>5</v>
      </c>
      <c r="F5265" t="str" cm="1">
        <f t="array" ref="F5265">CategorizeComment(E5265)</f>
        <v>Other</v>
      </c>
      <c r="G5265" t="str" cm="1">
        <f t="array" ref="G5265">SubCategorizeComment(E5265)</f>
        <v>Other</v>
      </c>
    </row>
    <row r="5266" spans="1:7" x14ac:dyDescent="0.25">
      <c r="A5266">
        <v>43700</v>
      </c>
      <c r="B5266" t="s">
        <v>4</v>
      </c>
      <c r="C5266">
        <v>4</v>
      </c>
      <c r="D5266" t="s">
        <v>5</v>
      </c>
      <c r="F5266" t="str" cm="1">
        <f t="array" ref="F5266">CategorizeComment(E5266)</f>
        <v>Other</v>
      </c>
      <c r="G5266" t="str" cm="1">
        <f t="array" ref="G5266">SubCategorizeComment(E5266)</f>
        <v>Other</v>
      </c>
    </row>
    <row r="5267" spans="1:7" x14ac:dyDescent="0.25">
      <c r="A5267">
        <v>43703</v>
      </c>
      <c r="B5267" t="s">
        <v>4</v>
      </c>
      <c r="C5267">
        <v>3</v>
      </c>
      <c r="D5267" t="s">
        <v>5</v>
      </c>
      <c r="F5267" t="str" cm="1">
        <f t="array" ref="F5267">CategorizeComment(E5267)</f>
        <v>Other</v>
      </c>
      <c r="G5267" t="str" cm="1">
        <f t="array" ref="G5267">SubCategorizeComment(E5267)</f>
        <v>Other</v>
      </c>
    </row>
    <row r="5268" spans="1:7" x14ac:dyDescent="0.25">
      <c r="A5268">
        <v>43705</v>
      </c>
      <c r="B5268" t="s">
        <v>4</v>
      </c>
      <c r="C5268">
        <v>4</v>
      </c>
      <c r="D5268" t="s">
        <v>5</v>
      </c>
      <c r="F5268" t="str" cm="1">
        <f t="array" ref="F5268">CategorizeComment(E5268)</f>
        <v>Other</v>
      </c>
      <c r="G5268" t="str" cm="1">
        <f t="array" ref="G5268">SubCategorizeComment(E5268)</f>
        <v>Other</v>
      </c>
    </row>
    <row r="5269" spans="1:7" x14ac:dyDescent="0.25">
      <c r="A5269">
        <v>43713</v>
      </c>
      <c r="B5269" t="s">
        <v>4</v>
      </c>
      <c r="C5269">
        <v>4</v>
      </c>
      <c r="D5269" t="s">
        <v>5</v>
      </c>
      <c r="F5269" t="str" cm="1">
        <f t="array" ref="F5269">CategorizeComment(E5269)</f>
        <v>Other</v>
      </c>
      <c r="G5269" t="str" cm="1">
        <f t="array" ref="G5269">SubCategorizeComment(E5269)</f>
        <v>Other</v>
      </c>
    </row>
    <row r="5270" spans="1:7" x14ac:dyDescent="0.25">
      <c r="A5270">
        <v>43715</v>
      </c>
      <c r="B5270" t="s">
        <v>4</v>
      </c>
      <c r="C5270">
        <v>3</v>
      </c>
      <c r="D5270" t="s">
        <v>5</v>
      </c>
      <c r="F5270" t="str" cm="1">
        <f t="array" ref="F5270">CategorizeComment(E5270)</f>
        <v>Other</v>
      </c>
      <c r="G5270" t="str" cm="1">
        <f t="array" ref="G5270">SubCategorizeComment(E5270)</f>
        <v>Other</v>
      </c>
    </row>
    <row r="5271" spans="1:7" x14ac:dyDescent="0.25">
      <c r="A5271">
        <v>43720</v>
      </c>
      <c r="B5271" t="s">
        <v>4</v>
      </c>
      <c r="C5271">
        <v>4</v>
      </c>
      <c r="D5271" t="s">
        <v>5</v>
      </c>
      <c r="F5271" t="str" cm="1">
        <f t="array" ref="F5271">CategorizeComment(E5271)</f>
        <v>Other</v>
      </c>
      <c r="G5271" t="str" cm="1">
        <f t="array" ref="G5271">SubCategorizeComment(E5271)</f>
        <v>Other</v>
      </c>
    </row>
    <row r="5272" spans="1:7" x14ac:dyDescent="0.25">
      <c r="A5272">
        <v>43745</v>
      </c>
      <c r="B5272" t="s">
        <v>4</v>
      </c>
      <c r="C5272">
        <v>4</v>
      </c>
      <c r="D5272" t="s">
        <v>5</v>
      </c>
      <c r="F5272" t="str" cm="1">
        <f t="array" ref="F5272">CategorizeComment(E5272)</f>
        <v>Other</v>
      </c>
      <c r="G5272" t="str" cm="1">
        <f t="array" ref="G5272">SubCategorizeComment(E5272)</f>
        <v>Other</v>
      </c>
    </row>
    <row r="5273" spans="1:7" x14ac:dyDescent="0.25">
      <c r="A5273">
        <v>43747</v>
      </c>
      <c r="B5273" t="s">
        <v>4</v>
      </c>
      <c r="C5273">
        <v>4</v>
      </c>
      <c r="D5273" t="s">
        <v>5</v>
      </c>
      <c r="F5273" t="str" cm="1">
        <f t="array" ref="F5273">CategorizeComment(E5273)</f>
        <v>Other</v>
      </c>
      <c r="G5273" t="str" cm="1">
        <f t="array" ref="G5273">SubCategorizeComment(E5273)</f>
        <v>Other</v>
      </c>
    </row>
    <row r="5274" spans="1:7" x14ac:dyDescent="0.25">
      <c r="A5274">
        <v>43749</v>
      </c>
      <c r="B5274" t="s">
        <v>4</v>
      </c>
      <c r="C5274">
        <v>4</v>
      </c>
      <c r="D5274" t="s">
        <v>5</v>
      </c>
      <c r="F5274" t="str" cm="1">
        <f t="array" ref="F5274">CategorizeComment(E5274)</f>
        <v>Other</v>
      </c>
      <c r="G5274" t="str" cm="1">
        <f t="array" ref="G5274">SubCategorizeComment(E5274)</f>
        <v>Other</v>
      </c>
    </row>
    <row r="5275" spans="1:7" x14ac:dyDescent="0.25">
      <c r="A5275">
        <v>43767</v>
      </c>
      <c r="B5275" t="s">
        <v>4</v>
      </c>
      <c r="C5275">
        <v>3</v>
      </c>
      <c r="D5275" t="s">
        <v>5</v>
      </c>
      <c r="F5275" t="str" cm="1">
        <f t="array" ref="F5275">CategorizeComment(E5275)</f>
        <v>Other</v>
      </c>
      <c r="G5275" t="str" cm="1">
        <f t="array" ref="G5275">SubCategorizeComment(E5275)</f>
        <v>Other</v>
      </c>
    </row>
    <row r="5276" spans="1:7" x14ac:dyDescent="0.25">
      <c r="A5276">
        <v>43778</v>
      </c>
      <c r="B5276" t="s">
        <v>4</v>
      </c>
      <c r="C5276">
        <v>3</v>
      </c>
      <c r="D5276" t="s">
        <v>5</v>
      </c>
      <c r="F5276" t="str" cm="1">
        <f t="array" ref="F5276">CategorizeComment(E5276)</f>
        <v>Other</v>
      </c>
      <c r="G5276" t="str" cm="1">
        <f t="array" ref="G5276">SubCategorizeComment(E5276)</f>
        <v>Other</v>
      </c>
    </row>
    <row r="5277" spans="1:7" x14ac:dyDescent="0.25">
      <c r="A5277">
        <v>43781</v>
      </c>
      <c r="B5277" t="s">
        <v>4</v>
      </c>
      <c r="C5277">
        <v>3</v>
      </c>
      <c r="D5277" t="s">
        <v>5</v>
      </c>
      <c r="F5277" t="str" cm="1">
        <f t="array" ref="F5277">CategorizeComment(E5277)</f>
        <v>Other</v>
      </c>
      <c r="G5277" t="str" cm="1">
        <f t="array" ref="G5277">SubCategorizeComment(E5277)</f>
        <v>Other</v>
      </c>
    </row>
    <row r="5278" spans="1:7" x14ac:dyDescent="0.25">
      <c r="A5278">
        <v>43789</v>
      </c>
      <c r="B5278" t="s">
        <v>4</v>
      </c>
      <c r="C5278">
        <v>4</v>
      </c>
      <c r="D5278" t="s">
        <v>5</v>
      </c>
      <c r="F5278" t="str" cm="1">
        <f t="array" ref="F5278">CategorizeComment(E5278)</f>
        <v>Other</v>
      </c>
      <c r="G5278" t="str" cm="1">
        <f t="array" ref="G5278">SubCategorizeComment(E5278)</f>
        <v>Other</v>
      </c>
    </row>
    <row r="5279" spans="1:7" x14ac:dyDescent="0.25">
      <c r="A5279">
        <v>43801</v>
      </c>
      <c r="B5279" t="s">
        <v>4</v>
      </c>
      <c r="C5279">
        <v>3</v>
      </c>
      <c r="D5279" t="s">
        <v>5</v>
      </c>
      <c r="F5279" t="str" cm="1">
        <f t="array" ref="F5279">CategorizeComment(E5279)</f>
        <v>Other</v>
      </c>
      <c r="G5279" t="str" cm="1">
        <f t="array" ref="G5279">SubCategorizeComment(E5279)</f>
        <v>Other</v>
      </c>
    </row>
    <row r="5280" spans="1:7" x14ac:dyDescent="0.25">
      <c r="A5280">
        <v>43806</v>
      </c>
      <c r="B5280" t="s">
        <v>4</v>
      </c>
      <c r="C5280">
        <v>3</v>
      </c>
      <c r="D5280" t="s">
        <v>5</v>
      </c>
      <c r="F5280" t="str" cm="1">
        <f t="array" ref="F5280">CategorizeComment(E5280)</f>
        <v>Other</v>
      </c>
      <c r="G5280" t="str" cm="1">
        <f t="array" ref="G5280">SubCategorizeComment(E5280)</f>
        <v>Other</v>
      </c>
    </row>
    <row r="5281" spans="1:7" x14ac:dyDescent="0.25">
      <c r="A5281">
        <v>43816</v>
      </c>
      <c r="B5281" t="s">
        <v>4</v>
      </c>
      <c r="C5281">
        <v>3</v>
      </c>
      <c r="D5281" t="s">
        <v>5</v>
      </c>
      <c r="F5281" t="str" cm="1">
        <f t="array" ref="F5281">CategorizeComment(E5281)</f>
        <v>Other</v>
      </c>
      <c r="G5281" t="str" cm="1">
        <f t="array" ref="G5281">SubCategorizeComment(E5281)</f>
        <v>Other</v>
      </c>
    </row>
    <row r="5282" spans="1:7" x14ac:dyDescent="0.25">
      <c r="A5282">
        <v>43828</v>
      </c>
      <c r="B5282" t="s">
        <v>4</v>
      </c>
      <c r="C5282">
        <v>3</v>
      </c>
      <c r="D5282" t="s">
        <v>5</v>
      </c>
      <c r="F5282" t="str" cm="1">
        <f t="array" ref="F5282">CategorizeComment(E5282)</f>
        <v>Other</v>
      </c>
      <c r="G5282" t="str" cm="1">
        <f t="array" ref="G5282">SubCategorizeComment(E5282)</f>
        <v>Other</v>
      </c>
    </row>
    <row r="5283" spans="1:7" x14ac:dyDescent="0.25">
      <c r="A5283">
        <v>43830</v>
      </c>
      <c r="B5283" t="s">
        <v>4</v>
      </c>
      <c r="C5283">
        <v>4</v>
      </c>
      <c r="D5283" t="s">
        <v>5</v>
      </c>
      <c r="F5283" t="str" cm="1">
        <f t="array" ref="F5283">CategorizeComment(E5283)</f>
        <v>Other</v>
      </c>
      <c r="G5283" t="str" cm="1">
        <f t="array" ref="G5283">SubCategorizeComment(E5283)</f>
        <v>Other</v>
      </c>
    </row>
    <row r="5284" spans="1:7" x14ac:dyDescent="0.25">
      <c r="A5284">
        <v>43867</v>
      </c>
      <c r="B5284" t="s">
        <v>4</v>
      </c>
      <c r="C5284">
        <v>4</v>
      </c>
      <c r="D5284" t="s">
        <v>5</v>
      </c>
      <c r="F5284" t="str" cm="1">
        <f t="array" ref="F5284">CategorizeComment(E5284)</f>
        <v>Other</v>
      </c>
      <c r="G5284" t="str" cm="1">
        <f t="array" ref="G5284">SubCategorizeComment(E5284)</f>
        <v>Other</v>
      </c>
    </row>
    <row r="5285" spans="1:7" x14ac:dyDescent="0.25">
      <c r="A5285">
        <v>43881</v>
      </c>
      <c r="B5285" t="s">
        <v>4</v>
      </c>
      <c r="C5285">
        <v>4</v>
      </c>
      <c r="D5285" t="s">
        <v>5</v>
      </c>
      <c r="F5285" t="str" cm="1">
        <f t="array" ref="F5285">CategorizeComment(E5285)</f>
        <v>Other</v>
      </c>
      <c r="G5285" t="str" cm="1">
        <f t="array" ref="G5285">SubCategorizeComment(E5285)</f>
        <v>Other</v>
      </c>
    </row>
    <row r="5286" spans="1:7" x14ac:dyDescent="0.25">
      <c r="A5286">
        <v>43886</v>
      </c>
      <c r="B5286" t="s">
        <v>4</v>
      </c>
      <c r="C5286">
        <v>3</v>
      </c>
      <c r="D5286" t="s">
        <v>5</v>
      </c>
      <c r="F5286" t="str" cm="1">
        <f t="array" ref="F5286">CategorizeComment(E5286)</f>
        <v>Other</v>
      </c>
      <c r="G5286" t="str" cm="1">
        <f t="array" ref="G5286">SubCategorizeComment(E5286)</f>
        <v>Other</v>
      </c>
    </row>
    <row r="5287" spans="1:7" x14ac:dyDescent="0.25">
      <c r="A5287">
        <v>43894</v>
      </c>
      <c r="B5287" t="s">
        <v>4</v>
      </c>
      <c r="C5287">
        <v>3</v>
      </c>
      <c r="D5287" t="s">
        <v>5</v>
      </c>
      <c r="F5287" t="str" cm="1">
        <f t="array" ref="F5287">CategorizeComment(E5287)</f>
        <v>Other</v>
      </c>
      <c r="G5287" t="str" cm="1">
        <f t="array" ref="G5287">SubCategorizeComment(E5287)</f>
        <v>Other</v>
      </c>
    </row>
    <row r="5288" spans="1:7" x14ac:dyDescent="0.25">
      <c r="A5288">
        <v>43896</v>
      </c>
      <c r="B5288" t="s">
        <v>4</v>
      </c>
      <c r="C5288">
        <v>3</v>
      </c>
      <c r="D5288" t="s">
        <v>5</v>
      </c>
      <c r="F5288" t="str" cm="1">
        <f t="array" ref="F5288">CategorizeComment(E5288)</f>
        <v>Other</v>
      </c>
      <c r="G5288" t="str" cm="1">
        <f t="array" ref="G5288">SubCategorizeComment(E5288)</f>
        <v>Other</v>
      </c>
    </row>
    <row r="5289" spans="1:7" x14ac:dyDescent="0.25">
      <c r="A5289">
        <v>43900</v>
      </c>
      <c r="B5289" t="s">
        <v>4</v>
      </c>
      <c r="C5289">
        <v>3</v>
      </c>
      <c r="D5289" t="s">
        <v>5</v>
      </c>
      <c r="F5289" t="str" cm="1">
        <f t="array" ref="F5289">CategorizeComment(E5289)</f>
        <v>Other</v>
      </c>
      <c r="G5289" t="str" cm="1">
        <f t="array" ref="G5289">SubCategorizeComment(E5289)</f>
        <v>Other</v>
      </c>
    </row>
    <row r="5290" spans="1:7" x14ac:dyDescent="0.25">
      <c r="A5290">
        <v>43901</v>
      </c>
      <c r="B5290" t="s">
        <v>4</v>
      </c>
      <c r="C5290">
        <v>3</v>
      </c>
      <c r="D5290" t="s">
        <v>5</v>
      </c>
      <c r="F5290" t="str" cm="1">
        <f t="array" ref="F5290">CategorizeComment(E5290)</f>
        <v>Other</v>
      </c>
      <c r="G5290" t="str" cm="1">
        <f t="array" ref="G5290">SubCategorizeComment(E5290)</f>
        <v>Other</v>
      </c>
    </row>
    <row r="5291" spans="1:7" x14ac:dyDescent="0.25">
      <c r="A5291">
        <v>43903</v>
      </c>
      <c r="B5291" t="s">
        <v>4</v>
      </c>
      <c r="C5291">
        <v>4</v>
      </c>
      <c r="D5291" t="s">
        <v>5</v>
      </c>
      <c r="F5291" t="str" cm="1">
        <f t="array" ref="F5291">CategorizeComment(E5291)</f>
        <v>Other</v>
      </c>
      <c r="G5291" t="str" cm="1">
        <f t="array" ref="G5291">SubCategorizeComment(E5291)</f>
        <v>Other</v>
      </c>
    </row>
    <row r="5292" spans="1:7" x14ac:dyDescent="0.25">
      <c r="A5292">
        <v>43906</v>
      </c>
      <c r="B5292" t="s">
        <v>4</v>
      </c>
      <c r="C5292">
        <v>3</v>
      </c>
      <c r="D5292" t="s">
        <v>5</v>
      </c>
      <c r="F5292" t="str" cm="1">
        <f t="array" ref="F5292">CategorizeComment(E5292)</f>
        <v>Other</v>
      </c>
      <c r="G5292" t="str" cm="1">
        <f t="array" ref="G5292">SubCategorizeComment(E5292)</f>
        <v>Other</v>
      </c>
    </row>
    <row r="5293" spans="1:7" x14ac:dyDescent="0.25">
      <c r="A5293">
        <v>43909</v>
      </c>
      <c r="B5293" t="s">
        <v>4</v>
      </c>
      <c r="C5293">
        <v>3</v>
      </c>
      <c r="D5293" t="s">
        <v>5</v>
      </c>
      <c r="F5293" t="str" cm="1">
        <f t="array" ref="F5293">CategorizeComment(E5293)</f>
        <v>Other</v>
      </c>
      <c r="G5293" t="str" cm="1">
        <f t="array" ref="G5293">SubCategorizeComment(E5293)</f>
        <v>Other</v>
      </c>
    </row>
    <row r="5294" spans="1:7" x14ac:dyDescent="0.25">
      <c r="A5294">
        <v>43911</v>
      </c>
      <c r="B5294" t="s">
        <v>4</v>
      </c>
      <c r="C5294">
        <v>4</v>
      </c>
      <c r="D5294" t="s">
        <v>5</v>
      </c>
      <c r="F5294" t="str" cm="1">
        <f t="array" ref="F5294">CategorizeComment(E5294)</f>
        <v>Other</v>
      </c>
      <c r="G5294" t="str" cm="1">
        <f t="array" ref="G5294">SubCategorizeComment(E5294)</f>
        <v>Other</v>
      </c>
    </row>
    <row r="5295" spans="1:7" x14ac:dyDescent="0.25">
      <c r="A5295">
        <v>43916</v>
      </c>
      <c r="B5295" t="s">
        <v>4</v>
      </c>
      <c r="C5295">
        <v>4</v>
      </c>
      <c r="D5295" t="s">
        <v>5</v>
      </c>
      <c r="F5295" t="str" cm="1">
        <f t="array" ref="F5295">CategorizeComment(E5295)</f>
        <v>Other</v>
      </c>
      <c r="G5295" t="str" cm="1">
        <f t="array" ref="G5295">SubCategorizeComment(E5295)</f>
        <v>Other</v>
      </c>
    </row>
    <row r="5296" spans="1:7" x14ac:dyDescent="0.25">
      <c r="A5296">
        <v>43927</v>
      </c>
      <c r="B5296" t="s">
        <v>4</v>
      </c>
      <c r="C5296">
        <v>3</v>
      </c>
      <c r="D5296" t="s">
        <v>5</v>
      </c>
      <c r="F5296" t="str" cm="1">
        <f t="array" ref="F5296">CategorizeComment(E5296)</f>
        <v>Other</v>
      </c>
      <c r="G5296" t="str" cm="1">
        <f t="array" ref="G5296">SubCategorizeComment(E5296)</f>
        <v>Other</v>
      </c>
    </row>
    <row r="5297" spans="1:7" x14ac:dyDescent="0.25">
      <c r="A5297">
        <v>43938</v>
      </c>
      <c r="B5297" t="s">
        <v>4</v>
      </c>
      <c r="C5297">
        <v>4</v>
      </c>
      <c r="D5297" t="s">
        <v>5</v>
      </c>
      <c r="F5297" t="str" cm="1">
        <f t="array" ref="F5297">CategorizeComment(E5297)</f>
        <v>Other</v>
      </c>
      <c r="G5297" t="str" cm="1">
        <f t="array" ref="G5297">SubCategorizeComment(E5297)</f>
        <v>Other</v>
      </c>
    </row>
    <row r="5298" spans="1:7" x14ac:dyDescent="0.25">
      <c r="A5298">
        <v>43946</v>
      </c>
      <c r="B5298" t="s">
        <v>4</v>
      </c>
      <c r="C5298">
        <v>4</v>
      </c>
      <c r="D5298" t="s">
        <v>5</v>
      </c>
      <c r="F5298" t="str" cm="1">
        <f t="array" ref="F5298">CategorizeComment(E5298)</f>
        <v>Other</v>
      </c>
      <c r="G5298" t="str" cm="1">
        <f t="array" ref="G5298">SubCategorizeComment(E5298)</f>
        <v>Other</v>
      </c>
    </row>
    <row r="5299" spans="1:7" x14ac:dyDescent="0.25">
      <c r="A5299">
        <v>43953</v>
      </c>
      <c r="B5299" t="s">
        <v>4</v>
      </c>
      <c r="C5299">
        <v>3</v>
      </c>
      <c r="D5299" t="s">
        <v>5</v>
      </c>
      <c r="F5299" t="str" cm="1">
        <f t="array" ref="F5299">CategorizeComment(E5299)</f>
        <v>Other</v>
      </c>
      <c r="G5299" t="str" cm="1">
        <f t="array" ref="G5299">SubCategorizeComment(E5299)</f>
        <v>Other</v>
      </c>
    </row>
    <row r="5300" spans="1:7" x14ac:dyDescent="0.25">
      <c r="A5300">
        <v>43957</v>
      </c>
      <c r="B5300" t="s">
        <v>4</v>
      </c>
      <c r="C5300">
        <v>4</v>
      </c>
      <c r="D5300" t="s">
        <v>5</v>
      </c>
      <c r="F5300" t="str" cm="1">
        <f t="array" ref="F5300">CategorizeComment(E5300)</f>
        <v>Other</v>
      </c>
      <c r="G5300" t="str" cm="1">
        <f t="array" ref="G5300">SubCategorizeComment(E5300)</f>
        <v>Other</v>
      </c>
    </row>
    <row r="5301" spans="1:7" x14ac:dyDescent="0.25">
      <c r="A5301">
        <v>43958</v>
      </c>
      <c r="B5301" t="s">
        <v>4</v>
      </c>
      <c r="C5301">
        <v>3</v>
      </c>
      <c r="D5301" t="s">
        <v>5</v>
      </c>
      <c r="F5301" t="str" cm="1">
        <f t="array" ref="F5301">CategorizeComment(E5301)</f>
        <v>Other</v>
      </c>
      <c r="G5301" t="str" cm="1">
        <f t="array" ref="G5301">SubCategorizeComment(E5301)</f>
        <v>Other</v>
      </c>
    </row>
    <row r="5302" spans="1:7" x14ac:dyDescent="0.25">
      <c r="A5302">
        <v>43967</v>
      </c>
      <c r="B5302" t="s">
        <v>4</v>
      </c>
      <c r="C5302">
        <v>4</v>
      </c>
      <c r="D5302" t="s">
        <v>5</v>
      </c>
      <c r="F5302" t="str" cm="1">
        <f t="array" ref="F5302">CategorizeComment(E5302)</f>
        <v>Other</v>
      </c>
      <c r="G5302" t="str" cm="1">
        <f t="array" ref="G5302">SubCategorizeComment(E5302)</f>
        <v>Other</v>
      </c>
    </row>
    <row r="5303" spans="1:7" x14ac:dyDescent="0.25">
      <c r="A5303">
        <v>43992</v>
      </c>
      <c r="B5303" t="s">
        <v>4</v>
      </c>
      <c r="C5303">
        <v>3</v>
      </c>
      <c r="D5303" t="s">
        <v>5</v>
      </c>
      <c r="F5303" t="str" cm="1">
        <f t="array" ref="F5303">CategorizeComment(E5303)</f>
        <v>Other</v>
      </c>
      <c r="G5303" t="str" cm="1">
        <f t="array" ref="G5303">SubCategorizeComment(E5303)</f>
        <v>Other</v>
      </c>
    </row>
    <row r="5304" spans="1:7" x14ac:dyDescent="0.25">
      <c r="A5304">
        <v>43998</v>
      </c>
      <c r="B5304" t="s">
        <v>4</v>
      </c>
      <c r="C5304">
        <v>3</v>
      </c>
      <c r="D5304" t="s">
        <v>5</v>
      </c>
      <c r="F5304" t="str" cm="1">
        <f t="array" ref="F5304">CategorizeComment(E5304)</f>
        <v>Other</v>
      </c>
      <c r="G5304" t="str" cm="1">
        <f t="array" ref="G5304">SubCategorizeComment(E5304)</f>
        <v>Other</v>
      </c>
    </row>
    <row r="5305" spans="1:7" x14ac:dyDescent="0.25">
      <c r="A5305">
        <v>44032</v>
      </c>
      <c r="B5305" t="s">
        <v>4</v>
      </c>
      <c r="C5305">
        <v>3</v>
      </c>
      <c r="D5305" t="s">
        <v>5</v>
      </c>
      <c r="F5305" t="str" cm="1">
        <f t="array" ref="F5305">CategorizeComment(E5305)</f>
        <v>Other</v>
      </c>
      <c r="G5305" t="str" cm="1">
        <f t="array" ref="G5305">SubCategorizeComment(E5305)</f>
        <v>Other</v>
      </c>
    </row>
    <row r="5306" spans="1:7" x14ac:dyDescent="0.25">
      <c r="A5306">
        <v>44041</v>
      </c>
      <c r="B5306" t="s">
        <v>4</v>
      </c>
      <c r="C5306">
        <v>3</v>
      </c>
      <c r="D5306" t="s">
        <v>5</v>
      </c>
      <c r="F5306" t="str" cm="1">
        <f t="array" ref="F5306">CategorizeComment(E5306)</f>
        <v>Other</v>
      </c>
      <c r="G5306" t="str" cm="1">
        <f t="array" ref="G5306">SubCategorizeComment(E5306)</f>
        <v>Other</v>
      </c>
    </row>
    <row r="5307" spans="1:7" x14ac:dyDescent="0.25">
      <c r="A5307">
        <v>44056</v>
      </c>
      <c r="B5307" t="s">
        <v>4</v>
      </c>
      <c r="C5307">
        <v>3</v>
      </c>
      <c r="D5307" t="s">
        <v>5</v>
      </c>
      <c r="F5307" t="str" cm="1">
        <f t="array" ref="F5307">CategorizeComment(E5307)</f>
        <v>Other</v>
      </c>
      <c r="G5307" t="str" cm="1">
        <f t="array" ref="G5307">SubCategorizeComment(E5307)</f>
        <v>Other</v>
      </c>
    </row>
    <row r="5308" spans="1:7" x14ac:dyDescent="0.25">
      <c r="A5308">
        <v>44079</v>
      </c>
      <c r="B5308" t="s">
        <v>4</v>
      </c>
      <c r="C5308">
        <v>3</v>
      </c>
      <c r="D5308" t="s">
        <v>5</v>
      </c>
      <c r="F5308" t="str" cm="1">
        <f t="array" ref="F5308">CategorizeComment(E5308)</f>
        <v>Other</v>
      </c>
      <c r="G5308" t="str" cm="1">
        <f t="array" ref="G5308">SubCategorizeComment(E5308)</f>
        <v>Other</v>
      </c>
    </row>
    <row r="5309" spans="1:7" x14ac:dyDescent="0.25">
      <c r="A5309">
        <v>44082</v>
      </c>
      <c r="B5309" t="s">
        <v>4</v>
      </c>
      <c r="C5309">
        <v>3</v>
      </c>
      <c r="D5309" t="s">
        <v>5</v>
      </c>
      <c r="F5309" t="str" cm="1">
        <f t="array" ref="F5309">CategorizeComment(E5309)</f>
        <v>Other</v>
      </c>
      <c r="G5309" t="str" cm="1">
        <f t="array" ref="G5309">SubCategorizeComment(E5309)</f>
        <v>Other</v>
      </c>
    </row>
    <row r="5310" spans="1:7" x14ac:dyDescent="0.25">
      <c r="A5310">
        <v>44098</v>
      </c>
      <c r="B5310" t="s">
        <v>4</v>
      </c>
      <c r="C5310">
        <v>4</v>
      </c>
      <c r="D5310" t="s">
        <v>5</v>
      </c>
      <c r="F5310" t="str" cm="1">
        <f t="array" ref="F5310">CategorizeComment(E5310)</f>
        <v>Other</v>
      </c>
      <c r="G5310" t="str" cm="1">
        <f t="array" ref="G5310">SubCategorizeComment(E5310)</f>
        <v>Other</v>
      </c>
    </row>
    <row r="5311" spans="1:7" x14ac:dyDescent="0.25">
      <c r="A5311">
        <v>44099</v>
      </c>
      <c r="B5311" t="s">
        <v>4</v>
      </c>
      <c r="C5311">
        <v>3</v>
      </c>
      <c r="D5311" t="s">
        <v>5</v>
      </c>
      <c r="F5311" t="str" cm="1">
        <f t="array" ref="F5311">CategorizeComment(E5311)</f>
        <v>Other</v>
      </c>
      <c r="G5311" t="str" cm="1">
        <f t="array" ref="G5311">SubCategorizeComment(E5311)</f>
        <v>Other</v>
      </c>
    </row>
    <row r="5312" spans="1:7" x14ac:dyDescent="0.25">
      <c r="A5312">
        <v>44112</v>
      </c>
      <c r="B5312" t="s">
        <v>4</v>
      </c>
      <c r="C5312">
        <v>3</v>
      </c>
      <c r="D5312" t="s">
        <v>5</v>
      </c>
      <c r="F5312" t="str" cm="1">
        <f t="array" ref="F5312">CategorizeComment(E5312)</f>
        <v>Other</v>
      </c>
      <c r="G5312" t="str" cm="1">
        <f t="array" ref="G5312">SubCategorizeComment(E5312)</f>
        <v>Other</v>
      </c>
    </row>
    <row r="5313" spans="1:7" x14ac:dyDescent="0.25">
      <c r="A5313">
        <v>44136</v>
      </c>
      <c r="B5313" t="s">
        <v>4</v>
      </c>
      <c r="C5313">
        <v>3</v>
      </c>
      <c r="D5313" t="s">
        <v>5</v>
      </c>
      <c r="F5313" t="str" cm="1">
        <f t="array" ref="F5313">CategorizeComment(E5313)</f>
        <v>Other</v>
      </c>
      <c r="G5313" t="str" cm="1">
        <f t="array" ref="G5313">SubCategorizeComment(E5313)</f>
        <v>Other</v>
      </c>
    </row>
    <row r="5314" spans="1:7" x14ac:dyDescent="0.25">
      <c r="A5314">
        <v>44137</v>
      </c>
      <c r="B5314" t="s">
        <v>4</v>
      </c>
      <c r="C5314">
        <v>3</v>
      </c>
      <c r="D5314" t="s">
        <v>5</v>
      </c>
      <c r="F5314" t="str" cm="1">
        <f t="array" ref="F5314">CategorizeComment(E5314)</f>
        <v>Other</v>
      </c>
      <c r="G5314" t="str" cm="1">
        <f t="array" ref="G5314">SubCategorizeComment(E5314)</f>
        <v>Other</v>
      </c>
    </row>
    <row r="5315" spans="1:7" x14ac:dyDescent="0.25">
      <c r="A5315">
        <v>44148</v>
      </c>
      <c r="B5315" t="s">
        <v>4</v>
      </c>
      <c r="C5315">
        <v>4</v>
      </c>
      <c r="D5315" t="s">
        <v>5</v>
      </c>
      <c r="F5315" t="str" cm="1">
        <f t="array" ref="F5315">CategorizeComment(E5315)</f>
        <v>Other</v>
      </c>
      <c r="G5315" t="str" cm="1">
        <f t="array" ref="G5315">SubCategorizeComment(E5315)</f>
        <v>Other</v>
      </c>
    </row>
    <row r="5316" spans="1:7" x14ac:dyDescent="0.25">
      <c r="A5316">
        <v>44154</v>
      </c>
      <c r="B5316" t="s">
        <v>4</v>
      </c>
      <c r="C5316">
        <v>4</v>
      </c>
      <c r="D5316" t="s">
        <v>5</v>
      </c>
      <c r="F5316" t="str" cm="1">
        <f t="array" ref="F5316">CategorizeComment(E5316)</f>
        <v>Other</v>
      </c>
      <c r="G5316" t="str" cm="1">
        <f t="array" ref="G5316">SubCategorizeComment(E5316)</f>
        <v>Other</v>
      </c>
    </row>
    <row r="5317" spans="1:7" x14ac:dyDescent="0.25">
      <c r="A5317">
        <v>44163</v>
      </c>
      <c r="B5317" t="s">
        <v>4</v>
      </c>
      <c r="C5317">
        <v>3</v>
      </c>
      <c r="D5317" t="s">
        <v>5</v>
      </c>
      <c r="F5317" t="str" cm="1">
        <f t="array" ref="F5317">CategorizeComment(E5317)</f>
        <v>Other</v>
      </c>
      <c r="G5317" t="str" cm="1">
        <f t="array" ref="G5317">SubCategorizeComment(E5317)</f>
        <v>Other</v>
      </c>
    </row>
    <row r="5318" spans="1:7" x14ac:dyDescent="0.25">
      <c r="A5318">
        <v>44191</v>
      </c>
      <c r="B5318" t="s">
        <v>4</v>
      </c>
      <c r="C5318">
        <v>3</v>
      </c>
      <c r="D5318" t="s">
        <v>5</v>
      </c>
      <c r="F5318" t="str" cm="1">
        <f t="array" ref="F5318">CategorizeComment(E5318)</f>
        <v>Other</v>
      </c>
      <c r="G5318" t="str" cm="1">
        <f t="array" ref="G5318">SubCategorizeComment(E5318)</f>
        <v>Other</v>
      </c>
    </row>
    <row r="5319" spans="1:7" x14ac:dyDescent="0.25">
      <c r="A5319">
        <v>44194</v>
      </c>
      <c r="B5319" t="s">
        <v>4</v>
      </c>
      <c r="C5319">
        <v>3</v>
      </c>
      <c r="D5319" t="s">
        <v>5</v>
      </c>
      <c r="F5319" t="str" cm="1">
        <f t="array" ref="F5319">CategorizeComment(E5319)</f>
        <v>Other</v>
      </c>
      <c r="G5319" t="str" cm="1">
        <f t="array" ref="G5319">SubCategorizeComment(E5319)</f>
        <v>Other</v>
      </c>
    </row>
    <row r="5320" spans="1:7" x14ac:dyDescent="0.25">
      <c r="A5320">
        <v>44199</v>
      </c>
      <c r="B5320" t="s">
        <v>4</v>
      </c>
      <c r="C5320">
        <v>3</v>
      </c>
      <c r="D5320" t="s">
        <v>5</v>
      </c>
      <c r="F5320" t="str" cm="1">
        <f t="array" ref="F5320">CategorizeComment(E5320)</f>
        <v>Other</v>
      </c>
      <c r="G5320" t="str" cm="1">
        <f t="array" ref="G5320">SubCategorizeComment(E5320)</f>
        <v>Other</v>
      </c>
    </row>
    <row r="5321" spans="1:7" x14ac:dyDescent="0.25">
      <c r="A5321">
        <v>44236</v>
      </c>
      <c r="B5321" t="s">
        <v>4</v>
      </c>
      <c r="C5321">
        <v>4</v>
      </c>
      <c r="D5321" t="s">
        <v>5</v>
      </c>
      <c r="F5321" t="str" cm="1">
        <f t="array" ref="F5321">CategorizeComment(E5321)</f>
        <v>Other</v>
      </c>
      <c r="G5321" t="str" cm="1">
        <f t="array" ref="G5321">SubCategorizeComment(E5321)</f>
        <v>Other</v>
      </c>
    </row>
    <row r="5322" spans="1:7" x14ac:dyDescent="0.25">
      <c r="A5322">
        <v>44241</v>
      </c>
      <c r="B5322" t="s">
        <v>4</v>
      </c>
      <c r="C5322">
        <v>3</v>
      </c>
      <c r="D5322" t="s">
        <v>5</v>
      </c>
      <c r="F5322" t="str" cm="1">
        <f t="array" ref="F5322">CategorizeComment(E5322)</f>
        <v>Other</v>
      </c>
      <c r="G5322" t="str" cm="1">
        <f t="array" ref="G5322">SubCategorizeComment(E5322)</f>
        <v>Other</v>
      </c>
    </row>
    <row r="5323" spans="1:7" x14ac:dyDescent="0.25">
      <c r="A5323">
        <v>44246</v>
      </c>
      <c r="B5323" t="s">
        <v>4</v>
      </c>
      <c r="C5323">
        <v>4</v>
      </c>
      <c r="D5323" t="s">
        <v>5</v>
      </c>
      <c r="F5323" t="str" cm="1">
        <f t="array" ref="F5323">CategorizeComment(E5323)</f>
        <v>Other</v>
      </c>
      <c r="G5323" t="str" cm="1">
        <f t="array" ref="G5323">SubCategorizeComment(E5323)</f>
        <v>Other</v>
      </c>
    </row>
    <row r="5324" spans="1:7" x14ac:dyDescent="0.25">
      <c r="A5324">
        <v>44251</v>
      </c>
      <c r="B5324" t="s">
        <v>4</v>
      </c>
      <c r="C5324">
        <v>4</v>
      </c>
      <c r="D5324" t="s">
        <v>5</v>
      </c>
      <c r="F5324" t="str" cm="1">
        <f t="array" ref="F5324">CategorizeComment(E5324)</f>
        <v>Other</v>
      </c>
      <c r="G5324" t="str" cm="1">
        <f t="array" ref="G5324">SubCategorizeComment(E5324)</f>
        <v>Other</v>
      </c>
    </row>
    <row r="5325" spans="1:7" x14ac:dyDescent="0.25">
      <c r="A5325">
        <v>44253</v>
      </c>
      <c r="B5325" t="s">
        <v>4</v>
      </c>
      <c r="C5325">
        <v>3</v>
      </c>
      <c r="D5325" t="s">
        <v>5</v>
      </c>
      <c r="F5325" t="str" cm="1">
        <f t="array" ref="F5325">CategorizeComment(E5325)</f>
        <v>Other</v>
      </c>
      <c r="G5325" t="str" cm="1">
        <f t="array" ref="G5325">SubCategorizeComment(E5325)</f>
        <v>Other</v>
      </c>
    </row>
    <row r="5326" spans="1:7" x14ac:dyDescent="0.25">
      <c r="A5326">
        <v>44259</v>
      </c>
      <c r="B5326" t="s">
        <v>4</v>
      </c>
      <c r="C5326">
        <v>3</v>
      </c>
      <c r="D5326" t="s">
        <v>5</v>
      </c>
      <c r="F5326" t="str" cm="1">
        <f t="array" ref="F5326">CategorizeComment(E5326)</f>
        <v>Other</v>
      </c>
      <c r="G5326" t="str" cm="1">
        <f t="array" ref="G5326">SubCategorizeComment(E5326)</f>
        <v>Other</v>
      </c>
    </row>
    <row r="5327" spans="1:7" x14ac:dyDescent="0.25">
      <c r="A5327">
        <v>44264</v>
      </c>
      <c r="B5327" t="s">
        <v>4</v>
      </c>
      <c r="C5327">
        <v>4</v>
      </c>
      <c r="D5327" t="s">
        <v>5</v>
      </c>
      <c r="F5327" t="str" cm="1">
        <f t="array" ref="F5327">CategorizeComment(E5327)</f>
        <v>Other</v>
      </c>
      <c r="G5327" t="str" cm="1">
        <f t="array" ref="G5327">SubCategorizeComment(E5327)</f>
        <v>Other</v>
      </c>
    </row>
    <row r="5328" spans="1:7" x14ac:dyDescent="0.25">
      <c r="A5328">
        <v>44284</v>
      </c>
      <c r="B5328" t="s">
        <v>4</v>
      </c>
      <c r="C5328">
        <v>3</v>
      </c>
      <c r="D5328" t="s">
        <v>5</v>
      </c>
      <c r="F5328" t="str" cm="1">
        <f t="array" ref="F5328">CategorizeComment(E5328)</f>
        <v>Other</v>
      </c>
      <c r="G5328" t="str" cm="1">
        <f t="array" ref="G5328">SubCategorizeComment(E5328)</f>
        <v>Other</v>
      </c>
    </row>
    <row r="5329" spans="1:7" x14ac:dyDescent="0.25">
      <c r="A5329">
        <v>44286</v>
      </c>
      <c r="B5329" t="s">
        <v>4</v>
      </c>
      <c r="C5329">
        <v>3</v>
      </c>
      <c r="D5329" t="s">
        <v>5</v>
      </c>
      <c r="F5329" t="str" cm="1">
        <f t="array" ref="F5329">CategorizeComment(E5329)</f>
        <v>Other</v>
      </c>
      <c r="G5329" t="str" cm="1">
        <f t="array" ref="G5329">SubCategorizeComment(E5329)</f>
        <v>Other</v>
      </c>
    </row>
    <row r="5330" spans="1:7" x14ac:dyDescent="0.25">
      <c r="A5330">
        <v>44290</v>
      </c>
      <c r="B5330" t="s">
        <v>4</v>
      </c>
      <c r="C5330">
        <v>4</v>
      </c>
      <c r="D5330" t="s">
        <v>5</v>
      </c>
      <c r="F5330" t="str" cm="1">
        <f t="array" ref="F5330">CategorizeComment(E5330)</f>
        <v>Other</v>
      </c>
      <c r="G5330" t="str" cm="1">
        <f t="array" ref="G5330">SubCategorizeComment(E5330)</f>
        <v>Other</v>
      </c>
    </row>
    <row r="5331" spans="1:7" x14ac:dyDescent="0.25">
      <c r="A5331">
        <v>44301</v>
      </c>
      <c r="B5331" t="s">
        <v>4</v>
      </c>
      <c r="C5331">
        <v>4</v>
      </c>
      <c r="D5331" t="s">
        <v>5</v>
      </c>
      <c r="F5331" t="str" cm="1">
        <f t="array" ref="F5331">CategorizeComment(E5331)</f>
        <v>Other</v>
      </c>
      <c r="G5331" t="str" cm="1">
        <f t="array" ref="G5331">SubCategorizeComment(E5331)</f>
        <v>Other</v>
      </c>
    </row>
    <row r="5332" spans="1:7" x14ac:dyDescent="0.25">
      <c r="A5332">
        <v>44307</v>
      </c>
      <c r="B5332" t="s">
        <v>4</v>
      </c>
      <c r="C5332">
        <v>3</v>
      </c>
      <c r="D5332" t="s">
        <v>5</v>
      </c>
      <c r="F5332" t="str" cm="1">
        <f t="array" ref="F5332">CategorizeComment(E5332)</f>
        <v>Other</v>
      </c>
      <c r="G5332" t="str" cm="1">
        <f t="array" ref="G5332">SubCategorizeComment(E5332)</f>
        <v>Other</v>
      </c>
    </row>
    <row r="5333" spans="1:7" x14ac:dyDescent="0.25">
      <c r="A5333">
        <v>44313</v>
      </c>
      <c r="B5333" t="s">
        <v>4</v>
      </c>
      <c r="C5333">
        <v>3</v>
      </c>
      <c r="D5333" t="s">
        <v>5</v>
      </c>
      <c r="F5333" t="str" cm="1">
        <f t="array" ref="F5333">CategorizeComment(E5333)</f>
        <v>Other</v>
      </c>
      <c r="G5333" t="str" cm="1">
        <f t="array" ref="G5333">SubCategorizeComment(E5333)</f>
        <v>Other</v>
      </c>
    </row>
    <row r="5334" spans="1:7" x14ac:dyDescent="0.25">
      <c r="A5334">
        <v>44322</v>
      </c>
      <c r="B5334" t="s">
        <v>4</v>
      </c>
      <c r="C5334">
        <v>4</v>
      </c>
      <c r="D5334" t="s">
        <v>5</v>
      </c>
      <c r="F5334" t="str" cm="1">
        <f t="array" ref="F5334">CategorizeComment(E5334)</f>
        <v>Other</v>
      </c>
      <c r="G5334" t="str" cm="1">
        <f t="array" ref="G5334">SubCategorizeComment(E5334)</f>
        <v>Other</v>
      </c>
    </row>
    <row r="5335" spans="1:7" x14ac:dyDescent="0.25">
      <c r="A5335">
        <v>44329</v>
      </c>
      <c r="B5335" t="s">
        <v>4</v>
      </c>
      <c r="C5335">
        <v>4</v>
      </c>
      <c r="D5335" t="s">
        <v>5</v>
      </c>
      <c r="F5335" t="str" cm="1">
        <f t="array" ref="F5335">CategorizeComment(E5335)</f>
        <v>Other</v>
      </c>
      <c r="G5335" t="str" cm="1">
        <f t="array" ref="G5335">SubCategorizeComment(E5335)</f>
        <v>Other</v>
      </c>
    </row>
    <row r="5336" spans="1:7" x14ac:dyDescent="0.25">
      <c r="A5336">
        <v>44336</v>
      </c>
      <c r="B5336" t="s">
        <v>4</v>
      </c>
      <c r="C5336">
        <v>4</v>
      </c>
      <c r="D5336" t="s">
        <v>5</v>
      </c>
      <c r="F5336" t="str" cm="1">
        <f t="array" ref="F5336">CategorizeComment(E5336)</f>
        <v>Other</v>
      </c>
      <c r="G5336" t="str" cm="1">
        <f t="array" ref="G5336">SubCategorizeComment(E5336)</f>
        <v>Other</v>
      </c>
    </row>
    <row r="5337" spans="1:7" x14ac:dyDescent="0.25">
      <c r="A5337">
        <v>44337</v>
      </c>
      <c r="B5337" t="s">
        <v>4</v>
      </c>
      <c r="C5337">
        <v>3</v>
      </c>
      <c r="D5337" t="s">
        <v>5</v>
      </c>
      <c r="F5337" t="str" cm="1">
        <f t="array" ref="F5337">CategorizeComment(E5337)</f>
        <v>Other</v>
      </c>
      <c r="G5337" t="str" cm="1">
        <f t="array" ref="G5337">SubCategorizeComment(E5337)</f>
        <v>Other</v>
      </c>
    </row>
    <row r="5338" spans="1:7" x14ac:dyDescent="0.25">
      <c r="A5338">
        <v>44341</v>
      </c>
      <c r="B5338" t="s">
        <v>4</v>
      </c>
      <c r="C5338">
        <v>3</v>
      </c>
      <c r="D5338" t="s">
        <v>5</v>
      </c>
      <c r="F5338" t="str" cm="1">
        <f t="array" ref="F5338">CategorizeComment(E5338)</f>
        <v>Other</v>
      </c>
      <c r="G5338" t="str" cm="1">
        <f t="array" ref="G5338">SubCategorizeComment(E5338)</f>
        <v>Other</v>
      </c>
    </row>
    <row r="5339" spans="1:7" x14ac:dyDescent="0.25">
      <c r="A5339">
        <v>44350</v>
      </c>
      <c r="B5339" t="s">
        <v>4</v>
      </c>
      <c r="C5339">
        <v>3</v>
      </c>
      <c r="D5339" t="s">
        <v>5</v>
      </c>
      <c r="F5339" t="str" cm="1">
        <f t="array" ref="F5339">CategorizeComment(E5339)</f>
        <v>Other</v>
      </c>
      <c r="G5339" t="str" cm="1">
        <f t="array" ref="G5339">SubCategorizeComment(E5339)</f>
        <v>Other</v>
      </c>
    </row>
    <row r="5340" spans="1:7" x14ac:dyDescent="0.25">
      <c r="A5340">
        <v>44354</v>
      </c>
      <c r="B5340" t="s">
        <v>4</v>
      </c>
      <c r="C5340">
        <v>4</v>
      </c>
      <c r="D5340" t="s">
        <v>5</v>
      </c>
      <c r="F5340" t="str" cm="1">
        <f t="array" ref="F5340">CategorizeComment(E5340)</f>
        <v>Other</v>
      </c>
      <c r="G5340" t="str" cm="1">
        <f t="array" ref="G5340">SubCategorizeComment(E5340)</f>
        <v>Other</v>
      </c>
    </row>
    <row r="5341" spans="1:7" x14ac:dyDescent="0.25">
      <c r="A5341">
        <v>44363</v>
      </c>
      <c r="B5341" t="s">
        <v>4</v>
      </c>
      <c r="C5341">
        <v>4</v>
      </c>
      <c r="D5341" t="s">
        <v>5</v>
      </c>
      <c r="F5341" t="str" cm="1">
        <f t="array" ref="F5341">CategorizeComment(E5341)</f>
        <v>Other</v>
      </c>
      <c r="G5341" t="str" cm="1">
        <f t="array" ref="G5341">SubCategorizeComment(E5341)</f>
        <v>Other</v>
      </c>
    </row>
    <row r="5342" spans="1:7" x14ac:dyDescent="0.25">
      <c r="A5342">
        <v>44366</v>
      </c>
      <c r="B5342" t="s">
        <v>4</v>
      </c>
      <c r="C5342">
        <v>3</v>
      </c>
      <c r="D5342" t="s">
        <v>5</v>
      </c>
      <c r="F5342" t="str" cm="1">
        <f t="array" ref="F5342">CategorizeComment(E5342)</f>
        <v>Other</v>
      </c>
      <c r="G5342" t="str" cm="1">
        <f t="array" ref="G5342">SubCategorizeComment(E5342)</f>
        <v>Other</v>
      </c>
    </row>
    <row r="5343" spans="1:7" x14ac:dyDescent="0.25">
      <c r="A5343">
        <v>44372</v>
      </c>
      <c r="B5343" t="s">
        <v>4</v>
      </c>
      <c r="C5343">
        <v>4</v>
      </c>
      <c r="D5343" t="s">
        <v>5</v>
      </c>
      <c r="F5343" t="str" cm="1">
        <f t="array" ref="F5343">CategorizeComment(E5343)</f>
        <v>Other</v>
      </c>
      <c r="G5343" t="str" cm="1">
        <f t="array" ref="G5343">SubCategorizeComment(E5343)</f>
        <v>Other</v>
      </c>
    </row>
    <row r="5344" spans="1:7" x14ac:dyDescent="0.25">
      <c r="A5344">
        <v>44391</v>
      </c>
      <c r="B5344" t="s">
        <v>4</v>
      </c>
      <c r="C5344">
        <v>4</v>
      </c>
      <c r="D5344" t="s">
        <v>5</v>
      </c>
      <c r="F5344" t="str" cm="1">
        <f t="array" ref="F5344">CategorizeComment(E5344)</f>
        <v>Other</v>
      </c>
      <c r="G5344" t="str" cm="1">
        <f t="array" ref="G5344">SubCategorizeComment(E5344)</f>
        <v>Other</v>
      </c>
    </row>
    <row r="5345" spans="1:7" x14ac:dyDescent="0.25">
      <c r="A5345">
        <v>44398</v>
      </c>
      <c r="B5345" t="s">
        <v>4</v>
      </c>
      <c r="C5345">
        <v>4</v>
      </c>
      <c r="D5345" t="s">
        <v>5</v>
      </c>
      <c r="F5345" t="str" cm="1">
        <f t="array" ref="F5345">CategorizeComment(E5345)</f>
        <v>Other</v>
      </c>
      <c r="G5345" t="str" cm="1">
        <f t="array" ref="G5345">SubCategorizeComment(E5345)</f>
        <v>Other</v>
      </c>
    </row>
    <row r="5346" spans="1:7" x14ac:dyDescent="0.25">
      <c r="A5346">
        <v>44401</v>
      </c>
      <c r="B5346" t="s">
        <v>4</v>
      </c>
      <c r="C5346">
        <v>3</v>
      </c>
      <c r="D5346" t="s">
        <v>5</v>
      </c>
      <c r="F5346" t="str" cm="1">
        <f t="array" ref="F5346">CategorizeComment(E5346)</f>
        <v>Other</v>
      </c>
      <c r="G5346" t="str" cm="1">
        <f t="array" ref="G5346">SubCategorizeComment(E5346)</f>
        <v>Other</v>
      </c>
    </row>
    <row r="5347" spans="1:7" x14ac:dyDescent="0.25">
      <c r="A5347">
        <v>44402</v>
      </c>
      <c r="B5347" t="s">
        <v>4</v>
      </c>
      <c r="C5347">
        <v>4</v>
      </c>
      <c r="D5347" t="s">
        <v>5</v>
      </c>
      <c r="F5347" t="str" cm="1">
        <f t="array" ref="F5347">CategorizeComment(E5347)</f>
        <v>Other</v>
      </c>
      <c r="G5347" t="str" cm="1">
        <f t="array" ref="G5347">SubCategorizeComment(E5347)</f>
        <v>Other</v>
      </c>
    </row>
    <row r="5348" spans="1:7" x14ac:dyDescent="0.25">
      <c r="A5348">
        <v>44404</v>
      </c>
      <c r="B5348" t="s">
        <v>4</v>
      </c>
      <c r="C5348">
        <v>4</v>
      </c>
      <c r="D5348" t="s">
        <v>5</v>
      </c>
      <c r="F5348" t="str" cm="1">
        <f t="array" ref="F5348">CategorizeComment(E5348)</f>
        <v>Other</v>
      </c>
      <c r="G5348" t="str" cm="1">
        <f t="array" ref="G5348">SubCategorizeComment(E5348)</f>
        <v>Other</v>
      </c>
    </row>
    <row r="5349" spans="1:7" x14ac:dyDescent="0.25">
      <c r="A5349">
        <v>44406</v>
      </c>
      <c r="B5349" t="s">
        <v>4</v>
      </c>
      <c r="C5349">
        <v>4</v>
      </c>
      <c r="D5349" t="s">
        <v>5</v>
      </c>
      <c r="F5349" t="str" cm="1">
        <f t="array" ref="F5349">CategorizeComment(E5349)</f>
        <v>Other</v>
      </c>
      <c r="G5349" t="str" cm="1">
        <f t="array" ref="G5349">SubCategorizeComment(E5349)</f>
        <v>Other</v>
      </c>
    </row>
    <row r="5350" spans="1:7" x14ac:dyDescent="0.25">
      <c r="A5350">
        <v>44418</v>
      </c>
      <c r="B5350" t="s">
        <v>4</v>
      </c>
      <c r="C5350">
        <v>4</v>
      </c>
      <c r="D5350" t="s">
        <v>5</v>
      </c>
      <c r="F5350" t="str" cm="1">
        <f t="array" ref="F5350">CategorizeComment(E5350)</f>
        <v>Other</v>
      </c>
      <c r="G5350" t="str" cm="1">
        <f t="array" ref="G5350">SubCategorizeComment(E5350)</f>
        <v>Other</v>
      </c>
    </row>
    <row r="5351" spans="1:7" x14ac:dyDescent="0.25">
      <c r="A5351">
        <v>44429</v>
      </c>
      <c r="B5351" t="s">
        <v>4</v>
      </c>
      <c r="C5351">
        <v>3</v>
      </c>
      <c r="D5351" t="s">
        <v>5</v>
      </c>
      <c r="F5351" t="str" cm="1">
        <f t="array" ref="F5351">CategorizeComment(E5351)</f>
        <v>Other</v>
      </c>
      <c r="G5351" t="str" cm="1">
        <f t="array" ref="G5351">SubCategorizeComment(E5351)</f>
        <v>Other</v>
      </c>
    </row>
    <row r="5352" spans="1:7" x14ac:dyDescent="0.25">
      <c r="A5352">
        <v>44430</v>
      </c>
      <c r="B5352" t="s">
        <v>4</v>
      </c>
      <c r="C5352">
        <v>3</v>
      </c>
      <c r="D5352" t="s">
        <v>5</v>
      </c>
      <c r="F5352" t="str" cm="1">
        <f t="array" ref="F5352">CategorizeComment(E5352)</f>
        <v>Other</v>
      </c>
      <c r="G5352" t="str" cm="1">
        <f t="array" ref="G5352">SubCategorizeComment(E5352)</f>
        <v>Other</v>
      </c>
    </row>
    <row r="5353" spans="1:7" x14ac:dyDescent="0.25">
      <c r="A5353">
        <v>44457</v>
      </c>
      <c r="B5353" t="s">
        <v>4</v>
      </c>
      <c r="C5353">
        <v>3</v>
      </c>
      <c r="D5353" t="s">
        <v>5</v>
      </c>
      <c r="F5353" t="str" cm="1">
        <f t="array" ref="F5353">CategorizeComment(E5353)</f>
        <v>Other</v>
      </c>
      <c r="G5353" t="str" cm="1">
        <f t="array" ref="G5353">SubCategorizeComment(E5353)</f>
        <v>Other</v>
      </c>
    </row>
    <row r="5354" spans="1:7" x14ac:dyDescent="0.25">
      <c r="A5354">
        <v>44466</v>
      </c>
      <c r="B5354" t="s">
        <v>4</v>
      </c>
      <c r="C5354">
        <v>4</v>
      </c>
      <c r="D5354" t="s">
        <v>5</v>
      </c>
      <c r="F5354" t="str" cm="1">
        <f t="array" ref="F5354">CategorizeComment(E5354)</f>
        <v>Other</v>
      </c>
      <c r="G5354" t="str" cm="1">
        <f t="array" ref="G5354">SubCategorizeComment(E5354)</f>
        <v>Other</v>
      </c>
    </row>
    <row r="5355" spans="1:7" x14ac:dyDescent="0.25">
      <c r="A5355">
        <v>44473</v>
      </c>
      <c r="B5355" t="s">
        <v>4</v>
      </c>
      <c r="C5355">
        <v>3</v>
      </c>
      <c r="D5355" t="s">
        <v>5</v>
      </c>
      <c r="F5355" t="str" cm="1">
        <f t="array" ref="F5355">CategorizeComment(E5355)</f>
        <v>Other</v>
      </c>
      <c r="G5355" t="str" cm="1">
        <f t="array" ref="G5355">SubCategorizeComment(E5355)</f>
        <v>Other</v>
      </c>
    </row>
    <row r="5356" spans="1:7" x14ac:dyDescent="0.25">
      <c r="A5356">
        <v>44475</v>
      </c>
      <c r="B5356" t="s">
        <v>4</v>
      </c>
      <c r="C5356">
        <v>3</v>
      </c>
      <c r="D5356" t="s">
        <v>5</v>
      </c>
      <c r="F5356" t="str" cm="1">
        <f t="array" ref="F5356">CategorizeComment(E5356)</f>
        <v>Other</v>
      </c>
      <c r="G5356" t="str" cm="1">
        <f t="array" ref="G5356">SubCategorizeComment(E5356)</f>
        <v>Other</v>
      </c>
    </row>
    <row r="5357" spans="1:7" x14ac:dyDescent="0.25">
      <c r="A5357">
        <v>44485</v>
      </c>
      <c r="B5357" t="s">
        <v>4</v>
      </c>
      <c r="C5357">
        <v>3</v>
      </c>
      <c r="D5357" t="s">
        <v>5</v>
      </c>
      <c r="F5357" t="str" cm="1">
        <f t="array" ref="F5357">CategorizeComment(E5357)</f>
        <v>Other</v>
      </c>
      <c r="G5357" t="str" cm="1">
        <f t="array" ref="G5357">SubCategorizeComment(E5357)</f>
        <v>Other</v>
      </c>
    </row>
    <row r="5358" spans="1:7" x14ac:dyDescent="0.25">
      <c r="A5358">
        <v>44487</v>
      </c>
      <c r="B5358" t="s">
        <v>4</v>
      </c>
      <c r="C5358">
        <v>3</v>
      </c>
      <c r="D5358" t="s">
        <v>5</v>
      </c>
      <c r="F5358" t="str" cm="1">
        <f t="array" ref="F5358">CategorizeComment(E5358)</f>
        <v>Other</v>
      </c>
      <c r="G5358" t="str" cm="1">
        <f t="array" ref="G5358">SubCategorizeComment(E5358)</f>
        <v>Other</v>
      </c>
    </row>
    <row r="5359" spans="1:7" x14ac:dyDescent="0.25">
      <c r="A5359">
        <v>44489</v>
      </c>
      <c r="B5359" t="s">
        <v>4</v>
      </c>
      <c r="C5359">
        <v>4</v>
      </c>
      <c r="D5359" t="s">
        <v>5</v>
      </c>
      <c r="F5359" t="str" cm="1">
        <f t="array" ref="F5359">CategorizeComment(E5359)</f>
        <v>Other</v>
      </c>
      <c r="G5359" t="str" cm="1">
        <f t="array" ref="G5359">SubCategorizeComment(E5359)</f>
        <v>Other</v>
      </c>
    </row>
    <row r="5360" spans="1:7" x14ac:dyDescent="0.25">
      <c r="A5360">
        <v>44512</v>
      </c>
      <c r="B5360" t="s">
        <v>4</v>
      </c>
      <c r="C5360">
        <v>4</v>
      </c>
      <c r="D5360" t="s">
        <v>5</v>
      </c>
      <c r="F5360" t="str" cm="1">
        <f t="array" ref="F5360">CategorizeComment(E5360)</f>
        <v>Other</v>
      </c>
      <c r="G5360" t="str" cm="1">
        <f t="array" ref="G5360">SubCategorizeComment(E5360)</f>
        <v>Other</v>
      </c>
    </row>
    <row r="5361" spans="1:7" x14ac:dyDescent="0.25">
      <c r="A5361">
        <v>44548</v>
      </c>
      <c r="B5361" t="s">
        <v>4</v>
      </c>
      <c r="C5361">
        <v>4</v>
      </c>
      <c r="D5361" t="s">
        <v>5</v>
      </c>
      <c r="F5361" t="str" cm="1">
        <f t="array" ref="F5361">CategorizeComment(E5361)</f>
        <v>Other</v>
      </c>
      <c r="G5361" t="str" cm="1">
        <f t="array" ref="G5361">SubCategorizeComment(E5361)</f>
        <v>Other</v>
      </c>
    </row>
    <row r="5362" spans="1:7" x14ac:dyDescent="0.25">
      <c r="A5362">
        <v>44549</v>
      </c>
      <c r="B5362" t="s">
        <v>4</v>
      </c>
      <c r="C5362">
        <v>4</v>
      </c>
      <c r="D5362" t="s">
        <v>5</v>
      </c>
      <c r="F5362" t="str" cm="1">
        <f t="array" ref="F5362">CategorizeComment(E5362)</f>
        <v>Other</v>
      </c>
      <c r="G5362" t="str" cm="1">
        <f t="array" ref="G5362">SubCategorizeComment(E5362)</f>
        <v>Other</v>
      </c>
    </row>
    <row r="5363" spans="1:7" x14ac:dyDescent="0.25">
      <c r="A5363">
        <v>44550</v>
      </c>
      <c r="B5363" t="s">
        <v>4</v>
      </c>
      <c r="C5363">
        <v>4</v>
      </c>
      <c r="D5363" t="s">
        <v>5</v>
      </c>
      <c r="F5363" t="str" cm="1">
        <f t="array" ref="F5363">CategorizeComment(E5363)</f>
        <v>Other</v>
      </c>
      <c r="G5363" t="str" cm="1">
        <f t="array" ref="G5363">SubCategorizeComment(E5363)</f>
        <v>Other</v>
      </c>
    </row>
    <row r="5364" spans="1:7" x14ac:dyDescent="0.25">
      <c r="A5364">
        <v>44563</v>
      </c>
      <c r="B5364" t="s">
        <v>4</v>
      </c>
      <c r="C5364">
        <v>3</v>
      </c>
      <c r="D5364" t="s">
        <v>5</v>
      </c>
      <c r="F5364" t="str" cm="1">
        <f t="array" ref="F5364">CategorizeComment(E5364)</f>
        <v>Other</v>
      </c>
      <c r="G5364" t="str" cm="1">
        <f t="array" ref="G5364">SubCategorizeComment(E5364)</f>
        <v>Other</v>
      </c>
    </row>
    <row r="5365" spans="1:7" x14ac:dyDescent="0.25">
      <c r="A5365">
        <v>44603</v>
      </c>
      <c r="B5365" t="s">
        <v>4</v>
      </c>
      <c r="C5365">
        <v>3</v>
      </c>
      <c r="D5365" t="s">
        <v>5</v>
      </c>
      <c r="F5365" t="str" cm="1">
        <f t="array" ref="F5365">CategorizeComment(E5365)</f>
        <v>Other</v>
      </c>
      <c r="G5365" t="str" cm="1">
        <f t="array" ref="G5365">SubCategorizeComment(E5365)</f>
        <v>Other</v>
      </c>
    </row>
    <row r="5366" spans="1:7" x14ac:dyDescent="0.25">
      <c r="A5366">
        <v>44610</v>
      </c>
      <c r="B5366" t="s">
        <v>4</v>
      </c>
      <c r="C5366">
        <v>3</v>
      </c>
      <c r="D5366" t="s">
        <v>5</v>
      </c>
      <c r="F5366" t="str" cm="1">
        <f t="array" ref="F5366">CategorizeComment(E5366)</f>
        <v>Other</v>
      </c>
      <c r="G5366" t="str" cm="1">
        <f t="array" ref="G5366">SubCategorizeComment(E5366)</f>
        <v>Other</v>
      </c>
    </row>
    <row r="5367" spans="1:7" x14ac:dyDescent="0.25">
      <c r="A5367">
        <v>44618</v>
      </c>
      <c r="B5367" t="s">
        <v>4</v>
      </c>
      <c r="C5367">
        <v>3</v>
      </c>
      <c r="D5367" t="s">
        <v>5</v>
      </c>
      <c r="F5367" t="str" cm="1">
        <f t="array" ref="F5367">CategorizeComment(E5367)</f>
        <v>Other</v>
      </c>
      <c r="G5367" t="str" cm="1">
        <f t="array" ref="G5367">SubCategorizeComment(E5367)</f>
        <v>Other</v>
      </c>
    </row>
    <row r="5368" spans="1:7" x14ac:dyDescent="0.25">
      <c r="A5368">
        <v>44658</v>
      </c>
      <c r="B5368" t="s">
        <v>4</v>
      </c>
      <c r="C5368">
        <v>3</v>
      </c>
      <c r="D5368" t="s">
        <v>5</v>
      </c>
      <c r="F5368" t="str" cm="1">
        <f t="array" ref="F5368">CategorizeComment(E5368)</f>
        <v>Other</v>
      </c>
      <c r="G5368" t="str" cm="1">
        <f t="array" ref="G5368">SubCategorizeComment(E5368)</f>
        <v>Other</v>
      </c>
    </row>
    <row r="5369" spans="1:7" x14ac:dyDescent="0.25">
      <c r="A5369">
        <v>44663</v>
      </c>
      <c r="B5369" t="s">
        <v>4</v>
      </c>
      <c r="C5369">
        <v>4</v>
      </c>
      <c r="D5369" t="s">
        <v>5</v>
      </c>
      <c r="F5369" t="str" cm="1">
        <f t="array" ref="F5369">CategorizeComment(E5369)</f>
        <v>Other</v>
      </c>
      <c r="G5369" t="str" cm="1">
        <f t="array" ref="G5369">SubCategorizeComment(E5369)</f>
        <v>Other</v>
      </c>
    </row>
    <row r="5370" spans="1:7" x14ac:dyDescent="0.25">
      <c r="A5370">
        <v>44674</v>
      </c>
      <c r="B5370" t="s">
        <v>4</v>
      </c>
      <c r="C5370">
        <v>3</v>
      </c>
      <c r="D5370" t="s">
        <v>5</v>
      </c>
      <c r="F5370" t="str" cm="1">
        <f t="array" ref="F5370">CategorizeComment(E5370)</f>
        <v>Other</v>
      </c>
      <c r="G5370" t="str" cm="1">
        <f t="array" ref="G5370">SubCategorizeComment(E5370)</f>
        <v>Other</v>
      </c>
    </row>
    <row r="5371" spans="1:7" x14ac:dyDescent="0.25">
      <c r="A5371">
        <v>44679</v>
      </c>
      <c r="B5371" t="s">
        <v>4</v>
      </c>
      <c r="C5371">
        <v>4</v>
      </c>
      <c r="D5371" t="s">
        <v>5</v>
      </c>
      <c r="F5371" t="str" cm="1">
        <f t="array" ref="F5371">CategorizeComment(E5371)</f>
        <v>Other</v>
      </c>
      <c r="G5371" t="str" cm="1">
        <f t="array" ref="G5371">SubCategorizeComment(E5371)</f>
        <v>Other</v>
      </c>
    </row>
    <row r="5372" spans="1:7" x14ac:dyDescent="0.25">
      <c r="A5372">
        <v>44681</v>
      </c>
      <c r="B5372" t="s">
        <v>4</v>
      </c>
      <c r="C5372">
        <v>4</v>
      </c>
      <c r="D5372" t="s">
        <v>5</v>
      </c>
      <c r="F5372" t="str" cm="1">
        <f t="array" ref="F5372">CategorizeComment(E5372)</f>
        <v>Other</v>
      </c>
      <c r="G5372" t="str" cm="1">
        <f t="array" ref="G5372">SubCategorizeComment(E5372)</f>
        <v>Other</v>
      </c>
    </row>
    <row r="5373" spans="1:7" x14ac:dyDescent="0.25">
      <c r="A5373">
        <v>44685</v>
      </c>
      <c r="B5373" t="s">
        <v>4</v>
      </c>
      <c r="C5373">
        <v>4</v>
      </c>
      <c r="D5373" t="s">
        <v>5</v>
      </c>
      <c r="F5373" t="str" cm="1">
        <f t="array" ref="F5373">CategorizeComment(E5373)</f>
        <v>Other</v>
      </c>
      <c r="G5373" t="str" cm="1">
        <f t="array" ref="G5373">SubCategorizeComment(E5373)</f>
        <v>Other</v>
      </c>
    </row>
    <row r="5374" spans="1:7" x14ac:dyDescent="0.25">
      <c r="A5374">
        <v>44686</v>
      </c>
      <c r="B5374" t="s">
        <v>4</v>
      </c>
      <c r="C5374">
        <v>3</v>
      </c>
      <c r="D5374" t="s">
        <v>5</v>
      </c>
      <c r="F5374" t="str" cm="1">
        <f t="array" ref="F5374">CategorizeComment(E5374)</f>
        <v>Other</v>
      </c>
      <c r="G5374" t="str" cm="1">
        <f t="array" ref="G5374">SubCategorizeComment(E5374)</f>
        <v>Other</v>
      </c>
    </row>
    <row r="5375" spans="1:7" x14ac:dyDescent="0.25">
      <c r="A5375">
        <v>44691</v>
      </c>
      <c r="B5375" t="s">
        <v>4</v>
      </c>
      <c r="C5375">
        <v>4</v>
      </c>
      <c r="D5375" t="s">
        <v>5</v>
      </c>
      <c r="F5375" t="str" cm="1">
        <f t="array" ref="F5375">CategorizeComment(E5375)</f>
        <v>Other</v>
      </c>
      <c r="G5375" t="str" cm="1">
        <f t="array" ref="G5375">SubCategorizeComment(E5375)</f>
        <v>Other</v>
      </c>
    </row>
    <row r="5376" spans="1:7" x14ac:dyDescent="0.25">
      <c r="A5376">
        <v>44696</v>
      </c>
      <c r="B5376" t="s">
        <v>4</v>
      </c>
      <c r="C5376">
        <v>4</v>
      </c>
      <c r="D5376" t="s">
        <v>5</v>
      </c>
      <c r="F5376" t="str" cm="1">
        <f t="array" ref="F5376">CategorizeComment(E5376)</f>
        <v>Other</v>
      </c>
      <c r="G5376" t="str" cm="1">
        <f t="array" ref="G5376">SubCategorizeComment(E5376)</f>
        <v>Other</v>
      </c>
    </row>
    <row r="5377" spans="1:7" x14ac:dyDescent="0.25">
      <c r="A5377">
        <v>44699</v>
      </c>
      <c r="B5377" t="s">
        <v>4</v>
      </c>
      <c r="C5377">
        <v>4</v>
      </c>
      <c r="D5377" t="s">
        <v>5</v>
      </c>
      <c r="F5377" t="str" cm="1">
        <f t="array" ref="F5377">CategorizeComment(E5377)</f>
        <v>Other</v>
      </c>
      <c r="G5377" t="str" cm="1">
        <f t="array" ref="G5377">SubCategorizeComment(E5377)</f>
        <v>Other</v>
      </c>
    </row>
    <row r="5378" spans="1:7" x14ac:dyDescent="0.25">
      <c r="A5378">
        <v>44737</v>
      </c>
      <c r="B5378" t="s">
        <v>4</v>
      </c>
      <c r="C5378">
        <v>4</v>
      </c>
      <c r="D5378" t="s">
        <v>5</v>
      </c>
      <c r="F5378" t="str" cm="1">
        <f t="array" ref="F5378">CategorizeComment(E5378)</f>
        <v>Other</v>
      </c>
      <c r="G5378" t="str" cm="1">
        <f t="array" ref="G5378">SubCategorizeComment(E5378)</f>
        <v>Other</v>
      </c>
    </row>
    <row r="5379" spans="1:7" x14ac:dyDescent="0.25">
      <c r="A5379">
        <v>44740</v>
      </c>
      <c r="B5379" t="s">
        <v>4</v>
      </c>
      <c r="C5379">
        <v>3</v>
      </c>
      <c r="D5379" t="s">
        <v>5</v>
      </c>
      <c r="F5379" t="str" cm="1">
        <f t="array" ref="F5379">CategorizeComment(E5379)</f>
        <v>Other</v>
      </c>
      <c r="G5379" t="str" cm="1">
        <f t="array" ref="G5379">SubCategorizeComment(E5379)</f>
        <v>Other</v>
      </c>
    </row>
    <row r="5380" spans="1:7" x14ac:dyDescent="0.25">
      <c r="A5380">
        <v>44748</v>
      </c>
      <c r="B5380" t="s">
        <v>4</v>
      </c>
      <c r="C5380">
        <v>3</v>
      </c>
      <c r="D5380" t="s">
        <v>5</v>
      </c>
      <c r="F5380" t="str" cm="1">
        <f t="array" ref="F5380">CategorizeComment(E5380)</f>
        <v>Other</v>
      </c>
      <c r="G5380" t="str" cm="1">
        <f t="array" ref="G5380">SubCategorizeComment(E5380)</f>
        <v>Other</v>
      </c>
    </row>
    <row r="5381" spans="1:7" x14ac:dyDescent="0.25">
      <c r="A5381">
        <v>44750</v>
      </c>
      <c r="B5381" t="s">
        <v>4</v>
      </c>
      <c r="C5381">
        <v>3</v>
      </c>
      <c r="D5381" t="s">
        <v>5</v>
      </c>
      <c r="F5381" t="str" cm="1">
        <f t="array" ref="F5381">CategorizeComment(E5381)</f>
        <v>Other</v>
      </c>
      <c r="G5381" t="str" cm="1">
        <f t="array" ref="G5381">SubCategorizeComment(E5381)</f>
        <v>Other</v>
      </c>
    </row>
    <row r="5382" spans="1:7" x14ac:dyDescent="0.25">
      <c r="A5382">
        <v>44755</v>
      </c>
      <c r="B5382" t="s">
        <v>4</v>
      </c>
      <c r="C5382">
        <v>3</v>
      </c>
      <c r="D5382" t="s">
        <v>5</v>
      </c>
      <c r="F5382" t="str" cm="1">
        <f t="array" ref="F5382">CategorizeComment(E5382)</f>
        <v>Other</v>
      </c>
      <c r="G5382" t="str" cm="1">
        <f t="array" ref="G5382">SubCategorizeComment(E5382)</f>
        <v>Other</v>
      </c>
    </row>
    <row r="5383" spans="1:7" x14ac:dyDescent="0.25">
      <c r="A5383">
        <v>44775</v>
      </c>
      <c r="B5383" t="s">
        <v>4</v>
      </c>
      <c r="C5383">
        <v>3</v>
      </c>
      <c r="D5383" t="s">
        <v>5</v>
      </c>
      <c r="F5383" t="str" cm="1">
        <f t="array" ref="F5383">CategorizeComment(E5383)</f>
        <v>Other</v>
      </c>
      <c r="G5383" t="str" cm="1">
        <f t="array" ref="G5383">SubCategorizeComment(E5383)</f>
        <v>Other</v>
      </c>
    </row>
    <row r="5384" spans="1:7" x14ac:dyDescent="0.25">
      <c r="A5384">
        <v>44803</v>
      </c>
      <c r="B5384" t="s">
        <v>4</v>
      </c>
      <c r="C5384">
        <v>4</v>
      </c>
      <c r="D5384" t="s">
        <v>5</v>
      </c>
      <c r="F5384" t="str" cm="1">
        <f t="array" ref="F5384">CategorizeComment(E5384)</f>
        <v>Other</v>
      </c>
      <c r="G5384" t="str" cm="1">
        <f t="array" ref="G5384">SubCategorizeComment(E5384)</f>
        <v>Other</v>
      </c>
    </row>
    <row r="5385" spans="1:7" x14ac:dyDescent="0.25">
      <c r="A5385">
        <v>44805</v>
      </c>
      <c r="B5385" t="s">
        <v>4</v>
      </c>
      <c r="C5385">
        <v>3</v>
      </c>
      <c r="D5385" t="s">
        <v>5</v>
      </c>
      <c r="F5385" t="str" cm="1">
        <f t="array" ref="F5385">CategorizeComment(E5385)</f>
        <v>Other</v>
      </c>
      <c r="G5385" t="str" cm="1">
        <f t="array" ref="G5385">SubCategorizeComment(E5385)</f>
        <v>Other</v>
      </c>
    </row>
    <row r="5386" spans="1:7" x14ac:dyDescent="0.25">
      <c r="A5386">
        <v>44807</v>
      </c>
      <c r="B5386" t="s">
        <v>4</v>
      </c>
      <c r="C5386">
        <v>4</v>
      </c>
      <c r="D5386" t="s">
        <v>5</v>
      </c>
      <c r="F5386" t="str" cm="1">
        <f t="array" ref="F5386">CategorizeComment(E5386)</f>
        <v>Other</v>
      </c>
      <c r="G5386" t="str" cm="1">
        <f t="array" ref="G5386">SubCategorizeComment(E5386)</f>
        <v>Other</v>
      </c>
    </row>
    <row r="5387" spans="1:7" x14ac:dyDescent="0.25">
      <c r="A5387">
        <v>44832</v>
      </c>
      <c r="B5387" t="s">
        <v>4</v>
      </c>
      <c r="C5387">
        <v>3</v>
      </c>
      <c r="D5387" t="s">
        <v>5</v>
      </c>
      <c r="F5387" t="str" cm="1">
        <f t="array" ref="F5387">CategorizeComment(E5387)</f>
        <v>Other</v>
      </c>
      <c r="G5387" t="str" cm="1">
        <f t="array" ref="G5387">SubCategorizeComment(E5387)</f>
        <v>Other</v>
      </c>
    </row>
    <row r="5388" spans="1:7" x14ac:dyDescent="0.25">
      <c r="A5388">
        <v>44837</v>
      </c>
      <c r="B5388" t="s">
        <v>4</v>
      </c>
      <c r="C5388">
        <v>3</v>
      </c>
      <c r="D5388" t="s">
        <v>5</v>
      </c>
      <c r="F5388" t="str" cm="1">
        <f t="array" ref="F5388">CategorizeComment(E5388)</f>
        <v>Other</v>
      </c>
      <c r="G5388" t="str" cm="1">
        <f t="array" ref="G5388">SubCategorizeComment(E5388)</f>
        <v>Other</v>
      </c>
    </row>
    <row r="5389" spans="1:7" x14ac:dyDescent="0.25">
      <c r="A5389">
        <v>44856</v>
      </c>
      <c r="B5389" t="s">
        <v>4</v>
      </c>
      <c r="C5389">
        <v>3</v>
      </c>
      <c r="D5389" t="s">
        <v>5</v>
      </c>
      <c r="F5389" t="str" cm="1">
        <f t="array" ref="F5389">CategorizeComment(E5389)</f>
        <v>Other</v>
      </c>
      <c r="G5389" t="str" cm="1">
        <f t="array" ref="G5389">SubCategorizeComment(E5389)</f>
        <v>Other</v>
      </c>
    </row>
    <row r="5390" spans="1:7" x14ac:dyDescent="0.25">
      <c r="A5390">
        <v>44864</v>
      </c>
      <c r="B5390" t="s">
        <v>4</v>
      </c>
      <c r="C5390">
        <v>4</v>
      </c>
      <c r="D5390" t="s">
        <v>5</v>
      </c>
      <c r="F5390" t="str" cm="1">
        <f t="array" ref="F5390">CategorizeComment(E5390)</f>
        <v>Other</v>
      </c>
      <c r="G5390" t="str" cm="1">
        <f t="array" ref="G5390">SubCategorizeComment(E5390)</f>
        <v>Other</v>
      </c>
    </row>
    <row r="5391" spans="1:7" x14ac:dyDescent="0.25">
      <c r="A5391">
        <v>44878</v>
      </c>
      <c r="B5391" t="s">
        <v>4</v>
      </c>
      <c r="C5391">
        <v>4</v>
      </c>
      <c r="D5391" t="s">
        <v>5</v>
      </c>
      <c r="F5391" t="str" cm="1">
        <f t="array" ref="F5391">CategorizeComment(E5391)</f>
        <v>Other</v>
      </c>
      <c r="G5391" t="str" cm="1">
        <f t="array" ref="G5391">SubCategorizeComment(E5391)</f>
        <v>Other</v>
      </c>
    </row>
    <row r="5392" spans="1:7" x14ac:dyDescent="0.25">
      <c r="A5392">
        <v>44879</v>
      </c>
      <c r="B5392" t="s">
        <v>4</v>
      </c>
      <c r="C5392">
        <v>4</v>
      </c>
      <c r="D5392" t="s">
        <v>5</v>
      </c>
      <c r="F5392" t="str" cm="1">
        <f t="array" ref="F5392">CategorizeComment(E5392)</f>
        <v>Other</v>
      </c>
      <c r="G5392" t="str" cm="1">
        <f t="array" ref="G5392">SubCategorizeComment(E5392)</f>
        <v>Other</v>
      </c>
    </row>
    <row r="5393" spans="1:7" x14ac:dyDescent="0.25">
      <c r="A5393">
        <v>44890</v>
      </c>
      <c r="B5393" t="s">
        <v>4</v>
      </c>
      <c r="C5393">
        <v>4</v>
      </c>
      <c r="D5393" t="s">
        <v>5</v>
      </c>
      <c r="F5393" t="str" cm="1">
        <f t="array" ref="F5393">CategorizeComment(E5393)</f>
        <v>Other</v>
      </c>
      <c r="G5393" t="str" cm="1">
        <f t="array" ref="G5393">SubCategorizeComment(E5393)</f>
        <v>Other</v>
      </c>
    </row>
    <row r="5394" spans="1:7" x14ac:dyDescent="0.25">
      <c r="A5394">
        <v>44893</v>
      </c>
      <c r="B5394" t="s">
        <v>4</v>
      </c>
      <c r="C5394">
        <v>3</v>
      </c>
      <c r="D5394" t="s">
        <v>5</v>
      </c>
      <c r="F5394" t="str" cm="1">
        <f t="array" ref="F5394">CategorizeComment(E5394)</f>
        <v>Other</v>
      </c>
      <c r="G5394" t="str" cm="1">
        <f t="array" ref="G5394">SubCategorizeComment(E5394)</f>
        <v>Other</v>
      </c>
    </row>
    <row r="5395" spans="1:7" x14ac:dyDescent="0.25">
      <c r="A5395">
        <v>44896</v>
      </c>
      <c r="B5395" t="s">
        <v>4</v>
      </c>
      <c r="C5395">
        <v>3</v>
      </c>
      <c r="D5395" t="s">
        <v>5</v>
      </c>
      <c r="F5395" t="str" cm="1">
        <f t="array" ref="F5395">CategorizeComment(E5395)</f>
        <v>Other</v>
      </c>
      <c r="G5395" t="str" cm="1">
        <f t="array" ref="G5395">SubCategorizeComment(E5395)</f>
        <v>Other</v>
      </c>
    </row>
    <row r="5396" spans="1:7" x14ac:dyDescent="0.25">
      <c r="A5396">
        <v>44926</v>
      </c>
      <c r="B5396" t="s">
        <v>4</v>
      </c>
      <c r="C5396">
        <v>4</v>
      </c>
      <c r="D5396" t="s">
        <v>5</v>
      </c>
      <c r="F5396" t="str" cm="1">
        <f t="array" ref="F5396">CategorizeComment(E5396)</f>
        <v>Other</v>
      </c>
      <c r="G5396" t="str" cm="1">
        <f t="array" ref="G5396">SubCategorizeComment(E5396)</f>
        <v>Other</v>
      </c>
    </row>
    <row r="5397" spans="1:7" x14ac:dyDescent="0.25">
      <c r="A5397">
        <v>44933</v>
      </c>
      <c r="B5397" t="s">
        <v>4</v>
      </c>
      <c r="C5397">
        <v>3</v>
      </c>
      <c r="D5397" t="s">
        <v>5</v>
      </c>
      <c r="F5397" t="str" cm="1">
        <f t="array" ref="F5397">CategorizeComment(E5397)</f>
        <v>Other</v>
      </c>
      <c r="G5397" t="str" cm="1">
        <f t="array" ref="G5397">SubCategorizeComment(E5397)</f>
        <v>Other</v>
      </c>
    </row>
    <row r="5398" spans="1:7" x14ac:dyDescent="0.25">
      <c r="A5398">
        <v>44944</v>
      </c>
      <c r="B5398" t="s">
        <v>4</v>
      </c>
      <c r="C5398">
        <v>3</v>
      </c>
      <c r="D5398" t="s">
        <v>5</v>
      </c>
      <c r="F5398" t="str" cm="1">
        <f t="array" ref="F5398">CategorizeComment(E5398)</f>
        <v>Other</v>
      </c>
      <c r="G5398" t="str" cm="1">
        <f t="array" ref="G5398">SubCategorizeComment(E5398)</f>
        <v>Other</v>
      </c>
    </row>
    <row r="5399" spans="1:7" x14ac:dyDescent="0.25">
      <c r="A5399">
        <v>44945</v>
      </c>
      <c r="B5399" t="s">
        <v>4</v>
      </c>
      <c r="C5399">
        <v>4</v>
      </c>
      <c r="D5399" t="s">
        <v>5</v>
      </c>
      <c r="F5399" t="str" cm="1">
        <f t="array" ref="F5399">CategorizeComment(E5399)</f>
        <v>Other</v>
      </c>
      <c r="G5399" t="str" cm="1">
        <f t="array" ref="G5399">SubCategorizeComment(E5399)</f>
        <v>Other</v>
      </c>
    </row>
    <row r="5400" spans="1:7" x14ac:dyDescent="0.25">
      <c r="A5400">
        <v>44953</v>
      </c>
      <c r="B5400" t="s">
        <v>4</v>
      </c>
      <c r="C5400">
        <v>3</v>
      </c>
      <c r="D5400" t="s">
        <v>5</v>
      </c>
      <c r="F5400" t="str" cm="1">
        <f t="array" ref="F5400">CategorizeComment(E5400)</f>
        <v>Other</v>
      </c>
      <c r="G5400" t="str" cm="1">
        <f t="array" ref="G5400">SubCategorizeComment(E5400)</f>
        <v>Other</v>
      </c>
    </row>
    <row r="5401" spans="1:7" x14ac:dyDescent="0.25">
      <c r="A5401">
        <v>44960</v>
      </c>
      <c r="B5401" t="s">
        <v>4</v>
      </c>
      <c r="C5401">
        <v>3</v>
      </c>
      <c r="D5401" t="s">
        <v>5</v>
      </c>
      <c r="F5401" t="str" cm="1">
        <f t="array" ref="F5401">CategorizeComment(E5401)</f>
        <v>Other</v>
      </c>
      <c r="G5401" t="str" cm="1">
        <f t="array" ref="G5401">SubCategorizeComment(E5401)</f>
        <v>Other</v>
      </c>
    </row>
    <row r="5402" spans="1:7" x14ac:dyDescent="0.25">
      <c r="A5402">
        <v>44992</v>
      </c>
      <c r="B5402" t="s">
        <v>4</v>
      </c>
      <c r="C5402">
        <v>3</v>
      </c>
      <c r="D5402" t="s">
        <v>5</v>
      </c>
      <c r="F5402" t="str" cm="1">
        <f t="array" ref="F5402">CategorizeComment(E5402)</f>
        <v>Other</v>
      </c>
      <c r="G5402" t="str" cm="1">
        <f t="array" ref="G5402">SubCategorizeComment(E5402)</f>
        <v>Other</v>
      </c>
    </row>
    <row r="5403" spans="1:7" x14ac:dyDescent="0.25">
      <c r="A5403">
        <v>44996</v>
      </c>
      <c r="B5403" t="s">
        <v>4</v>
      </c>
      <c r="C5403">
        <v>3</v>
      </c>
      <c r="D5403" t="s">
        <v>5</v>
      </c>
      <c r="F5403" t="str" cm="1">
        <f t="array" ref="F5403">CategorizeComment(E5403)</f>
        <v>Other</v>
      </c>
      <c r="G5403" t="str" cm="1">
        <f t="array" ref="G5403">SubCategorizeComment(E5403)</f>
        <v>Other</v>
      </c>
    </row>
    <row r="5404" spans="1:7" x14ac:dyDescent="0.25">
      <c r="A5404">
        <v>45005</v>
      </c>
      <c r="B5404" t="s">
        <v>4</v>
      </c>
      <c r="C5404">
        <v>3</v>
      </c>
      <c r="D5404" t="s">
        <v>5</v>
      </c>
      <c r="F5404" t="str" cm="1">
        <f t="array" ref="F5404">CategorizeComment(E5404)</f>
        <v>Other</v>
      </c>
      <c r="G5404" t="str" cm="1">
        <f t="array" ref="G5404">SubCategorizeComment(E5404)</f>
        <v>Other</v>
      </c>
    </row>
    <row r="5405" spans="1:7" x14ac:dyDescent="0.25">
      <c r="A5405">
        <v>45007</v>
      </c>
      <c r="B5405" t="s">
        <v>4</v>
      </c>
      <c r="C5405">
        <v>3</v>
      </c>
      <c r="D5405" t="s">
        <v>5</v>
      </c>
      <c r="F5405" t="str" cm="1">
        <f t="array" ref="F5405">CategorizeComment(E5405)</f>
        <v>Other</v>
      </c>
      <c r="G5405" t="str" cm="1">
        <f t="array" ref="G5405">SubCategorizeComment(E5405)</f>
        <v>Other</v>
      </c>
    </row>
    <row r="5406" spans="1:7" x14ac:dyDescent="0.25">
      <c r="A5406">
        <v>45014</v>
      </c>
      <c r="B5406" t="s">
        <v>4</v>
      </c>
      <c r="C5406">
        <v>3</v>
      </c>
      <c r="D5406" t="s">
        <v>5</v>
      </c>
      <c r="F5406" t="str" cm="1">
        <f t="array" ref="F5406">CategorizeComment(E5406)</f>
        <v>Other</v>
      </c>
      <c r="G5406" t="str" cm="1">
        <f t="array" ref="G5406">SubCategorizeComment(E5406)</f>
        <v>Other</v>
      </c>
    </row>
    <row r="5407" spans="1:7" x14ac:dyDescent="0.25">
      <c r="A5407">
        <v>45016</v>
      </c>
      <c r="B5407" t="s">
        <v>4</v>
      </c>
      <c r="C5407">
        <v>3</v>
      </c>
      <c r="D5407" t="s">
        <v>5</v>
      </c>
      <c r="F5407" t="str" cm="1">
        <f t="array" ref="F5407">CategorizeComment(E5407)</f>
        <v>Other</v>
      </c>
      <c r="G5407" t="str" cm="1">
        <f t="array" ref="G5407">SubCategorizeComment(E5407)</f>
        <v>Other</v>
      </c>
    </row>
    <row r="5408" spans="1:7" x14ac:dyDescent="0.25">
      <c r="A5408">
        <v>45026</v>
      </c>
      <c r="B5408" t="s">
        <v>4</v>
      </c>
      <c r="C5408">
        <v>3</v>
      </c>
      <c r="D5408" t="s">
        <v>5</v>
      </c>
      <c r="F5408" t="str" cm="1">
        <f t="array" ref="F5408">CategorizeComment(E5408)</f>
        <v>Other</v>
      </c>
      <c r="G5408" t="str" cm="1">
        <f t="array" ref="G5408">SubCategorizeComment(E5408)</f>
        <v>Other</v>
      </c>
    </row>
    <row r="5409" spans="1:7" x14ac:dyDescent="0.25">
      <c r="A5409">
        <v>45033</v>
      </c>
      <c r="B5409" t="s">
        <v>4</v>
      </c>
      <c r="C5409">
        <v>4</v>
      </c>
      <c r="D5409" t="s">
        <v>5</v>
      </c>
      <c r="F5409" t="str" cm="1">
        <f t="array" ref="F5409">CategorizeComment(E5409)</f>
        <v>Other</v>
      </c>
      <c r="G5409" t="str" cm="1">
        <f t="array" ref="G5409">SubCategorizeComment(E5409)</f>
        <v>Other</v>
      </c>
    </row>
    <row r="5410" spans="1:7" x14ac:dyDescent="0.25">
      <c r="A5410">
        <v>45034</v>
      </c>
      <c r="B5410" t="s">
        <v>4</v>
      </c>
      <c r="C5410">
        <v>4</v>
      </c>
      <c r="D5410" t="s">
        <v>5</v>
      </c>
      <c r="F5410" t="str" cm="1">
        <f t="array" ref="F5410">CategorizeComment(E5410)</f>
        <v>Other</v>
      </c>
      <c r="G5410" t="str" cm="1">
        <f t="array" ref="G5410">SubCategorizeComment(E5410)</f>
        <v>Other</v>
      </c>
    </row>
    <row r="5411" spans="1:7" x14ac:dyDescent="0.25">
      <c r="A5411">
        <v>45035</v>
      </c>
      <c r="B5411" t="s">
        <v>4</v>
      </c>
      <c r="C5411">
        <v>3</v>
      </c>
      <c r="D5411" t="s">
        <v>5</v>
      </c>
      <c r="F5411" t="str" cm="1">
        <f t="array" ref="F5411">CategorizeComment(E5411)</f>
        <v>Other</v>
      </c>
      <c r="G5411" t="str" cm="1">
        <f t="array" ref="G5411">SubCategorizeComment(E5411)</f>
        <v>Other</v>
      </c>
    </row>
    <row r="5412" spans="1:7" x14ac:dyDescent="0.25">
      <c r="A5412">
        <v>45082</v>
      </c>
      <c r="B5412" t="s">
        <v>4</v>
      </c>
      <c r="C5412">
        <v>4</v>
      </c>
      <c r="D5412" t="s">
        <v>5</v>
      </c>
      <c r="F5412" t="str" cm="1">
        <f t="array" ref="F5412">CategorizeComment(E5412)</f>
        <v>Other</v>
      </c>
      <c r="G5412" t="str" cm="1">
        <f t="array" ref="G5412">SubCategorizeComment(E5412)</f>
        <v>Other</v>
      </c>
    </row>
    <row r="5413" spans="1:7" x14ac:dyDescent="0.25">
      <c r="A5413">
        <v>45095</v>
      </c>
      <c r="B5413" t="s">
        <v>4</v>
      </c>
      <c r="C5413">
        <v>4</v>
      </c>
      <c r="D5413" t="s">
        <v>5</v>
      </c>
      <c r="F5413" t="str" cm="1">
        <f t="array" ref="F5413">CategorizeComment(E5413)</f>
        <v>Other</v>
      </c>
      <c r="G5413" t="str" cm="1">
        <f t="array" ref="G5413">SubCategorizeComment(E5413)</f>
        <v>Other</v>
      </c>
    </row>
    <row r="5414" spans="1:7" x14ac:dyDescent="0.25">
      <c r="A5414">
        <v>45112</v>
      </c>
      <c r="B5414" t="s">
        <v>4</v>
      </c>
      <c r="C5414">
        <v>3</v>
      </c>
      <c r="D5414" t="s">
        <v>5</v>
      </c>
      <c r="F5414" t="str" cm="1">
        <f t="array" ref="F5414">CategorizeComment(E5414)</f>
        <v>Other</v>
      </c>
      <c r="G5414" t="str" cm="1">
        <f t="array" ref="G5414">SubCategorizeComment(E5414)</f>
        <v>Other</v>
      </c>
    </row>
    <row r="5415" spans="1:7" x14ac:dyDescent="0.25">
      <c r="A5415">
        <v>45114</v>
      </c>
      <c r="B5415" t="s">
        <v>4</v>
      </c>
      <c r="C5415">
        <v>4</v>
      </c>
      <c r="D5415" t="s">
        <v>5</v>
      </c>
      <c r="F5415" t="str" cm="1">
        <f t="array" ref="F5415">CategorizeComment(E5415)</f>
        <v>Other</v>
      </c>
      <c r="G5415" t="str" cm="1">
        <f t="array" ref="G5415">SubCategorizeComment(E5415)</f>
        <v>Other</v>
      </c>
    </row>
    <row r="5416" spans="1:7" x14ac:dyDescent="0.25">
      <c r="A5416">
        <v>45117</v>
      </c>
      <c r="B5416" t="s">
        <v>4</v>
      </c>
      <c r="C5416">
        <v>3</v>
      </c>
      <c r="D5416" t="s">
        <v>5</v>
      </c>
      <c r="F5416" t="str" cm="1">
        <f t="array" ref="F5416">CategorizeComment(E5416)</f>
        <v>Other</v>
      </c>
      <c r="G5416" t="str" cm="1">
        <f t="array" ref="G5416">SubCategorizeComment(E5416)</f>
        <v>Other</v>
      </c>
    </row>
    <row r="5417" spans="1:7" x14ac:dyDescent="0.25">
      <c r="A5417">
        <v>45140</v>
      </c>
      <c r="B5417" t="s">
        <v>4</v>
      </c>
      <c r="C5417">
        <v>3</v>
      </c>
      <c r="D5417" t="s">
        <v>5</v>
      </c>
      <c r="F5417" t="str" cm="1">
        <f t="array" ref="F5417">CategorizeComment(E5417)</f>
        <v>Other</v>
      </c>
      <c r="G5417" t="str" cm="1">
        <f t="array" ref="G5417">SubCategorizeComment(E5417)</f>
        <v>Other</v>
      </c>
    </row>
    <row r="5418" spans="1:7" x14ac:dyDescent="0.25">
      <c r="A5418">
        <v>45141</v>
      </c>
      <c r="B5418" t="s">
        <v>4</v>
      </c>
      <c r="C5418">
        <v>4</v>
      </c>
      <c r="D5418" t="s">
        <v>5</v>
      </c>
      <c r="F5418" t="str" cm="1">
        <f t="array" ref="F5418">CategorizeComment(E5418)</f>
        <v>Other</v>
      </c>
      <c r="G5418" t="str" cm="1">
        <f t="array" ref="G5418">SubCategorizeComment(E5418)</f>
        <v>Other</v>
      </c>
    </row>
    <row r="5419" spans="1:7" x14ac:dyDescent="0.25">
      <c r="A5419">
        <v>45148</v>
      </c>
      <c r="B5419" t="s">
        <v>4</v>
      </c>
      <c r="C5419">
        <v>3</v>
      </c>
      <c r="D5419" t="s">
        <v>5</v>
      </c>
      <c r="F5419" t="str" cm="1">
        <f t="array" ref="F5419">CategorizeComment(E5419)</f>
        <v>Other</v>
      </c>
      <c r="G5419" t="str" cm="1">
        <f t="array" ref="G5419">SubCategorizeComment(E5419)</f>
        <v>Other</v>
      </c>
    </row>
    <row r="5420" spans="1:7" x14ac:dyDescent="0.25">
      <c r="A5420">
        <v>45150</v>
      </c>
      <c r="B5420" t="s">
        <v>4</v>
      </c>
      <c r="C5420">
        <v>3</v>
      </c>
      <c r="D5420" t="s">
        <v>5</v>
      </c>
      <c r="F5420" t="str" cm="1">
        <f t="array" ref="F5420">CategorizeComment(E5420)</f>
        <v>Other</v>
      </c>
      <c r="G5420" t="str" cm="1">
        <f t="array" ref="G5420">SubCategorizeComment(E5420)</f>
        <v>Other</v>
      </c>
    </row>
    <row r="5421" spans="1:7" x14ac:dyDescent="0.25">
      <c r="A5421">
        <v>45164</v>
      </c>
      <c r="B5421" t="s">
        <v>4</v>
      </c>
      <c r="C5421">
        <v>3</v>
      </c>
      <c r="D5421" t="s">
        <v>5</v>
      </c>
      <c r="F5421" t="str" cm="1">
        <f t="array" ref="F5421">CategorizeComment(E5421)</f>
        <v>Other</v>
      </c>
      <c r="G5421" t="str" cm="1">
        <f t="array" ref="G5421">SubCategorizeComment(E5421)</f>
        <v>Other</v>
      </c>
    </row>
    <row r="5422" spans="1:7" x14ac:dyDescent="0.25">
      <c r="A5422">
        <v>45170</v>
      </c>
      <c r="B5422" t="s">
        <v>4</v>
      </c>
      <c r="C5422">
        <v>3</v>
      </c>
      <c r="D5422" t="s">
        <v>5</v>
      </c>
      <c r="F5422" t="str" cm="1">
        <f t="array" ref="F5422">CategorizeComment(E5422)</f>
        <v>Other</v>
      </c>
      <c r="G5422" t="str" cm="1">
        <f t="array" ref="G5422">SubCategorizeComment(E5422)</f>
        <v>Other</v>
      </c>
    </row>
    <row r="5423" spans="1:7" x14ac:dyDescent="0.25">
      <c r="A5423">
        <v>45172</v>
      </c>
      <c r="B5423" t="s">
        <v>4</v>
      </c>
      <c r="C5423">
        <v>3</v>
      </c>
      <c r="D5423" t="s">
        <v>5</v>
      </c>
      <c r="F5423" t="str" cm="1">
        <f t="array" ref="F5423">CategorizeComment(E5423)</f>
        <v>Other</v>
      </c>
      <c r="G5423" t="str" cm="1">
        <f t="array" ref="G5423">SubCategorizeComment(E5423)</f>
        <v>Other</v>
      </c>
    </row>
    <row r="5424" spans="1:7" x14ac:dyDescent="0.25">
      <c r="A5424">
        <v>45176</v>
      </c>
      <c r="B5424" t="s">
        <v>4</v>
      </c>
      <c r="C5424">
        <v>3</v>
      </c>
      <c r="D5424" t="s">
        <v>5</v>
      </c>
      <c r="F5424" t="str" cm="1">
        <f t="array" ref="F5424">CategorizeComment(E5424)</f>
        <v>Other</v>
      </c>
      <c r="G5424" t="str" cm="1">
        <f t="array" ref="G5424">SubCategorizeComment(E5424)</f>
        <v>Other</v>
      </c>
    </row>
    <row r="5425" spans="1:7" x14ac:dyDescent="0.25">
      <c r="A5425">
        <v>45181</v>
      </c>
      <c r="B5425" t="s">
        <v>4</v>
      </c>
      <c r="C5425">
        <v>3</v>
      </c>
      <c r="D5425" t="s">
        <v>5</v>
      </c>
      <c r="F5425" t="str" cm="1">
        <f t="array" ref="F5425">CategorizeComment(E5425)</f>
        <v>Other</v>
      </c>
      <c r="G5425" t="str" cm="1">
        <f t="array" ref="G5425">SubCategorizeComment(E5425)</f>
        <v>Other</v>
      </c>
    </row>
    <row r="5426" spans="1:7" x14ac:dyDescent="0.25">
      <c r="A5426">
        <v>45199</v>
      </c>
      <c r="B5426" t="s">
        <v>4</v>
      </c>
      <c r="C5426">
        <v>3</v>
      </c>
      <c r="D5426" t="s">
        <v>5</v>
      </c>
      <c r="F5426" t="str" cm="1">
        <f t="array" ref="F5426">CategorizeComment(E5426)</f>
        <v>Other</v>
      </c>
      <c r="G5426" t="str" cm="1">
        <f t="array" ref="G5426">SubCategorizeComment(E5426)</f>
        <v>Other</v>
      </c>
    </row>
    <row r="5427" spans="1:7" x14ac:dyDescent="0.25">
      <c r="A5427">
        <v>45215</v>
      </c>
      <c r="B5427" t="s">
        <v>4</v>
      </c>
      <c r="C5427">
        <v>3</v>
      </c>
      <c r="D5427" t="s">
        <v>5</v>
      </c>
      <c r="F5427" t="str" cm="1">
        <f t="array" ref="F5427">CategorizeComment(E5427)</f>
        <v>Other</v>
      </c>
      <c r="G5427" t="str" cm="1">
        <f t="array" ref="G5427">SubCategorizeComment(E5427)</f>
        <v>Other</v>
      </c>
    </row>
    <row r="5428" spans="1:7" x14ac:dyDescent="0.25">
      <c r="A5428">
        <v>45221</v>
      </c>
      <c r="B5428" t="s">
        <v>4</v>
      </c>
      <c r="C5428">
        <v>4</v>
      </c>
      <c r="D5428" t="s">
        <v>5</v>
      </c>
      <c r="F5428" t="str" cm="1">
        <f t="array" ref="F5428">CategorizeComment(E5428)</f>
        <v>Other</v>
      </c>
      <c r="G5428" t="str" cm="1">
        <f t="array" ref="G5428">SubCategorizeComment(E5428)</f>
        <v>Other</v>
      </c>
    </row>
    <row r="5429" spans="1:7" x14ac:dyDescent="0.25">
      <c r="A5429">
        <v>45228</v>
      </c>
      <c r="B5429" t="s">
        <v>4</v>
      </c>
      <c r="C5429">
        <v>3</v>
      </c>
      <c r="D5429" t="s">
        <v>5</v>
      </c>
      <c r="F5429" t="str" cm="1">
        <f t="array" ref="F5429">CategorizeComment(E5429)</f>
        <v>Other</v>
      </c>
      <c r="G5429" t="str" cm="1">
        <f t="array" ref="G5429">SubCategorizeComment(E5429)</f>
        <v>Other</v>
      </c>
    </row>
    <row r="5430" spans="1:7" x14ac:dyDescent="0.25">
      <c r="A5430">
        <v>45230</v>
      </c>
      <c r="B5430" t="s">
        <v>4</v>
      </c>
      <c r="C5430">
        <v>4</v>
      </c>
      <c r="D5430" t="s">
        <v>5</v>
      </c>
      <c r="F5430" t="str" cm="1">
        <f t="array" ref="F5430">CategorizeComment(E5430)</f>
        <v>Other</v>
      </c>
      <c r="G5430" t="str" cm="1">
        <f t="array" ref="G5430">SubCategorizeComment(E5430)</f>
        <v>Other</v>
      </c>
    </row>
    <row r="5431" spans="1:7" x14ac:dyDescent="0.25">
      <c r="A5431">
        <v>45240</v>
      </c>
      <c r="B5431" t="s">
        <v>4</v>
      </c>
      <c r="C5431">
        <v>4</v>
      </c>
      <c r="D5431" t="s">
        <v>5</v>
      </c>
      <c r="F5431" t="str" cm="1">
        <f t="array" ref="F5431">CategorizeComment(E5431)</f>
        <v>Other</v>
      </c>
      <c r="G5431" t="str" cm="1">
        <f t="array" ref="G5431">SubCategorizeComment(E5431)</f>
        <v>Other</v>
      </c>
    </row>
    <row r="5432" spans="1:7" x14ac:dyDescent="0.25">
      <c r="A5432">
        <v>45250</v>
      </c>
      <c r="B5432" t="s">
        <v>4</v>
      </c>
      <c r="C5432">
        <v>4</v>
      </c>
      <c r="D5432" t="s">
        <v>5</v>
      </c>
      <c r="F5432" t="str" cm="1">
        <f t="array" ref="F5432">CategorizeComment(E5432)</f>
        <v>Other</v>
      </c>
      <c r="G5432" t="str" cm="1">
        <f t="array" ref="G5432">SubCategorizeComment(E5432)</f>
        <v>Other</v>
      </c>
    </row>
    <row r="5433" spans="1:7" x14ac:dyDescent="0.25">
      <c r="A5433">
        <v>45291</v>
      </c>
      <c r="B5433" t="s">
        <v>4</v>
      </c>
      <c r="C5433">
        <v>4</v>
      </c>
      <c r="D5433" t="s">
        <v>5</v>
      </c>
      <c r="F5433" t="str" cm="1">
        <f t="array" ref="F5433">CategorizeComment(E5433)</f>
        <v>Other</v>
      </c>
      <c r="G5433" t="str" cm="1">
        <f t="array" ref="G5433">SubCategorizeComment(E5433)</f>
        <v>Other</v>
      </c>
    </row>
    <row r="5434" spans="1:7" x14ac:dyDescent="0.25">
      <c r="A5434">
        <v>45311</v>
      </c>
      <c r="B5434" t="s">
        <v>4</v>
      </c>
      <c r="C5434">
        <v>3</v>
      </c>
      <c r="D5434" t="s">
        <v>5</v>
      </c>
      <c r="F5434" t="str" cm="1">
        <f t="array" ref="F5434">CategorizeComment(E5434)</f>
        <v>Other</v>
      </c>
      <c r="G5434" t="str" cm="1">
        <f t="array" ref="G5434">SubCategorizeComment(E5434)</f>
        <v>Other</v>
      </c>
    </row>
    <row r="5435" spans="1:7" x14ac:dyDescent="0.25">
      <c r="A5435">
        <v>45314</v>
      </c>
      <c r="B5435" t="s">
        <v>4</v>
      </c>
      <c r="C5435">
        <v>3</v>
      </c>
      <c r="D5435" t="s">
        <v>5</v>
      </c>
      <c r="F5435" t="str" cm="1">
        <f t="array" ref="F5435">CategorizeComment(E5435)</f>
        <v>Other</v>
      </c>
      <c r="G5435" t="str" cm="1">
        <f t="array" ref="G5435">SubCategorizeComment(E5435)</f>
        <v>Other</v>
      </c>
    </row>
    <row r="5436" spans="1:7" x14ac:dyDescent="0.25">
      <c r="A5436">
        <v>45315</v>
      </c>
      <c r="B5436" t="s">
        <v>4</v>
      </c>
      <c r="C5436">
        <v>3</v>
      </c>
      <c r="D5436" t="s">
        <v>5</v>
      </c>
      <c r="F5436" t="str" cm="1">
        <f t="array" ref="F5436">CategorizeComment(E5436)</f>
        <v>Other</v>
      </c>
      <c r="G5436" t="str" cm="1">
        <f t="array" ref="G5436">SubCategorizeComment(E5436)</f>
        <v>Other</v>
      </c>
    </row>
    <row r="5437" spans="1:7" x14ac:dyDescent="0.25">
      <c r="A5437">
        <v>45316</v>
      </c>
      <c r="B5437" t="s">
        <v>4</v>
      </c>
      <c r="C5437">
        <v>4</v>
      </c>
      <c r="D5437" t="s">
        <v>5</v>
      </c>
      <c r="F5437" t="str" cm="1">
        <f t="array" ref="F5437">CategorizeComment(E5437)</f>
        <v>Other</v>
      </c>
      <c r="G5437" t="str" cm="1">
        <f t="array" ref="G5437">SubCategorizeComment(E5437)</f>
        <v>Other</v>
      </c>
    </row>
    <row r="5438" spans="1:7" x14ac:dyDescent="0.25">
      <c r="A5438">
        <v>45317</v>
      </c>
      <c r="B5438" t="s">
        <v>4</v>
      </c>
      <c r="C5438">
        <v>3</v>
      </c>
      <c r="D5438" t="s">
        <v>5</v>
      </c>
      <c r="F5438" t="str" cm="1">
        <f t="array" ref="F5438">CategorizeComment(E5438)</f>
        <v>Other</v>
      </c>
      <c r="G5438" t="str" cm="1">
        <f t="array" ref="G5438">SubCategorizeComment(E5438)</f>
        <v>Other</v>
      </c>
    </row>
    <row r="5439" spans="1:7" x14ac:dyDescent="0.25">
      <c r="A5439">
        <v>45329</v>
      </c>
      <c r="B5439" t="s">
        <v>4</v>
      </c>
      <c r="C5439">
        <v>4</v>
      </c>
      <c r="D5439" t="s">
        <v>5</v>
      </c>
      <c r="F5439" t="str" cm="1">
        <f t="array" ref="F5439">CategorizeComment(E5439)</f>
        <v>Other</v>
      </c>
      <c r="G5439" t="str" cm="1">
        <f t="array" ref="G5439">SubCategorizeComment(E5439)</f>
        <v>Other</v>
      </c>
    </row>
    <row r="5440" spans="1:7" x14ac:dyDescent="0.25">
      <c r="A5440">
        <v>45335</v>
      </c>
      <c r="B5440" t="s">
        <v>4</v>
      </c>
      <c r="C5440">
        <v>3</v>
      </c>
      <c r="D5440" t="s">
        <v>5</v>
      </c>
      <c r="F5440" t="str" cm="1">
        <f t="array" ref="F5440">CategorizeComment(E5440)</f>
        <v>Other</v>
      </c>
      <c r="G5440" t="str" cm="1">
        <f t="array" ref="G5440">SubCategorizeComment(E5440)</f>
        <v>Other</v>
      </c>
    </row>
    <row r="5441" spans="1:7" x14ac:dyDescent="0.25">
      <c r="A5441">
        <v>45347</v>
      </c>
      <c r="B5441" t="s">
        <v>4</v>
      </c>
      <c r="C5441">
        <v>4</v>
      </c>
      <c r="D5441" t="s">
        <v>5</v>
      </c>
      <c r="F5441" t="str" cm="1">
        <f t="array" ref="F5441">CategorizeComment(E5441)</f>
        <v>Other</v>
      </c>
      <c r="G5441" t="str" cm="1">
        <f t="array" ref="G5441">SubCategorizeComment(E5441)</f>
        <v>Other</v>
      </c>
    </row>
    <row r="5442" spans="1:7" x14ac:dyDescent="0.25">
      <c r="A5442">
        <v>45351</v>
      </c>
      <c r="B5442" t="s">
        <v>4</v>
      </c>
      <c r="C5442">
        <v>4</v>
      </c>
      <c r="D5442" t="s">
        <v>5</v>
      </c>
      <c r="F5442" t="str" cm="1">
        <f t="array" ref="F5442">CategorizeComment(E5442)</f>
        <v>Other</v>
      </c>
      <c r="G5442" t="str" cm="1">
        <f t="array" ref="G5442">SubCategorizeComment(E5442)</f>
        <v>Other</v>
      </c>
    </row>
    <row r="5443" spans="1:7" x14ac:dyDescent="0.25">
      <c r="A5443">
        <v>45358</v>
      </c>
      <c r="B5443" t="s">
        <v>4</v>
      </c>
      <c r="C5443">
        <v>4</v>
      </c>
      <c r="D5443" t="s">
        <v>5</v>
      </c>
      <c r="F5443" t="str" cm="1">
        <f t="array" ref="F5443">CategorizeComment(E5443)</f>
        <v>Other</v>
      </c>
      <c r="G5443" t="str" cm="1">
        <f t="array" ref="G5443">SubCategorizeComment(E5443)</f>
        <v>Other</v>
      </c>
    </row>
    <row r="5444" spans="1:7" x14ac:dyDescent="0.25">
      <c r="A5444">
        <v>45361</v>
      </c>
      <c r="B5444" t="s">
        <v>4</v>
      </c>
      <c r="C5444">
        <v>4</v>
      </c>
      <c r="D5444" t="s">
        <v>5</v>
      </c>
      <c r="F5444" t="str" cm="1">
        <f t="array" ref="F5444">CategorizeComment(E5444)</f>
        <v>Other</v>
      </c>
      <c r="G5444" t="str" cm="1">
        <f t="array" ref="G5444">SubCategorizeComment(E5444)</f>
        <v>Other</v>
      </c>
    </row>
    <row r="5445" spans="1:7" x14ac:dyDescent="0.25">
      <c r="A5445">
        <v>45386</v>
      </c>
      <c r="B5445" t="s">
        <v>4</v>
      </c>
      <c r="C5445">
        <v>4</v>
      </c>
      <c r="D5445" t="s">
        <v>5</v>
      </c>
      <c r="F5445" t="str" cm="1">
        <f t="array" ref="F5445">CategorizeComment(E5445)</f>
        <v>Other</v>
      </c>
      <c r="G5445" t="str" cm="1">
        <f t="array" ref="G5445">SubCategorizeComment(E5445)</f>
        <v>Other</v>
      </c>
    </row>
    <row r="5446" spans="1:7" x14ac:dyDescent="0.25">
      <c r="A5446">
        <v>45387</v>
      </c>
      <c r="B5446" t="s">
        <v>4</v>
      </c>
      <c r="C5446">
        <v>3</v>
      </c>
      <c r="D5446" t="s">
        <v>5</v>
      </c>
      <c r="F5446" t="str" cm="1">
        <f t="array" ref="F5446">CategorizeComment(E5446)</f>
        <v>Other</v>
      </c>
      <c r="G5446" t="str" cm="1">
        <f t="array" ref="G5446">SubCategorizeComment(E5446)</f>
        <v>Other</v>
      </c>
    </row>
    <row r="5447" spans="1:7" x14ac:dyDescent="0.25">
      <c r="A5447">
        <v>45400</v>
      </c>
      <c r="B5447" t="s">
        <v>4</v>
      </c>
      <c r="C5447">
        <v>3</v>
      </c>
      <c r="D5447" t="s">
        <v>5</v>
      </c>
      <c r="F5447" t="str" cm="1">
        <f t="array" ref="F5447">CategorizeComment(E5447)</f>
        <v>Other</v>
      </c>
      <c r="G5447" t="str" cm="1">
        <f t="array" ref="G5447">SubCategorizeComment(E5447)</f>
        <v>Other</v>
      </c>
    </row>
    <row r="5448" spans="1:7" x14ac:dyDescent="0.25">
      <c r="A5448">
        <v>45430</v>
      </c>
      <c r="B5448" t="s">
        <v>4</v>
      </c>
      <c r="C5448">
        <v>3</v>
      </c>
      <c r="D5448" t="s">
        <v>5</v>
      </c>
      <c r="F5448" t="str" cm="1">
        <f t="array" ref="F5448">CategorizeComment(E5448)</f>
        <v>Other</v>
      </c>
      <c r="G5448" t="str" cm="1">
        <f t="array" ref="G5448">SubCategorizeComment(E5448)</f>
        <v>Other</v>
      </c>
    </row>
    <row r="5449" spans="1:7" x14ac:dyDescent="0.25">
      <c r="A5449">
        <v>45453</v>
      </c>
      <c r="B5449" t="s">
        <v>4</v>
      </c>
      <c r="C5449">
        <v>4</v>
      </c>
      <c r="D5449" t="s">
        <v>5</v>
      </c>
      <c r="F5449" t="str" cm="1">
        <f t="array" ref="F5449">CategorizeComment(E5449)</f>
        <v>Other</v>
      </c>
      <c r="G5449" t="str" cm="1">
        <f t="array" ref="G5449">SubCategorizeComment(E5449)</f>
        <v>Other</v>
      </c>
    </row>
    <row r="5450" spans="1:7" x14ac:dyDescent="0.25">
      <c r="A5450">
        <v>45464</v>
      </c>
      <c r="B5450" t="s">
        <v>4</v>
      </c>
      <c r="C5450">
        <v>4</v>
      </c>
      <c r="D5450" t="s">
        <v>5</v>
      </c>
      <c r="F5450" t="str" cm="1">
        <f t="array" ref="F5450">CategorizeComment(E5450)</f>
        <v>Other</v>
      </c>
      <c r="G5450" t="str" cm="1">
        <f t="array" ref="G5450">SubCategorizeComment(E5450)</f>
        <v>Other</v>
      </c>
    </row>
    <row r="5451" spans="1:7" x14ac:dyDescent="0.25">
      <c r="A5451">
        <v>45474</v>
      </c>
      <c r="B5451" t="s">
        <v>4</v>
      </c>
      <c r="C5451">
        <v>3</v>
      </c>
      <c r="D5451" t="s">
        <v>5</v>
      </c>
      <c r="F5451" t="str" cm="1">
        <f t="array" ref="F5451">CategorizeComment(E5451)</f>
        <v>Other</v>
      </c>
      <c r="G5451" t="str" cm="1">
        <f t="array" ref="G5451">SubCategorizeComment(E5451)</f>
        <v>Other</v>
      </c>
    </row>
    <row r="5452" spans="1:7" x14ac:dyDescent="0.25">
      <c r="A5452">
        <v>45481</v>
      </c>
      <c r="B5452" t="s">
        <v>4</v>
      </c>
      <c r="C5452">
        <v>4</v>
      </c>
      <c r="D5452" t="s">
        <v>5</v>
      </c>
      <c r="F5452" t="str" cm="1">
        <f t="array" ref="F5452">CategorizeComment(E5452)</f>
        <v>Other</v>
      </c>
      <c r="G5452" t="str" cm="1">
        <f t="array" ref="G5452">SubCategorizeComment(E5452)</f>
        <v>Other</v>
      </c>
    </row>
    <row r="5453" spans="1:7" x14ac:dyDescent="0.25">
      <c r="A5453">
        <v>45487</v>
      </c>
      <c r="B5453" t="s">
        <v>4</v>
      </c>
      <c r="C5453">
        <v>3</v>
      </c>
      <c r="D5453" t="s">
        <v>5</v>
      </c>
      <c r="F5453" t="str" cm="1">
        <f t="array" ref="F5453">CategorizeComment(E5453)</f>
        <v>Other</v>
      </c>
      <c r="G5453" t="str" cm="1">
        <f t="array" ref="G5453">SubCategorizeComment(E5453)</f>
        <v>Other</v>
      </c>
    </row>
    <row r="5454" spans="1:7" x14ac:dyDescent="0.25">
      <c r="A5454">
        <v>45510</v>
      </c>
      <c r="B5454" t="s">
        <v>4</v>
      </c>
      <c r="C5454">
        <v>3</v>
      </c>
      <c r="D5454" t="s">
        <v>5</v>
      </c>
      <c r="F5454" t="str" cm="1">
        <f t="array" ref="F5454">CategorizeComment(E5454)</f>
        <v>Other</v>
      </c>
      <c r="G5454" t="str" cm="1">
        <f t="array" ref="G5454">SubCategorizeComment(E5454)</f>
        <v>Other</v>
      </c>
    </row>
    <row r="5455" spans="1:7" x14ac:dyDescent="0.25">
      <c r="A5455">
        <v>45517</v>
      </c>
      <c r="B5455" t="s">
        <v>4</v>
      </c>
      <c r="C5455">
        <v>4</v>
      </c>
      <c r="D5455" t="s">
        <v>5</v>
      </c>
      <c r="F5455" t="str" cm="1">
        <f t="array" ref="F5455">CategorizeComment(E5455)</f>
        <v>Other</v>
      </c>
      <c r="G5455" t="str" cm="1">
        <f t="array" ref="G5455">SubCategorizeComment(E5455)</f>
        <v>Other</v>
      </c>
    </row>
    <row r="5456" spans="1:7" x14ac:dyDescent="0.25">
      <c r="A5456">
        <v>45530</v>
      </c>
      <c r="B5456" t="s">
        <v>4</v>
      </c>
      <c r="C5456">
        <v>4</v>
      </c>
      <c r="D5456" t="s">
        <v>5</v>
      </c>
      <c r="F5456" t="str" cm="1">
        <f t="array" ref="F5456">CategorizeComment(E5456)</f>
        <v>Other</v>
      </c>
      <c r="G5456" t="str" cm="1">
        <f t="array" ref="G5456">SubCategorizeComment(E5456)</f>
        <v>Other</v>
      </c>
    </row>
    <row r="5457" spans="1:7" x14ac:dyDescent="0.25">
      <c r="A5457">
        <v>45539</v>
      </c>
      <c r="B5457" t="s">
        <v>4</v>
      </c>
      <c r="C5457">
        <v>3</v>
      </c>
      <c r="D5457" t="s">
        <v>5</v>
      </c>
      <c r="F5457" t="str" cm="1">
        <f t="array" ref="F5457">CategorizeComment(E5457)</f>
        <v>Other</v>
      </c>
      <c r="G5457" t="str" cm="1">
        <f t="array" ref="G5457">SubCategorizeComment(E5457)</f>
        <v>Other</v>
      </c>
    </row>
    <row r="5458" spans="1:7" x14ac:dyDescent="0.25">
      <c r="A5458">
        <v>45541</v>
      </c>
      <c r="B5458" t="s">
        <v>4</v>
      </c>
      <c r="C5458">
        <v>3</v>
      </c>
      <c r="D5458" t="s">
        <v>5</v>
      </c>
      <c r="F5458" t="str" cm="1">
        <f t="array" ref="F5458">CategorizeComment(E5458)</f>
        <v>Other</v>
      </c>
      <c r="G5458" t="str" cm="1">
        <f t="array" ref="G5458">SubCategorizeComment(E5458)</f>
        <v>Other</v>
      </c>
    </row>
    <row r="5459" spans="1:7" x14ac:dyDescent="0.25">
      <c r="A5459">
        <v>45548</v>
      </c>
      <c r="B5459" t="s">
        <v>4</v>
      </c>
      <c r="C5459">
        <v>3</v>
      </c>
      <c r="D5459" t="s">
        <v>5</v>
      </c>
      <c r="F5459" t="str" cm="1">
        <f t="array" ref="F5459">CategorizeComment(E5459)</f>
        <v>Other</v>
      </c>
      <c r="G5459" t="str" cm="1">
        <f t="array" ref="G5459">SubCategorizeComment(E5459)</f>
        <v>Other</v>
      </c>
    </row>
    <row r="5460" spans="1:7" x14ac:dyDescent="0.25">
      <c r="A5460">
        <v>45563</v>
      </c>
      <c r="B5460" t="s">
        <v>4</v>
      </c>
      <c r="C5460">
        <v>4</v>
      </c>
      <c r="D5460" t="s">
        <v>5</v>
      </c>
      <c r="F5460" t="str" cm="1">
        <f t="array" ref="F5460">CategorizeComment(E5460)</f>
        <v>Other</v>
      </c>
      <c r="G5460" t="str" cm="1">
        <f t="array" ref="G5460">SubCategorizeComment(E5460)</f>
        <v>Other</v>
      </c>
    </row>
    <row r="5461" spans="1:7" x14ac:dyDescent="0.25">
      <c r="A5461">
        <v>45598</v>
      </c>
      <c r="B5461" t="s">
        <v>4</v>
      </c>
      <c r="C5461">
        <v>3</v>
      </c>
      <c r="D5461" t="s">
        <v>5</v>
      </c>
      <c r="F5461" t="str" cm="1">
        <f t="array" ref="F5461">CategorizeComment(E5461)</f>
        <v>Other</v>
      </c>
      <c r="G5461" t="str" cm="1">
        <f t="array" ref="G5461">SubCategorizeComment(E5461)</f>
        <v>Other</v>
      </c>
    </row>
    <row r="5462" spans="1:7" x14ac:dyDescent="0.25">
      <c r="A5462">
        <v>45613</v>
      </c>
      <c r="B5462" t="s">
        <v>4</v>
      </c>
      <c r="C5462">
        <v>4</v>
      </c>
      <c r="D5462" t="s">
        <v>5</v>
      </c>
      <c r="F5462" t="str" cm="1">
        <f t="array" ref="F5462">CategorizeComment(E5462)</f>
        <v>Other</v>
      </c>
      <c r="G5462" t="str" cm="1">
        <f t="array" ref="G5462">SubCategorizeComment(E5462)</f>
        <v>Other</v>
      </c>
    </row>
    <row r="5463" spans="1:7" x14ac:dyDescent="0.25">
      <c r="A5463">
        <v>45620</v>
      </c>
      <c r="B5463" t="s">
        <v>4</v>
      </c>
      <c r="C5463">
        <v>4</v>
      </c>
      <c r="D5463" t="s">
        <v>5</v>
      </c>
      <c r="F5463" t="str" cm="1">
        <f t="array" ref="F5463">CategorizeComment(E5463)</f>
        <v>Other</v>
      </c>
      <c r="G5463" t="str" cm="1">
        <f t="array" ref="G5463">SubCategorizeComment(E5463)</f>
        <v>Other</v>
      </c>
    </row>
    <row r="5464" spans="1:7" x14ac:dyDescent="0.25">
      <c r="A5464">
        <v>45624</v>
      </c>
      <c r="B5464" t="s">
        <v>4</v>
      </c>
      <c r="C5464">
        <v>3</v>
      </c>
      <c r="D5464" t="s">
        <v>5</v>
      </c>
      <c r="F5464" t="str" cm="1">
        <f t="array" ref="F5464">CategorizeComment(E5464)</f>
        <v>Other</v>
      </c>
      <c r="G5464" t="str" cm="1">
        <f t="array" ref="G5464">SubCategorizeComment(E5464)</f>
        <v>Other</v>
      </c>
    </row>
    <row r="5465" spans="1:7" x14ac:dyDescent="0.25">
      <c r="A5465">
        <v>45625</v>
      </c>
      <c r="B5465" t="s">
        <v>4</v>
      </c>
      <c r="C5465">
        <v>3</v>
      </c>
      <c r="D5465" t="s">
        <v>5</v>
      </c>
      <c r="F5465" t="str" cm="1">
        <f t="array" ref="F5465">CategorizeComment(E5465)</f>
        <v>Other</v>
      </c>
      <c r="G5465" t="str" cm="1">
        <f t="array" ref="G5465">SubCategorizeComment(E5465)</f>
        <v>Other</v>
      </c>
    </row>
    <row r="5466" spans="1:7" x14ac:dyDescent="0.25">
      <c r="A5466">
        <v>45634</v>
      </c>
      <c r="B5466" t="s">
        <v>4</v>
      </c>
      <c r="C5466">
        <v>3</v>
      </c>
      <c r="D5466" t="s">
        <v>5</v>
      </c>
      <c r="F5466" t="str" cm="1">
        <f t="array" ref="F5466">CategorizeComment(E5466)</f>
        <v>Other</v>
      </c>
      <c r="G5466" t="str" cm="1">
        <f t="array" ref="G5466">SubCategorizeComment(E5466)</f>
        <v>Other</v>
      </c>
    </row>
    <row r="5467" spans="1:7" x14ac:dyDescent="0.25">
      <c r="A5467">
        <v>45639</v>
      </c>
      <c r="B5467" t="s">
        <v>4</v>
      </c>
      <c r="C5467">
        <v>3</v>
      </c>
      <c r="D5467" t="s">
        <v>5</v>
      </c>
      <c r="F5467" t="str" cm="1">
        <f t="array" ref="F5467">CategorizeComment(E5467)</f>
        <v>Other</v>
      </c>
      <c r="G5467" t="str" cm="1">
        <f t="array" ref="G5467">SubCategorizeComment(E5467)</f>
        <v>Other</v>
      </c>
    </row>
    <row r="5468" spans="1:7" x14ac:dyDescent="0.25">
      <c r="A5468">
        <v>45640</v>
      </c>
      <c r="B5468" t="s">
        <v>4</v>
      </c>
      <c r="C5468">
        <v>4</v>
      </c>
      <c r="D5468" t="s">
        <v>5</v>
      </c>
      <c r="F5468" t="str" cm="1">
        <f t="array" ref="F5468">CategorizeComment(E5468)</f>
        <v>Other</v>
      </c>
      <c r="G5468" t="str" cm="1">
        <f t="array" ref="G5468">SubCategorizeComment(E5468)</f>
        <v>Other</v>
      </c>
    </row>
    <row r="5469" spans="1:7" x14ac:dyDescent="0.25">
      <c r="A5469">
        <v>45647</v>
      </c>
      <c r="B5469" t="s">
        <v>4</v>
      </c>
      <c r="C5469">
        <v>3</v>
      </c>
      <c r="D5469" t="s">
        <v>5</v>
      </c>
      <c r="F5469" t="str" cm="1">
        <f t="array" ref="F5469">CategorizeComment(E5469)</f>
        <v>Other</v>
      </c>
      <c r="G5469" t="str" cm="1">
        <f t="array" ref="G5469">SubCategorizeComment(E5469)</f>
        <v>Other</v>
      </c>
    </row>
    <row r="5470" spans="1:7" x14ac:dyDescent="0.25">
      <c r="A5470">
        <v>45648</v>
      </c>
      <c r="B5470" t="s">
        <v>4</v>
      </c>
      <c r="C5470">
        <v>3</v>
      </c>
      <c r="D5470" t="s">
        <v>5</v>
      </c>
      <c r="F5470" t="str" cm="1">
        <f t="array" ref="F5470">CategorizeComment(E5470)</f>
        <v>Other</v>
      </c>
      <c r="G5470" t="str" cm="1">
        <f t="array" ref="G5470">SubCategorizeComment(E5470)</f>
        <v>Other</v>
      </c>
    </row>
    <row r="5471" spans="1:7" x14ac:dyDescent="0.25">
      <c r="A5471">
        <v>45650</v>
      </c>
      <c r="B5471" t="s">
        <v>4</v>
      </c>
      <c r="C5471">
        <v>3</v>
      </c>
      <c r="D5471" t="s">
        <v>5</v>
      </c>
      <c r="F5471" t="str" cm="1">
        <f t="array" ref="F5471">CategorizeComment(E5471)</f>
        <v>Other</v>
      </c>
      <c r="G5471" t="str" cm="1">
        <f t="array" ref="G5471">SubCategorizeComment(E5471)</f>
        <v>Other</v>
      </c>
    </row>
    <row r="5472" spans="1:7" x14ac:dyDescent="0.25">
      <c r="A5472">
        <v>45653</v>
      </c>
      <c r="B5472" t="s">
        <v>4</v>
      </c>
      <c r="C5472">
        <v>4</v>
      </c>
      <c r="D5472" t="s">
        <v>5</v>
      </c>
      <c r="F5472" t="str" cm="1">
        <f t="array" ref="F5472">CategorizeComment(E5472)</f>
        <v>Other</v>
      </c>
      <c r="G5472" t="str" cm="1">
        <f t="array" ref="G5472">SubCategorizeComment(E5472)</f>
        <v>Other</v>
      </c>
    </row>
    <row r="5473" spans="1:7" x14ac:dyDescent="0.25">
      <c r="A5473">
        <v>45655</v>
      </c>
      <c r="B5473" t="s">
        <v>4</v>
      </c>
      <c r="C5473">
        <v>3</v>
      </c>
      <c r="D5473" t="s">
        <v>5</v>
      </c>
      <c r="F5473" t="str" cm="1">
        <f t="array" ref="F5473">CategorizeComment(E5473)</f>
        <v>Other</v>
      </c>
      <c r="G5473" t="str" cm="1">
        <f t="array" ref="G5473">SubCategorizeComment(E5473)</f>
        <v>Other</v>
      </c>
    </row>
    <row r="5474" spans="1:7" x14ac:dyDescent="0.25">
      <c r="A5474">
        <v>45661</v>
      </c>
      <c r="B5474" t="s">
        <v>4</v>
      </c>
      <c r="C5474">
        <v>3</v>
      </c>
      <c r="D5474" t="s">
        <v>5</v>
      </c>
      <c r="F5474" t="str" cm="1">
        <f t="array" ref="F5474">CategorizeComment(E5474)</f>
        <v>Other</v>
      </c>
      <c r="G5474" t="str" cm="1">
        <f t="array" ref="G5474">SubCategorizeComment(E5474)</f>
        <v>Other</v>
      </c>
    </row>
    <row r="5475" spans="1:7" x14ac:dyDescent="0.25">
      <c r="A5475">
        <v>45675</v>
      </c>
      <c r="B5475" t="s">
        <v>4</v>
      </c>
      <c r="C5475">
        <v>4</v>
      </c>
      <c r="D5475" t="s">
        <v>5</v>
      </c>
      <c r="F5475" t="str" cm="1">
        <f t="array" ref="F5475">CategorizeComment(E5475)</f>
        <v>Other</v>
      </c>
      <c r="G5475" t="str" cm="1">
        <f t="array" ref="G5475">SubCategorizeComment(E5475)</f>
        <v>Other</v>
      </c>
    </row>
    <row r="5476" spans="1:7" x14ac:dyDescent="0.25">
      <c r="A5476">
        <v>45688</v>
      </c>
      <c r="B5476" t="s">
        <v>4</v>
      </c>
      <c r="C5476">
        <v>3</v>
      </c>
      <c r="D5476" t="s">
        <v>5</v>
      </c>
      <c r="F5476" t="str" cm="1">
        <f t="array" ref="F5476">CategorizeComment(E5476)</f>
        <v>Other</v>
      </c>
      <c r="G5476" t="str" cm="1">
        <f t="array" ref="G5476">SubCategorizeComment(E5476)</f>
        <v>Other</v>
      </c>
    </row>
    <row r="5477" spans="1:7" x14ac:dyDescent="0.25">
      <c r="A5477">
        <v>45697</v>
      </c>
      <c r="B5477" t="s">
        <v>4</v>
      </c>
      <c r="C5477">
        <v>4</v>
      </c>
      <c r="D5477" t="s">
        <v>5</v>
      </c>
      <c r="F5477" t="str" cm="1">
        <f t="array" ref="F5477">CategorizeComment(E5477)</f>
        <v>Other</v>
      </c>
      <c r="G5477" t="str" cm="1">
        <f t="array" ref="G5477">SubCategorizeComment(E5477)</f>
        <v>Other</v>
      </c>
    </row>
    <row r="5478" spans="1:7" x14ac:dyDescent="0.25">
      <c r="A5478">
        <v>45698</v>
      </c>
      <c r="B5478" t="s">
        <v>4</v>
      </c>
      <c r="C5478">
        <v>4</v>
      </c>
      <c r="D5478" t="s">
        <v>5</v>
      </c>
      <c r="F5478" t="str" cm="1">
        <f t="array" ref="F5478">CategorizeComment(E5478)</f>
        <v>Other</v>
      </c>
      <c r="G5478" t="str" cm="1">
        <f t="array" ref="G5478">SubCategorizeComment(E5478)</f>
        <v>Other</v>
      </c>
    </row>
    <row r="5479" spans="1:7" x14ac:dyDescent="0.25">
      <c r="A5479">
        <v>45705</v>
      </c>
      <c r="B5479" t="s">
        <v>4</v>
      </c>
      <c r="C5479">
        <v>4</v>
      </c>
      <c r="D5479" t="s">
        <v>5</v>
      </c>
      <c r="F5479" t="str" cm="1">
        <f t="array" ref="F5479">CategorizeComment(E5479)</f>
        <v>Other</v>
      </c>
      <c r="G5479" t="str" cm="1">
        <f t="array" ref="G5479">SubCategorizeComment(E5479)</f>
        <v>Other</v>
      </c>
    </row>
    <row r="5480" spans="1:7" x14ac:dyDescent="0.25">
      <c r="A5480">
        <v>45719</v>
      </c>
      <c r="B5480" t="s">
        <v>4</v>
      </c>
      <c r="C5480">
        <v>3</v>
      </c>
      <c r="D5480" t="s">
        <v>5</v>
      </c>
      <c r="F5480" t="str" cm="1">
        <f t="array" ref="F5480">CategorizeComment(E5480)</f>
        <v>Other</v>
      </c>
      <c r="G5480" t="str" cm="1">
        <f t="array" ref="G5480">SubCategorizeComment(E5480)</f>
        <v>Other</v>
      </c>
    </row>
    <row r="5481" spans="1:7" x14ac:dyDescent="0.25">
      <c r="A5481">
        <v>45755</v>
      </c>
      <c r="B5481" t="s">
        <v>4</v>
      </c>
      <c r="C5481">
        <v>3</v>
      </c>
      <c r="D5481" t="s">
        <v>5</v>
      </c>
      <c r="F5481" t="str" cm="1">
        <f t="array" ref="F5481">CategorizeComment(E5481)</f>
        <v>Other</v>
      </c>
      <c r="G5481" t="str" cm="1">
        <f t="array" ref="G5481">SubCategorizeComment(E5481)</f>
        <v>Other</v>
      </c>
    </row>
    <row r="5482" spans="1:7" x14ac:dyDescent="0.25">
      <c r="A5482">
        <v>45758</v>
      </c>
      <c r="B5482" t="s">
        <v>4</v>
      </c>
      <c r="C5482">
        <v>3</v>
      </c>
      <c r="D5482" t="s">
        <v>5</v>
      </c>
      <c r="F5482" t="str" cm="1">
        <f t="array" ref="F5482">CategorizeComment(E5482)</f>
        <v>Other</v>
      </c>
      <c r="G5482" t="str" cm="1">
        <f t="array" ref="G5482">SubCategorizeComment(E5482)</f>
        <v>Other</v>
      </c>
    </row>
    <row r="5483" spans="1:7" x14ac:dyDescent="0.25">
      <c r="A5483">
        <v>45770</v>
      </c>
      <c r="B5483" t="s">
        <v>4</v>
      </c>
      <c r="C5483">
        <v>3</v>
      </c>
      <c r="D5483" t="s">
        <v>5</v>
      </c>
      <c r="F5483" t="str" cm="1">
        <f t="array" ref="F5483">CategorizeComment(E5483)</f>
        <v>Other</v>
      </c>
      <c r="G5483" t="str" cm="1">
        <f t="array" ref="G5483">SubCategorizeComment(E5483)</f>
        <v>Other</v>
      </c>
    </row>
    <row r="5484" spans="1:7" x14ac:dyDescent="0.25">
      <c r="A5484">
        <v>45790</v>
      </c>
      <c r="B5484" t="s">
        <v>4</v>
      </c>
      <c r="C5484">
        <v>3</v>
      </c>
      <c r="D5484" t="s">
        <v>5</v>
      </c>
      <c r="F5484" t="str" cm="1">
        <f t="array" ref="F5484">CategorizeComment(E5484)</f>
        <v>Other</v>
      </c>
      <c r="G5484" t="str" cm="1">
        <f t="array" ref="G5484">SubCategorizeComment(E5484)</f>
        <v>Other</v>
      </c>
    </row>
    <row r="5485" spans="1:7" x14ac:dyDescent="0.25">
      <c r="A5485">
        <v>45793</v>
      </c>
      <c r="B5485" t="s">
        <v>4</v>
      </c>
      <c r="C5485">
        <v>3</v>
      </c>
      <c r="D5485" t="s">
        <v>5</v>
      </c>
      <c r="F5485" t="str" cm="1">
        <f t="array" ref="F5485">CategorizeComment(E5485)</f>
        <v>Other</v>
      </c>
      <c r="G5485" t="str" cm="1">
        <f t="array" ref="G5485">SubCategorizeComment(E5485)</f>
        <v>Other</v>
      </c>
    </row>
    <row r="5486" spans="1:7" x14ac:dyDescent="0.25">
      <c r="A5486">
        <v>45799</v>
      </c>
      <c r="B5486" t="s">
        <v>4</v>
      </c>
      <c r="C5486">
        <v>3</v>
      </c>
      <c r="D5486" t="s">
        <v>5</v>
      </c>
      <c r="F5486" t="str" cm="1">
        <f t="array" ref="F5486">CategorizeComment(E5486)</f>
        <v>Other</v>
      </c>
      <c r="G5486" t="str" cm="1">
        <f t="array" ref="G5486">SubCategorizeComment(E5486)</f>
        <v>Other</v>
      </c>
    </row>
    <row r="5487" spans="1:7" x14ac:dyDescent="0.25">
      <c r="A5487">
        <v>45801</v>
      </c>
      <c r="B5487" t="s">
        <v>4</v>
      </c>
      <c r="C5487">
        <v>4</v>
      </c>
      <c r="D5487" t="s">
        <v>5</v>
      </c>
      <c r="F5487" t="str" cm="1">
        <f t="array" ref="F5487">CategorizeComment(E5487)</f>
        <v>Other</v>
      </c>
      <c r="G5487" t="str" cm="1">
        <f t="array" ref="G5487">SubCategorizeComment(E5487)</f>
        <v>Other</v>
      </c>
    </row>
    <row r="5488" spans="1:7" x14ac:dyDescent="0.25">
      <c r="A5488">
        <v>45803</v>
      </c>
      <c r="B5488" t="s">
        <v>4</v>
      </c>
      <c r="C5488">
        <v>4</v>
      </c>
      <c r="D5488" t="s">
        <v>5</v>
      </c>
      <c r="F5488" t="str" cm="1">
        <f t="array" ref="F5488">CategorizeComment(E5488)</f>
        <v>Other</v>
      </c>
      <c r="G5488" t="str" cm="1">
        <f t="array" ref="G5488">SubCategorizeComment(E5488)</f>
        <v>Other</v>
      </c>
    </row>
    <row r="5489" spans="1:7" x14ac:dyDescent="0.25">
      <c r="A5489">
        <v>45811</v>
      </c>
      <c r="B5489" t="s">
        <v>4</v>
      </c>
      <c r="C5489">
        <v>4</v>
      </c>
      <c r="D5489" t="s">
        <v>5</v>
      </c>
      <c r="F5489" t="str" cm="1">
        <f t="array" ref="F5489">CategorizeComment(E5489)</f>
        <v>Other</v>
      </c>
      <c r="G5489" t="str" cm="1">
        <f t="array" ref="G5489">SubCategorizeComment(E5489)</f>
        <v>Other</v>
      </c>
    </row>
    <row r="5490" spans="1:7" x14ac:dyDescent="0.25">
      <c r="A5490">
        <v>45821</v>
      </c>
      <c r="B5490" t="s">
        <v>4</v>
      </c>
      <c r="C5490">
        <v>3</v>
      </c>
      <c r="D5490" t="s">
        <v>5</v>
      </c>
      <c r="F5490" t="str" cm="1">
        <f t="array" ref="F5490">CategorizeComment(E5490)</f>
        <v>Other</v>
      </c>
      <c r="G5490" t="str" cm="1">
        <f t="array" ref="G5490">SubCategorizeComment(E5490)</f>
        <v>Other</v>
      </c>
    </row>
    <row r="5491" spans="1:7" x14ac:dyDescent="0.25">
      <c r="A5491">
        <v>45831</v>
      </c>
      <c r="B5491" t="s">
        <v>4</v>
      </c>
      <c r="C5491">
        <v>4</v>
      </c>
      <c r="D5491" t="s">
        <v>5</v>
      </c>
      <c r="F5491" t="str" cm="1">
        <f t="array" ref="F5491">CategorizeComment(E5491)</f>
        <v>Other</v>
      </c>
      <c r="G5491" t="str" cm="1">
        <f t="array" ref="G5491">SubCategorizeComment(E5491)</f>
        <v>Other</v>
      </c>
    </row>
    <row r="5492" spans="1:7" x14ac:dyDescent="0.25">
      <c r="A5492">
        <v>45837</v>
      </c>
      <c r="B5492" t="s">
        <v>4</v>
      </c>
      <c r="C5492">
        <v>4</v>
      </c>
      <c r="D5492" t="s">
        <v>5</v>
      </c>
      <c r="F5492" t="str" cm="1">
        <f t="array" ref="F5492">CategorizeComment(E5492)</f>
        <v>Other</v>
      </c>
      <c r="G5492" t="str" cm="1">
        <f t="array" ref="G5492">SubCategorizeComment(E5492)</f>
        <v>Other</v>
      </c>
    </row>
    <row r="5493" spans="1:7" x14ac:dyDescent="0.25">
      <c r="A5493">
        <v>45844</v>
      </c>
      <c r="B5493" t="s">
        <v>4</v>
      </c>
      <c r="C5493">
        <v>3</v>
      </c>
      <c r="D5493" t="s">
        <v>5</v>
      </c>
      <c r="F5493" t="str" cm="1">
        <f t="array" ref="F5493">CategorizeComment(E5493)</f>
        <v>Other</v>
      </c>
      <c r="G5493" t="str" cm="1">
        <f t="array" ref="G5493">SubCategorizeComment(E5493)</f>
        <v>Other</v>
      </c>
    </row>
    <row r="5494" spans="1:7" x14ac:dyDescent="0.25">
      <c r="A5494">
        <v>45845</v>
      </c>
      <c r="B5494" t="s">
        <v>4</v>
      </c>
      <c r="C5494">
        <v>3</v>
      </c>
      <c r="D5494" t="s">
        <v>5</v>
      </c>
      <c r="F5494" t="str" cm="1">
        <f t="array" ref="F5494">CategorizeComment(E5494)</f>
        <v>Other</v>
      </c>
      <c r="G5494" t="str" cm="1">
        <f t="array" ref="G5494">SubCategorizeComment(E5494)</f>
        <v>Other</v>
      </c>
    </row>
    <row r="5495" spans="1:7" x14ac:dyDescent="0.25">
      <c r="A5495">
        <v>45882</v>
      </c>
      <c r="B5495" t="s">
        <v>4</v>
      </c>
      <c r="C5495">
        <v>3</v>
      </c>
      <c r="D5495" t="s">
        <v>5</v>
      </c>
      <c r="F5495" t="str" cm="1">
        <f t="array" ref="F5495">CategorizeComment(E5495)</f>
        <v>Other</v>
      </c>
      <c r="G5495" t="str" cm="1">
        <f t="array" ref="G5495">SubCategorizeComment(E5495)</f>
        <v>Other</v>
      </c>
    </row>
    <row r="5496" spans="1:7" x14ac:dyDescent="0.25">
      <c r="A5496">
        <v>45893</v>
      </c>
      <c r="B5496" t="s">
        <v>4</v>
      </c>
      <c r="C5496">
        <v>4</v>
      </c>
      <c r="D5496" t="s">
        <v>5</v>
      </c>
      <c r="F5496" t="str" cm="1">
        <f t="array" ref="F5496">CategorizeComment(E5496)</f>
        <v>Other</v>
      </c>
      <c r="G5496" t="str" cm="1">
        <f t="array" ref="G5496">SubCategorizeComment(E5496)</f>
        <v>Other</v>
      </c>
    </row>
    <row r="5497" spans="1:7" x14ac:dyDescent="0.25">
      <c r="A5497">
        <v>45900</v>
      </c>
      <c r="B5497" t="s">
        <v>4</v>
      </c>
      <c r="C5497">
        <v>3</v>
      </c>
      <c r="D5497" t="s">
        <v>5</v>
      </c>
      <c r="F5497" t="str" cm="1">
        <f t="array" ref="F5497">CategorizeComment(E5497)</f>
        <v>Other</v>
      </c>
      <c r="G5497" t="str" cm="1">
        <f t="array" ref="G5497">SubCategorizeComment(E5497)</f>
        <v>Other</v>
      </c>
    </row>
    <row r="5498" spans="1:7" x14ac:dyDescent="0.25">
      <c r="A5498">
        <v>45903</v>
      </c>
      <c r="B5498" t="s">
        <v>4</v>
      </c>
      <c r="C5498">
        <v>4</v>
      </c>
      <c r="D5498" t="s">
        <v>5</v>
      </c>
      <c r="F5498" t="str" cm="1">
        <f t="array" ref="F5498">CategorizeComment(E5498)</f>
        <v>Other</v>
      </c>
      <c r="G5498" t="str" cm="1">
        <f t="array" ref="G5498">SubCategorizeComment(E5498)</f>
        <v>Other</v>
      </c>
    </row>
    <row r="5499" spans="1:7" x14ac:dyDescent="0.25">
      <c r="A5499">
        <v>45904</v>
      </c>
      <c r="B5499" t="s">
        <v>4</v>
      </c>
      <c r="C5499">
        <v>3</v>
      </c>
      <c r="D5499" t="s">
        <v>5</v>
      </c>
      <c r="F5499" t="str" cm="1">
        <f t="array" ref="F5499">CategorizeComment(E5499)</f>
        <v>Other</v>
      </c>
      <c r="G5499" t="str" cm="1">
        <f t="array" ref="G5499">SubCategorizeComment(E5499)</f>
        <v>Other</v>
      </c>
    </row>
    <row r="5500" spans="1:7" x14ac:dyDescent="0.25">
      <c r="A5500">
        <v>45905</v>
      </c>
      <c r="B5500" t="s">
        <v>4</v>
      </c>
      <c r="C5500">
        <v>3</v>
      </c>
      <c r="D5500" t="s">
        <v>5</v>
      </c>
      <c r="F5500" t="str" cm="1">
        <f t="array" ref="F5500">CategorizeComment(E5500)</f>
        <v>Other</v>
      </c>
      <c r="G5500" t="str" cm="1">
        <f t="array" ref="G5500">SubCategorizeComment(E5500)</f>
        <v>Other</v>
      </c>
    </row>
    <row r="5501" spans="1:7" x14ac:dyDescent="0.25">
      <c r="A5501">
        <v>45906</v>
      </c>
      <c r="B5501" t="s">
        <v>4</v>
      </c>
      <c r="C5501">
        <v>3</v>
      </c>
      <c r="D5501" t="s">
        <v>5</v>
      </c>
      <c r="F5501" t="str" cm="1">
        <f t="array" ref="F5501">CategorizeComment(E5501)</f>
        <v>Other</v>
      </c>
      <c r="G5501" t="str" cm="1">
        <f t="array" ref="G5501">SubCategorizeComment(E5501)</f>
        <v>Other</v>
      </c>
    </row>
    <row r="5502" spans="1:7" x14ac:dyDescent="0.25">
      <c r="A5502">
        <v>45909</v>
      </c>
      <c r="B5502" t="s">
        <v>4</v>
      </c>
      <c r="C5502">
        <v>4</v>
      </c>
      <c r="D5502" t="s">
        <v>5</v>
      </c>
      <c r="F5502" t="str" cm="1">
        <f t="array" ref="F5502">CategorizeComment(E5502)</f>
        <v>Other</v>
      </c>
      <c r="G5502" t="str" cm="1">
        <f t="array" ref="G5502">SubCategorizeComment(E5502)</f>
        <v>Other</v>
      </c>
    </row>
    <row r="5503" spans="1:7" x14ac:dyDescent="0.25">
      <c r="A5503">
        <v>45914</v>
      </c>
      <c r="B5503" t="s">
        <v>4</v>
      </c>
      <c r="C5503">
        <v>4</v>
      </c>
      <c r="D5503" t="s">
        <v>5</v>
      </c>
      <c r="F5503" t="str" cm="1">
        <f t="array" ref="F5503">CategorizeComment(E5503)</f>
        <v>Other</v>
      </c>
      <c r="G5503" t="str" cm="1">
        <f t="array" ref="G5503">SubCategorizeComment(E5503)</f>
        <v>Other</v>
      </c>
    </row>
    <row r="5504" spans="1:7" x14ac:dyDescent="0.25">
      <c r="A5504">
        <v>45919</v>
      </c>
      <c r="B5504" t="s">
        <v>4</v>
      </c>
      <c r="C5504">
        <v>4</v>
      </c>
      <c r="D5504" t="s">
        <v>5</v>
      </c>
      <c r="F5504" t="str" cm="1">
        <f t="array" ref="F5504">CategorizeComment(E5504)</f>
        <v>Other</v>
      </c>
      <c r="G5504" t="str" cm="1">
        <f t="array" ref="G5504">SubCategorizeComment(E5504)</f>
        <v>Other</v>
      </c>
    </row>
    <row r="5505" spans="1:7" x14ac:dyDescent="0.25">
      <c r="A5505">
        <v>45921</v>
      </c>
      <c r="B5505" t="s">
        <v>4</v>
      </c>
      <c r="C5505">
        <v>4</v>
      </c>
      <c r="D5505" t="s">
        <v>5</v>
      </c>
      <c r="F5505" t="str" cm="1">
        <f t="array" ref="F5505">CategorizeComment(E5505)</f>
        <v>Other</v>
      </c>
      <c r="G5505" t="str" cm="1">
        <f t="array" ref="G5505">SubCategorizeComment(E5505)</f>
        <v>Other</v>
      </c>
    </row>
    <row r="5506" spans="1:7" x14ac:dyDescent="0.25">
      <c r="A5506">
        <v>45924</v>
      </c>
      <c r="B5506" t="s">
        <v>4</v>
      </c>
      <c r="C5506">
        <v>3</v>
      </c>
      <c r="D5506" t="s">
        <v>5</v>
      </c>
      <c r="F5506" t="str" cm="1">
        <f t="array" ref="F5506">CategorizeComment(E5506)</f>
        <v>Other</v>
      </c>
      <c r="G5506" t="str" cm="1">
        <f t="array" ref="G5506">SubCategorizeComment(E5506)</f>
        <v>Other</v>
      </c>
    </row>
    <row r="5507" spans="1:7" x14ac:dyDescent="0.25">
      <c r="A5507">
        <v>45933</v>
      </c>
      <c r="B5507" t="s">
        <v>4</v>
      </c>
      <c r="C5507">
        <v>3</v>
      </c>
      <c r="D5507" t="s">
        <v>5</v>
      </c>
      <c r="F5507" t="str" cm="1">
        <f t="array" ref="F5507">CategorizeComment(E5507)</f>
        <v>Other</v>
      </c>
      <c r="G5507" t="str" cm="1">
        <f t="array" ref="G5507">SubCategorizeComment(E5507)</f>
        <v>Other</v>
      </c>
    </row>
    <row r="5508" spans="1:7" x14ac:dyDescent="0.25">
      <c r="A5508">
        <v>45937</v>
      </c>
      <c r="B5508" t="s">
        <v>4</v>
      </c>
      <c r="C5508">
        <v>3</v>
      </c>
      <c r="D5508" t="s">
        <v>5</v>
      </c>
      <c r="F5508" t="str" cm="1">
        <f t="array" ref="F5508">CategorizeComment(E5508)</f>
        <v>Other</v>
      </c>
      <c r="G5508" t="str" cm="1">
        <f t="array" ref="G5508">SubCategorizeComment(E5508)</f>
        <v>Other</v>
      </c>
    </row>
    <row r="5509" spans="1:7" x14ac:dyDescent="0.25">
      <c r="A5509">
        <v>45939</v>
      </c>
      <c r="B5509" t="s">
        <v>4</v>
      </c>
      <c r="C5509">
        <v>4</v>
      </c>
      <c r="D5509" t="s">
        <v>5</v>
      </c>
      <c r="F5509" t="str" cm="1">
        <f t="array" ref="F5509">CategorizeComment(E5509)</f>
        <v>Other</v>
      </c>
      <c r="G5509" t="str" cm="1">
        <f t="array" ref="G5509">SubCategorizeComment(E5509)</f>
        <v>Other</v>
      </c>
    </row>
    <row r="5510" spans="1:7" x14ac:dyDescent="0.25">
      <c r="A5510">
        <v>45941</v>
      </c>
      <c r="B5510" t="s">
        <v>4</v>
      </c>
      <c r="C5510">
        <v>4</v>
      </c>
      <c r="D5510" t="s">
        <v>5</v>
      </c>
      <c r="F5510" t="str" cm="1">
        <f t="array" ref="F5510">CategorizeComment(E5510)</f>
        <v>Other</v>
      </c>
      <c r="G5510" t="str" cm="1">
        <f t="array" ref="G5510">SubCategorizeComment(E5510)</f>
        <v>Other</v>
      </c>
    </row>
    <row r="5511" spans="1:7" x14ac:dyDescent="0.25">
      <c r="A5511">
        <v>45975</v>
      </c>
      <c r="B5511" t="s">
        <v>4</v>
      </c>
      <c r="C5511">
        <v>4</v>
      </c>
      <c r="D5511" t="s">
        <v>5</v>
      </c>
      <c r="F5511" t="str" cm="1">
        <f t="array" ref="F5511">CategorizeComment(E5511)</f>
        <v>Other</v>
      </c>
      <c r="G5511" t="str" cm="1">
        <f t="array" ref="G5511">SubCategorizeComment(E5511)</f>
        <v>Other</v>
      </c>
    </row>
    <row r="5512" spans="1:7" x14ac:dyDescent="0.25">
      <c r="A5512">
        <v>45976</v>
      </c>
      <c r="B5512" t="s">
        <v>4</v>
      </c>
      <c r="C5512">
        <v>4</v>
      </c>
      <c r="D5512" t="s">
        <v>5</v>
      </c>
      <c r="F5512" t="str" cm="1">
        <f t="array" ref="F5512">CategorizeComment(E5512)</f>
        <v>Other</v>
      </c>
      <c r="G5512" t="str" cm="1">
        <f t="array" ref="G5512">SubCategorizeComment(E5512)</f>
        <v>Other</v>
      </c>
    </row>
    <row r="5513" spans="1:7" x14ac:dyDescent="0.25">
      <c r="A5513">
        <v>45977</v>
      </c>
      <c r="B5513" t="s">
        <v>4</v>
      </c>
      <c r="C5513">
        <v>4</v>
      </c>
      <c r="D5513" t="s">
        <v>5</v>
      </c>
      <c r="F5513" t="str" cm="1">
        <f t="array" ref="F5513">CategorizeComment(E5513)</f>
        <v>Other</v>
      </c>
      <c r="G5513" t="str" cm="1">
        <f t="array" ref="G5513">SubCategorizeComment(E5513)</f>
        <v>Other</v>
      </c>
    </row>
    <row r="5514" spans="1:7" x14ac:dyDescent="0.25">
      <c r="A5514">
        <v>45990</v>
      </c>
      <c r="B5514" t="s">
        <v>4</v>
      </c>
      <c r="C5514">
        <v>4</v>
      </c>
      <c r="D5514" t="s">
        <v>5</v>
      </c>
      <c r="F5514" t="str" cm="1">
        <f t="array" ref="F5514">CategorizeComment(E5514)</f>
        <v>Other</v>
      </c>
      <c r="G5514" t="str" cm="1">
        <f t="array" ref="G5514">SubCategorizeComment(E5514)</f>
        <v>Other</v>
      </c>
    </row>
    <row r="5515" spans="1:7" x14ac:dyDescent="0.25">
      <c r="A5515">
        <v>45992</v>
      </c>
      <c r="B5515" t="s">
        <v>4</v>
      </c>
      <c r="C5515">
        <v>3</v>
      </c>
      <c r="D5515" t="s">
        <v>5</v>
      </c>
      <c r="F5515" t="str" cm="1">
        <f t="array" ref="F5515">CategorizeComment(E5515)</f>
        <v>Other</v>
      </c>
      <c r="G5515" t="str" cm="1">
        <f t="array" ref="G5515">SubCategorizeComment(E5515)</f>
        <v>Other</v>
      </c>
    </row>
    <row r="5516" spans="1:7" x14ac:dyDescent="0.25">
      <c r="A5516">
        <v>46005</v>
      </c>
      <c r="B5516" t="s">
        <v>4</v>
      </c>
      <c r="C5516">
        <v>3</v>
      </c>
      <c r="D5516" t="s">
        <v>5</v>
      </c>
      <c r="F5516" t="str" cm="1">
        <f t="array" ref="F5516">CategorizeComment(E5516)</f>
        <v>Other</v>
      </c>
      <c r="G5516" t="str" cm="1">
        <f t="array" ref="G5516">SubCategorizeComment(E5516)</f>
        <v>Other</v>
      </c>
    </row>
    <row r="5517" spans="1:7" x14ac:dyDescent="0.25">
      <c r="A5517">
        <v>46040</v>
      </c>
      <c r="B5517" t="s">
        <v>4</v>
      </c>
      <c r="C5517">
        <v>3</v>
      </c>
      <c r="D5517" t="s">
        <v>5</v>
      </c>
      <c r="F5517" t="str" cm="1">
        <f t="array" ref="F5517">CategorizeComment(E5517)</f>
        <v>Other</v>
      </c>
      <c r="G5517" t="str" cm="1">
        <f t="array" ref="G5517">SubCategorizeComment(E5517)</f>
        <v>Other</v>
      </c>
    </row>
    <row r="5518" spans="1:7" x14ac:dyDescent="0.25">
      <c r="A5518">
        <v>46041</v>
      </c>
      <c r="B5518" t="s">
        <v>4</v>
      </c>
      <c r="C5518">
        <v>3</v>
      </c>
      <c r="D5518" t="s">
        <v>5</v>
      </c>
      <c r="F5518" t="str" cm="1">
        <f t="array" ref="F5518">CategorizeComment(E5518)</f>
        <v>Other</v>
      </c>
      <c r="G5518" t="str" cm="1">
        <f t="array" ref="G5518">SubCategorizeComment(E5518)</f>
        <v>Other</v>
      </c>
    </row>
    <row r="5519" spans="1:7" x14ac:dyDescent="0.25">
      <c r="A5519">
        <v>46043</v>
      </c>
      <c r="B5519" t="s">
        <v>4</v>
      </c>
      <c r="C5519">
        <v>3</v>
      </c>
      <c r="D5519" t="s">
        <v>5</v>
      </c>
      <c r="F5519" t="str" cm="1">
        <f t="array" ref="F5519">CategorizeComment(E5519)</f>
        <v>Other</v>
      </c>
      <c r="G5519" t="str" cm="1">
        <f t="array" ref="G5519">SubCategorizeComment(E5519)</f>
        <v>Other</v>
      </c>
    </row>
    <row r="5520" spans="1:7" x14ac:dyDescent="0.25">
      <c r="A5520">
        <v>46044</v>
      </c>
      <c r="B5520" t="s">
        <v>4</v>
      </c>
      <c r="C5520">
        <v>3</v>
      </c>
      <c r="D5520" t="s">
        <v>5</v>
      </c>
      <c r="F5520" t="str" cm="1">
        <f t="array" ref="F5520">CategorizeComment(E5520)</f>
        <v>Other</v>
      </c>
      <c r="G5520" t="str" cm="1">
        <f t="array" ref="G5520">SubCategorizeComment(E5520)</f>
        <v>Other</v>
      </c>
    </row>
    <row r="5521" spans="1:7" x14ac:dyDescent="0.25">
      <c r="A5521">
        <v>46058</v>
      </c>
      <c r="B5521" t="s">
        <v>4</v>
      </c>
      <c r="C5521">
        <v>3</v>
      </c>
      <c r="D5521" t="s">
        <v>5</v>
      </c>
      <c r="F5521" t="str" cm="1">
        <f t="array" ref="F5521">CategorizeComment(E5521)</f>
        <v>Other</v>
      </c>
      <c r="G5521" t="str" cm="1">
        <f t="array" ref="G5521">SubCategorizeComment(E5521)</f>
        <v>Other</v>
      </c>
    </row>
    <row r="5522" spans="1:7" x14ac:dyDescent="0.25">
      <c r="A5522">
        <v>46061</v>
      </c>
      <c r="B5522" t="s">
        <v>4</v>
      </c>
      <c r="C5522">
        <v>3</v>
      </c>
      <c r="D5522" t="s">
        <v>5</v>
      </c>
      <c r="F5522" t="str" cm="1">
        <f t="array" ref="F5522">CategorizeComment(E5522)</f>
        <v>Other</v>
      </c>
      <c r="G5522" t="str" cm="1">
        <f t="array" ref="G5522">SubCategorizeComment(E5522)</f>
        <v>Other</v>
      </c>
    </row>
    <row r="5523" spans="1:7" x14ac:dyDescent="0.25">
      <c r="A5523">
        <v>46067</v>
      </c>
      <c r="B5523" t="s">
        <v>4</v>
      </c>
      <c r="C5523">
        <v>3</v>
      </c>
      <c r="D5523" t="s">
        <v>5</v>
      </c>
      <c r="F5523" t="str" cm="1">
        <f t="array" ref="F5523">CategorizeComment(E5523)</f>
        <v>Other</v>
      </c>
      <c r="G5523" t="str" cm="1">
        <f t="array" ref="G5523">SubCategorizeComment(E5523)</f>
        <v>Other</v>
      </c>
    </row>
    <row r="5524" spans="1:7" x14ac:dyDescent="0.25">
      <c r="A5524">
        <v>46073</v>
      </c>
      <c r="B5524" t="s">
        <v>4</v>
      </c>
      <c r="C5524">
        <v>3</v>
      </c>
      <c r="D5524" t="s">
        <v>5</v>
      </c>
      <c r="F5524" t="str" cm="1">
        <f t="array" ref="F5524">CategorizeComment(E5524)</f>
        <v>Other</v>
      </c>
      <c r="G5524" t="str" cm="1">
        <f t="array" ref="G5524">SubCategorizeComment(E5524)</f>
        <v>Other</v>
      </c>
    </row>
    <row r="5525" spans="1:7" x14ac:dyDescent="0.25">
      <c r="A5525">
        <v>46082</v>
      </c>
      <c r="B5525" t="s">
        <v>4</v>
      </c>
      <c r="C5525">
        <v>3</v>
      </c>
      <c r="D5525" t="s">
        <v>5</v>
      </c>
      <c r="F5525" t="str" cm="1">
        <f t="array" ref="F5525">CategorizeComment(E5525)</f>
        <v>Other</v>
      </c>
      <c r="G5525" t="str" cm="1">
        <f t="array" ref="G5525">SubCategorizeComment(E5525)</f>
        <v>Other</v>
      </c>
    </row>
    <row r="5526" spans="1:7" x14ac:dyDescent="0.25">
      <c r="A5526">
        <v>46083</v>
      </c>
      <c r="B5526" t="s">
        <v>4</v>
      </c>
      <c r="C5526">
        <v>3</v>
      </c>
      <c r="D5526" t="s">
        <v>5</v>
      </c>
      <c r="F5526" t="str" cm="1">
        <f t="array" ref="F5526">CategorizeComment(E5526)</f>
        <v>Other</v>
      </c>
      <c r="G5526" t="str" cm="1">
        <f t="array" ref="G5526">SubCategorizeComment(E5526)</f>
        <v>Other</v>
      </c>
    </row>
    <row r="5527" spans="1:7" x14ac:dyDescent="0.25">
      <c r="A5527">
        <v>46090</v>
      </c>
      <c r="B5527" t="s">
        <v>4</v>
      </c>
      <c r="C5527">
        <v>4</v>
      </c>
      <c r="D5527" t="s">
        <v>5</v>
      </c>
      <c r="F5527" t="str" cm="1">
        <f t="array" ref="F5527">CategorizeComment(E5527)</f>
        <v>Other</v>
      </c>
      <c r="G5527" t="str" cm="1">
        <f t="array" ref="G5527">SubCategorizeComment(E5527)</f>
        <v>Other</v>
      </c>
    </row>
    <row r="5528" spans="1:7" x14ac:dyDescent="0.25">
      <c r="A5528">
        <v>46106</v>
      </c>
      <c r="B5528" t="s">
        <v>4</v>
      </c>
      <c r="C5528">
        <v>4</v>
      </c>
      <c r="D5528" t="s">
        <v>5</v>
      </c>
      <c r="F5528" t="str" cm="1">
        <f t="array" ref="F5528">CategorizeComment(E5528)</f>
        <v>Other</v>
      </c>
      <c r="G5528" t="str" cm="1">
        <f t="array" ref="G5528">SubCategorizeComment(E5528)</f>
        <v>Other</v>
      </c>
    </row>
    <row r="5529" spans="1:7" x14ac:dyDescent="0.25">
      <c r="A5529">
        <v>46130</v>
      </c>
      <c r="B5529" t="s">
        <v>4</v>
      </c>
      <c r="C5529">
        <v>3</v>
      </c>
      <c r="D5529" t="s">
        <v>5</v>
      </c>
      <c r="F5529" t="str" cm="1">
        <f t="array" ref="F5529">CategorizeComment(E5529)</f>
        <v>Other</v>
      </c>
      <c r="G5529" t="str" cm="1">
        <f t="array" ref="G5529">SubCategorizeComment(E5529)</f>
        <v>Other</v>
      </c>
    </row>
    <row r="5530" spans="1:7" x14ac:dyDescent="0.25">
      <c r="A5530">
        <v>46143</v>
      </c>
      <c r="B5530" t="s">
        <v>4</v>
      </c>
      <c r="C5530">
        <v>3</v>
      </c>
      <c r="D5530" t="s">
        <v>5</v>
      </c>
      <c r="F5530" t="str" cm="1">
        <f t="array" ref="F5530">CategorizeComment(E5530)</f>
        <v>Other</v>
      </c>
      <c r="G5530" t="str" cm="1">
        <f t="array" ref="G5530">SubCategorizeComment(E5530)</f>
        <v>Other</v>
      </c>
    </row>
    <row r="5531" spans="1:7" x14ac:dyDescent="0.25">
      <c r="A5531">
        <v>46148</v>
      </c>
      <c r="B5531" t="s">
        <v>4</v>
      </c>
      <c r="C5531">
        <v>4</v>
      </c>
      <c r="D5531" t="s">
        <v>5</v>
      </c>
      <c r="F5531" t="str" cm="1">
        <f t="array" ref="F5531">CategorizeComment(E5531)</f>
        <v>Other</v>
      </c>
      <c r="G5531" t="str" cm="1">
        <f t="array" ref="G5531">SubCategorizeComment(E5531)</f>
        <v>Other</v>
      </c>
    </row>
    <row r="5532" spans="1:7" x14ac:dyDescent="0.25">
      <c r="A5532">
        <v>46152</v>
      </c>
      <c r="B5532" t="s">
        <v>4</v>
      </c>
      <c r="C5532">
        <v>3</v>
      </c>
      <c r="D5532" t="s">
        <v>5</v>
      </c>
      <c r="F5532" t="str" cm="1">
        <f t="array" ref="F5532">CategorizeComment(E5532)</f>
        <v>Other</v>
      </c>
      <c r="G5532" t="str" cm="1">
        <f t="array" ref="G5532">SubCategorizeComment(E5532)</f>
        <v>Other</v>
      </c>
    </row>
    <row r="5533" spans="1:7" x14ac:dyDescent="0.25">
      <c r="A5533">
        <v>46163</v>
      </c>
      <c r="B5533" t="s">
        <v>4</v>
      </c>
      <c r="C5533">
        <v>3</v>
      </c>
      <c r="D5533" t="s">
        <v>5</v>
      </c>
      <c r="F5533" t="str" cm="1">
        <f t="array" ref="F5533">CategorizeComment(E5533)</f>
        <v>Other</v>
      </c>
      <c r="G5533" t="str" cm="1">
        <f t="array" ref="G5533">SubCategorizeComment(E5533)</f>
        <v>Other</v>
      </c>
    </row>
    <row r="5534" spans="1:7" x14ac:dyDescent="0.25">
      <c r="A5534">
        <v>46170</v>
      </c>
      <c r="B5534" t="s">
        <v>4</v>
      </c>
      <c r="C5534">
        <v>4</v>
      </c>
      <c r="D5534" t="s">
        <v>5</v>
      </c>
      <c r="F5534" t="str" cm="1">
        <f t="array" ref="F5534">CategorizeComment(E5534)</f>
        <v>Other</v>
      </c>
      <c r="G5534" t="str" cm="1">
        <f t="array" ref="G5534">SubCategorizeComment(E5534)</f>
        <v>Other</v>
      </c>
    </row>
    <row r="5535" spans="1:7" x14ac:dyDescent="0.25">
      <c r="A5535">
        <v>46174</v>
      </c>
      <c r="B5535" t="s">
        <v>4</v>
      </c>
      <c r="C5535">
        <v>4</v>
      </c>
      <c r="D5535" t="s">
        <v>5</v>
      </c>
      <c r="F5535" t="str" cm="1">
        <f t="array" ref="F5535">CategorizeComment(E5535)</f>
        <v>Other</v>
      </c>
      <c r="G5535" t="str" cm="1">
        <f t="array" ref="G5535">SubCategorizeComment(E5535)</f>
        <v>Other</v>
      </c>
    </row>
    <row r="5536" spans="1:7" x14ac:dyDescent="0.25">
      <c r="A5536">
        <v>46190</v>
      </c>
      <c r="B5536" t="s">
        <v>4</v>
      </c>
      <c r="C5536">
        <v>4</v>
      </c>
      <c r="D5536" t="s">
        <v>5</v>
      </c>
      <c r="F5536" t="str" cm="1">
        <f t="array" ref="F5536">CategorizeComment(E5536)</f>
        <v>Other</v>
      </c>
      <c r="G5536" t="str" cm="1">
        <f t="array" ref="G5536">SubCategorizeComment(E5536)</f>
        <v>Other</v>
      </c>
    </row>
    <row r="5537" spans="1:7" x14ac:dyDescent="0.25">
      <c r="A5537">
        <v>46194</v>
      </c>
      <c r="B5537" t="s">
        <v>4</v>
      </c>
      <c r="C5537">
        <v>3</v>
      </c>
      <c r="D5537" t="s">
        <v>5</v>
      </c>
      <c r="F5537" t="str" cm="1">
        <f t="array" ref="F5537">CategorizeComment(E5537)</f>
        <v>Other</v>
      </c>
      <c r="G5537" t="str" cm="1">
        <f t="array" ref="G5537">SubCategorizeComment(E5537)</f>
        <v>Other</v>
      </c>
    </row>
    <row r="5538" spans="1:7" x14ac:dyDescent="0.25">
      <c r="A5538">
        <v>46200</v>
      </c>
      <c r="B5538" t="s">
        <v>4</v>
      </c>
      <c r="C5538">
        <v>3</v>
      </c>
      <c r="D5538" t="s">
        <v>5</v>
      </c>
      <c r="F5538" t="str" cm="1">
        <f t="array" ref="F5538">CategorizeComment(E5538)</f>
        <v>Other</v>
      </c>
      <c r="G5538" t="str" cm="1">
        <f t="array" ref="G5538">SubCategorizeComment(E5538)</f>
        <v>Other</v>
      </c>
    </row>
    <row r="5539" spans="1:7" x14ac:dyDescent="0.25">
      <c r="A5539">
        <v>46214</v>
      </c>
      <c r="B5539" t="s">
        <v>4</v>
      </c>
      <c r="C5539">
        <v>4</v>
      </c>
      <c r="D5539" t="s">
        <v>5</v>
      </c>
      <c r="F5539" t="str" cm="1">
        <f t="array" ref="F5539">CategorizeComment(E5539)</f>
        <v>Other</v>
      </c>
      <c r="G5539" t="str" cm="1">
        <f t="array" ref="G5539">SubCategorizeComment(E5539)</f>
        <v>Other</v>
      </c>
    </row>
    <row r="5540" spans="1:7" x14ac:dyDescent="0.25">
      <c r="A5540">
        <v>46224</v>
      </c>
      <c r="B5540" t="s">
        <v>4</v>
      </c>
      <c r="C5540">
        <v>3</v>
      </c>
      <c r="D5540" t="s">
        <v>5</v>
      </c>
      <c r="F5540" t="str" cm="1">
        <f t="array" ref="F5540">CategorizeComment(E5540)</f>
        <v>Other</v>
      </c>
      <c r="G5540" t="str" cm="1">
        <f t="array" ref="G5540">SubCategorizeComment(E5540)</f>
        <v>Other</v>
      </c>
    </row>
    <row r="5541" spans="1:7" x14ac:dyDescent="0.25">
      <c r="A5541">
        <v>46228</v>
      </c>
      <c r="B5541" t="s">
        <v>4</v>
      </c>
      <c r="C5541">
        <v>4</v>
      </c>
      <c r="D5541" t="s">
        <v>5</v>
      </c>
      <c r="F5541" t="str" cm="1">
        <f t="array" ref="F5541">CategorizeComment(E5541)</f>
        <v>Other</v>
      </c>
      <c r="G5541" t="str" cm="1">
        <f t="array" ref="G5541">SubCategorizeComment(E5541)</f>
        <v>Other</v>
      </c>
    </row>
    <row r="5542" spans="1:7" x14ac:dyDescent="0.25">
      <c r="A5542">
        <v>46250</v>
      </c>
      <c r="B5542" t="s">
        <v>4</v>
      </c>
      <c r="C5542">
        <v>3</v>
      </c>
      <c r="D5542" t="s">
        <v>5</v>
      </c>
      <c r="F5542" t="str" cm="1">
        <f t="array" ref="F5542">CategorizeComment(E5542)</f>
        <v>Other</v>
      </c>
      <c r="G5542" t="str" cm="1">
        <f t="array" ref="G5542">SubCategorizeComment(E5542)</f>
        <v>Other</v>
      </c>
    </row>
    <row r="5543" spans="1:7" x14ac:dyDescent="0.25">
      <c r="A5543">
        <v>46272</v>
      </c>
      <c r="B5543" t="s">
        <v>4</v>
      </c>
      <c r="C5543">
        <v>4</v>
      </c>
      <c r="D5543" t="s">
        <v>5</v>
      </c>
      <c r="F5543" t="str" cm="1">
        <f t="array" ref="F5543">CategorizeComment(E5543)</f>
        <v>Other</v>
      </c>
      <c r="G5543" t="str" cm="1">
        <f t="array" ref="G5543">SubCategorizeComment(E5543)</f>
        <v>Other</v>
      </c>
    </row>
    <row r="5544" spans="1:7" x14ac:dyDescent="0.25">
      <c r="A5544">
        <v>46275</v>
      </c>
      <c r="B5544" t="s">
        <v>4</v>
      </c>
      <c r="C5544">
        <v>3</v>
      </c>
      <c r="D5544" t="s">
        <v>5</v>
      </c>
      <c r="F5544" t="str" cm="1">
        <f t="array" ref="F5544">CategorizeComment(E5544)</f>
        <v>Other</v>
      </c>
      <c r="G5544" t="str" cm="1">
        <f t="array" ref="G5544">SubCategorizeComment(E5544)</f>
        <v>Other</v>
      </c>
    </row>
    <row r="5545" spans="1:7" x14ac:dyDescent="0.25">
      <c r="A5545">
        <v>46287</v>
      </c>
      <c r="B5545" t="s">
        <v>4</v>
      </c>
      <c r="C5545">
        <v>3</v>
      </c>
      <c r="D5545" t="s">
        <v>5</v>
      </c>
      <c r="F5545" t="str" cm="1">
        <f t="array" ref="F5545">CategorizeComment(E5545)</f>
        <v>Other</v>
      </c>
      <c r="G5545" t="str" cm="1">
        <f t="array" ref="G5545">SubCategorizeComment(E5545)</f>
        <v>Other</v>
      </c>
    </row>
    <row r="5546" spans="1:7" x14ac:dyDescent="0.25">
      <c r="A5546">
        <v>46289</v>
      </c>
      <c r="B5546" t="s">
        <v>4</v>
      </c>
      <c r="C5546">
        <v>4</v>
      </c>
      <c r="D5546" t="s">
        <v>5</v>
      </c>
      <c r="F5546" t="str" cm="1">
        <f t="array" ref="F5546">CategorizeComment(E5546)</f>
        <v>Other</v>
      </c>
      <c r="G5546" t="str" cm="1">
        <f t="array" ref="G5546">SubCategorizeComment(E5546)</f>
        <v>Other</v>
      </c>
    </row>
    <row r="5547" spans="1:7" x14ac:dyDescent="0.25">
      <c r="A5547">
        <v>46290</v>
      </c>
      <c r="B5547" t="s">
        <v>4</v>
      </c>
      <c r="C5547">
        <v>3</v>
      </c>
      <c r="D5547" t="s">
        <v>5</v>
      </c>
      <c r="F5547" t="str" cm="1">
        <f t="array" ref="F5547">CategorizeComment(E5547)</f>
        <v>Other</v>
      </c>
      <c r="G5547" t="str" cm="1">
        <f t="array" ref="G5547">SubCategorizeComment(E5547)</f>
        <v>Other</v>
      </c>
    </row>
    <row r="5548" spans="1:7" x14ac:dyDescent="0.25">
      <c r="A5548">
        <v>46302</v>
      </c>
      <c r="B5548" t="s">
        <v>4</v>
      </c>
      <c r="C5548">
        <v>4</v>
      </c>
      <c r="D5548" t="s">
        <v>5</v>
      </c>
      <c r="F5548" t="str" cm="1">
        <f t="array" ref="F5548">CategorizeComment(E5548)</f>
        <v>Other</v>
      </c>
      <c r="G5548" t="str" cm="1">
        <f t="array" ref="G5548">SubCategorizeComment(E5548)</f>
        <v>Other</v>
      </c>
    </row>
    <row r="5549" spans="1:7" x14ac:dyDescent="0.25">
      <c r="A5549">
        <v>46312</v>
      </c>
      <c r="B5549" t="s">
        <v>4</v>
      </c>
      <c r="C5549">
        <v>3</v>
      </c>
      <c r="D5549" t="s">
        <v>5</v>
      </c>
      <c r="F5549" t="str" cm="1">
        <f t="array" ref="F5549">CategorizeComment(E5549)</f>
        <v>Other</v>
      </c>
      <c r="G5549" t="str" cm="1">
        <f t="array" ref="G5549">SubCategorizeComment(E5549)</f>
        <v>Other</v>
      </c>
    </row>
    <row r="5550" spans="1:7" x14ac:dyDescent="0.25">
      <c r="A5550">
        <v>46324</v>
      </c>
      <c r="B5550" t="s">
        <v>4</v>
      </c>
      <c r="C5550">
        <v>3</v>
      </c>
      <c r="D5550" t="s">
        <v>5</v>
      </c>
      <c r="F5550" t="str" cm="1">
        <f t="array" ref="F5550">CategorizeComment(E5550)</f>
        <v>Other</v>
      </c>
      <c r="G5550" t="str" cm="1">
        <f t="array" ref="G5550">SubCategorizeComment(E5550)</f>
        <v>Other</v>
      </c>
    </row>
    <row r="5551" spans="1:7" x14ac:dyDescent="0.25">
      <c r="A5551">
        <v>46325</v>
      </c>
      <c r="B5551" t="s">
        <v>4</v>
      </c>
      <c r="C5551">
        <v>4</v>
      </c>
      <c r="D5551" t="s">
        <v>5</v>
      </c>
      <c r="F5551" t="str" cm="1">
        <f t="array" ref="F5551">CategorizeComment(E5551)</f>
        <v>Other</v>
      </c>
      <c r="G5551" t="str" cm="1">
        <f t="array" ref="G5551">SubCategorizeComment(E5551)</f>
        <v>Other</v>
      </c>
    </row>
    <row r="5552" spans="1:7" x14ac:dyDescent="0.25">
      <c r="A5552">
        <v>46328</v>
      </c>
      <c r="B5552" t="s">
        <v>4</v>
      </c>
      <c r="C5552">
        <v>3</v>
      </c>
      <c r="D5552" t="s">
        <v>5</v>
      </c>
      <c r="F5552" t="str" cm="1">
        <f t="array" ref="F5552">CategorizeComment(E5552)</f>
        <v>Other</v>
      </c>
      <c r="G5552" t="str" cm="1">
        <f t="array" ref="G5552">SubCategorizeComment(E5552)</f>
        <v>Other</v>
      </c>
    </row>
    <row r="5553" spans="1:7" x14ac:dyDescent="0.25">
      <c r="A5553">
        <v>46342</v>
      </c>
      <c r="B5553" t="s">
        <v>4</v>
      </c>
      <c r="C5553">
        <v>4</v>
      </c>
      <c r="D5553" t="s">
        <v>5</v>
      </c>
      <c r="F5553" t="str" cm="1">
        <f t="array" ref="F5553">CategorizeComment(E5553)</f>
        <v>Other</v>
      </c>
      <c r="G5553" t="str" cm="1">
        <f t="array" ref="G5553">SubCategorizeComment(E5553)</f>
        <v>Other</v>
      </c>
    </row>
    <row r="5554" spans="1:7" x14ac:dyDescent="0.25">
      <c r="A5554">
        <v>46356</v>
      </c>
      <c r="B5554" t="s">
        <v>4</v>
      </c>
      <c r="C5554">
        <v>4</v>
      </c>
      <c r="D5554" t="s">
        <v>5</v>
      </c>
      <c r="F5554" t="str" cm="1">
        <f t="array" ref="F5554">CategorizeComment(E5554)</f>
        <v>Other</v>
      </c>
      <c r="G5554" t="str" cm="1">
        <f t="array" ref="G5554">SubCategorizeComment(E5554)</f>
        <v>Other</v>
      </c>
    </row>
    <row r="5555" spans="1:7" x14ac:dyDescent="0.25">
      <c r="A5555">
        <v>46369</v>
      </c>
      <c r="B5555" t="s">
        <v>4</v>
      </c>
      <c r="C5555">
        <v>4</v>
      </c>
      <c r="D5555" t="s">
        <v>5</v>
      </c>
      <c r="F5555" t="str" cm="1">
        <f t="array" ref="F5555">CategorizeComment(E5555)</f>
        <v>Other</v>
      </c>
      <c r="G5555" t="str" cm="1">
        <f t="array" ref="G5555">SubCategorizeComment(E5555)</f>
        <v>Other</v>
      </c>
    </row>
    <row r="5556" spans="1:7" x14ac:dyDescent="0.25">
      <c r="A5556">
        <v>46376</v>
      </c>
      <c r="B5556" t="s">
        <v>4</v>
      </c>
      <c r="C5556">
        <v>4</v>
      </c>
      <c r="D5556" t="s">
        <v>5</v>
      </c>
      <c r="F5556" t="str" cm="1">
        <f t="array" ref="F5556">CategorizeComment(E5556)</f>
        <v>Other</v>
      </c>
      <c r="G5556" t="str" cm="1">
        <f t="array" ref="G5556">SubCategorizeComment(E5556)</f>
        <v>Other</v>
      </c>
    </row>
    <row r="5557" spans="1:7" x14ac:dyDescent="0.25">
      <c r="A5557">
        <v>46379</v>
      </c>
      <c r="B5557" t="s">
        <v>4</v>
      </c>
      <c r="C5557">
        <v>3</v>
      </c>
      <c r="D5557" t="s">
        <v>5</v>
      </c>
      <c r="F5557" t="str" cm="1">
        <f t="array" ref="F5557">CategorizeComment(E5557)</f>
        <v>Other</v>
      </c>
      <c r="G5557" t="str" cm="1">
        <f t="array" ref="G5557">SubCategorizeComment(E5557)</f>
        <v>Other</v>
      </c>
    </row>
    <row r="5558" spans="1:7" x14ac:dyDescent="0.25">
      <c r="A5558">
        <v>46381</v>
      </c>
      <c r="B5558" t="s">
        <v>4</v>
      </c>
      <c r="C5558">
        <v>3</v>
      </c>
      <c r="D5558" t="s">
        <v>5</v>
      </c>
      <c r="F5558" t="str" cm="1">
        <f t="array" ref="F5558">CategorizeComment(E5558)</f>
        <v>Other</v>
      </c>
      <c r="G5558" t="str" cm="1">
        <f t="array" ref="G5558">SubCategorizeComment(E5558)</f>
        <v>Other</v>
      </c>
    </row>
    <row r="5559" spans="1:7" x14ac:dyDescent="0.25">
      <c r="A5559">
        <v>46384</v>
      </c>
      <c r="B5559" t="s">
        <v>4</v>
      </c>
      <c r="C5559">
        <v>3</v>
      </c>
      <c r="D5559" t="s">
        <v>5</v>
      </c>
      <c r="F5559" t="str" cm="1">
        <f t="array" ref="F5559">CategorizeComment(E5559)</f>
        <v>Other</v>
      </c>
      <c r="G5559" t="str" cm="1">
        <f t="array" ref="G5559">SubCategorizeComment(E5559)</f>
        <v>Other</v>
      </c>
    </row>
    <row r="5560" spans="1:7" x14ac:dyDescent="0.25">
      <c r="A5560">
        <v>46404</v>
      </c>
      <c r="B5560" t="s">
        <v>4</v>
      </c>
      <c r="C5560">
        <v>3</v>
      </c>
      <c r="D5560" t="s">
        <v>5</v>
      </c>
      <c r="F5560" t="str" cm="1">
        <f t="array" ref="F5560">CategorizeComment(E5560)</f>
        <v>Other</v>
      </c>
      <c r="G5560" t="str" cm="1">
        <f t="array" ref="G5560">SubCategorizeComment(E5560)</f>
        <v>Other</v>
      </c>
    </row>
    <row r="5561" spans="1:7" x14ac:dyDescent="0.25">
      <c r="A5561">
        <v>46420</v>
      </c>
      <c r="B5561" t="s">
        <v>4</v>
      </c>
      <c r="C5561">
        <v>3</v>
      </c>
      <c r="D5561" t="s">
        <v>5</v>
      </c>
      <c r="F5561" t="str" cm="1">
        <f t="array" ref="F5561">CategorizeComment(E5561)</f>
        <v>Other</v>
      </c>
      <c r="G5561" t="str" cm="1">
        <f t="array" ref="G5561">SubCategorizeComment(E5561)</f>
        <v>Other</v>
      </c>
    </row>
    <row r="5562" spans="1:7" x14ac:dyDescent="0.25">
      <c r="A5562">
        <v>46432</v>
      </c>
      <c r="B5562" t="s">
        <v>4</v>
      </c>
      <c r="C5562">
        <v>4</v>
      </c>
      <c r="D5562" t="s">
        <v>5</v>
      </c>
      <c r="F5562" t="str" cm="1">
        <f t="array" ref="F5562">CategorizeComment(E5562)</f>
        <v>Other</v>
      </c>
      <c r="G5562" t="str" cm="1">
        <f t="array" ref="G5562">SubCategorizeComment(E5562)</f>
        <v>Other</v>
      </c>
    </row>
    <row r="5563" spans="1:7" x14ac:dyDescent="0.25">
      <c r="A5563">
        <v>46440</v>
      </c>
      <c r="B5563" t="s">
        <v>4</v>
      </c>
      <c r="C5563">
        <v>3</v>
      </c>
      <c r="D5563" t="s">
        <v>5</v>
      </c>
      <c r="F5563" t="str" cm="1">
        <f t="array" ref="F5563">CategorizeComment(E5563)</f>
        <v>Other</v>
      </c>
      <c r="G5563" t="str" cm="1">
        <f t="array" ref="G5563">SubCategorizeComment(E5563)</f>
        <v>Other</v>
      </c>
    </row>
    <row r="5564" spans="1:7" x14ac:dyDescent="0.25">
      <c r="A5564">
        <v>46446</v>
      </c>
      <c r="B5564" t="s">
        <v>4</v>
      </c>
      <c r="C5564">
        <v>3</v>
      </c>
      <c r="D5564" t="s">
        <v>5</v>
      </c>
      <c r="F5564" t="str" cm="1">
        <f t="array" ref="F5564">CategorizeComment(E5564)</f>
        <v>Other</v>
      </c>
      <c r="G5564" t="str" cm="1">
        <f t="array" ref="G5564">SubCategorizeComment(E5564)</f>
        <v>Other</v>
      </c>
    </row>
    <row r="5565" spans="1:7" x14ac:dyDescent="0.25">
      <c r="A5565">
        <v>46465</v>
      </c>
      <c r="B5565" t="s">
        <v>4</v>
      </c>
      <c r="C5565">
        <v>4</v>
      </c>
      <c r="D5565" t="s">
        <v>5</v>
      </c>
      <c r="F5565" t="str" cm="1">
        <f t="array" ref="F5565">CategorizeComment(E5565)</f>
        <v>Other</v>
      </c>
      <c r="G5565" t="str" cm="1">
        <f t="array" ref="G5565">SubCategorizeComment(E5565)</f>
        <v>Other</v>
      </c>
    </row>
    <row r="5566" spans="1:7" x14ac:dyDescent="0.25">
      <c r="A5566">
        <v>46479</v>
      </c>
      <c r="B5566" t="s">
        <v>4</v>
      </c>
      <c r="C5566">
        <v>4</v>
      </c>
      <c r="D5566" t="s">
        <v>5</v>
      </c>
      <c r="F5566" t="str" cm="1">
        <f t="array" ref="F5566">CategorizeComment(E5566)</f>
        <v>Other</v>
      </c>
      <c r="G5566" t="str" cm="1">
        <f t="array" ref="G5566">SubCategorizeComment(E5566)</f>
        <v>Other</v>
      </c>
    </row>
    <row r="5567" spans="1:7" x14ac:dyDescent="0.25">
      <c r="A5567">
        <v>46537</v>
      </c>
      <c r="B5567" t="s">
        <v>4</v>
      </c>
      <c r="C5567">
        <v>3</v>
      </c>
      <c r="D5567" t="s">
        <v>5</v>
      </c>
      <c r="F5567" t="str" cm="1">
        <f t="array" ref="F5567">CategorizeComment(E5567)</f>
        <v>Other</v>
      </c>
      <c r="G5567" t="str" cm="1">
        <f t="array" ref="G5567">SubCategorizeComment(E5567)</f>
        <v>Other</v>
      </c>
    </row>
    <row r="5568" spans="1:7" x14ac:dyDescent="0.25">
      <c r="A5568">
        <v>46539</v>
      </c>
      <c r="B5568" t="s">
        <v>4</v>
      </c>
      <c r="C5568">
        <v>4</v>
      </c>
      <c r="D5568" t="s">
        <v>5</v>
      </c>
      <c r="F5568" t="str" cm="1">
        <f t="array" ref="F5568">CategorizeComment(E5568)</f>
        <v>Other</v>
      </c>
      <c r="G5568" t="str" cm="1">
        <f t="array" ref="G5568">SubCategorizeComment(E5568)</f>
        <v>Other</v>
      </c>
    </row>
    <row r="5569" spans="1:7" x14ac:dyDescent="0.25">
      <c r="A5569">
        <v>46556</v>
      </c>
      <c r="B5569" t="s">
        <v>4</v>
      </c>
      <c r="C5569">
        <v>4</v>
      </c>
      <c r="D5569" t="s">
        <v>5</v>
      </c>
      <c r="F5569" t="str" cm="1">
        <f t="array" ref="F5569">CategorizeComment(E5569)</f>
        <v>Other</v>
      </c>
      <c r="G5569" t="str" cm="1">
        <f t="array" ref="G5569">SubCategorizeComment(E5569)</f>
        <v>Other</v>
      </c>
    </row>
    <row r="5570" spans="1:7" x14ac:dyDescent="0.25">
      <c r="A5570">
        <v>46575</v>
      </c>
      <c r="B5570" t="s">
        <v>4</v>
      </c>
      <c r="C5570">
        <v>3</v>
      </c>
      <c r="D5570" t="s">
        <v>5</v>
      </c>
      <c r="F5570" t="str" cm="1">
        <f t="array" ref="F5570">CategorizeComment(E5570)</f>
        <v>Other</v>
      </c>
      <c r="G5570" t="str" cm="1">
        <f t="array" ref="G5570">SubCategorizeComment(E5570)</f>
        <v>Other</v>
      </c>
    </row>
    <row r="5571" spans="1:7" x14ac:dyDescent="0.25">
      <c r="A5571">
        <v>46582</v>
      </c>
      <c r="B5571" t="s">
        <v>4</v>
      </c>
      <c r="C5571">
        <v>3</v>
      </c>
      <c r="D5571" t="s">
        <v>5</v>
      </c>
      <c r="F5571" t="str" cm="1">
        <f t="array" ref="F5571">CategorizeComment(E5571)</f>
        <v>Other</v>
      </c>
      <c r="G5571" t="str" cm="1">
        <f t="array" ref="G5571">SubCategorizeComment(E5571)</f>
        <v>Other</v>
      </c>
    </row>
    <row r="5572" spans="1:7" x14ac:dyDescent="0.25">
      <c r="A5572">
        <v>46588</v>
      </c>
      <c r="B5572" t="s">
        <v>4</v>
      </c>
      <c r="C5572">
        <v>3</v>
      </c>
      <c r="D5572" t="s">
        <v>5</v>
      </c>
      <c r="F5572" t="str" cm="1">
        <f t="array" ref="F5572">CategorizeComment(E5572)</f>
        <v>Other</v>
      </c>
      <c r="G5572" t="str" cm="1">
        <f t="array" ref="G5572">SubCategorizeComment(E5572)</f>
        <v>Other</v>
      </c>
    </row>
    <row r="5573" spans="1:7" x14ac:dyDescent="0.25">
      <c r="A5573">
        <v>46599</v>
      </c>
      <c r="B5573" t="s">
        <v>4</v>
      </c>
      <c r="C5573">
        <v>3</v>
      </c>
      <c r="D5573" t="s">
        <v>5</v>
      </c>
      <c r="F5573" t="str" cm="1">
        <f t="array" ref="F5573">CategorizeComment(E5573)</f>
        <v>Other</v>
      </c>
      <c r="G5573" t="str" cm="1">
        <f t="array" ref="G5573">SubCategorizeComment(E5573)</f>
        <v>Other</v>
      </c>
    </row>
    <row r="5574" spans="1:7" x14ac:dyDescent="0.25">
      <c r="A5574">
        <v>46603</v>
      </c>
      <c r="B5574" t="s">
        <v>4</v>
      </c>
      <c r="C5574">
        <v>3</v>
      </c>
      <c r="D5574" t="s">
        <v>5</v>
      </c>
      <c r="F5574" t="str" cm="1">
        <f t="array" ref="F5574">CategorizeComment(E5574)</f>
        <v>Other</v>
      </c>
      <c r="G5574" t="str" cm="1">
        <f t="array" ref="G5574">SubCategorizeComment(E5574)</f>
        <v>Other</v>
      </c>
    </row>
    <row r="5575" spans="1:7" x14ac:dyDescent="0.25">
      <c r="A5575">
        <v>46621</v>
      </c>
      <c r="B5575" t="s">
        <v>4</v>
      </c>
      <c r="C5575">
        <v>3</v>
      </c>
      <c r="D5575" t="s">
        <v>5</v>
      </c>
      <c r="F5575" t="str" cm="1">
        <f t="array" ref="F5575">CategorizeComment(E5575)</f>
        <v>Other</v>
      </c>
      <c r="G5575" t="str" cm="1">
        <f t="array" ref="G5575">SubCategorizeComment(E5575)</f>
        <v>Other</v>
      </c>
    </row>
    <row r="5576" spans="1:7" x14ac:dyDescent="0.25">
      <c r="A5576">
        <v>46626</v>
      </c>
      <c r="B5576" t="s">
        <v>4</v>
      </c>
      <c r="C5576">
        <v>3</v>
      </c>
      <c r="D5576" t="s">
        <v>5</v>
      </c>
      <c r="F5576" t="str" cm="1">
        <f t="array" ref="F5576">CategorizeComment(E5576)</f>
        <v>Other</v>
      </c>
      <c r="G5576" t="str" cm="1">
        <f t="array" ref="G5576">SubCategorizeComment(E5576)</f>
        <v>Other</v>
      </c>
    </row>
    <row r="5577" spans="1:7" x14ac:dyDescent="0.25">
      <c r="A5577">
        <v>46627</v>
      </c>
      <c r="B5577" t="s">
        <v>4</v>
      </c>
      <c r="C5577">
        <v>3</v>
      </c>
      <c r="D5577" t="s">
        <v>5</v>
      </c>
      <c r="F5577" t="str" cm="1">
        <f t="array" ref="F5577">CategorizeComment(E5577)</f>
        <v>Other</v>
      </c>
      <c r="G5577" t="str" cm="1">
        <f t="array" ref="G5577">SubCategorizeComment(E5577)</f>
        <v>Other</v>
      </c>
    </row>
    <row r="5578" spans="1:7" x14ac:dyDescent="0.25">
      <c r="A5578">
        <v>46628</v>
      </c>
      <c r="B5578" t="s">
        <v>4</v>
      </c>
      <c r="C5578">
        <v>4</v>
      </c>
      <c r="D5578" t="s">
        <v>5</v>
      </c>
      <c r="F5578" t="str" cm="1">
        <f t="array" ref="F5578">CategorizeComment(E5578)</f>
        <v>Other</v>
      </c>
      <c r="G5578" t="str" cm="1">
        <f t="array" ref="G5578">SubCategorizeComment(E5578)</f>
        <v>Other</v>
      </c>
    </row>
    <row r="5579" spans="1:7" x14ac:dyDescent="0.25">
      <c r="A5579">
        <v>46630</v>
      </c>
      <c r="B5579" t="s">
        <v>4</v>
      </c>
      <c r="C5579">
        <v>4</v>
      </c>
      <c r="D5579" t="s">
        <v>5</v>
      </c>
      <c r="F5579" t="str" cm="1">
        <f t="array" ref="F5579">CategorizeComment(E5579)</f>
        <v>Other</v>
      </c>
      <c r="G5579" t="str" cm="1">
        <f t="array" ref="G5579">SubCategorizeComment(E5579)</f>
        <v>Other</v>
      </c>
    </row>
    <row r="5580" spans="1:7" x14ac:dyDescent="0.25">
      <c r="A5580">
        <v>46637</v>
      </c>
      <c r="B5580" t="s">
        <v>4</v>
      </c>
      <c r="C5580">
        <v>4</v>
      </c>
      <c r="D5580" t="s">
        <v>5</v>
      </c>
      <c r="F5580" t="str" cm="1">
        <f t="array" ref="F5580">CategorizeComment(E5580)</f>
        <v>Other</v>
      </c>
      <c r="G5580" t="str" cm="1">
        <f t="array" ref="G5580">SubCategorizeComment(E5580)</f>
        <v>Other</v>
      </c>
    </row>
    <row r="5581" spans="1:7" x14ac:dyDescent="0.25">
      <c r="A5581">
        <v>46640</v>
      </c>
      <c r="B5581" t="s">
        <v>4</v>
      </c>
      <c r="C5581">
        <v>3</v>
      </c>
      <c r="D5581" t="s">
        <v>5</v>
      </c>
      <c r="F5581" t="str" cm="1">
        <f t="array" ref="F5581">CategorizeComment(E5581)</f>
        <v>Other</v>
      </c>
      <c r="G5581" t="str" cm="1">
        <f t="array" ref="G5581">SubCategorizeComment(E5581)</f>
        <v>Other</v>
      </c>
    </row>
    <row r="5582" spans="1:7" x14ac:dyDescent="0.25">
      <c r="A5582">
        <v>46642</v>
      </c>
      <c r="B5582" t="s">
        <v>4</v>
      </c>
      <c r="C5582">
        <v>3</v>
      </c>
      <c r="D5582" t="s">
        <v>5</v>
      </c>
      <c r="F5582" t="str" cm="1">
        <f t="array" ref="F5582">CategorizeComment(E5582)</f>
        <v>Other</v>
      </c>
      <c r="G5582" t="str" cm="1">
        <f t="array" ref="G5582">SubCategorizeComment(E5582)</f>
        <v>Other</v>
      </c>
    </row>
    <row r="5583" spans="1:7" x14ac:dyDescent="0.25">
      <c r="A5583">
        <v>46643</v>
      </c>
      <c r="B5583" t="s">
        <v>4</v>
      </c>
      <c r="C5583">
        <v>4</v>
      </c>
      <c r="D5583" t="s">
        <v>5</v>
      </c>
      <c r="F5583" t="str" cm="1">
        <f t="array" ref="F5583">CategorizeComment(E5583)</f>
        <v>Other</v>
      </c>
      <c r="G5583" t="str" cm="1">
        <f t="array" ref="G5583">SubCategorizeComment(E5583)</f>
        <v>Other</v>
      </c>
    </row>
    <row r="5584" spans="1:7" x14ac:dyDescent="0.25">
      <c r="A5584">
        <v>46648</v>
      </c>
      <c r="B5584" t="s">
        <v>4</v>
      </c>
      <c r="C5584">
        <v>4</v>
      </c>
      <c r="D5584" t="s">
        <v>5</v>
      </c>
      <c r="F5584" t="str" cm="1">
        <f t="array" ref="F5584">CategorizeComment(E5584)</f>
        <v>Other</v>
      </c>
      <c r="G5584" t="str" cm="1">
        <f t="array" ref="G5584">SubCategorizeComment(E5584)</f>
        <v>Other</v>
      </c>
    </row>
    <row r="5585" spans="1:7" x14ac:dyDescent="0.25">
      <c r="A5585">
        <v>46658</v>
      </c>
      <c r="B5585" t="s">
        <v>4</v>
      </c>
      <c r="C5585">
        <v>3</v>
      </c>
      <c r="D5585" t="s">
        <v>5</v>
      </c>
      <c r="F5585" t="str" cm="1">
        <f t="array" ref="F5585">CategorizeComment(E5585)</f>
        <v>Other</v>
      </c>
      <c r="G5585" t="str" cm="1">
        <f t="array" ref="G5585">SubCategorizeComment(E5585)</f>
        <v>Other</v>
      </c>
    </row>
    <row r="5586" spans="1:7" x14ac:dyDescent="0.25">
      <c r="A5586">
        <v>46662</v>
      </c>
      <c r="B5586" t="s">
        <v>4</v>
      </c>
      <c r="C5586">
        <v>4</v>
      </c>
      <c r="D5586" t="s">
        <v>5</v>
      </c>
      <c r="F5586" t="str" cm="1">
        <f t="array" ref="F5586">CategorizeComment(E5586)</f>
        <v>Other</v>
      </c>
      <c r="G5586" t="str" cm="1">
        <f t="array" ref="G5586">SubCategorizeComment(E5586)</f>
        <v>Other</v>
      </c>
    </row>
    <row r="5587" spans="1:7" x14ac:dyDescent="0.25">
      <c r="A5587">
        <v>46666</v>
      </c>
      <c r="B5587" t="s">
        <v>4</v>
      </c>
      <c r="C5587">
        <v>3</v>
      </c>
      <c r="D5587" t="s">
        <v>5</v>
      </c>
      <c r="F5587" t="str" cm="1">
        <f t="array" ref="F5587">CategorizeComment(E5587)</f>
        <v>Other</v>
      </c>
      <c r="G5587" t="str" cm="1">
        <f t="array" ref="G5587">SubCategorizeComment(E5587)</f>
        <v>Other</v>
      </c>
    </row>
    <row r="5588" spans="1:7" x14ac:dyDescent="0.25">
      <c r="A5588">
        <v>46672</v>
      </c>
      <c r="B5588" t="s">
        <v>4</v>
      </c>
      <c r="C5588">
        <v>3</v>
      </c>
      <c r="D5588" t="s">
        <v>5</v>
      </c>
      <c r="F5588" t="str" cm="1">
        <f t="array" ref="F5588">CategorizeComment(E5588)</f>
        <v>Other</v>
      </c>
      <c r="G5588" t="str" cm="1">
        <f t="array" ref="G5588">SubCategorizeComment(E5588)</f>
        <v>Other</v>
      </c>
    </row>
    <row r="5589" spans="1:7" x14ac:dyDescent="0.25">
      <c r="A5589">
        <v>46674</v>
      </c>
      <c r="B5589" t="s">
        <v>4</v>
      </c>
      <c r="C5589">
        <v>3</v>
      </c>
      <c r="D5589" t="s">
        <v>5</v>
      </c>
      <c r="F5589" t="str" cm="1">
        <f t="array" ref="F5589">CategorizeComment(E5589)</f>
        <v>Other</v>
      </c>
      <c r="G5589" t="str" cm="1">
        <f t="array" ref="G5589">SubCategorizeComment(E5589)</f>
        <v>Other</v>
      </c>
    </row>
    <row r="5590" spans="1:7" x14ac:dyDescent="0.25">
      <c r="A5590">
        <v>46680</v>
      </c>
      <c r="B5590" t="s">
        <v>4</v>
      </c>
      <c r="C5590">
        <v>3</v>
      </c>
      <c r="D5590" t="s">
        <v>5</v>
      </c>
      <c r="F5590" t="str" cm="1">
        <f t="array" ref="F5590">CategorizeComment(E5590)</f>
        <v>Other</v>
      </c>
      <c r="G5590" t="str" cm="1">
        <f t="array" ref="G5590">SubCategorizeComment(E5590)</f>
        <v>Other</v>
      </c>
    </row>
    <row r="5591" spans="1:7" x14ac:dyDescent="0.25">
      <c r="A5591">
        <v>46683</v>
      </c>
      <c r="B5591" t="s">
        <v>4</v>
      </c>
      <c r="C5591">
        <v>3</v>
      </c>
      <c r="D5591" t="s">
        <v>5</v>
      </c>
      <c r="F5591" t="str" cm="1">
        <f t="array" ref="F5591">CategorizeComment(E5591)</f>
        <v>Other</v>
      </c>
      <c r="G5591" t="str" cm="1">
        <f t="array" ref="G5591">SubCategorizeComment(E5591)</f>
        <v>Other</v>
      </c>
    </row>
    <row r="5592" spans="1:7" x14ac:dyDescent="0.25">
      <c r="A5592">
        <v>46684</v>
      </c>
      <c r="B5592" t="s">
        <v>4</v>
      </c>
      <c r="C5592">
        <v>3</v>
      </c>
      <c r="D5592" t="s">
        <v>5</v>
      </c>
      <c r="F5592" t="str" cm="1">
        <f t="array" ref="F5592">CategorizeComment(E5592)</f>
        <v>Other</v>
      </c>
      <c r="G5592" t="str" cm="1">
        <f t="array" ref="G5592">SubCategorizeComment(E5592)</f>
        <v>Other</v>
      </c>
    </row>
    <row r="5593" spans="1:7" x14ac:dyDescent="0.25">
      <c r="A5593">
        <v>46687</v>
      </c>
      <c r="B5593" t="s">
        <v>4</v>
      </c>
      <c r="C5593">
        <v>4</v>
      </c>
      <c r="D5593" t="s">
        <v>5</v>
      </c>
      <c r="F5593" t="str" cm="1">
        <f t="array" ref="F5593">CategorizeComment(E5593)</f>
        <v>Other</v>
      </c>
      <c r="G5593" t="str" cm="1">
        <f t="array" ref="G5593">SubCategorizeComment(E5593)</f>
        <v>Other</v>
      </c>
    </row>
    <row r="5594" spans="1:7" x14ac:dyDescent="0.25">
      <c r="A5594">
        <v>46689</v>
      </c>
      <c r="B5594" t="s">
        <v>4</v>
      </c>
      <c r="C5594">
        <v>3</v>
      </c>
      <c r="D5594" t="s">
        <v>5</v>
      </c>
      <c r="F5594" t="str" cm="1">
        <f t="array" ref="F5594">CategorizeComment(E5594)</f>
        <v>Other</v>
      </c>
      <c r="G5594" t="str" cm="1">
        <f t="array" ref="G5594">SubCategorizeComment(E5594)</f>
        <v>Other</v>
      </c>
    </row>
    <row r="5595" spans="1:7" x14ac:dyDescent="0.25">
      <c r="A5595">
        <v>46695</v>
      </c>
      <c r="B5595" t="s">
        <v>4</v>
      </c>
      <c r="C5595">
        <v>3</v>
      </c>
      <c r="D5595" t="s">
        <v>5</v>
      </c>
      <c r="F5595" t="str" cm="1">
        <f t="array" ref="F5595">CategorizeComment(E5595)</f>
        <v>Other</v>
      </c>
      <c r="G5595" t="str" cm="1">
        <f t="array" ref="G5595">SubCategorizeComment(E5595)</f>
        <v>Other</v>
      </c>
    </row>
    <row r="5596" spans="1:7" x14ac:dyDescent="0.25">
      <c r="A5596">
        <v>46700</v>
      </c>
      <c r="B5596" t="s">
        <v>4</v>
      </c>
      <c r="C5596">
        <v>4</v>
      </c>
      <c r="D5596" t="s">
        <v>5</v>
      </c>
      <c r="F5596" t="str" cm="1">
        <f t="array" ref="F5596">CategorizeComment(E5596)</f>
        <v>Other</v>
      </c>
      <c r="G5596" t="str" cm="1">
        <f t="array" ref="G5596">SubCategorizeComment(E5596)</f>
        <v>Other</v>
      </c>
    </row>
    <row r="5597" spans="1:7" x14ac:dyDescent="0.25">
      <c r="A5597">
        <v>46703</v>
      </c>
      <c r="B5597" t="s">
        <v>4</v>
      </c>
      <c r="C5597">
        <v>3</v>
      </c>
      <c r="D5597" t="s">
        <v>5</v>
      </c>
      <c r="F5597" t="str" cm="1">
        <f t="array" ref="F5597">CategorizeComment(E5597)</f>
        <v>Other</v>
      </c>
      <c r="G5597" t="str" cm="1">
        <f t="array" ref="G5597">SubCategorizeComment(E5597)</f>
        <v>Other</v>
      </c>
    </row>
    <row r="5598" spans="1:7" x14ac:dyDescent="0.25">
      <c r="A5598">
        <v>46707</v>
      </c>
      <c r="B5598" t="s">
        <v>4</v>
      </c>
      <c r="C5598">
        <v>3</v>
      </c>
      <c r="D5598" t="s">
        <v>5</v>
      </c>
      <c r="F5598" t="str" cm="1">
        <f t="array" ref="F5598">CategorizeComment(E5598)</f>
        <v>Other</v>
      </c>
      <c r="G5598" t="str" cm="1">
        <f t="array" ref="G5598">SubCategorizeComment(E5598)</f>
        <v>Other</v>
      </c>
    </row>
    <row r="5599" spans="1:7" x14ac:dyDescent="0.25">
      <c r="A5599">
        <v>46710</v>
      </c>
      <c r="B5599" t="s">
        <v>4</v>
      </c>
      <c r="C5599">
        <v>3</v>
      </c>
      <c r="D5599" t="s">
        <v>5</v>
      </c>
      <c r="F5599" t="str" cm="1">
        <f t="array" ref="F5599">CategorizeComment(E5599)</f>
        <v>Other</v>
      </c>
      <c r="G5599" t="str" cm="1">
        <f t="array" ref="G5599">SubCategorizeComment(E5599)</f>
        <v>Other</v>
      </c>
    </row>
    <row r="5600" spans="1:7" x14ac:dyDescent="0.25">
      <c r="A5600">
        <v>46712</v>
      </c>
      <c r="B5600" t="s">
        <v>4</v>
      </c>
      <c r="C5600">
        <v>4</v>
      </c>
      <c r="D5600" t="s">
        <v>5</v>
      </c>
      <c r="F5600" t="str" cm="1">
        <f t="array" ref="F5600">CategorizeComment(E5600)</f>
        <v>Other</v>
      </c>
      <c r="G5600" t="str" cm="1">
        <f t="array" ref="G5600">SubCategorizeComment(E5600)</f>
        <v>Other</v>
      </c>
    </row>
    <row r="5601" spans="1:7" x14ac:dyDescent="0.25">
      <c r="A5601">
        <v>46717</v>
      </c>
      <c r="B5601" t="s">
        <v>4</v>
      </c>
      <c r="C5601">
        <v>3</v>
      </c>
      <c r="D5601" t="s">
        <v>5</v>
      </c>
      <c r="F5601" t="str" cm="1">
        <f t="array" ref="F5601">CategorizeComment(E5601)</f>
        <v>Other</v>
      </c>
      <c r="G5601" t="str" cm="1">
        <f t="array" ref="G5601">SubCategorizeComment(E5601)</f>
        <v>Other</v>
      </c>
    </row>
    <row r="5602" spans="1:7" x14ac:dyDescent="0.25">
      <c r="A5602">
        <v>46721</v>
      </c>
      <c r="B5602" t="s">
        <v>4</v>
      </c>
      <c r="C5602">
        <v>4</v>
      </c>
      <c r="D5602" t="s">
        <v>5</v>
      </c>
      <c r="F5602" t="str" cm="1">
        <f t="array" ref="F5602">CategorizeComment(E5602)</f>
        <v>Other</v>
      </c>
      <c r="G5602" t="str" cm="1">
        <f t="array" ref="G5602">SubCategorizeComment(E5602)</f>
        <v>Other</v>
      </c>
    </row>
    <row r="5603" spans="1:7" x14ac:dyDescent="0.25">
      <c r="A5603">
        <v>46724</v>
      </c>
      <c r="B5603" t="s">
        <v>4</v>
      </c>
      <c r="C5603">
        <v>3</v>
      </c>
      <c r="D5603" t="s">
        <v>5</v>
      </c>
      <c r="F5603" t="str" cm="1">
        <f t="array" ref="F5603">CategorizeComment(E5603)</f>
        <v>Other</v>
      </c>
      <c r="G5603" t="str" cm="1">
        <f t="array" ref="G5603">SubCategorizeComment(E5603)</f>
        <v>Other</v>
      </c>
    </row>
    <row r="5604" spans="1:7" x14ac:dyDescent="0.25">
      <c r="A5604">
        <v>46725</v>
      </c>
      <c r="B5604" t="s">
        <v>4</v>
      </c>
      <c r="C5604">
        <v>4</v>
      </c>
      <c r="D5604" t="s">
        <v>5</v>
      </c>
      <c r="F5604" t="str" cm="1">
        <f t="array" ref="F5604">CategorizeComment(E5604)</f>
        <v>Other</v>
      </c>
      <c r="G5604" t="str" cm="1">
        <f t="array" ref="G5604">SubCategorizeComment(E5604)</f>
        <v>Other</v>
      </c>
    </row>
    <row r="5605" spans="1:7" x14ac:dyDescent="0.25">
      <c r="A5605">
        <v>46729</v>
      </c>
      <c r="B5605" t="s">
        <v>4</v>
      </c>
      <c r="C5605">
        <v>3</v>
      </c>
      <c r="D5605" t="s">
        <v>5</v>
      </c>
      <c r="F5605" t="str" cm="1">
        <f t="array" ref="F5605">CategorizeComment(E5605)</f>
        <v>Other</v>
      </c>
      <c r="G5605" t="str" cm="1">
        <f t="array" ref="G5605">SubCategorizeComment(E5605)</f>
        <v>Other</v>
      </c>
    </row>
    <row r="5606" spans="1:7" x14ac:dyDescent="0.25">
      <c r="A5606">
        <v>46730</v>
      </c>
      <c r="B5606" t="s">
        <v>4</v>
      </c>
      <c r="C5606">
        <v>3</v>
      </c>
      <c r="D5606" t="s">
        <v>5</v>
      </c>
      <c r="F5606" t="str" cm="1">
        <f t="array" ref="F5606">CategorizeComment(E5606)</f>
        <v>Other</v>
      </c>
      <c r="G5606" t="str" cm="1">
        <f t="array" ref="G5606">SubCategorizeComment(E5606)</f>
        <v>Other</v>
      </c>
    </row>
    <row r="5607" spans="1:7" x14ac:dyDescent="0.25">
      <c r="A5607">
        <v>46734</v>
      </c>
      <c r="B5607" t="s">
        <v>4</v>
      </c>
      <c r="C5607">
        <v>4</v>
      </c>
      <c r="D5607" t="s">
        <v>5</v>
      </c>
      <c r="F5607" t="str" cm="1">
        <f t="array" ref="F5607">CategorizeComment(E5607)</f>
        <v>Other</v>
      </c>
      <c r="G5607" t="str" cm="1">
        <f t="array" ref="G5607">SubCategorizeComment(E5607)</f>
        <v>Other</v>
      </c>
    </row>
    <row r="5608" spans="1:7" x14ac:dyDescent="0.25">
      <c r="A5608">
        <v>46738</v>
      </c>
      <c r="B5608" t="s">
        <v>4</v>
      </c>
      <c r="C5608">
        <v>3</v>
      </c>
      <c r="D5608" t="s">
        <v>5</v>
      </c>
      <c r="F5608" t="str" cm="1">
        <f t="array" ref="F5608">CategorizeComment(E5608)</f>
        <v>Other</v>
      </c>
      <c r="G5608" t="str" cm="1">
        <f t="array" ref="G5608">SubCategorizeComment(E5608)</f>
        <v>Other</v>
      </c>
    </row>
    <row r="5609" spans="1:7" x14ac:dyDescent="0.25">
      <c r="A5609">
        <v>46739</v>
      </c>
      <c r="B5609" t="s">
        <v>4</v>
      </c>
      <c r="C5609">
        <v>3</v>
      </c>
      <c r="D5609" t="s">
        <v>5</v>
      </c>
      <c r="F5609" t="str" cm="1">
        <f t="array" ref="F5609">CategorizeComment(E5609)</f>
        <v>Other</v>
      </c>
      <c r="G5609" t="str" cm="1">
        <f t="array" ref="G5609">SubCategorizeComment(E5609)</f>
        <v>Other</v>
      </c>
    </row>
    <row r="5610" spans="1:7" x14ac:dyDescent="0.25">
      <c r="A5610">
        <v>46740</v>
      </c>
      <c r="B5610" t="s">
        <v>4</v>
      </c>
      <c r="C5610">
        <v>3</v>
      </c>
      <c r="D5610" t="s">
        <v>5</v>
      </c>
      <c r="F5610" t="str" cm="1">
        <f t="array" ref="F5610">CategorizeComment(E5610)</f>
        <v>Other</v>
      </c>
      <c r="G5610" t="str" cm="1">
        <f t="array" ref="G5610">SubCategorizeComment(E5610)</f>
        <v>Other</v>
      </c>
    </row>
    <row r="5611" spans="1:7" x14ac:dyDescent="0.25">
      <c r="A5611">
        <v>46743</v>
      </c>
      <c r="B5611" t="s">
        <v>4</v>
      </c>
      <c r="C5611">
        <v>4</v>
      </c>
      <c r="D5611" t="s">
        <v>5</v>
      </c>
      <c r="F5611" t="str" cm="1">
        <f t="array" ref="F5611">CategorizeComment(E5611)</f>
        <v>Other</v>
      </c>
      <c r="G5611" t="str" cm="1">
        <f t="array" ref="G5611">SubCategorizeComment(E5611)</f>
        <v>Other</v>
      </c>
    </row>
    <row r="5612" spans="1:7" x14ac:dyDescent="0.25">
      <c r="A5612">
        <v>46744</v>
      </c>
      <c r="B5612" t="s">
        <v>4</v>
      </c>
      <c r="C5612">
        <v>4</v>
      </c>
      <c r="D5612" t="s">
        <v>5</v>
      </c>
      <c r="F5612" t="str" cm="1">
        <f t="array" ref="F5612">CategorizeComment(E5612)</f>
        <v>Other</v>
      </c>
      <c r="G5612" t="str" cm="1">
        <f t="array" ref="G5612">SubCategorizeComment(E5612)</f>
        <v>Other</v>
      </c>
    </row>
    <row r="5613" spans="1:7" x14ac:dyDescent="0.25">
      <c r="A5613">
        <v>46747</v>
      </c>
      <c r="B5613" t="s">
        <v>4</v>
      </c>
      <c r="C5613">
        <v>3</v>
      </c>
      <c r="D5613" t="s">
        <v>5</v>
      </c>
      <c r="F5613" t="str" cm="1">
        <f t="array" ref="F5613">CategorizeComment(E5613)</f>
        <v>Other</v>
      </c>
      <c r="G5613" t="str" cm="1">
        <f t="array" ref="G5613">SubCategorizeComment(E5613)</f>
        <v>Other</v>
      </c>
    </row>
    <row r="5614" spans="1:7" x14ac:dyDescent="0.25">
      <c r="A5614">
        <v>46748</v>
      </c>
      <c r="B5614" t="s">
        <v>4</v>
      </c>
      <c r="C5614">
        <v>3</v>
      </c>
      <c r="D5614" t="s">
        <v>5</v>
      </c>
      <c r="F5614" t="str" cm="1">
        <f t="array" ref="F5614">CategorizeComment(E5614)</f>
        <v>Other</v>
      </c>
      <c r="G5614" t="str" cm="1">
        <f t="array" ref="G5614">SubCategorizeComment(E5614)</f>
        <v>Other</v>
      </c>
    </row>
    <row r="5615" spans="1:7" x14ac:dyDescent="0.25">
      <c r="A5615">
        <v>46760</v>
      </c>
      <c r="B5615" t="s">
        <v>4</v>
      </c>
      <c r="C5615">
        <v>3</v>
      </c>
      <c r="D5615" t="s">
        <v>5</v>
      </c>
      <c r="F5615" t="str" cm="1">
        <f t="array" ref="F5615">CategorizeComment(E5615)</f>
        <v>Other</v>
      </c>
      <c r="G5615" t="str" cm="1">
        <f t="array" ref="G5615">SubCategorizeComment(E5615)</f>
        <v>Other</v>
      </c>
    </row>
    <row r="5616" spans="1:7" x14ac:dyDescent="0.25">
      <c r="A5616">
        <v>46767</v>
      </c>
      <c r="B5616" t="s">
        <v>4</v>
      </c>
      <c r="C5616">
        <v>3</v>
      </c>
      <c r="D5616" t="s">
        <v>5</v>
      </c>
      <c r="F5616" t="str" cm="1">
        <f t="array" ref="F5616">CategorizeComment(E5616)</f>
        <v>Other</v>
      </c>
      <c r="G5616" t="str" cm="1">
        <f t="array" ref="G5616">SubCategorizeComment(E5616)</f>
        <v>Other</v>
      </c>
    </row>
    <row r="5617" spans="1:7" x14ac:dyDescent="0.25">
      <c r="A5617">
        <v>46771</v>
      </c>
      <c r="B5617" t="s">
        <v>4</v>
      </c>
      <c r="C5617">
        <v>4</v>
      </c>
      <c r="D5617" t="s">
        <v>5</v>
      </c>
      <c r="F5617" t="str" cm="1">
        <f t="array" ref="F5617">CategorizeComment(E5617)</f>
        <v>Other</v>
      </c>
      <c r="G5617" t="str" cm="1">
        <f t="array" ref="G5617">SubCategorizeComment(E5617)</f>
        <v>Other</v>
      </c>
    </row>
    <row r="5618" spans="1:7" x14ac:dyDescent="0.25">
      <c r="A5618">
        <v>46790</v>
      </c>
      <c r="B5618" t="s">
        <v>4</v>
      </c>
      <c r="C5618">
        <v>4</v>
      </c>
      <c r="D5618" t="s">
        <v>5</v>
      </c>
      <c r="F5618" t="str" cm="1">
        <f t="array" ref="F5618">CategorizeComment(E5618)</f>
        <v>Other</v>
      </c>
      <c r="G5618" t="str" cm="1">
        <f t="array" ref="G5618">SubCategorizeComment(E5618)</f>
        <v>Other</v>
      </c>
    </row>
    <row r="5619" spans="1:7" x14ac:dyDescent="0.25">
      <c r="A5619">
        <v>46792</v>
      </c>
      <c r="B5619" t="s">
        <v>4</v>
      </c>
      <c r="C5619">
        <v>3</v>
      </c>
      <c r="D5619" t="s">
        <v>5</v>
      </c>
      <c r="F5619" t="str" cm="1">
        <f t="array" ref="F5619">CategorizeComment(E5619)</f>
        <v>Other</v>
      </c>
      <c r="G5619" t="str" cm="1">
        <f t="array" ref="G5619">SubCategorizeComment(E5619)</f>
        <v>Other</v>
      </c>
    </row>
    <row r="5620" spans="1:7" x14ac:dyDescent="0.25">
      <c r="A5620">
        <v>46824</v>
      </c>
      <c r="B5620" t="s">
        <v>4</v>
      </c>
      <c r="C5620">
        <v>3</v>
      </c>
      <c r="D5620" t="s">
        <v>5</v>
      </c>
      <c r="F5620" t="str" cm="1">
        <f t="array" ref="F5620">CategorizeComment(E5620)</f>
        <v>Other</v>
      </c>
      <c r="G5620" t="str" cm="1">
        <f t="array" ref="G5620">SubCategorizeComment(E5620)</f>
        <v>Other</v>
      </c>
    </row>
    <row r="5621" spans="1:7" x14ac:dyDescent="0.25">
      <c r="A5621">
        <v>46829</v>
      </c>
      <c r="B5621" t="s">
        <v>4</v>
      </c>
      <c r="C5621">
        <v>4</v>
      </c>
      <c r="D5621" t="s">
        <v>5</v>
      </c>
      <c r="F5621" t="str" cm="1">
        <f t="array" ref="F5621">CategorizeComment(E5621)</f>
        <v>Other</v>
      </c>
      <c r="G5621" t="str" cm="1">
        <f t="array" ref="G5621">SubCategorizeComment(E5621)</f>
        <v>Other</v>
      </c>
    </row>
    <row r="5622" spans="1:7" x14ac:dyDescent="0.25">
      <c r="A5622">
        <v>46847</v>
      </c>
      <c r="B5622" t="s">
        <v>4</v>
      </c>
      <c r="C5622">
        <v>3</v>
      </c>
      <c r="D5622" t="s">
        <v>5</v>
      </c>
      <c r="F5622" t="str" cm="1">
        <f t="array" ref="F5622">CategorizeComment(E5622)</f>
        <v>Other</v>
      </c>
      <c r="G5622" t="str" cm="1">
        <f t="array" ref="G5622">SubCategorizeComment(E5622)</f>
        <v>Other</v>
      </c>
    </row>
    <row r="5623" spans="1:7" x14ac:dyDescent="0.25">
      <c r="A5623">
        <v>46901</v>
      </c>
      <c r="B5623" t="s">
        <v>4</v>
      </c>
      <c r="C5623">
        <v>4</v>
      </c>
      <c r="D5623" t="s">
        <v>5</v>
      </c>
      <c r="F5623" t="str" cm="1">
        <f t="array" ref="F5623">CategorizeComment(E5623)</f>
        <v>Other</v>
      </c>
      <c r="G5623" t="str" cm="1">
        <f t="array" ref="G5623">SubCategorizeComment(E5623)</f>
        <v>Other</v>
      </c>
    </row>
    <row r="5624" spans="1:7" x14ac:dyDescent="0.25">
      <c r="A5624">
        <v>46912</v>
      </c>
      <c r="B5624" t="s">
        <v>4</v>
      </c>
      <c r="C5624">
        <v>3</v>
      </c>
      <c r="D5624" t="s">
        <v>5</v>
      </c>
      <c r="F5624" t="str" cm="1">
        <f t="array" ref="F5624">CategorizeComment(E5624)</f>
        <v>Other</v>
      </c>
      <c r="G5624" t="str" cm="1">
        <f t="array" ref="G5624">SubCategorizeComment(E5624)</f>
        <v>Other</v>
      </c>
    </row>
    <row r="5625" spans="1:7" x14ac:dyDescent="0.25">
      <c r="A5625">
        <v>46913</v>
      </c>
      <c r="B5625" t="s">
        <v>4</v>
      </c>
      <c r="C5625">
        <v>3</v>
      </c>
      <c r="D5625" t="s">
        <v>5</v>
      </c>
      <c r="F5625" t="str" cm="1">
        <f t="array" ref="F5625">CategorizeComment(E5625)</f>
        <v>Other</v>
      </c>
      <c r="G5625" t="str" cm="1">
        <f t="array" ref="G5625">SubCategorizeComment(E5625)</f>
        <v>Other</v>
      </c>
    </row>
    <row r="5626" spans="1:7" x14ac:dyDescent="0.25">
      <c r="A5626">
        <v>46919</v>
      </c>
      <c r="B5626" t="s">
        <v>4</v>
      </c>
      <c r="C5626">
        <v>3</v>
      </c>
      <c r="D5626" t="s">
        <v>5</v>
      </c>
      <c r="F5626" t="str" cm="1">
        <f t="array" ref="F5626">CategorizeComment(E5626)</f>
        <v>Other</v>
      </c>
      <c r="G5626" t="str" cm="1">
        <f t="array" ref="G5626">SubCategorizeComment(E5626)</f>
        <v>Other</v>
      </c>
    </row>
    <row r="5627" spans="1:7" x14ac:dyDescent="0.25">
      <c r="A5627">
        <v>46922</v>
      </c>
      <c r="B5627" t="s">
        <v>4</v>
      </c>
      <c r="C5627">
        <v>3</v>
      </c>
      <c r="D5627" t="s">
        <v>5</v>
      </c>
      <c r="F5627" t="str" cm="1">
        <f t="array" ref="F5627">CategorizeComment(E5627)</f>
        <v>Other</v>
      </c>
      <c r="G5627" t="str" cm="1">
        <f t="array" ref="G5627">SubCategorizeComment(E5627)</f>
        <v>Other</v>
      </c>
    </row>
    <row r="5628" spans="1:7" x14ac:dyDescent="0.25">
      <c r="A5628">
        <v>46932</v>
      </c>
      <c r="B5628" t="s">
        <v>4</v>
      </c>
      <c r="C5628">
        <v>4</v>
      </c>
      <c r="D5628" t="s">
        <v>5</v>
      </c>
      <c r="F5628" t="str" cm="1">
        <f t="array" ref="F5628">CategorizeComment(E5628)</f>
        <v>Other</v>
      </c>
      <c r="G5628" t="str" cm="1">
        <f t="array" ref="G5628">SubCategorizeComment(E5628)</f>
        <v>Other</v>
      </c>
    </row>
    <row r="5629" spans="1:7" x14ac:dyDescent="0.25">
      <c r="A5629">
        <v>46940</v>
      </c>
      <c r="B5629" t="s">
        <v>4</v>
      </c>
      <c r="C5629">
        <v>3</v>
      </c>
      <c r="D5629" t="s">
        <v>5</v>
      </c>
      <c r="F5629" t="str" cm="1">
        <f t="array" ref="F5629">CategorizeComment(E5629)</f>
        <v>Other</v>
      </c>
      <c r="G5629" t="str" cm="1">
        <f t="array" ref="G5629">SubCategorizeComment(E5629)</f>
        <v>Other</v>
      </c>
    </row>
    <row r="5630" spans="1:7" x14ac:dyDescent="0.25">
      <c r="A5630">
        <v>46947</v>
      </c>
      <c r="B5630" t="s">
        <v>4</v>
      </c>
      <c r="C5630">
        <v>4</v>
      </c>
      <c r="D5630" t="s">
        <v>5</v>
      </c>
      <c r="F5630" t="str" cm="1">
        <f t="array" ref="F5630">CategorizeComment(E5630)</f>
        <v>Other</v>
      </c>
      <c r="G5630" t="str" cm="1">
        <f t="array" ref="G5630">SubCategorizeComment(E5630)</f>
        <v>Other</v>
      </c>
    </row>
    <row r="5631" spans="1:7" x14ac:dyDescent="0.25">
      <c r="A5631">
        <v>46981</v>
      </c>
      <c r="B5631" t="s">
        <v>4</v>
      </c>
      <c r="C5631">
        <v>3</v>
      </c>
      <c r="D5631" t="s">
        <v>5</v>
      </c>
      <c r="F5631" t="str" cm="1">
        <f t="array" ref="F5631">CategorizeComment(E5631)</f>
        <v>Other</v>
      </c>
      <c r="G5631" t="str" cm="1">
        <f t="array" ref="G5631">SubCategorizeComment(E5631)</f>
        <v>Other</v>
      </c>
    </row>
    <row r="5632" spans="1:7" x14ac:dyDescent="0.25">
      <c r="A5632">
        <v>46988</v>
      </c>
      <c r="B5632" t="s">
        <v>4</v>
      </c>
      <c r="C5632">
        <v>4</v>
      </c>
      <c r="D5632" t="s">
        <v>5</v>
      </c>
      <c r="F5632" t="str" cm="1">
        <f t="array" ref="F5632">CategorizeComment(E5632)</f>
        <v>Other</v>
      </c>
      <c r="G5632" t="str" cm="1">
        <f t="array" ref="G5632">SubCategorizeComment(E5632)</f>
        <v>Other</v>
      </c>
    </row>
    <row r="5633" spans="1:7" x14ac:dyDescent="0.25">
      <c r="A5633">
        <v>46999</v>
      </c>
      <c r="B5633" t="s">
        <v>4</v>
      </c>
      <c r="C5633">
        <v>3</v>
      </c>
      <c r="D5633" t="s">
        <v>5</v>
      </c>
      <c r="F5633" t="str" cm="1">
        <f t="array" ref="F5633">CategorizeComment(E5633)</f>
        <v>Other</v>
      </c>
      <c r="G5633" t="str" cm="1">
        <f t="array" ref="G5633">SubCategorizeComment(E5633)</f>
        <v>Other</v>
      </c>
    </row>
    <row r="5634" spans="1:7" x14ac:dyDescent="0.25">
      <c r="A5634">
        <v>47044</v>
      </c>
      <c r="B5634" t="s">
        <v>4</v>
      </c>
      <c r="C5634">
        <v>3</v>
      </c>
      <c r="D5634" t="s">
        <v>5</v>
      </c>
      <c r="F5634" t="str" cm="1">
        <f t="array" ref="F5634">CategorizeComment(E5634)</f>
        <v>Other</v>
      </c>
      <c r="G5634" t="str" cm="1">
        <f t="array" ref="G5634">SubCategorizeComment(E5634)</f>
        <v>Other</v>
      </c>
    </row>
    <row r="5635" spans="1:7" x14ac:dyDescent="0.25">
      <c r="A5635">
        <v>47050</v>
      </c>
      <c r="B5635" t="s">
        <v>4</v>
      </c>
      <c r="C5635">
        <v>3</v>
      </c>
      <c r="D5635" t="s">
        <v>5</v>
      </c>
      <c r="F5635" t="str" cm="1">
        <f t="array" ref="F5635">CategorizeComment(E5635)</f>
        <v>Other</v>
      </c>
      <c r="G5635" t="str" cm="1">
        <f t="array" ref="G5635">SubCategorizeComment(E5635)</f>
        <v>Other</v>
      </c>
    </row>
    <row r="5636" spans="1:7" x14ac:dyDescent="0.25">
      <c r="A5636">
        <v>47051</v>
      </c>
      <c r="B5636" t="s">
        <v>4</v>
      </c>
      <c r="C5636">
        <v>4</v>
      </c>
      <c r="D5636" t="s">
        <v>5</v>
      </c>
      <c r="F5636" t="str" cm="1">
        <f t="array" ref="F5636">CategorizeComment(E5636)</f>
        <v>Other</v>
      </c>
      <c r="G5636" t="str" cm="1">
        <f t="array" ref="G5636">SubCategorizeComment(E5636)</f>
        <v>Other</v>
      </c>
    </row>
    <row r="5637" spans="1:7" x14ac:dyDescent="0.25">
      <c r="A5637">
        <v>47052</v>
      </c>
      <c r="B5637" t="s">
        <v>4</v>
      </c>
      <c r="C5637">
        <v>3</v>
      </c>
      <c r="D5637" t="s">
        <v>5</v>
      </c>
      <c r="F5637" t="str" cm="1">
        <f t="array" ref="F5637">CategorizeComment(E5637)</f>
        <v>Other</v>
      </c>
      <c r="G5637" t="str" cm="1">
        <f t="array" ref="G5637">SubCategorizeComment(E5637)</f>
        <v>Other</v>
      </c>
    </row>
    <row r="5638" spans="1:7" x14ac:dyDescent="0.25">
      <c r="A5638">
        <v>47082</v>
      </c>
      <c r="B5638" t="s">
        <v>4</v>
      </c>
      <c r="C5638">
        <v>3</v>
      </c>
      <c r="D5638" t="s">
        <v>5</v>
      </c>
      <c r="F5638" t="str" cm="1">
        <f t="array" ref="F5638">CategorizeComment(E5638)</f>
        <v>Other</v>
      </c>
      <c r="G5638" t="str" cm="1">
        <f t="array" ref="G5638">SubCategorizeComment(E5638)</f>
        <v>Other</v>
      </c>
    </row>
    <row r="5639" spans="1:7" x14ac:dyDescent="0.25">
      <c r="A5639">
        <v>47092</v>
      </c>
      <c r="B5639" t="s">
        <v>4</v>
      </c>
      <c r="C5639">
        <v>3</v>
      </c>
      <c r="D5639" t="s">
        <v>5</v>
      </c>
      <c r="F5639" t="str" cm="1">
        <f t="array" ref="F5639">CategorizeComment(E5639)</f>
        <v>Other</v>
      </c>
      <c r="G5639" t="str" cm="1">
        <f t="array" ref="G5639">SubCategorizeComment(E5639)</f>
        <v>Other</v>
      </c>
    </row>
    <row r="5640" spans="1:7" x14ac:dyDescent="0.25">
      <c r="A5640">
        <v>47114</v>
      </c>
      <c r="B5640" t="s">
        <v>4</v>
      </c>
      <c r="C5640">
        <v>3</v>
      </c>
      <c r="D5640" t="s">
        <v>5</v>
      </c>
      <c r="F5640" t="str" cm="1">
        <f t="array" ref="F5640">CategorizeComment(E5640)</f>
        <v>Other</v>
      </c>
      <c r="G5640" t="str" cm="1">
        <f t="array" ref="G5640">SubCategorizeComment(E5640)</f>
        <v>Other</v>
      </c>
    </row>
    <row r="5641" spans="1:7" x14ac:dyDescent="0.25">
      <c r="A5641">
        <v>47157</v>
      </c>
      <c r="B5641" t="s">
        <v>4</v>
      </c>
      <c r="C5641">
        <v>4</v>
      </c>
      <c r="D5641" t="s">
        <v>5</v>
      </c>
      <c r="F5641" t="str" cm="1">
        <f t="array" ref="F5641">CategorizeComment(E5641)</f>
        <v>Other</v>
      </c>
      <c r="G5641" t="str" cm="1">
        <f t="array" ref="G5641">SubCategorizeComment(E5641)</f>
        <v>Other</v>
      </c>
    </row>
    <row r="5642" spans="1:7" x14ac:dyDescent="0.25">
      <c r="A5642">
        <v>47170</v>
      </c>
      <c r="B5642" t="s">
        <v>4</v>
      </c>
      <c r="C5642">
        <v>3</v>
      </c>
      <c r="D5642" t="s">
        <v>5</v>
      </c>
      <c r="F5642" t="str" cm="1">
        <f t="array" ref="F5642">CategorizeComment(E5642)</f>
        <v>Other</v>
      </c>
      <c r="G5642" t="str" cm="1">
        <f t="array" ref="G5642">SubCategorizeComment(E5642)</f>
        <v>Other</v>
      </c>
    </row>
    <row r="5643" spans="1:7" x14ac:dyDescent="0.25">
      <c r="A5643">
        <v>47176</v>
      </c>
      <c r="B5643" t="s">
        <v>4</v>
      </c>
      <c r="C5643">
        <v>3</v>
      </c>
      <c r="D5643" t="s">
        <v>5</v>
      </c>
      <c r="F5643" t="str" cm="1">
        <f t="array" ref="F5643">CategorizeComment(E5643)</f>
        <v>Other</v>
      </c>
      <c r="G5643" t="str" cm="1">
        <f t="array" ref="G5643">SubCategorizeComment(E5643)</f>
        <v>Other</v>
      </c>
    </row>
    <row r="5644" spans="1:7" x14ac:dyDescent="0.25">
      <c r="A5644">
        <v>47177</v>
      </c>
      <c r="B5644" t="s">
        <v>4</v>
      </c>
      <c r="C5644">
        <v>3</v>
      </c>
      <c r="D5644" t="s">
        <v>5</v>
      </c>
      <c r="F5644" t="str" cm="1">
        <f t="array" ref="F5644">CategorizeComment(E5644)</f>
        <v>Other</v>
      </c>
      <c r="G5644" t="str" cm="1">
        <f t="array" ref="G5644">SubCategorizeComment(E5644)</f>
        <v>Other</v>
      </c>
    </row>
    <row r="5645" spans="1:7" x14ac:dyDescent="0.25">
      <c r="A5645">
        <v>47178</v>
      </c>
      <c r="B5645" t="s">
        <v>4</v>
      </c>
      <c r="C5645">
        <v>3</v>
      </c>
      <c r="D5645" t="s">
        <v>5</v>
      </c>
      <c r="F5645" t="str" cm="1">
        <f t="array" ref="F5645">CategorizeComment(E5645)</f>
        <v>Other</v>
      </c>
      <c r="G5645" t="str" cm="1">
        <f t="array" ref="G5645">SubCategorizeComment(E5645)</f>
        <v>Other</v>
      </c>
    </row>
    <row r="5646" spans="1:7" x14ac:dyDescent="0.25">
      <c r="A5646">
        <v>47184</v>
      </c>
      <c r="B5646" t="s">
        <v>4</v>
      </c>
      <c r="C5646">
        <v>4</v>
      </c>
      <c r="D5646" t="s">
        <v>5</v>
      </c>
      <c r="F5646" t="str" cm="1">
        <f t="array" ref="F5646">CategorizeComment(E5646)</f>
        <v>Other</v>
      </c>
      <c r="G5646" t="str" cm="1">
        <f t="array" ref="G5646">SubCategorizeComment(E5646)</f>
        <v>Other</v>
      </c>
    </row>
    <row r="5647" spans="1:7" x14ac:dyDescent="0.25">
      <c r="A5647">
        <v>47187</v>
      </c>
      <c r="B5647" t="s">
        <v>4</v>
      </c>
      <c r="C5647">
        <v>3</v>
      </c>
      <c r="D5647" t="s">
        <v>5</v>
      </c>
      <c r="F5647" t="str" cm="1">
        <f t="array" ref="F5647">CategorizeComment(E5647)</f>
        <v>Other</v>
      </c>
      <c r="G5647" t="str" cm="1">
        <f t="array" ref="G5647">SubCategorizeComment(E5647)</f>
        <v>Other</v>
      </c>
    </row>
    <row r="5648" spans="1:7" x14ac:dyDescent="0.25">
      <c r="A5648">
        <v>47188</v>
      </c>
      <c r="B5648" t="s">
        <v>4</v>
      </c>
      <c r="C5648">
        <v>4</v>
      </c>
      <c r="D5648" t="s">
        <v>5</v>
      </c>
      <c r="F5648" t="str" cm="1">
        <f t="array" ref="F5648">CategorizeComment(E5648)</f>
        <v>Other</v>
      </c>
      <c r="G5648" t="str" cm="1">
        <f t="array" ref="G5648">SubCategorizeComment(E5648)</f>
        <v>Other</v>
      </c>
    </row>
    <row r="5649" spans="1:7" x14ac:dyDescent="0.25">
      <c r="A5649">
        <v>47191</v>
      </c>
      <c r="B5649" t="s">
        <v>4</v>
      </c>
      <c r="C5649">
        <v>3</v>
      </c>
      <c r="D5649" t="s">
        <v>5</v>
      </c>
      <c r="F5649" t="str" cm="1">
        <f t="array" ref="F5649">CategorizeComment(E5649)</f>
        <v>Other</v>
      </c>
      <c r="G5649" t="str" cm="1">
        <f t="array" ref="G5649">SubCategorizeComment(E5649)</f>
        <v>Other</v>
      </c>
    </row>
    <row r="5650" spans="1:7" x14ac:dyDescent="0.25">
      <c r="A5650">
        <v>47197</v>
      </c>
      <c r="B5650" t="s">
        <v>4</v>
      </c>
      <c r="C5650">
        <v>4</v>
      </c>
      <c r="D5650" t="s">
        <v>5</v>
      </c>
      <c r="F5650" t="str" cm="1">
        <f t="array" ref="F5650">CategorizeComment(E5650)</f>
        <v>Other</v>
      </c>
      <c r="G5650" t="str" cm="1">
        <f t="array" ref="G5650">SubCategorizeComment(E5650)</f>
        <v>Other</v>
      </c>
    </row>
    <row r="5651" spans="1:7" x14ac:dyDescent="0.25">
      <c r="A5651">
        <v>47216</v>
      </c>
      <c r="B5651" t="s">
        <v>4</v>
      </c>
      <c r="C5651">
        <v>3</v>
      </c>
      <c r="D5651" t="s">
        <v>5</v>
      </c>
      <c r="F5651" t="str" cm="1">
        <f t="array" ref="F5651">CategorizeComment(E5651)</f>
        <v>Other</v>
      </c>
      <c r="G5651" t="str" cm="1">
        <f t="array" ref="G5651">SubCategorizeComment(E5651)</f>
        <v>Other</v>
      </c>
    </row>
    <row r="5652" spans="1:7" x14ac:dyDescent="0.25">
      <c r="A5652">
        <v>47217</v>
      </c>
      <c r="B5652" t="s">
        <v>4</v>
      </c>
      <c r="C5652">
        <v>4</v>
      </c>
      <c r="D5652" t="s">
        <v>5</v>
      </c>
      <c r="F5652" t="str" cm="1">
        <f t="array" ref="F5652">CategorizeComment(E5652)</f>
        <v>Other</v>
      </c>
      <c r="G5652" t="str" cm="1">
        <f t="array" ref="G5652">SubCategorizeComment(E5652)</f>
        <v>Other</v>
      </c>
    </row>
    <row r="5653" spans="1:7" x14ac:dyDescent="0.25">
      <c r="A5653">
        <v>47218</v>
      </c>
      <c r="B5653" t="s">
        <v>4</v>
      </c>
      <c r="C5653">
        <v>3</v>
      </c>
      <c r="D5653" t="s">
        <v>5</v>
      </c>
      <c r="F5653" t="str" cm="1">
        <f t="array" ref="F5653">CategorizeComment(E5653)</f>
        <v>Other</v>
      </c>
      <c r="G5653" t="str" cm="1">
        <f t="array" ref="G5653">SubCategorizeComment(E5653)</f>
        <v>Other</v>
      </c>
    </row>
    <row r="5654" spans="1:7" x14ac:dyDescent="0.25">
      <c r="A5654">
        <v>47220</v>
      </c>
      <c r="B5654" t="s">
        <v>4</v>
      </c>
      <c r="C5654">
        <v>4</v>
      </c>
      <c r="D5654" t="s">
        <v>5</v>
      </c>
      <c r="F5654" t="str" cm="1">
        <f t="array" ref="F5654">CategorizeComment(E5654)</f>
        <v>Other</v>
      </c>
      <c r="G5654" t="str" cm="1">
        <f t="array" ref="G5654">SubCategorizeComment(E5654)</f>
        <v>Other</v>
      </c>
    </row>
    <row r="5655" spans="1:7" x14ac:dyDescent="0.25">
      <c r="A5655">
        <v>47222</v>
      </c>
      <c r="B5655" t="s">
        <v>4</v>
      </c>
      <c r="C5655">
        <v>3</v>
      </c>
      <c r="D5655" t="s">
        <v>5</v>
      </c>
      <c r="F5655" t="str" cm="1">
        <f t="array" ref="F5655">CategorizeComment(E5655)</f>
        <v>Other</v>
      </c>
      <c r="G5655" t="str" cm="1">
        <f t="array" ref="G5655">SubCategorizeComment(E5655)</f>
        <v>Other</v>
      </c>
    </row>
    <row r="5656" spans="1:7" x14ac:dyDescent="0.25">
      <c r="A5656">
        <v>47232</v>
      </c>
      <c r="B5656" t="s">
        <v>4</v>
      </c>
      <c r="C5656">
        <v>4</v>
      </c>
      <c r="D5656" t="s">
        <v>5</v>
      </c>
      <c r="F5656" t="str" cm="1">
        <f t="array" ref="F5656">CategorizeComment(E5656)</f>
        <v>Other</v>
      </c>
      <c r="G5656" t="str" cm="1">
        <f t="array" ref="G5656">SubCategorizeComment(E5656)</f>
        <v>Other</v>
      </c>
    </row>
    <row r="5657" spans="1:7" x14ac:dyDescent="0.25">
      <c r="A5657">
        <v>47239</v>
      </c>
      <c r="B5657" t="s">
        <v>4</v>
      </c>
      <c r="C5657">
        <v>3</v>
      </c>
      <c r="D5657" t="s">
        <v>5</v>
      </c>
      <c r="F5657" t="str" cm="1">
        <f t="array" ref="F5657">CategorizeComment(E5657)</f>
        <v>Other</v>
      </c>
      <c r="G5657" t="str" cm="1">
        <f t="array" ref="G5657">SubCategorizeComment(E5657)</f>
        <v>Other</v>
      </c>
    </row>
    <row r="5658" spans="1:7" x14ac:dyDescent="0.25">
      <c r="A5658">
        <v>47255</v>
      </c>
      <c r="B5658" t="s">
        <v>4</v>
      </c>
      <c r="C5658">
        <v>4</v>
      </c>
      <c r="D5658" t="s">
        <v>5</v>
      </c>
      <c r="F5658" t="str" cm="1">
        <f t="array" ref="F5658">CategorizeComment(E5658)</f>
        <v>Other</v>
      </c>
      <c r="G5658" t="str" cm="1">
        <f t="array" ref="G5658">SubCategorizeComment(E5658)</f>
        <v>Other</v>
      </c>
    </row>
    <row r="5659" spans="1:7" x14ac:dyDescent="0.25">
      <c r="A5659">
        <v>47290</v>
      </c>
      <c r="B5659" t="s">
        <v>4</v>
      </c>
      <c r="C5659">
        <v>4</v>
      </c>
      <c r="D5659" t="s">
        <v>5</v>
      </c>
      <c r="F5659" t="str" cm="1">
        <f t="array" ref="F5659">CategorizeComment(E5659)</f>
        <v>Other</v>
      </c>
      <c r="G5659" t="str" cm="1">
        <f t="array" ref="G5659">SubCategorizeComment(E5659)</f>
        <v>Other</v>
      </c>
    </row>
    <row r="5660" spans="1:7" x14ac:dyDescent="0.25">
      <c r="A5660">
        <v>47303</v>
      </c>
      <c r="B5660" t="s">
        <v>4</v>
      </c>
      <c r="C5660">
        <v>3</v>
      </c>
      <c r="D5660" t="s">
        <v>5</v>
      </c>
      <c r="F5660" t="str" cm="1">
        <f t="array" ref="F5660">CategorizeComment(E5660)</f>
        <v>Other</v>
      </c>
      <c r="G5660" t="str" cm="1">
        <f t="array" ref="G5660">SubCategorizeComment(E5660)</f>
        <v>Other</v>
      </c>
    </row>
    <row r="5661" spans="1:7" x14ac:dyDescent="0.25">
      <c r="A5661">
        <v>47327</v>
      </c>
      <c r="B5661" t="s">
        <v>4</v>
      </c>
      <c r="C5661">
        <v>3</v>
      </c>
      <c r="D5661" t="s">
        <v>5</v>
      </c>
      <c r="F5661" t="str" cm="1">
        <f t="array" ref="F5661">CategorizeComment(E5661)</f>
        <v>Other</v>
      </c>
      <c r="G5661" t="str" cm="1">
        <f t="array" ref="G5661">SubCategorizeComment(E5661)</f>
        <v>Other</v>
      </c>
    </row>
    <row r="5662" spans="1:7" x14ac:dyDescent="0.25">
      <c r="A5662">
        <v>47334</v>
      </c>
      <c r="B5662" t="s">
        <v>4</v>
      </c>
      <c r="C5662">
        <v>3</v>
      </c>
      <c r="D5662" t="s">
        <v>5</v>
      </c>
      <c r="F5662" t="str" cm="1">
        <f t="array" ref="F5662">CategorizeComment(E5662)</f>
        <v>Other</v>
      </c>
      <c r="G5662" t="str" cm="1">
        <f t="array" ref="G5662">SubCategorizeComment(E5662)</f>
        <v>Other</v>
      </c>
    </row>
    <row r="5663" spans="1:7" x14ac:dyDescent="0.25">
      <c r="A5663">
        <v>47336</v>
      </c>
      <c r="B5663" t="s">
        <v>4</v>
      </c>
      <c r="C5663">
        <v>3</v>
      </c>
      <c r="D5663" t="s">
        <v>5</v>
      </c>
      <c r="F5663" t="str" cm="1">
        <f t="array" ref="F5663">CategorizeComment(E5663)</f>
        <v>Other</v>
      </c>
      <c r="G5663" t="str" cm="1">
        <f t="array" ref="G5663">SubCategorizeComment(E5663)</f>
        <v>Other</v>
      </c>
    </row>
    <row r="5664" spans="1:7" x14ac:dyDescent="0.25">
      <c r="A5664">
        <v>47355</v>
      </c>
      <c r="B5664" t="s">
        <v>4</v>
      </c>
      <c r="C5664">
        <v>4</v>
      </c>
      <c r="D5664" t="s">
        <v>5</v>
      </c>
      <c r="F5664" t="str" cm="1">
        <f t="array" ref="F5664">CategorizeComment(E5664)</f>
        <v>Other</v>
      </c>
      <c r="G5664" t="str" cm="1">
        <f t="array" ref="G5664">SubCategorizeComment(E5664)</f>
        <v>Other</v>
      </c>
    </row>
    <row r="5665" spans="1:7" x14ac:dyDescent="0.25">
      <c r="A5665">
        <v>47359</v>
      </c>
      <c r="B5665" t="s">
        <v>4</v>
      </c>
      <c r="C5665">
        <v>4</v>
      </c>
      <c r="D5665" t="s">
        <v>5</v>
      </c>
      <c r="F5665" t="str" cm="1">
        <f t="array" ref="F5665">CategorizeComment(E5665)</f>
        <v>Other</v>
      </c>
      <c r="G5665" t="str" cm="1">
        <f t="array" ref="G5665">SubCategorizeComment(E5665)</f>
        <v>Other</v>
      </c>
    </row>
    <row r="5666" spans="1:7" x14ac:dyDescent="0.25">
      <c r="A5666">
        <v>47360</v>
      </c>
      <c r="B5666" t="s">
        <v>4</v>
      </c>
      <c r="C5666">
        <v>3</v>
      </c>
      <c r="D5666" t="s">
        <v>5</v>
      </c>
      <c r="F5666" t="str" cm="1">
        <f t="array" ref="F5666">CategorizeComment(E5666)</f>
        <v>Other</v>
      </c>
      <c r="G5666" t="str" cm="1">
        <f t="array" ref="G5666">SubCategorizeComment(E5666)</f>
        <v>Other</v>
      </c>
    </row>
    <row r="5667" spans="1:7" x14ac:dyDescent="0.25">
      <c r="A5667">
        <v>47377</v>
      </c>
      <c r="B5667" t="s">
        <v>4</v>
      </c>
      <c r="C5667">
        <v>3</v>
      </c>
      <c r="D5667" t="s">
        <v>5</v>
      </c>
      <c r="F5667" t="str" cm="1">
        <f t="array" ref="F5667">CategorizeComment(E5667)</f>
        <v>Other</v>
      </c>
      <c r="G5667" t="str" cm="1">
        <f t="array" ref="G5667">SubCategorizeComment(E5667)</f>
        <v>Other</v>
      </c>
    </row>
    <row r="5668" spans="1:7" x14ac:dyDescent="0.25">
      <c r="A5668">
        <v>47383</v>
      </c>
      <c r="B5668" t="s">
        <v>4</v>
      </c>
      <c r="C5668">
        <v>4</v>
      </c>
      <c r="D5668" t="s">
        <v>5</v>
      </c>
      <c r="F5668" t="str" cm="1">
        <f t="array" ref="F5668">CategorizeComment(E5668)</f>
        <v>Other</v>
      </c>
      <c r="G5668" t="str" cm="1">
        <f t="array" ref="G5668">SubCategorizeComment(E5668)</f>
        <v>Other</v>
      </c>
    </row>
    <row r="5669" spans="1:7" x14ac:dyDescent="0.25">
      <c r="A5669">
        <v>47384</v>
      </c>
      <c r="B5669" t="s">
        <v>4</v>
      </c>
      <c r="C5669">
        <v>3</v>
      </c>
      <c r="D5669" t="s">
        <v>5</v>
      </c>
      <c r="F5669" t="str" cm="1">
        <f t="array" ref="F5669">CategorizeComment(E5669)</f>
        <v>Other</v>
      </c>
      <c r="G5669" t="str" cm="1">
        <f t="array" ref="G5669">SubCategorizeComment(E5669)</f>
        <v>Other</v>
      </c>
    </row>
    <row r="5670" spans="1:7" x14ac:dyDescent="0.25">
      <c r="A5670">
        <v>47390</v>
      </c>
      <c r="B5670" t="s">
        <v>4</v>
      </c>
      <c r="C5670">
        <v>3</v>
      </c>
      <c r="D5670" t="s">
        <v>5</v>
      </c>
      <c r="F5670" t="str" cm="1">
        <f t="array" ref="F5670">CategorizeComment(E5670)</f>
        <v>Other</v>
      </c>
      <c r="G5670" t="str" cm="1">
        <f t="array" ref="G5670">SubCategorizeComment(E5670)</f>
        <v>Other</v>
      </c>
    </row>
    <row r="5671" spans="1:7" x14ac:dyDescent="0.25">
      <c r="A5671">
        <v>47397</v>
      </c>
      <c r="B5671" t="s">
        <v>4</v>
      </c>
      <c r="C5671">
        <v>3</v>
      </c>
      <c r="D5671" t="s">
        <v>5</v>
      </c>
      <c r="F5671" t="str" cm="1">
        <f t="array" ref="F5671">CategorizeComment(E5671)</f>
        <v>Other</v>
      </c>
      <c r="G5671" t="str" cm="1">
        <f t="array" ref="G5671">SubCategorizeComment(E5671)</f>
        <v>Other</v>
      </c>
    </row>
    <row r="5672" spans="1:7" x14ac:dyDescent="0.25">
      <c r="A5672">
        <v>47398</v>
      </c>
      <c r="B5672" t="s">
        <v>4</v>
      </c>
      <c r="C5672">
        <v>4</v>
      </c>
      <c r="D5672" t="s">
        <v>5</v>
      </c>
      <c r="F5672" t="str" cm="1">
        <f t="array" ref="F5672">CategorizeComment(E5672)</f>
        <v>Other</v>
      </c>
      <c r="G5672" t="str" cm="1">
        <f t="array" ref="G5672">SubCategorizeComment(E5672)</f>
        <v>Other</v>
      </c>
    </row>
    <row r="5673" spans="1:7" x14ac:dyDescent="0.25">
      <c r="A5673">
        <v>47403</v>
      </c>
      <c r="B5673" t="s">
        <v>4</v>
      </c>
      <c r="C5673">
        <v>4</v>
      </c>
      <c r="D5673" t="s">
        <v>5</v>
      </c>
      <c r="F5673" t="str" cm="1">
        <f t="array" ref="F5673">CategorizeComment(E5673)</f>
        <v>Other</v>
      </c>
      <c r="G5673" t="str" cm="1">
        <f t="array" ref="G5673">SubCategorizeComment(E5673)</f>
        <v>Other</v>
      </c>
    </row>
    <row r="5674" spans="1:7" x14ac:dyDescent="0.25">
      <c r="A5674">
        <v>47404</v>
      </c>
      <c r="B5674" t="s">
        <v>4</v>
      </c>
      <c r="C5674">
        <v>4</v>
      </c>
      <c r="D5674" t="s">
        <v>5</v>
      </c>
      <c r="F5674" t="str" cm="1">
        <f t="array" ref="F5674">CategorizeComment(E5674)</f>
        <v>Other</v>
      </c>
      <c r="G5674" t="str" cm="1">
        <f t="array" ref="G5674">SubCategorizeComment(E5674)</f>
        <v>Other</v>
      </c>
    </row>
    <row r="5675" spans="1:7" x14ac:dyDescent="0.25">
      <c r="A5675">
        <v>47417</v>
      </c>
      <c r="B5675" t="s">
        <v>4</v>
      </c>
      <c r="C5675">
        <v>3</v>
      </c>
      <c r="D5675" t="s">
        <v>5</v>
      </c>
      <c r="F5675" t="str" cm="1">
        <f t="array" ref="F5675">CategorizeComment(E5675)</f>
        <v>Other</v>
      </c>
      <c r="G5675" t="str" cm="1">
        <f t="array" ref="G5675">SubCategorizeComment(E5675)</f>
        <v>Other</v>
      </c>
    </row>
    <row r="5676" spans="1:7" x14ac:dyDescent="0.25">
      <c r="A5676">
        <v>47418</v>
      </c>
      <c r="B5676" t="s">
        <v>4</v>
      </c>
      <c r="C5676">
        <v>3</v>
      </c>
      <c r="D5676" t="s">
        <v>5</v>
      </c>
      <c r="F5676" t="str" cm="1">
        <f t="array" ref="F5676">CategorizeComment(E5676)</f>
        <v>Other</v>
      </c>
      <c r="G5676" t="str" cm="1">
        <f t="array" ref="G5676">SubCategorizeComment(E5676)</f>
        <v>Other</v>
      </c>
    </row>
    <row r="5677" spans="1:7" x14ac:dyDescent="0.25">
      <c r="A5677">
        <v>47421</v>
      </c>
      <c r="B5677" t="s">
        <v>4</v>
      </c>
      <c r="C5677">
        <v>4</v>
      </c>
      <c r="D5677" t="s">
        <v>5</v>
      </c>
      <c r="F5677" t="str" cm="1">
        <f t="array" ref="F5677">CategorizeComment(E5677)</f>
        <v>Other</v>
      </c>
      <c r="G5677" t="str" cm="1">
        <f t="array" ref="G5677">SubCategorizeComment(E5677)</f>
        <v>Other</v>
      </c>
    </row>
    <row r="5678" spans="1:7" x14ac:dyDescent="0.25">
      <c r="A5678">
        <v>47427</v>
      </c>
      <c r="B5678" t="s">
        <v>4</v>
      </c>
      <c r="C5678">
        <v>3</v>
      </c>
      <c r="D5678" t="s">
        <v>5</v>
      </c>
      <c r="F5678" t="str" cm="1">
        <f t="array" ref="F5678">CategorizeComment(E5678)</f>
        <v>Other</v>
      </c>
      <c r="G5678" t="str" cm="1">
        <f t="array" ref="G5678">SubCategorizeComment(E5678)</f>
        <v>Other</v>
      </c>
    </row>
    <row r="5679" spans="1:7" x14ac:dyDescent="0.25">
      <c r="A5679">
        <v>47428</v>
      </c>
      <c r="B5679" t="s">
        <v>4</v>
      </c>
      <c r="C5679">
        <v>4</v>
      </c>
      <c r="D5679" t="s">
        <v>5</v>
      </c>
      <c r="F5679" t="str" cm="1">
        <f t="array" ref="F5679">CategorizeComment(E5679)</f>
        <v>Other</v>
      </c>
      <c r="G5679" t="str" cm="1">
        <f t="array" ref="G5679">SubCategorizeComment(E5679)</f>
        <v>Other</v>
      </c>
    </row>
    <row r="5680" spans="1:7" x14ac:dyDescent="0.25">
      <c r="A5680">
        <v>47441</v>
      </c>
      <c r="B5680" t="s">
        <v>4</v>
      </c>
      <c r="C5680">
        <v>4</v>
      </c>
      <c r="D5680" t="s">
        <v>5</v>
      </c>
      <c r="F5680" t="str" cm="1">
        <f t="array" ref="F5680">CategorizeComment(E5680)</f>
        <v>Other</v>
      </c>
      <c r="G5680" t="str" cm="1">
        <f t="array" ref="G5680">SubCategorizeComment(E5680)</f>
        <v>Other</v>
      </c>
    </row>
    <row r="5681" spans="1:7" x14ac:dyDescent="0.25">
      <c r="A5681">
        <v>47444</v>
      </c>
      <c r="B5681" t="s">
        <v>4</v>
      </c>
      <c r="C5681">
        <v>3</v>
      </c>
      <c r="D5681" t="s">
        <v>5</v>
      </c>
      <c r="F5681" t="str" cm="1">
        <f t="array" ref="F5681">CategorizeComment(E5681)</f>
        <v>Other</v>
      </c>
      <c r="G5681" t="str" cm="1">
        <f t="array" ref="G5681">SubCategorizeComment(E5681)</f>
        <v>Other</v>
      </c>
    </row>
    <row r="5682" spans="1:7" x14ac:dyDescent="0.25">
      <c r="A5682">
        <v>47445</v>
      </c>
      <c r="B5682" t="s">
        <v>4</v>
      </c>
      <c r="C5682">
        <v>3</v>
      </c>
      <c r="D5682" t="s">
        <v>5</v>
      </c>
      <c r="F5682" t="str" cm="1">
        <f t="array" ref="F5682">CategorizeComment(E5682)</f>
        <v>Other</v>
      </c>
      <c r="G5682" t="str" cm="1">
        <f t="array" ref="G5682">SubCategorizeComment(E5682)</f>
        <v>Other</v>
      </c>
    </row>
    <row r="5683" spans="1:7" x14ac:dyDescent="0.25">
      <c r="A5683">
        <v>47449</v>
      </c>
      <c r="B5683" t="s">
        <v>4</v>
      </c>
      <c r="C5683">
        <v>4</v>
      </c>
      <c r="D5683" t="s">
        <v>5</v>
      </c>
      <c r="F5683" t="str" cm="1">
        <f t="array" ref="F5683">CategorizeComment(E5683)</f>
        <v>Other</v>
      </c>
      <c r="G5683" t="str" cm="1">
        <f t="array" ref="G5683">SubCategorizeComment(E5683)</f>
        <v>Other</v>
      </c>
    </row>
    <row r="5684" spans="1:7" x14ac:dyDescent="0.25">
      <c r="A5684">
        <v>47472</v>
      </c>
      <c r="B5684" t="s">
        <v>4</v>
      </c>
      <c r="C5684">
        <v>3</v>
      </c>
      <c r="D5684" t="s">
        <v>5</v>
      </c>
      <c r="F5684" t="str" cm="1">
        <f t="array" ref="F5684">CategorizeComment(E5684)</f>
        <v>Other</v>
      </c>
      <c r="G5684" t="str" cm="1">
        <f t="array" ref="G5684">SubCategorizeComment(E5684)</f>
        <v>Other</v>
      </c>
    </row>
    <row r="5685" spans="1:7" x14ac:dyDescent="0.25">
      <c r="A5685">
        <v>47484</v>
      </c>
      <c r="B5685" t="s">
        <v>4</v>
      </c>
      <c r="C5685">
        <v>3</v>
      </c>
      <c r="D5685" t="s">
        <v>5</v>
      </c>
      <c r="F5685" t="str" cm="1">
        <f t="array" ref="F5685">CategorizeComment(E5685)</f>
        <v>Other</v>
      </c>
      <c r="G5685" t="str" cm="1">
        <f t="array" ref="G5685">SubCategorizeComment(E5685)</f>
        <v>Other</v>
      </c>
    </row>
    <row r="5686" spans="1:7" x14ac:dyDescent="0.25">
      <c r="A5686">
        <v>47502</v>
      </c>
      <c r="B5686" t="s">
        <v>4</v>
      </c>
      <c r="C5686">
        <v>4</v>
      </c>
      <c r="D5686" t="s">
        <v>5</v>
      </c>
      <c r="F5686" t="str" cm="1">
        <f t="array" ref="F5686">CategorizeComment(E5686)</f>
        <v>Other</v>
      </c>
      <c r="G5686" t="str" cm="1">
        <f t="array" ref="G5686">SubCategorizeComment(E5686)</f>
        <v>Other</v>
      </c>
    </row>
    <row r="5687" spans="1:7" x14ac:dyDescent="0.25">
      <c r="A5687">
        <v>47503</v>
      </c>
      <c r="B5687" t="s">
        <v>4</v>
      </c>
      <c r="C5687">
        <v>4</v>
      </c>
      <c r="D5687" t="s">
        <v>5</v>
      </c>
      <c r="F5687" t="str" cm="1">
        <f t="array" ref="F5687">CategorizeComment(E5687)</f>
        <v>Other</v>
      </c>
      <c r="G5687" t="str" cm="1">
        <f t="array" ref="G5687">SubCategorizeComment(E5687)</f>
        <v>Other</v>
      </c>
    </row>
    <row r="5688" spans="1:7" x14ac:dyDescent="0.25">
      <c r="A5688">
        <v>47515</v>
      </c>
      <c r="B5688" t="s">
        <v>4</v>
      </c>
      <c r="C5688">
        <v>4</v>
      </c>
      <c r="D5688" t="s">
        <v>5</v>
      </c>
      <c r="F5688" t="str" cm="1">
        <f t="array" ref="F5688">CategorizeComment(E5688)</f>
        <v>Other</v>
      </c>
      <c r="G5688" t="str" cm="1">
        <f t="array" ref="G5688">SubCategorizeComment(E5688)</f>
        <v>Other</v>
      </c>
    </row>
    <row r="5689" spans="1:7" x14ac:dyDescent="0.25">
      <c r="A5689">
        <v>47523</v>
      </c>
      <c r="B5689" t="s">
        <v>4</v>
      </c>
      <c r="C5689">
        <v>3</v>
      </c>
      <c r="D5689" t="s">
        <v>5</v>
      </c>
      <c r="F5689" t="str" cm="1">
        <f t="array" ref="F5689">CategorizeComment(E5689)</f>
        <v>Other</v>
      </c>
      <c r="G5689" t="str" cm="1">
        <f t="array" ref="G5689">SubCategorizeComment(E5689)</f>
        <v>Other</v>
      </c>
    </row>
    <row r="5690" spans="1:7" x14ac:dyDescent="0.25">
      <c r="A5690">
        <v>47541</v>
      </c>
      <c r="B5690" t="s">
        <v>4</v>
      </c>
      <c r="C5690">
        <v>3</v>
      </c>
      <c r="D5690" t="s">
        <v>5</v>
      </c>
      <c r="F5690" t="str" cm="1">
        <f t="array" ref="F5690">CategorizeComment(E5690)</f>
        <v>Other</v>
      </c>
      <c r="G5690" t="str" cm="1">
        <f t="array" ref="G5690">SubCategorizeComment(E5690)</f>
        <v>Other</v>
      </c>
    </row>
    <row r="5691" spans="1:7" x14ac:dyDescent="0.25">
      <c r="A5691">
        <v>47542</v>
      </c>
      <c r="B5691" t="s">
        <v>4</v>
      </c>
      <c r="C5691">
        <v>4</v>
      </c>
      <c r="D5691" t="s">
        <v>5</v>
      </c>
      <c r="F5691" t="str" cm="1">
        <f t="array" ref="F5691">CategorizeComment(E5691)</f>
        <v>Other</v>
      </c>
      <c r="G5691" t="str" cm="1">
        <f t="array" ref="G5691">SubCategorizeComment(E5691)</f>
        <v>Other</v>
      </c>
    </row>
    <row r="5692" spans="1:7" x14ac:dyDescent="0.25">
      <c r="A5692">
        <v>47553</v>
      </c>
      <c r="B5692" t="s">
        <v>4</v>
      </c>
      <c r="C5692">
        <v>3</v>
      </c>
      <c r="D5692" t="s">
        <v>5</v>
      </c>
      <c r="F5692" t="str" cm="1">
        <f t="array" ref="F5692">CategorizeComment(E5692)</f>
        <v>Other</v>
      </c>
      <c r="G5692" t="str" cm="1">
        <f t="array" ref="G5692">SubCategorizeComment(E5692)</f>
        <v>Other</v>
      </c>
    </row>
    <row r="5693" spans="1:7" x14ac:dyDescent="0.25">
      <c r="A5693">
        <v>47559</v>
      </c>
      <c r="B5693" t="s">
        <v>4</v>
      </c>
      <c r="C5693">
        <v>4</v>
      </c>
      <c r="D5693" t="s">
        <v>5</v>
      </c>
      <c r="F5693" t="str" cm="1">
        <f t="array" ref="F5693">CategorizeComment(E5693)</f>
        <v>Other</v>
      </c>
      <c r="G5693" t="str" cm="1">
        <f t="array" ref="G5693">SubCategorizeComment(E5693)</f>
        <v>Other</v>
      </c>
    </row>
    <row r="5694" spans="1:7" x14ac:dyDescent="0.25">
      <c r="A5694">
        <v>47563</v>
      </c>
      <c r="B5694" t="s">
        <v>4</v>
      </c>
      <c r="C5694">
        <v>4</v>
      </c>
      <c r="D5694" t="s">
        <v>5</v>
      </c>
      <c r="F5694" t="str" cm="1">
        <f t="array" ref="F5694">CategorizeComment(E5694)</f>
        <v>Other</v>
      </c>
      <c r="G5694" t="str" cm="1">
        <f t="array" ref="G5694">SubCategorizeComment(E5694)</f>
        <v>Other</v>
      </c>
    </row>
    <row r="5695" spans="1:7" x14ac:dyDescent="0.25">
      <c r="A5695">
        <v>47568</v>
      </c>
      <c r="B5695" t="s">
        <v>4</v>
      </c>
      <c r="C5695">
        <v>3</v>
      </c>
      <c r="D5695" t="s">
        <v>5</v>
      </c>
      <c r="F5695" t="str" cm="1">
        <f t="array" ref="F5695">CategorizeComment(E5695)</f>
        <v>Other</v>
      </c>
      <c r="G5695" t="str" cm="1">
        <f t="array" ref="G5695">SubCategorizeComment(E5695)</f>
        <v>Other</v>
      </c>
    </row>
    <row r="5696" spans="1:7" x14ac:dyDescent="0.25">
      <c r="A5696">
        <v>47581</v>
      </c>
      <c r="B5696" t="s">
        <v>4</v>
      </c>
      <c r="C5696">
        <v>4</v>
      </c>
      <c r="D5696" t="s">
        <v>5</v>
      </c>
      <c r="F5696" t="str" cm="1">
        <f t="array" ref="F5696">CategorizeComment(E5696)</f>
        <v>Other</v>
      </c>
      <c r="G5696" t="str" cm="1">
        <f t="array" ref="G5696">SubCategorizeComment(E5696)</f>
        <v>Other</v>
      </c>
    </row>
    <row r="5697" spans="1:7" x14ac:dyDescent="0.25">
      <c r="A5697">
        <v>47599</v>
      </c>
      <c r="B5697" t="s">
        <v>4</v>
      </c>
      <c r="C5697">
        <v>3</v>
      </c>
      <c r="D5697" t="s">
        <v>5</v>
      </c>
      <c r="F5697" t="str" cm="1">
        <f t="array" ref="F5697">CategorizeComment(E5697)</f>
        <v>Other</v>
      </c>
      <c r="G5697" t="str" cm="1">
        <f t="array" ref="G5697">SubCategorizeComment(E5697)</f>
        <v>Other</v>
      </c>
    </row>
    <row r="5698" spans="1:7" x14ac:dyDescent="0.25">
      <c r="A5698">
        <v>47601</v>
      </c>
      <c r="B5698" t="s">
        <v>4</v>
      </c>
      <c r="C5698">
        <v>3</v>
      </c>
      <c r="D5698" t="s">
        <v>5</v>
      </c>
      <c r="F5698" t="str" cm="1">
        <f t="array" ref="F5698">CategorizeComment(E5698)</f>
        <v>Other</v>
      </c>
      <c r="G5698" t="str" cm="1">
        <f t="array" ref="G5698">SubCategorizeComment(E5698)</f>
        <v>Other</v>
      </c>
    </row>
    <row r="5699" spans="1:7" x14ac:dyDescent="0.25">
      <c r="A5699">
        <v>47644</v>
      </c>
      <c r="B5699" t="s">
        <v>4</v>
      </c>
      <c r="C5699">
        <v>3</v>
      </c>
      <c r="D5699" t="s">
        <v>5</v>
      </c>
      <c r="F5699" t="str" cm="1">
        <f t="array" ref="F5699">CategorizeComment(E5699)</f>
        <v>Other</v>
      </c>
      <c r="G5699" t="str" cm="1">
        <f t="array" ref="G5699">SubCategorizeComment(E5699)</f>
        <v>Other</v>
      </c>
    </row>
    <row r="5700" spans="1:7" x14ac:dyDescent="0.25">
      <c r="A5700">
        <v>47652</v>
      </c>
      <c r="B5700" t="s">
        <v>4</v>
      </c>
      <c r="C5700">
        <v>3</v>
      </c>
      <c r="D5700" t="s">
        <v>5</v>
      </c>
      <c r="F5700" t="str" cm="1">
        <f t="array" ref="F5700">CategorizeComment(E5700)</f>
        <v>Other</v>
      </c>
      <c r="G5700" t="str" cm="1">
        <f t="array" ref="G5700">SubCategorizeComment(E5700)</f>
        <v>Other</v>
      </c>
    </row>
    <row r="5701" spans="1:7" x14ac:dyDescent="0.25">
      <c r="A5701">
        <v>47654</v>
      </c>
      <c r="B5701" t="s">
        <v>4</v>
      </c>
      <c r="C5701">
        <v>3</v>
      </c>
      <c r="D5701" t="s">
        <v>5</v>
      </c>
      <c r="F5701" t="str" cm="1">
        <f t="array" ref="F5701">CategorizeComment(E5701)</f>
        <v>Other</v>
      </c>
      <c r="G5701" t="str" cm="1">
        <f t="array" ref="G5701">SubCategorizeComment(E5701)</f>
        <v>Other</v>
      </c>
    </row>
    <row r="5702" spans="1:7" x14ac:dyDescent="0.25">
      <c r="A5702">
        <v>47655</v>
      </c>
      <c r="B5702" t="s">
        <v>4</v>
      </c>
      <c r="C5702">
        <v>3</v>
      </c>
      <c r="D5702" t="s">
        <v>5</v>
      </c>
      <c r="F5702" t="str" cm="1">
        <f t="array" ref="F5702">CategorizeComment(E5702)</f>
        <v>Other</v>
      </c>
      <c r="G5702" t="str" cm="1">
        <f t="array" ref="G5702">SubCategorizeComment(E5702)</f>
        <v>Other</v>
      </c>
    </row>
    <row r="5703" spans="1:7" x14ac:dyDescent="0.25">
      <c r="A5703">
        <v>47663</v>
      </c>
      <c r="B5703" t="s">
        <v>4</v>
      </c>
      <c r="C5703">
        <v>4</v>
      </c>
      <c r="D5703" t="s">
        <v>5</v>
      </c>
      <c r="F5703" t="str" cm="1">
        <f t="array" ref="F5703">CategorizeComment(E5703)</f>
        <v>Other</v>
      </c>
      <c r="G5703" t="str" cm="1">
        <f t="array" ref="G5703">SubCategorizeComment(E5703)</f>
        <v>Other</v>
      </c>
    </row>
    <row r="5704" spans="1:7" x14ac:dyDescent="0.25">
      <c r="A5704">
        <v>47670</v>
      </c>
      <c r="B5704" t="s">
        <v>4</v>
      </c>
      <c r="C5704">
        <v>4</v>
      </c>
      <c r="D5704" t="s">
        <v>5</v>
      </c>
      <c r="F5704" t="str" cm="1">
        <f t="array" ref="F5704">CategorizeComment(E5704)</f>
        <v>Other</v>
      </c>
      <c r="G5704" t="str" cm="1">
        <f t="array" ref="G5704">SubCategorizeComment(E5704)</f>
        <v>Other</v>
      </c>
    </row>
    <row r="5705" spans="1:7" x14ac:dyDescent="0.25">
      <c r="A5705">
        <v>47676</v>
      </c>
      <c r="B5705" t="s">
        <v>4</v>
      </c>
      <c r="C5705">
        <v>3</v>
      </c>
      <c r="D5705" t="s">
        <v>5</v>
      </c>
      <c r="F5705" t="str" cm="1">
        <f t="array" ref="F5705">CategorizeComment(E5705)</f>
        <v>Other</v>
      </c>
      <c r="G5705" t="str" cm="1">
        <f t="array" ref="G5705">SubCategorizeComment(E5705)</f>
        <v>Other</v>
      </c>
    </row>
    <row r="5706" spans="1:7" x14ac:dyDescent="0.25">
      <c r="A5706">
        <v>47677</v>
      </c>
      <c r="B5706" t="s">
        <v>4</v>
      </c>
      <c r="C5706">
        <v>4</v>
      </c>
      <c r="D5706" t="s">
        <v>5</v>
      </c>
      <c r="F5706" t="str" cm="1">
        <f t="array" ref="F5706">CategorizeComment(E5706)</f>
        <v>Other</v>
      </c>
      <c r="G5706" t="str" cm="1">
        <f t="array" ref="G5706">SubCategorizeComment(E5706)</f>
        <v>Other</v>
      </c>
    </row>
    <row r="5707" spans="1:7" x14ac:dyDescent="0.25">
      <c r="A5707">
        <v>47679</v>
      </c>
      <c r="B5707" t="s">
        <v>4</v>
      </c>
      <c r="C5707">
        <v>4</v>
      </c>
      <c r="D5707" t="s">
        <v>5</v>
      </c>
      <c r="F5707" t="str" cm="1">
        <f t="array" ref="F5707">CategorizeComment(E5707)</f>
        <v>Other</v>
      </c>
      <c r="G5707" t="str" cm="1">
        <f t="array" ref="G5707">SubCategorizeComment(E5707)</f>
        <v>Other</v>
      </c>
    </row>
    <row r="5708" spans="1:7" x14ac:dyDescent="0.25">
      <c r="A5708">
        <v>47685</v>
      </c>
      <c r="B5708" t="s">
        <v>4</v>
      </c>
      <c r="C5708">
        <v>4</v>
      </c>
      <c r="D5708" t="s">
        <v>5</v>
      </c>
      <c r="F5708" t="str" cm="1">
        <f t="array" ref="F5708">CategorizeComment(E5708)</f>
        <v>Other</v>
      </c>
      <c r="G5708" t="str" cm="1">
        <f t="array" ref="G5708">SubCategorizeComment(E5708)</f>
        <v>Other</v>
      </c>
    </row>
    <row r="5709" spans="1:7" x14ac:dyDescent="0.25">
      <c r="A5709">
        <v>47692</v>
      </c>
      <c r="B5709" t="s">
        <v>4</v>
      </c>
      <c r="C5709">
        <v>3</v>
      </c>
      <c r="D5709" t="s">
        <v>5</v>
      </c>
      <c r="F5709" t="str" cm="1">
        <f t="array" ref="F5709">CategorizeComment(E5709)</f>
        <v>Other</v>
      </c>
      <c r="G5709" t="str" cm="1">
        <f t="array" ref="G5709">SubCategorizeComment(E5709)</f>
        <v>Other</v>
      </c>
    </row>
    <row r="5710" spans="1:7" x14ac:dyDescent="0.25">
      <c r="A5710">
        <v>47698</v>
      </c>
      <c r="B5710" t="s">
        <v>4</v>
      </c>
      <c r="C5710">
        <v>3</v>
      </c>
      <c r="D5710" t="s">
        <v>5</v>
      </c>
      <c r="F5710" t="str" cm="1">
        <f t="array" ref="F5710">CategorizeComment(E5710)</f>
        <v>Other</v>
      </c>
      <c r="G5710" t="str" cm="1">
        <f t="array" ref="G5710">SubCategorizeComment(E5710)</f>
        <v>Other</v>
      </c>
    </row>
    <row r="5711" spans="1:7" x14ac:dyDescent="0.25">
      <c r="A5711">
        <v>47703</v>
      </c>
      <c r="B5711" t="s">
        <v>4</v>
      </c>
      <c r="C5711">
        <v>4</v>
      </c>
      <c r="D5711" t="s">
        <v>5</v>
      </c>
      <c r="F5711" t="str" cm="1">
        <f t="array" ref="F5711">CategorizeComment(E5711)</f>
        <v>Other</v>
      </c>
      <c r="G5711" t="str" cm="1">
        <f t="array" ref="G5711">SubCategorizeComment(E5711)</f>
        <v>Other</v>
      </c>
    </row>
    <row r="5712" spans="1:7" x14ac:dyDescent="0.25">
      <c r="A5712">
        <v>47715</v>
      </c>
      <c r="B5712" t="s">
        <v>4</v>
      </c>
      <c r="C5712">
        <v>4</v>
      </c>
      <c r="D5712" t="s">
        <v>5</v>
      </c>
      <c r="F5712" t="str" cm="1">
        <f t="array" ref="F5712">CategorizeComment(E5712)</f>
        <v>Other</v>
      </c>
      <c r="G5712" t="str" cm="1">
        <f t="array" ref="G5712">SubCategorizeComment(E5712)</f>
        <v>Other</v>
      </c>
    </row>
    <row r="5713" spans="1:7" x14ac:dyDescent="0.25">
      <c r="A5713">
        <v>47732</v>
      </c>
      <c r="B5713" t="s">
        <v>4</v>
      </c>
      <c r="C5713">
        <v>4</v>
      </c>
      <c r="D5713" t="s">
        <v>5</v>
      </c>
      <c r="F5713" t="str" cm="1">
        <f t="array" ref="F5713">CategorizeComment(E5713)</f>
        <v>Other</v>
      </c>
      <c r="G5713" t="str" cm="1">
        <f t="array" ref="G5713">SubCategorizeComment(E5713)</f>
        <v>Other</v>
      </c>
    </row>
    <row r="5714" spans="1:7" x14ac:dyDescent="0.25">
      <c r="A5714">
        <v>47735</v>
      </c>
      <c r="B5714" t="s">
        <v>4</v>
      </c>
      <c r="C5714">
        <v>3</v>
      </c>
      <c r="D5714" t="s">
        <v>5</v>
      </c>
      <c r="F5714" t="str" cm="1">
        <f t="array" ref="F5714">CategorizeComment(E5714)</f>
        <v>Other</v>
      </c>
      <c r="G5714" t="str" cm="1">
        <f t="array" ref="G5714">SubCategorizeComment(E5714)</f>
        <v>Other</v>
      </c>
    </row>
    <row r="5715" spans="1:7" x14ac:dyDescent="0.25">
      <c r="A5715">
        <v>47738</v>
      </c>
      <c r="B5715" t="s">
        <v>4</v>
      </c>
      <c r="C5715">
        <v>3</v>
      </c>
      <c r="D5715" t="s">
        <v>5</v>
      </c>
      <c r="F5715" t="str" cm="1">
        <f t="array" ref="F5715">CategorizeComment(E5715)</f>
        <v>Other</v>
      </c>
      <c r="G5715" t="str" cm="1">
        <f t="array" ref="G5715">SubCategorizeComment(E5715)</f>
        <v>Other</v>
      </c>
    </row>
    <row r="5716" spans="1:7" x14ac:dyDescent="0.25">
      <c r="A5716">
        <v>47776</v>
      </c>
      <c r="B5716" t="s">
        <v>4</v>
      </c>
      <c r="C5716">
        <v>4</v>
      </c>
      <c r="D5716" t="s">
        <v>5</v>
      </c>
      <c r="F5716" t="str" cm="1">
        <f t="array" ref="F5716">CategorizeComment(E5716)</f>
        <v>Other</v>
      </c>
      <c r="G5716" t="str" cm="1">
        <f t="array" ref="G5716">SubCategorizeComment(E5716)</f>
        <v>Other</v>
      </c>
    </row>
    <row r="5717" spans="1:7" x14ac:dyDescent="0.25">
      <c r="A5717">
        <v>47793</v>
      </c>
      <c r="B5717" t="s">
        <v>4</v>
      </c>
      <c r="C5717">
        <v>4</v>
      </c>
      <c r="D5717" t="s">
        <v>5</v>
      </c>
      <c r="F5717" t="str" cm="1">
        <f t="array" ref="F5717">CategorizeComment(E5717)</f>
        <v>Other</v>
      </c>
      <c r="G5717" t="str" cm="1">
        <f t="array" ref="G5717">SubCategorizeComment(E5717)</f>
        <v>Other</v>
      </c>
    </row>
    <row r="5718" spans="1:7" x14ac:dyDescent="0.25">
      <c r="A5718">
        <v>47797</v>
      </c>
      <c r="B5718" t="s">
        <v>4</v>
      </c>
      <c r="C5718">
        <v>3</v>
      </c>
      <c r="D5718" t="s">
        <v>5</v>
      </c>
      <c r="F5718" t="str" cm="1">
        <f t="array" ref="F5718">CategorizeComment(E5718)</f>
        <v>Other</v>
      </c>
      <c r="G5718" t="str" cm="1">
        <f t="array" ref="G5718">SubCategorizeComment(E5718)</f>
        <v>Other</v>
      </c>
    </row>
    <row r="5719" spans="1:7" x14ac:dyDescent="0.25">
      <c r="A5719">
        <v>47807</v>
      </c>
      <c r="B5719" t="s">
        <v>4</v>
      </c>
      <c r="C5719">
        <v>4</v>
      </c>
      <c r="D5719" t="s">
        <v>5</v>
      </c>
      <c r="F5719" t="str" cm="1">
        <f t="array" ref="F5719">CategorizeComment(E5719)</f>
        <v>Other</v>
      </c>
      <c r="G5719" t="str" cm="1">
        <f t="array" ref="G5719">SubCategorizeComment(E5719)</f>
        <v>Other</v>
      </c>
    </row>
    <row r="5720" spans="1:7" x14ac:dyDescent="0.25">
      <c r="A5720">
        <v>47828</v>
      </c>
      <c r="B5720" t="s">
        <v>4</v>
      </c>
      <c r="C5720">
        <v>4</v>
      </c>
      <c r="D5720" t="s">
        <v>5</v>
      </c>
      <c r="F5720" t="str" cm="1">
        <f t="array" ref="F5720">CategorizeComment(E5720)</f>
        <v>Other</v>
      </c>
      <c r="G5720" t="str" cm="1">
        <f t="array" ref="G5720">SubCategorizeComment(E5720)</f>
        <v>Other</v>
      </c>
    </row>
    <row r="5721" spans="1:7" x14ac:dyDescent="0.25">
      <c r="A5721">
        <v>47830</v>
      </c>
      <c r="B5721" t="s">
        <v>4</v>
      </c>
      <c r="C5721">
        <v>3</v>
      </c>
      <c r="D5721" t="s">
        <v>5</v>
      </c>
      <c r="F5721" t="str" cm="1">
        <f t="array" ref="F5721">CategorizeComment(E5721)</f>
        <v>Other</v>
      </c>
      <c r="G5721" t="str" cm="1">
        <f t="array" ref="G5721">SubCategorizeComment(E5721)</f>
        <v>Other</v>
      </c>
    </row>
    <row r="5722" spans="1:7" x14ac:dyDescent="0.25">
      <c r="A5722">
        <v>47837</v>
      </c>
      <c r="B5722" t="s">
        <v>4</v>
      </c>
      <c r="C5722">
        <v>4</v>
      </c>
      <c r="D5722" t="s">
        <v>5</v>
      </c>
      <c r="F5722" t="str" cm="1">
        <f t="array" ref="F5722">CategorizeComment(E5722)</f>
        <v>Other</v>
      </c>
      <c r="G5722" t="str" cm="1">
        <f t="array" ref="G5722">SubCategorizeComment(E5722)</f>
        <v>Other</v>
      </c>
    </row>
    <row r="5723" spans="1:7" x14ac:dyDescent="0.25">
      <c r="A5723">
        <v>47839</v>
      </c>
      <c r="B5723" t="s">
        <v>4</v>
      </c>
      <c r="C5723">
        <v>4</v>
      </c>
      <c r="D5723" t="s">
        <v>5</v>
      </c>
      <c r="F5723" t="str" cm="1">
        <f t="array" ref="F5723">CategorizeComment(E5723)</f>
        <v>Other</v>
      </c>
      <c r="G5723" t="str" cm="1">
        <f t="array" ref="G5723">SubCategorizeComment(E5723)</f>
        <v>Other</v>
      </c>
    </row>
    <row r="5724" spans="1:7" x14ac:dyDescent="0.25">
      <c r="A5724">
        <v>47846</v>
      </c>
      <c r="B5724" t="s">
        <v>4</v>
      </c>
      <c r="C5724">
        <v>3</v>
      </c>
      <c r="D5724" t="s">
        <v>5</v>
      </c>
      <c r="F5724" t="str" cm="1">
        <f t="array" ref="F5724">CategorizeComment(E5724)</f>
        <v>Other</v>
      </c>
      <c r="G5724" t="str" cm="1">
        <f t="array" ref="G5724">SubCategorizeComment(E5724)</f>
        <v>Other</v>
      </c>
    </row>
    <row r="5725" spans="1:7" x14ac:dyDescent="0.25">
      <c r="A5725">
        <v>47847</v>
      </c>
      <c r="B5725" t="s">
        <v>4</v>
      </c>
      <c r="C5725">
        <v>4</v>
      </c>
      <c r="D5725" t="s">
        <v>5</v>
      </c>
      <c r="F5725" t="str" cm="1">
        <f t="array" ref="F5725">CategorizeComment(E5725)</f>
        <v>Other</v>
      </c>
      <c r="G5725" t="str" cm="1">
        <f t="array" ref="G5725">SubCategorizeComment(E5725)</f>
        <v>Other</v>
      </c>
    </row>
    <row r="5726" spans="1:7" x14ac:dyDescent="0.25">
      <c r="A5726">
        <v>47855</v>
      </c>
      <c r="B5726" t="s">
        <v>4</v>
      </c>
      <c r="C5726">
        <v>4</v>
      </c>
      <c r="D5726" t="s">
        <v>5</v>
      </c>
      <c r="F5726" t="str" cm="1">
        <f t="array" ref="F5726">CategorizeComment(E5726)</f>
        <v>Other</v>
      </c>
      <c r="G5726" t="str" cm="1">
        <f t="array" ref="G5726">SubCategorizeComment(E5726)</f>
        <v>Other</v>
      </c>
    </row>
    <row r="5727" spans="1:7" x14ac:dyDescent="0.25">
      <c r="A5727">
        <v>47859</v>
      </c>
      <c r="B5727" t="s">
        <v>4</v>
      </c>
      <c r="C5727">
        <v>3</v>
      </c>
      <c r="D5727" t="s">
        <v>5</v>
      </c>
      <c r="F5727" t="str" cm="1">
        <f t="array" ref="F5727">CategorizeComment(E5727)</f>
        <v>Other</v>
      </c>
      <c r="G5727" t="str" cm="1">
        <f t="array" ref="G5727">SubCategorizeComment(E5727)</f>
        <v>Other</v>
      </c>
    </row>
    <row r="5728" spans="1:7" x14ac:dyDescent="0.25">
      <c r="A5728">
        <v>47860</v>
      </c>
      <c r="B5728" t="s">
        <v>4</v>
      </c>
      <c r="C5728">
        <v>3</v>
      </c>
      <c r="D5728" t="s">
        <v>5</v>
      </c>
      <c r="F5728" t="str" cm="1">
        <f t="array" ref="F5728">CategorizeComment(E5728)</f>
        <v>Other</v>
      </c>
      <c r="G5728" t="str" cm="1">
        <f t="array" ref="G5728">SubCategorizeComment(E5728)</f>
        <v>Other</v>
      </c>
    </row>
    <row r="5729" spans="1:7" x14ac:dyDescent="0.25">
      <c r="A5729">
        <v>47863</v>
      </c>
      <c r="B5729" t="s">
        <v>4</v>
      </c>
      <c r="C5729">
        <v>4</v>
      </c>
      <c r="D5729" t="s">
        <v>5</v>
      </c>
      <c r="F5729" t="str" cm="1">
        <f t="array" ref="F5729">CategorizeComment(E5729)</f>
        <v>Other</v>
      </c>
      <c r="G5729" t="str" cm="1">
        <f t="array" ref="G5729">SubCategorizeComment(E5729)</f>
        <v>Other</v>
      </c>
    </row>
    <row r="5730" spans="1:7" x14ac:dyDescent="0.25">
      <c r="A5730">
        <v>47865</v>
      </c>
      <c r="B5730" t="s">
        <v>4</v>
      </c>
      <c r="C5730">
        <v>3</v>
      </c>
      <c r="D5730" t="s">
        <v>5</v>
      </c>
      <c r="F5730" t="str" cm="1">
        <f t="array" ref="F5730">CategorizeComment(E5730)</f>
        <v>Other</v>
      </c>
      <c r="G5730" t="str" cm="1">
        <f t="array" ref="G5730">SubCategorizeComment(E5730)</f>
        <v>Other</v>
      </c>
    </row>
    <row r="5731" spans="1:7" x14ac:dyDescent="0.25">
      <c r="A5731">
        <v>47866</v>
      </c>
      <c r="B5731" t="s">
        <v>4</v>
      </c>
      <c r="C5731">
        <v>3</v>
      </c>
      <c r="D5731" t="s">
        <v>5</v>
      </c>
      <c r="F5731" t="str" cm="1">
        <f t="array" ref="F5731">CategorizeComment(E5731)</f>
        <v>Other</v>
      </c>
      <c r="G5731" t="str" cm="1">
        <f t="array" ref="G5731">SubCategorizeComment(E5731)</f>
        <v>Other</v>
      </c>
    </row>
    <row r="5732" spans="1:7" x14ac:dyDescent="0.25">
      <c r="A5732">
        <v>47867</v>
      </c>
      <c r="B5732" t="s">
        <v>4</v>
      </c>
      <c r="C5732">
        <v>4</v>
      </c>
      <c r="D5732" t="s">
        <v>5</v>
      </c>
      <c r="F5732" t="str" cm="1">
        <f t="array" ref="F5732">CategorizeComment(E5732)</f>
        <v>Other</v>
      </c>
      <c r="G5732" t="str" cm="1">
        <f t="array" ref="G5732">SubCategorizeComment(E5732)</f>
        <v>Other</v>
      </c>
    </row>
    <row r="5733" spans="1:7" x14ac:dyDescent="0.25">
      <c r="A5733">
        <v>47873</v>
      </c>
      <c r="B5733" t="s">
        <v>4</v>
      </c>
      <c r="C5733">
        <v>3</v>
      </c>
      <c r="D5733" t="s">
        <v>5</v>
      </c>
      <c r="F5733" t="str" cm="1">
        <f t="array" ref="F5733">CategorizeComment(E5733)</f>
        <v>Other</v>
      </c>
      <c r="G5733" t="str" cm="1">
        <f t="array" ref="G5733">SubCategorizeComment(E5733)</f>
        <v>Other</v>
      </c>
    </row>
    <row r="5734" spans="1:7" x14ac:dyDescent="0.25">
      <c r="A5734">
        <v>47875</v>
      </c>
      <c r="B5734" t="s">
        <v>4</v>
      </c>
      <c r="C5734">
        <v>3</v>
      </c>
      <c r="D5734" t="s">
        <v>5</v>
      </c>
      <c r="F5734" t="str" cm="1">
        <f t="array" ref="F5734">CategorizeComment(E5734)</f>
        <v>Other</v>
      </c>
      <c r="G5734" t="str" cm="1">
        <f t="array" ref="G5734">SubCategorizeComment(E5734)</f>
        <v>Other</v>
      </c>
    </row>
    <row r="5735" spans="1:7" x14ac:dyDescent="0.25">
      <c r="A5735">
        <v>47878</v>
      </c>
      <c r="B5735" t="s">
        <v>4</v>
      </c>
      <c r="C5735">
        <v>3</v>
      </c>
      <c r="D5735" t="s">
        <v>5</v>
      </c>
      <c r="F5735" t="str" cm="1">
        <f t="array" ref="F5735">CategorizeComment(E5735)</f>
        <v>Other</v>
      </c>
      <c r="G5735" t="str" cm="1">
        <f t="array" ref="G5735">SubCategorizeComment(E5735)</f>
        <v>Other</v>
      </c>
    </row>
    <row r="5736" spans="1:7" x14ac:dyDescent="0.25">
      <c r="A5736">
        <v>47897</v>
      </c>
      <c r="B5736" t="s">
        <v>4</v>
      </c>
      <c r="C5736">
        <v>4</v>
      </c>
      <c r="D5736" t="s">
        <v>5</v>
      </c>
      <c r="F5736" t="str" cm="1">
        <f t="array" ref="F5736">CategorizeComment(E5736)</f>
        <v>Other</v>
      </c>
      <c r="G5736" t="str" cm="1">
        <f t="array" ref="G5736">SubCategorizeComment(E5736)</f>
        <v>Other</v>
      </c>
    </row>
    <row r="5737" spans="1:7" x14ac:dyDescent="0.25">
      <c r="A5737">
        <v>47904</v>
      </c>
      <c r="B5737" t="s">
        <v>4</v>
      </c>
      <c r="C5737">
        <v>3</v>
      </c>
      <c r="D5737" t="s">
        <v>5</v>
      </c>
      <c r="F5737" t="str" cm="1">
        <f t="array" ref="F5737">CategorizeComment(E5737)</f>
        <v>Other</v>
      </c>
      <c r="G5737" t="str" cm="1">
        <f t="array" ref="G5737">SubCategorizeComment(E5737)</f>
        <v>Other</v>
      </c>
    </row>
    <row r="5738" spans="1:7" x14ac:dyDescent="0.25">
      <c r="A5738">
        <v>47906</v>
      </c>
      <c r="B5738" t="s">
        <v>4</v>
      </c>
      <c r="C5738">
        <v>4</v>
      </c>
      <c r="D5738" t="s">
        <v>5</v>
      </c>
      <c r="F5738" t="str" cm="1">
        <f t="array" ref="F5738">CategorizeComment(E5738)</f>
        <v>Other</v>
      </c>
      <c r="G5738" t="str" cm="1">
        <f t="array" ref="G5738">SubCategorizeComment(E5738)</f>
        <v>Other</v>
      </c>
    </row>
    <row r="5739" spans="1:7" x14ac:dyDescent="0.25">
      <c r="A5739">
        <v>47908</v>
      </c>
      <c r="B5739" t="s">
        <v>4</v>
      </c>
      <c r="C5739">
        <v>4</v>
      </c>
      <c r="D5739" t="s">
        <v>5</v>
      </c>
      <c r="F5739" t="str" cm="1">
        <f t="array" ref="F5739">CategorizeComment(E5739)</f>
        <v>Other</v>
      </c>
      <c r="G5739" t="str" cm="1">
        <f t="array" ref="G5739">SubCategorizeComment(E5739)</f>
        <v>Other</v>
      </c>
    </row>
    <row r="5740" spans="1:7" x14ac:dyDescent="0.25">
      <c r="A5740">
        <v>47919</v>
      </c>
      <c r="B5740" t="s">
        <v>4</v>
      </c>
      <c r="C5740">
        <v>3</v>
      </c>
      <c r="D5740" t="s">
        <v>5</v>
      </c>
      <c r="F5740" t="str" cm="1">
        <f t="array" ref="F5740">CategorizeComment(E5740)</f>
        <v>Other</v>
      </c>
      <c r="G5740" t="str" cm="1">
        <f t="array" ref="G5740">SubCategorizeComment(E5740)</f>
        <v>Other</v>
      </c>
    </row>
    <row r="5741" spans="1:7" x14ac:dyDescent="0.25">
      <c r="A5741">
        <v>47923</v>
      </c>
      <c r="B5741" t="s">
        <v>4</v>
      </c>
      <c r="C5741">
        <v>4</v>
      </c>
      <c r="D5741" t="s">
        <v>5</v>
      </c>
      <c r="F5741" t="str" cm="1">
        <f t="array" ref="F5741">CategorizeComment(E5741)</f>
        <v>Other</v>
      </c>
      <c r="G5741" t="str" cm="1">
        <f t="array" ref="G5741">SubCategorizeComment(E5741)</f>
        <v>Other</v>
      </c>
    </row>
    <row r="5742" spans="1:7" x14ac:dyDescent="0.25">
      <c r="A5742">
        <v>47930</v>
      </c>
      <c r="B5742" t="s">
        <v>4</v>
      </c>
      <c r="C5742">
        <v>3</v>
      </c>
      <c r="D5742" t="s">
        <v>5</v>
      </c>
      <c r="F5742" t="str" cm="1">
        <f t="array" ref="F5742">CategorizeComment(E5742)</f>
        <v>Other</v>
      </c>
      <c r="G5742" t="str" cm="1">
        <f t="array" ref="G5742">SubCategorizeComment(E5742)</f>
        <v>Other</v>
      </c>
    </row>
    <row r="5743" spans="1:7" x14ac:dyDescent="0.25">
      <c r="A5743">
        <v>47932</v>
      </c>
      <c r="B5743" t="s">
        <v>4</v>
      </c>
      <c r="C5743">
        <v>4</v>
      </c>
      <c r="D5743" t="s">
        <v>5</v>
      </c>
      <c r="F5743" t="str" cm="1">
        <f t="array" ref="F5743">CategorizeComment(E5743)</f>
        <v>Other</v>
      </c>
      <c r="G5743" t="str" cm="1">
        <f t="array" ref="G5743">SubCategorizeComment(E5743)</f>
        <v>Other</v>
      </c>
    </row>
    <row r="5744" spans="1:7" x14ac:dyDescent="0.25">
      <c r="A5744">
        <v>47937</v>
      </c>
      <c r="B5744" t="s">
        <v>4</v>
      </c>
      <c r="C5744">
        <v>3</v>
      </c>
      <c r="D5744" t="s">
        <v>5</v>
      </c>
      <c r="F5744" t="str" cm="1">
        <f t="array" ref="F5744">CategorizeComment(E5744)</f>
        <v>Other</v>
      </c>
      <c r="G5744" t="str" cm="1">
        <f t="array" ref="G5744">SubCategorizeComment(E5744)</f>
        <v>Other</v>
      </c>
    </row>
    <row r="5745" spans="1:7" x14ac:dyDescent="0.25">
      <c r="A5745">
        <v>47941</v>
      </c>
      <c r="B5745" t="s">
        <v>4</v>
      </c>
      <c r="C5745">
        <v>3</v>
      </c>
      <c r="D5745" t="s">
        <v>5</v>
      </c>
      <c r="F5745" t="str" cm="1">
        <f t="array" ref="F5745">CategorizeComment(E5745)</f>
        <v>Other</v>
      </c>
      <c r="G5745" t="str" cm="1">
        <f t="array" ref="G5745">SubCategorizeComment(E5745)</f>
        <v>Other</v>
      </c>
    </row>
    <row r="5746" spans="1:7" x14ac:dyDescent="0.25">
      <c r="A5746">
        <v>47956</v>
      </c>
      <c r="B5746" t="s">
        <v>4</v>
      </c>
      <c r="C5746">
        <v>3</v>
      </c>
      <c r="D5746" t="s">
        <v>5</v>
      </c>
      <c r="F5746" t="str" cm="1">
        <f t="array" ref="F5746">CategorizeComment(E5746)</f>
        <v>Other</v>
      </c>
      <c r="G5746" t="str" cm="1">
        <f t="array" ref="G5746">SubCategorizeComment(E5746)</f>
        <v>Other</v>
      </c>
    </row>
    <row r="5747" spans="1:7" x14ac:dyDescent="0.25">
      <c r="A5747">
        <v>47958</v>
      </c>
      <c r="B5747" t="s">
        <v>4</v>
      </c>
      <c r="C5747">
        <v>4</v>
      </c>
      <c r="D5747" t="s">
        <v>5</v>
      </c>
      <c r="F5747" t="str" cm="1">
        <f t="array" ref="F5747">CategorizeComment(E5747)</f>
        <v>Other</v>
      </c>
      <c r="G5747" t="str" cm="1">
        <f t="array" ref="G5747">SubCategorizeComment(E5747)</f>
        <v>Other</v>
      </c>
    </row>
    <row r="5748" spans="1:7" x14ac:dyDescent="0.25">
      <c r="A5748">
        <v>47959</v>
      </c>
      <c r="B5748" t="s">
        <v>4</v>
      </c>
      <c r="C5748">
        <v>3</v>
      </c>
      <c r="D5748" t="s">
        <v>5</v>
      </c>
      <c r="F5748" t="str" cm="1">
        <f t="array" ref="F5748">CategorizeComment(E5748)</f>
        <v>Other</v>
      </c>
      <c r="G5748" t="str" cm="1">
        <f t="array" ref="G5748">SubCategorizeComment(E5748)</f>
        <v>Other</v>
      </c>
    </row>
    <row r="5749" spans="1:7" x14ac:dyDescent="0.25">
      <c r="A5749">
        <v>47963</v>
      </c>
      <c r="B5749" t="s">
        <v>4</v>
      </c>
      <c r="C5749">
        <v>4</v>
      </c>
      <c r="D5749" t="s">
        <v>5</v>
      </c>
      <c r="F5749" t="str" cm="1">
        <f t="array" ref="F5749">CategorizeComment(E5749)</f>
        <v>Other</v>
      </c>
      <c r="G5749" t="str" cm="1">
        <f t="array" ref="G5749">SubCategorizeComment(E5749)</f>
        <v>Other</v>
      </c>
    </row>
    <row r="5750" spans="1:7" x14ac:dyDescent="0.25">
      <c r="A5750">
        <v>47969</v>
      </c>
      <c r="B5750" t="s">
        <v>4</v>
      </c>
      <c r="C5750">
        <v>3</v>
      </c>
      <c r="D5750" t="s">
        <v>5</v>
      </c>
      <c r="F5750" t="str" cm="1">
        <f t="array" ref="F5750">CategorizeComment(E5750)</f>
        <v>Other</v>
      </c>
      <c r="G5750" t="str" cm="1">
        <f t="array" ref="G5750">SubCategorizeComment(E5750)</f>
        <v>Other</v>
      </c>
    </row>
    <row r="5751" spans="1:7" x14ac:dyDescent="0.25">
      <c r="A5751">
        <v>47972</v>
      </c>
      <c r="B5751" t="s">
        <v>4</v>
      </c>
      <c r="C5751">
        <v>3</v>
      </c>
      <c r="D5751" t="s">
        <v>5</v>
      </c>
      <c r="F5751" t="str" cm="1">
        <f t="array" ref="F5751">CategorizeComment(E5751)</f>
        <v>Other</v>
      </c>
      <c r="G5751" t="str" cm="1">
        <f t="array" ref="G5751">SubCategorizeComment(E5751)</f>
        <v>Other</v>
      </c>
    </row>
    <row r="5752" spans="1:7" x14ac:dyDescent="0.25">
      <c r="A5752">
        <v>47977</v>
      </c>
      <c r="B5752" t="s">
        <v>4</v>
      </c>
      <c r="C5752">
        <v>4</v>
      </c>
      <c r="D5752" t="s">
        <v>5</v>
      </c>
      <c r="F5752" t="str" cm="1">
        <f t="array" ref="F5752">CategorizeComment(E5752)</f>
        <v>Other</v>
      </c>
      <c r="G5752" t="str" cm="1">
        <f t="array" ref="G5752">SubCategorizeComment(E5752)</f>
        <v>Other</v>
      </c>
    </row>
    <row r="5753" spans="1:7" x14ac:dyDescent="0.25">
      <c r="A5753">
        <v>48001</v>
      </c>
      <c r="B5753" t="s">
        <v>4</v>
      </c>
      <c r="C5753">
        <v>4</v>
      </c>
      <c r="D5753" t="s">
        <v>5</v>
      </c>
      <c r="F5753" t="str" cm="1">
        <f t="array" ref="F5753">CategorizeComment(E5753)</f>
        <v>Other</v>
      </c>
      <c r="G5753" t="str" cm="1">
        <f t="array" ref="G5753">SubCategorizeComment(E5753)</f>
        <v>Other</v>
      </c>
    </row>
    <row r="5754" spans="1:7" x14ac:dyDescent="0.25">
      <c r="A5754">
        <v>48002</v>
      </c>
      <c r="B5754" t="s">
        <v>4</v>
      </c>
      <c r="C5754">
        <v>4</v>
      </c>
      <c r="D5754" t="s">
        <v>5</v>
      </c>
      <c r="F5754" t="str" cm="1">
        <f t="array" ref="F5754">CategorizeComment(E5754)</f>
        <v>Other</v>
      </c>
      <c r="G5754" t="str" cm="1">
        <f t="array" ref="G5754">SubCategorizeComment(E5754)</f>
        <v>Other</v>
      </c>
    </row>
    <row r="5755" spans="1:7" x14ac:dyDescent="0.25">
      <c r="A5755">
        <v>48004</v>
      </c>
      <c r="B5755" t="s">
        <v>4</v>
      </c>
      <c r="C5755">
        <v>4</v>
      </c>
      <c r="D5755" t="s">
        <v>5</v>
      </c>
      <c r="F5755" t="str" cm="1">
        <f t="array" ref="F5755">CategorizeComment(E5755)</f>
        <v>Other</v>
      </c>
      <c r="G5755" t="str" cm="1">
        <f t="array" ref="G5755">SubCategorizeComment(E5755)</f>
        <v>Other</v>
      </c>
    </row>
    <row r="5756" spans="1:7" x14ac:dyDescent="0.25">
      <c r="A5756">
        <v>48010</v>
      </c>
      <c r="B5756" t="s">
        <v>4</v>
      </c>
      <c r="C5756">
        <v>4</v>
      </c>
      <c r="D5756" t="s">
        <v>5</v>
      </c>
      <c r="F5756" t="str" cm="1">
        <f t="array" ref="F5756">CategorizeComment(E5756)</f>
        <v>Other</v>
      </c>
      <c r="G5756" t="str" cm="1">
        <f t="array" ref="G5756">SubCategorizeComment(E5756)</f>
        <v>Other</v>
      </c>
    </row>
    <row r="5757" spans="1:7" x14ac:dyDescent="0.25">
      <c r="A5757">
        <v>48018</v>
      </c>
      <c r="B5757" t="s">
        <v>4</v>
      </c>
      <c r="C5757">
        <v>3</v>
      </c>
      <c r="D5757" t="s">
        <v>5</v>
      </c>
      <c r="F5757" t="str" cm="1">
        <f t="array" ref="F5757">CategorizeComment(E5757)</f>
        <v>Other</v>
      </c>
      <c r="G5757" t="str" cm="1">
        <f t="array" ref="G5757">SubCategorizeComment(E5757)</f>
        <v>Other</v>
      </c>
    </row>
    <row r="5758" spans="1:7" x14ac:dyDescent="0.25">
      <c r="A5758">
        <v>48020</v>
      </c>
      <c r="B5758" t="s">
        <v>4</v>
      </c>
      <c r="C5758">
        <v>4</v>
      </c>
      <c r="D5758" t="s">
        <v>5</v>
      </c>
      <c r="F5758" t="str" cm="1">
        <f t="array" ref="F5758">CategorizeComment(E5758)</f>
        <v>Other</v>
      </c>
      <c r="G5758" t="str" cm="1">
        <f t="array" ref="G5758">SubCategorizeComment(E5758)</f>
        <v>Other</v>
      </c>
    </row>
    <row r="5759" spans="1:7" x14ac:dyDescent="0.25">
      <c r="A5759">
        <v>48029</v>
      </c>
      <c r="B5759" t="s">
        <v>4</v>
      </c>
      <c r="C5759">
        <v>3</v>
      </c>
      <c r="D5759" t="s">
        <v>5</v>
      </c>
      <c r="F5759" t="str" cm="1">
        <f t="array" ref="F5759">CategorizeComment(E5759)</f>
        <v>Other</v>
      </c>
      <c r="G5759" t="str" cm="1">
        <f t="array" ref="G5759">SubCategorizeComment(E5759)</f>
        <v>Other</v>
      </c>
    </row>
    <row r="5760" spans="1:7" x14ac:dyDescent="0.25">
      <c r="A5760">
        <v>48031</v>
      </c>
      <c r="B5760" t="s">
        <v>4</v>
      </c>
      <c r="C5760">
        <v>4</v>
      </c>
      <c r="D5760" t="s">
        <v>5</v>
      </c>
      <c r="F5760" t="str" cm="1">
        <f t="array" ref="F5760">CategorizeComment(E5760)</f>
        <v>Other</v>
      </c>
      <c r="G5760" t="str" cm="1">
        <f t="array" ref="G5760">SubCategorizeComment(E5760)</f>
        <v>Other</v>
      </c>
    </row>
    <row r="5761" spans="1:7" x14ac:dyDescent="0.25">
      <c r="A5761">
        <v>48033</v>
      </c>
      <c r="B5761" t="s">
        <v>4</v>
      </c>
      <c r="C5761">
        <v>3</v>
      </c>
      <c r="D5761" t="s">
        <v>5</v>
      </c>
      <c r="F5761" t="str" cm="1">
        <f t="array" ref="F5761">CategorizeComment(E5761)</f>
        <v>Other</v>
      </c>
      <c r="G5761" t="str" cm="1">
        <f t="array" ref="G5761">SubCategorizeComment(E5761)</f>
        <v>Other</v>
      </c>
    </row>
    <row r="5762" spans="1:7" x14ac:dyDescent="0.25">
      <c r="A5762">
        <v>48042</v>
      </c>
      <c r="B5762" t="s">
        <v>4</v>
      </c>
      <c r="C5762">
        <v>3</v>
      </c>
      <c r="D5762" t="s">
        <v>5</v>
      </c>
      <c r="F5762" t="str" cm="1">
        <f t="array" ref="F5762">CategorizeComment(E5762)</f>
        <v>Other</v>
      </c>
      <c r="G5762" t="str" cm="1">
        <f t="array" ref="G5762">SubCategorizeComment(E5762)</f>
        <v>Other</v>
      </c>
    </row>
    <row r="5763" spans="1:7" x14ac:dyDescent="0.25">
      <c r="A5763">
        <v>48044</v>
      </c>
      <c r="B5763" t="s">
        <v>4</v>
      </c>
      <c r="C5763">
        <v>4</v>
      </c>
      <c r="D5763" t="s">
        <v>5</v>
      </c>
      <c r="F5763" t="str" cm="1">
        <f t="array" ref="F5763">CategorizeComment(E5763)</f>
        <v>Other</v>
      </c>
      <c r="G5763" t="str" cm="1">
        <f t="array" ref="G5763">SubCategorizeComment(E5763)</f>
        <v>Other</v>
      </c>
    </row>
    <row r="5764" spans="1:7" x14ac:dyDescent="0.25">
      <c r="A5764">
        <v>48050</v>
      </c>
      <c r="B5764" t="s">
        <v>4</v>
      </c>
      <c r="C5764">
        <v>4</v>
      </c>
      <c r="D5764" t="s">
        <v>5</v>
      </c>
      <c r="F5764" t="str" cm="1">
        <f t="array" ref="F5764">CategorizeComment(E5764)</f>
        <v>Other</v>
      </c>
      <c r="G5764" t="str" cm="1">
        <f t="array" ref="G5764">SubCategorizeComment(E5764)</f>
        <v>Other</v>
      </c>
    </row>
    <row r="5765" spans="1:7" x14ac:dyDescent="0.25">
      <c r="A5765">
        <v>48070</v>
      </c>
      <c r="B5765" t="s">
        <v>4</v>
      </c>
      <c r="C5765">
        <v>4</v>
      </c>
      <c r="D5765" t="s">
        <v>5</v>
      </c>
      <c r="F5765" t="str" cm="1">
        <f t="array" ref="F5765">CategorizeComment(E5765)</f>
        <v>Other</v>
      </c>
      <c r="G5765" t="str" cm="1">
        <f t="array" ref="G5765">SubCategorizeComment(E5765)</f>
        <v>Other</v>
      </c>
    </row>
    <row r="5766" spans="1:7" x14ac:dyDescent="0.25">
      <c r="A5766">
        <v>48071</v>
      </c>
      <c r="B5766" t="s">
        <v>4</v>
      </c>
      <c r="C5766">
        <v>3</v>
      </c>
      <c r="D5766" t="s">
        <v>5</v>
      </c>
      <c r="F5766" t="str" cm="1">
        <f t="array" ref="F5766">CategorizeComment(E5766)</f>
        <v>Other</v>
      </c>
      <c r="G5766" t="str" cm="1">
        <f t="array" ref="G5766">SubCategorizeComment(E5766)</f>
        <v>Other</v>
      </c>
    </row>
    <row r="5767" spans="1:7" x14ac:dyDescent="0.25">
      <c r="A5767">
        <v>48074</v>
      </c>
      <c r="B5767" t="s">
        <v>4</v>
      </c>
      <c r="C5767">
        <v>4</v>
      </c>
      <c r="D5767" t="s">
        <v>5</v>
      </c>
      <c r="F5767" t="str" cm="1">
        <f t="array" ref="F5767">CategorizeComment(E5767)</f>
        <v>Other</v>
      </c>
      <c r="G5767" t="str" cm="1">
        <f t="array" ref="G5767">SubCategorizeComment(E5767)</f>
        <v>Other</v>
      </c>
    </row>
    <row r="5768" spans="1:7" x14ac:dyDescent="0.25">
      <c r="A5768">
        <v>48122</v>
      </c>
      <c r="B5768" t="s">
        <v>4</v>
      </c>
      <c r="C5768">
        <v>4</v>
      </c>
      <c r="D5768" t="s">
        <v>5</v>
      </c>
      <c r="F5768" t="str" cm="1">
        <f t="array" ref="F5768">CategorizeComment(E5768)</f>
        <v>Other</v>
      </c>
      <c r="G5768" t="str" cm="1">
        <f t="array" ref="G5768">SubCategorizeComment(E5768)</f>
        <v>Other</v>
      </c>
    </row>
    <row r="5769" spans="1:7" x14ac:dyDescent="0.25">
      <c r="A5769">
        <v>48141</v>
      </c>
      <c r="B5769" t="s">
        <v>4</v>
      </c>
      <c r="C5769">
        <v>4</v>
      </c>
      <c r="D5769" t="s">
        <v>5</v>
      </c>
      <c r="F5769" t="str" cm="1">
        <f t="array" ref="F5769">CategorizeComment(E5769)</f>
        <v>Other</v>
      </c>
      <c r="G5769" t="str" cm="1">
        <f t="array" ref="G5769">SubCategorizeComment(E5769)</f>
        <v>Other</v>
      </c>
    </row>
    <row r="5770" spans="1:7" x14ac:dyDescent="0.25">
      <c r="A5770">
        <v>48157</v>
      </c>
      <c r="B5770" t="s">
        <v>4</v>
      </c>
      <c r="C5770">
        <v>4</v>
      </c>
      <c r="D5770" t="s">
        <v>5</v>
      </c>
      <c r="F5770" t="str" cm="1">
        <f t="array" ref="F5770">CategorizeComment(E5770)</f>
        <v>Other</v>
      </c>
      <c r="G5770" t="str" cm="1">
        <f t="array" ref="G5770">SubCategorizeComment(E5770)</f>
        <v>Other</v>
      </c>
    </row>
    <row r="5771" spans="1:7" x14ac:dyDescent="0.25">
      <c r="A5771">
        <v>48168</v>
      </c>
      <c r="B5771" t="s">
        <v>4</v>
      </c>
      <c r="C5771">
        <v>3</v>
      </c>
      <c r="D5771" t="s">
        <v>5</v>
      </c>
      <c r="F5771" t="str" cm="1">
        <f t="array" ref="F5771">CategorizeComment(E5771)</f>
        <v>Other</v>
      </c>
      <c r="G5771" t="str" cm="1">
        <f t="array" ref="G5771">SubCategorizeComment(E5771)</f>
        <v>Other</v>
      </c>
    </row>
    <row r="5772" spans="1:7" x14ac:dyDescent="0.25">
      <c r="A5772">
        <v>48181</v>
      </c>
      <c r="B5772" t="s">
        <v>4</v>
      </c>
      <c r="C5772">
        <v>4</v>
      </c>
      <c r="D5772" t="s">
        <v>5</v>
      </c>
      <c r="F5772" t="str" cm="1">
        <f t="array" ref="F5772">CategorizeComment(E5772)</f>
        <v>Other</v>
      </c>
      <c r="G5772" t="str" cm="1">
        <f t="array" ref="G5772">SubCategorizeComment(E5772)</f>
        <v>Other</v>
      </c>
    </row>
    <row r="5773" spans="1:7" x14ac:dyDescent="0.25">
      <c r="A5773">
        <v>48183</v>
      </c>
      <c r="B5773" t="s">
        <v>4</v>
      </c>
      <c r="C5773">
        <v>4</v>
      </c>
      <c r="D5773" t="s">
        <v>5</v>
      </c>
      <c r="F5773" t="str" cm="1">
        <f t="array" ref="F5773">CategorizeComment(E5773)</f>
        <v>Other</v>
      </c>
      <c r="G5773" t="str" cm="1">
        <f t="array" ref="G5773">SubCategorizeComment(E5773)</f>
        <v>Other</v>
      </c>
    </row>
    <row r="5774" spans="1:7" x14ac:dyDescent="0.25">
      <c r="A5774">
        <v>48190</v>
      </c>
      <c r="B5774" t="s">
        <v>4</v>
      </c>
      <c r="C5774">
        <v>4</v>
      </c>
      <c r="D5774" t="s">
        <v>5</v>
      </c>
      <c r="F5774" t="str" cm="1">
        <f t="array" ref="F5774">CategorizeComment(E5774)</f>
        <v>Other</v>
      </c>
      <c r="G5774" t="str" cm="1">
        <f t="array" ref="G5774">SubCategorizeComment(E5774)</f>
        <v>Other</v>
      </c>
    </row>
    <row r="5775" spans="1:7" x14ac:dyDescent="0.25">
      <c r="A5775">
        <v>48193</v>
      </c>
      <c r="B5775" t="s">
        <v>4</v>
      </c>
      <c r="C5775">
        <v>3</v>
      </c>
      <c r="D5775" t="s">
        <v>5</v>
      </c>
      <c r="F5775" t="str" cm="1">
        <f t="array" ref="F5775">CategorizeComment(E5775)</f>
        <v>Other</v>
      </c>
      <c r="G5775" t="str" cm="1">
        <f t="array" ref="G5775">SubCategorizeComment(E5775)</f>
        <v>Other</v>
      </c>
    </row>
    <row r="5776" spans="1:7" x14ac:dyDescent="0.25">
      <c r="A5776">
        <v>48196</v>
      </c>
      <c r="B5776" t="s">
        <v>4</v>
      </c>
      <c r="C5776">
        <v>3</v>
      </c>
      <c r="D5776" t="s">
        <v>5</v>
      </c>
      <c r="F5776" t="str" cm="1">
        <f t="array" ref="F5776">CategorizeComment(E5776)</f>
        <v>Other</v>
      </c>
      <c r="G5776" t="str" cm="1">
        <f t="array" ref="G5776">SubCategorizeComment(E5776)</f>
        <v>Other</v>
      </c>
    </row>
    <row r="5777" spans="1:7" x14ac:dyDescent="0.25">
      <c r="A5777">
        <v>48198</v>
      </c>
      <c r="B5777" t="s">
        <v>4</v>
      </c>
      <c r="C5777">
        <v>3</v>
      </c>
      <c r="D5777" t="s">
        <v>5</v>
      </c>
      <c r="F5777" t="str" cm="1">
        <f t="array" ref="F5777">CategorizeComment(E5777)</f>
        <v>Other</v>
      </c>
      <c r="G5777" t="str" cm="1">
        <f t="array" ref="G5777">SubCategorizeComment(E5777)</f>
        <v>Other</v>
      </c>
    </row>
    <row r="5778" spans="1:7" x14ac:dyDescent="0.25">
      <c r="A5778">
        <v>48206</v>
      </c>
      <c r="B5778" t="s">
        <v>4</v>
      </c>
      <c r="C5778">
        <v>4</v>
      </c>
      <c r="D5778" t="s">
        <v>5</v>
      </c>
      <c r="F5778" t="str" cm="1">
        <f t="array" ref="F5778">CategorizeComment(E5778)</f>
        <v>Other</v>
      </c>
      <c r="G5778" t="str" cm="1">
        <f t="array" ref="G5778">SubCategorizeComment(E5778)</f>
        <v>Other</v>
      </c>
    </row>
    <row r="5779" spans="1:7" x14ac:dyDescent="0.25">
      <c r="A5779">
        <v>48209</v>
      </c>
      <c r="B5779" t="s">
        <v>4</v>
      </c>
      <c r="C5779">
        <v>4</v>
      </c>
      <c r="D5779" t="s">
        <v>5</v>
      </c>
      <c r="F5779" t="str" cm="1">
        <f t="array" ref="F5779">CategorizeComment(E5779)</f>
        <v>Other</v>
      </c>
      <c r="G5779" t="str" cm="1">
        <f t="array" ref="G5779">SubCategorizeComment(E5779)</f>
        <v>Other</v>
      </c>
    </row>
    <row r="5780" spans="1:7" x14ac:dyDescent="0.25">
      <c r="A5780">
        <v>48215</v>
      </c>
      <c r="B5780" t="s">
        <v>4</v>
      </c>
      <c r="C5780">
        <v>4</v>
      </c>
      <c r="D5780" t="s">
        <v>5</v>
      </c>
      <c r="F5780" t="str" cm="1">
        <f t="array" ref="F5780">CategorizeComment(E5780)</f>
        <v>Other</v>
      </c>
      <c r="G5780" t="str" cm="1">
        <f t="array" ref="G5780">SubCategorizeComment(E5780)</f>
        <v>Other</v>
      </c>
    </row>
    <row r="5781" spans="1:7" x14ac:dyDescent="0.25">
      <c r="A5781">
        <v>48231</v>
      </c>
      <c r="B5781" t="s">
        <v>4</v>
      </c>
      <c r="C5781">
        <v>4</v>
      </c>
      <c r="D5781" t="s">
        <v>5</v>
      </c>
      <c r="F5781" t="str" cm="1">
        <f t="array" ref="F5781">CategorizeComment(E5781)</f>
        <v>Other</v>
      </c>
      <c r="G5781" t="str" cm="1">
        <f t="array" ref="G5781">SubCategorizeComment(E5781)</f>
        <v>Other</v>
      </c>
    </row>
    <row r="5782" spans="1:7" x14ac:dyDescent="0.25">
      <c r="A5782">
        <v>48244</v>
      </c>
      <c r="B5782" t="s">
        <v>4</v>
      </c>
      <c r="C5782">
        <v>3</v>
      </c>
      <c r="D5782" t="s">
        <v>5</v>
      </c>
      <c r="F5782" t="str" cm="1">
        <f t="array" ref="F5782">CategorizeComment(E5782)</f>
        <v>Other</v>
      </c>
      <c r="G5782" t="str" cm="1">
        <f t="array" ref="G5782">SubCategorizeComment(E5782)</f>
        <v>Other</v>
      </c>
    </row>
    <row r="5783" spans="1:7" x14ac:dyDescent="0.25">
      <c r="A5783">
        <v>48250</v>
      </c>
      <c r="B5783" t="s">
        <v>4</v>
      </c>
      <c r="C5783">
        <v>4</v>
      </c>
      <c r="D5783" t="s">
        <v>5</v>
      </c>
      <c r="F5783" t="str" cm="1">
        <f t="array" ref="F5783">CategorizeComment(E5783)</f>
        <v>Other</v>
      </c>
      <c r="G5783" t="str" cm="1">
        <f t="array" ref="G5783">SubCategorizeComment(E5783)</f>
        <v>Other</v>
      </c>
    </row>
    <row r="5784" spans="1:7" x14ac:dyDescent="0.25">
      <c r="A5784">
        <v>48273</v>
      </c>
      <c r="B5784" t="s">
        <v>4</v>
      </c>
      <c r="C5784">
        <v>4</v>
      </c>
      <c r="D5784" t="s">
        <v>5</v>
      </c>
      <c r="F5784" t="str" cm="1">
        <f t="array" ref="F5784">CategorizeComment(E5784)</f>
        <v>Other</v>
      </c>
      <c r="G5784" t="str" cm="1">
        <f t="array" ref="G5784">SubCategorizeComment(E5784)</f>
        <v>Other</v>
      </c>
    </row>
    <row r="5785" spans="1:7" x14ac:dyDescent="0.25">
      <c r="A5785">
        <v>48274</v>
      </c>
      <c r="B5785" t="s">
        <v>4</v>
      </c>
      <c r="C5785">
        <v>3</v>
      </c>
      <c r="D5785" t="s">
        <v>5</v>
      </c>
      <c r="F5785" t="str" cm="1">
        <f t="array" ref="F5785">CategorizeComment(E5785)</f>
        <v>Other</v>
      </c>
      <c r="G5785" t="str" cm="1">
        <f t="array" ref="G5785">SubCategorizeComment(E5785)</f>
        <v>Other</v>
      </c>
    </row>
    <row r="5786" spans="1:7" x14ac:dyDescent="0.25">
      <c r="A5786">
        <v>48277</v>
      </c>
      <c r="B5786" t="s">
        <v>4</v>
      </c>
      <c r="C5786">
        <v>4</v>
      </c>
      <c r="D5786" t="s">
        <v>5</v>
      </c>
      <c r="F5786" t="str" cm="1">
        <f t="array" ref="F5786">CategorizeComment(E5786)</f>
        <v>Other</v>
      </c>
      <c r="G5786" t="str" cm="1">
        <f t="array" ref="G5786">SubCategorizeComment(E5786)</f>
        <v>Other</v>
      </c>
    </row>
    <row r="5787" spans="1:7" x14ac:dyDescent="0.25">
      <c r="A5787">
        <v>48284</v>
      </c>
      <c r="B5787" t="s">
        <v>4</v>
      </c>
      <c r="C5787">
        <v>3</v>
      </c>
      <c r="D5787" t="s">
        <v>5</v>
      </c>
      <c r="F5787" t="str" cm="1">
        <f t="array" ref="F5787">CategorizeComment(E5787)</f>
        <v>Other</v>
      </c>
      <c r="G5787" t="str" cm="1">
        <f t="array" ref="G5787">SubCategorizeComment(E5787)</f>
        <v>Other</v>
      </c>
    </row>
    <row r="5788" spans="1:7" x14ac:dyDescent="0.25">
      <c r="A5788">
        <v>48297</v>
      </c>
      <c r="B5788" t="s">
        <v>4</v>
      </c>
      <c r="C5788">
        <v>3</v>
      </c>
      <c r="D5788" t="s">
        <v>5</v>
      </c>
      <c r="F5788" t="str" cm="1">
        <f t="array" ref="F5788">CategorizeComment(E5788)</f>
        <v>Other</v>
      </c>
      <c r="G5788" t="str" cm="1">
        <f t="array" ref="G5788">SubCategorizeComment(E5788)</f>
        <v>Other</v>
      </c>
    </row>
    <row r="5789" spans="1:7" x14ac:dyDescent="0.25">
      <c r="A5789">
        <v>48305</v>
      </c>
      <c r="B5789" t="s">
        <v>4</v>
      </c>
      <c r="C5789">
        <v>3</v>
      </c>
      <c r="D5789" t="s">
        <v>5</v>
      </c>
      <c r="F5789" t="str" cm="1">
        <f t="array" ref="F5789">CategorizeComment(E5789)</f>
        <v>Other</v>
      </c>
      <c r="G5789" t="str" cm="1">
        <f t="array" ref="G5789">SubCategorizeComment(E5789)</f>
        <v>Other</v>
      </c>
    </row>
    <row r="5790" spans="1:7" x14ac:dyDescent="0.25">
      <c r="A5790">
        <v>48308</v>
      </c>
      <c r="B5790" t="s">
        <v>4</v>
      </c>
      <c r="C5790">
        <v>3</v>
      </c>
      <c r="D5790" t="s">
        <v>5</v>
      </c>
      <c r="F5790" t="str" cm="1">
        <f t="array" ref="F5790">CategorizeComment(E5790)</f>
        <v>Other</v>
      </c>
      <c r="G5790" t="str" cm="1">
        <f t="array" ref="G5790">SubCategorizeComment(E5790)</f>
        <v>Other</v>
      </c>
    </row>
    <row r="5791" spans="1:7" x14ac:dyDescent="0.25">
      <c r="A5791">
        <v>48332</v>
      </c>
      <c r="B5791" t="s">
        <v>4</v>
      </c>
      <c r="C5791">
        <v>4</v>
      </c>
      <c r="D5791" t="s">
        <v>5</v>
      </c>
      <c r="F5791" t="str" cm="1">
        <f t="array" ref="F5791">CategorizeComment(E5791)</f>
        <v>Other</v>
      </c>
      <c r="G5791" t="str" cm="1">
        <f t="array" ref="G5791">SubCategorizeComment(E5791)</f>
        <v>Other</v>
      </c>
    </row>
    <row r="5792" spans="1:7" x14ac:dyDescent="0.25">
      <c r="A5792">
        <v>48348</v>
      </c>
      <c r="B5792" t="s">
        <v>4</v>
      </c>
      <c r="C5792">
        <v>4</v>
      </c>
      <c r="D5792" t="s">
        <v>5</v>
      </c>
      <c r="F5792" t="str" cm="1">
        <f t="array" ref="F5792">CategorizeComment(E5792)</f>
        <v>Other</v>
      </c>
      <c r="G5792" t="str" cm="1">
        <f t="array" ref="G5792">SubCategorizeComment(E5792)</f>
        <v>Other</v>
      </c>
    </row>
    <row r="5793" spans="1:7" x14ac:dyDescent="0.25">
      <c r="A5793">
        <v>48356</v>
      </c>
      <c r="B5793" t="s">
        <v>4</v>
      </c>
      <c r="C5793">
        <v>3</v>
      </c>
      <c r="D5793" t="s">
        <v>5</v>
      </c>
      <c r="F5793" t="str" cm="1">
        <f t="array" ref="F5793">CategorizeComment(E5793)</f>
        <v>Other</v>
      </c>
      <c r="G5793" t="str" cm="1">
        <f t="array" ref="G5793">SubCategorizeComment(E5793)</f>
        <v>Other</v>
      </c>
    </row>
    <row r="5794" spans="1:7" x14ac:dyDescent="0.25">
      <c r="A5794">
        <v>48359</v>
      </c>
      <c r="B5794" t="s">
        <v>4</v>
      </c>
      <c r="C5794">
        <v>3</v>
      </c>
      <c r="D5794" t="s">
        <v>5</v>
      </c>
      <c r="F5794" t="str" cm="1">
        <f t="array" ref="F5794">CategorizeComment(E5794)</f>
        <v>Other</v>
      </c>
      <c r="G5794" t="str" cm="1">
        <f t="array" ref="G5794">SubCategorizeComment(E5794)</f>
        <v>Other</v>
      </c>
    </row>
    <row r="5795" spans="1:7" x14ac:dyDescent="0.25">
      <c r="A5795">
        <v>48361</v>
      </c>
      <c r="B5795" t="s">
        <v>4</v>
      </c>
      <c r="C5795">
        <v>3</v>
      </c>
      <c r="D5795" t="s">
        <v>5</v>
      </c>
      <c r="F5795" t="str" cm="1">
        <f t="array" ref="F5795">CategorizeComment(E5795)</f>
        <v>Other</v>
      </c>
      <c r="G5795" t="str" cm="1">
        <f t="array" ref="G5795">SubCategorizeComment(E5795)</f>
        <v>Other</v>
      </c>
    </row>
    <row r="5796" spans="1:7" x14ac:dyDescent="0.25">
      <c r="A5796">
        <v>48364</v>
      </c>
      <c r="B5796" t="s">
        <v>4</v>
      </c>
      <c r="C5796">
        <v>4</v>
      </c>
      <c r="D5796" t="s">
        <v>5</v>
      </c>
      <c r="F5796" t="str" cm="1">
        <f t="array" ref="F5796">CategorizeComment(E5796)</f>
        <v>Other</v>
      </c>
      <c r="G5796" t="str" cm="1">
        <f t="array" ref="G5796">SubCategorizeComment(E5796)</f>
        <v>Other</v>
      </c>
    </row>
    <row r="5797" spans="1:7" x14ac:dyDescent="0.25">
      <c r="A5797">
        <v>48376</v>
      </c>
      <c r="B5797" t="s">
        <v>4</v>
      </c>
      <c r="C5797">
        <v>4</v>
      </c>
      <c r="D5797" t="s">
        <v>5</v>
      </c>
      <c r="F5797" t="str" cm="1">
        <f t="array" ref="F5797">CategorizeComment(E5797)</f>
        <v>Other</v>
      </c>
      <c r="G5797" t="str" cm="1">
        <f t="array" ref="G5797">SubCategorizeComment(E5797)</f>
        <v>Other</v>
      </c>
    </row>
    <row r="5798" spans="1:7" x14ac:dyDescent="0.25">
      <c r="A5798">
        <v>48391</v>
      </c>
      <c r="B5798" t="s">
        <v>4</v>
      </c>
      <c r="C5798">
        <v>3</v>
      </c>
      <c r="D5798" t="s">
        <v>5</v>
      </c>
      <c r="F5798" t="str" cm="1">
        <f t="array" ref="F5798">CategorizeComment(E5798)</f>
        <v>Other</v>
      </c>
      <c r="G5798" t="str" cm="1">
        <f t="array" ref="G5798">SubCategorizeComment(E5798)</f>
        <v>Other</v>
      </c>
    </row>
    <row r="5799" spans="1:7" x14ac:dyDescent="0.25">
      <c r="A5799">
        <v>48405</v>
      </c>
      <c r="B5799" t="s">
        <v>4</v>
      </c>
      <c r="C5799">
        <v>3</v>
      </c>
      <c r="D5799" t="s">
        <v>5</v>
      </c>
      <c r="F5799" t="str" cm="1">
        <f t="array" ref="F5799">CategorizeComment(E5799)</f>
        <v>Other</v>
      </c>
      <c r="G5799" t="str" cm="1">
        <f t="array" ref="G5799">SubCategorizeComment(E5799)</f>
        <v>Other</v>
      </c>
    </row>
    <row r="5800" spans="1:7" x14ac:dyDescent="0.25">
      <c r="A5800">
        <v>48409</v>
      </c>
      <c r="B5800" t="s">
        <v>4</v>
      </c>
      <c r="C5800">
        <v>3</v>
      </c>
      <c r="D5800" t="s">
        <v>5</v>
      </c>
      <c r="F5800" t="str" cm="1">
        <f t="array" ref="F5800">CategorizeComment(E5800)</f>
        <v>Other</v>
      </c>
      <c r="G5800" t="str" cm="1">
        <f t="array" ref="G5800">SubCategorizeComment(E5800)</f>
        <v>Other</v>
      </c>
    </row>
    <row r="5801" spans="1:7" x14ac:dyDescent="0.25">
      <c r="A5801">
        <v>48410</v>
      </c>
      <c r="B5801" t="s">
        <v>4</v>
      </c>
      <c r="C5801">
        <v>3</v>
      </c>
      <c r="D5801" t="s">
        <v>5</v>
      </c>
      <c r="F5801" t="str" cm="1">
        <f t="array" ref="F5801">CategorizeComment(E5801)</f>
        <v>Other</v>
      </c>
      <c r="G5801" t="str" cm="1">
        <f t="array" ref="G5801">SubCategorizeComment(E5801)</f>
        <v>Other</v>
      </c>
    </row>
    <row r="5802" spans="1:7" x14ac:dyDescent="0.25">
      <c r="A5802">
        <v>48426</v>
      </c>
      <c r="B5802" t="s">
        <v>4</v>
      </c>
      <c r="C5802">
        <v>4</v>
      </c>
      <c r="D5802" t="s">
        <v>5</v>
      </c>
      <c r="F5802" t="str" cm="1">
        <f t="array" ref="F5802">CategorizeComment(E5802)</f>
        <v>Other</v>
      </c>
      <c r="G5802" t="str" cm="1">
        <f t="array" ref="G5802">SubCategorizeComment(E5802)</f>
        <v>Other</v>
      </c>
    </row>
    <row r="5803" spans="1:7" x14ac:dyDescent="0.25">
      <c r="A5803">
        <v>48468</v>
      </c>
      <c r="B5803" t="s">
        <v>4</v>
      </c>
      <c r="C5803">
        <v>4</v>
      </c>
      <c r="D5803" t="s">
        <v>5</v>
      </c>
      <c r="F5803" t="str" cm="1">
        <f t="array" ref="F5803">CategorizeComment(E5803)</f>
        <v>Other</v>
      </c>
      <c r="G5803" t="str" cm="1">
        <f t="array" ref="G5803">SubCategorizeComment(E5803)</f>
        <v>Other</v>
      </c>
    </row>
    <row r="5804" spans="1:7" x14ac:dyDescent="0.25">
      <c r="A5804">
        <v>48471</v>
      </c>
      <c r="B5804" t="s">
        <v>4</v>
      </c>
      <c r="C5804">
        <v>3</v>
      </c>
      <c r="D5804" t="s">
        <v>5</v>
      </c>
      <c r="F5804" t="str" cm="1">
        <f t="array" ref="F5804">CategorizeComment(E5804)</f>
        <v>Other</v>
      </c>
      <c r="G5804" t="str" cm="1">
        <f t="array" ref="G5804">SubCategorizeComment(E5804)</f>
        <v>Other</v>
      </c>
    </row>
    <row r="5805" spans="1:7" x14ac:dyDescent="0.25">
      <c r="A5805">
        <v>48473</v>
      </c>
      <c r="B5805" t="s">
        <v>4</v>
      </c>
      <c r="C5805">
        <v>4</v>
      </c>
      <c r="D5805" t="s">
        <v>5</v>
      </c>
      <c r="F5805" t="str" cm="1">
        <f t="array" ref="F5805">CategorizeComment(E5805)</f>
        <v>Other</v>
      </c>
      <c r="G5805" t="str" cm="1">
        <f t="array" ref="G5805">SubCategorizeComment(E5805)</f>
        <v>Other</v>
      </c>
    </row>
    <row r="5806" spans="1:7" x14ac:dyDescent="0.25">
      <c r="A5806">
        <v>48485</v>
      </c>
      <c r="B5806" t="s">
        <v>4</v>
      </c>
      <c r="C5806">
        <v>3</v>
      </c>
      <c r="D5806" t="s">
        <v>5</v>
      </c>
      <c r="F5806" t="str" cm="1">
        <f t="array" ref="F5806">CategorizeComment(E5806)</f>
        <v>Other</v>
      </c>
      <c r="G5806" t="str" cm="1">
        <f t="array" ref="G5806">SubCategorizeComment(E5806)</f>
        <v>Other</v>
      </c>
    </row>
    <row r="5807" spans="1:7" x14ac:dyDescent="0.25">
      <c r="A5807">
        <v>48501</v>
      </c>
      <c r="B5807" t="s">
        <v>4</v>
      </c>
      <c r="C5807">
        <v>3</v>
      </c>
      <c r="D5807" t="s">
        <v>5</v>
      </c>
      <c r="F5807" t="str" cm="1">
        <f t="array" ref="F5807">CategorizeComment(E5807)</f>
        <v>Other</v>
      </c>
      <c r="G5807" t="str" cm="1">
        <f t="array" ref="G5807">SubCategorizeComment(E5807)</f>
        <v>Other</v>
      </c>
    </row>
    <row r="5808" spans="1:7" x14ac:dyDescent="0.25">
      <c r="A5808">
        <v>48514</v>
      </c>
      <c r="B5808" t="s">
        <v>4</v>
      </c>
      <c r="C5808">
        <v>3</v>
      </c>
      <c r="D5808" t="s">
        <v>5</v>
      </c>
      <c r="F5808" t="str" cm="1">
        <f t="array" ref="F5808">CategorizeComment(E5808)</f>
        <v>Other</v>
      </c>
      <c r="G5808" t="str" cm="1">
        <f t="array" ref="G5808">SubCategorizeComment(E5808)</f>
        <v>Other</v>
      </c>
    </row>
    <row r="5809" spans="1:7" x14ac:dyDescent="0.25">
      <c r="A5809">
        <v>48515</v>
      </c>
      <c r="B5809" t="s">
        <v>4</v>
      </c>
      <c r="C5809">
        <v>3</v>
      </c>
      <c r="D5809" t="s">
        <v>5</v>
      </c>
      <c r="F5809" t="str" cm="1">
        <f t="array" ref="F5809">CategorizeComment(E5809)</f>
        <v>Other</v>
      </c>
      <c r="G5809" t="str" cm="1">
        <f t="array" ref="G5809">SubCategorizeComment(E5809)</f>
        <v>Other</v>
      </c>
    </row>
    <row r="5810" spans="1:7" x14ac:dyDescent="0.25">
      <c r="A5810">
        <v>48520</v>
      </c>
      <c r="B5810" t="s">
        <v>4</v>
      </c>
      <c r="C5810">
        <v>3</v>
      </c>
      <c r="D5810" t="s">
        <v>5</v>
      </c>
      <c r="F5810" t="str" cm="1">
        <f t="array" ref="F5810">CategorizeComment(E5810)</f>
        <v>Other</v>
      </c>
      <c r="G5810" t="str" cm="1">
        <f t="array" ref="G5810">SubCategorizeComment(E5810)</f>
        <v>Other</v>
      </c>
    </row>
    <row r="5811" spans="1:7" x14ac:dyDescent="0.25">
      <c r="A5811">
        <v>48524</v>
      </c>
      <c r="B5811" t="s">
        <v>4</v>
      </c>
      <c r="C5811">
        <v>3</v>
      </c>
      <c r="D5811" t="s">
        <v>5</v>
      </c>
      <c r="F5811" t="str" cm="1">
        <f t="array" ref="F5811">CategorizeComment(E5811)</f>
        <v>Other</v>
      </c>
      <c r="G5811" t="str" cm="1">
        <f t="array" ref="G5811">SubCategorizeComment(E5811)</f>
        <v>Other</v>
      </c>
    </row>
    <row r="5812" spans="1:7" x14ac:dyDescent="0.25">
      <c r="A5812">
        <v>48525</v>
      </c>
      <c r="B5812" t="s">
        <v>4</v>
      </c>
      <c r="C5812">
        <v>3</v>
      </c>
      <c r="D5812" t="s">
        <v>5</v>
      </c>
      <c r="F5812" t="str" cm="1">
        <f t="array" ref="F5812">CategorizeComment(E5812)</f>
        <v>Other</v>
      </c>
      <c r="G5812" t="str" cm="1">
        <f t="array" ref="G5812">SubCategorizeComment(E5812)</f>
        <v>Other</v>
      </c>
    </row>
    <row r="5813" spans="1:7" x14ac:dyDescent="0.25">
      <c r="A5813">
        <v>48527</v>
      </c>
      <c r="B5813" t="s">
        <v>4</v>
      </c>
      <c r="C5813">
        <v>3</v>
      </c>
      <c r="D5813" t="s">
        <v>5</v>
      </c>
      <c r="F5813" t="str" cm="1">
        <f t="array" ref="F5813">CategorizeComment(E5813)</f>
        <v>Other</v>
      </c>
      <c r="G5813" t="str" cm="1">
        <f t="array" ref="G5813">SubCategorizeComment(E5813)</f>
        <v>Other</v>
      </c>
    </row>
    <row r="5814" spans="1:7" x14ac:dyDescent="0.25">
      <c r="A5814">
        <v>48530</v>
      </c>
      <c r="B5814" t="s">
        <v>4</v>
      </c>
      <c r="C5814">
        <v>3</v>
      </c>
      <c r="D5814" t="s">
        <v>5</v>
      </c>
      <c r="F5814" t="str" cm="1">
        <f t="array" ref="F5814">CategorizeComment(E5814)</f>
        <v>Other</v>
      </c>
      <c r="G5814" t="str" cm="1">
        <f t="array" ref="G5814">SubCategorizeComment(E5814)</f>
        <v>Other</v>
      </c>
    </row>
    <row r="5815" spans="1:7" x14ac:dyDescent="0.25">
      <c r="A5815">
        <v>48539</v>
      </c>
      <c r="B5815" t="s">
        <v>4</v>
      </c>
      <c r="C5815">
        <v>4</v>
      </c>
      <c r="D5815" t="s">
        <v>5</v>
      </c>
      <c r="F5815" t="str" cm="1">
        <f t="array" ref="F5815">CategorizeComment(E5815)</f>
        <v>Other</v>
      </c>
      <c r="G5815" t="str" cm="1">
        <f t="array" ref="G5815">SubCategorizeComment(E5815)</f>
        <v>Other</v>
      </c>
    </row>
    <row r="5816" spans="1:7" x14ac:dyDescent="0.25">
      <c r="A5816">
        <v>48544</v>
      </c>
      <c r="B5816" t="s">
        <v>4</v>
      </c>
      <c r="C5816">
        <v>3</v>
      </c>
      <c r="D5816" t="s">
        <v>5</v>
      </c>
      <c r="F5816" t="str" cm="1">
        <f t="array" ref="F5816">CategorizeComment(E5816)</f>
        <v>Other</v>
      </c>
      <c r="G5816" t="str" cm="1">
        <f t="array" ref="G5816">SubCategorizeComment(E5816)</f>
        <v>Other</v>
      </c>
    </row>
    <row r="5817" spans="1:7" x14ac:dyDescent="0.25">
      <c r="A5817">
        <v>48556</v>
      </c>
      <c r="B5817" t="s">
        <v>4</v>
      </c>
      <c r="C5817">
        <v>3</v>
      </c>
      <c r="D5817" t="s">
        <v>5</v>
      </c>
      <c r="F5817" t="str" cm="1">
        <f t="array" ref="F5817">CategorizeComment(E5817)</f>
        <v>Other</v>
      </c>
      <c r="G5817" t="str" cm="1">
        <f t="array" ref="G5817">SubCategorizeComment(E5817)</f>
        <v>Other</v>
      </c>
    </row>
    <row r="5818" spans="1:7" x14ac:dyDescent="0.25">
      <c r="A5818">
        <v>48570</v>
      </c>
      <c r="B5818" t="s">
        <v>4</v>
      </c>
      <c r="C5818">
        <v>3</v>
      </c>
      <c r="D5818" t="s">
        <v>5</v>
      </c>
      <c r="F5818" t="str" cm="1">
        <f t="array" ref="F5818">CategorizeComment(E5818)</f>
        <v>Other</v>
      </c>
      <c r="G5818" t="str" cm="1">
        <f t="array" ref="G5818">SubCategorizeComment(E5818)</f>
        <v>Other</v>
      </c>
    </row>
    <row r="5819" spans="1:7" x14ac:dyDescent="0.25">
      <c r="A5819">
        <v>48571</v>
      </c>
      <c r="B5819" t="s">
        <v>4</v>
      </c>
      <c r="C5819">
        <v>3</v>
      </c>
      <c r="D5819" t="s">
        <v>5</v>
      </c>
      <c r="F5819" t="str" cm="1">
        <f t="array" ref="F5819">CategorizeComment(E5819)</f>
        <v>Other</v>
      </c>
      <c r="G5819" t="str" cm="1">
        <f t="array" ref="G5819">SubCategorizeComment(E5819)</f>
        <v>Other</v>
      </c>
    </row>
    <row r="5820" spans="1:7" x14ac:dyDescent="0.25">
      <c r="A5820">
        <v>48577</v>
      </c>
      <c r="B5820" t="s">
        <v>4</v>
      </c>
      <c r="C5820">
        <v>4</v>
      </c>
      <c r="D5820" t="s">
        <v>5</v>
      </c>
      <c r="F5820" t="str" cm="1">
        <f t="array" ref="F5820">CategorizeComment(E5820)</f>
        <v>Other</v>
      </c>
      <c r="G5820" t="str" cm="1">
        <f t="array" ref="G5820">SubCategorizeComment(E5820)</f>
        <v>Other</v>
      </c>
    </row>
    <row r="5821" spans="1:7" x14ac:dyDescent="0.25">
      <c r="A5821">
        <v>48597</v>
      </c>
      <c r="B5821" t="s">
        <v>4</v>
      </c>
      <c r="C5821">
        <v>4</v>
      </c>
      <c r="D5821" t="s">
        <v>5</v>
      </c>
      <c r="F5821" t="str" cm="1">
        <f t="array" ref="F5821">CategorizeComment(E5821)</f>
        <v>Other</v>
      </c>
      <c r="G5821" t="str" cm="1">
        <f t="array" ref="G5821">SubCategorizeComment(E5821)</f>
        <v>Other</v>
      </c>
    </row>
    <row r="5822" spans="1:7" x14ac:dyDescent="0.25">
      <c r="A5822">
        <v>48605</v>
      </c>
      <c r="B5822" t="s">
        <v>4</v>
      </c>
      <c r="C5822">
        <v>3</v>
      </c>
      <c r="D5822" t="s">
        <v>5</v>
      </c>
      <c r="F5822" t="str" cm="1">
        <f t="array" ref="F5822">CategorizeComment(E5822)</f>
        <v>Other</v>
      </c>
      <c r="G5822" t="str" cm="1">
        <f t="array" ref="G5822">SubCategorizeComment(E5822)</f>
        <v>Other</v>
      </c>
    </row>
    <row r="5823" spans="1:7" x14ac:dyDescent="0.25">
      <c r="A5823">
        <v>48629</v>
      </c>
      <c r="B5823" t="s">
        <v>4</v>
      </c>
      <c r="C5823">
        <v>3</v>
      </c>
      <c r="D5823" t="s">
        <v>5</v>
      </c>
      <c r="F5823" t="str" cm="1">
        <f t="array" ref="F5823">CategorizeComment(E5823)</f>
        <v>Other</v>
      </c>
      <c r="G5823" t="str" cm="1">
        <f t="array" ref="G5823">SubCategorizeComment(E5823)</f>
        <v>Other</v>
      </c>
    </row>
    <row r="5824" spans="1:7" x14ac:dyDescent="0.25">
      <c r="A5824">
        <v>48632</v>
      </c>
      <c r="B5824" t="s">
        <v>4</v>
      </c>
      <c r="C5824">
        <v>4</v>
      </c>
      <c r="D5824" t="s">
        <v>5</v>
      </c>
      <c r="F5824" t="str" cm="1">
        <f t="array" ref="F5824">CategorizeComment(E5824)</f>
        <v>Other</v>
      </c>
      <c r="G5824" t="str" cm="1">
        <f t="array" ref="G5824">SubCategorizeComment(E5824)</f>
        <v>Other</v>
      </c>
    </row>
    <row r="5825" spans="1:7" x14ac:dyDescent="0.25">
      <c r="A5825">
        <v>48704</v>
      </c>
      <c r="B5825" t="s">
        <v>4</v>
      </c>
      <c r="C5825">
        <v>3</v>
      </c>
      <c r="D5825" t="s">
        <v>5</v>
      </c>
      <c r="F5825" t="str" cm="1">
        <f t="array" ref="F5825">CategorizeComment(E5825)</f>
        <v>Other</v>
      </c>
      <c r="G5825" t="str" cm="1">
        <f t="array" ref="G5825">SubCategorizeComment(E5825)</f>
        <v>Other</v>
      </c>
    </row>
    <row r="5826" spans="1:7" x14ac:dyDescent="0.25">
      <c r="A5826">
        <v>48713</v>
      </c>
      <c r="B5826" t="s">
        <v>4</v>
      </c>
      <c r="C5826">
        <v>3</v>
      </c>
      <c r="D5826" t="s">
        <v>5</v>
      </c>
      <c r="F5826" t="str" cm="1">
        <f t="array" ref="F5826">CategorizeComment(E5826)</f>
        <v>Other</v>
      </c>
      <c r="G5826" t="str" cm="1">
        <f t="array" ref="G5826">SubCategorizeComment(E5826)</f>
        <v>Other</v>
      </c>
    </row>
    <row r="5827" spans="1:7" x14ac:dyDescent="0.25">
      <c r="A5827">
        <v>48716</v>
      </c>
      <c r="B5827" t="s">
        <v>4</v>
      </c>
      <c r="C5827">
        <v>3</v>
      </c>
      <c r="D5827" t="s">
        <v>5</v>
      </c>
      <c r="F5827" t="str" cm="1">
        <f t="array" ref="F5827">CategorizeComment(E5827)</f>
        <v>Other</v>
      </c>
      <c r="G5827" t="str" cm="1">
        <f t="array" ref="G5827">SubCategorizeComment(E5827)</f>
        <v>Other</v>
      </c>
    </row>
    <row r="5828" spans="1:7" x14ac:dyDescent="0.25">
      <c r="A5828">
        <v>48737</v>
      </c>
      <c r="B5828" t="s">
        <v>4</v>
      </c>
      <c r="C5828">
        <v>4</v>
      </c>
      <c r="D5828" t="s">
        <v>5</v>
      </c>
      <c r="F5828" t="str" cm="1">
        <f t="array" ref="F5828">CategorizeComment(E5828)</f>
        <v>Other</v>
      </c>
      <c r="G5828" t="str" cm="1">
        <f t="array" ref="G5828">SubCategorizeComment(E5828)</f>
        <v>Other</v>
      </c>
    </row>
    <row r="5829" spans="1:7" x14ac:dyDescent="0.25">
      <c r="A5829">
        <v>48746</v>
      </c>
      <c r="B5829" t="s">
        <v>4</v>
      </c>
      <c r="C5829">
        <v>4</v>
      </c>
      <c r="D5829" t="s">
        <v>5</v>
      </c>
      <c r="F5829" t="str" cm="1">
        <f t="array" ref="F5829">CategorizeComment(E5829)</f>
        <v>Other</v>
      </c>
      <c r="G5829" t="str" cm="1">
        <f t="array" ref="G5829">SubCategorizeComment(E5829)</f>
        <v>Other</v>
      </c>
    </row>
    <row r="5830" spans="1:7" x14ac:dyDescent="0.25">
      <c r="A5830">
        <v>48749</v>
      </c>
      <c r="B5830" t="s">
        <v>4</v>
      </c>
      <c r="C5830">
        <v>3</v>
      </c>
      <c r="D5830" t="s">
        <v>5</v>
      </c>
      <c r="F5830" t="str" cm="1">
        <f t="array" ref="F5830">CategorizeComment(E5830)</f>
        <v>Other</v>
      </c>
      <c r="G5830" t="str" cm="1">
        <f t="array" ref="G5830">SubCategorizeComment(E5830)</f>
        <v>Other</v>
      </c>
    </row>
    <row r="5831" spans="1:7" x14ac:dyDescent="0.25">
      <c r="A5831">
        <v>48767</v>
      </c>
      <c r="B5831" t="s">
        <v>4</v>
      </c>
      <c r="C5831">
        <v>3</v>
      </c>
      <c r="D5831" t="s">
        <v>5</v>
      </c>
      <c r="F5831" t="str" cm="1">
        <f t="array" ref="F5831">CategorizeComment(E5831)</f>
        <v>Other</v>
      </c>
      <c r="G5831" t="str" cm="1">
        <f t="array" ref="G5831">SubCategorizeComment(E5831)</f>
        <v>Other</v>
      </c>
    </row>
    <row r="5832" spans="1:7" x14ac:dyDescent="0.25">
      <c r="A5832">
        <v>48772</v>
      </c>
      <c r="B5832" t="s">
        <v>4</v>
      </c>
      <c r="C5832">
        <v>3</v>
      </c>
      <c r="D5832" t="s">
        <v>5</v>
      </c>
      <c r="F5832" t="str" cm="1">
        <f t="array" ref="F5832">CategorizeComment(E5832)</f>
        <v>Other</v>
      </c>
      <c r="G5832" t="str" cm="1">
        <f t="array" ref="G5832">SubCategorizeComment(E5832)</f>
        <v>Other</v>
      </c>
    </row>
    <row r="5833" spans="1:7" x14ac:dyDescent="0.25">
      <c r="A5833">
        <v>48776</v>
      </c>
      <c r="B5833" t="s">
        <v>4</v>
      </c>
      <c r="C5833">
        <v>3</v>
      </c>
      <c r="D5833" t="s">
        <v>5</v>
      </c>
      <c r="F5833" t="str" cm="1">
        <f t="array" ref="F5833">CategorizeComment(E5833)</f>
        <v>Other</v>
      </c>
      <c r="G5833" t="str" cm="1">
        <f t="array" ref="G5833">SubCategorizeComment(E5833)</f>
        <v>Other</v>
      </c>
    </row>
    <row r="5834" spans="1:7" x14ac:dyDescent="0.25">
      <c r="A5834">
        <v>48786</v>
      </c>
      <c r="B5834" t="s">
        <v>4</v>
      </c>
      <c r="C5834">
        <v>3</v>
      </c>
      <c r="D5834" t="s">
        <v>5</v>
      </c>
      <c r="F5834" t="str" cm="1">
        <f t="array" ref="F5834">CategorizeComment(E5834)</f>
        <v>Other</v>
      </c>
      <c r="G5834" t="str" cm="1">
        <f t="array" ref="G5834">SubCategorizeComment(E5834)</f>
        <v>Other</v>
      </c>
    </row>
    <row r="5835" spans="1:7" x14ac:dyDescent="0.25">
      <c r="A5835">
        <v>48798</v>
      </c>
      <c r="B5835" t="s">
        <v>4</v>
      </c>
      <c r="C5835">
        <v>3</v>
      </c>
      <c r="D5835" t="s">
        <v>5</v>
      </c>
      <c r="F5835" t="str" cm="1">
        <f t="array" ref="F5835">CategorizeComment(E5835)</f>
        <v>Other</v>
      </c>
      <c r="G5835" t="str" cm="1">
        <f t="array" ref="G5835">SubCategorizeComment(E5835)</f>
        <v>Other</v>
      </c>
    </row>
    <row r="5836" spans="1:7" x14ac:dyDescent="0.25">
      <c r="A5836">
        <v>48806</v>
      </c>
      <c r="B5836" t="s">
        <v>4</v>
      </c>
      <c r="C5836">
        <v>4</v>
      </c>
      <c r="D5836" t="s">
        <v>5</v>
      </c>
      <c r="F5836" t="str" cm="1">
        <f t="array" ref="F5836">CategorizeComment(E5836)</f>
        <v>Other</v>
      </c>
      <c r="G5836" t="str" cm="1">
        <f t="array" ref="G5836">SubCategorizeComment(E5836)</f>
        <v>Other</v>
      </c>
    </row>
    <row r="5837" spans="1:7" x14ac:dyDescent="0.25">
      <c r="A5837">
        <v>48826</v>
      </c>
      <c r="B5837" t="s">
        <v>4</v>
      </c>
      <c r="C5837">
        <v>3</v>
      </c>
      <c r="D5837" t="s">
        <v>5</v>
      </c>
      <c r="F5837" t="str" cm="1">
        <f t="array" ref="F5837">CategorizeComment(E5837)</f>
        <v>Other</v>
      </c>
      <c r="G5837" t="str" cm="1">
        <f t="array" ref="G5837">SubCategorizeComment(E5837)</f>
        <v>Other</v>
      </c>
    </row>
    <row r="5838" spans="1:7" x14ac:dyDescent="0.25">
      <c r="A5838">
        <v>48830</v>
      </c>
      <c r="B5838" t="s">
        <v>4</v>
      </c>
      <c r="C5838">
        <v>4</v>
      </c>
      <c r="D5838" t="s">
        <v>5</v>
      </c>
      <c r="F5838" t="str" cm="1">
        <f t="array" ref="F5838">CategorizeComment(E5838)</f>
        <v>Other</v>
      </c>
      <c r="G5838" t="str" cm="1">
        <f t="array" ref="G5838">SubCategorizeComment(E5838)</f>
        <v>Other</v>
      </c>
    </row>
    <row r="5839" spans="1:7" x14ac:dyDescent="0.25">
      <c r="A5839">
        <v>48834</v>
      </c>
      <c r="B5839" t="s">
        <v>4</v>
      </c>
      <c r="C5839">
        <v>3</v>
      </c>
      <c r="D5839" t="s">
        <v>5</v>
      </c>
      <c r="F5839" t="str" cm="1">
        <f t="array" ref="F5839">CategorizeComment(E5839)</f>
        <v>Other</v>
      </c>
      <c r="G5839" t="str" cm="1">
        <f t="array" ref="G5839">SubCategorizeComment(E5839)</f>
        <v>Other</v>
      </c>
    </row>
    <row r="5840" spans="1:7" x14ac:dyDescent="0.25">
      <c r="A5840">
        <v>48837</v>
      </c>
      <c r="B5840" t="s">
        <v>4</v>
      </c>
      <c r="C5840">
        <v>4</v>
      </c>
      <c r="D5840" t="s">
        <v>5</v>
      </c>
      <c r="F5840" t="str" cm="1">
        <f t="array" ref="F5840">CategorizeComment(E5840)</f>
        <v>Other</v>
      </c>
      <c r="G5840" t="str" cm="1">
        <f t="array" ref="G5840">SubCategorizeComment(E5840)</f>
        <v>Other</v>
      </c>
    </row>
    <row r="5841" spans="1:7" x14ac:dyDescent="0.25">
      <c r="A5841">
        <v>48953</v>
      </c>
      <c r="B5841" t="s">
        <v>4</v>
      </c>
      <c r="C5841">
        <v>4</v>
      </c>
      <c r="D5841" t="s">
        <v>5</v>
      </c>
      <c r="F5841" t="str" cm="1">
        <f t="array" ref="F5841">CategorizeComment(E5841)</f>
        <v>Other</v>
      </c>
      <c r="G5841" t="str" cm="1">
        <f t="array" ref="G5841">SubCategorizeComment(E5841)</f>
        <v>Other</v>
      </c>
    </row>
    <row r="5842" spans="1:7" x14ac:dyDescent="0.25">
      <c r="A5842">
        <v>48956</v>
      </c>
      <c r="B5842" t="s">
        <v>4</v>
      </c>
      <c r="C5842">
        <v>4</v>
      </c>
      <c r="D5842" t="s">
        <v>5</v>
      </c>
      <c r="F5842" t="str" cm="1">
        <f t="array" ref="F5842">CategorizeComment(E5842)</f>
        <v>Other</v>
      </c>
      <c r="G5842" t="str" cm="1">
        <f t="array" ref="G5842">SubCategorizeComment(E5842)</f>
        <v>Other</v>
      </c>
    </row>
    <row r="5843" spans="1:7" x14ac:dyDescent="0.25">
      <c r="A5843">
        <v>48965</v>
      </c>
      <c r="B5843" t="s">
        <v>4</v>
      </c>
      <c r="C5843">
        <v>3</v>
      </c>
      <c r="D5843" t="s">
        <v>5</v>
      </c>
      <c r="F5843" t="str" cm="1">
        <f t="array" ref="F5843">CategorizeComment(E5843)</f>
        <v>Other</v>
      </c>
      <c r="G5843" t="str" cm="1">
        <f t="array" ref="G5843">SubCategorizeComment(E5843)</f>
        <v>Other</v>
      </c>
    </row>
    <row r="5844" spans="1:7" x14ac:dyDescent="0.25">
      <c r="A5844">
        <v>48998</v>
      </c>
      <c r="B5844" t="s">
        <v>4</v>
      </c>
      <c r="C5844">
        <v>3</v>
      </c>
      <c r="D5844" t="s">
        <v>5</v>
      </c>
      <c r="F5844" t="str" cm="1">
        <f t="array" ref="F5844">CategorizeComment(E5844)</f>
        <v>Other</v>
      </c>
      <c r="G5844" t="str" cm="1">
        <f t="array" ref="G5844">SubCategorizeComment(E5844)</f>
        <v>Other</v>
      </c>
    </row>
    <row r="5845" spans="1:7" x14ac:dyDescent="0.25">
      <c r="A5845">
        <v>49018</v>
      </c>
      <c r="B5845" t="s">
        <v>4</v>
      </c>
      <c r="C5845">
        <v>3</v>
      </c>
      <c r="D5845" t="s">
        <v>5</v>
      </c>
      <c r="F5845" t="str" cm="1">
        <f t="array" ref="F5845">CategorizeComment(E5845)</f>
        <v>Other</v>
      </c>
      <c r="G5845" t="str" cm="1">
        <f t="array" ref="G5845">SubCategorizeComment(E5845)</f>
        <v>Other</v>
      </c>
    </row>
    <row r="5846" spans="1:7" x14ac:dyDescent="0.25">
      <c r="A5846">
        <v>49040</v>
      </c>
      <c r="B5846" t="s">
        <v>4</v>
      </c>
      <c r="C5846">
        <v>4</v>
      </c>
      <c r="D5846" t="s">
        <v>5</v>
      </c>
      <c r="F5846" t="str" cm="1">
        <f t="array" ref="F5846">CategorizeComment(E5846)</f>
        <v>Other</v>
      </c>
      <c r="G5846" t="str" cm="1">
        <f t="array" ref="G5846">SubCategorizeComment(E5846)</f>
        <v>Other</v>
      </c>
    </row>
    <row r="5847" spans="1:7" x14ac:dyDescent="0.25">
      <c r="A5847">
        <v>49048</v>
      </c>
      <c r="B5847" t="s">
        <v>4</v>
      </c>
      <c r="C5847">
        <v>3</v>
      </c>
      <c r="D5847" t="s">
        <v>5</v>
      </c>
      <c r="F5847" t="str" cm="1">
        <f t="array" ref="F5847">CategorizeComment(E5847)</f>
        <v>Other</v>
      </c>
      <c r="G5847" t="str" cm="1">
        <f t="array" ref="G5847">SubCategorizeComment(E5847)</f>
        <v>Other</v>
      </c>
    </row>
    <row r="5848" spans="1:7" x14ac:dyDescent="0.25">
      <c r="A5848">
        <v>49050</v>
      </c>
      <c r="B5848" t="s">
        <v>4</v>
      </c>
      <c r="C5848">
        <v>3</v>
      </c>
      <c r="D5848" t="s">
        <v>5</v>
      </c>
      <c r="F5848" t="str" cm="1">
        <f t="array" ref="F5848">CategorizeComment(E5848)</f>
        <v>Other</v>
      </c>
      <c r="G5848" t="str" cm="1">
        <f t="array" ref="G5848">SubCategorizeComment(E5848)</f>
        <v>Other</v>
      </c>
    </row>
    <row r="5849" spans="1:7" x14ac:dyDescent="0.25">
      <c r="A5849">
        <v>49081</v>
      </c>
      <c r="B5849" t="s">
        <v>4</v>
      </c>
      <c r="C5849">
        <v>4</v>
      </c>
      <c r="D5849" t="s">
        <v>5</v>
      </c>
      <c r="F5849" t="str" cm="1">
        <f t="array" ref="F5849">CategorizeComment(E5849)</f>
        <v>Other</v>
      </c>
      <c r="G5849" t="str" cm="1">
        <f t="array" ref="G5849">SubCategorizeComment(E5849)</f>
        <v>Other</v>
      </c>
    </row>
    <row r="5850" spans="1:7" x14ac:dyDescent="0.25">
      <c r="A5850">
        <v>49084</v>
      </c>
      <c r="B5850" t="s">
        <v>4</v>
      </c>
      <c r="C5850">
        <v>3</v>
      </c>
      <c r="D5850" t="s">
        <v>5</v>
      </c>
      <c r="F5850" t="str" cm="1">
        <f t="array" ref="F5850">CategorizeComment(E5850)</f>
        <v>Other</v>
      </c>
      <c r="G5850" t="str" cm="1">
        <f t="array" ref="G5850">SubCategorizeComment(E5850)</f>
        <v>Other</v>
      </c>
    </row>
    <row r="5851" spans="1:7" x14ac:dyDescent="0.25">
      <c r="A5851">
        <v>49182</v>
      </c>
      <c r="B5851" t="s">
        <v>4</v>
      </c>
      <c r="C5851">
        <v>3</v>
      </c>
      <c r="D5851" t="s">
        <v>5</v>
      </c>
      <c r="F5851" t="str" cm="1">
        <f t="array" ref="F5851">CategorizeComment(E5851)</f>
        <v>Other</v>
      </c>
      <c r="G5851" t="str" cm="1">
        <f t="array" ref="G5851">SubCategorizeComment(E5851)</f>
        <v>Other</v>
      </c>
    </row>
    <row r="5852" spans="1:7" x14ac:dyDescent="0.25">
      <c r="A5852">
        <v>49207</v>
      </c>
      <c r="B5852" t="s">
        <v>4</v>
      </c>
      <c r="C5852">
        <v>3</v>
      </c>
      <c r="D5852" t="s">
        <v>5</v>
      </c>
      <c r="F5852" t="str" cm="1">
        <f t="array" ref="F5852">CategorizeComment(E5852)</f>
        <v>Other</v>
      </c>
      <c r="G5852" t="str" cm="1">
        <f t="array" ref="G5852">SubCategorizeComment(E5852)</f>
        <v>Other</v>
      </c>
    </row>
    <row r="5853" spans="1:7" x14ac:dyDescent="0.25">
      <c r="A5853">
        <v>49216</v>
      </c>
      <c r="B5853" t="s">
        <v>4</v>
      </c>
      <c r="C5853">
        <v>3</v>
      </c>
      <c r="D5853" t="s">
        <v>5</v>
      </c>
      <c r="F5853" t="str" cm="1">
        <f t="array" ref="F5853">CategorizeComment(E5853)</f>
        <v>Other</v>
      </c>
      <c r="G5853" t="str" cm="1">
        <f t="array" ref="G5853">SubCategorizeComment(E5853)</f>
        <v>Other</v>
      </c>
    </row>
    <row r="5854" spans="1:7" x14ac:dyDescent="0.25">
      <c r="A5854">
        <v>49238</v>
      </c>
      <c r="B5854" t="s">
        <v>4</v>
      </c>
      <c r="C5854">
        <v>4</v>
      </c>
      <c r="D5854" t="s">
        <v>5</v>
      </c>
      <c r="F5854" t="str" cm="1">
        <f t="array" ref="F5854">CategorizeComment(E5854)</f>
        <v>Other</v>
      </c>
      <c r="G5854" t="str" cm="1">
        <f t="array" ref="G5854">SubCategorizeComment(E5854)</f>
        <v>Other</v>
      </c>
    </row>
    <row r="5855" spans="1:7" x14ac:dyDescent="0.25">
      <c r="A5855">
        <v>49260</v>
      </c>
      <c r="B5855" t="s">
        <v>4</v>
      </c>
      <c r="C5855">
        <v>4</v>
      </c>
      <c r="D5855" t="s">
        <v>5</v>
      </c>
      <c r="F5855" t="str" cm="1">
        <f t="array" ref="F5855">CategorizeComment(E5855)</f>
        <v>Other</v>
      </c>
      <c r="G5855" t="str" cm="1">
        <f t="array" ref="G5855">SubCategorizeComment(E5855)</f>
        <v>Other</v>
      </c>
    </row>
    <row r="5856" spans="1:7" x14ac:dyDescent="0.25">
      <c r="A5856">
        <v>49275</v>
      </c>
      <c r="B5856" t="s">
        <v>4</v>
      </c>
      <c r="C5856">
        <v>4</v>
      </c>
      <c r="D5856" t="s">
        <v>5</v>
      </c>
      <c r="F5856" t="str" cm="1">
        <f t="array" ref="F5856">CategorizeComment(E5856)</f>
        <v>Other</v>
      </c>
      <c r="G5856" t="str" cm="1">
        <f t="array" ref="G5856">SubCategorizeComment(E5856)</f>
        <v>Other</v>
      </c>
    </row>
    <row r="5857" spans="1:7" x14ac:dyDescent="0.25">
      <c r="A5857">
        <v>49314</v>
      </c>
      <c r="B5857" t="s">
        <v>4</v>
      </c>
      <c r="C5857">
        <v>3</v>
      </c>
      <c r="D5857" t="s">
        <v>5</v>
      </c>
      <c r="F5857" t="str" cm="1">
        <f t="array" ref="F5857">CategorizeComment(E5857)</f>
        <v>Other</v>
      </c>
      <c r="G5857" t="str" cm="1">
        <f t="array" ref="G5857">SubCategorizeComment(E5857)</f>
        <v>Other</v>
      </c>
    </row>
    <row r="5858" spans="1:7" x14ac:dyDescent="0.25">
      <c r="A5858">
        <v>49317</v>
      </c>
      <c r="B5858" t="s">
        <v>4</v>
      </c>
      <c r="C5858">
        <v>3</v>
      </c>
      <c r="D5858" t="s">
        <v>5</v>
      </c>
      <c r="F5858" t="str" cm="1">
        <f t="array" ref="F5858">CategorizeComment(E5858)</f>
        <v>Other</v>
      </c>
      <c r="G5858" t="str" cm="1">
        <f t="array" ref="G5858">SubCategorizeComment(E5858)</f>
        <v>Other</v>
      </c>
    </row>
    <row r="5859" spans="1:7" x14ac:dyDescent="0.25">
      <c r="A5859">
        <v>49332</v>
      </c>
      <c r="B5859" t="s">
        <v>4</v>
      </c>
      <c r="C5859">
        <v>4</v>
      </c>
      <c r="D5859" t="s">
        <v>5</v>
      </c>
      <c r="F5859" t="str" cm="1">
        <f t="array" ref="F5859">CategorizeComment(E5859)</f>
        <v>Other</v>
      </c>
      <c r="G5859" t="str" cm="1">
        <f t="array" ref="G5859">SubCategorizeComment(E5859)</f>
        <v>Other</v>
      </c>
    </row>
    <row r="5860" spans="1:7" x14ac:dyDescent="0.25">
      <c r="A5860">
        <v>49345</v>
      </c>
      <c r="B5860" t="s">
        <v>4</v>
      </c>
      <c r="C5860">
        <v>3</v>
      </c>
      <c r="D5860" t="s">
        <v>5</v>
      </c>
      <c r="F5860" t="str" cm="1">
        <f t="array" ref="F5860">CategorizeComment(E5860)</f>
        <v>Other</v>
      </c>
      <c r="G5860" t="str" cm="1">
        <f t="array" ref="G5860">SubCategorizeComment(E5860)</f>
        <v>Other</v>
      </c>
    </row>
    <row r="5861" spans="1:7" x14ac:dyDescent="0.25">
      <c r="A5861">
        <v>49378</v>
      </c>
      <c r="B5861" t="s">
        <v>4</v>
      </c>
      <c r="C5861">
        <v>3</v>
      </c>
      <c r="D5861" t="s">
        <v>5</v>
      </c>
      <c r="F5861" t="str" cm="1">
        <f t="array" ref="F5861">CategorizeComment(E5861)</f>
        <v>Other</v>
      </c>
      <c r="G5861" t="str" cm="1">
        <f t="array" ref="G5861">SubCategorizeComment(E5861)</f>
        <v>Other</v>
      </c>
    </row>
    <row r="5862" spans="1:7" x14ac:dyDescent="0.25">
      <c r="A5862">
        <v>49406</v>
      </c>
      <c r="B5862" t="s">
        <v>4</v>
      </c>
      <c r="C5862">
        <v>3</v>
      </c>
      <c r="D5862" t="s">
        <v>5</v>
      </c>
      <c r="F5862" t="str" cm="1">
        <f t="array" ref="F5862">CategorizeComment(E5862)</f>
        <v>Other</v>
      </c>
      <c r="G5862" t="str" cm="1">
        <f t="array" ref="G5862">SubCategorizeComment(E5862)</f>
        <v>Other</v>
      </c>
    </row>
    <row r="5863" spans="1:7" x14ac:dyDescent="0.25">
      <c r="A5863">
        <v>49413</v>
      </c>
      <c r="B5863" t="s">
        <v>4</v>
      </c>
      <c r="C5863">
        <v>3</v>
      </c>
      <c r="D5863" t="s">
        <v>5</v>
      </c>
      <c r="F5863" t="str" cm="1">
        <f t="array" ref="F5863">CategorizeComment(E5863)</f>
        <v>Other</v>
      </c>
      <c r="G5863" t="str" cm="1">
        <f t="array" ref="G5863">SubCategorizeComment(E5863)</f>
        <v>Other</v>
      </c>
    </row>
    <row r="5864" spans="1:7" x14ac:dyDescent="0.25">
      <c r="A5864">
        <v>49419</v>
      </c>
      <c r="B5864" t="s">
        <v>4</v>
      </c>
      <c r="C5864">
        <v>3</v>
      </c>
      <c r="D5864" t="s">
        <v>5</v>
      </c>
      <c r="F5864" t="str" cm="1">
        <f t="array" ref="F5864">CategorizeComment(E5864)</f>
        <v>Other</v>
      </c>
      <c r="G5864" t="str" cm="1">
        <f t="array" ref="G5864">SubCategorizeComment(E5864)</f>
        <v>Other</v>
      </c>
    </row>
    <row r="5865" spans="1:7" x14ac:dyDescent="0.25">
      <c r="A5865">
        <v>49420</v>
      </c>
      <c r="B5865" t="s">
        <v>4</v>
      </c>
      <c r="C5865">
        <v>4</v>
      </c>
      <c r="D5865" t="s">
        <v>5</v>
      </c>
      <c r="F5865" t="str" cm="1">
        <f t="array" ref="F5865">CategorizeComment(E5865)</f>
        <v>Other</v>
      </c>
      <c r="G5865" t="str" cm="1">
        <f t="array" ref="G5865">SubCategorizeComment(E5865)</f>
        <v>Other</v>
      </c>
    </row>
    <row r="5866" spans="1:7" x14ac:dyDescent="0.25">
      <c r="A5866">
        <v>49424</v>
      </c>
      <c r="B5866" t="s">
        <v>4</v>
      </c>
      <c r="C5866">
        <v>4</v>
      </c>
      <c r="D5866" t="s">
        <v>5</v>
      </c>
      <c r="F5866" t="str" cm="1">
        <f t="array" ref="F5866">CategorizeComment(E5866)</f>
        <v>Other</v>
      </c>
      <c r="G5866" t="str" cm="1">
        <f t="array" ref="G5866">SubCategorizeComment(E5866)</f>
        <v>Other</v>
      </c>
    </row>
    <row r="5867" spans="1:7" x14ac:dyDescent="0.25">
      <c r="A5867">
        <v>49448</v>
      </c>
      <c r="B5867" t="s">
        <v>4</v>
      </c>
      <c r="C5867">
        <v>3</v>
      </c>
      <c r="D5867" t="s">
        <v>5</v>
      </c>
      <c r="F5867" t="str" cm="1">
        <f t="array" ref="F5867">CategorizeComment(E5867)</f>
        <v>Other</v>
      </c>
      <c r="G5867" t="str" cm="1">
        <f t="array" ref="G5867">SubCategorizeComment(E5867)</f>
        <v>Other</v>
      </c>
    </row>
    <row r="5868" spans="1:7" x14ac:dyDescent="0.25">
      <c r="A5868">
        <v>49457</v>
      </c>
      <c r="B5868" t="s">
        <v>4</v>
      </c>
      <c r="C5868">
        <v>3</v>
      </c>
      <c r="D5868" t="s">
        <v>5</v>
      </c>
      <c r="F5868" t="str" cm="1">
        <f t="array" ref="F5868">CategorizeComment(E5868)</f>
        <v>Other</v>
      </c>
      <c r="G5868" t="str" cm="1">
        <f t="array" ref="G5868">SubCategorizeComment(E5868)</f>
        <v>Other</v>
      </c>
    </row>
    <row r="5869" spans="1:7" x14ac:dyDescent="0.25">
      <c r="A5869">
        <v>49501</v>
      </c>
      <c r="B5869" t="s">
        <v>4</v>
      </c>
      <c r="C5869">
        <v>4</v>
      </c>
      <c r="D5869" t="s">
        <v>5</v>
      </c>
      <c r="F5869" t="str" cm="1">
        <f t="array" ref="F5869">CategorizeComment(E5869)</f>
        <v>Other</v>
      </c>
      <c r="G5869" t="str" cm="1">
        <f t="array" ref="G5869">SubCategorizeComment(E5869)</f>
        <v>Other</v>
      </c>
    </row>
    <row r="5870" spans="1:7" x14ac:dyDescent="0.25">
      <c r="A5870">
        <v>49533</v>
      </c>
      <c r="B5870" t="s">
        <v>4</v>
      </c>
      <c r="C5870">
        <v>4</v>
      </c>
      <c r="D5870" t="s">
        <v>5</v>
      </c>
      <c r="F5870" t="str" cm="1">
        <f t="array" ref="F5870">CategorizeComment(E5870)</f>
        <v>Other</v>
      </c>
      <c r="G5870" t="str" cm="1">
        <f t="array" ref="G5870">SubCategorizeComment(E5870)</f>
        <v>Other</v>
      </c>
    </row>
    <row r="5871" spans="1:7" x14ac:dyDescent="0.25">
      <c r="A5871">
        <v>49565</v>
      </c>
      <c r="B5871" t="s">
        <v>4</v>
      </c>
      <c r="C5871">
        <v>3</v>
      </c>
      <c r="D5871" t="s">
        <v>5</v>
      </c>
      <c r="F5871" t="str" cm="1">
        <f t="array" ref="F5871">CategorizeComment(E5871)</f>
        <v>Other</v>
      </c>
      <c r="G5871" t="str" cm="1">
        <f t="array" ref="G5871">SubCategorizeComment(E5871)</f>
        <v>Other</v>
      </c>
    </row>
    <row r="5872" spans="1:7" x14ac:dyDescent="0.25">
      <c r="A5872">
        <v>49613</v>
      </c>
      <c r="B5872" t="s">
        <v>4</v>
      </c>
      <c r="C5872">
        <v>4</v>
      </c>
      <c r="D5872" t="s">
        <v>5</v>
      </c>
      <c r="F5872" t="str" cm="1">
        <f t="array" ref="F5872">CategorizeComment(E5872)</f>
        <v>Other</v>
      </c>
      <c r="G5872" t="str" cm="1">
        <f t="array" ref="G5872">SubCategorizeComment(E5872)</f>
        <v>Other</v>
      </c>
    </row>
    <row r="5873" spans="1:7" x14ac:dyDescent="0.25">
      <c r="A5873">
        <v>49620</v>
      </c>
      <c r="B5873" t="s">
        <v>4</v>
      </c>
      <c r="C5873">
        <v>3</v>
      </c>
      <c r="D5873" t="s">
        <v>5</v>
      </c>
      <c r="F5873" t="str" cm="1">
        <f t="array" ref="F5873">CategorizeComment(E5873)</f>
        <v>Other</v>
      </c>
      <c r="G5873" t="str" cm="1">
        <f t="array" ref="G5873">SubCategorizeComment(E5873)</f>
        <v>Other</v>
      </c>
    </row>
    <row r="5874" spans="1:7" x14ac:dyDescent="0.25">
      <c r="A5874">
        <v>49635</v>
      </c>
      <c r="B5874" t="s">
        <v>4</v>
      </c>
      <c r="C5874">
        <v>1</v>
      </c>
      <c r="D5874" t="s">
        <v>5</v>
      </c>
      <c r="F5874" t="str" cm="1">
        <f t="array" ref="F5874">CategorizeComment(E5874)</f>
        <v>Other</v>
      </c>
      <c r="G5874" t="str" cm="1">
        <f t="array" ref="G5874">SubCategorizeComment(E5874)</f>
        <v>Other</v>
      </c>
    </row>
    <row r="5875" spans="1:7" x14ac:dyDescent="0.25">
      <c r="A5875">
        <v>49650</v>
      </c>
      <c r="B5875" t="s">
        <v>4</v>
      </c>
      <c r="C5875">
        <v>3</v>
      </c>
      <c r="D5875" t="s">
        <v>5</v>
      </c>
      <c r="F5875" t="str" cm="1">
        <f t="array" ref="F5875">CategorizeComment(E5875)</f>
        <v>Other</v>
      </c>
      <c r="G5875" t="str" cm="1">
        <f t="array" ref="G5875">SubCategorizeComment(E5875)</f>
        <v>Other</v>
      </c>
    </row>
    <row r="5876" spans="1:7" x14ac:dyDescent="0.25">
      <c r="A5876">
        <v>49661</v>
      </c>
      <c r="B5876" t="s">
        <v>4</v>
      </c>
      <c r="C5876">
        <v>3</v>
      </c>
      <c r="D5876" t="s">
        <v>5</v>
      </c>
      <c r="F5876" t="str" cm="1">
        <f t="array" ref="F5876">CategorizeComment(E5876)</f>
        <v>Other</v>
      </c>
      <c r="G5876" t="str" cm="1">
        <f t="array" ref="G5876">SubCategorizeComment(E5876)</f>
        <v>Other</v>
      </c>
    </row>
    <row r="5877" spans="1:7" x14ac:dyDescent="0.25">
      <c r="A5877">
        <v>49670</v>
      </c>
      <c r="B5877" t="s">
        <v>4</v>
      </c>
      <c r="C5877">
        <v>3</v>
      </c>
      <c r="D5877" t="s">
        <v>5</v>
      </c>
      <c r="F5877" t="str" cm="1">
        <f t="array" ref="F5877">CategorizeComment(E5877)</f>
        <v>Other</v>
      </c>
      <c r="G5877" t="str" cm="1">
        <f t="array" ref="G5877">SubCategorizeComment(E5877)</f>
        <v>Other</v>
      </c>
    </row>
    <row r="5878" spans="1:7" x14ac:dyDescent="0.25">
      <c r="A5878">
        <v>49676</v>
      </c>
      <c r="B5878" t="s">
        <v>4</v>
      </c>
      <c r="C5878">
        <v>3</v>
      </c>
      <c r="D5878" t="s">
        <v>5</v>
      </c>
      <c r="F5878" t="str" cm="1">
        <f t="array" ref="F5878">CategorizeComment(E5878)</f>
        <v>Other</v>
      </c>
      <c r="G5878" t="str" cm="1">
        <f t="array" ref="G5878">SubCategorizeComment(E5878)</f>
        <v>Other</v>
      </c>
    </row>
    <row r="5879" spans="1:7" x14ac:dyDescent="0.25">
      <c r="A5879">
        <v>49684</v>
      </c>
      <c r="B5879" t="s">
        <v>4</v>
      </c>
      <c r="C5879">
        <v>4</v>
      </c>
      <c r="D5879" t="s">
        <v>5</v>
      </c>
      <c r="F5879" t="str" cm="1">
        <f t="array" ref="F5879">CategorizeComment(E5879)</f>
        <v>Other</v>
      </c>
      <c r="G5879" t="str" cm="1">
        <f t="array" ref="G5879">SubCategorizeComment(E5879)</f>
        <v>Other</v>
      </c>
    </row>
    <row r="5880" spans="1:7" x14ac:dyDescent="0.25">
      <c r="A5880">
        <v>49685</v>
      </c>
      <c r="B5880" t="s">
        <v>4</v>
      </c>
      <c r="C5880">
        <v>3</v>
      </c>
      <c r="D5880" t="s">
        <v>5</v>
      </c>
      <c r="F5880" t="str" cm="1">
        <f t="array" ref="F5880">CategorizeComment(E5880)</f>
        <v>Other</v>
      </c>
      <c r="G5880" t="str" cm="1">
        <f t="array" ref="G5880">SubCategorizeComment(E5880)</f>
        <v>Other</v>
      </c>
    </row>
    <row r="5881" spans="1:7" x14ac:dyDescent="0.25">
      <c r="A5881">
        <v>49691</v>
      </c>
      <c r="B5881" t="s">
        <v>4</v>
      </c>
      <c r="C5881">
        <v>4</v>
      </c>
      <c r="D5881" t="s">
        <v>5</v>
      </c>
      <c r="F5881" t="str" cm="1">
        <f t="array" ref="F5881">CategorizeComment(E5881)</f>
        <v>Other</v>
      </c>
      <c r="G5881" t="str" cm="1">
        <f t="array" ref="G5881">SubCategorizeComment(E5881)</f>
        <v>Other</v>
      </c>
    </row>
    <row r="5882" spans="1:7" x14ac:dyDescent="0.25">
      <c r="A5882">
        <v>49719</v>
      </c>
      <c r="B5882" t="s">
        <v>4</v>
      </c>
      <c r="C5882">
        <v>4</v>
      </c>
      <c r="D5882" t="s">
        <v>5</v>
      </c>
      <c r="F5882" t="str" cm="1">
        <f t="array" ref="F5882">CategorizeComment(E5882)</f>
        <v>Other</v>
      </c>
      <c r="G5882" t="str" cm="1">
        <f t="array" ref="G5882">SubCategorizeComment(E5882)</f>
        <v>Other</v>
      </c>
    </row>
    <row r="5883" spans="1:7" x14ac:dyDescent="0.25">
      <c r="A5883">
        <v>49720</v>
      </c>
      <c r="B5883" t="s">
        <v>4</v>
      </c>
      <c r="C5883">
        <v>3</v>
      </c>
      <c r="D5883" t="s">
        <v>5</v>
      </c>
      <c r="F5883" t="str" cm="1">
        <f t="array" ref="F5883">CategorizeComment(E5883)</f>
        <v>Other</v>
      </c>
      <c r="G5883" t="str" cm="1">
        <f t="array" ref="G5883">SubCategorizeComment(E5883)</f>
        <v>Other</v>
      </c>
    </row>
    <row r="5884" spans="1:7" x14ac:dyDescent="0.25">
      <c r="A5884">
        <v>49731</v>
      </c>
      <c r="B5884" t="s">
        <v>4</v>
      </c>
      <c r="C5884">
        <v>3</v>
      </c>
      <c r="D5884" t="s">
        <v>5</v>
      </c>
      <c r="F5884" t="str" cm="1">
        <f t="array" ref="F5884">CategorizeComment(E5884)</f>
        <v>Other</v>
      </c>
      <c r="G5884" t="str" cm="1">
        <f t="array" ref="G5884">SubCategorizeComment(E5884)</f>
        <v>Other</v>
      </c>
    </row>
    <row r="5885" spans="1:7" x14ac:dyDescent="0.25">
      <c r="A5885">
        <v>49732</v>
      </c>
      <c r="B5885" t="s">
        <v>4</v>
      </c>
      <c r="C5885">
        <v>4</v>
      </c>
      <c r="D5885" t="s">
        <v>5</v>
      </c>
      <c r="F5885" t="str" cm="1">
        <f t="array" ref="F5885">CategorizeComment(E5885)</f>
        <v>Other</v>
      </c>
      <c r="G5885" t="str" cm="1">
        <f t="array" ref="G5885">SubCategorizeComment(E5885)</f>
        <v>Other</v>
      </c>
    </row>
    <row r="5886" spans="1:7" x14ac:dyDescent="0.25">
      <c r="A5886">
        <v>49735</v>
      </c>
      <c r="B5886" t="s">
        <v>4</v>
      </c>
      <c r="C5886">
        <v>3</v>
      </c>
      <c r="D5886" t="s">
        <v>5</v>
      </c>
      <c r="F5886" t="str" cm="1">
        <f t="array" ref="F5886">CategorizeComment(E5886)</f>
        <v>Other</v>
      </c>
      <c r="G5886" t="str" cm="1">
        <f t="array" ref="G5886">SubCategorizeComment(E5886)</f>
        <v>Other</v>
      </c>
    </row>
    <row r="5887" spans="1:7" x14ac:dyDescent="0.25">
      <c r="A5887">
        <v>49751</v>
      </c>
      <c r="B5887" t="s">
        <v>4</v>
      </c>
      <c r="C5887">
        <v>4</v>
      </c>
      <c r="D5887" t="s">
        <v>5</v>
      </c>
      <c r="F5887" t="str" cm="1">
        <f t="array" ref="F5887">CategorizeComment(E5887)</f>
        <v>Other</v>
      </c>
      <c r="G5887" t="str" cm="1">
        <f t="array" ref="G5887">SubCategorizeComment(E5887)</f>
        <v>Other</v>
      </c>
    </row>
    <row r="5888" spans="1:7" x14ac:dyDescent="0.25">
      <c r="A5888">
        <v>49755</v>
      </c>
      <c r="B5888" t="s">
        <v>4</v>
      </c>
      <c r="C5888">
        <v>3</v>
      </c>
      <c r="D5888" t="s">
        <v>5</v>
      </c>
      <c r="F5888" t="str" cm="1">
        <f t="array" ref="F5888">CategorizeComment(E5888)</f>
        <v>Other</v>
      </c>
      <c r="G5888" t="str" cm="1">
        <f t="array" ref="G5888">SubCategorizeComment(E5888)</f>
        <v>Other</v>
      </c>
    </row>
    <row r="5889" spans="1:7" x14ac:dyDescent="0.25">
      <c r="A5889">
        <v>49775</v>
      </c>
      <c r="B5889" t="s">
        <v>4</v>
      </c>
      <c r="C5889">
        <v>4</v>
      </c>
      <c r="D5889" t="s">
        <v>5</v>
      </c>
      <c r="F5889" t="str" cm="1">
        <f t="array" ref="F5889">CategorizeComment(E5889)</f>
        <v>Other</v>
      </c>
      <c r="G5889" t="str" cm="1">
        <f t="array" ref="G5889">SubCategorizeComment(E5889)</f>
        <v>Other</v>
      </c>
    </row>
    <row r="5890" spans="1:7" x14ac:dyDescent="0.25">
      <c r="A5890">
        <v>49779</v>
      </c>
      <c r="B5890" t="s">
        <v>4</v>
      </c>
      <c r="C5890">
        <v>4</v>
      </c>
      <c r="D5890" t="s">
        <v>5</v>
      </c>
      <c r="F5890" t="str" cm="1">
        <f t="array" ref="F5890">CategorizeComment(E5890)</f>
        <v>Other</v>
      </c>
      <c r="G5890" t="str" cm="1">
        <f t="array" ref="G5890">SubCategorizeComment(E5890)</f>
        <v>Other</v>
      </c>
    </row>
    <row r="5891" spans="1:7" x14ac:dyDescent="0.25">
      <c r="A5891">
        <v>49780</v>
      </c>
      <c r="B5891" t="s">
        <v>4</v>
      </c>
      <c r="C5891">
        <v>3</v>
      </c>
      <c r="D5891" t="s">
        <v>5</v>
      </c>
      <c r="F5891" t="str" cm="1">
        <f t="array" ref="F5891">CategorizeComment(E5891)</f>
        <v>Other</v>
      </c>
      <c r="G5891" t="str" cm="1">
        <f t="array" ref="G5891">SubCategorizeComment(E5891)</f>
        <v>Other</v>
      </c>
    </row>
    <row r="5892" spans="1:7" x14ac:dyDescent="0.25">
      <c r="A5892">
        <v>49796</v>
      </c>
      <c r="B5892" t="s">
        <v>4</v>
      </c>
      <c r="C5892">
        <v>4</v>
      </c>
      <c r="D5892" t="s">
        <v>5</v>
      </c>
      <c r="F5892" t="str" cm="1">
        <f t="array" ref="F5892">CategorizeComment(E5892)</f>
        <v>Other</v>
      </c>
      <c r="G5892" t="str" cm="1">
        <f t="array" ref="G5892">SubCategorizeComment(E5892)</f>
        <v>Other</v>
      </c>
    </row>
    <row r="5893" spans="1:7" x14ac:dyDescent="0.25">
      <c r="A5893">
        <v>49797</v>
      </c>
      <c r="B5893" t="s">
        <v>4</v>
      </c>
      <c r="C5893">
        <v>4</v>
      </c>
      <c r="D5893" t="s">
        <v>5</v>
      </c>
      <c r="F5893" t="str" cm="1">
        <f t="array" ref="F5893">CategorizeComment(E5893)</f>
        <v>Other</v>
      </c>
      <c r="G5893" t="str" cm="1">
        <f t="array" ref="G5893">SubCategorizeComment(E5893)</f>
        <v>Other</v>
      </c>
    </row>
    <row r="5894" spans="1:7" x14ac:dyDescent="0.25">
      <c r="A5894">
        <v>49802</v>
      </c>
      <c r="B5894" t="s">
        <v>4</v>
      </c>
      <c r="C5894">
        <v>4</v>
      </c>
      <c r="D5894" t="s">
        <v>5</v>
      </c>
      <c r="F5894" t="str" cm="1">
        <f t="array" ref="F5894">CategorizeComment(E5894)</f>
        <v>Other</v>
      </c>
      <c r="G5894" t="str" cm="1">
        <f t="array" ref="G5894">SubCategorizeComment(E5894)</f>
        <v>Other</v>
      </c>
    </row>
    <row r="5895" spans="1:7" x14ac:dyDescent="0.25">
      <c r="A5895">
        <v>49811</v>
      </c>
      <c r="B5895" t="s">
        <v>4</v>
      </c>
      <c r="C5895">
        <v>4</v>
      </c>
      <c r="D5895" t="s">
        <v>5</v>
      </c>
      <c r="F5895" t="str" cm="1">
        <f t="array" ref="F5895">CategorizeComment(E5895)</f>
        <v>Other</v>
      </c>
      <c r="G5895" t="str" cm="1">
        <f t="array" ref="G5895">SubCategorizeComment(E5895)</f>
        <v>Other</v>
      </c>
    </row>
    <row r="5896" spans="1:7" x14ac:dyDescent="0.25">
      <c r="A5896">
        <v>49822</v>
      </c>
      <c r="B5896" t="s">
        <v>4</v>
      </c>
      <c r="C5896">
        <v>3</v>
      </c>
      <c r="D5896" t="s">
        <v>5</v>
      </c>
      <c r="F5896" t="str" cm="1">
        <f t="array" ref="F5896">CategorizeComment(E5896)</f>
        <v>Other</v>
      </c>
      <c r="G5896" t="str" cm="1">
        <f t="array" ref="G5896">SubCategorizeComment(E5896)</f>
        <v>Other</v>
      </c>
    </row>
    <row r="5897" spans="1:7" x14ac:dyDescent="0.25">
      <c r="A5897">
        <v>49825</v>
      </c>
      <c r="B5897" t="s">
        <v>4</v>
      </c>
      <c r="C5897">
        <v>4</v>
      </c>
      <c r="D5897" t="s">
        <v>5</v>
      </c>
      <c r="F5897" t="str" cm="1">
        <f t="array" ref="F5897">CategorizeComment(E5897)</f>
        <v>Other</v>
      </c>
      <c r="G5897" t="str" cm="1">
        <f t="array" ref="G5897">SubCategorizeComment(E5897)</f>
        <v>Other</v>
      </c>
    </row>
    <row r="5898" spans="1:7" x14ac:dyDescent="0.25">
      <c r="A5898">
        <v>49827</v>
      </c>
      <c r="B5898" t="s">
        <v>4</v>
      </c>
      <c r="C5898">
        <v>3</v>
      </c>
      <c r="D5898" t="s">
        <v>5</v>
      </c>
      <c r="F5898" t="str" cm="1">
        <f t="array" ref="F5898">CategorizeComment(E5898)</f>
        <v>Other</v>
      </c>
      <c r="G5898" t="str" cm="1">
        <f t="array" ref="G5898">SubCategorizeComment(E5898)</f>
        <v>Other</v>
      </c>
    </row>
    <row r="5899" spans="1:7" x14ac:dyDescent="0.25">
      <c r="A5899">
        <v>49845</v>
      </c>
      <c r="B5899" t="s">
        <v>4</v>
      </c>
      <c r="C5899">
        <v>4</v>
      </c>
      <c r="D5899" t="s">
        <v>5</v>
      </c>
      <c r="F5899" t="str" cm="1">
        <f t="array" ref="F5899">CategorizeComment(E5899)</f>
        <v>Other</v>
      </c>
      <c r="G5899" t="str" cm="1">
        <f t="array" ref="G5899">SubCategorizeComment(E5899)</f>
        <v>Other</v>
      </c>
    </row>
    <row r="5900" spans="1:7" x14ac:dyDescent="0.25">
      <c r="A5900">
        <v>49850</v>
      </c>
      <c r="B5900" t="s">
        <v>4</v>
      </c>
      <c r="C5900">
        <v>4</v>
      </c>
      <c r="D5900" t="s">
        <v>5</v>
      </c>
      <c r="F5900" t="str" cm="1">
        <f t="array" ref="F5900">CategorizeComment(E5900)</f>
        <v>Other</v>
      </c>
      <c r="G5900" t="str" cm="1">
        <f t="array" ref="G5900">SubCategorizeComment(E5900)</f>
        <v>Other</v>
      </c>
    </row>
    <row r="5901" spans="1:7" x14ac:dyDescent="0.25">
      <c r="A5901">
        <v>49883</v>
      </c>
      <c r="B5901" t="s">
        <v>4</v>
      </c>
      <c r="C5901">
        <v>4</v>
      </c>
      <c r="D5901" t="s">
        <v>5</v>
      </c>
      <c r="F5901" t="str" cm="1">
        <f t="array" ref="F5901">CategorizeComment(E5901)</f>
        <v>Other</v>
      </c>
      <c r="G5901" t="str" cm="1">
        <f t="array" ref="G5901">SubCategorizeComment(E5901)</f>
        <v>Other</v>
      </c>
    </row>
    <row r="5902" spans="1:7" x14ac:dyDescent="0.25">
      <c r="A5902">
        <v>49888</v>
      </c>
      <c r="B5902" t="s">
        <v>4</v>
      </c>
      <c r="C5902">
        <v>3</v>
      </c>
      <c r="D5902" t="s">
        <v>5</v>
      </c>
      <c r="F5902" t="str" cm="1">
        <f t="array" ref="F5902">CategorizeComment(E5902)</f>
        <v>Other</v>
      </c>
      <c r="G5902" t="str" cm="1">
        <f t="array" ref="G5902">SubCategorizeComment(E5902)</f>
        <v>Other</v>
      </c>
    </row>
    <row r="5903" spans="1:7" x14ac:dyDescent="0.25">
      <c r="A5903">
        <v>49892</v>
      </c>
      <c r="B5903" t="s">
        <v>4</v>
      </c>
      <c r="C5903">
        <v>4</v>
      </c>
      <c r="D5903" t="s">
        <v>5</v>
      </c>
      <c r="F5903" t="str" cm="1">
        <f t="array" ref="F5903">CategorizeComment(E5903)</f>
        <v>Other</v>
      </c>
      <c r="G5903" t="str" cm="1">
        <f t="array" ref="G5903">SubCategorizeComment(E5903)</f>
        <v>Other</v>
      </c>
    </row>
    <row r="5904" spans="1:7" x14ac:dyDescent="0.25">
      <c r="A5904">
        <v>49893</v>
      </c>
      <c r="B5904" t="s">
        <v>4</v>
      </c>
      <c r="C5904">
        <v>3</v>
      </c>
      <c r="D5904" t="s">
        <v>5</v>
      </c>
      <c r="F5904" t="str" cm="1">
        <f t="array" ref="F5904">CategorizeComment(E5904)</f>
        <v>Other</v>
      </c>
      <c r="G5904" t="str" cm="1">
        <f t="array" ref="G5904">SubCategorizeComment(E5904)</f>
        <v>Other</v>
      </c>
    </row>
    <row r="5905" spans="1:7" x14ac:dyDescent="0.25">
      <c r="A5905">
        <v>49901</v>
      </c>
      <c r="B5905" t="s">
        <v>4</v>
      </c>
      <c r="C5905">
        <v>4</v>
      </c>
      <c r="D5905" t="s">
        <v>5</v>
      </c>
      <c r="F5905" t="str" cm="1">
        <f t="array" ref="F5905">CategorizeComment(E5905)</f>
        <v>Other</v>
      </c>
      <c r="G5905" t="str" cm="1">
        <f t="array" ref="G5905">SubCategorizeComment(E5905)</f>
        <v>Other</v>
      </c>
    </row>
    <row r="5906" spans="1:7" x14ac:dyDescent="0.25">
      <c r="A5906">
        <v>49912</v>
      </c>
      <c r="B5906" t="s">
        <v>4</v>
      </c>
      <c r="C5906">
        <v>4</v>
      </c>
      <c r="D5906" t="s">
        <v>5</v>
      </c>
      <c r="F5906" t="str" cm="1">
        <f t="array" ref="F5906">CategorizeComment(E5906)</f>
        <v>Other</v>
      </c>
      <c r="G5906" t="str" cm="1">
        <f t="array" ref="G5906">SubCategorizeComment(E5906)</f>
        <v>Other</v>
      </c>
    </row>
    <row r="5907" spans="1:7" x14ac:dyDescent="0.25">
      <c r="A5907">
        <v>49915</v>
      </c>
      <c r="B5907" t="s">
        <v>4</v>
      </c>
      <c r="C5907">
        <v>4</v>
      </c>
      <c r="D5907" t="s">
        <v>5</v>
      </c>
      <c r="F5907" t="str" cm="1">
        <f t="array" ref="F5907">CategorizeComment(E5907)</f>
        <v>Other</v>
      </c>
      <c r="G5907" t="str" cm="1">
        <f t="array" ref="G5907">SubCategorizeComment(E5907)</f>
        <v>Other</v>
      </c>
    </row>
    <row r="5908" spans="1:7" x14ac:dyDescent="0.25">
      <c r="A5908">
        <v>49940</v>
      </c>
      <c r="B5908" t="s">
        <v>4</v>
      </c>
      <c r="C5908">
        <v>4</v>
      </c>
      <c r="D5908" t="s">
        <v>5</v>
      </c>
      <c r="F5908" t="str" cm="1">
        <f t="array" ref="F5908">CategorizeComment(E5908)</f>
        <v>Other</v>
      </c>
      <c r="G5908" t="str" cm="1">
        <f t="array" ref="G5908">SubCategorizeComment(E5908)</f>
        <v>Other</v>
      </c>
    </row>
    <row r="5909" spans="1:7" x14ac:dyDescent="0.25">
      <c r="A5909">
        <v>49941</v>
      </c>
      <c r="B5909" t="s">
        <v>4</v>
      </c>
      <c r="C5909">
        <v>4</v>
      </c>
      <c r="D5909" t="s">
        <v>5</v>
      </c>
      <c r="F5909" t="str" cm="1">
        <f t="array" ref="F5909">CategorizeComment(E5909)</f>
        <v>Other</v>
      </c>
      <c r="G5909" t="str" cm="1">
        <f t="array" ref="G5909">SubCategorizeComment(E5909)</f>
        <v>Other</v>
      </c>
    </row>
    <row r="5910" spans="1:7" x14ac:dyDescent="0.25">
      <c r="A5910">
        <v>49952</v>
      </c>
      <c r="B5910" t="s">
        <v>4</v>
      </c>
      <c r="C5910">
        <v>4</v>
      </c>
      <c r="D5910" t="s">
        <v>5</v>
      </c>
      <c r="F5910" t="str" cm="1">
        <f t="array" ref="F5910">CategorizeComment(E5910)</f>
        <v>Other</v>
      </c>
      <c r="G5910" t="str" cm="1">
        <f t="array" ref="G5910">SubCategorizeComment(E5910)</f>
        <v>Other</v>
      </c>
    </row>
    <row r="5911" spans="1:7" x14ac:dyDescent="0.25">
      <c r="A5911">
        <v>49957</v>
      </c>
      <c r="B5911" t="s">
        <v>4</v>
      </c>
      <c r="C5911">
        <v>3</v>
      </c>
      <c r="D5911" t="s">
        <v>5</v>
      </c>
      <c r="F5911" t="str" cm="1">
        <f t="array" ref="F5911">CategorizeComment(E5911)</f>
        <v>Other</v>
      </c>
      <c r="G5911" t="str" cm="1">
        <f t="array" ref="G5911">SubCategorizeComment(E5911)</f>
        <v>Other</v>
      </c>
    </row>
    <row r="5912" spans="1:7" x14ac:dyDescent="0.25">
      <c r="A5912">
        <v>49958</v>
      </c>
      <c r="B5912" t="s">
        <v>4</v>
      </c>
      <c r="C5912">
        <v>3</v>
      </c>
      <c r="D5912" t="s">
        <v>5</v>
      </c>
      <c r="F5912" t="str" cm="1">
        <f t="array" ref="F5912">CategorizeComment(E5912)</f>
        <v>Other</v>
      </c>
      <c r="G5912" t="str" cm="1">
        <f t="array" ref="G5912">SubCategorizeComment(E5912)</f>
        <v>Other</v>
      </c>
    </row>
    <row r="5913" spans="1:7" x14ac:dyDescent="0.25">
      <c r="A5913">
        <v>49964</v>
      </c>
      <c r="B5913" t="s">
        <v>4</v>
      </c>
      <c r="C5913">
        <v>3</v>
      </c>
      <c r="D5913" t="s">
        <v>5</v>
      </c>
      <c r="F5913" t="str" cm="1">
        <f t="array" ref="F5913">CategorizeComment(E5913)</f>
        <v>Other</v>
      </c>
      <c r="G5913" t="str" cm="1">
        <f t="array" ref="G5913">SubCategorizeComment(E5913)</f>
        <v>Other</v>
      </c>
    </row>
    <row r="5914" spans="1:7" x14ac:dyDescent="0.25">
      <c r="A5914">
        <v>49965</v>
      </c>
      <c r="B5914" t="s">
        <v>4</v>
      </c>
      <c r="C5914">
        <v>4</v>
      </c>
      <c r="D5914" t="s">
        <v>5</v>
      </c>
      <c r="F5914" t="str" cm="1">
        <f t="array" ref="F5914">CategorizeComment(E5914)</f>
        <v>Other</v>
      </c>
      <c r="G5914" t="str" cm="1">
        <f t="array" ref="G5914">SubCategorizeComment(E5914)</f>
        <v>Other</v>
      </c>
    </row>
    <row r="5915" spans="1:7" x14ac:dyDescent="0.25">
      <c r="A5915">
        <v>49970</v>
      </c>
      <c r="B5915" t="s">
        <v>4</v>
      </c>
      <c r="C5915">
        <v>4</v>
      </c>
      <c r="D5915" t="s">
        <v>5</v>
      </c>
      <c r="F5915" t="str" cm="1">
        <f t="array" ref="F5915">CategorizeComment(E5915)</f>
        <v>Other</v>
      </c>
      <c r="G5915" t="str" cm="1">
        <f t="array" ref="G5915">SubCategorizeComment(E5915)</f>
        <v>Other</v>
      </c>
    </row>
    <row r="5916" spans="1:7" x14ac:dyDescent="0.25">
      <c r="A5916">
        <v>49972</v>
      </c>
      <c r="B5916" t="s">
        <v>4</v>
      </c>
      <c r="C5916">
        <v>3</v>
      </c>
      <c r="D5916" t="s">
        <v>5</v>
      </c>
      <c r="F5916" t="str" cm="1">
        <f t="array" ref="F5916">CategorizeComment(E5916)</f>
        <v>Other</v>
      </c>
      <c r="G5916" t="str" cm="1">
        <f t="array" ref="G5916">SubCategorizeComment(E5916)</f>
        <v>Other</v>
      </c>
    </row>
    <row r="5917" spans="1:7" x14ac:dyDescent="0.25">
      <c r="A5917">
        <v>49976</v>
      </c>
      <c r="B5917" t="s">
        <v>4</v>
      </c>
      <c r="C5917">
        <v>4</v>
      </c>
      <c r="D5917" t="s">
        <v>5</v>
      </c>
      <c r="F5917" t="str" cm="1">
        <f t="array" ref="F5917">CategorizeComment(E5917)</f>
        <v>Other</v>
      </c>
      <c r="G5917" t="str" cm="1">
        <f t="array" ref="G5917">SubCategorizeComment(E5917)</f>
        <v>Other</v>
      </c>
    </row>
    <row r="5918" spans="1:7" x14ac:dyDescent="0.25">
      <c r="A5918">
        <v>50005</v>
      </c>
      <c r="B5918" t="s">
        <v>4</v>
      </c>
      <c r="C5918">
        <v>4</v>
      </c>
      <c r="D5918" t="s">
        <v>5</v>
      </c>
      <c r="F5918" t="str" cm="1">
        <f t="array" ref="F5918">CategorizeComment(E5918)</f>
        <v>Other</v>
      </c>
      <c r="G5918" t="str" cm="1">
        <f t="array" ref="G5918">SubCategorizeComment(E5918)</f>
        <v>Other</v>
      </c>
    </row>
    <row r="5919" spans="1:7" x14ac:dyDescent="0.25">
      <c r="A5919">
        <v>50012</v>
      </c>
      <c r="B5919" t="s">
        <v>4</v>
      </c>
      <c r="C5919">
        <v>3</v>
      </c>
      <c r="D5919" t="s">
        <v>5</v>
      </c>
      <c r="F5919" t="str" cm="1">
        <f t="array" ref="F5919">CategorizeComment(E5919)</f>
        <v>Other</v>
      </c>
      <c r="G5919" t="str" cm="1">
        <f t="array" ref="G5919">SubCategorizeComment(E5919)</f>
        <v>Other</v>
      </c>
    </row>
    <row r="5920" spans="1:7" x14ac:dyDescent="0.25">
      <c r="A5920">
        <v>50014</v>
      </c>
      <c r="B5920" t="s">
        <v>4</v>
      </c>
      <c r="C5920">
        <v>3</v>
      </c>
      <c r="D5920" t="s">
        <v>5</v>
      </c>
      <c r="F5920" t="str" cm="1">
        <f t="array" ref="F5920">CategorizeComment(E5920)</f>
        <v>Other</v>
      </c>
      <c r="G5920" t="str" cm="1">
        <f t="array" ref="G5920">SubCategorizeComment(E5920)</f>
        <v>Other</v>
      </c>
    </row>
    <row r="5921" spans="1:7" x14ac:dyDescent="0.25">
      <c r="A5921">
        <v>50019</v>
      </c>
      <c r="B5921" t="s">
        <v>4</v>
      </c>
      <c r="C5921">
        <v>3</v>
      </c>
      <c r="D5921" t="s">
        <v>5</v>
      </c>
      <c r="F5921" t="str" cm="1">
        <f t="array" ref="F5921">CategorizeComment(E5921)</f>
        <v>Other</v>
      </c>
      <c r="G5921" t="str" cm="1">
        <f t="array" ref="G5921">SubCategorizeComment(E5921)</f>
        <v>Other</v>
      </c>
    </row>
    <row r="5922" spans="1:7" x14ac:dyDescent="0.25">
      <c r="A5922">
        <v>50025</v>
      </c>
      <c r="B5922" t="s">
        <v>4</v>
      </c>
      <c r="C5922">
        <v>3</v>
      </c>
      <c r="D5922" t="s">
        <v>5</v>
      </c>
      <c r="F5922" t="str" cm="1">
        <f t="array" ref="F5922">CategorizeComment(E5922)</f>
        <v>Other</v>
      </c>
      <c r="G5922" t="str" cm="1">
        <f t="array" ref="G5922">SubCategorizeComment(E5922)</f>
        <v>Other</v>
      </c>
    </row>
    <row r="5923" spans="1:7" x14ac:dyDescent="0.25">
      <c r="A5923">
        <v>50027</v>
      </c>
      <c r="B5923" t="s">
        <v>4</v>
      </c>
      <c r="C5923">
        <v>4</v>
      </c>
      <c r="D5923" t="s">
        <v>5</v>
      </c>
      <c r="F5923" t="str" cm="1">
        <f t="array" ref="F5923">CategorizeComment(E5923)</f>
        <v>Other</v>
      </c>
      <c r="G5923" t="str" cm="1">
        <f t="array" ref="G5923">SubCategorizeComment(E5923)</f>
        <v>Other</v>
      </c>
    </row>
    <row r="5924" spans="1:7" x14ac:dyDescent="0.25">
      <c r="A5924">
        <v>50028</v>
      </c>
      <c r="B5924" t="s">
        <v>4</v>
      </c>
      <c r="C5924">
        <v>4</v>
      </c>
      <c r="D5924" t="s">
        <v>5</v>
      </c>
      <c r="F5924" t="str" cm="1">
        <f t="array" ref="F5924">CategorizeComment(E5924)</f>
        <v>Other</v>
      </c>
      <c r="G5924" t="str" cm="1">
        <f t="array" ref="G5924">SubCategorizeComment(E5924)</f>
        <v>Other</v>
      </c>
    </row>
    <row r="5925" spans="1:7" x14ac:dyDescent="0.25">
      <c r="A5925">
        <v>50031</v>
      </c>
      <c r="B5925" t="s">
        <v>4</v>
      </c>
      <c r="C5925">
        <v>4</v>
      </c>
      <c r="D5925" t="s">
        <v>5</v>
      </c>
      <c r="F5925" t="str" cm="1">
        <f t="array" ref="F5925">CategorizeComment(E5925)</f>
        <v>Other</v>
      </c>
      <c r="G5925" t="str" cm="1">
        <f t="array" ref="G5925">SubCategorizeComment(E5925)</f>
        <v>Other</v>
      </c>
    </row>
    <row r="5926" spans="1:7" x14ac:dyDescent="0.25">
      <c r="A5926">
        <v>50040</v>
      </c>
      <c r="B5926" t="s">
        <v>4</v>
      </c>
      <c r="C5926">
        <v>3</v>
      </c>
      <c r="D5926" t="s">
        <v>5</v>
      </c>
      <c r="F5926" t="str" cm="1">
        <f t="array" ref="F5926">CategorizeComment(E5926)</f>
        <v>Other</v>
      </c>
      <c r="G5926" t="str" cm="1">
        <f t="array" ref="G5926">SubCategorizeComment(E5926)</f>
        <v>Other</v>
      </c>
    </row>
    <row r="5927" spans="1:7" x14ac:dyDescent="0.25">
      <c r="A5927">
        <v>50042</v>
      </c>
      <c r="B5927" t="s">
        <v>4</v>
      </c>
      <c r="C5927">
        <v>3</v>
      </c>
      <c r="D5927" t="s">
        <v>5</v>
      </c>
      <c r="F5927" t="str" cm="1">
        <f t="array" ref="F5927">CategorizeComment(E5927)</f>
        <v>Other</v>
      </c>
      <c r="G5927" t="str" cm="1">
        <f t="array" ref="G5927">SubCategorizeComment(E5927)</f>
        <v>Other</v>
      </c>
    </row>
    <row r="5928" spans="1:7" x14ac:dyDescent="0.25">
      <c r="A5928">
        <v>50053</v>
      </c>
      <c r="B5928" t="s">
        <v>4</v>
      </c>
      <c r="C5928">
        <v>4</v>
      </c>
      <c r="D5928" t="s">
        <v>5</v>
      </c>
      <c r="F5928" t="str" cm="1">
        <f t="array" ref="F5928">CategorizeComment(E5928)</f>
        <v>Other</v>
      </c>
      <c r="G5928" t="str" cm="1">
        <f t="array" ref="G5928">SubCategorizeComment(E5928)</f>
        <v>Other</v>
      </c>
    </row>
    <row r="5929" spans="1:7" x14ac:dyDescent="0.25">
      <c r="A5929">
        <v>50064</v>
      </c>
      <c r="B5929" t="s">
        <v>4</v>
      </c>
      <c r="C5929">
        <v>3</v>
      </c>
      <c r="D5929" t="s">
        <v>5</v>
      </c>
      <c r="F5929" t="str" cm="1">
        <f t="array" ref="F5929">CategorizeComment(E5929)</f>
        <v>Other</v>
      </c>
      <c r="G5929" t="str" cm="1">
        <f t="array" ref="G5929">SubCategorizeComment(E5929)</f>
        <v>Other</v>
      </c>
    </row>
    <row r="5930" spans="1:7" x14ac:dyDescent="0.25">
      <c r="A5930">
        <v>50065</v>
      </c>
      <c r="B5930" t="s">
        <v>4</v>
      </c>
      <c r="C5930">
        <v>4</v>
      </c>
      <c r="D5930" t="s">
        <v>5</v>
      </c>
      <c r="F5930" t="str" cm="1">
        <f t="array" ref="F5930">CategorizeComment(E5930)</f>
        <v>Other</v>
      </c>
      <c r="G5930" t="str" cm="1">
        <f t="array" ref="G5930">SubCategorizeComment(E5930)</f>
        <v>Other</v>
      </c>
    </row>
    <row r="5931" spans="1:7" x14ac:dyDescent="0.25">
      <c r="A5931">
        <v>50070</v>
      </c>
      <c r="B5931" t="s">
        <v>4</v>
      </c>
      <c r="C5931">
        <v>3</v>
      </c>
      <c r="D5931" t="s">
        <v>5</v>
      </c>
      <c r="F5931" t="str" cm="1">
        <f t="array" ref="F5931">CategorizeComment(E5931)</f>
        <v>Other</v>
      </c>
      <c r="G5931" t="str" cm="1">
        <f t="array" ref="G5931">SubCategorizeComment(E5931)</f>
        <v>Other</v>
      </c>
    </row>
    <row r="5932" spans="1:7" x14ac:dyDescent="0.25">
      <c r="A5932">
        <v>50075</v>
      </c>
      <c r="B5932" t="s">
        <v>4</v>
      </c>
      <c r="C5932">
        <v>3</v>
      </c>
      <c r="D5932" t="s">
        <v>5</v>
      </c>
      <c r="F5932" t="str" cm="1">
        <f t="array" ref="F5932">CategorizeComment(E5932)</f>
        <v>Other</v>
      </c>
      <c r="G5932" t="str" cm="1">
        <f t="array" ref="G5932">SubCategorizeComment(E5932)</f>
        <v>Other</v>
      </c>
    </row>
    <row r="5933" spans="1:7" x14ac:dyDescent="0.25">
      <c r="A5933">
        <v>50091</v>
      </c>
      <c r="B5933" t="s">
        <v>4</v>
      </c>
      <c r="C5933">
        <v>4</v>
      </c>
      <c r="D5933" t="s">
        <v>5</v>
      </c>
      <c r="F5933" t="str" cm="1">
        <f t="array" ref="F5933">CategorizeComment(E5933)</f>
        <v>Other</v>
      </c>
      <c r="G5933" t="str" cm="1">
        <f t="array" ref="G5933">SubCategorizeComment(E5933)</f>
        <v>Other</v>
      </c>
    </row>
    <row r="5934" spans="1:7" x14ac:dyDescent="0.25">
      <c r="A5934">
        <v>50092</v>
      </c>
      <c r="B5934" t="s">
        <v>4</v>
      </c>
      <c r="C5934">
        <v>3</v>
      </c>
      <c r="D5934" t="s">
        <v>5</v>
      </c>
      <c r="F5934" t="str" cm="1">
        <f t="array" ref="F5934">CategorizeComment(E5934)</f>
        <v>Other</v>
      </c>
      <c r="G5934" t="str" cm="1">
        <f t="array" ref="G5934">SubCategorizeComment(E5934)</f>
        <v>Other</v>
      </c>
    </row>
    <row r="5935" spans="1:7" x14ac:dyDescent="0.25">
      <c r="A5935">
        <v>50093</v>
      </c>
      <c r="B5935" t="s">
        <v>4</v>
      </c>
      <c r="C5935">
        <v>3</v>
      </c>
      <c r="D5935" t="s">
        <v>5</v>
      </c>
      <c r="F5935" t="str" cm="1">
        <f t="array" ref="F5935">CategorizeComment(E5935)</f>
        <v>Other</v>
      </c>
      <c r="G5935" t="str" cm="1">
        <f t="array" ref="G5935">SubCategorizeComment(E5935)</f>
        <v>Other</v>
      </c>
    </row>
    <row r="5936" spans="1:7" x14ac:dyDescent="0.25">
      <c r="A5936">
        <v>50095</v>
      </c>
      <c r="B5936" t="s">
        <v>4</v>
      </c>
      <c r="C5936">
        <v>4</v>
      </c>
      <c r="D5936" t="s">
        <v>5</v>
      </c>
      <c r="F5936" t="str" cm="1">
        <f t="array" ref="F5936">CategorizeComment(E5936)</f>
        <v>Other</v>
      </c>
      <c r="G5936" t="str" cm="1">
        <f t="array" ref="G5936">SubCategorizeComment(E5936)</f>
        <v>Other</v>
      </c>
    </row>
    <row r="5937" spans="1:7" x14ac:dyDescent="0.25">
      <c r="A5937">
        <v>50097</v>
      </c>
      <c r="B5937" t="s">
        <v>4</v>
      </c>
      <c r="C5937">
        <v>3</v>
      </c>
      <c r="D5937" t="s">
        <v>5</v>
      </c>
      <c r="F5937" t="str" cm="1">
        <f t="array" ref="F5937">CategorizeComment(E5937)</f>
        <v>Other</v>
      </c>
      <c r="G5937" t="str" cm="1">
        <f t="array" ref="G5937">SubCategorizeComment(E5937)</f>
        <v>Other</v>
      </c>
    </row>
    <row r="5938" spans="1:7" x14ac:dyDescent="0.25">
      <c r="A5938">
        <v>50098</v>
      </c>
      <c r="B5938" t="s">
        <v>4</v>
      </c>
      <c r="C5938">
        <v>3</v>
      </c>
      <c r="D5938" t="s">
        <v>5</v>
      </c>
      <c r="F5938" t="str" cm="1">
        <f t="array" ref="F5938">CategorizeComment(E5938)</f>
        <v>Other</v>
      </c>
      <c r="G5938" t="str" cm="1">
        <f t="array" ref="G5938">SubCategorizeComment(E5938)</f>
        <v>Other</v>
      </c>
    </row>
    <row r="5939" spans="1:7" x14ac:dyDescent="0.25">
      <c r="A5939">
        <v>50109</v>
      </c>
      <c r="B5939" t="s">
        <v>4</v>
      </c>
      <c r="C5939">
        <v>4</v>
      </c>
      <c r="D5939" t="s">
        <v>5</v>
      </c>
      <c r="F5939" t="str" cm="1">
        <f t="array" ref="F5939">CategorizeComment(E5939)</f>
        <v>Other</v>
      </c>
      <c r="G5939" t="str" cm="1">
        <f t="array" ref="G5939">SubCategorizeComment(E5939)</f>
        <v>Other</v>
      </c>
    </row>
    <row r="5940" spans="1:7" x14ac:dyDescent="0.25">
      <c r="A5940">
        <v>50111</v>
      </c>
      <c r="B5940" t="s">
        <v>4</v>
      </c>
      <c r="C5940">
        <v>3</v>
      </c>
      <c r="D5940" t="s">
        <v>5</v>
      </c>
      <c r="F5940" t="str" cm="1">
        <f t="array" ref="F5940">CategorizeComment(E5940)</f>
        <v>Other</v>
      </c>
      <c r="G5940" t="str" cm="1">
        <f t="array" ref="G5940">SubCategorizeComment(E5940)</f>
        <v>Other</v>
      </c>
    </row>
    <row r="5941" spans="1:7" x14ac:dyDescent="0.25">
      <c r="A5941">
        <v>50115</v>
      </c>
      <c r="B5941" t="s">
        <v>4</v>
      </c>
      <c r="C5941">
        <v>3</v>
      </c>
      <c r="D5941" t="s">
        <v>5</v>
      </c>
      <c r="F5941" t="str" cm="1">
        <f t="array" ref="F5941">CategorizeComment(E5941)</f>
        <v>Other</v>
      </c>
      <c r="G5941" t="str" cm="1">
        <f t="array" ref="G5941">SubCategorizeComment(E5941)</f>
        <v>Other</v>
      </c>
    </row>
    <row r="5942" spans="1:7" x14ac:dyDescent="0.25">
      <c r="A5942">
        <v>50118</v>
      </c>
      <c r="B5942" t="s">
        <v>4</v>
      </c>
      <c r="C5942">
        <v>2</v>
      </c>
      <c r="D5942" t="s">
        <v>5</v>
      </c>
      <c r="F5942" t="str" cm="1">
        <f t="array" ref="F5942">CategorizeComment(E5942)</f>
        <v>Other</v>
      </c>
      <c r="G5942" t="str" cm="1">
        <f t="array" ref="G5942">SubCategorizeComment(E5942)</f>
        <v>Other</v>
      </c>
    </row>
    <row r="5943" spans="1:7" x14ac:dyDescent="0.25">
      <c r="A5943">
        <v>50123</v>
      </c>
      <c r="B5943" t="s">
        <v>4</v>
      </c>
      <c r="C5943">
        <v>3</v>
      </c>
      <c r="D5943" t="s">
        <v>5</v>
      </c>
      <c r="F5943" t="str" cm="1">
        <f t="array" ref="F5943">CategorizeComment(E5943)</f>
        <v>Other</v>
      </c>
      <c r="G5943" t="str" cm="1">
        <f t="array" ref="G5943">SubCategorizeComment(E5943)</f>
        <v>Other</v>
      </c>
    </row>
    <row r="5944" spans="1:7" x14ac:dyDescent="0.25">
      <c r="A5944">
        <v>50126</v>
      </c>
      <c r="B5944" t="s">
        <v>4</v>
      </c>
      <c r="C5944">
        <v>4</v>
      </c>
      <c r="D5944" t="s">
        <v>5</v>
      </c>
      <c r="F5944" t="str" cm="1">
        <f t="array" ref="F5944">CategorizeComment(E5944)</f>
        <v>Other</v>
      </c>
      <c r="G5944" t="str" cm="1">
        <f t="array" ref="G5944">SubCategorizeComment(E5944)</f>
        <v>Other</v>
      </c>
    </row>
    <row r="5945" spans="1:7" x14ac:dyDescent="0.25">
      <c r="A5945">
        <v>50127</v>
      </c>
      <c r="B5945" t="s">
        <v>4</v>
      </c>
      <c r="C5945">
        <v>3</v>
      </c>
      <c r="D5945" t="s">
        <v>5</v>
      </c>
      <c r="F5945" t="str" cm="1">
        <f t="array" ref="F5945">CategorizeComment(E5945)</f>
        <v>Other</v>
      </c>
      <c r="G5945" t="str" cm="1">
        <f t="array" ref="G5945">SubCategorizeComment(E5945)</f>
        <v>Other</v>
      </c>
    </row>
    <row r="5946" spans="1:7" x14ac:dyDescent="0.25">
      <c r="A5946">
        <v>50130</v>
      </c>
      <c r="B5946" t="s">
        <v>4</v>
      </c>
      <c r="C5946">
        <v>3</v>
      </c>
      <c r="D5946" t="s">
        <v>5</v>
      </c>
      <c r="F5946" t="str" cm="1">
        <f t="array" ref="F5946">CategorizeComment(E5946)</f>
        <v>Other</v>
      </c>
      <c r="G5946" t="str" cm="1">
        <f t="array" ref="G5946">SubCategorizeComment(E5946)</f>
        <v>Other</v>
      </c>
    </row>
    <row r="5947" spans="1:7" x14ac:dyDescent="0.25">
      <c r="A5947">
        <v>50134</v>
      </c>
      <c r="B5947" t="s">
        <v>4</v>
      </c>
      <c r="C5947">
        <v>4</v>
      </c>
      <c r="D5947" t="s">
        <v>5</v>
      </c>
      <c r="F5947" t="str" cm="1">
        <f t="array" ref="F5947">CategorizeComment(E5947)</f>
        <v>Other</v>
      </c>
      <c r="G5947" t="str" cm="1">
        <f t="array" ref="G5947">SubCategorizeComment(E5947)</f>
        <v>Other</v>
      </c>
    </row>
    <row r="5948" spans="1:7" x14ac:dyDescent="0.25">
      <c r="A5948">
        <v>50140</v>
      </c>
      <c r="B5948" t="s">
        <v>4</v>
      </c>
      <c r="C5948">
        <v>4</v>
      </c>
      <c r="D5948" t="s">
        <v>5</v>
      </c>
      <c r="F5948" t="str" cm="1">
        <f t="array" ref="F5948">CategorizeComment(E5948)</f>
        <v>Other</v>
      </c>
      <c r="G5948" t="str" cm="1">
        <f t="array" ref="G5948">SubCategorizeComment(E5948)</f>
        <v>Other</v>
      </c>
    </row>
    <row r="5949" spans="1:7" x14ac:dyDescent="0.25">
      <c r="A5949">
        <v>50144</v>
      </c>
      <c r="B5949" t="s">
        <v>4</v>
      </c>
      <c r="C5949">
        <v>3</v>
      </c>
      <c r="D5949" t="s">
        <v>5</v>
      </c>
      <c r="F5949" t="str" cm="1">
        <f t="array" ref="F5949">CategorizeComment(E5949)</f>
        <v>Other</v>
      </c>
      <c r="G5949" t="str" cm="1">
        <f t="array" ref="G5949">SubCategorizeComment(E5949)</f>
        <v>Other</v>
      </c>
    </row>
    <row r="5950" spans="1:7" x14ac:dyDescent="0.25">
      <c r="A5950">
        <v>50149</v>
      </c>
      <c r="B5950" t="s">
        <v>4</v>
      </c>
      <c r="C5950">
        <v>3</v>
      </c>
      <c r="D5950" t="s">
        <v>5</v>
      </c>
      <c r="F5950" t="str" cm="1">
        <f t="array" ref="F5950">CategorizeComment(E5950)</f>
        <v>Other</v>
      </c>
      <c r="G5950" t="str" cm="1">
        <f t="array" ref="G5950">SubCategorizeComment(E5950)</f>
        <v>Other</v>
      </c>
    </row>
    <row r="5951" spans="1:7" x14ac:dyDescent="0.25">
      <c r="A5951">
        <v>50162</v>
      </c>
      <c r="B5951" t="s">
        <v>4</v>
      </c>
      <c r="C5951">
        <v>4</v>
      </c>
      <c r="D5951" t="s">
        <v>5</v>
      </c>
      <c r="F5951" t="str" cm="1">
        <f t="array" ref="F5951">CategorizeComment(E5951)</f>
        <v>Other</v>
      </c>
      <c r="G5951" t="str" cm="1">
        <f t="array" ref="G5951">SubCategorizeComment(E5951)</f>
        <v>Other</v>
      </c>
    </row>
    <row r="5952" spans="1:7" x14ac:dyDescent="0.25">
      <c r="A5952">
        <v>50164</v>
      </c>
      <c r="B5952" t="s">
        <v>4</v>
      </c>
      <c r="C5952">
        <v>4</v>
      </c>
      <c r="D5952" t="s">
        <v>5</v>
      </c>
      <c r="F5952" t="str" cm="1">
        <f t="array" ref="F5952">CategorizeComment(E5952)</f>
        <v>Other</v>
      </c>
      <c r="G5952" t="str" cm="1">
        <f t="array" ref="G5952">SubCategorizeComment(E5952)</f>
        <v>Other</v>
      </c>
    </row>
    <row r="5953" spans="1:7" x14ac:dyDescent="0.25">
      <c r="A5953">
        <v>50172</v>
      </c>
      <c r="B5953" t="s">
        <v>4</v>
      </c>
      <c r="C5953">
        <v>3</v>
      </c>
      <c r="D5953" t="s">
        <v>5</v>
      </c>
      <c r="F5953" t="str" cm="1">
        <f t="array" ref="F5953">CategorizeComment(E5953)</f>
        <v>Other</v>
      </c>
      <c r="G5953" t="str" cm="1">
        <f t="array" ref="G5953">SubCategorizeComment(E5953)</f>
        <v>Other</v>
      </c>
    </row>
    <row r="5954" spans="1:7" x14ac:dyDescent="0.25">
      <c r="A5954">
        <v>50175</v>
      </c>
      <c r="B5954" t="s">
        <v>4</v>
      </c>
      <c r="C5954">
        <v>3</v>
      </c>
      <c r="D5954" t="s">
        <v>5</v>
      </c>
      <c r="F5954" t="str" cm="1">
        <f t="array" ref="F5954">CategorizeComment(E5954)</f>
        <v>Other</v>
      </c>
      <c r="G5954" t="str" cm="1">
        <f t="array" ref="G5954">SubCategorizeComment(E5954)</f>
        <v>Other</v>
      </c>
    </row>
    <row r="5955" spans="1:7" x14ac:dyDescent="0.25">
      <c r="A5955">
        <v>50176</v>
      </c>
      <c r="B5955" t="s">
        <v>4</v>
      </c>
      <c r="C5955">
        <v>4</v>
      </c>
      <c r="D5955" t="s">
        <v>5</v>
      </c>
      <c r="F5955" t="str" cm="1">
        <f t="array" ref="F5955">CategorizeComment(E5955)</f>
        <v>Other</v>
      </c>
      <c r="G5955" t="str" cm="1">
        <f t="array" ref="G5955">SubCategorizeComment(E5955)</f>
        <v>Other</v>
      </c>
    </row>
    <row r="5956" spans="1:7" x14ac:dyDescent="0.25">
      <c r="A5956">
        <v>50188</v>
      </c>
      <c r="B5956" t="s">
        <v>4</v>
      </c>
      <c r="C5956">
        <v>4</v>
      </c>
      <c r="D5956" t="s">
        <v>5</v>
      </c>
      <c r="F5956" t="str" cm="1">
        <f t="array" ref="F5956">CategorizeComment(E5956)</f>
        <v>Other</v>
      </c>
      <c r="G5956" t="str" cm="1">
        <f t="array" ref="G5956">SubCategorizeComment(E5956)</f>
        <v>Other</v>
      </c>
    </row>
    <row r="5957" spans="1:7" x14ac:dyDescent="0.25">
      <c r="A5957">
        <v>50193</v>
      </c>
      <c r="B5957" t="s">
        <v>4</v>
      </c>
      <c r="C5957">
        <v>3</v>
      </c>
      <c r="D5957" t="s">
        <v>5</v>
      </c>
      <c r="F5957" t="str" cm="1">
        <f t="array" ref="F5957">CategorizeComment(E5957)</f>
        <v>Other</v>
      </c>
      <c r="G5957" t="str" cm="1">
        <f t="array" ref="G5957">SubCategorizeComment(E5957)</f>
        <v>Other</v>
      </c>
    </row>
    <row r="5958" spans="1:7" x14ac:dyDescent="0.25">
      <c r="A5958">
        <v>50197</v>
      </c>
      <c r="B5958" t="s">
        <v>4</v>
      </c>
      <c r="C5958">
        <v>4</v>
      </c>
      <c r="D5958" t="s">
        <v>5</v>
      </c>
      <c r="F5958" t="str" cm="1">
        <f t="array" ref="F5958">CategorizeComment(E5958)</f>
        <v>Other</v>
      </c>
      <c r="G5958" t="str" cm="1">
        <f t="array" ref="G5958">SubCategorizeComment(E5958)</f>
        <v>Other</v>
      </c>
    </row>
    <row r="5959" spans="1:7" x14ac:dyDescent="0.25">
      <c r="A5959">
        <v>50207</v>
      </c>
      <c r="B5959" t="s">
        <v>4</v>
      </c>
      <c r="C5959">
        <v>4</v>
      </c>
      <c r="D5959" t="s">
        <v>5</v>
      </c>
      <c r="F5959" t="str" cm="1">
        <f t="array" ref="F5959">CategorizeComment(E5959)</f>
        <v>Other</v>
      </c>
      <c r="G5959" t="str" cm="1">
        <f t="array" ref="G5959">SubCategorizeComment(E5959)</f>
        <v>Other</v>
      </c>
    </row>
    <row r="5960" spans="1:7" x14ac:dyDescent="0.25">
      <c r="A5960">
        <v>50213</v>
      </c>
      <c r="B5960" t="s">
        <v>4</v>
      </c>
      <c r="C5960">
        <v>4</v>
      </c>
      <c r="D5960" t="s">
        <v>5</v>
      </c>
      <c r="F5960" t="str" cm="1">
        <f t="array" ref="F5960">CategorizeComment(E5960)</f>
        <v>Other</v>
      </c>
      <c r="G5960" t="str" cm="1">
        <f t="array" ref="G5960">SubCategorizeComment(E5960)</f>
        <v>Other</v>
      </c>
    </row>
    <row r="5961" spans="1:7" x14ac:dyDescent="0.25">
      <c r="A5961">
        <v>50216</v>
      </c>
      <c r="B5961" t="s">
        <v>4</v>
      </c>
      <c r="C5961">
        <v>3</v>
      </c>
      <c r="D5961" t="s">
        <v>5</v>
      </c>
      <c r="F5961" t="str" cm="1">
        <f t="array" ref="F5961">CategorizeComment(E5961)</f>
        <v>Other</v>
      </c>
      <c r="G5961" t="str" cm="1">
        <f t="array" ref="G5961">SubCategorizeComment(E5961)</f>
        <v>Other</v>
      </c>
    </row>
    <row r="5962" spans="1:7" x14ac:dyDescent="0.25">
      <c r="A5962">
        <v>50217</v>
      </c>
      <c r="B5962" t="s">
        <v>4</v>
      </c>
      <c r="C5962">
        <v>4</v>
      </c>
      <c r="D5962" t="s">
        <v>5</v>
      </c>
      <c r="F5962" t="str" cm="1">
        <f t="array" ref="F5962">CategorizeComment(E5962)</f>
        <v>Other</v>
      </c>
      <c r="G5962" t="str" cm="1">
        <f t="array" ref="G5962">SubCategorizeComment(E5962)</f>
        <v>Other</v>
      </c>
    </row>
    <row r="5963" spans="1:7" x14ac:dyDescent="0.25">
      <c r="A5963">
        <v>50220</v>
      </c>
      <c r="B5963" t="s">
        <v>4</v>
      </c>
      <c r="C5963">
        <v>1</v>
      </c>
      <c r="D5963" t="s">
        <v>5</v>
      </c>
      <c r="F5963" t="str" cm="1">
        <f t="array" ref="F5963">CategorizeComment(E5963)</f>
        <v>Other</v>
      </c>
      <c r="G5963" t="str" cm="1">
        <f t="array" ref="G5963">SubCategorizeComment(E5963)</f>
        <v>Other</v>
      </c>
    </row>
    <row r="5964" spans="1:7" x14ac:dyDescent="0.25">
      <c r="A5964">
        <v>50230</v>
      </c>
      <c r="B5964" t="s">
        <v>4</v>
      </c>
      <c r="C5964">
        <v>3</v>
      </c>
      <c r="D5964" t="s">
        <v>5</v>
      </c>
      <c r="F5964" t="str" cm="1">
        <f t="array" ref="F5964">CategorizeComment(E5964)</f>
        <v>Other</v>
      </c>
      <c r="G5964" t="str" cm="1">
        <f t="array" ref="G5964">SubCategorizeComment(E5964)</f>
        <v>Other</v>
      </c>
    </row>
    <row r="5965" spans="1:7" x14ac:dyDescent="0.25">
      <c r="A5965">
        <v>50231</v>
      </c>
      <c r="B5965" t="s">
        <v>4</v>
      </c>
      <c r="C5965">
        <v>3</v>
      </c>
      <c r="D5965" t="s">
        <v>5</v>
      </c>
      <c r="F5965" t="str" cm="1">
        <f t="array" ref="F5965">CategorizeComment(E5965)</f>
        <v>Other</v>
      </c>
      <c r="G5965" t="str" cm="1">
        <f t="array" ref="G5965">SubCategorizeComment(E5965)</f>
        <v>Other</v>
      </c>
    </row>
    <row r="5966" spans="1:7" x14ac:dyDescent="0.25">
      <c r="A5966">
        <v>50241</v>
      </c>
      <c r="B5966" t="s">
        <v>4</v>
      </c>
      <c r="C5966">
        <v>4</v>
      </c>
      <c r="D5966" t="s">
        <v>5</v>
      </c>
      <c r="F5966" t="str" cm="1">
        <f t="array" ref="F5966">CategorizeComment(E5966)</f>
        <v>Other</v>
      </c>
      <c r="G5966" t="str" cm="1">
        <f t="array" ref="G5966">SubCategorizeComment(E5966)</f>
        <v>Other</v>
      </c>
    </row>
    <row r="5967" spans="1:7" x14ac:dyDescent="0.25">
      <c r="A5967">
        <v>50242</v>
      </c>
      <c r="B5967" t="s">
        <v>4</v>
      </c>
      <c r="C5967">
        <v>4</v>
      </c>
      <c r="D5967" t="s">
        <v>5</v>
      </c>
      <c r="F5967" t="str" cm="1">
        <f t="array" ref="F5967">CategorizeComment(E5967)</f>
        <v>Other</v>
      </c>
      <c r="G5967" t="str" cm="1">
        <f t="array" ref="G5967">SubCategorizeComment(E5967)</f>
        <v>Other</v>
      </c>
    </row>
    <row r="5968" spans="1:7" x14ac:dyDescent="0.25">
      <c r="A5968">
        <v>50249</v>
      </c>
      <c r="B5968" t="s">
        <v>4</v>
      </c>
      <c r="C5968">
        <v>3</v>
      </c>
      <c r="D5968" t="s">
        <v>5</v>
      </c>
      <c r="F5968" t="str" cm="1">
        <f t="array" ref="F5968">CategorizeComment(E5968)</f>
        <v>Other</v>
      </c>
      <c r="G5968" t="str" cm="1">
        <f t="array" ref="G5968">SubCategorizeComment(E5968)</f>
        <v>Other</v>
      </c>
    </row>
    <row r="5969" spans="1:7" x14ac:dyDescent="0.25">
      <c r="A5969">
        <v>50252</v>
      </c>
      <c r="B5969" t="s">
        <v>4</v>
      </c>
      <c r="C5969">
        <v>4</v>
      </c>
      <c r="D5969" t="s">
        <v>5</v>
      </c>
      <c r="F5969" t="str" cm="1">
        <f t="array" ref="F5969">CategorizeComment(E5969)</f>
        <v>Other</v>
      </c>
      <c r="G5969" t="str" cm="1">
        <f t="array" ref="G5969">SubCategorizeComment(E5969)</f>
        <v>Other</v>
      </c>
    </row>
    <row r="5970" spans="1:7" x14ac:dyDescent="0.25">
      <c r="A5970">
        <v>50256</v>
      </c>
      <c r="B5970" t="s">
        <v>4</v>
      </c>
      <c r="C5970">
        <v>4</v>
      </c>
      <c r="D5970" t="s">
        <v>5</v>
      </c>
      <c r="F5970" t="str" cm="1">
        <f t="array" ref="F5970">CategorizeComment(E5970)</f>
        <v>Other</v>
      </c>
      <c r="G5970" t="str" cm="1">
        <f t="array" ref="G5970">SubCategorizeComment(E5970)</f>
        <v>Other</v>
      </c>
    </row>
    <row r="5971" spans="1:7" x14ac:dyDescent="0.25">
      <c r="A5971">
        <v>50257</v>
      </c>
      <c r="B5971" t="s">
        <v>4</v>
      </c>
      <c r="C5971">
        <v>4</v>
      </c>
      <c r="D5971" t="s">
        <v>5</v>
      </c>
      <c r="F5971" t="str" cm="1">
        <f t="array" ref="F5971">CategorizeComment(E5971)</f>
        <v>Other</v>
      </c>
      <c r="G5971" t="str" cm="1">
        <f t="array" ref="G5971">SubCategorizeComment(E5971)</f>
        <v>Other</v>
      </c>
    </row>
    <row r="5972" spans="1:7" x14ac:dyDescent="0.25">
      <c r="A5972">
        <v>50264</v>
      </c>
      <c r="B5972" t="s">
        <v>4</v>
      </c>
      <c r="C5972">
        <v>4</v>
      </c>
      <c r="D5972" t="s">
        <v>5</v>
      </c>
      <c r="F5972" t="str" cm="1">
        <f t="array" ref="F5972">CategorizeComment(E5972)</f>
        <v>Other</v>
      </c>
      <c r="G5972" t="str" cm="1">
        <f t="array" ref="G5972">SubCategorizeComment(E5972)</f>
        <v>Other</v>
      </c>
    </row>
    <row r="5973" spans="1:7" x14ac:dyDescent="0.25">
      <c r="A5973">
        <v>50267</v>
      </c>
      <c r="B5973" t="s">
        <v>4</v>
      </c>
      <c r="C5973">
        <v>3</v>
      </c>
      <c r="D5973" t="s">
        <v>5</v>
      </c>
      <c r="F5973" t="str" cm="1">
        <f t="array" ref="F5973">CategorizeComment(E5973)</f>
        <v>Other</v>
      </c>
      <c r="G5973" t="str" cm="1">
        <f t="array" ref="G5973">SubCategorizeComment(E5973)</f>
        <v>Other</v>
      </c>
    </row>
    <row r="5974" spans="1:7" x14ac:dyDescent="0.25">
      <c r="A5974">
        <v>50276</v>
      </c>
      <c r="B5974" t="s">
        <v>4</v>
      </c>
      <c r="C5974">
        <v>4</v>
      </c>
      <c r="D5974" t="s">
        <v>5</v>
      </c>
      <c r="F5974" t="str" cm="1">
        <f t="array" ref="F5974">CategorizeComment(E5974)</f>
        <v>Other</v>
      </c>
      <c r="G5974" t="str" cm="1">
        <f t="array" ref="G5974">SubCategorizeComment(E5974)</f>
        <v>Other</v>
      </c>
    </row>
    <row r="5975" spans="1:7" x14ac:dyDescent="0.25">
      <c r="A5975">
        <v>50282</v>
      </c>
      <c r="B5975" t="s">
        <v>4</v>
      </c>
      <c r="C5975">
        <v>4</v>
      </c>
      <c r="D5975" t="s">
        <v>5</v>
      </c>
      <c r="F5975" t="str" cm="1">
        <f t="array" ref="F5975">CategorizeComment(E5975)</f>
        <v>Other</v>
      </c>
      <c r="G5975" t="str" cm="1">
        <f t="array" ref="G5975">SubCategorizeComment(E5975)</f>
        <v>Other</v>
      </c>
    </row>
    <row r="5976" spans="1:7" x14ac:dyDescent="0.25">
      <c r="A5976">
        <v>50283</v>
      </c>
      <c r="B5976" t="s">
        <v>4</v>
      </c>
      <c r="C5976">
        <v>3</v>
      </c>
      <c r="D5976" t="s">
        <v>5</v>
      </c>
      <c r="F5976" t="str" cm="1">
        <f t="array" ref="F5976">CategorizeComment(E5976)</f>
        <v>Other</v>
      </c>
      <c r="G5976" t="str" cm="1">
        <f t="array" ref="G5976">SubCategorizeComment(E5976)</f>
        <v>Other</v>
      </c>
    </row>
    <row r="5977" spans="1:7" x14ac:dyDescent="0.25">
      <c r="A5977">
        <v>50291</v>
      </c>
      <c r="B5977" t="s">
        <v>4</v>
      </c>
      <c r="C5977">
        <v>3</v>
      </c>
      <c r="D5977" t="s">
        <v>5</v>
      </c>
      <c r="F5977" t="str" cm="1">
        <f t="array" ref="F5977">CategorizeComment(E5977)</f>
        <v>Other</v>
      </c>
      <c r="G5977" t="str" cm="1">
        <f t="array" ref="G5977">SubCategorizeComment(E5977)</f>
        <v>Other</v>
      </c>
    </row>
    <row r="5978" spans="1:7" x14ac:dyDescent="0.25">
      <c r="A5978">
        <v>50293</v>
      </c>
      <c r="B5978" t="s">
        <v>4</v>
      </c>
      <c r="C5978">
        <v>4</v>
      </c>
      <c r="D5978" t="s">
        <v>5</v>
      </c>
      <c r="F5978" t="str" cm="1">
        <f t="array" ref="F5978">CategorizeComment(E5978)</f>
        <v>Other</v>
      </c>
      <c r="G5978" t="str" cm="1">
        <f t="array" ref="G5978">SubCategorizeComment(E5978)</f>
        <v>Other</v>
      </c>
    </row>
    <row r="5979" spans="1:7" x14ac:dyDescent="0.25">
      <c r="A5979">
        <v>50294</v>
      </c>
      <c r="B5979" t="s">
        <v>4</v>
      </c>
      <c r="C5979">
        <v>4</v>
      </c>
      <c r="D5979" t="s">
        <v>5</v>
      </c>
      <c r="F5979" t="str" cm="1">
        <f t="array" ref="F5979">CategorizeComment(E5979)</f>
        <v>Other</v>
      </c>
      <c r="G5979" t="str" cm="1">
        <f t="array" ref="G5979">SubCategorizeComment(E5979)</f>
        <v>Other</v>
      </c>
    </row>
    <row r="5980" spans="1:7" x14ac:dyDescent="0.25">
      <c r="A5980">
        <v>50299</v>
      </c>
      <c r="B5980" t="s">
        <v>4</v>
      </c>
      <c r="C5980">
        <v>4</v>
      </c>
      <c r="D5980" t="s">
        <v>5</v>
      </c>
      <c r="F5980" t="str" cm="1">
        <f t="array" ref="F5980">CategorizeComment(E5980)</f>
        <v>Other</v>
      </c>
      <c r="G5980" t="str" cm="1">
        <f t="array" ref="G5980">SubCategorizeComment(E5980)</f>
        <v>Other</v>
      </c>
    </row>
    <row r="5981" spans="1:7" x14ac:dyDescent="0.25">
      <c r="A5981">
        <v>50307</v>
      </c>
      <c r="B5981" t="s">
        <v>4</v>
      </c>
      <c r="C5981">
        <v>3</v>
      </c>
      <c r="D5981" t="s">
        <v>5</v>
      </c>
      <c r="F5981" t="str" cm="1">
        <f t="array" ref="F5981">CategorizeComment(E5981)</f>
        <v>Other</v>
      </c>
      <c r="G5981" t="str" cm="1">
        <f t="array" ref="G5981">SubCategorizeComment(E5981)</f>
        <v>Other</v>
      </c>
    </row>
    <row r="5982" spans="1:7" x14ac:dyDescent="0.25">
      <c r="A5982">
        <v>50309</v>
      </c>
      <c r="B5982" t="s">
        <v>4</v>
      </c>
      <c r="C5982">
        <v>3</v>
      </c>
      <c r="D5982" t="s">
        <v>5</v>
      </c>
      <c r="F5982" t="str" cm="1">
        <f t="array" ref="F5982">CategorizeComment(E5982)</f>
        <v>Other</v>
      </c>
      <c r="G5982" t="str" cm="1">
        <f t="array" ref="G5982">SubCategorizeComment(E5982)</f>
        <v>Other</v>
      </c>
    </row>
    <row r="5983" spans="1:7" x14ac:dyDescent="0.25">
      <c r="A5983">
        <v>50317</v>
      </c>
      <c r="B5983" t="s">
        <v>4</v>
      </c>
      <c r="C5983">
        <v>4</v>
      </c>
      <c r="D5983" t="s">
        <v>5</v>
      </c>
      <c r="F5983" t="str" cm="1">
        <f t="array" ref="F5983">CategorizeComment(E5983)</f>
        <v>Other</v>
      </c>
      <c r="G5983" t="str" cm="1">
        <f t="array" ref="G5983">SubCategorizeComment(E5983)</f>
        <v>Other</v>
      </c>
    </row>
    <row r="5984" spans="1:7" x14ac:dyDescent="0.25">
      <c r="A5984">
        <v>50344</v>
      </c>
      <c r="B5984" t="s">
        <v>4</v>
      </c>
      <c r="C5984">
        <v>4</v>
      </c>
      <c r="D5984" t="s">
        <v>5</v>
      </c>
      <c r="F5984" t="str" cm="1">
        <f t="array" ref="F5984">CategorizeComment(E5984)</f>
        <v>Other</v>
      </c>
      <c r="G5984" t="str" cm="1">
        <f t="array" ref="G5984">SubCategorizeComment(E5984)</f>
        <v>Other</v>
      </c>
    </row>
    <row r="5985" spans="1:7" x14ac:dyDescent="0.25">
      <c r="A5985">
        <v>50345</v>
      </c>
      <c r="B5985" t="s">
        <v>4</v>
      </c>
      <c r="C5985">
        <v>4</v>
      </c>
      <c r="D5985" t="s">
        <v>5</v>
      </c>
      <c r="F5985" t="str" cm="1">
        <f t="array" ref="F5985">CategorizeComment(E5985)</f>
        <v>Other</v>
      </c>
      <c r="G5985" t="str" cm="1">
        <f t="array" ref="G5985">SubCategorizeComment(E5985)</f>
        <v>Other</v>
      </c>
    </row>
    <row r="5986" spans="1:7" x14ac:dyDescent="0.25">
      <c r="A5986">
        <v>50351</v>
      </c>
      <c r="B5986" t="s">
        <v>4</v>
      </c>
      <c r="C5986">
        <v>3</v>
      </c>
      <c r="D5986" t="s">
        <v>5</v>
      </c>
      <c r="F5986" t="str" cm="1">
        <f t="array" ref="F5986">CategorizeComment(E5986)</f>
        <v>Other</v>
      </c>
      <c r="G5986" t="str" cm="1">
        <f t="array" ref="G5986">SubCategorizeComment(E5986)</f>
        <v>Other</v>
      </c>
    </row>
    <row r="5987" spans="1:7" x14ac:dyDescent="0.25">
      <c r="A5987">
        <v>50352</v>
      </c>
      <c r="B5987" t="s">
        <v>4</v>
      </c>
      <c r="C5987">
        <v>3</v>
      </c>
      <c r="D5987" t="s">
        <v>5</v>
      </c>
      <c r="F5987" t="str" cm="1">
        <f t="array" ref="F5987">CategorizeComment(E5987)</f>
        <v>Other</v>
      </c>
      <c r="G5987" t="str" cm="1">
        <f t="array" ref="G5987">SubCategorizeComment(E5987)</f>
        <v>Other</v>
      </c>
    </row>
    <row r="5988" spans="1:7" x14ac:dyDescent="0.25">
      <c r="A5988">
        <v>50354</v>
      </c>
      <c r="B5988" t="s">
        <v>4</v>
      </c>
      <c r="C5988">
        <v>4</v>
      </c>
      <c r="D5988" t="s">
        <v>5</v>
      </c>
      <c r="F5988" t="str" cm="1">
        <f t="array" ref="F5988">CategorizeComment(E5988)</f>
        <v>Other</v>
      </c>
      <c r="G5988" t="str" cm="1">
        <f t="array" ref="G5988">SubCategorizeComment(E5988)</f>
        <v>Other</v>
      </c>
    </row>
    <row r="5989" spans="1:7" x14ac:dyDescent="0.25">
      <c r="A5989">
        <v>50367</v>
      </c>
      <c r="B5989" t="s">
        <v>4</v>
      </c>
      <c r="C5989">
        <v>3</v>
      </c>
      <c r="D5989" t="s">
        <v>5</v>
      </c>
      <c r="F5989" t="str" cm="1">
        <f t="array" ref="F5989">CategorizeComment(E5989)</f>
        <v>Other</v>
      </c>
      <c r="G5989" t="str" cm="1">
        <f t="array" ref="G5989">SubCategorizeComment(E5989)</f>
        <v>Other</v>
      </c>
    </row>
    <row r="5990" spans="1:7" x14ac:dyDescent="0.25">
      <c r="A5990">
        <v>50379</v>
      </c>
      <c r="B5990" t="s">
        <v>4</v>
      </c>
      <c r="C5990">
        <v>3</v>
      </c>
      <c r="D5990" t="s">
        <v>5</v>
      </c>
      <c r="F5990" t="str" cm="1">
        <f t="array" ref="F5990">CategorizeComment(E5990)</f>
        <v>Other</v>
      </c>
      <c r="G5990" t="str" cm="1">
        <f t="array" ref="G5990">SubCategorizeComment(E5990)</f>
        <v>Other</v>
      </c>
    </row>
    <row r="5991" spans="1:7" x14ac:dyDescent="0.25">
      <c r="A5991">
        <v>50387</v>
      </c>
      <c r="B5991" t="s">
        <v>4</v>
      </c>
      <c r="C5991">
        <v>3</v>
      </c>
      <c r="D5991" t="s">
        <v>5</v>
      </c>
      <c r="F5991" t="str" cm="1">
        <f t="array" ref="F5991">CategorizeComment(E5991)</f>
        <v>Other</v>
      </c>
      <c r="G5991" t="str" cm="1">
        <f t="array" ref="G5991">SubCategorizeComment(E5991)</f>
        <v>Other</v>
      </c>
    </row>
    <row r="5992" spans="1:7" x14ac:dyDescent="0.25">
      <c r="A5992">
        <v>50389</v>
      </c>
      <c r="B5992" t="s">
        <v>4</v>
      </c>
      <c r="C5992">
        <v>3</v>
      </c>
      <c r="D5992" t="s">
        <v>5</v>
      </c>
      <c r="F5992" t="str" cm="1">
        <f t="array" ref="F5992">CategorizeComment(E5992)</f>
        <v>Other</v>
      </c>
      <c r="G5992" t="str" cm="1">
        <f t="array" ref="G5992">SubCategorizeComment(E5992)</f>
        <v>Other</v>
      </c>
    </row>
    <row r="5993" spans="1:7" x14ac:dyDescent="0.25">
      <c r="A5993">
        <v>50404</v>
      </c>
      <c r="B5993" t="s">
        <v>4</v>
      </c>
      <c r="C5993">
        <v>4</v>
      </c>
      <c r="D5993" t="s">
        <v>5</v>
      </c>
      <c r="F5993" t="str" cm="1">
        <f t="array" ref="F5993">CategorizeComment(E5993)</f>
        <v>Other</v>
      </c>
      <c r="G5993" t="str" cm="1">
        <f t="array" ref="G5993">SubCategorizeComment(E5993)</f>
        <v>Other</v>
      </c>
    </row>
    <row r="5994" spans="1:7" x14ac:dyDescent="0.25">
      <c r="A5994">
        <v>50405</v>
      </c>
      <c r="B5994" t="s">
        <v>4</v>
      </c>
      <c r="C5994">
        <v>3</v>
      </c>
      <c r="D5994" t="s">
        <v>5</v>
      </c>
      <c r="F5994" t="str" cm="1">
        <f t="array" ref="F5994">CategorizeComment(E5994)</f>
        <v>Other</v>
      </c>
      <c r="G5994" t="str" cm="1">
        <f t="array" ref="G5994">SubCategorizeComment(E5994)</f>
        <v>Other</v>
      </c>
    </row>
    <row r="5995" spans="1:7" x14ac:dyDescent="0.25">
      <c r="A5995">
        <v>50409</v>
      </c>
      <c r="B5995" t="s">
        <v>4</v>
      </c>
      <c r="C5995">
        <v>4</v>
      </c>
      <c r="D5995" t="s">
        <v>5</v>
      </c>
      <c r="F5995" t="str" cm="1">
        <f t="array" ref="F5995">CategorizeComment(E5995)</f>
        <v>Other</v>
      </c>
      <c r="G5995" t="str" cm="1">
        <f t="array" ref="G5995">SubCategorizeComment(E5995)</f>
        <v>Other</v>
      </c>
    </row>
    <row r="5996" spans="1:7" x14ac:dyDescent="0.25">
      <c r="A5996">
        <v>50418</v>
      </c>
      <c r="B5996" t="s">
        <v>4</v>
      </c>
      <c r="C5996">
        <v>4</v>
      </c>
      <c r="D5996" t="s">
        <v>5</v>
      </c>
      <c r="F5996" t="str" cm="1">
        <f t="array" ref="F5996">CategorizeComment(E5996)</f>
        <v>Other</v>
      </c>
      <c r="G5996" t="str" cm="1">
        <f t="array" ref="G5996">SubCategorizeComment(E5996)</f>
        <v>Other</v>
      </c>
    </row>
    <row r="5997" spans="1:7" x14ac:dyDescent="0.25">
      <c r="A5997">
        <v>50422</v>
      </c>
      <c r="B5997" t="s">
        <v>4</v>
      </c>
      <c r="C5997">
        <v>4</v>
      </c>
      <c r="D5997" t="s">
        <v>5</v>
      </c>
      <c r="F5997" t="str" cm="1">
        <f t="array" ref="F5997">CategorizeComment(E5997)</f>
        <v>Other</v>
      </c>
      <c r="G5997" t="str" cm="1">
        <f t="array" ref="G5997">SubCategorizeComment(E5997)</f>
        <v>Other</v>
      </c>
    </row>
    <row r="5998" spans="1:7" x14ac:dyDescent="0.25">
      <c r="A5998">
        <v>50437</v>
      </c>
      <c r="B5998" t="s">
        <v>4</v>
      </c>
      <c r="C5998">
        <v>3</v>
      </c>
      <c r="D5998" t="s">
        <v>5</v>
      </c>
      <c r="F5998" t="str" cm="1">
        <f t="array" ref="F5998">CategorizeComment(E5998)</f>
        <v>Other</v>
      </c>
      <c r="G5998" t="str" cm="1">
        <f t="array" ref="G5998">SubCategorizeComment(E5998)</f>
        <v>Other</v>
      </c>
    </row>
    <row r="5999" spans="1:7" x14ac:dyDescent="0.25">
      <c r="A5999">
        <v>50438</v>
      </c>
      <c r="B5999" t="s">
        <v>4</v>
      </c>
      <c r="C5999">
        <v>4</v>
      </c>
      <c r="D5999" t="s">
        <v>5</v>
      </c>
      <c r="F5999" t="str" cm="1">
        <f t="array" ref="F5999">CategorizeComment(E5999)</f>
        <v>Other</v>
      </c>
      <c r="G5999" t="str" cm="1">
        <f t="array" ref="G5999">SubCategorizeComment(E5999)</f>
        <v>Other</v>
      </c>
    </row>
    <row r="6000" spans="1:7" x14ac:dyDescent="0.25">
      <c r="A6000">
        <v>50442</v>
      </c>
      <c r="B6000" t="s">
        <v>4</v>
      </c>
      <c r="C6000">
        <v>4</v>
      </c>
      <c r="D6000" t="s">
        <v>5</v>
      </c>
      <c r="F6000" t="str" cm="1">
        <f t="array" ref="F6000">CategorizeComment(E6000)</f>
        <v>Other</v>
      </c>
      <c r="G6000" t="str" cm="1">
        <f t="array" ref="G6000">SubCategorizeComment(E6000)</f>
        <v>Other</v>
      </c>
    </row>
    <row r="6001" spans="1:7" x14ac:dyDescent="0.25">
      <c r="A6001">
        <v>50444</v>
      </c>
      <c r="B6001" t="s">
        <v>4</v>
      </c>
      <c r="C6001">
        <v>3</v>
      </c>
      <c r="D6001" t="s">
        <v>5</v>
      </c>
      <c r="F6001" t="str" cm="1">
        <f t="array" ref="F6001">CategorizeComment(E6001)</f>
        <v>Other</v>
      </c>
      <c r="G6001" t="str" cm="1">
        <f t="array" ref="G6001">SubCategorizeComment(E6001)</f>
        <v>Other</v>
      </c>
    </row>
    <row r="6002" spans="1:7" x14ac:dyDescent="0.25">
      <c r="A6002">
        <v>50448</v>
      </c>
      <c r="B6002" t="s">
        <v>4</v>
      </c>
      <c r="C6002">
        <v>4</v>
      </c>
      <c r="D6002" t="s">
        <v>5</v>
      </c>
      <c r="F6002" t="str" cm="1">
        <f t="array" ref="F6002">CategorizeComment(E6002)</f>
        <v>Other</v>
      </c>
      <c r="G6002" t="str" cm="1">
        <f t="array" ref="G6002">SubCategorizeComment(E6002)</f>
        <v>Other</v>
      </c>
    </row>
    <row r="6003" spans="1:7" x14ac:dyDescent="0.25">
      <c r="A6003">
        <v>50454</v>
      </c>
      <c r="B6003" t="s">
        <v>4</v>
      </c>
      <c r="C6003">
        <v>3</v>
      </c>
      <c r="D6003" t="s">
        <v>5</v>
      </c>
      <c r="F6003" t="str" cm="1">
        <f t="array" ref="F6003">CategorizeComment(E6003)</f>
        <v>Other</v>
      </c>
      <c r="G6003" t="str" cm="1">
        <f t="array" ref="G6003">SubCategorizeComment(E6003)</f>
        <v>Other</v>
      </c>
    </row>
    <row r="6004" spans="1:7" x14ac:dyDescent="0.25">
      <c r="A6004">
        <v>50460</v>
      </c>
      <c r="B6004" t="s">
        <v>4</v>
      </c>
      <c r="C6004">
        <v>4</v>
      </c>
      <c r="D6004" t="s">
        <v>5</v>
      </c>
      <c r="F6004" t="str" cm="1">
        <f t="array" ref="F6004">CategorizeComment(E6004)</f>
        <v>Other</v>
      </c>
      <c r="G6004" t="str" cm="1">
        <f t="array" ref="G6004">SubCategorizeComment(E6004)</f>
        <v>Other</v>
      </c>
    </row>
    <row r="6005" spans="1:7" x14ac:dyDescent="0.25">
      <c r="A6005">
        <v>50471</v>
      </c>
      <c r="B6005" t="s">
        <v>4</v>
      </c>
      <c r="C6005">
        <v>3</v>
      </c>
      <c r="D6005" t="s">
        <v>5</v>
      </c>
      <c r="F6005" t="str" cm="1">
        <f t="array" ref="F6005">CategorizeComment(E6005)</f>
        <v>Other</v>
      </c>
      <c r="G6005" t="str" cm="1">
        <f t="array" ref="G6005">SubCategorizeComment(E6005)</f>
        <v>Other</v>
      </c>
    </row>
    <row r="6006" spans="1:7" x14ac:dyDescent="0.25">
      <c r="A6006">
        <v>50472</v>
      </c>
      <c r="B6006" t="s">
        <v>4</v>
      </c>
      <c r="C6006">
        <v>3</v>
      </c>
      <c r="D6006" t="s">
        <v>5</v>
      </c>
      <c r="F6006" t="str" cm="1">
        <f t="array" ref="F6006">CategorizeComment(E6006)</f>
        <v>Other</v>
      </c>
      <c r="G6006" t="str" cm="1">
        <f t="array" ref="G6006">SubCategorizeComment(E6006)</f>
        <v>Other</v>
      </c>
    </row>
    <row r="6007" spans="1:7" x14ac:dyDescent="0.25">
      <c r="A6007">
        <v>50481</v>
      </c>
      <c r="B6007" t="s">
        <v>4</v>
      </c>
      <c r="C6007">
        <v>3</v>
      </c>
      <c r="D6007" t="s">
        <v>5</v>
      </c>
      <c r="F6007" t="str" cm="1">
        <f t="array" ref="F6007">CategorizeComment(E6007)</f>
        <v>Other</v>
      </c>
      <c r="G6007" t="str" cm="1">
        <f t="array" ref="G6007">SubCategorizeComment(E6007)</f>
        <v>Other</v>
      </c>
    </row>
    <row r="6008" spans="1:7" x14ac:dyDescent="0.25">
      <c r="A6008">
        <v>50517</v>
      </c>
      <c r="B6008" t="s">
        <v>4</v>
      </c>
      <c r="C6008">
        <v>3</v>
      </c>
      <c r="D6008" t="s">
        <v>5</v>
      </c>
      <c r="F6008" t="str" cm="1">
        <f t="array" ref="F6008">CategorizeComment(E6008)</f>
        <v>Other</v>
      </c>
      <c r="G6008" t="str" cm="1">
        <f t="array" ref="G6008">SubCategorizeComment(E6008)</f>
        <v>Other</v>
      </c>
    </row>
    <row r="6009" spans="1:7" x14ac:dyDescent="0.25">
      <c r="A6009">
        <v>50525</v>
      </c>
      <c r="B6009" t="s">
        <v>4</v>
      </c>
      <c r="C6009">
        <v>4</v>
      </c>
      <c r="D6009" t="s">
        <v>5</v>
      </c>
      <c r="F6009" t="str" cm="1">
        <f t="array" ref="F6009">CategorizeComment(E6009)</f>
        <v>Other</v>
      </c>
      <c r="G6009" t="str" cm="1">
        <f t="array" ref="G6009">SubCategorizeComment(E6009)</f>
        <v>Other</v>
      </c>
    </row>
    <row r="6010" spans="1:7" x14ac:dyDescent="0.25">
      <c r="A6010">
        <v>50533</v>
      </c>
      <c r="B6010" t="s">
        <v>4</v>
      </c>
      <c r="C6010">
        <v>4</v>
      </c>
      <c r="D6010" t="s">
        <v>5</v>
      </c>
      <c r="F6010" t="str" cm="1">
        <f t="array" ref="F6010">CategorizeComment(E6010)</f>
        <v>Other</v>
      </c>
      <c r="G6010" t="str" cm="1">
        <f t="array" ref="G6010">SubCategorizeComment(E6010)</f>
        <v>Other</v>
      </c>
    </row>
    <row r="6011" spans="1:7" x14ac:dyDescent="0.25">
      <c r="A6011">
        <v>50542</v>
      </c>
      <c r="B6011" t="s">
        <v>4</v>
      </c>
      <c r="C6011">
        <v>3</v>
      </c>
      <c r="D6011" t="s">
        <v>5</v>
      </c>
      <c r="F6011" t="str" cm="1">
        <f t="array" ref="F6011">CategorizeComment(E6011)</f>
        <v>Other</v>
      </c>
      <c r="G6011" t="str" cm="1">
        <f t="array" ref="G6011">SubCategorizeComment(E6011)</f>
        <v>Other</v>
      </c>
    </row>
    <row r="6012" spans="1:7" x14ac:dyDescent="0.25">
      <c r="A6012">
        <v>50551</v>
      </c>
      <c r="B6012" t="s">
        <v>4</v>
      </c>
      <c r="C6012">
        <v>4</v>
      </c>
      <c r="D6012" t="s">
        <v>5</v>
      </c>
      <c r="F6012" t="str" cm="1">
        <f t="array" ref="F6012">CategorizeComment(E6012)</f>
        <v>Other</v>
      </c>
      <c r="G6012" t="str" cm="1">
        <f t="array" ref="G6012">SubCategorizeComment(E6012)</f>
        <v>Other</v>
      </c>
    </row>
    <row r="6013" spans="1:7" x14ac:dyDescent="0.25">
      <c r="A6013">
        <v>50553</v>
      </c>
      <c r="B6013" t="s">
        <v>4</v>
      </c>
      <c r="C6013">
        <v>3</v>
      </c>
      <c r="D6013" t="s">
        <v>5</v>
      </c>
      <c r="F6013" t="str" cm="1">
        <f t="array" ref="F6013">CategorizeComment(E6013)</f>
        <v>Other</v>
      </c>
      <c r="G6013" t="str" cm="1">
        <f t="array" ref="G6013">SubCategorizeComment(E6013)</f>
        <v>Other</v>
      </c>
    </row>
    <row r="6014" spans="1:7" x14ac:dyDescent="0.25">
      <c r="A6014">
        <v>50558</v>
      </c>
      <c r="B6014" t="s">
        <v>4</v>
      </c>
      <c r="C6014">
        <v>3</v>
      </c>
      <c r="D6014" t="s">
        <v>5</v>
      </c>
      <c r="F6014" t="str" cm="1">
        <f t="array" ref="F6014">CategorizeComment(E6014)</f>
        <v>Other</v>
      </c>
      <c r="G6014" t="str" cm="1">
        <f t="array" ref="G6014">SubCategorizeComment(E6014)</f>
        <v>Other</v>
      </c>
    </row>
    <row r="6015" spans="1:7" x14ac:dyDescent="0.25">
      <c r="A6015">
        <v>50564</v>
      </c>
      <c r="B6015" t="s">
        <v>4</v>
      </c>
      <c r="C6015">
        <v>4</v>
      </c>
      <c r="D6015" t="s">
        <v>5</v>
      </c>
      <c r="F6015" t="str" cm="1">
        <f t="array" ref="F6015">CategorizeComment(E6015)</f>
        <v>Other</v>
      </c>
      <c r="G6015" t="str" cm="1">
        <f t="array" ref="G6015">SubCategorizeComment(E6015)</f>
        <v>Other</v>
      </c>
    </row>
    <row r="6016" spans="1:7" x14ac:dyDescent="0.25">
      <c r="A6016">
        <v>50576</v>
      </c>
      <c r="B6016" t="s">
        <v>4</v>
      </c>
      <c r="C6016">
        <v>3</v>
      </c>
      <c r="D6016" t="s">
        <v>5</v>
      </c>
      <c r="F6016" t="str" cm="1">
        <f t="array" ref="F6016">CategorizeComment(E6016)</f>
        <v>Other</v>
      </c>
      <c r="G6016" t="str" cm="1">
        <f t="array" ref="G6016">SubCategorizeComment(E6016)</f>
        <v>Other</v>
      </c>
    </row>
    <row r="6017" spans="1:7" x14ac:dyDescent="0.25">
      <c r="A6017">
        <v>50587</v>
      </c>
      <c r="B6017" t="s">
        <v>4</v>
      </c>
      <c r="C6017">
        <v>3</v>
      </c>
      <c r="D6017" t="s">
        <v>5</v>
      </c>
      <c r="F6017" t="str" cm="1">
        <f t="array" ref="F6017">CategorizeComment(E6017)</f>
        <v>Other</v>
      </c>
      <c r="G6017" t="str" cm="1">
        <f t="array" ref="G6017">SubCategorizeComment(E6017)</f>
        <v>Other</v>
      </c>
    </row>
    <row r="6018" spans="1:7" x14ac:dyDescent="0.25">
      <c r="A6018">
        <v>50593</v>
      </c>
      <c r="B6018" t="s">
        <v>4</v>
      </c>
      <c r="C6018">
        <v>4</v>
      </c>
      <c r="D6018" t="s">
        <v>5</v>
      </c>
      <c r="F6018" t="str" cm="1">
        <f t="array" ref="F6018">CategorizeComment(E6018)</f>
        <v>Other</v>
      </c>
      <c r="G6018" t="str" cm="1">
        <f t="array" ref="G6018">SubCategorizeComment(E6018)</f>
        <v>Other</v>
      </c>
    </row>
    <row r="6019" spans="1:7" x14ac:dyDescent="0.25">
      <c r="A6019">
        <v>50606</v>
      </c>
      <c r="B6019" t="s">
        <v>4</v>
      </c>
      <c r="C6019">
        <v>3</v>
      </c>
      <c r="D6019" t="s">
        <v>5</v>
      </c>
      <c r="F6019" t="str" cm="1">
        <f t="array" ref="F6019">CategorizeComment(E6019)</f>
        <v>Other</v>
      </c>
      <c r="G6019" t="str" cm="1">
        <f t="array" ref="G6019">SubCategorizeComment(E6019)</f>
        <v>Other</v>
      </c>
    </row>
    <row r="6020" spans="1:7" x14ac:dyDescent="0.25">
      <c r="A6020">
        <v>50612</v>
      </c>
      <c r="B6020" t="s">
        <v>4</v>
      </c>
      <c r="C6020">
        <v>3</v>
      </c>
      <c r="D6020" t="s">
        <v>5</v>
      </c>
      <c r="F6020" t="str" cm="1">
        <f t="array" ref="F6020">CategorizeComment(E6020)</f>
        <v>Other</v>
      </c>
      <c r="G6020" t="str" cm="1">
        <f t="array" ref="G6020">SubCategorizeComment(E6020)</f>
        <v>Other</v>
      </c>
    </row>
    <row r="6021" spans="1:7" x14ac:dyDescent="0.25">
      <c r="A6021">
        <v>50619</v>
      </c>
      <c r="B6021" t="s">
        <v>4</v>
      </c>
      <c r="C6021">
        <v>3</v>
      </c>
      <c r="D6021" t="s">
        <v>5</v>
      </c>
      <c r="F6021" t="str" cm="1">
        <f t="array" ref="F6021">CategorizeComment(E6021)</f>
        <v>Other</v>
      </c>
      <c r="G6021" t="str" cm="1">
        <f t="array" ref="G6021">SubCategorizeComment(E6021)</f>
        <v>Other</v>
      </c>
    </row>
    <row r="6022" spans="1:7" x14ac:dyDescent="0.25">
      <c r="A6022">
        <v>50621</v>
      </c>
      <c r="B6022" t="s">
        <v>4</v>
      </c>
      <c r="C6022">
        <v>4</v>
      </c>
      <c r="D6022" t="s">
        <v>5</v>
      </c>
      <c r="F6022" t="str" cm="1">
        <f t="array" ref="F6022">CategorizeComment(E6022)</f>
        <v>Other</v>
      </c>
      <c r="G6022" t="str" cm="1">
        <f t="array" ref="G6022">SubCategorizeComment(E6022)</f>
        <v>Other</v>
      </c>
    </row>
    <row r="6023" spans="1:7" x14ac:dyDescent="0.25">
      <c r="A6023">
        <v>50637</v>
      </c>
      <c r="B6023" t="s">
        <v>4</v>
      </c>
      <c r="C6023">
        <v>4</v>
      </c>
      <c r="D6023" t="s">
        <v>5</v>
      </c>
      <c r="F6023" t="str" cm="1">
        <f t="array" ref="F6023">CategorizeComment(E6023)</f>
        <v>Other</v>
      </c>
      <c r="G6023" t="str" cm="1">
        <f t="array" ref="G6023">SubCategorizeComment(E6023)</f>
        <v>Other</v>
      </c>
    </row>
    <row r="6024" spans="1:7" x14ac:dyDescent="0.25">
      <c r="A6024">
        <v>50674</v>
      </c>
      <c r="B6024" t="s">
        <v>4</v>
      </c>
      <c r="C6024">
        <v>3</v>
      </c>
      <c r="D6024" t="s">
        <v>5</v>
      </c>
      <c r="F6024" t="str" cm="1">
        <f t="array" ref="F6024">CategorizeComment(E6024)</f>
        <v>Other</v>
      </c>
      <c r="G6024" t="str" cm="1">
        <f t="array" ref="G6024">SubCategorizeComment(E6024)</f>
        <v>Other</v>
      </c>
    </row>
    <row r="6025" spans="1:7" x14ac:dyDescent="0.25">
      <c r="A6025">
        <v>50702</v>
      </c>
      <c r="B6025" t="s">
        <v>4</v>
      </c>
      <c r="C6025">
        <v>3</v>
      </c>
      <c r="D6025" t="s">
        <v>5</v>
      </c>
      <c r="F6025" t="str" cm="1">
        <f t="array" ref="F6025">CategorizeComment(E6025)</f>
        <v>Other</v>
      </c>
      <c r="G6025" t="str" cm="1">
        <f t="array" ref="G6025">SubCategorizeComment(E6025)</f>
        <v>Other</v>
      </c>
    </row>
    <row r="6026" spans="1:7" x14ac:dyDescent="0.25">
      <c r="A6026">
        <v>50704</v>
      </c>
      <c r="B6026" t="s">
        <v>4</v>
      </c>
      <c r="C6026">
        <v>3</v>
      </c>
      <c r="D6026" t="s">
        <v>5</v>
      </c>
      <c r="F6026" t="str" cm="1">
        <f t="array" ref="F6026">CategorizeComment(E6026)</f>
        <v>Other</v>
      </c>
      <c r="G6026" t="str" cm="1">
        <f t="array" ref="G6026">SubCategorizeComment(E6026)</f>
        <v>Other</v>
      </c>
    </row>
    <row r="6027" spans="1:7" x14ac:dyDescent="0.25">
      <c r="A6027">
        <v>50713</v>
      </c>
      <c r="B6027" t="s">
        <v>4</v>
      </c>
      <c r="C6027">
        <v>4</v>
      </c>
      <c r="D6027" t="s">
        <v>5</v>
      </c>
      <c r="F6027" t="str" cm="1">
        <f t="array" ref="F6027">CategorizeComment(E6027)</f>
        <v>Other</v>
      </c>
      <c r="G6027" t="str" cm="1">
        <f t="array" ref="G6027">SubCategorizeComment(E6027)</f>
        <v>Other</v>
      </c>
    </row>
    <row r="6028" spans="1:7" x14ac:dyDescent="0.25">
      <c r="A6028">
        <v>50727</v>
      </c>
      <c r="B6028" t="s">
        <v>4</v>
      </c>
      <c r="C6028">
        <v>4</v>
      </c>
      <c r="D6028" t="s">
        <v>5</v>
      </c>
      <c r="F6028" t="str" cm="1">
        <f t="array" ref="F6028">CategorizeComment(E6028)</f>
        <v>Other</v>
      </c>
      <c r="G6028" t="str" cm="1">
        <f t="array" ref="G6028">SubCategorizeComment(E6028)</f>
        <v>Other</v>
      </c>
    </row>
    <row r="6029" spans="1:7" x14ac:dyDescent="0.25">
      <c r="A6029">
        <v>50728</v>
      </c>
      <c r="B6029" t="s">
        <v>4</v>
      </c>
      <c r="C6029">
        <v>3</v>
      </c>
      <c r="D6029" t="s">
        <v>5</v>
      </c>
      <c r="F6029" t="str" cm="1">
        <f t="array" ref="F6029">CategorizeComment(E6029)</f>
        <v>Other</v>
      </c>
      <c r="G6029" t="str" cm="1">
        <f t="array" ref="G6029">SubCategorizeComment(E6029)</f>
        <v>Other</v>
      </c>
    </row>
    <row r="6030" spans="1:7" x14ac:dyDescent="0.25">
      <c r="A6030">
        <v>50744</v>
      </c>
      <c r="B6030" t="s">
        <v>4</v>
      </c>
      <c r="C6030">
        <v>4</v>
      </c>
      <c r="D6030" t="s">
        <v>5</v>
      </c>
      <c r="F6030" t="str" cm="1">
        <f t="array" ref="F6030">CategorizeComment(E6030)</f>
        <v>Other</v>
      </c>
      <c r="G6030" t="str" cm="1">
        <f t="array" ref="G6030">SubCategorizeComment(E6030)</f>
        <v>Other</v>
      </c>
    </row>
    <row r="6031" spans="1:7" x14ac:dyDescent="0.25">
      <c r="A6031">
        <v>50757</v>
      </c>
      <c r="B6031" t="s">
        <v>4</v>
      </c>
      <c r="C6031">
        <v>4</v>
      </c>
      <c r="D6031" t="s">
        <v>5</v>
      </c>
      <c r="F6031" t="str" cm="1">
        <f t="array" ref="F6031">CategorizeComment(E6031)</f>
        <v>Other</v>
      </c>
      <c r="G6031" t="str" cm="1">
        <f t="array" ref="G6031">SubCategorizeComment(E6031)</f>
        <v>Other</v>
      </c>
    </row>
    <row r="6032" spans="1:7" x14ac:dyDescent="0.25">
      <c r="A6032">
        <v>50761</v>
      </c>
      <c r="B6032" t="s">
        <v>4</v>
      </c>
      <c r="C6032">
        <v>3</v>
      </c>
      <c r="D6032" t="s">
        <v>5</v>
      </c>
      <c r="F6032" t="str" cm="1">
        <f t="array" ref="F6032">CategorizeComment(E6032)</f>
        <v>Other</v>
      </c>
      <c r="G6032" t="str" cm="1">
        <f t="array" ref="G6032">SubCategorizeComment(E6032)</f>
        <v>Other</v>
      </c>
    </row>
    <row r="6033" spans="1:7" x14ac:dyDescent="0.25">
      <c r="A6033">
        <v>50764</v>
      </c>
      <c r="B6033" t="s">
        <v>4</v>
      </c>
      <c r="C6033">
        <v>3</v>
      </c>
      <c r="D6033" t="s">
        <v>5</v>
      </c>
      <c r="F6033" t="str" cm="1">
        <f t="array" ref="F6033">CategorizeComment(E6033)</f>
        <v>Other</v>
      </c>
      <c r="G6033" t="str" cm="1">
        <f t="array" ref="G6033">SubCategorizeComment(E6033)</f>
        <v>Other</v>
      </c>
    </row>
    <row r="6034" spans="1:7" x14ac:dyDescent="0.25">
      <c r="A6034">
        <v>50766</v>
      </c>
      <c r="B6034" t="s">
        <v>4</v>
      </c>
      <c r="C6034">
        <v>4</v>
      </c>
      <c r="D6034" t="s">
        <v>5</v>
      </c>
      <c r="F6034" t="str" cm="1">
        <f t="array" ref="F6034">CategorizeComment(E6034)</f>
        <v>Other</v>
      </c>
      <c r="G6034" t="str" cm="1">
        <f t="array" ref="G6034">SubCategorizeComment(E6034)</f>
        <v>Other</v>
      </c>
    </row>
    <row r="6035" spans="1:7" x14ac:dyDescent="0.25">
      <c r="A6035">
        <v>50775</v>
      </c>
      <c r="B6035" t="s">
        <v>4</v>
      </c>
      <c r="C6035">
        <v>3</v>
      </c>
      <c r="D6035" t="s">
        <v>5</v>
      </c>
      <c r="F6035" t="str" cm="1">
        <f t="array" ref="F6035">CategorizeComment(E6035)</f>
        <v>Other</v>
      </c>
      <c r="G6035" t="str" cm="1">
        <f t="array" ref="G6035">SubCategorizeComment(E6035)</f>
        <v>Other</v>
      </c>
    </row>
    <row r="6036" spans="1:7" x14ac:dyDescent="0.25">
      <c r="A6036">
        <v>50794</v>
      </c>
      <c r="B6036" t="s">
        <v>4</v>
      </c>
      <c r="C6036">
        <v>4</v>
      </c>
      <c r="D6036" t="s">
        <v>5</v>
      </c>
      <c r="F6036" t="str" cm="1">
        <f t="array" ref="F6036">CategorizeComment(E6036)</f>
        <v>Other</v>
      </c>
      <c r="G6036" t="str" cm="1">
        <f t="array" ref="G6036">SubCategorizeComment(E6036)</f>
        <v>Other</v>
      </c>
    </row>
    <row r="6037" spans="1:7" x14ac:dyDescent="0.25">
      <c r="A6037">
        <v>50796</v>
      </c>
      <c r="B6037" t="s">
        <v>4</v>
      </c>
      <c r="C6037">
        <v>3</v>
      </c>
      <c r="D6037" t="s">
        <v>5</v>
      </c>
      <c r="F6037" t="str" cm="1">
        <f t="array" ref="F6037">CategorizeComment(E6037)</f>
        <v>Other</v>
      </c>
      <c r="G6037" t="str" cm="1">
        <f t="array" ref="G6037">SubCategorizeComment(E6037)</f>
        <v>Other</v>
      </c>
    </row>
    <row r="6038" spans="1:7" x14ac:dyDescent="0.25">
      <c r="A6038">
        <v>50810</v>
      </c>
      <c r="B6038" t="s">
        <v>4</v>
      </c>
      <c r="C6038">
        <v>3</v>
      </c>
      <c r="D6038" t="s">
        <v>5</v>
      </c>
      <c r="F6038" t="str" cm="1">
        <f t="array" ref="F6038">CategorizeComment(E6038)</f>
        <v>Other</v>
      </c>
      <c r="G6038" t="str" cm="1">
        <f t="array" ref="G6038">SubCategorizeComment(E6038)</f>
        <v>Other</v>
      </c>
    </row>
    <row r="6039" spans="1:7" x14ac:dyDescent="0.25">
      <c r="A6039">
        <v>50815</v>
      </c>
      <c r="B6039" t="s">
        <v>4</v>
      </c>
      <c r="C6039">
        <v>4</v>
      </c>
      <c r="D6039" t="s">
        <v>5</v>
      </c>
      <c r="F6039" t="str" cm="1">
        <f t="array" ref="F6039">CategorizeComment(E6039)</f>
        <v>Other</v>
      </c>
      <c r="G6039" t="str" cm="1">
        <f t="array" ref="G6039">SubCategorizeComment(E6039)</f>
        <v>Other</v>
      </c>
    </row>
    <row r="6040" spans="1:7" x14ac:dyDescent="0.25">
      <c r="A6040">
        <v>50834</v>
      </c>
      <c r="B6040" t="s">
        <v>4</v>
      </c>
      <c r="C6040">
        <v>3</v>
      </c>
      <c r="D6040" t="s">
        <v>5</v>
      </c>
      <c r="F6040" t="str" cm="1">
        <f t="array" ref="F6040">CategorizeComment(E6040)</f>
        <v>Other</v>
      </c>
      <c r="G6040" t="str" cm="1">
        <f t="array" ref="G6040">SubCategorizeComment(E6040)</f>
        <v>Other</v>
      </c>
    </row>
    <row r="6041" spans="1:7" x14ac:dyDescent="0.25">
      <c r="A6041">
        <v>50839</v>
      </c>
      <c r="B6041" t="s">
        <v>4</v>
      </c>
      <c r="C6041">
        <v>4</v>
      </c>
      <c r="D6041" t="s">
        <v>5</v>
      </c>
      <c r="F6041" t="str" cm="1">
        <f t="array" ref="F6041">CategorizeComment(E6041)</f>
        <v>Other</v>
      </c>
      <c r="G6041" t="str" cm="1">
        <f t="array" ref="G6041">SubCategorizeComment(E6041)</f>
        <v>Other</v>
      </c>
    </row>
    <row r="6042" spans="1:7" x14ac:dyDescent="0.25">
      <c r="A6042">
        <v>50844</v>
      </c>
      <c r="B6042" t="s">
        <v>4</v>
      </c>
      <c r="C6042">
        <v>4</v>
      </c>
      <c r="D6042" t="s">
        <v>5</v>
      </c>
      <c r="F6042" t="str" cm="1">
        <f t="array" ref="F6042">CategorizeComment(E6042)</f>
        <v>Other</v>
      </c>
      <c r="G6042" t="str" cm="1">
        <f t="array" ref="G6042">SubCategorizeComment(E6042)</f>
        <v>Other</v>
      </c>
    </row>
    <row r="6043" spans="1:7" x14ac:dyDescent="0.25">
      <c r="A6043">
        <v>50845</v>
      </c>
      <c r="B6043" t="s">
        <v>4</v>
      </c>
      <c r="C6043">
        <v>4</v>
      </c>
      <c r="D6043" t="s">
        <v>5</v>
      </c>
      <c r="F6043" t="str" cm="1">
        <f t="array" ref="F6043">CategorizeComment(E6043)</f>
        <v>Other</v>
      </c>
      <c r="G6043" t="str" cm="1">
        <f t="array" ref="G6043">SubCategorizeComment(E6043)</f>
        <v>Other</v>
      </c>
    </row>
    <row r="6044" spans="1:7" x14ac:dyDescent="0.25">
      <c r="A6044">
        <v>50850</v>
      </c>
      <c r="B6044" t="s">
        <v>4</v>
      </c>
      <c r="C6044">
        <v>3</v>
      </c>
      <c r="D6044" t="s">
        <v>5</v>
      </c>
      <c r="F6044" t="str" cm="1">
        <f t="array" ref="F6044">CategorizeComment(E6044)</f>
        <v>Other</v>
      </c>
      <c r="G6044" t="str" cm="1">
        <f t="array" ref="G6044">SubCategorizeComment(E6044)</f>
        <v>Other</v>
      </c>
    </row>
    <row r="6045" spans="1:7" x14ac:dyDescent="0.25">
      <c r="A6045">
        <v>50853</v>
      </c>
      <c r="B6045" t="s">
        <v>4</v>
      </c>
      <c r="C6045">
        <v>4</v>
      </c>
      <c r="D6045" t="s">
        <v>5</v>
      </c>
      <c r="F6045" t="str" cm="1">
        <f t="array" ref="F6045">CategorizeComment(E6045)</f>
        <v>Other</v>
      </c>
      <c r="G6045" t="str" cm="1">
        <f t="array" ref="G6045">SubCategorizeComment(E6045)</f>
        <v>Other</v>
      </c>
    </row>
    <row r="6046" spans="1:7" x14ac:dyDescent="0.25">
      <c r="A6046">
        <v>50866</v>
      </c>
      <c r="B6046" t="s">
        <v>4</v>
      </c>
      <c r="C6046">
        <v>4</v>
      </c>
      <c r="D6046" t="s">
        <v>5</v>
      </c>
      <c r="F6046" t="str" cm="1">
        <f t="array" ref="F6046">CategorizeComment(E6046)</f>
        <v>Other</v>
      </c>
      <c r="G6046" t="str" cm="1">
        <f t="array" ref="G6046">SubCategorizeComment(E6046)</f>
        <v>Other</v>
      </c>
    </row>
    <row r="6047" spans="1:7" x14ac:dyDescent="0.25">
      <c r="A6047">
        <v>50876</v>
      </c>
      <c r="B6047" t="s">
        <v>4</v>
      </c>
      <c r="C6047">
        <v>4</v>
      </c>
      <c r="D6047" t="s">
        <v>5</v>
      </c>
      <c r="F6047" t="str" cm="1">
        <f t="array" ref="F6047">CategorizeComment(E6047)</f>
        <v>Other</v>
      </c>
      <c r="G6047" t="str" cm="1">
        <f t="array" ref="G6047">SubCategorizeComment(E6047)</f>
        <v>Other</v>
      </c>
    </row>
    <row r="6048" spans="1:7" x14ac:dyDescent="0.25">
      <c r="A6048">
        <v>50879</v>
      </c>
      <c r="B6048" t="s">
        <v>4</v>
      </c>
      <c r="C6048">
        <v>3</v>
      </c>
      <c r="D6048" t="s">
        <v>5</v>
      </c>
      <c r="F6048" t="str" cm="1">
        <f t="array" ref="F6048">CategorizeComment(E6048)</f>
        <v>Other</v>
      </c>
      <c r="G6048" t="str" cm="1">
        <f t="array" ref="G6048">SubCategorizeComment(E6048)</f>
        <v>Other</v>
      </c>
    </row>
    <row r="6049" spans="1:7" x14ac:dyDescent="0.25">
      <c r="A6049">
        <v>50883</v>
      </c>
      <c r="B6049" t="s">
        <v>4</v>
      </c>
      <c r="C6049">
        <v>3</v>
      </c>
      <c r="D6049" t="s">
        <v>5</v>
      </c>
      <c r="F6049" t="str" cm="1">
        <f t="array" ref="F6049">CategorizeComment(E6049)</f>
        <v>Other</v>
      </c>
      <c r="G6049" t="str" cm="1">
        <f t="array" ref="G6049">SubCategorizeComment(E6049)</f>
        <v>Other</v>
      </c>
    </row>
    <row r="6050" spans="1:7" x14ac:dyDescent="0.25">
      <c r="A6050">
        <v>50910</v>
      </c>
      <c r="B6050" t="s">
        <v>4</v>
      </c>
      <c r="C6050">
        <v>4</v>
      </c>
      <c r="D6050" t="s">
        <v>5</v>
      </c>
      <c r="F6050" t="str" cm="1">
        <f t="array" ref="F6050">CategorizeComment(E6050)</f>
        <v>Other</v>
      </c>
      <c r="G6050" t="str" cm="1">
        <f t="array" ref="G6050">SubCategorizeComment(E6050)</f>
        <v>Other</v>
      </c>
    </row>
    <row r="6051" spans="1:7" x14ac:dyDescent="0.25">
      <c r="A6051">
        <v>50913</v>
      </c>
      <c r="B6051" t="s">
        <v>4</v>
      </c>
      <c r="C6051">
        <v>4</v>
      </c>
      <c r="D6051" t="s">
        <v>5</v>
      </c>
      <c r="F6051" t="str" cm="1">
        <f t="array" ref="F6051">CategorizeComment(E6051)</f>
        <v>Other</v>
      </c>
      <c r="G6051" t="str" cm="1">
        <f t="array" ref="G6051">SubCategorizeComment(E6051)</f>
        <v>Other</v>
      </c>
    </row>
    <row r="6052" spans="1:7" x14ac:dyDescent="0.25">
      <c r="A6052">
        <v>50914</v>
      </c>
      <c r="B6052" t="s">
        <v>4</v>
      </c>
      <c r="C6052">
        <v>3</v>
      </c>
      <c r="D6052" t="s">
        <v>5</v>
      </c>
      <c r="F6052" t="str" cm="1">
        <f t="array" ref="F6052">CategorizeComment(E6052)</f>
        <v>Other</v>
      </c>
      <c r="G6052" t="str" cm="1">
        <f t="array" ref="G6052">SubCategorizeComment(E6052)</f>
        <v>Other</v>
      </c>
    </row>
    <row r="6053" spans="1:7" x14ac:dyDescent="0.25">
      <c r="A6053">
        <v>50932</v>
      </c>
      <c r="B6053" t="s">
        <v>4</v>
      </c>
      <c r="C6053">
        <v>4</v>
      </c>
      <c r="D6053" t="s">
        <v>5</v>
      </c>
      <c r="F6053" t="str" cm="1">
        <f t="array" ref="F6053">CategorizeComment(E6053)</f>
        <v>Other</v>
      </c>
      <c r="G6053" t="str" cm="1">
        <f t="array" ref="G6053">SubCategorizeComment(E6053)</f>
        <v>Other</v>
      </c>
    </row>
    <row r="6054" spans="1:7" x14ac:dyDescent="0.25">
      <c r="A6054">
        <v>50933</v>
      </c>
      <c r="B6054" t="s">
        <v>4</v>
      </c>
      <c r="C6054">
        <v>4</v>
      </c>
      <c r="D6054" t="s">
        <v>5</v>
      </c>
      <c r="F6054" t="str" cm="1">
        <f t="array" ref="F6054">CategorizeComment(E6054)</f>
        <v>Other</v>
      </c>
      <c r="G6054" t="str" cm="1">
        <f t="array" ref="G6054">SubCategorizeComment(E6054)</f>
        <v>Other</v>
      </c>
    </row>
    <row r="6055" spans="1:7" x14ac:dyDescent="0.25">
      <c r="A6055">
        <v>50944</v>
      </c>
      <c r="B6055" t="s">
        <v>4</v>
      </c>
      <c r="C6055">
        <v>4</v>
      </c>
      <c r="D6055" t="s">
        <v>5</v>
      </c>
      <c r="F6055" t="str" cm="1">
        <f t="array" ref="F6055">CategorizeComment(E6055)</f>
        <v>Other</v>
      </c>
      <c r="G6055" t="str" cm="1">
        <f t="array" ref="G6055">SubCategorizeComment(E6055)</f>
        <v>Other</v>
      </c>
    </row>
    <row r="6056" spans="1:7" x14ac:dyDescent="0.25">
      <c r="A6056">
        <v>50955</v>
      </c>
      <c r="B6056" t="s">
        <v>4</v>
      </c>
      <c r="C6056">
        <v>4</v>
      </c>
      <c r="D6056" t="s">
        <v>5</v>
      </c>
      <c r="F6056" t="str" cm="1">
        <f t="array" ref="F6056">CategorizeComment(E6056)</f>
        <v>Other</v>
      </c>
      <c r="G6056" t="str" cm="1">
        <f t="array" ref="G6056">SubCategorizeComment(E6056)</f>
        <v>Other</v>
      </c>
    </row>
    <row r="6057" spans="1:7" x14ac:dyDescent="0.25">
      <c r="A6057">
        <v>50962</v>
      </c>
      <c r="B6057" t="s">
        <v>4</v>
      </c>
      <c r="C6057">
        <v>4</v>
      </c>
      <c r="D6057" t="s">
        <v>5</v>
      </c>
      <c r="F6057" t="str" cm="1">
        <f t="array" ref="F6057">CategorizeComment(E6057)</f>
        <v>Other</v>
      </c>
      <c r="G6057" t="str" cm="1">
        <f t="array" ref="G6057">SubCategorizeComment(E6057)</f>
        <v>Other</v>
      </c>
    </row>
    <row r="6058" spans="1:7" x14ac:dyDescent="0.25">
      <c r="A6058">
        <v>50963</v>
      </c>
      <c r="B6058" t="s">
        <v>4</v>
      </c>
      <c r="C6058">
        <v>3</v>
      </c>
      <c r="D6058" t="s">
        <v>5</v>
      </c>
      <c r="F6058" t="str" cm="1">
        <f t="array" ref="F6058">CategorizeComment(E6058)</f>
        <v>Other</v>
      </c>
      <c r="G6058" t="str" cm="1">
        <f t="array" ref="G6058">SubCategorizeComment(E6058)</f>
        <v>Other</v>
      </c>
    </row>
    <row r="6059" spans="1:7" x14ac:dyDescent="0.25">
      <c r="A6059">
        <v>50974</v>
      </c>
      <c r="B6059" t="s">
        <v>4</v>
      </c>
      <c r="C6059">
        <v>4</v>
      </c>
      <c r="D6059" t="s">
        <v>5</v>
      </c>
      <c r="F6059" t="str" cm="1">
        <f t="array" ref="F6059">CategorizeComment(E6059)</f>
        <v>Other</v>
      </c>
      <c r="G6059" t="str" cm="1">
        <f t="array" ref="G6059">SubCategorizeComment(E6059)</f>
        <v>Other</v>
      </c>
    </row>
    <row r="6060" spans="1:7" x14ac:dyDescent="0.25">
      <c r="A6060">
        <v>50977</v>
      </c>
      <c r="B6060" t="s">
        <v>4</v>
      </c>
      <c r="C6060">
        <v>4</v>
      </c>
      <c r="D6060" t="s">
        <v>5</v>
      </c>
      <c r="F6060" t="str" cm="1">
        <f t="array" ref="F6060">CategorizeComment(E6060)</f>
        <v>Other</v>
      </c>
      <c r="G6060" t="str" cm="1">
        <f t="array" ref="G6060">SubCategorizeComment(E6060)</f>
        <v>Other</v>
      </c>
    </row>
    <row r="6061" spans="1:7" x14ac:dyDescent="0.25">
      <c r="A6061">
        <v>50989</v>
      </c>
      <c r="B6061" t="s">
        <v>4</v>
      </c>
      <c r="C6061">
        <v>4</v>
      </c>
      <c r="D6061" t="s">
        <v>5</v>
      </c>
      <c r="F6061" t="str" cm="1">
        <f t="array" ref="F6061">CategorizeComment(E6061)</f>
        <v>Other</v>
      </c>
      <c r="G6061" t="str" cm="1">
        <f t="array" ref="G6061">SubCategorizeComment(E6061)</f>
        <v>Other</v>
      </c>
    </row>
    <row r="6062" spans="1:7" x14ac:dyDescent="0.25">
      <c r="A6062">
        <v>51009</v>
      </c>
      <c r="B6062" t="s">
        <v>4</v>
      </c>
      <c r="C6062">
        <v>4</v>
      </c>
      <c r="D6062" t="s">
        <v>5</v>
      </c>
      <c r="F6062" t="str" cm="1">
        <f t="array" ref="F6062">CategorizeComment(E6062)</f>
        <v>Other</v>
      </c>
      <c r="G6062" t="str" cm="1">
        <f t="array" ref="G6062">SubCategorizeComment(E6062)</f>
        <v>Other</v>
      </c>
    </row>
    <row r="6063" spans="1:7" x14ac:dyDescent="0.25">
      <c r="A6063">
        <v>51013</v>
      </c>
      <c r="B6063" t="s">
        <v>4</v>
      </c>
      <c r="C6063">
        <v>4</v>
      </c>
      <c r="D6063" t="s">
        <v>5</v>
      </c>
      <c r="F6063" t="str" cm="1">
        <f t="array" ref="F6063">CategorizeComment(E6063)</f>
        <v>Other</v>
      </c>
      <c r="G6063" t="str" cm="1">
        <f t="array" ref="G6063">SubCategorizeComment(E6063)</f>
        <v>Other</v>
      </c>
    </row>
    <row r="6064" spans="1:7" x14ac:dyDescent="0.25">
      <c r="A6064">
        <v>51020</v>
      </c>
      <c r="B6064" t="s">
        <v>4</v>
      </c>
      <c r="C6064">
        <v>4</v>
      </c>
      <c r="D6064" t="s">
        <v>5</v>
      </c>
      <c r="F6064" t="str" cm="1">
        <f t="array" ref="F6064">CategorizeComment(E6064)</f>
        <v>Other</v>
      </c>
      <c r="G6064" t="str" cm="1">
        <f t="array" ref="G6064">SubCategorizeComment(E6064)</f>
        <v>Other</v>
      </c>
    </row>
    <row r="6065" spans="1:7" x14ac:dyDescent="0.25">
      <c r="A6065">
        <v>51028</v>
      </c>
      <c r="B6065" t="s">
        <v>4</v>
      </c>
      <c r="C6065">
        <v>4</v>
      </c>
      <c r="D6065" t="s">
        <v>5</v>
      </c>
      <c r="F6065" t="str" cm="1">
        <f t="array" ref="F6065">CategorizeComment(E6065)</f>
        <v>Other</v>
      </c>
      <c r="G6065" t="str" cm="1">
        <f t="array" ref="G6065">SubCategorizeComment(E6065)</f>
        <v>Other</v>
      </c>
    </row>
    <row r="6066" spans="1:7" x14ac:dyDescent="0.25">
      <c r="A6066">
        <v>51034</v>
      </c>
      <c r="B6066" t="s">
        <v>4</v>
      </c>
      <c r="C6066">
        <v>4</v>
      </c>
      <c r="D6066" t="s">
        <v>5</v>
      </c>
      <c r="F6066" t="str" cm="1">
        <f t="array" ref="F6066">CategorizeComment(E6066)</f>
        <v>Other</v>
      </c>
      <c r="G6066" t="str" cm="1">
        <f t="array" ref="G6066">SubCategorizeComment(E6066)</f>
        <v>Other</v>
      </c>
    </row>
    <row r="6067" spans="1:7" x14ac:dyDescent="0.25">
      <c r="A6067">
        <v>51037</v>
      </c>
      <c r="B6067" t="s">
        <v>4</v>
      </c>
      <c r="C6067">
        <v>3</v>
      </c>
      <c r="D6067" t="s">
        <v>5</v>
      </c>
      <c r="F6067" t="str" cm="1">
        <f t="array" ref="F6067">CategorizeComment(E6067)</f>
        <v>Other</v>
      </c>
      <c r="G6067" t="str" cm="1">
        <f t="array" ref="G6067">SubCategorizeComment(E6067)</f>
        <v>Other</v>
      </c>
    </row>
    <row r="6068" spans="1:7" x14ac:dyDescent="0.25">
      <c r="A6068">
        <v>51054</v>
      </c>
      <c r="B6068" t="s">
        <v>4</v>
      </c>
      <c r="C6068">
        <v>4</v>
      </c>
      <c r="D6068" t="s">
        <v>5</v>
      </c>
      <c r="F6068" t="str" cm="1">
        <f t="array" ref="F6068">CategorizeComment(E6068)</f>
        <v>Other</v>
      </c>
      <c r="G6068" t="str" cm="1">
        <f t="array" ref="G6068">SubCategorizeComment(E6068)</f>
        <v>Other</v>
      </c>
    </row>
    <row r="6069" spans="1:7" x14ac:dyDescent="0.25">
      <c r="A6069">
        <v>51073</v>
      </c>
      <c r="B6069" t="s">
        <v>4</v>
      </c>
      <c r="C6069">
        <v>3</v>
      </c>
      <c r="D6069" t="s">
        <v>5</v>
      </c>
      <c r="F6069" t="str" cm="1">
        <f t="array" ref="F6069">CategorizeComment(E6069)</f>
        <v>Other</v>
      </c>
      <c r="G6069" t="str" cm="1">
        <f t="array" ref="G6069">SubCategorizeComment(E6069)</f>
        <v>Other</v>
      </c>
    </row>
    <row r="6070" spans="1:7" x14ac:dyDescent="0.25">
      <c r="A6070">
        <v>51076</v>
      </c>
      <c r="B6070" t="s">
        <v>4</v>
      </c>
      <c r="C6070">
        <v>3</v>
      </c>
      <c r="D6070" t="s">
        <v>5</v>
      </c>
      <c r="F6070" t="str" cm="1">
        <f t="array" ref="F6070">CategorizeComment(E6070)</f>
        <v>Other</v>
      </c>
      <c r="G6070" t="str" cm="1">
        <f t="array" ref="G6070">SubCategorizeComment(E6070)</f>
        <v>Other</v>
      </c>
    </row>
    <row r="6071" spans="1:7" x14ac:dyDescent="0.25">
      <c r="A6071">
        <v>51099</v>
      </c>
      <c r="B6071" t="s">
        <v>4</v>
      </c>
      <c r="C6071">
        <v>4</v>
      </c>
      <c r="D6071" t="s">
        <v>5</v>
      </c>
      <c r="F6071" t="str" cm="1">
        <f t="array" ref="F6071">CategorizeComment(E6071)</f>
        <v>Other</v>
      </c>
      <c r="G6071" t="str" cm="1">
        <f t="array" ref="G6071">SubCategorizeComment(E6071)</f>
        <v>Other</v>
      </c>
    </row>
    <row r="6072" spans="1:7" x14ac:dyDescent="0.25">
      <c r="A6072">
        <v>51117</v>
      </c>
      <c r="B6072" t="s">
        <v>4</v>
      </c>
      <c r="C6072">
        <v>4</v>
      </c>
      <c r="D6072" t="s">
        <v>5</v>
      </c>
      <c r="F6072" t="str" cm="1">
        <f t="array" ref="F6072">CategorizeComment(E6072)</f>
        <v>Other</v>
      </c>
      <c r="G6072" t="str" cm="1">
        <f t="array" ref="G6072">SubCategorizeComment(E6072)</f>
        <v>Other</v>
      </c>
    </row>
    <row r="6073" spans="1:7" x14ac:dyDescent="0.25">
      <c r="A6073">
        <v>51118</v>
      </c>
      <c r="B6073" t="s">
        <v>4</v>
      </c>
      <c r="C6073">
        <v>3</v>
      </c>
      <c r="D6073" t="s">
        <v>5</v>
      </c>
      <c r="F6073" t="str" cm="1">
        <f t="array" ref="F6073">CategorizeComment(E6073)</f>
        <v>Other</v>
      </c>
      <c r="G6073" t="str" cm="1">
        <f t="array" ref="G6073">SubCategorizeComment(E6073)</f>
        <v>Other</v>
      </c>
    </row>
    <row r="6074" spans="1:7" x14ac:dyDescent="0.25">
      <c r="A6074">
        <v>51134</v>
      </c>
      <c r="B6074" t="s">
        <v>4</v>
      </c>
      <c r="C6074">
        <v>3</v>
      </c>
      <c r="D6074" t="s">
        <v>5</v>
      </c>
      <c r="F6074" t="str" cm="1">
        <f t="array" ref="F6074">CategorizeComment(E6074)</f>
        <v>Other</v>
      </c>
      <c r="G6074" t="str" cm="1">
        <f t="array" ref="G6074">SubCategorizeComment(E6074)</f>
        <v>Other</v>
      </c>
    </row>
    <row r="6075" spans="1:7" x14ac:dyDescent="0.25">
      <c r="A6075">
        <v>51136</v>
      </c>
      <c r="B6075" t="s">
        <v>4</v>
      </c>
      <c r="C6075">
        <v>4</v>
      </c>
      <c r="D6075" t="s">
        <v>5</v>
      </c>
      <c r="F6075" t="str" cm="1">
        <f t="array" ref="F6075">CategorizeComment(E6075)</f>
        <v>Other</v>
      </c>
      <c r="G6075" t="str" cm="1">
        <f t="array" ref="G6075">SubCategorizeComment(E6075)</f>
        <v>Other</v>
      </c>
    </row>
    <row r="6076" spans="1:7" x14ac:dyDescent="0.25">
      <c r="A6076">
        <v>51140</v>
      </c>
      <c r="B6076" t="s">
        <v>4</v>
      </c>
      <c r="C6076">
        <v>4</v>
      </c>
      <c r="D6076" t="s">
        <v>5</v>
      </c>
      <c r="F6076" t="str" cm="1">
        <f t="array" ref="F6076">CategorizeComment(E6076)</f>
        <v>Other</v>
      </c>
      <c r="G6076" t="str" cm="1">
        <f t="array" ref="G6076">SubCategorizeComment(E6076)</f>
        <v>Other</v>
      </c>
    </row>
    <row r="6077" spans="1:7" x14ac:dyDescent="0.25">
      <c r="A6077">
        <v>51157</v>
      </c>
      <c r="B6077" t="s">
        <v>4</v>
      </c>
      <c r="C6077">
        <v>3</v>
      </c>
      <c r="D6077" t="s">
        <v>5</v>
      </c>
      <c r="F6077" t="str" cm="1">
        <f t="array" ref="F6077">CategorizeComment(E6077)</f>
        <v>Other</v>
      </c>
      <c r="G6077" t="str" cm="1">
        <f t="array" ref="G6077">SubCategorizeComment(E6077)</f>
        <v>Other</v>
      </c>
    </row>
    <row r="6078" spans="1:7" x14ac:dyDescent="0.25">
      <c r="A6078">
        <v>51159</v>
      </c>
      <c r="B6078" t="s">
        <v>4</v>
      </c>
      <c r="C6078">
        <v>4</v>
      </c>
      <c r="D6078" t="s">
        <v>5</v>
      </c>
      <c r="F6078" t="str" cm="1">
        <f t="array" ref="F6078">CategorizeComment(E6078)</f>
        <v>Other</v>
      </c>
      <c r="G6078" t="str" cm="1">
        <f t="array" ref="G6078">SubCategorizeComment(E6078)</f>
        <v>Other</v>
      </c>
    </row>
    <row r="6079" spans="1:7" x14ac:dyDescent="0.25">
      <c r="A6079">
        <v>51161</v>
      </c>
      <c r="B6079" t="s">
        <v>4</v>
      </c>
      <c r="C6079">
        <v>3</v>
      </c>
      <c r="D6079" t="s">
        <v>5</v>
      </c>
      <c r="F6079" t="str" cm="1">
        <f t="array" ref="F6079">CategorizeComment(E6079)</f>
        <v>Other</v>
      </c>
      <c r="G6079" t="str" cm="1">
        <f t="array" ref="G6079">SubCategorizeComment(E6079)</f>
        <v>Other</v>
      </c>
    </row>
    <row r="6080" spans="1:7" x14ac:dyDescent="0.25">
      <c r="A6080">
        <v>51164</v>
      </c>
      <c r="B6080" t="s">
        <v>4</v>
      </c>
      <c r="C6080">
        <v>4</v>
      </c>
      <c r="D6080" t="s">
        <v>5</v>
      </c>
      <c r="F6080" t="str" cm="1">
        <f t="array" ref="F6080">CategorizeComment(E6080)</f>
        <v>Other</v>
      </c>
      <c r="G6080" t="str" cm="1">
        <f t="array" ref="G6080">SubCategorizeComment(E6080)</f>
        <v>Other</v>
      </c>
    </row>
    <row r="6081" spans="1:7" x14ac:dyDescent="0.25">
      <c r="A6081">
        <v>51165</v>
      </c>
      <c r="B6081" t="s">
        <v>4</v>
      </c>
      <c r="C6081">
        <v>3</v>
      </c>
      <c r="D6081" t="s">
        <v>5</v>
      </c>
      <c r="F6081" t="str" cm="1">
        <f t="array" ref="F6081">CategorizeComment(E6081)</f>
        <v>Other</v>
      </c>
      <c r="G6081" t="str" cm="1">
        <f t="array" ref="G6081">SubCategorizeComment(E6081)</f>
        <v>Other</v>
      </c>
    </row>
    <row r="6082" spans="1:7" x14ac:dyDescent="0.25">
      <c r="A6082">
        <v>51168</v>
      </c>
      <c r="B6082" t="s">
        <v>4</v>
      </c>
      <c r="C6082">
        <v>3</v>
      </c>
      <c r="D6082" t="s">
        <v>5</v>
      </c>
      <c r="F6082" t="str" cm="1">
        <f t="array" ref="F6082">CategorizeComment(E6082)</f>
        <v>Other</v>
      </c>
      <c r="G6082" t="str" cm="1">
        <f t="array" ref="G6082">SubCategorizeComment(E6082)</f>
        <v>Other</v>
      </c>
    </row>
    <row r="6083" spans="1:7" x14ac:dyDescent="0.25">
      <c r="A6083">
        <v>51172</v>
      </c>
      <c r="B6083" t="s">
        <v>4</v>
      </c>
      <c r="C6083">
        <v>4</v>
      </c>
      <c r="D6083" t="s">
        <v>5</v>
      </c>
      <c r="F6083" t="str" cm="1">
        <f t="array" ref="F6083">CategorizeComment(E6083)</f>
        <v>Other</v>
      </c>
      <c r="G6083" t="str" cm="1">
        <f t="array" ref="G6083">SubCategorizeComment(E6083)</f>
        <v>Other</v>
      </c>
    </row>
    <row r="6084" spans="1:7" x14ac:dyDescent="0.25">
      <c r="A6084">
        <v>51175</v>
      </c>
      <c r="B6084" t="s">
        <v>4</v>
      </c>
      <c r="C6084">
        <v>3</v>
      </c>
      <c r="D6084" t="s">
        <v>5</v>
      </c>
      <c r="F6084" t="str" cm="1">
        <f t="array" ref="F6084">CategorizeComment(E6084)</f>
        <v>Other</v>
      </c>
      <c r="G6084" t="str" cm="1">
        <f t="array" ref="G6084">SubCategorizeComment(E6084)</f>
        <v>Other</v>
      </c>
    </row>
    <row r="6085" spans="1:7" x14ac:dyDescent="0.25">
      <c r="A6085">
        <v>51190</v>
      </c>
      <c r="B6085" t="s">
        <v>4</v>
      </c>
      <c r="C6085">
        <v>3</v>
      </c>
      <c r="D6085" t="s">
        <v>5</v>
      </c>
      <c r="F6085" t="str" cm="1">
        <f t="array" ref="F6085">CategorizeComment(E6085)</f>
        <v>Other</v>
      </c>
      <c r="G6085" t="str" cm="1">
        <f t="array" ref="G6085">SubCategorizeComment(E6085)</f>
        <v>Other</v>
      </c>
    </row>
    <row r="6086" spans="1:7" x14ac:dyDescent="0.25">
      <c r="A6086">
        <v>51222</v>
      </c>
      <c r="B6086" t="s">
        <v>4</v>
      </c>
      <c r="C6086">
        <v>4</v>
      </c>
      <c r="D6086" t="s">
        <v>5</v>
      </c>
      <c r="F6086" t="str" cm="1">
        <f t="array" ref="F6086">CategorizeComment(E6086)</f>
        <v>Other</v>
      </c>
      <c r="G6086" t="str" cm="1">
        <f t="array" ref="G6086">SubCategorizeComment(E6086)</f>
        <v>Other</v>
      </c>
    </row>
    <row r="6087" spans="1:7" x14ac:dyDescent="0.25">
      <c r="A6087">
        <v>51229</v>
      </c>
      <c r="B6087" t="s">
        <v>4</v>
      </c>
      <c r="C6087">
        <v>4</v>
      </c>
      <c r="D6087" t="s">
        <v>5</v>
      </c>
      <c r="F6087" t="str" cm="1">
        <f t="array" ref="F6087">CategorizeComment(E6087)</f>
        <v>Other</v>
      </c>
      <c r="G6087" t="str" cm="1">
        <f t="array" ref="G6087">SubCategorizeComment(E6087)</f>
        <v>Other</v>
      </c>
    </row>
    <row r="6088" spans="1:7" x14ac:dyDescent="0.25">
      <c r="A6088">
        <v>51283</v>
      </c>
      <c r="B6088" t="s">
        <v>4</v>
      </c>
      <c r="C6088">
        <v>4</v>
      </c>
      <c r="D6088" t="s">
        <v>5</v>
      </c>
      <c r="F6088" t="str" cm="1">
        <f t="array" ref="F6088">CategorizeComment(E6088)</f>
        <v>Other</v>
      </c>
      <c r="G6088" t="str" cm="1">
        <f t="array" ref="G6088">SubCategorizeComment(E6088)</f>
        <v>Other</v>
      </c>
    </row>
    <row r="6089" spans="1:7" x14ac:dyDescent="0.25">
      <c r="A6089">
        <v>51289</v>
      </c>
      <c r="B6089" t="s">
        <v>4</v>
      </c>
      <c r="C6089">
        <v>4</v>
      </c>
      <c r="D6089" t="s">
        <v>5</v>
      </c>
      <c r="F6089" t="str" cm="1">
        <f t="array" ref="F6089">CategorizeComment(E6089)</f>
        <v>Other</v>
      </c>
      <c r="G6089" t="str" cm="1">
        <f t="array" ref="G6089">SubCategorizeComment(E6089)</f>
        <v>Other</v>
      </c>
    </row>
    <row r="6090" spans="1:7" x14ac:dyDescent="0.25">
      <c r="A6090">
        <v>51296</v>
      </c>
      <c r="B6090" t="s">
        <v>4</v>
      </c>
      <c r="C6090">
        <v>4</v>
      </c>
      <c r="D6090" t="s">
        <v>5</v>
      </c>
      <c r="F6090" t="str" cm="1">
        <f t="array" ref="F6090">CategorizeComment(E6090)</f>
        <v>Other</v>
      </c>
      <c r="G6090" t="str" cm="1">
        <f t="array" ref="G6090">SubCategorizeComment(E6090)</f>
        <v>Other</v>
      </c>
    </row>
    <row r="6091" spans="1:7" x14ac:dyDescent="0.25">
      <c r="A6091">
        <v>51306</v>
      </c>
      <c r="B6091" t="s">
        <v>4</v>
      </c>
      <c r="C6091">
        <v>4</v>
      </c>
      <c r="D6091" t="s">
        <v>5</v>
      </c>
      <c r="F6091" t="str" cm="1">
        <f t="array" ref="F6091">CategorizeComment(E6091)</f>
        <v>Other</v>
      </c>
      <c r="G6091" t="str" cm="1">
        <f t="array" ref="G6091">SubCategorizeComment(E6091)</f>
        <v>Other</v>
      </c>
    </row>
    <row r="6092" spans="1:7" x14ac:dyDescent="0.25">
      <c r="A6092">
        <v>51311</v>
      </c>
      <c r="B6092" t="s">
        <v>4</v>
      </c>
      <c r="C6092">
        <v>3</v>
      </c>
      <c r="D6092" t="s">
        <v>5</v>
      </c>
      <c r="F6092" t="str" cm="1">
        <f t="array" ref="F6092">CategorizeComment(E6092)</f>
        <v>Other</v>
      </c>
      <c r="G6092" t="str" cm="1">
        <f t="array" ref="G6092">SubCategorizeComment(E6092)</f>
        <v>Other</v>
      </c>
    </row>
    <row r="6093" spans="1:7" x14ac:dyDescent="0.25">
      <c r="A6093">
        <v>51313</v>
      </c>
      <c r="B6093" t="s">
        <v>4</v>
      </c>
      <c r="C6093">
        <v>0</v>
      </c>
      <c r="D6093" t="s">
        <v>5</v>
      </c>
      <c r="F6093" t="str" cm="1">
        <f t="array" ref="F6093">CategorizeComment(E6093)</f>
        <v>Other</v>
      </c>
      <c r="G6093" t="str" cm="1">
        <f t="array" ref="G6093">SubCategorizeComment(E6093)</f>
        <v>Other</v>
      </c>
    </row>
    <row r="6094" spans="1:7" x14ac:dyDescent="0.25">
      <c r="A6094">
        <v>51315</v>
      </c>
      <c r="B6094" t="s">
        <v>4</v>
      </c>
      <c r="C6094">
        <v>4</v>
      </c>
      <c r="D6094" t="s">
        <v>5</v>
      </c>
      <c r="F6094" t="str" cm="1">
        <f t="array" ref="F6094">CategorizeComment(E6094)</f>
        <v>Other</v>
      </c>
      <c r="G6094" t="str" cm="1">
        <f t="array" ref="G6094">SubCategorizeComment(E6094)</f>
        <v>Other</v>
      </c>
    </row>
    <row r="6095" spans="1:7" x14ac:dyDescent="0.25">
      <c r="A6095">
        <v>51317</v>
      </c>
      <c r="B6095" t="s">
        <v>4</v>
      </c>
      <c r="C6095">
        <v>4</v>
      </c>
      <c r="D6095" t="s">
        <v>5</v>
      </c>
      <c r="F6095" t="str" cm="1">
        <f t="array" ref="F6095">CategorizeComment(E6095)</f>
        <v>Other</v>
      </c>
      <c r="G6095" t="str" cm="1">
        <f t="array" ref="G6095">SubCategorizeComment(E6095)</f>
        <v>Other</v>
      </c>
    </row>
    <row r="6096" spans="1:7" x14ac:dyDescent="0.25">
      <c r="A6096">
        <v>51320</v>
      </c>
      <c r="B6096" t="s">
        <v>4</v>
      </c>
      <c r="C6096">
        <v>3</v>
      </c>
      <c r="D6096" t="s">
        <v>5</v>
      </c>
      <c r="F6096" t="str" cm="1">
        <f t="array" ref="F6096">CategorizeComment(E6096)</f>
        <v>Other</v>
      </c>
      <c r="G6096" t="str" cm="1">
        <f t="array" ref="G6096">SubCategorizeComment(E6096)</f>
        <v>Other</v>
      </c>
    </row>
    <row r="6097" spans="1:7" x14ac:dyDescent="0.25">
      <c r="A6097">
        <v>51323</v>
      </c>
      <c r="B6097" t="s">
        <v>4</v>
      </c>
      <c r="C6097">
        <v>3</v>
      </c>
      <c r="D6097" t="s">
        <v>5</v>
      </c>
      <c r="F6097" t="str" cm="1">
        <f t="array" ref="F6097">CategorizeComment(E6097)</f>
        <v>Other</v>
      </c>
      <c r="G6097" t="str" cm="1">
        <f t="array" ref="G6097">SubCategorizeComment(E6097)</f>
        <v>Other</v>
      </c>
    </row>
    <row r="6098" spans="1:7" x14ac:dyDescent="0.25">
      <c r="A6098">
        <v>51326</v>
      </c>
      <c r="B6098" t="s">
        <v>4</v>
      </c>
      <c r="C6098">
        <v>3</v>
      </c>
      <c r="D6098" t="s">
        <v>5</v>
      </c>
      <c r="F6098" t="str" cm="1">
        <f t="array" ref="F6098">CategorizeComment(E6098)</f>
        <v>Other</v>
      </c>
      <c r="G6098" t="str" cm="1">
        <f t="array" ref="G6098">SubCategorizeComment(E6098)</f>
        <v>Other</v>
      </c>
    </row>
    <row r="6099" spans="1:7" x14ac:dyDescent="0.25">
      <c r="A6099">
        <v>51328</v>
      </c>
      <c r="B6099" t="s">
        <v>4</v>
      </c>
      <c r="C6099">
        <v>4</v>
      </c>
      <c r="D6099" t="s">
        <v>5</v>
      </c>
      <c r="F6099" t="str" cm="1">
        <f t="array" ref="F6099">CategorizeComment(E6099)</f>
        <v>Other</v>
      </c>
      <c r="G6099" t="str" cm="1">
        <f t="array" ref="G6099">SubCategorizeComment(E6099)</f>
        <v>Other</v>
      </c>
    </row>
    <row r="6100" spans="1:7" x14ac:dyDescent="0.25">
      <c r="A6100">
        <v>51339</v>
      </c>
      <c r="B6100" t="s">
        <v>4</v>
      </c>
      <c r="C6100">
        <v>4</v>
      </c>
      <c r="D6100" t="s">
        <v>5</v>
      </c>
      <c r="F6100" t="str" cm="1">
        <f t="array" ref="F6100">CategorizeComment(E6100)</f>
        <v>Other</v>
      </c>
      <c r="G6100" t="str" cm="1">
        <f t="array" ref="G6100">SubCategorizeComment(E6100)</f>
        <v>Other</v>
      </c>
    </row>
    <row r="6101" spans="1:7" x14ac:dyDescent="0.25">
      <c r="A6101">
        <v>51344</v>
      </c>
      <c r="B6101" t="s">
        <v>4</v>
      </c>
      <c r="C6101">
        <v>4</v>
      </c>
      <c r="D6101" t="s">
        <v>5</v>
      </c>
      <c r="F6101" t="str" cm="1">
        <f t="array" ref="F6101">CategorizeComment(E6101)</f>
        <v>Other</v>
      </c>
      <c r="G6101" t="str" cm="1">
        <f t="array" ref="G6101">SubCategorizeComment(E6101)</f>
        <v>Other</v>
      </c>
    </row>
    <row r="6102" spans="1:7" x14ac:dyDescent="0.25">
      <c r="A6102">
        <v>51349</v>
      </c>
      <c r="B6102" t="s">
        <v>4</v>
      </c>
      <c r="C6102">
        <v>3</v>
      </c>
      <c r="D6102" t="s">
        <v>5</v>
      </c>
      <c r="F6102" t="str" cm="1">
        <f t="array" ref="F6102">CategorizeComment(E6102)</f>
        <v>Other</v>
      </c>
      <c r="G6102" t="str" cm="1">
        <f t="array" ref="G6102">SubCategorizeComment(E6102)</f>
        <v>Other</v>
      </c>
    </row>
    <row r="6103" spans="1:7" x14ac:dyDescent="0.25">
      <c r="A6103">
        <v>51350</v>
      </c>
      <c r="B6103" t="s">
        <v>4</v>
      </c>
      <c r="C6103">
        <v>4</v>
      </c>
      <c r="D6103" t="s">
        <v>5</v>
      </c>
      <c r="F6103" t="str" cm="1">
        <f t="array" ref="F6103">CategorizeComment(E6103)</f>
        <v>Other</v>
      </c>
      <c r="G6103" t="str" cm="1">
        <f t="array" ref="G6103">SubCategorizeComment(E6103)</f>
        <v>Other</v>
      </c>
    </row>
    <row r="6104" spans="1:7" x14ac:dyDescent="0.25">
      <c r="A6104">
        <v>51351</v>
      </c>
      <c r="B6104" t="s">
        <v>4</v>
      </c>
      <c r="C6104">
        <v>3</v>
      </c>
      <c r="D6104" t="s">
        <v>5</v>
      </c>
      <c r="F6104" t="str" cm="1">
        <f t="array" ref="F6104">CategorizeComment(E6104)</f>
        <v>Other</v>
      </c>
      <c r="G6104" t="str" cm="1">
        <f t="array" ref="G6104">SubCategorizeComment(E6104)</f>
        <v>Other</v>
      </c>
    </row>
    <row r="6105" spans="1:7" x14ac:dyDescent="0.25">
      <c r="A6105">
        <v>51355</v>
      </c>
      <c r="B6105" t="s">
        <v>4</v>
      </c>
      <c r="C6105">
        <v>3</v>
      </c>
      <c r="D6105" t="s">
        <v>5</v>
      </c>
      <c r="F6105" t="str" cm="1">
        <f t="array" ref="F6105">CategorizeComment(E6105)</f>
        <v>Other</v>
      </c>
      <c r="G6105" t="str" cm="1">
        <f t="array" ref="G6105">SubCategorizeComment(E6105)</f>
        <v>Other</v>
      </c>
    </row>
    <row r="6106" spans="1:7" x14ac:dyDescent="0.25">
      <c r="A6106">
        <v>51361</v>
      </c>
      <c r="B6106" t="s">
        <v>4</v>
      </c>
      <c r="C6106">
        <v>3</v>
      </c>
      <c r="D6106" t="s">
        <v>5</v>
      </c>
      <c r="F6106" t="str" cm="1">
        <f t="array" ref="F6106">CategorizeComment(E6106)</f>
        <v>Other</v>
      </c>
      <c r="G6106" t="str" cm="1">
        <f t="array" ref="G6106">SubCategorizeComment(E6106)</f>
        <v>Other</v>
      </c>
    </row>
    <row r="6107" spans="1:7" x14ac:dyDescent="0.25">
      <c r="A6107">
        <v>51367</v>
      </c>
      <c r="B6107" t="s">
        <v>4</v>
      </c>
      <c r="C6107">
        <v>4</v>
      </c>
      <c r="D6107" t="s">
        <v>5</v>
      </c>
      <c r="F6107" t="str" cm="1">
        <f t="array" ref="F6107">CategorizeComment(E6107)</f>
        <v>Other</v>
      </c>
      <c r="G6107" t="str" cm="1">
        <f t="array" ref="G6107">SubCategorizeComment(E6107)</f>
        <v>Other</v>
      </c>
    </row>
    <row r="6108" spans="1:7" x14ac:dyDescent="0.25">
      <c r="A6108">
        <v>51369</v>
      </c>
      <c r="B6108" t="s">
        <v>4</v>
      </c>
      <c r="C6108">
        <v>4</v>
      </c>
      <c r="D6108" t="s">
        <v>5</v>
      </c>
      <c r="F6108" t="str" cm="1">
        <f t="array" ref="F6108">CategorizeComment(E6108)</f>
        <v>Other</v>
      </c>
      <c r="G6108" t="str" cm="1">
        <f t="array" ref="G6108">SubCategorizeComment(E6108)</f>
        <v>Other</v>
      </c>
    </row>
    <row r="6109" spans="1:7" x14ac:dyDescent="0.25">
      <c r="A6109">
        <v>51371</v>
      </c>
      <c r="B6109" t="s">
        <v>4</v>
      </c>
      <c r="C6109">
        <v>4</v>
      </c>
      <c r="D6109" t="s">
        <v>5</v>
      </c>
      <c r="F6109" t="str" cm="1">
        <f t="array" ref="F6109">CategorizeComment(E6109)</f>
        <v>Other</v>
      </c>
      <c r="G6109" t="str" cm="1">
        <f t="array" ref="G6109">SubCategorizeComment(E6109)</f>
        <v>Other</v>
      </c>
    </row>
    <row r="6110" spans="1:7" x14ac:dyDescent="0.25">
      <c r="A6110">
        <v>51372</v>
      </c>
      <c r="B6110" t="s">
        <v>4</v>
      </c>
      <c r="C6110">
        <v>3</v>
      </c>
      <c r="D6110" t="s">
        <v>5</v>
      </c>
      <c r="F6110" t="str" cm="1">
        <f t="array" ref="F6110">CategorizeComment(E6110)</f>
        <v>Other</v>
      </c>
      <c r="G6110" t="str" cm="1">
        <f t="array" ref="G6110">SubCategorizeComment(E6110)</f>
        <v>Other</v>
      </c>
    </row>
    <row r="6111" spans="1:7" x14ac:dyDescent="0.25">
      <c r="A6111">
        <v>51373</v>
      </c>
      <c r="B6111" t="s">
        <v>4</v>
      </c>
      <c r="C6111">
        <v>3</v>
      </c>
      <c r="D6111" t="s">
        <v>5</v>
      </c>
      <c r="F6111" t="str" cm="1">
        <f t="array" ref="F6111">CategorizeComment(E6111)</f>
        <v>Other</v>
      </c>
      <c r="G6111" t="str" cm="1">
        <f t="array" ref="G6111">SubCategorizeComment(E6111)</f>
        <v>Other</v>
      </c>
    </row>
    <row r="6112" spans="1:7" x14ac:dyDescent="0.25">
      <c r="A6112">
        <v>51376</v>
      </c>
      <c r="B6112" t="s">
        <v>4</v>
      </c>
      <c r="C6112">
        <v>4</v>
      </c>
      <c r="D6112" t="s">
        <v>5</v>
      </c>
      <c r="F6112" t="str" cm="1">
        <f t="array" ref="F6112">CategorizeComment(E6112)</f>
        <v>Other</v>
      </c>
      <c r="G6112" t="str" cm="1">
        <f t="array" ref="G6112">SubCategorizeComment(E6112)</f>
        <v>Other</v>
      </c>
    </row>
    <row r="6113" spans="1:7" x14ac:dyDescent="0.25">
      <c r="A6113">
        <v>51382</v>
      </c>
      <c r="B6113" t="s">
        <v>4</v>
      </c>
      <c r="C6113">
        <v>3</v>
      </c>
      <c r="D6113" t="s">
        <v>5</v>
      </c>
      <c r="F6113" t="str" cm="1">
        <f t="array" ref="F6113">CategorizeComment(E6113)</f>
        <v>Other</v>
      </c>
      <c r="G6113" t="str" cm="1">
        <f t="array" ref="G6113">SubCategorizeComment(E6113)</f>
        <v>Other</v>
      </c>
    </row>
    <row r="6114" spans="1:7" x14ac:dyDescent="0.25">
      <c r="A6114">
        <v>51390</v>
      </c>
      <c r="B6114" t="s">
        <v>4</v>
      </c>
      <c r="C6114">
        <v>4</v>
      </c>
      <c r="D6114" t="s">
        <v>5</v>
      </c>
      <c r="F6114" t="str" cm="1">
        <f t="array" ref="F6114">CategorizeComment(E6114)</f>
        <v>Other</v>
      </c>
      <c r="G6114" t="str" cm="1">
        <f t="array" ref="G6114">SubCategorizeComment(E6114)</f>
        <v>Other</v>
      </c>
    </row>
    <row r="6115" spans="1:7" x14ac:dyDescent="0.25">
      <c r="A6115">
        <v>51395</v>
      </c>
      <c r="B6115" t="s">
        <v>4</v>
      </c>
      <c r="C6115">
        <v>3</v>
      </c>
      <c r="D6115" t="s">
        <v>5</v>
      </c>
      <c r="F6115" t="str" cm="1">
        <f t="array" ref="F6115">CategorizeComment(E6115)</f>
        <v>Other</v>
      </c>
      <c r="G6115" t="str" cm="1">
        <f t="array" ref="G6115">SubCategorizeComment(E6115)</f>
        <v>Other</v>
      </c>
    </row>
    <row r="6116" spans="1:7" x14ac:dyDescent="0.25">
      <c r="A6116">
        <v>51406</v>
      </c>
      <c r="B6116" t="s">
        <v>4</v>
      </c>
      <c r="C6116">
        <v>3</v>
      </c>
      <c r="D6116" t="s">
        <v>5</v>
      </c>
      <c r="F6116" t="str" cm="1">
        <f t="array" ref="F6116">CategorizeComment(E6116)</f>
        <v>Other</v>
      </c>
      <c r="G6116" t="str" cm="1">
        <f t="array" ref="G6116">SubCategorizeComment(E6116)</f>
        <v>Other</v>
      </c>
    </row>
    <row r="6117" spans="1:7" x14ac:dyDescent="0.25">
      <c r="A6117">
        <v>51410</v>
      </c>
      <c r="B6117" t="s">
        <v>4</v>
      </c>
      <c r="C6117">
        <v>4</v>
      </c>
      <c r="D6117" t="s">
        <v>5</v>
      </c>
      <c r="F6117" t="str" cm="1">
        <f t="array" ref="F6117">CategorizeComment(E6117)</f>
        <v>Other</v>
      </c>
      <c r="G6117" t="str" cm="1">
        <f t="array" ref="G6117">SubCategorizeComment(E6117)</f>
        <v>Other</v>
      </c>
    </row>
    <row r="6118" spans="1:7" x14ac:dyDescent="0.25">
      <c r="A6118">
        <v>51412</v>
      </c>
      <c r="B6118" t="s">
        <v>4</v>
      </c>
      <c r="C6118">
        <v>3</v>
      </c>
      <c r="D6118" t="s">
        <v>5</v>
      </c>
      <c r="F6118" t="str" cm="1">
        <f t="array" ref="F6118">CategorizeComment(E6118)</f>
        <v>Other</v>
      </c>
      <c r="G6118" t="str" cm="1">
        <f t="array" ref="G6118">SubCategorizeComment(E6118)</f>
        <v>Other</v>
      </c>
    </row>
    <row r="6119" spans="1:7" x14ac:dyDescent="0.25">
      <c r="A6119">
        <v>51417</v>
      </c>
      <c r="B6119" t="s">
        <v>4</v>
      </c>
      <c r="C6119">
        <v>4</v>
      </c>
      <c r="D6119" t="s">
        <v>5</v>
      </c>
      <c r="F6119" t="str" cm="1">
        <f t="array" ref="F6119">CategorizeComment(E6119)</f>
        <v>Other</v>
      </c>
      <c r="G6119" t="str" cm="1">
        <f t="array" ref="G6119">SubCategorizeComment(E6119)</f>
        <v>Other</v>
      </c>
    </row>
    <row r="6120" spans="1:7" x14ac:dyDescent="0.25">
      <c r="A6120">
        <v>51419</v>
      </c>
      <c r="B6120" t="s">
        <v>4</v>
      </c>
      <c r="C6120">
        <v>4</v>
      </c>
      <c r="D6120" t="s">
        <v>5</v>
      </c>
      <c r="F6120" t="str" cm="1">
        <f t="array" ref="F6120">CategorizeComment(E6120)</f>
        <v>Other</v>
      </c>
      <c r="G6120" t="str" cm="1">
        <f t="array" ref="G6120">SubCategorizeComment(E6120)</f>
        <v>Other</v>
      </c>
    </row>
    <row r="6121" spans="1:7" x14ac:dyDescent="0.25">
      <c r="A6121">
        <v>51422</v>
      </c>
      <c r="B6121" t="s">
        <v>4</v>
      </c>
      <c r="C6121">
        <v>4</v>
      </c>
      <c r="D6121" t="s">
        <v>5</v>
      </c>
      <c r="F6121" t="str" cm="1">
        <f t="array" ref="F6121">CategorizeComment(E6121)</f>
        <v>Other</v>
      </c>
      <c r="G6121" t="str" cm="1">
        <f t="array" ref="G6121">SubCategorizeComment(E6121)</f>
        <v>Other</v>
      </c>
    </row>
    <row r="6122" spans="1:7" x14ac:dyDescent="0.25">
      <c r="A6122">
        <v>51426</v>
      </c>
      <c r="B6122" t="s">
        <v>4</v>
      </c>
      <c r="C6122">
        <v>4</v>
      </c>
      <c r="D6122" t="s">
        <v>5</v>
      </c>
      <c r="F6122" t="str" cm="1">
        <f t="array" ref="F6122">CategorizeComment(E6122)</f>
        <v>Other</v>
      </c>
      <c r="G6122" t="str" cm="1">
        <f t="array" ref="G6122">SubCategorizeComment(E6122)</f>
        <v>Other</v>
      </c>
    </row>
    <row r="6123" spans="1:7" x14ac:dyDescent="0.25">
      <c r="A6123">
        <v>51430</v>
      </c>
      <c r="B6123" t="s">
        <v>4</v>
      </c>
      <c r="C6123">
        <v>3</v>
      </c>
      <c r="D6123" t="s">
        <v>5</v>
      </c>
      <c r="F6123" t="str" cm="1">
        <f t="array" ref="F6123">CategorizeComment(E6123)</f>
        <v>Other</v>
      </c>
      <c r="G6123" t="str" cm="1">
        <f t="array" ref="G6123">SubCategorizeComment(E6123)</f>
        <v>Other</v>
      </c>
    </row>
    <row r="6124" spans="1:7" x14ac:dyDescent="0.25">
      <c r="A6124">
        <v>51435</v>
      </c>
      <c r="B6124" t="s">
        <v>4</v>
      </c>
      <c r="C6124">
        <v>3</v>
      </c>
      <c r="D6124" t="s">
        <v>5</v>
      </c>
      <c r="F6124" t="str" cm="1">
        <f t="array" ref="F6124">CategorizeComment(E6124)</f>
        <v>Other</v>
      </c>
      <c r="G6124" t="str" cm="1">
        <f t="array" ref="G6124">SubCategorizeComment(E6124)</f>
        <v>Other</v>
      </c>
    </row>
    <row r="6125" spans="1:7" x14ac:dyDescent="0.25">
      <c r="A6125">
        <v>51439</v>
      </c>
      <c r="B6125" t="s">
        <v>4</v>
      </c>
      <c r="C6125">
        <v>3</v>
      </c>
      <c r="D6125" t="s">
        <v>5</v>
      </c>
      <c r="F6125" t="str" cm="1">
        <f t="array" ref="F6125">CategorizeComment(E6125)</f>
        <v>Other</v>
      </c>
      <c r="G6125" t="str" cm="1">
        <f t="array" ref="G6125">SubCategorizeComment(E6125)</f>
        <v>Other</v>
      </c>
    </row>
    <row r="6126" spans="1:7" x14ac:dyDescent="0.25">
      <c r="A6126">
        <v>51440</v>
      </c>
      <c r="B6126" t="s">
        <v>4</v>
      </c>
      <c r="C6126">
        <v>4</v>
      </c>
      <c r="D6126" t="s">
        <v>5</v>
      </c>
      <c r="F6126" t="str" cm="1">
        <f t="array" ref="F6126">CategorizeComment(E6126)</f>
        <v>Other</v>
      </c>
      <c r="G6126" t="str" cm="1">
        <f t="array" ref="G6126">SubCategorizeComment(E6126)</f>
        <v>Other</v>
      </c>
    </row>
    <row r="6127" spans="1:7" x14ac:dyDescent="0.25">
      <c r="A6127">
        <v>51443</v>
      </c>
      <c r="B6127" t="s">
        <v>4</v>
      </c>
      <c r="C6127">
        <v>4</v>
      </c>
      <c r="D6127" t="s">
        <v>5</v>
      </c>
      <c r="F6127" t="str" cm="1">
        <f t="array" ref="F6127">CategorizeComment(E6127)</f>
        <v>Other</v>
      </c>
      <c r="G6127" t="str" cm="1">
        <f t="array" ref="G6127">SubCategorizeComment(E6127)</f>
        <v>Other</v>
      </c>
    </row>
    <row r="6128" spans="1:7" x14ac:dyDescent="0.25">
      <c r="A6128">
        <v>51444</v>
      </c>
      <c r="B6128" t="s">
        <v>4</v>
      </c>
      <c r="C6128">
        <v>3</v>
      </c>
      <c r="D6128" t="s">
        <v>5</v>
      </c>
      <c r="F6128" t="str" cm="1">
        <f t="array" ref="F6128">CategorizeComment(E6128)</f>
        <v>Other</v>
      </c>
      <c r="G6128" t="str" cm="1">
        <f t="array" ref="G6128">SubCategorizeComment(E6128)</f>
        <v>Other</v>
      </c>
    </row>
    <row r="6129" spans="1:7" x14ac:dyDescent="0.25">
      <c r="A6129">
        <v>51451</v>
      </c>
      <c r="B6129" t="s">
        <v>4</v>
      </c>
      <c r="C6129">
        <v>4</v>
      </c>
      <c r="D6129" t="s">
        <v>5</v>
      </c>
      <c r="F6129" t="str" cm="1">
        <f t="array" ref="F6129">CategorizeComment(E6129)</f>
        <v>Other</v>
      </c>
      <c r="G6129" t="str" cm="1">
        <f t="array" ref="G6129">SubCategorizeComment(E6129)</f>
        <v>Other</v>
      </c>
    </row>
    <row r="6130" spans="1:7" x14ac:dyDescent="0.25">
      <c r="A6130">
        <v>51453</v>
      </c>
      <c r="B6130" t="s">
        <v>4</v>
      </c>
      <c r="C6130">
        <v>4</v>
      </c>
      <c r="D6130" t="s">
        <v>5</v>
      </c>
      <c r="F6130" t="str" cm="1">
        <f t="array" ref="F6130">CategorizeComment(E6130)</f>
        <v>Other</v>
      </c>
      <c r="G6130" t="str" cm="1">
        <f t="array" ref="G6130">SubCategorizeComment(E6130)</f>
        <v>Other</v>
      </c>
    </row>
    <row r="6131" spans="1:7" x14ac:dyDescent="0.25">
      <c r="A6131">
        <v>51454</v>
      </c>
      <c r="B6131" t="s">
        <v>4</v>
      </c>
      <c r="C6131">
        <v>3</v>
      </c>
      <c r="D6131" t="s">
        <v>5</v>
      </c>
      <c r="F6131" t="str" cm="1">
        <f t="array" ref="F6131">CategorizeComment(E6131)</f>
        <v>Other</v>
      </c>
      <c r="G6131" t="str" cm="1">
        <f t="array" ref="G6131">SubCategorizeComment(E6131)</f>
        <v>Other</v>
      </c>
    </row>
    <row r="6132" spans="1:7" x14ac:dyDescent="0.25">
      <c r="A6132">
        <v>51455</v>
      </c>
      <c r="B6132" t="s">
        <v>4</v>
      </c>
      <c r="C6132">
        <v>3</v>
      </c>
      <c r="D6132" t="s">
        <v>5</v>
      </c>
      <c r="F6132" t="str" cm="1">
        <f t="array" ref="F6132">CategorizeComment(E6132)</f>
        <v>Other</v>
      </c>
      <c r="G6132" t="str" cm="1">
        <f t="array" ref="G6132">SubCategorizeComment(E6132)</f>
        <v>Other</v>
      </c>
    </row>
    <row r="6133" spans="1:7" x14ac:dyDescent="0.25">
      <c r="A6133">
        <v>51460</v>
      </c>
      <c r="B6133" t="s">
        <v>4</v>
      </c>
      <c r="C6133">
        <v>4</v>
      </c>
      <c r="D6133" t="s">
        <v>5</v>
      </c>
      <c r="F6133" t="str" cm="1">
        <f t="array" ref="F6133">CategorizeComment(E6133)</f>
        <v>Other</v>
      </c>
      <c r="G6133" t="str" cm="1">
        <f t="array" ref="G6133">SubCategorizeComment(E6133)</f>
        <v>Other</v>
      </c>
    </row>
    <row r="6134" spans="1:7" x14ac:dyDescent="0.25">
      <c r="A6134">
        <v>51481</v>
      </c>
      <c r="B6134" t="s">
        <v>4</v>
      </c>
      <c r="C6134">
        <v>3</v>
      </c>
      <c r="D6134" t="s">
        <v>5</v>
      </c>
      <c r="F6134" t="str" cm="1">
        <f t="array" ref="F6134">CategorizeComment(E6134)</f>
        <v>Other</v>
      </c>
      <c r="G6134" t="str" cm="1">
        <f t="array" ref="G6134">SubCategorizeComment(E6134)</f>
        <v>Other</v>
      </c>
    </row>
    <row r="6135" spans="1:7" x14ac:dyDescent="0.25">
      <c r="A6135">
        <v>51487</v>
      </c>
      <c r="B6135" t="s">
        <v>4</v>
      </c>
      <c r="C6135">
        <v>4</v>
      </c>
      <c r="D6135" t="s">
        <v>5</v>
      </c>
      <c r="F6135" t="str" cm="1">
        <f t="array" ref="F6135">CategorizeComment(E6135)</f>
        <v>Other</v>
      </c>
      <c r="G6135" t="str" cm="1">
        <f t="array" ref="G6135">SubCategorizeComment(E6135)</f>
        <v>Other</v>
      </c>
    </row>
    <row r="6136" spans="1:7" x14ac:dyDescent="0.25">
      <c r="A6136">
        <v>51497</v>
      </c>
      <c r="B6136" t="s">
        <v>4</v>
      </c>
      <c r="C6136">
        <v>3</v>
      </c>
      <c r="D6136" t="s">
        <v>5</v>
      </c>
      <c r="F6136" t="str" cm="1">
        <f t="array" ref="F6136">CategorizeComment(E6136)</f>
        <v>Other</v>
      </c>
      <c r="G6136" t="str" cm="1">
        <f t="array" ref="G6136">SubCategorizeComment(E6136)</f>
        <v>Other</v>
      </c>
    </row>
    <row r="6137" spans="1:7" x14ac:dyDescent="0.25">
      <c r="A6137">
        <v>51506</v>
      </c>
      <c r="B6137" t="s">
        <v>4</v>
      </c>
      <c r="C6137">
        <v>3</v>
      </c>
      <c r="D6137" t="s">
        <v>5</v>
      </c>
      <c r="F6137" t="str" cm="1">
        <f t="array" ref="F6137">CategorizeComment(E6137)</f>
        <v>Other</v>
      </c>
      <c r="G6137" t="str" cm="1">
        <f t="array" ref="G6137">SubCategorizeComment(E6137)</f>
        <v>Other</v>
      </c>
    </row>
    <row r="6138" spans="1:7" x14ac:dyDescent="0.25">
      <c r="A6138">
        <v>51522</v>
      </c>
      <c r="B6138" t="s">
        <v>4</v>
      </c>
      <c r="C6138">
        <v>3</v>
      </c>
      <c r="D6138" t="s">
        <v>5</v>
      </c>
      <c r="F6138" t="str" cm="1">
        <f t="array" ref="F6138">CategorizeComment(E6138)</f>
        <v>Other</v>
      </c>
      <c r="G6138" t="str" cm="1">
        <f t="array" ref="G6138">SubCategorizeComment(E6138)</f>
        <v>Other</v>
      </c>
    </row>
    <row r="6139" spans="1:7" x14ac:dyDescent="0.25">
      <c r="A6139">
        <v>51528</v>
      </c>
      <c r="B6139" t="s">
        <v>4</v>
      </c>
      <c r="C6139">
        <v>3</v>
      </c>
      <c r="D6139" t="s">
        <v>5</v>
      </c>
      <c r="F6139" t="str" cm="1">
        <f t="array" ref="F6139">CategorizeComment(E6139)</f>
        <v>Other</v>
      </c>
      <c r="G6139" t="str" cm="1">
        <f t="array" ref="G6139">SubCategorizeComment(E6139)</f>
        <v>Other</v>
      </c>
    </row>
    <row r="6140" spans="1:7" x14ac:dyDescent="0.25">
      <c r="A6140">
        <v>51542</v>
      </c>
      <c r="B6140" t="s">
        <v>4</v>
      </c>
      <c r="C6140">
        <v>4</v>
      </c>
      <c r="D6140" t="s">
        <v>5</v>
      </c>
      <c r="F6140" t="str" cm="1">
        <f t="array" ref="F6140">CategorizeComment(E6140)</f>
        <v>Other</v>
      </c>
      <c r="G6140" t="str" cm="1">
        <f t="array" ref="G6140">SubCategorizeComment(E6140)</f>
        <v>Other</v>
      </c>
    </row>
    <row r="6141" spans="1:7" x14ac:dyDescent="0.25">
      <c r="A6141">
        <v>51554</v>
      </c>
      <c r="B6141" t="s">
        <v>4</v>
      </c>
      <c r="C6141">
        <v>4</v>
      </c>
      <c r="D6141" t="s">
        <v>5</v>
      </c>
      <c r="F6141" t="str" cm="1">
        <f t="array" ref="F6141">CategorizeComment(E6141)</f>
        <v>Other</v>
      </c>
      <c r="G6141" t="str" cm="1">
        <f t="array" ref="G6141">SubCategorizeComment(E6141)</f>
        <v>Other</v>
      </c>
    </row>
    <row r="6142" spans="1:7" x14ac:dyDescent="0.25">
      <c r="A6142">
        <v>51562</v>
      </c>
      <c r="B6142" t="s">
        <v>4</v>
      </c>
      <c r="C6142">
        <v>3</v>
      </c>
      <c r="D6142" t="s">
        <v>5</v>
      </c>
      <c r="F6142" t="str" cm="1">
        <f t="array" ref="F6142">CategorizeComment(E6142)</f>
        <v>Other</v>
      </c>
      <c r="G6142" t="str" cm="1">
        <f t="array" ref="G6142">SubCategorizeComment(E6142)</f>
        <v>Other</v>
      </c>
    </row>
    <row r="6143" spans="1:7" x14ac:dyDescent="0.25">
      <c r="A6143">
        <v>51576</v>
      </c>
      <c r="B6143" t="s">
        <v>4</v>
      </c>
      <c r="C6143">
        <v>4</v>
      </c>
      <c r="D6143" t="s">
        <v>5</v>
      </c>
      <c r="F6143" t="str" cm="1">
        <f t="array" ref="F6143">CategorizeComment(E6143)</f>
        <v>Other</v>
      </c>
      <c r="G6143" t="str" cm="1">
        <f t="array" ref="G6143">SubCategorizeComment(E6143)</f>
        <v>Other</v>
      </c>
    </row>
    <row r="6144" spans="1:7" x14ac:dyDescent="0.25">
      <c r="A6144">
        <v>51589</v>
      </c>
      <c r="B6144" t="s">
        <v>4</v>
      </c>
      <c r="C6144">
        <v>4</v>
      </c>
      <c r="D6144" t="s">
        <v>5</v>
      </c>
      <c r="F6144" t="str" cm="1">
        <f t="array" ref="F6144">CategorizeComment(E6144)</f>
        <v>Other</v>
      </c>
      <c r="G6144" t="str" cm="1">
        <f t="array" ref="G6144">SubCategorizeComment(E6144)</f>
        <v>Other</v>
      </c>
    </row>
    <row r="6145" spans="1:7" x14ac:dyDescent="0.25">
      <c r="A6145">
        <v>51592</v>
      </c>
      <c r="B6145" t="s">
        <v>4</v>
      </c>
      <c r="C6145">
        <v>3</v>
      </c>
      <c r="D6145" t="s">
        <v>5</v>
      </c>
      <c r="F6145" t="str" cm="1">
        <f t="array" ref="F6145">CategorizeComment(E6145)</f>
        <v>Other</v>
      </c>
      <c r="G6145" t="str" cm="1">
        <f t="array" ref="G6145">SubCategorizeComment(E6145)</f>
        <v>Other</v>
      </c>
    </row>
    <row r="6146" spans="1:7" x14ac:dyDescent="0.25">
      <c r="A6146">
        <v>51593</v>
      </c>
      <c r="B6146" t="s">
        <v>4</v>
      </c>
      <c r="C6146">
        <v>4</v>
      </c>
      <c r="D6146" t="s">
        <v>5</v>
      </c>
      <c r="F6146" t="str" cm="1">
        <f t="array" ref="F6146">CategorizeComment(E6146)</f>
        <v>Other</v>
      </c>
      <c r="G6146" t="str" cm="1">
        <f t="array" ref="G6146">SubCategorizeComment(E6146)</f>
        <v>Other</v>
      </c>
    </row>
    <row r="6147" spans="1:7" x14ac:dyDescent="0.25">
      <c r="A6147">
        <v>51632</v>
      </c>
      <c r="B6147" t="s">
        <v>4</v>
      </c>
      <c r="C6147">
        <v>4</v>
      </c>
      <c r="D6147" t="s">
        <v>5</v>
      </c>
      <c r="F6147" t="str" cm="1">
        <f t="array" ref="F6147">CategorizeComment(E6147)</f>
        <v>Other</v>
      </c>
      <c r="G6147" t="str" cm="1">
        <f t="array" ref="G6147">SubCategorizeComment(E6147)</f>
        <v>Other</v>
      </c>
    </row>
    <row r="6148" spans="1:7" x14ac:dyDescent="0.25">
      <c r="A6148">
        <v>51641</v>
      </c>
      <c r="B6148" t="s">
        <v>4</v>
      </c>
      <c r="C6148">
        <v>3</v>
      </c>
      <c r="D6148" t="s">
        <v>5</v>
      </c>
      <c r="F6148" t="str" cm="1">
        <f t="array" ref="F6148">CategorizeComment(E6148)</f>
        <v>Other</v>
      </c>
      <c r="G6148" t="str" cm="1">
        <f t="array" ref="G6148">SubCategorizeComment(E6148)</f>
        <v>Other</v>
      </c>
    </row>
    <row r="6149" spans="1:7" x14ac:dyDescent="0.25">
      <c r="A6149">
        <v>51647</v>
      </c>
      <c r="B6149" t="s">
        <v>4</v>
      </c>
      <c r="C6149">
        <v>3</v>
      </c>
      <c r="D6149" t="s">
        <v>5</v>
      </c>
      <c r="F6149" t="str" cm="1">
        <f t="array" ref="F6149">CategorizeComment(E6149)</f>
        <v>Other</v>
      </c>
      <c r="G6149" t="str" cm="1">
        <f t="array" ref="G6149">SubCategorizeComment(E6149)</f>
        <v>Other</v>
      </c>
    </row>
    <row r="6150" spans="1:7" x14ac:dyDescent="0.25">
      <c r="A6150">
        <v>51650</v>
      </c>
      <c r="B6150" t="s">
        <v>4</v>
      </c>
      <c r="C6150">
        <v>3</v>
      </c>
      <c r="D6150" t="s">
        <v>5</v>
      </c>
      <c r="F6150" t="str" cm="1">
        <f t="array" ref="F6150">CategorizeComment(E6150)</f>
        <v>Other</v>
      </c>
      <c r="G6150" t="str" cm="1">
        <f t="array" ref="G6150">SubCategorizeComment(E6150)</f>
        <v>Other</v>
      </c>
    </row>
    <row r="6151" spans="1:7" x14ac:dyDescent="0.25">
      <c r="A6151">
        <v>51658</v>
      </c>
      <c r="B6151" t="s">
        <v>4</v>
      </c>
      <c r="C6151">
        <v>4</v>
      </c>
      <c r="D6151" t="s">
        <v>5</v>
      </c>
      <c r="F6151" t="str" cm="1">
        <f t="array" ref="F6151">CategorizeComment(E6151)</f>
        <v>Other</v>
      </c>
      <c r="G6151" t="str" cm="1">
        <f t="array" ref="G6151">SubCategorizeComment(E6151)</f>
        <v>Other</v>
      </c>
    </row>
    <row r="6152" spans="1:7" x14ac:dyDescent="0.25">
      <c r="A6152">
        <v>51665</v>
      </c>
      <c r="B6152" t="s">
        <v>4</v>
      </c>
      <c r="C6152">
        <v>4</v>
      </c>
      <c r="D6152" t="s">
        <v>5</v>
      </c>
      <c r="F6152" t="str" cm="1">
        <f t="array" ref="F6152">CategorizeComment(E6152)</f>
        <v>Other</v>
      </c>
      <c r="G6152" t="str" cm="1">
        <f t="array" ref="G6152">SubCategorizeComment(E6152)</f>
        <v>Other</v>
      </c>
    </row>
    <row r="6153" spans="1:7" x14ac:dyDescent="0.25">
      <c r="A6153">
        <v>51666</v>
      </c>
      <c r="B6153" t="s">
        <v>4</v>
      </c>
      <c r="C6153">
        <v>3</v>
      </c>
      <c r="D6153" t="s">
        <v>5</v>
      </c>
      <c r="F6153" t="str" cm="1">
        <f t="array" ref="F6153">CategorizeComment(E6153)</f>
        <v>Other</v>
      </c>
      <c r="G6153" t="str" cm="1">
        <f t="array" ref="G6153">SubCategorizeComment(E6153)</f>
        <v>Other</v>
      </c>
    </row>
    <row r="6154" spans="1:7" x14ac:dyDescent="0.25">
      <c r="A6154">
        <v>51667</v>
      </c>
      <c r="B6154" t="s">
        <v>4</v>
      </c>
      <c r="C6154">
        <v>3</v>
      </c>
      <c r="D6154" t="s">
        <v>5</v>
      </c>
      <c r="F6154" t="str" cm="1">
        <f t="array" ref="F6154">CategorizeComment(E6154)</f>
        <v>Other</v>
      </c>
      <c r="G6154" t="str" cm="1">
        <f t="array" ref="G6154">SubCategorizeComment(E6154)</f>
        <v>Other</v>
      </c>
    </row>
    <row r="6155" spans="1:7" x14ac:dyDescent="0.25">
      <c r="A6155">
        <v>51668</v>
      </c>
      <c r="B6155" t="s">
        <v>4</v>
      </c>
      <c r="C6155">
        <v>3</v>
      </c>
      <c r="D6155" t="s">
        <v>5</v>
      </c>
      <c r="F6155" t="str" cm="1">
        <f t="array" ref="F6155">CategorizeComment(E6155)</f>
        <v>Other</v>
      </c>
      <c r="G6155" t="str" cm="1">
        <f t="array" ref="G6155">SubCategorizeComment(E6155)</f>
        <v>Other</v>
      </c>
    </row>
    <row r="6156" spans="1:7" x14ac:dyDescent="0.25">
      <c r="A6156">
        <v>51670</v>
      </c>
      <c r="B6156" t="s">
        <v>4</v>
      </c>
      <c r="C6156">
        <v>4</v>
      </c>
      <c r="D6156" t="s">
        <v>5</v>
      </c>
      <c r="F6156" t="str" cm="1">
        <f t="array" ref="F6156">CategorizeComment(E6156)</f>
        <v>Other</v>
      </c>
      <c r="G6156" t="str" cm="1">
        <f t="array" ref="G6156">SubCategorizeComment(E6156)</f>
        <v>Other</v>
      </c>
    </row>
    <row r="6157" spans="1:7" x14ac:dyDescent="0.25">
      <c r="A6157">
        <v>51671</v>
      </c>
      <c r="B6157" t="s">
        <v>4</v>
      </c>
      <c r="C6157">
        <v>4</v>
      </c>
      <c r="D6157" t="s">
        <v>5</v>
      </c>
      <c r="F6157" t="str" cm="1">
        <f t="array" ref="F6157">CategorizeComment(E6157)</f>
        <v>Other</v>
      </c>
      <c r="G6157" t="str" cm="1">
        <f t="array" ref="G6157">SubCategorizeComment(E6157)</f>
        <v>Other</v>
      </c>
    </row>
    <row r="6158" spans="1:7" x14ac:dyDescent="0.25">
      <c r="A6158">
        <v>51677</v>
      </c>
      <c r="B6158" t="s">
        <v>4</v>
      </c>
      <c r="C6158">
        <v>3</v>
      </c>
      <c r="D6158" t="s">
        <v>5</v>
      </c>
      <c r="F6158" t="str" cm="1">
        <f t="array" ref="F6158">CategorizeComment(E6158)</f>
        <v>Other</v>
      </c>
      <c r="G6158" t="str" cm="1">
        <f t="array" ref="G6158">SubCategorizeComment(E6158)</f>
        <v>Other</v>
      </c>
    </row>
    <row r="6159" spans="1:7" x14ac:dyDescent="0.25">
      <c r="A6159">
        <v>51697</v>
      </c>
      <c r="B6159" t="s">
        <v>4</v>
      </c>
      <c r="C6159">
        <v>4</v>
      </c>
      <c r="D6159" t="s">
        <v>5</v>
      </c>
      <c r="F6159" t="str" cm="1">
        <f t="array" ref="F6159">CategorizeComment(E6159)</f>
        <v>Other</v>
      </c>
      <c r="G6159" t="str" cm="1">
        <f t="array" ref="G6159">SubCategorizeComment(E6159)</f>
        <v>Other</v>
      </c>
    </row>
    <row r="6160" spans="1:7" x14ac:dyDescent="0.25">
      <c r="A6160">
        <v>51705</v>
      </c>
      <c r="B6160" t="s">
        <v>4</v>
      </c>
      <c r="C6160">
        <v>3</v>
      </c>
      <c r="D6160" t="s">
        <v>5</v>
      </c>
      <c r="F6160" t="str" cm="1">
        <f t="array" ref="F6160">CategorizeComment(E6160)</f>
        <v>Other</v>
      </c>
      <c r="G6160" t="str" cm="1">
        <f t="array" ref="G6160">SubCategorizeComment(E6160)</f>
        <v>Other</v>
      </c>
    </row>
    <row r="6161" spans="1:7" x14ac:dyDescent="0.25">
      <c r="A6161">
        <v>51707</v>
      </c>
      <c r="B6161" t="s">
        <v>4</v>
      </c>
      <c r="C6161">
        <v>4</v>
      </c>
      <c r="D6161" t="s">
        <v>5</v>
      </c>
      <c r="F6161" t="str" cm="1">
        <f t="array" ref="F6161">CategorizeComment(E6161)</f>
        <v>Other</v>
      </c>
      <c r="G6161" t="str" cm="1">
        <f t="array" ref="G6161">SubCategorizeComment(E6161)</f>
        <v>Other</v>
      </c>
    </row>
    <row r="6162" spans="1:7" x14ac:dyDescent="0.25">
      <c r="A6162">
        <v>51712</v>
      </c>
      <c r="B6162" t="s">
        <v>4</v>
      </c>
      <c r="C6162">
        <v>4</v>
      </c>
      <c r="D6162" t="s">
        <v>5</v>
      </c>
      <c r="F6162" t="str" cm="1">
        <f t="array" ref="F6162">CategorizeComment(E6162)</f>
        <v>Other</v>
      </c>
      <c r="G6162" t="str" cm="1">
        <f t="array" ref="G6162">SubCategorizeComment(E6162)</f>
        <v>Other</v>
      </c>
    </row>
    <row r="6163" spans="1:7" x14ac:dyDescent="0.25">
      <c r="A6163">
        <v>51716</v>
      </c>
      <c r="B6163" t="s">
        <v>4</v>
      </c>
      <c r="C6163">
        <v>4</v>
      </c>
      <c r="D6163" t="s">
        <v>5</v>
      </c>
      <c r="F6163" t="str" cm="1">
        <f t="array" ref="F6163">CategorizeComment(E6163)</f>
        <v>Other</v>
      </c>
      <c r="G6163" t="str" cm="1">
        <f t="array" ref="G6163">SubCategorizeComment(E6163)</f>
        <v>Other</v>
      </c>
    </row>
    <row r="6164" spans="1:7" x14ac:dyDescent="0.25">
      <c r="A6164">
        <v>51723</v>
      </c>
      <c r="B6164" t="s">
        <v>4</v>
      </c>
      <c r="C6164">
        <v>3</v>
      </c>
      <c r="D6164" t="s">
        <v>5</v>
      </c>
      <c r="F6164" t="str" cm="1">
        <f t="array" ref="F6164">CategorizeComment(E6164)</f>
        <v>Other</v>
      </c>
      <c r="G6164" t="str" cm="1">
        <f t="array" ref="G6164">SubCategorizeComment(E6164)</f>
        <v>Other</v>
      </c>
    </row>
    <row r="6165" spans="1:7" x14ac:dyDescent="0.25">
      <c r="A6165">
        <v>51736</v>
      </c>
      <c r="B6165" t="s">
        <v>4</v>
      </c>
      <c r="C6165">
        <v>3</v>
      </c>
      <c r="D6165" t="s">
        <v>5</v>
      </c>
      <c r="F6165" t="str" cm="1">
        <f t="array" ref="F6165">CategorizeComment(E6165)</f>
        <v>Other</v>
      </c>
      <c r="G6165" t="str" cm="1">
        <f t="array" ref="G6165">SubCategorizeComment(E6165)</f>
        <v>Other</v>
      </c>
    </row>
    <row r="6166" spans="1:7" x14ac:dyDescent="0.25">
      <c r="A6166">
        <v>51746</v>
      </c>
      <c r="B6166" t="s">
        <v>4</v>
      </c>
      <c r="C6166">
        <v>4</v>
      </c>
      <c r="D6166" t="s">
        <v>5</v>
      </c>
      <c r="F6166" t="str" cm="1">
        <f t="array" ref="F6166">CategorizeComment(E6166)</f>
        <v>Other</v>
      </c>
      <c r="G6166" t="str" cm="1">
        <f t="array" ref="G6166">SubCategorizeComment(E6166)</f>
        <v>Other</v>
      </c>
    </row>
    <row r="6167" spans="1:7" x14ac:dyDescent="0.25">
      <c r="A6167">
        <v>51751</v>
      </c>
      <c r="B6167" t="s">
        <v>4</v>
      </c>
      <c r="C6167">
        <v>4</v>
      </c>
      <c r="D6167" t="s">
        <v>5</v>
      </c>
      <c r="F6167" t="str" cm="1">
        <f t="array" ref="F6167">CategorizeComment(E6167)</f>
        <v>Other</v>
      </c>
      <c r="G6167" t="str" cm="1">
        <f t="array" ref="G6167">SubCategorizeComment(E6167)</f>
        <v>Other</v>
      </c>
    </row>
    <row r="6168" spans="1:7" x14ac:dyDescent="0.25">
      <c r="A6168">
        <v>51762</v>
      </c>
      <c r="B6168" t="s">
        <v>4</v>
      </c>
      <c r="C6168">
        <v>4</v>
      </c>
      <c r="D6168" t="s">
        <v>5</v>
      </c>
      <c r="F6168" t="str" cm="1">
        <f t="array" ref="F6168">CategorizeComment(E6168)</f>
        <v>Other</v>
      </c>
      <c r="G6168" t="str" cm="1">
        <f t="array" ref="G6168">SubCategorizeComment(E6168)</f>
        <v>Other</v>
      </c>
    </row>
    <row r="6169" spans="1:7" x14ac:dyDescent="0.25">
      <c r="A6169">
        <v>51767</v>
      </c>
      <c r="B6169" t="s">
        <v>4</v>
      </c>
      <c r="C6169">
        <v>3</v>
      </c>
      <c r="D6169" t="s">
        <v>5</v>
      </c>
      <c r="F6169" t="str" cm="1">
        <f t="array" ref="F6169">CategorizeComment(E6169)</f>
        <v>Other</v>
      </c>
      <c r="G6169" t="str" cm="1">
        <f t="array" ref="G6169">SubCategorizeComment(E6169)</f>
        <v>Other</v>
      </c>
    </row>
    <row r="6170" spans="1:7" x14ac:dyDescent="0.25">
      <c r="A6170">
        <v>51774</v>
      </c>
      <c r="B6170" t="s">
        <v>4</v>
      </c>
      <c r="C6170">
        <v>4</v>
      </c>
      <c r="D6170" t="s">
        <v>5</v>
      </c>
      <c r="F6170" t="str" cm="1">
        <f t="array" ref="F6170">CategorizeComment(E6170)</f>
        <v>Other</v>
      </c>
      <c r="G6170" t="str" cm="1">
        <f t="array" ref="G6170">SubCategorizeComment(E6170)</f>
        <v>Other</v>
      </c>
    </row>
    <row r="6171" spans="1:7" x14ac:dyDescent="0.25">
      <c r="A6171">
        <v>51777</v>
      </c>
      <c r="B6171" t="s">
        <v>4</v>
      </c>
      <c r="C6171">
        <v>4</v>
      </c>
      <c r="D6171" t="s">
        <v>5</v>
      </c>
      <c r="F6171" t="str" cm="1">
        <f t="array" ref="F6171">CategorizeComment(E6171)</f>
        <v>Other</v>
      </c>
      <c r="G6171" t="str" cm="1">
        <f t="array" ref="G6171">SubCategorizeComment(E6171)</f>
        <v>Other</v>
      </c>
    </row>
    <row r="6172" spans="1:7" x14ac:dyDescent="0.25">
      <c r="A6172">
        <v>51788</v>
      </c>
      <c r="B6172" t="s">
        <v>4</v>
      </c>
      <c r="C6172">
        <v>3</v>
      </c>
      <c r="D6172" t="s">
        <v>5</v>
      </c>
      <c r="F6172" t="str" cm="1">
        <f t="array" ref="F6172">CategorizeComment(E6172)</f>
        <v>Other</v>
      </c>
      <c r="G6172" t="str" cm="1">
        <f t="array" ref="G6172">SubCategorizeComment(E6172)</f>
        <v>Other</v>
      </c>
    </row>
    <row r="6173" spans="1:7" x14ac:dyDescent="0.25">
      <c r="A6173">
        <v>51789</v>
      </c>
      <c r="B6173" t="s">
        <v>4</v>
      </c>
      <c r="C6173">
        <v>3</v>
      </c>
      <c r="D6173" t="s">
        <v>5</v>
      </c>
      <c r="F6173" t="str" cm="1">
        <f t="array" ref="F6173">CategorizeComment(E6173)</f>
        <v>Other</v>
      </c>
      <c r="G6173" t="str" cm="1">
        <f t="array" ref="G6173">SubCategorizeComment(E6173)</f>
        <v>Other</v>
      </c>
    </row>
    <row r="6174" spans="1:7" x14ac:dyDescent="0.25">
      <c r="A6174">
        <v>51805</v>
      </c>
      <c r="B6174" t="s">
        <v>4</v>
      </c>
      <c r="C6174">
        <v>3</v>
      </c>
      <c r="D6174" t="s">
        <v>5</v>
      </c>
      <c r="F6174" t="str" cm="1">
        <f t="array" ref="F6174">CategorizeComment(E6174)</f>
        <v>Other</v>
      </c>
      <c r="G6174" t="str" cm="1">
        <f t="array" ref="G6174">SubCategorizeComment(E6174)</f>
        <v>Other</v>
      </c>
    </row>
    <row r="6175" spans="1:7" x14ac:dyDescent="0.25">
      <c r="A6175">
        <v>51833</v>
      </c>
      <c r="B6175" t="s">
        <v>4</v>
      </c>
      <c r="C6175">
        <v>4</v>
      </c>
      <c r="D6175" t="s">
        <v>5</v>
      </c>
      <c r="F6175" t="str" cm="1">
        <f t="array" ref="F6175">CategorizeComment(E6175)</f>
        <v>Other</v>
      </c>
      <c r="G6175" t="str" cm="1">
        <f t="array" ref="G6175">SubCategorizeComment(E6175)</f>
        <v>Other</v>
      </c>
    </row>
    <row r="6176" spans="1:7" x14ac:dyDescent="0.25">
      <c r="A6176">
        <v>51849</v>
      </c>
      <c r="B6176" t="s">
        <v>4</v>
      </c>
      <c r="C6176">
        <v>4</v>
      </c>
      <c r="D6176" t="s">
        <v>5</v>
      </c>
      <c r="F6176" t="str" cm="1">
        <f t="array" ref="F6176">CategorizeComment(E6176)</f>
        <v>Other</v>
      </c>
      <c r="G6176" t="str" cm="1">
        <f t="array" ref="G6176">SubCategorizeComment(E6176)</f>
        <v>Other</v>
      </c>
    </row>
    <row r="6177" spans="1:7" x14ac:dyDescent="0.25">
      <c r="A6177">
        <v>51852</v>
      </c>
      <c r="B6177" t="s">
        <v>4</v>
      </c>
      <c r="C6177">
        <v>3</v>
      </c>
      <c r="D6177" t="s">
        <v>5</v>
      </c>
      <c r="F6177" t="str" cm="1">
        <f t="array" ref="F6177">CategorizeComment(E6177)</f>
        <v>Other</v>
      </c>
      <c r="G6177" t="str" cm="1">
        <f t="array" ref="G6177">SubCategorizeComment(E6177)</f>
        <v>Other</v>
      </c>
    </row>
    <row r="6178" spans="1:7" x14ac:dyDescent="0.25">
      <c r="A6178">
        <v>51853</v>
      </c>
      <c r="B6178" t="s">
        <v>4</v>
      </c>
      <c r="C6178">
        <v>3</v>
      </c>
      <c r="D6178" t="s">
        <v>5</v>
      </c>
      <c r="F6178" t="str" cm="1">
        <f t="array" ref="F6178">CategorizeComment(E6178)</f>
        <v>Other</v>
      </c>
      <c r="G6178" t="str" cm="1">
        <f t="array" ref="G6178">SubCategorizeComment(E6178)</f>
        <v>Other</v>
      </c>
    </row>
    <row r="6179" spans="1:7" x14ac:dyDescent="0.25">
      <c r="A6179">
        <v>51856</v>
      </c>
      <c r="B6179" t="s">
        <v>4</v>
      </c>
      <c r="C6179">
        <v>4</v>
      </c>
      <c r="D6179" t="s">
        <v>5</v>
      </c>
      <c r="F6179" t="str" cm="1">
        <f t="array" ref="F6179">CategorizeComment(E6179)</f>
        <v>Other</v>
      </c>
      <c r="G6179" t="str" cm="1">
        <f t="array" ref="G6179">SubCategorizeComment(E6179)</f>
        <v>Other</v>
      </c>
    </row>
    <row r="6180" spans="1:7" x14ac:dyDescent="0.25">
      <c r="A6180">
        <v>51874</v>
      </c>
      <c r="B6180" t="s">
        <v>4</v>
      </c>
      <c r="C6180">
        <v>3</v>
      </c>
      <c r="D6180" t="s">
        <v>5</v>
      </c>
      <c r="F6180" t="str" cm="1">
        <f t="array" ref="F6180">CategorizeComment(E6180)</f>
        <v>Other</v>
      </c>
      <c r="G6180" t="str" cm="1">
        <f t="array" ref="G6180">SubCategorizeComment(E6180)</f>
        <v>Other</v>
      </c>
    </row>
    <row r="6181" spans="1:7" x14ac:dyDescent="0.25">
      <c r="A6181">
        <v>51877</v>
      </c>
      <c r="B6181" t="s">
        <v>4</v>
      </c>
      <c r="C6181">
        <v>4</v>
      </c>
      <c r="D6181" t="s">
        <v>5</v>
      </c>
      <c r="F6181" t="str" cm="1">
        <f t="array" ref="F6181">CategorizeComment(E6181)</f>
        <v>Other</v>
      </c>
      <c r="G6181" t="str" cm="1">
        <f t="array" ref="G6181">SubCategorizeComment(E6181)</f>
        <v>Other</v>
      </c>
    </row>
    <row r="6182" spans="1:7" x14ac:dyDescent="0.25">
      <c r="A6182">
        <v>51894</v>
      </c>
      <c r="B6182" t="s">
        <v>4</v>
      </c>
      <c r="C6182">
        <v>3</v>
      </c>
      <c r="D6182" t="s">
        <v>5</v>
      </c>
      <c r="F6182" t="str" cm="1">
        <f t="array" ref="F6182">CategorizeComment(E6182)</f>
        <v>Other</v>
      </c>
      <c r="G6182" t="str" cm="1">
        <f t="array" ref="G6182">SubCategorizeComment(E6182)</f>
        <v>Other</v>
      </c>
    </row>
    <row r="6183" spans="1:7" x14ac:dyDescent="0.25">
      <c r="A6183">
        <v>51899</v>
      </c>
      <c r="B6183" t="s">
        <v>4</v>
      </c>
      <c r="C6183">
        <v>3</v>
      </c>
      <c r="D6183" t="s">
        <v>5</v>
      </c>
      <c r="F6183" t="str" cm="1">
        <f t="array" ref="F6183">CategorizeComment(E6183)</f>
        <v>Other</v>
      </c>
      <c r="G6183" t="str" cm="1">
        <f t="array" ref="G6183">SubCategorizeComment(E6183)</f>
        <v>Other</v>
      </c>
    </row>
    <row r="6184" spans="1:7" x14ac:dyDescent="0.25">
      <c r="A6184">
        <v>51903</v>
      </c>
      <c r="B6184" t="s">
        <v>4</v>
      </c>
      <c r="C6184">
        <v>4</v>
      </c>
      <c r="D6184" t="s">
        <v>5</v>
      </c>
      <c r="F6184" t="str" cm="1">
        <f t="array" ref="F6184">CategorizeComment(E6184)</f>
        <v>Other</v>
      </c>
      <c r="G6184" t="str" cm="1">
        <f t="array" ref="G6184">SubCategorizeComment(E6184)</f>
        <v>Other</v>
      </c>
    </row>
    <row r="6185" spans="1:7" x14ac:dyDescent="0.25">
      <c r="A6185">
        <v>51916</v>
      </c>
      <c r="B6185" t="s">
        <v>4</v>
      </c>
      <c r="C6185">
        <v>3</v>
      </c>
      <c r="D6185" t="s">
        <v>5</v>
      </c>
      <c r="F6185" t="str" cm="1">
        <f t="array" ref="F6185">CategorizeComment(E6185)</f>
        <v>Other</v>
      </c>
      <c r="G6185" t="str" cm="1">
        <f t="array" ref="G6185">SubCategorizeComment(E6185)</f>
        <v>Other</v>
      </c>
    </row>
    <row r="6186" spans="1:7" x14ac:dyDescent="0.25">
      <c r="A6186">
        <v>51943</v>
      </c>
      <c r="B6186" t="s">
        <v>4</v>
      </c>
      <c r="C6186">
        <v>3</v>
      </c>
      <c r="D6186" t="s">
        <v>5</v>
      </c>
      <c r="F6186" t="str" cm="1">
        <f t="array" ref="F6186">CategorizeComment(E6186)</f>
        <v>Other</v>
      </c>
      <c r="G6186" t="str" cm="1">
        <f t="array" ref="G6186">SubCategorizeComment(E6186)</f>
        <v>Other</v>
      </c>
    </row>
    <row r="6187" spans="1:7" x14ac:dyDescent="0.25">
      <c r="A6187">
        <v>51976</v>
      </c>
      <c r="B6187" t="s">
        <v>4</v>
      </c>
      <c r="C6187">
        <v>4</v>
      </c>
      <c r="D6187" t="s">
        <v>5</v>
      </c>
      <c r="F6187" t="str" cm="1">
        <f t="array" ref="F6187">CategorizeComment(E6187)</f>
        <v>Other</v>
      </c>
      <c r="G6187" t="str" cm="1">
        <f t="array" ref="G6187">SubCategorizeComment(E6187)</f>
        <v>Other</v>
      </c>
    </row>
    <row r="6188" spans="1:7" x14ac:dyDescent="0.25">
      <c r="A6188">
        <v>51989</v>
      </c>
      <c r="B6188" t="s">
        <v>4</v>
      </c>
      <c r="C6188">
        <v>4</v>
      </c>
      <c r="D6188" t="s">
        <v>5</v>
      </c>
      <c r="F6188" t="str" cm="1">
        <f t="array" ref="F6188">CategorizeComment(E6188)</f>
        <v>Other</v>
      </c>
      <c r="G6188" t="str" cm="1">
        <f t="array" ref="G6188">SubCategorizeComment(E6188)</f>
        <v>Other</v>
      </c>
    </row>
    <row r="6189" spans="1:7" x14ac:dyDescent="0.25">
      <c r="A6189">
        <v>51995</v>
      </c>
      <c r="B6189" t="s">
        <v>4</v>
      </c>
      <c r="C6189">
        <v>4</v>
      </c>
      <c r="D6189" t="s">
        <v>5</v>
      </c>
      <c r="F6189" t="str" cm="1">
        <f t="array" ref="F6189">CategorizeComment(E6189)</f>
        <v>Other</v>
      </c>
      <c r="G6189" t="str" cm="1">
        <f t="array" ref="G6189">SubCategorizeComment(E6189)</f>
        <v>Other</v>
      </c>
    </row>
    <row r="6190" spans="1:7" x14ac:dyDescent="0.25">
      <c r="A6190">
        <v>52013</v>
      </c>
      <c r="B6190" t="s">
        <v>4</v>
      </c>
      <c r="C6190">
        <v>4</v>
      </c>
      <c r="D6190" t="s">
        <v>5</v>
      </c>
      <c r="F6190" t="str" cm="1">
        <f t="array" ref="F6190">CategorizeComment(E6190)</f>
        <v>Other</v>
      </c>
      <c r="G6190" t="str" cm="1">
        <f t="array" ref="G6190">SubCategorizeComment(E6190)</f>
        <v>Other</v>
      </c>
    </row>
    <row r="6191" spans="1:7" x14ac:dyDescent="0.25">
      <c r="A6191">
        <v>52017</v>
      </c>
      <c r="B6191" t="s">
        <v>4</v>
      </c>
      <c r="C6191">
        <v>3</v>
      </c>
      <c r="D6191" t="s">
        <v>5</v>
      </c>
      <c r="F6191" t="str" cm="1">
        <f t="array" ref="F6191">CategorizeComment(E6191)</f>
        <v>Other</v>
      </c>
      <c r="G6191" t="str" cm="1">
        <f t="array" ref="G6191">SubCategorizeComment(E6191)</f>
        <v>Other</v>
      </c>
    </row>
    <row r="6192" spans="1:7" x14ac:dyDescent="0.25">
      <c r="A6192">
        <v>52019</v>
      </c>
      <c r="B6192" t="s">
        <v>4</v>
      </c>
      <c r="C6192">
        <v>3</v>
      </c>
      <c r="D6192" t="s">
        <v>5</v>
      </c>
      <c r="F6192" t="str" cm="1">
        <f t="array" ref="F6192">CategorizeComment(E6192)</f>
        <v>Other</v>
      </c>
      <c r="G6192" t="str" cm="1">
        <f t="array" ref="G6192">SubCategorizeComment(E6192)</f>
        <v>Other</v>
      </c>
    </row>
    <row r="6193" spans="1:7" x14ac:dyDescent="0.25">
      <c r="A6193">
        <v>52022</v>
      </c>
      <c r="B6193" t="s">
        <v>4</v>
      </c>
      <c r="C6193">
        <v>3</v>
      </c>
      <c r="D6193" t="s">
        <v>5</v>
      </c>
      <c r="F6193" t="str" cm="1">
        <f t="array" ref="F6193">CategorizeComment(E6193)</f>
        <v>Other</v>
      </c>
      <c r="G6193" t="str" cm="1">
        <f t="array" ref="G6193">SubCategorizeComment(E6193)</f>
        <v>Other</v>
      </c>
    </row>
    <row r="6194" spans="1:7" x14ac:dyDescent="0.25">
      <c r="A6194">
        <v>52041</v>
      </c>
      <c r="B6194" t="s">
        <v>4</v>
      </c>
      <c r="C6194">
        <v>4</v>
      </c>
      <c r="D6194" t="s">
        <v>5</v>
      </c>
      <c r="F6194" t="str" cm="1">
        <f t="array" ref="F6194">CategorizeComment(E6194)</f>
        <v>Other</v>
      </c>
      <c r="G6194" t="str" cm="1">
        <f t="array" ref="G6194">SubCategorizeComment(E6194)</f>
        <v>Other</v>
      </c>
    </row>
    <row r="6195" spans="1:7" x14ac:dyDescent="0.25">
      <c r="A6195">
        <v>52057</v>
      </c>
      <c r="B6195" t="s">
        <v>4</v>
      </c>
      <c r="C6195">
        <v>3</v>
      </c>
      <c r="D6195" t="s">
        <v>5</v>
      </c>
      <c r="F6195" t="str" cm="1">
        <f t="array" ref="F6195">CategorizeComment(E6195)</f>
        <v>Other</v>
      </c>
      <c r="G6195" t="str" cm="1">
        <f t="array" ref="G6195">SubCategorizeComment(E6195)</f>
        <v>Other</v>
      </c>
    </row>
    <row r="6196" spans="1:7" x14ac:dyDescent="0.25">
      <c r="A6196">
        <v>52065</v>
      </c>
      <c r="B6196" t="s">
        <v>4</v>
      </c>
      <c r="C6196">
        <v>4</v>
      </c>
      <c r="D6196" t="s">
        <v>5</v>
      </c>
      <c r="F6196" t="str" cm="1">
        <f t="array" ref="F6196">CategorizeComment(E6196)</f>
        <v>Other</v>
      </c>
      <c r="G6196" t="str" cm="1">
        <f t="array" ref="G6196">SubCategorizeComment(E6196)</f>
        <v>Other</v>
      </c>
    </row>
    <row r="6197" spans="1:7" x14ac:dyDescent="0.25">
      <c r="A6197">
        <v>52078</v>
      </c>
      <c r="B6197" t="s">
        <v>4</v>
      </c>
      <c r="C6197">
        <v>4</v>
      </c>
      <c r="D6197" t="s">
        <v>5</v>
      </c>
      <c r="F6197" t="str" cm="1">
        <f t="array" ref="F6197">CategorizeComment(E6197)</f>
        <v>Other</v>
      </c>
      <c r="G6197" t="str" cm="1">
        <f t="array" ref="G6197">SubCategorizeComment(E6197)</f>
        <v>Other</v>
      </c>
    </row>
    <row r="6198" spans="1:7" x14ac:dyDescent="0.25">
      <c r="A6198">
        <v>52086</v>
      </c>
      <c r="B6198" t="s">
        <v>4</v>
      </c>
      <c r="C6198">
        <v>3</v>
      </c>
      <c r="D6198" t="s">
        <v>5</v>
      </c>
      <c r="F6198" t="str" cm="1">
        <f t="array" ref="F6198">CategorizeComment(E6198)</f>
        <v>Other</v>
      </c>
      <c r="G6198" t="str" cm="1">
        <f t="array" ref="G6198">SubCategorizeComment(E6198)</f>
        <v>Other</v>
      </c>
    </row>
    <row r="6199" spans="1:7" x14ac:dyDescent="0.25">
      <c r="A6199">
        <v>52087</v>
      </c>
      <c r="B6199" t="s">
        <v>4</v>
      </c>
      <c r="C6199">
        <v>3</v>
      </c>
      <c r="D6199" t="s">
        <v>5</v>
      </c>
      <c r="F6199" t="str" cm="1">
        <f t="array" ref="F6199">CategorizeComment(E6199)</f>
        <v>Other</v>
      </c>
      <c r="G6199" t="str" cm="1">
        <f t="array" ref="G6199">SubCategorizeComment(E6199)</f>
        <v>Other</v>
      </c>
    </row>
    <row r="6200" spans="1:7" x14ac:dyDescent="0.25">
      <c r="A6200">
        <v>52088</v>
      </c>
      <c r="B6200" t="s">
        <v>4</v>
      </c>
      <c r="C6200">
        <v>3</v>
      </c>
      <c r="D6200" t="s">
        <v>5</v>
      </c>
      <c r="F6200" t="str" cm="1">
        <f t="array" ref="F6200">CategorizeComment(E6200)</f>
        <v>Other</v>
      </c>
      <c r="G6200" t="str" cm="1">
        <f t="array" ref="G6200">SubCategorizeComment(E6200)</f>
        <v>Other</v>
      </c>
    </row>
    <row r="6201" spans="1:7" x14ac:dyDescent="0.25">
      <c r="A6201">
        <v>52089</v>
      </c>
      <c r="B6201" t="s">
        <v>4</v>
      </c>
      <c r="C6201">
        <v>3</v>
      </c>
      <c r="D6201" t="s">
        <v>5</v>
      </c>
      <c r="F6201" t="str" cm="1">
        <f t="array" ref="F6201">CategorizeComment(E6201)</f>
        <v>Other</v>
      </c>
      <c r="G6201" t="str" cm="1">
        <f t="array" ref="G6201">SubCategorizeComment(E6201)</f>
        <v>Other</v>
      </c>
    </row>
    <row r="6202" spans="1:7" x14ac:dyDescent="0.25">
      <c r="A6202">
        <v>52098</v>
      </c>
      <c r="B6202" t="s">
        <v>4</v>
      </c>
      <c r="C6202">
        <v>3</v>
      </c>
      <c r="D6202" t="s">
        <v>5</v>
      </c>
      <c r="F6202" t="str" cm="1">
        <f t="array" ref="F6202">CategorizeComment(E6202)</f>
        <v>Other</v>
      </c>
      <c r="G6202" t="str" cm="1">
        <f t="array" ref="G6202">SubCategorizeComment(E6202)</f>
        <v>Other</v>
      </c>
    </row>
    <row r="6203" spans="1:7" x14ac:dyDescent="0.25">
      <c r="A6203">
        <v>52124</v>
      </c>
      <c r="B6203" t="s">
        <v>4</v>
      </c>
      <c r="C6203">
        <v>3</v>
      </c>
      <c r="D6203" t="s">
        <v>5</v>
      </c>
      <c r="F6203" t="str" cm="1">
        <f t="array" ref="F6203">CategorizeComment(E6203)</f>
        <v>Other</v>
      </c>
      <c r="G6203" t="str" cm="1">
        <f t="array" ref="G6203">SubCategorizeComment(E6203)</f>
        <v>Other</v>
      </c>
    </row>
    <row r="6204" spans="1:7" x14ac:dyDescent="0.25">
      <c r="A6204">
        <v>52132</v>
      </c>
      <c r="B6204" t="s">
        <v>4</v>
      </c>
      <c r="C6204">
        <v>3</v>
      </c>
      <c r="D6204" t="s">
        <v>5</v>
      </c>
      <c r="F6204" t="str" cm="1">
        <f t="array" ref="F6204">CategorizeComment(E6204)</f>
        <v>Other</v>
      </c>
      <c r="G6204" t="str" cm="1">
        <f t="array" ref="G6204">SubCategorizeComment(E6204)</f>
        <v>Other</v>
      </c>
    </row>
    <row r="6205" spans="1:7" x14ac:dyDescent="0.25">
      <c r="A6205">
        <v>52152</v>
      </c>
      <c r="B6205" t="s">
        <v>4</v>
      </c>
      <c r="C6205">
        <v>3</v>
      </c>
      <c r="D6205" t="s">
        <v>5</v>
      </c>
      <c r="F6205" t="str" cm="1">
        <f t="array" ref="F6205">CategorizeComment(E6205)</f>
        <v>Other</v>
      </c>
      <c r="G6205" t="str" cm="1">
        <f t="array" ref="G6205">SubCategorizeComment(E6205)</f>
        <v>Other</v>
      </c>
    </row>
    <row r="6206" spans="1:7" x14ac:dyDescent="0.25">
      <c r="A6206">
        <v>52154</v>
      </c>
      <c r="B6206" t="s">
        <v>4</v>
      </c>
      <c r="C6206">
        <v>4</v>
      </c>
      <c r="D6206" t="s">
        <v>5</v>
      </c>
      <c r="F6206" t="str" cm="1">
        <f t="array" ref="F6206">CategorizeComment(E6206)</f>
        <v>Other</v>
      </c>
      <c r="G6206" t="str" cm="1">
        <f t="array" ref="G6206">SubCategorizeComment(E6206)</f>
        <v>Other</v>
      </c>
    </row>
    <row r="6207" spans="1:7" x14ac:dyDescent="0.25">
      <c r="A6207">
        <v>52198</v>
      </c>
      <c r="B6207" t="s">
        <v>4</v>
      </c>
      <c r="C6207">
        <v>4</v>
      </c>
      <c r="D6207" t="s">
        <v>5</v>
      </c>
      <c r="F6207" t="str" cm="1">
        <f t="array" ref="F6207">CategorizeComment(E6207)</f>
        <v>Other</v>
      </c>
      <c r="G6207" t="str" cm="1">
        <f t="array" ref="G6207">SubCategorizeComment(E6207)</f>
        <v>Other</v>
      </c>
    </row>
    <row r="6208" spans="1:7" x14ac:dyDescent="0.25">
      <c r="A6208">
        <v>52205</v>
      </c>
      <c r="B6208" t="s">
        <v>4</v>
      </c>
      <c r="C6208">
        <v>3</v>
      </c>
      <c r="D6208" t="s">
        <v>5</v>
      </c>
      <c r="F6208" t="str" cm="1">
        <f t="array" ref="F6208">CategorizeComment(E6208)</f>
        <v>Other</v>
      </c>
      <c r="G6208" t="str" cm="1">
        <f t="array" ref="G6208">SubCategorizeComment(E6208)</f>
        <v>Other</v>
      </c>
    </row>
    <row r="6209" spans="1:7" x14ac:dyDescent="0.25">
      <c r="A6209">
        <v>52213</v>
      </c>
      <c r="B6209" t="s">
        <v>4</v>
      </c>
      <c r="C6209">
        <v>4</v>
      </c>
      <c r="D6209" t="s">
        <v>5</v>
      </c>
      <c r="F6209" t="str" cm="1">
        <f t="array" ref="F6209">CategorizeComment(E6209)</f>
        <v>Other</v>
      </c>
      <c r="G6209" t="str" cm="1">
        <f t="array" ref="G6209">SubCategorizeComment(E6209)</f>
        <v>Other</v>
      </c>
    </row>
    <row r="6210" spans="1:7" x14ac:dyDescent="0.25">
      <c r="A6210">
        <v>52243</v>
      </c>
      <c r="B6210" t="s">
        <v>4</v>
      </c>
      <c r="C6210">
        <v>3</v>
      </c>
      <c r="D6210" t="s">
        <v>5</v>
      </c>
      <c r="F6210" t="str" cm="1">
        <f t="array" ref="F6210">CategorizeComment(E6210)</f>
        <v>Other</v>
      </c>
      <c r="G6210" t="str" cm="1">
        <f t="array" ref="G6210">SubCategorizeComment(E6210)</f>
        <v>Other</v>
      </c>
    </row>
    <row r="6211" spans="1:7" x14ac:dyDescent="0.25">
      <c r="A6211">
        <v>52257</v>
      </c>
      <c r="B6211" t="s">
        <v>4</v>
      </c>
      <c r="C6211">
        <v>3</v>
      </c>
      <c r="D6211" t="s">
        <v>5</v>
      </c>
      <c r="F6211" t="str" cm="1">
        <f t="array" ref="F6211">CategorizeComment(E6211)</f>
        <v>Other</v>
      </c>
      <c r="G6211" t="str" cm="1">
        <f t="array" ref="G6211">SubCategorizeComment(E6211)</f>
        <v>Other</v>
      </c>
    </row>
    <row r="6212" spans="1:7" x14ac:dyDescent="0.25">
      <c r="A6212">
        <v>52262</v>
      </c>
      <c r="B6212" t="s">
        <v>4</v>
      </c>
      <c r="C6212">
        <v>4</v>
      </c>
      <c r="D6212" t="s">
        <v>5</v>
      </c>
      <c r="F6212" t="str" cm="1">
        <f t="array" ref="F6212">CategorizeComment(E6212)</f>
        <v>Other</v>
      </c>
      <c r="G6212" t="str" cm="1">
        <f t="array" ref="G6212">SubCategorizeComment(E6212)</f>
        <v>Other</v>
      </c>
    </row>
    <row r="6213" spans="1:7" x14ac:dyDescent="0.25">
      <c r="A6213">
        <v>52267</v>
      </c>
      <c r="B6213" t="s">
        <v>4</v>
      </c>
      <c r="C6213">
        <v>4</v>
      </c>
      <c r="D6213" t="s">
        <v>5</v>
      </c>
      <c r="F6213" t="str" cm="1">
        <f t="array" ref="F6213">CategorizeComment(E6213)</f>
        <v>Other</v>
      </c>
      <c r="G6213" t="str" cm="1">
        <f t="array" ref="G6213">SubCategorizeComment(E6213)</f>
        <v>Other</v>
      </c>
    </row>
    <row r="6214" spans="1:7" x14ac:dyDescent="0.25">
      <c r="A6214">
        <v>52278</v>
      </c>
      <c r="B6214" t="s">
        <v>4</v>
      </c>
      <c r="C6214">
        <v>4</v>
      </c>
      <c r="D6214" t="s">
        <v>5</v>
      </c>
      <c r="F6214" t="str" cm="1">
        <f t="array" ref="F6214">CategorizeComment(E6214)</f>
        <v>Other</v>
      </c>
      <c r="G6214" t="str" cm="1">
        <f t="array" ref="G6214">SubCategorizeComment(E6214)</f>
        <v>Other</v>
      </c>
    </row>
    <row r="6215" spans="1:7" x14ac:dyDescent="0.25">
      <c r="A6215">
        <v>52290</v>
      </c>
      <c r="B6215" t="s">
        <v>4</v>
      </c>
      <c r="C6215">
        <v>3</v>
      </c>
      <c r="D6215" t="s">
        <v>5</v>
      </c>
      <c r="F6215" t="str" cm="1">
        <f t="array" ref="F6215">CategorizeComment(E6215)</f>
        <v>Other</v>
      </c>
      <c r="G6215" t="str" cm="1">
        <f t="array" ref="G6215">SubCategorizeComment(E6215)</f>
        <v>Other</v>
      </c>
    </row>
    <row r="6216" spans="1:7" x14ac:dyDescent="0.25">
      <c r="A6216">
        <v>52298</v>
      </c>
      <c r="B6216" t="s">
        <v>4</v>
      </c>
      <c r="C6216">
        <v>3</v>
      </c>
      <c r="D6216" t="s">
        <v>5</v>
      </c>
      <c r="F6216" t="str" cm="1">
        <f t="array" ref="F6216">CategorizeComment(E6216)</f>
        <v>Other</v>
      </c>
      <c r="G6216" t="str" cm="1">
        <f t="array" ref="G6216">SubCategorizeComment(E6216)</f>
        <v>Other</v>
      </c>
    </row>
    <row r="6217" spans="1:7" x14ac:dyDescent="0.25">
      <c r="A6217">
        <v>52303</v>
      </c>
      <c r="B6217" t="s">
        <v>4</v>
      </c>
      <c r="C6217">
        <v>3</v>
      </c>
      <c r="D6217" t="s">
        <v>5</v>
      </c>
      <c r="F6217" t="str" cm="1">
        <f t="array" ref="F6217">CategorizeComment(E6217)</f>
        <v>Other</v>
      </c>
      <c r="G6217" t="str" cm="1">
        <f t="array" ref="G6217">SubCategorizeComment(E6217)</f>
        <v>Other</v>
      </c>
    </row>
    <row r="6218" spans="1:7" x14ac:dyDescent="0.25">
      <c r="A6218">
        <v>52304</v>
      </c>
      <c r="B6218" t="s">
        <v>4</v>
      </c>
      <c r="C6218">
        <v>3</v>
      </c>
      <c r="D6218" t="s">
        <v>5</v>
      </c>
      <c r="F6218" t="str" cm="1">
        <f t="array" ref="F6218">CategorizeComment(E6218)</f>
        <v>Other</v>
      </c>
      <c r="G6218" t="str" cm="1">
        <f t="array" ref="G6218">SubCategorizeComment(E6218)</f>
        <v>Other</v>
      </c>
    </row>
    <row r="6219" spans="1:7" x14ac:dyDescent="0.25">
      <c r="A6219">
        <v>52310</v>
      </c>
      <c r="B6219" t="s">
        <v>4</v>
      </c>
      <c r="C6219">
        <v>4</v>
      </c>
      <c r="D6219" t="s">
        <v>5</v>
      </c>
      <c r="F6219" t="str" cm="1">
        <f t="array" ref="F6219">CategorizeComment(E6219)</f>
        <v>Other</v>
      </c>
      <c r="G6219" t="str" cm="1">
        <f t="array" ref="G6219">SubCategorizeComment(E6219)</f>
        <v>Other</v>
      </c>
    </row>
    <row r="6220" spans="1:7" x14ac:dyDescent="0.25">
      <c r="A6220">
        <v>52317</v>
      </c>
      <c r="B6220" t="s">
        <v>4</v>
      </c>
      <c r="C6220">
        <v>3</v>
      </c>
      <c r="D6220" t="s">
        <v>5</v>
      </c>
      <c r="F6220" t="str" cm="1">
        <f t="array" ref="F6220">CategorizeComment(E6220)</f>
        <v>Other</v>
      </c>
      <c r="G6220" t="str" cm="1">
        <f t="array" ref="G6220">SubCategorizeComment(E6220)</f>
        <v>Other</v>
      </c>
    </row>
    <row r="6221" spans="1:7" x14ac:dyDescent="0.25">
      <c r="A6221">
        <v>52319</v>
      </c>
      <c r="B6221" t="s">
        <v>4</v>
      </c>
      <c r="C6221">
        <v>4</v>
      </c>
      <c r="D6221" t="s">
        <v>5</v>
      </c>
      <c r="F6221" t="str" cm="1">
        <f t="array" ref="F6221">CategorizeComment(E6221)</f>
        <v>Other</v>
      </c>
      <c r="G6221" t="str" cm="1">
        <f t="array" ref="G6221">SubCategorizeComment(E6221)</f>
        <v>Other</v>
      </c>
    </row>
    <row r="6222" spans="1:7" x14ac:dyDescent="0.25">
      <c r="A6222">
        <v>52326</v>
      </c>
      <c r="B6222" t="s">
        <v>4</v>
      </c>
      <c r="C6222">
        <v>4</v>
      </c>
      <c r="D6222" t="s">
        <v>5</v>
      </c>
      <c r="F6222" t="str" cm="1">
        <f t="array" ref="F6222">CategorizeComment(E6222)</f>
        <v>Other</v>
      </c>
      <c r="G6222" t="str" cm="1">
        <f t="array" ref="G6222">SubCategorizeComment(E6222)</f>
        <v>Other</v>
      </c>
    </row>
    <row r="6223" spans="1:7" x14ac:dyDescent="0.25">
      <c r="A6223">
        <v>52329</v>
      </c>
      <c r="B6223" t="s">
        <v>4</v>
      </c>
      <c r="C6223">
        <v>4</v>
      </c>
      <c r="D6223" t="s">
        <v>5</v>
      </c>
      <c r="F6223" t="str" cm="1">
        <f t="array" ref="F6223">CategorizeComment(E6223)</f>
        <v>Other</v>
      </c>
      <c r="G6223" t="str" cm="1">
        <f t="array" ref="G6223">SubCategorizeComment(E6223)</f>
        <v>Other</v>
      </c>
    </row>
    <row r="6224" spans="1:7" x14ac:dyDescent="0.25">
      <c r="A6224">
        <v>52335</v>
      </c>
      <c r="B6224" t="s">
        <v>4</v>
      </c>
      <c r="C6224">
        <v>4</v>
      </c>
      <c r="D6224" t="s">
        <v>5</v>
      </c>
      <c r="F6224" t="str" cm="1">
        <f t="array" ref="F6224">CategorizeComment(E6224)</f>
        <v>Other</v>
      </c>
      <c r="G6224" t="str" cm="1">
        <f t="array" ref="G6224">SubCategorizeComment(E6224)</f>
        <v>Other</v>
      </c>
    </row>
    <row r="6225" spans="1:7" x14ac:dyDescent="0.25">
      <c r="A6225">
        <v>52337</v>
      </c>
      <c r="B6225" t="s">
        <v>4</v>
      </c>
      <c r="C6225">
        <v>4</v>
      </c>
      <c r="D6225" t="s">
        <v>5</v>
      </c>
      <c r="F6225" t="str" cm="1">
        <f t="array" ref="F6225">CategorizeComment(E6225)</f>
        <v>Other</v>
      </c>
      <c r="G6225" t="str" cm="1">
        <f t="array" ref="G6225">SubCategorizeComment(E6225)</f>
        <v>Other</v>
      </c>
    </row>
    <row r="6226" spans="1:7" x14ac:dyDescent="0.25">
      <c r="A6226">
        <v>52349</v>
      </c>
      <c r="B6226" t="s">
        <v>4</v>
      </c>
      <c r="C6226">
        <v>4</v>
      </c>
      <c r="D6226" t="s">
        <v>5</v>
      </c>
      <c r="F6226" t="str" cm="1">
        <f t="array" ref="F6226">CategorizeComment(E6226)</f>
        <v>Other</v>
      </c>
      <c r="G6226" t="str" cm="1">
        <f t="array" ref="G6226">SubCategorizeComment(E6226)</f>
        <v>Other</v>
      </c>
    </row>
    <row r="6227" spans="1:7" x14ac:dyDescent="0.25">
      <c r="A6227">
        <v>52378</v>
      </c>
      <c r="B6227" t="s">
        <v>4</v>
      </c>
      <c r="C6227">
        <v>4</v>
      </c>
      <c r="D6227" t="s">
        <v>5</v>
      </c>
      <c r="F6227" t="str" cm="1">
        <f t="array" ref="F6227">CategorizeComment(E6227)</f>
        <v>Other</v>
      </c>
      <c r="G6227" t="str" cm="1">
        <f t="array" ref="G6227">SubCategorizeComment(E6227)</f>
        <v>Other</v>
      </c>
    </row>
    <row r="6228" spans="1:7" x14ac:dyDescent="0.25">
      <c r="A6228">
        <v>52386</v>
      </c>
      <c r="B6228" t="s">
        <v>4</v>
      </c>
      <c r="C6228">
        <v>4</v>
      </c>
      <c r="D6228" t="s">
        <v>5</v>
      </c>
      <c r="F6228" t="str" cm="1">
        <f t="array" ref="F6228">CategorizeComment(E6228)</f>
        <v>Other</v>
      </c>
      <c r="G6228" t="str" cm="1">
        <f t="array" ref="G6228">SubCategorizeComment(E6228)</f>
        <v>Other</v>
      </c>
    </row>
    <row r="6229" spans="1:7" x14ac:dyDescent="0.25">
      <c r="A6229">
        <v>52403</v>
      </c>
      <c r="B6229" t="s">
        <v>4</v>
      </c>
      <c r="C6229">
        <v>3</v>
      </c>
      <c r="D6229" t="s">
        <v>5</v>
      </c>
      <c r="F6229" t="str" cm="1">
        <f t="array" ref="F6229">CategorizeComment(E6229)</f>
        <v>Other</v>
      </c>
      <c r="G6229" t="str" cm="1">
        <f t="array" ref="G6229">SubCategorizeComment(E6229)</f>
        <v>Other</v>
      </c>
    </row>
    <row r="6230" spans="1:7" x14ac:dyDescent="0.25">
      <c r="A6230">
        <v>52406</v>
      </c>
      <c r="B6230" t="s">
        <v>4</v>
      </c>
      <c r="C6230">
        <v>4</v>
      </c>
      <c r="D6230" t="s">
        <v>5</v>
      </c>
      <c r="F6230" t="str" cm="1">
        <f t="array" ref="F6230">CategorizeComment(E6230)</f>
        <v>Other</v>
      </c>
      <c r="G6230" t="str" cm="1">
        <f t="array" ref="G6230">SubCategorizeComment(E6230)</f>
        <v>Other</v>
      </c>
    </row>
    <row r="6231" spans="1:7" x14ac:dyDescent="0.25">
      <c r="A6231">
        <v>52411</v>
      </c>
      <c r="B6231" t="s">
        <v>4</v>
      </c>
      <c r="C6231">
        <v>4</v>
      </c>
      <c r="D6231" t="s">
        <v>5</v>
      </c>
      <c r="F6231" t="str" cm="1">
        <f t="array" ref="F6231">CategorizeComment(E6231)</f>
        <v>Other</v>
      </c>
      <c r="G6231" t="str" cm="1">
        <f t="array" ref="G6231">SubCategorizeComment(E6231)</f>
        <v>Other</v>
      </c>
    </row>
    <row r="6232" spans="1:7" x14ac:dyDescent="0.25">
      <c r="A6232">
        <v>52412</v>
      </c>
      <c r="B6232" t="s">
        <v>4</v>
      </c>
      <c r="C6232">
        <v>4</v>
      </c>
      <c r="D6232" t="s">
        <v>5</v>
      </c>
      <c r="F6232" t="str" cm="1">
        <f t="array" ref="F6232">CategorizeComment(E6232)</f>
        <v>Other</v>
      </c>
      <c r="G6232" t="str" cm="1">
        <f t="array" ref="G6232">SubCategorizeComment(E6232)</f>
        <v>Other</v>
      </c>
    </row>
    <row r="6233" spans="1:7" x14ac:dyDescent="0.25">
      <c r="A6233">
        <v>52426</v>
      </c>
      <c r="B6233" t="s">
        <v>4</v>
      </c>
      <c r="C6233">
        <v>3</v>
      </c>
      <c r="D6233" t="s">
        <v>5</v>
      </c>
      <c r="F6233" t="str" cm="1">
        <f t="array" ref="F6233">CategorizeComment(E6233)</f>
        <v>Other</v>
      </c>
      <c r="G6233" t="str" cm="1">
        <f t="array" ref="G6233">SubCategorizeComment(E6233)</f>
        <v>Other</v>
      </c>
    </row>
    <row r="6234" spans="1:7" x14ac:dyDescent="0.25">
      <c r="A6234">
        <v>52429</v>
      </c>
      <c r="B6234" t="s">
        <v>4</v>
      </c>
      <c r="C6234">
        <v>3</v>
      </c>
      <c r="D6234" t="s">
        <v>5</v>
      </c>
      <c r="F6234" t="str" cm="1">
        <f t="array" ref="F6234">CategorizeComment(E6234)</f>
        <v>Other</v>
      </c>
      <c r="G6234" t="str" cm="1">
        <f t="array" ref="G6234">SubCategorizeComment(E6234)</f>
        <v>Other</v>
      </c>
    </row>
    <row r="6235" spans="1:7" x14ac:dyDescent="0.25">
      <c r="A6235">
        <v>52436</v>
      </c>
      <c r="B6235" t="s">
        <v>4</v>
      </c>
      <c r="C6235">
        <v>4</v>
      </c>
      <c r="D6235" t="s">
        <v>5</v>
      </c>
      <c r="F6235" t="str" cm="1">
        <f t="array" ref="F6235">CategorizeComment(E6235)</f>
        <v>Other</v>
      </c>
      <c r="G6235" t="str" cm="1">
        <f t="array" ref="G6235">SubCategorizeComment(E6235)</f>
        <v>Other</v>
      </c>
    </row>
    <row r="6236" spans="1:7" x14ac:dyDescent="0.25">
      <c r="A6236">
        <v>52437</v>
      </c>
      <c r="B6236" t="s">
        <v>4</v>
      </c>
      <c r="C6236">
        <v>4</v>
      </c>
      <c r="D6236" t="s">
        <v>5</v>
      </c>
      <c r="F6236" t="str" cm="1">
        <f t="array" ref="F6236">CategorizeComment(E6236)</f>
        <v>Other</v>
      </c>
      <c r="G6236" t="str" cm="1">
        <f t="array" ref="G6236">SubCategorizeComment(E6236)</f>
        <v>Other</v>
      </c>
    </row>
    <row r="6237" spans="1:7" x14ac:dyDescent="0.25">
      <c r="A6237">
        <v>52449</v>
      </c>
      <c r="B6237" t="s">
        <v>4</v>
      </c>
      <c r="C6237">
        <v>4</v>
      </c>
      <c r="D6237" t="s">
        <v>5</v>
      </c>
      <c r="F6237" t="str" cm="1">
        <f t="array" ref="F6237">CategorizeComment(E6237)</f>
        <v>Other</v>
      </c>
      <c r="G6237" t="str" cm="1">
        <f t="array" ref="G6237">SubCategorizeComment(E6237)</f>
        <v>Other</v>
      </c>
    </row>
    <row r="6238" spans="1:7" x14ac:dyDescent="0.25">
      <c r="A6238">
        <v>52465</v>
      </c>
      <c r="B6238" t="s">
        <v>4</v>
      </c>
      <c r="C6238">
        <v>3</v>
      </c>
      <c r="D6238" t="s">
        <v>5</v>
      </c>
      <c r="F6238" t="str" cm="1">
        <f t="array" ref="F6238">CategorizeComment(E6238)</f>
        <v>Other</v>
      </c>
      <c r="G6238" t="str" cm="1">
        <f t="array" ref="G6238">SubCategorizeComment(E6238)</f>
        <v>Other</v>
      </c>
    </row>
    <row r="6239" spans="1:7" x14ac:dyDescent="0.25">
      <c r="A6239">
        <v>52473</v>
      </c>
      <c r="B6239" t="s">
        <v>4</v>
      </c>
      <c r="C6239">
        <v>3</v>
      </c>
      <c r="D6239" t="s">
        <v>5</v>
      </c>
      <c r="F6239" t="str" cm="1">
        <f t="array" ref="F6239">CategorizeComment(E6239)</f>
        <v>Other</v>
      </c>
      <c r="G6239" t="str" cm="1">
        <f t="array" ref="G6239">SubCategorizeComment(E6239)</f>
        <v>Other</v>
      </c>
    </row>
    <row r="6240" spans="1:7" x14ac:dyDescent="0.25">
      <c r="A6240">
        <v>52476</v>
      </c>
      <c r="B6240" t="s">
        <v>4</v>
      </c>
      <c r="C6240">
        <v>3</v>
      </c>
      <c r="D6240" t="s">
        <v>5</v>
      </c>
      <c r="F6240" t="str" cm="1">
        <f t="array" ref="F6240">CategorizeComment(E6240)</f>
        <v>Other</v>
      </c>
      <c r="G6240" t="str" cm="1">
        <f t="array" ref="G6240">SubCategorizeComment(E6240)</f>
        <v>Other</v>
      </c>
    </row>
    <row r="6241" spans="1:7" x14ac:dyDescent="0.25">
      <c r="A6241">
        <v>52487</v>
      </c>
      <c r="B6241" t="s">
        <v>4</v>
      </c>
      <c r="C6241">
        <v>4</v>
      </c>
      <c r="D6241" t="s">
        <v>5</v>
      </c>
      <c r="F6241" t="str" cm="1">
        <f t="array" ref="F6241">CategorizeComment(E6241)</f>
        <v>Other</v>
      </c>
      <c r="G6241" t="str" cm="1">
        <f t="array" ref="G6241">SubCategorizeComment(E6241)</f>
        <v>Other</v>
      </c>
    </row>
    <row r="6242" spans="1:7" x14ac:dyDescent="0.25">
      <c r="A6242">
        <v>52501</v>
      </c>
      <c r="B6242" t="s">
        <v>4</v>
      </c>
      <c r="C6242">
        <v>4</v>
      </c>
      <c r="D6242" t="s">
        <v>5</v>
      </c>
      <c r="F6242" t="str" cm="1">
        <f t="array" ref="F6242">CategorizeComment(E6242)</f>
        <v>Other</v>
      </c>
      <c r="G6242" t="str" cm="1">
        <f t="array" ref="G6242">SubCategorizeComment(E6242)</f>
        <v>Other</v>
      </c>
    </row>
    <row r="6243" spans="1:7" x14ac:dyDescent="0.25">
      <c r="A6243">
        <v>52508</v>
      </c>
      <c r="B6243" t="s">
        <v>4</v>
      </c>
      <c r="C6243">
        <v>3</v>
      </c>
      <c r="D6243" t="s">
        <v>5</v>
      </c>
      <c r="F6243" t="str" cm="1">
        <f t="array" ref="F6243">CategorizeComment(E6243)</f>
        <v>Other</v>
      </c>
      <c r="G6243" t="str" cm="1">
        <f t="array" ref="G6243">SubCategorizeComment(E6243)</f>
        <v>Other</v>
      </c>
    </row>
    <row r="6244" spans="1:7" x14ac:dyDescent="0.25">
      <c r="A6244">
        <v>52548</v>
      </c>
      <c r="B6244" t="s">
        <v>4</v>
      </c>
      <c r="C6244">
        <v>4</v>
      </c>
      <c r="D6244" t="s">
        <v>5</v>
      </c>
      <c r="F6244" t="str" cm="1">
        <f t="array" ref="F6244">CategorizeComment(E6244)</f>
        <v>Other</v>
      </c>
      <c r="G6244" t="str" cm="1">
        <f t="array" ref="G6244">SubCategorizeComment(E6244)</f>
        <v>Other</v>
      </c>
    </row>
    <row r="6245" spans="1:7" x14ac:dyDescent="0.25">
      <c r="A6245">
        <v>52585</v>
      </c>
      <c r="B6245" t="s">
        <v>4</v>
      </c>
      <c r="C6245">
        <v>4</v>
      </c>
      <c r="D6245" t="s">
        <v>5</v>
      </c>
      <c r="F6245" t="str" cm="1">
        <f t="array" ref="F6245">CategorizeComment(E6245)</f>
        <v>Other</v>
      </c>
      <c r="G6245" t="str" cm="1">
        <f t="array" ref="G6245">SubCategorizeComment(E6245)</f>
        <v>Other</v>
      </c>
    </row>
    <row r="6246" spans="1:7" x14ac:dyDescent="0.25">
      <c r="A6246">
        <v>52588</v>
      </c>
      <c r="B6246" t="s">
        <v>4</v>
      </c>
      <c r="C6246">
        <v>3</v>
      </c>
      <c r="D6246" t="s">
        <v>5</v>
      </c>
      <c r="F6246" t="str" cm="1">
        <f t="array" ref="F6246">CategorizeComment(E6246)</f>
        <v>Other</v>
      </c>
      <c r="G6246" t="str" cm="1">
        <f t="array" ref="G6246">SubCategorizeComment(E6246)</f>
        <v>Other</v>
      </c>
    </row>
    <row r="6247" spans="1:7" x14ac:dyDescent="0.25">
      <c r="A6247">
        <v>52592</v>
      </c>
      <c r="B6247" t="s">
        <v>4</v>
      </c>
      <c r="C6247">
        <v>4</v>
      </c>
      <c r="D6247" t="s">
        <v>5</v>
      </c>
      <c r="F6247" t="str" cm="1">
        <f t="array" ref="F6247">CategorizeComment(E6247)</f>
        <v>Other</v>
      </c>
      <c r="G6247" t="str" cm="1">
        <f t="array" ref="G6247">SubCategorizeComment(E6247)</f>
        <v>Other</v>
      </c>
    </row>
    <row r="6248" spans="1:7" x14ac:dyDescent="0.25">
      <c r="A6248">
        <v>52599</v>
      </c>
      <c r="B6248" t="s">
        <v>4</v>
      </c>
      <c r="C6248">
        <v>3</v>
      </c>
      <c r="D6248" t="s">
        <v>5</v>
      </c>
      <c r="F6248" t="str" cm="1">
        <f t="array" ref="F6248">CategorizeComment(E6248)</f>
        <v>Other</v>
      </c>
      <c r="G6248" t="str" cm="1">
        <f t="array" ref="G6248">SubCategorizeComment(E6248)</f>
        <v>Other</v>
      </c>
    </row>
    <row r="6249" spans="1:7" x14ac:dyDescent="0.25">
      <c r="A6249">
        <v>52607</v>
      </c>
      <c r="B6249" t="s">
        <v>4</v>
      </c>
      <c r="C6249">
        <v>4</v>
      </c>
      <c r="D6249" t="s">
        <v>5</v>
      </c>
      <c r="F6249" t="str" cm="1">
        <f t="array" ref="F6249">CategorizeComment(E6249)</f>
        <v>Other</v>
      </c>
      <c r="G6249" t="str" cm="1">
        <f t="array" ref="G6249">SubCategorizeComment(E6249)</f>
        <v>Other</v>
      </c>
    </row>
    <row r="6250" spans="1:7" x14ac:dyDescent="0.25">
      <c r="A6250">
        <v>52614</v>
      </c>
      <c r="B6250" t="s">
        <v>4</v>
      </c>
      <c r="C6250">
        <v>4</v>
      </c>
      <c r="D6250" t="s">
        <v>5</v>
      </c>
      <c r="F6250" t="str" cm="1">
        <f t="array" ref="F6250">CategorizeComment(E6250)</f>
        <v>Other</v>
      </c>
      <c r="G6250" t="str" cm="1">
        <f t="array" ref="G6250">SubCategorizeComment(E6250)</f>
        <v>Other</v>
      </c>
    </row>
    <row r="6251" spans="1:7" x14ac:dyDescent="0.25">
      <c r="A6251">
        <v>52632</v>
      </c>
      <c r="B6251" t="s">
        <v>4</v>
      </c>
      <c r="C6251">
        <v>4</v>
      </c>
      <c r="D6251" t="s">
        <v>5</v>
      </c>
      <c r="F6251" t="str" cm="1">
        <f t="array" ref="F6251">CategorizeComment(E6251)</f>
        <v>Other</v>
      </c>
      <c r="G6251" t="str" cm="1">
        <f t="array" ref="G6251">SubCategorizeComment(E6251)</f>
        <v>Other</v>
      </c>
    </row>
    <row r="6252" spans="1:7" x14ac:dyDescent="0.25">
      <c r="A6252">
        <v>52636</v>
      </c>
      <c r="B6252" t="s">
        <v>4</v>
      </c>
      <c r="C6252">
        <v>4</v>
      </c>
      <c r="D6252" t="s">
        <v>5</v>
      </c>
      <c r="F6252" t="str" cm="1">
        <f t="array" ref="F6252">CategorizeComment(E6252)</f>
        <v>Other</v>
      </c>
      <c r="G6252" t="str" cm="1">
        <f t="array" ref="G6252">SubCategorizeComment(E6252)</f>
        <v>Other</v>
      </c>
    </row>
    <row r="6253" spans="1:7" x14ac:dyDescent="0.25">
      <c r="A6253">
        <v>52647</v>
      </c>
      <c r="B6253" t="s">
        <v>4</v>
      </c>
      <c r="C6253">
        <v>4</v>
      </c>
      <c r="D6253" t="s">
        <v>5</v>
      </c>
      <c r="F6253" t="str" cm="1">
        <f t="array" ref="F6253">CategorizeComment(E6253)</f>
        <v>Other</v>
      </c>
      <c r="G6253" t="str" cm="1">
        <f t="array" ref="G6253">SubCategorizeComment(E6253)</f>
        <v>Other</v>
      </c>
    </row>
    <row r="6254" spans="1:7" x14ac:dyDescent="0.25">
      <c r="A6254">
        <v>52652</v>
      </c>
      <c r="B6254" t="s">
        <v>4</v>
      </c>
      <c r="C6254">
        <v>4</v>
      </c>
      <c r="D6254" t="s">
        <v>5</v>
      </c>
      <c r="F6254" t="str" cm="1">
        <f t="array" ref="F6254">CategorizeComment(E6254)</f>
        <v>Other</v>
      </c>
      <c r="G6254" t="str" cm="1">
        <f t="array" ref="G6254">SubCategorizeComment(E6254)</f>
        <v>Other</v>
      </c>
    </row>
    <row r="6255" spans="1:7" x14ac:dyDescent="0.25">
      <c r="A6255">
        <v>52655</v>
      </c>
      <c r="B6255" t="s">
        <v>4</v>
      </c>
      <c r="C6255">
        <v>4</v>
      </c>
      <c r="D6255" t="s">
        <v>5</v>
      </c>
      <c r="F6255" t="str" cm="1">
        <f t="array" ref="F6255">CategorizeComment(E6255)</f>
        <v>Other</v>
      </c>
      <c r="G6255" t="str" cm="1">
        <f t="array" ref="G6255">SubCategorizeComment(E6255)</f>
        <v>Other</v>
      </c>
    </row>
    <row r="6256" spans="1:7" x14ac:dyDescent="0.25">
      <c r="A6256">
        <v>52672</v>
      </c>
      <c r="B6256" t="s">
        <v>4</v>
      </c>
      <c r="C6256">
        <v>4</v>
      </c>
      <c r="D6256" t="s">
        <v>5</v>
      </c>
      <c r="F6256" t="str" cm="1">
        <f t="array" ref="F6256">CategorizeComment(E6256)</f>
        <v>Other</v>
      </c>
      <c r="G6256" t="str" cm="1">
        <f t="array" ref="G6256">SubCategorizeComment(E6256)</f>
        <v>Other</v>
      </c>
    </row>
    <row r="6257" spans="1:7" x14ac:dyDescent="0.25">
      <c r="A6257">
        <v>52681</v>
      </c>
      <c r="B6257" t="s">
        <v>4</v>
      </c>
      <c r="C6257">
        <v>4</v>
      </c>
      <c r="D6257" t="s">
        <v>5</v>
      </c>
      <c r="F6257" t="str" cm="1">
        <f t="array" ref="F6257">CategorizeComment(E6257)</f>
        <v>Other</v>
      </c>
      <c r="G6257" t="str" cm="1">
        <f t="array" ref="G6257">SubCategorizeComment(E6257)</f>
        <v>Other</v>
      </c>
    </row>
    <row r="6258" spans="1:7" x14ac:dyDescent="0.25">
      <c r="A6258">
        <v>52683</v>
      </c>
      <c r="B6258" t="s">
        <v>4</v>
      </c>
      <c r="C6258">
        <v>3</v>
      </c>
      <c r="D6258" t="s">
        <v>5</v>
      </c>
      <c r="F6258" t="str" cm="1">
        <f t="array" ref="F6258">CategorizeComment(E6258)</f>
        <v>Other</v>
      </c>
      <c r="G6258" t="str" cm="1">
        <f t="array" ref="G6258">SubCategorizeComment(E6258)</f>
        <v>Other</v>
      </c>
    </row>
    <row r="6259" spans="1:7" x14ac:dyDescent="0.25">
      <c r="A6259">
        <v>52693</v>
      </c>
      <c r="B6259" t="s">
        <v>4</v>
      </c>
      <c r="C6259">
        <v>3</v>
      </c>
      <c r="D6259" t="s">
        <v>5</v>
      </c>
      <c r="F6259" t="str" cm="1">
        <f t="array" ref="F6259">CategorizeComment(E6259)</f>
        <v>Other</v>
      </c>
      <c r="G6259" t="str" cm="1">
        <f t="array" ref="G6259">SubCategorizeComment(E6259)</f>
        <v>Other</v>
      </c>
    </row>
    <row r="6260" spans="1:7" x14ac:dyDescent="0.25">
      <c r="A6260">
        <v>52695</v>
      </c>
      <c r="B6260" t="s">
        <v>4</v>
      </c>
      <c r="C6260">
        <v>4</v>
      </c>
      <c r="D6260" t="s">
        <v>5</v>
      </c>
      <c r="F6260" t="str" cm="1">
        <f t="array" ref="F6260">CategorizeComment(E6260)</f>
        <v>Other</v>
      </c>
      <c r="G6260" t="str" cm="1">
        <f t="array" ref="G6260">SubCategorizeComment(E6260)</f>
        <v>Other</v>
      </c>
    </row>
    <row r="6261" spans="1:7" x14ac:dyDescent="0.25">
      <c r="A6261">
        <v>52700</v>
      </c>
      <c r="B6261" t="s">
        <v>4</v>
      </c>
      <c r="C6261">
        <v>3</v>
      </c>
      <c r="D6261" t="s">
        <v>5</v>
      </c>
      <c r="F6261" t="str" cm="1">
        <f t="array" ref="F6261">CategorizeComment(E6261)</f>
        <v>Other</v>
      </c>
      <c r="G6261" t="str" cm="1">
        <f t="array" ref="G6261">SubCategorizeComment(E6261)</f>
        <v>Other</v>
      </c>
    </row>
    <row r="6262" spans="1:7" x14ac:dyDescent="0.25">
      <c r="A6262">
        <v>52726</v>
      </c>
      <c r="B6262" t="s">
        <v>4</v>
      </c>
      <c r="C6262">
        <v>3</v>
      </c>
      <c r="D6262" t="s">
        <v>5</v>
      </c>
      <c r="F6262" t="str" cm="1">
        <f t="array" ref="F6262">CategorizeComment(E6262)</f>
        <v>Other</v>
      </c>
      <c r="G6262" t="str" cm="1">
        <f t="array" ref="G6262">SubCategorizeComment(E6262)</f>
        <v>Other</v>
      </c>
    </row>
    <row r="6263" spans="1:7" x14ac:dyDescent="0.25">
      <c r="A6263">
        <v>52733</v>
      </c>
      <c r="B6263" t="s">
        <v>4</v>
      </c>
      <c r="C6263">
        <v>3</v>
      </c>
      <c r="D6263" t="s">
        <v>5</v>
      </c>
      <c r="F6263" t="str" cm="1">
        <f t="array" ref="F6263">CategorizeComment(E6263)</f>
        <v>Other</v>
      </c>
      <c r="G6263" t="str" cm="1">
        <f t="array" ref="G6263">SubCategorizeComment(E6263)</f>
        <v>Other</v>
      </c>
    </row>
    <row r="6264" spans="1:7" x14ac:dyDescent="0.25">
      <c r="A6264">
        <v>52738</v>
      </c>
      <c r="B6264" t="s">
        <v>4</v>
      </c>
      <c r="C6264">
        <v>4</v>
      </c>
      <c r="D6264" t="s">
        <v>5</v>
      </c>
      <c r="F6264" t="str" cm="1">
        <f t="array" ref="F6264">CategorizeComment(E6264)</f>
        <v>Other</v>
      </c>
      <c r="G6264" t="str" cm="1">
        <f t="array" ref="G6264">SubCategorizeComment(E6264)</f>
        <v>Other</v>
      </c>
    </row>
    <row r="6265" spans="1:7" x14ac:dyDescent="0.25">
      <c r="A6265">
        <v>52742</v>
      </c>
      <c r="B6265" t="s">
        <v>4</v>
      </c>
      <c r="C6265">
        <v>4</v>
      </c>
      <c r="D6265" t="s">
        <v>5</v>
      </c>
      <c r="F6265" t="str" cm="1">
        <f t="array" ref="F6265">CategorizeComment(E6265)</f>
        <v>Other</v>
      </c>
      <c r="G6265" t="str" cm="1">
        <f t="array" ref="G6265">SubCategorizeComment(E6265)</f>
        <v>Other</v>
      </c>
    </row>
    <row r="6266" spans="1:7" x14ac:dyDescent="0.25">
      <c r="A6266">
        <v>52743</v>
      </c>
      <c r="B6266" t="s">
        <v>4</v>
      </c>
      <c r="C6266">
        <v>4</v>
      </c>
      <c r="D6266" t="s">
        <v>5</v>
      </c>
      <c r="F6266" t="str" cm="1">
        <f t="array" ref="F6266">CategorizeComment(E6266)</f>
        <v>Other</v>
      </c>
      <c r="G6266" t="str" cm="1">
        <f t="array" ref="G6266">SubCategorizeComment(E6266)</f>
        <v>Other</v>
      </c>
    </row>
    <row r="6267" spans="1:7" x14ac:dyDescent="0.25">
      <c r="A6267">
        <v>52775</v>
      </c>
      <c r="B6267" t="s">
        <v>4</v>
      </c>
      <c r="C6267">
        <v>4</v>
      </c>
      <c r="D6267" t="s">
        <v>5</v>
      </c>
      <c r="F6267" t="str" cm="1">
        <f t="array" ref="F6267">CategorizeComment(E6267)</f>
        <v>Other</v>
      </c>
      <c r="G6267" t="str" cm="1">
        <f t="array" ref="G6267">SubCategorizeComment(E6267)</f>
        <v>Other</v>
      </c>
    </row>
    <row r="6268" spans="1:7" x14ac:dyDescent="0.25">
      <c r="A6268">
        <v>52783</v>
      </c>
      <c r="B6268" t="s">
        <v>4</v>
      </c>
      <c r="C6268">
        <v>3</v>
      </c>
      <c r="D6268" t="s">
        <v>5</v>
      </c>
      <c r="F6268" t="str" cm="1">
        <f t="array" ref="F6268">CategorizeComment(E6268)</f>
        <v>Other</v>
      </c>
      <c r="G6268" t="str" cm="1">
        <f t="array" ref="G6268">SubCategorizeComment(E6268)</f>
        <v>Other</v>
      </c>
    </row>
    <row r="6269" spans="1:7" x14ac:dyDescent="0.25">
      <c r="A6269">
        <v>52788</v>
      </c>
      <c r="B6269" t="s">
        <v>4</v>
      </c>
      <c r="C6269">
        <v>4</v>
      </c>
      <c r="D6269" t="s">
        <v>5</v>
      </c>
      <c r="F6269" t="str" cm="1">
        <f t="array" ref="F6269">CategorizeComment(E6269)</f>
        <v>Other</v>
      </c>
      <c r="G6269" t="str" cm="1">
        <f t="array" ref="G6269">SubCategorizeComment(E6269)</f>
        <v>Other</v>
      </c>
    </row>
    <row r="6270" spans="1:7" x14ac:dyDescent="0.25">
      <c r="A6270">
        <v>52791</v>
      </c>
      <c r="B6270" t="s">
        <v>4</v>
      </c>
      <c r="C6270">
        <v>4</v>
      </c>
      <c r="D6270" t="s">
        <v>5</v>
      </c>
      <c r="F6270" t="str" cm="1">
        <f t="array" ref="F6270">CategorizeComment(E6270)</f>
        <v>Other</v>
      </c>
      <c r="G6270" t="str" cm="1">
        <f t="array" ref="G6270">SubCategorizeComment(E6270)</f>
        <v>Other</v>
      </c>
    </row>
    <row r="6271" spans="1:7" x14ac:dyDescent="0.25">
      <c r="A6271">
        <v>52806</v>
      </c>
      <c r="B6271" t="s">
        <v>4</v>
      </c>
      <c r="C6271">
        <v>3</v>
      </c>
      <c r="D6271" t="s">
        <v>5</v>
      </c>
      <c r="F6271" t="str" cm="1">
        <f t="array" ref="F6271">CategorizeComment(E6271)</f>
        <v>Other</v>
      </c>
      <c r="G6271" t="str" cm="1">
        <f t="array" ref="G6271">SubCategorizeComment(E6271)</f>
        <v>Other</v>
      </c>
    </row>
    <row r="6272" spans="1:7" x14ac:dyDescent="0.25">
      <c r="A6272">
        <v>52814</v>
      </c>
      <c r="B6272" t="s">
        <v>4</v>
      </c>
      <c r="C6272">
        <v>3</v>
      </c>
      <c r="D6272" t="s">
        <v>5</v>
      </c>
      <c r="F6272" t="str" cm="1">
        <f t="array" ref="F6272">CategorizeComment(E6272)</f>
        <v>Other</v>
      </c>
      <c r="G6272" t="str" cm="1">
        <f t="array" ref="G6272">SubCategorizeComment(E6272)</f>
        <v>Other</v>
      </c>
    </row>
    <row r="6273" spans="1:7" x14ac:dyDescent="0.25">
      <c r="A6273">
        <v>52815</v>
      </c>
      <c r="B6273" t="s">
        <v>4</v>
      </c>
      <c r="C6273">
        <v>3</v>
      </c>
      <c r="D6273" t="s">
        <v>5</v>
      </c>
      <c r="F6273" t="str" cm="1">
        <f t="array" ref="F6273">CategorizeComment(E6273)</f>
        <v>Other</v>
      </c>
      <c r="G6273" t="str" cm="1">
        <f t="array" ref="G6273">SubCategorizeComment(E6273)</f>
        <v>Other</v>
      </c>
    </row>
    <row r="6274" spans="1:7" x14ac:dyDescent="0.25">
      <c r="A6274">
        <v>52818</v>
      </c>
      <c r="B6274" t="s">
        <v>4</v>
      </c>
      <c r="C6274">
        <v>3</v>
      </c>
      <c r="D6274" t="s">
        <v>5</v>
      </c>
      <c r="F6274" t="str" cm="1">
        <f t="array" ref="F6274">CategorizeComment(E6274)</f>
        <v>Other</v>
      </c>
      <c r="G6274" t="str" cm="1">
        <f t="array" ref="G6274">SubCategorizeComment(E6274)</f>
        <v>Other</v>
      </c>
    </row>
    <row r="6275" spans="1:7" x14ac:dyDescent="0.25">
      <c r="A6275">
        <v>52822</v>
      </c>
      <c r="B6275" t="s">
        <v>4</v>
      </c>
      <c r="C6275">
        <v>3</v>
      </c>
      <c r="D6275" t="s">
        <v>5</v>
      </c>
      <c r="F6275" t="str" cm="1">
        <f t="array" ref="F6275">CategorizeComment(E6275)</f>
        <v>Other</v>
      </c>
      <c r="G6275" t="str" cm="1">
        <f t="array" ref="G6275">SubCategorizeComment(E6275)</f>
        <v>Other</v>
      </c>
    </row>
    <row r="6276" spans="1:7" x14ac:dyDescent="0.25">
      <c r="A6276">
        <v>52825</v>
      </c>
      <c r="B6276" t="s">
        <v>4</v>
      </c>
      <c r="C6276">
        <v>4</v>
      </c>
      <c r="D6276" t="s">
        <v>5</v>
      </c>
      <c r="F6276" t="str" cm="1">
        <f t="array" ref="F6276">CategorizeComment(E6276)</f>
        <v>Other</v>
      </c>
      <c r="G6276" t="str" cm="1">
        <f t="array" ref="G6276">SubCategorizeComment(E6276)</f>
        <v>Other</v>
      </c>
    </row>
    <row r="6277" spans="1:7" x14ac:dyDescent="0.25">
      <c r="A6277">
        <v>52852</v>
      </c>
      <c r="B6277" t="s">
        <v>4</v>
      </c>
      <c r="C6277">
        <v>4</v>
      </c>
      <c r="D6277" t="s">
        <v>5</v>
      </c>
      <c r="F6277" t="str" cm="1">
        <f t="array" ref="F6277">CategorizeComment(E6277)</f>
        <v>Other</v>
      </c>
      <c r="G6277" t="str" cm="1">
        <f t="array" ref="G6277">SubCategorizeComment(E6277)</f>
        <v>Other</v>
      </c>
    </row>
    <row r="6278" spans="1:7" x14ac:dyDescent="0.25">
      <c r="A6278">
        <v>52873</v>
      </c>
      <c r="B6278" t="s">
        <v>4</v>
      </c>
      <c r="C6278">
        <v>4</v>
      </c>
      <c r="D6278" t="s">
        <v>5</v>
      </c>
      <c r="F6278" t="str" cm="1">
        <f t="array" ref="F6278">CategorizeComment(E6278)</f>
        <v>Other</v>
      </c>
      <c r="G6278" t="str" cm="1">
        <f t="array" ref="G6278">SubCategorizeComment(E6278)</f>
        <v>Other</v>
      </c>
    </row>
    <row r="6279" spans="1:7" x14ac:dyDescent="0.25">
      <c r="A6279">
        <v>52883</v>
      </c>
      <c r="B6279" t="s">
        <v>4</v>
      </c>
      <c r="C6279">
        <v>4</v>
      </c>
      <c r="D6279" t="s">
        <v>5</v>
      </c>
      <c r="F6279" t="str" cm="1">
        <f t="array" ref="F6279">CategorizeComment(E6279)</f>
        <v>Other</v>
      </c>
      <c r="G6279" t="str" cm="1">
        <f t="array" ref="G6279">SubCategorizeComment(E6279)</f>
        <v>Other</v>
      </c>
    </row>
    <row r="6280" spans="1:7" x14ac:dyDescent="0.25">
      <c r="A6280">
        <v>52892</v>
      </c>
      <c r="B6280" t="s">
        <v>4</v>
      </c>
      <c r="C6280">
        <v>4</v>
      </c>
      <c r="D6280" t="s">
        <v>5</v>
      </c>
      <c r="F6280" t="str" cm="1">
        <f t="array" ref="F6280">CategorizeComment(E6280)</f>
        <v>Other</v>
      </c>
      <c r="G6280" t="str" cm="1">
        <f t="array" ref="G6280">SubCategorizeComment(E6280)</f>
        <v>Other</v>
      </c>
    </row>
    <row r="6281" spans="1:7" x14ac:dyDescent="0.25">
      <c r="A6281">
        <v>52900</v>
      </c>
      <c r="B6281" t="s">
        <v>4</v>
      </c>
      <c r="C6281">
        <v>4</v>
      </c>
      <c r="D6281" t="s">
        <v>5</v>
      </c>
      <c r="F6281" t="str" cm="1">
        <f t="array" ref="F6281">CategorizeComment(E6281)</f>
        <v>Other</v>
      </c>
      <c r="G6281" t="str" cm="1">
        <f t="array" ref="G6281">SubCategorizeComment(E6281)</f>
        <v>Other</v>
      </c>
    </row>
    <row r="6282" spans="1:7" x14ac:dyDescent="0.25">
      <c r="A6282">
        <v>52926</v>
      </c>
      <c r="B6282" t="s">
        <v>4</v>
      </c>
      <c r="C6282">
        <v>3</v>
      </c>
      <c r="D6282" t="s">
        <v>5</v>
      </c>
      <c r="F6282" t="str" cm="1">
        <f t="array" ref="F6282">CategorizeComment(E6282)</f>
        <v>Other</v>
      </c>
      <c r="G6282" t="str" cm="1">
        <f t="array" ref="G6282">SubCategorizeComment(E6282)</f>
        <v>Other</v>
      </c>
    </row>
    <row r="6283" spans="1:7" x14ac:dyDescent="0.25">
      <c r="A6283">
        <v>52928</v>
      </c>
      <c r="B6283" t="s">
        <v>4</v>
      </c>
      <c r="C6283">
        <v>3</v>
      </c>
      <c r="D6283" t="s">
        <v>5</v>
      </c>
      <c r="F6283" t="str" cm="1">
        <f t="array" ref="F6283">CategorizeComment(E6283)</f>
        <v>Other</v>
      </c>
      <c r="G6283" t="str" cm="1">
        <f t="array" ref="G6283">SubCategorizeComment(E6283)</f>
        <v>Other</v>
      </c>
    </row>
    <row r="6284" spans="1:7" x14ac:dyDescent="0.25">
      <c r="A6284">
        <v>52951</v>
      </c>
      <c r="B6284" t="s">
        <v>4</v>
      </c>
      <c r="C6284">
        <v>4</v>
      </c>
      <c r="D6284" t="s">
        <v>5</v>
      </c>
      <c r="F6284" t="str" cm="1">
        <f t="array" ref="F6284">CategorizeComment(E6284)</f>
        <v>Other</v>
      </c>
      <c r="G6284" t="str" cm="1">
        <f t="array" ref="G6284">SubCategorizeComment(E6284)</f>
        <v>Other</v>
      </c>
    </row>
    <row r="6285" spans="1:7" x14ac:dyDescent="0.25">
      <c r="A6285">
        <v>52959</v>
      </c>
      <c r="B6285" t="s">
        <v>4</v>
      </c>
      <c r="C6285">
        <v>4</v>
      </c>
      <c r="D6285" t="s">
        <v>5</v>
      </c>
      <c r="F6285" t="str" cm="1">
        <f t="array" ref="F6285">CategorizeComment(E6285)</f>
        <v>Other</v>
      </c>
      <c r="G6285" t="str" cm="1">
        <f t="array" ref="G6285">SubCategorizeComment(E6285)</f>
        <v>Other</v>
      </c>
    </row>
    <row r="6286" spans="1:7" x14ac:dyDescent="0.25">
      <c r="A6286">
        <v>52963</v>
      </c>
      <c r="B6286" t="s">
        <v>4</v>
      </c>
      <c r="C6286">
        <v>4</v>
      </c>
      <c r="D6286" t="s">
        <v>5</v>
      </c>
      <c r="F6286" t="str" cm="1">
        <f t="array" ref="F6286">CategorizeComment(E6286)</f>
        <v>Other</v>
      </c>
      <c r="G6286" t="str" cm="1">
        <f t="array" ref="G6286">SubCategorizeComment(E6286)</f>
        <v>Other</v>
      </c>
    </row>
    <row r="6287" spans="1:7" x14ac:dyDescent="0.25">
      <c r="A6287">
        <v>52965</v>
      </c>
      <c r="B6287" t="s">
        <v>4</v>
      </c>
      <c r="C6287">
        <v>3</v>
      </c>
      <c r="D6287" t="s">
        <v>5</v>
      </c>
      <c r="F6287" t="str" cm="1">
        <f t="array" ref="F6287">CategorizeComment(E6287)</f>
        <v>Other</v>
      </c>
      <c r="G6287" t="str" cm="1">
        <f t="array" ref="G6287">SubCategorizeComment(E6287)</f>
        <v>Other</v>
      </c>
    </row>
    <row r="6288" spans="1:7" x14ac:dyDescent="0.25">
      <c r="A6288">
        <v>52971</v>
      </c>
      <c r="B6288" t="s">
        <v>4</v>
      </c>
      <c r="C6288">
        <v>4</v>
      </c>
      <c r="D6288" t="s">
        <v>5</v>
      </c>
      <c r="F6288" t="str" cm="1">
        <f t="array" ref="F6288">CategorizeComment(E6288)</f>
        <v>Other</v>
      </c>
      <c r="G6288" t="str" cm="1">
        <f t="array" ref="G6288">SubCategorizeComment(E6288)</f>
        <v>Other</v>
      </c>
    </row>
    <row r="6289" spans="1:7" x14ac:dyDescent="0.25">
      <c r="A6289">
        <v>53016</v>
      </c>
      <c r="B6289" t="s">
        <v>4</v>
      </c>
      <c r="C6289">
        <v>4</v>
      </c>
      <c r="D6289" t="s">
        <v>5</v>
      </c>
      <c r="F6289" t="str" cm="1">
        <f t="array" ref="F6289">CategorizeComment(E6289)</f>
        <v>Other</v>
      </c>
      <c r="G6289" t="str" cm="1">
        <f t="array" ref="G6289">SubCategorizeComment(E6289)</f>
        <v>Other</v>
      </c>
    </row>
    <row r="6290" spans="1:7" x14ac:dyDescent="0.25">
      <c r="A6290">
        <v>53020</v>
      </c>
      <c r="B6290" t="s">
        <v>4</v>
      </c>
      <c r="C6290">
        <v>4</v>
      </c>
      <c r="D6290" t="s">
        <v>5</v>
      </c>
      <c r="F6290" t="str" cm="1">
        <f t="array" ref="F6290">CategorizeComment(E6290)</f>
        <v>Other</v>
      </c>
      <c r="G6290" t="str" cm="1">
        <f t="array" ref="G6290">SubCategorizeComment(E6290)</f>
        <v>Other</v>
      </c>
    </row>
    <row r="6291" spans="1:7" x14ac:dyDescent="0.25">
      <c r="A6291">
        <v>53029</v>
      </c>
      <c r="B6291" t="s">
        <v>4</v>
      </c>
      <c r="C6291">
        <v>3</v>
      </c>
      <c r="D6291" t="s">
        <v>5</v>
      </c>
      <c r="F6291" t="str" cm="1">
        <f t="array" ref="F6291">CategorizeComment(E6291)</f>
        <v>Other</v>
      </c>
      <c r="G6291" t="str" cm="1">
        <f t="array" ref="G6291">SubCategorizeComment(E6291)</f>
        <v>Other</v>
      </c>
    </row>
    <row r="6292" spans="1:7" x14ac:dyDescent="0.25">
      <c r="A6292">
        <v>53034</v>
      </c>
      <c r="B6292" t="s">
        <v>4</v>
      </c>
      <c r="C6292">
        <v>3</v>
      </c>
      <c r="D6292" t="s">
        <v>5</v>
      </c>
      <c r="F6292" t="str" cm="1">
        <f t="array" ref="F6292">CategorizeComment(E6292)</f>
        <v>Other</v>
      </c>
      <c r="G6292" t="str" cm="1">
        <f t="array" ref="G6292">SubCategorizeComment(E6292)</f>
        <v>Other</v>
      </c>
    </row>
    <row r="6293" spans="1:7" x14ac:dyDescent="0.25">
      <c r="A6293">
        <v>53036</v>
      </c>
      <c r="B6293" t="s">
        <v>4</v>
      </c>
      <c r="C6293">
        <v>3</v>
      </c>
      <c r="D6293" t="s">
        <v>5</v>
      </c>
      <c r="F6293" t="str" cm="1">
        <f t="array" ref="F6293">CategorizeComment(E6293)</f>
        <v>Other</v>
      </c>
      <c r="G6293" t="str" cm="1">
        <f t="array" ref="G6293">SubCategorizeComment(E6293)</f>
        <v>Other</v>
      </c>
    </row>
    <row r="6294" spans="1:7" x14ac:dyDescent="0.25">
      <c r="A6294">
        <v>53063</v>
      </c>
      <c r="B6294" t="s">
        <v>4</v>
      </c>
      <c r="C6294">
        <v>4</v>
      </c>
      <c r="D6294" t="s">
        <v>5</v>
      </c>
      <c r="F6294" t="str" cm="1">
        <f t="array" ref="F6294">CategorizeComment(E6294)</f>
        <v>Other</v>
      </c>
      <c r="G6294" t="str" cm="1">
        <f t="array" ref="G6294">SubCategorizeComment(E6294)</f>
        <v>Other</v>
      </c>
    </row>
    <row r="6295" spans="1:7" x14ac:dyDescent="0.25">
      <c r="A6295">
        <v>53079</v>
      </c>
      <c r="B6295" t="s">
        <v>4</v>
      </c>
      <c r="C6295">
        <v>4</v>
      </c>
      <c r="D6295" t="s">
        <v>5</v>
      </c>
      <c r="F6295" t="str" cm="1">
        <f t="array" ref="F6295">CategorizeComment(E6295)</f>
        <v>Other</v>
      </c>
      <c r="G6295" t="str" cm="1">
        <f t="array" ref="G6295">SubCategorizeComment(E6295)</f>
        <v>Other</v>
      </c>
    </row>
    <row r="6296" spans="1:7" x14ac:dyDescent="0.25">
      <c r="A6296">
        <v>53098</v>
      </c>
      <c r="B6296" t="s">
        <v>4</v>
      </c>
      <c r="C6296">
        <v>3</v>
      </c>
      <c r="D6296" t="s">
        <v>5</v>
      </c>
      <c r="F6296" t="str" cm="1">
        <f t="array" ref="F6296">CategorizeComment(E6296)</f>
        <v>Other</v>
      </c>
      <c r="G6296" t="str" cm="1">
        <f t="array" ref="G6296">SubCategorizeComment(E6296)</f>
        <v>Other</v>
      </c>
    </row>
    <row r="6297" spans="1:7" x14ac:dyDescent="0.25">
      <c r="A6297">
        <v>53099</v>
      </c>
      <c r="B6297" t="s">
        <v>4</v>
      </c>
      <c r="C6297">
        <v>4</v>
      </c>
      <c r="D6297" t="s">
        <v>5</v>
      </c>
      <c r="F6297" t="str" cm="1">
        <f t="array" ref="F6297">CategorizeComment(E6297)</f>
        <v>Other</v>
      </c>
      <c r="G6297" t="str" cm="1">
        <f t="array" ref="G6297">SubCategorizeComment(E6297)</f>
        <v>Other</v>
      </c>
    </row>
    <row r="6298" spans="1:7" x14ac:dyDescent="0.25">
      <c r="A6298">
        <v>53107</v>
      </c>
      <c r="B6298" t="s">
        <v>4</v>
      </c>
      <c r="C6298">
        <v>4</v>
      </c>
      <c r="D6298" t="s">
        <v>5</v>
      </c>
      <c r="F6298" t="str" cm="1">
        <f t="array" ref="F6298">CategorizeComment(E6298)</f>
        <v>Other</v>
      </c>
      <c r="G6298" t="str" cm="1">
        <f t="array" ref="G6298">SubCategorizeComment(E6298)</f>
        <v>Other</v>
      </c>
    </row>
    <row r="6299" spans="1:7" x14ac:dyDescent="0.25">
      <c r="A6299">
        <v>53117</v>
      </c>
      <c r="B6299" t="s">
        <v>4</v>
      </c>
      <c r="C6299">
        <v>3</v>
      </c>
      <c r="D6299" t="s">
        <v>5</v>
      </c>
      <c r="F6299" t="str" cm="1">
        <f t="array" ref="F6299">CategorizeComment(E6299)</f>
        <v>Other</v>
      </c>
      <c r="G6299" t="str" cm="1">
        <f t="array" ref="G6299">SubCategorizeComment(E6299)</f>
        <v>Other</v>
      </c>
    </row>
    <row r="6300" spans="1:7" x14ac:dyDescent="0.25">
      <c r="A6300">
        <v>53120</v>
      </c>
      <c r="B6300" t="s">
        <v>4</v>
      </c>
      <c r="C6300">
        <v>4</v>
      </c>
      <c r="D6300" t="s">
        <v>5</v>
      </c>
      <c r="F6300" t="str" cm="1">
        <f t="array" ref="F6300">CategorizeComment(E6300)</f>
        <v>Other</v>
      </c>
      <c r="G6300" t="str" cm="1">
        <f t="array" ref="G6300">SubCategorizeComment(E6300)</f>
        <v>Other</v>
      </c>
    </row>
    <row r="6301" spans="1:7" x14ac:dyDescent="0.25">
      <c r="A6301">
        <v>53130</v>
      </c>
      <c r="B6301" t="s">
        <v>4</v>
      </c>
      <c r="C6301">
        <v>3</v>
      </c>
      <c r="D6301" t="s">
        <v>5</v>
      </c>
      <c r="F6301" t="str" cm="1">
        <f t="array" ref="F6301">CategorizeComment(E6301)</f>
        <v>Other</v>
      </c>
      <c r="G6301" t="str" cm="1">
        <f t="array" ref="G6301">SubCategorizeComment(E6301)</f>
        <v>Other</v>
      </c>
    </row>
    <row r="6302" spans="1:7" x14ac:dyDescent="0.25">
      <c r="A6302">
        <v>53138</v>
      </c>
      <c r="B6302" t="s">
        <v>4</v>
      </c>
      <c r="C6302">
        <v>4</v>
      </c>
      <c r="D6302" t="s">
        <v>5</v>
      </c>
      <c r="F6302" t="str" cm="1">
        <f t="array" ref="F6302">CategorizeComment(E6302)</f>
        <v>Other</v>
      </c>
      <c r="G6302" t="str" cm="1">
        <f t="array" ref="G6302">SubCategorizeComment(E6302)</f>
        <v>Other</v>
      </c>
    </row>
    <row r="6303" spans="1:7" x14ac:dyDescent="0.25">
      <c r="A6303">
        <v>53139</v>
      </c>
      <c r="B6303" t="s">
        <v>4</v>
      </c>
      <c r="C6303">
        <v>3</v>
      </c>
      <c r="D6303" t="s">
        <v>5</v>
      </c>
      <c r="F6303" t="str" cm="1">
        <f t="array" ref="F6303">CategorizeComment(E6303)</f>
        <v>Other</v>
      </c>
      <c r="G6303" t="str" cm="1">
        <f t="array" ref="G6303">SubCategorizeComment(E6303)</f>
        <v>Other</v>
      </c>
    </row>
    <row r="6304" spans="1:7" x14ac:dyDescent="0.25">
      <c r="A6304">
        <v>53140</v>
      </c>
      <c r="B6304" t="s">
        <v>4</v>
      </c>
      <c r="C6304">
        <v>3</v>
      </c>
      <c r="D6304" t="s">
        <v>5</v>
      </c>
      <c r="F6304" t="str" cm="1">
        <f t="array" ref="F6304">CategorizeComment(E6304)</f>
        <v>Other</v>
      </c>
      <c r="G6304" t="str" cm="1">
        <f t="array" ref="G6304">SubCategorizeComment(E6304)</f>
        <v>Other</v>
      </c>
    </row>
    <row r="6305" spans="1:7" x14ac:dyDescent="0.25">
      <c r="A6305">
        <v>53141</v>
      </c>
      <c r="B6305" t="s">
        <v>4</v>
      </c>
      <c r="C6305">
        <v>4</v>
      </c>
      <c r="D6305" t="s">
        <v>5</v>
      </c>
      <c r="F6305" t="str" cm="1">
        <f t="array" ref="F6305">CategorizeComment(E6305)</f>
        <v>Other</v>
      </c>
      <c r="G6305" t="str" cm="1">
        <f t="array" ref="G6305">SubCategorizeComment(E6305)</f>
        <v>Other</v>
      </c>
    </row>
    <row r="6306" spans="1:7" x14ac:dyDescent="0.25">
      <c r="A6306">
        <v>53196</v>
      </c>
      <c r="B6306" t="s">
        <v>4</v>
      </c>
      <c r="C6306">
        <v>3</v>
      </c>
      <c r="D6306" t="s">
        <v>5</v>
      </c>
      <c r="F6306" t="str" cm="1">
        <f t="array" ref="F6306">CategorizeComment(E6306)</f>
        <v>Other</v>
      </c>
      <c r="G6306" t="str" cm="1">
        <f t="array" ref="G6306">SubCategorizeComment(E6306)</f>
        <v>Other</v>
      </c>
    </row>
    <row r="6307" spans="1:7" x14ac:dyDescent="0.25">
      <c r="A6307">
        <v>53209</v>
      </c>
      <c r="B6307" t="s">
        <v>4</v>
      </c>
      <c r="C6307">
        <v>3</v>
      </c>
      <c r="D6307" t="s">
        <v>5</v>
      </c>
      <c r="F6307" t="str" cm="1">
        <f t="array" ref="F6307">CategorizeComment(E6307)</f>
        <v>Other</v>
      </c>
      <c r="G6307" t="str" cm="1">
        <f t="array" ref="G6307">SubCategorizeComment(E6307)</f>
        <v>Other</v>
      </c>
    </row>
    <row r="6308" spans="1:7" x14ac:dyDescent="0.25">
      <c r="A6308">
        <v>53213</v>
      </c>
      <c r="B6308" t="s">
        <v>4</v>
      </c>
      <c r="C6308">
        <v>4</v>
      </c>
      <c r="D6308" t="s">
        <v>5</v>
      </c>
      <c r="F6308" t="str" cm="1">
        <f t="array" ref="F6308">CategorizeComment(E6308)</f>
        <v>Other</v>
      </c>
      <c r="G6308" t="str" cm="1">
        <f t="array" ref="G6308">SubCategorizeComment(E6308)</f>
        <v>Other</v>
      </c>
    </row>
    <row r="6309" spans="1:7" x14ac:dyDescent="0.25">
      <c r="A6309">
        <v>53221</v>
      </c>
      <c r="B6309" t="s">
        <v>4</v>
      </c>
      <c r="C6309">
        <v>3</v>
      </c>
      <c r="D6309" t="s">
        <v>5</v>
      </c>
      <c r="F6309" t="str" cm="1">
        <f t="array" ref="F6309">CategorizeComment(E6309)</f>
        <v>Other</v>
      </c>
      <c r="G6309" t="str" cm="1">
        <f t="array" ref="G6309">SubCategorizeComment(E6309)</f>
        <v>Other</v>
      </c>
    </row>
    <row r="6310" spans="1:7" x14ac:dyDescent="0.25">
      <c r="A6310">
        <v>53227</v>
      </c>
      <c r="B6310" t="s">
        <v>4</v>
      </c>
      <c r="C6310">
        <v>4</v>
      </c>
      <c r="D6310" t="s">
        <v>5</v>
      </c>
      <c r="F6310" t="str" cm="1">
        <f t="array" ref="F6310">CategorizeComment(E6310)</f>
        <v>Other</v>
      </c>
      <c r="G6310" t="str" cm="1">
        <f t="array" ref="G6310">SubCategorizeComment(E6310)</f>
        <v>Other</v>
      </c>
    </row>
    <row r="6311" spans="1:7" x14ac:dyDescent="0.25">
      <c r="A6311">
        <v>53240</v>
      </c>
      <c r="B6311" t="s">
        <v>4</v>
      </c>
      <c r="C6311">
        <v>3</v>
      </c>
      <c r="D6311" t="s">
        <v>5</v>
      </c>
      <c r="F6311" t="str" cm="1">
        <f t="array" ref="F6311">CategorizeComment(E6311)</f>
        <v>Other</v>
      </c>
      <c r="G6311" t="str" cm="1">
        <f t="array" ref="G6311">SubCategorizeComment(E6311)</f>
        <v>Other</v>
      </c>
    </row>
    <row r="6312" spans="1:7" x14ac:dyDescent="0.25">
      <c r="A6312">
        <v>53242</v>
      </c>
      <c r="B6312" t="s">
        <v>4</v>
      </c>
      <c r="C6312">
        <v>3</v>
      </c>
      <c r="D6312" t="s">
        <v>5</v>
      </c>
      <c r="F6312" t="str" cm="1">
        <f t="array" ref="F6312">CategorizeComment(E6312)</f>
        <v>Other</v>
      </c>
      <c r="G6312" t="str" cm="1">
        <f t="array" ref="G6312">SubCategorizeComment(E6312)</f>
        <v>Other</v>
      </c>
    </row>
    <row r="6313" spans="1:7" x14ac:dyDescent="0.25">
      <c r="A6313">
        <v>53249</v>
      </c>
      <c r="B6313" t="s">
        <v>4</v>
      </c>
      <c r="C6313">
        <v>4</v>
      </c>
      <c r="D6313" t="s">
        <v>5</v>
      </c>
      <c r="F6313" t="str" cm="1">
        <f t="array" ref="F6313">CategorizeComment(E6313)</f>
        <v>Other</v>
      </c>
      <c r="G6313" t="str" cm="1">
        <f t="array" ref="G6313">SubCategorizeComment(E6313)</f>
        <v>Other</v>
      </c>
    </row>
    <row r="6314" spans="1:7" x14ac:dyDescent="0.25">
      <c r="A6314">
        <v>53255</v>
      </c>
      <c r="B6314" t="s">
        <v>4</v>
      </c>
      <c r="C6314">
        <v>4</v>
      </c>
      <c r="D6314" t="s">
        <v>5</v>
      </c>
      <c r="F6314" t="str" cm="1">
        <f t="array" ref="F6314">CategorizeComment(E6314)</f>
        <v>Other</v>
      </c>
      <c r="G6314" t="str" cm="1">
        <f t="array" ref="G6314">SubCategorizeComment(E6314)</f>
        <v>Other</v>
      </c>
    </row>
    <row r="6315" spans="1:7" x14ac:dyDescent="0.25">
      <c r="A6315">
        <v>53260</v>
      </c>
      <c r="B6315" t="s">
        <v>4</v>
      </c>
      <c r="C6315">
        <v>3</v>
      </c>
      <c r="D6315" t="s">
        <v>5</v>
      </c>
      <c r="F6315" t="str" cm="1">
        <f t="array" ref="F6315">CategorizeComment(E6315)</f>
        <v>Other</v>
      </c>
      <c r="G6315" t="str" cm="1">
        <f t="array" ref="G6315">SubCategorizeComment(E6315)</f>
        <v>Other</v>
      </c>
    </row>
    <row r="6316" spans="1:7" x14ac:dyDescent="0.25">
      <c r="A6316">
        <v>53268</v>
      </c>
      <c r="B6316" t="s">
        <v>4</v>
      </c>
      <c r="C6316">
        <v>4</v>
      </c>
      <c r="D6316" t="s">
        <v>5</v>
      </c>
      <c r="F6316" t="str" cm="1">
        <f t="array" ref="F6316">CategorizeComment(E6316)</f>
        <v>Other</v>
      </c>
      <c r="G6316" t="str" cm="1">
        <f t="array" ref="G6316">SubCategorizeComment(E6316)</f>
        <v>Other</v>
      </c>
    </row>
    <row r="6317" spans="1:7" x14ac:dyDescent="0.25">
      <c r="A6317">
        <v>53294</v>
      </c>
      <c r="B6317" t="s">
        <v>4</v>
      </c>
      <c r="C6317">
        <v>4</v>
      </c>
      <c r="D6317" t="s">
        <v>5</v>
      </c>
      <c r="F6317" t="str" cm="1">
        <f t="array" ref="F6317">CategorizeComment(E6317)</f>
        <v>Other</v>
      </c>
      <c r="G6317" t="str" cm="1">
        <f t="array" ref="G6317">SubCategorizeComment(E6317)</f>
        <v>Other</v>
      </c>
    </row>
    <row r="6318" spans="1:7" x14ac:dyDescent="0.25">
      <c r="A6318">
        <v>53308</v>
      </c>
      <c r="B6318" t="s">
        <v>4</v>
      </c>
      <c r="C6318">
        <v>3</v>
      </c>
      <c r="D6318" t="s">
        <v>5</v>
      </c>
      <c r="F6318" t="str" cm="1">
        <f t="array" ref="F6318">CategorizeComment(E6318)</f>
        <v>Other</v>
      </c>
      <c r="G6318" t="str" cm="1">
        <f t="array" ref="G6318">SubCategorizeComment(E6318)</f>
        <v>Other</v>
      </c>
    </row>
    <row r="6319" spans="1:7" x14ac:dyDescent="0.25">
      <c r="A6319">
        <v>53320</v>
      </c>
      <c r="B6319" t="s">
        <v>4</v>
      </c>
      <c r="C6319">
        <v>4</v>
      </c>
      <c r="D6319" t="s">
        <v>5</v>
      </c>
      <c r="F6319" t="str" cm="1">
        <f t="array" ref="F6319">CategorizeComment(E6319)</f>
        <v>Other</v>
      </c>
      <c r="G6319" t="str" cm="1">
        <f t="array" ref="G6319">SubCategorizeComment(E6319)</f>
        <v>Other</v>
      </c>
    </row>
    <row r="6320" spans="1:7" x14ac:dyDescent="0.25">
      <c r="A6320">
        <v>53336</v>
      </c>
      <c r="B6320" t="s">
        <v>4</v>
      </c>
      <c r="C6320">
        <v>4</v>
      </c>
      <c r="D6320" t="s">
        <v>5</v>
      </c>
      <c r="F6320" t="str" cm="1">
        <f t="array" ref="F6320">CategorizeComment(E6320)</f>
        <v>Other</v>
      </c>
      <c r="G6320" t="str" cm="1">
        <f t="array" ref="G6320">SubCategorizeComment(E6320)</f>
        <v>Other</v>
      </c>
    </row>
    <row r="6321" spans="1:7" x14ac:dyDescent="0.25">
      <c r="A6321">
        <v>53363</v>
      </c>
      <c r="B6321" t="s">
        <v>4</v>
      </c>
      <c r="C6321">
        <v>3</v>
      </c>
      <c r="D6321" t="s">
        <v>5</v>
      </c>
      <c r="F6321" t="str" cm="1">
        <f t="array" ref="F6321">CategorizeComment(E6321)</f>
        <v>Other</v>
      </c>
      <c r="G6321" t="str" cm="1">
        <f t="array" ref="G6321">SubCategorizeComment(E6321)</f>
        <v>Other</v>
      </c>
    </row>
    <row r="6322" spans="1:7" x14ac:dyDescent="0.25">
      <c r="A6322">
        <v>53369</v>
      </c>
      <c r="B6322" t="s">
        <v>4</v>
      </c>
      <c r="C6322">
        <v>3</v>
      </c>
      <c r="D6322" t="s">
        <v>5</v>
      </c>
      <c r="F6322" t="str" cm="1">
        <f t="array" ref="F6322">CategorizeComment(E6322)</f>
        <v>Other</v>
      </c>
      <c r="G6322" t="str" cm="1">
        <f t="array" ref="G6322">SubCategorizeComment(E6322)</f>
        <v>Other</v>
      </c>
    </row>
    <row r="6323" spans="1:7" x14ac:dyDescent="0.25">
      <c r="A6323">
        <v>53370</v>
      </c>
      <c r="B6323" t="s">
        <v>4</v>
      </c>
      <c r="C6323">
        <v>3</v>
      </c>
      <c r="D6323" t="s">
        <v>5</v>
      </c>
      <c r="F6323" t="str" cm="1">
        <f t="array" ref="F6323">CategorizeComment(E6323)</f>
        <v>Other</v>
      </c>
      <c r="G6323" t="str" cm="1">
        <f t="array" ref="G6323">SubCategorizeComment(E6323)</f>
        <v>Other</v>
      </c>
    </row>
    <row r="6324" spans="1:7" x14ac:dyDescent="0.25">
      <c r="A6324">
        <v>53383</v>
      </c>
      <c r="B6324" t="s">
        <v>4</v>
      </c>
      <c r="C6324">
        <v>4</v>
      </c>
      <c r="D6324" t="s">
        <v>5</v>
      </c>
      <c r="F6324" t="str" cm="1">
        <f t="array" ref="F6324">CategorizeComment(E6324)</f>
        <v>Other</v>
      </c>
      <c r="G6324" t="str" cm="1">
        <f t="array" ref="G6324">SubCategorizeComment(E6324)</f>
        <v>Other</v>
      </c>
    </row>
    <row r="6325" spans="1:7" x14ac:dyDescent="0.25">
      <c r="A6325">
        <v>53385</v>
      </c>
      <c r="B6325" t="s">
        <v>4</v>
      </c>
      <c r="C6325">
        <v>4</v>
      </c>
      <c r="D6325" t="s">
        <v>5</v>
      </c>
      <c r="F6325" t="str" cm="1">
        <f t="array" ref="F6325">CategorizeComment(E6325)</f>
        <v>Other</v>
      </c>
      <c r="G6325" t="str" cm="1">
        <f t="array" ref="G6325">SubCategorizeComment(E6325)</f>
        <v>Other</v>
      </c>
    </row>
    <row r="6326" spans="1:7" x14ac:dyDescent="0.25">
      <c r="A6326">
        <v>53387</v>
      </c>
      <c r="B6326" t="s">
        <v>4</v>
      </c>
      <c r="C6326">
        <v>3</v>
      </c>
      <c r="D6326" t="s">
        <v>5</v>
      </c>
      <c r="F6326" t="str" cm="1">
        <f t="array" ref="F6326">CategorizeComment(E6326)</f>
        <v>Other</v>
      </c>
      <c r="G6326" t="str" cm="1">
        <f t="array" ref="G6326">SubCategorizeComment(E6326)</f>
        <v>Other</v>
      </c>
    </row>
    <row r="6327" spans="1:7" x14ac:dyDescent="0.25">
      <c r="A6327">
        <v>53390</v>
      </c>
      <c r="B6327" t="s">
        <v>4</v>
      </c>
      <c r="C6327">
        <v>4</v>
      </c>
      <c r="D6327" t="s">
        <v>5</v>
      </c>
      <c r="F6327" t="str" cm="1">
        <f t="array" ref="F6327">CategorizeComment(E6327)</f>
        <v>Other</v>
      </c>
      <c r="G6327" t="str" cm="1">
        <f t="array" ref="G6327">SubCategorizeComment(E6327)</f>
        <v>Other</v>
      </c>
    </row>
    <row r="6328" spans="1:7" x14ac:dyDescent="0.25">
      <c r="A6328">
        <v>53393</v>
      </c>
      <c r="B6328" t="s">
        <v>4</v>
      </c>
      <c r="C6328">
        <v>3</v>
      </c>
      <c r="D6328" t="s">
        <v>5</v>
      </c>
      <c r="F6328" t="str" cm="1">
        <f t="array" ref="F6328">CategorizeComment(E6328)</f>
        <v>Other</v>
      </c>
      <c r="G6328" t="str" cm="1">
        <f t="array" ref="G6328">SubCategorizeComment(E6328)</f>
        <v>Other</v>
      </c>
    </row>
    <row r="6329" spans="1:7" x14ac:dyDescent="0.25">
      <c r="A6329">
        <v>53451</v>
      </c>
      <c r="B6329" t="s">
        <v>4</v>
      </c>
      <c r="C6329">
        <v>4</v>
      </c>
      <c r="D6329" t="s">
        <v>5</v>
      </c>
      <c r="F6329" t="str" cm="1">
        <f t="array" ref="F6329">CategorizeComment(E6329)</f>
        <v>Other</v>
      </c>
      <c r="G6329" t="str" cm="1">
        <f t="array" ref="G6329">SubCategorizeComment(E6329)</f>
        <v>Other</v>
      </c>
    </row>
    <row r="6330" spans="1:7" x14ac:dyDescent="0.25">
      <c r="A6330">
        <v>53461</v>
      </c>
      <c r="B6330" t="s">
        <v>4</v>
      </c>
      <c r="C6330">
        <v>4</v>
      </c>
      <c r="D6330" t="s">
        <v>5</v>
      </c>
      <c r="F6330" t="str" cm="1">
        <f t="array" ref="F6330">CategorizeComment(E6330)</f>
        <v>Other</v>
      </c>
      <c r="G6330" t="str" cm="1">
        <f t="array" ref="G6330">SubCategorizeComment(E6330)</f>
        <v>Other</v>
      </c>
    </row>
    <row r="6331" spans="1:7" x14ac:dyDescent="0.25">
      <c r="A6331">
        <v>53480</v>
      </c>
      <c r="B6331" t="s">
        <v>4</v>
      </c>
      <c r="C6331">
        <v>3</v>
      </c>
      <c r="D6331" t="s">
        <v>5</v>
      </c>
      <c r="F6331" t="str" cm="1">
        <f t="array" ref="F6331">CategorizeComment(E6331)</f>
        <v>Other</v>
      </c>
      <c r="G6331" t="str" cm="1">
        <f t="array" ref="G6331">SubCategorizeComment(E6331)</f>
        <v>Other</v>
      </c>
    </row>
    <row r="6332" spans="1:7" x14ac:dyDescent="0.25">
      <c r="A6332">
        <v>53481</v>
      </c>
      <c r="B6332" t="s">
        <v>4</v>
      </c>
      <c r="C6332">
        <v>4</v>
      </c>
      <c r="D6332" t="s">
        <v>5</v>
      </c>
      <c r="F6332" t="str" cm="1">
        <f t="array" ref="F6332">CategorizeComment(E6332)</f>
        <v>Other</v>
      </c>
      <c r="G6332" t="str" cm="1">
        <f t="array" ref="G6332">SubCategorizeComment(E6332)</f>
        <v>Other</v>
      </c>
    </row>
    <row r="6333" spans="1:7" x14ac:dyDescent="0.25">
      <c r="A6333">
        <v>53482</v>
      </c>
      <c r="B6333" t="s">
        <v>4</v>
      </c>
      <c r="C6333">
        <v>4</v>
      </c>
      <c r="D6333" t="s">
        <v>5</v>
      </c>
      <c r="F6333" t="str" cm="1">
        <f t="array" ref="F6333">CategorizeComment(E6333)</f>
        <v>Other</v>
      </c>
      <c r="G6333" t="str" cm="1">
        <f t="array" ref="G6333">SubCategorizeComment(E6333)</f>
        <v>Other</v>
      </c>
    </row>
    <row r="6334" spans="1:7" x14ac:dyDescent="0.25">
      <c r="A6334">
        <v>53483</v>
      </c>
      <c r="B6334" t="s">
        <v>4</v>
      </c>
      <c r="C6334">
        <v>4</v>
      </c>
      <c r="D6334" t="s">
        <v>5</v>
      </c>
      <c r="F6334" t="str" cm="1">
        <f t="array" ref="F6334">CategorizeComment(E6334)</f>
        <v>Other</v>
      </c>
      <c r="G6334" t="str" cm="1">
        <f t="array" ref="G6334">SubCategorizeComment(E6334)</f>
        <v>Other</v>
      </c>
    </row>
    <row r="6335" spans="1:7" x14ac:dyDescent="0.25">
      <c r="A6335">
        <v>53485</v>
      </c>
      <c r="B6335" t="s">
        <v>4</v>
      </c>
      <c r="C6335">
        <v>4</v>
      </c>
      <c r="D6335" t="s">
        <v>5</v>
      </c>
      <c r="F6335" t="str" cm="1">
        <f t="array" ref="F6335">CategorizeComment(E6335)</f>
        <v>Other</v>
      </c>
      <c r="G6335" t="str" cm="1">
        <f t="array" ref="G6335">SubCategorizeComment(E6335)</f>
        <v>Other</v>
      </c>
    </row>
    <row r="6336" spans="1:7" x14ac:dyDescent="0.25">
      <c r="A6336">
        <v>53487</v>
      </c>
      <c r="B6336" t="s">
        <v>4</v>
      </c>
      <c r="C6336">
        <v>4</v>
      </c>
      <c r="D6336" t="s">
        <v>5</v>
      </c>
      <c r="F6336" t="str" cm="1">
        <f t="array" ref="F6336">CategorizeComment(E6336)</f>
        <v>Other</v>
      </c>
      <c r="G6336" t="str" cm="1">
        <f t="array" ref="G6336">SubCategorizeComment(E6336)</f>
        <v>Other</v>
      </c>
    </row>
    <row r="6337" spans="1:7" x14ac:dyDescent="0.25">
      <c r="A6337">
        <v>53497</v>
      </c>
      <c r="B6337" t="s">
        <v>4</v>
      </c>
      <c r="C6337">
        <v>3</v>
      </c>
      <c r="D6337" t="s">
        <v>5</v>
      </c>
      <c r="F6337" t="str" cm="1">
        <f t="array" ref="F6337">CategorizeComment(E6337)</f>
        <v>Other</v>
      </c>
      <c r="G6337" t="str" cm="1">
        <f t="array" ref="G6337">SubCategorizeComment(E6337)</f>
        <v>Other</v>
      </c>
    </row>
    <row r="6338" spans="1:7" x14ac:dyDescent="0.25">
      <c r="A6338">
        <v>53515</v>
      </c>
      <c r="B6338" t="s">
        <v>4</v>
      </c>
      <c r="C6338">
        <v>4</v>
      </c>
      <c r="D6338" t="s">
        <v>5</v>
      </c>
      <c r="F6338" t="str" cm="1">
        <f t="array" ref="F6338">CategorizeComment(E6338)</f>
        <v>Other</v>
      </c>
      <c r="G6338" t="str" cm="1">
        <f t="array" ref="G6338">SubCategorizeComment(E6338)</f>
        <v>Other</v>
      </c>
    </row>
    <row r="6339" spans="1:7" x14ac:dyDescent="0.25">
      <c r="A6339">
        <v>53524</v>
      </c>
      <c r="B6339" t="s">
        <v>4</v>
      </c>
      <c r="C6339">
        <v>3</v>
      </c>
      <c r="D6339" t="s">
        <v>5</v>
      </c>
      <c r="F6339" t="str" cm="1">
        <f t="array" ref="F6339">CategorizeComment(E6339)</f>
        <v>Other</v>
      </c>
      <c r="G6339" t="str" cm="1">
        <f t="array" ref="G6339">SubCategorizeComment(E6339)</f>
        <v>Other</v>
      </c>
    </row>
    <row r="6340" spans="1:7" x14ac:dyDescent="0.25">
      <c r="A6340">
        <v>53527</v>
      </c>
      <c r="B6340" t="s">
        <v>4</v>
      </c>
      <c r="C6340">
        <v>3</v>
      </c>
      <c r="D6340" t="s">
        <v>5</v>
      </c>
      <c r="F6340" t="str" cm="1">
        <f t="array" ref="F6340">CategorizeComment(E6340)</f>
        <v>Other</v>
      </c>
      <c r="G6340" t="str" cm="1">
        <f t="array" ref="G6340">SubCategorizeComment(E6340)</f>
        <v>Other</v>
      </c>
    </row>
    <row r="6341" spans="1:7" x14ac:dyDescent="0.25">
      <c r="A6341">
        <v>53540</v>
      </c>
      <c r="B6341" t="s">
        <v>4</v>
      </c>
      <c r="C6341">
        <v>3</v>
      </c>
      <c r="D6341" t="s">
        <v>5</v>
      </c>
      <c r="F6341" t="str" cm="1">
        <f t="array" ref="F6341">CategorizeComment(E6341)</f>
        <v>Other</v>
      </c>
      <c r="G6341" t="str" cm="1">
        <f t="array" ref="G6341">SubCategorizeComment(E6341)</f>
        <v>Other</v>
      </c>
    </row>
    <row r="6342" spans="1:7" x14ac:dyDescent="0.25">
      <c r="A6342">
        <v>53541</v>
      </c>
      <c r="B6342" t="s">
        <v>4</v>
      </c>
      <c r="C6342">
        <v>3</v>
      </c>
      <c r="D6342" t="s">
        <v>5</v>
      </c>
      <c r="F6342" t="str" cm="1">
        <f t="array" ref="F6342">CategorizeComment(E6342)</f>
        <v>Other</v>
      </c>
      <c r="G6342" t="str" cm="1">
        <f t="array" ref="G6342">SubCategorizeComment(E6342)</f>
        <v>Other</v>
      </c>
    </row>
    <row r="6343" spans="1:7" x14ac:dyDescent="0.25">
      <c r="A6343">
        <v>53544</v>
      </c>
      <c r="B6343" t="s">
        <v>4</v>
      </c>
      <c r="C6343">
        <v>3</v>
      </c>
      <c r="D6343" t="s">
        <v>5</v>
      </c>
      <c r="F6343" t="str" cm="1">
        <f t="array" ref="F6343">CategorizeComment(E6343)</f>
        <v>Other</v>
      </c>
      <c r="G6343" t="str" cm="1">
        <f t="array" ref="G6343">SubCategorizeComment(E6343)</f>
        <v>Other</v>
      </c>
    </row>
    <row r="6344" spans="1:7" x14ac:dyDescent="0.25">
      <c r="A6344">
        <v>53552</v>
      </c>
      <c r="B6344" t="s">
        <v>4</v>
      </c>
      <c r="C6344">
        <v>4</v>
      </c>
      <c r="D6344" t="s">
        <v>5</v>
      </c>
      <c r="F6344" t="str" cm="1">
        <f t="array" ref="F6344">CategorizeComment(E6344)</f>
        <v>Other</v>
      </c>
      <c r="G6344" t="str" cm="1">
        <f t="array" ref="G6344">SubCategorizeComment(E6344)</f>
        <v>Other</v>
      </c>
    </row>
    <row r="6345" spans="1:7" x14ac:dyDescent="0.25">
      <c r="A6345">
        <v>53555</v>
      </c>
      <c r="B6345" t="s">
        <v>4</v>
      </c>
      <c r="C6345">
        <v>3</v>
      </c>
      <c r="D6345" t="s">
        <v>5</v>
      </c>
      <c r="F6345" t="str" cm="1">
        <f t="array" ref="F6345">CategorizeComment(E6345)</f>
        <v>Other</v>
      </c>
      <c r="G6345" t="str" cm="1">
        <f t="array" ref="G6345">SubCategorizeComment(E6345)</f>
        <v>Other</v>
      </c>
    </row>
    <row r="6346" spans="1:7" x14ac:dyDescent="0.25">
      <c r="A6346">
        <v>53566</v>
      </c>
      <c r="B6346" t="s">
        <v>4</v>
      </c>
      <c r="C6346">
        <v>4</v>
      </c>
      <c r="D6346" t="s">
        <v>5</v>
      </c>
      <c r="F6346" t="str" cm="1">
        <f t="array" ref="F6346">CategorizeComment(E6346)</f>
        <v>Other</v>
      </c>
      <c r="G6346" t="str" cm="1">
        <f t="array" ref="G6346">SubCategorizeComment(E6346)</f>
        <v>Other</v>
      </c>
    </row>
    <row r="6347" spans="1:7" x14ac:dyDescent="0.25">
      <c r="A6347">
        <v>53569</v>
      </c>
      <c r="B6347" t="s">
        <v>4</v>
      </c>
      <c r="C6347">
        <v>3</v>
      </c>
      <c r="D6347" t="s">
        <v>5</v>
      </c>
      <c r="F6347" t="str" cm="1">
        <f t="array" ref="F6347">CategorizeComment(E6347)</f>
        <v>Other</v>
      </c>
      <c r="G6347" t="str" cm="1">
        <f t="array" ref="G6347">SubCategorizeComment(E6347)</f>
        <v>Other</v>
      </c>
    </row>
    <row r="6348" spans="1:7" x14ac:dyDescent="0.25">
      <c r="A6348">
        <v>53582</v>
      </c>
      <c r="B6348" t="s">
        <v>4</v>
      </c>
      <c r="C6348">
        <v>3</v>
      </c>
      <c r="D6348" t="s">
        <v>5</v>
      </c>
      <c r="F6348" t="str" cm="1">
        <f t="array" ref="F6348">CategorizeComment(E6348)</f>
        <v>Other</v>
      </c>
      <c r="G6348" t="str" cm="1">
        <f t="array" ref="G6348">SubCategorizeComment(E6348)</f>
        <v>Other</v>
      </c>
    </row>
    <row r="6349" spans="1:7" x14ac:dyDescent="0.25">
      <c r="A6349">
        <v>53591</v>
      </c>
      <c r="B6349" t="s">
        <v>4</v>
      </c>
      <c r="C6349">
        <v>3</v>
      </c>
      <c r="D6349" t="s">
        <v>5</v>
      </c>
      <c r="F6349" t="str" cm="1">
        <f t="array" ref="F6349">CategorizeComment(E6349)</f>
        <v>Other</v>
      </c>
      <c r="G6349" t="str" cm="1">
        <f t="array" ref="G6349">SubCategorizeComment(E6349)</f>
        <v>Other</v>
      </c>
    </row>
    <row r="6350" spans="1:7" x14ac:dyDescent="0.25">
      <c r="A6350">
        <v>53614</v>
      </c>
      <c r="B6350" t="s">
        <v>4</v>
      </c>
      <c r="C6350">
        <v>3</v>
      </c>
      <c r="D6350" t="s">
        <v>5</v>
      </c>
      <c r="F6350" t="str" cm="1">
        <f t="array" ref="F6350">CategorizeComment(E6350)</f>
        <v>Other</v>
      </c>
      <c r="G6350" t="str" cm="1">
        <f t="array" ref="G6350">SubCategorizeComment(E6350)</f>
        <v>Other</v>
      </c>
    </row>
    <row r="6351" spans="1:7" x14ac:dyDescent="0.25">
      <c r="A6351">
        <v>53624</v>
      </c>
      <c r="B6351" t="s">
        <v>4</v>
      </c>
      <c r="C6351">
        <v>4</v>
      </c>
      <c r="D6351" t="s">
        <v>5</v>
      </c>
      <c r="F6351" t="str" cm="1">
        <f t="array" ref="F6351">CategorizeComment(E6351)</f>
        <v>Other</v>
      </c>
      <c r="G6351" t="str" cm="1">
        <f t="array" ref="G6351">SubCategorizeComment(E6351)</f>
        <v>Other</v>
      </c>
    </row>
    <row r="6352" spans="1:7" x14ac:dyDescent="0.25">
      <c r="A6352">
        <v>53636</v>
      </c>
      <c r="B6352" t="s">
        <v>4</v>
      </c>
      <c r="C6352">
        <v>3</v>
      </c>
      <c r="D6352" t="s">
        <v>5</v>
      </c>
      <c r="F6352" t="str" cm="1">
        <f t="array" ref="F6352">CategorizeComment(E6352)</f>
        <v>Other</v>
      </c>
      <c r="G6352" t="str" cm="1">
        <f t="array" ref="G6352">SubCategorizeComment(E6352)</f>
        <v>Other</v>
      </c>
    </row>
    <row r="6353" spans="1:7" x14ac:dyDescent="0.25">
      <c r="A6353">
        <v>53678</v>
      </c>
      <c r="B6353" t="s">
        <v>4</v>
      </c>
      <c r="C6353">
        <v>3</v>
      </c>
      <c r="D6353" t="s">
        <v>5</v>
      </c>
      <c r="F6353" t="str" cm="1">
        <f t="array" ref="F6353">CategorizeComment(E6353)</f>
        <v>Other</v>
      </c>
      <c r="G6353" t="str" cm="1">
        <f t="array" ref="G6353">SubCategorizeComment(E6353)</f>
        <v>Other</v>
      </c>
    </row>
    <row r="6354" spans="1:7" x14ac:dyDescent="0.25">
      <c r="A6354">
        <v>53684</v>
      </c>
      <c r="B6354" t="s">
        <v>4</v>
      </c>
      <c r="C6354">
        <v>3</v>
      </c>
      <c r="D6354" t="s">
        <v>5</v>
      </c>
      <c r="F6354" t="str" cm="1">
        <f t="array" ref="F6354">CategorizeComment(E6354)</f>
        <v>Other</v>
      </c>
      <c r="G6354" t="str" cm="1">
        <f t="array" ref="G6354">SubCategorizeComment(E6354)</f>
        <v>Other</v>
      </c>
    </row>
    <row r="6355" spans="1:7" x14ac:dyDescent="0.25">
      <c r="A6355">
        <v>53686</v>
      </c>
      <c r="B6355" t="s">
        <v>4</v>
      </c>
      <c r="C6355">
        <v>4</v>
      </c>
      <c r="D6355" t="s">
        <v>5</v>
      </c>
      <c r="F6355" t="str" cm="1">
        <f t="array" ref="F6355">CategorizeComment(E6355)</f>
        <v>Other</v>
      </c>
      <c r="G6355" t="str" cm="1">
        <f t="array" ref="G6355">SubCategorizeComment(E6355)</f>
        <v>Other</v>
      </c>
    </row>
    <row r="6356" spans="1:7" x14ac:dyDescent="0.25">
      <c r="A6356">
        <v>53697</v>
      </c>
      <c r="B6356" t="s">
        <v>4</v>
      </c>
      <c r="C6356">
        <v>3</v>
      </c>
      <c r="D6356" t="s">
        <v>5</v>
      </c>
      <c r="F6356" t="str" cm="1">
        <f t="array" ref="F6356">CategorizeComment(E6356)</f>
        <v>Other</v>
      </c>
      <c r="G6356" t="str" cm="1">
        <f t="array" ref="G6356">SubCategorizeComment(E6356)</f>
        <v>Other</v>
      </c>
    </row>
    <row r="6357" spans="1:7" x14ac:dyDescent="0.25">
      <c r="A6357">
        <v>53703</v>
      </c>
      <c r="B6357" t="s">
        <v>4</v>
      </c>
      <c r="C6357">
        <v>3</v>
      </c>
      <c r="D6357" t="s">
        <v>5</v>
      </c>
      <c r="F6357" t="str" cm="1">
        <f t="array" ref="F6357">CategorizeComment(E6357)</f>
        <v>Other</v>
      </c>
      <c r="G6357" t="str" cm="1">
        <f t="array" ref="G6357">SubCategorizeComment(E6357)</f>
        <v>Other</v>
      </c>
    </row>
    <row r="6358" spans="1:7" x14ac:dyDescent="0.25">
      <c r="A6358">
        <v>53710</v>
      </c>
      <c r="B6358" t="s">
        <v>4</v>
      </c>
      <c r="C6358">
        <v>3</v>
      </c>
      <c r="D6358" t="s">
        <v>5</v>
      </c>
      <c r="F6358" t="str" cm="1">
        <f t="array" ref="F6358">CategorizeComment(E6358)</f>
        <v>Other</v>
      </c>
      <c r="G6358" t="str" cm="1">
        <f t="array" ref="G6358">SubCategorizeComment(E6358)</f>
        <v>Other</v>
      </c>
    </row>
    <row r="6359" spans="1:7" x14ac:dyDescent="0.25">
      <c r="A6359">
        <v>53714</v>
      </c>
      <c r="B6359" t="s">
        <v>4</v>
      </c>
      <c r="C6359">
        <v>4</v>
      </c>
      <c r="D6359" t="s">
        <v>5</v>
      </c>
      <c r="F6359" t="str" cm="1">
        <f t="array" ref="F6359">CategorizeComment(E6359)</f>
        <v>Other</v>
      </c>
      <c r="G6359" t="str" cm="1">
        <f t="array" ref="G6359">SubCategorizeComment(E6359)</f>
        <v>Other</v>
      </c>
    </row>
    <row r="6360" spans="1:7" x14ac:dyDescent="0.25">
      <c r="A6360">
        <v>53715</v>
      </c>
      <c r="B6360" t="s">
        <v>4</v>
      </c>
      <c r="C6360">
        <v>4</v>
      </c>
      <c r="D6360" t="s">
        <v>5</v>
      </c>
      <c r="F6360" t="str" cm="1">
        <f t="array" ref="F6360">CategorizeComment(E6360)</f>
        <v>Other</v>
      </c>
      <c r="G6360" t="str" cm="1">
        <f t="array" ref="G6360">SubCategorizeComment(E6360)</f>
        <v>Other</v>
      </c>
    </row>
    <row r="6361" spans="1:7" x14ac:dyDescent="0.25">
      <c r="A6361">
        <v>53720</v>
      </c>
      <c r="B6361" t="s">
        <v>4</v>
      </c>
      <c r="C6361">
        <v>4</v>
      </c>
      <c r="D6361" t="s">
        <v>5</v>
      </c>
      <c r="F6361" t="str" cm="1">
        <f t="array" ref="F6361">CategorizeComment(E6361)</f>
        <v>Other</v>
      </c>
      <c r="G6361" t="str" cm="1">
        <f t="array" ref="G6361">SubCategorizeComment(E6361)</f>
        <v>Other</v>
      </c>
    </row>
    <row r="6362" spans="1:7" x14ac:dyDescent="0.25">
      <c r="A6362">
        <v>53725</v>
      </c>
      <c r="B6362" t="s">
        <v>4</v>
      </c>
      <c r="C6362">
        <v>3</v>
      </c>
      <c r="D6362" t="s">
        <v>5</v>
      </c>
      <c r="F6362" t="str" cm="1">
        <f t="array" ref="F6362">CategorizeComment(E6362)</f>
        <v>Other</v>
      </c>
      <c r="G6362" t="str" cm="1">
        <f t="array" ref="G6362">SubCategorizeComment(E6362)</f>
        <v>Other</v>
      </c>
    </row>
    <row r="6363" spans="1:7" x14ac:dyDescent="0.25">
      <c r="A6363">
        <v>53729</v>
      </c>
      <c r="B6363" t="s">
        <v>4</v>
      </c>
      <c r="C6363">
        <v>4</v>
      </c>
      <c r="D6363" t="s">
        <v>5</v>
      </c>
      <c r="F6363" t="str" cm="1">
        <f t="array" ref="F6363">CategorizeComment(E6363)</f>
        <v>Other</v>
      </c>
      <c r="G6363" t="str" cm="1">
        <f t="array" ref="G6363">SubCategorizeComment(E6363)</f>
        <v>Other</v>
      </c>
    </row>
    <row r="6364" spans="1:7" x14ac:dyDescent="0.25">
      <c r="A6364">
        <v>53736</v>
      </c>
      <c r="B6364" t="s">
        <v>4</v>
      </c>
      <c r="C6364">
        <v>4</v>
      </c>
      <c r="D6364" t="s">
        <v>5</v>
      </c>
      <c r="F6364" t="str" cm="1">
        <f t="array" ref="F6364">CategorizeComment(E6364)</f>
        <v>Other</v>
      </c>
      <c r="G6364" t="str" cm="1">
        <f t="array" ref="G6364">SubCategorizeComment(E6364)</f>
        <v>Other</v>
      </c>
    </row>
    <row r="6365" spans="1:7" x14ac:dyDescent="0.25">
      <c r="A6365">
        <v>53750</v>
      </c>
      <c r="B6365" t="s">
        <v>4</v>
      </c>
      <c r="C6365">
        <v>4</v>
      </c>
      <c r="D6365" t="s">
        <v>5</v>
      </c>
      <c r="F6365" t="str" cm="1">
        <f t="array" ref="F6365">CategorizeComment(E6365)</f>
        <v>Other</v>
      </c>
      <c r="G6365" t="str" cm="1">
        <f t="array" ref="G6365">SubCategorizeComment(E6365)</f>
        <v>Other</v>
      </c>
    </row>
    <row r="6366" spans="1:7" x14ac:dyDescent="0.25">
      <c r="A6366">
        <v>53762</v>
      </c>
      <c r="B6366" t="s">
        <v>4</v>
      </c>
      <c r="C6366">
        <v>4</v>
      </c>
      <c r="D6366" t="s">
        <v>5</v>
      </c>
      <c r="F6366" t="str" cm="1">
        <f t="array" ref="F6366">CategorizeComment(E6366)</f>
        <v>Other</v>
      </c>
      <c r="G6366" t="str" cm="1">
        <f t="array" ref="G6366">SubCategorizeComment(E6366)</f>
        <v>Other</v>
      </c>
    </row>
    <row r="6367" spans="1:7" x14ac:dyDescent="0.25">
      <c r="A6367">
        <v>53770</v>
      </c>
      <c r="B6367" t="s">
        <v>4</v>
      </c>
      <c r="C6367">
        <v>4</v>
      </c>
      <c r="D6367" t="s">
        <v>5</v>
      </c>
      <c r="F6367" t="str" cm="1">
        <f t="array" ref="F6367">CategorizeComment(E6367)</f>
        <v>Other</v>
      </c>
      <c r="G6367" t="str" cm="1">
        <f t="array" ref="G6367">SubCategorizeComment(E6367)</f>
        <v>Other</v>
      </c>
    </row>
    <row r="6368" spans="1:7" x14ac:dyDescent="0.25">
      <c r="A6368">
        <v>53781</v>
      </c>
      <c r="B6368" t="s">
        <v>4</v>
      </c>
      <c r="C6368">
        <v>3</v>
      </c>
      <c r="D6368" t="s">
        <v>5</v>
      </c>
      <c r="F6368" t="str" cm="1">
        <f t="array" ref="F6368">CategorizeComment(E6368)</f>
        <v>Other</v>
      </c>
      <c r="G6368" t="str" cm="1">
        <f t="array" ref="G6368">SubCategorizeComment(E6368)</f>
        <v>Other</v>
      </c>
    </row>
    <row r="6369" spans="1:7" x14ac:dyDescent="0.25">
      <c r="A6369">
        <v>53785</v>
      </c>
      <c r="B6369" t="s">
        <v>4</v>
      </c>
      <c r="C6369">
        <v>3</v>
      </c>
      <c r="D6369" t="s">
        <v>5</v>
      </c>
      <c r="F6369" t="str" cm="1">
        <f t="array" ref="F6369">CategorizeComment(E6369)</f>
        <v>Other</v>
      </c>
      <c r="G6369" t="str" cm="1">
        <f t="array" ref="G6369">SubCategorizeComment(E6369)</f>
        <v>Other</v>
      </c>
    </row>
    <row r="6370" spans="1:7" x14ac:dyDescent="0.25">
      <c r="A6370">
        <v>53821</v>
      </c>
      <c r="B6370" t="s">
        <v>4</v>
      </c>
      <c r="C6370">
        <v>3</v>
      </c>
      <c r="D6370" t="s">
        <v>5</v>
      </c>
      <c r="F6370" t="str" cm="1">
        <f t="array" ref="F6370">CategorizeComment(E6370)</f>
        <v>Other</v>
      </c>
      <c r="G6370" t="str" cm="1">
        <f t="array" ref="G6370">SubCategorizeComment(E6370)</f>
        <v>Other</v>
      </c>
    </row>
    <row r="6371" spans="1:7" x14ac:dyDescent="0.25">
      <c r="A6371">
        <v>53827</v>
      </c>
      <c r="B6371" t="s">
        <v>4</v>
      </c>
      <c r="C6371">
        <v>4</v>
      </c>
      <c r="D6371" t="s">
        <v>5</v>
      </c>
      <c r="F6371" t="str" cm="1">
        <f t="array" ref="F6371">CategorizeComment(E6371)</f>
        <v>Other</v>
      </c>
      <c r="G6371" t="str" cm="1">
        <f t="array" ref="G6371">SubCategorizeComment(E6371)</f>
        <v>Other</v>
      </c>
    </row>
    <row r="6372" spans="1:7" x14ac:dyDescent="0.25">
      <c r="A6372">
        <v>53835</v>
      </c>
      <c r="B6372" t="s">
        <v>4</v>
      </c>
      <c r="C6372">
        <v>3</v>
      </c>
      <c r="D6372" t="s">
        <v>5</v>
      </c>
      <c r="F6372" t="str" cm="1">
        <f t="array" ref="F6372">CategorizeComment(E6372)</f>
        <v>Other</v>
      </c>
      <c r="G6372" t="str" cm="1">
        <f t="array" ref="G6372">SubCategorizeComment(E6372)</f>
        <v>Other</v>
      </c>
    </row>
    <row r="6373" spans="1:7" x14ac:dyDescent="0.25">
      <c r="A6373">
        <v>53837</v>
      </c>
      <c r="B6373" t="s">
        <v>4</v>
      </c>
      <c r="C6373">
        <v>4</v>
      </c>
      <c r="D6373" t="s">
        <v>5</v>
      </c>
      <c r="F6373" t="str" cm="1">
        <f t="array" ref="F6373">CategorizeComment(E6373)</f>
        <v>Other</v>
      </c>
      <c r="G6373" t="str" cm="1">
        <f t="array" ref="G6373">SubCategorizeComment(E6373)</f>
        <v>Other</v>
      </c>
    </row>
    <row r="6374" spans="1:7" x14ac:dyDescent="0.25">
      <c r="A6374">
        <v>53839</v>
      </c>
      <c r="B6374" t="s">
        <v>4</v>
      </c>
      <c r="C6374">
        <v>3</v>
      </c>
      <c r="D6374" t="s">
        <v>5</v>
      </c>
      <c r="F6374" t="str" cm="1">
        <f t="array" ref="F6374">CategorizeComment(E6374)</f>
        <v>Other</v>
      </c>
      <c r="G6374" t="str" cm="1">
        <f t="array" ref="G6374">SubCategorizeComment(E6374)</f>
        <v>Other</v>
      </c>
    </row>
    <row r="6375" spans="1:7" x14ac:dyDescent="0.25">
      <c r="A6375">
        <v>53841</v>
      </c>
      <c r="B6375" t="s">
        <v>4</v>
      </c>
      <c r="C6375">
        <v>3</v>
      </c>
      <c r="D6375" t="s">
        <v>5</v>
      </c>
      <c r="F6375" t="str" cm="1">
        <f t="array" ref="F6375">CategorizeComment(E6375)</f>
        <v>Other</v>
      </c>
      <c r="G6375" t="str" cm="1">
        <f t="array" ref="G6375">SubCategorizeComment(E6375)</f>
        <v>Other</v>
      </c>
    </row>
    <row r="6376" spans="1:7" x14ac:dyDescent="0.25">
      <c r="A6376">
        <v>53846</v>
      </c>
      <c r="B6376" t="s">
        <v>4</v>
      </c>
      <c r="C6376">
        <v>4</v>
      </c>
      <c r="D6376" t="s">
        <v>5</v>
      </c>
      <c r="F6376" t="str" cm="1">
        <f t="array" ref="F6376">CategorizeComment(E6376)</f>
        <v>Other</v>
      </c>
      <c r="G6376" t="str" cm="1">
        <f t="array" ref="G6376">SubCategorizeComment(E6376)</f>
        <v>Other</v>
      </c>
    </row>
    <row r="6377" spans="1:7" x14ac:dyDescent="0.25">
      <c r="A6377">
        <v>53851</v>
      </c>
      <c r="B6377" t="s">
        <v>4</v>
      </c>
      <c r="C6377">
        <v>4</v>
      </c>
      <c r="D6377" t="s">
        <v>5</v>
      </c>
      <c r="F6377" t="str" cm="1">
        <f t="array" ref="F6377">CategorizeComment(E6377)</f>
        <v>Other</v>
      </c>
      <c r="G6377" t="str" cm="1">
        <f t="array" ref="G6377">SubCategorizeComment(E6377)</f>
        <v>Other</v>
      </c>
    </row>
    <row r="6378" spans="1:7" x14ac:dyDescent="0.25">
      <c r="A6378">
        <v>53852</v>
      </c>
      <c r="B6378" t="s">
        <v>4</v>
      </c>
      <c r="C6378">
        <v>4</v>
      </c>
      <c r="D6378" t="s">
        <v>5</v>
      </c>
      <c r="F6378" t="str" cm="1">
        <f t="array" ref="F6378">CategorizeComment(E6378)</f>
        <v>Other</v>
      </c>
      <c r="G6378" t="str" cm="1">
        <f t="array" ref="G6378">SubCategorizeComment(E6378)</f>
        <v>Other</v>
      </c>
    </row>
    <row r="6379" spans="1:7" x14ac:dyDescent="0.25">
      <c r="A6379">
        <v>53864</v>
      </c>
      <c r="B6379" t="s">
        <v>4</v>
      </c>
      <c r="C6379">
        <v>4</v>
      </c>
      <c r="D6379" t="s">
        <v>5</v>
      </c>
      <c r="F6379" t="str" cm="1">
        <f t="array" ref="F6379">CategorizeComment(E6379)</f>
        <v>Other</v>
      </c>
      <c r="G6379" t="str" cm="1">
        <f t="array" ref="G6379">SubCategorizeComment(E6379)</f>
        <v>Other</v>
      </c>
    </row>
    <row r="6380" spans="1:7" x14ac:dyDescent="0.25">
      <c r="A6380">
        <v>53871</v>
      </c>
      <c r="B6380" t="s">
        <v>4</v>
      </c>
      <c r="C6380">
        <v>4</v>
      </c>
      <c r="D6380" t="s">
        <v>5</v>
      </c>
      <c r="F6380" t="str" cm="1">
        <f t="array" ref="F6380">CategorizeComment(E6380)</f>
        <v>Other</v>
      </c>
      <c r="G6380" t="str" cm="1">
        <f t="array" ref="G6380">SubCategorizeComment(E6380)</f>
        <v>Other</v>
      </c>
    </row>
    <row r="6381" spans="1:7" x14ac:dyDescent="0.25">
      <c r="A6381">
        <v>53879</v>
      </c>
      <c r="B6381" t="s">
        <v>4</v>
      </c>
      <c r="C6381">
        <v>4</v>
      </c>
      <c r="D6381" t="s">
        <v>5</v>
      </c>
      <c r="F6381" t="str" cm="1">
        <f t="array" ref="F6381">CategorizeComment(E6381)</f>
        <v>Other</v>
      </c>
      <c r="G6381" t="str" cm="1">
        <f t="array" ref="G6381">SubCategorizeComment(E6381)</f>
        <v>Other</v>
      </c>
    </row>
    <row r="6382" spans="1:7" x14ac:dyDescent="0.25">
      <c r="A6382">
        <v>53895</v>
      </c>
      <c r="B6382" t="s">
        <v>4</v>
      </c>
      <c r="C6382">
        <v>3</v>
      </c>
      <c r="D6382" t="s">
        <v>5</v>
      </c>
      <c r="F6382" t="str" cm="1">
        <f t="array" ref="F6382">CategorizeComment(E6382)</f>
        <v>Other</v>
      </c>
      <c r="G6382" t="str" cm="1">
        <f t="array" ref="G6382">SubCategorizeComment(E6382)</f>
        <v>Other</v>
      </c>
    </row>
    <row r="6383" spans="1:7" x14ac:dyDescent="0.25">
      <c r="A6383">
        <v>53899</v>
      </c>
      <c r="B6383" t="s">
        <v>4</v>
      </c>
      <c r="C6383">
        <v>4</v>
      </c>
      <c r="D6383" t="s">
        <v>5</v>
      </c>
      <c r="F6383" t="str" cm="1">
        <f t="array" ref="F6383">CategorizeComment(E6383)</f>
        <v>Other</v>
      </c>
      <c r="G6383" t="str" cm="1">
        <f t="array" ref="G6383">SubCategorizeComment(E6383)</f>
        <v>Other</v>
      </c>
    </row>
    <row r="6384" spans="1:7" x14ac:dyDescent="0.25">
      <c r="A6384">
        <v>53909</v>
      </c>
      <c r="B6384" t="s">
        <v>4</v>
      </c>
      <c r="C6384">
        <v>4</v>
      </c>
      <c r="D6384" t="s">
        <v>5</v>
      </c>
      <c r="F6384" t="str" cm="1">
        <f t="array" ref="F6384">CategorizeComment(E6384)</f>
        <v>Other</v>
      </c>
      <c r="G6384" t="str" cm="1">
        <f t="array" ref="G6384">SubCategorizeComment(E6384)</f>
        <v>Other</v>
      </c>
    </row>
    <row r="6385" spans="1:7" x14ac:dyDescent="0.25">
      <c r="A6385">
        <v>53914</v>
      </c>
      <c r="B6385" t="s">
        <v>4</v>
      </c>
      <c r="C6385">
        <v>3</v>
      </c>
      <c r="D6385" t="s">
        <v>5</v>
      </c>
      <c r="F6385" t="str" cm="1">
        <f t="array" ref="F6385">CategorizeComment(E6385)</f>
        <v>Other</v>
      </c>
      <c r="G6385" t="str" cm="1">
        <f t="array" ref="G6385">SubCategorizeComment(E6385)</f>
        <v>Other</v>
      </c>
    </row>
    <row r="6386" spans="1:7" x14ac:dyDescent="0.25">
      <c r="A6386">
        <v>53926</v>
      </c>
      <c r="B6386" t="s">
        <v>4</v>
      </c>
      <c r="C6386">
        <v>4</v>
      </c>
      <c r="D6386" t="s">
        <v>5</v>
      </c>
      <c r="F6386" t="str" cm="1">
        <f t="array" ref="F6386">CategorizeComment(E6386)</f>
        <v>Other</v>
      </c>
      <c r="G6386" t="str" cm="1">
        <f t="array" ref="G6386">SubCategorizeComment(E6386)</f>
        <v>Other</v>
      </c>
    </row>
    <row r="6387" spans="1:7" x14ac:dyDescent="0.25">
      <c r="A6387">
        <v>53927</v>
      </c>
      <c r="B6387" t="s">
        <v>4</v>
      </c>
      <c r="C6387">
        <v>3</v>
      </c>
      <c r="D6387" t="s">
        <v>5</v>
      </c>
      <c r="F6387" t="str" cm="1">
        <f t="array" ref="F6387">CategorizeComment(E6387)</f>
        <v>Other</v>
      </c>
      <c r="G6387" t="str" cm="1">
        <f t="array" ref="G6387">SubCategorizeComment(E6387)</f>
        <v>Other</v>
      </c>
    </row>
    <row r="6388" spans="1:7" x14ac:dyDescent="0.25">
      <c r="A6388">
        <v>53928</v>
      </c>
      <c r="B6388" t="s">
        <v>4</v>
      </c>
      <c r="C6388">
        <v>3</v>
      </c>
      <c r="D6388" t="s">
        <v>5</v>
      </c>
      <c r="F6388" t="str" cm="1">
        <f t="array" ref="F6388">CategorizeComment(E6388)</f>
        <v>Other</v>
      </c>
      <c r="G6388" t="str" cm="1">
        <f t="array" ref="G6388">SubCategorizeComment(E6388)</f>
        <v>Other</v>
      </c>
    </row>
    <row r="6389" spans="1:7" x14ac:dyDescent="0.25">
      <c r="A6389">
        <v>53929</v>
      </c>
      <c r="B6389" t="s">
        <v>4</v>
      </c>
      <c r="C6389">
        <v>4</v>
      </c>
      <c r="D6389" t="s">
        <v>5</v>
      </c>
      <c r="F6389" t="str" cm="1">
        <f t="array" ref="F6389">CategorizeComment(E6389)</f>
        <v>Other</v>
      </c>
      <c r="G6389" t="str" cm="1">
        <f t="array" ref="G6389">SubCategorizeComment(E6389)</f>
        <v>Other</v>
      </c>
    </row>
    <row r="6390" spans="1:7" x14ac:dyDescent="0.25">
      <c r="A6390">
        <v>53958</v>
      </c>
      <c r="B6390" t="s">
        <v>4</v>
      </c>
      <c r="C6390">
        <v>3</v>
      </c>
      <c r="D6390" t="s">
        <v>5</v>
      </c>
      <c r="F6390" t="str" cm="1">
        <f t="array" ref="F6390">CategorizeComment(E6390)</f>
        <v>Other</v>
      </c>
      <c r="G6390" t="str" cm="1">
        <f t="array" ref="G6390">SubCategorizeComment(E6390)</f>
        <v>Other</v>
      </c>
    </row>
    <row r="6391" spans="1:7" x14ac:dyDescent="0.25">
      <c r="A6391">
        <v>53962</v>
      </c>
      <c r="B6391" t="s">
        <v>4</v>
      </c>
      <c r="C6391">
        <v>3</v>
      </c>
      <c r="D6391" t="s">
        <v>5</v>
      </c>
      <c r="F6391" t="str" cm="1">
        <f t="array" ref="F6391">CategorizeComment(E6391)</f>
        <v>Other</v>
      </c>
      <c r="G6391" t="str" cm="1">
        <f t="array" ref="G6391">SubCategorizeComment(E6391)</f>
        <v>Other</v>
      </c>
    </row>
    <row r="6392" spans="1:7" x14ac:dyDescent="0.25">
      <c r="A6392">
        <v>53976</v>
      </c>
      <c r="B6392" t="s">
        <v>4</v>
      </c>
      <c r="C6392">
        <v>4</v>
      </c>
      <c r="D6392" t="s">
        <v>5</v>
      </c>
      <c r="F6392" t="str" cm="1">
        <f t="array" ref="F6392">CategorizeComment(E6392)</f>
        <v>Other</v>
      </c>
      <c r="G6392" t="str" cm="1">
        <f t="array" ref="G6392">SubCategorizeComment(E6392)</f>
        <v>Other</v>
      </c>
    </row>
    <row r="6393" spans="1:7" x14ac:dyDescent="0.25">
      <c r="A6393">
        <v>53980</v>
      </c>
      <c r="B6393" t="s">
        <v>4</v>
      </c>
      <c r="C6393">
        <v>4</v>
      </c>
      <c r="D6393" t="s">
        <v>5</v>
      </c>
      <c r="F6393" t="str" cm="1">
        <f t="array" ref="F6393">CategorizeComment(E6393)</f>
        <v>Other</v>
      </c>
      <c r="G6393" t="str" cm="1">
        <f t="array" ref="G6393">SubCategorizeComment(E6393)</f>
        <v>Other</v>
      </c>
    </row>
    <row r="6394" spans="1:7" x14ac:dyDescent="0.25">
      <c r="A6394">
        <v>53994</v>
      </c>
      <c r="B6394" t="s">
        <v>4</v>
      </c>
      <c r="C6394">
        <v>4</v>
      </c>
      <c r="D6394" t="s">
        <v>5</v>
      </c>
      <c r="F6394" t="str" cm="1">
        <f t="array" ref="F6394">CategorizeComment(E6394)</f>
        <v>Other</v>
      </c>
      <c r="G6394" t="str" cm="1">
        <f t="array" ref="G6394">SubCategorizeComment(E6394)</f>
        <v>Other</v>
      </c>
    </row>
    <row r="6395" spans="1:7" x14ac:dyDescent="0.25">
      <c r="A6395">
        <v>54015</v>
      </c>
      <c r="B6395" t="s">
        <v>4</v>
      </c>
      <c r="C6395">
        <v>4</v>
      </c>
      <c r="D6395" t="s">
        <v>5</v>
      </c>
      <c r="F6395" t="str" cm="1">
        <f t="array" ref="F6395">CategorizeComment(E6395)</f>
        <v>Other</v>
      </c>
      <c r="G6395" t="str" cm="1">
        <f t="array" ref="G6395">SubCategorizeComment(E6395)</f>
        <v>Other</v>
      </c>
    </row>
    <row r="6396" spans="1:7" x14ac:dyDescent="0.25">
      <c r="A6396">
        <v>54039</v>
      </c>
      <c r="B6396" t="s">
        <v>4</v>
      </c>
      <c r="C6396">
        <v>4</v>
      </c>
      <c r="D6396" t="s">
        <v>5</v>
      </c>
      <c r="F6396" t="str" cm="1">
        <f t="array" ref="F6396">CategorizeComment(E6396)</f>
        <v>Other</v>
      </c>
      <c r="G6396" t="str" cm="1">
        <f t="array" ref="G6396">SubCategorizeComment(E6396)</f>
        <v>Other</v>
      </c>
    </row>
    <row r="6397" spans="1:7" x14ac:dyDescent="0.25">
      <c r="A6397">
        <v>54040</v>
      </c>
      <c r="B6397" t="s">
        <v>4</v>
      </c>
      <c r="C6397">
        <v>4</v>
      </c>
      <c r="D6397" t="s">
        <v>5</v>
      </c>
      <c r="F6397" t="str" cm="1">
        <f t="array" ref="F6397">CategorizeComment(E6397)</f>
        <v>Other</v>
      </c>
      <c r="G6397" t="str" cm="1">
        <f t="array" ref="G6397">SubCategorizeComment(E6397)</f>
        <v>Other</v>
      </c>
    </row>
    <row r="6398" spans="1:7" x14ac:dyDescent="0.25">
      <c r="A6398">
        <v>54051</v>
      </c>
      <c r="B6398" t="s">
        <v>4</v>
      </c>
      <c r="C6398">
        <v>4</v>
      </c>
      <c r="D6398" t="s">
        <v>5</v>
      </c>
      <c r="F6398" t="str" cm="1">
        <f t="array" ref="F6398">CategorizeComment(E6398)</f>
        <v>Other</v>
      </c>
      <c r="G6398" t="str" cm="1">
        <f t="array" ref="G6398">SubCategorizeComment(E6398)</f>
        <v>Other</v>
      </c>
    </row>
    <row r="6399" spans="1:7" x14ac:dyDescent="0.25">
      <c r="A6399">
        <v>54053</v>
      </c>
      <c r="B6399" t="s">
        <v>4</v>
      </c>
      <c r="C6399">
        <v>4</v>
      </c>
      <c r="D6399" t="s">
        <v>5</v>
      </c>
      <c r="F6399" t="str" cm="1">
        <f t="array" ref="F6399">CategorizeComment(E6399)</f>
        <v>Other</v>
      </c>
      <c r="G6399" t="str" cm="1">
        <f t="array" ref="G6399">SubCategorizeComment(E6399)</f>
        <v>Other</v>
      </c>
    </row>
    <row r="6400" spans="1:7" x14ac:dyDescent="0.25">
      <c r="A6400">
        <v>54054</v>
      </c>
      <c r="B6400" t="s">
        <v>4</v>
      </c>
      <c r="C6400">
        <v>4</v>
      </c>
      <c r="D6400" t="s">
        <v>5</v>
      </c>
      <c r="F6400" t="str" cm="1">
        <f t="array" ref="F6400">CategorizeComment(E6400)</f>
        <v>Other</v>
      </c>
      <c r="G6400" t="str" cm="1">
        <f t="array" ref="G6400">SubCategorizeComment(E6400)</f>
        <v>Other</v>
      </c>
    </row>
    <row r="6401" spans="1:7" x14ac:dyDescent="0.25">
      <c r="A6401">
        <v>54061</v>
      </c>
      <c r="B6401" t="s">
        <v>4</v>
      </c>
      <c r="C6401">
        <v>3</v>
      </c>
      <c r="D6401" t="s">
        <v>5</v>
      </c>
      <c r="F6401" t="str" cm="1">
        <f t="array" ref="F6401">CategorizeComment(E6401)</f>
        <v>Other</v>
      </c>
      <c r="G6401" t="str" cm="1">
        <f t="array" ref="G6401">SubCategorizeComment(E6401)</f>
        <v>Other</v>
      </c>
    </row>
    <row r="6402" spans="1:7" x14ac:dyDescent="0.25">
      <c r="A6402">
        <v>54063</v>
      </c>
      <c r="B6402" t="s">
        <v>4</v>
      </c>
      <c r="C6402">
        <v>3</v>
      </c>
      <c r="D6402" t="s">
        <v>5</v>
      </c>
      <c r="F6402" t="str" cm="1">
        <f t="array" ref="F6402">CategorizeComment(E6402)</f>
        <v>Other</v>
      </c>
      <c r="G6402" t="str" cm="1">
        <f t="array" ref="G6402">SubCategorizeComment(E6402)</f>
        <v>Other</v>
      </c>
    </row>
    <row r="6403" spans="1:7" x14ac:dyDescent="0.25">
      <c r="A6403">
        <v>54073</v>
      </c>
      <c r="B6403" t="s">
        <v>4</v>
      </c>
      <c r="C6403">
        <v>3</v>
      </c>
      <c r="D6403" t="s">
        <v>5</v>
      </c>
      <c r="F6403" t="str" cm="1">
        <f t="array" ref="F6403">CategorizeComment(E6403)</f>
        <v>Other</v>
      </c>
      <c r="G6403" t="str" cm="1">
        <f t="array" ref="G6403">SubCategorizeComment(E6403)</f>
        <v>Other</v>
      </c>
    </row>
    <row r="6404" spans="1:7" x14ac:dyDescent="0.25">
      <c r="A6404">
        <v>54074</v>
      </c>
      <c r="B6404" t="s">
        <v>4</v>
      </c>
      <c r="C6404">
        <v>4</v>
      </c>
      <c r="D6404" t="s">
        <v>5</v>
      </c>
      <c r="F6404" t="str" cm="1">
        <f t="array" ref="F6404">CategorizeComment(E6404)</f>
        <v>Other</v>
      </c>
      <c r="G6404" t="str" cm="1">
        <f t="array" ref="G6404">SubCategorizeComment(E6404)</f>
        <v>Other</v>
      </c>
    </row>
    <row r="6405" spans="1:7" x14ac:dyDescent="0.25">
      <c r="A6405">
        <v>54077</v>
      </c>
      <c r="B6405" t="s">
        <v>4</v>
      </c>
      <c r="C6405">
        <v>0</v>
      </c>
      <c r="D6405" t="s">
        <v>5</v>
      </c>
      <c r="F6405" t="str" cm="1">
        <f t="array" ref="F6405">CategorizeComment(E6405)</f>
        <v>Other</v>
      </c>
      <c r="G6405" t="str" cm="1">
        <f t="array" ref="G6405">SubCategorizeComment(E6405)</f>
        <v>Other</v>
      </c>
    </row>
    <row r="6406" spans="1:7" x14ac:dyDescent="0.25">
      <c r="A6406">
        <v>54080</v>
      </c>
      <c r="B6406" t="s">
        <v>4</v>
      </c>
      <c r="C6406">
        <v>3</v>
      </c>
      <c r="D6406" t="s">
        <v>5</v>
      </c>
      <c r="F6406" t="str" cm="1">
        <f t="array" ref="F6406">CategorizeComment(E6406)</f>
        <v>Other</v>
      </c>
      <c r="G6406" t="str" cm="1">
        <f t="array" ref="G6406">SubCategorizeComment(E6406)</f>
        <v>Other</v>
      </c>
    </row>
    <row r="6407" spans="1:7" x14ac:dyDescent="0.25">
      <c r="A6407">
        <v>54082</v>
      </c>
      <c r="B6407" t="s">
        <v>4</v>
      </c>
      <c r="C6407">
        <v>4</v>
      </c>
      <c r="D6407" t="s">
        <v>5</v>
      </c>
      <c r="F6407" t="str" cm="1">
        <f t="array" ref="F6407">CategorizeComment(E6407)</f>
        <v>Other</v>
      </c>
      <c r="G6407" t="str" cm="1">
        <f t="array" ref="G6407">SubCategorizeComment(E6407)</f>
        <v>Other</v>
      </c>
    </row>
    <row r="6408" spans="1:7" x14ac:dyDescent="0.25">
      <c r="A6408">
        <v>54104</v>
      </c>
      <c r="B6408" t="s">
        <v>4</v>
      </c>
      <c r="C6408">
        <v>3</v>
      </c>
      <c r="D6408" t="s">
        <v>5</v>
      </c>
      <c r="F6408" t="str" cm="1">
        <f t="array" ref="F6408">CategorizeComment(E6408)</f>
        <v>Other</v>
      </c>
      <c r="G6408" t="str" cm="1">
        <f t="array" ref="G6408">SubCategorizeComment(E6408)</f>
        <v>Other</v>
      </c>
    </row>
    <row r="6409" spans="1:7" x14ac:dyDescent="0.25">
      <c r="A6409">
        <v>54113</v>
      </c>
      <c r="B6409" t="s">
        <v>4</v>
      </c>
      <c r="C6409">
        <v>3</v>
      </c>
      <c r="D6409" t="s">
        <v>5</v>
      </c>
      <c r="F6409" t="str" cm="1">
        <f t="array" ref="F6409">CategorizeComment(E6409)</f>
        <v>Other</v>
      </c>
      <c r="G6409" t="str" cm="1">
        <f t="array" ref="G6409">SubCategorizeComment(E6409)</f>
        <v>Other</v>
      </c>
    </row>
    <row r="6410" spans="1:7" x14ac:dyDescent="0.25">
      <c r="A6410">
        <v>54116</v>
      </c>
      <c r="B6410" t="s">
        <v>4</v>
      </c>
      <c r="C6410">
        <v>4</v>
      </c>
      <c r="D6410" t="s">
        <v>5</v>
      </c>
      <c r="F6410" t="str" cm="1">
        <f t="array" ref="F6410">CategorizeComment(E6410)</f>
        <v>Other</v>
      </c>
      <c r="G6410" t="str" cm="1">
        <f t="array" ref="G6410">SubCategorizeComment(E6410)</f>
        <v>Other</v>
      </c>
    </row>
    <row r="6411" spans="1:7" x14ac:dyDescent="0.25">
      <c r="A6411">
        <v>54128</v>
      </c>
      <c r="B6411" t="s">
        <v>4</v>
      </c>
      <c r="C6411">
        <v>3</v>
      </c>
      <c r="D6411" t="s">
        <v>5</v>
      </c>
      <c r="F6411" t="str" cm="1">
        <f t="array" ref="F6411">CategorizeComment(E6411)</f>
        <v>Other</v>
      </c>
      <c r="G6411" t="str" cm="1">
        <f t="array" ref="G6411">SubCategorizeComment(E6411)</f>
        <v>Other</v>
      </c>
    </row>
    <row r="6412" spans="1:7" x14ac:dyDescent="0.25">
      <c r="A6412">
        <v>54153</v>
      </c>
      <c r="B6412" t="s">
        <v>4</v>
      </c>
      <c r="C6412">
        <v>4</v>
      </c>
      <c r="D6412" t="s">
        <v>5</v>
      </c>
      <c r="F6412" t="str" cm="1">
        <f t="array" ref="F6412">CategorizeComment(E6412)</f>
        <v>Other</v>
      </c>
      <c r="G6412" t="str" cm="1">
        <f t="array" ref="G6412">SubCategorizeComment(E6412)</f>
        <v>Other</v>
      </c>
    </row>
    <row r="6413" spans="1:7" x14ac:dyDescent="0.25">
      <c r="A6413">
        <v>54157</v>
      </c>
      <c r="B6413" t="s">
        <v>4</v>
      </c>
      <c r="C6413">
        <v>3</v>
      </c>
      <c r="D6413" t="s">
        <v>5</v>
      </c>
      <c r="F6413" t="str" cm="1">
        <f t="array" ref="F6413">CategorizeComment(E6413)</f>
        <v>Other</v>
      </c>
      <c r="G6413" t="str" cm="1">
        <f t="array" ref="G6413">SubCategorizeComment(E6413)</f>
        <v>Other</v>
      </c>
    </row>
    <row r="6414" spans="1:7" x14ac:dyDescent="0.25">
      <c r="A6414">
        <v>54161</v>
      </c>
      <c r="B6414" t="s">
        <v>4</v>
      </c>
      <c r="C6414">
        <v>3</v>
      </c>
      <c r="D6414" t="s">
        <v>5</v>
      </c>
      <c r="F6414" t="str" cm="1">
        <f t="array" ref="F6414">CategorizeComment(E6414)</f>
        <v>Other</v>
      </c>
      <c r="G6414" t="str" cm="1">
        <f t="array" ref="G6414">SubCategorizeComment(E6414)</f>
        <v>Other</v>
      </c>
    </row>
    <row r="6415" spans="1:7" x14ac:dyDescent="0.25">
      <c r="A6415">
        <v>54164</v>
      </c>
      <c r="B6415" t="s">
        <v>4</v>
      </c>
      <c r="C6415">
        <v>4</v>
      </c>
      <c r="D6415" t="s">
        <v>5</v>
      </c>
      <c r="F6415" t="str" cm="1">
        <f t="array" ref="F6415">CategorizeComment(E6415)</f>
        <v>Other</v>
      </c>
      <c r="G6415" t="str" cm="1">
        <f t="array" ref="G6415">SubCategorizeComment(E6415)</f>
        <v>Other</v>
      </c>
    </row>
    <row r="6416" spans="1:7" x14ac:dyDescent="0.25">
      <c r="A6416">
        <v>54173</v>
      </c>
      <c r="B6416" t="s">
        <v>4</v>
      </c>
      <c r="C6416">
        <v>4</v>
      </c>
      <c r="D6416" t="s">
        <v>5</v>
      </c>
      <c r="F6416" t="str" cm="1">
        <f t="array" ref="F6416">CategorizeComment(E6416)</f>
        <v>Other</v>
      </c>
      <c r="G6416" t="str" cm="1">
        <f t="array" ref="G6416">SubCategorizeComment(E6416)</f>
        <v>Other</v>
      </c>
    </row>
    <row r="6417" spans="1:7" x14ac:dyDescent="0.25">
      <c r="A6417">
        <v>54180</v>
      </c>
      <c r="B6417" t="s">
        <v>4</v>
      </c>
      <c r="C6417">
        <v>4</v>
      </c>
      <c r="D6417" t="s">
        <v>5</v>
      </c>
      <c r="F6417" t="str" cm="1">
        <f t="array" ref="F6417">CategorizeComment(E6417)</f>
        <v>Other</v>
      </c>
      <c r="G6417" t="str" cm="1">
        <f t="array" ref="G6417">SubCategorizeComment(E6417)</f>
        <v>Other</v>
      </c>
    </row>
    <row r="6418" spans="1:7" x14ac:dyDescent="0.25">
      <c r="A6418">
        <v>54204</v>
      </c>
      <c r="B6418" t="s">
        <v>4</v>
      </c>
      <c r="C6418">
        <v>3</v>
      </c>
      <c r="D6418" t="s">
        <v>5</v>
      </c>
      <c r="F6418" t="str" cm="1">
        <f t="array" ref="F6418">CategorizeComment(E6418)</f>
        <v>Other</v>
      </c>
      <c r="G6418" t="str" cm="1">
        <f t="array" ref="G6418">SubCategorizeComment(E6418)</f>
        <v>Other</v>
      </c>
    </row>
    <row r="6419" spans="1:7" x14ac:dyDescent="0.25">
      <c r="A6419">
        <v>54207</v>
      </c>
      <c r="B6419" t="s">
        <v>4</v>
      </c>
      <c r="C6419">
        <v>4</v>
      </c>
      <c r="D6419" t="s">
        <v>5</v>
      </c>
      <c r="F6419" t="str" cm="1">
        <f t="array" ref="F6419">CategorizeComment(E6419)</f>
        <v>Other</v>
      </c>
      <c r="G6419" t="str" cm="1">
        <f t="array" ref="G6419">SubCategorizeComment(E6419)</f>
        <v>Other</v>
      </c>
    </row>
    <row r="6420" spans="1:7" x14ac:dyDescent="0.25">
      <c r="A6420">
        <v>54244</v>
      </c>
      <c r="B6420" t="s">
        <v>4</v>
      </c>
      <c r="C6420">
        <v>4</v>
      </c>
      <c r="D6420" t="s">
        <v>5</v>
      </c>
      <c r="F6420" t="str" cm="1">
        <f t="array" ref="F6420">CategorizeComment(E6420)</f>
        <v>Other</v>
      </c>
      <c r="G6420" t="str" cm="1">
        <f t="array" ref="G6420">SubCategorizeComment(E6420)</f>
        <v>Other</v>
      </c>
    </row>
    <row r="6421" spans="1:7" x14ac:dyDescent="0.25">
      <c r="A6421">
        <v>54259</v>
      </c>
      <c r="B6421" t="s">
        <v>4</v>
      </c>
      <c r="C6421">
        <v>4</v>
      </c>
      <c r="D6421" t="s">
        <v>5</v>
      </c>
      <c r="F6421" t="str" cm="1">
        <f t="array" ref="F6421">CategorizeComment(E6421)</f>
        <v>Other</v>
      </c>
      <c r="G6421" t="str" cm="1">
        <f t="array" ref="G6421">SubCategorizeComment(E6421)</f>
        <v>Other</v>
      </c>
    </row>
    <row r="6422" spans="1:7" x14ac:dyDescent="0.25">
      <c r="A6422">
        <v>54269</v>
      </c>
      <c r="B6422" t="s">
        <v>4</v>
      </c>
      <c r="C6422">
        <v>3</v>
      </c>
      <c r="D6422" t="s">
        <v>5</v>
      </c>
      <c r="F6422" t="str" cm="1">
        <f t="array" ref="F6422">CategorizeComment(E6422)</f>
        <v>Other</v>
      </c>
      <c r="G6422" t="str" cm="1">
        <f t="array" ref="G6422">SubCategorizeComment(E6422)</f>
        <v>Other</v>
      </c>
    </row>
    <row r="6423" spans="1:7" x14ac:dyDescent="0.25">
      <c r="A6423">
        <v>54271</v>
      </c>
      <c r="B6423" t="s">
        <v>4</v>
      </c>
      <c r="C6423">
        <v>4</v>
      </c>
      <c r="D6423" t="s">
        <v>5</v>
      </c>
      <c r="F6423" t="str" cm="1">
        <f t="array" ref="F6423">CategorizeComment(E6423)</f>
        <v>Other</v>
      </c>
      <c r="G6423" t="str" cm="1">
        <f t="array" ref="G6423">SubCategorizeComment(E6423)</f>
        <v>Other</v>
      </c>
    </row>
    <row r="6424" spans="1:7" x14ac:dyDescent="0.25">
      <c r="A6424">
        <v>54279</v>
      </c>
      <c r="B6424" t="s">
        <v>4</v>
      </c>
      <c r="C6424">
        <v>3</v>
      </c>
      <c r="D6424" t="s">
        <v>5</v>
      </c>
      <c r="F6424" t="str" cm="1">
        <f t="array" ref="F6424">CategorizeComment(E6424)</f>
        <v>Other</v>
      </c>
      <c r="G6424" t="str" cm="1">
        <f t="array" ref="G6424">SubCategorizeComment(E6424)</f>
        <v>Other</v>
      </c>
    </row>
    <row r="6425" spans="1:7" x14ac:dyDescent="0.25">
      <c r="A6425">
        <v>54291</v>
      </c>
      <c r="B6425" t="s">
        <v>4</v>
      </c>
      <c r="C6425">
        <v>4</v>
      </c>
      <c r="D6425" t="s">
        <v>5</v>
      </c>
      <c r="F6425" t="str" cm="1">
        <f t="array" ref="F6425">CategorizeComment(E6425)</f>
        <v>Other</v>
      </c>
      <c r="G6425" t="str" cm="1">
        <f t="array" ref="G6425">SubCategorizeComment(E6425)</f>
        <v>Other</v>
      </c>
    </row>
    <row r="6426" spans="1:7" x14ac:dyDescent="0.25">
      <c r="A6426">
        <v>54295</v>
      </c>
      <c r="B6426" t="s">
        <v>4</v>
      </c>
      <c r="C6426">
        <v>3</v>
      </c>
      <c r="D6426" t="s">
        <v>5</v>
      </c>
      <c r="F6426" t="str" cm="1">
        <f t="array" ref="F6426">CategorizeComment(E6426)</f>
        <v>Other</v>
      </c>
      <c r="G6426" t="str" cm="1">
        <f t="array" ref="G6426">SubCategorizeComment(E6426)</f>
        <v>Other</v>
      </c>
    </row>
    <row r="6427" spans="1:7" x14ac:dyDescent="0.25">
      <c r="A6427">
        <v>54329</v>
      </c>
      <c r="B6427" t="s">
        <v>4</v>
      </c>
      <c r="C6427">
        <v>3</v>
      </c>
      <c r="D6427" t="s">
        <v>5</v>
      </c>
      <c r="F6427" t="str" cm="1">
        <f t="array" ref="F6427">CategorizeComment(E6427)</f>
        <v>Other</v>
      </c>
      <c r="G6427" t="str" cm="1">
        <f t="array" ref="G6427">SubCategorizeComment(E6427)</f>
        <v>Other</v>
      </c>
    </row>
    <row r="6428" spans="1:7" x14ac:dyDescent="0.25">
      <c r="A6428">
        <v>54332</v>
      </c>
      <c r="B6428" t="s">
        <v>4</v>
      </c>
      <c r="C6428">
        <v>4</v>
      </c>
      <c r="D6428" t="s">
        <v>5</v>
      </c>
      <c r="F6428" t="str" cm="1">
        <f t="array" ref="F6428">CategorizeComment(E6428)</f>
        <v>Other</v>
      </c>
      <c r="G6428" t="str" cm="1">
        <f t="array" ref="G6428">SubCategorizeComment(E6428)</f>
        <v>Other</v>
      </c>
    </row>
    <row r="6429" spans="1:7" x14ac:dyDescent="0.25">
      <c r="A6429">
        <v>54339</v>
      </c>
      <c r="B6429" t="s">
        <v>4</v>
      </c>
      <c r="C6429">
        <v>3</v>
      </c>
      <c r="D6429" t="s">
        <v>5</v>
      </c>
      <c r="F6429" t="str" cm="1">
        <f t="array" ref="F6429">CategorizeComment(E6429)</f>
        <v>Other</v>
      </c>
      <c r="G6429" t="str" cm="1">
        <f t="array" ref="G6429">SubCategorizeComment(E6429)</f>
        <v>Other</v>
      </c>
    </row>
    <row r="6430" spans="1:7" x14ac:dyDescent="0.25">
      <c r="A6430">
        <v>54344</v>
      </c>
      <c r="B6430" t="s">
        <v>4</v>
      </c>
      <c r="C6430">
        <v>4</v>
      </c>
      <c r="D6430" t="s">
        <v>5</v>
      </c>
      <c r="F6430" t="str" cm="1">
        <f t="array" ref="F6430">CategorizeComment(E6430)</f>
        <v>Other</v>
      </c>
      <c r="G6430" t="str" cm="1">
        <f t="array" ref="G6430">SubCategorizeComment(E6430)</f>
        <v>Other</v>
      </c>
    </row>
    <row r="6431" spans="1:7" x14ac:dyDescent="0.25">
      <c r="A6431">
        <v>54373</v>
      </c>
      <c r="B6431" t="s">
        <v>4</v>
      </c>
      <c r="C6431">
        <v>4</v>
      </c>
      <c r="D6431" t="s">
        <v>5</v>
      </c>
      <c r="F6431" t="str" cm="1">
        <f t="array" ref="F6431">CategorizeComment(E6431)</f>
        <v>Other</v>
      </c>
      <c r="G6431" t="str" cm="1">
        <f t="array" ref="G6431">SubCategorizeComment(E6431)</f>
        <v>Other</v>
      </c>
    </row>
    <row r="6432" spans="1:7" x14ac:dyDescent="0.25">
      <c r="A6432">
        <v>54384</v>
      </c>
      <c r="B6432" t="s">
        <v>4</v>
      </c>
      <c r="C6432">
        <v>4</v>
      </c>
      <c r="D6432" t="s">
        <v>5</v>
      </c>
      <c r="F6432" t="str" cm="1">
        <f t="array" ref="F6432">CategorizeComment(E6432)</f>
        <v>Other</v>
      </c>
      <c r="G6432" t="str" cm="1">
        <f t="array" ref="G6432">SubCategorizeComment(E6432)</f>
        <v>Other</v>
      </c>
    </row>
    <row r="6433" spans="1:7" x14ac:dyDescent="0.25">
      <c r="A6433">
        <v>54405</v>
      </c>
      <c r="B6433" t="s">
        <v>4</v>
      </c>
      <c r="C6433">
        <v>4</v>
      </c>
      <c r="D6433" t="s">
        <v>5</v>
      </c>
      <c r="F6433" t="str" cm="1">
        <f t="array" ref="F6433">CategorizeComment(E6433)</f>
        <v>Other</v>
      </c>
      <c r="G6433" t="str" cm="1">
        <f t="array" ref="G6433">SubCategorizeComment(E6433)</f>
        <v>Other</v>
      </c>
    </row>
    <row r="6434" spans="1:7" x14ac:dyDescent="0.25">
      <c r="A6434">
        <v>54406</v>
      </c>
      <c r="B6434" t="s">
        <v>4</v>
      </c>
      <c r="C6434">
        <v>3</v>
      </c>
      <c r="D6434" t="s">
        <v>5</v>
      </c>
      <c r="F6434" t="str" cm="1">
        <f t="array" ref="F6434">CategorizeComment(E6434)</f>
        <v>Other</v>
      </c>
      <c r="G6434" t="str" cm="1">
        <f t="array" ref="G6434">SubCategorizeComment(E6434)</f>
        <v>Other</v>
      </c>
    </row>
    <row r="6435" spans="1:7" x14ac:dyDescent="0.25">
      <c r="A6435">
        <v>54419</v>
      </c>
      <c r="B6435" t="s">
        <v>4</v>
      </c>
      <c r="C6435">
        <v>3</v>
      </c>
      <c r="D6435" t="s">
        <v>5</v>
      </c>
      <c r="F6435" t="str" cm="1">
        <f t="array" ref="F6435">CategorizeComment(E6435)</f>
        <v>Other</v>
      </c>
      <c r="G6435" t="str" cm="1">
        <f t="array" ref="G6435">SubCategorizeComment(E6435)</f>
        <v>Other</v>
      </c>
    </row>
    <row r="6436" spans="1:7" x14ac:dyDescent="0.25">
      <c r="A6436">
        <v>54425</v>
      </c>
      <c r="B6436" t="s">
        <v>4</v>
      </c>
      <c r="C6436">
        <v>4</v>
      </c>
      <c r="D6436" t="s">
        <v>5</v>
      </c>
      <c r="F6436" t="str" cm="1">
        <f t="array" ref="F6436">CategorizeComment(E6436)</f>
        <v>Other</v>
      </c>
      <c r="G6436" t="str" cm="1">
        <f t="array" ref="G6436">SubCategorizeComment(E6436)</f>
        <v>Other</v>
      </c>
    </row>
    <row r="6437" spans="1:7" x14ac:dyDescent="0.25">
      <c r="A6437">
        <v>54458</v>
      </c>
      <c r="B6437" t="s">
        <v>4</v>
      </c>
      <c r="C6437">
        <v>3</v>
      </c>
      <c r="D6437" t="s">
        <v>5</v>
      </c>
      <c r="F6437" t="str" cm="1">
        <f t="array" ref="F6437">CategorizeComment(E6437)</f>
        <v>Other</v>
      </c>
      <c r="G6437" t="str" cm="1">
        <f t="array" ref="G6437">SubCategorizeComment(E6437)</f>
        <v>Other</v>
      </c>
    </row>
    <row r="6438" spans="1:7" x14ac:dyDescent="0.25">
      <c r="A6438">
        <v>54466</v>
      </c>
      <c r="B6438" t="s">
        <v>4</v>
      </c>
      <c r="C6438">
        <v>4</v>
      </c>
      <c r="D6438" t="s">
        <v>5</v>
      </c>
      <c r="F6438" t="str" cm="1">
        <f t="array" ref="F6438">CategorizeComment(E6438)</f>
        <v>Other</v>
      </c>
      <c r="G6438" t="str" cm="1">
        <f t="array" ref="G6438">SubCategorizeComment(E6438)</f>
        <v>Other</v>
      </c>
    </row>
    <row r="6439" spans="1:7" x14ac:dyDescent="0.25">
      <c r="A6439">
        <v>54474</v>
      </c>
      <c r="B6439" t="s">
        <v>4</v>
      </c>
      <c r="C6439">
        <v>4</v>
      </c>
      <c r="D6439" t="s">
        <v>5</v>
      </c>
      <c r="F6439" t="str" cm="1">
        <f t="array" ref="F6439">CategorizeComment(E6439)</f>
        <v>Other</v>
      </c>
      <c r="G6439" t="str" cm="1">
        <f t="array" ref="G6439">SubCategorizeComment(E6439)</f>
        <v>Other</v>
      </c>
    </row>
    <row r="6440" spans="1:7" x14ac:dyDescent="0.25">
      <c r="A6440">
        <v>54493</v>
      </c>
      <c r="B6440" t="s">
        <v>4</v>
      </c>
      <c r="C6440">
        <v>4</v>
      </c>
      <c r="D6440" t="s">
        <v>5</v>
      </c>
      <c r="F6440" t="str" cm="1">
        <f t="array" ref="F6440">CategorizeComment(E6440)</f>
        <v>Other</v>
      </c>
      <c r="G6440" t="str" cm="1">
        <f t="array" ref="G6440">SubCategorizeComment(E6440)</f>
        <v>Other</v>
      </c>
    </row>
    <row r="6441" spans="1:7" x14ac:dyDescent="0.25">
      <c r="A6441">
        <v>54500</v>
      </c>
      <c r="B6441" t="s">
        <v>4</v>
      </c>
      <c r="C6441">
        <v>3</v>
      </c>
      <c r="D6441" t="s">
        <v>5</v>
      </c>
      <c r="F6441" t="str" cm="1">
        <f t="array" ref="F6441">CategorizeComment(E6441)</f>
        <v>Other</v>
      </c>
      <c r="G6441" t="str" cm="1">
        <f t="array" ref="G6441">SubCategorizeComment(E6441)</f>
        <v>Other</v>
      </c>
    </row>
    <row r="6442" spans="1:7" x14ac:dyDescent="0.25">
      <c r="A6442">
        <v>54501</v>
      </c>
      <c r="B6442" t="s">
        <v>4</v>
      </c>
      <c r="C6442">
        <v>3</v>
      </c>
      <c r="D6442" t="s">
        <v>5</v>
      </c>
      <c r="F6442" t="str" cm="1">
        <f t="array" ref="F6442">CategorizeComment(E6442)</f>
        <v>Other</v>
      </c>
      <c r="G6442" t="str" cm="1">
        <f t="array" ref="G6442">SubCategorizeComment(E6442)</f>
        <v>Other</v>
      </c>
    </row>
    <row r="6443" spans="1:7" x14ac:dyDescent="0.25">
      <c r="A6443">
        <v>54504</v>
      </c>
      <c r="B6443" t="s">
        <v>4</v>
      </c>
      <c r="C6443">
        <v>3</v>
      </c>
      <c r="D6443" t="s">
        <v>5</v>
      </c>
      <c r="F6443" t="str" cm="1">
        <f t="array" ref="F6443">CategorizeComment(E6443)</f>
        <v>Other</v>
      </c>
      <c r="G6443" t="str" cm="1">
        <f t="array" ref="G6443">SubCategorizeComment(E6443)</f>
        <v>Other</v>
      </c>
    </row>
    <row r="6444" spans="1:7" x14ac:dyDescent="0.25">
      <c r="A6444">
        <v>54508</v>
      </c>
      <c r="B6444" t="s">
        <v>4</v>
      </c>
      <c r="C6444">
        <v>4</v>
      </c>
      <c r="D6444" t="s">
        <v>5</v>
      </c>
      <c r="F6444" t="str" cm="1">
        <f t="array" ref="F6444">CategorizeComment(E6444)</f>
        <v>Other</v>
      </c>
      <c r="G6444" t="str" cm="1">
        <f t="array" ref="G6444">SubCategorizeComment(E6444)</f>
        <v>Other</v>
      </c>
    </row>
    <row r="6445" spans="1:7" x14ac:dyDescent="0.25">
      <c r="A6445">
        <v>54513</v>
      </c>
      <c r="B6445" t="s">
        <v>4</v>
      </c>
      <c r="C6445">
        <v>4</v>
      </c>
      <c r="D6445" t="s">
        <v>5</v>
      </c>
      <c r="F6445" t="str" cm="1">
        <f t="array" ref="F6445">CategorizeComment(E6445)</f>
        <v>Other</v>
      </c>
      <c r="G6445" t="str" cm="1">
        <f t="array" ref="G6445">SubCategorizeComment(E6445)</f>
        <v>Other</v>
      </c>
    </row>
    <row r="6446" spans="1:7" x14ac:dyDescent="0.25">
      <c r="A6446">
        <v>54528</v>
      </c>
      <c r="B6446" t="s">
        <v>4</v>
      </c>
      <c r="C6446">
        <v>4</v>
      </c>
      <c r="D6446" t="s">
        <v>5</v>
      </c>
      <c r="F6446" t="str" cm="1">
        <f t="array" ref="F6446">CategorizeComment(E6446)</f>
        <v>Other</v>
      </c>
      <c r="G6446" t="str" cm="1">
        <f t="array" ref="G6446">SubCategorizeComment(E6446)</f>
        <v>Other</v>
      </c>
    </row>
    <row r="6447" spans="1:7" x14ac:dyDescent="0.25">
      <c r="A6447">
        <v>54542</v>
      </c>
      <c r="B6447" t="s">
        <v>4</v>
      </c>
      <c r="C6447">
        <v>4</v>
      </c>
      <c r="D6447" t="s">
        <v>5</v>
      </c>
      <c r="F6447" t="str" cm="1">
        <f t="array" ref="F6447">CategorizeComment(E6447)</f>
        <v>Other</v>
      </c>
      <c r="G6447" t="str" cm="1">
        <f t="array" ref="G6447">SubCategorizeComment(E6447)</f>
        <v>Other</v>
      </c>
    </row>
    <row r="6448" spans="1:7" x14ac:dyDescent="0.25">
      <c r="A6448">
        <v>54550</v>
      </c>
      <c r="B6448" t="s">
        <v>4</v>
      </c>
      <c r="C6448">
        <v>3</v>
      </c>
      <c r="D6448" t="s">
        <v>5</v>
      </c>
      <c r="F6448" t="str" cm="1">
        <f t="array" ref="F6448">CategorizeComment(E6448)</f>
        <v>Other</v>
      </c>
      <c r="G6448" t="str" cm="1">
        <f t="array" ref="G6448">SubCategorizeComment(E6448)</f>
        <v>Other</v>
      </c>
    </row>
    <row r="6449" spans="1:7" x14ac:dyDescent="0.25">
      <c r="A6449">
        <v>54563</v>
      </c>
      <c r="B6449" t="s">
        <v>4</v>
      </c>
      <c r="C6449">
        <v>4</v>
      </c>
      <c r="D6449" t="s">
        <v>5</v>
      </c>
      <c r="F6449" t="str" cm="1">
        <f t="array" ref="F6449">CategorizeComment(E6449)</f>
        <v>Other</v>
      </c>
      <c r="G6449" t="str" cm="1">
        <f t="array" ref="G6449">SubCategorizeComment(E6449)</f>
        <v>Other</v>
      </c>
    </row>
    <row r="6450" spans="1:7" x14ac:dyDescent="0.25">
      <c r="A6450">
        <v>54569</v>
      </c>
      <c r="B6450" t="s">
        <v>4</v>
      </c>
      <c r="C6450">
        <v>3</v>
      </c>
      <c r="D6450" t="s">
        <v>5</v>
      </c>
      <c r="F6450" t="str" cm="1">
        <f t="array" ref="F6450">CategorizeComment(E6450)</f>
        <v>Other</v>
      </c>
      <c r="G6450" t="str" cm="1">
        <f t="array" ref="G6450">SubCategorizeComment(E6450)</f>
        <v>Other</v>
      </c>
    </row>
    <row r="6451" spans="1:7" x14ac:dyDescent="0.25">
      <c r="A6451">
        <v>54575</v>
      </c>
      <c r="B6451" t="s">
        <v>4</v>
      </c>
      <c r="C6451">
        <v>3</v>
      </c>
      <c r="D6451" t="s">
        <v>5</v>
      </c>
      <c r="F6451" t="str" cm="1">
        <f t="array" ref="F6451">CategorizeComment(E6451)</f>
        <v>Other</v>
      </c>
      <c r="G6451" t="str" cm="1">
        <f t="array" ref="G6451">SubCategorizeComment(E6451)</f>
        <v>Other</v>
      </c>
    </row>
    <row r="6452" spans="1:7" x14ac:dyDescent="0.25">
      <c r="A6452">
        <v>54577</v>
      </c>
      <c r="B6452" t="s">
        <v>4</v>
      </c>
      <c r="C6452">
        <v>3</v>
      </c>
      <c r="D6452" t="s">
        <v>5</v>
      </c>
      <c r="F6452" t="str" cm="1">
        <f t="array" ref="F6452">CategorizeComment(E6452)</f>
        <v>Other</v>
      </c>
      <c r="G6452" t="str" cm="1">
        <f t="array" ref="G6452">SubCategorizeComment(E6452)</f>
        <v>Other</v>
      </c>
    </row>
    <row r="6453" spans="1:7" x14ac:dyDescent="0.25">
      <c r="A6453">
        <v>54599</v>
      </c>
      <c r="B6453" t="s">
        <v>4</v>
      </c>
      <c r="C6453">
        <v>4</v>
      </c>
      <c r="D6453" t="s">
        <v>5</v>
      </c>
      <c r="F6453" t="str" cm="1">
        <f t="array" ref="F6453">CategorizeComment(E6453)</f>
        <v>Other</v>
      </c>
      <c r="G6453" t="str" cm="1">
        <f t="array" ref="G6453">SubCategorizeComment(E6453)</f>
        <v>Other</v>
      </c>
    </row>
    <row r="6454" spans="1:7" x14ac:dyDescent="0.25">
      <c r="A6454">
        <v>54605</v>
      </c>
      <c r="B6454" t="s">
        <v>4</v>
      </c>
      <c r="C6454">
        <v>4</v>
      </c>
      <c r="D6454" t="s">
        <v>5</v>
      </c>
      <c r="F6454" t="str" cm="1">
        <f t="array" ref="F6454">CategorizeComment(E6454)</f>
        <v>Other</v>
      </c>
      <c r="G6454" t="str" cm="1">
        <f t="array" ref="G6454">SubCategorizeComment(E6454)</f>
        <v>Other</v>
      </c>
    </row>
    <row r="6455" spans="1:7" x14ac:dyDescent="0.25">
      <c r="A6455">
        <v>54616</v>
      </c>
      <c r="B6455" t="s">
        <v>4</v>
      </c>
      <c r="C6455">
        <v>4</v>
      </c>
      <c r="D6455" t="s">
        <v>5</v>
      </c>
      <c r="F6455" t="str" cm="1">
        <f t="array" ref="F6455">CategorizeComment(E6455)</f>
        <v>Other</v>
      </c>
      <c r="G6455" t="str" cm="1">
        <f t="array" ref="G6455">SubCategorizeComment(E6455)</f>
        <v>Other</v>
      </c>
    </row>
    <row r="6456" spans="1:7" x14ac:dyDescent="0.25">
      <c r="A6456">
        <v>54637</v>
      </c>
      <c r="B6456" t="s">
        <v>4</v>
      </c>
      <c r="C6456">
        <v>4</v>
      </c>
      <c r="D6456" t="s">
        <v>5</v>
      </c>
      <c r="F6456" t="str" cm="1">
        <f t="array" ref="F6456">CategorizeComment(E6456)</f>
        <v>Other</v>
      </c>
      <c r="G6456" t="str" cm="1">
        <f t="array" ref="G6456">SubCategorizeComment(E6456)</f>
        <v>Other</v>
      </c>
    </row>
    <row r="6457" spans="1:7" x14ac:dyDescent="0.25">
      <c r="A6457">
        <v>54638</v>
      </c>
      <c r="B6457" t="s">
        <v>4</v>
      </c>
      <c r="C6457">
        <v>3</v>
      </c>
      <c r="D6457" t="s">
        <v>5</v>
      </c>
      <c r="F6457" t="str" cm="1">
        <f t="array" ref="F6457">CategorizeComment(E6457)</f>
        <v>Other</v>
      </c>
      <c r="G6457" t="str" cm="1">
        <f t="array" ref="G6457">SubCategorizeComment(E6457)</f>
        <v>Other</v>
      </c>
    </row>
    <row r="6458" spans="1:7" x14ac:dyDescent="0.25">
      <c r="A6458">
        <v>54645</v>
      </c>
      <c r="B6458" t="s">
        <v>4</v>
      </c>
      <c r="C6458">
        <v>4</v>
      </c>
      <c r="D6458" t="s">
        <v>5</v>
      </c>
      <c r="F6458" t="str" cm="1">
        <f t="array" ref="F6458">CategorizeComment(E6458)</f>
        <v>Other</v>
      </c>
      <c r="G6458" t="str" cm="1">
        <f t="array" ref="G6458">SubCategorizeComment(E6458)</f>
        <v>Other</v>
      </c>
    </row>
    <row r="6459" spans="1:7" x14ac:dyDescent="0.25">
      <c r="A6459">
        <v>54651</v>
      </c>
      <c r="B6459" t="s">
        <v>4</v>
      </c>
      <c r="C6459">
        <v>4</v>
      </c>
      <c r="D6459" t="s">
        <v>5</v>
      </c>
      <c r="F6459" t="str" cm="1">
        <f t="array" ref="F6459">CategorizeComment(E6459)</f>
        <v>Other</v>
      </c>
      <c r="G6459" t="str" cm="1">
        <f t="array" ref="G6459">SubCategorizeComment(E6459)</f>
        <v>Other</v>
      </c>
    </row>
    <row r="6460" spans="1:7" x14ac:dyDescent="0.25">
      <c r="A6460">
        <v>54655</v>
      </c>
      <c r="B6460" t="s">
        <v>4</v>
      </c>
      <c r="C6460">
        <v>3</v>
      </c>
      <c r="D6460" t="s">
        <v>5</v>
      </c>
      <c r="F6460" t="str" cm="1">
        <f t="array" ref="F6460">CategorizeComment(E6460)</f>
        <v>Other</v>
      </c>
      <c r="G6460" t="str" cm="1">
        <f t="array" ref="G6460">SubCategorizeComment(E6460)</f>
        <v>Other</v>
      </c>
    </row>
    <row r="6461" spans="1:7" x14ac:dyDescent="0.25">
      <c r="A6461">
        <v>54674</v>
      </c>
      <c r="B6461" t="s">
        <v>4</v>
      </c>
      <c r="C6461">
        <v>3</v>
      </c>
      <c r="D6461" t="s">
        <v>5</v>
      </c>
      <c r="F6461" t="str" cm="1">
        <f t="array" ref="F6461">CategorizeComment(E6461)</f>
        <v>Other</v>
      </c>
      <c r="G6461" t="str" cm="1">
        <f t="array" ref="G6461">SubCategorizeComment(E6461)</f>
        <v>Other</v>
      </c>
    </row>
    <row r="6462" spans="1:7" x14ac:dyDescent="0.25">
      <c r="A6462">
        <v>54678</v>
      </c>
      <c r="B6462" t="s">
        <v>4</v>
      </c>
      <c r="C6462">
        <v>3</v>
      </c>
      <c r="D6462" t="s">
        <v>5</v>
      </c>
      <c r="F6462" t="str" cm="1">
        <f t="array" ref="F6462">CategorizeComment(E6462)</f>
        <v>Other</v>
      </c>
      <c r="G6462" t="str" cm="1">
        <f t="array" ref="G6462">SubCategorizeComment(E6462)</f>
        <v>Other</v>
      </c>
    </row>
    <row r="6463" spans="1:7" x14ac:dyDescent="0.25">
      <c r="A6463">
        <v>54681</v>
      </c>
      <c r="B6463" t="s">
        <v>4</v>
      </c>
      <c r="C6463">
        <v>4</v>
      </c>
      <c r="D6463" t="s">
        <v>5</v>
      </c>
      <c r="F6463" t="str" cm="1">
        <f t="array" ref="F6463">CategorizeComment(E6463)</f>
        <v>Other</v>
      </c>
      <c r="G6463" t="str" cm="1">
        <f t="array" ref="G6463">SubCategorizeComment(E6463)</f>
        <v>Other</v>
      </c>
    </row>
    <row r="6464" spans="1:7" x14ac:dyDescent="0.25">
      <c r="A6464">
        <v>54689</v>
      </c>
      <c r="B6464" t="s">
        <v>4</v>
      </c>
      <c r="C6464">
        <v>4</v>
      </c>
      <c r="D6464" t="s">
        <v>5</v>
      </c>
      <c r="F6464" t="str" cm="1">
        <f t="array" ref="F6464">CategorizeComment(E6464)</f>
        <v>Other</v>
      </c>
      <c r="G6464" t="str" cm="1">
        <f t="array" ref="G6464">SubCategorizeComment(E6464)</f>
        <v>Other</v>
      </c>
    </row>
    <row r="6465" spans="1:7" x14ac:dyDescent="0.25">
      <c r="A6465">
        <v>54694</v>
      </c>
      <c r="B6465" t="s">
        <v>4</v>
      </c>
      <c r="C6465">
        <v>3</v>
      </c>
      <c r="D6465" t="s">
        <v>5</v>
      </c>
      <c r="F6465" t="str" cm="1">
        <f t="array" ref="F6465">CategorizeComment(E6465)</f>
        <v>Other</v>
      </c>
      <c r="G6465" t="str" cm="1">
        <f t="array" ref="G6465">SubCategorizeComment(E6465)</f>
        <v>Other</v>
      </c>
    </row>
    <row r="6466" spans="1:7" x14ac:dyDescent="0.25">
      <c r="A6466">
        <v>54695</v>
      </c>
      <c r="B6466" t="s">
        <v>4</v>
      </c>
      <c r="C6466">
        <v>4</v>
      </c>
      <c r="D6466" t="s">
        <v>5</v>
      </c>
      <c r="F6466" t="str" cm="1">
        <f t="array" ref="F6466">CategorizeComment(E6466)</f>
        <v>Other</v>
      </c>
      <c r="G6466" t="str" cm="1">
        <f t="array" ref="G6466">SubCategorizeComment(E6466)</f>
        <v>Other</v>
      </c>
    </row>
    <row r="6467" spans="1:7" x14ac:dyDescent="0.25">
      <c r="A6467">
        <v>54698</v>
      </c>
      <c r="B6467" t="s">
        <v>4</v>
      </c>
      <c r="C6467">
        <v>4</v>
      </c>
      <c r="D6467" t="s">
        <v>5</v>
      </c>
      <c r="F6467" t="str" cm="1">
        <f t="array" ref="F6467">CategorizeComment(E6467)</f>
        <v>Other</v>
      </c>
      <c r="G6467" t="str" cm="1">
        <f t="array" ref="G6467">SubCategorizeComment(E6467)</f>
        <v>Other</v>
      </c>
    </row>
    <row r="6468" spans="1:7" x14ac:dyDescent="0.25">
      <c r="A6468">
        <v>54705</v>
      </c>
      <c r="B6468" t="s">
        <v>4</v>
      </c>
      <c r="C6468">
        <v>3</v>
      </c>
      <c r="D6468" t="s">
        <v>5</v>
      </c>
      <c r="F6468" t="str" cm="1">
        <f t="array" ref="F6468">CategorizeComment(E6468)</f>
        <v>Other</v>
      </c>
      <c r="G6468" t="str" cm="1">
        <f t="array" ref="G6468">SubCategorizeComment(E6468)</f>
        <v>Other</v>
      </c>
    </row>
    <row r="6469" spans="1:7" x14ac:dyDescent="0.25">
      <c r="A6469">
        <v>54716</v>
      </c>
      <c r="B6469" t="s">
        <v>4</v>
      </c>
      <c r="C6469">
        <v>3</v>
      </c>
      <c r="D6469" t="s">
        <v>5</v>
      </c>
      <c r="F6469" t="str" cm="1">
        <f t="array" ref="F6469">CategorizeComment(E6469)</f>
        <v>Other</v>
      </c>
      <c r="G6469" t="str" cm="1">
        <f t="array" ref="G6469">SubCategorizeComment(E6469)</f>
        <v>Other</v>
      </c>
    </row>
    <row r="6470" spans="1:7" x14ac:dyDescent="0.25">
      <c r="A6470">
        <v>54731</v>
      </c>
      <c r="B6470" t="s">
        <v>4</v>
      </c>
      <c r="C6470">
        <v>4</v>
      </c>
      <c r="D6470" t="s">
        <v>5</v>
      </c>
      <c r="F6470" t="str" cm="1">
        <f t="array" ref="F6470">CategorizeComment(E6470)</f>
        <v>Other</v>
      </c>
      <c r="G6470" t="str" cm="1">
        <f t="array" ref="G6470">SubCategorizeComment(E6470)</f>
        <v>Other</v>
      </c>
    </row>
    <row r="6471" spans="1:7" x14ac:dyDescent="0.25">
      <c r="A6471">
        <v>54743</v>
      </c>
      <c r="B6471" t="s">
        <v>4</v>
      </c>
      <c r="C6471">
        <v>4</v>
      </c>
      <c r="D6471" t="s">
        <v>5</v>
      </c>
      <c r="F6471" t="str" cm="1">
        <f t="array" ref="F6471">CategorizeComment(E6471)</f>
        <v>Other</v>
      </c>
      <c r="G6471" t="str" cm="1">
        <f t="array" ref="G6471">SubCategorizeComment(E6471)</f>
        <v>Other</v>
      </c>
    </row>
    <row r="6472" spans="1:7" x14ac:dyDescent="0.25">
      <c r="A6472">
        <v>54759</v>
      </c>
      <c r="B6472" t="s">
        <v>4</v>
      </c>
      <c r="C6472">
        <v>3</v>
      </c>
      <c r="D6472" t="s">
        <v>5</v>
      </c>
      <c r="F6472" t="str" cm="1">
        <f t="array" ref="F6472">CategorizeComment(E6472)</f>
        <v>Other</v>
      </c>
      <c r="G6472" t="str" cm="1">
        <f t="array" ref="G6472">SubCategorizeComment(E6472)</f>
        <v>Other</v>
      </c>
    </row>
    <row r="6473" spans="1:7" x14ac:dyDescent="0.25">
      <c r="A6473">
        <v>54788</v>
      </c>
      <c r="B6473" t="s">
        <v>4</v>
      </c>
      <c r="C6473">
        <v>4</v>
      </c>
      <c r="D6473" t="s">
        <v>5</v>
      </c>
      <c r="F6473" t="str" cm="1">
        <f t="array" ref="F6473">CategorizeComment(E6473)</f>
        <v>Other</v>
      </c>
      <c r="G6473" t="str" cm="1">
        <f t="array" ref="G6473">SubCategorizeComment(E6473)</f>
        <v>Other</v>
      </c>
    </row>
    <row r="6474" spans="1:7" x14ac:dyDescent="0.25">
      <c r="A6474">
        <v>54794</v>
      </c>
      <c r="B6474" t="s">
        <v>4</v>
      </c>
      <c r="C6474">
        <v>4</v>
      </c>
      <c r="D6474" t="s">
        <v>5</v>
      </c>
      <c r="F6474" t="str" cm="1">
        <f t="array" ref="F6474">CategorizeComment(E6474)</f>
        <v>Other</v>
      </c>
      <c r="G6474" t="str" cm="1">
        <f t="array" ref="G6474">SubCategorizeComment(E6474)</f>
        <v>Other</v>
      </c>
    </row>
    <row r="6475" spans="1:7" x14ac:dyDescent="0.25">
      <c r="A6475">
        <v>54797</v>
      </c>
      <c r="B6475" t="s">
        <v>4</v>
      </c>
      <c r="C6475">
        <v>4</v>
      </c>
      <c r="D6475" t="s">
        <v>5</v>
      </c>
      <c r="F6475" t="str" cm="1">
        <f t="array" ref="F6475">CategorizeComment(E6475)</f>
        <v>Other</v>
      </c>
      <c r="G6475" t="str" cm="1">
        <f t="array" ref="G6475">SubCategorizeComment(E6475)</f>
        <v>Other</v>
      </c>
    </row>
    <row r="6476" spans="1:7" x14ac:dyDescent="0.25">
      <c r="A6476">
        <v>54806</v>
      </c>
      <c r="B6476" t="s">
        <v>4</v>
      </c>
      <c r="C6476">
        <v>3</v>
      </c>
      <c r="D6476" t="s">
        <v>5</v>
      </c>
      <c r="F6476" t="str" cm="1">
        <f t="array" ref="F6476">CategorizeComment(E6476)</f>
        <v>Other</v>
      </c>
      <c r="G6476" t="str" cm="1">
        <f t="array" ref="G6476">SubCategorizeComment(E6476)</f>
        <v>Other</v>
      </c>
    </row>
    <row r="6477" spans="1:7" x14ac:dyDescent="0.25">
      <c r="A6477">
        <v>54819</v>
      </c>
      <c r="B6477" t="s">
        <v>4</v>
      </c>
      <c r="C6477">
        <v>4</v>
      </c>
      <c r="D6477" t="s">
        <v>5</v>
      </c>
      <c r="F6477" t="str" cm="1">
        <f t="array" ref="F6477">CategorizeComment(E6477)</f>
        <v>Other</v>
      </c>
      <c r="G6477" t="str" cm="1">
        <f t="array" ref="G6477">SubCategorizeComment(E6477)</f>
        <v>Other</v>
      </c>
    </row>
    <row r="6478" spans="1:7" x14ac:dyDescent="0.25">
      <c r="A6478">
        <v>54823</v>
      </c>
      <c r="B6478" t="s">
        <v>4</v>
      </c>
      <c r="C6478">
        <v>3</v>
      </c>
      <c r="D6478" t="s">
        <v>5</v>
      </c>
      <c r="F6478" t="str" cm="1">
        <f t="array" ref="F6478">CategorizeComment(E6478)</f>
        <v>Other</v>
      </c>
      <c r="G6478" t="str" cm="1">
        <f t="array" ref="G6478">SubCategorizeComment(E6478)</f>
        <v>Other</v>
      </c>
    </row>
    <row r="6479" spans="1:7" x14ac:dyDescent="0.25">
      <c r="A6479">
        <v>54845</v>
      </c>
      <c r="B6479" t="s">
        <v>4</v>
      </c>
      <c r="C6479">
        <v>4</v>
      </c>
      <c r="D6479" t="s">
        <v>5</v>
      </c>
      <c r="F6479" t="str" cm="1">
        <f t="array" ref="F6479">CategorizeComment(E6479)</f>
        <v>Other</v>
      </c>
      <c r="G6479" t="str" cm="1">
        <f t="array" ref="G6479">SubCategorizeComment(E6479)</f>
        <v>Other</v>
      </c>
    </row>
    <row r="6480" spans="1:7" x14ac:dyDescent="0.25">
      <c r="A6480">
        <v>54852</v>
      </c>
      <c r="B6480" t="s">
        <v>4</v>
      </c>
      <c r="C6480">
        <v>3</v>
      </c>
      <c r="D6480" t="s">
        <v>5</v>
      </c>
      <c r="F6480" t="str" cm="1">
        <f t="array" ref="F6480">CategorizeComment(E6480)</f>
        <v>Other</v>
      </c>
      <c r="G6480" t="str" cm="1">
        <f t="array" ref="G6480">SubCategorizeComment(E6480)</f>
        <v>Other</v>
      </c>
    </row>
    <row r="6481" spans="1:7" x14ac:dyDescent="0.25">
      <c r="A6481">
        <v>54858</v>
      </c>
      <c r="B6481" t="s">
        <v>4</v>
      </c>
      <c r="C6481">
        <v>3</v>
      </c>
      <c r="D6481" t="s">
        <v>5</v>
      </c>
      <c r="F6481" t="str" cm="1">
        <f t="array" ref="F6481">CategorizeComment(E6481)</f>
        <v>Other</v>
      </c>
      <c r="G6481" t="str" cm="1">
        <f t="array" ref="G6481">SubCategorizeComment(E6481)</f>
        <v>Other</v>
      </c>
    </row>
    <row r="6482" spans="1:7" x14ac:dyDescent="0.25">
      <c r="A6482">
        <v>54867</v>
      </c>
      <c r="B6482" t="s">
        <v>4</v>
      </c>
      <c r="C6482">
        <v>4</v>
      </c>
      <c r="D6482" t="s">
        <v>5</v>
      </c>
      <c r="F6482" t="str" cm="1">
        <f t="array" ref="F6482">CategorizeComment(E6482)</f>
        <v>Other</v>
      </c>
      <c r="G6482" t="str" cm="1">
        <f t="array" ref="G6482">SubCategorizeComment(E6482)</f>
        <v>Other</v>
      </c>
    </row>
    <row r="6483" spans="1:7" x14ac:dyDescent="0.25">
      <c r="A6483">
        <v>54875</v>
      </c>
      <c r="B6483" t="s">
        <v>4</v>
      </c>
      <c r="C6483">
        <v>4</v>
      </c>
      <c r="D6483" t="s">
        <v>5</v>
      </c>
      <c r="F6483" t="str" cm="1">
        <f t="array" ref="F6483">CategorizeComment(E6483)</f>
        <v>Other</v>
      </c>
      <c r="G6483" t="str" cm="1">
        <f t="array" ref="G6483">SubCategorizeComment(E6483)</f>
        <v>Other</v>
      </c>
    </row>
    <row r="6484" spans="1:7" x14ac:dyDescent="0.25">
      <c r="A6484">
        <v>54887</v>
      </c>
      <c r="B6484" t="s">
        <v>4</v>
      </c>
      <c r="C6484">
        <v>3</v>
      </c>
      <c r="D6484" t="s">
        <v>5</v>
      </c>
      <c r="F6484" t="str" cm="1">
        <f t="array" ref="F6484">CategorizeComment(E6484)</f>
        <v>Other</v>
      </c>
      <c r="G6484" t="str" cm="1">
        <f t="array" ref="G6484">SubCategorizeComment(E6484)</f>
        <v>Other</v>
      </c>
    </row>
    <row r="6485" spans="1:7" x14ac:dyDescent="0.25">
      <c r="A6485">
        <v>54896</v>
      </c>
      <c r="B6485" t="s">
        <v>4</v>
      </c>
      <c r="C6485">
        <v>3</v>
      </c>
      <c r="D6485" t="s">
        <v>5</v>
      </c>
      <c r="F6485" t="str" cm="1">
        <f t="array" ref="F6485">CategorizeComment(E6485)</f>
        <v>Other</v>
      </c>
      <c r="G6485" t="str" cm="1">
        <f t="array" ref="G6485">SubCategorizeComment(E6485)</f>
        <v>Other</v>
      </c>
    </row>
    <row r="6486" spans="1:7" x14ac:dyDescent="0.25">
      <c r="A6486">
        <v>54917</v>
      </c>
      <c r="B6486" t="s">
        <v>4</v>
      </c>
      <c r="C6486">
        <v>3</v>
      </c>
      <c r="D6486" t="s">
        <v>5</v>
      </c>
      <c r="F6486" t="str" cm="1">
        <f t="array" ref="F6486">CategorizeComment(E6486)</f>
        <v>Other</v>
      </c>
      <c r="G6486" t="str" cm="1">
        <f t="array" ref="G6486">SubCategorizeComment(E6486)</f>
        <v>Other</v>
      </c>
    </row>
    <row r="6487" spans="1:7" x14ac:dyDescent="0.25">
      <c r="A6487">
        <v>54939</v>
      </c>
      <c r="B6487" t="s">
        <v>4</v>
      </c>
      <c r="C6487">
        <v>3</v>
      </c>
      <c r="D6487" t="s">
        <v>5</v>
      </c>
      <c r="F6487" t="str" cm="1">
        <f t="array" ref="F6487">CategorizeComment(E6487)</f>
        <v>Other</v>
      </c>
      <c r="G6487" t="str" cm="1">
        <f t="array" ref="G6487">SubCategorizeComment(E6487)</f>
        <v>Other</v>
      </c>
    </row>
    <row r="6488" spans="1:7" x14ac:dyDescent="0.25">
      <c r="A6488">
        <v>54948</v>
      </c>
      <c r="B6488" t="s">
        <v>4</v>
      </c>
      <c r="C6488">
        <v>4</v>
      </c>
      <c r="D6488" t="s">
        <v>5</v>
      </c>
      <c r="F6488" t="str" cm="1">
        <f t="array" ref="F6488">CategorizeComment(E6488)</f>
        <v>Other</v>
      </c>
      <c r="G6488" t="str" cm="1">
        <f t="array" ref="G6488">SubCategorizeComment(E6488)</f>
        <v>Other</v>
      </c>
    </row>
    <row r="6489" spans="1:7" x14ac:dyDescent="0.25">
      <c r="A6489">
        <v>55030</v>
      </c>
      <c r="B6489" t="s">
        <v>4</v>
      </c>
      <c r="C6489">
        <v>4</v>
      </c>
      <c r="D6489" t="s">
        <v>5</v>
      </c>
      <c r="F6489" t="str" cm="1">
        <f t="array" ref="F6489">CategorizeComment(E6489)</f>
        <v>Other</v>
      </c>
      <c r="G6489" t="str" cm="1">
        <f t="array" ref="G6489">SubCategorizeComment(E6489)</f>
        <v>Other</v>
      </c>
    </row>
    <row r="6490" spans="1:7" x14ac:dyDescent="0.25">
      <c r="A6490">
        <v>55033</v>
      </c>
      <c r="B6490" t="s">
        <v>4</v>
      </c>
      <c r="C6490">
        <v>4</v>
      </c>
      <c r="D6490" t="s">
        <v>5</v>
      </c>
      <c r="F6490" t="str" cm="1">
        <f t="array" ref="F6490">CategorizeComment(E6490)</f>
        <v>Other</v>
      </c>
      <c r="G6490" t="str" cm="1">
        <f t="array" ref="G6490">SubCategorizeComment(E6490)</f>
        <v>Other</v>
      </c>
    </row>
    <row r="6491" spans="1:7" x14ac:dyDescent="0.25">
      <c r="A6491">
        <v>55047</v>
      </c>
      <c r="B6491" t="s">
        <v>4</v>
      </c>
      <c r="C6491">
        <v>4</v>
      </c>
      <c r="D6491" t="s">
        <v>5</v>
      </c>
      <c r="F6491" t="str" cm="1">
        <f t="array" ref="F6491">CategorizeComment(E6491)</f>
        <v>Other</v>
      </c>
      <c r="G6491" t="str" cm="1">
        <f t="array" ref="G6491">SubCategorizeComment(E6491)</f>
        <v>Other</v>
      </c>
    </row>
    <row r="6492" spans="1:7" x14ac:dyDescent="0.25">
      <c r="A6492">
        <v>55052</v>
      </c>
      <c r="B6492" t="s">
        <v>4</v>
      </c>
      <c r="C6492">
        <v>4</v>
      </c>
      <c r="D6492" t="s">
        <v>5</v>
      </c>
      <c r="F6492" t="str" cm="1">
        <f t="array" ref="F6492">CategorizeComment(E6492)</f>
        <v>Other</v>
      </c>
      <c r="G6492" t="str" cm="1">
        <f t="array" ref="G6492">SubCategorizeComment(E6492)</f>
        <v>Other</v>
      </c>
    </row>
    <row r="6493" spans="1:7" x14ac:dyDescent="0.25">
      <c r="A6493">
        <v>55054</v>
      </c>
      <c r="B6493" t="s">
        <v>4</v>
      </c>
      <c r="C6493">
        <v>4</v>
      </c>
      <c r="D6493" t="s">
        <v>5</v>
      </c>
      <c r="F6493" t="str" cm="1">
        <f t="array" ref="F6493">CategorizeComment(E6493)</f>
        <v>Other</v>
      </c>
      <c r="G6493" t="str" cm="1">
        <f t="array" ref="G6493">SubCategorizeComment(E6493)</f>
        <v>Other</v>
      </c>
    </row>
    <row r="6494" spans="1:7" x14ac:dyDescent="0.25">
      <c r="A6494">
        <v>55067</v>
      </c>
      <c r="B6494" t="s">
        <v>4</v>
      </c>
      <c r="C6494">
        <v>3</v>
      </c>
      <c r="D6494" t="s">
        <v>5</v>
      </c>
      <c r="F6494" t="str" cm="1">
        <f t="array" ref="F6494">CategorizeComment(E6494)</f>
        <v>Other</v>
      </c>
      <c r="G6494" t="str" cm="1">
        <f t="array" ref="G6494">SubCategorizeComment(E6494)</f>
        <v>Other</v>
      </c>
    </row>
    <row r="6495" spans="1:7" x14ac:dyDescent="0.25">
      <c r="A6495">
        <v>55071</v>
      </c>
      <c r="B6495" t="s">
        <v>4</v>
      </c>
      <c r="C6495">
        <v>4</v>
      </c>
      <c r="D6495" t="s">
        <v>5</v>
      </c>
      <c r="F6495" t="str" cm="1">
        <f t="array" ref="F6495">CategorizeComment(E6495)</f>
        <v>Other</v>
      </c>
      <c r="G6495" t="str" cm="1">
        <f t="array" ref="G6495">SubCategorizeComment(E6495)</f>
        <v>Other</v>
      </c>
    </row>
    <row r="6496" spans="1:7" x14ac:dyDescent="0.25">
      <c r="A6496">
        <v>55073</v>
      </c>
      <c r="B6496" t="s">
        <v>4</v>
      </c>
      <c r="C6496">
        <v>4</v>
      </c>
      <c r="D6496" t="s">
        <v>5</v>
      </c>
      <c r="F6496" t="str" cm="1">
        <f t="array" ref="F6496">CategorizeComment(E6496)</f>
        <v>Other</v>
      </c>
      <c r="G6496" t="str" cm="1">
        <f t="array" ref="G6496">SubCategorizeComment(E6496)</f>
        <v>Other</v>
      </c>
    </row>
    <row r="6497" spans="1:7" x14ac:dyDescent="0.25">
      <c r="A6497">
        <v>55087</v>
      </c>
      <c r="B6497" t="s">
        <v>4</v>
      </c>
      <c r="C6497">
        <v>3</v>
      </c>
      <c r="D6497" t="s">
        <v>5</v>
      </c>
      <c r="F6497" t="str" cm="1">
        <f t="array" ref="F6497">CategorizeComment(E6497)</f>
        <v>Other</v>
      </c>
      <c r="G6497" t="str" cm="1">
        <f t="array" ref="G6497">SubCategorizeComment(E6497)</f>
        <v>Other</v>
      </c>
    </row>
    <row r="6498" spans="1:7" x14ac:dyDescent="0.25">
      <c r="A6498">
        <v>55095</v>
      </c>
      <c r="B6498" t="s">
        <v>4</v>
      </c>
      <c r="C6498">
        <v>4</v>
      </c>
      <c r="D6498" t="s">
        <v>5</v>
      </c>
      <c r="F6498" t="str" cm="1">
        <f t="array" ref="F6498">CategorizeComment(E6498)</f>
        <v>Other</v>
      </c>
      <c r="G6498" t="str" cm="1">
        <f t="array" ref="G6498">SubCategorizeComment(E6498)</f>
        <v>Other</v>
      </c>
    </row>
    <row r="6499" spans="1:7" x14ac:dyDescent="0.25">
      <c r="A6499">
        <v>55099</v>
      </c>
      <c r="B6499" t="s">
        <v>4</v>
      </c>
      <c r="C6499">
        <v>3</v>
      </c>
      <c r="D6499" t="s">
        <v>5</v>
      </c>
      <c r="F6499" t="str" cm="1">
        <f t="array" ref="F6499">CategorizeComment(E6499)</f>
        <v>Other</v>
      </c>
      <c r="G6499" t="str" cm="1">
        <f t="array" ref="G6499">SubCategorizeComment(E6499)</f>
        <v>Other</v>
      </c>
    </row>
    <row r="6500" spans="1:7" x14ac:dyDescent="0.25">
      <c r="A6500">
        <v>55103</v>
      </c>
      <c r="B6500" t="s">
        <v>4</v>
      </c>
      <c r="C6500">
        <v>3</v>
      </c>
      <c r="D6500" t="s">
        <v>5</v>
      </c>
      <c r="F6500" t="str" cm="1">
        <f t="array" ref="F6500">CategorizeComment(E6500)</f>
        <v>Other</v>
      </c>
      <c r="G6500" t="str" cm="1">
        <f t="array" ref="G6500">SubCategorizeComment(E6500)</f>
        <v>Other</v>
      </c>
    </row>
    <row r="6501" spans="1:7" x14ac:dyDescent="0.25">
      <c r="A6501">
        <v>55128</v>
      </c>
      <c r="B6501" t="s">
        <v>4</v>
      </c>
      <c r="C6501">
        <v>4</v>
      </c>
      <c r="D6501" t="s">
        <v>5</v>
      </c>
      <c r="F6501" t="str" cm="1">
        <f t="array" ref="F6501">CategorizeComment(E6501)</f>
        <v>Other</v>
      </c>
      <c r="G6501" t="str" cm="1">
        <f t="array" ref="G6501">SubCategorizeComment(E6501)</f>
        <v>Other</v>
      </c>
    </row>
    <row r="6502" spans="1:7" x14ac:dyDescent="0.25">
      <c r="A6502">
        <v>55136</v>
      </c>
      <c r="B6502" t="s">
        <v>4</v>
      </c>
      <c r="C6502">
        <v>4</v>
      </c>
      <c r="D6502" t="s">
        <v>5</v>
      </c>
      <c r="F6502" t="str" cm="1">
        <f t="array" ref="F6502">CategorizeComment(E6502)</f>
        <v>Other</v>
      </c>
      <c r="G6502" t="str" cm="1">
        <f t="array" ref="G6502">SubCategorizeComment(E6502)</f>
        <v>Other</v>
      </c>
    </row>
    <row r="6503" spans="1:7" x14ac:dyDescent="0.25">
      <c r="A6503">
        <v>55137</v>
      </c>
      <c r="B6503" t="s">
        <v>4</v>
      </c>
      <c r="C6503">
        <v>3</v>
      </c>
      <c r="D6503" t="s">
        <v>5</v>
      </c>
      <c r="F6503" t="str" cm="1">
        <f t="array" ref="F6503">CategorizeComment(E6503)</f>
        <v>Other</v>
      </c>
      <c r="G6503" t="str" cm="1">
        <f t="array" ref="G6503">SubCategorizeComment(E6503)</f>
        <v>Other</v>
      </c>
    </row>
    <row r="6504" spans="1:7" x14ac:dyDescent="0.25">
      <c r="A6504">
        <v>55161</v>
      </c>
      <c r="B6504" t="s">
        <v>4</v>
      </c>
      <c r="C6504">
        <v>3</v>
      </c>
      <c r="D6504" t="s">
        <v>5</v>
      </c>
      <c r="F6504" t="str" cm="1">
        <f t="array" ref="F6504">CategorizeComment(E6504)</f>
        <v>Other</v>
      </c>
      <c r="G6504" t="str" cm="1">
        <f t="array" ref="G6504">SubCategorizeComment(E6504)</f>
        <v>Other</v>
      </c>
    </row>
    <row r="6505" spans="1:7" x14ac:dyDescent="0.25">
      <c r="A6505">
        <v>55185</v>
      </c>
      <c r="B6505" t="s">
        <v>4</v>
      </c>
      <c r="C6505">
        <v>4</v>
      </c>
      <c r="D6505" t="s">
        <v>5</v>
      </c>
      <c r="F6505" t="str" cm="1">
        <f t="array" ref="F6505">CategorizeComment(E6505)</f>
        <v>Other</v>
      </c>
      <c r="G6505" t="str" cm="1">
        <f t="array" ref="G6505">SubCategorizeComment(E6505)</f>
        <v>Other</v>
      </c>
    </row>
    <row r="6506" spans="1:7" x14ac:dyDescent="0.25">
      <c r="A6506">
        <v>55186</v>
      </c>
      <c r="B6506" t="s">
        <v>4</v>
      </c>
      <c r="C6506">
        <v>3</v>
      </c>
      <c r="D6506" t="s">
        <v>5</v>
      </c>
      <c r="F6506" t="str" cm="1">
        <f t="array" ref="F6506">CategorizeComment(E6506)</f>
        <v>Other</v>
      </c>
      <c r="G6506" t="str" cm="1">
        <f t="array" ref="G6506">SubCategorizeComment(E6506)</f>
        <v>Other</v>
      </c>
    </row>
    <row r="6507" spans="1:7" x14ac:dyDescent="0.25">
      <c r="A6507">
        <v>55190</v>
      </c>
      <c r="B6507" t="s">
        <v>4</v>
      </c>
      <c r="C6507">
        <v>3</v>
      </c>
      <c r="D6507" t="s">
        <v>5</v>
      </c>
      <c r="F6507" t="str" cm="1">
        <f t="array" ref="F6507">CategorizeComment(E6507)</f>
        <v>Other</v>
      </c>
      <c r="G6507" t="str" cm="1">
        <f t="array" ref="G6507">SubCategorizeComment(E6507)</f>
        <v>Other</v>
      </c>
    </row>
    <row r="6508" spans="1:7" x14ac:dyDescent="0.25">
      <c r="A6508">
        <v>55191</v>
      </c>
      <c r="B6508" t="s">
        <v>4</v>
      </c>
      <c r="C6508">
        <v>3</v>
      </c>
      <c r="D6508" t="s">
        <v>5</v>
      </c>
      <c r="F6508" t="str" cm="1">
        <f t="array" ref="F6508">CategorizeComment(E6508)</f>
        <v>Other</v>
      </c>
      <c r="G6508" t="str" cm="1">
        <f t="array" ref="G6508">SubCategorizeComment(E6508)</f>
        <v>Other</v>
      </c>
    </row>
    <row r="6509" spans="1:7" x14ac:dyDescent="0.25">
      <c r="A6509">
        <v>55192</v>
      </c>
      <c r="B6509" t="s">
        <v>4</v>
      </c>
      <c r="C6509">
        <v>3</v>
      </c>
      <c r="D6509" t="s">
        <v>5</v>
      </c>
      <c r="F6509" t="str" cm="1">
        <f t="array" ref="F6509">CategorizeComment(E6509)</f>
        <v>Other</v>
      </c>
      <c r="G6509" t="str" cm="1">
        <f t="array" ref="G6509">SubCategorizeComment(E6509)</f>
        <v>Other</v>
      </c>
    </row>
    <row r="6510" spans="1:7" x14ac:dyDescent="0.25">
      <c r="A6510">
        <v>55198</v>
      </c>
      <c r="B6510" t="s">
        <v>4</v>
      </c>
      <c r="C6510">
        <v>3</v>
      </c>
      <c r="D6510" t="s">
        <v>5</v>
      </c>
      <c r="F6510" t="str" cm="1">
        <f t="array" ref="F6510">CategorizeComment(E6510)</f>
        <v>Other</v>
      </c>
      <c r="G6510" t="str" cm="1">
        <f t="array" ref="G6510">SubCategorizeComment(E6510)</f>
        <v>Other</v>
      </c>
    </row>
    <row r="6511" spans="1:7" x14ac:dyDescent="0.25">
      <c r="A6511">
        <v>55202</v>
      </c>
      <c r="B6511" t="s">
        <v>4</v>
      </c>
      <c r="C6511">
        <v>4</v>
      </c>
      <c r="D6511" t="s">
        <v>5</v>
      </c>
      <c r="F6511" t="str" cm="1">
        <f t="array" ref="F6511">CategorizeComment(E6511)</f>
        <v>Other</v>
      </c>
      <c r="G6511" t="str" cm="1">
        <f t="array" ref="G6511">SubCategorizeComment(E6511)</f>
        <v>Other</v>
      </c>
    </row>
    <row r="6512" spans="1:7" x14ac:dyDescent="0.25">
      <c r="A6512">
        <v>55212</v>
      </c>
      <c r="B6512" t="s">
        <v>4</v>
      </c>
      <c r="C6512">
        <v>4</v>
      </c>
      <c r="D6512" t="s">
        <v>5</v>
      </c>
      <c r="F6512" t="str" cm="1">
        <f t="array" ref="F6512">CategorizeComment(E6512)</f>
        <v>Other</v>
      </c>
      <c r="G6512" t="str" cm="1">
        <f t="array" ref="G6512">SubCategorizeComment(E6512)</f>
        <v>Other</v>
      </c>
    </row>
    <row r="6513" spans="1:7" x14ac:dyDescent="0.25">
      <c r="A6513">
        <v>55214</v>
      </c>
      <c r="B6513" t="s">
        <v>4</v>
      </c>
      <c r="C6513">
        <v>3</v>
      </c>
      <c r="D6513" t="s">
        <v>5</v>
      </c>
      <c r="F6513" t="str" cm="1">
        <f t="array" ref="F6513">CategorizeComment(E6513)</f>
        <v>Other</v>
      </c>
      <c r="G6513" t="str" cm="1">
        <f t="array" ref="G6513">SubCategorizeComment(E6513)</f>
        <v>Other</v>
      </c>
    </row>
    <row r="6514" spans="1:7" x14ac:dyDescent="0.25">
      <c r="A6514">
        <v>55232</v>
      </c>
      <c r="B6514" t="s">
        <v>4</v>
      </c>
      <c r="C6514">
        <v>3</v>
      </c>
      <c r="D6514" t="s">
        <v>5</v>
      </c>
      <c r="F6514" t="str" cm="1">
        <f t="array" ref="F6514">CategorizeComment(E6514)</f>
        <v>Other</v>
      </c>
      <c r="G6514" t="str" cm="1">
        <f t="array" ref="G6514">SubCategorizeComment(E6514)</f>
        <v>Other</v>
      </c>
    </row>
    <row r="6515" spans="1:7" x14ac:dyDescent="0.25">
      <c r="A6515">
        <v>55240</v>
      </c>
      <c r="B6515" t="s">
        <v>4</v>
      </c>
      <c r="C6515">
        <v>4</v>
      </c>
      <c r="D6515" t="s">
        <v>5</v>
      </c>
      <c r="F6515" t="str" cm="1">
        <f t="array" ref="F6515">CategorizeComment(E6515)</f>
        <v>Other</v>
      </c>
      <c r="G6515" t="str" cm="1">
        <f t="array" ref="G6515">SubCategorizeComment(E6515)</f>
        <v>Other</v>
      </c>
    </row>
    <row r="6516" spans="1:7" x14ac:dyDescent="0.25">
      <c r="A6516">
        <v>55243</v>
      </c>
      <c r="B6516" t="s">
        <v>4</v>
      </c>
      <c r="C6516">
        <v>4</v>
      </c>
      <c r="D6516" t="s">
        <v>5</v>
      </c>
      <c r="F6516" t="str" cm="1">
        <f t="array" ref="F6516">CategorizeComment(E6516)</f>
        <v>Other</v>
      </c>
      <c r="G6516" t="str" cm="1">
        <f t="array" ref="G6516">SubCategorizeComment(E6516)</f>
        <v>Other</v>
      </c>
    </row>
    <row r="6517" spans="1:7" x14ac:dyDescent="0.25">
      <c r="A6517">
        <v>55252</v>
      </c>
      <c r="B6517" t="s">
        <v>4</v>
      </c>
      <c r="C6517">
        <v>3</v>
      </c>
      <c r="D6517" t="s">
        <v>5</v>
      </c>
      <c r="F6517" t="str" cm="1">
        <f t="array" ref="F6517">CategorizeComment(E6517)</f>
        <v>Other</v>
      </c>
      <c r="G6517" t="str" cm="1">
        <f t="array" ref="G6517">SubCategorizeComment(E6517)</f>
        <v>Other</v>
      </c>
    </row>
    <row r="6518" spans="1:7" x14ac:dyDescent="0.25">
      <c r="A6518">
        <v>55253</v>
      </c>
      <c r="B6518" t="s">
        <v>4</v>
      </c>
      <c r="C6518">
        <v>3</v>
      </c>
      <c r="D6518" t="s">
        <v>5</v>
      </c>
      <c r="F6518" t="str" cm="1">
        <f t="array" ref="F6518">CategorizeComment(E6518)</f>
        <v>Other</v>
      </c>
      <c r="G6518" t="str" cm="1">
        <f t="array" ref="G6518">SubCategorizeComment(E6518)</f>
        <v>Other</v>
      </c>
    </row>
    <row r="6519" spans="1:7" x14ac:dyDescent="0.25">
      <c r="A6519">
        <v>55255</v>
      </c>
      <c r="B6519" t="s">
        <v>4</v>
      </c>
      <c r="C6519">
        <v>4</v>
      </c>
      <c r="D6519" t="s">
        <v>5</v>
      </c>
      <c r="F6519" t="str" cm="1">
        <f t="array" ref="F6519">CategorizeComment(E6519)</f>
        <v>Other</v>
      </c>
      <c r="G6519" t="str" cm="1">
        <f t="array" ref="G6519">SubCategorizeComment(E6519)</f>
        <v>Other</v>
      </c>
    </row>
    <row r="6520" spans="1:7" x14ac:dyDescent="0.25">
      <c r="A6520">
        <v>55298</v>
      </c>
      <c r="B6520" t="s">
        <v>4</v>
      </c>
      <c r="C6520">
        <v>4</v>
      </c>
      <c r="D6520" t="s">
        <v>5</v>
      </c>
      <c r="F6520" t="str" cm="1">
        <f t="array" ref="F6520">CategorizeComment(E6520)</f>
        <v>Other</v>
      </c>
      <c r="G6520" t="str" cm="1">
        <f t="array" ref="G6520">SubCategorizeComment(E6520)</f>
        <v>Other</v>
      </c>
    </row>
    <row r="6521" spans="1:7" x14ac:dyDescent="0.25">
      <c r="A6521">
        <v>55308</v>
      </c>
      <c r="B6521" t="s">
        <v>4</v>
      </c>
      <c r="C6521">
        <v>4</v>
      </c>
      <c r="D6521" t="s">
        <v>5</v>
      </c>
      <c r="F6521" t="str" cm="1">
        <f t="array" ref="F6521">CategorizeComment(E6521)</f>
        <v>Other</v>
      </c>
      <c r="G6521" t="str" cm="1">
        <f t="array" ref="G6521">SubCategorizeComment(E6521)</f>
        <v>Other</v>
      </c>
    </row>
    <row r="6522" spans="1:7" x14ac:dyDescent="0.25">
      <c r="A6522">
        <v>55316</v>
      </c>
      <c r="B6522" t="s">
        <v>4</v>
      </c>
      <c r="C6522">
        <v>3</v>
      </c>
      <c r="D6522" t="s">
        <v>5</v>
      </c>
      <c r="F6522" t="str" cm="1">
        <f t="array" ref="F6522">CategorizeComment(E6522)</f>
        <v>Other</v>
      </c>
      <c r="G6522" t="str" cm="1">
        <f t="array" ref="G6522">SubCategorizeComment(E6522)</f>
        <v>Other</v>
      </c>
    </row>
    <row r="6523" spans="1:7" x14ac:dyDescent="0.25">
      <c r="A6523">
        <v>55323</v>
      </c>
      <c r="B6523" t="s">
        <v>4</v>
      </c>
      <c r="C6523">
        <v>3</v>
      </c>
      <c r="D6523" t="s">
        <v>5</v>
      </c>
      <c r="F6523" t="str" cm="1">
        <f t="array" ref="F6523">CategorizeComment(E6523)</f>
        <v>Other</v>
      </c>
      <c r="G6523" t="str" cm="1">
        <f t="array" ref="G6523">SubCategorizeComment(E6523)</f>
        <v>Other</v>
      </c>
    </row>
    <row r="6524" spans="1:7" x14ac:dyDescent="0.25">
      <c r="A6524">
        <v>55336</v>
      </c>
      <c r="B6524" t="s">
        <v>4</v>
      </c>
      <c r="C6524">
        <v>4</v>
      </c>
      <c r="D6524" t="s">
        <v>5</v>
      </c>
      <c r="F6524" t="str" cm="1">
        <f t="array" ref="F6524">CategorizeComment(E6524)</f>
        <v>Other</v>
      </c>
      <c r="G6524" t="str" cm="1">
        <f t="array" ref="G6524">SubCategorizeComment(E6524)</f>
        <v>Other</v>
      </c>
    </row>
    <row r="6525" spans="1:7" x14ac:dyDescent="0.25">
      <c r="A6525">
        <v>55337</v>
      </c>
      <c r="B6525" t="s">
        <v>4</v>
      </c>
      <c r="C6525">
        <v>4</v>
      </c>
      <c r="D6525" t="s">
        <v>5</v>
      </c>
      <c r="F6525" t="str" cm="1">
        <f t="array" ref="F6525">CategorizeComment(E6525)</f>
        <v>Other</v>
      </c>
      <c r="G6525" t="str" cm="1">
        <f t="array" ref="G6525">SubCategorizeComment(E6525)</f>
        <v>Other</v>
      </c>
    </row>
    <row r="6526" spans="1:7" x14ac:dyDescent="0.25">
      <c r="A6526">
        <v>55379</v>
      </c>
      <c r="B6526" t="s">
        <v>4</v>
      </c>
      <c r="C6526">
        <v>4</v>
      </c>
      <c r="D6526" t="s">
        <v>5</v>
      </c>
      <c r="F6526" t="str" cm="1">
        <f t="array" ref="F6526">CategorizeComment(E6526)</f>
        <v>Other</v>
      </c>
      <c r="G6526" t="str" cm="1">
        <f t="array" ref="G6526">SubCategorizeComment(E6526)</f>
        <v>Other</v>
      </c>
    </row>
    <row r="6527" spans="1:7" x14ac:dyDescent="0.25">
      <c r="A6527">
        <v>55380</v>
      </c>
      <c r="B6527" t="s">
        <v>4</v>
      </c>
      <c r="C6527">
        <v>4</v>
      </c>
      <c r="D6527" t="s">
        <v>5</v>
      </c>
      <c r="F6527" t="str" cm="1">
        <f t="array" ref="F6527">CategorizeComment(E6527)</f>
        <v>Other</v>
      </c>
      <c r="G6527" t="str" cm="1">
        <f t="array" ref="G6527">SubCategorizeComment(E6527)</f>
        <v>Other</v>
      </c>
    </row>
    <row r="6528" spans="1:7" x14ac:dyDescent="0.25">
      <c r="A6528">
        <v>55394</v>
      </c>
      <c r="B6528" t="s">
        <v>4</v>
      </c>
      <c r="C6528">
        <v>3</v>
      </c>
      <c r="D6528" t="s">
        <v>5</v>
      </c>
      <c r="F6528" t="str" cm="1">
        <f t="array" ref="F6528">CategorizeComment(E6528)</f>
        <v>Other</v>
      </c>
      <c r="G6528" t="str" cm="1">
        <f t="array" ref="G6528">SubCategorizeComment(E6528)</f>
        <v>Other</v>
      </c>
    </row>
    <row r="6529" spans="1:7" x14ac:dyDescent="0.25">
      <c r="A6529">
        <v>55396</v>
      </c>
      <c r="B6529" t="s">
        <v>4</v>
      </c>
      <c r="C6529">
        <v>4</v>
      </c>
      <c r="D6529" t="s">
        <v>5</v>
      </c>
      <c r="F6529" t="str" cm="1">
        <f t="array" ref="F6529">CategorizeComment(E6529)</f>
        <v>Other</v>
      </c>
      <c r="G6529" t="str" cm="1">
        <f t="array" ref="G6529">SubCategorizeComment(E6529)</f>
        <v>Other</v>
      </c>
    </row>
    <row r="6530" spans="1:7" x14ac:dyDescent="0.25">
      <c r="A6530">
        <v>55399</v>
      </c>
      <c r="B6530" t="s">
        <v>4</v>
      </c>
      <c r="C6530">
        <v>3</v>
      </c>
      <c r="D6530" t="s">
        <v>5</v>
      </c>
      <c r="F6530" t="str" cm="1">
        <f t="array" ref="F6530">CategorizeComment(E6530)</f>
        <v>Other</v>
      </c>
      <c r="G6530" t="str" cm="1">
        <f t="array" ref="G6530">SubCategorizeComment(E6530)</f>
        <v>Other</v>
      </c>
    </row>
    <row r="6531" spans="1:7" x14ac:dyDescent="0.25">
      <c r="A6531">
        <v>55435</v>
      </c>
      <c r="B6531" t="s">
        <v>4</v>
      </c>
      <c r="C6531">
        <v>3</v>
      </c>
      <c r="D6531" t="s">
        <v>5</v>
      </c>
      <c r="F6531" t="str" cm="1">
        <f t="array" ref="F6531">CategorizeComment(E6531)</f>
        <v>Other</v>
      </c>
      <c r="G6531" t="str" cm="1">
        <f t="array" ref="G6531">SubCategorizeComment(E6531)</f>
        <v>Other</v>
      </c>
    </row>
    <row r="6532" spans="1:7" x14ac:dyDescent="0.25">
      <c r="A6532">
        <v>55443</v>
      </c>
      <c r="B6532" t="s">
        <v>4</v>
      </c>
      <c r="C6532">
        <v>4</v>
      </c>
      <c r="D6532" t="s">
        <v>5</v>
      </c>
      <c r="F6532" t="str" cm="1">
        <f t="array" ref="F6532">CategorizeComment(E6532)</f>
        <v>Other</v>
      </c>
      <c r="G6532" t="str" cm="1">
        <f t="array" ref="G6532">SubCategorizeComment(E6532)</f>
        <v>Other</v>
      </c>
    </row>
    <row r="6533" spans="1:7" x14ac:dyDescent="0.25">
      <c r="A6533">
        <v>55456</v>
      </c>
      <c r="B6533" t="s">
        <v>4</v>
      </c>
      <c r="C6533">
        <v>3</v>
      </c>
      <c r="D6533" t="s">
        <v>5</v>
      </c>
      <c r="F6533" t="str" cm="1">
        <f t="array" ref="F6533">CategorizeComment(E6533)</f>
        <v>Other</v>
      </c>
      <c r="G6533" t="str" cm="1">
        <f t="array" ref="G6533">SubCategorizeComment(E6533)</f>
        <v>Other</v>
      </c>
    </row>
    <row r="6534" spans="1:7" x14ac:dyDescent="0.25">
      <c r="A6534">
        <v>55469</v>
      </c>
      <c r="B6534" t="s">
        <v>4</v>
      </c>
      <c r="C6534">
        <v>3</v>
      </c>
      <c r="D6534" t="s">
        <v>5</v>
      </c>
      <c r="F6534" t="str" cm="1">
        <f t="array" ref="F6534">CategorizeComment(E6534)</f>
        <v>Other</v>
      </c>
      <c r="G6534" t="str" cm="1">
        <f t="array" ref="G6534">SubCategorizeComment(E6534)</f>
        <v>Other</v>
      </c>
    </row>
    <row r="6535" spans="1:7" x14ac:dyDescent="0.25">
      <c r="A6535">
        <v>55475</v>
      </c>
      <c r="B6535" t="s">
        <v>4</v>
      </c>
      <c r="C6535">
        <v>3</v>
      </c>
      <c r="D6535" t="s">
        <v>5</v>
      </c>
      <c r="F6535" t="str" cm="1">
        <f t="array" ref="F6535">CategorizeComment(E6535)</f>
        <v>Other</v>
      </c>
      <c r="G6535" t="str" cm="1">
        <f t="array" ref="G6535">SubCategorizeComment(E6535)</f>
        <v>Other</v>
      </c>
    </row>
    <row r="6536" spans="1:7" x14ac:dyDescent="0.25">
      <c r="A6536">
        <v>55492</v>
      </c>
      <c r="B6536" t="s">
        <v>4</v>
      </c>
      <c r="C6536">
        <v>4</v>
      </c>
      <c r="D6536" t="s">
        <v>5</v>
      </c>
      <c r="F6536" t="str" cm="1">
        <f t="array" ref="F6536">CategorizeComment(E6536)</f>
        <v>Other</v>
      </c>
      <c r="G6536" t="str" cm="1">
        <f t="array" ref="G6536">SubCategorizeComment(E6536)</f>
        <v>Other</v>
      </c>
    </row>
    <row r="6537" spans="1:7" x14ac:dyDescent="0.25">
      <c r="A6537">
        <v>55496</v>
      </c>
      <c r="B6537" t="s">
        <v>4</v>
      </c>
      <c r="C6537">
        <v>4</v>
      </c>
      <c r="D6537" t="s">
        <v>5</v>
      </c>
      <c r="F6537" t="str" cm="1">
        <f t="array" ref="F6537">CategorizeComment(E6537)</f>
        <v>Other</v>
      </c>
      <c r="G6537" t="str" cm="1">
        <f t="array" ref="G6537">SubCategorizeComment(E6537)</f>
        <v>Other</v>
      </c>
    </row>
    <row r="6538" spans="1:7" x14ac:dyDescent="0.25">
      <c r="A6538">
        <v>55515</v>
      </c>
      <c r="B6538" t="s">
        <v>4</v>
      </c>
      <c r="C6538">
        <v>4</v>
      </c>
      <c r="D6538" t="s">
        <v>5</v>
      </c>
      <c r="F6538" t="str" cm="1">
        <f t="array" ref="F6538">CategorizeComment(E6538)</f>
        <v>Other</v>
      </c>
      <c r="G6538" t="str" cm="1">
        <f t="array" ref="G6538">SubCategorizeComment(E6538)</f>
        <v>Other</v>
      </c>
    </row>
    <row r="6539" spans="1:7" x14ac:dyDescent="0.25">
      <c r="A6539">
        <v>55516</v>
      </c>
      <c r="B6539" t="s">
        <v>4</v>
      </c>
      <c r="C6539">
        <v>4</v>
      </c>
      <c r="D6539" t="s">
        <v>5</v>
      </c>
      <c r="F6539" t="str" cm="1">
        <f t="array" ref="F6539">CategorizeComment(E6539)</f>
        <v>Other</v>
      </c>
      <c r="G6539" t="str" cm="1">
        <f t="array" ref="G6539">SubCategorizeComment(E6539)</f>
        <v>Other</v>
      </c>
    </row>
    <row r="6540" spans="1:7" x14ac:dyDescent="0.25">
      <c r="A6540">
        <v>55527</v>
      </c>
      <c r="B6540" t="s">
        <v>4</v>
      </c>
      <c r="C6540">
        <v>4</v>
      </c>
      <c r="D6540" t="s">
        <v>5</v>
      </c>
      <c r="F6540" t="str" cm="1">
        <f t="array" ref="F6540">CategorizeComment(E6540)</f>
        <v>Other</v>
      </c>
      <c r="G6540" t="str" cm="1">
        <f t="array" ref="G6540">SubCategorizeComment(E6540)</f>
        <v>Other</v>
      </c>
    </row>
    <row r="6541" spans="1:7" x14ac:dyDescent="0.25">
      <c r="A6541">
        <v>55537</v>
      </c>
      <c r="B6541" t="s">
        <v>4</v>
      </c>
      <c r="C6541">
        <v>4</v>
      </c>
      <c r="D6541" t="s">
        <v>5</v>
      </c>
      <c r="F6541" t="str" cm="1">
        <f t="array" ref="F6541">CategorizeComment(E6541)</f>
        <v>Other</v>
      </c>
      <c r="G6541" t="str" cm="1">
        <f t="array" ref="G6541">SubCategorizeComment(E6541)</f>
        <v>Other</v>
      </c>
    </row>
    <row r="6542" spans="1:7" x14ac:dyDescent="0.25">
      <c r="A6542">
        <v>55550</v>
      </c>
      <c r="B6542" t="s">
        <v>4</v>
      </c>
      <c r="C6542">
        <v>3</v>
      </c>
      <c r="D6542" t="s">
        <v>5</v>
      </c>
      <c r="F6542" t="str" cm="1">
        <f t="array" ref="F6542">CategorizeComment(E6542)</f>
        <v>Other</v>
      </c>
      <c r="G6542" t="str" cm="1">
        <f t="array" ref="G6542">SubCategorizeComment(E6542)</f>
        <v>Other</v>
      </c>
    </row>
    <row r="6543" spans="1:7" x14ac:dyDescent="0.25">
      <c r="A6543">
        <v>55551</v>
      </c>
      <c r="B6543" t="s">
        <v>4</v>
      </c>
      <c r="C6543">
        <v>4</v>
      </c>
      <c r="D6543" t="s">
        <v>5</v>
      </c>
      <c r="F6543" t="str" cm="1">
        <f t="array" ref="F6543">CategorizeComment(E6543)</f>
        <v>Other</v>
      </c>
      <c r="G6543" t="str" cm="1">
        <f t="array" ref="G6543">SubCategorizeComment(E6543)</f>
        <v>Other</v>
      </c>
    </row>
    <row r="6544" spans="1:7" x14ac:dyDescent="0.25">
      <c r="A6544">
        <v>55554</v>
      </c>
      <c r="B6544" t="s">
        <v>4</v>
      </c>
      <c r="C6544">
        <v>3</v>
      </c>
      <c r="D6544" t="s">
        <v>5</v>
      </c>
      <c r="F6544" t="str" cm="1">
        <f t="array" ref="F6544">CategorizeComment(E6544)</f>
        <v>Other</v>
      </c>
      <c r="G6544" t="str" cm="1">
        <f t="array" ref="G6544">SubCategorizeComment(E6544)</f>
        <v>Other</v>
      </c>
    </row>
    <row r="6545" spans="1:7" x14ac:dyDescent="0.25">
      <c r="A6545">
        <v>55562</v>
      </c>
      <c r="B6545" t="s">
        <v>4</v>
      </c>
      <c r="C6545">
        <v>3</v>
      </c>
      <c r="D6545" t="s">
        <v>5</v>
      </c>
      <c r="F6545" t="str" cm="1">
        <f t="array" ref="F6545">CategorizeComment(E6545)</f>
        <v>Other</v>
      </c>
      <c r="G6545" t="str" cm="1">
        <f t="array" ref="G6545">SubCategorizeComment(E6545)</f>
        <v>Other</v>
      </c>
    </row>
    <row r="6546" spans="1:7" x14ac:dyDescent="0.25">
      <c r="A6546">
        <v>55571</v>
      </c>
      <c r="B6546" t="s">
        <v>4</v>
      </c>
      <c r="C6546">
        <v>3</v>
      </c>
      <c r="D6546" t="s">
        <v>5</v>
      </c>
      <c r="F6546" t="str" cm="1">
        <f t="array" ref="F6546">CategorizeComment(E6546)</f>
        <v>Other</v>
      </c>
      <c r="G6546" t="str" cm="1">
        <f t="array" ref="G6546">SubCategorizeComment(E6546)</f>
        <v>Other</v>
      </c>
    </row>
    <row r="6547" spans="1:7" x14ac:dyDescent="0.25">
      <c r="A6547">
        <v>55584</v>
      </c>
      <c r="B6547" t="s">
        <v>4</v>
      </c>
      <c r="C6547">
        <v>4</v>
      </c>
      <c r="D6547" t="s">
        <v>5</v>
      </c>
      <c r="F6547" t="str" cm="1">
        <f t="array" ref="F6547">CategorizeComment(E6547)</f>
        <v>Other</v>
      </c>
      <c r="G6547" t="str" cm="1">
        <f t="array" ref="G6547">SubCategorizeComment(E6547)</f>
        <v>Other</v>
      </c>
    </row>
    <row r="6548" spans="1:7" x14ac:dyDescent="0.25">
      <c r="A6548">
        <v>55609</v>
      </c>
      <c r="B6548" t="s">
        <v>4</v>
      </c>
      <c r="C6548">
        <v>3</v>
      </c>
      <c r="D6548" t="s">
        <v>5</v>
      </c>
      <c r="F6548" t="str" cm="1">
        <f t="array" ref="F6548">CategorizeComment(E6548)</f>
        <v>Other</v>
      </c>
      <c r="G6548" t="str" cm="1">
        <f t="array" ref="G6548">SubCategorizeComment(E6548)</f>
        <v>Other</v>
      </c>
    </row>
    <row r="6549" spans="1:7" x14ac:dyDescent="0.25">
      <c r="A6549">
        <v>55617</v>
      </c>
      <c r="B6549" t="s">
        <v>4</v>
      </c>
      <c r="C6549">
        <v>4</v>
      </c>
      <c r="D6549" t="s">
        <v>5</v>
      </c>
      <c r="F6549" t="str" cm="1">
        <f t="array" ref="F6549">CategorizeComment(E6549)</f>
        <v>Other</v>
      </c>
      <c r="G6549" t="str" cm="1">
        <f t="array" ref="G6549">SubCategorizeComment(E6549)</f>
        <v>Other</v>
      </c>
    </row>
    <row r="6550" spans="1:7" x14ac:dyDescent="0.25">
      <c r="A6550">
        <v>55625</v>
      </c>
      <c r="B6550" t="s">
        <v>4</v>
      </c>
      <c r="C6550">
        <v>3</v>
      </c>
      <c r="D6550" t="s">
        <v>5</v>
      </c>
      <c r="F6550" t="str" cm="1">
        <f t="array" ref="F6550">CategorizeComment(E6550)</f>
        <v>Other</v>
      </c>
      <c r="G6550" t="str" cm="1">
        <f t="array" ref="G6550">SubCategorizeComment(E6550)</f>
        <v>Other</v>
      </c>
    </row>
    <row r="6551" spans="1:7" x14ac:dyDescent="0.25">
      <c r="A6551">
        <v>55626</v>
      </c>
      <c r="B6551" t="s">
        <v>4</v>
      </c>
      <c r="C6551">
        <v>3</v>
      </c>
      <c r="D6551" t="s">
        <v>5</v>
      </c>
      <c r="F6551" t="str" cm="1">
        <f t="array" ref="F6551">CategorizeComment(E6551)</f>
        <v>Other</v>
      </c>
      <c r="G6551" t="str" cm="1">
        <f t="array" ref="G6551">SubCategorizeComment(E6551)</f>
        <v>Other</v>
      </c>
    </row>
    <row r="6552" spans="1:7" x14ac:dyDescent="0.25">
      <c r="A6552">
        <v>55627</v>
      </c>
      <c r="B6552" t="s">
        <v>4</v>
      </c>
      <c r="C6552">
        <v>3</v>
      </c>
      <c r="D6552" t="s">
        <v>5</v>
      </c>
      <c r="F6552" t="str" cm="1">
        <f t="array" ref="F6552">CategorizeComment(E6552)</f>
        <v>Other</v>
      </c>
      <c r="G6552" t="str" cm="1">
        <f t="array" ref="G6552">SubCategorizeComment(E6552)</f>
        <v>Other</v>
      </c>
    </row>
    <row r="6553" spans="1:7" x14ac:dyDescent="0.25">
      <c r="A6553">
        <v>55644</v>
      </c>
      <c r="B6553" t="s">
        <v>4</v>
      </c>
      <c r="C6553">
        <v>4</v>
      </c>
      <c r="D6553" t="s">
        <v>5</v>
      </c>
      <c r="F6553" t="str" cm="1">
        <f t="array" ref="F6553">CategorizeComment(E6553)</f>
        <v>Other</v>
      </c>
      <c r="G6553" t="str" cm="1">
        <f t="array" ref="G6553">SubCategorizeComment(E6553)</f>
        <v>Other</v>
      </c>
    </row>
    <row r="6554" spans="1:7" x14ac:dyDescent="0.25">
      <c r="A6554">
        <v>55667</v>
      </c>
      <c r="B6554" t="s">
        <v>4</v>
      </c>
      <c r="C6554">
        <v>4</v>
      </c>
      <c r="D6554" t="s">
        <v>5</v>
      </c>
      <c r="F6554" t="str" cm="1">
        <f t="array" ref="F6554">CategorizeComment(E6554)</f>
        <v>Other</v>
      </c>
      <c r="G6554" t="str" cm="1">
        <f t="array" ref="G6554">SubCategorizeComment(E6554)</f>
        <v>Other</v>
      </c>
    </row>
    <row r="6555" spans="1:7" x14ac:dyDescent="0.25">
      <c r="A6555">
        <v>55690</v>
      </c>
      <c r="B6555" t="s">
        <v>4</v>
      </c>
      <c r="C6555">
        <v>4</v>
      </c>
      <c r="D6555" t="s">
        <v>5</v>
      </c>
      <c r="F6555" t="str" cm="1">
        <f t="array" ref="F6555">CategorizeComment(E6555)</f>
        <v>Other</v>
      </c>
      <c r="G6555" t="str" cm="1">
        <f t="array" ref="G6555">SubCategorizeComment(E6555)</f>
        <v>Other</v>
      </c>
    </row>
    <row r="6556" spans="1:7" x14ac:dyDescent="0.25">
      <c r="A6556">
        <v>55692</v>
      </c>
      <c r="B6556" t="s">
        <v>4</v>
      </c>
      <c r="C6556">
        <v>4</v>
      </c>
      <c r="D6556" t="s">
        <v>5</v>
      </c>
      <c r="F6556" t="str" cm="1">
        <f t="array" ref="F6556">CategorizeComment(E6556)</f>
        <v>Other</v>
      </c>
      <c r="G6556" t="str" cm="1">
        <f t="array" ref="G6556">SubCategorizeComment(E6556)</f>
        <v>Other</v>
      </c>
    </row>
    <row r="6557" spans="1:7" x14ac:dyDescent="0.25">
      <c r="A6557">
        <v>55740</v>
      </c>
      <c r="B6557" t="s">
        <v>4</v>
      </c>
      <c r="C6557">
        <v>3</v>
      </c>
      <c r="D6557" t="s">
        <v>5</v>
      </c>
      <c r="F6557" t="str" cm="1">
        <f t="array" ref="F6557">CategorizeComment(E6557)</f>
        <v>Other</v>
      </c>
      <c r="G6557" t="str" cm="1">
        <f t="array" ref="G6557">SubCategorizeComment(E6557)</f>
        <v>Other</v>
      </c>
    </row>
    <row r="6558" spans="1:7" x14ac:dyDescent="0.25">
      <c r="A6558">
        <v>55747</v>
      </c>
      <c r="B6558" t="s">
        <v>4</v>
      </c>
      <c r="C6558">
        <v>3</v>
      </c>
      <c r="D6558" t="s">
        <v>5</v>
      </c>
      <c r="F6558" t="str" cm="1">
        <f t="array" ref="F6558">CategorizeComment(E6558)</f>
        <v>Other</v>
      </c>
      <c r="G6558" t="str" cm="1">
        <f t="array" ref="G6558">SubCategorizeComment(E6558)</f>
        <v>Other</v>
      </c>
    </row>
    <row r="6559" spans="1:7" x14ac:dyDescent="0.25">
      <c r="A6559">
        <v>55751</v>
      </c>
      <c r="B6559" t="s">
        <v>4</v>
      </c>
      <c r="C6559">
        <v>4</v>
      </c>
      <c r="D6559" t="s">
        <v>5</v>
      </c>
      <c r="F6559" t="str" cm="1">
        <f t="array" ref="F6559">CategorizeComment(E6559)</f>
        <v>Other</v>
      </c>
      <c r="G6559" t="str" cm="1">
        <f t="array" ref="G6559">SubCategorizeComment(E6559)</f>
        <v>Other</v>
      </c>
    </row>
    <row r="6560" spans="1:7" x14ac:dyDescent="0.25">
      <c r="A6560">
        <v>55764</v>
      </c>
      <c r="B6560" t="s">
        <v>4</v>
      </c>
      <c r="C6560">
        <v>3</v>
      </c>
      <c r="D6560" t="s">
        <v>5</v>
      </c>
      <c r="F6560" t="str" cm="1">
        <f t="array" ref="F6560">CategorizeComment(E6560)</f>
        <v>Other</v>
      </c>
      <c r="G6560" t="str" cm="1">
        <f t="array" ref="G6560">SubCategorizeComment(E6560)</f>
        <v>Other</v>
      </c>
    </row>
    <row r="6561" spans="1:7" x14ac:dyDescent="0.25">
      <c r="A6561">
        <v>55769</v>
      </c>
      <c r="B6561" t="s">
        <v>4</v>
      </c>
      <c r="C6561">
        <v>4</v>
      </c>
      <c r="D6561" t="s">
        <v>5</v>
      </c>
      <c r="F6561" t="str" cm="1">
        <f t="array" ref="F6561">CategorizeComment(E6561)</f>
        <v>Other</v>
      </c>
      <c r="G6561" t="str" cm="1">
        <f t="array" ref="G6561">SubCategorizeComment(E6561)</f>
        <v>Other</v>
      </c>
    </row>
    <row r="6562" spans="1:7" x14ac:dyDescent="0.25">
      <c r="A6562">
        <v>55772</v>
      </c>
      <c r="B6562" t="s">
        <v>4</v>
      </c>
      <c r="C6562">
        <v>4</v>
      </c>
      <c r="D6562" t="s">
        <v>5</v>
      </c>
      <c r="F6562" t="str" cm="1">
        <f t="array" ref="F6562">CategorizeComment(E6562)</f>
        <v>Other</v>
      </c>
      <c r="G6562" t="str" cm="1">
        <f t="array" ref="G6562">SubCategorizeComment(E6562)</f>
        <v>Other</v>
      </c>
    </row>
    <row r="6563" spans="1:7" x14ac:dyDescent="0.25">
      <c r="A6563">
        <v>55774</v>
      </c>
      <c r="B6563" t="s">
        <v>4</v>
      </c>
      <c r="C6563">
        <v>4</v>
      </c>
      <c r="D6563" t="s">
        <v>5</v>
      </c>
      <c r="F6563" t="str" cm="1">
        <f t="array" ref="F6563">CategorizeComment(E6563)</f>
        <v>Other</v>
      </c>
      <c r="G6563" t="str" cm="1">
        <f t="array" ref="G6563">SubCategorizeComment(E6563)</f>
        <v>Other</v>
      </c>
    </row>
    <row r="6564" spans="1:7" x14ac:dyDescent="0.25">
      <c r="A6564">
        <v>55780</v>
      </c>
      <c r="B6564" t="s">
        <v>4</v>
      </c>
      <c r="C6564">
        <v>4</v>
      </c>
      <c r="D6564" t="s">
        <v>5</v>
      </c>
      <c r="F6564" t="str" cm="1">
        <f t="array" ref="F6564">CategorizeComment(E6564)</f>
        <v>Other</v>
      </c>
      <c r="G6564" t="str" cm="1">
        <f t="array" ref="G6564">SubCategorizeComment(E6564)</f>
        <v>Other</v>
      </c>
    </row>
    <row r="6565" spans="1:7" x14ac:dyDescent="0.25">
      <c r="A6565">
        <v>55794</v>
      </c>
      <c r="B6565" t="s">
        <v>4</v>
      </c>
      <c r="C6565">
        <v>3</v>
      </c>
      <c r="D6565" t="s">
        <v>5</v>
      </c>
      <c r="F6565" t="str" cm="1">
        <f t="array" ref="F6565">CategorizeComment(E6565)</f>
        <v>Other</v>
      </c>
      <c r="G6565" t="str" cm="1">
        <f t="array" ref="G6565">SubCategorizeComment(E6565)</f>
        <v>Other</v>
      </c>
    </row>
    <row r="6566" spans="1:7" x14ac:dyDescent="0.25">
      <c r="A6566">
        <v>55801</v>
      </c>
      <c r="B6566" t="s">
        <v>4</v>
      </c>
      <c r="C6566">
        <v>4</v>
      </c>
      <c r="D6566" t="s">
        <v>5</v>
      </c>
      <c r="F6566" t="str" cm="1">
        <f t="array" ref="F6566">CategorizeComment(E6566)</f>
        <v>Other</v>
      </c>
      <c r="G6566" t="str" cm="1">
        <f t="array" ref="G6566">SubCategorizeComment(E6566)</f>
        <v>Other</v>
      </c>
    </row>
    <row r="6567" spans="1:7" x14ac:dyDescent="0.25">
      <c r="A6567">
        <v>55805</v>
      </c>
      <c r="B6567" t="s">
        <v>4</v>
      </c>
      <c r="C6567">
        <v>3</v>
      </c>
      <c r="D6567" t="s">
        <v>5</v>
      </c>
      <c r="F6567" t="str" cm="1">
        <f t="array" ref="F6567">CategorizeComment(E6567)</f>
        <v>Other</v>
      </c>
      <c r="G6567" t="str" cm="1">
        <f t="array" ref="G6567">SubCategorizeComment(E6567)</f>
        <v>Other</v>
      </c>
    </row>
    <row r="6568" spans="1:7" x14ac:dyDescent="0.25">
      <c r="A6568">
        <v>55840</v>
      </c>
      <c r="B6568" t="s">
        <v>4</v>
      </c>
      <c r="C6568">
        <v>4</v>
      </c>
      <c r="D6568" t="s">
        <v>5</v>
      </c>
      <c r="F6568" t="str" cm="1">
        <f t="array" ref="F6568">CategorizeComment(E6568)</f>
        <v>Other</v>
      </c>
      <c r="G6568" t="str" cm="1">
        <f t="array" ref="G6568">SubCategorizeComment(E6568)</f>
        <v>Other</v>
      </c>
    </row>
    <row r="6569" spans="1:7" x14ac:dyDescent="0.25">
      <c r="A6569">
        <v>55842</v>
      </c>
      <c r="B6569" t="s">
        <v>4</v>
      </c>
      <c r="C6569">
        <v>4</v>
      </c>
      <c r="D6569" t="s">
        <v>5</v>
      </c>
      <c r="F6569" t="str" cm="1">
        <f t="array" ref="F6569">CategorizeComment(E6569)</f>
        <v>Other</v>
      </c>
      <c r="G6569" t="str" cm="1">
        <f t="array" ref="G6569">SubCategorizeComment(E6569)</f>
        <v>Other</v>
      </c>
    </row>
    <row r="6570" spans="1:7" x14ac:dyDescent="0.25">
      <c r="A6570">
        <v>55846</v>
      </c>
      <c r="B6570" t="s">
        <v>4</v>
      </c>
      <c r="C6570">
        <v>3</v>
      </c>
      <c r="D6570" t="s">
        <v>5</v>
      </c>
      <c r="F6570" t="str" cm="1">
        <f t="array" ref="F6570">CategorizeComment(E6570)</f>
        <v>Other</v>
      </c>
      <c r="G6570" t="str" cm="1">
        <f t="array" ref="G6570">SubCategorizeComment(E6570)</f>
        <v>Other</v>
      </c>
    </row>
    <row r="6571" spans="1:7" x14ac:dyDescent="0.25">
      <c r="A6571">
        <v>55848</v>
      </c>
      <c r="B6571" t="s">
        <v>4</v>
      </c>
      <c r="C6571">
        <v>4</v>
      </c>
      <c r="D6571" t="s">
        <v>5</v>
      </c>
      <c r="F6571" t="str" cm="1">
        <f t="array" ref="F6571">CategorizeComment(E6571)</f>
        <v>Other</v>
      </c>
      <c r="G6571" t="str" cm="1">
        <f t="array" ref="G6571">SubCategorizeComment(E6571)</f>
        <v>Other</v>
      </c>
    </row>
    <row r="6572" spans="1:7" x14ac:dyDescent="0.25">
      <c r="A6572">
        <v>55850</v>
      </c>
      <c r="B6572" t="s">
        <v>4</v>
      </c>
      <c r="C6572">
        <v>3</v>
      </c>
      <c r="D6572" t="s">
        <v>5</v>
      </c>
      <c r="F6572" t="str" cm="1">
        <f t="array" ref="F6572">CategorizeComment(E6572)</f>
        <v>Other</v>
      </c>
      <c r="G6572" t="str" cm="1">
        <f t="array" ref="G6572">SubCategorizeComment(E6572)</f>
        <v>Other</v>
      </c>
    </row>
    <row r="6573" spans="1:7" x14ac:dyDescent="0.25">
      <c r="A6573">
        <v>55863</v>
      </c>
      <c r="B6573" t="s">
        <v>4</v>
      </c>
      <c r="C6573">
        <v>4</v>
      </c>
      <c r="D6573" t="s">
        <v>5</v>
      </c>
      <c r="F6573" t="str" cm="1">
        <f t="array" ref="F6573">CategorizeComment(E6573)</f>
        <v>Other</v>
      </c>
      <c r="G6573" t="str" cm="1">
        <f t="array" ref="G6573">SubCategorizeComment(E6573)</f>
        <v>Other</v>
      </c>
    </row>
    <row r="6574" spans="1:7" x14ac:dyDescent="0.25">
      <c r="A6574">
        <v>55867</v>
      </c>
      <c r="B6574" t="s">
        <v>4</v>
      </c>
      <c r="C6574">
        <v>3</v>
      </c>
      <c r="D6574" t="s">
        <v>5</v>
      </c>
      <c r="F6574" t="str" cm="1">
        <f t="array" ref="F6574">CategorizeComment(E6574)</f>
        <v>Other</v>
      </c>
      <c r="G6574" t="str" cm="1">
        <f t="array" ref="G6574">SubCategorizeComment(E6574)</f>
        <v>Other</v>
      </c>
    </row>
    <row r="6575" spans="1:7" x14ac:dyDescent="0.25">
      <c r="A6575">
        <v>55887</v>
      </c>
      <c r="B6575" t="s">
        <v>4</v>
      </c>
      <c r="C6575">
        <v>4</v>
      </c>
      <c r="D6575" t="s">
        <v>5</v>
      </c>
      <c r="F6575" t="str" cm="1">
        <f t="array" ref="F6575">CategorizeComment(E6575)</f>
        <v>Other</v>
      </c>
      <c r="G6575" t="str" cm="1">
        <f t="array" ref="G6575">SubCategorizeComment(E6575)</f>
        <v>Other</v>
      </c>
    </row>
    <row r="6576" spans="1:7" x14ac:dyDescent="0.25">
      <c r="A6576">
        <v>55897</v>
      </c>
      <c r="B6576" t="s">
        <v>4</v>
      </c>
      <c r="C6576">
        <v>4</v>
      </c>
      <c r="D6576" t="s">
        <v>5</v>
      </c>
      <c r="F6576" t="str" cm="1">
        <f t="array" ref="F6576">CategorizeComment(E6576)</f>
        <v>Other</v>
      </c>
      <c r="G6576" t="str" cm="1">
        <f t="array" ref="G6576">SubCategorizeComment(E6576)</f>
        <v>Other</v>
      </c>
    </row>
    <row r="6577" spans="1:7" x14ac:dyDescent="0.25">
      <c r="A6577">
        <v>55898</v>
      </c>
      <c r="B6577" t="s">
        <v>4</v>
      </c>
      <c r="C6577">
        <v>4</v>
      </c>
      <c r="D6577" t="s">
        <v>5</v>
      </c>
      <c r="F6577" t="str" cm="1">
        <f t="array" ref="F6577">CategorizeComment(E6577)</f>
        <v>Other</v>
      </c>
      <c r="G6577" t="str" cm="1">
        <f t="array" ref="G6577">SubCategorizeComment(E6577)</f>
        <v>Other</v>
      </c>
    </row>
    <row r="6578" spans="1:7" x14ac:dyDescent="0.25">
      <c r="A6578">
        <v>55899</v>
      </c>
      <c r="B6578" t="s">
        <v>4</v>
      </c>
      <c r="C6578">
        <v>4</v>
      </c>
      <c r="D6578" t="s">
        <v>5</v>
      </c>
      <c r="F6578" t="str" cm="1">
        <f t="array" ref="F6578">CategorizeComment(E6578)</f>
        <v>Other</v>
      </c>
      <c r="G6578" t="str" cm="1">
        <f t="array" ref="G6578">SubCategorizeComment(E6578)</f>
        <v>Other</v>
      </c>
    </row>
    <row r="6579" spans="1:7" x14ac:dyDescent="0.25">
      <c r="A6579">
        <v>55902</v>
      </c>
      <c r="B6579" t="s">
        <v>4</v>
      </c>
      <c r="C6579">
        <v>3</v>
      </c>
      <c r="D6579" t="s">
        <v>5</v>
      </c>
      <c r="F6579" t="str" cm="1">
        <f t="array" ref="F6579">CategorizeComment(E6579)</f>
        <v>Other</v>
      </c>
      <c r="G6579" t="str" cm="1">
        <f t="array" ref="G6579">SubCategorizeComment(E6579)</f>
        <v>Other</v>
      </c>
    </row>
    <row r="6580" spans="1:7" x14ac:dyDescent="0.25">
      <c r="A6580">
        <v>55905</v>
      </c>
      <c r="B6580" t="s">
        <v>4</v>
      </c>
      <c r="C6580">
        <v>3</v>
      </c>
      <c r="D6580" t="s">
        <v>5</v>
      </c>
      <c r="F6580" t="str" cm="1">
        <f t="array" ref="F6580">CategorizeComment(E6580)</f>
        <v>Other</v>
      </c>
      <c r="G6580" t="str" cm="1">
        <f t="array" ref="G6580">SubCategorizeComment(E6580)</f>
        <v>Other</v>
      </c>
    </row>
    <row r="6581" spans="1:7" x14ac:dyDescent="0.25">
      <c r="A6581">
        <v>55907</v>
      </c>
      <c r="B6581" t="s">
        <v>4</v>
      </c>
      <c r="C6581">
        <v>4</v>
      </c>
      <c r="D6581" t="s">
        <v>5</v>
      </c>
      <c r="F6581" t="str" cm="1">
        <f t="array" ref="F6581">CategorizeComment(E6581)</f>
        <v>Other</v>
      </c>
      <c r="G6581" t="str" cm="1">
        <f t="array" ref="G6581">SubCategorizeComment(E6581)</f>
        <v>Other</v>
      </c>
    </row>
    <row r="6582" spans="1:7" x14ac:dyDescent="0.25">
      <c r="A6582">
        <v>55915</v>
      </c>
      <c r="B6582" t="s">
        <v>4</v>
      </c>
      <c r="C6582">
        <v>3</v>
      </c>
      <c r="D6582" t="s">
        <v>5</v>
      </c>
      <c r="F6582" t="str" cm="1">
        <f t="array" ref="F6582">CategorizeComment(E6582)</f>
        <v>Other</v>
      </c>
      <c r="G6582" t="str" cm="1">
        <f t="array" ref="G6582">SubCategorizeComment(E6582)</f>
        <v>Other</v>
      </c>
    </row>
    <row r="6583" spans="1:7" x14ac:dyDescent="0.25">
      <c r="A6583">
        <v>55925</v>
      </c>
      <c r="B6583" t="s">
        <v>4</v>
      </c>
      <c r="C6583">
        <v>4</v>
      </c>
      <c r="D6583" t="s">
        <v>5</v>
      </c>
      <c r="F6583" t="str" cm="1">
        <f t="array" ref="F6583">CategorizeComment(E6583)</f>
        <v>Other</v>
      </c>
      <c r="G6583" t="str" cm="1">
        <f t="array" ref="G6583">SubCategorizeComment(E6583)</f>
        <v>Other</v>
      </c>
    </row>
    <row r="6584" spans="1:7" x14ac:dyDescent="0.25">
      <c r="A6584">
        <v>56000</v>
      </c>
      <c r="B6584" t="s">
        <v>4</v>
      </c>
      <c r="C6584">
        <v>4</v>
      </c>
      <c r="D6584" t="s">
        <v>5</v>
      </c>
      <c r="F6584" t="str" cm="1">
        <f t="array" ref="F6584">CategorizeComment(E6584)</f>
        <v>Other</v>
      </c>
      <c r="G6584" t="str" cm="1">
        <f t="array" ref="G6584">SubCategorizeComment(E6584)</f>
        <v>Other</v>
      </c>
    </row>
    <row r="6585" spans="1:7" x14ac:dyDescent="0.25">
      <c r="A6585">
        <v>56027</v>
      </c>
      <c r="B6585" t="s">
        <v>4</v>
      </c>
      <c r="C6585">
        <v>4</v>
      </c>
      <c r="D6585" t="s">
        <v>5</v>
      </c>
      <c r="F6585" t="str" cm="1">
        <f t="array" ref="F6585">CategorizeComment(E6585)</f>
        <v>Other</v>
      </c>
      <c r="G6585" t="str" cm="1">
        <f t="array" ref="G6585">SubCategorizeComment(E6585)</f>
        <v>Other</v>
      </c>
    </row>
    <row r="6586" spans="1:7" x14ac:dyDescent="0.25">
      <c r="A6586">
        <v>56034</v>
      </c>
      <c r="B6586" t="s">
        <v>4</v>
      </c>
      <c r="C6586">
        <v>3</v>
      </c>
      <c r="D6586" t="s">
        <v>5</v>
      </c>
      <c r="F6586" t="str" cm="1">
        <f t="array" ref="F6586">CategorizeComment(E6586)</f>
        <v>Other</v>
      </c>
      <c r="G6586" t="str" cm="1">
        <f t="array" ref="G6586">SubCategorizeComment(E6586)</f>
        <v>Other</v>
      </c>
    </row>
    <row r="6587" spans="1:7" x14ac:dyDescent="0.25">
      <c r="A6587">
        <v>56035</v>
      </c>
      <c r="B6587" t="s">
        <v>4</v>
      </c>
      <c r="C6587">
        <v>3</v>
      </c>
      <c r="D6587" t="s">
        <v>5</v>
      </c>
      <c r="F6587" t="str" cm="1">
        <f t="array" ref="F6587">CategorizeComment(E6587)</f>
        <v>Other</v>
      </c>
      <c r="G6587" t="str" cm="1">
        <f t="array" ref="G6587">SubCategorizeComment(E6587)</f>
        <v>Other</v>
      </c>
    </row>
    <row r="6588" spans="1:7" x14ac:dyDescent="0.25">
      <c r="A6588">
        <v>56043</v>
      </c>
      <c r="B6588" t="s">
        <v>4</v>
      </c>
      <c r="C6588">
        <v>4</v>
      </c>
      <c r="D6588" t="s">
        <v>5</v>
      </c>
      <c r="F6588" t="str" cm="1">
        <f t="array" ref="F6588">CategorizeComment(E6588)</f>
        <v>Other</v>
      </c>
      <c r="G6588" t="str" cm="1">
        <f t="array" ref="G6588">SubCategorizeComment(E6588)</f>
        <v>Other</v>
      </c>
    </row>
    <row r="6589" spans="1:7" x14ac:dyDescent="0.25">
      <c r="A6589">
        <v>56046</v>
      </c>
      <c r="B6589" t="s">
        <v>4</v>
      </c>
      <c r="C6589">
        <v>4</v>
      </c>
      <c r="D6589" t="s">
        <v>5</v>
      </c>
      <c r="F6589" t="str" cm="1">
        <f t="array" ref="F6589">CategorizeComment(E6589)</f>
        <v>Other</v>
      </c>
      <c r="G6589" t="str" cm="1">
        <f t="array" ref="G6589">SubCategorizeComment(E6589)</f>
        <v>Other</v>
      </c>
    </row>
    <row r="6590" spans="1:7" x14ac:dyDescent="0.25">
      <c r="A6590">
        <v>56062</v>
      </c>
      <c r="B6590" t="s">
        <v>4</v>
      </c>
      <c r="C6590">
        <v>4</v>
      </c>
      <c r="D6590" t="s">
        <v>5</v>
      </c>
      <c r="F6590" t="str" cm="1">
        <f t="array" ref="F6590">CategorizeComment(E6590)</f>
        <v>Other</v>
      </c>
      <c r="G6590" t="str" cm="1">
        <f t="array" ref="G6590">SubCategorizeComment(E6590)</f>
        <v>Other</v>
      </c>
    </row>
    <row r="6591" spans="1:7" x14ac:dyDescent="0.25">
      <c r="A6591">
        <v>56064</v>
      </c>
      <c r="B6591" t="s">
        <v>4</v>
      </c>
      <c r="C6591">
        <v>3</v>
      </c>
      <c r="D6591" t="s">
        <v>5</v>
      </c>
      <c r="F6591" t="str" cm="1">
        <f t="array" ref="F6591">CategorizeComment(E6591)</f>
        <v>Other</v>
      </c>
      <c r="G6591" t="str" cm="1">
        <f t="array" ref="G6591">SubCategorizeComment(E6591)</f>
        <v>Other</v>
      </c>
    </row>
    <row r="6592" spans="1:7" x14ac:dyDescent="0.25">
      <c r="A6592">
        <v>56066</v>
      </c>
      <c r="B6592" t="s">
        <v>4</v>
      </c>
      <c r="C6592">
        <v>4</v>
      </c>
      <c r="D6592" t="s">
        <v>5</v>
      </c>
      <c r="F6592" t="str" cm="1">
        <f t="array" ref="F6592">CategorizeComment(E6592)</f>
        <v>Other</v>
      </c>
      <c r="G6592" t="str" cm="1">
        <f t="array" ref="G6592">SubCategorizeComment(E6592)</f>
        <v>Other</v>
      </c>
    </row>
    <row r="6593" spans="1:7" x14ac:dyDescent="0.25">
      <c r="A6593">
        <v>56085</v>
      </c>
      <c r="B6593" t="s">
        <v>4</v>
      </c>
      <c r="C6593">
        <v>4</v>
      </c>
      <c r="D6593" t="s">
        <v>5</v>
      </c>
      <c r="F6593" t="str" cm="1">
        <f t="array" ref="F6593">CategorizeComment(E6593)</f>
        <v>Other</v>
      </c>
      <c r="G6593" t="str" cm="1">
        <f t="array" ref="G6593">SubCategorizeComment(E6593)</f>
        <v>Other</v>
      </c>
    </row>
    <row r="6594" spans="1:7" x14ac:dyDescent="0.25">
      <c r="A6594">
        <v>56091</v>
      </c>
      <c r="B6594" t="s">
        <v>4</v>
      </c>
      <c r="C6594">
        <v>3</v>
      </c>
      <c r="D6594" t="s">
        <v>5</v>
      </c>
      <c r="F6594" t="str" cm="1">
        <f t="array" ref="F6594">CategorizeComment(E6594)</f>
        <v>Other</v>
      </c>
      <c r="G6594" t="str" cm="1">
        <f t="array" ref="G6594">SubCategorizeComment(E6594)</f>
        <v>Other</v>
      </c>
    </row>
    <row r="6595" spans="1:7" x14ac:dyDescent="0.25">
      <c r="A6595">
        <v>56101</v>
      </c>
      <c r="B6595" t="s">
        <v>4</v>
      </c>
      <c r="C6595">
        <v>4</v>
      </c>
      <c r="D6595" t="s">
        <v>5</v>
      </c>
      <c r="F6595" t="str" cm="1">
        <f t="array" ref="F6595">CategorizeComment(E6595)</f>
        <v>Other</v>
      </c>
      <c r="G6595" t="str" cm="1">
        <f t="array" ref="G6595">SubCategorizeComment(E6595)</f>
        <v>Other</v>
      </c>
    </row>
    <row r="6596" spans="1:7" x14ac:dyDescent="0.25">
      <c r="A6596">
        <v>56103</v>
      </c>
      <c r="B6596" t="s">
        <v>4</v>
      </c>
      <c r="C6596">
        <v>3</v>
      </c>
      <c r="D6596" t="s">
        <v>5</v>
      </c>
      <c r="F6596" t="str" cm="1">
        <f t="array" ref="F6596">CategorizeComment(E6596)</f>
        <v>Other</v>
      </c>
      <c r="G6596" t="str" cm="1">
        <f t="array" ref="G6596">SubCategorizeComment(E6596)</f>
        <v>Other</v>
      </c>
    </row>
    <row r="6597" spans="1:7" x14ac:dyDescent="0.25">
      <c r="A6597">
        <v>56144</v>
      </c>
      <c r="B6597" t="s">
        <v>4</v>
      </c>
      <c r="C6597">
        <v>4</v>
      </c>
      <c r="D6597" t="s">
        <v>5</v>
      </c>
      <c r="F6597" t="str" cm="1">
        <f t="array" ref="F6597">CategorizeComment(E6597)</f>
        <v>Other</v>
      </c>
      <c r="G6597" t="str" cm="1">
        <f t="array" ref="G6597">SubCategorizeComment(E6597)</f>
        <v>Other</v>
      </c>
    </row>
    <row r="6598" spans="1:7" x14ac:dyDescent="0.25">
      <c r="A6598">
        <v>56146</v>
      </c>
      <c r="B6598" t="s">
        <v>4</v>
      </c>
      <c r="C6598">
        <v>3</v>
      </c>
      <c r="D6598" t="s">
        <v>5</v>
      </c>
      <c r="F6598" t="str" cm="1">
        <f t="array" ref="F6598">CategorizeComment(E6598)</f>
        <v>Other</v>
      </c>
      <c r="G6598" t="str" cm="1">
        <f t="array" ref="G6598">SubCategorizeComment(E6598)</f>
        <v>Other</v>
      </c>
    </row>
    <row r="6599" spans="1:7" x14ac:dyDescent="0.25">
      <c r="A6599">
        <v>56168</v>
      </c>
      <c r="B6599" t="s">
        <v>4</v>
      </c>
      <c r="C6599">
        <v>3</v>
      </c>
      <c r="D6599" t="s">
        <v>5</v>
      </c>
      <c r="F6599" t="str" cm="1">
        <f t="array" ref="F6599">CategorizeComment(E6599)</f>
        <v>Other</v>
      </c>
      <c r="G6599" t="str" cm="1">
        <f t="array" ref="G6599">SubCategorizeComment(E6599)</f>
        <v>Other</v>
      </c>
    </row>
    <row r="6600" spans="1:7" x14ac:dyDescent="0.25">
      <c r="A6600">
        <v>56174</v>
      </c>
      <c r="B6600" t="s">
        <v>4</v>
      </c>
      <c r="C6600">
        <v>3</v>
      </c>
      <c r="D6600" t="s">
        <v>5</v>
      </c>
      <c r="F6600" t="str" cm="1">
        <f t="array" ref="F6600">CategorizeComment(E6600)</f>
        <v>Other</v>
      </c>
      <c r="G6600" t="str" cm="1">
        <f t="array" ref="G6600">SubCategorizeComment(E6600)</f>
        <v>Other</v>
      </c>
    </row>
    <row r="6601" spans="1:7" x14ac:dyDescent="0.25">
      <c r="A6601">
        <v>56178</v>
      </c>
      <c r="B6601" t="s">
        <v>4</v>
      </c>
      <c r="C6601">
        <v>3</v>
      </c>
      <c r="D6601" t="s">
        <v>5</v>
      </c>
      <c r="F6601" t="str" cm="1">
        <f t="array" ref="F6601">CategorizeComment(E6601)</f>
        <v>Other</v>
      </c>
      <c r="G6601" t="str" cm="1">
        <f t="array" ref="G6601">SubCategorizeComment(E6601)</f>
        <v>Other</v>
      </c>
    </row>
    <row r="6602" spans="1:7" x14ac:dyDescent="0.25">
      <c r="A6602">
        <v>56183</v>
      </c>
      <c r="B6602" t="s">
        <v>4</v>
      </c>
      <c r="C6602">
        <v>4</v>
      </c>
      <c r="D6602" t="s">
        <v>5</v>
      </c>
      <c r="F6602" t="str" cm="1">
        <f t="array" ref="F6602">CategorizeComment(E6602)</f>
        <v>Other</v>
      </c>
      <c r="G6602" t="str" cm="1">
        <f t="array" ref="G6602">SubCategorizeComment(E6602)</f>
        <v>Other</v>
      </c>
    </row>
    <row r="6603" spans="1:7" x14ac:dyDescent="0.25">
      <c r="A6603">
        <v>56187</v>
      </c>
      <c r="B6603" t="s">
        <v>4</v>
      </c>
      <c r="C6603">
        <v>4</v>
      </c>
      <c r="D6603" t="s">
        <v>5</v>
      </c>
      <c r="F6603" t="str" cm="1">
        <f t="array" ref="F6603">CategorizeComment(E6603)</f>
        <v>Other</v>
      </c>
      <c r="G6603" t="str" cm="1">
        <f t="array" ref="G6603">SubCategorizeComment(E6603)</f>
        <v>Other</v>
      </c>
    </row>
    <row r="6604" spans="1:7" x14ac:dyDescent="0.25">
      <c r="A6604">
        <v>56205</v>
      </c>
      <c r="B6604" t="s">
        <v>4</v>
      </c>
      <c r="C6604">
        <v>4</v>
      </c>
      <c r="D6604" t="s">
        <v>5</v>
      </c>
      <c r="F6604" t="str" cm="1">
        <f t="array" ref="F6604">CategorizeComment(E6604)</f>
        <v>Other</v>
      </c>
      <c r="G6604" t="str" cm="1">
        <f t="array" ref="G6604">SubCategorizeComment(E6604)</f>
        <v>Other</v>
      </c>
    </row>
    <row r="6605" spans="1:7" x14ac:dyDescent="0.25">
      <c r="A6605">
        <v>56230</v>
      </c>
      <c r="B6605" t="s">
        <v>4</v>
      </c>
      <c r="C6605">
        <v>3</v>
      </c>
      <c r="D6605" t="s">
        <v>5</v>
      </c>
      <c r="F6605" t="str" cm="1">
        <f t="array" ref="F6605">CategorizeComment(E6605)</f>
        <v>Other</v>
      </c>
      <c r="G6605" t="str" cm="1">
        <f t="array" ref="G6605">SubCategorizeComment(E6605)</f>
        <v>Other</v>
      </c>
    </row>
    <row r="6606" spans="1:7" x14ac:dyDescent="0.25">
      <c r="A6606">
        <v>56232</v>
      </c>
      <c r="B6606" t="s">
        <v>4</v>
      </c>
      <c r="C6606">
        <v>4</v>
      </c>
      <c r="D6606" t="s">
        <v>5</v>
      </c>
      <c r="F6606" t="str" cm="1">
        <f t="array" ref="F6606">CategorizeComment(E6606)</f>
        <v>Other</v>
      </c>
      <c r="G6606" t="str" cm="1">
        <f t="array" ref="G6606">SubCategorizeComment(E6606)</f>
        <v>Other</v>
      </c>
    </row>
    <row r="6607" spans="1:7" x14ac:dyDescent="0.25">
      <c r="A6607">
        <v>56237</v>
      </c>
      <c r="B6607" t="s">
        <v>4</v>
      </c>
      <c r="C6607">
        <v>4</v>
      </c>
      <c r="D6607" t="s">
        <v>5</v>
      </c>
      <c r="F6607" t="str" cm="1">
        <f t="array" ref="F6607">CategorizeComment(E6607)</f>
        <v>Other</v>
      </c>
      <c r="G6607" t="str" cm="1">
        <f t="array" ref="G6607">SubCategorizeComment(E6607)</f>
        <v>Other</v>
      </c>
    </row>
    <row r="6608" spans="1:7" x14ac:dyDescent="0.25">
      <c r="A6608">
        <v>56258</v>
      </c>
      <c r="B6608" t="s">
        <v>4</v>
      </c>
      <c r="C6608">
        <v>3</v>
      </c>
      <c r="D6608" t="s">
        <v>5</v>
      </c>
      <c r="F6608" t="str" cm="1">
        <f t="array" ref="F6608">CategorizeComment(E6608)</f>
        <v>Other</v>
      </c>
      <c r="G6608" t="str" cm="1">
        <f t="array" ref="G6608">SubCategorizeComment(E6608)</f>
        <v>Other</v>
      </c>
    </row>
    <row r="6609" spans="1:7" x14ac:dyDescent="0.25">
      <c r="A6609">
        <v>56264</v>
      </c>
      <c r="B6609" t="s">
        <v>4</v>
      </c>
      <c r="C6609">
        <v>3</v>
      </c>
      <c r="D6609" t="s">
        <v>5</v>
      </c>
      <c r="F6609" t="str" cm="1">
        <f t="array" ref="F6609">CategorizeComment(E6609)</f>
        <v>Other</v>
      </c>
      <c r="G6609" t="str" cm="1">
        <f t="array" ref="G6609">SubCategorizeComment(E6609)</f>
        <v>Other</v>
      </c>
    </row>
    <row r="6610" spans="1:7" x14ac:dyDescent="0.25">
      <c r="A6610">
        <v>56265</v>
      </c>
      <c r="B6610" t="s">
        <v>4</v>
      </c>
      <c r="C6610">
        <v>4</v>
      </c>
      <c r="D6610" t="s">
        <v>5</v>
      </c>
      <c r="F6610" t="str" cm="1">
        <f t="array" ref="F6610">CategorizeComment(E6610)</f>
        <v>Other</v>
      </c>
      <c r="G6610" t="str" cm="1">
        <f t="array" ref="G6610">SubCategorizeComment(E6610)</f>
        <v>Other</v>
      </c>
    </row>
    <row r="6611" spans="1:7" x14ac:dyDescent="0.25">
      <c r="A6611">
        <v>56267</v>
      </c>
      <c r="B6611" t="s">
        <v>4</v>
      </c>
      <c r="C6611">
        <v>4</v>
      </c>
      <c r="D6611" t="s">
        <v>5</v>
      </c>
      <c r="F6611" t="str" cm="1">
        <f t="array" ref="F6611">CategorizeComment(E6611)</f>
        <v>Other</v>
      </c>
      <c r="G6611" t="str" cm="1">
        <f t="array" ref="G6611">SubCategorizeComment(E6611)</f>
        <v>Other</v>
      </c>
    </row>
    <row r="6612" spans="1:7" x14ac:dyDescent="0.25">
      <c r="A6612">
        <v>56291</v>
      </c>
      <c r="B6612" t="s">
        <v>4</v>
      </c>
      <c r="C6612">
        <v>4</v>
      </c>
      <c r="D6612" t="s">
        <v>5</v>
      </c>
      <c r="F6612" t="str" cm="1">
        <f t="array" ref="F6612">CategorizeComment(E6612)</f>
        <v>Other</v>
      </c>
      <c r="G6612" t="str" cm="1">
        <f t="array" ref="G6612">SubCategorizeComment(E6612)</f>
        <v>Other</v>
      </c>
    </row>
    <row r="6613" spans="1:7" x14ac:dyDescent="0.25">
      <c r="A6613">
        <v>56297</v>
      </c>
      <c r="B6613" t="s">
        <v>4</v>
      </c>
      <c r="C6613">
        <v>4</v>
      </c>
      <c r="D6613" t="s">
        <v>5</v>
      </c>
      <c r="F6613" t="str" cm="1">
        <f t="array" ref="F6613">CategorizeComment(E6613)</f>
        <v>Other</v>
      </c>
      <c r="G6613" t="str" cm="1">
        <f t="array" ref="G6613">SubCategorizeComment(E6613)</f>
        <v>Other</v>
      </c>
    </row>
    <row r="6614" spans="1:7" x14ac:dyDescent="0.25">
      <c r="A6614">
        <v>56326</v>
      </c>
      <c r="B6614" t="s">
        <v>4</v>
      </c>
      <c r="C6614">
        <v>4</v>
      </c>
      <c r="D6614" t="s">
        <v>5</v>
      </c>
      <c r="F6614" t="str" cm="1">
        <f t="array" ref="F6614">CategorizeComment(E6614)</f>
        <v>Other</v>
      </c>
      <c r="G6614" t="str" cm="1">
        <f t="array" ref="G6614">SubCategorizeComment(E6614)</f>
        <v>Other</v>
      </c>
    </row>
    <row r="6615" spans="1:7" x14ac:dyDescent="0.25">
      <c r="A6615">
        <v>56333</v>
      </c>
      <c r="B6615" t="s">
        <v>4</v>
      </c>
      <c r="C6615">
        <v>4</v>
      </c>
      <c r="D6615" t="s">
        <v>5</v>
      </c>
      <c r="F6615" t="str" cm="1">
        <f t="array" ref="F6615">CategorizeComment(E6615)</f>
        <v>Other</v>
      </c>
      <c r="G6615" t="str" cm="1">
        <f t="array" ref="G6615">SubCategorizeComment(E6615)</f>
        <v>Other</v>
      </c>
    </row>
    <row r="6616" spans="1:7" x14ac:dyDescent="0.25">
      <c r="A6616">
        <v>56342</v>
      </c>
      <c r="B6616" t="s">
        <v>4</v>
      </c>
      <c r="C6616">
        <v>4</v>
      </c>
      <c r="D6616" t="s">
        <v>5</v>
      </c>
      <c r="F6616" t="str" cm="1">
        <f t="array" ref="F6616">CategorizeComment(E6616)</f>
        <v>Other</v>
      </c>
      <c r="G6616" t="str" cm="1">
        <f t="array" ref="G6616">SubCategorizeComment(E6616)</f>
        <v>Other</v>
      </c>
    </row>
    <row r="6617" spans="1:7" x14ac:dyDescent="0.25">
      <c r="A6617">
        <v>56344</v>
      </c>
      <c r="B6617" t="s">
        <v>4</v>
      </c>
      <c r="C6617">
        <v>4</v>
      </c>
      <c r="D6617" t="s">
        <v>5</v>
      </c>
      <c r="F6617" t="str" cm="1">
        <f t="array" ref="F6617">CategorizeComment(E6617)</f>
        <v>Other</v>
      </c>
      <c r="G6617" t="str" cm="1">
        <f t="array" ref="G6617">SubCategorizeComment(E6617)</f>
        <v>Other</v>
      </c>
    </row>
    <row r="6618" spans="1:7" x14ac:dyDescent="0.25">
      <c r="A6618">
        <v>56347</v>
      </c>
      <c r="B6618" t="s">
        <v>4</v>
      </c>
      <c r="C6618">
        <v>3</v>
      </c>
      <c r="D6618" t="s">
        <v>5</v>
      </c>
      <c r="F6618" t="str" cm="1">
        <f t="array" ref="F6618">CategorizeComment(E6618)</f>
        <v>Other</v>
      </c>
      <c r="G6618" t="str" cm="1">
        <f t="array" ref="G6618">SubCategorizeComment(E6618)</f>
        <v>Other</v>
      </c>
    </row>
    <row r="6619" spans="1:7" x14ac:dyDescent="0.25">
      <c r="A6619">
        <v>56350</v>
      </c>
      <c r="B6619" t="s">
        <v>4</v>
      </c>
      <c r="C6619">
        <v>4</v>
      </c>
      <c r="D6619" t="s">
        <v>5</v>
      </c>
      <c r="F6619" t="str" cm="1">
        <f t="array" ref="F6619">CategorizeComment(E6619)</f>
        <v>Other</v>
      </c>
      <c r="G6619" t="str" cm="1">
        <f t="array" ref="G6619">SubCategorizeComment(E6619)</f>
        <v>Other</v>
      </c>
    </row>
    <row r="6620" spans="1:7" x14ac:dyDescent="0.25">
      <c r="A6620">
        <v>56367</v>
      </c>
      <c r="B6620" t="s">
        <v>4</v>
      </c>
      <c r="C6620">
        <v>3</v>
      </c>
      <c r="D6620" t="s">
        <v>5</v>
      </c>
      <c r="F6620" t="str" cm="1">
        <f t="array" ref="F6620">CategorizeComment(E6620)</f>
        <v>Other</v>
      </c>
      <c r="G6620" t="str" cm="1">
        <f t="array" ref="G6620">SubCategorizeComment(E6620)</f>
        <v>Other</v>
      </c>
    </row>
    <row r="6621" spans="1:7" x14ac:dyDescent="0.25">
      <c r="A6621">
        <v>56404</v>
      </c>
      <c r="B6621" t="s">
        <v>4</v>
      </c>
      <c r="C6621">
        <v>3</v>
      </c>
      <c r="D6621" t="s">
        <v>5</v>
      </c>
      <c r="F6621" t="str" cm="1">
        <f t="array" ref="F6621">CategorizeComment(E6621)</f>
        <v>Other</v>
      </c>
      <c r="G6621" t="str" cm="1">
        <f t="array" ref="G6621">SubCategorizeComment(E6621)</f>
        <v>Other</v>
      </c>
    </row>
    <row r="6622" spans="1:7" x14ac:dyDescent="0.25">
      <c r="A6622">
        <v>56426</v>
      </c>
      <c r="B6622" t="s">
        <v>4</v>
      </c>
      <c r="C6622">
        <v>4</v>
      </c>
      <c r="D6622" t="s">
        <v>5</v>
      </c>
      <c r="F6622" t="str" cm="1">
        <f t="array" ref="F6622">CategorizeComment(E6622)</f>
        <v>Other</v>
      </c>
      <c r="G6622" t="str" cm="1">
        <f t="array" ref="G6622">SubCategorizeComment(E6622)</f>
        <v>Other</v>
      </c>
    </row>
    <row r="6623" spans="1:7" x14ac:dyDescent="0.25">
      <c r="A6623">
        <v>56444</v>
      </c>
      <c r="B6623" t="s">
        <v>4</v>
      </c>
      <c r="C6623">
        <v>3</v>
      </c>
      <c r="D6623" t="s">
        <v>5</v>
      </c>
      <c r="F6623" t="str" cm="1">
        <f t="array" ref="F6623">CategorizeComment(E6623)</f>
        <v>Other</v>
      </c>
      <c r="G6623" t="str" cm="1">
        <f t="array" ref="G6623">SubCategorizeComment(E6623)</f>
        <v>Other</v>
      </c>
    </row>
    <row r="6624" spans="1:7" x14ac:dyDescent="0.25">
      <c r="A6624">
        <v>56451</v>
      </c>
      <c r="B6624" t="s">
        <v>4</v>
      </c>
      <c r="C6624">
        <v>4</v>
      </c>
      <c r="D6624" t="s">
        <v>5</v>
      </c>
      <c r="F6624" t="str" cm="1">
        <f t="array" ref="F6624">CategorizeComment(E6624)</f>
        <v>Other</v>
      </c>
      <c r="G6624" t="str" cm="1">
        <f t="array" ref="G6624">SubCategorizeComment(E6624)</f>
        <v>Other</v>
      </c>
    </row>
    <row r="6625" spans="1:7" x14ac:dyDescent="0.25">
      <c r="A6625">
        <v>56465</v>
      </c>
      <c r="B6625" t="s">
        <v>4</v>
      </c>
      <c r="C6625">
        <v>3</v>
      </c>
      <c r="D6625" t="s">
        <v>5</v>
      </c>
      <c r="F6625" t="str" cm="1">
        <f t="array" ref="F6625">CategorizeComment(E6625)</f>
        <v>Other</v>
      </c>
      <c r="G6625" t="str" cm="1">
        <f t="array" ref="G6625">SubCategorizeComment(E6625)</f>
        <v>Other</v>
      </c>
    </row>
    <row r="6626" spans="1:7" x14ac:dyDescent="0.25">
      <c r="A6626">
        <v>56467</v>
      </c>
      <c r="B6626" t="s">
        <v>4</v>
      </c>
      <c r="C6626">
        <v>4</v>
      </c>
      <c r="D6626" t="s">
        <v>5</v>
      </c>
      <c r="F6626" t="str" cm="1">
        <f t="array" ref="F6626">CategorizeComment(E6626)</f>
        <v>Other</v>
      </c>
      <c r="G6626" t="str" cm="1">
        <f t="array" ref="G6626">SubCategorizeComment(E6626)</f>
        <v>Other</v>
      </c>
    </row>
    <row r="6627" spans="1:7" x14ac:dyDescent="0.25">
      <c r="A6627">
        <v>56518</v>
      </c>
      <c r="B6627" t="s">
        <v>4</v>
      </c>
      <c r="C6627">
        <v>4</v>
      </c>
      <c r="D6627" t="s">
        <v>5</v>
      </c>
      <c r="F6627" t="str" cm="1">
        <f t="array" ref="F6627">CategorizeComment(E6627)</f>
        <v>Other</v>
      </c>
      <c r="G6627" t="str" cm="1">
        <f t="array" ref="G6627">SubCategorizeComment(E6627)</f>
        <v>Other</v>
      </c>
    </row>
    <row r="6628" spans="1:7" x14ac:dyDescent="0.25">
      <c r="A6628">
        <v>56538</v>
      </c>
      <c r="B6628" t="s">
        <v>4</v>
      </c>
      <c r="C6628">
        <v>3</v>
      </c>
      <c r="D6628" t="s">
        <v>5</v>
      </c>
      <c r="F6628" t="str" cm="1">
        <f t="array" ref="F6628">CategorizeComment(E6628)</f>
        <v>Other</v>
      </c>
      <c r="G6628" t="str" cm="1">
        <f t="array" ref="G6628">SubCategorizeComment(E6628)</f>
        <v>Other</v>
      </c>
    </row>
    <row r="6629" spans="1:7" x14ac:dyDescent="0.25">
      <c r="A6629">
        <v>56589</v>
      </c>
      <c r="B6629" t="s">
        <v>4</v>
      </c>
      <c r="C6629">
        <v>4</v>
      </c>
      <c r="D6629" t="s">
        <v>5</v>
      </c>
      <c r="F6629" t="str" cm="1">
        <f t="array" ref="F6629">CategorizeComment(E6629)</f>
        <v>Other</v>
      </c>
      <c r="G6629" t="str" cm="1">
        <f t="array" ref="G6629">SubCategorizeComment(E6629)</f>
        <v>Other</v>
      </c>
    </row>
    <row r="6630" spans="1:7" x14ac:dyDescent="0.25">
      <c r="A6630">
        <v>56603</v>
      </c>
      <c r="B6630" t="s">
        <v>4</v>
      </c>
      <c r="C6630">
        <v>3</v>
      </c>
      <c r="D6630" t="s">
        <v>5</v>
      </c>
      <c r="F6630" t="str" cm="1">
        <f t="array" ref="F6630">CategorizeComment(E6630)</f>
        <v>Other</v>
      </c>
      <c r="G6630" t="str" cm="1">
        <f t="array" ref="G6630">SubCategorizeComment(E6630)</f>
        <v>Other</v>
      </c>
    </row>
    <row r="6631" spans="1:7" x14ac:dyDescent="0.25">
      <c r="A6631">
        <v>56605</v>
      </c>
      <c r="B6631" t="s">
        <v>4</v>
      </c>
      <c r="C6631">
        <v>3</v>
      </c>
      <c r="D6631" t="s">
        <v>5</v>
      </c>
      <c r="F6631" t="str" cm="1">
        <f t="array" ref="F6631">CategorizeComment(E6631)</f>
        <v>Other</v>
      </c>
      <c r="G6631" t="str" cm="1">
        <f t="array" ref="G6631">SubCategorizeComment(E6631)</f>
        <v>Other</v>
      </c>
    </row>
    <row r="6632" spans="1:7" x14ac:dyDescent="0.25">
      <c r="A6632">
        <v>56611</v>
      </c>
      <c r="B6632" t="s">
        <v>4</v>
      </c>
      <c r="C6632">
        <v>4</v>
      </c>
      <c r="D6632" t="s">
        <v>5</v>
      </c>
      <c r="F6632" t="str" cm="1">
        <f t="array" ref="F6632">CategorizeComment(E6632)</f>
        <v>Other</v>
      </c>
      <c r="G6632" t="str" cm="1">
        <f t="array" ref="G6632">SubCategorizeComment(E6632)</f>
        <v>Other</v>
      </c>
    </row>
    <row r="6633" spans="1:7" x14ac:dyDescent="0.25">
      <c r="A6633">
        <v>56623</v>
      </c>
      <c r="B6633" t="s">
        <v>4</v>
      </c>
      <c r="C6633">
        <v>3</v>
      </c>
      <c r="D6633" t="s">
        <v>5</v>
      </c>
      <c r="F6633" t="str" cm="1">
        <f t="array" ref="F6633">CategorizeComment(E6633)</f>
        <v>Other</v>
      </c>
      <c r="G6633" t="str" cm="1">
        <f t="array" ref="G6633">SubCategorizeComment(E6633)</f>
        <v>Other</v>
      </c>
    </row>
    <row r="6634" spans="1:7" x14ac:dyDescent="0.25">
      <c r="A6634">
        <v>56624</v>
      </c>
      <c r="B6634" t="s">
        <v>4</v>
      </c>
      <c r="C6634">
        <v>3</v>
      </c>
      <c r="D6634" t="s">
        <v>5</v>
      </c>
      <c r="F6634" t="str" cm="1">
        <f t="array" ref="F6634">CategorizeComment(E6634)</f>
        <v>Other</v>
      </c>
      <c r="G6634" t="str" cm="1">
        <f t="array" ref="G6634">SubCategorizeComment(E6634)</f>
        <v>Other</v>
      </c>
    </row>
    <row r="6635" spans="1:7" x14ac:dyDescent="0.25">
      <c r="A6635">
        <v>56625</v>
      </c>
      <c r="B6635" t="s">
        <v>4</v>
      </c>
      <c r="C6635">
        <v>4</v>
      </c>
      <c r="D6635" t="s">
        <v>5</v>
      </c>
      <c r="F6635" t="str" cm="1">
        <f t="array" ref="F6635">CategorizeComment(E6635)</f>
        <v>Other</v>
      </c>
      <c r="G6635" t="str" cm="1">
        <f t="array" ref="G6635">SubCategorizeComment(E6635)</f>
        <v>Other</v>
      </c>
    </row>
    <row r="6636" spans="1:7" x14ac:dyDescent="0.25">
      <c r="A6636">
        <v>56629</v>
      </c>
      <c r="B6636" t="s">
        <v>4</v>
      </c>
      <c r="C6636">
        <v>3</v>
      </c>
      <c r="D6636" t="s">
        <v>5</v>
      </c>
      <c r="F6636" t="str" cm="1">
        <f t="array" ref="F6636">CategorizeComment(E6636)</f>
        <v>Other</v>
      </c>
      <c r="G6636" t="str" cm="1">
        <f t="array" ref="G6636">SubCategorizeComment(E6636)</f>
        <v>Other</v>
      </c>
    </row>
    <row r="6637" spans="1:7" x14ac:dyDescent="0.25">
      <c r="A6637">
        <v>56639</v>
      </c>
      <c r="B6637" t="s">
        <v>4</v>
      </c>
      <c r="C6637">
        <v>4</v>
      </c>
      <c r="D6637" t="s">
        <v>5</v>
      </c>
      <c r="F6637" t="str" cm="1">
        <f t="array" ref="F6637">CategorizeComment(E6637)</f>
        <v>Other</v>
      </c>
      <c r="G6637" t="str" cm="1">
        <f t="array" ref="G6637">SubCategorizeComment(E6637)</f>
        <v>Other</v>
      </c>
    </row>
    <row r="6638" spans="1:7" x14ac:dyDescent="0.25">
      <c r="A6638">
        <v>56645</v>
      </c>
      <c r="B6638" t="s">
        <v>4</v>
      </c>
      <c r="C6638">
        <v>3</v>
      </c>
      <c r="D6638" t="s">
        <v>5</v>
      </c>
      <c r="F6638" t="str" cm="1">
        <f t="array" ref="F6638">CategorizeComment(E6638)</f>
        <v>Other</v>
      </c>
      <c r="G6638" t="str" cm="1">
        <f t="array" ref="G6638">SubCategorizeComment(E6638)</f>
        <v>Other</v>
      </c>
    </row>
    <row r="6639" spans="1:7" x14ac:dyDescent="0.25">
      <c r="A6639">
        <v>56648</v>
      </c>
      <c r="B6639" t="s">
        <v>4</v>
      </c>
      <c r="C6639">
        <v>3</v>
      </c>
      <c r="D6639" t="s">
        <v>5</v>
      </c>
      <c r="F6639" t="str" cm="1">
        <f t="array" ref="F6639">CategorizeComment(E6639)</f>
        <v>Other</v>
      </c>
      <c r="G6639" t="str" cm="1">
        <f t="array" ref="G6639">SubCategorizeComment(E6639)</f>
        <v>Other</v>
      </c>
    </row>
    <row r="6640" spans="1:7" x14ac:dyDescent="0.25">
      <c r="A6640">
        <v>56653</v>
      </c>
      <c r="B6640" t="s">
        <v>4</v>
      </c>
      <c r="C6640">
        <v>4</v>
      </c>
      <c r="D6640" t="s">
        <v>5</v>
      </c>
      <c r="F6640" t="str" cm="1">
        <f t="array" ref="F6640">CategorizeComment(E6640)</f>
        <v>Other</v>
      </c>
      <c r="G6640" t="str" cm="1">
        <f t="array" ref="G6640">SubCategorizeComment(E6640)</f>
        <v>Other</v>
      </c>
    </row>
    <row r="6641" spans="1:7" x14ac:dyDescent="0.25">
      <c r="A6641">
        <v>56656</v>
      </c>
      <c r="B6641" t="s">
        <v>4</v>
      </c>
      <c r="C6641">
        <v>4</v>
      </c>
      <c r="D6641" t="s">
        <v>5</v>
      </c>
      <c r="F6641" t="str" cm="1">
        <f t="array" ref="F6641">CategorizeComment(E6641)</f>
        <v>Other</v>
      </c>
      <c r="G6641" t="str" cm="1">
        <f t="array" ref="G6641">SubCategorizeComment(E6641)</f>
        <v>Other</v>
      </c>
    </row>
    <row r="6642" spans="1:7" x14ac:dyDescent="0.25">
      <c r="A6642">
        <v>56689</v>
      </c>
      <c r="B6642" t="s">
        <v>4</v>
      </c>
      <c r="C6642">
        <v>4</v>
      </c>
      <c r="D6642" t="s">
        <v>5</v>
      </c>
      <c r="F6642" t="str" cm="1">
        <f t="array" ref="F6642">CategorizeComment(E6642)</f>
        <v>Other</v>
      </c>
      <c r="G6642" t="str" cm="1">
        <f t="array" ref="G6642">SubCategorizeComment(E6642)</f>
        <v>Other</v>
      </c>
    </row>
    <row r="6643" spans="1:7" x14ac:dyDescent="0.25">
      <c r="A6643">
        <v>56697</v>
      </c>
      <c r="B6643" t="s">
        <v>4</v>
      </c>
      <c r="C6643">
        <v>3</v>
      </c>
      <c r="D6643" t="s">
        <v>5</v>
      </c>
      <c r="F6643" t="str" cm="1">
        <f t="array" ref="F6643">CategorizeComment(E6643)</f>
        <v>Other</v>
      </c>
      <c r="G6643" t="str" cm="1">
        <f t="array" ref="G6643">SubCategorizeComment(E6643)</f>
        <v>Other</v>
      </c>
    </row>
    <row r="6644" spans="1:7" x14ac:dyDescent="0.25">
      <c r="A6644">
        <v>56706</v>
      </c>
      <c r="B6644" t="s">
        <v>4</v>
      </c>
      <c r="C6644">
        <v>3</v>
      </c>
      <c r="D6644" t="s">
        <v>5</v>
      </c>
      <c r="F6644" t="str" cm="1">
        <f t="array" ref="F6644">CategorizeComment(E6644)</f>
        <v>Other</v>
      </c>
      <c r="G6644" t="str" cm="1">
        <f t="array" ref="G6644">SubCategorizeComment(E6644)</f>
        <v>Other</v>
      </c>
    </row>
    <row r="6645" spans="1:7" x14ac:dyDescent="0.25">
      <c r="A6645">
        <v>56716</v>
      </c>
      <c r="B6645" t="s">
        <v>4</v>
      </c>
      <c r="C6645">
        <v>3</v>
      </c>
      <c r="D6645" t="s">
        <v>5</v>
      </c>
      <c r="F6645" t="str" cm="1">
        <f t="array" ref="F6645">CategorizeComment(E6645)</f>
        <v>Other</v>
      </c>
      <c r="G6645" t="str" cm="1">
        <f t="array" ref="G6645">SubCategorizeComment(E6645)</f>
        <v>Other</v>
      </c>
    </row>
    <row r="6646" spans="1:7" x14ac:dyDescent="0.25">
      <c r="A6646">
        <v>56725</v>
      </c>
      <c r="B6646" t="s">
        <v>4</v>
      </c>
      <c r="C6646">
        <v>3</v>
      </c>
      <c r="D6646" t="s">
        <v>5</v>
      </c>
      <c r="F6646" t="str" cm="1">
        <f t="array" ref="F6646">CategorizeComment(E6646)</f>
        <v>Other</v>
      </c>
      <c r="G6646" t="str" cm="1">
        <f t="array" ref="G6646">SubCategorizeComment(E6646)</f>
        <v>Other</v>
      </c>
    </row>
    <row r="6647" spans="1:7" x14ac:dyDescent="0.25">
      <c r="A6647">
        <v>56726</v>
      </c>
      <c r="B6647" t="s">
        <v>4</v>
      </c>
      <c r="C6647">
        <v>4</v>
      </c>
      <c r="D6647" t="s">
        <v>5</v>
      </c>
      <c r="F6647" t="str" cm="1">
        <f t="array" ref="F6647">CategorizeComment(E6647)</f>
        <v>Other</v>
      </c>
      <c r="G6647" t="str" cm="1">
        <f t="array" ref="G6647">SubCategorizeComment(E6647)</f>
        <v>Other</v>
      </c>
    </row>
    <row r="6648" spans="1:7" x14ac:dyDescent="0.25">
      <c r="A6648">
        <v>56727</v>
      </c>
      <c r="B6648" t="s">
        <v>4</v>
      </c>
      <c r="C6648">
        <v>4</v>
      </c>
      <c r="D6648" t="s">
        <v>5</v>
      </c>
      <c r="F6648" t="str" cm="1">
        <f t="array" ref="F6648">CategorizeComment(E6648)</f>
        <v>Other</v>
      </c>
      <c r="G6648" t="str" cm="1">
        <f t="array" ref="G6648">SubCategorizeComment(E6648)</f>
        <v>Other</v>
      </c>
    </row>
    <row r="6649" spans="1:7" x14ac:dyDescent="0.25">
      <c r="A6649">
        <v>56731</v>
      </c>
      <c r="B6649" t="s">
        <v>4</v>
      </c>
      <c r="C6649">
        <v>4</v>
      </c>
      <c r="D6649" t="s">
        <v>5</v>
      </c>
      <c r="F6649" t="str" cm="1">
        <f t="array" ref="F6649">CategorizeComment(E6649)</f>
        <v>Other</v>
      </c>
      <c r="G6649" t="str" cm="1">
        <f t="array" ref="G6649">SubCategorizeComment(E6649)</f>
        <v>Other</v>
      </c>
    </row>
    <row r="6650" spans="1:7" x14ac:dyDescent="0.25">
      <c r="A6650">
        <v>56736</v>
      </c>
      <c r="B6650" t="s">
        <v>4</v>
      </c>
      <c r="C6650">
        <v>4</v>
      </c>
      <c r="D6650" t="s">
        <v>5</v>
      </c>
      <c r="F6650" t="str" cm="1">
        <f t="array" ref="F6650">CategorizeComment(E6650)</f>
        <v>Other</v>
      </c>
      <c r="G6650" t="str" cm="1">
        <f t="array" ref="G6650">SubCategorizeComment(E6650)</f>
        <v>Other</v>
      </c>
    </row>
    <row r="6651" spans="1:7" x14ac:dyDescent="0.25">
      <c r="A6651">
        <v>56744</v>
      </c>
      <c r="B6651" t="s">
        <v>4</v>
      </c>
      <c r="C6651">
        <v>4</v>
      </c>
      <c r="D6651" t="s">
        <v>5</v>
      </c>
      <c r="F6651" t="str" cm="1">
        <f t="array" ref="F6651">CategorizeComment(E6651)</f>
        <v>Other</v>
      </c>
      <c r="G6651" t="str" cm="1">
        <f t="array" ref="G6651">SubCategorizeComment(E6651)</f>
        <v>Other</v>
      </c>
    </row>
    <row r="6652" spans="1:7" x14ac:dyDescent="0.25">
      <c r="A6652">
        <v>56769</v>
      </c>
      <c r="B6652" t="s">
        <v>4</v>
      </c>
      <c r="C6652">
        <v>3</v>
      </c>
      <c r="D6652" t="s">
        <v>5</v>
      </c>
      <c r="F6652" t="str" cm="1">
        <f t="array" ref="F6652">CategorizeComment(E6652)</f>
        <v>Other</v>
      </c>
      <c r="G6652" t="str" cm="1">
        <f t="array" ref="G6652">SubCategorizeComment(E6652)</f>
        <v>Other</v>
      </c>
    </row>
    <row r="6653" spans="1:7" x14ac:dyDescent="0.25">
      <c r="A6653">
        <v>56778</v>
      </c>
      <c r="B6653" t="s">
        <v>4</v>
      </c>
      <c r="C6653">
        <v>3</v>
      </c>
      <c r="D6653" t="s">
        <v>5</v>
      </c>
      <c r="F6653" t="str" cm="1">
        <f t="array" ref="F6653">CategorizeComment(E6653)</f>
        <v>Other</v>
      </c>
      <c r="G6653" t="str" cm="1">
        <f t="array" ref="G6653">SubCategorizeComment(E6653)</f>
        <v>Other</v>
      </c>
    </row>
    <row r="6654" spans="1:7" x14ac:dyDescent="0.25">
      <c r="A6654">
        <v>56800</v>
      </c>
      <c r="B6654" t="s">
        <v>4</v>
      </c>
      <c r="C6654">
        <v>3</v>
      </c>
      <c r="D6654" t="s">
        <v>5</v>
      </c>
      <c r="F6654" t="str" cm="1">
        <f t="array" ref="F6654">CategorizeComment(E6654)</f>
        <v>Other</v>
      </c>
      <c r="G6654" t="str" cm="1">
        <f t="array" ref="G6654">SubCategorizeComment(E6654)</f>
        <v>Other</v>
      </c>
    </row>
    <row r="6655" spans="1:7" x14ac:dyDescent="0.25">
      <c r="A6655">
        <v>56838</v>
      </c>
      <c r="B6655" t="s">
        <v>4</v>
      </c>
      <c r="C6655">
        <v>4</v>
      </c>
      <c r="D6655" t="s">
        <v>5</v>
      </c>
      <c r="F6655" t="str" cm="1">
        <f t="array" ref="F6655">CategorizeComment(E6655)</f>
        <v>Other</v>
      </c>
      <c r="G6655" t="str" cm="1">
        <f t="array" ref="G6655">SubCategorizeComment(E6655)</f>
        <v>Other</v>
      </c>
    </row>
    <row r="6656" spans="1:7" x14ac:dyDescent="0.25">
      <c r="A6656">
        <v>56849</v>
      </c>
      <c r="B6656" t="s">
        <v>4</v>
      </c>
      <c r="C6656">
        <v>4</v>
      </c>
      <c r="D6656" t="s">
        <v>5</v>
      </c>
      <c r="F6656" t="str" cm="1">
        <f t="array" ref="F6656">CategorizeComment(E6656)</f>
        <v>Other</v>
      </c>
      <c r="G6656" t="str" cm="1">
        <f t="array" ref="G6656">SubCategorizeComment(E6656)</f>
        <v>Other</v>
      </c>
    </row>
    <row r="6657" spans="1:7" x14ac:dyDescent="0.25">
      <c r="A6657">
        <v>56886</v>
      </c>
      <c r="B6657" t="s">
        <v>4</v>
      </c>
      <c r="C6657">
        <v>4</v>
      </c>
      <c r="D6657" t="s">
        <v>5</v>
      </c>
      <c r="F6657" t="str" cm="1">
        <f t="array" ref="F6657">CategorizeComment(E6657)</f>
        <v>Other</v>
      </c>
      <c r="G6657" t="str" cm="1">
        <f t="array" ref="G6657">SubCategorizeComment(E6657)</f>
        <v>Other</v>
      </c>
    </row>
    <row r="6658" spans="1:7" x14ac:dyDescent="0.25">
      <c r="A6658">
        <v>56927</v>
      </c>
      <c r="B6658" t="s">
        <v>4</v>
      </c>
      <c r="C6658">
        <v>3</v>
      </c>
      <c r="D6658" t="s">
        <v>5</v>
      </c>
      <c r="F6658" t="str" cm="1">
        <f t="array" ref="F6658">CategorizeComment(E6658)</f>
        <v>Other</v>
      </c>
      <c r="G6658" t="str" cm="1">
        <f t="array" ref="G6658">SubCategorizeComment(E6658)</f>
        <v>Other</v>
      </c>
    </row>
    <row r="6659" spans="1:7" x14ac:dyDescent="0.25">
      <c r="A6659">
        <v>56945</v>
      </c>
      <c r="B6659" t="s">
        <v>4</v>
      </c>
      <c r="C6659">
        <v>3</v>
      </c>
      <c r="D6659" t="s">
        <v>5</v>
      </c>
      <c r="F6659" t="str" cm="1">
        <f t="array" ref="F6659">CategorizeComment(E6659)</f>
        <v>Other</v>
      </c>
      <c r="G6659" t="str" cm="1">
        <f t="array" ref="G6659">SubCategorizeComment(E6659)</f>
        <v>Other</v>
      </c>
    </row>
    <row r="6660" spans="1:7" x14ac:dyDescent="0.25">
      <c r="A6660">
        <v>56950</v>
      </c>
      <c r="B6660" t="s">
        <v>4</v>
      </c>
      <c r="C6660">
        <v>3</v>
      </c>
      <c r="D6660" t="s">
        <v>5</v>
      </c>
      <c r="F6660" t="str" cm="1">
        <f t="array" ref="F6660">CategorizeComment(E6660)</f>
        <v>Other</v>
      </c>
      <c r="G6660" t="str" cm="1">
        <f t="array" ref="G6660">SubCategorizeComment(E6660)</f>
        <v>Other</v>
      </c>
    </row>
    <row r="6661" spans="1:7" x14ac:dyDescent="0.25">
      <c r="A6661">
        <v>56952</v>
      </c>
      <c r="B6661" t="s">
        <v>4</v>
      </c>
      <c r="C6661">
        <v>3</v>
      </c>
      <c r="D6661" t="s">
        <v>5</v>
      </c>
      <c r="F6661" t="str" cm="1">
        <f t="array" ref="F6661">CategorizeComment(E6661)</f>
        <v>Other</v>
      </c>
      <c r="G6661" t="str" cm="1">
        <f t="array" ref="G6661">SubCategorizeComment(E6661)</f>
        <v>Other</v>
      </c>
    </row>
    <row r="6662" spans="1:7" x14ac:dyDescent="0.25">
      <c r="A6662">
        <v>56955</v>
      </c>
      <c r="B6662" t="s">
        <v>4</v>
      </c>
      <c r="C6662">
        <v>4</v>
      </c>
      <c r="D6662" t="s">
        <v>5</v>
      </c>
      <c r="F6662" t="str" cm="1">
        <f t="array" ref="F6662">CategorizeComment(E6662)</f>
        <v>Other</v>
      </c>
      <c r="G6662" t="str" cm="1">
        <f t="array" ref="G6662">SubCategorizeComment(E6662)</f>
        <v>Other</v>
      </c>
    </row>
    <row r="6663" spans="1:7" x14ac:dyDescent="0.25">
      <c r="A6663">
        <v>56956</v>
      </c>
      <c r="B6663" t="s">
        <v>4</v>
      </c>
      <c r="C6663">
        <v>4</v>
      </c>
      <c r="D6663" t="s">
        <v>5</v>
      </c>
      <c r="F6663" t="str" cm="1">
        <f t="array" ref="F6663">CategorizeComment(E6663)</f>
        <v>Other</v>
      </c>
      <c r="G6663" t="str" cm="1">
        <f t="array" ref="G6663">SubCategorizeComment(E6663)</f>
        <v>Other</v>
      </c>
    </row>
    <row r="6664" spans="1:7" x14ac:dyDescent="0.25">
      <c r="A6664">
        <v>56964</v>
      </c>
      <c r="B6664" t="s">
        <v>4</v>
      </c>
      <c r="C6664">
        <v>4</v>
      </c>
      <c r="D6664" t="s">
        <v>5</v>
      </c>
      <c r="F6664" t="str" cm="1">
        <f t="array" ref="F6664">CategorizeComment(E6664)</f>
        <v>Other</v>
      </c>
      <c r="G6664" t="str" cm="1">
        <f t="array" ref="G6664">SubCategorizeComment(E6664)</f>
        <v>Other</v>
      </c>
    </row>
    <row r="6665" spans="1:7" x14ac:dyDescent="0.25">
      <c r="A6665">
        <v>56972</v>
      </c>
      <c r="B6665" t="s">
        <v>4</v>
      </c>
      <c r="C6665">
        <v>3</v>
      </c>
      <c r="D6665" t="s">
        <v>5</v>
      </c>
      <c r="F6665" t="str" cm="1">
        <f t="array" ref="F6665">CategorizeComment(E6665)</f>
        <v>Other</v>
      </c>
      <c r="G6665" t="str" cm="1">
        <f t="array" ref="G6665">SubCategorizeComment(E6665)</f>
        <v>Other</v>
      </c>
    </row>
    <row r="6666" spans="1:7" x14ac:dyDescent="0.25">
      <c r="A6666">
        <v>56981</v>
      </c>
      <c r="B6666" t="s">
        <v>4</v>
      </c>
      <c r="C6666">
        <v>4</v>
      </c>
      <c r="D6666" t="s">
        <v>5</v>
      </c>
      <c r="F6666" t="str" cm="1">
        <f t="array" ref="F6666">CategorizeComment(E6666)</f>
        <v>Other</v>
      </c>
      <c r="G6666" t="str" cm="1">
        <f t="array" ref="G6666">SubCategorizeComment(E6666)</f>
        <v>Other</v>
      </c>
    </row>
    <row r="6667" spans="1:7" x14ac:dyDescent="0.25">
      <c r="A6667">
        <v>56983</v>
      </c>
      <c r="B6667" t="s">
        <v>4</v>
      </c>
      <c r="C6667">
        <v>4</v>
      </c>
      <c r="D6667" t="s">
        <v>5</v>
      </c>
      <c r="F6667" t="str" cm="1">
        <f t="array" ref="F6667">CategorizeComment(E6667)</f>
        <v>Other</v>
      </c>
      <c r="G6667" t="str" cm="1">
        <f t="array" ref="G6667">SubCategorizeComment(E6667)</f>
        <v>Other</v>
      </c>
    </row>
    <row r="6668" spans="1:7" x14ac:dyDescent="0.25">
      <c r="A6668">
        <v>56984</v>
      </c>
      <c r="B6668" t="s">
        <v>4</v>
      </c>
      <c r="C6668">
        <v>4</v>
      </c>
      <c r="D6668" t="s">
        <v>5</v>
      </c>
      <c r="F6668" t="str" cm="1">
        <f t="array" ref="F6668">CategorizeComment(E6668)</f>
        <v>Other</v>
      </c>
      <c r="G6668" t="str" cm="1">
        <f t="array" ref="G6668">SubCategorizeComment(E6668)</f>
        <v>Other</v>
      </c>
    </row>
    <row r="6669" spans="1:7" x14ac:dyDescent="0.25">
      <c r="A6669">
        <v>56985</v>
      </c>
      <c r="B6669" t="s">
        <v>4</v>
      </c>
      <c r="C6669">
        <v>3</v>
      </c>
      <c r="D6669" t="s">
        <v>5</v>
      </c>
      <c r="F6669" t="str" cm="1">
        <f t="array" ref="F6669">CategorizeComment(E6669)</f>
        <v>Other</v>
      </c>
      <c r="G6669" t="str" cm="1">
        <f t="array" ref="G6669">SubCategorizeComment(E6669)</f>
        <v>Other</v>
      </c>
    </row>
    <row r="6670" spans="1:7" x14ac:dyDescent="0.25">
      <c r="A6670">
        <v>56989</v>
      </c>
      <c r="B6670" t="s">
        <v>4</v>
      </c>
      <c r="C6670">
        <v>4</v>
      </c>
      <c r="D6670" t="s">
        <v>5</v>
      </c>
      <c r="F6670" t="str" cm="1">
        <f t="array" ref="F6670">CategorizeComment(E6670)</f>
        <v>Other</v>
      </c>
      <c r="G6670" t="str" cm="1">
        <f t="array" ref="G6670">SubCategorizeComment(E6670)</f>
        <v>Other</v>
      </c>
    </row>
    <row r="6671" spans="1:7" x14ac:dyDescent="0.25">
      <c r="A6671">
        <v>56995</v>
      </c>
      <c r="B6671" t="s">
        <v>4</v>
      </c>
      <c r="C6671">
        <v>3</v>
      </c>
      <c r="D6671" t="s">
        <v>5</v>
      </c>
      <c r="F6671" t="str" cm="1">
        <f t="array" ref="F6671">CategorizeComment(E6671)</f>
        <v>Other</v>
      </c>
      <c r="G6671" t="str" cm="1">
        <f t="array" ref="G6671">SubCategorizeComment(E6671)</f>
        <v>Other</v>
      </c>
    </row>
    <row r="6672" spans="1:7" x14ac:dyDescent="0.25">
      <c r="A6672">
        <v>57016</v>
      </c>
      <c r="B6672" t="s">
        <v>4</v>
      </c>
      <c r="C6672">
        <v>3</v>
      </c>
      <c r="D6672" t="s">
        <v>5</v>
      </c>
      <c r="F6672" t="str" cm="1">
        <f t="array" ref="F6672">CategorizeComment(E6672)</f>
        <v>Other</v>
      </c>
      <c r="G6672" t="str" cm="1">
        <f t="array" ref="G6672">SubCategorizeComment(E6672)</f>
        <v>Other</v>
      </c>
    </row>
    <row r="6673" spans="1:7" x14ac:dyDescent="0.25">
      <c r="A6673">
        <v>57030</v>
      </c>
      <c r="B6673" t="s">
        <v>4</v>
      </c>
      <c r="C6673">
        <v>4</v>
      </c>
      <c r="D6673" t="s">
        <v>5</v>
      </c>
      <c r="F6673" t="str" cm="1">
        <f t="array" ref="F6673">CategorizeComment(E6673)</f>
        <v>Other</v>
      </c>
      <c r="G6673" t="str" cm="1">
        <f t="array" ref="G6673">SubCategorizeComment(E6673)</f>
        <v>Other</v>
      </c>
    </row>
    <row r="6674" spans="1:7" x14ac:dyDescent="0.25">
      <c r="A6674">
        <v>57031</v>
      </c>
      <c r="B6674" t="s">
        <v>4</v>
      </c>
      <c r="C6674">
        <v>3</v>
      </c>
      <c r="D6674" t="s">
        <v>5</v>
      </c>
      <c r="F6674" t="str" cm="1">
        <f t="array" ref="F6674">CategorizeComment(E6674)</f>
        <v>Other</v>
      </c>
      <c r="G6674" t="str" cm="1">
        <f t="array" ref="G6674">SubCategorizeComment(E6674)</f>
        <v>Other</v>
      </c>
    </row>
    <row r="6675" spans="1:7" x14ac:dyDescent="0.25">
      <c r="A6675">
        <v>57037</v>
      </c>
      <c r="B6675" t="s">
        <v>4</v>
      </c>
      <c r="C6675">
        <v>4</v>
      </c>
      <c r="D6675" t="s">
        <v>5</v>
      </c>
      <c r="F6675" t="str" cm="1">
        <f t="array" ref="F6675">CategorizeComment(E6675)</f>
        <v>Other</v>
      </c>
      <c r="G6675" t="str" cm="1">
        <f t="array" ref="G6675">SubCategorizeComment(E6675)</f>
        <v>Other</v>
      </c>
    </row>
    <row r="6676" spans="1:7" x14ac:dyDescent="0.25">
      <c r="A6676">
        <v>57038</v>
      </c>
      <c r="B6676" t="s">
        <v>4</v>
      </c>
      <c r="C6676">
        <v>3</v>
      </c>
      <c r="D6676" t="s">
        <v>5</v>
      </c>
      <c r="F6676" t="str" cm="1">
        <f t="array" ref="F6676">CategorizeComment(E6676)</f>
        <v>Other</v>
      </c>
      <c r="G6676" t="str" cm="1">
        <f t="array" ref="G6676">SubCategorizeComment(E6676)</f>
        <v>Other</v>
      </c>
    </row>
    <row r="6677" spans="1:7" x14ac:dyDescent="0.25">
      <c r="A6677">
        <v>57055</v>
      </c>
      <c r="B6677" t="s">
        <v>4</v>
      </c>
      <c r="C6677">
        <v>4</v>
      </c>
      <c r="D6677" t="s">
        <v>5</v>
      </c>
      <c r="F6677" t="str" cm="1">
        <f t="array" ref="F6677">CategorizeComment(E6677)</f>
        <v>Other</v>
      </c>
      <c r="G6677" t="str" cm="1">
        <f t="array" ref="G6677">SubCategorizeComment(E6677)</f>
        <v>Other</v>
      </c>
    </row>
    <row r="6678" spans="1:7" x14ac:dyDescent="0.25">
      <c r="A6678">
        <v>57058</v>
      </c>
      <c r="B6678" t="s">
        <v>4</v>
      </c>
      <c r="C6678">
        <v>3</v>
      </c>
      <c r="D6678" t="s">
        <v>5</v>
      </c>
      <c r="F6678" t="str" cm="1">
        <f t="array" ref="F6678">CategorizeComment(E6678)</f>
        <v>Other</v>
      </c>
      <c r="G6678" t="str" cm="1">
        <f t="array" ref="G6678">SubCategorizeComment(E6678)</f>
        <v>Other</v>
      </c>
    </row>
    <row r="6679" spans="1:7" x14ac:dyDescent="0.25">
      <c r="A6679">
        <v>57061</v>
      </c>
      <c r="B6679" t="s">
        <v>4</v>
      </c>
      <c r="C6679">
        <v>4</v>
      </c>
      <c r="D6679" t="s">
        <v>5</v>
      </c>
      <c r="F6679" t="str" cm="1">
        <f t="array" ref="F6679">CategorizeComment(E6679)</f>
        <v>Other</v>
      </c>
      <c r="G6679" t="str" cm="1">
        <f t="array" ref="G6679">SubCategorizeComment(E6679)</f>
        <v>Other</v>
      </c>
    </row>
    <row r="6680" spans="1:7" x14ac:dyDescent="0.25">
      <c r="A6680">
        <v>57076</v>
      </c>
      <c r="B6680" t="s">
        <v>4</v>
      </c>
      <c r="C6680">
        <v>4</v>
      </c>
      <c r="D6680" t="s">
        <v>5</v>
      </c>
      <c r="F6680" t="str" cm="1">
        <f t="array" ref="F6680">CategorizeComment(E6680)</f>
        <v>Other</v>
      </c>
      <c r="G6680" t="str" cm="1">
        <f t="array" ref="G6680">SubCategorizeComment(E6680)</f>
        <v>Other</v>
      </c>
    </row>
    <row r="6681" spans="1:7" x14ac:dyDescent="0.25">
      <c r="A6681">
        <v>57103</v>
      </c>
      <c r="B6681" t="s">
        <v>4</v>
      </c>
      <c r="C6681">
        <v>3</v>
      </c>
      <c r="D6681" t="s">
        <v>5</v>
      </c>
      <c r="F6681" t="str" cm="1">
        <f t="array" ref="F6681">CategorizeComment(E6681)</f>
        <v>Other</v>
      </c>
      <c r="G6681" t="str" cm="1">
        <f t="array" ref="G6681">SubCategorizeComment(E6681)</f>
        <v>Other</v>
      </c>
    </row>
    <row r="6682" spans="1:7" x14ac:dyDescent="0.25">
      <c r="A6682">
        <v>57118</v>
      </c>
      <c r="B6682" t="s">
        <v>4</v>
      </c>
      <c r="C6682">
        <v>3</v>
      </c>
      <c r="D6682" t="s">
        <v>5</v>
      </c>
      <c r="F6682" t="str" cm="1">
        <f t="array" ref="F6682">CategorizeComment(E6682)</f>
        <v>Other</v>
      </c>
      <c r="G6682" t="str" cm="1">
        <f t="array" ref="G6682">SubCategorizeComment(E6682)</f>
        <v>Other</v>
      </c>
    </row>
    <row r="6683" spans="1:7" x14ac:dyDescent="0.25">
      <c r="A6683">
        <v>57125</v>
      </c>
      <c r="B6683" t="s">
        <v>4</v>
      </c>
      <c r="C6683">
        <v>4</v>
      </c>
      <c r="D6683" t="s">
        <v>5</v>
      </c>
      <c r="F6683" t="str" cm="1">
        <f t="array" ref="F6683">CategorizeComment(E6683)</f>
        <v>Other</v>
      </c>
      <c r="G6683" t="str" cm="1">
        <f t="array" ref="G6683">SubCategorizeComment(E6683)</f>
        <v>Other</v>
      </c>
    </row>
    <row r="6684" spans="1:7" x14ac:dyDescent="0.25">
      <c r="A6684">
        <v>57128</v>
      </c>
      <c r="B6684" t="s">
        <v>4</v>
      </c>
      <c r="C6684">
        <v>3</v>
      </c>
      <c r="D6684" t="s">
        <v>5</v>
      </c>
      <c r="F6684" t="str" cm="1">
        <f t="array" ref="F6684">CategorizeComment(E6684)</f>
        <v>Other</v>
      </c>
      <c r="G6684" t="str" cm="1">
        <f t="array" ref="G6684">SubCategorizeComment(E6684)</f>
        <v>Other</v>
      </c>
    </row>
    <row r="6685" spans="1:7" x14ac:dyDescent="0.25">
      <c r="A6685">
        <v>57131</v>
      </c>
      <c r="B6685" t="s">
        <v>4</v>
      </c>
      <c r="C6685">
        <v>3</v>
      </c>
      <c r="D6685" t="s">
        <v>5</v>
      </c>
      <c r="F6685" t="str" cm="1">
        <f t="array" ref="F6685">CategorizeComment(E6685)</f>
        <v>Other</v>
      </c>
      <c r="G6685" t="str" cm="1">
        <f t="array" ref="G6685">SubCategorizeComment(E6685)</f>
        <v>Other</v>
      </c>
    </row>
    <row r="6686" spans="1:7" x14ac:dyDescent="0.25">
      <c r="A6686">
        <v>57134</v>
      </c>
      <c r="B6686" t="s">
        <v>4</v>
      </c>
      <c r="C6686">
        <v>4</v>
      </c>
      <c r="D6686" t="s">
        <v>5</v>
      </c>
      <c r="F6686" t="str" cm="1">
        <f t="array" ref="F6686">CategorizeComment(E6686)</f>
        <v>Other</v>
      </c>
      <c r="G6686" t="str" cm="1">
        <f t="array" ref="G6686">SubCategorizeComment(E6686)</f>
        <v>Other</v>
      </c>
    </row>
    <row r="6687" spans="1:7" x14ac:dyDescent="0.25">
      <c r="A6687">
        <v>57135</v>
      </c>
      <c r="B6687" t="s">
        <v>4</v>
      </c>
      <c r="C6687">
        <v>4</v>
      </c>
      <c r="D6687" t="s">
        <v>5</v>
      </c>
      <c r="F6687" t="str" cm="1">
        <f t="array" ref="F6687">CategorizeComment(E6687)</f>
        <v>Other</v>
      </c>
      <c r="G6687" t="str" cm="1">
        <f t="array" ref="G6687">SubCategorizeComment(E6687)</f>
        <v>Other</v>
      </c>
    </row>
    <row r="6688" spans="1:7" x14ac:dyDescent="0.25">
      <c r="A6688">
        <v>57148</v>
      </c>
      <c r="B6688" t="s">
        <v>4</v>
      </c>
      <c r="C6688">
        <v>4</v>
      </c>
      <c r="D6688" t="s">
        <v>5</v>
      </c>
      <c r="F6688" t="str" cm="1">
        <f t="array" ref="F6688">CategorizeComment(E6688)</f>
        <v>Other</v>
      </c>
      <c r="G6688" t="str" cm="1">
        <f t="array" ref="G6688">SubCategorizeComment(E6688)</f>
        <v>Other</v>
      </c>
    </row>
    <row r="6689" spans="1:7" x14ac:dyDescent="0.25">
      <c r="A6689">
        <v>57170</v>
      </c>
      <c r="B6689" t="s">
        <v>4</v>
      </c>
      <c r="C6689">
        <v>3</v>
      </c>
      <c r="D6689" t="s">
        <v>5</v>
      </c>
      <c r="F6689" t="str" cm="1">
        <f t="array" ref="F6689">CategorizeComment(E6689)</f>
        <v>Other</v>
      </c>
      <c r="G6689" t="str" cm="1">
        <f t="array" ref="G6689">SubCategorizeComment(E6689)</f>
        <v>Other</v>
      </c>
    </row>
    <row r="6690" spans="1:7" x14ac:dyDescent="0.25">
      <c r="A6690">
        <v>57202</v>
      </c>
      <c r="B6690" t="s">
        <v>4</v>
      </c>
      <c r="C6690">
        <v>4</v>
      </c>
      <c r="D6690" t="s">
        <v>5</v>
      </c>
      <c r="F6690" t="str" cm="1">
        <f t="array" ref="F6690">CategorizeComment(E6690)</f>
        <v>Other</v>
      </c>
      <c r="G6690" t="str" cm="1">
        <f t="array" ref="G6690">SubCategorizeComment(E6690)</f>
        <v>Other</v>
      </c>
    </row>
    <row r="6691" spans="1:7" x14ac:dyDescent="0.25">
      <c r="A6691">
        <v>57211</v>
      </c>
      <c r="B6691" t="s">
        <v>4</v>
      </c>
      <c r="C6691">
        <v>3</v>
      </c>
      <c r="D6691" t="s">
        <v>5</v>
      </c>
      <c r="F6691" t="str" cm="1">
        <f t="array" ref="F6691">CategorizeComment(E6691)</f>
        <v>Other</v>
      </c>
      <c r="G6691" t="str" cm="1">
        <f t="array" ref="G6691">SubCategorizeComment(E6691)</f>
        <v>Other</v>
      </c>
    </row>
    <row r="6692" spans="1:7" x14ac:dyDescent="0.25">
      <c r="A6692">
        <v>57216</v>
      </c>
      <c r="B6692" t="s">
        <v>4</v>
      </c>
      <c r="C6692">
        <v>4</v>
      </c>
      <c r="D6692" t="s">
        <v>5</v>
      </c>
      <c r="F6692" t="str" cm="1">
        <f t="array" ref="F6692">CategorizeComment(E6692)</f>
        <v>Other</v>
      </c>
      <c r="G6692" t="str" cm="1">
        <f t="array" ref="G6692">SubCategorizeComment(E6692)</f>
        <v>Other</v>
      </c>
    </row>
    <row r="6693" spans="1:7" x14ac:dyDescent="0.25">
      <c r="A6693">
        <v>57234</v>
      </c>
      <c r="B6693" t="s">
        <v>4</v>
      </c>
      <c r="C6693">
        <v>4</v>
      </c>
      <c r="D6693" t="s">
        <v>5</v>
      </c>
      <c r="F6693" t="str" cm="1">
        <f t="array" ref="F6693">CategorizeComment(E6693)</f>
        <v>Other</v>
      </c>
      <c r="G6693" t="str" cm="1">
        <f t="array" ref="G6693">SubCategorizeComment(E6693)</f>
        <v>Other</v>
      </c>
    </row>
    <row r="6694" spans="1:7" x14ac:dyDescent="0.25">
      <c r="A6694">
        <v>57254</v>
      </c>
      <c r="B6694" t="s">
        <v>4</v>
      </c>
      <c r="C6694">
        <v>3</v>
      </c>
      <c r="D6694" t="s">
        <v>5</v>
      </c>
      <c r="F6694" t="str" cm="1">
        <f t="array" ref="F6694">CategorizeComment(E6694)</f>
        <v>Other</v>
      </c>
      <c r="G6694" t="str" cm="1">
        <f t="array" ref="G6694">SubCategorizeComment(E6694)</f>
        <v>Other</v>
      </c>
    </row>
    <row r="6695" spans="1:7" x14ac:dyDescent="0.25">
      <c r="A6695">
        <v>57258</v>
      </c>
      <c r="B6695" t="s">
        <v>4</v>
      </c>
      <c r="C6695">
        <v>4</v>
      </c>
      <c r="D6695" t="s">
        <v>5</v>
      </c>
      <c r="F6695" t="str" cm="1">
        <f t="array" ref="F6695">CategorizeComment(E6695)</f>
        <v>Other</v>
      </c>
      <c r="G6695" t="str" cm="1">
        <f t="array" ref="G6695">SubCategorizeComment(E6695)</f>
        <v>Other</v>
      </c>
    </row>
    <row r="6696" spans="1:7" x14ac:dyDescent="0.25">
      <c r="A6696">
        <v>57275</v>
      </c>
      <c r="B6696" t="s">
        <v>4</v>
      </c>
      <c r="C6696">
        <v>3</v>
      </c>
      <c r="D6696" t="s">
        <v>5</v>
      </c>
      <c r="F6696" t="str" cm="1">
        <f t="array" ref="F6696">CategorizeComment(E6696)</f>
        <v>Other</v>
      </c>
      <c r="G6696" t="str" cm="1">
        <f t="array" ref="G6696">SubCategorizeComment(E6696)</f>
        <v>Other</v>
      </c>
    </row>
    <row r="6697" spans="1:7" x14ac:dyDescent="0.25">
      <c r="A6697">
        <v>57323</v>
      </c>
      <c r="B6697" t="s">
        <v>4</v>
      </c>
      <c r="C6697">
        <v>3</v>
      </c>
      <c r="D6697" t="s">
        <v>5</v>
      </c>
      <c r="F6697" t="str" cm="1">
        <f t="array" ref="F6697">CategorizeComment(E6697)</f>
        <v>Other</v>
      </c>
      <c r="G6697" t="str" cm="1">
        <f t="array" ref="G6697">SubCategorizeComment(E6697)</f>
        <v>Other</v>
      </c>
    </row>
    <row r="6698" spans="1:7" x14ac:dyDescent="0.25">
      <c r="A6698">
        <v>57331</v>
      </c>
      <c r="B6698" t="s">
        <v>4</v>
      </c>
      <c r="C6698">
        <v>3</v>
      </c>
      <c r="D6698" t="s">
        <v>5</v>
      </c>
      <c r="F6698" t="str" cm="1">
        <f t="array" ref="F6698">CategorizeComment(E6698)</f>
        <v>Other</v>
      </c>
      <c r="G6698" t="str" cm="1">
        <f t="array" ref="G6698">SubCategorizeComment(E6698)</f>
        <v>Other</v>
      </c>
    </row>
    <row r="6699" spans="1:7" x14ac:dyDescent="0.25">
      <c r="A6699">
        <v>57333</v>
      </c>
      <c r="B6699" t="s">
        <v>4</v>
      </c>
      <c r="C6699">
        <v>3</v>
      </c>
      <c r="D6699" t="s">
        <v>5</v>
      </c>
      <c r="F6699" t="str" cm="1">
        <f t="array" ref="F6699">CategorizeComment(E6699)</f>
        <v>Other</v>
      </c>
      <c r="G6699" t="str" cm="1">
        <f t="array" ref="G6699">SubCategorizeComment(E6699)</f>
        <v>Other</v>
      </c>
    </row>
    <row r="6700" spans="1:7" x14ac:dyDescent="0.25">
      <c r="A6700">
        <v>57337</v>
      </c>
      <c r="B6700" t="s">
        <v>4</v>
      </c>
      <c r="C6700">
        <v>3</v>
      </c>
      <c r="D6700" t="s">
        <v>5</v>
      </c>
      <c r="F6700" t="str" cm="1">
        <f t="array" ref="F6700">CategorizeComment(E6700)</f>
        <v>Other</v>
      </c>
      <c r="G6700" t="str" cm="1">
        <f t="array" ref="G6700">SubCategorizeComment(E6700)</f>
        <v>Other</v>
      </c>
    </row>
    <row r="6701" spans="1:7" x14ac:dyDescent="0.25">
      <c r="A6701">
        <v>57344</v>
      </c>
      <c r="B6701" t="s">
        <v>4</v>
      </c>
      <c r="C6701">
        <v>3</v>
      </c>
      <c r="D6701" t="s">
        <v>5</v>
      </c>
      <c r="F6701" t="str" cm="1">
        <f t="array" ref="F6701">CategorizeComment(E6701)</f>
        <v>Other</v>
      </c>
      <c r="G6701" t="str" cm="1">
        <f t="array" ref="G6701">SubCategorizeComment(E6701)</f>
        <v>Other</v>
      </c>
    </row>
    <row r="6702" spans="1:7" x14ac:dyDescent="0.25">
      <c r="A6702">
        <v>57368</v>
      </c>
      <c r="B6702" t="s">
        <v>4</v>
      </c>
      <c r="C6702">
        <v>4</v>
      </c>
      <c r="D6702" t="s">
        <v>5</v>
      </c>
      <c r="F6702" t="str" cm="1">
        <f t="array" ref="F6702">CategorizeComment(E6702)</f>
        <v>Other</v>
      </c>
      <c r="G6702" t="str" cm="1">
        <f t="array" ref="G6702">SubCategorizeComment(E6702)</f>
        <v>Other</v>
      </c>
    </row>
    <row r="6703" spans="1:7" x14ac:dyDescent="0.25">
      <c r="A6703">
        <v>57369</v>
      </c>
      <c r="B6703" t="s">
        <v>4</v>
      </c>
      <c r="C6703">
        <v>3</v>
      </c>
      <c r="D6703" t="s">
        <v>5</v>
      </c>
      <c r="F6703" t="str" cm="1">
        <f t="array" ref="F6703">CategorizeComment(E6703)</f>
        <v>Other</v>
      </c>
      <c r="G6703" t="str" cm="1">
        <f t="array" ref="G6703">SubCategorizeComment(E6703)</f>
        <v>Other</v>
      </c>
    </row>
    <row r="6704" spans="1:7" x14ac:dyDescent="0.25">
      <c r="A6704">
        <v>57370</v>
      </c>
      <c r="B6704" t="s">
        <v>4</v>
      </c>
      <c r="C6704">
        <v>3</v>
      </c>
      <c r="D6704" t="s">
        <v>5</v>
      </c>
      <c r="F6704" t="str" cm="1">
        <f t="array" ref="F6704">CategorizeComment(E6704)</f>
        <v>Other</v>
      </c>
      <c r="G6704" t="str" cm="1">
        <f t="array" ref="G6704">SubCategorizeComment(E6704)</f>
        <v>Other</v>
      </c>
    </row>
    <row r="6705" spans="1:7" x14ac:dyDescent="0.25">
      <c r="A6705">
        <v>57371</v>
      </c>
      <c r="B6705" t="s">
        <v>4</v>
      </c>
      <c r="C6705">
        <v>3</v>
      </c>
      <c r="D6705" t="s">
        <v>5</v>
      </c>
      <c r="F6705" t="str" cm="1">
        <f t="array" ref="F6705">CategorizeComment(E6705)</f>
        <v>Other</v>
      </c>
      <c r="G6705" t="str" cm="1">
        <f t="array" ref="G6705">SubCategorizeComment(E6705)</f>
        <v>Other</v>
      </c>
    </row>
    <row r="6706" spans="1:7" x14ac:dyDescent="0.25">
      <c r="A6706">
        <v>57372</v>
      </c>
      <c r="B6706" t="s">
        <v>4</v>
      </c>
      <c r="C6706">
        <v>3</v>
      </c>
      <c r="D6706" t="s">
        <v>5</v>
      </c>
      <c r="F6706" t="str" cm="1">
        <f t="array" ref="F6706">CategorizeComment(E6706)</f>
        <v>Other</v>
      </c>
      <c r="G6706" t="str" cm="1">
        <f t="array" ref="G6706">SubCategorizeComment(E6706)</f>
        <v>Other</v>
      </c>
    </row>
    <row r="6707" spans="1:7" x14ac:dyDescent="0.25">
      <c r="A6707">
        <v>57377</v>
      </c>
      <c r="B6707" t="s">
        <v>4</v>
      </c>
      <c r="C6707">
        <v>3</v>
      </c>
      <c r="D6707" t="s">
        <v>5</v>
      </c>
      <c r="F6707" t="str" cm="1">
        <f t="array" ref="F6707">CategorizeComment(E6707)</f>
        <v>Other</v>
      </c>
      <c r="G6707" t="str" cm="1">
        <f t="array" ref="G6707">SubCategorizeComment(E6707)</f>
        <v>Other</v>
      </c>
    </row>
    <row r="6708" spans="1:7" x14ac:dyDescent="0.25">
      <c r="A6708">
        <v>57383</v>
      </c>
      <c r="B6708" t="s">
        <v>4</v>
      </c>
      <c r="C6708">
        <v>3</v>
      </c>
      <c r="D6708" t="s">
        <v>5</v>
      </c>
      <c r="F6708" t="str" cm="1">
        <f t="array" ref="F6708">CategorizeComment(E6708)</f>
        <v>Other</v>
      </c>
      <c r="G6708" t="str" cm="1">
        <f t="array" ref="G6708">SubCategorizeComment(E6708)</f>
        <v>Other</v>
      </c>
    </row>
    <row r="6709" spans="1:7" x14ac:dyDescent="0.25">
      <c r="A6709">
        <v>57392</v>
      </c>
      <c r="B6709" t="s">
        <v>4</v>
      </c>
      <c r="C6709">
        <v>4</v>
      </c>
      <c r="D6709" t="s">
        <v>5</v>
      </c>
      <c r="F6709" t="str" cm="1">
        <f t="array" ref="F6709">CategorizeComment(E6709)</f>
        <v>Other</v>
      </c>
      <c r="G6709" t="str" cm="1">
        <f t="array" ref="G6709">SubCategorizeComment(E6709)</f>
        <v>Other</v>
      </c>
    </row>
    <row r="6710" spans="1:7" x14ac:dyDescent="0.25">
      <c r="A6710">
        <v>57393</v>
      </c>
      <c r="B6710" t="s">
        <v>4</v>
      </c>
      <c r="C6710">
        <v>4</v>
      </c>
      <c r="D6710" t="s">
        <v>5</v>
      </c>
      <c r="F6710" t="str" cm="1">
        <f t="array" ref="F6710">CategorizeComment(E6710)</f>
        <v>Other</v>
      </c>
      <c r="G6710" t="str" cm="1">
        <f t="array" ref="G6710">SubCategorizeComment(E6710)</f>
        <v>Other</v>
      </c>
    </row>
    <row r="6711" spans="1:7" x14ac:dyDescent="0.25">
      <c r="A6711">
        <v>57400</v>
      </c>
      <c r="B6711" t="s">
        <v>4</v>
      </c>
      <c r="C6711">
        <v>3</v>
      </c>
      <c r="D6711" t="s">
        <v>5</v>
      </c>
      <c r="F6711" t="str" cm="1">
        <f t="array" ref="F6711">CategorizeComment(E6711)</f>
        <v>Other</v>
      </c>
      <c r="G6711" t="str" cm="1">
        <f t="array" ref="G6711">SubCategorizeComment(E6711)</f>
        <v>Other</v>
      </c>
    </row>
    <row r="6712" spans="1:7" x14ac:dyDescent="0.25">
      <c r="A6712">
        <v>57430</v>
      </c>
      <c r="B6712" t="s">
        <v>4</v>
      </c>
      <c r="C6712">
        <v>3</v>
      </c>
      <c r="D6712" t="s">
        <v>5</v>
      </c>
      <c r="F6712" t="str" cm="1">
        <f t="array" ref="F6712">CategorizeComment(E6712)</f>
        <v>Other</v>
      </c>
      <c r="G6712" t="str" cm="1">
        <f t="array" ref="G6712">SubCategorizeComment(E6712)</f>
        <v>Other</v>
      </c>
    </row>
    <row r="6713" spans="1:7" x14ac:dyDescent="0.25">
      <c r="A6713">
        <v>57435</v>
      </c>
      <c r="B6713" t="s">
        <v>4</v>
      </c>
      <c r="C6713">
        <v>3</v>
      </c>
      <c r="D6713" t="s">
        <v>5</v>
      </c>
      <c r="F6713" t="str" cm="1">
        <f t="array" ref="F6713">CategorizeComment(E6713)</f>
        <v>Other</v>
      </c>
      <c r="G6713" t="str" cm="1">
        <f t="array" ref="G6713">SubCategorizeComment(E6713)</f>
        <v>Other</v>
      </c>
    </row>
    <row r="6714" spans="1:7" x14ac:dyDescent="0.25">
      <c r="A6714">
        <v>57437</v>
      </c>
      <c r="B6714" t="s">
        <v>4</v>
      </c>
      <c r="C6714">
        <v>4</v>
      </c>
      <c r="D6714" t="s">
        <v>5</v>
      </c>
      <c r="F6714" t="str" cm="1">
        <f t="array" ref="F6714">CategorizeComment(E6714)</f>
        <v>Other</v>
      </c>
      <c r="G6714" t="str" cm="1">
        <f t="array" ref="G6714">SubCategorizeComment(E6714)</f>
        <v>Other</v>
      </c>
    </row>
    <row r="6715" spans="1:7" x14ac:dyDescent="0.25">
      <c r="A6715">
        <v>57458</v>
      </c>
      <c r="B6715" t="s">
        <v>4</v>
      </c>
      <c r="C6715">
        <v>4</v>
      </c>
      <c r="D6715" t="s">
        <v>5</v>
      </c>
      <c r="F6715" t="str" cm="1">
        <f t="array" ref="F6715">CategorizeComment(E6715)</f>
        <v>Other</v>
      </c>
      <c r="G6715" t="str" cm="1">
        <f t="array" ref="G6715">SubCategorizeComment(E6715)</f>
        <v>Other</v>
      </c>
    </row>
    <row r="6716" spans="1:7" x14ac:dyDescent="0.25">
      <c r="A6716">
        <v>57463</v>
      </c>
      <c r="B6716" t="s">
        <v>4</v>
      </c>
      <c r="C6716">
        <v>4</v>
      </c>
      <c r="D6716" t="s">
        <v>5</v>
      </c>
      <c r="F6716" t="str" cm="1">
        <f t="array" ref="F6716">CategorizeComment(E6716)</f>
        <v>Other</v>
      </c>
      <c r="G6716" t="str" cm="1">
        <f t="array" ref="G6716">SubCategorizeComment(E6716)</f>
        <v>Other</v>
      </c>
    </row>
    <row r="6717" spans="1:7" x14ac:dyDescent="0.25">
      <c r="A6717">
        <v>57468</v>
      </c>
      <c r="B6717" t="s">
        <v>4</v>
      </c>
      <c r="C6717">
        <v>3</v>
      </c>
      <c r="D6717" t="s">
        <v>5</v>
      </c>
      <c r="F6717" t="str" cm="1">
        <f t="array" ref="F6717">CategorizeComment(E6717)</f>
        <v>Other</v>
      </c>
      <c r="G6717" t="str" cm="1">
        <f t="array" ref="G6717">SubCategorizeComment(E6717)</f>
        <v>Other</v>
      </c>
    </row>
    <row r="6718" spans="1:7" x14ac:dyDescent="0.25">
      <c r="A6718">
        <v>57473</v>
      </c>
      <c r="B6718" t="s">
        <v>4</v>
      </c>
      <c r="C6718">
        <v>3</v>
      </c>
      <c r="D6718" t="s">
        <v>5</v>
      </c>
      <c r="F6718" t="str" cm="1">
        <f t="array" ref="F6718">CategorizeComment(E6718)</f>
        <v>Other</v>
      </c>
      <c r="G6718" t="str" cm="1">
        <f t="array" ref="G6718">SubCategorizeComment(E6718)</f>
        <v>Other</v>
      </c>
    </row>
    <row r="6719" spans="1:7" x14ac:dyDescent="0.25">
      <c r="A6719">
        <v>57477</v>
      </c>
      <c r="B6719" t="s">
        <v>4</v>
      </c>
      <c r="C6719">
        <v>4</v>
      </c>
      <c r="D6719" t="s">
        <v>5</v>
      </c>
      <c r="F6719" t="str" cm="1">
        <f t="array" ref="F6719">CategorizeComment(E6719)</f>
        <v>Other</v>
      </c>
      <c r="G6719" t="str" cm="1">
        <f t="array" ref="G6719">SubCategorizeComment(E6719)</f>
        <v>Other</v>
      </c>
    </row>
    <row r="6720" spans="1:7" x14ac:dyDescent="0.25">
      <c r="A6720">
        <v>57484</v>
      </c>
      <c r="B6720" t="s">
        <v>4</v>
      </c>
      <c r="C6720">
        <v>3</v>
      </c>
      <c r="D6720" t="s">
        <v>5</v>
      </c>
      <c r="F6720" t="str" cm="1">
        <f t="array" ref="F6720">CategorizeComment(E6720)</f>
        <v>Other</v>
      </c>
      <c r="G6720" t="str" cm="1">
        <f t="array" ref="G6720">SubCategorizeComment(E6720)</f>
        <v>Other</v>
      </c>
    </row>
    <row r="6721" spans="1:7" x14ac:dyDescent="0.25">
      <c r="A6721">
        <v>57489</v>
      </c>
      <c r="B6721" t="s">
        <v>4</v>
      </c>
      <c r="C6721">
        <v>4</v>
      </c>
      <c r="D6721" t="s">
        <v>5</v>
      </c>
      <c r="F6721" t="str" cm="1">
        <f t="array" ref="F6721">CategorizeComment(E6721)</f>
        <v>Other</v>
      </c>
      <c r="G6721" t="str" cm="1">
        <f t="array" ref="G6721">SubCategorizeComment(E6721)</f>
        <v>Other</v>
      </c>
    </row>
    <row r="6722" spans="1:7" x14ac:dyDescent="0.25">
      <c r="A6722">
        <v>57498</v>
      </c>
      <c r="B6722" t="s">
        <v>4</v>
      </c>
      <c r="C6722">
        <v>4</v>
      </c>
      <c r="D6722" t="s">
        <v>5</v>
      </c>
      <c r="F6722" t="str" cm="1">
        <f t="array" ref="F6722">CategorizeComment(E6722)</f>
        <v>Other</v>
      </c>
      <c r="G6722" t="str" cm="1">
        <f t="array" ref="G6722">SubCategorizeComment(E6722)</f>
        <v>Other</v>
      </c>
    </row>
    <row r="6723" spans="1:7" x14ac:dyDescent="0.25">
      <c r="A6723">
        <v>57513</v>
      </c>
      <c r="B6723" t="s">
        <v>4</v>
      </c>
      <c r="C6723">
        <v>3</v>
      </c>
      <c r="D6723" t="s">
        <v>5</v>
      </c>
      <c r="F6723" t="str" cm="1">
        <f t="array" ref="F6723">CategorizeComment(E6723)</f>
        <v>Other</v>
      </c>
      <c r="G6723" t="str" cm="1">
        <f t="array" ref="G6723">SubCategorizeComment(E6723)</f>
        <v>Other</v>
      </c>
    </row>
    <row r="6724" spans="1:7" x14ac:dyDescent="0.25">
      <c r="A6724">
        <v>57530</v>
      </c>
      <c r="B6724" t="s">
        <v>4</v>
      </c>
      <c r="C6724">
        <v>4</v>
      </c>
      <c r="D6724" t="s">
        <v>5</v>
      </c>
      <c r="F6724" t="str" cm="1">
        <f t="array" ref="F6724">CategorizeComment(E6724)</f>
        <v>Other</v>
      </c>
      <c r="G6724" t="str" cm="1">
        <f t="array" ref="G6724">SubCategorizeComment(E6724)</f>
        <v>Other</v>
      </c>
    </row>
    <row r="6725" spans="1:7" x14ac:dyDescent="0.25">
      <c r="A6725">
        <v>57548</v>
      </c>
      <c r="B6725" t="s">
        <v>4</v>
      </c>
      <c r="C6725">
        <v>3</v>
      </c>
      <c r="D6725" t="s">
        <v>5</v>
      </c>
      <c r="F6725" t="str" cm="1">
        <f t="array" ref="F6725">CategorizeComment(E6725)</f>
        <v>Other</v>
      </c>
      <c r="G6725" t="str" cm="1">
        <f t="array" ref="G6725">SubCategorizeComment(E6725)</f>
        <v>Other</v>
      </c>
    </row>
    <row r="6726" spans="1:7" x14ac:dyDescent="0.25">
      <c r="A6726">
        <v>57551</v>
      </c>
      <c r="B6726" t="s">
        <v>4</v>
      </c>
      <c r="C6726">
        <v>3</v>
      </c>
      <c r="D6726" t="s">
        <v>5</v>
      </c>
      <c r="F6726" t="str" cm="1">
        <f t="array" ref="F6726">CategorizeComment(E6726)</f>
        <v>Other</v>
      </c>
      <c r="G6726" t="str" cm="1">
        <f t="array" ref="G6726">SubCategorizeComment(E6726)</f>
        <v>Other</v>
      </c>
    </row>
    <row r="6727" spans="1:7" x14ac:dyDescent="0.25">
      <c r="A6727">
        <v>57554</v>
      </c>
      <c r="B6727" t="s">
        <v>4</v>
      </c>
      <c r="C6727">
        <v>3</v>
      </c>
      <c r="D6727" t="s">
        <v>5</v>
      </c>
      <c r="F6727" t="str" cm="1">
        <f t="array" ref="F6727">CategorizeComment(E6727)</f>
        <v>Other</v>
      </c>
      <c r="G6727" t="str" cm="1">
        <f t="array" ref="G6727">SubCategorizeComment(E6727)</f>
        <v>Other</v>
      </c>
    </row>
    <row r="6728" spans="1:7" x14ac:dyDescent="0.25">
      <c r="A6728">
        <v>57564</v>
      </c>
      <c r="B6728" t="s">
        <v>4</v>
      </c>
      <c r="C6728">
        <v>4</v>
      </c>
      <c r="D6728" t="s">
        <v>5</v>
      </c>
      <c r="F6728" t="str" cm="1">
        <f t="array" ref="F6728">CategorizeComment(E6728)</f>
        <v>Other</v>
      </c>
      <c r="G6728" t="str" cm="1">
        <f t="array" ref="G6728">SubCategorizeComment(E6728)</f>
        <v>Other</v>
      </c>
    </row>
    <row r="6729" spans="1:7" x14ac:dyDescent="0.25">
      <c r="A6729">
        <v>57571</v>
      </c>
      <c r="B6729" t="s">
        <v>4</v>
      </c>
      <c r="C6729">
        <v>4</v>
      </c>
      <c r="D6729" t="s">
        <v>5</v>
      </c>
      <c r="F6729" t="str" cm="1">
        <f t="array" ref="F6729">CategorizeComment(E6729)</f>
        <v>Other</v>
      </c>
      <c r="G6729" t="str" cm="1">
        <f t="array" ref="G6729">SubCategorizeComment(E6729)</f>
        <v>Other</v>
      </c>
    </row>
    <row r="6730" spans="1:7" x14ac:dyDescent="0.25">
      <c r="A6730">
        <v>57573</v>
      </c>
      <c r="B6730" t="s">
        <v>4</v>
      </c>
      <c r="C6730">
        <v>4</v>
      </c>
      <c r="D6730" t="s">
        <v>5</v>
      </c>
      <c r="F6730" t="str" cm="1">
        <f t="array" ref="F6730">CategorizeComment(E6730)</f>
        <v>Other</v>
      </c>
      <c r="G6730" t="str" cm="1">
        <f t="array" ref="G6730">SubCategorizeComment(E6730)</f>
        <v>Other</v>
      </c>
    </row>
    <row r="6731" spans="1:7" x14ac:dyDescent="0.25">
      <c r="A6731">
        <v>57574</v>
      </c>
      <c r="B6731" t="s">
        <v>4</v>
      </c>
      <c r="C6731">
        <v>4</v>
      </c>
      <c r="D6731" t="s">
        <v>5</v>
      </c>
      <c r="F6731" t="str" cm="1">
        <f t="array" ref="F6731">CategorizeComment(E6731)</f>
        <v>Other</v>
      </c>
      <c r="G6731" t="str" cm="1">
        <f t="array" ref="G6731">SubCategorizeComment(E6731)</f>
        <v>Other</v>
      </c>
    </row>
    <row r="6732" spans="1:7" x14ac:dyDescent="0.25">
      <c r="A6732">
        <v>57582</v>
      </c>
      <c r="B6732" t="s">
        <v>4</v>
      </c>
      <c r="C6732">
        <v>4</v>
      </c>
      <c r="D6732" t="s">
        <v>5</v>
      </c>
      <c r="F6732" t="str" cm="1">
        <f t="array" ref="F6732">CategorizeComment(E6732)</f>
        <v>Other</v>
      </c>
      <c r="G6732" t="str" cm="1">
        <f t="array" ref="G6732">SubCategorizeComment(E6732)</f>
        <v>Other</v>
      </c>
    </row>
    <row r="6733" spans="1:7" x14ac:dyDescent="0.25">
      <c r="A6733">
        <v>57584</v>
      </c>
      <c r="B6733" t="s">
        <v>4</v>
      </c>
      <c r="C6733">
        <v>3</v>
      </c>
      <c r="D6733" t="s">
        <v>5</v>
      </c>
      <c r="F6733" t="str" cm="1">
        <f t="array" ref="F6733">CategorizeComment(E6733)</f>
        <v>Other</v>
      </c>
      <c r="G6733" t="str" cm="1">
        <f t="array" ref="G6733">SubCategorizeComment(E6733)</f>
        <v>Other</v>
      </c>
    </row>
    <row r="6734" spans="1:7" x14ac:dyDescent="0.25">
      <c r="A6734">
        <v>57595</v>
      </c>
      <c r="B6734" t="s">
        <v>4</v>
      </c>
      <c r="C6734">
        <v>3</v>
      </c>
      <c r="D6734" t="s">
        <v>5</v>
      </c>
      <c r="F6734" t="str" cm="1">
        <f t="array" ref="F6734">CategorizeComment(E6734)</f>
        <v>Other</v>
      </c>
      <c r="G6734" t="str" cm="1">
        <f t="array" ref="G6734">SubCategorizeComment(E6734)</f>
        <v>Other</v>
      </c>
    </row>
    <row r="6735" spans="1:7" x14ac:dyDescent="0.25">
      <c r="A6735">
        <v>57637</v>
      </c>
      <c r="B6735" t="s">
        <v>4</v>
      </c>
      <c r="C6735">
        <v>4</v>
      </c>
      <c r="D6735" t="s">
        <v>5</v>
      </c>
      <c r="F6735" t="str" cm="1">
        <f t="array" ref="F6735">CategorizeComment(E6735)</f>
        <v>Other</v>
      </c>
      <c r="G6735" t="str" cm="1">
        <f t="array" ref="G6735">SubCategorizeComment(E6735)</f>
        <v>Other</v>
      </c>
    </row>
    <row r="6736" spans="1:7" x14ac:dyDescent="0.25">
      <c r="A6736">
        <v>57647</v>
      </c>
      <c r="B6736" t="s">
        <v>4</v>
      </c>
      <c r="C6736">
        <v>3</v>
      </c>
      <c r="D6736" t="s">
        <v>5</v>
      </c>
      <c r="F6736" t="str" cm="1">
        <f t="array" ref="F6736">CategorizeComment(E6736)</f>
        <v>Other</v>
      </c>
      <c r="G6736" t="str" cm="1">
        <f t="array" ref="G6736">SubCategorizeComment(E6736)</f>
        <v>Other</v>
      </c>
    </row>
    <row r="6737" spans="1:7" x14ac:dyDescent="0.25">
      <c r="A6737">
        <v>57655</v>
      </c>
      <c r="B6737" t="s">
        <v>4</v>
      </c>
      <c r="C6737">
        <v>4</v>
      </c>
      <c r="D6737" t="s">
        <v>5</v>
      </c>
      <c r="F6737" t="str" cm="1">
        <f t="array" ref="F6737">CategorizeComment(E6737)</f>
        <v>Other</v>
      </c>
      <c r="G6737" t="str" cm="1">
        <f t="array" ref="G6737">SubCategorizeComment(E6737)</f>
        <v>Other</v>
      </c>
    </row>
    <row r="6738" spans="1:7" x14ac:dyDescent="0.25">
      <c r="A6738">
        <v>57658</v>
      </c>
      <c r="B6738" t="s">
        <v>4</v>
      </c>
      <c r="C6738">
        <v>3</v>
      </c>
      <c r="D6738" t="s">
        <v>5</v>
      </c>
      <c r="F6738" t="str" cm="1">
        <f t="array" ref="F6738">CategorizeComment(E6738)</f>
        <v>Other</v>
      </c>
      <c r="G6738" t="str" cm="1">
        <f t="array" ref="G6738">SubCategorizeComment(E6738)</f>
        <v>Other</v>
      </c>
    </row>
    <row r="6739" spans="1:7" x14ac:dyDescent="0.25">
      <c r="A6739">
        <v>57659</v>
      </c>
      <c r="B6739" t="s">
        <v>4</v>
      </c>
      <c r="C6739">
        <v>4</v>
      </c>
      <c r="D6739" t="s">
        <v>5</v>
      </c>
      <c r="F6739" t="str" cm="1">
        <f t="array" ref="F6739">CategorizeComment(E6739)</f>
        <v>Other</v>
      </c>
      <c r="G6739" t="str" cm="1">
        <f t="array" ref="G6739">SubCategorizeComment(E6739)</f>
        <v>Other</v>
      </c>
    </row>
    <row r="6740" spans="1:7" x14ac:dyDescent="0.25">
      <c r="A6740">
        <v>57661</v>
      </c>
      <c r="B6740" t="s">
        <v>4</v>
      </c>
      <c r="C6740">
        <v>3</v>
      </c>
      <c r="D6740" t="s">
        <v>5</v>
      </c>
      <c r="F6740" t="str" cm="1">
        <f t="array" ref="F6740">CategorizeComment(E6740)</f>
        <v>Other</v>
      </c>
      <c r="G6740" t="str" cm="1">
        <f t="array" ref="G6740">SubCategorizeComment(E6740)</f>
        <v>Other</v>
      </c>
    </row>
    <row r="6741" spans="1:7" x14ac:dyDescent="0.25">
      <c r="A6741">
        <v>57673</v>
      </c>
      <c r="B6741" t="s">
        <v>4</v>
      </c>
      <c r="C6741">
        <v>4</v>
      </c>
      <c r="D6741" t="s">
        <v>5</v>
      </c>
      <c r="F6741" t="str" cm="1">
        <f t="array" ref="F6741">CategorizeComment(E6741)</f>
        <v>Other</v>
      </c>
      <c r="G6741" t="str" cm="1">
        <f t="array" ref="G6741">SubCategorizeComment(E6741)</f>
        <v>Other</v>
      </c>
    </row>
    <row r="6742" spans="1:7" x14ac:dyDescent="0.25">
      <c r="A6742">
        <v>57701</v>
      </c>
      <c r="B6742" t="s">
        <v>4</v>
      </c>
      <c r="C6742">
        <v>4</v>
      </c>
      <c r="D6742" t="s">
        <v>5</v>
      </c>
      <c r="F6742" t="str" cm="1">
        <f t="array" ref="F6742">CategorizeComment(E6742)</f>
        <v>Other</v>
      </c>
      <c r="G6742" t="str" cm="1">
        <f t="array" ref="G6742">SubCategorizeComment(E6742)</f>
        <v>Other</v>
      </c>
    </row>
    <row r="6743" spans="1:7" x14ac:dyDescent="0.25">
      <c r="A6743">
        <v>57710</v>
      </c>
      <c r="B6743" t="s">
        <v>4</v>
      </c>
      <c r="C6743">
        <v>4</v>
      </c>
      <c r="D6743" t="s">
        <v>5</v>
      </c>
      <c r="F6743" t="str" cm="1">
        <f t="array" ref="F6743">CategorizeComment(E6743)</f>
        <v>Other</v>
      </c>
      <c r="G6743" t="str" cm="1">
        <f t="array" ref="G6743">SubCategorizeComment(E6743)</f>
        <v>Other</v>
      </c>
    </row>
    <row r="6744" spans="1:7" x14ac:dyDescent="0.25">
      <c r="A6744">
        <v>57728</v>
      </c>
      <c r="B6744" t="s">
        <v>4</v>
      </c>
      <c r="C6744">
        <v>3</v>
      </c>
      <c r="D6744" t="s">
        <v>5</v>
      </c>
      <c r="F6744" t="str" cm="1">
        <f t="array" ref="F6744">CategorizeComment(E6744)</f>
        <v>Other</v>
      </c>
      <c r="G6744" t="str" cm="1">
        <f t="array" ref="G6744">SubCategorizeComment(E6744)</f>
        <v>Other</v>
      </c>
    </row>
    <row r="6745" spans="1:7" x14ac:dyDescent="0.25">
      <c r="A6745">
        <v>57733</v>
      </c>
      <c r="B6745" t="s">
        <v>4</v>
      </c>
      <c r="C6745">
        <v>4</v>
      </c>
      <c r="D6745" t="s">
        <v>5</v>
      </c>
      <c r="F6745" t="str" cm="1">
        <f t="array" ref="F6745">CategorizeComment(E6745)</f>
        <v>Other</v>
      </c>
      <c r="G6745" t="str" cm="1">
        <f t="array" ref="G6745">SubCategorizeComment(E6745)</f>
        <v>Other</v>
      </c>
    </row>
    <row r="6746" spans="1:7" x14ac:dyDescent="0.25">
      <c r="A6746">
        <v>57749</v>
      </c>
      <c r="B6746" t="s">
        <v>4</v>
      </c>
      <c r="C6746">
        <v>4</v>
      </c>
      <c r="D6746" t="s">
        <v>5</v>
      </c>
      <c r="F6746" t="str" cm="1">
        <f t="array" ref="F6746">CategorizeComment(E6746)</f>
        <v>Other</v>
      </c>
      <c r="G6746" t="str" cm="1">
        <f t="array" ref="G6746">SubCategorizeComment(E6746)</f>
        <v>Other</v>
      </c>
    </row>
    <row r="6747" spans="1:7" x14ac:dyDescent="0.25">
      <c r="A6747">
        <v>57769</v>
      </c>
      <c r="B6747" t="s">
        <v>4</v>
      </c>
      <c r="C6747">
        <v>3</v>
      </c>
      <c r="D6747" t="s">
        <v>5</v>
      </c>
      <c r="F6747" t="str" cm="1">
        <f t="array" ref="F6747">CategorizeComment(E6747)</f>
        <v>Other</v>
      </c>
      <c r="G6747" t="str" cm="1">
        <f t="array" ref="G6747">SubCategorizeComment(E6747)</f>
        <v>Other</v>
      </c>
    </row>
    <row r="6748" spans="1:7" x14ac:dyDescent="0.25">
      <c r="A6748">
        <v>57776</v>
      </c>
      <c r="B6748" t="s">
        <v>4</v>
      </c>
      <c r="C6748">
        <v>3</v>
      </c>
      <c r="D6748" t="s">
        <v>5</v>
      </c>
      <c r="F6748" t="str" cm="1">
        <f t="array" ref="F6748">CategorizeComment(E6748)</f>
        <v>Other</v>
      </c>
      <c r="G6748" t="str" cm="1">
        <f t="array" ref="G6748">SubCategorizeComment(E6748)</f>
        <v>Other</v>
      </c>
    </row>
    <row r="6749" spans="1:7" x14ac:dyDescent="0.25">
      <c r="A6749">
        <v>57778</v>
      </c>
      <c r="B6749" t="s">
        <v>4</v>
      </c>
      <c r="C6749">
        <v>3</v>
      </c>
      <c r="D6749" t="s">
        <v>5</v>
      </c>
      <c r="F6749" t="str" cm="1">
        <f t="array" ref="F6749">CategorizeComment(E6749)</f>
        <v>Other</v>
      </c>
      <c r="G6749" t="str" cm="1">
        <f t="array" ref="G6749">SubCategorizeComment(E6749)</f>
        <v>Other</v>
      </c>
    </row>
    <row r="6750" spans="1:7" x14ac:dyDescent="0.25">
      <c r="A6750">
        <v>57803</v>
      </c>
      <c r="B6750" t="s">
        <v>4</v>
      </c>
      <c r="C6750">
        <v>4</v>
      </c>
      <c r="D6750" t="s">
        <v>5</v>
      </c>
      <c r="F6750" t="str" cm="1">
        <f t="array" ref="F6750">CategorizeComment(E6750)</f>
        <v>Other</v>
      </c>
      <c r="G6750" t="str" cm="1">
        <f t="array" ref="G6750">SubCategorizeComment(E6750)</f>
        <v>Other</v>
      </c>
    </row>
    <row r="6751" spans="1:7" x14ac:dyDescent="0.25">
      <c r="A6751">
        <v>57811</v>
      </c>
      <c r="B6751" t="s">
        <v>4</v>
      </c>
      <c r="C6751">
        <v>3</v>
      </c>
      <c r="D6751" t="s">
        <v>5</v>
      </c>
      <c r="F6751" t="str" cm="1">
        <f t="array" ref="F6751">CategorizeComment(E6751)</f>
        <v>Other</v>
      </c>
      <c r="G6751" t="str" cm="1">
        <f t="array" ref="G6751">SubCategorizeComment(E6751)</f>
        <v>Other</v>
      </c>
    </row>
    <row r="6752" spans="1:7" x14ac:dyDescent="0.25">
      <c r="A6752">
        <v>57827</v>
      </c>
      <c r="B6752" t="s">
        <v>4</v>
      </c>
      <c r="C6752">
        <v>3</v>
      </c>
      <c r="D6752" t="s">
        <v>5</v>
      </c>
      <c r="F6752" t="str" cm="1">
        <f t="array" ref="F6752">CategorizeComment(E6752)</f>
        <v>Other</v>
      </c>
      <c r="G6752" t="str" cm="1">
        <f t="array" ref="G6752">SubCategorizeComment(E6752)</f>
        <v>Other</v>
      </c>
    </row>
    <row r="6753" spans="1:7" x14ac:dyDescent="0.25">
      <c r="A6753">
        <v>57834</v>
      </c>
      <c r="B6753" t="s">
        <v>4</v>
      </c>
      <c r="C6753">
        <v>4</v>
      </c>
      <c r="D6753" t="s">
        <v>5</v>
      </c>
      <c r="F6753" t="str" cm="1">
        <f t="array" ref="F6753">CategorizeComment(E6753)</f>
        <v>Other</v>
      </c>
      <c r="G6753" t="str" cm="1">
        <f t="array" ref="G6753">SubCategorizeComment(E6753)</f>
        <v>Other</v>
      </c>
    </row>
    <row r="6754" spans="1:7" x14ac:dyDescent="0.25">
      <c r="A6754">
        <v>57853</v>
      </c>
      <c r="B6754" t="s">
        <v>4</v>
      </c>
      <c r="C6754">
        <v>4</v>
      </c>
      <c r="D6754" t="s">
        <v>5</v>
      </c>
      <c r="F6754" t="str" cm="1">
        <f t="array" ref="F6754">CategorizeComment(E6754)</f>
        <v>Other</v>
      </c>
      <c r="G6754" t="str" cm="1">
        <f t="array" ref="G6754">SubCategorizeComment(E6754)</f>
        <v>Other</v>
      </c>
    </row>
    <row r="6755" spans="1:7" x14ac:dyDescent="0.25">
      <c r="A6755">
        <v>57867</v>
      </c>
      <c r="B6755" t="s">
        <v>4</v>
      </c>
      <c r="C6755">
        <v>4</v>
      </c>
      <c r="D6755" t="s">
        <v>5</v>
      </c>
      <c r="F6755" t="str" cm="1">
        <f t="array" ref="F6755">CategorizeComment(E6755)</f>
        <v>Other</v>
      </c>
      <c r="G6755" t="str" cm="1">
        <f t="array" ref="G6755">SubCategorizeComment(E6755)</f>
        <v>Other</v>
      </c>
    </row>
    <row r="6756" spans="1:7" x14ac:dyDescent="0.25">
      <c r="A6756">
        <v>57879</v>
      </c>
      <c r="B6756" t="s">
        <v>4</v>
      </c>
      <c r="C6756">
        <v>4</v>
      </c>
      <c r="D6756" t="s">
        <v>5</v>
      </c>
      <c r="F6756" t="str" cm="1">
        <f t="array" ref="F6756">CategorizeComment(E6756)</f>
        <v>Other</v>
      </c>
      <c r="G6756" t="str" cm="1">
        <f t="array" ref="G6756">SubCategorizeComment(E6756)</f>
        <v>Other</v>
      </c>
    </row>
    <row r="6757" spans="1:7" x14ac:dyDescent="0.25">
      <c r="A6757">
        <v>57901</v>
      </c>
      <c r="B6757" t="s">
        <v>4</v>
      </c>
      <c r="C6757">
        <v>4</v>
      </c>
      <c r="D6757" t="s">
        <v>5</v>
      </c>
      <c r="F6757" t="str" cm="1">
        <f t="array" ref="F6757">CategorizeComment(E6757)</f>
        <v>Other</v>
      </c>
      <c r="G6757" t="str" cm="1">
        <f t="array" ref="G6757">SubCategorizeComment(E6757)</f>
        <v>Other</v>
      </c>
    </row>
    <row r="6758" spans="1:7" x14ac:dyDescent="0.25">
      <c r="A6758">
        <v>57910</v>
      </c>
      <c r="B6758" t="s">
        <v>4</v>
      </c>
      <c r="C6758">
        <v>4</v>
      </c>
      <c r="D6758" t="s">
        <v>5</v>
      </c>
      <c r="F6758" t="str" cm="1">
        <f t="array" ref="F6758">CategorizeComment(E6758)</f>
        <v>Other</v>
      </c>
      <c r="G6758" t="str" cm="1">
        <f t="array" ref="G6758">SubCategorizeComment(E6758)</f>
        <v>Other</v>
      </c>
    </row>
    <row r="6759" spans="1:7" x14ac:dyDescent="0.25">
      <c r="A6759">
        <v>57941</v>
      </c>
      <c r="B6759" t="s">
        <v>4</v>
      </c>
      <c r="C6759">
        <v>3</v>
      </c>
      <c r="D6759" t="s">
        <v>5</v>
      </c>
      <c r="F6759" t="str" cm="1">
        <f t="array" ref="F6759">CategorizeComment(E6759)</f>
        <v>Other</v>
      </c>
      <c r="G6759" t="str" cm="1">
        <f t="array" ref="G6759">SubCategorizeComment(E6759)</f>
        <v>Other</v>
      </c>
    </row>
    <row r="6760" spans="1:7" x14ac:dyDescent="0.25">
      <c r="A6760">
        <v>57942</v>
      </c>
      <c r="B6760" t="s">
        <v>4</v>
      </c>
      <c r="C6760">
        <v>3</v>
      </c>
      <c r="D6760" t="s">
        <v>5</v>
      </c>
      <c r="F6760" t="str" cm="1">
        <f t="array" ref="F6760">CategorizeComment(E6760)</f>
        <v>Other</v>
      </c>
      <c r="G6760" t="str" cm="1">
        <f t="array" ref="G6760">SubCategorizeComment(E6760)</f>
        <v>Other</v>
      </c>
    </row>
    <row r="6761" spans="1:7" x14ac:dyDescent="0.25">
      <c r="A6761">
        <v>57962</v>
      </c>
      <c r="B6761" t="s">
        <v>4</v>
      </c>
      <c r="C6761">
        <v>4</v>
      </c>
      <c r="D6761" t="s">
        <v>5</v>
      </c>
      <c r="F6761" t="str" cm="1">
        <f t="array" ref="F6761">CategorizeComment(E6761)</f>
        <v>Other</v>
      </c>
      <c r="G6761" t="str" cm="1">
        <f t="array" ref="G6761">SubCategorizeComment(E6761)</f>
        <v>Other</v>
      </c>
    </row>
    <row r="6762" spans="1:7" x14ac:dyDescent="0.25">
      <c r="A6762">
        <v>57963</v>
      </c>
      <c r="B6762" t="s">
        <v>4</v>
      </c>
      <c r="C6762">
        <v>4</v>
      </c>
      <c r="D6762" t="s">
        <v>5</v>
      </c>
      <c r="F6762" t="str" cm="1">
        <f t="array" ref="F6762">CategorizeComment(E6762)</f>
        <v>Other</v>
      </c>
      <c r="G6762" t="str" cm="1">
        <f t="array" ref="G6762">SubCategorizeComment(E6762)</f>
        <v>Other</v>
      </c>
    </row>
    <row r="6763" spans="1:7" x14ac:dyDescent="0.25">
      <c r="A6763">
        <v>57976</v>
      </c>
      <c r="B6763" t="s">
        <v>4</v>
      </c>
      <c r="C6763">
        <v>3</v>
      </c>
      <c r="D6763" t="s">
        <v>5</v>
      </c>
      <c r="F6763" t="str" cm="1">
        <f t="array" ref="F6763">CategorizeComment(E6763)</f>
        <v>Other</v>
      </c>
      <c r="G6763" t="str" cm="1">
        <f t="array" ref="G6763">SubCategorizeComment(E6763)</f>
        <v>Other</v>
      </c>
    </row>
    <row r="6764" spans="1:7" x14ac:dyDescent="0.25">
      <c r="A6764">
        <v>57980</v>
      </c>
      <c r="B6764" t="s">
        <v>4</v>
      </c>
      <c r="C6764">
        <v>4</v>
      </c>
      <c r="D6764" t="s">
        <v>5</v>
      </c>
      <c r="F6764" t="str" cm="1">
        <f t="array" ref="F6764">CategorizeComment(E6764)</f>
        <v>Other</v>
      </c>
      <c r="G6764" t="str" cm="1">
        <f t="array" ref="G6764">SubCategorizeComment(E6764)</f>
        <v>Other</v>
      </c>
    </row>
    <row r="6765" spans="1:7" x14ac:dyDescent="0.25">
      <c r="A6765">
        <v>57991</v>
      </c>
      <c r="B6765" t="s">
        <v>4</v>
      </c>
      <c r="C6765">
        <v>4</v>
      </c>
      <c r="D6765" t="s">
        <v>5</v>
      </c>
      <c r="F6765" t="str" cm="1">
        <f t="array" ref="F6765">CategorizeComment(E6765)</f>
        <v>Other</v>
      </c>
      <c r="G6765" t="str" cm="1">
        <f t="array" ref="G6765">SubCategorizeComment(E6765)</f>
        <v>Other</v>
      </c>
    </row>
    <row r="6766" spans="1:7" x14ac:dyDescent="0.25">
      <c r="A6766">
        <v>57993</v>
      </c>
      <c r="B6766" t="s">
        <v>4</v>
      </c>
      <c r="C6766">
        <v>4</v>
      </c>
      <c r="D6766" t="s">
        <v>5</v>
      </c>
      <c r="F6766" t="str" cm="1">
        <f t="array" ref="F6766">CategorizeComment(E6766)</f>
        <v>Other</v>
      </c>
      <c r="G6766" t="str" cm="1">
        <f t="array" ref="G6766">SubCategorizeComment(E6766)</f>
        <v>Other</v>
      </c>
    </row>
    <row r="6767" spans="1:7" x14ac:dyDescent="0.25">
      <c r="A6767">
        <v>57998</v>
      </c>
      <c r="B6767" t="s">
        <v>4</v>
      </c>
      <c r="C6767">
        <v>4</v>
      </c>
      <c r="D6767" t="s">
        <v>5</v>
      </c>
      <c r="F6767" t="str" cm="1">
        <f t="array" ref="F6767">CategorizeComment(E6767)</f>
        <v>Other</v>
      </c>
      <c r="G6767" t="str" cm="1">
        <f t="array" ref="G6767">SubCategorizeComment(E6767)</f>
        <v>Other</v>
      </c>
    </row>
    <row r="6768" spans="1:7" x14ac:dyDescent="0.25">
      <c r="A6768">
        <v>58009</v>
      </c>
      <c r="B6768" t="s">
        <v>4</v>
      </c>
      <c r="C6768">
        <v>3</v>
      </c>
      <c r="D6768" t="s">
        <v>5</v>
      </c>
      <c r="F6768" t="str" cm="1">
        <f t="array" ref="F6768">CategorizeComment(E6768)</f>
        <v>Other</v>
      </c>
      <c r="G6768" t="str" cm="1">
        <f t="array" ref="G6768">SubCategorizeComment(E6768)</f>
        <v>Other</v>
      </c>
    </row>
    <row r="6769" spans="1:7" x14ac:dyDescent="0.25">
      <c r="A6769">
        <v>58012</v>
      </c>
      <c r="B6769" t="s">
        <v>4</v>
      </c>
      <c r="C6769">
        <v>3</v>
      </c>
      <c r="D6769" t="s">
        <v>5</v>
      </c>
      <c r="F6769" t="str" cm="1">
        <f t="array" ref="F6769">CategorizeComment(E6769)</f>
        <v>Other</v>
      </c>
      <c r="G6769" t="str" cm="1">
        <f t="array" ref="G6769">SubCategorizeComment(E6769)</f>
        <v>Other</v>
      </c>
    </row>
    <row r="6770" spans="1:7" x14ac:dyDescent="0.25">
      <c r="A6770">
        <v>58027</v>
      </c>
      <c r="B6770" t="s">
        <v>4</v>
      </c>
      <c r="C6770">
        <v>3</v>
      </c>
      <c r="D6770" t="s">
        <v>5</v>
      </c>
      <c r="F6770" t="str" cm="1">
        <f t="array" ref="F6770">CategorizeComment(E6770)</f>
        <v>Other</v>
      </c>
      <c r="G6770" t="str" cm="1">
        <f t="array" ref="G6770">SubCategorizeComment(E6770)</f>
        <v>Other</v>
      </c>
    </row>
    <row r="6771" spans="1:7" x14ac:dyDescent="0.25">
      <c r="A6771">
        <v>58036</v>
      </c>
      <c r="B6771" t="s">
        <v>4</v>
      </c>
      <c r="C6771">
        <v>4</v>
      </c>
      <c r="D6771" t="s">
        <v>5</v>
      </c>
      <c r="F6771" t="str" cm="1">
        <f t="array" ref="F6771">CategorizeComment(E6771)</f>
        <v>Other</v>
      </c>
      <c r="G6771" t="str" cm="1">
        <f t="array" ref="G6771">SubCategorizeComment(E6771)</f>
        <v>Other</v>
      </c>
    </row>
    <row r="6772" spans="1:7" x14ac:dyDescent="0.25">
      <c r="A6772">
        <v>58044</v>
      </c>
      <c r="B6772" t="s">
        <v>4</v>
      </c>
      <c r="C6772">
        <v>3</v>
      </c>
      <c r="D6772" t="s">
        <v>5</v>
      </c>
      <c r="F6772" t="str" cm="1">
        <f t="array" ref="F6772">CategorizeComment(E6772)</f>
        <v>Other</v>
      </c>
      <c r="G6772" t="str" cm="1">
        <f t="array" ref="G6772">SubCategorizeComment(E6772)</f>
        <v>Other</v>
      </c>
    </row>
    <row r="6773" spans="1:7" x14ac:dyDescent="0.25">
      <c r="A6773">
        <v>58068</v>
      </c>
      <c r="B6773" t="s">
        <v>4</v>
      </c>
      <c r="C6773">
        <v>4</v>
      </c>
      <c r="D6773" t="s">
        <v>5</v>
      </c>
      <c r="F6773" t="str" cm="1">
        <f t="array" ref="F6773">CategorizeComment(E6773)</f>
        <v>Other</v>
      </c>
      <c r="G6773" t="str" cm="1">
        <f t="array" ref="G6773">SubCategorizeComment(E6773)</f>
        <v>Other</v>
      </c>
    </row>
    <row r="6774" spans="1:7" x14ac:dyDescent="0.25">
      <c r="A6774">
        <v>58069</v>
      </c>
      <c r="B6774" t="s">
        <v>4</v>
      </c>
      <c r="C6774">
        <v>4</v>
      </c>
      <c r="D6774" t="s">
        <v>5</v>
      </c>
      <c r="F6774" t="str" cm="1">
        <f t="array" ref="F6774">CategorizeComment(E6774)</f>
        <v>Other</v>
      </c>
      <c r="G6774" t="str" cm="1">
        <f t="array" ref="G6774">SubCategorizeComment(E6774)</f>
        <v>Other</v>
      </c>
    </row>
    <row r="6775" spans="1:7" x14ac:dyDescent="0.25">
      <c r="A6775">
        <v>58085</v>
      </c>
      <c r="B6775" t="s">
        <v>4</v>
      </c>
      <c r="C6775">
        <v>3</v>
      </c>
      <c r="D6775" t="s">
        <v>5</v>
      </c>
      <c r="F6775" t="str" cm="1">
        <f t="array" ref="F6775">CategorizeComment(E6775)</f>
        <v>Other</v>
      </c>
      <c r="G6775" t="str" cm="1">
        <f t="array" ref="G6775">SubCategorizeComment(E6775)</f>
        <v>Other</v>
      </c>
    </row>
    <row r="6776" spans="1:7" x14ac:dyDescent="0.25">
      <c r="A6776">
        <v>58090</v>
      </c>
      <c r="B6776" t="s">
        <v>4</v>
      </c>
      <c r="C6776">
        <v>3</v>
      </c>
      <c r="D6776" t="s">
        <v>5</v>
      </c>
      <c r="F6776" t="str" cm="1">
        <f t="array" ref="F6776">CategorizeComment(E6776)</f>
        <v>Other</v>
      </c>
      <c r="G6776" t="str" cm="1">
        <f t="array" ref="G6776">SubCategorizeComment(E6776)</f>
        <v>Other</v>
      </c>
    </row>
    <row r="6777" spans="1:7" x14ac:dyDescent="0.25">
      <c r="A6777">
        <v>58102</v>
      </c>
      <c r="B6777" t="s">
        <v>4</v>
      </c>
      <c r="C6777">
        <v>3</v>
      </c>
      <c r="D6777" t="s">
        <v>5</v>
      </c>
      <c r="F6777" t="str" cm="1">
        <f t="array" ref="F6777">CategorizeComment(E6777)</f>
        <v>Other</v>
      </c>
      <c r="G6777" t="str" cm="1">
        <f t="array" ref="G6777">SubCategorizeComment(E6777)</f>
        <v>Other</v>
      </c>
    </row>
    <row r="6778" spans="1:7" x14ac:dyDescent="0.25">
      <c r="A6778">
        <v>58109</v>
      </c>
      <c r="B6778" t="s">
        <v>4</v>
      </c>
      <c r="C6778">
        <v>4</v>
      </c>
      <c r="D6778" t="s">
        <v>5</v>
      </c>
      <c r="F6778" t="str" cm="1">
        <f t="array" ref="F6778">CategorizeComment(E6778)</f>
        <v>Other</v>
      </c>
      <c r="G6778" t="str" cm="1">
        <f t="array" ref="G6778">SubCategorizeComment(E6778)</f>
        <v>Other</v>
      </c>
    </row>
    <row r="6779" spans="1:7" x14ac:dyDescent="0.25">
      <c r="A6779">
        <v>58110</v>
      </c>
      <c r="B6779" t="s">
        <v>4</v>
      </c>
      <c r="C6779">
        <v>3</v>
      </c>
      <c r="D6779" t="s">
        <v>5</v>
      </c>
      <c r="F6779" t="str" cm="1">
        <f t="array" ref="F6779">CategorizeComment(E6779)</f>
        <v>Other</v>
      </c>
      <c r="G6779" t="str" cm="1">
        <f t="array" ref="G6779">SubCategorizeComment(E6779)</f>
        <v>Other</v>
      </c>
    </row>
    <row r="6780" spans="1:7" x14ac:dyDescent="0.25">
      <c r="A6780">
        <v>58113</v>
      </c>
      <c r="B6780" t="s">
        <v>4</v>
      </c>
      <c r="C6780">
        <v>4</v>
      </c>
      <c r="D6780" t="s">
        <v>5</v>
      </c>
      <c r="F6780" t="str" cm="1">
        <f t="array" ref="F6780">CategorizeComment(E6780)</f>
        <v>Other</v>
      </c>
      <c r="G6780" t="str" cm="1">
        <f t="array" ref="G6780">SubCategorizeComment(E6780)</f>
        <v>Other</v>
      </c>
    </row>
    <row r="6781" spans="1:7" x14ac:dyDescent="0.25">
      <c r="A6781">
        <v>58131</v>
      </c>
      <c r="B6781" t="s">
        <v>4</v>
      </c>
      <c r="C6781">
        <v>4</v>
      </c>
      <c r="D6781" t="s">
        <v>5</v>
      </c>
      <c r="F6781" t="str" cm="1">
        <f t="array" ref="F6781">CategorizeComment(E6781)</f>
        <v>Other</v>
      </c>
      <c r="G6781" t="str" cm="1">
        <f t="array" ref="G6781">SubCategorizeComment(E6781)</f>
        <v>Other</v>
      </c>
    </row>
    <row r="6782" spans="1:7" x14ac:dyDescent="0.25">
      <c r="A6782">
        <v>58143</v>
      </c>
      <c r="B6782" t="s">
        <v>4</v>
      </c>
      <c r="C6782">
        <v>3</v>
      </c>
      <c r="D6782" t="s">
        <v>5</v>
      </c>
      <c r="F6782" t="str" cm="1">
        <f t="array" ref="F6782">CategorizeComment(E6782)</f>
        <v>Other</v>
      </c>
      <c r="G6782" t="str" cm="1">
        <f t="array" ref="G6782">SubCategorizeComment(E6782)</f>
        <v>Other</v>
      </c>
    </row>
    <row r="6783" spans="1:7" x14ac:dyDescent="0.25">
      <c r="A6783">
        <v>58146</v>
      </c>
      <c r="B6783" t="s">
        <v>4</v>
      </c>
      <c r="C6783">
        <v>3</v>
      </c>
      <c r="D6783" t="s">
        <v>5</v>
      </c>
      <c r="F6783" t="str" cm="1">
        <f t="array" ref="F6783">CategorizeComment(E6783)</f>
        <v>Other</v>
      </c>
      <c r="G6783" t="str" cm="1">
        <f t="array" ref="G6783">SubCategorizeComment(E6783)</f>
        <v>Other</v>
      </c>
    </row>
    <row r="6784" spans="1:7" x14ac:dyDescent="0.25">
      <c r="A6784">
        <v>58176</v>
      </c>
      <c r="B6784" t="s">
        <v>4</v>
      </c>
      <c r="C6784">
        <v>3</v>
      </c>
      <c r="D6784" t="s">
        <v>5</v>
      </c>
      <c r="F6784" t="str" cm="1">
        <f t="array" ref="F6784">CategorizeComment(E6784)</f>
        <v>Other</v>
      </c>
      <c r="G6784" t="str" cm="1">
        <f t="array" ref="G6784">SubCategorizeComment(E6784)</f>
        <v>Other</v>
      </c>
    </row>
    <row r="6785" spans="1:7" x14ac:dyDescent="0.25">
      <c r="A6785">
        <v>58177</v>
      </c>
      <c r="B6785" t="s">
        <v>4</v>
      </c>
      <c r="C6785">
        <v>4</v>
      </c>
      <c r="D6785" t="s">
        <v>5</v>
      </c>
      <c r="F6785" t="str" cm="1">
        <f t="array" ref="F6785">CategorizeComment(E6785)</f>
        <v>Other</v>
      </c>
      <c r="G6785" t="str" cm="1">
        <f t="array" ref="G6785">SubCategorizeComment(E6785)</f>
        <v>Other</v>
      </c>
    </row>
    <row r="6786" spans="1:7" x14ac:dyDescent="0.25">
      <c r="A6786">
        <v>58184</v>
      </c>
      <c r="B6786" t="s">
        <v>4</v>
      </c>
      <c r="C6786">
        <v>4</v>
      </c>
      <c r="D6786" t="s">
        <v>5</v>
      </c>
      <c r="F6786" t="str" cm="1">
        <f t="array" ref="F6786">CategorizeComment(E6786)</f>
        <v>Other</v>
      </c>
      <c r="G6786" t="str" cm="1">
        <f t="array" ref="G6786">SubCategorizeComment(E6786)</f>
        <v>Other</v>
      </c>
    </row>
    <row r="6787" spans="1:7" x14ac:dyDescent="0.25">
      <c r="A6787">
        <v>58193</v>
      </c>
      <c r="B6787" t="s">
        <v>4</v>
      </c>
      <c r="C6787">
        <v>3</v>
      </c>
      <c r="D6787" t="s">
        <v>5</v>
      </c>
      <c r="F6787" t="str" cm="1">
        <f t="array" ref="F6787">CategorizeComment(E6787)</f>
        <v>Other</v>
      </c>
      <c r="G6787" t="str" cm="1">
        <f t="array" ref="G6787">SubCategorizeComment(E6787)</f>
        <v>Other</v>
      </c>
    </row>
    <row r="6788" spans="1:7" x14ac:dyDescent="0.25">
      <c r="A6788">
        <v>58195</v>
      </c>
      <c r="B6788" t="s">
        <v>4</v>
      </c>
      <c r="C6788">
        <v>3</v>
      </c>
      <c r="D6788" t="s">
        <v>5</v>
      </c>
      <c r="F6788" t="str" cm="1">
        <f t="array" ref="F6788">CategorizeComment(E6788)</f>
        <v>Other</v>
      </c>
      <c r="G6788" t="str" cm="1">
        <f t="array" ref="G6788">SubCategorizeComment(E6788)</f>
        <v>Other</v>
      </c>
    </row>
    <row r="6789" spans="1:7" x14ac:dyDescent="0.25">
      <c r="A6789">
        <v>58196</v>
      </c>
      <c r="B6789" t="s">
        <v>4</v>
      </c>
      <c r="C6789">
        <v>4</v>
      </c>
      <c r="D6789" t="s">
        <v>5</v>
      </c>
      <c r="F6789" t="str" cm="1">
        <f t="array" ref="F6789">CategorizeComment(E6789)</f>
        <v>Other</v>
      </c>
      <c r="G6789" t="str" cm="1">
        <f t="array" ref="G6789">SubCategorizeComment(E6789)</f>
        <v>Other</v>
      </c>
    </row>
    <row r="6790" spans="1:7" x14ac:dyDescent="0.25">
      <c r="A6790">
        <v>58198</v>
      </c>
      <c r="B6790" t="s">
        <v>4</v>
      </c>
      <c r="C6790">
        <v>3</v>
      </c>
      <c r="D6790" t="s">
        <v>5</v>
      </c>
      <c r="F6790" t="str" cm="1">
        <f t="array" ref="F6790">CategorizeComment(E6790)</f>
        <v>Other</v>
      </c>
      <c r="G6790" t="str" cm="1">
        <f t="array" ref="G6790">SubCategorizeComment(E6790)</f>
        <v>Other</v>
      </c>
    </row>
    <row r="6791" spans="1:7" x14ac:dyDescent="0.25">
      <c r="A6791">
        <v>58203</v>
      </c>
      <c r="B6791" t="s">
        <v>4</v>
      </c>
      <c r="C6791">
        <v>3</v>
      </c>
      <c r="D6791" t="s">
        <v>5</v>
      </c>
      <c r="F6791" t="str" cm="1">
        <f t="array" ref="F6791">CategorizeComment(E6791)</f>
        <v>Other</v>
      </c>
      <c r="G6791" t="str" cm="1">
        <f t="array" ref="G6791">SubCategorizeComment(E6791)</f>
        <v>Other</v>
      </c>
    </row>
    <row r="6792" spans="1:7" x14ac:dyDescent="0.25">
      <c r="A6792">
        <v>58206</v>
      </c>
      <c r="B6792" t="s">
        <v>4</v>
      </c>
      <c r="C6792">
        <v>3</v>
      </c>
      <c r="D6792" t="s">
        <v>5</v>
      </c>
      <c r="F6792" t="str" cm="1">
        <f t="array" ref="F6792">CategorizeComment(E6792)</f>
        <v>Other</v>
      </c>
      <c r="G6792" t="str" cm="1">
        <f t="array" ref="G6792">SubCategorizeComment(E6792)</f>
        <v>Other</v>
      </c>
    </row>
    <row r="6793" spans="1:7" x14ac:dyDescent="0.25">
      <c r="A6793">
        <v>58210</v>
      </c>
      <c r="B6793" t="s">
        <v>4</v>
      </c>
      <c r="C6793">
        <v>3</v>
      </c>
      <c r="D6793" t="s">
        <v>5</v>
      </c>
      <c r="F6793" t="str" cm="1">
        <f t="array" ref="F6793">CategorizeComment(E6793)</f>
        <v>Other</v>
      </c>
      <c r="G6793" t="str" cm="1">
        <f t="array" ref="G6793">SubCategorizeComment(E6793)</f>
        <v>Other</v>
      </c>
    </row>
    <row r="6794" spans="1:7" x14ac:dyDescent="0.25">
      <c r="A6794">
        <v>58244</v>
      </c>
      <c r="B6794" t="s">
        <v>4</v>
      </c>
      <c r="C6794">
        <v>3</v>
      </c>
      <c r="D6794" t="s">
        <v>5</v>
      </c>
      <c r="F6794" t="str" cm="1">
        <f t="array" ref="F6794">CategorizeComment(E6794)</f>
        <v>Other</v>
      </c>
      <c r="G6794" t="str" cm="1">
        <f t="array" ref="G6794">SubCategorizeComment(E6794)</f>
        <v>Other</v>
      </c>
    </row>
    <row r="6795" spans="1:7" x14ac:dyDescent="0.25">
      <c r="A6795">
        <v>58245</v>
      </c>
      <c r="B6795" t="s">
        <v>4</v>
      </c>
      <c r="C6795">
        <v>3</v>
      </c>
      <c r="D6795" t="s">
        <v>5</v>
      </c>
      <c r="F6795" t="str" cm="1">
        <f t="array" ref="F6795">CategorizeComment(E6795)</f>
        <v>Other</v>
      </c>
      <c r="G6795" t="str" cm="1">
        <f t="array" ref="G6795">SubCategorizeComment(E6795)</f>
        <v>Other</v>
      </c>
    </row>
    <row r="6796" spans="1:7" x14ac:dyDescent="0.25">
      <c r="A6796">
        <v>58248</v>
      </c>
      <c r="B6796" t="s">
        <v>4</v>
      </c>
      <c r="C6796">
        <v>3</v>
      </c>
      <c r="D6796" t="s">
        <v>5</v>
      </c>
      <c r="F6796" t="str" cm="1">
        <f t="array" ref="F6796">CategorizeComment(E6796)</f>
        <v>Other</v>
      </c>
      <c r="G6796" t="str" cm="1">
        <f t="array" ref="G6796">SubCategorizeComment(E6796)</f>
        <v>Other</v>
      </c>
    </row>
    <row r="6797" spans="1:7" x14ac:dyDescent="0.25">
      <c r="A6797">
        <v>58251</v>
      </c>
      <c r="B6797" t="s">
        <v>4</v>
      </c>
      <c r="C6797">
        <v>3</v>
      </c>
      <c r="D6797" t="s">
        <v>5</v>
      </c>
      <c r="F6797" t="str" cm="1">
        <f t="array" ref="F6797">CategorizeComment(E6797)</f>
        <v>Other</v>
      </c>
      <c r="G6797" t="str" cm="1">
        <f t="array" ref="G6797">SubCategorizeComment(E6797)</f>
        <v>Other</v>
      </c>
    </row>
    <row r="6798" spans="1:7" x14ac:dyDescent="0.25">
      <c r="A6798">
        <v>58261</v>
      </c>
      <c r="B6798" t="s">
        <v>4</v>
      </c>
      <c r="C6798">
        <v>3</v>
      </c>
      <c r="D6798" t="s">
        <v>5</v>
      </c>
      <c r="F6798" t="str" cm="1">
        <f t="array" ref="F6798">CategorizeComment(E6798)</f>
        <v>Other</v>
      </c>
      <c r="G6798" t="str" cm="1">
        <f t="array" ref="G6798">SubCategorizeComment(E6798)</f>
        <v>Other</v>
      </c>
    </row>
    <row r="6799" spans="1:7" x14ac:dyDescent="0.25">
      <c r="A6799">
        <v>58318</v>
      </c>
      <c r="B6799" t="s">
        <v>4</v>
      </c>
      <c r="C6799">
        <v>3</v>
      </c>
      <c r="D6799" t="s">
        <v>5</v>
      </c>
      <c r="F6799" t="str" cm="1">
        <f t="array" ref="F6799">CategorizeComment(E6799)</f>
        <v>Other</v>
      </c>
      <c r="G6799" t="str" cm="1">
        <f t="array" ref="G6799">SubCategorizeComment(E6799)</f>
        <v>Other</v>
      </c>
    </row>
    <row r="6800" spans="1:7" x14ac:dyDescent="0.25">
      <c r="A6800">
        <v>58320</v>
      </c>
      <c r="B6800" t="s">
        <v>4</v>
      </c>
      <c r="C6800">
        <v>4</v>
      </c>
      <c r="D6800" t="s">
        <v>5</v>
      </c>
      <c r="F6800" t="str" cm="1">
        <f t="array" ref="F6800">CategorizeComment(E6800)</f>
        <v>Other</v>
      </c>
      <c r="G6800" t="str" cm="1">
        <f t="array" ref="G6800">SubCategorizeComment(E6800)</f>
        <v>Other</v>
      </c>
    </row>
    <row r="6801" spans="1:7" x14ac:dyDescent="0.25">
      <c r="A6801">
        <v>58322</v>
      </c>
      <c r="B6801" t="s">
        <v>4</v>
      </c>
      <c r="C6801">
        <v>3</v>
      </c>
      <c r="D6801" t="s">
        <v>5</v>
      </c>
      <c r="F6801" t="str" cm="1">
        <f t="array" ref="F6801">CategorizeComment(E6801)</f>
        <v>Other</v>
      </c>
      <c r="G6801" t="str" cm="1">
        <f t="array" ref="G6801">SubCategorizeComment(E6801)</f>
        <v>Other</v>
      </c>
    </row>
    <row r="6802" spans="1:7" x14ac:dyDescent="0.25">
      <c r="A6802">
        <v>58331</v>
      </c>
      <c r="B6802" t="s">
        <v>4</v>
      </c>
      <c r="C6802">
        <v>4</v>
      </c>
      <c r="D6802" t="s">
        <v>5</v>
      </c>
      <c r="F6802" t="str" cm="1">
        <f t="array" ref="F6802">CategorizeComment(E6802)</f>
        <v>Other</v>
      </c>
      <c r="G6802" t="str" cm="1">
        <f t="array" ref="G6802">SubCategorizeComment(E6802)</f>
        <v>Other</v>
      </c>
    </row>
    <row r="6803" spans="1:7" x14ac:dyDescent="0.25">
      <c r="A6803">
        <v>58342</v>
      </c>
      <c r="B6803" t="s">
        <v>4</v>
      </c>
      <c r="C6803">
        <v>3</v>
      </c>
      <c r="D6803" t="s">
        <v>5</v>
      </c>
      <c r="F6803" t="str" cm="1">
        <f t="array" ref="F6803">CategorizeComment(E6803)</f>
        <v>Other</v>
      </c>
      <c r="G6803" t="str" cm="1">
        <f t="array" ref="G6803">SubCategorizeComment(E6803)</f>
        <v>Other</v>
      </c>
    </row>
    <row r="6804" spans="1:7" x14ac:dyDescent="0.25">
      <c r="A6804">
        <v>58347</v>
      </c>
      <c r="B6804" t="s">
        <v>4</v>
      </c>
      <c r="C6804">
        <v>3</v>
      </c>
      <c r="D6804" t="s">
        <v>5</v>
      </c>
      <c r="F6804" t="str" cm="1">
        <f t="array" ref="F6804">CategorizeComment(E6804)</f>
        <v>Other</v>
      </c>
      <c r="G6804" t="str" cm="1">
        <f t="array" ref="G6804">SubCategorizeComment(E6804)</f>
        <v>Other</v>
      </c>
    </row>
    <row r="6805" spans="1:7" x14ac:dyDescent="0.25">
      <c r="A6805">
        <v>58352</v>
      </c>
      <c r="B6805" t="s">
        <v>4</v>
      </c>
      <c r="C6805">
        <v>3</v>
      </c>
      <c r="D6805" t="s">
        <v>5</v>
      </c>
      <c r="F6805" t="str" cm="1">
        <f t="array" ref="F6805">CategorizeComment(E6805)</f>
        <v>Other</v>
      </c>
      <c r="G6805" t="str" cm="1">
        <f t="array" ref="G6805">SubCategorizeComment(E6805)</f>
        <v>Other</v>
      </c>
    </row>
    <row r="6806" spans="1:7" x14ac:dyDescent="0.25">
      <c r="A6806">
        <v>58364</v>
      </c>
      <c r="B6806" t="s">
        <v>4</v>
      </c>
      <c r="C6806">
        <v>3</v>
      </c>
      <c r="D6806" t="s">
        <v>5</v>
      </c>
      <c r="F6806" t="str" cm="1">
        <f t="array" ref="F6806">CategorizeComment(E6806)</f>
        <v>Other</v>
      </c>
      <c r="G6806" t="str" cm="1">
        <f t="array" ref="G6806">SubCategorizeComment(E6806)</f>
        <v>Other</v>
      </c>
    </row>
    <row r="6807" spans="1:7" x14ac:dyDescent="0.25">
      <c r="A6807">
        <v>58369</v>
      </c>
      <c r="B6807" t="s">
        <v>4</v>
      </c>
      <c r="C6807">
        <v>3</v>
      </c>
      <c r="D6807" t="s">
        <v>5</v>
      </c>
      <c r="F6807" t="str" cm="1">
        <f t="array" ref="F6807">CategorizeComment(E6807)</f>
        <v>Other</v>
      </c>
      <c r="G6807" t="str" cm="1">
        <f t="array" ref="G6807">SubCategorizeComment(E6807)</f>
        <v>Other</v>
      </c>
    </row>
    <row r="6808" spans="1:7" x14ac:dyDescent="0.25">
      <c r="A6808">
        <v>58378</v>
      </c>
      <c r="B6808" t="s">
        <v>4</v>
      </c>
      <c r="C6808">
        <v>3</v>
      </c>
      <c r="D6808" t="s">
        <v>5</v>
      </c>
      <c r="F6808" t="str" cm="1">
        <f t="array" ref="F6808">CategorizeComment(E6808)</f>
        <v>Other</v>
      </c>
      <c r="G6808" t="str" cm="1">
        <f t="array" ref="G6808">SubCategorizeComment(E6808)</f>
        <v>Other</v>
      </c>
    </row>
    <row r="6809" spans="1:7" x14ac:dyDescent="0.25">
      <c r="A6809">
        <v>58407</v>
      </c>
      <c r="B6809" t="s">
        <v>4</v>
      </c>
      <c r="C6809">
        <v>4</v>
      </c>
      <c r="D6809" t="s">
        <v>5</v>
      </c>
      <c r="F6809" t="str" cm="1">
        <f t="array" ref="F6809">CategorizeComment(E6809)</f>
        <v>Other</v>
      </c>
      <c r="G6809" t="str" cm="1">
        <f t="array" ref="G6809">SubCategorizeComment(E6809)</f>
        <v>Other</v>
      </c>
    </row>
    <row r="6810" spans="1:7" x14ac:dyDescent="0.25">
      <c r="A6810">
        <v>58421</v>
      </c>
      <c r="B6810" t="s">
        <v>4</v>
      </c>
      <c r="C6810">
        <v>4</v>
      </c>
      <c r="D6810" t="s">
        <v>5</v>
      </c>
      <c r="F6810" t="str" cm="1">
        <f t="array" ref="F6810">CategorizeComment(E6810)</f>
        <v>Other</v>
      </c>
      <c r="G6810" t="str" cm="1">
        <f t="array" ref="G6810">SubCategorizeComment(E6810)</f>
        <v>Other</v>
      </c>
    </row>
    <row r="6811" spans="1:7" x14ac:dyDescent="0.25">
      <c r="A6811">
        <v>58434</v>
      </c>
      <c r="B6811" t="s">
        <v>4</v>
      </c>
      <c r="C6811">
        <v>4</v>
      </c>
      <c r="D6811" t="s">
        <v>5</v>
      </c>
      <c r="F6811" t="str" cm="1">
        <f t="array" ref="F6811">CategorizeComment(E6811)</f>
        <v>Other</v>
      </c>
      <c r="G6811" t="str" cm="1">
        <f t="array" ref="G6811">SubCategorizeComment(E6811)</f>
        <v>Other</v>
      </c>
    </row>
    <row r="6812" spans="1:7" x14ac:dyDescent="0.25">
      <c r="A6812">
        <v>58442</v>
      </c>
      <c r="B6812" t="s">
        <v>4</v>
      </c>
      <c r="C6812">
        <v>4</v>
      </c>
      <c r="D6812" t="s">
        <v>5</v>
      </c>
      <c r="F6812" t="str" cm="1">
        <f t="array" ref="F6812">CategorizeComment(E6812)</f>
        <v>Other</v>
      </c>
      <c r="G6812" t="str" cm="1">
        <f t="array" ref="G6812">SubCategorizeComment(E6812)</f>
        <v>Other</v>
      </c>
    </row>
    <row r="6813" spans="1:7" x14ac:dyDescent="0.25">
      <c r="A6813">
        <v>58455</v>
      </c>
      <c r="B6813" t="s">
        <v>4</v>
      </c>
      <c r="C6813">
        <v>3</v>
      </c>
      <c r="D6813" t="s">
        <v>5</v>
      </c>
      <c r="F6813" t="str" cm="1">
        <f t="array" ref="F6813">CategorizeComment(E6813)</f>
        <v>Other</v>
      </c>
      <c r="G6813" t="str" cm="1">
        <f t="array" ref="G6813">SubCategorizeComment(E6813)</f>
        <v>Other</v>
      </c>
    </row>
    <row r="6814" spans="1:7" x14ac:dyDescent="0.25">
      <c r="A6814">
        <v>58458</v>
      </c>
      <c r="B6814" t="s">
        <v>4</v>
      </c>
      <c r="C6814">
        <v>3</v>
      </c>
      <c r="D6814" t="s">
        <v>5</v>
      </c>
      <c r="F6814" t="str" cm="1">
        <f t="array" ref="F6814">CategorizeComment(E6814)</f>
        <v>Other</v>
      </c>
      <c r="G6814" t="str" cm="1">
        <f t="array" ref="G6814">SubCategorizeComment(E6814)</f>
        <v>Other</v>
      </c>
    </row>
    <row r="6815" spans="1:7" x14ac:dyDescent="0.25">
      <c r="A6815">
        <v>58482</v>
      </c>
      <c r="B6815" t="s">
        <v>4</v>
      </c>
      <c r="C6815">
        <v>3</v>
      </c>
      <c r="D6815" t="s">
        <v>5</v>
      </c>
      <c r="F6815" t="str" cm="1">
        <f t="array" ref="F6815">CategorizeComment(E6815)</f>
        <v>Other</v>
      </c>
      <c r="G6815" t="str" cm="1">
        <f t="array" ref="G6815">SubCategorizeComment(E6815)</f>
        <v>Other</v>
      </c>
    </row>
    <row r="6816" spans="1:7" x14ac:dyDescent="0.25">
      <c r="A6816">
        <v>58489</v>
      </c>
      <c r="B6816" t="s">
        <v>4</v>
      </c>
      <c r="C6816">
        <v>3</v>
      </c>
      <c r="D6816" t="s">
        <v>5</v>
      </c>
      <c r="F6816" t="str" cm="1">
        <f t="array" ref="F6816">CategorizeComment(E6816)</f>
        <v>Other</v>
      </c>
      <c r="G6816" t="str" cm="1">
        <f t="array" ref="G6816">SubCategorizeComment(E6816)</f>
        <v>Other</v>
      </c>
    </row>
    <row r="6817" spans="1:7" x14ac:dyDescent="0.25">
      <c r="A6817">
        <v>58491</v>
      </c>
      <c r="B6817" t="s">
        <v>4</v>
      </c>
      <c r="C6817">
        <v>4</v>
      </c>
      <c r="D6817" t="s">
        <v>5</v>
      </c>
      <c r="F6817" t="str" cm="1">
        <f t="array" ref="F6817">CategorizeComment(E6817)</f>
        <v>Other</v>
      </c>
      <c r="G6817" t="str" cm="1">
        <f t="array" ref="G6817">SubCategorizeComment(E6817)</f>
        <v>Other</v>
      </c>
    </row>
    <row r="6818" spans="1:7" x14ac:dyDescent="0.25">
      <c r="A6818">
        <v>58499</v>
      </c>
      <c r="B6818" t="s">
        <v>4</v>
      </c>
      <c r="C6818">
        <v>3</v>
      </c>
      <c r="D6818" t="s">
        <v>5</v>
      </c>
      <c r="F6818" t="str" cm="1">
        <f t="array" ref="F6818">CategorizeComment(E6818)</f>
        <v>Other</v>
      </c>
      <c r="G6818" t="str" cm="1">
        <f t="array" ref="G6818">SubCategorizeComment(E6818)</f>
        <v>Other</v>
      </c>
    </row>
    <row r="6819" spans="1:7" x14ac:dyDescent="0.25">
      <c r="A6819">
        <v>58504</v>
      </c>
      <c r="B6819" t="s">
        <v>4</v>
      </c>
      <c r="C6819">
        <v>4</v>
      </c>
      <c r="D6819" t="s">
        <v>5</v>
      </c>
      <c r="F6819" t="str" cm="1">
        <f t="array" ref="F6819">CategorizeComment(E6819)</f>
        <v>Other</v>
      </c>
      <c r="G6819" t="str" cm="1">
        <f t="array" ref="G6819">SubCategorizeComment(E6819)</f>
        <v>Other</v>
      </c>
    </row>
    <row r="6820" spans="1:7" x14ac:dyDescent="0.25">
      <c r="A6820">
        <v>58519</v>
      </c>
      <c r="B6820" t="s">
        <v>4</v>
      </c>
      <c r="C6820">
        <v>4</v>
      </c>
      <c r="D6820" t="s">
        <v>5</v>
      </c>
      <c r="F6820" t="str" cm="1">
        <f t="array" ref="F6820">CategorizeComment(E6820)</f>
        <v>Other</v>
      </c>
      <c r="G6820" t="str" cm="1">
        <f t="array" ref="G6820">SubCategorizeComment(E6820)</f>
        <v>Other</v>
      </c>
    </row>
    <row r="6821" spans="1:7" x14ac:dyDescent="0.25">
      <c r="A6821">
        <v>58535</v>
      </c>
      <c r="B6821" t="s">
        <v>4</v>
      </c>
      <c r="C6821">
        <v>4</v>
      </c>
      <c r="D6821" t="s">
        <v>5</v>
      </c>
      <c r="F6821" t="str" cm="1">
        <f t="array" ref="F6821">CategorizeComment(E6821)</f>
        <v>Other</v>
      </c>
      <c r="G6821" t="str" cm="1">
        <f t="array" ref="G6821">SubCategorizeComment(E6821)</f>
        <v>Other</v>
      </c>
    </row>
    <row r="6822" spans="1:7" x14ac:dyDescent="0.25">
      <c r="A6822">
        <v>58541</v>
      </c>
      <c r="B6822" t="s">
        <v>4</v>
      </c>
      <c r="C6822">
        <v>4</v>
      </c>
      <c r="D6822" t="s">
        <v>5</v>
      </c>
      <c r="F6822" t="str" cm="1">
        <f t="array" ref="F6822">CategorizeComment(E6822)</f>
        <v>Other</v>
      </c>
      <c r="G6822" t="str" cm="1">
        <f t="array" ref="G6822">SubCategorizeComment(E6822)</f>
        <v>Other</v>
      </c>
    </row>
    <row r="6823" spans="1:7" x14ac:dyDescent="0.25">
      <c r="A6823">
        <v>58546</v>
      </c>
      <c r="B6823" t="s">
        <v>4</v>
      </c>
      <c r="C6823">
        <v>4</v>
      </c>
      <c r="D6823" t="s">
        <v>5</v>
      </c>
      <c r="F6823" t="str" cm="1">
        <f t="array" ref="F6823">CategorizeComment(E6823)</f>
        <v>Other</v>
      </c>
      <c r="G6823" t="str" cm="1">
        <f t="array" ref="G6823">SubCategorizeComment(E6823)</f>
        <v>Other</v>
      </c>
    </row>
    <row r="6824" spans="1:7" x14ac:dyDescent="0.25">
      <c r="A6824">
        <v>58552</v>
      </c>
      <c r="B6824" t="s">
        <v>4</v>
      </c>
      <c r="C6824">
        <v>4</v>
      </c>
      <c r="D6824" t="s">
        <v>5</v>
      </c>
      <c r="F6824" t="str" cm="1">
        <f t="array" ref="F6824">CategorizeComment(E6824)</f>
        <v>Other</v>
      </c>
      <c r="G6824" t="str" cm="1">
        <f t="array" ref="G6824">SubCategorizeComment(E6824)</f>
        <v>Other</v>
      </c>
    </row>
    <row r="6825" spans="1:7" x14ac:dyDescent="0.25">
      <c r="A6825">
        <v>58561</v>
      </c>
      <c r="B6825" t="s">
        <v>4</v>
      </c>
      <c r="C6825">
        <v>3</v>
      </c>
      <c r="D6825" t="s">
        <v>5</v>
      </c>
      <c r="F6825" t="str" cm="1">
        <f t="array" ref="F6825">CategorizeComment(E6825)</f>
        <v>Other</v>
      </c>
      <c r="G6825" t="str" cm="1">
        <f t="array" ref="G6825">SubCategorizeComment(E6825)</f>
        <v>Other</v>
      </c>
    </row>
    <row r="6826" spans="1:7" x14ac:dyDescent="0.25">
      <c r="A6826">
        <v>58586</v>
      </c>
      <c r="B6826" t="s">
        <v>4</v>
      </c>
      <c r="C6826">
        <v>3</v>
      </c>
      <c r="D6826" t="s">
        <v>5</v>
      </c>
      <c r="F6826" t="str" cm="1">
        <f t="array" ref="F6826">CategorizeComment(E6826)</f>
        <v>Other</v>
      </c>
      <c r="G6826" t="str" cm="1">
        <f t="array" ref="G6826">SubCategorizeComment(E6826)</f>
        <v>Other</v>
      </c>
    </row>
    <row r="6827" spans="1:7" x14ac:dyDescent="0.25">
      <c r="A6827">
        <v>58596</v>
      </c>
      <c r="B6827" t="s">
        <v>4</v>
      </c>
      <c r="C6827">
        <v>3</v>
      </c>
      <c r="D6827" t="s">
        <v>5</v>
      </c>
      <c r="F6827" t="str" cm="1">
        <f t="array" ref="F6827">CategorizeComment(E6827)</f>
        <v>Other</v>
      </c>
      <c r="G6827" t="str" cm="1">
        <f t="array" ref="G6827">SubCategorizeComment(E6827)</f>
        <v>Other</v>
      </c>
    </row>
    <row r="6828" spans="1:7" x14ac:dyDescent="0.25">
      <c r="A6828">
        <v>58609</v>
      </c>
      <c r="B6828" t="s">
        <v>4</v>
      </c>
      <c r="C6828">
        <v>4</v>
      </c>
      <c r="D6828" t="s">
        <v>5</v>
      </c>
      <c r="F6828" t="str" cm="1">
        <f t="array" ref="F6828">CategorizeComment(E6828)</f>
        <v>Other</v>
      </c>
      <c r="G6828" t="str" cm="1">
        <f t="array" ref="G6828">SubCategorizeComment(E6828)</f>
        <v>Other</v>
      </c>
    </row>
    <row r="6829" spans="1:7" x14ac:dyDescent="0.25">
      <c r="A6829">
        <v>58651</v>
      </c>
      <c r="B6829" t="s">
        <v>4</v>
      </c>
      <c r="C6829">
        <v>4</v>
      </c>
      <c r="D6829" t="s">
        <v>5</v>
      </c>
      <c r="F6829" t="str" cm="1">
        <f t="array" ref="F6829">CategorizeComment(E6829)</f>
        <v>Other</v>
      </c>
      <c r="G6829" t="str" cm="1">
        <f t="array" ref="G6829">SubCategorizeComment(E6829)</f>
        <v>Other</v>
      </c>
    </row>
    <row r="6830" spans="1:7" x14ac:dyDescent="0.25">
      <c r="A6830">
        <v>58654</v>
      </c>
      <c r="B6830" t="s">
        <v>4</v>
      </c>
      <c r="C6830">
        <v>3</v>
      </c>
      <c r="D6830" t="s">
        <v>5</v>
      </c>
      <c r="F6830" t="str" cm="1">
        <f t="array" ref="F6830">CategorizeComment(E6830)</f>
        <v>Other</v>
      </c>
      <c r="G6830" t="str" cm="1">
        <f t="array" ref="G6830">SubCategorizeComment(E6830)</f>
        <v>Other</v>
      </c>
    </row>
    <row r="6831" spans="1:7" x14ac:dyDescent="0.25">
      <c r="A6831">
        <v>58657</v>
      </c>
      <c r="B6831" t="s">
        <v>4</v>
      </c>
      <c r="C6831">
        <v>4</v>
      </c>
      <c r="D6831" t="s">
        <v>5</v>
      </c>
      <c r="F6831" t="str" cm="1">
        <f t="array" ref="F6831">CategorizeComment(E6831)</f>
        <v>Other</v>
      </c>
      <c r="G6831" t="str" cm="1">
        <f t="array" ref="G6831">SubCategorizeComment(E6831)</f>
        <v>Other</v>
      </c>
    </row>
    <row r="6832" spans="1:7" x14ac:dyDescent="0.25">
      <c r="A6832">
        <v>58661</v>
      </c>
      <c r="B6832" t="s">
        <v>4</v>
      </c>
      <c r="C6832">
        <v>4</v>
      </c>
      <c r="D6832" t="s">
        <v>5</v>
      </c>
      <c r="F6832" t="str" cm="1">
        <f t="array" ref="F6832">CategorizeComment(E6832)</f>
        <v>Other</v>
      </c>
      <c r="G6832" t="str" cm="1">
        <f t="array" ref="G6832">SubCategorizeComment(E6832)</f>
        <v>Other</v>
      </c>
    </row>
    <row r="6833" spans="1:7" x14ac:dyDescent="0.25">
      <c r="A6833">
        <v>58665</v>
      </c>
      <c r="B6833" t="s">
        <v>4</v>
      </c>
      <c r="C6833">
        <v>3</v>
      </c>
      <c r="D6833" t="s">
        <v>5</v>
      </c>
      <c r="F6833" t="str" cm="1">
        <f t="array" ref="F6833">CategorizeComment(E6833)</f>
        <v>Other</v>
      </c>
      <c r="G6833" t="str" cm="1">
        <f t="array" ref="G6833">SubCategorizeComment(E6833)</f>
        <v>Other</v>
      </c>
    </row>
    <row r="6834" spans="1:7" x14ac:dyDescent="0.25">
      <c r="A6834">
        <v>58667</v>
      </c>
      <c r="B6834" t="s">
        <v>4</v>
      </c>
      <c r="C6834">
        <v>3</v>
      </c>
      <c r="D6834" t="s">
        <v>5</v>
      </c>
      <c r="F6834" t="str" cm="1">
        <f t="array" ref="F6834">CategorizeComment(E6834)</f>
        <v>Other</v>
      </c>
      <c r="G6834" t="str" cm="1">
        <f t="array" ref="G6834">SubCategorizeComment(E6834)</f>
        <v>Other</v>
      </c>
    </row>
    <row r="6835" spans="1:7" x14ac:dyDescent="0.25">
      <c r="A6835">
        <v>58675</v>
      </c>
      <c r="B6835" t="s">
        <v>4</v>
      </c>
      <c r="C6835">
        <v>4</v>
      </c>
      <c r="D6835" t="s">
        <v>5</v>
      </c>
      <c r="F6835" t="str" cm="1">
        <f t="array" ref="F6835">CategorizeComment(E6835)</f>
        <v>Other</v>
      </c>
      <c r="G6835" t="str" cm="1">
        <f t="array" ref="G6835">SubCategorizeComment(E6835)</f>
        <v>Other</v>
      </c>
    </row>
    <row r="6836" spans="1:7" x14ac:dyDescent="0.25">
      <c r="A6836">
        <v>58690</v>
      </c>
      <c r="B6836" t="s">
        <v>4</v>
      </c>
      <c r="C6836">
        <v>4</v>
      </c>
      <c r="D6836" t="s">
        <v>5</v>
      </c>
      <c r="F6836" t="str" cm="1">
        <f t="array" ref="F6836">CategorizeComment(E6836)</f>
        <v>Other</v>
      </c>
      <c r="G6836" t="str" cm="1">
        <f t="array" ref="G6836">SubCategorizeComment(E6836)</f>
        <v>Other</v>
      </c>
    </row>
    <row r="6837" spans="1:7" x14ac:dyDescent="0.25">
      <c r="A6837">
        <v>58716</v>
      </c>
      <c r="B6837" t="s">
        <v>4</v>
      </c>
      <c r="C6837">
        <v>4</v>
      </c>
      <c r="D6837" t="s">
        <v>5</v>
      </c>
      <c r="F6837" t="str" cm="1">
        <f t="array" ref="F6837">CategorizeComment(E6837)</f>
        <v>Other</v>
      </c>
      <c r="G6837" t="str" cm="1">
        <f t="array" ref="G6837">SubCategorizeComment(E6837)</f>
        <v>Other</v>
      </c>
    </row>
    <row r="6838" spans="1:7" x14ac:dyDescent="0.25">
      <c r="A6838">
        <v>58721</v>
      </c>
      <c r="B6838" t="s">
        <v>4</v>
      </c>
      <c r="C6838">
        <v>3</v>
      </c>
      <c r="D6838" t="s">
        <v>5</v>
      </c>
      <c r="F6838" t="str" cm="1">
        <f t="array" ref="F6838">CategorizeComment(E6838)</f>
        <v>Other</v>
      </c>
      <c r="G6838" t="str" cm="1">
        <f t="array" ref="G6838">SubCategorizeComment(E6838)</f>
        <v>Other</v>
      </c>
    </row>
    <row r="6839" spans="1:7" x14ac:dyDescent="0.25">
      <c r="A6839">
        <v>58758</v>
      </c>
      <c r="B6839" t="s">
        <v>4</v>
      </c>
      <c r="C6839">
        <v>4</v>
      </c>
      <c r="D6839" t="s">
        <v>5</v>
      </c>
      <c r="F6839" t="str" cm="1">
        <f t="array" ref="F6839">CategorizeComment(E6839)</f>
        <v>Other</v>
      </c>
      <c r="G6839" t="str" cm="1">
        <f t="array" ref="G6839">SubCategorizeComment(E6839)</f>
        <v>Other</v>
      </c>
    </row>
    <row r="6840" spans="1:7" x14ac:dyDescent="0.25">
      <c r="A6840">
        <v>58768</v>
      </c>
      <c r="B6840" t="s">
        <v>4</v>
      </c>
      <c r="C6840">
        <v>3</v>
      </c>
      <c r="D6840" t="s">
        <v>5</v>
      </c>
      <c r="F6840" t="str" cm="1">
        <f t="array" ref="F6840">CategorizeComment(E6840)</f>
        <v>Other</v>
      </c>
      <c r="G6840" t="str" cm="1">
        <f t="array" ref="G6840">SubCategorizeComment(E6840)</f>
        <v>Other</v>
      </c>
    </row>
    <row r="6841" spans="1:7" x14ac:dyDescent="0.25">
      <c r="A6841">
        <v>58779</v>
      </c>
      <c r="B6841" t="s">
        <v>4</v>
      </c>
      <c r="C6841">
        <v>3</v>
      </c>
      <c r="D6841" t="s">
        <v>5</v>
      </c>
      <c r="F6841" t="str" cm="1">
        <f t="array" ref="F6841">CategorizeComment(E6841)</f>
        <v>Other</v>
      </c>
      <c r="G6841" t="str" cm="1">
        <f t="array" ref="G6841">SubCategorizeComment(E6841)</f>
        <v>Other</v>
      </c>
    </row>
    <row r="6842" spans="1:7" x14ac:dyDescent="0.25">
      <c r="A6842">
        <v>58781</v>
      </c>
      <c r="B6842" t="s">
        <v>4</v>
      </c>
      <c r="C6842">
        <v>4</v>
      </c>
      <c r="D6842" t="s">
        <v>5</v>
      </c>
      <c r="F6842" t="str" cm="1">
        <f t="array" ref="F6842">CategorizeComment(E6842)</f>
        <v>Other</v>
      </c>
      <c r="G6842" t="str" cm="1">
        <f t="array" ref="G6842">SubCategorizeComment(E6842)</f>
        <v>Other</v>
      </c>
    </row>
    <row r="6843" spans="1:7" x14ac:dyDescent="0.25">
      <c r="A6843">
        <v>58782</v>
      </c>
      <c r="B6843" t="s">
        <v>4</v>
      </c>
      <c r="C6843">
        <v>4</v>
      </c>
      <c r="D6843" t="s">
        <v>5</v>
      </c>
      <c r="F6843" t="str" cm="1">
        <f t="array" ref="F6843">CategorizeComment(E6843)</f>
        <v>Other</v>
      </c>
      <c r="G6843" t="str" cm="1">
        <f t="array" ref="G6843">SubCategorizeComment(E6843)</f>
        <v>Other</v>
      </c>
    </row>
    <row r="6844" spans="1:7" x14ac:dyDescent="0.25">
      <c r="A6844">
        <v>58787</v>
      </c>
      <c r="B6844" t="s">
        <v>4</v>
      </c>
      <c r="C6844">
        <v>3</v>
      </c>
      <c r="D6844" t="s">
        <v>5</v>
      </c>
      <c r="F6844" t="str" cm="1">
        <f t="array" ref="F6844">CategorizeComment(E6844)</f>
        <v>Other</v>
      </c>
      <c r="G6844" t="str" cm="1">
        <f t="array" ref="G6844">SubCategorizeComment(E6844)</f>
        <v>Other</v>
      </c>
    </row>
    <row r="6845" spans="1:7" x14ac:dyDescent="0.25">
      <c r="A6845">
        <v>58789</v>
      </c>
      <c r="B6845" t="s">
        <v>4</v>
      </c>
      <c r="C6845">
        <v>3</v>
      </c>
      <c r="D6845" t="s">
        <v>5</v>
      </c>
      <c r="F6845" t="str" cm="1">
        <f t="array" ref="F6845">CategorizeComment(E6845)</f>
        <v>Other</v>
      </c>
      <c r="G6845" t="str" cm="1">
        <f t="array" ref="G6845">SubCategorizeComment(E6845)</f>
        <v>Other</v>
      </c>
    </row>
    <row r="6846" spans="1:7" x14ac:dyDescent="0.25">
      <c r="A6846">
        <v>58797</v>
      </c>
      <c r="B6846" t="s">
        <v>4</v>
      </c>
      <c r="C6846">
        <v>3</v>
      </c>
      <c r="D6846" t="s">
        <v>5</v>
      </c>
      <c r="F6846" t="str" cm="1">
        <f t="array" ref="F6846">CategorizeComment(E6846)</f>
        <v>Other</v>
      </c>
      <c r="G6846" t="str" cm="1">
        <f t="array" ref="G6846">SubCategorizeComment(E6846)</f>
        <v>Other</v>
      </c>
    </row>
    <row r="6847" spans="1:7" x14ac:dyDescent="0.25">
      <c r="A6847">
        <v>58801</v>
      </c>
      <c r="B6847" t="s">
        <v>4</v>
      </c>
      <c r="C6847">
        <v>3</v>
      </c>
      <c r="D6847" t="s">
        <v>5</v>
      </c>
      <c r="F6847" t="str" cm="1">
        <f t="array" ref="F6847">CategorizeComment(E6847)</f>
        <v>Other</v>
      </c>
      <c r="G6847" t="str" cm="1">
        <f t="array" ref="G6847">SubCategorizeComment(E6847)</f>
        <v>Other</v>
      </c>
    </row>
    <row r="6848" spans="1:7" x14ac:dyDescent="0.25">
      <c r="A6848">
        <v>58815</v>
      </c>
      <c r="B6848" t="s">
        <v>4</v>
      </c>
      <c r="C6848">
        <v>4</v>
      </c>
      <c r="D6848" t="s">
        <v>5</v>
      </c>
      <c r="F6848" t="str" cm="1">
        <f t="array" ref="F6848">CategorizeComment(E6848)</f>
        <v>Other</v>
      </c>
      <c r="G6848" t="str" cm="1">
        <f t="array" ref="G6848">SubCategorizeComment(E6848)</f>
        <v>Other</v>
      </c>
    </row>
    <row r="6849" spans="1:7" x14ac:dyDescent="0.25">
      <c r="A6849">
        <v>58821</v>
      </c>
      <c r="B6849" t="s">
        <v>4</v>
      </c>
      <c r="C6849">
        <v>4</v>
      </c>
      <c r="D6849" t="s">
        <v>5</v>
      </c>
      <c r="F6849" t="str" cm="1">
        <f t="array" ref="F6849">CategorizeComment(E6849)</f>
        <v>Other</v>
      </c>
      <c r="G6849" t="str" cm="1">
        <f t="array" ref="G6849">SubCategorizeComment(E6849)</f>
        <v>Other</v>
      </c>
    </row>
    <row r="6850" spans="1:7" x14ac:dyDescent="0.25">
      <c r="A6850">
        <v>58825</v>
      </c>
      <c r="B6850" t="s">
        <v>4</v>
      </c>
      <c r="C6850">
        <v>3</v>
      </c>
      <c r="D6850" t="s">
        <v>5</v>
      </c>
      <c r="F6850" t="str" cm="1">
        <f t="array" ref="F6850">CategorizeComment(E6850)</f>
        <v>Other</v>
      </c>
      <c r="G6850" t="str" cm="1">
        <f t="array" ref="G6850">SubCategorizeComment(E6850)</f>
        <v>Other</v>
      </c>
    </row>
    <row r="6851" spans="1:7" x14ac:dyDescent="0.25">
      <c r="A6851">
        <v>58833</v>
      </c>
      <c r="B6851" t="s">
        <v>4</v>
      </c>
      <c r="C6851">
        <v>3</v>
      </c>
      <c r="D6851" t="s">
        <v>5</v>
      </c>
      <c r="F6851" t="str" cm="1">
        <f t="array" ref="F6851">CategorizeComment(E6851)</f>
        <v>Other</v>
      </c>
      <c r="G6851" t="str" cm="1">
        <f t="array" ref="G6851">SubCategorizeComment(E6851)</f>
        <v>Other</v>
      </c>
    </row>
    <row r="6852" spans="1:7" x14ac:dyDescent="0.25">
      <c r="A6852">
        <v>58860</v>
      </c>
      <c r="B6852" t="s">
        <v>4</v>
      </c>
      <c r="C6852">
        <v>4</v>
      </c>
      <c r="D6852" t="s">
        <v>5</v>
      </c>
      <c r="F6852" t="str" cm="1">
        <f t="array" ref="F6852">CategorizeComment(E6852)</f>
        <v>Other</v>
      </c>
      <c r="G6852" t="str" cm="1">
        <f t="array" ref="G6852">SubCategorizeComment(E6852)</f>
        <v>Other</v>
      </c>
    </row>
    <row r="6853" spans="1:7" x14ac:dyDescent="0.25">
      <c r="A6853">
        <v>58885</v>
      </c>
      <c r="B6853" t="s">
        <v>4</v>
      </c>
      <c r="C6853">
        <v>3</v>
      </c>
      <c r="D6853" t="s">
        <v>5</v>
      </c>
      <c r="F6853" t="str" cm="1">
        <f t="array" ref="F6853">CategorizeComment(E6853)</f>
        <v>Other</v>
      </c>
      <c r="G6853" t="str" cm="1">
        <f t="array" ref="G6853">SubCategorizeComment(E6853)</f>
        <v>Other</v>
      </c>
    </row>
    <row r="6854" spans="1:7" x14ac:dyDescent="0.25">
      <c r="A6854">
        <v>58886</v>
      </c>
      <c r="B6854" t="s">
        <v>4</v>
      </c>
      <c r="C6854">
        <v>3</v>
      </c>
      <c r="D6854" t="s">
        <v>5</v>
      </c>
      <c r="F6854" t="str" cm="1">
        <f t="array" ref="F6854">CategorizeComment(E6854)</f>
        <v>Other</v>
      </c>
      <c r="G6854" t="str" cm="1">
        <f t="array" ref="G6854">SubCategorizeComment(E6854)</f>
        <v>Other</v>
      </c>
    </row>
    <row r="6855" spans="1:7" x14ac:dyDescent="0.25">
      <c r="A6855">
        <v>58890</v>
      </c>
      <c r="B6855" t="s">
        <v>4</v>
      </c>
      <c r="C6855">
        <v>4</v>
      </c>
      <c r="D6855" t="s">
        <v>5</v>
      </c>
      <c r="F6855" t="str" cm="1">
        <f t="array" ref="F6855">CategorizeComment(E6855)</f>
        <v>Other</v>
      </c>
      <c r="G6855" t="str" cm="1">
        <f t="array" ref="G6855">SubCategorizeComment(E6855)</f>
        <v>Other</v>
      </c>
    </row>
    <row r="6856" spans="1:7" x14ac:dyDescent="0.25">
      <c r="A6856">
        <v>58894</v>
      </c>
      <c r="B6856" t="s">
        <v>4</v>
      </c>
      <c r="C6856">
        <v>3</v>
      </c>
      <c r="D6856" t="s">
        <v>5</v>
      </c>
      <c r="F6856" t="str" cm="1">
        <f t="array" ref="F6856">CategorizeComment(E6856)</f>
        <v>Other</v>
      </c>
      <c r="G6856" t="str" cm="1">
        <f t="array" ref="G6856">SubCategorizeComment(E6856)</f>
        <v>Other</v>
      </c>
    </row>
    <row r="6857" spans="1:7" x14ac:dyDescent="0.25">
      <c r="A6857">
        <v>58902</v>
      </c>
      <c r="B6857" t="s">
        <v>4</v>
      </c>
      <c r="C6857">
        <v>3</v>
      </c>
      <c r="D6857" t="s">
        <v>5</v>
      </c>
      <c r="F6857" t="str" cm="1">
        <f t="array" ref="F6857">CategorizeComment(E6857)</f>
        <v>Other</v>
      </c>
      <c r="G6857" t="str" cm="1">
        <f t="array" ref="G6857">SubCategorizeComment(E6857)</f>
        <v>Other</v>
      </c>
    </row>
    <row r="6858" spans="1:7" x14ac:dyDescent="0.25">
      <c r="A6858">
        <v>58910</v>
      </c>
      <c r="B6858" t="s">
        <v>4</v>
      </c>
      <c r="C6858">
        <v>4</v>
      </c>
      <c r="D6858" t="s">
        <v>5</v>
      </c>
      <c r="F6858" t="str" cm="1">
        <f t="array" ref="F6858">CategorizeComment(E6858)</f>
        <v>Other</v>
      </c>
      <c r="G6858" t="str" cm="1">
        <f t="array" ref="G6858">SubCategorizeComment(E6858)</f>
        <v>Other</v>
      </c>
    </row>
    <row r="6859" spans="1:7" x14ac:dyDescent="0.25">
      <c r="A6859">
        <v>58924</v>
      </c>
      <c r="B6859" t="s">
        <v>4</v>
      </c>
      <c r="C6859">
        <v>4</v>
      </c>
      <c r="D6859" t="s">
        <v>5</v>
      </c>
      <c r="F6859" t="str" cm="1">
        <f t="array" ref="F6859">CategorizeComment(E6859)</f>
        <v>Other</v>
      </c>
      <c r="G6859" t="str" cm="1">
        <f t="array" ref="G6859">SubCategorizeComment(E6859)</f>
        <v>Other</v>
      </c>
    </row>
    <row r="6860" spans="1:7" x14ac:dyDescent="0.25">
      <c r="A6860">
        <v>58947</v>
      </c>
      <c r="B6860" t="s">
        <v>4</v>
      </c>
      <c r="C6860">
        <v>3</v>
      </c>
      <c r="D6860" t="s">
        <v>5</v>
      </c>
      <c r="F6860" t="str" cm="1">
        <f t="array" ref="F6860">CategorizeComment(E6860)</f>
        <v>Other</v>
      </c>
      <c r="G6860" t="str" cm="1">
        <f t="array" ref="G6860">SubCategorizeComment(E6860)</f>
        <v>Other</v>
      </c>
    </row>
    <row r="6861" spans="1:7" x14ac:dyDescent="0.25">
      <c r="A6861">
        <v>58948</v>
      </c>
      <c r="B6861" t="s">
        <v>4</v>
      </c>
      <c r="C6861">
        <v>4</v>
      </c>
      <c r="D6861" t="s">
        <v>5</v>
      </c>
      <c r="F6861" t="str" cm="1">
        <f t="array" ref="F6861">CategorizeComment(E6861)</f>
        <v>Other</v>
      </c>
      <c r="G6861" t="str" cm="1">
        <f t="array" ref="G6861">SubCategorizeComment(E6861)</f>
        <v>Other</v>
      </c>
    </row>
    <row r="6862" spans="1:7" x14ac:dyDescent="0.25">
      <c r="A6862">
        <v>58956</v>
      </c>
      <c r="B6862" t="s">
        <v>4</v>
      </c>
      <c r="C6862">
        <v>3</v>
      </c>
      <c r="D6862" t="s">
        <v>5</v>
      </c>
      <c r="F6862" t="str" cm="1">
        <f t="array" ref="F6862">CategorizeComment(E6862)</f>
        <v>Other</v>
      </c>
      <c r="G6862" t="str" cm="1">
        <f t="array" ref="G6862">SubCategorizeComment(E6862)</f>
        <v>Other</v>
      </c>
    </row>
    <row r="6863" spans="1:7" x14ac:dyDescent="0.25">
      <c r="A6863">
        <v>58963</v>
      </c>
      <c r="B6863" t="s">
        <v>4</v>
      </c>
      <c r="C6863">
        <v>4</v>
      </c>
      <c r="D6863" t="s">
        <v>5</v>
      </c>
      <c r="F6863" t="str" cm="1">
        <f t="array" ref="F6863">CategorizeComment(E6863)</f>
        <v>Other</v>
      </c>
      <c r="G6863" t="str" cm="1">
        <f t="array" ref="G6863">SubCategorizeComment(E6863)</f>
        <v>Other</v>
      </c>
    </row>
    <row r="6864" spans="1:7" x14ac:dyDescent="0.25">
      <c r="A6864">
        <v>58989</v>
      </c>
      <c r="B6864" t="s">
        <v>4</v>
      </c>
      <c r="C6864">
        <v>4</v>
      </c>
      <c r="D6864" t="s">
        <v>5</v>
      </c>
      <c r="F6864" t="str" cm="1">
        <f t="array" ref="F6864">CategorizeComment(E6864)</f>
        <v>Other</v>
      </c>
      <c r="G6864" t="str" cm="1">
        <f t="array" ref="G6864">SubCategorizeComment(E6864)</f>
        <v>Other</v>
      </c>
    </row>
    <row r="6865" spans="1:7" x14ac:dyDescent="0.25">
      <c r="A6865">
        <v>59010</v>
      </c>
      <c r="B6865" t="s">
        <v>4</v>
      </c>
      <c r="C6865">
        <v>3</v>
      </c>
      <c r="D6865" t="s">
        <v>5</v>
      </c>
      <c r="F6865" t="str" cm="1">
        <f t="array" ref="F6865">CategorizeComment(E6865)</f>
        <v>Other</v>
      </c>
      <c r="G6865" t="str" cm="1">
        <f t="array" ref="G6865">SubCategorizeComment(E6865)</f>
        <v>Other</v>
      </c>
    </row>
    <row r="6866" spans="1:7" x14ac:dyDescent="0.25">
      <c r="A6866">
        <v>59011</v>
      </c>
      <c r="B6866" t="s">
        <v>4</v>
      </c>
      <c r="C6866">
        <v>3</v>
      </c>
      <c r="D6866" t="s">
        <v>5</v>
      </c>
      <c r="F6866" t="str" cm="1">
        <f t="array" ref="F6866">CategorizeComment(E6866)</f>
        <v>Other</v>
      </c>
      <c r="G6866" t="str" cm="1">
        <f t="array" ref="G6866">SubCategorizeComment(E6866)</f>
        <v>Other</v>
      </c>
    </row>
    <row r="6867" spans="1:7" x14ac:dyDescent="0.25">
      <c r="A6867">
        <v>59012</v>
      </c>
      <c r="B6867" t="s">
        <v>4</v>
      </c>
      <c r="C6867">
        <v>4</v>
      </c>
      <c r="D6867" t="s">
        <v>5</v>
      </c>
      <c r="F6867" t="str" cm="1">
        <f t="array" ref="F6867">CategorizeComment(E6867)</f>
        <v>Other</v>
      </c>
      <c r="G6867" t="str" cm="1">
        <f t="array" ref="G6867">SubCategorizeComment(E6867)</f>
        <v>Other</v>
      </c>
    </row>
    <row r="6868" spans="1:7" x14ac:dyDescent="0.25">
      <c r="A6868">
        <v>59026</v>
      </c>
      <c r="B6868" t="s">
        <v>4</v>
      </c>
      <c r="C6868">
        <v>3</v>
      </c>
      <c r="D6868" t="s">
        <v>5</v>
      </c>
      <c r="F6868" t="str" cm="1">
        <f t="array" ref="F6868">CategorizeComment(E6868)</f>
        <v>Other</v>
      </c>
      <c r="G6868" t="str" cm="1">
        <f t="array" ref="G6868">SubCategorizeComment(E6868)</f>
        <v>Other</v>
      </c>
    </row>
    <row r="6869" spans="1:7" x14ac:dyDescent="0.25">
      <c r="A6869">
        <v>59032</v>
      </c>
      <c r="B6869" t="s">
        <v>4</v>
      </c>
      <c r="C6869">
        <v>4</v>
      </c>
      <c r="D6869" t="s">
        <v>5</v>
      </c>
      <c r="F6869" t="str" cm="1">
        <f t="array" ref="F6869">CategorizeComment(E6869)</f>
        <v>Other</v>
      </c>
      <c r="G6869" t="str" cm="1">
        <f t="array" ref="G6869">SubCategorizeComment(E6869)</f>
        <v>Other</v>
      </c>
    </row>
    <row r="6870" spans="1:7" x14ac:dyDescent="0.25">
      <c r="A6870">
        <v>59038</v>
      </c>
      <c r="B6870" t="s">
        <v>4</v>
      </c>
      <c r="C6870">
        <v>3</v>
      </c>
      <c r="D6870" t="s">
        <v>5</v>
      </c>
      <c r="F6870" t="str" cm="1">
        <f t="array" ref="F6870">CategorizeComment(E6870)</f>
        <v>Other</v>
      </c>
      <c r="G6870" t="str" cm="1">
        <f t="array" ref="G6870">SubCategorizeComment(E6870)</f>
        <v>Other</v>
      </c>
    </row>
    <row r="6871" spans="1:7" x14ac:dyDescent="0.25">
      <c r="A6871">
        <v>59039</v>
      </c>
      <c r="B6871" t="s">
        <v>4</v>
      </c>
      <c r="C6871">
        <v>3</v>
      </c>
      <c r="D6871" t="s">
        <v>5</v>
      </c>
      <c r="F6871" t="str" cm="1">
        <f t="array" ref="F6871">CategorizeComment(E6871)</f>
        <v>Other</v>
      </c>
      <c r="G6871" t="str" cm="1">
        <f t="array" ref="G6871">SubCategorizeComment(E6871)</f>
        <v>Other</v>
      </c>
    </row>
    <row r="6872" spans="1:7" x14ac:dyDescent="0.25">
      <c r="A6872">
        <v>59040</v>
      </c>
      <c r="B6872" t="s">
        <v>4</v>
      </c>
      <c r="C6872">
        <v>4</v>
      </c>
      <c r="D6872" t="s">
        <v>5</v>
      </c>
      <c r="F6872" t="str" cm="1">
        <f t="array" ref="F6872">CategorizeComment(E6872)</f>
        <v>Other</v>
      </c>
      <c r="G6872" t="str" cm="1">
        <f t="array" ref="G6872">SubCategorizeComment(E6872)</f>
        <v>Other</v>
      </c>
    </row>
    <row r="6873" spans="1:7" x14ac:dyDescent="0.25">
      <c r="A6873">
        <v>59041</v>
      </c>
      <c r="B6873" t="s">
        <v>4</v>
      </c>
      <c r="C6873">
        <v>3</v>
      </c>
      <c r="D6873" t="s">
        <v>5</v>
      </c>
      <c r="F6873" t="str" cm="1">
        <f t="array" ref="F6873">CategorizeComment(E6873)</f>
        <v>Other</v>
      </c>
      <c r="G6873" t="str" cm="1">
        <f t="array" ref="G6873">SubCategorizeComment(E6873)</f>
        <v>Other</v>
      </c>
    </row>
    <row r="6874" spans="1:7" x14ac:dyDescent="0.25">
      <c r="A6874">
        <v>59044</v>
      </c>
      <c r="B6874" t="s">
        <v>4</v>
      </c>
      <c r="C6874">
        <v>3</v>
      </c>
      <c r="D6874" t="s">
        <v>5</v>
      </c>
      <c r="F6874" t="str" cm="1">
        <f t="array" ref="F6874">CategorizeComment(E6874)</f>
        <v>Other</v>
      </c>
      <c r="G6874" t="str" cm="1">
        <f t="array" ref="G6874">SubCategorizeComment(E6874)</f>
        <v>Other</v>
      </c>
    </row>
    <row r="6875" spans="1:7" x14ac:dyDescent="0.25">
      <c r="A6875">
        <v>59057</v>
      </c>
      <c r="B6875" t="s">
        <v>4</v>
      </c>
      <c r="C6875">
        <v>3</v>
      </c>
      <c r="D6875" t="s">
        <v>5</v>
      </c>
      <c r="F6875" t="str" cm="1">
        <f t="array" ref="F6875">CategorizeComment(E6875)</f>
        <v>Other</v>
      </c>
      <c r="G6875" t="str" cm="1">
        <f t="array" ref="G6875">SubCategorizeComment(E6875)</f>
        <v>Other</v>
      </c>
    </row>
    <row r="6876" spans="1:7" x14ac:dyDescent="0.25">
      <c r="A6876">
        <v>59060</v>
      </c>
      <c r="B6876" t="s">
        <v>4</v>
      </c>
      <c r="C6876">
        <v>3</v>
      </c>
      <c r="D6876" t="s">
        <v>5</v>
      </c>
      <c r="F6876" t="str" cm="1">
        <f t="array" ref="F6876">CategorizeComment(E6876)</f>
        <v>Other</v>
      </c>
      <c r="G6876" t="str" cm="1">
        <f t="array" ref="G6876">SubCategorizeComment(E6876)</f>
        <v>Other</v>
      </c>
    </row>
    <row r="6877" spans="1:7" x14ac:dyDescent="0.25">
      <c r="A6877">
        <v>59076</v>
      </c>
      <c r="B6877" t="s">
        <v>4</v>
      </c>
      <c r="C6877">
        <v>1</v>
      </c>
      <c r="D6877" t="s">
        <v>5</v>
      </c>
      <c r="F6877" t="str" cm="1">
        <f t="array" ref="F6877">CategorizeComment(E6877)</f>
        <v>Other</v>
      </c>
      <c r="G6877" t="str" cm="1">
        <f t="array" ref="G6877">SubCategorizeComment(E6877)</f>
        <v>Other</v>
      </c>
    </row>
    <row r="6878" spans="1:7" x14ac:dyDescent="0.25">
      <c r="A6878">
        <v>59111</v>
      </c>
      <c r="B6878" t="s">
        <v>4</v>
      </c>
      <c r="C6878">
        <v>4</v>
      </c>
      <c r="D6878" t="s">
        <v>5</v>
      </c>
      <c r="F6878" t="str" cm="1">
        <f t="array" ref="F6878">CategorizeComment(E6878)</f>
        <v>Other</v>
      </c>
      <c r="G6878" t="str" cm="1">
        <f t="array" ref="G6878">SubCategorizeComment(E6878)</f>
        <v>Other</v>
      </c>
    </row>
    <row r="6879" spans="1:7" x14ac:dyDescent="0.25">
      <c r="A6879">
        <v>59144</v>
      </c>
      <c r="B6879" t="s">
        <v>4</v>
      </c>
      <c r="C6879">
        <v>3</v>
      </c>
      <c r="D6879" t="s">
        <v>5</v>
      </c>
      <c r="F6879" t="str" cm="1">
        <f t="array" ref="F6879">CategorizeComment(E6879)</f>
        <v>Other</v>
      </c>
      <c r="G6879" t="str" cm="1">
        <f t="array" ref="G6879">SubCategorizeComment(E6879)</f>
        <v>Other</v>
      </c>
    </row>
    <row r="6880" spans="1:7" x14ac:dyDescent="0.25">
      <c r="A6880">
        <v>59169</v>
      </c>
      <c r="B6880" t="s">
        <v>4</v>
      </c>
      <c r="C6880">
        <v>3</v>
      </c>
      <c r="D6880" t="s">
        <v>5</v>
      </c>
      <c r="F6880" t="str" cm="1">
        <f t="array" ref="F6880">CategorizeComment(E6880)</f>
        <v>Other</v>
      </c>
      <c r="G6880" t="str" cm="1">
        <f t="array" ref="G6880">SubCategorizeComment(E6880)</f>
        <v>Other</v>
      </c>
    </row>
    <row r="6881" spans="1:7" x14ac:dyDescent="0.25">
      <c r="A6881">
        <v>59171</v>
      </c>
      <c r="B6881" t="s">
        <v>4</v>
      </c>
      <c r="C6881">
        <v>4</v>
      </c>
      <c r="D6881" t="s">
        <v>5</v>
      </c>
      <c r="F6881" t="str" cm="1">
        <f t="array" ref="F6881">CategorizeComment(E6881)</f>
        <v>Other</v>
      </c>
      <c r="G6881" t="str" cm="1">
        <f t="array" ref="G6881">SubCategorizeComment(E6881)</f>
        <v>Other</v>
      </c>
    </row>
    <row r="6882" spans="1:7" x14ac:dyDescent="0.25">
      <c r="A6882">
        <v>59173</v>
      </c>
      <c r="B6882" t="s">
        <v>4</v>
      </c>
      <c r="C6882">
        <v>4</v>
      </c>
      <c r="D6882" t="s">
        <v>5</v>
      </c>
      <c r="F6882" t="str" cm="1">
        <f t="array" ref="F6882">CategorizeComment(E6882)</f>
        <v>Other</v>
      </c>
      <c r="G6882" t="str" cm="1">
        <f t="array" ref="G6882">SubCategorizeComment(E6882)</f>
        <v>Other</v>
      </c>
    </row>
    <row r="6883" spans="1:7" x14ac:dyDescent="0.25">
      <c r="A6883">
        <v>59175</v>
      </c>
      <c r="B6883" t="s">
        <v>4</v>
      </c>
      <c r="C6883">
        <v>3</v>
      </c>
      <c r="D6883" t="s">
        <v>5</v>
      </c>
      <c r="F6883" t="str" cm="1">
        <f t="array" ref="F6883">CategorizeComment(E6883)</f>
        <v>Other</v>
      </c>
      <c r="G6883" t="str" cm="1">
        <f t="array" ref="G6883">SubCategorizeComment(E6883)</f>
        <v>Other</v>
      </c>
    </row>
    <row r="6884" spans="1:7" x14ac:dyDescent="0.25">
      <c r="A6884">
        <v>59184</v>
      </c>
      <c r="B6884" t="s">
        <v>4</v>
      </c>
      <c r="C6884">
        <v>4</v>
      </c>
      <c r="D6884" t="s">
        <v>5</v>
      </c>
      <c r="F6884" t="str" cm="1">
        <f t="array" ref="F6884">CategorizeComment(E6884)</f>
        <v>Other</v>
      </c>
      <c r="G6884" t="str" cm="1">
        <f t="array" ref="G6884">SubCategorizeComment(E6884)</f>
        <v>Other</v>
      </c>
    </row>
    <row r="6885" spans="1:7" x14ac:dyDescent="0.25">
      <c r="A6885">
        <v>59198</v>
      </c>
      <c r="B6885" t="s">
        <v>4</v>
      </c>
      <c r="C6885">
        <v>4</v>
      </c>
      <c r="D6885" t="s">
        <v>5</v>
      </c>
      <c r="F6885" t="str" cm="1">
        <f t="array" ref="F6885">CategorizeComment(E6885)</f>
        <v>Other</v>
      </c>
      <c r="G6885" t="str" cm="1">
        <f t="array" ref="G6885">SubCategorizeComment(E6885)</f>
        <v>Other</v>
      </c>
    </row>
    <row r="6886" spans="1:7" x14ac:dyDescent="0.25">
      <c r="A6886">
        <v>59200</v>
      </c>
      <c r="B6886" t="s">
        <v>4</v>
      </c>
      <c r="C6886">
        <v>4</v>
      </c>
      <c r="D6886" t="s">
        <v>5</v>
      </c>
      <c r="F6886" t="str" cm="1">
        <f t="array" ref="F6886">CategorizeComment(E6886)</f>
        <v>Other</v>
      </c>
      <c r="G6886" t="str" cm="1">
        <f t="array" ref="G6886">SubCategorizeComment(E6886)</f>
        <v>Other</v>
      </c>
    </row>
    <row r="6887" spans="1:7" x14ac:dyDescent="0.25">
      <c r="A6887">
        <v>59235</v>
      </c>
      <c r="B6887" t="s">
        <v>4</v>
      </c>
      <c r="C6887">
        <v>4</v>
      </c>
      <c r="D6887" t="s">
        <v>5</v>
      </c>
      <c r="F6887" t="str" cm="1">
        <f t="array" ref="F6887">CategorizeComment(E6887)</f>
        <v>Other</v>
      </c>
      <c r="G6887" t="str" cm="1">
        <f t="array" ref="G6887">SubCategorizeComment(E6887)</f>
        <v>Other</v>
      </c>
    </row>
    <row r="6888" spans="1:7" x14ac:dyDescent="0.25">
      <c r="A6888">
        <v>59257</v>
      </c>
      <c r="B6888" t="s">
        <v>4</v>
      </c>
      <c r="C6888">
        <v>3</v>
      </c>
      <c r="D6888" t="s">
        <v>5</v>
      </c>
      <c r="F6888" t="str" cm="1">
        <f t="array" ref="F6888">CategorizeComment(E6888)</f>
        <v>Other</v>
      </c>
      <c r="G6888" t="str" cm="1">
        <f t="array" ref="G6888">SubCategorizeComment(E6888)</f>
        <v>Other</v>
      </c>
    </row>
    <row r="6889" spans="1:7" x14ac:dyDescent="0.25">
      <c r="A6889">
        <v>59266</v>
      </c>
      <c r="B6889" t="s">
        <v>4</v>
      </c>
      <c r="C6889">
        <v>4</v>
      </c>
      <c r="D6889" t="s">
        <v>5</v>
      </c>
      <c r="F6889" t="str" cm="1">
        <f t="array" ref="F6889">CategorizeComment(E6889)</f>
        <v>Other</v>
      </c>
      <c r="G6889" t="str" cm="1">
        <f t="array" ref="G6889">SubCategorizeComment(E6889)</f>
        <v>Other</v>
      </c>
    </row>
    <row r="6890" spans="1:7" x14ac:dyDescent="0.25">
      <c r="A6890">
        <v>59282</v>
      </c>
      <c r="B6890" t="s">
        <v>4</v>
      </c>
      <c r="C6890">
        <v>4</v>
      </c>
      <c r="D6890" t="s">
        <v>5</v>
      </c>
      <c r="F6890" t="str" cm="1">
        <f t="array" ref="F6890">CategorizeComment(E6890)</f>
        <v>Other</v>
      </c>
      <c r="G6890" t="str" cm="1">
        <f t="array" ref="G6890">SubCategorizeComment(E6890)</f>
        <v>Other</v>
      </c>
    </row>
    <row r="6891" spans="1:7" x14ac:dyDescent="0.25">
      <c r="A6891">
        <v>59287</v>
      </c>
      <c r="B6891" t="s">
        <v>4</v>
      </c>
      <c r="C6891">
        <v>3</v>
      </c>
      <c r="D6891" t="s">
        <v>5</v>
      </c>
      <c r="F6891" t="str" cm="1">
        <f t="array" ref="F6891">CategorizeComment(E6891)</f>
        <v>Other</v>
      </c>
      <c r="G6891" t="str" cm="1">
        <f t="array" ref="G6891">SubCategorizeComment(E6891)</f>
        <v>Other</v>
      </c>
    </row>
    <row r="6892" spans="1:7" x14ac:dyDescent="0.25">
      <c r="A6892">
        <v>59296</v>
      </c>
      <c r="B6892" t="s">
        <v>4</v>
      </c>
      <c r="C6892">
        <v>4</v>
      </c>
      <c r="D6892" t="s">
        <v>5</v>
      </c>
      <c r="F6892" t="str" cm="1">
        <f t="array" ref="F6892">CategorizeComment(E6892)</f>
        <v>Other</v>
      </c>
      <c r="G6892" t="str" cm="1">
        <f t="array" ref="G6892">SubCategorizeComment(E6892)</f>
        <v>Other</v>
      </c>
    </row>
    <row r="6893" spans="1:7" x14ac:dyDescent="0.25">
      <c r="A6893">
        <v>59331</v>
      </c>
      <c r="B6893" t="s">
        <v>4</v>
      </c>
      <c r="C6893">
        <v>3</v>
      </c>
      <c r="D6893" t="s">
        <v>5</v>
      </c>
      <c r="F6893" t="str" cm="1">
        <f t="array" ref="F6893">CategorizeComment(E6893)</f>
        <v>Other</v>
      </c>
      <c r="G6893" t="str" cm="1">
        <f t="array" ref="G6893">SubCategorizeComment(E6893)</f>
        <v>Other</v>
      </c>
    </row>
    <row r="6894" spans="1:7" x14ac:dyDescent="0.25">
      <c r="A6894">
        <v>59365</v>
      </c>
      <c r="B6894" t="s">
        <v>4</v>
      </c>
      <c r="C6894">
        <v>3</v>
      </c>
      <c r="D6894" t="s">
        <v>5</v>
      </c>
      <c r="F6894" t="str" cm="1">
        <f t="array" ref="F6894">CategorizeComment(E6894)</f>
        <v>Other</v>
      </c>
      <c r="G6894" t="str" cm="1">
        <f t="array" ref="G6894">SubCategorizeComment(E6894)</f>
        <v>Other</v>
      </c>
    </row>
    <row r="6895" spans="1:7" x14ac:dyDescent="0.25">
      <c r="A6895">
        <v>59368</v>
      </c>
      <c r="B6895" t="s">
        <v>4</v>
      </c>
      <c r="C6895">
        <v>4</v>
      </c>
      <c r="D6895" t="s">
        <v>5</v>
      </c>
      <c r="F6895" t="str" cm="1">
        <f t="array" ref="F6895">CategorizeComment(E6895)</f>
        <v>Other</v>
      </c>
      <c r="G6895" t="str" cm="1">
        <f t="array" ref="G6895">SubCategorizeComment(E6895)</f>
        <v>Other</v>
      </c>
    </row>
    <row r="6896" spans="1:7" x14ac:dyDescent="0.25">
      <c r="A6896">
        <v>59369</v>
      </c>
      <c r="B6896" t="s">
        <v>4</v>
      </c>
      <c r="C6896">
        <v>3</v>
      </c>
      <c r="D6896" t="s">
        <v>5</v>
      </c>
      <c r="F6896" t="str" cm="1">
        <f t="array" ref="F6896">CategorizeComment(E6896)</f>
        <v>Other</v>
      </c>
      <c r="G6896" t="str" cm="1">
        <f t="array" ref="G6896">SubCategorizeComment(E6896)</f>
        <v>Other</v>
      </c>
    </row>
    <row r="6897" spans="1:7" x14ac:dyDescent="0.25">
      <c r="A6897">
        <v>59372</v>
      </c>
      <c r="B6897" t="s">
        <v>4</v>
      </c>
      <c r="C6897">
        <v>3</v>
      </c>
      <c r="D6897" t="s">
        <v>5</v>
      </c>
      <c r="F6897" t="str" cm="1">
        <f t="array" ref="F6897">CategorizeComment(E6897)</f>
        <v>Other</v>
      </c>
      <c r="G6897" t="str" cm="1">
        <f t="array" ref="G6897">SubCategorizeComment(E6897)</f>
        <v>Other</v>
      </c>
    </row>
    <row r="6898" spans="1:7" x14ac:dyDescent="0.25">
      <c r="A6898">
        <v>59394</v>
      </c>
      <c r="B6898" t="s">
        <v>4</v>
      </c>
      <c r="C6898">
        <v>3</v>
      </c>
      <c r="D6898" t="s">
        <v>5</v>
      </c>
      <c r="F6898" t="str" cm="1">
        <f t="array" ref="F6898">CategorizeComment(E6898)</f>
        <v>Other</v>
      </c>
      <c r="G6898" t="str" cm="1">
        <f t="array" ref="G6898">SubCategorizeComment(E6898)</f>
        <v>Other</v>
      </c>
    </row>
    <row r="6899" spans="1:7" x14ac:dyDescent="0.25">
      <c r="A6899">
        <v>59396</v>
      </c>
      <c r="B6899" t="s">
        <v>4</v>
      </c>
      <c r="C6899">
        <v>4</v>
      </c>
      <c r="D6899" t="s">
        <v>5</v>
      </c>
      <c r="F6899" t="str" cm="1">
        <f t="array" ref="F6899">CategorizeComment(E6899)</f>
        <v>Other</v>
      </c>
      <c r="G6899" t="str" cm="1">
        <f t="array" ref="G6899">SubCategorizeComment(E6899)</f>
        <v>Other</v>
      </c>
    </row>
    <row r="6900" spans="1:7" x14ac:dyDescent="0.25">
      <c r="A6900">
        <v>59403</v>
      </c>
      <c r="B6900" t="s">
        <v>4</v>
      </c>
      <c r="C6900">
        <v>4</v>
      </c>
      <c r="D6900" t="s">
        <v>5</v>
      </c>
      <c r="F6900" t="str" cm="1">
        <f t="array" ref="F6900">CategorizeComment(E6900)</f>
        <v>Other</v>
      </c>
      <c r="G6900" t="str" cm="1">
        <f t="array" ref="G6900">SubCategorizeComment(E6900)</f>
        <v>Other</v>
      </c>
    </row>
    <row r="6901" spans="1:7" x14ac:dyDescent="0.25">
      <c r="A6901">
        <v>59410</v>
      </c>
      <c r="B6901" t="s">
        <v>4</v>
      </c>
      <c r="C6901">
        <v>4</v>
      </c>
      <c r="D6901" t="s">
        <v>5</v>
      </c>
      <c r="F6901" t="str" cm="1">
        <f t="array" ref="F6901">CategorizeComment(E6901)</f>
        <v>Other</v>
      </c>
      <c r="G6901" t="str" cm="1">
        <f t="array" ref="G6901">SubCategorizeComment(E6901)</f>
        <v>Other</v>
      </c>
    </row>
    <row r="6902" spans="1:7" x14ac:dyDescent="0.25">
      <c r="A6902">
        <v>59417</v>
      </c>
      <c r="B6902" t="s">
        <v>4</v>
      </c>
      <c r="C6902">
        <v>3</v>
      </c>
      <c r="D6902" t="s">
        <v>5</v>
      </c>
      <c r="F6902" t="str" cm="1">
        <f t="array" ref="F6902">CategorizeComment(E6902)</f>
        <v>Other</v>
      </c>
      <c r="G6902" t="str" cm="1">
        <f t="array" ref="G6902">SubCategorizeComment(E6902)</f>
        <v>Other</v>
      </c>
    </row>
    <row r="6903" spans="1:7" x14ac:dyDescent="0.25">
      <c r="A6903">
        <v>59426</v>
      </c>
      <c r="B6903" t="s">
        <v>4</v>
      </c>
      <c r="C6903">
        <v>3</v>
      </c>
      <c r="D6903" t="s">
        <v>5</v>
      </c>
      <c r="F6903" t="str" cm="1">
        <f t="array" ref="F6903">CategorizeComment(E6903)</f>
        <v>Other</v>
      </c>
      <c r="G6903" t="str" cm="1">
        <f t="array" ref="G6903">SubCategorizeComment(E6903)</f>
        <v>Other</v>
      </c>
    </row>
    <row r="6904" spans="1:7" x14ac:dyDescent="0.25">
      <c r="A6904">
        <v>59430</v>
      </c>
      <c r="B6904" t="s">
        <v>4</v>
      </c>
      <c r="C6904">
        <v>3</v>
      </c>
      <c r="D6904" t="s">
        <v>5</v>
      </c>
      <c r="F6904" t="str" cm="1">
        <f t="array" ref="F6904">CategorizeComment(E6904)</f>
        <v>Other</v>
      </c>
      <c r="G6904" t="str" cm="1">
        <f t="array" ref="G6904">SubCategorizeComment(E6904)</f>
        <v>Other</v>
      </c>
    </row>
    <row r="6905" spans="1:7" x14ac:dyDescent="0.25">
      <c r="A6905">
        <v>59438</v>
      </c>
      <c r="B6905" t="s">
        <v>4</v>
      </c>
      <c r="C6905">
        <v>4</v>
      </c>
      <c r="D6905" t="s">
        <v>5</v>
      </c>
      <c r="F6905" t="str" cm="1">
        <f t="array" ref="F6905">CategorizeComment(E6905)</f>
        <v>Other</v>
      </c>
      <c r="G6905" t="str" cm="1">
        <f t="array" ref="G6905">SubCategorizeComment(E6905)</f>
        <v>Other</v>
      </c>
    </row>
    <row r="6906" spans="1:7" x14ac:dyDescent="0.25">
      <c r="A6906">
        <v>59440</v>
      </c>
      <c r="B6906" t="s">
        <v>4</v>
      </c>
      <c r="C6906">
        <v>3</v>
      </c>
      <c r="D6906" t="s">
        <v>5</v>
      </c>
      <c r="F6906" t="str" cm="1">
        <f t="array" ref="F6906">CategorizeComment(E6906)</f>
        <v>Other</v>
      </c>
      <c r="G6906" t="str" cm="1">
        <f t="array" ref="G6906">SubCategorizeComment(E6906)</f>
        <v>Other</v>
      </c>
    </row>
    <row r="6907" spans="1:7" x14ac:dyDescent="0.25">
      <c r="A6907">
        <v>59441</v>
      </c>
      <c r="B6907" t="s">
        <v>4</v>
      </c>
      <c r="C6907">
        <v>3</v>
      </c>
      <c r="D6907" t="s">
        <v>5</v>
      </c>
      <c r="F6907" t="str" cm="1">
        <f t="array" ref="F6907">CategorizeComment(E6907)</f>
        <v>Other</v>
      </c>
      <c r="G6907" t="str" cm="1">
        <f t="array" ref="G6907">SubCategorizeComment(E6907)</f>
        <v>Other</v>
      </c>
    </row>
    <row r="6908" spans="1:7" x14ac:dyDescent="0.25">
      <c r="A6908">
        <v>59445</v>
      </c>
      <c r="B6908" t="s">
        <v>4</v>
      </c>
      <c r="C6908">
        <v>4</v>
      </c>
      <c r="D6908" t="s">
        <v>5</v>
      </c>
      <c r="F6908" t="str" cm="1">
        <f t="array" ref="F6908">CategorizeComment(E6908)</f>
        <v>Other</v>
      </c>
      <c r="G6908" t="str" cm="1">
        <f t="array" ref="G6908">SubCategorizeComment(E6908)</f>
        <v>Other</v>
      </c>
    </row>
    <row r="6909" spans="1:7" x14ac:dyDescent="0.25">
      <c r="A6909">
        <v>59474</v>
      </c>
      <c r="B6909" t="s">
        <v>4</v>
      </c>
      <c r="C6909">
        <v>3</v>
      </c>
      <c r="D6909" t="s">
        <v>5</v>
      </c>
      <c r="F6909" t="str" cm="1">
        <f t="array" ref="F6909">CategorizeComment(E6909)</f>
        <v>Other</v>
      </c>
      <c r="G6909" t="str" cm="1">
        <f t="array" ref="G6909">SubCategorizeComment(E6909)</f>
        <v>Other</v>
      </c>
    </row>
    <row r="6910" spans="1:7" x14ac:dyDescent="0.25">
      <c r="A6910">
        <v>59481</v>
      </c>
      <c r="B6910" t="s">
        <v>4</v>
      </c>
      <c r="C6910">
        <v>3</v>
      </c>
      <c r="D6910" t="s">
        <v>5</v>
      </c>
      <c r="F6910" t="str" cm="1">
        <f t="array" ref="F6910">CategorizeComment(E6910)</f>
        <v>Other</v>
      </c>
      <c r="G6910" t="str" cm="1">
        <f t="array" ref="G6910">SubCategorizeComment(E6910)</f>
        <v>Other</v>
      </c>
    </row>
    <row r="6911" spans="1:7" x14ac:dyDescent="0.25">
      <c r="A6911">
        <v>59490</v>
      </c>
      <c r="B6911" t="s">
        <v>4</v>
      </c>
      <c r="C6911">
        <v>4</v>
      </c>
      <c r="D6911" t="s">
        <v>5</v>
      </c>
      <c r="F6911" t="str" cm="1">
        <f t="array" ref="F6911">CategorizeComment(E6911)</f>
        <v>Other</v>
      </c>
      <c r="G6911" t="str" cm="1">
        <f t="array" ref="G6911">SubCategorizeComment(E6911)</f>
        <v>Other</v>
      </c>
    </row>
    <row r="6912" spans="1:7" x14ac:dyDescent="0.25">
      <c r="A6912">
        <v>59491</v>
      </c>
      <c r="B6912" t="s">
        <v>4</v>
      </c>
      <c r="C6912">
        <v>3</v>
      </c>
      <c r="D6912" t="s">
        <v>5</v>
      </c>
      <c r="F6912" t="str" cm="1">
        <f t="array" ref="F6912">CategorizeComment(E6912)</f>
        <v>Other</v>
      </c>
      <c r="G6912" t="str" cm="1">
        <f t="array" ref="G6912">SubCategorizeComment(E6912)</f>
        <v>Other</v>
      </c>
    </row>
    <row r="6913" spans="1:7" x14ac:dyDescent="0.25">
      <c r="A6913">
        <v>59530</v>
      </c>
      <c r="B6913" t="s">
        <v>4</v>
      </c>
      <c r="C6913">
        <v>4</v>
      </c>
      <c r="D6913" t="s">
        <v>5</v>
      </c>
      <c r="F6913" t="str" cm="1">
        <f t="array" ref="F6913">CategorizeComment(E6913)</f>
        <v>Other</v>
      </c>
      <c r="G6913" t="str" cm="1">
        <f t="array" ref="G6913">SubCategorizeComment(E6913)</f>
        <v>Other</v>
      </c>
    </row>
    <row r="6914" spans="1:7" x14ac:dyDescent="0.25">
      <c r="A6914">
        <v>59561</v>
      </c>
      <c r="B6914" t="s">
        <v>4</v>
      </c>
      <c r="C6914">
        <v>3</v>
      </c>
      <c r="D6914" t="s">
        <v>5</v>
      </c>
      <c r="F6914" t="str" cm="1">
        <f t="array" ref="F6914">CategorizeComment(E6914)</f>
        <v>Other</v>
      </c>
      <c r="G6914" t="str" cm="1">
        <f t="array" ref="G6914">SubCategorizeComment(E6914)</f>
        <v>Other</v>
      </c>
    </row>
    <row r="6915" spans="1:7" x14ac:dyDescent="0.25">
      <c r="A6915">
        <v>59573</v>
      </c>
      <c r="B6915" t="s">
        <v>4</v>
      </c>
      <c r="C6915">
        <v>3</v>
      </c>
      <c r="D6915" t="s">
        <v>5</v>
      </c>
      <c r="F6915" t="str" cm="1">
        <f t="array" ref="F6915">CategorizeComment(E6915)</f>
        <v>Other</v>
      </c>
      <c r="G6915" t="str" cm="1">
        <f t="array" ref="G6915">SubCategorizeComment(E6915)</f>
        <v>Other</v>
      </c>
    </row>
    <row r="6916" spans="1:7" x14ac:dyDescent="0.25">
      <c r="A6916">
        <v>59599</v>
      </c>
      <c r="B6916" t="s">
        <v>4</v>
      </c>
      <c r="C6916">
        <v>4</v>
      </c>
      <c r="D6916" t="s">
        <v>5</v>
      </c>
      <c r="F6916" t="str" cm="1">
        <f t="array" ref="F6916">CategorizeComment(E6916)</f>
        <v>Other</v>
      </c>
      <c r="G6916" t="str" cm="1">
        <f t="array" ref="G6916">SubCategorizeComment(E6916)</f>
        <v>Other</v>
      </c>
    </row>
    <row r="6917" spans="1:7" x14ac:dyDescent="0.25">
      <c r="A6917">
        <v>59606</v>
      </c>
      <c r="B6917" t="s">
        <v>4</v>
      </c>
      <c r="C6917">
        <v>4</v>
      </c>
      <c r="D6917" t="s">
        <v>5</v>
      </c>
      <c r="F6917" t="str" cm="1">
        <f t="array" ref="F6917">CategorizeComment(E6917)</f>
        <v>Other</v>
      </c>
      <c r="G6917" t="str" cm="1">
        <f t="array" ref="G6917">SubCategorizeComment(E6917)</f>
        <v>Other</v>
      </c>
    </row>
    <row r="6918" spans="1:7" x14ac:dyDescent="0.25">
      <c r="A6918">
        <v>59608</v>
      </c>
      <c r="B6918" t="s">
        <v>4</v>
      </c>
      <c r="C6918">
        <v>4</v>
      </c>
      <c r="D6918" t="s">
        <v>5</v>
      </c>
      <c r="F6918" t="str" cm="1">
        <f t="array" ref="F6918">CategorizeComment(E6918)</f>
        <v>Other</v>
      </c>
      <c r="G6918" t="str" cm="1">
        <f t="array" ref="G6918">SubCategorizeComment(E6918)</f>
        <v>Other</v>
      </c>
    </row>
    <row r="6919" spans="1:7" x14ac:dyDescent="0.25">
      <c r="A6919">
        <v>59615</v>
      </c>
      <c r="B6919" t="s">
        <v>4</v>
      </c>
      <c r="C6919">
        <v>3</v>
      </c>
      <c r="D6919" t="s">
        <v>5</v>
      </c>
      <c r="F6919" t="str" cm="1">
        <f t="array" ref="F6919">CategorizeComment(E6919)</f>
        <v>Other</v>
      </c>
      <c r="G6919" t="str" cm="1">
        <f t="array" ref="G6919">SubCategorizeComment(E6919)</f>
        <v>Other</v>
      </c>
    </row>
    <row r="6920" spans="1:7" x14ac:dyDescent="0.25">
      <c r="A6920">
        <v>59617</v>
      </c>
      <c r="B6920" t="s">
        <v>4</v>
      </c>
      <c r="C6920">
        <v>4</v>
      </c>
      <c r="D6920" t="s">
        <v>5</v>
      </c>
      <c r="F6920" t="str" cm="1">
        <f t="array" ref="F6920">CategorizeComment(E6920)</f>
        <v>Other</v>
      </c>
      <c r="G6920" t="str" cm="1">
        <f t="array" ref="G6920">SubCategorizeComment(E6920)</f>
        <v>Other</v>
      </c>
    </row>
    <row r="6921" spans="1:7" x14ac:dyDescent="0.25">
      <c r="A6921">
        <v>59618</v>
      </c>
      <c r="B6921" t="s">
        <v>4</v>
      </c>
      <c r="C6921">
        <v>4</v>
      </c>
      <c r="D6921" t="s">
        <v>5</v>
      </c>
      <c r="F6921" t="str" cm="1">
        <f t="array" ref="F6921">CategorizeComment(E6921)</f>
        <v>Other</v>
      </c>
      <c r="G6921" t="str" cm="1">
        <f t="array" ref="G6921">SubCategorizeComment(E6921)</f>
        <v>Other</v>
      </c>
    </row>
    <row r="6922" spans="1:7" x14ac:dyDescent="0.25">
      <c r="A6922">
        <v>59628</v>
      </c>
      <c r="B6922" t="s">
        <v>4</v>
      </c>
      <c r="C6922">
        <v>3</v>
      </c>
      <c r="D6922" t="s">
        <v>5</v>
      </c>
      <c r="F6922" t="str" cm="1">
        <f t="array" ref="F6922">CategorizeComment(E6922)</f>
        <v>Other</v>
      </c>
      <c r="G6922" t="str" cm="1">
        <f t="array" ref="G6922">SubCategorizeComment(E6922)</f>
        <v>Other</v>
      </c>
    </row>
    <row r="6923" spans="1:7" x14ac:dyDescent="0.25">
      <c r="A6923">
        <v>59638</v>
      </c>
      <c r="B6923" t="s">
        <v>4</v>
      </c>
      <c r="C6923">
        <v>3</v>
      </c>
      <c r="D6923" t="s">
        <v>5</v>
      </c>
      <c r="F6923" t="str" cm="1">
        <f t="array" ref="F6923">CategorizeComment(E6923)</f>
        <v>Other</v>
      </c>
      <c r="G6923" t="str" cm="1">
        <f t="array" ref="G6923">SubCategorizeComment(E6923)</f>
        <v>Other</v>
      </c>
    </row>
    <row r="6924" spans="1:7" x14ac:dyDescent="0.25">
      <c r="A6924">
        <v>59640</v>
      </c>
      <c r="B6924" t="s">
        <v>4</v>
      </c>
      <c r="C6924">
        <v>3</v>
      </c>
      <c r="D6924" t="s">
        <v>5</v>
      </c>
      <c r="F6924" t="str" cm="1">
        <f t="array" ref="F6924">CategorizeComment(E6924)</f>
        <v>Other</v>
      </c>
      <c r="G6924" t="str" cm="1">
        <f t="array" ref="G6924">SubCategorizeComment(E6924)</f>
        <v>Other</v>
      </c>
    </row>
    <row r="6925" spans="1:7" x14ac:dyDescent="0.25">
      <c r="A6925">
        <v>59646</v>
      </c>
      <c r="B6925" t="s">
        <v>4</v>
      </c>
      <c r="C6925">
        <v>4</v>
      </c>
      <c r="D6925" t="s">
        <v>5</v>
      </c>
      <c r="F6925" t="str" cm="1">
        <f t="array" ref="F6925">CategorizeComment(E6925)</f>
        <v>Other</v>
      </c>
      <c r="G6925" t="str" cm="1">
        <f t="array" ref="G6925">SubCategorizeComment(E6925)</f>
        <v>Other</v>
      </c>
    </row>
    <row r="6926" spans="1:7" x14ac:dyDescent="0.25">
      <c r="A6926">
        <v>59648</v>
      </c>
      <c r="B6926" t="s">
        <v>4</v>
      </c>
      <c r="C6926">
        <v>3</v>
      </c>
      <c r="D6926" t="s">
        <v>5</v>
      </c>
      <c r="F6926" t="str" cm="1">
        <f t="array" ref="F6926">CategorizeComment(E6926)</f>
        <v>Other</v>
      </c>
      <c r="G6926" t="str" cm="1">
        <f t="array" ref="G6926">SubCategorizeComment(E6926)</f>
        <v>Other</v>
      </c>
    </row>
    <row r="6927" spans="1:7" x14ac:dyDescent="0.25">
      <c r="A6927">
        <v>59659</v>
      </c>
      <c r="B6927" t="s">
        <v>4</v>
      </c>
      <c r="C6927">
        <v>4</v>
      </c>
      <c r="D6927" t="s">
        <v>5</v>
      </c>
      <c r="F6927" t="str" cm="1">
        <f t="array" ref="F6927">CategorizeComment(E6927)</f>
        <v>Other</v>
      </c>
      <c r="G6927" t="str" cm="1">
        <f t="array" ref="G6927">SubCategorizeComment(E6927)</f>
        <v>Other</v>
      </c>
    </row>
    <row r="6928" spans="1:7" x14ac:dyDescent="0.25">
      <c r="A6928">
        <v>59664</v>
      </c>
      <c r="B6928" t="s">
        <v>4</v>
      </c>
      <c r="C6928">
        <v>3</v>
      </c>
      <c r="D6928" t="s">
        <v>5</v>
      </c>
      <c r="F6928" t="str" cm="1">
        <f t="array" ref="F6928">CategorizeComment(E6928)</f>
        <v>Other</v>
      </c>
      <c r="G6928" t="str" cm="1">
        <f t="array" ref="G6928">SubCategorizeComment(E6928)</f>
        <v>Other</v>
      </c>
    </row>
    <row r="6929" spans="1:7" x14ac:dyDescent="0.25">
      <c r="A6929">
        <v>59676</v>
      </c>
      <c r="B6929" t="s">
        <v>4</v>
      </c>
      <c r="C6929">
        <v>3</v>
      </c>
      <c r="D6929" t="s">
        <v>5</v>
      </c>
      <c r="F6929" t="str" cm="1">
        <f t="array" ref="F6929">CategorizeComment(E6929)</f>
        <v>Other</v>
      </c>
      <c r="G6929" t="str" cm="1">
        <f t="array" ref="G6929">SubCategorizeComment(E6929)</f>
        <v>Other</v>
      </c>
    </row>
    <row r="6930" spans="1:7" x14ac:dyDescent="0.25">
      <c r="A6930">
        <v>59694</v>
      </c>
      <c r="B6930" t="s">
        <v>4</v>
      </c>
      <c r="C6930">
        <v>4</v>
      </c>
      <c r="D6930" t="s">
        <v>5</v>
      </c>
      <c r="F6930" t="str" cm="1">
        <f t="array" ref="F6930">CategorizeComment(E6930)</f>
        <v>Other</v>
      </c>
      <c r="G6930" t="str" cm="1">
        <f t="array" ref="G6930">SubCategorizeComment(E6930)</f>
        <v>Other</v>
      </c>
    </row>
    <row r="6931" spans="1:7" x14ac:dyDescent="0.25">
      <c r="A6931">
        <v>59702</v>
      </c>
      <c r="B6931" t="s">
        <v>4</v>
      </c>
      <c r="C6931">
        <v>3</v>
      </c>
      <c r="D6931" t="s">
        <v>5</v>
      </c>
      <c r="F6931" t="str" cm="1">
        <f t="array" ref="F6931">CategorizeComment(E6931)</f>
        <v>Other</v>
      </c>
      <c r="G6931" t="str" cm="1">
        <f t="array" ref="G6931">SubCategorizeComment(E6931)</f>
        <v>Other</v>
      </c>
    </row>
    <row r="6932" spans="1:7" x14ac:dyDescent="0.25">
      <c r="A6932">
        <v>59717</v>
      </c>
      <c r="B6932" t="s">
        <v>4</v>
      </c>
      <c r="C6932">
        <v>3</v>
      </c>
      <c r="D6932" t="s">
        <v>5</v>
      </c>
      <c r="F6932" t="str" cm="1">
        <f t="array" ref="F6932">CategorizeComment(E6932)</f>
        <v>Other</v>
      </c>
      <c r="G6932" t="str" cm="1">
        <f t="array" ref="G6932">SubCategorizeComment(E6932)</f>
        <v>Other</v>
      </c>
    </row>
    <row r="6933" spans="1:7" x14ac:dyDescent="0.25">
      <c r="A6933">
        <v>59736</v>
      </c>
      <c r="B6933" t="s">
        <v>4</v>
      </c>
      <c r="C6933">
        <v>3</v>
      </c>
      <c r="D6933" t="s">
        <v>5</v>
      </c>
      <c r="F6933" t="str" cm="1">
        <f t="array" ref="F6933">CategorizeComment(E6933)</f>
        <v>Other</v>
      </c>
      <c r="G6933" t="str" cm="1">
        <f t="array" ref="G6933">SubCategorizeComment(E6933)</f>
        <v>Other</v>
      </c>
    </row>
    <row r="6934" spans="1:7" x14ac:dyDescent="0.25">
      <c r="A6934">
        <v>59739</v>
      </c>
      <c r="B6934" t="s">
        <v>4</v>
      </c>
      <c r="C6934">
        <v>3</v>
      </c>
      <c r="D6934" t="s">
        <v>5</v>
      </c>
      <c r="F6934" t="str" cm="1">
        <f t="array" ref="F6934">CategorizeComment(E6934)</f>
        <v>Other</v>
      </c>
      <c r="G6934" t="str" cm="1">
        <f t="array" ref="G6934">SubCategorizeComment(E6934)</f>
        <v>Other</v>
      </c>
    </row>
    <row r="6935" spans="1:7" x14ac:dyDescent="0.25">
      <c r="A6935">
        <v>59757</v>
      </c>
      <c r="B6935" t="s">
        <v>4</v>
      </c>
      <c r="C6935">
        <v>3</v>
      </c>
      <c r="D6935" t="s">
        <v>5</v>
      </c>
      <c r="F6935" t="str" cm="1">
        <f t="array" ref="F6935">CategorizeComment(E6935)</f>
        <v>Other</v>
      </c>
      <c r="G6935" t="str" cm="1">
        <f t="array" ref="G6935">SubCategorizeComment(E6935)</f>
        <v>Other</v>
      </c>
    </row>
    <row r="6936" spans="1:7" x14ac:dyDescent="0.25">
      <c r="A6936">
        <v>59788</v>
      </c>
      <c r="B6936" t="s">
        <v>4</v>
      </c>
      <c r="C6936">
        <v>3</v>
      </c>
      <c r="D6936" t="s">
        <v>5</v>
      </c>
      <c r="F6936" t="str" cm="1">
        <f t="array" ref="F6936">CategorizeComment(E6936)</f>
        <v>Other</v>
      </c>
      <c r="G6936" t="str" cm="1">
        <f t="array" ref="G6936">SubCategorizeComment(E6936)</f>
        <v>Other</v>
      </c>
    </row>
    <row r="6937" spans="1:7" x14ac:dyDescent="0.25">
      <c r="A6937">
        <v>59807</v>
      </c>
      <c r="B6937" t="s">
        <v>4</v>
      </c>
      <c r="C6937">
        <v>4</v>
      </c>
      <c r="D6937" t="s">
        <v>5</v>
      </c>
      <c r="F6937" t="str" cm="1">
        <f t="array" ref="F6937">CategorizeComment(E6937)</f>
        <v>Other</v>
      </c>
      <c r="G6937" t="str" cm="1">
        <f t="array" ref="G6937">SubCategorizeComment(E6937)</f>
        <v>Other</v>
      </c>
    </row>
    <row r="6938" spans="1:7" x14ac:dyDescent="0.25">
      <c r="A6938">
        <v>59811</v>
      </c>
      <c r="B6938" t="s">
        <v>4</v>
      </c>
      <c r="C6938">
        <v>3</v>
      </c>
      <c r="D6938" t="s">
        <v>5</v>
      </c>
      <c r="F6938" t="str" cm="1">
        <f t="array" ref="F6938">CategorizeComment(E6938)</f>
        <v>Other</v>
      </c>
      <c r="G6938" t="str" cm="1">
        <f t="array" ref="G6938">SubCategorizeComment(E6938)</f>
        <v>Other</v>
      </c>
    </row>
    <row r="6939" spans="1:7" x14ac:dyDescent="0.25">
      <c r="A6939">
        <v>59852</v>
      </c>
      <c r="B6939" t="s">
        <v>4</v>
      </c>
      <c r="C6939">
        <v>4</v>
      </c>
      <c r="D6939" t="s">
        <v>5</v>
      </c>
      <c r="F6939" t="str" cm="1">
        <f t="array" ref="F6939">CategorizeComment(E6939)</f>
        <v>Other</v>
      </c>
      <c r="G6939" t="str" cm="1">
        <f t="array" ref="G6939">SubCategorizeComment(E6939)</f>
        <v>Other</v>
      </c>
    </row>
    <row r="6940" spans="1:7" x14ac:dyDescent="0.25">
      <c r="A6940">
        <v>59857</v>
      </c>
      <c r="B6940" t="s">
        <v>4</v>
      </c>
      <c r="C6940">
        <v>3</v>
      </c>
      <c r="D6940" t="s">
        <v>5</v>
      </c>
      <c r="F6940" t="str" cm="1">
        <f t="array" ref="F6940">CategorizeComment(E6940)</f>
        <v>Other</v>
      </c>
      <c r="G6940" t="str" cm="1">
        <f t="array" ref="G6940">SubCategorizeComment(E6940)</f>
        <v>Other</v>
      </c>
    </row>
    <row r="6941" spans="1:7" x14ac:dyDescent="0.25">
      <c r="A6941">
        <v>59864</v>
      </c>
      <c r="B6941" t="s">
        <v>4</v>
      </c>
      <c r="C6941">
        <v>4</v>
      </c>
      <c r="D6941" t="s">
        <v>5</v>
      </c>
      <c r="F6941" t="str" cm="1">
        <f t="array" ref="F6941">CategorizeComment(E6941)</f>
        <v>Other</v>
      </c>
      <c r="G6941" t="str" cm="1">
        <f t="array" ref="G6941">SubCategorizeComment(E6941)</f>
        <v>Other</v>
      </c>
    </row>
    <row r="6942" spans="1:7" x14ac:dyDescent="0.25">
      <c r="A6942">
        <v>59912</v>
      </c>
      <c r="B6942" t="s">
        <v>4</v>
      </c>
      <c r="C6942">
        <v>3</v>
      </c>
      <c r="D6942" t="s">
        <v>5</v>
      </c>
      <c r="F6942" t="str" cm="1">
        <f t="array" ref="F6942">CategorizeComment(E6942)</f>
        <v>Other</v>
      </c>
      <c r="G6942" t="str" cm="1">
        <f t="array" ref="G6942">SubCategorizeComment(E6942)</f>
        <v>Other</v>
      </c>
    </row>
    <row r="6943" spans="1:7" x14ac:dyDescent="0.25">
      <c r="A6943">
        <v>59916</v>
      </c>
      <c r="B6943" t="s">
        <v>4</v>
      </c>
      <c r="C6943">
        <v>3</v>
      </c>
      <c r="D6943" t="s">
        <v>5</v>
      </c>
      <c r="F6943" t="str" cm="1">
        <f t="array" ref="F6943">CategorizeComment(E6943)</f>
        <v>Other</v>
      </c>
      <c r="G6943" t="str" cm="1">
        <f t="array" ref="G6943">SubCategorizeComment(E6943)</f>
        <v>Other</v>
      </c>
    </row>
    <row r="6944" spans="1:7" x14ac:dyDescent="0.25">
      <c r="A6944">
        <v>59920</v>
      </c>
      <c r="B6944" t="s">
        <v>4</v>
      </c>
      <c r="C6944">
        <v>3</v>
      </c>
      <c r="D6944" t="s">
        <v>5</v>
      </c>
      <c r="F6944" t="str" cm="1">
        <f t="array" ref="F6944">CategorizeComment(E6944)</f>
        <v>Other</v>
      </c>
      <c r="G6944" t="str" cm="1">
        <f t="array" ref="G6944">SubCategorizeComment(E6944)</f>
        <v>Other</v>
      </c>
    </row>
    <row r="6945" spans="1:7" x14ac:dyDescent="0.25">
      <c r="A6945">
        <v>59941</v>
      </c>
      <c r="B6945" t="s">
        <v>4</v>
      </c>
      <c r="C6945">
        <v>3</v>
      </c>
      <c r="D6945" t="s">
        <v>5</v>
      </c>
      <c r="F6945" t="str" cm="1">
        <f t="array" ref="F6945">CategorizeComment(E6945)</f>
        <v>Other</v>
      </c>
      <c r="G6945" t="str" cm="1">
        <f t="array" ref="G6945">SubCategorizeComment(E6945)</f>
        <v>Other</v>
      </c>
    </row>
    <row r="6946" spans="1:7" x14ac:dyDescent="0.25">
      <c r="A6946">
        <v>59943</v>
      </c>
      <c r="B6946" t="s">
        <v>4</v>
      </c>
      <c r="C6946">
        <v>3</v>
      </c>
      <c r="D6946" t="s">
        <v>5</v>
      </c>
      <c r="F6946" t="str" cm="1">
        <f t="array" ref="F6946">CategorizeComment(E6946)</f>
        <v>Other</v>
      </c>
      <c r="G6946" t="str" cm="1">
        <f t="array" ref="G6946">SubCategorizeComment(E6946)</f>
        <v>Other</v>
      </c>
    </row>
    <row r="6947" spans="1:7" x14ac:dyDescent="0.25">
      <c r="A6947">
        <v>59946</v>
      </c>
      <c r="B6947" t="s">
        <v>4</v>
      </c>
      <c r="C6947">
        <v>4</v>
      </c>
      <c r="D6947" t="s">
        <v>5</v>
      </c>
      <c r="F6947" t="str" cm="1">
        <f t="array" ref="F6947">CategorizeComment(E6947)</f>
        <v>Other</v>
      </c>
      <c r="G6947" t="str" cm="1">
        <f t="array" ref="G6947">SubCategorizeComment(E6947)</f>
        <v>Other</v>
      </c>
    </row>
    <row r="6948" spans="1:7" x14ac:dyDescent="0.25">
      <c r="A6948">
        <v>59970</v>
      </c>
      <c r="B6948" t="s">
        <v>4</v>
      </c>
      <c r="C6948">
        <v>4</v>
      </c>
      <c r="D6948" t="s">
        <v>5</v>
      </c>
      <c r="F6948" t="str" cm="1">
        <f t="array" ref="F6948">CategorizeComment(E6948)</f>
        <v>Other</v>
      </c>
      <c r="G6948" t="str" cm="1">
        <f t="array" ref="G6948">SubCategorizeComment(E6948)</f>
        <v>Other</v>
      </c>
    </row>
    <row r="6949" spans="1:7" x14ac:dyDescent="0.25">
      <c r="A6949">
        <v>59972</v>
      </c>
      <c r="B6949" t="s">
        <v>4</v>
      </c>
      <c r="C6949">
        <v>4</v>
      </c>
      <c r="D6949" t="s">
        <v>5</v>
      </c>
      <c r="F6949" t="str" cm="1">
        <f t="array" ref="F6949">CategorizeComment(E6949)</f>
        <v>Other</v>
      </c>
      <c r="G6949" t="str" cm="1">
        <f t="array" ref="G6949">SubCategorizeComment(E6949)</f>
        <v>Other</v>
      </c>
    </row>
    <row r="6950" spans="1:7" x14ac:dyDescent="0.25">
      <c r="A6950">
        <v>59979</v>
      </c>
      <c r="B6950" t="s">
        <v>4</v>
      </c>
      <c r="C6950">
        <v>3</v>
      </c>
      <c r="D6950" t="s">
        <v>5</v>
      </c>
      <c r="F6950" t="str" cm="1">
        <f t="array" ref="F6950">CategorizeComment(E6950)</f>
        <v>Other</v>
      </c>
      <c r="G6950" t="str" cm="1">
        <f t="array" ref="G6950">SubCategorizeComment(E6950)</f>
        <v>Other</v>
      </c>
    </row>
    <row r="6951" spans="1:7" x14ac:dyDescent="0.25">
      <c r="A6951">
        <v>59999</v>
      </c>
      <c r="B6951" t="s">
        <v>4</v>
      </c>
      <c r="C6951">
        <v>3</v>
      </c>
      <c r="D6951" t="s">
        <v>5</v>
      </c>
      <c r="F6951" t="str" cm="1">
        <f t="array" ref="F6951">CategorizeComment(E6951)</f>
        <v>Other</v>
      </c>
      <c r="G6951" t="str" cm="1">
        <f t="array" ref="G6951">SubCategorizeComment(E6951)</f>
        <v>Other</v>
      </c>
    </row>
    <row r="6952" spans="1:7" x14ac:dyDescent="0.25">
      <c r="A6952">
        <v>60000</v>
      </c>
      <c r="B6952" t="s">
        <v>4</v>
      </c>
      <c r="C6952">
        <v>3</v>
      </c>
      <c r="D6952" t="s">
        <v>5</v>
      </c>
      <c r="F6952" t="str" cm="1">
        <f t="array" ref="F6952">CategorizeComment(E6952)</f>
        <v>Other</v>
      </c>
      <c r="G6952" t="str" cm="1">
        <f t="array" ref="G6952">SubCategorizeComment(E6952)</f>
        <v>Other</v>
      </c>
    </row>
    <row r="6953" spans="1:7" x14ac:dyDescent="0.25">
      <c r="A6953">
        <v>60006</v>
      </c>
      <c r="B6953" t="s">
        <v>4</v>
      </c>
      <c r="C6953">
        <v>3</v>
      </c>
      <c r="D6953" t="s">
        <v>5</v>
      </c>
      <c r="F6953" t="str" cm="1">
        <f t="array" ref="F6953">CategorizeComment(E6953)</f>
        <v>Other</v>
      </c>
      <c r="G6953" t="str" cm="1">
        <f t="array" ref="G6953">SubCategorizeComment(E6953)</f>
        <v>Other</v>
      </c>
    </row>
    <row r="6954" spans="1:7" x14ac:dyDescent="0.25">
      <c r="A6954">
        <v>60008</v>
      </c>
      <c r="B6954" t="s">
        <v>4</v>
      </c>
      <c r="C6954">
        <v>3</v>
      </c>
      <c r="D6954" t="s">
        <v>5</v>
      </c>
      <c r="F6954" t="str" cm="1">
        <f t="array" ref="F6954">CategorizeComment(E6954)</f>
        <v>Other</v>
      </c>
      <c r="G6954" t="str" cm="1">
        <f t="array" ref="G6954">SubCategorizeComment(E6954)</f>
        <v>Other</v>
      </c>
    </row>
    <row r="6955" spans="1:7" x14ac:dyDescent="0.25">
      <c r="A6955">
        <v>60010</v>
      </c>
      <c r="B6955" t="s">
        <v>4</v>
      </c>
      <c r="C6955">
        <v>4</v>
      </c>
      <c r="D6955" t="s">
        <v>5</v>
      </c>
      <c r="F6955" t="str" cm="1">
        <f t="array" ref="F6955">CategorizeComment(E6955)</f>
        <v>Other</v>
      </c>
      <c r="G6955" t="str" cm="1">
        <f t="array" ref="G6955">SubCategorizeComment(E6955)</f>
        <v>Other</v>
      </c>
    </row>
    <row r="6956" spans="1:7" x14ac:dyDescent="0.25">
      <c r="A6956">
        <v>60023</v>
      </c>
      <c r="B6956" t="s">
        <v>4</v>
      </c>
      <c r="C6956">
        <v>3</v>
      </c>
      <c r="D6956" t="s">
        <v>5</v>
      </c>
      <c r="F6956" t="str" cm="1">
        <f t="array" ref="F6956">CategorizeComment(E6956)</f>
        <v>Other</v>
      </c>
      <c r="G6956" t="str" cm="1">
        <f t="array" ref="G6956">SubCategorizeComment(E6956)</f>
        <v>Other</v>
      </c>
    </row>
    <row r="6957" spans="1:7" x14ac:dyDescent="0.25">
      <c r="A6957">
        <v>60025</v>
      </c>
      <c r="B6957" t="s">
        <v>4</v>
      </c>
      <c r="C6957">
        <v>4</v>
      </c>
      <c r="D6957" t="s">
        <v>5</v>
      </c>
      <c r="F6957" t="str" cm="1">
        <f t="array" ref="F6957">CategorizeComment(E6957)</f>
        <v>Other</v>
      </c>
      <c r="G6957" t="str" cm="1">
        <f t="array" ref="G6957">SubCategorizeComment(E6957)</f>
        <v>Other</v>
      </c>
    </row>
    <row r="6958" spans="1:7" x14ac:dyDescent="0.25">
      <c r="A6958">
        <v>60066</v>
      </c>
      <c r="B6958" t="s">
        <v>4</v>
      </c>
      <c r="C6958">
        <v>3</v>
      </c>
      <c r="D6958" t="s">
        <v>5</v>
      </c>
      <c r="F6958" t="str" cm="1">
        <f t="array" ref="F6958">CategorizeComment(E6958)</f>
        <v>Other</v>
      </c>
      <c r="G6958" t="str" cm="1">
        <f t="array" ref="G6958">SubCategorizeComment(E6958)</f>
        <v>Other</v>
      </c>
    </row>
    <row r="6959" spans="1:7" x14ac:dyDescent="0.25">
      <c r="A6959">
        <v>60107</v>
      </c>
      <c r="B6959" t="s">
        <v>4</v>
      </c>
      <c r="C6959">
        <v>4</v>
      </c>
      <c r="D6959" t="s">
        <v>5</v>
      </c>
      <c r="F6959" t="str" cm="1">
        <f t="array" ref="F6959">CategorizeComment(E6959)</f>
        <v>Other</v>
      </c>
      <c r="G6959" t="str" cm="1">
        <f t="array" ref="G6959">SubCategorizeComment(E6959)</f>
        <v>Other</v>
      </c>
    </row>
    <row r="6960" spans="1:7" x14ac:dyDescent="0.25">
      <c r="A6960">
        <v>60118</v>
      </c>
      <c r="B6960" t="s">
        <v>4</v>
      </c>
      <c r="C6960">
        <v>4</v>
      </c>
      <c r="D6960" t="s">
        <v>5</v>
      </c>
      <c r="F6960" t="str" cm="1">
        <f t="array" ref="F6960">CategorizeComment(E6960)</f>
        <v>Other</v>
      </c>
      <c r="G6960" t="str" cm="1">
        <f t="array" ref="G6960">SubCategorizeComment(E6960)</f>
        <v>Other</v>
      </c>
    </row>
    <row r="6961" spans="1:7" x14ac:dyDescent="0.25">
      <c r="A6961">
        <v>60122</v>
      </c>
      <c r="B6961" t="s">
        <v>4</v>
      </c>
      <c r="C6961">
        <v>3</v>
      </c>
      <c r="D6961" t="s">
        <v>5</v>
      </c>
      <c r="F6961" t="str" cm="1">
        <f t="array" ref="F6961">CategorizeComment(E6961)</f>
        <v>Other</v>
      </c>
      <c r="G6961" t="str" cm="1">
        <f t="array" ref="G6961">SubCategorizeComment(E6961)</f>
        <v>Other</v>
      </c>
    </row>
    <row r="6962" spans="1:7" x14ac:dyDescent="0.25">
      <c r="A6962">
        <v>60133</v>
      </c>
      <c r="B6962" t="s">
        <v>4</v>
      </c>
      <c r="C6962">
        <v>4</v>
      </c>
      <c r="D6962" t="s">
        <v>5</v>
      </c>
      <c r="F6962" t="str" cm="1">
        <f t="array" ref="F6962">CategorizeComment(E6962)</f>
        <v>Other</v>
      </c>
      <c r="G6962" t="str" cm="1">
        <f t="array" ref="G6962">SubCategorizeComment(E6962)</f>
        <v>Other</v>
      </c>
    </row>
    <row r="6963" spans="1:7" x14ac:dyDescent="0.25">
      <c r="A6963">
        <v>60136</v>
      </c>
      <c r="B6963" t="s">
        <v>4</v>
      </c>
      <c r="C6963">
        <v>4</v>
      </c>
      <c r="D6963" t="s">
        <v>5</v>
      </c>
      <c r="F6963" t="str" cm="1">
        <f t="array" ref="F6963">CategorizeComment(E6963)</f>
        <v>Other</v>
      </c>
      <c r="G6963" t="str" cm="1">
        <f t="array" ref="G6963">SubCategorizeComment(E6963)</f>
        <v>Other</v>
      </c>
    </row>
    <row r="6964" spans="1:7" x14ac:dyDescent="0.25">
      <c r="A6964">
        <v>60137</v>
      </c>
      <c r="B6964" t="s">
        <v>4</v>
      </c>
      <c r="C6964">
        <v>4</v>
      </c>
      <c r="D6964" t="s">
        <v>5</v>
      </c>
      <c r="F6964" t="str" cm="1">
        <f t="array" ref="F6964">CategorizeComment(E6964)</f>
        <v>Other</v>
      </c>
      <c r="G6964" t="str" cm="1">
        <f t="array" ref="G6964">SubCategorizeComment(E6964)</f>
        <v>Other</v>
      </c>
    </row>
    <row r="6965" spans="1:7" x14ac:dyDescent="0.25">
      <c r="A6965">
        <v>60141</v>
      </c>
      <c r="B6965" t="s">
        <v>4</v>
      </c>
      <c r="C6965">
        <v>4</v>
      </c>
      <c r="D6965" t="s">
        <v>5</v>
      </c>
      <c r="F6965" t="str" cm="1">
        <f t="array" ref="F6965">CategorizeComment(E6965)</f>
        <v>Other</v>
      </c>
      <c r="G6965" t="str" cm="1">
        <f t="array" ref="G6965">SubCategorizeComment(E6965)</f>
        <v>Other</v>
      </c>
    </row>
    <row r="6966" spans="1:7" x14ac:dyDescent="0.25">
      <c r="A6966">
        <v>60146</v>
      </c>
      <c r="B6966" t="s">
        <v>4</v>
      </c>
      <c r="C6966">
        <v>4</v>
      </c>
      <c r="D6966" t="s">
        <v>5</v>
      </c>
      <c r="F6966" t="str" cm="1">
        <f t="array" ref="F6966">CategorizeComment(E6966)</f>
        <v>Other</v>
      </c>
      <c r="G6966" t="str" cm="1">
        <f t="array" ref="G6966">SubCategorizeComment(E6966)</f>
        <v>Other</v>
      </c>
    </row>
    <row r="6967" spans="1:7" x14ac:dyDescent="0.25">
      <c r="A6967">
        <v>60147</v>
      </c>
      <c r="B6967" t="s">
        <v>4</v>
      </c>
      <c r="C6967">
        <v>4</v>
      </c>
      <c r="D6967" t="s">
        <v>5</v>
      </c>
      <c r="F6967" t="str" cm="1">
        <f t="array" ref="F6967">CategorizeComment(E6967)</f>
        <v>Other</v>
      </c>
      <c r="G6967" t="str" cm="1">
        <f t="array" ref="G6967">SubCategorizeComment(E6967)</f>
        <v>Other</v>
      </c>
    </row>
    <row r="6968" spans="1:7" x14ac:dyDescent="0.25">
      <c r="A6968">
        <v>60148</v>
      </c>
      <c r="B6968" t="s">
        <v>4</v>
      </c>
      <c r="C6968">
        <v>4</v>
      </c>
      <c r="D6968" t="s">
        <v>5</v>
      </c>
      <c r="F6968" t="str" cm="1">
        <f t="array" ref="F6968">CategorizeComment(E6968)</f>
        <v>Other</v>
      </c>
      <c r="G6968" t="str" cm="1">
        <f t="array" ref="G6968">SubCategorizeComment(E6968)</f>
        <v>Other</v>
      </c>
    </row>
    <row r="6969" spans="1:7" x14ac:dyDescent="0.25">
      <c r="A6969">
        <v>60151</v>
      </c>
      <c r="B6969" t="s">
        <v>4</v>
      </c>
      <c r="C6969">
        <v>4</v>
      </c>
      <c r="D6969" t="s">
        <v>5</v>
      </c>
      <c r="F6969" t="str" cm="1">
        <f t="array" ref="F6969">CategorizeComment(E6969)</f>
        <v>Other</v>
      </c>
      <c r="G6969" t="str" cm="1">
        <f t="array" ref="G6969">SubCategorizeComment(E6969)</f>
        <v>Other</v>
      </c>
    </row>
    <row r="6970" spans="1:7" x14ac:dyDescent="0.25">
      <c r="A6970">
        <v>60158</v>
      </c>
      <c r="B6970" t="s">
        <v>4</v>
      </c>
      <c r="C6970">
        <v>3</v>
      </c>
      <c r="D6970" t="s">
        <v>5</v>
      </c>
      <c r="F6970" t="str" cm="1">
        <f t="array" ref="F6970">CategorizeComment(E6970)</f>
        <v>Other</v>
      </c>
      <c r="G6970" t="str" cm="1">
        <f t="array" ref="G6970">SubCategorizeComment(E6970)</f>
        <v>Other</v>
      </c>
    </row>
    <row r="6971" spans="1:7" x14ac:dyDescent="0.25">
      <c r="A6971">
        <v>60213</v>
      </c>
      <c r="B6971" t="s">
        <v>4</v>
      </c>
      <c r="C6971">
        <v>4</v>
      </c>
      <c r="D6971" t="s">
        <v>5</v>
      </c>
      <c r="F6971" t="str" cm="1">
        <f t="array" ref="F6971">CategorizeComment(E6971)</f>
        <v>Other</v>
      </c>
      <c r="G6971" t="str" cm="1">
        <f t="array" ref="G6971">SubCategorizeComment(E6971)</f>
        <v>Other</v>
      </c>
    </row>
    <row r="6972" spans="1:7" x14ac:dyDescent="0.25">
      <c r="A6972">
        <v>60224</v>
      </c>
      <c r="B6972" t="s">
        <v>4</v>
      </c>
      <c r="C6972">
        <v>3</v>
      </c>
      <c r="D6972" t="s">
        <v>5</v>
      </c>
      <c r="F6972" t="str" cm="1">
        <f t="array" ref="F6972">CategorizeComment(E6972)</f>
        <v>Other</v>
      </c>
      <c r="G6972" t="str" cm="1">
        <f t="array" ref="G6972">SubCategorizeComment(E6972)</f>
        <v>Other</v>
      </c>
    </row>
    <row r="6973" spans="1:7" x14ac:dyDescent="0.25">
      <c r="A6973">
        <v>60227</v>
      </c>
      <c r="B6973" t="s">
        <v>4</v>
      </c>
      <c r="C6973">
        <v>4</v>
      </c>
      <c r="D6973" t="s">
        <v>5</v>
      </c>
      <c r="F6973" t="str" cm="1">
        <f t="array" ref="F6973">CategorizeComment(E6973)</f>
        <v>Other</v>
      </c>
      <c r="G6973" t="str" cm="1">
        <f t="array" ref="G6973">SubCategorizeComment(E6973)</f>
        <v>Other</v>
      </c>
    </row>
    <row r="6974" spans="1:7" x14ac:dyDescent="0.25">
      <c r="A6974">
        <v>60233</v>
      </c>
      <c r="B6974" t="s">
        <v>4</v>
      </c>
      <c r="C6974">
        <v>3</v>
      </c>
      <c r="D6974" t="s">
        <v>5</v>
      </c>
      <c r="F6974" t="str" cm="1">
        <f t="array" ref="F6974">CategorizeComment(E6974)</f>
        <v>Other</v>
      </c>
      <c r="G6974" t="str" cm="1">
        <f t="array" ref="G6974">SubCategorizeComment(E6974)</f>
        <v>Other</v>
      </c>
    </row>
    <row r="6975" spans="1:7" x14ac:dyDescent="0.25">
      <c r="A6975">
        <v>60236</v>
      </c>
      <c r="B6975" t="s">
        <v>4</v>
      </c>
      <c r="C6975">
        <v>4</v>
      </c>
      <c r="D6975" t="s">
        <v>5</v>
      </c>
      <c r="F6975" t="str" cm="1">
        <f t="array" ref="F6975">CategorizeComment(E6975)</f>
        <v>Other</v>
      </c>
      <c r="G6975" t="str" cm="1">
        <f t="array" ref="G6975">SubCategorizeComment(E6975)</f>
        <v>Other</v>
      </c>
    </row>
    <row r="6976" spans="1:7" x14ac:dyDescent="0.25">
      <c r="A6976">
        <v>60251</v>
      </c>
      <c r="B6976" t="s">
        <v>4</v>
      </c>
      <c r="C6976">
        <v>4</v>
      </c>
      <c r="D6976" t="s">
        <v>5</v>
      </c>
      <c r="F6976" t="str" cm="1">
        <f t="array" ref="F6976">CategorizeComment(E6976)</f>
        <v>Other</v>
      </c>
      <c r="G6976" t="str" cm="1">
        <f t="array" ref="G6976">SubCategorizeComment(E6976)</f>
        <v>Other</v>
      </c>
    </row>
    <row r="6977" spans="1:7" x14ac:dyDescent="0.25">
      <c r="A6977">
        <v>60257</v>
      </c>
      <c r="B6977" t="s">
        <v>4</v>
      </c>
      <c r="C6977">
        <v>3</v>
      </c>
      <c r="D6977" t="s">
        <v>5</v>
      </c>
      <c r="F6977" t="str" cm="1">
        <f t="array" ref="F6977">CategorizeComment(E6977)</f>
        <v>Other</v>
      </c>
      <c r="G6977" t="str" cm="1">
        <f t="array" ref="G6977">SubCategorizeComment(E6977)</f>
        <v>Other</v>
      </c>
    </row>
    <row r="6978" spans="1:7" x14ac:dyDescent="0.25">
      <c r="A6978">
        <v>60264</v>
      </c>
      <c r="B6978" t="s">
        <v>4</v>
      </c>
      <c r="C6978">
        <v>3</v>
      </c>
      <c r="D6978" t="s">
        <v>5</v>
      </c>
      <c r="F6978" t="str" cm="1">
        <f t="array" ref="F6978">CategorizeComment(E6978)</f>
        <v>Other</v>
      </c>
      <c r="G6978" t="str" cm="1">
        <f t="array" ref="G6978">SubCategorizeComment(E6978)</f>
        <v>Other</v>
      </c>
    </row>
    <row r="6979" spans="1:7" x14ac:dyDescent="0.25">
      <c r="A6979">
        <v>60265</v>
      </c>
      <c r="B6979" t="s">
        <v>4</v>
      </c>
      <c r="C6979">
        <v>4</v>
      </c>
      <c r="D6979" t="s">
        <v>5</v>
      </c>
      <c r="F6979" t="str" cm="1">
        <f t="array" ref="F6979">CategorizeComment(E6979)</f>
        <v>Other</v>
      </c>
      <c r="G6979" t="str" cm="1">
        <f t="array" ref="G6979">SubCategorizeComment(E6979)</f>
        <v>Other</v>
      </c>
    </row>
    <row r="6980" spans="1:7" x14ac:dyDescent="0.25">
      <c r="A6980">
        <v>60278</v>
      </c>
      <c r="B6980" t="s">
        <v>4</v>
      </c>
      <c r="C6980">
        <v>4</v>
      </c>
      <c r="D6980" t="s">
        <v>5</v>
      </c>
      <c r="F6980" t="str" cm="1">
        <f t="array" ref="F6980">CategorizeComment(E6980)</f>
        <v>Other</v>
      </c>
      <c r="G6980" t="str" cm="1">
        <f t="array" ref="G6980">SubCategorizeComment(E6980)</f>
        <v>Other</v>
      </c>
    </row>
    <row r="6981" spans="1:7" x14ac:dyDescent="0.25">
      <c r="A6981">
        <v>60284</v>
      </c>
      <c r="B6981" t="s">
        <v>4</v>
      </c>
      <c r="C6981">
        <v>4</v>
      </c>
      <c r="D6981" t="s">
        <v>5</v>
      </c>
      <c r="F6981" t="str" cm="1">
        <f t="array" ref="F6981">CategorizeComment(E6981)</f>
        <v>Other</v>
      </c>
      <c r="G6981" t="str" cm="1">
        <f t="array" ref="G6981">SubCategorizeComment(E6981)</f>
        <v>Other</v>
      </c>
    </row>
    <row r="6982" spans="1:7" x14ac:dyDescent="0.25">
      <c r="A6982">
        <v>60296</v>
      </c>
      <c r="B6982" t="s">
        <v>4</v>
      </c>
      <c r="C6982">
        <v>3</v>
      </c>
      <c r="D6982" t="s">
        <v>5</v>
      </c>
      <c r="F6982" t="str" cm="1">
        <f t="array" ref="F6982">CategorizeComment(E6982)</f>
        <v>Other</v>
      </c>
      <c r="G6982" t="str" cm="1">
        <f t="array" ref="G6982">SubCategorizeComment(E6982)</f>
        <v>Other</v>
      </c>
    </row>
    <row r="6983" spans="1:7" x14ac:dyDescent="0.25">
      <c r="A6983">
        <v>60307</v>
      </c>
      <c r="B6983" t="s">
        <v>4</v>
      </c>
      <c r="C6983">
        <v>3</v>
      </c>
      <c r="D6983" t="s">
        <v>5</v>
      </c>
      <c r="F6983" t="str" cm="1">
        <f t="array" ref="F6983">CategorizeComment(E6983)</f>
        <v>Other</v>
      </c>
      <c r="G6983" t="str" cm="1">
        <f t="array" ref="G6983">SubCategorizeComment(E6983)</f>
        <v>Other</v>
      </c>
    </row>
    <row r="6984" spans="1:7" x14ac:dyDescent="0.25">
      <c r="A6984">
        <v>60310</v>
      </c>
      <c r="B6984" t="s">
        <v>4</v>
      </c>
      <c r="C6984">
        <v>3</v>
      </c>
      <c r="D6984" t="s">
        <v>5</v>
      </c>
      <c r="F6984" t="str" cm="1">
        <f t="array" ref="F6984">CategorizeComment(E6984)</f>
        <v>Other</v>
      </c>
      <c r="G6984" t="str" cm="1">
        <f t="array" ref="G6984">SubCategorizeComment(E6984)</f>
        <v>Other</v>
      </c>
    </row>
    <row r="6985" spans="1:7" x14ac:dyDescent="0.25">
      <c r="A6985">
        <v>60313</v>
      </c>
      <c r="B6985" t="s">
        <v>4</v>
      </c>
      <c r="C6985">
        <v>3</v>
      </c>
      <c r="D6985" t="s">
        <v>5</v>
      </c>
      <c r="F6985" t="str" cm="1">
        <f t="array" ref="F6985">CategorizeComment(E6985)</f>
        <v>Other</v>
      </c>
      <c r="G6985" t="str" cm="1">
        <f t="array" ref="G6985">SubCategorizeComment(E6985)</f>
        <v>Other</v>
      </c>
    </row>
    <row r="6986" spans="1:7" x14ac:dyDescent="0.25">
      <c r="A6986">
        <v>60343</v>
      </c>
      <c r="B6986" t="s">
        <v>4</v>
      </c>
      <c r="C6986">
        <v>4</v>
      </c>
      <c r="D6986" t="s">
        <v>5</v>
      </c>
      <c r="F6986" t="str" cm="1">
        <f t="array" ref="F6986">CategorizeComment(E6986)</f>
        <v>Other</v>
      </c>
      <c r="G6986" t="str" cm="1">
        <f t="array" ref="G6986">SubCategorizeComment(E6986)</f>
        <v>Other</v>
      </c>
    </row>
    <row r="6987" spans="1:7" x14ac:dyDescent="0.25">
      <c r="A6987">
        <v>60351</v>
      </c>
      <c r="B6987" t="s">
        <v>4</v>
      </c>
      <c r="C6987">
        <v>4</v>
      </c>
      <c r="D6987" t="s">
        <v>5</v>
      </c>
      <c r="F6987" t="str" cm="1">
        <f t="array" ref="F6987">CategorizeComment(E6987)</f>
        <v>Other</v>
      </c>
      <c r="G6987" t="str" cm="1">
        <f t="array" ref="G6987">SubCategorizeComment(E6987)</f>
        <v>Other</v>
      </c>
    </row>
    <row r="6988" spans="1:7" x14ac:dyDescent="0.25">
      <c r="A6988">
        <v>60370</v>
      </c>
      <c r="B6988" t="s">
        <v>4</v>
      </c>
      <c r="C6988">
        <v>4</v>
      </c>
      <c r="D6988" t="s">
        <v>5</v>
      </c>
      <c r="F6988" t="str" cm="1">
        <f t="array" ref="F6988">CategorizeComment(E6988)</f>
        <v>Other</v>
      </c>
      <c r="G6988" t="str" cm="1">
        <f t="array" ref="G6988">SubCategorizeComment(E6988)</f>
        <v>Other</v>
      </c>
    </row>
    <row r="6989" spans="1:7" x14ac:dyDescent="0.25">
      <c r="A6989">
        <v>60379</v>
      </c>
      <c r="B6989" t="s">
        <v>4</v>
      </c>
      <c r="C6989">
        <v>4</v>
      </c>
      <c r="D6989" t="s">
        <v>5</v>
      </c>
      <c r="F6989" t="str" cm="1">
        <f t="array" ref="F6989">CategorizeComment(E6989)</f>
        <v>Other</v>
      </c>
      <c r="G6989" t="str" cm="1">
        <f t="array" ref="G6989">SubCategorizeComment(E6989)</f>
        <v>Other</v>
      </c>
    </row>
    <row r="6990" spans="1:7" x14ac:dyDescent="0.25">
      <c r="A6990">
        <v>60384</v>
      </c>
      <c r="B6990" t="s">
        <v>4</v>
      </c>
      <c r="C6990">
        <v>4</v>
      </c>
      <c r="D6990" t="s">
        <v>5</v>
      </c>
      <c r="F6990" t="str" cm="1">
        <f t="array" ref="F6990">CategorizeComment(E6990)</f>
        <v>Other</v>
      </c>
      <c r="G6990" t="str" cm="1">
        <f t="array" ref="G6990">SubCategorizeComment(E6990)</f>
        <v>Other</v>
      </c>
    </row>
    <row r="6991" spans="1:7" x14ac:dyDescent="0.25">
      <c r="A6991">
        <v>60391</v>
      </c>
      <c r="B6991" t="s">
        <v>4</v>
      </c>
      <c r="C6991">
        <v>4</v>
      </c>
      <c r="D6991" t="s">
        <v>5</v>
      </c>
      <c r="F6991" t="str" cm="1">
        <f t="array" ref="F6991">CategorizeComment(E6991)</f>
        <v>Other</v>
      </c>
      <c r="G6991" t="str" cm="1">
        <f t="array" ref="G6991">SubCategorizeComment(E6991)</f>
        <v>Other</v>
      </c>
    </row>
    <row r="6992" spans="1:7" x14ac:dyDescent="0.25">
      <c r="A6992">
        <v>60447</v>
      </c>
      <c r="B6992" t="s">
        <v>4</v>
      </c>
      <c r="C6992">
        <v>4</v>
      </c>
      <c r="D6992" t="s">
        <v>5</v>
      </c>
      <c r="F6992" t="str" cm="1">
        <f t="array" ref="F6992">CategorizeComment(E6992)</f>
        <v>Other</v>
      </c>
      <c r="G6992" t="str" cm="1">
        <f t="array" ref="G6992">SubCategorizeComment(E6992)</f>
        <v>Other</v>
      </c>
    </row>
    <row r="6993" spans="1:7" x14ac:dyDescent="0.25">
      <c r="A6993">
        <v>60461</v>
      </c>
      <c r="B6993" t="s">
        <v>4</v>
      </c>
      <c r="C6993">
        <v>4</v>
      </c>
      <c r="D6993" t="s">
        <v>5</v>
      </c>
      <c r="F6993" t="str" cm="1">
        <f t="array" ref="F6993">CategorizeComment(E6993)</f>
        <v>Other</v>
      </c>
      <c r="G6993" t="str" cm="1">
        <f t="array" ref="G6993">SubCategorizeComment(E6993)</f>
        <v>Other</v>
      </c>
    </row>
    <row r="6994" spans="1:7" x14ac:dyDescent="0.25">
      <c r="A6994">
        <v>60463</v>
      </c>
      <c r="B6994" t="s">
        <v>4</v>
      </c>
      <c r="C6994">
        <v>3</v>
      </c>
      <c r="D6994" t="s">
        <v>5</v>
      </c>
      <c r="F6994" t="str" cm="1">
        <f t="array" ref="F6994">CategorizeComment(E6994)</f>
        <v>Other</v>
      </c>
      <c r="G6994" t="str" cm="1">
        <f t="array" ref="G6994">SubCategorizeComment(E6994)</f>
        <v>Other</v>
      </c>
    </row>
    <row r="6995" spans="1:7" x14ac:dyDescent="0.25">
      <c r="A6995">
        <v>60470</v>
      </c>
      <c r="B6995" t="s">
        <v>4</v>
      </c>
      <c r="C6995">
        <v>3</v>
      </c>
      <c r="D6995" t="s">
        <v>5</v>
      </c>
      <c r="F6995" t="str" cm="1">
        <f t="array" ref="F6995">CategorizeComment(E6995)</f>
        <v>Other</v>
      </c>
      <c r="G6995" t="str" cm="1">
        <f t="array" ref="G6995">SubCategorizeComment(E6995)</f>
        <v>Other</v>
      </c>
    </row>
    <row r="6996" spans="1:7" x14ac:dyDescent="0.25">
      <c r="A6996">
        <v>60486</v>
      </c>
      <c r="B6996" t="s">
        <v>4</v>
      </c>
      <c r="C6996">
        <v>3</v>
      </c>
      <c r="D6996" t="s">
        <v>5</v>
      </c>
      <c r="F6996" t="str" cm="1">
        <f t="array" ref="F6996">CategorizeComment(E6996)</f>
        <v>Other</v>
      </c>
      <c r="G6996" t="str" cm="1">
        <f t="array" ref="G6996">SubCategorizeComment(E6996)</f>
        <v>Other</v>
      </c>
    </row>
    <row r="6997" spans="1:7" x14ac:dyDescent="0.25">
      <c r="A6997">
        <v>60493</v>
      </c>
      <c r="B6997" t="s">
        <v>4</v>
      </c>
      <c r="C6997">
        <v>0</v>
      </c>
      <c r="D6997" t="s">
        <v>5</v>
      </c>
      <c r="F6997" t="str" cm="1">
        <f t="array" ref="F6997">CategorizeComment(E6997)</f>
        <v>Other</v>
      </c>
      <c r="G6997" t="str" cm="1">
        <f t="array" ref="G6997">SubCategorizeComment(E6997)</f>
        <v>Other</v>
      </c>
    </row>
    <row r="6998" spans="1:7" x14ac:dyDescent="0.25">
      <c r="A6998">
        <v>60500</v>
      </c>
      <c r="B6998" t="s">
        <v>4</v>
      </c>
      <c r="C6998">
        <v>3</v>
      </c>
      <c r="D6998" t="s">
        <v>5</v>
      </c>
      <c r="F6998" t="str" cm="1">
        <f t="array" ref="F6998">CategorizeComment(E6998)</f>
        <v>Other</v>
      </c>
      <c r="G6998" t="str" cm="1">
        <f t="array" ref="G6998">SubCategorizeComment(E6998)</f>
        <v>Other</v>
      </c>
    </row>
    <row r="6999" spans="1:7" x14ac:dyDescent="0.25">
      <c r="A6999">
        <v>60502</v>
      </c>
      <c r="B6999" t="s">
        <v>4</v>
      </c>
      <c r="C6999">
        <v>4</v>
      </c>
      <c r="D6999" t="s">
        <v>5</v>
      </c>
      <c r="F6999" t="str" cm="1">
        <f t="array" ref="F6999">CategorizeComment(E6999)</f>
        <v>Other</v>
      </c>
      <c r="G6999" t="str" cm="1">
        <f t="array" ref="G6999">SubCategorizeComment(E6999)</f>
        <v>Other</v>
      </c>
    </row>
    <row r="7000" spans="1:7" x14ac:dyDescent="0.25">
      <c r="A7000">
        <v>60512</v>
      </c>
      <c r="B7000" t="s">
        <v>4</v>
      </c>
      <c r="C7000">
        <v>4</v>
      </c>
      <c r="D7000" t="s">
        <v>5</v>
      </c>
      <c r="F7000" t="str" cm="1">
        <f t="array" ref="F7000">CategorizeComment(E7000)</f>
        <v>Other</v>
      </c>
      <c r="G7000" t="str" cm="1">
        <f t="array" ref="G7000">SubCategorizeComment(E7000)</f>
        <v>Other</v>
      </c>
    </row>
    <row r="7001" spans="1:7" x14ac:dyDescent="0.25">
      <c r="A7001">
        <v>60545</v>
      </c>
      <c r="B7001" t="s">
        <v>4</v>
      </c>
      <c r="C7001">
        <v>4</v>
      </c>
      <c r="D7001" t="s">
        <v>5</v>
      </c>
      <c r="F7001" t="str" cm="1">
        <f t="array" ref="F7001">CategorizeComment(E7001)</f>
        <v>Other</v>
      </c>
      <c r="G7001" t="str" cm="1">
        <f t="array" ref="G7001">SubCategorizeComment(E7001)</f>
        <v>Other</v>
      </c>
    </row>
    <row r="7002" spans="1:7" x14ac:dyDescent="0.25">
      <c r="A7002">
        <v>60547</v>
      </c>
      <c r="B7002" t="s">
        <v>4</v>
      </c>
      <c r="C7002">
        <v>4</v>
      </c>
      <c r="D7002" t="s">
        <v>5</v>
      </c>
      <c r="F7002" t="str" cm="1">
        <f t="array" ref="F7002">CategorizeComment(E7002)</f>
        <v>Other</v>
      </c>
      <c r="G7002" t="str" cm="1">
        <f t="array" ref="G7002">SubCategorizeComment(E7002)</f>
        <v>Other</v>
      </c>
    </row>
    <row r="7003" spans="1:7" x14ac:dyDescent="0.25">
      <c r="A7003">
        <v>60557</v>
      </c>
      <c r="B7003" t="s">
        <v>4</v>
      </c>
      <c r="C7003">
        <v>4</v>
      </c>
      <c r="D7003" t="s">
        <v>5</v>
      </c>
      <c r="F7003" t="str" cm="1">
        <f t="array" ref="F7003">CategorizeComment(E7003)</f>
        <v>Other</v>
      </c>
      <c r="G7003" t="str" cm="1">
        <f t="array" ref="G7003">SubCategorizeComment(E7003)</f>
        <v>Other</v>
      </c>
    </row>
    <row r="7004" spans="1:7" x14ac:dyDescent="0.25">
      <c r="A7004">
        <v>60559</v>
      </c>
      <c r="B7004" t="s">
        <v>4</v>
      </c>
      <c r="C7004">
        <v>4</v>
      </c>
      <c r="D7004" t="s">
        <v>5</v>
      </c>
      <c r="F7004" t="str" cm="1">
        <f t="array" ref="F7004">CategorizeComment(E7004)</f>
        <v>Other</v>
      </c>
      <c r="G7004" t="str" cm="1">
        <f t="array" ref="G7004">SubCategorizeComment(E7004)</f>
        <v>Other</v>
      </c>
    </row>
    <row r="7005" spans="1:7" x14ac:dyDescent="0.25">
      <c r="A7005">
        <v>60569</v>
      </c>
      <c r="B7005" t="s">
        <v>4</v>
      </c>
      <c r="C7005">
        <v>3</v>
      </c>
      <c r="D7005" t="s">
        <v>5</v>
      </c>
      <c r="F7005" t="str" cm="1">
        <f t="array" ref="F7005">CategorizeComment(E7005)</f>
        <v>Other</v>
      </c>
      <c r="G7005" t="str" cm="1">
        <f t="array" ref="G7005">SubCategorizeComment(E7005)</f>
        <v>Other</v>
      </c>
    </row>
    <row r="7006" spans="1:7" x14ac:dyDescent="0.25">
      <c r="A7006">
        <v>60592</v>
      </c>
      <c r="B7006" t="s">
        <v>4</v>
      </c>
      <c r="C7006">
        <v>4</v>
      </c>
      <c r="D7006" t="s">
        <v>5</v>
      </c>
      <c r="F7006" t="str" cm="1">
        <f t="array" ref="F7006">CategorizeComment(E7006)</f>
        <v>Other</v>
      </c>
      <c r="G7006" t="str" cm="1">
        <f t="array" ref="G7006">SubCategorizeComment(E7006)</f>
        <v>Other</v>
      </c>
    </row>
    <row r="7007" spans="1:7" x14ac:dyDescent="0.25">
      <c r="A7007">
        <v>60595</v>
      </c>
      <c r="B7007" t="s">
        <v>4</v>
      </c>
      <c r="C7007">
        <v>4</v>
      </c>
      <c r="D7007" t="s">
        <v>5</v>
      </c>
      <c r="F7007" t="str" cm="1">
        <f t="array" ref="F7007">CategorizeComment(E7007)</f>
        <v>Other</v>
      </c>
      <c r="G7007" t="str" cm="1">
        <f t="array" ref="G7007">SubCategorizeComment(E7007)</f>
        <v>Other</v>
      </c>
    </row>
    <row r="7008" spans="1:7" x14ac:dyDescent="0.25">
      <c r="A7008">
        <v>60596</v>
      </c>
      <c r="B7008" t="s">
        <v>4</v>
      </c>
      <c r="C7008">
        <v>3</v>
      </c>
      <c r="D7008" t="s">
        <v>5</v>
      </c>
      <c r="F7008" t="str" cm="1">
        <f t="array" ref="F7008">CategorizeComment(E7008)</f>
        <v>Other</v>
      </c>
      <c r="G7008" t="str" cm="1">
        <f t="array" ref="G7008">SubCategorizeComment(E7008)</f>
        <v>Other</v>
      </c>
    </row>
    <row r="7009" spans="1:7" x14ac:dyDescent="0.25">
      <c r="A7009">
        <v>60628</v>
      </c>
      <c r="B7009" t="s">
        <v>4</v>
      </c>
      <c r="C7009">
        <v>4</v>
      </c>
      <c r="D7009" t="s">
        <v>5</v>
      </c>
      <c r="F7009" t="str" cm="1">
        <f t="array" ref="F7009">CategorizeComment(E7009)</f>
        <v>Other</v>
      </c>
      <c r="G7009" t="str" cm="1">
        <f t="array" ref="G7009">SubCategorizeComment(E7009)</f>
        <v>Other</v>
      </c>
    </row>
    <row r="7010" spans="1:7" x14ac:dyDescent="0.25">
      <c r="A7010">
        <v>60655</v>
      </c>
      <c r="B7010" t="s">
        <v>4</v>
      </c>
      <c r="C7010">
        <v>3</v>
      </c>
      <c r="D7010" t="s">
        <v>5</v>
      </c>
      <c r="F7010" t="str" cm="1">
        <f t="array" ref="F7010">CategorizeComment(E7010)</f>
        <v>Other</v>
      </c>
      <c r="G7010" t="str" cm="1">
        <f t="array" ref="G7010">SubCategorizeComment(E7010)</f>
        <v>Other</v>
      </c>
    </row>
    <row r="7011" spans="1:7" x14ac:dyDescent="0.25">
      <c r="A7011">
        <v>60656</v>
      </c>
      <c r="B7011" t="s">
        <v>4</v>
      </c>
      <c r="C7011">
        <v>4</v>
      </c>
      <c r="D7011" t="s">
        <v>5</v>
      </c>
      <c r="F7011" t="str" cm="1">
        <f t="array" ref="F7011">CategorizeComment(E7011)</f>
        <v>Other</v>
      </c>
      <c r="G7011" t="str" cm="1">
        <f t="array" ref="G7011">SubCategorizeComment(E7011)</f>
        <v>Other</v>
      </c>
    </row>
    <row r="7012" spans="1:7" x14ac:dyDescent="0.25">
      <c r="A7012">
        <v>60683</v>
      </c>
      <c r="B7012" t="s">
        <v>4</v>
      </c>
      <c r="C7012">
        <v>3</v>
      </c>
      <c r="D7012" t="s">
        <v>5</v>
      </c>
      <c r="F7012" t="str" cm="1">
        <f t="array" ref="F7012">CategorizeComment(E7012)</f>
        <v>Other</v>
      </c>
      <c r="G7012" t="str" cm="1">
        <f t="array" ref="G7012">SubCategorizeComment(E7012)</f>
        <v>Other</v>
      </c>
    </row>
    <row r="7013" spans="1:7" x14ac:dyDescent="0.25">
      <c r="A7013">
        <v>60685</v>
      </c>
      <c r="B7013" t="s">
        <v>4</v>
      </c>
      <c r="C7013">
        <v>3</v>
      </c>
      <c r="D7013" t="s">
        <v>5</v>
      </c>
      <c r="F7013" t="str" cm="1">
        <f t="array" ref="F7013">CategorizeComment(E7013)</f>
        <v>Other</v>
      </c>
      <c r="G7013" t="str" cm="1">
        <f t="array" ref="G7013">SubCategorizeComment(E7013)</f>
        <v>Other</v>
      </c>
    </row>
    <row r="7014" spans="1:7" x14ac:dyDescent="0.25">
      <c r="A7014">
        <v>60695</v>
      </c>
      <c r="B7014" t="s">
        <v>4</v>
      </c>
      <c r="C7014">
        <v>3</v>
      </c>
      <c r="D7014" t="s">
        <v>5</v>
      </c>
      <c r="F7014" t="str" cm="1">
        <f t="array" ref="F7014">CategorizeComment(E7014)</f>
        <v>Other</v>
      </c>
      <c r="G7014" t="str" cm="1">
        <f t="array" ref="G7014">SubCategorizeComment(E7014)</f>
        <v>Other</v>
      </c>
    </row>
    <row r="7015" spans="1:7" x14ac:dyDescent="0.25">
      <c r="A7015">
        <v>60711</v>
      </c>
      <c r="B7015" t="s">
        <v>4</v>
      </c>
      <c r="C7015">
        <v>3</v>
      </c>
      <c r="D7015" t="s">
        <v>5</v>
      </c>
      <c r="F7015" t="str" cm="1">
        <f t="array" ref="F7015">CategorizeComment(E7015)</f>
        <v>Other</v>
      </c>
      <c r="G7015" t="str" cm="1">
        <f t="array" ref="G7015">SubCategorizeComment(E7015)</f>
        <v>Other</v>
      </c>
    </row>
    <row r="7016" spans="1:7" x14ac:dyDescent="0.25">
      <c r="A7016">
        <v>60716</v>
      </c>
      <c r="B7016" t="s">
        <v>4</v>
      </c>
      <c r="C7016">
        <v>4</v>
      </c>
      <c r="D7016" t="s">
        <v>5</v>
      </c>
      <c r="F7016" t="str" cm="1">
        <f t="array" ref="F7016">CategorizeComment(E7016)</f>
        <v>Other</v>
      </c>
      <c r="G7016" t="str" cm="1">
        <f t="array" ref="G7016">SubCategorizeComment(E7016)</f>
        <v>Other</v>
      </c>
    </row>
    <row r="7017" spans="1:7" x14ac:dyDescent="0.25">
      <c r="A7017">
        <v>60729</v>
      </c>
      <c r="B7017" t="s">
        <v>4</v>
      </c>
      <c r="C7017">
        <v>4</v>
      </c>
      <c r="D7017" t="s">
        <v>5</v>
      </c>
      <c r="F7017" t="str" cm="1">
        <f t="array" ref="F7017">CategorizeComment(E7017)</f>
        <v>Other</v>
      </c>
      <c r="G7017" t="str" cm="1">
        <f t="array" ref="G7017">SubCategorizeComment(E7017)</f>
        <v>Other</v>
      </c>
    </row>
    <row r="7018" spans="1:7" x14ac:dyDescent="0.25">
      <c r="A7018">
        <v>60765</v>
      </c>
      <c r="B7018" t="s">
        <v>4</v>
      </c>
      <c r="C7018">
        <v>4</v>
      </c>
      <c r="D7018" t="s">
        <v>5</v>
      </c>
      <c r="F7018" t="str" cm="1">
        <f t="array" ref="F7018">CategorizeComment(E7018)</f>
        <v>Other</v>
      </c>
      <c r="G7018" t="str" cm="1">
        <f t="array" ref="G7018">SubCategorizeComment(E7018)</f>
        <v>Other</v>
      </c>
    </row>
    <row r="7019" spans="1:7" x14ac:dyDescent="0.25">
      <c r="A7019">
        <v>60770</v>
      </c>
      <c r="B7019" t="s">
        <v>4</v>
      </c>
      <c r="C7019">
        <v>3</v>
      </c>
      <c r="D7019" t="s">
        <v>5</v>
      </c>
      <c r="F7019" t="str" cm="1">
        <f t="array" ref="F7019">CategorizeComment(E7019)</f>
        <v>Other</v>
      </c>
      <c r="G7019" t="str" cm="1">
        <f t="array" ref="G7019">SubCategorizeComment(E7019)</f>
        <v>Other</v>
      </c>
    </row>
    <row r="7020" spans="1:7" x14ac:dyDescent="0.25">
      <c r="A7020">
        <v>60775</v>
      </c>
      <c r="B7020" t="s">
        <v>4</v>
      </c>
      <c r="C7020">
        <v>3</v>
      </c>
      <c r="D7020" t="s">
        <v>5</v>
      </c>
      <c r="F7020" t="str" cm="1">
        <f t="array" ref="F7020">CategorizeComment(E7020)</f>
        <v>Other</v>
      </c>
      <c r="G7020" t="str" cm="1">
        <f t="array" ref="G7020">SubCategorizeComment(E7020)</f>
        <v>Other</v>
      </c>
    </row>
    <row r="7021" spans="1:7" x14ac:dyDescent="0.25">
      <c r="A7021">
        <v>60781</v>
      </c>
      <c r="B7021" t="s">
        <v>4</v>
      </c>
      <c r="C7021">
        <v>3</v>
      </c>
      <c r="D7021" t="s">
        <v>5</v>
      </c>
      <c r="F7021" t="str" cm="1">
        <f t="array" ref="F7021">CategorizeComment(E7021)</f>
        <v>Other</v>
      </c>
      <c r="G7021" t="str" cm="1">
        <f t="array" ref="G7021">SubCategorizeComment(E7021)</f>
        <v>Other</v>
      </c>
    </row>
    <row r="7022" spans="1:7" x14ac:dyDescent="0.25">
      <c r="A7022">
        <v>60782</v>
      </c>
      <c r="B7022" t="s">
        <v>4</v>
      </c>
      <c r="C7022">
        <v>3</v>
      </c>
      <c r="D7022" t="s">
        <v>5</v>
      </c>
      <c r="F7022" t="str" cm="1">
        <f t="array" ref="F7022">CategorizeComment(E7022)</f>
        <v>Other</v>
      </c>
      <c r="G7022" t="str" cm="1">
        <f t="array" ref="G7022">SubCategorizeComment(E7022)</f>
        <v>Other</v>
      </c>
    </row>
    <row r="7023" spans="1:7" x14ac:dyDescent="0.25">
      <c r="A7023">
        <v>60785</v>
      </c>
      <c r="B7023" t="s">
        <v>4</v>
      </c>
      <c r="C7023">
        <v>3</v>
      </c>
      <c r="D7023" t="s">
        <v>5</v>
      </c>
      <c r="F7023" t="str" cm="1">
        <f t="array" ref="F7023">CategorizeComment(E7023)</f>
        <v>Other</v>
      </c>
      <c r="G7023" t="str" cm="1">
        <f t="array" ref="G7023">SubCategorizeComment(E7023)</f>
        <v>Other</v>
      </c>
    </row>
    <row r="7024" spans="1:7" x14ac:dyDescent="0.25">
      <c r="A7024">
        <v>60804</v>
      </c>
      <c r="B7024" t="s">
        <v>4</v>
      </c>
      <c r="C7024">
        <v>3</v>
      </c>
      <c r="D7024" t="s">
        <v>5</v>
      </c>
      <c r="F7024" t="str" cm="1">
        <f t="array" ref="F7024">CategorizeComment(E7024)</f>
        <v>Other</v>
      </c>
      <c r="G7024" t="str" cm="1">
        <f t="array" ref="G7024">SubCategorizeComment(E7024)</f>
        <v>Other</v>
      </c>
    </row>
    <row r="7025" spans="1:7" x14ac:dyDescent="0.25">
      <c r="A7025">
        <v>60809</v>
      </c>
      <c r="B7025" t="s">
        <v>4</v>
      </c>
      <c r="C7025">
        <v>4</v>
      </c>
      <c r="D7025" t="s">
        <v>5</v>
      </c>
      <c r="F7025" t="str" cm="1">
        <f t="array" ref="F7025">CategorizeComment(E7025)</f>
        <v>Other</v>
      </c>
      <c r="G7025" t="str" cm="1">
        <f t="array" ref="G7025">SubCategorizeComment(E7025)</f>
        <v>Other</v>
      </c>
    </row>
    <row r="7026" spans="1:7" x14ac:dyDescent="0.25">
      <c r="A7026">
        <v>60815</v>
      </c>
      <c r="B7026" t="s">
        <v>4</v>
      </c>
      <c r="C7026">
        <v>4</v>
      </c>
      <c r="D7026" t="s">
        <v>5</v>
      </c>
      <c r="F7026" t="str" cm="1">
        <f t="array" ref="F7026">CategorizeComment(E7026)</f>
        <v>Other</v>
      </c>
      <c r="G7026" t="str" cm="1">
        <f t="array" ref="G7026">SubCategorizeComment(E7026)</f>
        <v>Other</v>
      </c>
    </row>
    <row r="7027" spans="1:7" x14ac:dyDescent="0.25">
      <c r="A7027">
        <v>60847</v>
      </c>
      <c r="B7027" t="s">
        <v>4</v>
      </c>
      <c r="C7027">
        <v>3</v>
      </c>
      <c r="D7027" t="s">
        <v>5</v>
      </c>
      <c r="F7027" t="str" cm="1">
        <f t="array" ref="F7027">CategorizeComment(E7027)</f>
        <v>Other</v>
      </c>
      <c r="G7027" t="str" cm="1">
        <f t="array" ref="G7027">SubCategorizeComment(E7027)</f>
        <v>Other</v>
      </c>
    </row>
    <row r="7028" spans="1:7" x14ac:dyDescent="0.25">
      <c r="A7028">
        <v>60848</v>
      </c>
      <c r="B7028" t="s">
        <v>4</v>
      </c>
      <c r="C7028">
        <v>4</v>
      </c>
      <c r="D7028" t="s">
        <v>5</v>
      </c>
      <c r="F7028" t="str" cm="1">
        <f t="array" ref="F7028">CategorizeComment(E7028)</f>
        <v>Other</v>
      </c>
      <c r="G7028" t="str" cm="1">
        <f t="array" ref="G7028">SubCategorizeComment(E7028)</f>
        <v>Other</v>
      </c>
    </row>
    <row r="7029" spans="1:7" x14ac:dyDescent="0.25">
      <c r="A7029">
        <v>60851</v>
      </c>
      <c r="B7029" t="s">
        <v>4</v>
      </c>
      <c r="C7029">
        <v>3</v>
      </c>
      <c r="D7029" t="s">
        <v>5</v>
      </c>
      <c r="F7029" t="str" cm="1">
        <f t="array" ref="F7029">CategorizeComment(E7029)</f>
        <v>Other</v>
      </c>
      <c r="G7029" t="str" cm="1">
        <f t="array" ref="G7029">SubCategorizeComment(E7029)</f>
        <v>Other</v>
      </c>
    </row>
    <row r="7030" spans="1:7" x14ac:dyDescent="0.25">
      <c r="A7030">
        <v>60855</v>
      </c>
      <c r="B7030" t="s">
        <v>4</v>
      </c>
      <c r="C7030">
        <v>3</v>
      </c>
      <c r="D7030" t="s">
        <v>5</v>
      </c>
      <c r="F7030" t="str" cm="1">
        <f t="array" ref="F7030">CategorizeComment(E7030)</f>
        <v>Other</v>
      </c>
      <c r="G7030" t="str" cm="1">
        <f t="array" ref="G7030">SubCategorizeComment(E7030)</f>
        <v>Other</v>
      </c>
    </row>
    <row r="7031" spans="1:7" x14ac:dyDescent="0.25">
      <c r="A7031">
        <v>60859</v>
      </c>
      <c r="B7031" t="s">
        <v>4</v>
      </c>
      <c r="C7031">
        <v>3</v>
      </c>
      <c r="D7031" t="s">
        <v>5</v>
      </c>
      <c r="F7031" t="str" cm="1">
        <f t="array" ref="F7031">CategorizeComment(E7031)</f>
        <v>Other</v>
      </c>
      <c r="G7031" t="str" cm="1">
        <f t="array" ref="G7031">SubCategorizeComment(E7031)</f>
        <v>Other</v>
      </c>
    </row>
    <row r="7032" spans="1:7" x14ac:dyDescent="0.25">
      <c r="A7032">
        <v>60869</v>
      </c>
      <c r="B7032" t="s">
        <v>4</v>
      </c>
      <c r="C7032">
        <v>4</v>
      </c>
      <c r="D7032" t="s">
        <v>5</v>
      </c>
      <c r="F7032" t="str" cm="1">
        <f t="array" ref="F7032">CategorizeComment(E7032)</f>
        <v>Other</v>
      </c>
      <c r="G7032" t="str" cm="1">
        <f t="array" ref="G7032">SubCategorizeComment(E7032)</f>
        <v>Other</v>
      </c>
    </row>
    <row r="7033" spans="1:7" x14ac:dyDescent="0.25">
      <c r="A7033">
        <v>60870</v>
      </c>
      <c r="B7033" t="s">
        <v>4</v>
      </c>
      <c r="C7033">
        <v>3</v>
      </c>
      <c r="D7033" t="s">
        <v>5</v>
      </c>
      <c r="F7033" t="str" cm="1">
        <f t="array" ref="F7033">CategorizeComment(E7033)</f>
        <v>Other</v>
      </c>
      <c r="G7033" t="str" cm="1">
        <f t="array" ref="G7033">SubCategorizeComment(E7033)</f>
        <v>Other</v>
      </c>
    </row>
    <row r="7034" spans="1:7" x14ac:dyDescent="0.25">
      <c r="A7034">
        <v>60871</v>
      </c>
      <c r="B7034" t="s">
        <v>4</v>
      </c>
      <c r="C7034">
        <v>3</v>
      </c>
      <c r="D7034" t="s">
        <v>5</v>
      </c>
      <c r="F7034" t="str" cm="1">
        <f t="array" ref="F7034">CategorizeComment(E7034)</f>
        <v>Other</v>
      </c>
      <c r="G7034" t="str" cm="1">
        <f t="array" ref="G7034">SubCategorizeComment(E7034)</f>
        <v>Other</v>
      </c>
    </row>
    <row r="7035" spans="1:7" x14ac:dyDescent="0.25">
      <c r="A7035">
        <v>60873</v>
      </c>
      <c r="B7035" t="s">
        <v>4</v>
      </c>
      <c r="C7035">
        <v>4</v>
      </c>
      <c r="D7035" t="s">
        <v>5</v>
      </c>
      <c r="F7035" t="str" cm="1">
        <f t="array" ref="F7035">CategorizeComment(E7035)</f>
        <v>Other</v>
      </c>
      <c r="G7035" t="str" cm="1">
        <f t="array" ref="G7035">SubCategorizeComment(E7035)</f>
        <v>Other</v>
      </c>
    </row>
    <row r="7036" spans="1:7" x14ac:dyDescent="0.25">
      <c r="A7036">
        <v>60882</v>
      </c>
      <c r="B7036" t="s">
        <v>4</v>
      </c>
      <c r="C7036">
        <v>4</v>
      </c>
      <c r="D7036" t="s">
        <v>5</v>
      </c>
      <c r="F7036" t="str" cm="1">
        <f t="array" ref="F7036">CategorizeComment(E7036)</f>
        <v>Other</v>
      </c>
      <c r="G7036" t="str" cm="1">
        <f t="array" ref="G7036">SubCategorizeComment(E7036)</f>
        <v>Other</v>
      </c>
    </row>
    <row r="7037" spans="1:7" x14ac:dyDescent="0.25">
      <c r="A7037">
        <v>60893</v>
      </c>
      <c r="B7037" t="s">
        <v>4</v>
      </c>
      <c r="C7037">
        <v>3</v>
      </c>
      <c r="D7037" t="s">
        <v>5</v>
      </c>
      <c r="F7037" t="str" cm="1">
        <f t="array" ref="F7037">CategorizeComment(E7037)</f>
        <v>Other</v>
      </c>
      <c r="G7037" t="str" cm="1">
        <f t="array" ref="G7037">SubCategorizeComment(E7037)</f>
        <v>Other</v>
      </c>
    </row>
    <row r="7038" spans="1:7" x14ac:dyDescent="0.25">
      <c r="A7038">
        <v>60894</v>
      </c>
      <c r="B7038" t="s">
        <v>4</v>
      </c>
      <c r="C7038">
        <v>3</v>
      </c>
      <c r="D7038" t="s">
        <v>5</v>
      </c>
      <c r="F7038" t="str" cm="1">
        <f t="array" ref="F7038">CategorizeComment(E7038)</f>
        <v>Other</v>
      </c>
      <c r="G7038" t="str" cm="1">
        <f t="array" ref="G7038">SubCategorizeComment(E7038)</f>
        <v>Other</v>
      </c>
    </row>
    <row r="7039" spans="1:7" x14ac:dyDescent="0.25">
      <c r="A7039">
        <v>60896</v>
      </c>
      <c r="B7039" t="s">
        <v>4</v>
      </c>
      <c r="C7039">
        <v>4</v>
      </c>
      <c r="D7039" t="s">
        <v>5</v>
      </c>
      <c r="F7039" t="str" cm="1">
        <f t="array" ref="F7039">CategorizeComment(E7039)</f>
        <v>Other</v>
      </c>
      <c r="G7039" t="str" cm="1">
        <f t="array" ref="G7039">SubCategorizeComment(E7039)</f>
        <v>Other</v>
      </c>
    </row>
    <row r="7040" spans="1:7" x14ac:dyDescent="0.25">
      <c r="A7040">
        <v>60951</v>
      </c>
      <c r="B7040" t="s">
        <v>4</v>
      </c>
      <c r="C7040">
        <v>4</v>
      </c>
      <c r="D7040" t="s">
        <v>5</v>
      </c>
      <c r="F7040" t="str" cm="1">
        <f t="array" ref="F7040">CategorizeComment(E7040)</f>
        <v>Other</v>
      </c>
      <c r="G7040" t="str" cm="1">
        <f t="array" ref="G7040">SubCategorizeComment(E7040)</f>
        <v>Other</v>
      </c>
    </row>
    <row r="7041" spans="1:7" x14ac:dyDescent="0.25">
      <c r="A7041">
        <v>60952</v>
      </c>
      <c r="B7041" t="s">
        <v>4</v>
      </c>
      <c r="C7041">
        <v>3</v>
      </c>
      <c r="D7041" t="s">
        <v>5</v>
      </c>
      <c r="F7041" t="str" cm="1">
        <f t="array" ref="F7041">CategorizeComment(E7041)</f>
        <v>Other</v>
      </c>
      <c r="G7041" t="str" cm="1">
        <f t="array" ref="G7041">SubCategorizeComment(E7041)</f>
        <v>Other</v>
      </c>
    </row>
    <row r="7042" spans="1:7" x14ac:dyDescent="0.25">
      <c r="A7042">
        <v>60954</v>
      </c>
      <c r="B7042" t="s">
        <v>4</v>
      </c>
      <c r="C7042">
        <v>3</v>
      </c>
      <c r="D7042" t="s">
        <v>5</v>
      </c>
      <c r="F7042" t="str" cm="1">
        <f t="array" ref="F7042">CategorizeComment(E7042)</f>
        <v>Other</v>
      </c>
      <c r="G7042" t="str" cm="1">
        <f t="array" ref="G7042">SubCategorizeComment(E7042)</f>
        <v>Other</v>
      </c>
    </row>
    <row r="7043" spans="1:7" x14ac:dyDescent="0.25">
      <c r="A7043">
        <v>60959</v>
      </c>
      <c r="B7043" t="s">
        <v>4</v>
      </c>
      <c r="C7043">
        <v>4</v>
      </c>
      <c r="D7043" t="s">
        <v>5</v>
      </c>
      <c r="F7043" t="str" cm="1">
        <f t="array" ref="F7043">CategorizeComment(E7043)</f>
        <v>Other</v>
      </c>
      <c r="G7043" t="str" cm="1">
        <f t="array" ref="G7043">SubCategorizeComment(E7043)</f>
        <v>Other</v>
      </c>
    </row>
    <row r="7044" spans="1:7" x14ac:dyDescent="0.25">
      <c r="A7044">
        <v>60964</v>
      </c>
      <c r="B7044" t="s">
        <v>4</v>
      </c>
      <c r="C7044">
        <v>4</v>
      </c>
      <c r="D7044" t="s">
        <v>5</v>
      </c>
      <c r="F7044" t="str" cm="1">
        <f t="array" ref="F7044">CategorizeComment(E7044)</f>
        <v>Other</v>
      </c>
      <c r="G7044" t="str" cm="1">
        <f t="array" ref="G7044">SubCategorizeComment(E7044)</f>
        <v>Other</v>
      </c>
    </row>
    <row r="7045" spans="1:7" x14ac:dyDescent="0.25">
      <c r="A7045">
        <v>60965</v>
      </c>
      <c r="B7045" t="s">
        <v>4</v>
      </c>
      <c r="C7045">
        <v>4</v>
      </c>
      <c r="D7045" t="s">
        <v>5</v>
      </c>
      <c r="F7045" t="str" cm="1">
        <f t="array" ref="F7045">CategorizeComment(E7045)</f>
        <v>Other</v>
      </c>
      <c r="G7045" t="str" cm="1">
        <f t="array" ref="G7045">SubCategorizeComment(E7045)</f>
        <v>Other</v>
      </c>
    </row>
    <row r="7046" spans="1:7" x14ac:dyDescent="0.25">
      <c r="A7046">
        <v>60979</v>
      </c>
      <c r="B7046" t="s">
        <v>4</v>
      </c>
      <c r="C7046">
        <v>4</v>
      </c>
      <c r="D7046" t="s">
        <v>5</v>
      </c>
      <c r="F7046" t="str" cm="1">
        <f t="array" ref="F7046">CategorizeComment(E7046)</f>
        <v>Other</v>
      </c>
      <c r="G7046" t="str" cm="1">
        <f t="array" ref="G7046">SubCategorizeComment(E7046)</f>
        <v>Other</v>
      </c>
    </row>
    <row r="7047" spans="1:7" x14ac:dyDescent="0.25">
      <c r="A7047">
        <v>60987</v>
      </c>
      <c r="B7047" t="s">
        <v>4</v>
      </c>
      <c r="C7047">
        <v>3</v>
      </c>
      <c r="D7047" t="s">
        <v>5</v>
      </c>
      <c r="F7047" t="str" cm="1">
        <f t="array" ref="F7047">CategorizeComment(E7047)</f>
        <v>Other</v>
      </c>
      <c r="G7047" t="str" cm="1">
        <f t="array" ref="G7047">SubCategorizeComment(E7047)</f>
        <v>Other</v>
      </c>
    </row>
    <row r="7048" spans="1:7" x14ac:dyDescent="0.25">
      <c r="A7048">
        <v>61027</v>
      </c>
      <c r="B7048" t="s">
        <v>4</v>
      </c>
      <c r="C7048">
        <v>3</v>
      </c>
      <c r="D7048" t="s">
        <v>5</v>
      </c>
      <c r="F7048" t="str" cm="1">
        <f t="array" ref="F7048">CategorizeComment(E7048)</f>
        <v>Other</v>
      </c>
      <c r="G7048" t="str" cm="1">
        <f t="array" ref="G7048">SubCategorizeComment(E7048)</f>
        <v>Other</v>
      </c>
    </row>
    <row r="7049" spans="1:7" x14ac:dyDescent="0.25">
      <c r="A7049">
        <v>61036</v>
      </c>
      <c r="B7049" t="s">
        <v>4</v>
      </c>
      <c r="C7049">
        <v>3</v>
      </c>
      <c r="D7049" t="s">
        <v>5</v>
      </c>
      <c r="F7049" t="str" cm="1">
        <f t="array" ref="F7049">CategorizeComment(E7049)</f>
        <v>Other</v>
      </c>
      <c r="G7049" t="str" cm="1">
        <f t="array" ref="G7049">SubCategorizeComment(E7049)</f>
        <v>Other</v>
      </c>
    </row>
    <row r="7050" spans="1:7" x14ac:dyDescent="0.25">
      <c r="A7050">
        <v>61052</v>
      </c>
      <c r="B7050" t="s">
        <v>4</v>
      </c>
      <c r="C7050">
        <v>3</v>
      </c>
      <c r="D7050" t="s">
        <v>5</v>
      </c>
      <c r="F7050" t="str" cm="1">
        <f t="array" ref="F7050">CategorizeComment(E7050)</f>
        <v>Other</v>
      </c>
      <c r="G7050" t="str" cm="1">
        <f t="array" ref="G7050">SubCategorizeComment(E7050)</f>
        <v>Other</v>
      </c>
    </row>
    <row r="7051" spans="1:7" x14ac:dyDescent="0.25">
      <c r="A7051">
        <v>61055</v>
      </c>
      <c r="B7051" t="s">
        <v>4</v>
      </c>
      <c r="C7051">
        <v>3</v>
      </c>
      <c r="D7051" t="s">
        <v>5</v>
      </c>
      <c r="F7051" t="str" cm="1">
        <f t="array" ref="F7051">CategorizeComment(E7051)</f>
        <v>Other</v>
      </c>
      <c r="G7051" t="str" cm="1">
        <f t="array" ref="G7051">SubCategorizeComment(E7051)</f>
        <v>Other</v>
      </c>
    </row>
    <row r="7052" spans="1:7" x14ac:dyDescent="0.25">
      <c r="A7052">
        <v>61065</v>
      </c>
      <c r="B7052" t="s">
        <v>4</v>
      </c>
      <c r="C7052">
        <v>3</v>
      </c>
      <c r="D7052" t="s">
        <v>5</v>
      </c>
      <c r="F7052" t="str" cm="1">
        <f t="array" ref="F7052">CategorizeComment(E7052)</f>
        <v>Other</v>
      </c>
      <c r="G7052" t="str" cm="1">
        <f t="array" ref="G7052">SubCategorizeComment(E7052)</f>
        <v>Other</v>
      </c>
    </row>
    <row r="7053" spans="1:7" x14ac:dyDescent="0.25">
      <c r="A7053">
        <v>61073</v>
      </c>
      <c r="B7053" t="s">
        <v>4</v>
      </c>
      <c r="C7053">
        <v>4</v>
      </c>
      <c r="D7053" t="s">
        <v>5</v>
      </c>
      <c r="F7053" t="str" cm="1">
        <f t="array" ref="F7053">CategorizeComment(E7053)</f>
        <v>Other</v>
      </c>
      <c r="G7053" t="str" cm="1">
        <f t="array" ref="G7053">SubCategorizeComment(E7053)</f>
        <v>Other</v>
      </c>
    </row>
    <row r="7054" spans="1:7" x14ac:dyDescent="0.25">
      <c r="A7054">
        <v>61097</v>
      </c>
      <c r="B7054" t="s">
        <v>4</v>
      </c>
      <c r="C7054">
        <v>3</v>
      </c>
      <c r="D7054" t="s">
        <v>5</v>
      </c>
      <c r="F7054" t="str" cm="1">
        <f t="array" ref="F7054">CategorizeComment(E7054)</f>
        <v>Other</v>
      </c>
      <c r="G7054" t="str" cm="1">
        <f t="array" ref="G7054">SubCategorizeComment(E7054)</f>
        <v>Other</v>
      </c>
    </row>
    <row r="7055" spans="1:7" x14ac:dyDescent="0.25">
      <c r="A7055">
        <v>61114</v>
      </c>
      <c r="B7055" t="s">
        <v>4</v>
      </c>
      <c r="C7055">
        <v>3</v>
      </c>
      <c r="D7055" t="s">
        <v>5</v>
      </c>
      <c r="F7055" t="str" cm="1">
        <f t="array" ref="F7055">CategorizeComment(E7055)</f>
        <v>Other</v>
      </c>
      <c r="G7055" t="str" cm="1">
        <f t="array" ref="G7055">SubCategorizeComment(E7055)</f>
        <v>Other</v>
      </c>
    </row>
    <row r="7056" spans="1:7" x14ac:dyDescent="0.25">
      <c r="A7056">
        <v>61138</v>
      </c>
      <c r="B7056" t="s">
        <v>4</v>
      </c>
      <c r="C7056">
        <v>4</v>
      </c>
      <c r="D7056" t="s">
        <v>5</v>
      </c>
      <c r="F7056" t="str" cm="1">
        <f t="array" ref="F7056">CategorizeComment(E7056)</f>
        <v>Other</v>
      </c>
      <c r="G7056" t="str" cm="1">
        <f t="array" ref="G7056">SubCategorizeComment(E7056)</f>
        <v>Other</v>
      </c>
    </row>
    <row r="7057" spans="1:7" x14ac:dyDescent="0.25">
      <c r="A7057">
        <v>61183</v>
      </c>
      <c r="B7057" t="s">
        <v>4</v>
      </c>
      <c r="C7057">
        <v>4</v>
      </c>
      <c r="D7057" t="s">
        <v>5</v>
      </c>
      <c r="F7057" t="str" cm="1">
        <f t="array" ref="F7057">CategorizeComment(E7057)</f>
        <v>Other</v>
      </c>
      <c r="G7057" t="str" cm="1">
        <f t="array" ref="G7057">SubCategorizeComment(E7057)</f>
        <v>Other</v>
      </c>
    </row>
    <row r="7058" spans="1:7" x14ac:dyDescent="0.25">
      <c r="A7058">
        <v>61184</v>
      </c>
      <c r="B7058" t="s">
        <v>4</v>
      </c>
      <c r="C7058">
        <v>3</v>
      </c>
      <c r="D7058" t="s">
        <v>5</v>
      </c>
      <c r="F7058" t="str" cm="1">
        <f t="array" ref="F7058">CategorizeComment(E7058)</f>
        <v>Other</v>
      </c>
      <c r="G7058" t="str" cm="1">
        <f t="array" ref="G7058">SubCategorizeComment(E7058)</f>
        <v>Other</v>
      </c>
    </row>
    <row r="7059" spans="1:7" x14ac:dyDescent="0.25">
      <c r="A7059">
        <v>61186</v>
      </c>
      <c r="B7059" t="s">
        <v>4</v>
      </c>
      <c r="C7059">
        <v>3</v>
      </c>
      <c r="D7059" t="s">
        <v>5</v>
      </c>
      <c r="F7059" t="str" cm="1">
        <f t="array" ref="F7059">CategorizeComment(E7059)</f>
        <v>Other</v>
      </c>
      <c r="G7059" t="str" cm="1">
        <f t="array" ref="G7059">SubCategorizeComment(E7059)</f>
        <v>Other</v>
      </c>
    </row>
    <row r="7060" spans="1:7" x14ac:dyDescent="0.25">
      <c r="A7060">
        <v>61187</v>
      </c>
      <c r="B7060" t="s">
        <v>4</v>
      </c>
      <c r="C7060">
        <v>3</v>
      </c>
      <c r="D7060" t="s">
        <v>5</v>
      </c>
      <c r="F7060" t="str" cm="1">
        <f t="array" ref="F7060">CategorizeComment(E7060)</f>
        <v>Other</v>
      </c>
      <c r="G7060" t="str" cm="1">
        <f t="array" ref="G7060">SubCategorizeComment(E7060)</f>
        <v>Other</v>
      </c>
    </row>
    <row r="7061" spans="1:7" x14ac:dyDescent="0.25">
      <c r="A7061">
        <v>61211</v>
      </c>
      <c r="B7061" t="s">
        <v>4</v>
      </c>
      <c r="C7061">
        <v>3</v>
      </c>
      <c r="D7061" t="s">
        <v>5</v>
      </c>
      <c r="F7061" t="str" cm="1">
        <f t="array" ref="F7061">CategorizeComment(E7061)</f>
        <v>Other</v>
      </c>
      <c r="G7061" t="str" cm="1">
        <f t="array" ref="G7061">SubCategorizeComment(E7061)</f>
        <v>Other</v>
      </c>
    </row>
    <row r="7062" spans="1:7" x14ac:dyDescent="0.25">
      <c r="A7062">
        <v>61216</v>
      </c>
      <c r="B7062" t="s">
        <v>4</v>
      </c>
      <c r="C7062">
        <v>3</v>
      </c>
      <c r="D7062" t="s">
        <v>5</v>
      </c>
      <c r="F7062" t="str" cm="1">
        <f t="array" ref="F7062">CategorizeComment(E7062)</f>
        <v>Other</v>
      </c>
      <c r="G7062" t="str" cm="1">
        <f t="array" ref="G7062">SubCategorizeComment(E7062)</f>
        <v>Other</v>
      </c>
    </row>
    <row r="7063" spans="1:7" x14ac:dyDescent="0.25">
      <c r="A7063">
        <v>61219</v>
      </c>
      <c r="B7063" t="s">
        <v>4</v>
      </c>
      <c r="C7063">
        <v>4</v>
      </c>
      <c r="D7063" t="s">
        <v>5</v>
      </c>
      <c r="F7063" t="str" cm="1">
        <f t="array" ref="F7063">CategorizeComment(E7063)</f>
        <v>Other</v>
      </c>
      <c r="G7063" t="str" cm="1">
        <f t="array" ref="G7063">SubCategorizeComment(E7063)</f>
        <v>Other</v>
      </c>
    </row>
    <row r="7064" spans="1:7" x14ac:dyDescent="0.25">
      <c r="A7064">
        <v>61235</v>
      </c>
      <c r="B7064" t="s">
        <v>4</v>
      </c>
      <c r="C7064">
        <v>3</v>
      </c>
      <c r="D7064" t="s">
        <v>5</v>
      </c>
      <c r="F7064" t="str" cm="1">
        <f t="array" ref="F7064">CategorizeComment(E7064)</f>
        <v>Other</v>
      </c>
      <c r="G7064" t="str" cm="1">
        <f t="array" ref="G7064">SubCategorizeComment(E7064)</f>
        <v>Other</v>
      </c>
    </row>
    <row r="7065" spans="1:7" x14ac:dyDescent="0.25">
      <c r="A7065">
        <v>61236</v>
      </c>
      <c r="B7065" t="s">
        <v>4</v>
      </c>
      <c r="C7065">
        <v>3</v>
      </c>
      <c r="D7065" t="s">
        <v>5</v>
      </c>
      <c r="F7065" t="str" cm="1">
        <f t="array" ref="F7065">CategorizeComment(E7065)</f>
        <v>Other</v>
      </c>
      <c r="G7065" t="str" cm="1">
        <f t="array" ref="G7065">SubCategorizeComment(E7065)</f>
        <v>Other</v>
      </c>
    </row>
    <row r="7066" spans="1:7" x14ac:dyDescent="0.25">
      <c r="A7066">
        <v>61237</v>
      </c>
      <c r="B7066" t="s">
        <v>4</v>
      </c>
      <c r="C7066">
        <v>3</v>
      </c>
      <c r="D7066" t="s">
        <v>5</v>
      </c>
      <c r="F7066" t="str" cm="1">
        <f t="array" ref="F7066">CategorizeComment(E7066)</f>
        <v>Other</v>
      </c>
      <c r="G7066" t="str" cm="1">
        <f t="array" ref="G7066">SubCategorizeComment(E7066)</f>
        <v>Other</v>
      </c>
    </row>
    <row r="7067" spans="1:7" x14ac:dyDescent="0.25">
      <c r="A7067">
        <v>61258</v>
      </c>
      <c r="B7067" t="s">
        <v>4</v>
      </c>
      <c r="C7067">
        <v>3</v>
      </c>
      <c r="D7067" t="s">
        <v>5</v>
      </c>
      <c r="F7067" t="str" cm="1">
        <f t="array" ref="F7067">CategorizeComment(E7067)</f>
        <v>Other</v>
      </c>
      <c r="G7067" t="str" cm="1">
        <f t="array" ref="G7067">SubCategorizeComment(E7067)</f>
        <v>Other</v>
      </c>
    </row>
    <row r="7068" spans="1:7" x14ac:dyDescent="0.25">
      <c r="A7068">
        <v>61282</v>
      </c>
      <c r="B7068" t="s">
        <v>4</v>
      </c>
      <c r="C7068">
        <v>4</v>
      </c>
      <c r="D7068" t="s">
        <v>5</v>
      </c>
      <c r="F7068" t="str" cm="1">
        <f t="array" ref="F7068">CategorizeComment(E7068)</f>
        <v>Other</v>
      </c>
      <c r="G7068" t="str" cm="1">
        <f t="array" ref="G7068">SubCategorizeComment(E7068)</f>
        <v>Other</v>
      </c>
    </row>
    <row r="7069" spans="1:7" x14ac:dyDescent="0.25">
      <c r="A7069">
        <v>61299</v>
      </c>
      <c r="B7069" t="s">
        <v>4</v>
      </c>
      <c r="C7069">
        <v>4</v>
      </c>
      <c r="D7069" t="s">
        <v>5</v>
      </c>
      <c r="F7069" t="str" cm="1">
        <f t="array" ref="F7069">CategorizeComment(E7069)</f>
        <v>Other</v>
      </c>
      <c r="G7069" t="str" cm="1">
        <f t="array" ref="G7069">SubCategorizeComment(E7069)</f>
        <v>Other</v>
      </c>
    </row>
    <row r="7070" spans="1:7" x14ac:dyDescent="0.25">
      <c r="A7070">
        <v>61305</v>
      </c>
      <c r="B7070" t="s">
        <v>4</v>
      </c>
      <c r="C7070">
        <v>3</v>
      </c>
      <c r="D7070" t="s">
        <v>5</v>
      </c>
      <c r="F7070" t="str" cm="1">
        <f t="array" ref="F7070">CategorizeComment(E7070)</f>
        <v>Other</v>
      </c>
      <c r="G7070" t="str" cm="1">
        <f t="array" ref="G7070">SubCategorizeComment(E7070)</f>
        <v>Other</v>
      </c>
    </row>
    <row r="7071" spans="1:7" x14ac:dyDescent="0.25">
      <c r="A7071">
        <v>61325</v>
      </c>
      <c r="B7071" t="s">
        <v>4</v>
      </c>
      <c r="C7071">
        <v>3</v>
      </c>
      <c r="D7071" t="s">
        <v>5</v>
      </c>
      <c r="F7071" t="str" cm="1">
        <f t="array" ref="F7071">CategorizeComment(E7071)</f>
        <v>Other</v>
      </c>
      <c r="G7071" t="str" cm="1">
        <f t="array" ref="G7071">SubCategorizeComment(E7071)</f>
        <v>Other</v>
      </c>
    </row>
    <row r="7072" spans="1:7" x14ac:dyDescent="0.25">
      <c r="A7072">
        <v>61329</v>
      </c>
      <c r="B7072" t="s">
        <v>4</v>
      </c>
      <c r="C7072">
        <v>3</v>
      </c>
      <c r="D7072" t="s">
        <v>5</v>
      </c>
      <c r="F7072" t="str" cm="1">
        <f t="array" ref="F7072">CategorizeComment(E7072)</f>
        <v>Other</v>
      </c>
      <c r="G7072" t="str" cm="1">
        <f t="array" ref="G7072">SubCategorizeComment(E7072)</f>
        <v>Other</v>
      </c>
    </row>
    <row r="7073" spans="1:7" x14ac:dyDescent="0.25">
      <c r="A7073">
        <v>61362</v>
      </c>
      <c r="B7073" t="s">
        <v>4</v>
      </c>
      <c r="C7073">
        <v>3</v>
      </c>
      <c r="D7073" t="s">
        <v>5</v>
      </c>
      <c r="F7073" t="str" cm="1">
        <f t="array" ref="F7073">CategorizeComment(E7073)</f>
        <v>Other</v>
      </c>
      <c r="G7073" t="str" cm="1">
        <f t="array" ref="G7073">SubCategorizeComment(E7073)</f>
        <v>Other</v>
      </c>
    </row>
    <row r="7074" spans="1:7" x14ac:dyDescent="0.25">
      <c r="A7074">
        <v>61388</v>
      </c>
      <c r="B7074" t="s">
        <v>4</v>
      </c>
      <c r="C7074">
        <v>3</v>
      </c>
      <c r="D7074" t="s">
        <v>5</v>
      </c>
      <c r="F7074" t="str" cm="1">
        <f t="array" ref="F7074">CategorizeComment(E7074)</f>
        <v>Other</v>
      </c>
      <c r="G7074" t="str" cm="1">
        <f t="array" ref="G7074">SubCategorizeComment(E7074)</f>
        <v>Other</v>
      </c>
    </row>
    <row r="7075" spans="1:7" x14ac:dyDescent="0.25">
      <c r="A7075">
        <v>61398</v>
      </c>
      <c r="B7075" t="s">
        <v>4</v>
      </c>
      <c r="C7075">
        <v>3</v>
      </c>
      <c r="D7075" t="s">
        <v>5</v>
      </c>
      <c r="F7075" t="str" cm="1">
        <f t="array" ref="F7075">CategorizeComment(E7075)</f>
        <v>Other</v>
      </c>
      <c r="G7075" t="str" cm="1">
        <f t="array" ref="G7075">SubCategorizeComment(E7075)</f>
        <v>Other</v>
      </c>
    </row>
    <row r="7076" spans="1:7" x14ac:dyDescent="0.25">
      <c r="A7076">
        <v>61400</v>
      </c>
      <c r="B7076" t="s">
        <v>4</v>
      </c>
      <c r="C7076">
        <v>3</v>
      </c>
      <c r="D7076" t="s">
        <v>5</v>
      </c>
      <c r="F7076" t="str" cm="1">
        <f t="array" ref="F7076">CategorizeComment(E7076)</f>
        <v>Other</v>
      </c>
      <c r="G7076" t="str" cm="1">
        <f t="array" ref="G7076">SubCategorizeComment(E7076)</f>
        <v>Other</v>
      </c>
    </row>
    <row r="7077" spans="1:7" x14ac:dyDescent="0.25">
      <c r="A7077">
        <v>61402</v>
      </c>
      <c r="B7077" t="s">
        <v>4</v>
      </c>
      <c r="C7077">
        <v>3</v>
      </c>
      <c r="D7077" t="s">
        <v>5</v>
      </c>
      <c r="F7077" t="str" cm="1">
        <f t="array" ref="F7077">CategorizeComment(E7077)</f>
        <v>Other</v>
      </c>
      <c r="G7077" t="str" cm="1">
        <f t="array" ref="G7077">SubCategorizeComment(E7077)</f>
        <v>Other</v>
      </c>
    </row>
    <row r="7078" spans="1:7" x14ac:dyDescent="0.25">
      <c r="A7078">
        <v>61405</v>
      </c>
      <c r="B7078" t="s">
        <v>4</v>
      </c>
      <c r="C7078">
        <v>3</v>
      </c>
      <c r="D7078" t="s">
        <v>5</v>
      </c>
      <c r="F7078" t="str" cm="1">
        <f t="array" ref="F7078">CategorizeComment(E7078)</f>
        <v>Other</v>
      </c>
      <c r="G7078" t="str" cm="1">
        <f t="array" ref="G7078">SubCategorizeComment(E7078)</f>
        <v>Other</v>
      </c>
    </row>
    <row r="7079" spans="1:7" x14ac:dyDescent="0.25">
      <c r="A7079">
        <v>61429</v>
      </c>
      <c r="B7079" t="s">
        <v>4</v>
      </c>
      <c r="C7079">
        <v>4</v>
      </c>
      <c r="D7079" t="s">
        <v>5</v>
      </c>
      <c r="F7079" t="str" cm="1">
        <f t="array" ref="F7079">CategorizeComment(E7079)</f>
        <v>Other</v>
      </c>
      <c r="G7079" t="str" cm="1">
        <f t="array" ref="G7079">SubCategorizeComment(E7079)</f>
        <v>Other</v>
      </c>
    </row>
    <row r="7080" spans="1:7" x14ac:dyDescent="0.25">
      <c r="A7080">
        <v>61462</v>
      </c>
      <c r="B7080" t="s">
        <v>4</v>
      </c>
      <c r="C7080">
        <v>4</v>
      </c>
      <c r="D7080" t="s">
        <v>5</v>
      </c>
      <c r="F7080" t="str" cm="1">
        <f t="array" ref="F7080">CategorizeComment(E7080)</f>
        <v>Other</v>
      </c>
      <c r="G7080" t="str" cm="1">
        <f t="array" ref="G7080">SubCategorizeComment(E7080)</f>
        <v>Other</v>
      </c>
    </row>
    <row r="7081" spans="1:7" x14ac:dyDescent="0.25">
      <c r="A7081">
        <v>61476</v>
      </c>
      <c r="B7081" t="s">
        <v>4</v>
      </c>
      <c r="C7081">
        <v>3</v>
      </c>
      <c r="D7081" t="s">
        <v>5</v>
      </c>
      <c r="F7081" t="str" cm="1">
        <f t="array" ref="F7081">CategorizeComment(E7081)</f>
        <v>Other</v>
      </c>
      <c r="G7081" t="str" cm="1">
        <f t="array" ref="G7081">SubCategorizeComment(E7081)</f>
        <v>Other</v>
      </c>
    </row>
    <row r="7082" spans="1:7" x14ac:dyDescent="0.25">
      <c r="A7082">
        <v>61487</v>
      </c>
      <c r="B7082" t="s">
        <v>4</v>
      </c>
      <c r="C7082">
        <v>4</v>
      </c>
      <c r="D7082" t="s">
        <v>5</v>
      </c>
      <c r="F7082" t="str" cm="1">
        <f t="array" ref="F7082">CategorizeComment(E7082)</f>
        <v>Other</v>
      </c>
      <c r="G7082" t="str" cm="1">
        <f t="array" ref="G7082">SubCategorizeComment(E7082)</f>
        <v>Other</v>
      </c>
    </row>
    <row r="7083" spans="1:7" x14ac:dyDescent="0.25">
      <c r="A7083">
        <v>61496</v>
      </c>
      <c r="B7083" t="s">
        <v>4</v>
      </c>
      <c r="C7083">
        <v>3</v>
      </c>
      <c r="D7083" t="s">
        <v>5</v>
      </c>
      <c r="F7083" t="str" cm="1">
        <f t="array" ref="F7083">CategorizeComment(E7083)</f>
        <v>Other</v>
      </c>
      <c r="G7083" t="str" cm="1">
        <f t="array" ref="G7083">SubCategorizeComment(E7083)</f>
        <v>Other</v>
      </c>
    </row>
    <row r="7084" spans="1:7" x14ac:dyDescent="0.25">
      <c r="A7084">
        <v>61499</v>
      </c>
      <c r="B7084" t="s">
        <v>4</v>
      </c>
      <c r="C7084">
        <v>4</v>
      </c>
      <c r="D7084" t="s">
        <v>5</v>
      </c>
      <c r="F7084" t="str" cm="1">
        <f t="array" ref="F7084">CategorizeComment(E7084)</f>
        <v>Other</v>
      </c>
      <c r="G7084" t="str" cm="1">
        <f t="array" ref="G7084">SubCategorizeComment(E7084)</f>
        <v>Other</v>
      </c>
    </row>
    <row r="7085" spans="1:7" x14ac:dyDescent="0.25">
      <c r="A7085">
        <v>61500</v>
      </c>
      <c r="B7085" t="s">
        <v>4</v>
      </c>
      <c r="C7085">
        <v>4</v>
      </c>
      <c r="D7085" t="s">
        <v>5</v>
      </c>
      <c r="F7085" t="str" cm="1">
        <f t="array" ref="F7085">CategorizeComment(E7085)</f>
        <v>Other</v>
      </c>
      <c r="G7085" t="str" cm="1">
        <f t="array" ref="G7085">SubCategorizeComment(E7085)</f>
        <v>Other</v>
      </c>
    </row>
    <row r="7086" spans="1:7" x14ac:dyDescent="0.25">
      <c r="A7086">
        <v>61510</v>
      </c>
      <c r="B7086" t="s">
        <v>4</v>
      </c>
      <c r="C7086">
        <v>3</v>
      </c>
      <c r="D7086" t="s">
        <v>5</v>
      </c>
      <c r="F7086" t="str" cm="1">
        <f t="array" ref="F7086">CategorizeComment(E7086)</f>
        <v>Other</v>
      </c>
      <c r="G7086" t="str" cm="1">
        <f t="array" ref="G7086">SubCategorizeComment(E7086)</f>
        <v>Other</v>
      </c>
    </row>
    <row r="7087" spans="1:7" x14ac:dyDescent="0.25">
      <c r="A7087">
        <v>61515</v>
      </c>
      <c r="B7087" t="s">
        <v>4</v>
      </c>
      <c r="C7087">
        <v>3</v>
      </c>
      <c r="D7087" t="s">
        <v>5</v>
      </c>
      <c r="F7087" t="str" cm="1">
        <f t="array" ref="F7087">CategorizeComment(E7087)</f>
        <v>Other</v>
      </c>
      <c r="G7087" t="str" cm="1">
        <f t="array" ref="G7087">SubCategorizeComment(E7087)</f>
        <v>Other</v>
      </c>
    </row>
    <row r="7088" spans="1:7" x14ac:dyDescent="0.25">
      <c r="A7088">
        <v>61519</v>
      </c>
      <c r="B7088" t="s">
        <v>4</v>
      </c>
      <c r="C7088">
        <v>3</v>
      </c>
      <c r="D7088" t="s">
        <v>5</v>
      </c>
      <c r="F7088" t="str" cm="1">
        <f t="array" ref="F7088">CategorizeComment(E7088)</f>
        <v>Other</v>
      </c>
      <c r="G7088" t="str" cm="1">
        <f t="array" ref="G7088">SubCategorizeComment(E7088)</f>
        <v>Other</v>
      </c>
    </row>
    <row r="7089" spans="1:7" x14ac:dyDescent="0.25">
      <c r="A7089">
        <v>61523</v>
      </c>
      <c r="B7089" t="s">
        <v>4</v>
      </c>
      <c r="C7089">
        <v>3</v>
      </c>
      <c r="D7089" t="s">
        <v>5</v>
      </c>
      <c r="F7089" t="str" cm="1">
        <f t="array" ref="F7089">CategorizeComment(E7089)</f>
        <v>Other</v>
      </c>
      <c r="G7089" t="str" cm="1">
        <f t="array" ref="G7089">SubCategorizeComment(E7089)</f>
        <v>Other</v>
      </c>
    </row>
    <row r="7090" spans="1:7" x14ac:dyDescent="0.25">
      <c r="A7090">
        <v>61535</v>
      </c>
      <c r="B7090" t="s">
        <v>4</v>
      </c>
      <c r="C7090">
        <v>3</v>
      </c>
      <c r="D7090" t="s">
        <v>5</v>
      </c>
      <c r="F7090" t="str" cm="1">
        <f t="array" ref="F7090">CategorizeComment(E7090)</f>
        <v>Other</v>
      </c>
      <c r="G7090" t="str" cm="1">
        <f t="array" ref="G7090">SubCategorizeComment(E7090)</f>
        <v>Other</v>
      </c>
    </row>
    <row r="7091" spans="1:7" x14ac:dyDescent="0.25">
      <c r="A7091">
        <v>61536</v>
      </c>
      <c r="B7091" t="s">
        <v>4</v>
      </c>
      <c r="C7091">
        <v>4</v>
      </c>
      <c r="D7091" t="s">
        <v>5</v>
      </c>
      <c r="F7091" t="str" cm="1">
        <f t="array" ref="F7091">CategorizeComment(E7091)</f>
        <v>Other</v>
      </c>
      <c r="G7091" t="str" cm="1">
        <f t="array" ref="G7091">SubCategorizeComment(E7091)</f>
        <v>Other</v>
      </c>
    </row>
    <row r="7092" spans="1:7" x14ac:dyDescent="0.25">
      <c r="A7092">
        <v>61541</v>
      </c>
      <c r="B7092" t="s">
        <v>4</v>
      </c>
      <c r="C7092">
        <v>3</v>
      </c>
      <c r="D7092" t="s">
        <v>5</v>
      </c>
      <c r="F7092" t="str" cm="1">
        <f t="array" ref="F7092">CategorizeComment(E7092)</f>
        <v>Other</v>
      </c>
      <c r="G7092" t="str" cm="1">
        <f t="array" ref="G7092">SubCategorizeComment(E7092)</f>
        <v>Other</v>
      </c>
    </row>
    <row r="7093" spans="1:7" x14ac:dyDescent="0.25">
      <c r="A7093">
        <v>61557</v>
      </c>
      <c r="B7093" t="s">
        <v>4</v>
      </c>
      <c r="C7093">
        <v>4</v>
      </c>
      <c r="D7093" t="s">
        <v>5</v>
      </c>
      <c r="F7093" t="str" cm="1">
        <f t="array" ref="F7093">CategorizeComment(E7093)</f>
        <v>Other</v>
      </c>
      <c r="G7093" t="str" cm="1">
        <f t="array" ref="G7093">SubCategorizeComment(E7093)</f>
        <v>Other</v>
      </c>
    </row>
    <row r="7094" spans="1:7" x14ac:dyDescent="0.25">
      <c r="A7094">
        <v>61560</v>
      </c>
      <c r="B7094" t="s">
        <v>4</v>
      </c>
      <c r="C7094">
        <v>4</v>
      </c>
      <c r="D7094" t="s">
        <v>5</v>
      </c>
      <c r="F7094" t="str" cm="1">
        <f t="array" ref="F7094">CategorizeComment(E7094)</f>
        <v>Other</v>
      </c>
      <c r="G7094" t="str" cm="1">
        <f t="array" ref="G7094">SubCategorizeComment(E7094)</f>
        <v>Other</v>
      </c>
    </row>
    <row r="7095" spans="1:7" x14ac:dyDescent="0.25">
      <c r="A7095">
        <v>61562</v>
      </c>
      <c r="B7095" t="s">
        <v>4</v>
      </c>
      <c r="C7095">
        <v>3</v>
      </c>
      <c r="D7095" t="s">
        <v>5</v>
      </c>
      <c r="F7095" t="str" cm="1">
        <f t="array" ref="F7095">CategorizeComment(E7095)</f>
        <v>Other</v>
      </c>
      <c r="G7095" t="str" cm="1">
        <f t="array" ref="G7095">SubCategorizeComment(E7095)</f>
        <v>Other</v>
      </c>
    </row>
    <row r="7096" spans="1:7" x14ac:dyDescent="0.25">
      <c r="A7096">
        <v>61565</v>
      </c>
      <c r="B7096" t="s">
        <v>4</v>
      </c>
      <c r="C7096">
        <v>3</v>
      </c>
      <c r="D7096" t="s">
        <v>5</v>
      </c>
      <c r="F7096" t="str" cm="1">
        <f t="array" ref="F7096">CategorizeComment(E7096)</f>
        <v>Other</v>
      </c>
      <c r="G7096" t="str" cm="1">
        <f t="array" ref="G7096">SubCategorizeComment(E7096)</f>
        <v>Other</v>
      </c>
    </row>
    <row r="7097" spans="1:7" x14ac:dyDescent="0.25">
      <c r="A7097">
        <v>61567</v>
      </c>
      <c r="B7097" t="s">
        <v>4</v>
      </c>
      <c r="C7097">
        <v>3</v>
      </c>
      <c r="D7097" t="s">
        <v>5</v>
      </c>
      <c r="F7097" t="str" cm="1">
        <f t="array" ref="F7097">CategorizeComment(E7097)</f>
        <v>Other</v>
      </c>
      <c r="G7097" t="str" cm="1">
        <f t="array" ref="G7097">SubCategorizeComment(E7097)</f>
        <v>Other</v>
      </c>
    </row>
    <row r="7098" spans="1:7" x14ac:dyDescent="0.25">
      <c r="A7098">
        <v>61574</v>
      </c>
      <c r="B7098" t="s">
        <v>4</v>
      </c>
      <c r="C7098">
        <v>4</v>
      </c>
      <c r="D7098" t="s">
        <v>5</v>
      </c>
      <c r="F7098" t="str" cm="1">
        <f t="array" ref="F7098">CategorizeComment(E7098)</f>
        <v>Other</v>
      </c>
      <c r="G7098" t="str" cm="1">
        <f t="array" ref="G7098">SubCategorizeComment(E7098)</f>
        <v>Other</v>
      </c>
    </row>
    <row r="7099" spans="1:7" x14ac:dyDescent="0.25">
      <c r="A7099">
        <v>61636</v>
      </c>
      <c r="B7099" t="s">
        <v>4</v>
      </c>
      <c r="C7099">
        <v>3</v>
      </c>
      <c r="D7099" t="s">
        <v>5</v>
      </c>
      <c r="F7099" t="str" cm="1">
        <f t="array" ref="F7099">CategorizeComment(E7099)</f>
        <v>Other</v>
      </c>
      <c r="G7099" t="str" cm="1">
        <f t="array" ref="G7099">SubCategorizeComment(E7099)</f>
        <v>Other</v>
      </c>
    </row>
    <row r="7100" spans="1:7" x14ac:dyDescent="0.25">
      <c r="A7100">
        <v>61639</v>
      </c>
      <c r="B7100" t="s">
        <v>4</v>
      </c>
      <c r="C7100">
        <v>4</v>
      </c>
      <c r="D7100" t="s">
        <v>5</v>
      </c>
      <c r="F7100" t="str" cm="1">
        <f t="array" ref="F7100">CategorizeComment(E7100)</f>
        <v>Other</v>
      </c>
      <c r="G7100" t="str" cm="1">
        <f t="array" ref="G7100">SubCategorizeComment(E7100)</f>
        <v>Other</v>
      </c>
    </row>
    <row r="7101" spans="1:7" x14ac:dyDescent="0.25">
      <c r="A7101">
        <v>61653</v>
      </c>
      <c r="B7101" t="s">
        <v>4</v>
      </c>
      <c r="C7101">
        <v>3</v>
      </c>
      <c r="D7101" t="s">
        <v>5</v>
      </c>
      <c r="F7101" t="str" cm="1">
        <f t="array" ref="F7101">CategorizeComment(E7101)</f>
        <v>Other</v>
      </c>
      <c r="G7101" t="str" cm="1">
        <f t="array" ref="G7101">SubCategorizeComment(E7101)</f>
        <v>Other</v>
      </c>
    </row>
    <row r="7102" spans="1:7" x14ac:dyDescent="0.25">
      <c r="A7102">
        <v>61656</v>
      </c>
      <c r="B7102" t="s">
        <v>4</v>
      </c>
      <c r="C7102">
        <v>4</v>
      </c>
      <c r="D7102" t="s">
        <v>5</v>
      </c>
      <c r="F7102" t="str" cm="1">
        <f t="array" ref="F7102">CategorizeComment(E7102)</f>
        <v>Other</v>
      </c>
      <c r="G7102" t="str" cm="1">
        <f t="array" ref="G7102">SubCategorizeComment(E7102)</f>
        <v>Other</v>
      </c>
    </row>
    <row r="7103" spans="1:7" x14ac:dyDescent="0.25">
      <c r="A7103">
        <v>61664</v>
      </c>
      <c r="B7103" t="s">
        <v>4</v>
      </c>
      <c r="C7103">
        <v>3</v>
      </c>
      <c r="D7103" t="s">
        <v>5</v>
      </c>
      <c r="F7103" t="str" cm="1">
        <f t="array" ref="F7103">CategorizeComment(E7103)</f>
        <v>Other</v>
      </c>
      <c r="G7103" t="str" cm="1">
        <f t="array" ref="G7103">SubCategorizeComment(E7103)</f>
        <v>Other</v>
      </c>
    </row>
    <row r="7104" spans="1:7" x14ac:dyDescent="0.25">
      <c r="A7104">
        <v>61675</v>
      </c>
      <c r="B7104" t="s">
        <v>4</v>
      </c>
      <c r="C7104">
        <v>3</v>
      </c>
      <c r="D7104" t="s">
        <v>5</v>
      </c>
      <c r="F7104" t="str" cm="1">
        <f t="array" ref="F7104">CategorizeComment(E7104)</f>
        <v>Other</v>
      </c>
      <c r="G7104" t="str" cm="1">
        <f t="array" ref="G7104">SubCategorizeComment(E7104)</f>
        <v>Other</v>
      </c>
    </row>
    <row r="7105" spans="1:7" x14ac:dyDescent="0.25">
      <c r="A7105">
        <v>61688</v>
      </c>
      <c r="B7105" t="s">
        <v>4</v>
      </c>
      <c r="C7105">
        <v>3</v>
      </c>
      <c r="D7105" t="s">
        <v>5</v>
      </c>
      <c r="F7105" t="str" cm="1">
        <f t="array" ref="F7105">CategorizeComment(E7105)</f>
        <v>Other</v>
      </c>
      <c r="G7105" t="str" cm="1">
        <f t="array" ref="G7105">SubCategorizeComment(E7105)</f>
        <v>Other</v>
      </c>
    </row>
    <row r="7106" spans="1:7" x14ac:dyDescent="0.25">
      <c r="A7106">
        <v>61690</v>
      </c>
      <c r="B7106" t="s">
        <v>4</v>
      </c>
      <c r="C7106">
        <v>4</v>
      </c>
      <c r="D7106" t="s">
        <v>5</v>
      </c>
      <c r="F7106" t="str" cm="1">
        <f t="array" ref="F7106">CategorizeComment(E7106)</f>
        <v>Other</v>
      </c>
      <c r="G7106" t="str" cm="1">
        <f t="array" ref="G7106">SubCategorizeComment(E7106)</f>
        <v>Other</v>
      </c>
    </row>
    <row r="7107" spans="1:7" x14ac:dyDescent="0.25">
      <c r="A7107">
        <v>61698</v>
      </c>
      <c r="B7107" t="s">
        <v>4</v>
      </c>
      <c r="C7107">
        <v>4</v>
      </c>
      <c r="D7107" t="s">
        <v>5</v>
      </c>
      <c r="F7107" t="str" cm="1">
        <f t="array" ref="F7107">CategorizeComment(E7107)</f>
        <v>Other</v>
      </c>
      <c r="G7107" t="str" cm="1">
        <f t="array" ref="G7107">SubCategorizeComment(E7107)</f>
        <v>Other</v>
      </c>
    </row>
    <row r="7108" spans="1:7" x14ac:dyDescent="0.25">
      <c r="A7108">
        <v>61710</v>
      </c>
      <c r="B7108" t="s">
        <v>4</v>
      </c>
      <c r="C7108">
        <v>3</v>
      </c>
      <c r="D7108" t="s">
        <v>5</v>
      </c>
      <c r="F7108" t="str" cm="1">
        <f t="array" ref="F7108">CategorizeComment(E7108)</f>
        <v>Other</v>
      </c>
      <c r="G7108" t="str" cm="1">
        <f t="array" ref="G7108">SubCategorizeComment(E7108)</f>
        <v>Other</v>
      </c>
    </row>
    <row r="7109" spans="1:7" x14ac:dyDescent="0.25">
      <c r="A7109">
        <v>61716</v>
      </c>
      <c r="B7109" t="s">
        <v>4</v>
      </c>
      <c r="C7109">
        <v>3</v>
      </c>
      <c r="D7109" t="s">
        <v>5</v>
      </c>
      <c r="F7109" t="str" cm="1">
        <f t="array" ref="F7109">CategorizeComment(E7109)</f>
        <v>Other</v>
      </c>
      <c r="G7109" t="str" cm="1">
        <f t="array" ref="G7109">SubCategorizeComment(E7109)</f>
        <v>Other</v>
      </c>
    </row>
    <row r="7110" spans="1:7" x14ac:dyDescent="0.25">
      <c r="A7110">
        <v>61733</v>
      </c>
      <c r="B7110" t="s">
        <v>4</v>
      </c>
      <c r="C7110">
        <v>4</v>
      </c>
      <c r="D7110" t="s">
        <v>5</v>
      </c>
      <c r="F7110" t="str" cm="1">
        <f t="array" ref="F7110">CategorizeComment(E7110)</f>
        <v>Other</v>
      </c>
      <c r="G7110" t="str" cm="1">
        <f t="array" ref="G7110">SubCategorizeComment(E7110)</f>
        <v>Other</v>
      </c>
    </row>
    <row r="7111" spans="1:7" x14ac:dyDescent="0.25">
      <c r="A7111">
        <v>61734</v>
      </c>
      <c r="B7111" t="s">
        <v>4</v>
      </c>
      <c r="C7111">
        <v>3</v>
      </c>
      <c r="D7111" t="s">
        <v>5</v>
      </c>
      <c r="F7111" t="str" cm="1">
        <f t="array" ref="F7111">CategorizeComment(E7111)</f>
        <v>Other</v>
      </c>
      <c r="G7111" t="str" cm="1">
        <f t="array" ref="G7111">SubCategorizeComment(E7111)</f>
        <v>Other</v>
      </c>
    </row>
    <row r="7112" spans="1:7" x14ac:dyDescent="0.25">
      <c r="A7112">
        <v>61747</v>
      </c>
      <c r="B7112" t="s">
        <v>4</v>
      </c>
      <c r="C7112">
        <v>3</v>
      </c>
      <c r="D7112" t="s">
        <v>5</v>
      </c>
      <c r="F7112" t="str" cm="1">
        <f t="array" ref="F7112">CategorizeComment(E7112)</f>
        <v>Other</v>
      </c>
      <c r="G7112" t="str" cm="1">
        <f t="array" ref="G7112">SubCategorizeComment(E7112)</f>
        <v>Other</v>
      </c>
    </row>
    <row r="7113" spans="1:7" x14ac:dyDescent="0.25">
      <c r="A7113">
        <v>61756</v>
      </c>
      <c r="B7113" t="s">
        <v>4</v>
      </c>
      <c r="C7113">
        <v>3</v>
      </c>
      <c r="D7113" t="s">
        <v>5</v>
      </c>
      <c r="F7113" t="str" cm="1">
        <f t="array" ref="F7113">CategorizeComment(E7113)</f>
        <v>Other</v>
      </c>
      <c r="G7113" t="str" cm="1">
        <f t="array" ref="G7113">SubCategorizeComment(E7113)</f>
        <v>Other</v>
      </c>
    </row>
    <row r="7114" spans="1:7" x14ac:dyDescent="0.25">
      <c r="A7114">
        <v>61775</v>
      </c>
      <c r="B7114" t="s">
        <v>4</v>
      </c>
      <c r="C7114">
        <v>3</v>
      </c>
      <c r="D7114" t="s">
        <v>5</v>
      </c>
      <c r="F7114" t="str" cm="1">
        <f t="array" ref="F7114">CategorizeComment(E7114)</f>
        <v>Other</v>
      </c>
      <c r="G7114" t="str" cm="1">
        <f t="array" ref="G7114">SubCategorizeComment(E7114)</f>
        <v>Other</v>
      </c>
    </row>
    <row r="7115" spans="1:7" x14ac:dyDescent="0.25">
      <c r="A7115">
        <v>61783</v>
      </c>
      <c r="B7115" t="s">
        <v>4</v>
      </c>
      <c r="C7115">
        <v>3</v>
      </c>
      <c r="D7115" t="s">
        <v>5</v>
      </c>
      <c r="F7115" t="str" cm="1">
        <f t="array" ref="F7115">CategorizeComment(E7115)</f>
        <v>Other</v>
      </c>
      <c r="G7115" t="str" cm="1">
        <f t="array" ref="G7115">SubCategorizeComment(E7115)</f>
        <v>Other</v>
      </c>
    </row>
    <row r="7116" spans="1:7" x14ac:dyDescent="0.25">
      <c r="A7116">
        <v>61793</v>
      </c>
      <c r="B7116" t="s">
        <v>4</v>
      </c>
      <c r="C7116">
        <v>3</v>
      </c>
      <c r="D7116" t="s">
        <v>5</v>
      </c>
      <c r="F7116" t="str" cm="1">
        <f t="array" ref="F7116">CategorizeComment(E7116)</f>
        <v>Other</v>
      </c>
      <c r="G7116" t="str" cm="1">
        <f t="array" ref="G7116">SubCategorizeComment(E7116)</f>
        <v>Other</v>
      </c>
    </row>
    <row r="7117" spans="1:7" x14ac:dyDescent="0.25">
      <c r="A7117">
        <v>61806</v>
      </c>
      <c r="B7117" t="s">
        <v>4</v>
      </c>
      <c r="C7117">
        <v>3</v>
      </c>
      <c r="D7117" t="s">
        <v>5</v>
      </c>
      <c r="F7117" t="str" cm="1">
        <f t="array" ref="F7117">CategorizeComment(E7117)</f>
        <v>Other</v>
      </c>
      <c r="G7117" t="str" cm="1">
        <f t="array" ref="G7117">SubCategorizeComment(E7117)</f>
        <v>Other</v>
      </c>
    </row>
    <row r="7118" spans="1:7" x14ac:dyDescent="0.25">
      <c r="A7118">
        <v>61811</v>
      </c>
      <c r="B7118" t="s">
        <v>4</v>
      </c>
      <c r="C7118">
        <v>3</v>
      </c>
      <c r="D7118" t="s">
        <v>5</v>
      </c>
      <c r="F7118" t="str" cm="1">
        <f t="array" ref="F7118">CategorizeComment(E7118)</f>
        <v>Other</v>
      </c>
      <c r="G7118" t="str" cm="1">
        <f t="array" ref="G7118">SubCategorizeComment(E7118)</f>
        <v>Other</v>
      </c>
    </row>
    <row r="7119" spans="1:7" x14ac:dyDescent="0.25">
      <c r="A7119">
        <v>61828</v>
      </c>
      <c r="B7119" t="s">
        <v>4</v>
      </c>
      <c r="C7119">
        <v>4</v>
      </c>
      <c r="D7119" t="s">
        <v>5</v>
      </c>
      <c r="F7119" t="str" cm="1">
        <f t="array" ref="F7119">CategorizeComment(E7119)</f>
        <v>Other</v>
      </c>
      <c r="G7119" t="str" cm="1">
        <f t="array" ref="G7119">SubCategorizeComment(E7119)</f>
        <v>Other</v>
      </c>
    </row>
    <row r="7120" spans="1:7" x14ac:dyDescent="0.25">
      <c r="A7120">
        <v>61846</v>
      </c>
      <c r="B7120" t="s">
        <v>4</v>
      </c>
      <c r="C7120">
        <v>4</v>
      </c>
      <c r="D7120" t="s">
        <v>5</v>
      </c>
      <c r="F7120" t="str" cm="1">
        <f t="array" ref="F7120">CategorizeComment(E7120)</f>
        <v>Other</v>
      </c>
      <c r="G7120" t="str" cm="1">
        <f t="array" ref="G7120">SubCategorizeComment(E7120)</f>
        <v>Other</v>
      </c>
    </row>
    <row r="7121" spans="1:7" x14ac:dyDescent="0.25">
      <c r="A7121">
        <v>61878</v>
      </c>
      <c r="B7121" t="s">
        <v>4</v>
      </c>
      <c r="C7121">
        <v>4</v>
      </c>
      <c r="D7121" t="s">
        <v>5</v>
      </c>
      <c r="F7121" t="str" cm="1">
        <f t="array" ref="F7121">CategorizeComment(E7121)</f>
        <v>Other</v>
      </c>
      <c r="G7121" t="str" cm="1">
        <f t="array" ref="G7121">SubCategorizeComment(E7121)</f>
        <v>Other</v>
      </c>
    </row>
    <row r="7122" spans="1:7" x14ac:dyDescent="0.25">
      <c r="A7122">
        <v>61886</v>
      </c>
      <c r="B7122" t="s">
        <v>4</v>
      </c>
      <c r="C7122">
        <v>4</v>
      </c>
      <c r="D7122" t="s">
        <v>5</v>
      </c>
      <c r="F7122" t="str" cm="1">
        <f t="array" ref="F7122">CategorizeComment(E7122)</f>
        <v>Other</v>
      </c>
      <c r="G7122" t="str" cm="1">
        <f t="array" ref="G7122">SubCategorizeComment(E7122)</f>
        <v>Other</v>
      </c>
    </row>
    <row r="7123" spans="1:7" x14ac:dyDescent="0.25">
      <c r="A7123">
        <v>61897</v>
      </c>
      <c r="B7123" t="s">
        <v>4</v>
      </c>
      <c r="C7123">
        <v>4</v>
      </c>
      <c r="D7123" t="s">
        <v>5</v>
      </c>
      <c r="F7123" t="str" cm="1">
        <f t="array" ref="F7123">CategorizeComment(E7123)</f>
        <v>Other</v>
      </c>
      <c r="G7123" t="str" cm="1">
        <f t="array" ref="G7123">SubCategorizeComment(E7123)</f>
        <v>Other</v>
      </c>
    </row>
    <row r="7124" spans="1:7" x14ac:dyDescent="0.25">
      <c r="A7124">
        <v>61915</v>
      </c>
      <c r="B7124" t="s">
        <v>4</v>
      </c>
      <c r="C7124">
        <v>2</v>
      </c>
      <c r="D7124" t="s">
        <v>5</v>
      </c>
      <c r="F7124" t="str" cm="1">
        <f t="array" ref="F7124">CategorizeComment(E7124)</f>
        <v>Other</v>
      </c>
      <c r="G7124" t="str" cm="1">
        <f t="array" ref="G7124">SubCategorizeComment(E7124)</f>
        <v>Other</v>
      </c>
    </row>
    <row r="7125" spans="1:7" x14ac:dyDescent="0.25">
      <c r="A7125">
        <v>61916</v>
      </c>
      <c r="B7125" t="s">
        <v>4</v>
      </c>
      <c r="C7125">
        <v>4</v>
      </c>
      <c r="D7125" t="s">
        <v>5</v>
      </c>
      <c r="F7125" t="str" cm="1">
        <f t="array" ref="F7125">CategorizeComment(E7125)</f>
        <v>Other</v>
      </c>
      <c r="G7125" t="str" cm="1">
        <f t="array" ref="G7125">SubCategorizeComment(E7125)</f>
        <v>Other</v>
      </c>
    </row>
    <row r="7126" spans="1:7" x14ac:dyDescent="0.25">
      <c r="A7126">
        <v>61936</v>
      </c>
      <c r="B7126" t="s">
        <v>4</v>
      </c>
      <c r="C7126">
        <v>3</v>
      </c>
      <c r="D7126" t="s">
        <v>5</v>
      </c>
      <c r="F7126" t="str" cm="1">
        <f t="array" ref="F7126">CategorizeComment(E7126)</f>
        <v>Other</v>
      </c>
      <c r="G7126" t="str" cm="1">
        <f t="array" ref="G7126">SubCategorizeComment(E7126)</f>
        <v>Other</v>
      </c>
    </row>
    <row r="7127" spans="1:7" x14ac:dyDescent="0.25">
      <c r="A7127">
        <v>61949</v>
      </c>
      <c r="B7127" t="s">
        <v>4</v>
      </c>
      <c r="C7127">
        <v>4</v>
      </c>
      <c r="D7127" t="s">
        <v>5</v>
      </c>
      <c r="F7127" t="str" cm="1">
        <f t="array" ref="F7127">CategorizeComment(E7127)</f>
        <v>Other</v>
      </c>
      <c r="G7127" t="str" cm="1">
        <f t="array" ref="G7127">SubCategorizeComment(E7127)</f>
        <v>Other</v>
      </c>
    </row>
    <row r="7128" spans="1:7" x14ac:dyDescent="0.25">
      <c r="A7128">
        <v>61969</v>
      </c>
      <c r="B7128" t="s">
        <v>4</v>
      </c>
      <c r="C7128">
        <v>3</v>
      </c>
      <c r="D7128" t="s">
        <v>5</v>
      </c>
      <c r="F7128" t="str" cm="1">
        <f t="array" ref="F7128">CategorizeComment(E7128)</f>
        <v>Other</v>
      </c>
      <c r="G7128" t="str" cm="1">
        <f t="array" ref="G7128">SubCategorizeComment(E7128)</f>
        <v>Other</v>
      </c>
    </row>
    <row r="7129" spans="1:7" x14ac:dyDescent="0.25">
      <c r="A7129">
        <v>62016</v>
      </c>
      <c r="B7129" t="s">
        <v>4</v>
      </c>
      <c r="C7129">
        <v>3</v>
      </c>
      <c r="D7129" t="s">
        <v>5</v>
      </c>
      <c r="F7129" t="str" cm="1">
        <f t="array" ref="F7129">CategorizeComment(E7129)</f>
        <v>Other</v>
      </c>
      <c r="G7129" t="str" cm="1">
        <f t="array" ref="G7129">SubCategorizeComment(E7129)</f>
        <v>Other</v>
      </c>
    </row>
    <row r="7130" spans="1:7" x14ac:dyDescent="0.25">
      <c r="A7130">
        <v>62023</v>
      </c>
      <c r="B7130" t="s">
        <v>4</v>
      </c>
      <c r="C7130">
        <v>4</v>
      </c>
      <c r="D7130" t="s">
        <v>5</v>
      </c>
      <c r="F7130" t="str" cm="1">
        <f t="array" ref="F7130">CategorizeComment(E7130)</f>
        <v>Other</v>
      </c>
      <c r="G7130" t="str" cm="1">
        <f t="array" ref="G7130">SubCategorizeComment(E7130)</f>
        <v>Other</v>
      </c>
    </row>
    <row r="7131" spans="1:7" x14ac:dyDescent="0.25">
      <c r="A7131">
        <v>62030</v>
      </c>
      <c r="B7131" t="s">
        <v>4</v>
      </c>
      <c r="C7131">
        <v>4</v>
      </c>
      <c r="D7131" t="s">
        <v>5</v>
      </c>
      <c r="F7131" t="str" cm="1">
        <f t="array" ref="F7131">CategorizeComment(E7131)</f>
        <v>Other</v>
      </c>
      <c r="G7131" t="str" cm="1">
        <f t="array" ref="G7131">SubCategorizeComment(E7131)</f>
        <v>Other</v>
      </c>
    </row>
    <row r="7132" spans="1:7" x14ac:dyDescent="0.25">
      <c r="A7132">
        <v>62034</v>
      </c>
      <c r="B7132" t="s">
        <v>4</v>
      </c>
      <c r="C7132">
        <v>4</v>
      </c>
      <c r="D7132" t="s">
        <v>5</v>
      </c>
      <c r="F7132" t="str" cm="1">
        <f t="array" ref="F7132">CategorizeComment(E7132)</f>
        <v>Other</v>
      </c>
      <c r="G7132" t="str" cm="1">
        <f t="array" ref="G7132">SubCategorizeComment(E7132)</f>
        <v>Other</v>
      </c>
    </row>
    <row r="7133" spans="1:7" x14ac:dyDescent="0.25">
      <c r="A7133">
        <v>62045</v>
      </c>
      <c r="B7133" t="s">
        <v>4</v>
      </c>
      <c r="C7133">
        <v>3</v>
      </c>
      <c r="D7133" t="s">
        <v>5</v>
      </c>
      <c r="F7133" t="str" cm="1">
        <f t="array" ref="F7133">CategorizeComment(E7133)</f>
        <v>Other</v>
      </c>
      <c r="G7133" t="str" cm="1">
        <f t="array" ref="G7133">SubCategorizeComment(E7133)</f>
        <v>Other</v>
      </c>
    </row>
    <row r="7134" spans="1:7" x14ac:dyDescent="0.25">
      <c r="A7134">
        <v>62048</v>
      </c>
      <c r="B7134" t="s">
        <v>4</v>
      </c>
      <c r="C7134">
        <v>4</v>
      </c>
      <c r="D7134" t="s">
        <v>5</v>
      </c>
      <c r="F7134" t="str" cm="1">
        <f t="array" ref="F7134">CategorizeComment(E7134)</f>
        <v>Other</v>
      </c>
      <c r="G7134" t="str" cm="1">
        <f t="array" ref="G7134">SubCategorizeComment(E7134)</f>
        <v>Other</v>
      </c>
    </row>
    <row r="7135" spans="1:7" x14ac:dyDescent="0.25">
      <c r="A7135">
        <v>62051</v>
      </c>
      <c r="B7135" t="s">
        <v>4</v>
      </c>
      <c r="C7135">
        <v>4</v>
      </c>
      <c r="D7135" t="s">
        <v>5</v>
      </c>
      <c r="F7135" t="str" cm="1">
        <f t="array" ref="F7135">CategorizeComment(E7135)</f>
        <v>Other</v>
      </c>
      <c r="G7135" t="str" cm="1">
        <f t="array" ref="G7135">SubCategorizeComment(E7135)</f>
        <v>Other</v>
      </c>
    </row>
    <row r="7136" spans="1:7" x14ac:dyDescent="0.25">
      <c r="A7136">
        <v>62053</v>
      </c>
      <c r="B7136" t="s">
        <v>4</v>
      </c>
      <c r="C7136">
        <v>4</v>
      </c>
      <c r="D7136" t="s">
        <v>5</v>
      </c>
      <c r="F7136" t="str" cm="1">
        <f t="array" ref="F7136">CategorizeComment(E7136)</f>
        <v>Other</v>
      </c>
      <c r="G7136" t="str" cm="1">
        <f t="array" ref="G7136">SubCategorizeComment(E7136)</f>
        <v>Other</v>
      </c>
    </row>
    <row r="7137" spans="1:7" x14ac:dyDescent="0.25">
      <c r="A7137">
        <v>62063</v>
      </c>
      <c r="B7137" t="s">
        <v>4</v>
      </c>
      <c r="C7137">
        <v>3</v>
      </c>
      <c r="D7137" t="s">
        <v>5</v>
      </c>
      <c r="F7137" t="str" cm="1">
        <f t="array" ref="F7137">CategorizeComment(E7137)</f>
        <v>Other</v>
      </c>
      <c r="G7137" t="str" cm="1">
        <f t="array" ref="G7137">SubCategorizeComment(E7137)</f>
        <v>Other</v>
      </c>
    </row>
    <row r="7138" spans="1:7" x14ac:dyDescent="0.25">
      <c r="A7138">
        <v>62082</v>
      </c>
      <c r="B7138" t="s">
        <v>4</v>
      </c>
      <c r="C7138">
        <v>3</v>
      </c>
      <c r="D7138" t="s">
        <v>5</v>
      </c>
      <c r="F7138" t="str" cm="1">
        <f t="array" ref="F7138">CategorizeComment(E7138)</f>
        <v>Other</v>
      </c>
      <c r="G7138" t="str" cm="1">
        <f t="array" ref="G7138">SubCategorizeComment(E7138)</f>
        <v>Other</v>
      </c>
    </row>
    <row r="7139" spans="1:7" x14ac:dyDescent="0.25">
      <c r="A7139">
        <v>62148</v>
      </c>
      <c r="B7139" t="s">
        <v>4</v>
      </c>
      <c r="C7139">
        <v>3</v>
      </c>
      <c r="D7139" t="s">
        <v>5</v>
      </c>
      <c r="F7139" t="str" cm="1">
        <f t="array" ref="F7139">CategorizeComment(E7139)</f>
        <v>Other</v>
      </c>
      <c r="G7139" t="str" cm="1">
        <f t="array" ref="G7139">SubCategorizeComment(E7139)</f>
        <v>Other</v>
      </c>
    </row>
    <row r="7140" spans="1:7" x14ac:dyDescent="0.25">
      <c r="A7140">
        <v>62150</v>
      </c>
      <c r="B7140" t="s">
        <v>4</v>
      </c>
      <c r="C7140">
        <v>4</v>
      </c>
      <c r="D7140" t="s">
        <v>5</v>
      </c>
      <c r="F7140" t="str" cm="1">
        <f t="array" ref="F7140">CategorizeComment(E7140)</f>
        <v>Other</v>
      </c>
      <c r="G7140" t="str" cm="1">
        <f t="array" ref="G7140">SubCategorizeComment(E7140)</f>
        <v>Other</v>
      </c>
    </row>
    <row r="7141" spans="1:7" x14ac:dyDescent="0.25">
      <c r="A7141">
        <v>62163</v>
      </c>
      <c r="B7141" t="s">
        <v>4</v>
      </c>
      <c r="C7141">
        <v>3</v>
      </c>
      <c r="D7141" t="s">
        <v>5</v>
      </c>
      <c r="F7141" t="str" cm="1">
        <f t="array" ref="F7141">CategorizeComment(E7141)</f>
        <v>Other</v>
      </c>
      <c r="G7141" t="str" cm="1">
        <f t="array" ref="G7141">SubCategorizeComment(E7141)</f>
        <v>Other</v>
      </c>
    </row>
    <row r="7142" spans="1:7" x14ac:dyDescent="0.25">
      <c r="A7142">
        <v>62165</v>
      </c>
      <c r="B7142" t="s">
        <v>4</v>
      </c>
      <c r="C7142">
        <v>3</v>
      </c>
      <c r="D7142" t="s">
        <v>5</v>
      </c>
      <c r="F7142" t="str" cm="1">
        <f t="array" ref="F7142">CategorizeComment(E7142)</f>
        <v>Other</v>
      </c>
      <c r="G7142" t="str" cm="1">
        <f t="array" ref="G7142">SubCategorizeComment(E7142)</f>
        <v>Other</v>
      </c>
    </row>
    <row r="7143" spans="1:7" x14ac:dyDescent="0.25">
      <c r="A7143">
        <v>62166</v>
      </c>
      <c r="B7143" t="s">
        <v>4</v>
      </c>
      <c r="C7143">
        <v>4</v>
      </c>
      <c r="D7143" t="s">
        <v>5</v>
      </c>
      <c r="F7143" t="str" cm="1">
        <f t="array" ref="F7143">CategorizeComment(E7143)</f>
        <v>Other</v>
      </c>
      <c r="G7143" t="str" cm="1">
        <f t="array" ref="G7143">SubCategorizeComment(E7143)</f>
        <v>Other</v>
      </c>
    </row>
    <row r="7144" spans="1:7" x14ac:dyDescent="0.25">
      <c r="A7144">
        <v>62172</v>
      </c>
      <c r="B7144" t="s">
        <v>4</v>
      </c>
      <c r="C7144">
        <v>3</v>
      </c>
      <c r="D7144" t="s">
        <v>5</v>
      </c>
      <c r="F7144" t="str" cm="1">
        <f t="array" ref="F7144">CategorizeComment(E7144)</f>
        <v>Other</v>
      </c>
      <c r="G7144" t="str" cm="1">
        <f t="array" ref="G7144">SubCategorizeComment(E7144)</f>
        <v>Other</v>
      </c>
    </row>
    <row r="7145" spans="1:7" x14ac:dyDescent="0.25">
      <c r="A7145">
        <v>62173</v>
      </c>
      <c r="B7145" t="s">
        <v>4</v>
      </c>
      <c r="C7145">
        <v>4</v>
      </c>
      <c r="D7145" t="s">
        <v>5</v>
      </c>
      <c r="F7145" t="str" cm="1">
        <f t="array" ref="F7145">CategorizeComment(E7145)</f>
        <v>Other</v>
      </c>
      <c r="G7145" t="str" cm="1">
        <f t="array" ref="G7145">SubCategorizeComment(E7145)</f>
        <v>Other</v>
      </c>
    </row>
    <row r="7146" spans="1:7" x14ac:dyDescent="0.25">
      <c r="A7146">
        <v>62175</v>
      </c>
      <c r="B7146" t="s">
        <v>4</v>
      </c>
      <c r="C7146">
        <v>4</v>
      </c>
      <c r="D7146" t="s">
        <v>5</v>
      </c>
      <c r="F7146" t="str" cm="1">
        <f t="array" ref="F7146">CategorizeComment(E7146)</f>
        <v>Other</v>
      </c>
      <c r="G7146" t="str" cm="1">
        <f t="array" ref="G7146">SubCategorizeComment(E7146)</f>
        <v>Other</v>
      </c>
    </row>
    <row r="7147" spans="1:7" x14ac:dyDescent="0.25">
      <c r="A7147">
        <v>62176</v>
      </c>
      <c r="B7147" t="s">
        <v>4</v>
      </c>
      <c r="C7147">
        <v>3</v>
      </c>
      <c r="D7147" t="s">
        <v>5</v>
      </c>
      <c r="F7147" t="str" cm="1">
        <f t="array" ref="F7147">CategorizeComment(E7147)</f>
        <v>Other</v>
      </c>
      <c r="G7147" t="str" cm="1">
        <f t="array" ref="G7147">SubCategorizeComment(E7147)</f>
        <v>Other</v>
      </c>
    </row>
    <row r="7148" spans="1:7" x14ac:dyDescent="0.25">
      <c r="A7148">
        <v>62177</v>
      </c>
      <c r="B7148" t="s">
        <v>4</v>
      </c>
      <c r="C7148">
        <v>3</v>
      </c>
      <c r="D7148" t="s">
        <v>5</v>
      </c>
      <c r="F7148" t="str" cm="1">
        <f t="array" ref="F7148">CategorizeComment(E7148)</f>
        <v>Other</v>
      </c>
      <c r="G7148" t="str" cm="1">
        <f t="array" ref="G7148">SubCategorizeComment(E7148)</f>
        <v>Other</v>
      </c>
    </row>
    <row r="7149" spans="1:7" x14ac:dyDescent="0.25">
      <c r="A7149">
        <v>62181</v>
      </c>
      <c r="B7149" t="s">
        <v>4</v>
      </c>
      <c r="C7149">
        <v>4</v>
      </c>
      <c r="D7149" t="s">
        <v>5</v>
      </c>
      <c r="F7149" t="str" cm="1">
        <f t="array" ref="F7149">CategorizeComment(E7149)</f>
        <v>Other</v>
      </c>
      <c r="G7149" t="str" cm="1">
        <f t="array" ref="G7149">SubCategorizeComment(E7149)</f>
        <v>Other</v>
      </c>
    </row>
    <row r="7150" spans="1:7" x14ac:dyDescent="0.25">
      <c r="A7150">
        <v>62196</v>
      </c>
      <c r="B7150" t="s">
        <v>4</v>
      </c>
      <c r="C7150">
        <v>4</v>
      </c>
      <c r="D7150" t="s">
        <v>5</v>
      </c>
      <c r="F7150" t="str" cm="1">
        <f t="array" ref="F7150">CategorizeComment(E7150)</f>
        <v>Other</v>
      </c>
      <c r="G7150" t="str" cm="1">
        <f t="array" ref="G7150">SubCategorizeComment(E7150)</f>
        <v>Other</v>
      </c>
    </row>
    <row r="7151" spans="1:7" x14ac:dyDescent="0.25">
      <c r="A7151">
        <v>62199</v>
      </c>
      <c r="B7151" t="s">
        <v>4</v>
      </c>
      <c r="C7151">
        <v>4</v>
      </c>
      <c r="D7151" t="s">
        <v>5</v>
      </c>
      <c r="F7151" t="str" cm="1">
        <f t="array" ref="F7151">CategorizeComment(E7151)</f>
        <v>Other</v>
      </c>
      <c r="G7151" t="str" cm="1">
        <f t="array" ref="G7151">SubCategorizeComment(E7151)</f>
        <v>Other</v>
      </c>
    </row>
    <row r="7152" spans="1:7" x14ac:dyDescent="0.25">
      <c r="A7152">
        <v>62203</v>
      </c>
      <c r="B7152" t="s">
        <v>4</v>
      </c>
      <c r="C7152">
        <v>4</v>
      </c>
      <c r="D7152" t="s">
        <v>5</v>
      </c>
      <c r="F7152" t="str" cm="1">
        <f t="array" ref="F7152">CategorizeComment(E7152)</f>
        <v>Other</v>
      </c>
      <c r="G7152" t="str" cm="1">
        <f t="array" ref="G7152">SubCategorizeComment(E7152)</f>
        <v>Other</v>
      </c>
    </row>
    <row r="7153" spans="1:7" x14ac:dyDescent="0.25">
      <c r="A7153">
        <v>62207</v>
      </c>
      <c r="B7153" t="s">
        <v>4</v>
      </c>
      <c r="C7153">
        <v>3</v>
      </c>
      <c r="D7153" t="s">
        <v>5</v>
      </c>
      <c r="F7153" t="str" cm="1">
        <f t="array" ref="F7153">CategorizeComment(E7153)</f>
        <v>Other</v>
      </c>
      <c r="G7153" t="str" cm="1">
        <f t="array" ref="G7153">SubCategorizeComment(E7153)</f>
        <v>Other</v>
      </c>
    </row>
    <row r="7154" spans="1:7" x14ac:dyDescent="0.25">
      <c r="A7154">
        <v>62208</v>
      </c>
      <c r="B7154" t="s">
        <v>4</v>
      </c>
      <c r="C7154">
        <v>4</v>
      </c>
      <c r="D7154" t="s">
        <v>5</v>
      </c>
      <c r="F7154" t="str" cm="1">
        <f t="array" ref="F7154">CategorizeComment(E7154)</f>
        <v>Other</v>
      </c>
      <c r="G7154" t="str" cm="1">
        <f t="array" ref="G7154">SubCategorizeComment(E7154)</f>
        <v>Other</v>
      </c>
    </row>
    <row r="7155" spans="1:7" x14ac:dyDescent="0.25">
      <c r="A7155">
        <v>62210</v>
      </c>
      <c r="B7155" t="s">
        <v>4</v>
      </c>
      <c r="C7155">
        <v>4</v>
      </c>
      <c r="D7155" t="s">
        <v>5</v>
      </c>
      <c r="F7155" t="str" cm="1">
        <f t="array" ref="F7155">CategorizeComment(E7155)</f>
        <v>Other</v>
      </c>
      <c r="G7155" t="str" cm="1">
        <f t="array" ref="G7155">SubCategorizeComment(E7155)</f>
        <v>Other</v>
      </c>
    </row>
    <row r="7156" spans="1:7" x14ac:dyDescent="0.25">
      <c r="A7156">
        <v>62218</v>
      </c>
      <c r="B7156" t="s">
        <v>4</v>
      </c>
      <c r="C7156">
        <v>4</v>
      </c>
      <c r="D7156" t="s">
        <v>5</v>
      </c>
      <c r="F7156" t="str" cm="1">
        <f t="array" ref="F7156">CategorizeComment(E7156)</f>
        <v>Other</v>
      </c>
      <c r="G7156" t="str" cm="1">
        <f t="array" ref="G7156">SubCategorizeComment(E7156)</f>
        <v>Other</v>
      </c>
    </row>
    <row r="7157" spans="1:7" x14ac:dyDescent="0.25">
      <c r="A7157">
        <v>62233</v>
      </c>
      <c r="B7157" t="s">
        <v>4</v>
      </c>
      <c r="C7157">
        <v>3</v>
      </c>
      <c r="D7157" t="s">
        <v>5</v>
      </c>
      <c r="F7157" t="str" cm="1">
        <f t="array" ref="F7157">CategorizeComment(E7157)</f>
        <v>Other</v>
      </c>
      <c r="G7157" t="str" cm="1">
        <f t="array" ref="G7157">SubCategorizeComment(E7157)</f>
        <v>Other</v>
      </c>
    </row>
    <row r="7158" spans="1:7" x14ac:dyDescent="0.25">
      <c r="A7158">
        <v>62235</v>
      </c>
      <c r="B7158" t="s">
        <v>4</v>
      </c>
      <c r="C7158">
        <v>4</v>
      </c>
      <c r="D7158" t="s">
        <v>5</v>
      </c>
      <c r="F7158" t="str" cm="1">
        <f t="array" ref="F7158">CategorizeComment(E7158)</f>
        <v>Other</v>
      </c>
      <c r="G7158" t="str" cm="1">
        <f t="array" ref="G7158">SubCategorizeComment(E7158)</f>
        <v>Other</v>
      </c>
    </row>
    <row r="7159" spans="1:7" x14ac:dyDescent="0.25">
      <c r="A7159">
        <v>62243</v>
      </c>
      <c r="B7159" t="s">
        <v>4</v>
      </c>
      <c r="C7159">
        <v>4</v>
      </c>
      <c r="D7159" t="s">
        <v>5</v>
      </c>
      <c r="F7159" t="str" cm="1">
        <f t="array" ref="F7159">CategorizeComment(E7159)</f>
        <v>Other</v>
      </c>
      <c r="G7159" t="str" cm="1">
        <f t="array" ref="G7159">SubCategorizeComment(E7159)</f>
        <v>Other</v>
      </c>
    </row>
    <row r="7160" spans="1:7" x14ac:dyDescent="0.25">
      <c r="A7160">
        <v>62248</v>
      </c>
      <c r="B7160" t="s">
        <v>4</v>
      </c>
      <c r="C7160">
        <v>3</v>
      </c>
      <c r="D7160" t="s">
        <v>5</v>
      </c>
      <c r="F7160" t="str" cm="1">
        <f t="array" ref="F7160">CategorizeComment(E7160)</f>
        <v>Other</v>
      </c>
      <c r="G7160" t="str" cm="1">
        <f t="array" ref="G7160">SubCategorizeComment(E7160)</f>
        <v>Other</v>
      </c>
    </row>
    <row r="7161" spans="1:7" x14ac:dyDescent="0.25">
      <c r="A7161">
        <v>62251</v>
      </c>
      <c r="B7161" t="s">
        <v>4</v>
      </c>
      <c r="C7161">
        <v>3</v>
      </c>
      <c r="D7161" t="s">
        <v>5</v>
      </c>
      <c r="F7161" t="str" cm="1">
        <f t="array" ref="F7161">CategorizeComment(E7161)</f>
        <v>Other</v>
      </c>
      <c r="G7161" t="str" cm="1">
        <f t="array" ref="G7161">SubCategorizeComment(E7161)</f>
        <v>Other</v>
      </c>
    </row>
    <row r="7162" spans="1:7" x14ac:dyDescent="0.25">
      <c r="A7162">
        <v>62262</v>
      </c>
      <c r="B7162" t="s">
        <v>4</v>
      </c>
      <c r="C7162">
        <v>4</v>
      </c>
      <c r="D7162" t="s">
        <v>5</v>
      </c>
      <c r="F7162" t="str" cm="1">
        <f t="array" ref="F7162">CategorizeComment(E7162)</f>
        <v>Other</v>
      </c>
      <c r="G7162" t="str" cm="1">
        <f t="array" ref="G7162">SubCategorizeComment(E7162)</f>
        <v>Other</v>
      </c>
    </row>
    <row r="7163" spans="1:7" x14ac:dyDescent="0.25">
      <c r="A7163">
        <v>62267</v>
      </c>
      <c r="B7163" t="s">
        <v>4</v>
      </c>
      <c r="C7163">
        <v>3</v>
      </c>
      <c r="D7163" t="s">
        <v>5</v>
      </c>
      <c r="F7163" t="str" cm="1">
        <f t="array" ref="F7163">CategorizeComment(E7163)</f>
        <v>Other</v>
      </c>
      <c r="G7163" t="str" cm="1">
        <f t="array" ref="G7163">SubCategorizeComment(E7163)</f>
        <v>Other</v>
      </c>
    </row>
    <row r="7164" spans="1:7" x14ac:dyDescent="0.25">
      <c r="A7164">
        <v>62269</v>
      </c>
      <c r="B7164" t="s">
        <v>4</v>
      </c>
      <c r="C7164">
        <v>3</v>
      </c>
      <c r="D7164" t="s">
        <v>5</v>
      </c>
      <c r="F7164" t="str" cm="1">
        <f t="array" ref="F7164">CategorizeComment(E7164)</f>
        <v>Other</v>
      </c>
      <c r="G7164" t="str" cm="1">
        <f t="array" ref="G7164">SubCategorizeComment(E7164)</f>
        <v>Other</v>
      </c>
    </row>
    <row r="7165" spans="1:7" x14ac:dyDescent="0.25">
      <c r="A7165">
        <v>62297</v>
      </c>
      <c r="B7165" t="s">
        <v>4</v>
      </c>
      <c r="C7165">
        <v>3</v>
      </c>
      <c r="D7165" t="s">
        <v>5</v>
      </c>
      <c r="F7165" t="str" cm="1">
        <f t="array" ref="F7165">CategorizeComment(E7165)</f>
        <v>Other</v>
      </c>
      <c r="G7165" t="str" cm="1">
        <f t="array" ref="G7165">SubCategorizeComment(E7165)</f>
        <v>Other</v>
      </c>
    </row>
    <row r="7166" spans="1:7" x14ac:dyDescent="0.25">
      <c r="A7166">
        <v>62304</v>
      </c>
      <c r="B7166" t="s">
        <v>4</v>
      </c>
      <c r="C7166">
        <v>4</v>
      </c>
      <c r="D7166" t="s">
        <v>5</v>
      </c>
      <c r="F7166" t="str" cm="1">
        <f t="array" ref="F7166">CategorizeComment(E7166)</f>
        <v>Other</v>
      </c>
      <c r="G7166" t="str" cm="1">
        <f t="array" ref="G7166">SubCategorizeComment(E7166)</f>
        <v>Other</v>
      </c>
    </row>
    <row r="7167" spans="1:7" x14ac:dyDescent="0.25">
      <c r="A7167">
        <v>62305</v>
      </c>
      <c r="B7167" t="s">
        <v>4</v>
      </c>
      <c r="C7167">
        <v>3</v>
      </c>
      <c r="D7167" t="s">
        <v>5</v>
      </c>
      <c r="F7167" t="str" cm="1">
        <f t="array" ref="F7167">CategorizeComment(E7167)</f>
        <v>Other</v>
      </c>
      <c r="G7167" t="str" cm="1">
        <f t="array" ref="G7167">SubCategorizeComment(E7167)</f>
        <v>Other</v>
      </c>
    </row>
    <row r="7168" spans="1:7" x14ac:dyDescent="0.25">
      <c r="A7168">
        <v>62307</v>
      </c>
      <c r="B7168" t="s">
        <v>4</v>
      </c>
      <c r="C7168">
        <v>3</v>
      </c>
      <c r="D7168" t="s">
        <v>5</v>
      </c>
      <c r="F7168" t="str" cm="1">
        <f t="array" ref="F7168">CategorizeComment(E7168)</f>
        <v>Other</v>
      </c>
      <c r="G7168" t="str" cm="1">
        <f t="array" ref="G7168">SubCategorizeComment(E7168)</f>
        <v>Other</v>
      </c>
    </row>
    <row r="7169" spans="1:7" x14ac:dyDescent="0.25">
      <c r="A7169">
        <v>62310</v>
      </c>
      <c r="B7169" t="s">
        <v>4</v>
      </c>
      <c r="C7169">
        <v>4</v>
      </c>
      <c r="D7169" t="s">
        <v>5</v>
      </c>
      <c r="F7169" t="str" cm="1">
        <f t="array" ref="F7169">CategorizeComment(E7169)</f>
        <v>Other</v>
      </c>
      <c r="G7169" t="str" cm="1">
        <f t="array" ref="G7169">SubCategorizeComment(E7169)</f>
        <v>Other</v>
      </c>
    </row>
    <row r="7170" spans="1:7" x14ac:dyDescent="0.25">
      <c r="A7170">
        <v>62317</v>
      </c>
      <c r="B7170" t="s">
        <v>4</v>
      </c>
      <c r="C7170">
        <v>3</v>
      </c>
      <c r="D7170" t="s">
        <v>5</v>
      </c>
      <c r="F7170" t="str" cm="1">
        <f t="array" ref="F7170">CategorizeComment(E7170)</f>
        <v>Other</v>
      </c>
      <c r="G7170" t="str" cm="1">
        <f t="array" ref="G7170">SubCategorizeComment(E7170)</f>
        <v>Other</v>
      </c>
    </row>
    <row r="7171" spans="1:7" x14ac:dyDescent="0.25">
      <c r="A7171">
        <v>62318</v>
      </c>
      <c r="B7171" t="s">
        <v>4</v>
      </c>
      <c r="C7171">
        <v>4</v>
      </c>
      <c r="D7171" t="s">
        <v>5</v>
      </c>
      <c r="F7171" t="str" cm="1">
        <f t="array" ref="F7171">CategorizeComment(E7171)</f>
        <v>Other</v>
      </c>
      <c r="G7171" t="str" cm="1">
        <f t="array" ref="G7171">SubCategorizeComment(E7171)</f>
        <v>Other</v>
      </c>
    </row>
    <row r="7172" spans="1:7" x14ac:dyDescent="0.25">
      <c r="A7172">
        <v>62320</v>
      </c>
      <c r="B7172" t="s">
        <v>4</v>
      </c>
      <c r="C7172">
        <v>4</v>
      </c>
      <c r="D7172" t="s">
        <v>5</v>
      </c>
      <c r="F7172" t="str" cm="1">
        <f t="array" ref="F7172">CategorizeComment(E7172)</f>
        <v>Other</v>
      </c>
      <c r="G7172" t="str" cm="1">
        <f t="array" ref="G7172">SubCategorizeComment(E7172)</f>
        <v>Other</v>
      </c>
    </row>
    <row r="7173" spans="1:7" x14ac:dyDescent="0.25">
      <c r="A7173">
        <v>62331</v>
      </c>
      <c r="B7173" t="s">
        <v>4</v>
      </c>
      <c r="C7173">
        <v>3</v>
      </c>
      <c r="D7173" t="s">
        <v>5</v>
      </c>
      <c r="F7173" t="str" cm="1">
        <f t="array" ref="F7173">CategorizeComment(E7173)</f>
        <v>Other</v>
      </c>
      <c r="G7173" t="str" cm="1">
        <f t="array" ref="G7173">SubCategorizeComment(E7173)</f>
        <v>Other</v>
      </c>
    </row>
    <row r="7174" spans="1:7" x14ac:dyDescent="0.25">
      <c r="A7174">
        <v>62332</v>
      </c>
      <c r="B7174" t="s">
        <v>4</v>
      </c>
      <c r="C7174">
        <v>4</v>
      </c>
      <c r="D7174" t="s">
        <v>5</v>
      </c>
      <c r="F7174" t="str" cm="1">
        <f t="array" ref="F7174">CategorizeComment(E7174)</f>
        <v>Other</v>
      </c>
      <c r="G7174" t="str" cm="1">
        <f t="array" ref="G7174">SubCategorizeComment(E7174)</f>
        <v>Other</v>
      </c>
    </row>
    <row r="7175" spans="1:7" x14ac:dyDescent="0.25">
      <c r="A7175">
        <v>62337</v>
      </c>
      <c r="B7175" t="s">
        <v>4</v>
      </c>
      <c r="C7175">
        <v>4</v>
      </c>
      <c r="D7175" t="s">
        <v>5</v>
      </c>
      <c r="F7175" t="str" cm="1">
        <f t="array" ref="F7175">CategorizeComment(E7175)</f>
        <v>Other</v>
      </c>
      <c r="G7175" t="str" cm="1">
        <f t="array" ref="G7175">SubCategorizeComment(E7175)</f>
        <v>Other</v>
      </c>
    </row>
    <row r="7176" spans="1:7" x14ac:dyDescent="0.25">
      <c r="A7176">
        <v>62346</v>
      </c>
      <c r="B7176" t="s">
        <v>4</v>
      </c>
      <c r="C7176">
        <v>4</v>
      </c>
      <c r="D7176" t="s">
        <v>5</v>
      </c>
      <c r="F7176" t="str" cm="1">
        <f t="array" ref="F7176">CategorizeComment(E7176)</f>
        <v>Other</v>
      </c>
      <c r="G7176" t="str" cm="1">
        <f t="array" ref="G7176">SubCategorizeComment(E7176)</f>
        <v>Other</v>
      </c>
    </row>
    <row r="7177" spans="1:7" x14ac:dyDescent="0.25">
      <c r="A7177">
        <v>62356</v>
      </c>
      <c r="B7177" t="s">
        <v>4</v>
      </c>
      <c r="C7177">
        <v>4</v>
      </c>
      <c r="D7177" t="s">
        <v>5</v>
      </c>
      <c r="F7177" t="str" cm="1">
        <f t="array" ref="F7177">CategorizeComment(E7177)</f>
        <v>Other</v>
      </c>
      <c r="G7177" t="str" cm="1">
        <f t="array" ref="G7177">SubCategorizeComment(E7177)</f>
        <v>Other</v>
      </c>
    </row>
    <row r="7178" spans="1:7" x14ac:dyDescent="0.25">
      <c r="A7178">
        <v>62357</v>
      </c>
      <c r="B7178" t="s">
        <v>4</v>
      </c>
      <c r="C7178">
        <v>3</v>
      </c>
      <c r="D7178" t="s">
        <v>5</v>
      </c>
      <c r="F7178" t="str" cm="1">
        <f t="array" ref="F7178">CategorizeComment(E7178)</f>
        <v>Other</v>
      </c>
      <c r="G7178" t="str" cm="1">
        <f t="array" ref="G7178">SubCategorizeComment(E7178)</f>
        <v>Other</v>
      </c>
    </row>
    <row r="7179" spans="1:7" x14ac:dyDescent="0.25">
      <c r="A7179">
        <v>62385</v>
      </c>
      <c r="B7179" t="s">
        <v>4</v>
      </c>
      <c r="C7179">
        <v>4</v>
      </c>
      <c r="D7179" t="s">
        <v>5</v>
      </c>
      <c r="F7179" t="str" cm="1">
        <f t="array" ref="F7179">CategorizeComment(E7179)</f>
        <v>Other</v>
      </c>
      <c r="G7179" t="str" cm="1">
        <f t="array" ref="G7179">SubCategorizeComment(E7179)</f>
        <v>Other</v>
      </c>
    </row>
    <row r="7180" spans="1:7" x14ac:dyDescent="0.25">
      <c r="A7180">
        <v>62389</v>
      </c>
      <c r="B7180" t="s">
        <v>4</v>
      </c>
      <c r="C7180">
        <v>3</v>
      </c>
      <c r="D7180" t="s">
        <v>5</v>
      </c>
      <c r="F7180" t="str" cm="1">
        <f t="array" ref="F7180">CategorizeComment(E7180)</f>
        <v>Other</v>
      </c>
      <c r="G7180" t="str" cm="1">
        <f t="array" ref="G7180">SubCategorizeComment(E7180)</f>
        <v>Other</v>
      </c>
    </row>
    <row r="7181" spans="1:7" x14ac:dyDescent="0.25">
      <c r="A7181">
        <v>62392</v>
      </c>
      <c r="B7181" t="s">
        <v>4</v>
      </c>
      <c r="C7181">
        <v>3</v>
      </c>
      <c r="D7181" t="s">
        <v>5</v>
      </c>
      <c r="F7181" t="str" cm="1">
        <f t="array" ref="F7181">CategorizeComment(E7181)</f>
        <v>Other</v>
      </c>
      <c r="G7181" t="str" cm="1">
        <f t="array" ref="G7181">SubCategorizeComment(E7181)</f>
        <v>Other</v>
      </c>
    </row>
    <row r="7182" spans="1:7" x14ac:dyDescent="0.25">
      <c r="A7182">
        <v>62398</v>
      </c>
      <c r="B7182" t="s">
        <v>4</v>
      </c>
      <c r="C7182">
        <v>3</v>
      </c>
      <c r="D7182" t="s">
        <v>5</v>
      </c>
      <c r="F7182" t="str" cm="1">
        <f t="array" ref="F7182">CategorizeComment(E7182)</f>
        <v>Other</v>
      </c>
      <c r="G7182" t="str" cm="1">
        <f t="array" ref="G7182">SubCategorizeComment(E7182)</f>
        <v>Other</v>
      </c>
    </row>
    <row r="7183" spans="1:7" x14ac:dyDescent="0.25">
      <c r="A7183">
        <v>62405</v>
      </c>
      <c r="B7183" t="s">
        <v>4</v>
      </c>
      <c r="C7183">
        <v>4</v>
      </c>
      <c r="D7183" t="s">
        <v>5</v>
      </c>
      <c r="F7183" t="str" cm="1">
        <f t="array" ref="F7183">CategorizeComment(E7183)</f>
        <v>Other</v>
      </c>
      <c r="G7183" t="str" cm="1">
        <f t="array" ref="G7183">SubCategorizeComment(E7183)</f>
        <v>Other</v>
      </c>
    </row>
    <row r="7184" spans="1:7" x14ac:dyDescent="0.25">
      <c r="A7184">
        <v>62461</v>
      </c>
      <c r="B7184" t="s">
        <v>4</v>
      </c>
      <c r="C7184">
        <v>3</v>
      </c>
      <c r="D7184" t="s">
        <v>5</v>
      </c>
      <c r="F7184" t="str" cm="1">
        <f t="array" ref="F7184">CategorizeComment(E7184)</f>
        <v>Other</v>
      </c>
      <c r="G7184" t="str" cm="1">
        <f t="array" ref="G7184">SubCategorizeComment(E7184)</f>
        <v>Other</v>
      </c>
    </row>
    <row r="7185" spans="1:7" x14ac:dyDescent="0.25">
      <c r="A7185">
        <v>62463</v>
      </c>
      <c r="B7185" t="s">
        <v>4</v>
      </c>
      <c r="C7185">
        <v>4</v>
      </c>
      <c r="D7185" t="s">
        <v>5</v>
      </c>
      <c r="F7185" t="str" cm="1">
        <f t="array" ref="F7185">CategorizeComment(E7185)</f>
        <v>Other</v>
      </c>
      <c r="G7185" t="str" cm="1">
        <f t="array" ref="G7185">SubCategorizeComment(E7185)</f>
        <v>Other</v>
      </c>
    </row>
    <row r="7186" spans="1:7" x14ac:dyDescent="0.25">
      <c r="A7186">
        <v>62521</v>
      </c>
      <c r="B7186" t="s">
        <v>4</v>
      </c>
      <c r="C7186">
        <v>3</v>
      </c>
      <c r="D7186" t="s">
        <v>5</v>
      </c>
      <c r="F7186" t="str" cm="1">
        <f t="array" ref="F7186">CategorizeComment(E7186)</f>
        <v>Other</v>
      </c>
      <c r="G7186" t="str" cm="1">
        <f t="array" ref="G7186">SubCategorizeComment(E7186)</f>
        <v>Other</v>
      </c>
    </row>
    <row r="7187" spans="1:7" x14ac:dyDescent="0.25">
      <c r="A7187">
        <v>62531</v>
      </c>
      <c r="B7187" t="s">
        <v>4</v>
      </c>
      <c r="C7187">
        <v>4</v>
      </c>
      <c r="D7187" t="s">
        <v>5</v>
      </c>
      <c r="F7187" t="str" cm="1">
        <f t="array" ref="F7187">CategorizeComment(E7187)</f>
        <v>Other</v>
      </c>
      <c r="G7187" t="str" cm="1">
        <f t="array" ref="G7187">SubCategorizeComment(E7187)</f>
        <v>Other</v>
      </c>
    </row>
    <row r="7188" spans="1:7" x14ac:dyDescent="0.25">
      <c r="A7188">
        <v>62551</v>
      </c>
      <c r="B7188" t="s">
        <v>4</v>
      </c>
      <c r="C7188">
        <v>4</v>
      </c>
      <c r="D7188" t="s">
        <v>5</v>
      </c>
      <c r="F7188" t="str" cm="1">
        <f t="array" ref="F7188">CategorizeComment(E7188)</f>
        <v>Other</v>
      </c>
      <c r="G7188" t="str" cm="1">
        <f t="array" ref="G7188">SubCategorizeComment(E7188)</f>
        <v>Other</v>
      </c>
    </row>
    <row r="7189" spans="1:7" x14ac:dyDescent="0.25">
      <c r="A7189">
        <v>62557</v>
      </c>
      <c r="B7189" t="s">
        <v>4</v>
      </c>
      <c r="C7189">
        <v>4</v>
      </c>
      <c r="D7189" t="s">
        <v>5</v>
      </c>
      <c r="F7189" t="str" cm="1">
        <f t="array" ref="F7189">CategorizeComment(E7189)</f>
        <v>Other</v>
      </c>
      <c r="G7189" t="str" cm="1">
        <f t="array" ref="G7189">SubCategorizeComment(E7189)</f>
        <v>Other</v>
      </c>
    </row>
    <row r="7190" spans="1:7" x14ac:dyDescent="0.25">
      <c r="A7190">
        <v>62567</v>
      </c>
      <c r="B7190" t="s">
        <v>4</v>
      </c>
      <c r="C7190">
        <v>3</v>
      </c>
      <c r="D7190" t="s">
        <v>5</v>
      </c>
      <c r="F7190" t="str" cm="1">
        <f t="array" ref="F7190">CategorizeComment(E7190)</f>
        <v>Other</v>
      </c>
      <c r="G7190" t="str" cm="1">
        <f t="array" ref="G7190">SubCategorizeComment(E7190)</f>
        <v>Other</v>
      </c>
    </row>
    <row r="7191" spans="1:7" x14ac:dyDescent="0.25">
      <c r="A7191">
        <v>62580</v>
      </c>
      <c r="B7191" t="s">
        <v>4</v>
      </c>
      <c r="C7191">
        <v>3</v>
      </c>
      <c r="D7191" t="s">
        <v>5</v>
      </c>
      <c r="F7191" t="str" cm="1">
        <f t="array" ref="F7191">CategorizeComment(E7191)</f>
        <v>Other</v>
      </c>
      <c r="G7191" t="str" cm="1">
        <f t="array" ref="G7191">SubCategorizeComment(E7191)</f>
        <v>Other</v>
      </c>
    </row>
    <row r="7192" spans="1:7" x14ac:dyDescent="0.25">
      <c r="A7192">
        <v>62581</v>
      </c>
      <c r="B7192" t="s">
        <v>4</v>
      </c>
      <c r="C7192">
        <v>3</v>
      </c>
      <c r="D7192" t="s">
        <v>5</v>
      </c>
      <c r="F7192" t="str" cm="1">
        <f t="array" ref="F7192">CategorizeComment(E7192)</f>
        <v>Other</v>
      </c>
      <c r="G7192" t="str" cm="1">
        <f t="array" ref="G7192">SubCategorizeComment(E7192)</f>
        <v>Other</v>
      </c>
    </row>
    <row r="7193" spans="1:7" x14ac:dyDescent="0.25">
      <c r="A7193">
        <v>62582</v>
      </c>
      <c r="B7193" t="s">
        <v>4</v>
      </c>
      <c r="C7193">
        <v>4</v>
      </c>
      <c r="D7193" t="s">
        <v>5</v>
      </c>
      <c r="F7193" t="str" cm="1">
        <f t="array" ref="F7193">CategorizeComment(E7193)</f>
        <v>Other</v>
      </c>
      <c r="G7193" t="str" cm="1">
        <f t="array" ref="G7193">SubCategorizeComment(E7193)</f>
        <v>Other</v>
      </c>
    </row>
    <row r="7194" spans="1:7" x14ac:dyDescent="0.25">
      <c r="A7194">
        <v>62586</v>
      </c>
      <c r="B7194" t="s">
        <v>4</v>
      </c>
      <c r="C7194">
        <v>4</v>
      </c>
      <c r="D7194" t="s">
        <v>5</v>
      </c>
      <c r="F7194" t="str" cm="1">
        <f t="array" ref="F7194">CategorizeComment(E7194)</f>
        <v>Other</v>
      </c>
      <c r="G7194" t="str" cm="1">
        <f t="array" ref="G7194">SubCategorizeComment(E7194)</f>
        <v>Other</v>
      </c>
    </row>
    <row r="7195" spans="1:7" x14ac:dyDescent="0.25">
      <c r="A7195">
        <v>62600</v>
      </c>
      <c r="B7195" t="s">
        <v>4</v>
      </c>
      <c r="C7195">
        <v>3</v>
      </c>
      <c r="D7195" t="s">
        <v>5</v>
      </c>
      <c r="F7195" t="str" cm="1">
        <f t="array" ref="F7195">CategorizeComment(E7195)</f>
        <v>Other</v>
      </c>
      <c r="G7195" t="str" cm="1">
        <f t="array" ref="G7195">SubCategorizeComment(E7195)</f>
        <v>Other</v>
      </c>
    </row>
    <row r="7196" spans="1:7" x14ac:dyDescent="0.25">
      <c r="A7196">
        <v>62601</v>
      </c>
      <c r="B7196" t="s">
        <v>4</v>
      </c>
      <c r="C7196">
        <v>3</v>
      </c>
      <c r="D7196" t="s">
        <v>5</v>
      </c>
      <c r="F7196" t="str" cm="1">
        <f t="array" ref="F7196">CategorizeComment(E7196)</f>
        <v>Other</v>
      </c>
      <c r="G7196" t="str" cm="1">
        <f t="array" ref="G7196">SubCategorizeComment(E7196)</f>
        <v>Other</v>
      </c>
    </row>
    <row r="7197" spans="1:7" x14ac:dyDescent="0.25">
      <c r="A7197">
        <v>62613</v>
      </c>
      <c r="B7197" t="s">
        <v>4</v>
      </c>
      <c r="C7197">
        <v>4</v>
      </c>
      <c r="D7197" t="s">
        <v>5</v>
      </c>
      <c r="F7197" t="str" cm="1">
        <f t="array" ref="F7197">CategorizeComment(E7197)</f>
        <v>Other</v>
      </c>
      <c r="G7197" t="str" cm="1">
        <f t="array" ref="G7197">SubCategorizeComment(E7197)</f>
        <v>Other</v>
      </c>
    </row>
    <row r="7198" spans="1:7" x14ac:dyDescent="0.25">
      <c r="A7198">
        <v>62618</v>
      </c>
      <c r="B7198" t="s">
        <v>4</v>
      </c>
      <c r="C7198">
        <v>4</v>
      </c>
      <c r="D7198" t="s">
        <v>5</v>
      </c>
      <c r="F7198" t="str" cm="1">
        <f t="array" ref="F7198">CategorizeComment(E7198)</f>
        <v>Other</v>
      </c>
      <c r="G7198" t="str" cm="1">
        <f t="array" ref="G7198">SubCategorizeComment(E7198)</f>
        <v>Other</v>
      </c>
    </row>
    <row r="7199" spans="1:7" x14ac:dyDescent="0.25">
      <c r="A7199">
        <v>62640</v>
      </c>
      <c r="B7199" t="s">
        <v>4</v>
      </c>
      <c r="C7199">
        <v>3</v>
      </c>
      <c r="D7199" t="s">
        <v>5</v>
      </c>
      <c r="F7199" t="str" cm="1">
        <f t="array" ref="F7199">CategorizeComment(E7199)</f>
        <v>Other</v>
      </c>
      <c r="G7199" t="str" cm="1">
        <f t="array" ref="G7199">SubCategorizeComment(E7199)</f>
        <v>Other</v>
      </c>
    </row>
    <row r="7200" spans="1:7" x14ac:dyDescent="0.25">
      <c r="A7200">
        <v>62643</v>
      </c>
      <c r="B7200" t="s">
        <v>4</v>
      </c>
      <c r="C7200">
        <v>3</v>
      </c>
      <c r="D7200" t="s">
        <v>5</v>
      </c>
      <c r="F7200" t="str" cm="1">
        <f t="array" ref="F7200">CategorizeComment(E7200)</f>
        <v>Other</v>
      </c>
      <c r="G7200" t="str" cm="1">
        <f t="array" ref="G7200">SubCategorizeComment(E7200)</f>
        <v>Other</v>
      </c>
    </row>
    <row r="7201" spans="1:7" x14ac:dyDescent="0.25">
      <c r="A7201">
        <v>62651</v>
      </c>
      <c r="B7201" t="s">
        <v>4</v>
      </c>
      <c r="C7201">
        <v>4</v>
      </c>
      <c r="D7201" t="s">
        <v>5</v>
      </c>
      <c r="F7201" t="str" cm="1">
        <f t="array" ref="F7201">CategorizeComment(E7201)</f>
        <v>Other</v>
      </c>
      <c r="G7201" t="str" cm="1">
        <f t="array" ref="G7201">SubCategorizeComment(E7201)</f>
        <v>Other</v>
      </c>
    </row>
    <row r="7202" spans="1:7" x14ac:dyDescent="0.25">
      <c r="A7202">
        <v>62661</v>
      </c>
      <c r="B7202" t="s">
        <v>4</v>
      </c>
      <c r="C7202">
        <v>4</v>
      </c>
      <c r="D7202" t="s">
        <v>5</v>
      </c>
      <c r="F7202" t="str" cm="1">
        <f t="array" ref="F7202">CategorizeComment(E7202)</f>
        <v>Other</v>
      </c>
      <c r="G7202" t="str" cm="1">
        <f t="array" ref="G7202">SubCategorizeComment(E7202)</f>
        <v>Other</v>
      </c>
    </row>
    <row r="7203" spans="1:7" x14ac:dyDescent="0.25">
      <c r="A7203">
        <v>62688</v>
      </c>
      <c r="B7203" t="s">
        <v>4</v>
      </c>
      <c r="C7203">
        <v>3</v>
      </c>
      <c r="D7203" t="s">
        <v>5</v>
      </c>
      <c r="F7203" t="str" cm="1">
        <f t="array" ref="F7203">CategorizeComment(E7203)</f>
        <v>Other</v>
      </c>
      <c r="G7203" t="str" cm="1">
        <f t="array" ref="G7203">SubCategorizeComment(E7203)</f>
        <v>Other</v>
      </c>
    </row>
    <row r="7204" spans="1:7" x14ac:dyDescent="0.25">
      <c r="A7204">
        <v>62693</v>
      </c>
      <c r="B7204" t="s">
        <v>4</v>
      </c>
      <c r="C7204">
        <v>4</v>
      </c>
      <c r="D7204" t="s">
        <v>5</v>
      </c>
      <c r="F7204" t="str" cm="1">
        <f t="array" ref="F7204">CategorizeComment(E7204)</f>
        <v>Other</v>
      </c>
      <c r="G7204" t="str" cm="1">
        <f t="array" ref="G7204">SubCategorizeComment(E7204)</f>
        <v>Other</v>
      </c>
    </row>
    <row r="7205" spans="1:7" x14ac:dyDescent="0.25">
      <c r="A7205">
        <v>62734</v>
      </c>
      <c r="B7205" t="s">
        <v>4</v>
      </c>
      <c r="C7205">
        <v>3</v>
      </c>
      <c r="D7205" t="s">
        <v>5</v>
      </c>
      <c r="F7205" t="str" cm="1">
        <f t="array" ref="F7205">CategorizeComment(E7205)</f>
        <v>Other</v>
      </c>
      <c r="G7205" t="str" cm="1">
        <f t="array" ref="G7205">SubCategorizeComment(E7205)</f>
        <v>Other</v>
      </c>
    </row>
    <row r="7206" spans="1:7" x14ac:dyDescent="0.25">
      <c r="A7206">
        <v>62752</v>
      </c>
      <c r="B7206" t="s">
        <v>4</v>
      </c>
      <c r="C7206">
        <v>3</v>
      </c>
      <c r="D7206" t="s">
        <v>5</v>
      </c>
      <c r="F7206" t="str" cm="1">
        <f t="array" ref="F7206">CategorizeComment(E7206)</f>
        <v>Other</v>
      </c>
      <c r="G7206" t="str" cm="1">
        <f t="array" ref="G7206">SubCategorizeComment(E7206)</f>
        <v>Other</v>
      </c>
    </row>
    <row r="7207" spans="1:7" x14ac:dyDescent="0.25">
      <c r="A7207">
        <v>62758</v>
      </c>
      <c r="B7207" t="s">
        <v>4</v>
      </c>
      <c r="C7207">
        <v>3</v>
      </c>
      <c r="D7207" t="s">
        <v>5</v>
      </c>
      <c r="F7207" t="str" cm="1">
        <f t="array" ref="F7207">CategorizeComment(E7207)</f>
        <v>Other</v>
      </c>
      <c r="G7207" t="str" cm="1">
        <f t="array" ref="G7207">SubCategorizeComment(E7207)</f>
        <v>Other</v>
      </c>
    </row>
    <row r="7208" spans="1:7" x14ac:dyDescent="0.25">
      <c r="A7208">
        <v>62759</v>
      </c>
      <c r="B7208" t="s">
        <v>4</v>
      </c>
      <c r="C7208">
        <v>3</v>
      </c>
      <c r="D7208" t="s">
        <v>5</v>
      </c>
      <c r="F7208" t="str" cm="1">
        <f t="array" ref="F7208">CategorizeComment(E7208)</f>
        <v>Other</v>
      </c>
      <c r="G7208" t="str" cm="1">
        <f t="array" ref="G7208">SubCategorizeComment(E7208)</f>
        <v>Other</v>
      </c>
    </row>
    <row r="7209" spans="1:7" x14ac:dyDescent="0.25">
      <c r="A7209">
        <v>62761</v>
      </c>
      <c r="B7209" t="s">
        <v>4</v>
      </c>
      <c r="C7209">
        <v>3</v>
      </c>
      <c r="D7209" t="s">
        <v>5</v>
      </c>
      <c r="F7209" t="str" cm="1">
        <f t="array" ref="F7209">CategorizeComment(E7209)</f>
        <v>Other</v>
      </c>
      <c r="G7209" t="str" cm="1">
        <f t="array" ref="G7209">SubCategorizeComment(E7209)</f>
        <v>Other</v>
      </c>
    </row>
    <row r="7210" spans="1:7" x14ac:dyDescent="0.25">
      <c r="A7210">
        <v>62762</v>
      </c>
      <c r="B7210" t="s">
        <v>4</v>
      </c>
      <c r="C7210">
        <v>4</v>
      </c>
      <c r="D7210" t="s">
        <v>5</v>
      </c>
      <c r="F7210" t="str" cm="1">
        <f t="array" ref="F7210">CategorizeComment(E7210)</f>
        <v>Other</v>
      </c>
      <c r="G7210" t="str" cm="1">
        <f t="array" ref="G7210">SubCategorizeComment(E7210)</f>
        <v>Other</v>
      </c>
    </row>
    <row r="7211" spans="1:7" x14ac:dyDescent="0.25">
      <c r="A7211">
        <v>62772</v>
      </c>
      <c r="B7211" t="s">
        <v>4</v>
      </c>
      <c r="C7211">
        <v>3</v>
      </c>
      <c r="D7211" t="s">
        <v>5</v>
      </c>
      <c r="F7211" t="str" cm="1">
        <f t="array" ref="F7211">CategorizeComment(E7211)</f>
        <v>Other</v>
      </c>
      <c r="G7211" t="str" cm="1">
        <f t="array" ref="G7211">SubCategorizeComment(E7211)</f>
        <v>Other</v>
      </c>
    </row>
    <row r="7212" spans="1:7" x14ac:dyDescent="0.25">
      <c r="A7212">
        <v>62773</v>
      </c>
      <c r="B7212" t="s">
        <v>4</v>
      </c>
      <c r="C7212">
        <v>3</v>
      </c>
      <c r="D7212" t="s">
        <v>5</v>
      </c>
      <c r="F7212" t="str" cm="1">
        <f t="array" ref="F7212">CategorizeComment(E7212)</f>
        <v>Other</v>
      </c>
      <c r="G7212" t="str" cm="1">
        <f t="array" ref="G7212">SubCategorizeComment(E7212)</f>
        <v>Other</v>
      </c>
    </row>
    <row r="7213" spans="1:7" x14ac:dyDescent="0.25">
      <c r="A7213">
        <v>62780</v>
      </c>
      <c r="B7213" t="s">
        <v>4</v>
      </c>
      <c r="C7213">
        <v>4</v>
      </c>
      <c r="D7213" t="s">
        <v>5</v>
      </c>
      <c r="F7213" t="str" cm="1">
        <f t="array" ref="F7213">CategorizeComment(E7213)</f>
        <v>Other</v>
      </c>
      <c r="G7213" t="str" cm="1">
        <f t="array" ref="G7213">SubCategorizeComment(E7213)</f>
        <v>Other</v>
      </c>
    </row>
    <row r="7214" spans="1:7" x14ac:dyDescent="0.25">
      <c r="A7214">
        <v>62782</v>
      </c>
      <c r="B7214" t="s">
        <v>4</v>
      </c>
      <c r="C7214">
        <v>3</v>
      </c>
      <c r="D7214" t="s">
        <v>5</v>
      </c>
      <c r="F7214" t="str" cm="1">
        <f t="array" ref="F7214">CategorizeComment(E7214)</f>
        <v>Other</v>
      </c>
      <c r="G7214" t="str" cm="1">
        <f t="array" ref="G7214">SubCategorizeComment(E7214)</f>
        <v>Other</v>
      </c>
    </row>
    <row r="7215" spans="1:7" x14ac:dyDescent="0.25">
      <c r="A7215">
        <v>62787</v>
      </c>
      <c r="B7215" t="s">
        <v>4</v>
      </c>
      <c r="C7215">
        <v>4</v>
      </c>
      <c r="D7215" t="s">
        <v>5</v>
      </c>
      <c r="F7215" t="str" cm="1">
        <f t="array" ref="F7215">CategorizeComment(E7215)</f>
        <v>Other</v>
      </c>
      <c r="G7215" t="str" cm="1">
        <f t="array" ref="G7215">SubCategorizeComment(E7215)</f>
        <v>Other</v>
      </c>
    </row>
    <row r="7216" spans="1:7" x14ac:dyDescent="0.25">
      <c r="A7216">
        <v>62790</v>
      </c>
      <c r="B7216" t="s">
        <v>4</v>
      </c>
      <c r="C7216">
        <v>4</v>
      </c>
      <c r="D7216" t="s">
        <v>5</v>
      </c>
      <c r="F7216" t="str" cm="1">
        <f t="array" ref="F7216">CategorizeComment(E7216)</f>
        <v>Other</v>
      </c>
      <c r="G7216" t="str" cm="1">
        <f t="array" ref="G7216">SubCategorizeComment(E7216)</f>
        <v>Other</v>
      </c>
    </row>
    <row r="7217" spans="1:7" x14ac:dyDescent="0.25">
      <c r="A7217">
        <v>62809</v>
      </c>
      <c r="B7217" t="s">
        <v>4</v>
      </c>
      <c r="C7217">
        <v>3</v>
      </c>
      <c r="D7217" t="s">
        <v>5</v>
      </c>
      <c r="F7217" t="str" cm="1">
        <f t="array" ref="F7217">CategorizeComment(E7217)</f>
        <v>Other</v>
      </c>
      <c r="G7217" t="str" cm="1">
        <f t="array" ref="G7217">SubCategorizeComment(E7217)</f>
        <v>Other</v>
      </c>
    </row>
    <row r="7218" spans="1:7" x14ac:dyDescent="0.25">
      <c r="A7218">
        <v>62817</v>
      </c>
      <c r="B7218" t="s">
        <v>4</v>
      </c>
      <c r="C7218">
        <v>3</v>
      </c>
      <c r="D7218" t="s">
        <v>5</v>
      </c>
      <c r="F7218" t="str" cm="1">
        <f t="array" ref="F7218">CategorizeComment(E7218)</f>
        <v>Other</v>
      </c>
      <c r="G7218" t="str" cm="1">
        <f t="array" ref="G7218">SubCategorizeComment(E7218)</f>
        <v>Other</v>
      </c>
    </row>
    <row r="7219" spans="1:7" x14ac:dyDescent="0.25">
      <c r="A7219">
        <v>62821</v>
      </c>
      <c r="B7219" t="s">
        <v>4</v>
      </c>
      <c r="C7219">
        <v>3</v>
      </c>
      <c r="D7219" t="s">
        <v>5</v>
      </c>
      <c r="F7219" t="str" cm="1">
        <f t="array" ref="F7219">CategorizeComment(E7219)</f>
        <v>Other</v>
      </c>
      <c r="G7219" t="str" cm="1">
        <f t="array" ref="G7219">SubCategorizeComment(E7219)</f>
        <v>Other</v>
      </c>
    </row>
    <row r="7220" spans="1:7" x14ac:dyDescent="0.25">
      <c r="A7220">
        <v>62826</v>
      </c>
      <c r="B7220" t="s">
        <v>4</v>
      </c>
      <c r="C7220">
        <v>4</v>
      </c>
      <c r="D7220" t="s">
        <v>5</v>
      </c>
      <c r="F7220" t="str" cm="1">
        <f t="array" ref="F7220">CategorizeComment(E7220)</f>
        <v>Other</v>
      </c>
      <c r="G7220" t="str" cm="1">
        <f t="array" ref="G7220">SubCategorizeComment(E7220)</f>
        <v>Other</v>
      </c>
    </row>
    <row r="7221" spans="1:7" x14ac:dyDescent="0.25">
      <c r="A7221">
        <v>62837</v>
      </c>
      <c r="B7221" t="s">
        <v>4</v>
      </c>
      <c r="C7221">
        <v>4</v>
      </c>
      <c r="D7221" t="s">
        <v>5</v>
      </c>
      <c r="F7221" t="str" cm="1">
        <f t="array" ref="F7221">CategorizeComment(E7221)</f>
        <v>Other</v>
      </c>
      <c r="G7221" t="str" cm="1">
        <f t="array" ref="G7221">SubCategorizeComment(E7221)</f>
        <v>Other</v>
      </c>
    </row>
    <row r="7222" spans="1:7" x14ac:dyDescent="0.25">
      <c r="A7222">
        <v>62876</v>
      </c>
      <c r="B7222" t="s">
        <v>4</v>
      </c>
      <c r="C7222">
        <v>4</v>
      </c>
      <c r="D7222" t="s">
        <v>5</v>
      </c>
      <c r="F7222" t="str" cm="1">
        <f t="array" ref="F7222">CategorizeComment(E7222)</f>
        <v>Other</v>
      </c>
      <c r="G7222" t="str" cm="1">
        <f t="array" ref="G7222">SubCategorizeComment(E7222)</f>
        <v>Other</v>
      </c>
    </row>
    <row r="7223" spans="1:7" x14ac:dyDescent="0.25">
      <c r="A7223">
        <v>62893</v>
      </c>
      <c r="B7223" t="s">
        <v>4</v>
      </c>
      <c r="C7223">
        <v>4</v>
      </c>
      <c r="D7223" t="s">
        <v>5</v>
      </c>
      <c r="F7223" t="str" cm="1">
        <f t="array" ref="F7223">CategorizeComment(E7223)</f>
        <v>Other</v>
      </c>
      <c r="G7223" t="str" cm="1">
        <f t="array" ref="G7223">SubCategorizeComment(E7223)</f>
        <v>Other</v>
      </c>
    </row>
    <row r="7224" spans="1:7" x14ac:dyDescent="0.25">
      <c r="A7224">
        <v>62901</v>
      </c>
      <c r="B7224" t="s">
        <v>4</v>
      </c>
      <c r="C7224">
        <v>3</v>
      </c>
      <c r="D7224" t="s">
        <v>5</v>
      </c>
      <c r="F7224" t="str" cm="1">
        <f t="array" ref="F7224">CategorizeComment(E7224)</f>
        <v>Other</v>
      </c>
      <c r="G7224" t="str" cm="1">
        <f t="array" ref="G7224">SubCategorizeComment(E7224)</f>
        <v>Other</v>
      </c>
    </row>
    <row r="7225" spans="1:7" x14ac:dyDescent="0.25">
      <c r="A7225">
        <v>62903</v>
      </c>
      <c r="B7225" t="s">
        <v>4</v>
      </c>
      <c r="C7225">
        <v>3</v>
      </c>
      <c r="D7225" t="s">
        <v>5</v>
      </c>
      <c r="F7225" t="str" cm="1">
        <f t="array" ref="F7225">CategorizeComment(E7225)</f>
        <v>Other</v>
      </c>
      <c r="G7225" t="str" cm="1">
        <f t="array" ref="G7225">SubCategorizeComment(E7225)</f>
        <v>Other</v>
      </c>
    </row>
    <row r="7226" spans="1:7" x14ac:dyDescent="0.25">
      <c r="A7226">
        <v>62928</v>
      </c>
      <c r="B7226" t="s">
        <v>4</v>
      </c>
      <c r="C7226">
        <v>4</v>
      </c>
      <c r="D7226" t="s">
        <v>5</v>
      </c>
      <c r="F7226" t="str" cm="1">
        <f t="array" ref="F7226">CategorizeComment(E7226)</f>
        <v>Other</v>
      </c>
      <c r="G7226" t="str" cm="1">
        <f t="array" ref="G7226">SubCategorizeComment(E7226)</f>
        <v>Other</v>
      </c>
    </row>
    <row r="7227" spans="1:7" x14ac:dyDescent="0.25">
      <c r="A7227">
        <v>62938</v>
      </c>
      <c r="B7227" t="s">
        <v>4</v>
      </c>
      <c r="C7227">
        <v>4</v>
      </c>
      <c r="D7227" t="s">
        <v>5</v>
      </c>
      <c r="F7227" t="str" cm="1">
        <f t="array" ref="F7227">CategorizeComment(E7227)</f>
        <v>Other</v>
      </c>
      <c r="G7227" t="str" cm="1">
        <f t="array" ref="G7227">SubCategorizeComment(E7227)</f>
        <v>Other</v>
      </c>
    </row>
    <row r="7228" spans="1:7" x14ac:dyDescent="0.25">
      <c r="A7228">
        <v>62973</v>
      </c>
      <c r="B7228" t="s">
        <v>4</v>
      </c>
      <c r="C7228">
        <v>4</v>
      </c>
      <c r="D7228" t="s">
        <v>5</v>
      </c>
      <c r="F7228" t="str" cm="1">
        <f t="array" ref="F7228">CategorizeComment(E7228)</f>
        <v>Other</v>
      </c>
      <c r="G7228" t="str" cm="1">
        <f t="array" ref="G7228">SubCategorizeComment(E7228)</f>
        <v>Other</v>
      </c>
    </row>
    <row r="7229" spans="1:7" x14ac:dyDescent="0.25">
      <c r="A7229">
        <v>62976</v>
      </c>
      <c r="B7229" t="s">
        <v>4</v>
      </c>
      <c r="C7229">
        <v>3</v>
      </c>
      <c r="D7229" t="s">
        <v>5</v>
      </c>
      <c r="F7229" t="str" cm="1">
        <f t="array" ref="F7229">CategorizeComment(E7229)</f>
        <v>Other</v>
      </c>
      <c r="G7229" t="str" cm="1">
        <f t="array" ref="G7229">SubCategorizeComment(E7229)</f>
        <v>Other</v>
      </c>
    </row>
    <row r="7230" spans="1:7" x14ac:dyDescent="0.25">
      <c r="A7230">
        <v>62978</v>
      </c>
      <c r="B7230" t="s">
        <v>4</v>
      </c>
      <c r="C7230">
        <v>3</v>
      </c>
      <c r="D7230" t="s">
        <v>5</v>
      </c>
      <c r="F7230" t="str" cm="1">
        <f t="array" ref="F7230">CategorizeComment(E7230)</f>
        <v>Other</v>
      </c>
      <c r="G7230" t="str" cm="1">
        <f t="array" ref="G7230">SubCategorizeComment(E7230)</f>
        <v>Other</v>
      </c>
    </row>
    <row r="7231" spans="1:7" x14ac:dyDescent="0.25">
      <c r="A7231">
        <v>63000</v>
      </c>
      <c r="B7231" t="s">
        <v>4</v>
      </c>
      <c r="C7231">
        <v>3</v>
      </c>
      <c r="D7231" t="s">
        <v>5</v>
      </c>
      <c r="F7231" t="str" cm="1">
        <f t="array" ref="F7231">CategorizeComment(E7231)</f>
        <v>Other</v>
      </c>
      <c r="G7231" t="str" cm="1">
        <f t="array" ref="G7231">SubCategorizeComment(E7231)</f>
        <v>Other</v>
      </c>
    </row>
    <row r="7232" spans="1:7" x14ac:dyDescent="0.25">
      <c r="A7232">
        <v>63007</v>
      </c>
      <c r="B7232" t="s">
        <v>4</v>
      </c>
      <c r="C7232">
        <v>3</v>
      </c>
      <c r="D7232" t="s">
        <v>5</v>
      </c>
      <c r="F7232" t="str" cm="1">
        <f t="array" ref="F7232">CategorizeComment(E7232)</f>
        <v>Other</v>
      </c>
      <c r="G7232" t="str" cm="1">
        <f t="array" ref="G7232">SubCategorizeComment(E7232)</f>
        <v>Other</v>
      </c>
    </row>
    <row r="7233" spans="1:7" x14ac:dyDescent="0.25">
      <c r="A7233">
        <v>63009</v>
      </c>
      <c r="B7233" t="s">
        <v>4</v>
      </c>
      <c r="C7233">
        <v>3</v>
      </c>
      <c r="D7233" t="s">
        <v>5</v>
      </c>
      <c r="F7233" t="str" cm="1">
        <f t="array" ref="F7233">CategorizeComment(E7233)</f>
        <v>Other</v>
      </c>
      <c r="G7233" t="str" cm="1">
        <f t="array" ref="G7233">SubCategorizeComment(E7233)</f>
        <v>Other</v>
      </c>
    </row>
    <row r="7234" spans="1:7" x14ac:dyDescent="0.25">
      <c r="A7234">
        <v>63011</v>
      </c>
      <c r="B7234" t="s">
        <v>4</v>
      </c>
      <c r="C7234">
        <v>3</v>
      </c>
      <c r="D7234" t="s">
        <v>5</v>
      </c>
      <c r="F7234" t="str" cm="1">
        <f t="array" ref="F7234">CategorizeComment(E7234)</f>
        <v>Other</v>
      </c>
      <c r="G7234" t="str" cm="1">
        <f t="array" ref="G7234">SubCategorizeComment(E7234)</f>
        <v>Other</v>
      </c>
    </row>
    <row r="7235" spans="1:7" x14ac:dyDescent="0.25">
      <c r="A7235">
        <v>63018</v>
      </c>
      <c r="B7235" t="s">
        <v>4</v>
      </c>
      <c r="C7235">
        <v>3</v>
      </c>
      <c r="D7235" t="s">
        <v>5</v>
      </c>
      <c r="F7235" t="str" cm="1">
        <f t="array" ref="F7235">CategorizeComment(E7235)</f>
        <v>Other</v>
      </c>
      <c r="G7235" t="str" cm="1">
        <f t="array" ref="G7235">SubCategorizeComment(E7235)</f>
        <v>Other</v>
      </c>
    </row>
    <row r="7236" spans="1:7" x14ac:dyDescent="0.25">
      <c r="A7236">
        <v>63023</v>
      </c>
      <c r="B7236" t="s">
        <v>4</v>
      </c>
      <c r="C7236">
        <v>4</v>
      </c>
      <c r="D7236" t="s">
        <v>5</v>
      </c>
      <c r="F7236" t="str" cm="1">
        <f t="array" ref="F7236">CategorizeComment(E7236)</f>
        <v>Other</v>
      </c>
      <c r="G7236" t="str" cm="1">
        <f t="array" ref="G7236">SubCategorizeComment(E7236)</f>
        <v>Other</v>
      </c>
    </row>
    <row r="7237" spans="1:7" x14ac:dyDescent="0.25">
      <c r="A7237">
        <v>63026</v>
      </c>
      <c r="B7237" t="s">
        <v>4</v>
      </c>
      <c r="C7237">
        <v>4</v>
      </c>
      <c r="D7237" t="s">
        <v>5</v>
      </c>
      <c r="F7237" t="str" cm="1">
        <f t="array" ref="F7237">CategorizeComment(E7237)</f>
        <v>Other</v>
      </c>
      <c r="G7237" t="str" cm="1">
        <f t="array" ref="G7237">SubCategorizeComment(E7237)</f>
        <v>Other</v>
      </c>
    </row>
    <row r="7238" spans="1:7" x14ac:dyDescent="0.25">
      <c r="A7238">
        <v>63028</v>
      </c>
      <c r="B7238" t="s">
        <v>4</v>
      </c>
      <c r="C7238">
        <v>3</v>
      </c>
      <c r="D7238" t="s">
        <v>5</v>
      </c>
      <c r="F7238" t="str" cm="1">
        <f t="array" ref="F7238">CategorizeComment(E7238)</f>
        <v>Other</v>
      </c>
      <c r="G7238" t="str" cm="1">
        <f t="array" ref="G7238">SubCategorizeComment(E7238)</f>
        <v>Other</v>
      </c>
    </row>
    <row r="7239" spans="1:7" x14ac:dyDescent="0.25">
      <c r="A7239">
        <v>63030</v>
      </c>
      <c r="B7239" t="s">
        <v>4</v>
      </c>
      <c r="C7239">
        <v>4</v>
      </c>
      <c r="D7239" t="s">
        <v>5</v>
      </c>
      <c r="F7239" t="str" cm="1">
        <f t="array" ref="F7239">CategorizeComment(E7239)</f>
        <v>Other</v>
      </c>
      <c r="G7239" t="str" cm="1">
        <f t="array" ref="G7239">SubCategorizeComment(E7239)</f>
        <v>Other</v>
      </c>
    </row>
    <row r="7240" spans="1:7" x14ac:dyDescent="0.25">
      <c r="A7240">
        <v>63031</v>
      </c>
      <c r="B7240" t="s">
        <v>4</v>
      </c>
      <c r="C7240">
        <v>3</v>
      </c>
      <c r="D7240" t="s">
        <v>5</v>
      </c>
      <c r="F7240" t="str" cm="1">
        <f t="array" ref="F7240">CategorizeComment(E7240)</f>
        <v>Other</v>
      </c>
      <c r="G7240" t="str" cm="1">
        <f t="array" ref="G7240">SubCategorizeComment(E7240)</f>
        <v>Other</v>
      </c>
    </row>
    <row r="7241" spans="1:7" x14ac:dyDescent="0.25">
      <c r="A7241">
        <v>63035</v>
      </c>
      <c r="B7241" t="s">
        <v>4</v>
      </c>
      <c r="C7241">
        <v>4</v>
      </c>
      <c r="D7241" t="s">
        <v>5</v>
      </c>
      <c r="F7241" t="str" cm="1">
        <f t="array" ref="F7241">CategorizeComment(E7241)</f>
        <v>Other</v>
      </c>
      <c r="G7241" t="str" cm="1">
        <f t="array" ref="G7241">SubCategorizeComment(E7241)</f>
        <v>Other</v>
      </c>
    </row>
    <row r="7242" spans="1:7" x14ac:dyDescent="0.25">
      <c r="A7242">
        <v>63040</v>
      </c>
      <c r="B7242" t="s">
        <v>4</v>
      </c>
      <c r="C7242">
        <v>4</v>
      </c>
      <c r="D7242" t="s">
        <v>5</v>
      </c>
      <c r="F7242" t="str" cm="1">
        <f t="array" ref="F7242">CategorizeComment(E7242)</f>
        <v>Other</v>
      </c>
      <c r="G7242" t="str" cm="1">
        <f t="array" ref="G7242">SubCategorizeComment(E7242)</f>
        <v>Other</v>
      </c>
    </row>
    <row r="7243" spans="1:7" x14ac:dyDescent="0.25">
      <c r="A7243">
        <v>63042</v>
      </c>
      <c r="B7243" t="s">
        <v>4</v>
      </c>
      <c r="C7243">
        <v>4</v>
      </c>
      <c r="D7243" t="s">
        <v>5</v>
      </c>
      <c r="F7243" t="str" cm="1">
        <f t="array" ref="F7243">CategorizeComment(E7243)</f>
        <v>Other</v>
      </c>
      <c r="G7243" t="str" cm="1">
        <f t="array" ref="G7243">SubCategorizeComment(E7243)</f>
        <v>Other</v>
      </c>
    </row>
    <row r="7244" spans="1:7" x14ac:dyDescent="0.25">
      <c r="A7244">
        <v>63053</v>
      </c>
      <c r="B7244" t="s">
        <v>4</v>
      </c>
      <c r="C7244">
        <v>4</v>
      </c>
      <c r="D7244" t="s">
        <v>5</v>
      </c>
      <c r="F7244" t="str" cm="1">
        <f t="array" ref="F7244">CategorizeComment(E7244)</f>
        <v>Other</v>
      </c>
      <c r="G7244" t="str" cm="1">
        <f t="array" ref="G7244">SubCategorizeComment(E7244)</f>
        <v>Other</v>
      </c>
    </row>
    <row r="7245" spans="1:7" x14ac:dyDescent="0.25">
      <c r="A7245">
        <v>63058</v>
      </c>
      <c r="B7245" t="s">
        <v>4</v>
      </c>
      <c r="C7245">
        <v>3</v>
      </c>
      <c r="D7245" t="s">
        <v>5</v>
      </c>
      <c r="F7245" t="str" cm="1">
        <f t="array" ref="F7245">CategorizeComment(E7245)</f>
        <v>Other</v>
      </c>
      <c r="G7245" t="str" cm="1">
        <f t="array" ref="G7245">SubCategorizeComment(E7245)</f>
        <v>Other</v>
      </c>
    </row>
    <row r="7246" spans="1:7" x14ac:dyDescent="0.25">
      <c r="A7246">
        <v>63063</v>
      </c>
      <c r="B7246" t="s">
        <v>4</v>
      </c>
      <c r="C7246">
        <v>3</v>
      </c>
      <c r="D7246" t="s">
        <v>5</v>
      </c>
      <c r="F7246" t="str" cm="1">
        <f t="array" ref="F7246">CategorizeComment(E7246)</f>
        <v>Other</v>
      </c>
      <c r="G7246" t="str" cm="1">
        <f t="array" ref="G7246">SubCategorizeComment(E7246)</f>
        <v>Other</v>
      </c>
    </row>
    <row r="7247" spans="1:7" x14ac:dyDescent="0.25">
      <c r="A7247">
        <v>63065</v>
      </c>
      <c r="B7247" t="s">
        <v>4</v>
      </c>
      <c r="C7247">
        <v>3</v>
      </c>
      <c r="D7247" t="s">
        <v>5</v>
      </c>
      <c r="F7247" t="str" cm="1">
        <f t="array" ref="F7247">CategorizeComment(E7247)</f>
        <v>Other</v>
      </c>
      <c r="G7247" t="str" cm="1">
        <f t="array" ref="G7247">SubCategorizeComment(E7247)</f>
        <v>Other</v>
      </c>
    </row>
    <row r="7248" spans="1:7" x14ac:dyDescent="0.25">
      <c r="A7248">
        <v>63076</v>
      </c>
      <c r="B7248" t="s">
        <v>4</v>
      </c>
      <c r="C7248">
        <v>4</v>
      </c>
      <c r="D7248" t="s">
        <v>5</v>
      </c>
      <c r="F7248" t="str" cm="1">
        <f t="array" ref="F7248">CategorizeComment(E7248)</f>
        <v>Other</v>
      </c>
      <c r="G7248" t="str" cm="1">
        <f t="array" ref="G7248">SubCategorizeComment(E7248)</f>
        <v>Other</v>
      </c>
    </row>
    <row r="7249" spans="1:7" x14ac:dyDescent="0.25">
      <c r="A7249">
        <v>63080</v>
      </c>
      <c r="B7249" t="s">
        <v>4</v>
      </c>
      <c r="C7249">
        <v>3</v>
      </c>
      <c r="D7249" t="s">
        <v>5</v>
      </c>
      <c r="F7249" t="str" cm="1">
        <f t="array" ref="F7249">CategorizeComment(E7249)</f>
        <v>Other</v>
      </c>
      <c r="G7249" t="str" cm="1">
        <f t="array" ref="G7249">SubCategorizeComment(E7249)</f>
        <v>Other</v>
      </c>
    </row>
    <row r="7250" spans="1:7" x14ac:dyDescent="0.25">
      <c r="A7250">
        <v>63105</v>
      </c>
      <c r="B7250" t="s">
        <v>4</v>
      </c>
      <c r="C7250">
        <v>4</v>
      </c>
      <c r="D7250" t="s">
        <v>5</v>
      </c>
      <c r="F7250" t="str" cm="1">
        <f t="array" ref="F7250">CategorizeComment(E7250)</f>
        <v>Other</v>
      </c>
      <c r="G7250" t="str" cm="1">
        <f t="array" ref="G7250">SubCategorizeComment(E7250)</f>
        <v>Other</v>
      </c>
    </row>
    <row r="7251" spans="1:7" x14ac:dyDescent="0.25">
      <c r="A7251">
        <v>63112</v>
      </c>
      <c r="B7251" t="s">
        <v>4</v>
      </c>
      <c r="C7251">
        <v>4</v>
      </c>
      <c r="D7251" t="s">
        <v>5</v>
      </c>
      <c r="F7251" t="str" cm="1">
        <f t="array" ref="F7251">CategorizeComment(E7251)</f>
        <v>Other</v>
      </c>
      <c r="G7251" t="str" cm="1">
        <f t="array" ref="G7251">SubCategorizeComment(E7251)</f>
        <v>Other</v>
      </c>
    </row>
    <row r="7252" spans="1:7" x14ac:dyDescent="0.25">
      <c r="A7252">
        <v>63128</v>
      </c>
      <c r="B7252" t="s">
        <v>4</v>
      </c>
      <c r="C7252">
        <v>3</v>
      </c>
      <c r="D7252" t="s">
        <v>5</v>
      </c>
      <c r="F7252" t="str" cm="1">
        <f t="array" ref="F7252">CategorizeComment(E7252)</f>
        <v>Other</v>
      </c>
      <c r="G7252" t="str" cm="1">
        <f t="array" ref="G7252">SubCategorizeComment(E7252)</f>
        <v>Other</v>
      </c>
    </row>
    <row r="7253" spans="1:7" x14ac:dyDescent="0.25">
      <c r="A7253">
        <v>63131</v>
      </c>
      <c r="B7253" t="s">
        <v>4</v>
      </c>
      <c r="C7253">
        <v>4</v>
      </c>
      <c r="D7253" t="s">
        <v>5</v>
      </c>
      <c r="F7253" t="str" cm="1">
        <f t="array" ref="F7253">CategorizeComment(E7253)</f>
        <v>Other</v>
      </c>
      <c r="G7253" t="str" cm="1">
        <f t="array" ref="G7253">SubCategorizeComment(E7253)</f>
        <v>Other</v>
      </c>
    </row>
    <row r="7254" spans="1:7" x14ac:dyDescent="0.25">
      <c r="A7254">
        <v>63184</v>
      </c>
      <c r="B7254" t="s">
        <v>4</v>
      </c>
      <c r="C7254">
        <v>4</v>
      </c>
      <c r="D7254" t="s">
        <v>5</v>
      </c>
      <c r="F7254" t="str" cm="1">
        <f t="array" ref="F7254">CategorizeComment(E7254)</f>
        <v>Other</v>
      </c>
      <c r="G7254" t="str" cm="1">
        <f t="array" ref="G7254">SubCategorizeComment(E7254)</f>
        <v>Other</v>
      </c>
    </row>
    <row r="7255" spans="1:7" x14ac:dyDescent="0.25">
      <c r="A7255">
        <v>63217</v>
      </c>
      <c r="B7255" t="s">
        <v>4</v>
      </c>
      <c r="C7255">
        <v>3</v>
      </c>
      <c r="D7255" t="s">
        <v>5</v>
      </c>
      <c r="F7255" t="str" cm="1">
        <f t="array" ref="F7255">CategorizeComment(E7255)</f>
        <v>Other</v>
      </c>
      <c r="G7255" t="str" cm="1">
        <f t="array" ref="G7255">SubCategorizeComment(E7255)</f>
        <v>Other</v>
      </c>
    </row>
    <row r="7256" spans="1:7" x14ac:dyDescent="0.25">
      <c r="A7256">
        <v>63261</v>
      </c>
      <c r="B7256" t="s">
        <v>4</v>
      </c>
      <c r="C7256">
        <v>4</v>
      </c>
      <c r="D7256" t="s">
        <v>5</v>
      </c>
      <c r="F7256" t="str" cm="1">
        <f t="array" ref="F7256">CategorizeComment(E7256)</f>
        <v>Other</v>
      </c>
      <c r="G7256" t="str" cm="1">
        <f t="array" ref="G7256">SubCategorizeComment(E7256)</f>
        <v>Other</v>
      </c>
    </row>
    <row r="7257" spans="1:7" x14ac:dyDescent="0.25">
      <c r="A7257">
        <v>63275</v>
      </c>
      <c r="B7257" t="s">
        <v>4</v>
      </c>
      <c r="C7257">
        <v>4</v>
      </c>
      <c r="D7257" t="s">
        <v>5</v>
      </c>
      <c r="F7257" t="str" cm="1">
        <f t="array" ref="F7257">CategorizeComment(E7257)</f>
        <v>Other</v>
      </c>
      <c r="G7257" t="str" cm="1">
        <f t="array" ref="G7257">SubCategorizeComment(E7257)</f>
        <v>Other</v>
      </c>
    </row>
    <row r="7258" spans="1:7" x14ac:dyDescent="0.25">
      <c r="A7258">
        <v>63283</v>
      </c>
      <c r="B7258" t="s">
        <v>4</v>
      </c>
      <c r="C7258">
        <v>4</v>
      </c>
      <c r="D7258" t="s">
        <v>5</v>
      </c>
      <c r="F7258" t="str" cm="1">
        <f t="array" ref="F7258">CategorizeComment(E7258)</f>
        <v>Other</v>
      </c>
      <c r="G7258" t="str" cm="1">
        <f t="array" ref="G7258">SubCategorizeComment(E7258)</f>
        <v>Other</v>
      </c>
    </row>
    <row r="7259" spans="1:7" x14ac:dyDescent="0.25">
      <c r="A7259">
        <v>63293</v>
      </c>
      <c r="B7259" t="s">
        <v>4</v>
      </c>
      <c r="C7259">
        <v>3</v>
      </c>
      <c r="D7259" t="s">
        <v>5</v>
      </c>
      <c r="F7259" t="str" cm="1">
        <f t="array" ref="F7259">CategorizeComment(E7259)</f>
        <v>Other</v>
      </c>
      <c r="G7259" t="str" cm="1">
        <f t="array" ref="G7259">SubCategorizeComment(E7259)</f>
        <v>Other</v>
      </c>
    </row>
    <row r="7260" spans="1:7" x14ac:dyDescent="0.25">
      <c r="A7260">
        <v>63297</v>
      </c>
      <c r="B7260" t="s">
        <v>4</v>
      </c>
      <c r="C7260">
        <v>4</v>
      </c>
      <c r="D7260" t="s">
        <v>5</v>
      </c>
      <c r="F7260" t="str" cm="1">
        <f t="array" ref="F7260">CategorizeComment(E7260)</f>
        <v>Other</v>
      </c>
      <c r="G7260" t="str" cm="1">
        <f t="array" ref="G7260">SubCategorizeComment(E7260)</f>
        <v>Other</v>
      </c>
    </row>
    <row r="7261" spans="1:7" x14ac:dyDescent="0.25">
      <c r="A7261">
        <v>63302</v>
      </c>
      <c r="B7261" t="s">
        <v>4</v>
      </c>
      <c r="C7261">
        <v>4</v>
      </c>
      <c r="D7261" t="s">
        <v>5</v>
      </c>
      <c r="F7261" t="str" cm="1">
        <f t="array" ref="F7261">CategorizeComment(E7261)</f>
        <v>Other</v>
      </c>
      <c r="G7261" t="str" cm="1">
        <f t="array" ref="G7261">SubCategorizeComment(E7261)</f>
        <v>Other</v>
      </c>
    </row>
    <row r="7262" spans="1:7" x14ac:dyDescent="0.25">
      <c r="A7262">
        <v>63306</v>
      </c>
      <c r="B7262" t="s">
        <v>4</v>
      </c>
      <c r="C7262">
        <v>3</v>
      </c>
      <c r="D7262" t="s">
        <v>5</v>
      </c>
      <c r="F7262" t="str" cm="1">
        <f t="array" ref="F7262">CategorizeComment(E7262)</f>
        <v>Other</v>
      </c>
      <c r="G7262" t="str" cm="1">
        <f t="array" ref="G7262">SubCategorizeComment(E7262)</f>
        <v>Other</v>
      </c>
    </row>
    <row r="7263" spans="1:7" x14ac:dyDescent="0.25">
      <c r="A7263">
        <v>63320</v>
      </c>
      <c r="B7263" t="s">
        <v>4</v>
      </c>
      <c r="C7263">
        <v>3</v>
      </c>
      <c r="D7263" t="s">
        <v>5</v>
      </c>
      <c r="F7263" t="str" cm="1">
        <f t="array" ref="F7263">CategorizeComment(E7263)</f>
        <v>Other</v>
      </c>
      <c r="G7263" t="str" cm="1">
        <f t="array" ref="G7263">SubCategorizeComment(E7263)</f>
        <v>Other</v>
      </c>
    </row>
    <row r="7264" spans="1:7" x14ac:dyDescent="0.25">
      <c r="A7264">
        <v>63321</v>
      </c>
      <c r="B7264" t="s">
        <v>4</v>
      </c>
      <c r="C7264">
        <v>4</v>
      </c>
      <c r="D7264" t="s">
        <v>5</v>
      </c>
      <c r="F7264" t="str" cm="1">
        <f t="array" ref="F7264">CategorizeComment(E7264)</f>
        <v>Other</v>
      </c>
      <c r="G7264" t="str" cm="1">
        <f t="array" ref="G7264">SubCategorizeComment(E7264)</f>
        <v>Other</v>
      </c>
    </row>
    <row r="7265" spans="1:7" x14ac:dyDescent="0.25">
      <c r="A7265">
        <v>63328</v>
      </c>
      <c r="B7265" t="s">
        <v>4</v>
      </c>
      <c r="C7265">
        <v>4</v>
      </c>
      <c r="D7265" t="s">
        <v>5</v>
      </c>
      <c r="F7265" t="str" cm="1">
        <f t="array" ref="F7265">CategorizeComment(E7265)</f>
        <v>Other</v>
      </c>
      <c r="G7265" t="str" cm="1">
        <f t="array" ref="G7265">SubCategorizeComment(E7265)</f>
        <v>Other</v>
      </c>
    </row>
    <row r="7266" spans="1:7" x14ac:dyDescent="0.25">
      <c r="A7266">
        <v>63344</v>
      </c>
      <c r="B7266" t="s">
        <v>4</v>
      </c>
      <c r="C7266">
        <v>4</v>
      </c>
      <c r="D7266" t="s">
        <v>5</v>
      </c>
      <c r="F7266" t="str" cm="1">
        <f t="array" ref="F7266">CategorizeComment(E7266)</f>
        <v>Other</v>
      </c>
      <c r="G7266" t="str" cm="1">
        <f t="array" ref="G7266">SubCategorizeComment(E7266)</f>
        <v>Other</v>
      </c>
    </row>
    <row r="7267" spans="1:7" x14ac:dyDescent="0.25">
      <c r="A7267">
        <v>63379</v>
      </c>
      <c r="B7267" t="s">
        <v>4</v>
      </c>
      <c r="C7267">
        <v>3</v>
      </c>
      <c r="D7267" t="s">
        <v>5</v>
      </c>
      <c r="F7267" t="str" cm="1">
        <f t="array" ref="F7267">CategorizeComment(E7267)</f>
        <v>Other</v>
      </c>
      <c r="G7267" t="str" cm="1">
        <f t="array" ref="G7267">SubCategorizeComment(E7267)</f>
        <v>Other</v>
      </c>
    </row>
    <row r="7268" spans="1:7" x14ac:dyDescent="0.25">
      <c r="A7268">
        <v>63386</v>
      </c>
      <c r="B7268" t="s">
        <v>4</v>
      </c>
      <c r="C7268">
        <v>3</v>
      </c>
      <c r="D7268" t="s">
        <v>5</v>
      </c>
      <c r="F7268" t="str" cm="1">
        <f t="array" ref="F7268">CategorizeComment(E7268)</f>
        <v>Other</v>
      </c>
      <c r="G7268" t="str" cm="1">
        <f t="array" ref="G7268">SubCategorizeComment(E7268)</f>
        <v>Other</v>
      </c>
    </row>
    <row r="7269" spans="1:7" x14ac:dyDescent="0.25">
      <c r="A7269">
        <v>63397</v>
      </c>
      <c r="B7269" t="s">
        <v>4</v>
      </c>
      <c r="C7269">
        <v>3</v>
      </c>
      <c r="D7269" t="s">
        <v>5</v>
      </c>
      <c r="F7269" t="str" cm="1">
        <f t="array" ref="F7269">CategorizeComment(E7269)</f>
        <v>Other</v>
      </c>
      <c r="G7269" t="str" cm="1">
        <f t="array" ref="G7269">SubCategorizeComment(E7269)</f>
        <v>Other</v>
      </c>
    </row>
    <row r="7270" spans="1:7" x14ac:dyDescent="0.25">
      <c r="A7270">
        <v>63398</v>
      </c>
      <c r="B7270" t="s">
        <v>4</v>
      </c>
      <c r="C7270">
        <v>4</v>
      </c>
      <c r="D7270" t="s">
        <v>5</v>
      </c>
      <c r="F7270" t="str" cm="1">
        <f t="array" ref="F7270">CategorizeComment(E7270)</f>
        <v>Other</v>
      </c>
      <c r="G7270" t="str" cm="1">
        <f t="array" ref="G7270">SubCategorizeComment(E7270)</f>
        <v>Other</v>
      </c>
    </row>
    <row r="7271" spans="1:7" x14ac:dyDescent="0.25">
      <c r="A7271">
        <v>63408</v>
      </c>
      <c r="B7271" t="s">
        <v>4</v>
      </c>
      <c r="C7271">
        <v>3</v>
      </c>
      <c r="D7271" t="s">
        <v>5</v>
      </c>
      <c r="F7271" t="str" cm="1">
        <f t="array" ref="F7271">CategorizeComment(E7271)</f>
        <v>Other</v>
      </c>
      <c r="G7271" t="str" cm="1">
        <f t="array" ref="G7271">SubCategorizeComment(E7271)</f>
        <v>Other</v>
      </c>
    </row>
    <row r="7272" spans="1:7" x14ac:dyDescent="0.25">
      <c r="A7272">
        <v>63439</v>
      </c>
      <c r="B7272" t="s">
        <v>4</v>
      </c>
      <c r="C7272">
        <v>4</v>
      </c>
      <c r="D7272" t="s">
        <v>5</v>
      </c>
      <c r="F7272" t="str" cm="1">
        <f t="array" ref="F7272">CategorizeComment(E7272)</f>
        <v>Other</v>
      </c>
      <c r="G7272" t="str" cm="1">
        <f t="array" ref="G7272">SubCategorizeComment(E7272)</f>
        <v>Other</v>
      </c>
    </row>
    <row r="7273" spans="1:7" x14ac:dyDescent="0.25">
      <c r="A7273">
        <v>63463</v>
      </c>
      <c r="B7273" t="s">
        <v>4</v>
      </c>
      <c r="C7273">
        <v>3</v>
      </c>
      <c r="D7273" t="s">
        <v>5</v>
      </c>
      <c r="F7273" t="str" cm="1">
        <f t="array" ref="F7273">CategorizeComment(E7273)</f>
        <v>Other</v>
      </c>
      <c r="G7273" t="str" cm="1">
        <f t="array" ref="G7273">SubCategorizeComment(E7273)</f>
        <v>Other</v>
      </c>
    </row>
    <row r="7274" spans="1:7" x14ac:dyDescent="0.25">
      <c r="A7274">
        <v>63483</v>
      </c>
      <c r="B7274" t="s">
        <v>4</v>
      </c>
      <c r="C7274">
        <v>4</v>
      </c>
      <c r="D7274" t="s">
        <v>5</v>
      </c>
      <c r="F7274" t="str" cm="1">
        <f t="array" ref="F7274">CategorizeComment(E7274)</f>
        <v>Other</v>
      </c>
      <c r="G7274" t="str" cm="1">
        <f t="array" ref="G7274">SubCategorizeComment(E7274)</f>
        <v>Other</v>
      </c>
    </row>
    <row r="7275" spans="1:7" x14ac:dyDescent="0.25">
      <c r="A7275">
        <v>63505</v>
      </c>
      <c r="B7275" t="s">
        <v>4</v>
      </c>
      <c r="C7275">
        <v>3</v>
      </c>
      <c r="D7275" t="s">
        <v>5</v>
      </c>
      <c r="F7275" t="str" cm="1">
        <f t="array" ref="F7275">CategorizeComment(E7275)</f>
        <v>Other</v>
      </c>
      <c r="G7275" t="str" cm="1">
        <f t="array" ref="G7275">SubCategorizeComment(E7275)</f>
        <v>Other</v>
      </c>
    </row>
    <row r="7276" spans="1:7" x14ac:dyDescent="0.25">
      <c r="A7276">
        <v>63520</v>
      </c>
      <c r="B7276" t="s">
        <v>4</v>
      </c>
      <c r="C7276">
        <v>4</v>
      </c>
      <c r="D7276" t="s">
        <v>5</v>
      </c>
      <c r="F7276" t="str" cm="1">
        <f t="array" ref="F7276">CategorizeComment(E7276)</f>
        <v>Other</v>
      </c>
      <c r="G7276" t="str" cm="1">
        <f t="array" ref="G7276">SubCategorizeComment(E7276)</f>
        <v>Other</v>
      </c>
    </row>
    <row r="7277" spans="1:7" x14ac:dyDescent="0.25">
      <c r="A7277">
        <v>63523</v>
      </c>
      <c r="B7277" t="s">
        <v>4</v>
      </c>
      <c r="C7277">
        <v>3</v>
      </c>
      <c r="D7277" t="s">
        <v>5</v>
      </c>
      <c r="F7277" t="str" cm="1">
        <f t="array" ref="F7277">CategorizeComment(E7277)</f>
        <v>Other</v>
      </c>
      <c r="G7277" t="str" cm="1">
        <f t="array" ref="G7277">SubCategorizeComment(E7277)</f>
        <v>Other</v>
      </c>
    </row>
    <row r="7278" spans="1:7" x14ac:dyDescent="0.25">
      <c r="A7278">
        <v>63535</v>
      </c>
      <c r="B7278" t="s">
        <v>4</v>
      </c>
      <c r="C7278">
        <v>4</v>
      </c>
      <c r="D7278" t="s">
        <v>5</v>
      </c>
      <c r="F7278" t="str" cm="1">
        <f t="array" ref="F7278">CategorizeComment(E7278)</f>
        <v>Other</v>
      </c>
      <c r="G7278" t="str" cm="1">
        <f t="array" ref="G7278">SubCategorizeComment(E7278)</f>
        <v>Other</v>
      </c>
    </row>
    <row r="7279" spans="1:7" x14ac:dyDescent="0.25">
      <c r="A7279">
        <v>63538</v>
      </c>
      <c r="B7279" t="s">
        <v>4</v>
      </c>
      <c r="C7279">
        <v>4</v>
      </c>
      <c r="D7279" t="s">
        <v>5</v>
      </c>
      <c r="F7279" t="str" cm="1">
        <f t="array" ref="F7279">CategorizeComment(E7279)</f>
        <v>Other</v>
      </c>
      <c r="G7279" t="str" cm="1">
        <f t="array" ref="G7279">SubCategorizeComment(E7279)</f>
        <v>Other</v>
      </c>
    </row>
    <row r="7280" spans="1:7" x14ac:dyDescent="0.25">
      <c r="A7280">
        <v>63556</v>
      </c>
      <c r="B7280" t="s">
        <v>4</v>
      </c>
      <c r="C7280">
        <v>4</v>
      </c>
      <c r="D7280" t="s">
        <v>5</v>
      </c>
      <c r="F7280" t="str" cm="1">
        <f t="array" ref="F7280">CategorizeComment(E7280)</f>
        <v>Other</v>
      </c>
      <c r="G7280" t="str" cm="1">
        <f t="array" ref="G7280">SubCategorizeComment(E7280)</f>
        <v>Other</v>
      </c>
    </row>
    <row r="7281" spans="1:7" x14ac:dyDescent="0.25">
      <c r="A7281">
        <v>63557</v>
      </c>
      <c r="B7281" t="s">
        <v>4</v>
      </c>
      <c r="C7281">
        <v>3</v>
      </c>
      <c r="D7281" t="s">
        <v>5</v>
      </c>
      <c r="F7281" t="str" cm="1">
        <f t="array" ref="F7281">CategorizeComment(E7281)</f>
        <v>Other</v>
      </c>
      <c r="G7281" t="str" cm="1">
        <f t="array" ref="G7281">SubCategorizeComment(E7281)</f>
        <v>Other</v>
      </c>
    </row>
    <row r="7282" spans="1:7" x14ac:dyDescent="0.25">
      <c r="A7282">
        <v>63558</v>
      </c>
      <c r="B7282" t="s">
        <v>4</v>
      </c>
      <c r="C7282">
        <v>3</v>
      </c>
      <c r="D7282" t="s">
        <v>5</v>
      </c>
      <c r="F7282" t="str" cm="1">
        <f t="array" ref="F7282">CategorizeComment(E7282)</f>
        <v>Other</v>
      </c>
      <c r="G7282" t="str" cm="1">
        <f t="array" ref="G7282">SubCategorizeComment(E7282)</f>
        <v>Other</v>
      </c>
    </row>
    <row r="7283" spans="1:7" x14ac:dyDescent="0.25">
      <c r="A7283">
        <v>63593</v>
      </c>
      <c r="B7283" t="s">
        <v>4</v>
      </c>
      <c r="C7283">
        <v>4</v>
      </c>
      <c r="D7283" t="s">
        <v>5</v>
      </c>
      <c r="F7283" t="str" cm="1">
        <f t="array" ref="F7283">CategorizeComment(E7283)</f>
        <v>Other</v>
      </c>
      <c r="G7283" t="str" cm="1">
        <f t="array" ref="G7283">SubCategorizeComment(E7283)</f>
        <v>Other</v>
      </c>
    </row>
    <row r="7284" spans="1:7" x14ac:dyDescent="0.25">
      <c r="A7284">
        <v>63599</v>
      </c>
      <c r="B7284" t="s">
        <v>4</v>
      </c>
      <c r="C7284">
        <v>4</v>
      </c>
      <c r="D7284" t="s">
        <v>5</v>
      </c>
      <c r="F7284" t="str" cm="1">
        <f t="array" ref="F7284">CategorizeComment(E7284)</f>
        <v>Other</v>
      </c>
      <c r="G7284" t="str" cm="1">
        <f t="array" ref="G7284">SubCategorizeComment(E7284)</f>
        <v>Other</v>
      </c>
    </row>
    <row r="7285" spans="1:7" x14ac:dyDescent="0.25">
      <c r="A7285">
        <v>63611</v>
      </c>
      <c r="B7285" t="s">
        <v>4</v>
      </c>
      <c r="C7285">
        <v>3</v>
      </c>
      <c r="D7285" t="s">
        <v>5</v>
      </c>
      <c r="F7285" t="str" cm="1">
        <f t="array" ref="F7285">CategorizeComment(E7285)</f>
        <v>Other</v>
      </c>
      <c r="G7285" t="str" cm="1">
        <f t="array" ref="G7285">SubCategorizeComment(E7285)</f>
        <v>Other</v>
      </c>
    </row>
    <row r="7286" spans="1:7" x14ac:dyDescent="0.25">
      <c r="A7286">
        <v>63614</v>
      </c>
      <c r="B7286" t="s">
        <v>4</v>
      </c>
      <c r="C7286">
        <v>4</v>
      </c>
      <c r="D7286" t="s">
        <v>5</v>
      </c>
      <c r="F7286" t="str" cm="1">
        <f t="array" ref="F7286">CategorizeComment(E7286)</f>
        <v>Other</v>
      </c>
      <c r="G7286" t="str" cm="1">
        <f t="array" ref="G7286">SubCategorizeComment(E7286)</f>
        <v>Other</v>
      </c>
    </row>
    <row r="7287" spans="1:7" x14ac:dyDescent="0.25">
      <c r="A7287">
        <v>63616</v>
      </c>
      <c r="B7287" t="s">
        <v>4</v>
      </c>
      <c r="C7287">
        <v>3</v>
      </c>
      <c r="D7287" t="s">
        <v>5</v>
      </c>
      <c r="F7287" t="str" cm="1">
        <f t="array" ref="F7287">CategorizeComment(E7287)</f>
        <v>Other</v>
      </c>
      <c r="G7287" t="str" cm="1">
        <f t="array" ref="G7287">SubCategorizeComment(E7287)</f>
        <v>Other</v>
      </c>
    </row>
    <row r="7288" spans="1:7" x14ac:dyDescent="0.25">
      <c r="A7288">
        <v>63633</v>
      </c>
      <c r="B7288" t="s">
        <v>4</v>
      </c>
      <c r="C7288">
        <v>4</v>
      </c>
      <c r="D7288" t="s">
        <v>5</v>
      </c>
      <c r="F7288" t="str" cm="1">
        <f t="array" ref="F7288">CategorizeComment(E7288)</f>
        <v>Other</v>
      </c>
      <c r="G7288" t="str" cm="1">
        <f t="array" ref="G7288">SubCategorizeComment(E7288)</f>
        <v>Other</v>
      </c>
    </row>
    <row r="7289" spans="1:7" x14ac:dyDescent="0.25">
      <c r="A7289">
        <v>63638</v>
      </c>
      <c r="B7289" t="s">
        <v>4</v>
      </c>
      <c r="C7289">
        <v>4</v>
      </c>
      <c r="D7289" t="s">
        <v>5</v>
      </c>
      <c r="F7289" t="str" cm="1">
        <f t="array" ref="F7289">CategorizeComment(E7289)</f>
        <v>Other</v>
      </c>
      <c r="G7289" t="str" cm="1">
        <f t="array" ref="G7289">SubCategorizeComment(E7289)</f>
        <v>Other</v>
      </c>
    </row>
    <row r="7290" spans="1:7" x14ac:dyDescent="0.25">
      <c r="A7290">
        <v>63643</v>
      </c>
      <c r="B7290" t="s">
        <v>4</v>
      </c>
      <c r="C7290">
        <v>3</v>
      </c>
      <c r="D7290" t="s">
        <v>5</v>
      </c>
      <c r="F7290" t="str" cm="1">
        <f t="array" ref="F7290">CategorizeComment(E7290)</f>
        <v>Other</v>
      </c>
      <c r="G7290" t="str" cm="1">
        <f t="array" ref="G7290">SubCategorizeComment(E7290)</f>
        <v>Other</v>
      </c>
    </row>
    <row r="7291" spans="1:7" x14ac:dyDescent="0.25">
      <c r="A7291">
        <v>63662</v>
      </c>
      <c r="B7291" t="s">
        <v>4</v>
      </c>
      <c r="C7291">
        <v>3</v>
      </c>
      <c r="D7291" t="s">
        <v>5</v>
      </c>
      <c r="F7291" t="str" cm="1">
        <f t="array" ref="F7291">CategorizeComment(E7291)</f>
        <v>Other</v>
      </c>
      <c r="G7291" t="str" cm="1">
        <f t="array" ref="G7291">SubCategorizeComment(E7291)</f>
        <v>Other</v>
      </c>
    </row>
    <row r="7292" spans="1:7" x14ac:dyDescent="0.25">
      <c r="A7292">
        <v>63669</v>
      </c>
      <c r="B7292" t="s">
        <v>4</v>
      </c>
      <c r="C7292">
        <v>4</v>
      </c>
      <c r="D7292" t="s">
        <v>5</v>
      </c>
      <c r="F7292" t="str" cm="1">
        <f t="array" ref="F7292">CategorizeComment(E7292)</f>
        <v>Other</v>
      </c>
      <c r="G7292" t="str" cm="1">
        <f t="array" ref="G7292">SubCategorizeComment(E7292)</f>
        <v>Other</v>
      </c>
    </row>
    <row r="7293" spans="1:7" x14ac:dyDescent="0.25">
      <c r="A7293">
        <v>63682</v>
      </c>
      <c r="B7293" t="s">
        <v>4</v>
      </c>
      <c r="C7293">
        <v>3</v>
      </c>
      <c r="D7293" t="s">
        <v>5</v>
      </c>
      <c r="F7293" t="str" cm="1">
        <f t="array" ref="F7293">CategorizeComment(E7293)</f>
        <v>Other</v>
      </c>
      <c r="G7293" t="str" cm="1">
        <f t="array" ref="G7293">SubCategorizeComment(E7293)</f>
        <v>Other</v>
      </c>
    </row>
    <row r="7294" spans="1:7" x14ac:dyDescent="0.25">
      <c r="A7294">
        <v>63683</v>
      </c>
      <c r="B7294" t="s">
        <v>4</v>
      </c>
      <c r="C7294">
        <v>3</v>
      </c>
      <c r="D7294" t="s">
        <v>5</v>
      </c>
      <c r="F7294" t="str" cm="1">
        <f t="array" ref="F7294">CategorizeComment(E7294)</f>
        <v>Other</v>
      </c>
      <c r="G7294" t="str" cm="1">
        <f t="array" ref="G7294">SubCategorizeComment(E7294)</f>
        <v>Other</v>
      </c>
    </row>
    <row r="7295" spans="1:7" x14ac:dyDescent="0.25">
      <c r="A7295">
        <v>63689</v>
      </c>
      <c r="B7295" t="s">
        <v>4</v>
      </c>
      <c r="C7295">
        <v>4</v>
      </c>
      <c r="D7295" t="s">
        <v>5</v>
      </c>
      <c r="F7295" t="str" cm="1">
        <f t="array" ref="F7295">CategorizeComment(E7295)</f>
        <v>Other</v>
      </c>
      <c r="G7295" t="str" cm="1">
        <f t="array" ref="G7295">SubCategorizeComment(E7295)</f>
        <v>Other</v>
      </c>
    </row>
    <row r="7296" spans="1:7" x14ac:dyDescent="0.25">
      <c r="A7296">
        <v>63693</v>
      </c>
      <c r="B7296" t="s">
        <v>4</v>
      </c>
      <c r="C7296">
        <v>3</v>
      </c>
      <c r="D7296" t="s">
        <v>5</v>
      </c>
      <c r="F7296" t="str" cm="1">
        <f t="array" ref="F7296">CategorizeComment(E7296)</f>
        <v>Other</v>
      </c>
      <c r="G7296" t="str" cm="1">
        <f t="array" ref="G7296">SubCategorizeComment(E7296)</f>
        <v>Other</v>
      </c>
    </row>
    <row r="7297" spans="1:7" x14ac:dyDescent="0.25">
      <c r="A7297">
        <v>63695</v>
      </c>
      <c r="B7297" t="s">
        <v>4</v>
      </c>
      <c r="C7297">
        <v>3</v>
      </c>
      <c r="D7297" t="s">
        <v>5</v>
      </c>
      <c r="F7297" t="str" cm="1">
        <f t="array" ref="F7297">CategorizeComment(E7297)</f>
        <v>Other</v>
      </c>
      <c r="G7297" t="str" cm="1">
        <f t="array" ref="G7297">SubCategorizeComment(E7297)</f>
        <v>Other</v>
      </c>
    </row>
    <row r="7298" spans="1:7" x14ac:dyDescent="0.25">
      <c r="A7298">
        <v>63700</v>
      </c>
      <c r="B7298" t="s">
        <v>4</v>
      </c>
      <c r="C7298">
        <v>4</v>
      </c>
      <c r="D7298" t="s">
        <v>5</v>
      </c>
      <c r="F7298" t="str" cm="1">
        <f t="array" ref="F7298">CategorizeComment(E7298)</f>
        <v>Other</v>
      </c>
      <c r="G7298" t="str" cm="1">
        <f t="array" ref="G7298">SubCategorizeComment(E7298)</f>
        <v>Other</v>
      </c>
    </row>
    <row r="7299" spans="1:7" x14ac:dyDescent="0.25">
      <c r="A7299">
        <v>63708</v>
      </c>
      <c r="B7299" t="s">
        <v>4</v>
      </c>
      <c r="C7299">
        <v>3</v>
      </c>
      <c r="D7299" t="s">
        <v>5</v>
      </c>
      <c r="F7299" t="str" cm="1">
        <f t="array" ref="F7299">CategorizeComment(E7299)</f>
        <v>Other</v>
      </c>
      <c r="G7299" t="str" cm="1">
        <f t="array" ref="G7299">SubCategorizeComment(E7299)</f>
        <v>Other</v>
      </c>
    </row>
    <row r="7300" spans="1:7" x14ac:dyDescent="0.25">
      <c r="A7300">
        <v>63710</v>
      </c>
      <c r="B7300" t="s">
        <v>4</v>
      </c>
      <c r="C7300">
        <v>4</v>
      </c>
      <c r="D7300" t="s">
        <v>5</v>
      </c>
      <c r="F7300" t="str" cm="1">
        <f t="array" ref="F7300">CategorizeComment(E7300)</f>
        <v>Other</v>
      </c>
      <c r="G7300" t="str" cm="1">
        <f t="array" ref="G7300">SubCategorizeComment(E7300)</f>
        <v>Other</v>
      </c>
    </row>
    <row r="7301" spans="1:7" x14ac:dyDescent="0.25">
      <c r="A7301">
        <v>63712</v>
      </c>
      <c r="B7301" t="s">
        <v>4</v>
      </c>
      <c r="C7301">
        <v>3</v>
      </c>
      <c r="D7301" t="s">
        <v>5</v>
      </c>
      <c r="F7301" t="str" cm="1">
        <f t="array" ref="F7301">CategorizeComment(E7301)</f>
        <v>Other</v>
      </c>
      <c r="G7301" t="str" cm="1">
        <f t="array" ref="G7301">SubCategorizeComment(E7301)</f>
        <v>Other</v>
      </c>
    </row>
    <row r="7302" spans="1:7" x14ac:dyDescent="0.25">
      <c r="A7302">
        <v>63723</v>
      </c>
      <c r="B7302" t="s">
        <v>4</v>
      </c>
      <c r="C7302">
        <v>4</v>
      </c>
      <c r="D7302" t="s">
        <v>5</v>
      </c>
      <c r="F7302" t="str" cm="1">
        <f t="array" ref="F7302">CategorizeComment(E7302)</f>
        <v>Other</v>
      </c>
      <c r="G7302" t="str" cm="1">
        <f t="array" ref="G7302">SubCategorizeComment(E7302)</f>
        <v>Other</v>
      </c>
    </row>
    <row r="7303" spans="1:7" x14ac:dyDescent="0.25">
      <c r="A7303">
        <v>63729</v>
      </c>
      <c r="B7303" t="s">
        <v>4</v>
      </c>
      <c r="C7303">
        <v>4</v>
      </c>
      <c r="D7303" t="s">
        <v>5</v>
      </c>
      <c r="F7303" t="str" cm="1">
        <f t="array" ref="F7303">CategorizeComment(E7303)</f>
        <v>Other</v>
      </c>
      <c r="G7303" t="str" cm="1">
        <f t="array" ref="G7303">SubCategorizeComment(E7303)</f>
        <v>Other</v>
      </c>
    </row>
    <row r="7304" spans="1:7" x14ac:dyDescent="0.25">
      <c r="A7304">
        <v>63730</v>
      </c>
      <c r="B7304" t="s">
        <v>4</v>
      </c>
      <c r="C7304">
        <v>3</v>
      </c>
      <c r="D7304" t="s">
        <v>5</v>
      </c>
      <c r="F7304" t="str" cm="1">
        <f t="array" ref="F7304">CategorizeComment(E7304)</f>
        <v>Other</v>
      </c>
      <c r="G7304" t="str" cm="1">
        <f t="array" ref="G7304">SubCategorizeComment(E7304)</f>
        <v>Other</v>
      </c>
    </row>
    <row r="7305" spans="1:7" x14ac:dyDescent="0.25">
      <c r="A7305">
        <v>63747</v>
      </c>
      <c r="B7305" t="s">
        <v>4</v>
      </c>
      <c r="C7305">
        <v>3</v>
      </c>
      <c r="D7305" t="s">
        <v>5</v>
      </c>
      <c r="F7305" t="str" cm="1">
        <f t="array" ref="F7305">CategorizeComment(E7305)</f>
        <v>Other</v>
      </c>
      <c r="G7305" t="str" cm="1">
        <f t="array" ref="G7305">SubCategorizeComment(E7305)</f>
        <v>Other</v>
      </c>
    </row>
    <row r="7306" spans="1:7" x14ac:dyDescent="0.25">
      <c r="A7306">
        <v>63756</v>
      </c>
      <c r="B7306" t="s">
        <v>4</v>
      </c>
      <c r="C7306">
        <v>4</v>
      </c>
      <c r="D7306" t="s">
        <v>5</v>
      </c>
      <c r="F7306" t="str" cm="1">
        <f t="array" ref="F7306">CategorizeComment(E7306)</f>
        <v>Other</v>
      </c>
      <c r="G7306" t="str" cm="1">
        <f t="array" ref="G7306">SubCategorizeComment(E7306)</f>
        <v>Other</v>
      </c>
    </row>
    <row r="7307" spans="1:7" x14ac:dyDescent="0.25">
      <c r="A7307">
        <v>63765</v>
      </c>
      <c r="B7307" t="s">
        <v>4</v>
      </c>
      <c r="C7307">
        <v>3</v>
      </c>
      <c r="D7307" t="s">
        <v>5</v>
      </c>
      <c r="F7307" t="str" cm="1">
        <f t="array" ref="F7307">CategorizeComment(E7307)</f>
        <v>Other</v>
      </c>
      <c r="G7307" t="str" cm="1">
        <f t="array" ref="G7307">SubCategorizeComment(E7307)</f>
        <v>Other</v>
      </c>
    </row>
    <row r="7308" spans="1:7" x14ac:dyDescent="0.25">
      <c r="A7308">
        <v>63780</v>
      </c>
      <c r="B7308" t="s">
        <v>4</v>
      </c>
      <c r="C7308">
        <v>4</v>
      </c>
      <c r="D7308" t="s">
        <v>5</v>
      </c>
      <c r="F7308" t="str" cm="1">
        <f t="array" ref="F7308">CategorizeComment(E7308)</f>
        <v>Other</v>
      </c>
      <c r="G7308" t="str" cm="1">
        <f t="array" ref="G7308">SubCategorizeComment(E7308)</f>
        <v>Other</v>
      </c>
    </row>
    <row r="7309" spans="1:7" x14ac:dyDescent="0.25">
      <c r="A7309">
        <v>63782</v>
      </c>
      <c r="B7309" t="s">
        <v>4</v>
      </c>
      <c r="C7309">
        <v>4</v>
      </c>
      <c r="D7309" t="s">
        <v>5</v>
      </c>
      <c r="F7309" t="str" cm="1">
        <f t="array" ref="F7309">CategorizeComment(E7309)</f>
        <v>Other</v>
      </c>
      <c r="G7309" t="str" cm="1">
        <f t="array" ref="G7309">SubCategorizeComment(E7309)</f>
        <v>Other</v>
      </c>
    </row>
    <row r="7310" spans="1:7" x14ac:dyDescent="0.25">
      <c r="A7310">
        <v>63785</v>
      </c>
      <c r="B7310" t="s">
        <v>4</v>
      </c>
      <c r="C7310">
        <v>4</v>
      </c>
      <c r="D7310" t="s">
        <v>5</v>
      </c>
      <c r="F7310" t="str" cm="1">
        <f t="array" ref="F7310">CategorizeComment(E7310)</f>
        <v>Other</v>
      </c>
      <c r="G7310" t="str" cm="1">
        <f t="array" ref="G7310">SubCategorizeComment(E7310)</f>
        <v>Other</v>
      </c>
    </row>
    <row r="7311" spans="1:7" x14ac:dyDescent="0.25">
      <c r="A7311">
        <v>63795</v>
      </c>
      <c r="B7311" t="s">
        <v>4</v>
      </c>
      <c r="C7311">
        <v>4</v>
      </c>
      <c r="D7311" t="s">
        <v>5</v>
      </c>
      <c r="F7311" t="str" cm="1">
        <f t="array" ref="F7311">CategorizeComment(E7311)</f>
        <v>Other</v>
      </c>
      <c r="G7311" t="str" cm="1">
        <f t="array" ref="G7311">SubCategorizeComment(E7311)</f>
        <v>Other</v>
      </c>
    </row>
    <row r="7312" spans="1:7" x14ac:dyDescent="0.25">
      <c r="A7312">
        <v>63864</v>
      </c>
      <c r="B7312" t="s">
        <v>4</v>
      </c>
      <c r="C7312">
        <v>3</v>
      </c>
      <c r="D7312" t="s">
        <v>5</v>
      </c>
      <c r="F7312" t="str" cm="1">
        <f t="array" ref="F7312">CategorizeComment(E7312)</f>
        <v>Other</v>
      </c>
      <c r="G7312" t="str" cm="1">
        <f t="array" ref="G7312">SubCategorizeComment(E7312)</f>
        <v>Other</v>
      </c>
    </row>
    <row r="7313" spans="1:7" x14ac:dyDescent="0.25">
      <c r="A7313">
        <v>63871</v>
      </c>
      <c r="B7313" t="s">
        <v>4</v>
      </c>
      <c r="C7313">
        <v>4</v>
      </c>
      <c r="D7313" t="s">
        <v>5</v>
      </c>
      <c r="F7313" t="str" cm="1">
        <f t="array" ref="F7313">CategorizeComment(E7313)</f>
        <v>Other</v>
      </c>
      <c r="G7313" t="str" cm="1">
        <f t="array" ref="G7313">SubCategorizeComment(E7313)</f>
        <v>Other</v>
      </c>
    </row>
    <row r="7314" spans="1:7" x14ac:dyDescent="0.25">
      <c r="A7314">
        <v>63883</v>
      </c>
      <c r="B7314" t="s">
        <v>4</v>
      </c>
      <c r="C7314">
        <v>4</v>
      </c>
      <c r="D7314" t="s">
        <v>5</v>
      </c>
      <c r="F7314" t="str" cm="1">
        <f t="array" ref="F7314">CategorizeComment(E7314)</f>
        <v>Other</v>
      </c>
      <c r="G7314" t="str" cm="1">
        <f t="array" ref="G7314">SubCategorizeComment(E7314)</f>
        <v>Other</v>
      </c>
    </row>
    <row r="7315" spans="1:7" x14ac:dyDescent="0.25">
      <c r="A7315">
        <v>63884</v>
      </c>
      <c r="B7315" t="s">
        <v>4</v>
      </c>
      <c r="C7315">
        <v>3</v>
      </c>
      <c r="D7315" t="s">
        <v>5</v>
      </c>
      <c r="F7315" t="str" cm="1">
        <f t="array" ref="F7315">CategorizeComment(E7315)</f>
        <v>Other</v>
      </c>
      <c r="G7315" t="str" cm="1">
        <f t="array" ref="G7315">SubCategorizeComment(E7315)</f>
        <v>Other</v>
      </c>
    </row>
    <row r="7316" spans="1:7" x14ac:dyDescent="0.25">
      <c r="A7316">
        <v>63911</v>
      </c>
      <c r="B7316" t="s">
        <v>4</v>
      </c>
      <c r="C7316">
        <v>3</v>
      </c>
      <c r="D7316" t="s">
        <v>5</v>
      </c>
      <c r="F7316" t="str" cm="1">
        <f t="array" ref="F7316">CategorizeComment(E7316)</f>
        <v>Other</v>
      </c>
      <c r="G7316" t="str" cm="1">
        <f t="array" ref="G7316">SubCategorizeComment(E7316)</f>
        <v>Other</v>
      </c>
    </row>
    <row r="7317" spans="1:7" x14ac:dyDescent="0.25">
      <c r="A7317">
        <v>63915</v>
      </c>
      <c r="B7317" t="s">
        <v>4</v>
      </c>
      <c r="C7317">
        <v>4</v>
      </c>
      <c r="D7317" t="s">
        <v>5</v>
      </c>
      <c r="F7317" t="str" cm="1">
        <f t="array" ref="F7317">CategorizeComment(E7317)</f>
        <v>Other</v>
      </c>
      <c r="G7317" t="str" cm="1">
        <f t="array" ref="G7317">SubCategorizeComment(E7317)</f>
        <v>Other</v>
      </c>
    </row>
    <row r="7318" spans="1:7" x14ac:dyDescent="0.25">
      <c r="A7318">
        <v>63930</v>
      </c>
      <c r="B7318" t="s">
        <v>4</v>
      </c>
      <c r="C7318">
        <v>4</v>
      </c>
      <c r="D7318" t="s">
        <v>5</v>
      </c>
      <c r="F7318" t="str" cm="1">
        <f t="array" ref="F7318">CategorizeComment(E7318)</f>
        <v>Other</v>
      </c>
      <c r="G7318" t="str" cm="1">
        <f t="array" ref="G7318">SubCategorizeComment(E7318)</f>
        <v>Other</v>
      </c>
    </row>
    <row r="7319" spans="1:7" x14ac:dyDescent="0.25">
      <c r="A7319">
        <v>63937</v>
      </c>
      <c r="B7319" t="s">
        <v>4</v>
      </c>
      <c r="C7319">
        <v>4</v>
      </c>
      <c r="D7319" t="s">
        <v>5</v>
      </c>
      <c r="F7319" t="str" cm="1">
        <f t="array" ref="F7319">CategorizeComment(E7319)</f>
        <v>Other</v>
      </c>
      <c r="G7319" t="str" cm="1">
        <f t="array" ref="G7319">SubCategorizeComment(E7319)</f>
        <v>Other</v>
      </c>
    </row>
    <row r="7320" spans="1:7" x14ac:dyDescent="0.25">
      <c r="A7320">
        <v>63957</v>
      </c>
      <c r="B7320" t="s">
        <v>4</v>
      </c>
      <c r="C7320">
        <v>3</v>
      </c>
      <c r="D7320" t="s">
        <v>5</v>
      </c>
      <c r="F7320" t="str" cm="1">
        <f t="array" ref="F7320">CategorizeComment(E7320)</f>
        <v>Other</v>
      </c>
      <c r="G7320" t="str" cm="1">
        <f t="array" ref="G7320">SubCategorizeComment(E7320)</f>
        <v>Other</v>
      </c>
    </row>
    <row r="7321" spans="1:7" x14ac:dyDescent="0.25">
      <c r="A7321">
        <v>63962</v>
      </c>
      <c r="B7321" t="s">
        <v>4</v>
      </c>
      <c r="C7321">
        <v>4</v>
      </c>
      <c r="D7321" t="s">
        <v>5</v>
      </c>
      <c r="F7321" t="str" cm="1">
        <f t="array" ref="F7321">CategorizeComment(E7321)</f>
        <v>Other</v>
      </c>
      <c r="G7321" t="str" cm="1">
        <f t="array" ref="G7321">SubCategorizeComment(E7321)</f>
        <v>Other</v>
      </c>
    </row>
    <row r="7322" spans="1:7" x14ac:dyDescent="0.25">
      <c r="A7322">
        <v>63963</v>
      </c>
      <c r="B7322" t="s">
        <v>4</v>
      </c>
      <c r="C7322">
        <v>4</v>
      </c>
      <c r="D7322" t="s">
        <v>5</v>
      </c>
      <c r="F7322" t="str" cm="1">
        <f t="array" ref="F7322">CategorizeComment(E7322)</f>
        <v>Other</v>
      </c>
      <c r="G7322" t="str" cm="1">
        <f t="array" ref="G7322">SubCategorizeComment(E7322)</f>
        <v>Other</v>
      </c>
    </row>
    <row r="7323" spans="1:7" x14ac:dyDescent="0.25">
      <c r="A7323">
        <v>63973</v>
      </c>
      <c r="B7323" t="s">
        <v>4</v>
      </c>
      <c r="C7323">
        <v>4</v>
      </c>
      <c r="D7323" t="s">
        <v>5</v>
      </c>
      <c r="F7323" t="str" cm="1">
        <f t="array" ref="F7323">CategorizeComment(E7323)</f>
        <v>Other</v>
      </c>
      <c r="G7323" t="str" cm="1">
        <f t="array" ref="G7323">SubCategorizeComment(E7323)</f>
        <v>Other</v>
      </c>
    </row>
    <row r="7324" spans="1:7" x14ac:dyDescent="0.25">
      <c r="A7324">
        <v>63974</v>
      </c>
      <c r="B7324" t="s">
        <v>4</v>
      </c>
      <c r="C7324">
        <v>3</v>
      </c>
      <c r="D7324" t="s">
        <v>5</v>
      </c>
      <c r="F7324" t="str" cm="1">
        <f t="array" ref="F7324">CategorizeComment(E7324)</f>
        <v>Other</v>
      </c>
      <c r="G7324" t="str" cm="1">
        <f t="array" ref="G7324">SubCategorizeComment(E7324)</f>
        <v>Other</v>
      </c>
    </row>
    <row r="7325" spans="1:7" x14ac:dyDescent="0.25">
      <c r="A7325">
        <v>63977</v>
      </c>
      <c r="B7325" t="s">
        <v>4</v>
      </c>
      <c r="C7325">
        <v>3</v>
      </c>
      <c r="D7325" t="s">
        <v>5</v>
      </c>
      <c r="F7325" t="str" cm="1">
        <f t="array" ref="F7325">CategorizeComment(E7325)</f>
        <v>Other</v>
      </c>
      <c r="G7325" t="str" cm="1">
        <f t="array" ref="G7325">SubCategorizeComment(E7325)</f>
        <v>Other</v>
      </c>
    </row>
    <row r="7326" spans="1:7" x14ac:dyDescent="0.25">
      <c r="A7326">
        <v>63984</v>
      </c>
      <c r="B7326" t="s">
        <v>4</v>
      </c>
      <c r="C7326">
        <v>3</v>
      </c>
      <c r="D7326" t="s">
        <v>5</v>
      </c>
      <c r="F7326" t="str" cm="1">
        <f t="array" ref="F7326">CategorizeComment(E7326)</f>
        <v>Other</v>
      </c>
      <c r="G7326" t="str" cm="1">
        <f t="array" ref="G7326">SubCategorizeComment(E7326)</f>
        <v>Other</v>
      </c>
    </row>
    <row r="7327" spans="1:7" x14ac:dyDescent="0.25">
      <c r="A7327">
        <v>63994</v>
      </c>
      <c r="B7327" t="s">
        <v>4</v>
      </c>
      <c r="C7327">
        <v>4</v>
      </c>
      <c r="D7327" t="s">
        <v>5</v>
      </c>
      <c r="F7327" t="str" cm="1">
        <f t="array" ref="F7327">CategorizeComment(E7327)</f>
        <v>Other</v>
      </c>
      <c r="G7327" t="str" cm="1">
        <f t="array" ref="G7327">SubCategorizeComment(E7327)</f>
        <v>Other</v>
      </c>
    </row>
    <row r="7328" spans="1:7" x14ac:dyDescent="0.25">
      <c r="A7328">
        <v>64001</v>
      </c>
      <c r="B7328" t="s">
        <v>4</v>
      </c>
      <c r="C7328">
        <v>4</v>
      </c>
      <c r="D7328" t="s">
        <v>5</v>
      </c>
      <c r="F7328" t="str" cm="1">
        <f t="array" ref="F7328">CategorizeComment(E7328)</f>
        <v>Other</v>
      </c>
      <c r="G7328" t="str" cm="1">
        <f t="array" ref="G7328">SubCategorizeComment(E7328)</f>
        <v>Other</v>
      </c>
    </row>
    <row r="7329" spans="1:7" x14ac:dyDescent="0.25">
      <c r="A7329">
        <v>64002</v>
      </c>
      <c r="B7329" t="s">
        <v>4</v>
      </c>
      <c r="C7329">
        <v>4</v>
      </c>
      <c r="D7329" t="s">
        <v>5</v>
      </c>
      <c r="F7329" t="str" cm="1">
        <f t="array" ref="F7329">CategorizeComment(E7329)</f>
        <v>Other</v>
      </c>
      <c r="G7329" t="str" cm="1">
        <f t="array" ref="G7329">SubCategorizeComment(E7329)</f>
        <v>Other</v>
      </c>
    </row>
    <row r="7330" spans="1:7" x14ac:dyDescent="0.25">
      <c r="A7330">
        <v>64006</v>
      </c>
      <c r="B7330" t="s">
        <v>4</v>
      </c>
      <c r="C7330">
        <v>4</v>
      </c>
      <c r="D7330" t="s">
        <v>5</v>
      </c>
      <c r="F7330" t="str" cm="1">
        <f t="array" ref="F7330">CategorizeComment(E7330)</f>
        <v>Other</v>
      </c>
      <c r="G7330" t="str" cm="1">
        <f t="array" ref="G7330">SubCategorizeComment(E7330)</f>
        <v>Other</v>
      </c>
    </row>
    <row r="7331" spans="1:7" x14ac:dyDescent="0.25">
      <c r="A7331">
        <v>64037</v>
      </c>
      <c r="B7331" t="s">
        <v>4</v>
      </c>
      <c r="C7331">
        <v>4</v>
      </c>
      <c r="D7331" t="s">
        <v>5</v>
      </c>
      <c r="F7331" t="str" cm="1">
        <f t="array" ref="F7331">CategorizeComment(E7331)</f>
        <v>Other</v>
      </c>
      <c r="G7331" t="str" cm="1">
        <f t="array" ref="G7331">SubCategorizeComment(E7331)</f>
        <v>Other</v>
      </c>
    </row>
    <row r="7332" spans="1:7" x14ac:dyDescent="0.25">
      <c r="A7332">
        <v>64061</v>
      </c>
      <c r="B7332" t="s">
        <v>4</v>
      </c>
      <c r="C7332">
        <v>3</v>
      </c>
      <c r="D7332" t="s">
        <v>5</v>
      </c>
      <c r="F7332" t="str" cm="1">
        <f t="array" ref="F7332">CategorizeComment(E7332)</f>
        <v>Other</v>
      </c>
      <c r="G7332" t="str" cm="1">
        <f t="array" ref="G7332">SubCategorizeComment(E7332)</f>
        <v>Other</v>
      </c>
    </row>
    <row r="7333" spans="1:7" x14ac:dyDescent="0.25">
      <c r="A7333">
        <v>64063</v>
      </c>
      <c r="B7333" t="s">
        <v>4</v>
      </c>
      <c r="C7333">
        <v>3</v>
      </c>
      <c r="D7333" t="s">
        <v>5</v>
      </c>
      <c r="F7333" t="str" cm="1">
        <f t="array" ref="F7333">CategorizeComment(E7333)</f>
        <v>Other</v>
      </c>
      <c r="G7333" t="str" cm="1">
        <f t="array" ref="G7333">SubCategorizeComment(E7333)</f>
        <v>Other</v>
      </c>
    </row>
    <row r="7334" spans="1:7" x14ac:dyDescent="0.25">
      <c r="A7334">
        <v>64072</v>
      </c>
      <c r="B7334" t="s">
        <v>4</v>
      </c>
      <c r="C7334">
        <v>3</v>
      </c>
      <c r="D7334" t="s">
        <v>5</v>
      </c>
      <c r="F7334" t="str" cm="1">
        <f t="array" ref="F7334">CategorizeComment(E7334)</f>
        <v>Other</v>
      </c>
      <c r="G7334" t="str" cm="1">
        <f t="array" ref="G7334">SubCategorizeComment(E7334)</f>
        <v>Other</v>
      </c>
    </row>
    <row r="7335" spans="1:7" x14ac:dyDescent="0.25">
      <c r="A7335">
        <v>64073</v>
      </c>
      <c r="B7335" t="s">
        <v>4</v>
      </c>
      <c r="C7335">
        <v>4</v>
      </c>
      <c r="D7335" t="s">
        <v>5</v>
      </c>
      <c r="F7335" t="str" cm="1">
        <f t="array" ref="F7335">CategorizeComment(E7335)</f>
        <v>Other</v>
      </c>
      <c r="G7335" t="str" cm="1">
        <f t="array" ref="G7335">SubCategorizeComment(E7335)</f>
        <v>Other</v>
      </c>
    </row>
    <row r="7336" spans="1:7" x14ac:dyDescent="0.25">
      <c r="A7336">
        <v>64078</v>
      </c>
      <c r="B7336" t="s">
        <v>4</v>
      </c>
      <c r="C7336">
        <v>3</v>
      </c>
      <c r="D7336" t="s">
        <v>5</v>
      </c>
      <c r="F7336" t="str" cm="1">
        <f t="array" ref="F7336">CategorizeComment(E7336)</f>
        <v>Other</v>
      </c>
      <c r="G7336" t="str" cm="1">
        <f t="array" ref="G7336">SubCategorizeComment(E7336)</f>
        <v>Other</v>
      </c>
    </row>
    <row r="7337" spans="1:7" x14ac:dyDescent="0.25">
      <c r="A7337">
        <v>64092</v>
      </c>
      <c r="B7337" t="s">
        <v>4</v>
      </c>
      <c r="C7337">
        <v>4</v>
      </c>
      <c r="D7337" t="s">
        <v>5</v>
      </c>
      <c r="F7337" t="str" cm="1">
        <f t="array" ref="F7337">CategorizeComment(E7337)</f>
        <v>Other</v>
      </c>
      <c r="G7337" t="str" cm="1">
        <f t="array" ref="G7337">SubCategorizeComment(E7337)</f>
        <v>Other</v>
      </c>
    </row>
    <row r="7338" spans="1:7" x14ac:dyDescent="0.25">
      <c r="A7338">
        <v>64095</v>
      </c>
      <c r="B7338" t="s">
        <v>4</v>
      </c>
      <c r="C7338">
        <v>3</v>
      </c>
      <c r="D7338" t="s">
        <v>5</v>
      </c>
      <c r="F7338" t="str" cm="1">
        <f t="array" ref="F7338">CategorizeComment(E7338)</f>
        <v>Other</v>
      </c>
      <c r="G7338" t="str" cm="1">
        <f t="array" ref="G7338">SubCategorizeComment(E7338)</f>
        <v>Other</v>
      </c>
    </row>
    <row r="7339" spans="1:7" x14ac:dyDescent="0.25">
      <c r="A7339">
        <v>64099</v>
      </c>
      <c r="B7339" t="s">
        <v>4</v>
      </c>
      <c r="C7339">
        <v>4</v>
      </c>
      <c r="D7339" t="s">
        <v>5</v>
      </c>
      <c r="F7339" t="str" cm="1">
        <f t="array" ref="F7339">CategorizeComment(E7339)</f>
        <v>Other</v>
      </c>
      <c r="G7339" t="str" cm="1">
        <f t="array" ref="G7339">SubCategorizeComment(E7339)</f>
        <v>Other</v>
      </c>
    </row>
    <row r="7340" spans="1:7" x14ac:dyDescent="0.25">
      <c r="A7340">
        <v>64104</v>
      </c>
      <c r="B7340" t="s">
        <v>4</v>
      </c>
      <c r="C7340">
        <v>3</v>
      </c>
      <c r="D7340" t="s">
        <v>5</v>
      </c>
      <c r="F7340" t="str" cm="1">
        <f t="array" ref="F7340">CategorizeComment(E7340)</f>
        <v>Other</v>
      </c>
      <c r="G7340" t="str" cm="1">
        <f t="array" ref="G7340">SubCategorizeComment(E7340)</f>
        <v>Other</v>
      </c>
    </row>
    <row r="7341" spans="1:7" x14ac:dyDescent="0.25">
      <c r="A7341">
        <v>64105</v>
      </c>
      <c r="B7341" t="s">
        <v>4</v>
      </c>
      <c r="C7341">
        <v>4</v>
      </c>
      <c r="D7341" t="s">
        <v>5</v>
      </c>
      <c r="F7341" t="str" cm="1">
        <f t="array" ref="F7341">CategorizeComment(E7341)</f>
        <v>Other</v>
      </c>
      <c r="G7341" t="str" cm="1">
        <f t="array" ref="G7341">SubCategorizeComment(E7341)</f>
        <v>Other</v>
      </c>
    </row>
    <row r="7342" spans="1:7" x14ac:dyDescent="0.25">
      <c r="A7342">
        <v>64108</v>
      </c>
      <c r="B7342" t="s">
        <v>4</v>
      </c>
      <c r="C7342">
        <v>3</v>
      </c>
      <c r="D7342" t="s">
        <v>5</v>
      </c>
      <c r="F7342" t="str" cm="1">
        <f t="array" ref="F7342">CategorizeComment(E7342)</f>
        <v>Other</v>
      </c>
      <c r="G7342" t="str" cm="1">
        <f t="array" ref="G7342">SubCategorizeComment(E7342)</f>
        <v>Other</v>
      </c>
    </row>
    <row r="7343" spans="1:7" x14ac:dyDescent="0.25">
      <c r="A7343">
        <v>64116</v>
      </c>
      <c r="B7343" t="s">
        <v>4</v>
      </c>
      <c r="C7343">
        <v>3</v>
      </c>
      <c r="D7343" t="s">
        <v>5</v>
      </c>
      <c r="F7343" t="str" cm="1">
        <f t="array" ref="F7343">CategorizeComment(E7343)</f>
        <v>Other</v>
      </c>
      <c r="G7343" t="str" cm="1">
        <f t="array" ref="G7343">SubCategorizeComment(E7343)</f>
        <v>Other</v>
      </c>
    </row>
    <row r="7344" spans="1:7" x14ac:dyDescent="0.25">
      <c r="A7344">
        <v>64125</v>
      </c>
      <c r="B7344" t="s">
        <v>4</v>
      </c>
      <c r="C7344">
        <v>4</v>
      </c>
      <c r="D7344" t="s">
        <v>5</v>
      </c>
      <c r="F7344" t="str" cm="1">
        <f t="array" ref="F7344">CategorizeComment(E7344)</f>
        <v>Other</v>
      </c>
      <c r="G7344" t="str" cm="1">
        <f t="array" ref="G7344">SubCategorizeComment(E7344)</f>
        <v>Other</v>
      </c>
    </row>
    <row r="7345" spans="1:7" x14ac:dyDescent="0.25">
      <c r="A7345">
        <v>64126</v>
      </c>
      <c r="B7345" t="s">
        <v>4</v>
      </c>
      <c r="C7345">
        <v>4</v>
      </c>
      <c r="D7345" t="s">
        <v>5</v>
      </c>
      <c r="F7345" t="str" cm="1">
        <f t="array" ref="F7345">CategorizeComment(E7345)</f>
        <v>Other</v>
      </c>
      <c r="G7345" t="str" cm="1">
        <f t="array" ref="G7345">SubCategorizeComment(E7345)</f>
        <v>Other</v>
      </c>
    </row>
    <row r="7346" spans="1:7" x14ac:dyDescent="0.25">
      <c r="A7346">
        <v>64188</v>
      </c>
      <c r="B7346" t="s">
        <v>4</v>
      </c>
      <c r="C7346">
        <v>4</v>
      </c>
      <c r="D7346" t="s">
        <v>5</v>
      </c>
      <c r="F7346" t="str" cm="1">
        <f t="array" ref="F7346">CategorizeComment(E7346)</f>
        <v>Other</v>
      </c>
      <c r="G7346" t="str" cm="1">
        <f t="array" ref="G7346">SubCategorizeComment(E7346)</f>
        <v>Other</v>
      </c>
    </row>
    <row r="7347" spans="1:7" x14ac:dyDescent="0.25">
      <c r="A7347">
        <v>64190</v>
      </c>
      <c r="B7347" t="s">
        <v>4</v>
      </c>
      <c r="C7347">
        <v>4</v>
      </c>
      <c r="D7347" t="s">
        <v>5</v>
      </c>
      <c r="F7347" t="str" cm="1">
        <f t="array" ref="F7347">CategorizeComment(E7347)</f>
        <v>Other</v>
      </c>
      <c r="G7347" t="str" cm="1">
        <f t="array" ref="G7347">SubCategorizeComment(E7347)</f>
        <v>Other</v>
      </c>
    </row>
    <row r="7348" spans="1:7" x14ac:dyDescent="0.25">
      <c r="A7348">
        <v>64200</v>
      </c>
      <c r="B7348" t="s">
        <v>4</v>
      </c>
      <c r="C7348">
        <v>4</v>
      </c>
      <c r="D7348" t="s">
        <v>5</v>
      </c>
      <c r="F7348" t="str" cm="1">
        <f t="array" ref="F7348">CategorizeComment(E7348)</f>
        <v>Other</v>
      </c>
      <c r="G7348" t="str" cm="1">
        <f t="array" ref="G7348">SubCategorizeComment(E7348)</f>
        <v>Other</v>
      </c>
    </row>
    <row r="7349" spans="1:7" x14ac:dyDescent="0.25">
      <c r="A7349">
        <v>64201</v>
      </c>
      <c r="B7349" t="s">
        <v>4</v>
      </c>
      <c r="C7349">
        <v>3</v>
      </c>
      <c r="D7349" t="s">
        <v>5</v>
      </c>
      <c r="F7349" t="str" cm="1">
        <f t="array" ref="F7349">CategorizeComment(E7349)</f>
        <v>Other</v>
      </c>
      <c r="G7349" t="str" cm="1">
        <f t="array" ref="G7349">SubCategorizeComment(E7349)</f>
        <v>Other</v>
      </c>
    </row>
    <row r="7350" spans="1:7" x14ac:dyDescent="0.25">
      <c r="A7350">
        <v>64202</v>
      </c>
      <c r="B7350" t="s">
        <v>4</v>
      </c>
      <c r="C7350">
        <v>3</v>
      </c>
      <c r="D7350" t="s">
        <v>5</v>
      </c>
      <c r="F7350" t="str" cm="1">
        <f t="array" ref="F7350">CategorizeComment(E7350)</f>
        <v>Other</v>
      </c>
      <c r="G7350" t="str" cm="1">
        <f t="array" ref="G7350">SubCategorizeComment(E7350)</f>
        <v>Other</v>
      </c>
    </row>
    <row r="7351" spans="1:7" x14ac:dyDescent="0.25">
      <c r="A7351">
        <v>64204</v>
      </c>
      <c r="B7351" t="s">
        <v>4</v>
      </c>
      <c r="C7351">
        <v>3</v>
      </c>
      <c r="D7351" t="s">
        <v>5</v>
      </c>
      <c r="F7351" t="str" cm="1">
        <f t="array" ref="F7351">CategorizeComment(E7351)</f>
        <v>Other</v>
      </c>
      <c r="G7351" t="str" cm="1">
        <f t="array" ref="G7351">SubCategorizeComment(E7351)</f>
        <v>Other</v>
      </c>
    </row>
    <row r="7352" spans="1:7" x14ac:dyDescent="0.25">
      <c r="A7352">
        <v>64238</v>
      </c>
      <c r="B7352" t="s">
        <v>4</v>
      </c>
      <c r="C7352">
        <v>4</v>
      </c>
      <c r="D7352" t="s">
        <v>5</v>
      </c>
      <c r="F7352" t="str" cm="1">
        <f t="array" ref="F7352">CategorizeComment(E7352)</f>
        <v>Other</v>
      </c>
      <c r="G7352" t="str" cm="1">
        <f t="array" ref="G7352">SubCategorizeComment(E7352)</f>
        <v>Other</v>
      </c>
    </row>
    <row r="7353" spans="1:7" x14ac:dyDescent="0.25">
      <c r="A7353">
        <v>64255</v>
      </c>
      <c r="B7353" t="s">
        <v>4</v>
      </c>
      <c r="C7353">
        <v>3</v>
      </c>
      <c r="D7353" t="s">
        <v>5</v>
      </c>
      <c r="F7353" t="str" cm="1">
        <f t="array" ref="F7353">CategorizeComment(E7353)</f>
        <v>Other</v>
      </c>
      <c r="G7353" t="str" cm="1">
        <f t="array" ref="G7353">SubCategorizeComment(E7353)</f>
        <v>Other</v>
      </c>
    </row>
    <row r="7354" spans="1:7" x14ac:dyDescent="0.25">
      <c r="A7354">
        <v>64284</v>
      </c>
      <c r="B7354" t="s">
        <v>4</v>
      </c>
      <c r="C7354">
        <v>4</v>
      </c>
      <c r="D7354" t="s">
        <v>5</v>
      </c>
      <c r="F7354" t="str" cm="1">
        <f t="array" ref="F7354">CategorizeComment(E7354)</f>
        <v>Other</v>
      </c>
      <c r="G7354" t="str" cm="1">
        <f t="array" ref="G7354">SubCategorizeComment(E7354)</f>
        <v>Other</v>
      </c>
    </row>
    <row r="7355" spans="1:7" x14ac:dyDescent="0.25">
      <c r="A7355">
        <v>64330</v>
      </c>
      <c r="B7355" t="s">
        <v>4</v>
      </c>
      <c r="C7355">
        <v>4</v>
      </c>
      <c r="D7355" t="s">
        <v>5</v>
      </c>
      <c r="F7355" t="str" cm="1">
        <f t="array" ref="F7355">CategorizeComment(E7355)</f>
        <v>Other</v>
      </c>
      <c r="G7355" t="str" cm="1">
        <f t="array" ref="G7355">SubCategorizeComment(E7355)</f>
        <v>Other</v>
      </c>
    </row>
    <row r="7356" spans="1:7" x14ac:dyDescent="0.25">
      <c r="A7356">
        <v>64336</v>
      </c>
      <c r="B7356" t="s">
        <v>4</v>
      </c>
      <c r="C7356">
        <v>3</v>
      </c>
      <c r="D7356" t="s">
        <v>5</v>
      </c>
      <c r="F7356" t="str" cm="1">
        <f t="array" ref="F7356">CategorizeComment(E7356)</f>
        <v>Other</v>
      </c>
      <c r="G7356" t="str" cm="1">
        <f t="array" ref="G7356">SubCategorizeComment(E7356)</f>
        <v>Other</v>
      </c>
    </row>
    <row r="7357" spans="1:7" x14ac:dyDescent="0.25">
      <c r="A7357">
        <v>64347</v>
      </c>
      <c r="B7357" t="s">
        <v>4</v>
      </c>
      <c r="C7357">
        <v>3</v>
      </c>
      <c r="D7357" t="s">
        <v>5</v>
      </c>
      <c r="F7357" t="str" cm="1">
        <f t="array" ref="F7357">CategorizeComment(E7357)</f>
        <v>Other</v>
      </c>
      <c r="G7357" t="str" cm="1">
        <f t="array" ref="G7357">SubCategorizeComment(E7357)</f>
        <v>Other</v>
      </c>
    </row>
    <row r="7358" spans="1:7" x14ac:dyDescent="0.25">
      <c r="A7358">
        <v>64362</v>
      </c>
      <c r="B7358" t="s">
        <v>4</v>
      </c>
      <c r="C7358">
        <v>3</v>
      </c>
      <c r="D7358" t="s">
        <v>5</v>
      </c>
      <c r="F7358" t="str" cm="1">
        <f t="array" ref="F7358">CategorizeComment(E7358)</f>
        <v>Other</v>
      </c>
      <c r="G7358" t="str" cm="1">
        <f t="array" ref="G7358">SubCategorizeComment(E7358)</f>
        <v>Other</v>
      </c>
    </row>
    <row r="7359" spans="1:7" x14ac:dyDescent="0.25">
      <c r="A7359">
        <v>64374</v>
      </c>
      <c r="B7359" t="s">
        <v>4</v>
      </c>
      <c r="C7359">
        <v>4</v>
      </c>
      <c r="D7359" t="s">
        <v>5</v>
      </c>
      <c r="F7359" t="str" cm="1">
        <f t="array" ref="F7359">CategorizeComment(E7359)</f>
        <v>Other</v>
      </c>
      <c r="G7359" t="str" cm="1">
        <f t="array" ref="G7359">SubCategorizeComment(E7359)</f>
        <v>Other</v>
      </c>
    </row>
    <row r="7360" spans="1:7" x14ac:dyDescent="0.25">
      <c r="A7360">
        <v>64395</v>
      </c>
      <c r="B7360" t="s">
        <v>4</v>
      </c>
      <c r="C7360">
        <v>4</v>
      </c>
      <c r="D7360" t="s">
        <v>5</v>
      </c>
      <c r="F7360" t="str" cm="1">
        <f t="array" ref="F7360">CategorizeComment(E7360)</f>
        <v>Other</v>
      </c>
      <c r="G7360" t="str" cm="1">
        <f t="array" ref="G7360">SubCategorizeComment(E7360)</f>
        <v>Other</v>
      </c>
    </row>
    <row r="7361" spans="1:7" x14ac:dyDescent="0.25">
      <c r="A7361">
        <v>64398</v>
      </c>
      <c r="B7361" t="s">
        <v>4</v>
      </c>
      <c r="C7361">
        <v>4</v>
      </c>
      <c r="D7361" t="s">
        <v>5</v>
      </c>
      <c r="F7361" t="str" cm="1">
        <f t="array" ref="F7361">CategorizeComment(E7361)</f>
        <v>Other</v>
      </c>
      <c r="G7361" t="str" cm="1">
        <f t="array" ref="G7361">SubCategorizeComment(E7361)</f>
        <v>Other</v>
      </c>
    </row>
    <row r="7362" spans="1:7" x14ac:dyDescent="0.25">
      <c r="A7362">
        <v>64407</v>
      </c>
      <c r="B7362" t="s">
        <v>4</v>
      </c>
      <c r="C7362">
        <v>3</v>
      </c>
      <c r="D7362" t="s">
        <v>5</v>
      </c>
      <c r="F7362" t="str" cm="1">
        <f t="array" ref="F7362">CategorizeComment(E7362)</f>
        <v>Other</v>
      </c>
      <c r="G7362" t="str" cm="1">
        <f t="array" ref="G7362">SubCategorizeComment(E7362)</f>
        <v>Other</v>
      </c>
    </row>
    <row r="7363" spans="1:7" x14ac:dyDescent="0.25">
      <c r="A7363">
        <v>64437</v>
      </c>
      <c r="B7363" t="s">
        <v>4</v>
      </c>
      <c r="C7363">
        <v>4</v>
      </c>
      <c r="D7363" t="s">
        <v>5</v>
      </c>
      <c r="F7363" t="str" cm="1">
        <f t="array" ref="F7363">CategorizeComment(E7363)</f>
        <v>Other</v>
      </c>
      <c r="G7363" t="str" cm="1">
        <f t="array" ref="G7363">SubCategorizeComment(E7363)</f>
        <v>Other</v>
      </c>
    </row>
    <row r="7364" spans="1:7" x14ac:dyDescent="0.25">
      <c r="A7364">
        <v>64442</v>
      </c>
      <c r="B7364" t="s">
        <v>4</v>
      </c>
      <c r="C7364">
        <v>3</v>
      </c>
      <c r="D7364" t="s">
        <v>5</v>
      </c>
      <c r="F7364" t="str" cm="1">
        <f t="array" ref="F7364">CategorizeComment(E7364)</f>
        <v>Other</v>
      </c>
      <c r="G7364" t="str" cm="1">
        <f t="array" ref="G7364">SubCategorizeComment(E7364)</f>
        <v>Other</v>
      </c>
    </row>
    <row r="7365" spans="1:7" x14ac:dyDescent="0.25">
      <c r="A7365">
        <v>64447</v>
      </c>
      <c r="B7365" t="s">
        <v>4</v>
      </c>
      <c r="C7365">
        <v>4</v>
      </c>
      <c r="D7365" t="s">
        <v>5</v>
      </c>
      <c r="F7365" t="str" cm="1">
        <f t="array" ref="F7365">CategorizeComment(E7365)</f>
        <v>Other</v>
      </c>
      <c r="G7365" t="str" cm="1">
        <f t="array" ref="G7365">SubCategorizeComment(E7365)</f>
        <v>Other</v>
      </c>
    </row>
    <row r="7366" spans="1:7" x14ac:dyDescent="0.25">
      <c r="A7366">
        <v>64449</v>
      </c>
      <c r="B7366" t="s">
        <v>4</v>
      </c>
      <c r="C7366">
        <v>4</v>
      </c>
      <c r="D7366" t="s">
        <v>5</v>
      </c>
      <c r="F7366" t="str" cm="1">
        <f t="array" ref="F7366">CategorizeComment(E7366)</f>
        <v>Other</v>
      </c>
      <c r="G7366" t="str" cm="1">
        <f t="array" ref="G7366">SubCategorizeComment(E7366)</f>
        <v>Other</v>
      </c>
    </row>
    <row r="7367" spans="1:7" x14ac:dyDescent="0.25">
      <c r="A7367">
        <v>64471</v>
      </c>
      <c r="B7367" t="s">
        <v>4</v>
      </c>
      <c r="C7367">
        <v>3</v>
      </c>
      <c r="D7367" t="s">
        <v>5</v>
      </c>
      <c r="F7367" t="str" cm="1">
        <f t="array" ref="F7367">CategorizeComment(E7367)</f>
        <v>Other</v>
      </c>
      <c r="G7367" t="str" cm="1">
        <f t="array" ref="G7367">SubCategorizeComment(E7367)</f>
        <v>Other</v>
      </c>
    </row>
    <row r="7368" spans="1:7" x14ac:dyDescent="0.25">
      <c r="A7368">
        <v>64491</v>
      </c>
      <c r="B7368" t="s">
        <v>4</v>
      </c>
      <c r="C7368">
        <v>4</v>
      </c>
      <c r="D7368" t="s">
        <v>5</v>
      </c>
      <c r="F7368" t="str" cm="1">
        <f t="array" ref="F7368">CategorizeComment(E7368)</f>
        <v>Other</v>
      </c>
      <c r="G7368" t="str" cm="1">
        <f t="array" ref="G7368">SubCategorizeComment(E7368)</f>
        <v>Other</v>
      </c>
    </row>
    <row r="7369" spans="1:7" x14ac:dyDescent="0.25">
      <c r="A7369">
        <v>64499</v>
      </c>
      <c r="B7369" t="s">
        <v>4</v>
      </c>
      <c r="C7369">
        <v>4</v>
      </c>
      <c r="D7369" t="s">
        <v>5</v>
      </c>
      <c r="F7369" t="str" cm="1">
        <f t="array" ref="F7369">CategorizeComment(E7369)</f>
        <v>Other</v>
      </c>
      <c r="G7369" t="str" cm="1">
        <f t="array" ref="G7369">SubCategorizeComment(E7369)</f>
        <v>Other</v>
      </c>
    </row>
    <row r="7370" spans="1:7" x14ac:dyDescent="0.25">
      <c r="A7370">
        <v>64502</v>
      </c>
      <c r="B7370" t="s">
        <v>4</v>
      </c>
      <c r="C7370">
        <v>3</v>
      </c>
      <c r="D7370" t="s">
        <v>5</v>
      </c>
      <c r="F7370" t="str" cm="1">
        <f t="array" ref="F7370">CategorizeComment(E7370)</f>
        <v>Other</v>
      </c>
      <c r="G7370" t="str" cm="1">
        <f t="array" ref="G7370">SubCategorizeComment(E7370)</f>
        <v>Other</v>
      </c>
    </row>
    <row r="7371" spans="1:7" x14ac:dyDescent="0.25">
      <c r="A7371">
        <v>64516</v>
      </c>
      <c r="B7371" t="s">
        <v>4</v>
      </c>
      <c r="C7371">
        <v>4</v>
      </c>
      <c r="D7371" t="s">
        <v>5</v>
      </c>
      <c r="F7371" t="str" cm="1">
        <f t="array" ref="F7371">CategorizeComment(E7371)</f>
        <v>Other</v>
      </c>
      <c r="G7371" t="str" cm="1">
        <f t="array" ref="G7371">SubCategorizeComment(E7371)</f>
        <v>Other</v>
      </c>
    </row>
    <row r="7372" spans="1:7" x14ac:dyDescent="0.25">
      <c r="A7372">
        <v>64631</v>
      </c>
      <c r="B7372" t="s">
        <v>4</v>
      </c>
      <c r="C7372">
        <v>4</v>
      </c>
      <c r="D7372" t="s">
        <v>5</v>
      </c>
      <c r="F7372" t="str" cm="1">
        <f t="array" ref="F7372">CategorizeComment(E7372)</f>
        <v>Other</v>
      </c>
      <c r="G7372" t="str" cm="1">
        <f t="array" ref="G7372">SubCategorizeComment(E7372)</f>
        <v>Other</v>
      </c>
    </row>
    <row r="7373" spans="1:7" x14ac:dyDescent="0.25">
      <c r="A7373">
        <v>64644</v>
      </c>
      <c r="B7373" t="s">
        <v>4</v>
      </c>
      <c r="C7373">
        <v>4</v>
      </c>
      <c r="D7373" t="s">
        <v>5</v>
      </c>
      <c r="F7373" t="str" cm="1">
        <f t="array" ref="F7373">CategorizeComment(E7373)</f>
        <v>Other</v>
      </c>
      <c r="G7373" t="str" cm="1">
        <f t="array" ref="G7373">SubCategorizeComment(E7373)</f>
        <v>Other</v>
      </c>
    </row>
    <row r="7374" spans="1:7" x14ac:dyDescent="0.25">
      <c r="A7374">
        <v>64648</v>
      </c>
      <c r="B7374" t="s">
        <v>4</v>
      </c>
      <c r="C7374">
        <v>4</v>
      </c>
      <c r="D7374" t="s">
        <v>5</v>
      </c>
      <c r="F7374" t="str" cm="1">
        <f t="array" ref="F7374">CategorizeComment(E7374)</f>
        <v>Other</v>
      </c>
      <c r="G7374" t="str" cm="1">
        <f t="array" ref="G7374">SubCategorizeComment(E7374)</f>
        <v>Other</v>
      </c>
    </row>
    <row r="7375" spans="1:7" x14ac:dyDescent="0.25">
      <c r="A7375">
        <v>64653</v>
      </c>
      <c r="B7375" t="s">
        <v>4</v>
      </c>
      <c r="C7375">
        <v>3</v>
      </c>
      <c r="D7375" t="s">
        <v>5</v>
      </c>
      <c r="F7375" t="str" cm="1">
        <f t="array" ref="F7375">CategorizeComment(E7375)</f>
        <v>Other</v>
      </c>
      <c r="G7375" t="str" cm="1">
        <f t="array" ref="G7375">SubCategorizeComment(E7375)</f>
        <v>Other</v>
      </c>
    </row>
    <row r="7376" spans="1:7" x14ac:dyDescent="0.25">
      <c r="A7376">
        <v>64661</v>
      </c>
      <c r="B7376" t="s">
        <v>4</v>
      </c>
      <c r="C7376">
        <v>3</v>
      </c>
      <c r="D7376" t="s">
        <v>5</v>
      </c>
      <c r="F7376" t="str" cm="1">
        <f t="array" ref="F7376">CategorizeComment(E7376)</f>
        <v>Other</v>
      </c>
      <c r="G7376" t="str" cm="1">
        <f t="array" ref="G7376">SubCategorizeComment(E7376)</f>
        <v>Other</v>
      </c>
    </row>
    <row r="7377" spans="1:7" x14ac:dyDescent="0.25">
      <c r="A7377">
        <v>64685</v>
      </c>
      <c r="B7377" t="s">
        <v>4</v>
      </c>
      <c r="C7377">
        <v>3</v>
      </c>
      <c r="D7377" t="s">
        <v>5</v>
      </c>
      <c r="F7377" t="str" cm="1">
        <f t="array" ref="F7377">CategorizeComment(E7377)</f>
        <v>Other</v>
      </c>
      <c r="G7377" t="str" cm="1">
        <f t="array" ref="G7377">SubCategorizeComment(E7377)</f>
        <v>Other</v>
      </c>
    </row>
    <row r="7378" spans="1:7" x14ac:dyDescent="0.25">
      <c r="A7378">
        <v>64726</v>
      </c>
      <c r="B7378" t="s">
        <v>4</v>
      </c>
      <c r="C7378">
        <v>4</v>
      </c>
      <c r="D7378" t="s">
        <v>5</v>
      </c>
      <c r="F7378" t="str" cm="1">
        <f t="array" ref="F7378">CategorizeComment(E7378)</f>
        <v>Other</v>
      </c>
      <c r="G7378" t="str" cm="1">
        <f t="array" ref="G7378">SubCategorizeComment(E7378)</f>
        <v>Other</v>
      </c>
    </row>
    <row r="7379" spans="1:7" x14ac:dyDescent="0.25">
      <c r="A7379">
        <v>64745</v>
      </c>
      <c r="B7379" t="s">
        <v>4</v>
      </c>
      <c r="C7379">
        <v>3</v>
      </c>
      <c r="D7379" t="s">
        <v>5</v>
      </c>
      <c r="F7379" t="str" cm="1">
        <f t="array" ref="F7379">CategorizeComment(E7379)</f>
        <v>Other</v>
      </c>
      <c r="G7379" t="str" cm="1">
        <f t="array" ref="G7379">SubCategorizeComment(E7379)</f>
        <v>Other</v>
      </c>
    </row>
    <row r="7380" spans="1:7" x14ac:dyDescent="0.25">
      <c r="A7380">
        <v>64765</v>
      </c>
      <c r="B7380" t="s">
        <v>4</v>
      </c>
      <c r="C7380">
        <v>4</v>
      </c>
      <c r="D7380" t="s">
        <v>5</v>
      </c>
      <c r="F7380" t="str" cm="1">
        <f t="array" ref="F7380">CategorizeComment(E7380)</f>
        <v>Other</v>
      </c>
      <c r="G7380" t="str" cm="1">
        <f t="array" ref="G7380">SubCategorizeComment(E7380)</f>
        <v>Other</v>
      </c>
    </row>
    <row r="7381" spans="1:7" x14ac:dyDescent="0.25">
      <c r="A7381">
        <v>64768</v>
      </c>
      <c r="B7381" t="s">
        <v>4</v>
      </c>
      <c r="C7381">
        <v>3</v>
      </c>
      <c r="D7381" t="s">
        <v>5</v>
      </c>
      <c r="F7381" t="str" cm="1">
        <f t="array" ref="F7381">CategorizeComment(E7381)</f>
        <v>Other</v>
      </c>
      <c r="G7381" t="str" cm="1">
        <f t="array" ref="G7381">SubCategorizeComment(E7381)</f>
        <v>Other</v>
      </c>
    </row>
    <row r="7382" spans="1:7" x14ac:dyDescent="0.25">
      <c r="A7382">
        <v>64789</v>
      </c>
      <c r="B7382" t="s">
        <v>4</v>
      </c>
      <c r="C7382">
        <v>3</v>
      </c>
      <c r="D7382" t="s">
        <v>5</v>
      </c>
      <c r="F7382" t="str" cm="1">
        <f t="array" ref="F7382">CategorizeComment(E7382)</f>
        <v>Other</v>
      </c>
      <c r="G7382" t="str" cm="1">
        <f t="array" ref="G7382">SubCategorizeComment(E7382)</f>
        <v>Other</v>
      </c>
    </row>
    <row r="7383" spans="1:7" x14ac:dyDescent="0.25">
      <c r="A7383">
        <v>64792</v>
      </c>
      <c r="B7383" t="s">
        <v>4</v>
      </c>
      <c r="C7383">
        <v>3</v>
      </c>
      <c r="D7383" t="s">
        <v>5</v>
      </c>
      <c r="F7383" t="str" cm="1">
        <f t="array" ref="F7383">CategorizeComment(E7383)</f>
        <v>Other</v>
      </c>
      <c r="G7383" t="str" cm="1">
        <f t="array" ref="G7383">SubCategorizeComment(E7383)</f>
        <v>Other</v>
      </c>
    </row>
    <row r="7384" spans="1:7" x14ac:dyDescent="0.25">
      <c r="A7384">
        <v>64798</v>
      </c>
      <c r="B7384" t="s">
        <v>4</v>
      </c>
      <c r="C7384">
        <v>3</v>
      </c>
      <c r="D7384" t="s">
        <v>5</v>
      </c>
      <c r="F7384" t="str" cm="1">
        <f t="array" ref="F7384">CategorizeComment(E7384)</f>
        <v>Other</v>
      </c>
      <c r="G7384" t="str" cm="1">
        <f t="array" ref="G7384">SubCategorizeComment(E7384)</f>
        <v>Other</v>
      </c>
    </row>
    <row r="7385" spans="1:7" x14ac:dyDescent="0.25">
      <c r="A7385">
        <v>64812</v>
      </c>
      <c r="B7385" t="s">
        <v>4</v>
      </c>
      <c r="C7385">
        <v>0</v>
      </c>
      <c r="D7385" t="s">
        <v>5</v>
      </c>
      <c r="F7385" t="str" cm="1">
        <f t="array" ref="F7385">CategorizeComment(E7385)</f>
        <v>Other</v>
      </c>
      <c r="G7385" t="str" cm="1">
        <f t="array" ref="G7385">SubCategorizeComment(E7385)</f>
        <v>Other</v>
      </c>
    </row>
    <row r="7386" spans="1:7" x14ac:dyDescent="0.25">
      <c r="A7386">
        <v>64824</v>
      </c>
      <c r="B7386" t="s">
        <v>4</v>
      </c>
      <c r="C7386">
        <v>4</v>
      </c>
      <c r="D7386" t="s">
        <v>5</v>
      </c>
      <c r="F7386" t="str" cm="1">
        <f t="array" ref="F7386">CategorizeComment(E7386)</f>
        <v>Other</v>
      </c>
      <c r="G7386" t="str" cm="1">
        <f t="array" ref="G7386">SubCategorizeComment(E7386)</f>
        <v>Other</v>
      </c>
    </row>
    <row r="7387" spans="1:7" x14ac:dyDescent="0.25">
      <c r="A7387">
        <v>64838</v>
      </c>
      <c r="B7387" t="s">
        <v>4</v>
      </c>
      <c r="C7387">
        <v>4</v>
      </c>
      <c r="D7387" t="s">
        <v>5</v>
      </c>
      <c r="F7387" t="str" cm="1">
        <f t="array" ref="F7387">CategorizeComment(E7387)</f>
        <v>Other</v>
      </c>
      <c r="G7387" t="str" cm="1">
        <f t="array" ref="G7387">SubCategorizeComment(E7387)</f>
        <v>Other</v>
      </c>
    </row>
    <row r="7388" spans="1:7" x14ac:dyDescent="0.25">
      <c r="A7388">
        <v>64848</v>
      </c>
      <c r="B7388" t="s">
        <v>4</v>
      </c>
      <c r="C7388">
        <v>4</v>
      </c>
      <c r="D7388" t="s">
        <v>5</v>
      </c>
      <c r="F7388" t="str" cm="1">
        <f t="array" ref="F7388">CategorizeComment(E7388)</f>
        <v>Other</v>
      </c>
      <c r="G7388" t="str" cm="1">
        <f t="array" ref="G7388">SubCategorizeComment(E7388)</f>
        <v>Other</v>
      </c>
    </row>
    <row r="7389" spans="1:7" x14ac:dyDescent="0.25">
      <c r="A7389">
        <v>64853</v>
      </c>
      <c r="B7389" t="s">
        <v>4</v>
      </c>
      <c r="C7389">
        <v>3</v>
      </c>
      <c r="D7389" t="s">
        <v>5</v>
      </c>
      <c r="F7389" t="str" cm="1">
        <f t="array" ref="F7389">CategorizeComment(E7389)</f>
        <v>Other</v>
      </c>
      <c r="G7389" t="str" cm="1">
        <f t="array" ref="G7389">SubCategorizeComment(E7389)</f>
        <v>Other</v>
      </c>
    </row>
    <row r="7390" spans="1:7" x14ac:dyDescent="0.25">
      <c r="A7390">
        <v>64855</v>
      </c>
      <c r="B7390" t="s">
        <v>4</v>
      </c>
      <c r="C7390">
        <v>4</v>
      </c>
      <c r="D7390" t="s">
        <v>5</v>
      </c>
      <c r="F7390" t="str" cm="1">
        <f t="array" ref="F7390">CategorizeComment(E7390)</f>
        <v>Other</v>
      </c>
      <c r="G7390" t="str" cm="1">
        <f t="array" ref="G7390">SubCategorizeComment(E7390)</f>
        <v>Other</v>
      </c>
    </row>
    <row r="7391" spans="1:7" x14ac:dyDescent="0.25">
      <c r="A7391">
        <v>64858</v>
      </c>
      <c r="B7391" t="s">
        <v>4</v>
      </c>
      <c r="C7391">
        <v>4</v>
      </c>
      <c r="D7391" t="s">
        <v>5</v>
      </c>
      <c r="F7391" t="str" cm="1">
        <f t="array" ref="F7391">CategorizeComment(E7391)</f>
        <v>Other</v>
      </c>
      <c r="G7391" t="str" cm="1">
        <f t="array" ref="G7391">SubCategorizeComment(E7391)</f>
        <v>Other</v>
      </c>
    </row>
    <row r="7392" spans="1:7" x14ac:dyDescent="0.25">
      <c r="A7392">
        <v>64860</v>
      </c>
      <c r="B7392" t="s">
        <v>4</v>
      </c>
      <c r="C7392">
        <v>3</v>
      </c>
      <c r="D7392" t="s">
        <v>5</v>
      </c>
      <c r="F7392" t="str" cm="1">
        <f t="array" ref="F7392">CategorizeComment(E7392)</f>
        <v>Other</v>
      </c>
      <c r="G7392" t="str" cm="1">
        <f t="array" ref="G7392">SubCategorizeComment(E7392)</f>
        <v>Other</v>
      </c>
    </row>
    <row r="7393" spans="1:7" x14ac:dyDescent="0.25">
      <c r="A7393">
        <v>64866</v>
      </c>
      <c r="B7393" t="s">
        <v>4</v>
      </c>
      <c r="C7393">
        <v>3</v>
      </c>
      <c r="D7393" t="s">
        <v>5</v>
      </c>
      <c r="F7393" t="str" cm="1">
        <f t="array" ref="F7393">CategorizeComment(E7393)</f>
        <v>Other</v>
      </c>
      <c r="G7393" t="str" cm="1">
        <f t="array" ref="G7393">SubCategorizeComment(E7393)</f>
        <v>Other</v>
      </c>
    </row>
    <row r="7394" spans="1:7" x14ac:dyDescent="0.25">
      <c r="A7394">
        <v>64875</v>
      </c>
      <c r="B7394" t="s">
        <v>4</v>
      </c>
      <c r="C7394">
        <v>4</v>
      </c>
      <c r="D7394" t="s">
        <v>5</v>
      </c>
      <c r="F7394" t="str" cm="1">
        <f t="array" ref="F7394">CategorizeComment(E7394)</f>
        <v>Other</v>
      </c>
      <c r="G7394" t="str" cm="1">
        <f t="array" ref="G7394">SubCategorizeComment(E7394)</f>
        <v>Other</v>
      </c>
    </row>
    <row r="7395" spans="1:7" x14ac:dyDescent="0.25">
      <c r="A7395">
        <v>64885</v>
      </c>
      <c r="B7395" t="s">
        <v>4</v>
      </c>
      <c r="C7395">
        <v>3</v>
      </c>
      <c r="D7395" t="s">
        <v>5</v>
      </c>
      <c r="F7395" t="str" cm="1">
        <f t="array" ref="F7395">CategorizeComment(E7395)</f>
        <v>Other</v>
      </c>
      <c r="G7395" t="str" cm="1">
        <f t="array" ref="G7395">SubCategorizeComment(E7395)</f>
        <v>Other</v>
      </c>
    </row>
    <row r="7396" spans="1:7" x14ac:dyDescent="0.25">
      <c r="A7396">
        <v>64886</v>
      </c>
      <c r="B7396" t="s">
        <v>4</v>
      </c>
      <c r="C7396">
        <v>4</v>
      </c>
      <c r="D7396" t="s">
        <v>5</v>
      </c>
      <c r="F7396" t="str" cm="1">
        <f t="array" ref="F7396">CategorizeComment(E7396)</f>
        <v>Other</v>
      </c>
      <c r="G7396" t="str" cm="1">
        <f t="array" ref="G7396">SubCategorizeComment(E7396)</f>
        <v>Other</v>
      </c>
    </row>
    <row r="7397" spans="1:7" x14ac:dyDescent="0.25">
      <c r="A7397">
        <v>64893</v>
      </c>
      <c r="B7397" t="s">
        <v>4</v>
      </c>
      <c r="C7397">
        <v>3</v>
      </c>
      <c r="D7397" t="s">
        <v>5</v>
      </c>
      <c r="F7397" t="str" cm="1">
        <f t="array" ref="F7397">CategorizeComment(E7397)</f>
        <v>Other</v>
      </c>
      <c r="G7397" t="str" cm="1">
        <f t="array" ref="G7397">SubCategorizeComment(E7397)</f>
        <v>Other</v>
      </c>
    </row>
    <row r="7398" spans="1:7" x14ac:dyDescent="0.25">
      <c r="A7398">
        <v>64894</v>
      </c>
      <c r="B7398" t="s">
        <v>4</v>
      </c>
      <c r="C7398">
        <v>3</v>
      </c>
      <c r="D7398" t="s">
        <v>5</v>
      </c>
      <c r="F7398" t="str" cm="1">
        <f t="array" ref="F7398">CategorizeComment(E7398)</f>
        <v>Other</v>
      </c>
      <c r="G7398" t="str" cm="1">
        <f t="array" ref="G7398">SubCategorizeComment(E7398)</f>
        <v>Other</v>
      </c>
    </row>
    <row r="7399" spans="1:7" x14ac:dyDescent="0.25">
      <c r="A7399">
        <v>64896</v>
      </c>
      <c r="B7399" t="s">
        <v>4</v>
      </c>
      <c r="C7399">
        <v>3</v>
      </c>
      <c r="D7399" t="s">
        <v>5</v>
      </c>
      <c r="F7399" t="str" cm="1">
        <f t="array" ref="F7399">CategorizeComment(E7399)</f>
        <v>Other</v>
      </c>
      <c r="G7399" t="str" cm="1">
        <f t="array" ref="G7399">SubCategorizeComment(E7399)</f>
        <v>Other</v>
      </c>
    </row>
    <row r="7400" spans="1:7" x14ac:dyDescent="0.25">
      <c r="A7400">
        <v>64912</v>
      </c>
      <c r="B7400" t="s">
        <v>4</v>
      </c>
      <c r="C7400">
        <v>3</v>
      </c>
      <c r="D7400" t="s">
        <v>5</v>
      </c>
      <c r="F7400" t="str" cm="1">
        <f t="array" ref="F7400">CategorizeComment(E7400)</f>
        <v>Other</v>
      </c>
      <c r="G7400" t="str" cm="1">
        <f t="array" ref="G7400">SubCategorizeComment(E7400)</f>
        <v>Other</v>
      </c>
    </row>
    <row r="7401" spans="1:7" x14ac:dyDescent="0.25">
      <c r="A7401">
        <v>64917</v>
      </c>
      <c r="B7401" t="s">
        <v>4</v>
      </c>
      <c r="C7401">
        <v>4</v>
      </c>
      <c r="D7401" t="s">
        <v>5</v>
      </c>
      <c r="F7401" t="str" cm="1">
        <f t="array" ref="F7401">CategorizeComment(E7401)</f>
        <v>Other</v>
      </c>
      <c r="G7401" t="str" cm="1">
        <f t="array" ref="G7401">SubCategorizeComment(E7401)</f>
        <v>Other</v>
      </c>
    </row>
    <row r="7402" spans="1:7" x14ac:dyDescent="0.25">
      <c r="A7402">
        <v>64929</v>
      </c>
      <c r="B7402" t="s">
        <v>4</v>
      </c>
      <c r="C7402">
        <v>3</v>
      </c>
      <c r="D7402" t="s">
        <v>5</v>
      </c>
      <c r="F7402" t="str" cm="1">
        <f t="array" ref="F7402">CategorizeComment(E7402)</f>
        <v>Other</v>
      </c>
      <c r="G7402" t="str" cm="1">
        <f t="array" ref="G7402">SubCategorizeComment(E7402)</f>
        <v>Other</v>
      </c>
    </row>
    <row r="7403" spans="1:7" x14ac:dyDescent="0.25">
      <c r="A7403">
        <v>64935</v>
      </c>
      <c r="B7403" t="s">
        <v>4</v>
      </c>
      <c r="C7403">
        <v>3</v>
      </c>
      <c r="D7403" t="s">
        <v>5</v>
      </c>
      <c r="F7403" t="str" cm="1">
        <f t="array" ref="F7403">CategorizeComment(E7403)</f>
        <v>Other</v>
      </c>
      <c r="G7403" t="str" cm="1">
        <f t="array" ref="G7403">SubCategorizeComment(E7403)</f>
        <v>Other</v>
      </c>
    </row>
    <row r="7404" spans="1:7" x14ac:dyDescent="0.25">
      <c r="A7404">
        <v>64938</v>
      </c>
      <c r="B7404" t="s">
        <v>4</v>
      </c>
      <c r="C7404">
        <v>4</v>
      </c>
      <c r="D7404" t="s">
        <v>5</v>
      </c>
      <c r="F7404" t="str" cm="1">
        <f t="array" ref="F7404">CategorizeComment(E7404)</f>
        <v>Other</v>
      </c>
      <c r="G7404" t="str" cm="1">
        <f t="array" ref="G7404">SubCategorizeComment(E7404)</f>
        <v>Other</v>
      </c>
    </row>
    <row r="7405" spans="1:7" x14ac:dyDescent="0.25">
      <c r="A7405">
        <v>64939</v>
      </c>
      <c r="B7405" t="s">
        <v>4</v>
      </c>
      <c r="C7405">
        <v>3</v>
      </c>
      <c r="D7405" t="s">
        <v>5</v>
      </c>
      <c r="F7405" t="str" cm="1">
        <f t="array" ref="F7405">CategorizeComment(E7405)</f>
        <v>Other</v>
      </c>
      <c r="G7405" t="str" cm="1">
        <f t="array" ref="G7405">SubCategorizeComment(E7405)</f>
        <v>Other</v>
      </c>
    </row>
    <row r="7406" spans="1:7" x14ac:dyDescent="0.25">
      <c r="A7406">
        <v>64948</v>
      </c>
      <c r="B7406" t="s">
        <v>4</v>
      </c>
      <c r="C7406">
        <v>3</v>
      </c>
      <c r="D7406" t="s">
        <v>5</v>
      </c>
      <c r="F7406" t="str" cm="1">
        <f t="array" ref="F7406">CategorizeComment(E7406)</f>
        <v>Other</v>
      </c>
      <c r="G7406" t="str" cm="1">
        <f t="array" ref="G7406">SubCategorizeComment(E7406)</f>
        <v>Other</v>
      </c>
    </row>
    <row r="7407" spans="1:7" x14ac:dyDescent="0.25">
      <c r="A7407">
        <v>64957</v>
      </c>
      <c r="B7407" t="s">
        <v>4</v>
      </c>
      <c r="C7407">
        <v>4</v>
      </c>
      <c r="D7407" t="s">
        <v>5</v>
      </c>
      <c r="F7407" t="str" cm="1">
        <f t="array" ref="F7407">CategorizeComment(E7407)</f>
        <v>Other</v>
      </c>
      <c r="G7407" t="str" cm="1">
        <f t="array" ref="G7407">SubCategorizeComment(E7407)</f>
        <v>Other</v>
      </c>
    </row>
    <row r="7408" spans="1:7" x14ac:dyDescent="0.25">
      <c r="A7408">
        <v>64963</v>
      </c>
      <c r="B7408" t="s">
        <v>4</v>
      </c>
      <c r="C7408">
        <v>4</v>
      </c>
      <c r="D7408" t="s">
        <v>5</v>
      </c>
      <c r="F7408" t="str" cm="1">
        <f t="array" ref="F7408">CategorizeComment(E7408)</f>
        <v>Other</v>
      </c>
      <c r="G7408" t="str" cm="1">
        <f t="array" ref="G7408">SubCategorizeComment(E7408)</f>
        <v>Other</v>
      </c>
    </row>
    <row r="7409" spans="1:7" x14ac:dyDescent="0.25">
      <c r="A7409">
        <v>64976</v>
      </c>
      <c r="B7409" t="s">
        <v>4</v>
      </c>
      <c r="C7409">
        <v>3</v>
      </c>
      <c r="D7409" t="s">
        <v>5</v>
      </c>
      <c r="F7409" t="str" cm="1">
        <f t="array" ref="F7409">CategorizeComment(E7409)</f>
        <v>Other</v>
      </c>
      <c r="G7409" t="str" cm="1">
        <f t="array" ref="G7409">SubCategorizeComment(E7409)</f>
        <v>Other</v>
      </c>
    </row>
    <row r="7410" spans="1:7" x14ac:dyDescent="0.25">
      <c r="A7410">
        <v>64978</v>
      </c>
      <c r="B7410" t="s">
        <v>4</v>
      </c>
      <c r="C7410">
        <v>3</v>
      </c>
      <c r="D7410" t="s">
        <v>5</v>
      </c>
      <c r="F7410" t="str" cm="1">
        <f t="array" ref="F7410">CategorizeComment(E7410)</f>
        <v>Other</v>
      </c>
      <c r="G7410" t="str" cm="1">
        <f t="array" ref="G7410">SubCategorizeComment(E7410)</f>
        <v>Other</v>
      </c>
    </row>
    <row r="7411" spans="1:7" x14ac:dyDescent="0.25">
      <c r="A7411">
        <v>64979</v>
      </c>
      <c r="B7411" t="s">
        <v>4</v>
      </c>
      <c r="C7411">
        <v>3</v>
      </c>
      <c r="D7411" t="s">
        <v>5</v>
      </c>
      <c r="F7411" t="str" cm="1">
        <f t="array" ref="F7411">CategorizeComment(E7411)</f>
        <v>Other</v>
      </c>
      <c r="G7411" t="str" cm="1">
        <f t="array" ref="G7411">SubCategorizeComment(E7411)</f>
        <v>Other</v>
      </c>
    </row>
    <row r="7412" spans="1:7" x14ac:dyDescent="0.25">
      <c r="A7412">
        <v>64985</v>
      </c>
      <c r="B7412" t="s">
        <v>4</v>
      </c>
      <c r="C7412">
        <v>4</v>
      </c>
      <c r="D7412" t="s">
        <v>5</v>
      </c>
      <c r="F7412" t="str" cm="1">
        <f t="array" ref="F7412">CategorizeComment(E7412)</f>
        <v>Other</v>
      </c>
      <c r="G7412" t="str" cm="1">
        <f t="array" ref="G7412">SubCategorizeComment(E7412)</f>
        <v>Other</v>
      </c>
    </row>
    <row r="7413" spans="1:7" x14ac:dyDescent="0.25">
      <c r="A7413">
        <v>64996</v>
      </c>
      <c r="B7413" t="s">
        <v>4</v>
      </c>
      <c r="C7413">
        <v>3</v>
      </c>
      <c r="D7413" t="s">
        <v>5</v>
      </c>
      <c r="F7413" t="str" cm="1">
        <f t="array" ref="F7413">CategorizeComment(E7413)</f>
        <v>Other</v>
      </c>
      <c r="G7413" t="str" cm="1">
        <f t="array" ref="G7413">SubCategorizeComment(E7413)</f>
        <v>Other</v>
      </c>
    </row>
    <row r="7414" spans="1:7" x14ac:dyDescent="0.25">
      <c r="A7414">
        <v>65002</v>
      </c>
      <c r="B7414" t="s">
        <v>4</v>
      </c>
      <c r="C7414">
        <v>3</v>
      </c>
      <c r="D7414" t="s">
        <v>5</v>
      </c>
      <c r="F7414" t="str" cm="1">
        <f t="array" ref="F7414">CategorizeComment(E7414)</f>
        <v>Other</v>
      </c>
      <c r="G7414" t="str" cm="1">
        <f t="array" ref="G7414">SubCategorizeComment(E7414)</f>
        <v>Other</v>
      </c>
    </row>
    <row r="7415" spans="1:7" x14ac:dyDescent="0.25">
      <c r="A7415">
        <v>65021</v>
      </c>
      <c r="B7415" t="s">
        <v>4</v>
      </c>
      <c r="C7415">
        <v>4</v>
      </c>
      <c r="D7415" t="s">
        <v>5</v>
      </c>
      <c r="F7415" t="str" cm="1">
        <f t="array" ref="F7415">CategorizeComment(E7415)</f>
        <v>Other</v>
      </c>
      <c r="G7415" t="str" cm="1">
        <f t="array" ref="G7415">SubCategorizeComment(E7415)</f>
        <v>Other</v>
      </c>
    </row>
    <row r="7416" spans="1:7" x14ac:dyDescent="0.25">
      <c r="A7416">
        <v>65029</v>
      </c>
      <c r="B7416" t="s">
        <v>4</v>
      </c>
      <c r="C7416">
        <v>3</v>
      </c>
      <c r="D7416" t="s">
        <v>5</v>
      </c>
      <c r="F7416" t="str" cm="1">
        <f t="array" ref="F7416">CategorizeComment(E7416)</f>
        <v>Other</v>
      </c>
      <c r="G7416" t="str" cm="1">
        <f t="array" ref="G7416">SubCategorizeComment(E7416)</f>
        <v>Other</v>
      </c>
    </row>
    <row r="7417" spans="1:7" x14ac:dyDescent="0.25">
      <c r="A7417">
        <v>65036</v>
      </c>
      <c r="B7417" t="s">
        <v>4</v>
      </c>
      <c r="C7417">
        <v>4</v>
      </c>
      <c r="D7417" t="s">
        <v>5</v>
      </c>
      <c r="F7417" t="str" cm="1">
        <f t="array" ref="F7417">CategorizeComment(E7417)</f>
        <v>Other</v>
      </c>
      <c r="G7417" t="str" cm="1">
        <f t="array" ref="G7417">SubCategorizeComment(E7417)</f>
        <v>Other</v>
      </c>
    </row>
    <row r="7418" spans="1:7" x14ac:dyDescent="0.25">
      <c r="A7418">
        <v>65044</v>
      </c>
      <c r="B7418" t="s">
        <v>4</v>
      </c>
      <c r="C7418">
        <v>3</v>
      </c>
      <c r="D7418" t="s">
        <v>5</v>
      </c>
      <c r="F7418" t="str" cm="1">
        <f t="array" ref="F7418">CategorizeComment(E7418)</f>
        <v>Other</v>
      </c>
      <c r="G7418" t="str" cm="1">
        <f t="array" ref="G7418">SubCategorizeComment(E7418)</f>
        <v>Other</v>
      </c>
    </row>
    <row r="7419" spans="1:7" x14ac:dyDescent="0.25">
      <c r="A7419">
        <v>65074</v>
      </c>
      <c r="B7419" t="s">
        <v>4</v>
      </c>
      <c r="C7419">
        <v>4</v>
      </c>
      <c r="D7419" t="s">
        <v>5</v>
      </c>
      <c r="F7419" t="str" cm="1">
        <f t="array" ref="F7419">CategorizeComment(E7419)</f>
        <v>Other</v>
      </c>
      <c r="G7419" t="str" cm="1">
        <f t="array" ref="G7419">SubCategorizeComment(E7419)</f>
        <v>Other</v>
      </c>
    </row>
    <row r="7420" spans="1:7" x14ac:dyDescent="0.25">
      <c r="A7420">
        <v>65102</v>
      </c>
      <c r="B7420" t="s">
        <v>4</v>
      </c>
      <c r="C7420">
        <v>4</v>
      </c>
      <c r="D7420" t="s">
        <v>5</v>
      </c>
      <c r="F7420" t="str" cm="1">
        <f t="array" ref="F7420">CategorizeComment(E7420)</f>
        <v>Other</v>
      </c>
      <c r="G7420" t="str" cm="1">
        <f t="array" ref="G7420">SubCategorizeComment(E7420)</f>
        <v>Other</v>
      </c>
    </row>
    <row r="7421" spans="1:7" x14ac:dyDescent="0.25">
      <c r="A7421">
        <v>65105</v>
      </c>
      <c r="B7421" t="s">
        <v>4</v>
      </c>
      <c r="C7421">
        <v>4</v>
      </c>
      <c r="D7421" t="s">
        <v>5</v>
      </c>
      <c r="F7421" t="str" cm="1">
        <f t="array" ref="F7421">CategorizeComment(E7421)</f>
        <v>Other</v>
      </c>
      <c r="G7421" t="str" cm="1">
        <f t="array" ref="G7421">SubCategorizeComment(E7421)</f>
        <v>Other</v>
      </c>
    </row>
    <row r="7422" spans="1:7" x14ac:dyDescent="0.25">
      <c r="A7422">
        <v>65113</v>
      </c>
      <c r="B7422" t="s">
        <v>4</v>
      </c>
      <c r="C7422">
        <v>3</v>
      </c>
      <c r="D7422" t="s">
        <v>5</v>
      </c>
      <c r="F7422" t="str" cm="1">
        <f t="array" ref="F7422">CategorizeComment(E7422)</f>
        <v>Other</v>
      </c>
      <c r="G7422" t="str" cm="1">
        <f t="array" ref="G7422">SubCategorizeComment(E7422)</f>
        <v>Other</v>
      </c>
    </row>
    <row r="7423" spans="1:7" x14ac:dyDescent="0.25">
      <c r="A7423">
        <v>65127</v>
      </c>
      <c r="B7423" t="s">
        <v>4</v>
      </c>
      <c r="C7423">
        <v>4</v>
      </c>
      <c r="D7423" t="s">
        <v>5</v>
      </c>
      <c r="F7423" t="str" cm="1">
        <f t="array" ref="F7423">CategorizeComment(E7423)</f>
        <v>Other</v>
      </c>
      <c r="G7423" t="str" cm="1">
        <f t="array" ref="G7423">SubCategorizeComment(E7423)</f>
        <v>Other</v>
      </c>
    </row>
    <row r="7424" spans="1:7" x14ac:dyDescent="0.25">
      <c r="A7424">
        <v>65129</v>
      </c>
      <c r="B7424" t="s">
        <v>4</v>
      </c>
      <c r="C7424">
        <v>3</v>
      </c>
      <c r="D7424" t="s">
        <v>5</v>
      </c>
      <c r="F7424" t="str" cm="1">
        <f t="array" ref="F7424">CategorizeComment(E7424)</f>
        <v>Other</v>
      </c>
      <c r="G7424" t="str" cm="1">
        <f t="array" ref="G7424">SubCategorizeComment(E7424)</f>
        <v>Other</v>
      </c>
    </row>
    <row r="7425" spans="1:7" x14ac:dyDescent="0.25">
      <c r="A7425">
        <v>65132</v>
      </c>
      <c r="B7425" t="s">
        <v>4</v>
      </c>
      <c r="C7425">
        <v>3</v>
      </c>
      <c r="D7425" t="s">
        <v>5</v>
      </c>
      <c r="F7425" t="str" cm="1">
        <f t="array" ref="F7425">CategorizeComment(E7425)</f>
        <v>Other</v>
      </c>
      <c r="G7425" t="str" cm="1">
        <f t="array" ref="G7425">SubCategorizeComment(E7425)</f>
        <v>Other</v>
      </c>
    </row>
    <row r="7426" spans="1:7" x14ac:dyDescent="0.25">
      <c r="A7426">
        <v>65133</v>
      </c>
      <c r="B7426" t="s">
        <v>4</v>
      </c>
      <c r="C7426">
        <v>4</v>
      </c>
      <c r="D7426" t="s">
        <v>5</v>
      </c>
      <c r="F7426" t="str" cm="1">
        <f t="array" ref="F7426">CategorizeComment(E7426)</f>
        <v>Other</v>
      </c>
      <c r="G7426" t="str" cm="1">
        <f t="array" ref="G7426">SubCategorizeComment(E7426)</f>
        <v>Other</v>
      </c>
    </row>
    <row r="7427" spans="1:7" x14ac:dyDescent="0.25">
      <c r="A7427">
        <v>65138</v>
      </c>
      <c r="B7427" t="s">
        <v>4</v>
      </c>
      <c r="C7427">
        <v>3</v>
      </c>
      <c r="D7427" t="s">
        <v>5</v>
      </c>
      <c r="F7427" t="str" cm="1">
        <f t="array" ref="F7427">CategorizeComment(E7427)</f>
        <v>Other</v>
      </c>
      <c r="G7427" t="str" cm="1">
        <f t="array" ref="G7427">SubCategorizeComment(E7427)</f>
        <v>Other</v>
      </c>
    </row>
    <row r="7428" spans="1:7" x14ac:dyDescent="0.25">
      <c r="A7428">
        <v>65144</v>
      </c>
      <c r="B7428" t="s">
        <v>4</v>
      </c>
      <c r="C7428">
        <v>3</v>
      </c>
      <c r="D7428" t="s">
        <v>5</v>
      </c>
      <c r="F7428" t="str" cm="1">
        <f t="array" ref="F7428">CategorizeComment(E7428)</f>
        <v>Other</v>
      </c>
      <c r="G7428" t="str" cm="1">
        <f t="array" ref="G7428">SubCategorizeComment(E7428)</f>
        <v>Other</v>
      </c>
    </row>
    <row r="7429" spans="1:7" x14ac:dyDescent="0.25">
      <c r="A7429">
        <v>65229</v>
      </c>
      <c r="B7429" t="s">
        <v>4</v>
      </c>
      <c r="C7429">
        <v>4</v>
      </c>
      <c r="D7429" t="s">
        <v>5</v>
      </c>
      <c r="F7429" t="str" cm="1">
        <f t="array" ref="F7429">CategorizeComment(E7429)</f>
        <v>Other</v>
      </c>
      <c r="G7429" t="str" cm="1">
        <f t="array" ref="G7429">SubCategorizeComment(E7429)</f>
        <v>Other</v>
      </c>
    </row>
    <row r="7430" spans="1:7" x14ac:dyDescent="0.25">
      <c r="A7430">
        <v>65232</v>
      </c>
      <c r="B7430" t="s">
        <v>4</v>
      </c>
      <c r="C7430">
        <v>4</v>
      </c>
      <c r="D7430" t="s">
        <v>5</v>
      </c>
      <c r="F7430" t="str" cm="1">
        <f t="array" ref="F7430">CategorizeComment(E7430)</f>
        <v>Other</v>
      </c>
      <c r="G7430" t="str" cm="1">
        <f t="array" ref="G7430">SubCategorizeComment(E7430)</f>
        <v>Other</v>
      </c>
    </row>
    <row r="7431" spans="1:7" x14ac:dyDescent="0.25">
      <c r="A7431">
        <v>65238</v>
      </c>
      <c r="B7431" t="s">
        <v>4</v>
      </c>
      <c r="C7431">
        <v>4</v>
      </c>
      <c r="D7431" t="s">
        <v>5</v>
      </c>
      <c r="F7431" t="str" cm="1">
        <f t="array" ref="F7431">CategorizeComment(E7431)</f>
        <v>Other</v>
      </c>
      <c r="G7431" t="str" cm="1">
        <f t="array" ref="G7431">SubCategorizeComment(E7431)</f>
        <v>Other</v>
      </c>
    </row>
    <row r="7432" spans="1:7" x14ac:dyDescent="0.25">
      <c r="A7432">
        <v>65239</v>
      </c>
      <c r="B7432" t="s">
        <v>4</v>
      </c>
      <c r="C7432">
        <v>4</v>
      </c>
      <c r="D7432" t="s">
        <v>5</v>
      </c>
      <c r="F7432" t="str" cm="1">
        <f t="array" ref="F7432">CategorizeComment(E7432)</f>
        <v>Other</v>
      </c>
      <c r="G7432" t="str" cm="1">
        <f t="array" ref="G7432">SubCategorizeComment(E7432)</f>
        <v>Other</v>
      </c>
    </row>
    <row r="7433" spans="1:7" x14ac:dyDescent="0.25">
      <c r="A7433">
        <v>65262</v>
      </c>
      <c r="B7433" t="s">
        <v>4</v>
      </c>
      <c r="C7433">
        <v>4</v>
      </c>
      <c r="D7433" t="s">
        <v>5</v>
      </c>
      <c r="F7433" t="str" cm="1">
        <f t="array" ref="F7433">CategorizeComment(E7433)</f>
        <v>Other</v>
      </c>
      <c r="G7433" t="str" cm="1">
        <f t="array" ref="G7433">SubCategorizeComment(E7433)</f>
        <v>Other</v>
      </c>
    </row>
    <row r="7434" spans="1:7" x14ac:dyDescent="0.25">
      <c r="A7434">
        <v>65265</v>
      </c>
      <c r="B7434" t="s">
        <v>4</v>
      </c>
      <c r="C7434">
        <v>4</v>
      </c>
      <c r="D7434" t="s">
        <v>5</v>
      </c>
      <c r="F7434" t="str" cm="1">
        <f t="array" ref="F7434">CategorizeComment(E7434)</f>
        <v>Other</v>
      </c>
      <c r="G7434" t="str" cm="1">
        <f t="array" ref="G7434">SubCategorizeComment(E7434)</f>
        <v>Other</v>
      </c>
    </row>
    <row r="7435" spans="1:7" x14ac:dyDescent="0.25">
      <c r="A7435">
        <v>65284</v>
      </c>
      <c r="B7435" t="s">
        <v>4</v>
      </c>
      <c r="C7435">
        <v>3</v>
      </c>
      <c r="D7435" t="s">
        <v>5</v>
      </c>
      <c r="F7435" t="str" cm="1">
        <f t="array" ref="F7435">CategorizeComment(E7435)</f>
        <v>Other</v>
      </c>
      <c r="G7435" t="str" cm="1">
        <f t="array" ref="G7435">SubCategorizeComment(E7435)</f>
        <v>Other</v>
      </c>
    </row>
    <row r="7436" spans="1:7" x14ac:dyDescent="0.25">
      <c r="A7436">
        <v>65290</v>
      </c>
      <c r="B7436" t="s">
        <v>4</v>
      </c>
      <c r="C7436">
        <v>3</v>
      </c>
      <c r="D7436" t="s">
        <v>5</v>
      </c>
      <c r="F7436" t="str" cm="1">
        <f t="array" ref="F7436">CategorizeComment(E7436)</f>
        <v>Other</v>
      </c>
      <c r="G7436" t="str" cm="1">
        <f t="array" ref="G7436">SubCategorizeComment(E7436)</f>
        <v>Other</v>
      </c>
    </row>
    <row r="7437" spans="1:7" x14ac:dyDescent="0.25">
      <c r="A7437">
        <v>65298</v>
      </c>
      <c r="B7437" t="s">
        <v>4</v>
      </c>
      <c r="C7437">
        <v>3</v>
      </c>
      <c r="D7437" t="s">
        <v>5</v>
      </c>
      <c r="F7437" t="str" cm="1">
        <f t="array" ref="F7437">CategorizeComment(E7437)</f>
        <v>Other</v>
      </c>
      <c r="G7437" t="str" cm="1">
        <f t="array" ref="G7437">SubCategorizeComment(E7437)</f>
        <v>Other</v>
      </c>
    </row>
    <row r="7438" spans="1:7" x14ac:dyDescent="0.25">
      <c r="A7438">
        <v>65308</v>
      </c>
      <c r="B7438" t="s">
        <v>4</v>
      </c>
      <c r="C7438">
        <v>4</v>
      </c>
      <c r="D7438" t="s">
        <v>5</v>
      </c>
      <c r="F7438" t="str" cm="1">
        <f t="array" ref="F7438">CategorizeComment(E7438)</f>
        <v>Other</v>
      </c>
      <c r="G7438" t="str" cm="1">
        <f t="array" ref="G7438">SubCategorizeComment(E7438)</f>
        <v>Other</v>
      </c>
    </row>
    <row r="7439" spans="1:7" x14ac:dyDescent="0.25">
      <c r="A7439">
        <v>65314</v>
      </c>
      <c r="B7439" t="s">
        <v>4</v>
      </c>
      <c r="C7439">
        <v>3</v>
      </c>
      <c r="D7439" t="s">
        <v>5</v>
      </c>
      <c r="F7439" t="str" cm="1">
        <f t="array" ref="F7439">CategorizeComment(E7439)</f>
        <v>Other</v>
      </c>
      <c r="G7439" t="str" cm="1">
        <f t="array" ref="G7439">SubCategorizeComment(E7439)</f>
        <v>Other</v>
      </c>
    </row>
    <row r="7440" spans="1:7" x14ac:dyDescent="0.25">
      <c r="A7440">
        <v>65352</v>
      </c>
      <c r="B7440" t="s">
        <v>4</v>
      </c>
      <c r="C7440">
        <v>4</v>
      </c>
      <c r="D7440" t="s">
        <v>5</v>
      </c>
      <c r="F7440" t="str" cm="1">
        <f t="array" ref="F7440">CategorizeComment(E7440)</f>
        <v>Other</v>
      </c>
      <c r="G7440" t="str" cm="1">
        <f t="array" ref="G7440">SubCategorizeComment(E7440)</f>
        <v>Other</v>
      </c>
    </row>
    <row r="7441" spans="1:7" x14ac:dyDescent="0.25">
      <c r="A7441">
        <v>65354</v>
      </c>
      <c r="B7441" t="s">
        <v>4</v>
      </c>
      <c r="C7441">
        <v>3</v>
      </c>
      <c r="D7441" t="s">
        <v>5</v>
      </c>
      <c r="F7441" t="str" cm="1">
        <f t="array" ref="F7441">CategorizeComment(E7441)</f>
        <v>Other</v>
      </c>
      <c r="G7441" t="str" cm="1">
        <f t="array" ref="G7441">SubCategorizeComment(E7441)</f>
        <v>Other</v>
      </c>
    </row>
    <row r="7442" spans="1:7" x14ac:dyDescent="0.25">
      <c r="A7442">
        <v>65358</v>
      </c>
      <c r="B7442" t="s">
        <v>4</v>
      </c>
      <c r="C7442">
        <v>0</v>
      </c>
      <c r="D7442" t="s">
        <v>5</v>
      </c>
      <c r="F7442" t="str" cm="1">
        <f t="array" ref="F7442">CategorizeComment(E7442)</f>
        <v>Other</v>
      </c>
      <c r="G7442" t="str" cm="1">
        <f t="array" ref="G7442">SubCategorizeComment(E7442)</f>
        <v>Other</v>
      </c>
    </row>
    <row r="7443" spans="1:7" x14ac:dyDescent="0.25">
      <c r="A7443">
        <v>65364</v>
      </c>
      <c r="B7443" t="s">
        <v>4</v>
      </c>
      <c r="C7443">
        <v>4</v>
      </c>
      <c r="D7443" t="s">
        <v>5</v>
      </c>
      <c r="F7443" t="str" cm="1">
        <f t="array" ref="F7443">CategorizeComment(E7443)</f>
        <v>Other</v>
      </c>
      <c r="G7443" t="str" cm="1">
        <f t="array" ref="G7443">SubCategorizeComment(E7443)</f>
        <v>Other</v>
      </c>
    </row>
    <row r="7444" spans="1:7" x14ac:dyDescent="0.25">
      <c r="A7444">
        <v>65367</v>
      </c>
      <c r="B7444" t="s">
        <v>4</v>
      </c>
      <c r="C7444">
        <v>4</v>
      </c>
      <c r="D7444" t="s">
        <v>5</v>
      </c>
      <c r="F7444" t="str" cm="1">
        <f t="array" ref="F7444">CategorizeComment(E7444)</f>
        <v>Other</v>
      </c>
      <c r="G7444" t="str" cm="1">
        <f t="array" ref="G7444">SubCategorizeComment(E7444)</f>
        <v>Other</v>
      </c>
    </row>
    <row r="7445" spans="1:7" x14ac:dyDescent="0.25">
      <c r="A7445">
        <v>65381</v>
      </c>
      <c r="B7445" t="s">
        <v>4</v>
      </c>
      <c r="C7445">
        <v>4</v>
      </c>
      <c r="D7445" t="s">
        <v>5</v>
      </c>
      <c r="F7445" t="str" cm="1">
        <f t="array" ref="F7445">CategorizeComment(E7445)</f>
        <v>Other</v>
      </c>
      <c r="G7445" t="str" cm="1">
        <f t="array" ref="G7445">SubCategorizeComment(E7445)</f>
        <v>Other</v>
      </c>
    </row>
    <row r="7446" spans="1:7" x14ac:dyDescent="0.25">
      <c r="A7446">
        <v>65385</v>
      </c>
      <c r="B7446" t="s">
        <v>4</v>
      </c>
      <c r="C7446">
        <v>4</v>
      </c>
      <c r="D7446" t="s">
        <v>5</v>
      </c>
      <c r="F7446" t="str" cm="1">
        <f t="array" ref="F7446">CategorizeComment(E7446)</f>
        <v>Other</v>
      </c>
      <c r="G7446" t="str" cm="1">
        <f t="array" ref="G7446">SubCategorizeComment(E7446)</f>
        <v>Other</v>
      </c>
    </row>
    <row r="7447" spans="1:7" x14ac:dyDescent="0.25">
      <c r="A7447">
        <v>65449</v>
      </c>
      <c r="B7447" t="s">
        <v>4</v>
      </c>
      <c r="C7447">
        <v>3</v>
      </c>
      <c r="D7447" t="s">
        <v>5</v>
      </c>
      <c r="F7447" t="str" cm="1">
        <f t="array" ref="F7447">CategorizeComment(E7447)</f>
        <v>Other</v>
      </c>
      <c r="G7447" t="str" cm="1">
        <f t="array" ref="G7447">SubCategorizeComment(E7447)</f>
        <v>Other</v>
      </c>
    </row>
    <row r="7448" spans="1:7" x14ac:dyDescent="0.25">
      <c r="A7448">
        <v>65465</v>
      </c>
      <c r="B7448" t="s">
        <v>4</v>
      </c>
      <c r="C7448">
        <v>4</v>
      </c>
      <c r="D7448" t="s">
        <v>5</v>
      </c>
      <c r="F7448" t="str" cm="1">
        <f t="array" ref="F7448">CategorizeComment(E7448)</f>
        <v>Other</v>
      </c>
      <c r="G7448" t="str" cm="1">
        <f t="array" ref="G7448">SubCategorizeComment(E7448)</f>
        <v>Other</v>
      </c>
    </row>
    <row r="7449" spans="1:7" x14ac:dyDescent="0.25">
      <c r="A7449">
        <v>65522</v>
      </c>
      <c r="B7449" t="s">
        <v>4</v>
      </c>
      <c r="C7449">
        <v>4</v>
      </c>
      <c r="D7449" t="s">
        <v>5</v>
      </c>
      <c r="F7449" t="str" cm="1">
        <f t="array" ref="F7449">CategorizeComment(E7449)</f>
        <v>Other</v>
      </c>
      <c r="G7449" t="str" cm="1">
        <f t="array" ref="G7449">SubCategorizeComment(E7449)</f>
        <v>Other</v>
      </c>
    </row>
    <row r="7450" spans="1:7" x14ac:dyDescent="0.25">
      <c r="A7450">
        <v>65523</v>
      </c>
      <c r="B7450" t="s">
        <v>4</v>
      </c>
      <c r="C7450">
        <v>3</v>
      </c>
      <c r="D7450" t="s">
        <v>5</v>
      </c>
      <c r="F7450" t="str" cm="1">
        <f t="array" ref="F7450">CategorizeComment(E7450)</f>
        <v>Other</v>
      </c>
      <c r="G7450" t="str" cm="1">
        <f t="array" ref="G7450">SubCategorizeComment(E7450)</f>
        <v>Other</v>
      </c>
    </row>
    <row r="7451" spans="1:7" x14ac:dyDescent="0.25">
      <c r="A7451">
        <v>65536</v>
      </c>
      <c r="B7451" t="s">
        <v>4</v>
      </c>
      <c r="C7451">
        <v>4</v>
      </c>
      <c r="D7451" t="s">
        <v>5</v>
      </c>
      <c r="F7451" t="str" cm="1">
        <f t="array" ref="F7451">CategorizeComment(E7451)</f>
        <v>Other</v>
      </c>
      <c r="G7451" t="str" cm="1">
        <f t="array" ref="G7451">SubCategorizeComment(E7451)</f>
        <v>Other</v>
      </c>
    </row>
    <row r="7452" spans="1:7" x14ac:dyDescent="0.25">
      <c r="A7452">
        <v>65543</v>
      </c>
      <c r="B7452" t="s">
        <v>4</v>
      </c>
      <c r="C7452">
        <v>4</v>
      </c>
      <c r="D7452" t="s">
        <v>5</v>
      </c>
      <c r="F7452" t="str" cm="1">
        <f t="array" ref="F7452">CategorizeComment(E7452)</f>
        <v>Other</v>
      </c>
      <c r="G7452" t="str" cm="1">
        <f t="array" ref="G7452">SubCategorizeComment(E7452)</f>
        <v>Other</v>
      </c>
    </row>
    <row r="7453" spans="1:7" x14ac:dyDescent="0.25">
      <c r="A7453">
        <v>65574</v>
      </c>
      <c r="B7453" t="s">
        <v>4</v>
      </c>
      <c r="C7453">
        <v>3</v>
      </c>
      <c r="D7453" t="s">
        <v>5</v>
      </c>
      <c r="F7453" t="str" cm="1">
        <f t="array" ref="F7453">CategorizeComment(E7453)</f>
        <v>Other</v>
      </c>
      <c r="G7453" t="str" cm="1">
        <f t="array" ref="G7453">SubCategorizeComment(E7453)</f>
        <v>Other</v>
      </c>
    </row>
    <row r="7454" spans="1:7" x14ac:dyDescent="0.25">
      <c r="A7454">
        <v>65575</v>
      </c>
      <c r="B7454" t="s">
        <v>4</v>
      </c>
      <c r="C7454">
        <v>3</v>
      </c>
      <c r="D7454" t="s">
        <v>5</v>
      </c>
      <c r="F7454" t="str" cm="1">
        <f t="array" ref="F7454">CategorizeComment(E7454)</f>
        <v>Other</v>
      </c>
      <c r="G7454" t="str" cm="1">
        <f t="array" ref="G7454">SubCategorizeComment(E7454)</f>
        <v>Other</v>
      </c>
    </row>
    <row r="7455" spans="1:7" x14ac:dyDescent="0.25">
      <c r="A7455">
        <v>65579</v>
      </c>
      <c r="B7455" t="s">
        <v>4</v>
      </c>
      <c r="C7455">
        <v>4</v>
      </c>
      <c r="D7455" t="s">
        <v>5</v>
      </c>
      <c r="F7455" t="str" cm="1">
        <f t="array" ref="F7455">CategorizeComment(E7455)</f>
        <v>Other</v>
      </c>
      <c r="G7455" t="str" cm="1">
        <f t="array" ref="G7455">SubCategorizeComment(E7455)</f>
        <v>Other</v>
      </c>
    </row>
    <row r="7456" spans="1:7" x14ac:dyDescent="0.25">
      <c r="A7456">
        <v>65582</v>
      </c>
      <c r="B7456" t="s">
        <v>4</v>
      </c>
      <c r="C7456">
        <v>3</v>
      </c>
      <c r="D7456" t="s">
        <v>5</v>
      </c>
      <c r="F7456" t="str" cm="1">
        <f t="array" ref="F7456">CategorizeComment(E7456)</f>
        <v>Other</v>
      </c>
      <c r="G7456" t="str" cm="1">
        <f t="array" ref="G7456">SubCategorizeComment(E7456)</f>
        <v>Other</v>
      </c>
    </row>
    <row r="7457" spans="1:7" x14ac:dyDescent="0.25">
      <c r="A7457">
        <v>65585</v>
      </c>
      <c r="B7457" t="s">
        <v>4</v>
      </c>
      <c r="C7457">
        <v>3</v>
      </c>
      <c r="D7457" t="s">
        <v>5</v>
      </c>
      <c r="F7457" t="str" cm="1">
        <f t="array" ref="F7457">CategorizeComment(E7457)</f>
        <v>Other</v>
      </c>
      <c r="G7457" t="str" cm="1">
        <f t="array" ref="G7457">SubCategorizeComment(E7457)</f>
        <v>Other</v>
      </c>
    </row>
    <row r="7458" spans="1:7" x14ac:dyDescent="0.25">
      <c r="A7458">
        <v>65595</v>
      </c>
      <c r="B7458" t="s">
        <v>4</v>
      </c>
      <c r="C7458">
        <v>3</v>
      </c>
      <c r="D7458" t="s">
        <v>5</v>
      </c>
      <c r="F7458" t="str" cm="1">
        <f t="array" ref="F7458">CategorizeComment(E7458)</f>
        <v>Other</v>
      </c>
      <c r="G7458" t="str" cm="1">
        <f t="array" ref="G7458">SubCategorizeComment(E7458)</f>
        <v>Other</v>
      </c>
    </row>
    <row r="7459" spans="1:7" x14ac:dyDescent="0.25">
      <c r="A7459">
        <v>65596</v>
      </c>
      <c r="B7459" t="s">
        <v>4</v>
      </c>
      <c r="C7459">
        <v>4</v>
      </c>
      <c r="D7459" t="s">
        <v>5</v>
      </c>
      <c r="F7459" t="str" cm="1">
        <f t="array" ref="F7459">CategorizeComment(E7459)</f>
        <v>Other</v>
      </c>
      <c r="G7459" t="str" cm="1">
        <f t="array" ref="G7459">SubCategorizeComment(E7459)</f>
        <v>Other</v>
      </c>
    </row>
    <row r="7460" spans="1:7" x14ac:dyDescent="0.25">
      <c r="A7460">
        <v>65606</v>
      </c>
      <c r="B7460" t="s">
        <v>4</v>
      </c>
      <c r="C7460">
        <v>3</v>
      </c>
      <c r="D7460" t="s">
        <v>5</v>
      </c>
      <c r="F7460" t="str" cm="1">
        <f t="array" ref="F7460">CategorizeComment(E7460)</f>
        <v>Other</v>
      </c>
      <c r="G7460" t="str" cm="1">
        <f t="array" ref="G7460">SubCategorizeComment(E7460)</f>
        <v>Other</v>
      </c>
    </row>
    <row r="7461" spans="1:7" x14ac:dyDescent="0.25">
      <c r="A7461">
        <v>65609</v>
      </c>
      <c r="B7461" t="s">
        <v>4</v>
      </c>
      <c r="C7461">
        <v>3</v>
      </c>
      <c r="D7461" t="s">
        <v>5</v>
      </c>
      <c r="F7461" t="str" cm="1">
        <f t="array" ref="F7461">CategorizeComment(E7461)</f>
        <v>Other</v>
      </c>
      <c r="G7461" t="str" cm="1">
        <f t="array" ref="G7461">SubCategorizeComment(E7461)</f>
        <v>Other</v>
      </c>
    </row>
    <row r="7462" spans="1:7" x14ac:dyDescent="0.25">
      <c r="A7462">
        <v>65617</v>
      </c>
      <c r="B7462" t="s">
        <v>4</v>
      </c>
      <c r="C7462">
        <v>3</v>
      </c>
      <c r="D7462" t="s">
        <v>5</v>
      </c>
      <c r="F7462" t="str" cm="1">
        <f t="array" ref="F7462">CategorizeComment(E7462)</f>
        <v>Other</v>
      </c>
      <c r="G7462" t="str" cm="1">
        <f t="array" ref="G7462">SubCategorizeComment(E7462)</f>
        <v>Other</v>
      </c>
    </row>
    <row r="7463" spans="1:7" x14ac:dyDescent="0.25">
      <c r="A7463">
        <v>65621</v>
      </c>
      <c r="B7463" t="s">
        <v>4</v>
      </c>
      <c r="C7463">
        <v>4</v>
      </c>
      <c r="D7463" t="s">
        <v>5</v>
      </c>
      <c r="F7463" t="str" cm="1">
        <f t="array" ref="F7463">CategorizeComment(E7463)</f>
        <v>Other</v>
      </c>
      <c r="G7463" t="str" cm="1">
        <f t="array" ref="G7463">SubCategorizeComment(E7463)</f>
        <v>Other</v>
      </c>
    </row>
    <row r="7464" spans="1:7" x14ac:dyDescent="0.25">
      <c r="A7464">
        <v>65633</v>
      </c>
      <c r="B7464" t="s">
        <v>4</v>
      </c>
      <c r="C7464">
        <v>4</v>
      </c>
      <c r="D7464" t="s">
        <v>5</v>
      </c>
      <c r="F7464" t="str" cm="1">
        <f t="array" ref="F7464">CategorizeComment(E7464)</f>
        <v>Other</v>
      </c>
      <c r="G7464" t="str" cm="1">
        <f t="array" ref="G7464">SubCategorizeComment(E7464)</f>
        <v>Other</v>
      </c>
    </row>
    <row r="7465" spans="1:7" x14ac:dyDescent="0.25">
      <c r="A7465">
        <v>65641</v>
      </c>
      <c r="B7465" t="s">
        <v>4</v>
      </c>
      <c r="C7465">
        <v>4</v>
      </c>
      <c r="D7465" t="s">
        <v>5</v>
      </c>
      <c r="F7465" t="str" cm="1">
        <f t="array" ref="F7465">CategorizeComment(E7465)</f>
        <v>Other</v>
      </c>
      <c r="G7465" t="str" cm="1">
        <f t="array" ref="G7465">SubCategorizeComment(E7465)</f>
        <v>Other</v>
      </c>
    </row>
    <row r="7466" spans="1:7" x14ac:dyDescent="0.25">
      <c r="A7466">
        <v>65672</v>
      </c>
      <c r="B7466" t="s">
        <v>4</v>
      </c>
      <c r="C7466">
        <v>4</v>
      </c>
      <c r="D7466" t="s">
        <v>5</v>
      </c>
      <c r="F7466" t="str" cm="1">
        <f t="array" ref="F7466">CategorizeComment(E7466)</f>
        <v>Other</v>
      </c>
      <c r="G7466" t="str" cm="1">
        <f t="array" ref="G7466">SubCategorizeComment(E7466)</f>
        <v>Other</v>
      </c>
    </row>
    <row r="7467" spans="1:7" x14ac:dyDescent="0.25">
      <c r="A7467">
        <v>65676</v>
      </c>
      <c r="B7467" t="s">
        <v>4</v>
      </c>
      <c r="C7467">
        <v>4</v>
      </c>
      <c r="D7467" t="s">
        <v>5</v>
      </c>
      <c r="F7467" t="str" cm="1">
        <f t="array" ref="F7467">CategorizeComment(E7467)</f>
        <v>Other</v>
      </c>
      <c r="G7467" t="str" cm="1">
        <f t="array" ref="G7467">SubCategorizeComment(E7467)</f>
        <v>Other</v>
      </c>
    </row>
    <row r="7468" spans="1:7" x14ac:dyDescent="0.25">
      <c r="A7468">
        <v>65684</v>
      </c>
      <c r="B7468" t="s">
        <v>4</v>
      </c>
      <c r="C7468">
        <v>3</v>
      </c>
      <c r="D7468" t="s">
        <v>5</v>
      </c>
      <c r="F7468" t="str" cm="1">
        <f t="array" ref="F7468">CategorizeComment(E7468)</f>
        <v>Other</v>
      </c>
      <c r="G7468" t="str" cm="1">
        <f t="array" ref="G7468">SubCategorizeComment(E7468)</f>
        <v>Other</v>
      </c>
    </row>
    <row r="7469" spans="1:7" x14ac:dyDescent="0.25">
      <c r="A7469">
        <v>65688</v>
      </c>
      <c r="B7469" t="s">
        <v>4</v>
      </c>
      <c r="C7469">
        <v>4</v>
      </c>
      <c r="D7469" t="s">
        <v>5</v>
      </c>
      <c r="F7469" t="str" cm="1">
        <f t="array" ref="F7469">CategorizeComment(E7469)</f>
        <v>Other</v>
      </c>
      <c r="G7469" t="str" cm="1">
        <f t="array" ref="G7469">SubCategorizeComment(E7469)</f>
        <v>Other</v>
      </c>
    </row>
    <row r="7470" spans="1:7" x14ac:dyDescent="0.25">
      <c r="A7470">
        <v>65694</v>
      </c>
      <c r="B7470" t="s">
        <v>4</v>
      </c>
      <c r="C7470">
        <v>3</v>
      </c>
      <c r="D7470" t="s">
        <v>5</v>
      </c>
      <c r="F7470" t="str" cm="1">
        <f t="array" ref="F7470">CategorizeComment(E7470)</f>
        <v>Other</v>
      </c>
      <c r="G7470" t="str" cm="1">
        <f t="array" ref="G7470">SubCategorizeComment(E7470)</f>
        <v>Other</v>
      </c>
    </row>
    <row r="7471" spans="1:7" x14ac:dyDescent="0.25">
      <c r="A7471">
        <v>65703</v>
      </c>
      <c r="B7471" t="s">
        <v>4</v>
      </c>
      <c r="C7471">
        <v>3</v>
      </c>
      <c r="D7471" t="s">
        <v>5</v>
      </c>
      <c r="F7471" t="str" cm="1">
        <f t="array" ref="F7471">CategorizeComment(E7471)</f>
        <v>Other</v>
      </c>
      <c r="G7471" t="str" cm="1">
        <f t="array" ref="G7471">SubCategorizeComment(E7471)</f>
        <v>Other</v>
      </c>
    </row>
    <row r="7472" spans="1:7" x14ac:dyDescent="0.25">
      <c r="A7472">
        <v>65705</v>
      </c>
      <c r="B7472" t="s">
        <v>4</v>
      </c>
      <c r="C7472">
        <v>4</v>
      </c>
      <c r="D7472" t="s">
        <v>5</v>
      </c>
      <c r="F7472" t="str" cm="1">
        <f t="array" ref="F7472">CategorizeComment(E7472)</f>
        <v>Other</v>
      </c>
      <c r="G7472" t="str" cm="1">
        <f t="array" ref="G7472">SubCategorizeComment(E7472)</f>
        <v>Other</v>
      </c>
    </row>
    <row r="7473" spans="1:7" x14ac:dyDescent="0.25">
      <c r="A7473">
        <v>65716</v>
      </c>
      <c r="B7473" t="s">
        <v>4</v>
      </c>
      <c r="C7473">
        <v>4</v>
      </c>
      <c r="D7473" t="s">
        <v>5</v>
      </c>
      <c r="F7473" t="str" cm="1">
        <f t="array" ref="F7473">CategorizeComment(E7473)</f>
        <v>Other</v>
      </c>
      <c r="G7473" t="str" cm="1">
        <f t="array" ref="G7473">SubCategorizeComment(E7473)</f>
        <v>Other</v>
      </c>
    </row>
    <row r="7474" spans="1:7" x14ac:dyDescent="0.25">
      <c r="A7474">
        <v>65720</v>
      </c>
      <c r="B7474" t="s">
        <v>4</v>
      </c>
      <c r="C7474">
        <v>3</v>
      </c>
      <c r="D7474" t="s">
        <v>5</v>
      </c>
      <c r="F7474" t="str" cm="1">
        <f t="array" ref="F7474">CategorizeComment(E7474)</f>
        <v>Other</v>
      </c>
      <c r="G7474" t="str" cm="1">
        <f t="array" ref="G7474">SubCategorizeComment(E7474)</f>
        <v>Other</v>
      </c>
    </row>
    <row r="7475" spans="1:7" x14ac:dyDescent="0.25">
      <c r="A7475">
        <v>65723</v>
      </c>
      <c r="B7475" t="s">
        <v>4</v>
      </c>
      <c r="C7475">
        <v>3</v>
      </c>
      <c r="D7475" t="s">
        <v>5</v>
      </c>
      <c r="F7475" t="str" cm="1">
        <f t="array" ref="F7475">CategorizeComment(E7475)</f>
        <v>Other</v>
      </c>
      <c r="G7475" t="str" cm="1">
        <f t="array" ref="G7475">SubCategorizeComment(E7475)</f>
        <v>Other</v>
      </c>
    </row>
    <row r="7476" spans="1:7" x14ac:dyDescent="0.25">
      <c r="A7476">
        <v>65729</v>
      </c>
      <c r="B7476" t="s">
        <v>4</v>
      </c>
      <c r="C7476">
        <v>4</v>
      </c>
      <c r="D7476" t="s">
        <v>5</v>
      </c>
      <c r="F7476" t="str" cm="1">
        <f t="array" ref="F7476">CategorizeComment(E7476)</f>
        <v>Other</v>
      </c>
      <c r="G7476" t="str" cm="1">
        <f t="array" ref="G7476">SubCategorizeComment(E7476)</f>
        <v>Other</v>
      </c>
    </row>
    <row r="7477" spans="1:7" x14ac:dyDescent="0.25">
      <c r="A7477">
        <v>65735</v>
      </c>
      <c r="B7477" t="s">
        <v>4</v>
      </c>
      <c r="C7477">
        <v>3</v>
      </c>
      <c r="D7477" t="s">
        <v>5</v>
      </c>
      <c r="F7477" t="str" cm="1">
        <f t="array" ref="F7477">CategorizeComment(E7477)</f>
        <v>Other</v>
      </c>
      <c r="G7477" t="str" cm="1">
        <f t="array" ref="G7477">SubCategorizeComment(E7477)</f>
        <v>Other</v>
      </c>
    </row>
    <row r="7478" spans="1:7" x14ac:dyDescent="0.25">
      <c r="A7478">
        <v>65742</v>
      </c>
      <c r="B7478" t="s">
        <v>4</v>
      </c>
      <c r="C7478">
        <v>4</v>
      </c>
      <c r="D7478" t="s">
        <v>5</v>
      </c>
      <c r="F7478" t="str" cm="1">
        <f t="array" ref="F7478">CategorizeComment(E7478)</f>
        <v>Other</v>
      </c>
      <c r="G7478" t="str" cm="1">
        <f t="array" ref="G7478">SubCategorizeComment(E7478)</f>
        <v>Other</v>
      </c>
    </row>
    <row r="7479" spans="1:7" x14ac:dyDescent="0.25">
      <c r="A7479">
        <v>65753</v>
      </c>
      <c r="B7479" t="s">
        <v>4</v>
      </c>
      <c r="C7479">
        <v>3</v>
      </c>
      <c r="D7479" t="s">
        <v>5</v>
      </c>
      <c r="F7479" t="str" cm="1">
        <f t="array" ref="F7479">CategorizeComment(E7479)</f>
        <v>Other</v>
      </c>
      <c r="G7479" t="str" cm="1">
        <f t="array" ref="G7479">SubCategorizeComment(E7479)</f>
        <v>Other</v>
      </c>
    </row>
    <row r="7480" spans="1:7" x14ac:dyDescent="0.25">
      <c r="A7480">
        <v>65762</v>
      </c>
      <c r="B7480" t="s">
        <v>4</v>
      </c>
      <c r="C7480">
        <v>3</v>
      </c>
      <c r="D7480" t="s">
        <v>5</v>
      </c>
      <c r="F7480" t="str" cm="1">
        <f t="array" ref="F7480">CategorizeComment(E7480)</f>
        <v>Other</v>
      </c>
      <c r="G7480" t="str" cm="1">
        <f t="array" ref="G7480">SubCategorizeComment(E7480)</f>
        <v>Other</v>
      </c>
    </row>
    <row r="7481" spans="1:7" x14ac:dyDescent="0.25">
      <c r="A7481">
        <v>65801</v>
      </c>
      <c r="B7481" t="s">
        <v>4</v>
      </c>
      <c r="C7481">
        <v>3</v>
      </c>
      <c r="D7481" t="s">
        <v>5</v>
      </c>
      <c r="F7481" t="str" cm="1">
        <f t="array" ref="F7481">CategorizeComment(E7481)</f>
        <v>Other</v>
      </c>
      <c r="G7481" t="str" cm="1">
        <f t="array" ref="G7481">SubCategorizeComment(E7481)</f>
        <v>Other</v>
      </c>
    </row>
    <row r="7482" spans="1:7" x14ac:dyDescent="0.25">
      <c r="A7482">
        <v>65817</v>
      </c>
      <c r="B7482" t="s">
        <v>4</v>
      </c>
      <c r="C7482">
        <v>4</v>
      </c>
      <c r="D7482" t="s">
        <v>5</v>
      </c>
      <c r="F7482" t="str" cm="1">
        <f t="array" ref="F7482">CategorizeComment(E7482)</f>
        <v>Other</v>
      </c>
      <c r="G7482" t="str" cm="1">
        <f t="array" ref="G7482">SubCategorizeComment(E7482)</f>
        <v>Other</v>
      </c>
    </row>
    <row r="7483" spans="1:7" x14ac:dyDescent="0.25">
      <c r="A7483">
        <v>65826</v>
      </c>
      <c r="B7483" t="s">
        <v>4</v>
      </c>
      <c r="C7483">
        <v>4</v>
      </c>
      <c r="D7483" t="s">
        <v>5</v>
      </c>
      <c r="F7483" t="str" cm="1">
        <f t="array" ref="F7483">CategorizeComment(E7483)</f>
        <v>Other</v>
      </c>
      <c r="G7483" t="str" cm="1">
        <f t="array" ref="G7483">SubCategorizeComment(E7483)</f>
        <v>Other</v>
      </c>
    </row>
    <row r="7484" spans="1:7" x14ac:dyDescent="0.25">
      <c r="A7484">
        <v>65828</v>
      </c>
      <c r="B7484" t="s">
        <v>4</v>
      </c>
      <c r="C7484">
        <v>3</v>
      </c>
      <c r="D7484" t="s">
        <v>5</v>
      </c>
      <c r="F7484" t="str" cm="1">
        <f t="array" ref="F7484">CategorizeComment(E7484)</f>
        <v>Other</v>
      </c>
      <c r="G7484" t="str" cm="1">
        <f t="array" ref="G7484">SubCategorizeComment(E7484)</f>
        <v>Other</v>
      </c>
    </row>
    <row r="7485" spans="1:7" x14ac:dyDescent="0.25">
      <c r="A7485">
        <v>65833</v>
      </c>
      <c r="B7485" t="s">
        <v>4</v>
      </c>
      <c r="C7485">
        <v>3</v>
      </c>
      <c r="D7485" t="s">
        <v>5</v>
      </c>
      <c r="F7485" t="str" cm="1">
        <f t="array" ref="F7485">CategorizeComment(E7485)</f>
        <v>Other</v>
      </c>
      <c r="G7485" t="str" cm="1">
        <f t="array" ref="G7485">SubCategorizeComment(E7485)</f>
        <v>Other</v>
      </c>
    </row>
    <row r="7486" spans="1:7" x14ac:dyDescent="0.25">
      <c r="A7486">
        <v>65835</v>
      </c>
      <c r="B7486" t="s">
        <v>4</v>
      </c>
      <c r="C7486">
        <v>3</v>
      </c>
      <c r="D7486" t="s">
        <v>5</v>
      </c>
      <c r="F7486" t="str" cm="1">
        <f t="array" ref="F7486">CategorizeComment(E7486)</f>
        <v>Other</v>
      </c>
      <c r="G7486" t="str" cm="1">
        <f t="array" ref="G7486">SubCategorizeComment(E7486)</f>
        <v>Other</v>
      </c>
    </row>
    <row r="7487" spans="1:7" x14ac:dyDescent="0.25">
      <c r="A7487">
        <v>65838</v>
      </c>
      <c r="B7487" t="s">
        <v>4</v>
      </c>
      <c r="C7487">
        <v>3</v>
      </c>
      <c r="D7487" t="s">
        <v>5</v>
      </c>
      <c r="F7487" t="str" cm="1">
        <f t="array" ref="F7487">CategorizeComment(E7487)</f>
        <v>Other</v>
      </c>
      <c r="G7487" t="str" cm="1">
        <f t="array" ref="G7487">SubCategorizeComment(E7487)</f>
        <v>Other</v>
      </c>
    </row>
    <row r="7488" spans="1:7" x14ac:dyDescent="0.25">
      <c r="A7488">
        <v>65845</v>
      </c>
      <c r="B7488" t="s">
        <v>4</v>
      </c>
      <c r="C7488">
        <v>3</v>
      </c>
      <c r="D7488" t="s">
        <v>5</v>
      </c>
      <c r="F7488" t="str" cm="1">
        <f t="array" ref="F7488">CategorizeComment(E7488)</f>
        <v>Other</v>
      </c>
      <c r="G7488" t="str" cm="1">
        <f t="array" ref="G7488">SubCategorizeComment(E7488)</f>
        <v>Other</v>
      </c>
    </row>
    <row r="7489" spans="1:7" x14ac:dyDescent="0.25">
      <c r="A7489">
        <v>65854</v>
      </c>
      <c r="B7489" t="s">
        <v>4</v>
      </c>
      <c r="C7489">
        <v>4</v>
      </c>
      <c r="D7489" t="s">
        <v>5</v>
      </c>
      <c r="F7489" t="str" cm="1">
        <f t="array" ref="F7489">CategorizeComment(E7489)</f>
        <v>Other</v>
      </c>
      <c r="G7489" t="str" cm="1">
        <f t="array" ref="G7489">SubCategorizeComment(E7489)</f>
        <v>Other</v>
      </c>
    </row>
    <row r="7490" spans="1:7" x14ac:dyDescent="0.25">
      <c r="A7490">
        <v>65858</v>
      </c>
      <c r="B7490" t="s">
        <v>4</v>
      </c>
      <c r="C7490">
        <v>4</v>
      </c>
      <c r="D7490" t="s">
        <v>5</v>
      </c>
      <c r="F7490" t="str" cm="1">
        <f t="array" ref="F7490">CategorizeComment(E7490)</f>
        <v>Other</v>
      </c>
      <c r="G7490" t="str" cm="1">
        <f t="array" ref="G7490">SubCategorizeComment(E7490)</f>
        <v>Other</v>
      </c>
    </row>
    <row r="7491" spans="1:7" x14ac:dyDescent="0.25">
      <c r="A7491">
        <v>65879</v>
      </c>
      <c r="B7491" t="s">
        <v>4</v>
      </c>
      <c r="C7491">
        <v>3</v>
      </c>
      <c r="D7491" t="s">
        <v>5</v>
      </c>
      <c r="F7491" t="str" cm="1">
        <f t="array" ref="F7491">CategorizeComment(E7491)</f>
        <v>Other</v>
      </c>
      <c r="G7491" t="str" cm="1">
        <f t="array" ref="G7491">SubCategorizeComment(E7491)</f>
        <v>Other</v>
      </c>
    </row>
    <row r="7492" spans="1:7" x14ac:dyDescent="0.25">
      <c r="A7492">
        <v>65884</v>
      </c>
      <c r="B7492" t="s">
        <v>4</v>
      </c>
      <c r="C7492">
        <v>4</v>
      </c>
      <c r="D7492" t="s">
        <v>5</v>
      </c>
      <c r="F7492" t="str" cm="1">
        <f t="array" ref="F7492">CategorizeComment(E7492)</f>
        <v>Other</v>
      </c>
      <c r="G7492" t="str" cm="1">
        <f t="array" ref="G7492">SubCategorizeComment(E7492)</f>
        <v>Other</v>
      </c>
    </row>
    <row r="7493" spans="1:7" x14ac:dyDescent="0.25">
      <c r="A7493">
        <v>65889</v>
      </c>
      <c r="B7493" t="s">
        <v>4</v>
      </c>
      <c r="C7493">
        <v>3</v>
      </c>
      <c r="D7493" t="s">
        <v>5</v>
      </c>
      <c r="F7493" t="str" cm="1">
        <f t="array" ref="F7493">CategorizeComment(E7493)</f>
        <v>Other</v>
      </c>
      <c r="G7493" t="str" cm="1">
        <f t="array" ref="G7493">SubCategorizeComment(E7493)</f>
        <v>Other</v>
      </c>
    </row>
    <row r="7494" spans="1:7" x14ac:dyDescent="0.25">
      <c r="A7494">
        <v>65890</v>
      </c>
      <c r="B7494" t="s">
        <v>4</v>
      </c>
      <c r="C7494">
        <v>3</v>
      </c>
      <c r="D7494" t="s">
        <v>5</v>
      </c>
      <c r="F7494" t="str" cm="1">
        <f t="array" ref="F7494">CategorizeComment(E7494)</f>
        <v>Other</v>
      </c>
      <c r="G7494" t="str" cm="1">
        <f t="array" ref="G7494">SubCategorizeComment(E7494)</f>
        <v>Other</v>
      </c>
    </row>
    <row r="7495" spans="1:7" x14ac:dyDescent="0.25">
      <c r="A7495">
        <v>65901</v>
      </c>
      <c r="B7495" t="s">
        <v>4</v>
      </c>
      <c r="C7495">
        <v>3</v>
      </c>
      <c r="D7495" t="s">
        <v>5</v>
      </c>
      <c r="F7495" t="str" cm="1">
        <f t="array" ref="F7495">CategorizeComment(E7495)</f>
        <v>Other</v>
      </c>
      <c r="G7495" t="str" cm="1">
        <f t="array" ref="G7495">SubCategorizeComment(E7495)</f>
        <v>Other</v>
      </c>
    </row>
    <row r="7496" spans="1:7" x14ac:dyDescent="0.25">
      <c r="A7496">
        <v>65902</v>
      </c>
      <c r="B7496" t="s">
        <v>4</v>
      </c>
      <c r="C7496">
        <v>4</v>
      </c>
      <c r="D7496" t="s">
        <v>5</v>
      </c>
      <c r="F7496" t="str" cm="1">
        <f t="array" ref="F7496">CategorizeComment(E7496)</f>
        <v>Other</v>
      </c>
      <c r="G7496" t="str" cm="1">
        <f t="array" ref="G7496">SubCategorizeComment(E7496)</f>
        <v>Other</v>
      </c>
    </row>
    <row r="7497" spans="1:7" x14ac:dyDescent="0.25">
      <c r="A7497">
        <v>65904</v>
      </c>
      <c r="B7497" t="s">
        <v>4</v>
      </c>
      <c r="C7497">
        <v>3</v>
      </c>
      <c r="D7497" t="s">
        <v>5</v>
      </c>
      <c r="F7497" t="str" cm="1">
        <f t="array" ref="F7497">CategorizeComment(E7497)</f>
        <v>Other</v>
      </c>
      <c r="G7497" t="str" cm="1">
        <f t="array" ref="G7497">SubCategorizeComment(E7497)</f>
        <v>Other</v>
      </c>
    </row>
    <row r="7498" spans="1:7" x14ac:dyDescent="0.25">
      <c r="A7498">
        <v>65910</v>
      </c>
      <c r="B7498" t="s">
        <v>4</v>
      </c>
      <c r="C7498">
        <v>3</v>
      </c>
      <c r="D7498" t="s">
        <v>5</v>
      </c>
      <c r="F7498" t="str" cm="1">
        <f t="array" ref="F7498">CategorizeComment(E7498)</f>
        <v>Other</v>
      </c>
      <c r="G7498" t="str" cm="1">
        <f t="array" ref="G7498">SubCategorizeComment(E7498)</f>
        <v>Other</v>
      </c>
    </row>
    <row r="7499" spans="1:7" x14ac:dyDescent="0.25">
      <c r="A7499">
        <v>65912</v>
      </c>
      <c r="B7499" t="s">
        <v>4</v>
      </c>
      <c r="C7499">
        <v>3</v>
      </c>
      <c r="D7499" t="s">
        <v>5</v>
      </c>
      <c r="F7499" t="str" cm="1">
        <f t="array" ref="F7499">CategorizeComment(E7499)</f>
        <v>Other</v>
      </c>
      <c r="G7499" t="str" cm="1">
        <f t="array" ref="G7499">SubCategorizeComment(E7499)</f>
        <v>Other</v>
      </c>
    </row>
    <row r="7500" spans="1:7" x14ac:dyDescent="0.25">
      <c r="A7500">
        <v>65918</v>
      </c>
      <c r="B7500" t="s">
        <v>4</v>
      </c>
      <c r="C7500">
        <v>4</v>
      </c>
      <c r="D7500" t="s">
        <v>5</v>
      </c>
      <c r="F7500" t="str" cm="1">
        <f t="array" ref="F7500">CategorizeComment(E7500)</f>
        <v>Other</v>
      </c>
      <c r="G7500" t="str" cm="1">
        <f t="array" ref="G7500">SubCategorizeComment(E7500)</f>
        <v>Other</v>
      </c>
    </row>
    <row r="7501" spans="1:7" x14ac:dyDescent="0.25">
      <c r="A7501">
        <v>65921</v>
      </c>
      <c r="B7501" t="s">
        <v>4</v>
      </c>
      <c r="C7501">
        <v>3</v>
      </c>
      <c r="D7501" t="s">
        <v>5</v>
      </c>
      <c r="F7501" t="str" cm="1">
        <f t="array" ref="F7501">CategorizeComment(E7501)</f>
        <v>Other</v>
      </c>
      <c r="G7501" t="str" cm="1">
        <f t="array" ref="G7501">SubCategorizeComment(E7501)</f>
        <v>Other</v>
      </c>
    </row>
    <row r="7502" spans="1:7" x14ac:dyDescent="0.25">
      <c r="A7502">
        <v>65931</v>
      </c>
      <c r="B7502" t="s">
        <v>4</v>
      </c>
      <c r="C7502">
        <v>4</v>
      </c>
      <c r="D7502" t="s">
        <v>5</v>
      </c>
      <c r="F7502" t="str" cm="1">
        <f t="array" ref="F7502">CategorizeComment(E7502)</f>
        <v>Other</v>
      </c>
      <c r="G7502" t="str" cm="1">
        <f t="array" ref="G7502">SubCategorizeComment(E7502)</f>
        <v>Other</v>
      </c>
    </row>
    <row r="7503" spans="1:7" x14ac:dyDescent="0.25">
      <c r="A7503">
        <v>65932</v>
      </c>
      <c r="B7503" t="s">
        <v>4</v>
      </c>
      <c r="C7503">
        <v>3</v>
      </c>
      <c r="D7503" t="s">
        <v>5</v>
      </c>
      <c r="F7503" t="str" cm="1">
        <f t="array" ref="F7503">CategorizeComment(E7503)</f>
        <v>Other</v>
      </c>
      <c r="G7503" t="str" cm="1">
        <f t="array" ref="G7503">SubCategorizeComment(E7503)</f>
        <v>Other</v>
      </c>
    </row>
    <row r="7504" spans="1:7" x14ac:dyDescent="0.25">
      <c r="A7504">
        <v>65936</v>
      </c>
      <c r="B7504" t="s">
        <v>4</v>
      </c>
      <c r="C7504">
        <v>4</v>
      </c>
      <c r="D7504" t="s">
        <v>5</v>
      </c>
      <c r="F7504" t="str" cm="1">
        <f t="array" ref="F7504">CategorizeComment(E7504)</f>
        <v>Other</v>
      </c>
      <c r="G7504" t="str" cm="1">
        <f t="array" ref="G7504">SubCategorizeComment(E7504)</f>
        <v>Other</v>
      </c>
    </row>
    <row r="7505" spans="1:7" x14ac:dyDescent="0.25">
      <c r="A7505">
        <v>65956</v>
      </c>
      <c r="B7505" t="s">
        <v>4</v>
      </c>
      <c r="C7505">
        <v>3</v>
      </c>
      <c r="D7505" t="s">
        <v>5</v>
      </c>
      <c r="F7505" t="str" cm="1">
        <f t="array" ref="F7505">CategorizeComment(E7505)</f>
        <v>Other</v>
      </c>
      <c r="G7505" t="str" cm="1">
        <f t="array" ref="G7505">SubCategorizeComment(E7505)</f>
        <v>Other</v>
      </c>
    </row>
    <row r="7506" spans="1:7" x14ac:dyDescent="0.25">
      <c r="A7506">
        <v>65964</v>
      </c>
      <c r="B7506" t="s">
        <v>4</v>
      </c>
      <c r="C7506">
        <v>3</v>
      </c>
      <c r="D7506" t="s">
        <v>5</v>
      </c>
      <c r="F7506" t="str" cm="1">
        <f t="array" ref="F7506">CategorizeComment(E7506)</f>
        <v>Other</v>
      </c>
      <c r="G7506" t="str" cm="1">
        <f t="array" ref="G7506">SubCategorizeComment(E7506)</f>
        <v>Other</v>
      </c>
    </row>
    <row r="7507" spans="1:7" x14ac:dyDescent="0.25">
      <c r="A7507">
        <v>65972</v>
      </c>
      <c r="B7507" t="s">
        <v>4</v>
      </c>
      <c r="C7507">
        <v>3</v>
      </c>
      <c r="D7507" t="s">
        <v>5</v>
      </c>
      <c r="F7507" t="str" cm="1">
        <f t="array" ref="F7507">CategorizeComment(E7507)</f>
        <v>Other</v>
      </c>
      <c r="G7507" t="str" cm="1">
        <f t="array" ref="G7507">SubCategorizeComment(E7507)</f>
        <v>Other</v>
      </c>
    </row>
    <row r="7508" spans="1:7" x14ac:dyDescent="0.25">
      <c r="A7508">
        <v>65978</v>
      </c>
      <c r="B7508" t="s">
        <v>4</v>
      </c>
      <c r="C7508">
        <v>4</v>
      </c>
      <c r="D7508" t="s">
        <v>5</v>
      </c>
      <c r="F7508" t="str" cm="1">
        <f t="array" ref="F7508">CategorizeComment(E7508)</f>
        <v>Other</v>
      </c>
      <c r="G7508" t="str" cm="1">
        <f t="array" ref="G7508">SubCategorizeComment(E7508)</f>
        <v>Other</v>
      </c>
    </row>
    <row r="7509" spans="1:7" x14ac:dyDescent="0.25">
      <c r="A7509">
        <v>65980</v>
      </c>
      <c r="B7509" t="s">
        <v>4</v>
      </c>
      <c r="C7509">
        <v>3</v>
      </c>
      <c r="D7509" t="s">
        <v>5</v>
      </c>
      <c r="F7509" t="str" cm="1">
        <f t="array" ref="F7509">CategorizeComment(E7509)</f>
        <v>Other</v>
      </c>
      <c r="G7509" t="str" cm="1">
        <f t="array" ref="G7509">SubCategorizeComment(E7509)</f>
        <v>Other</v>
      </c>
    </row>
    <row r="7510" spans="1:7" x14ac:dyDescent="0.25">
      <c r="A7510">
        <v>65988</v>
      </c>
      <c r="B7510" t="s">
        <v>4</v>
      </c>
      <c r="C7510">
        <v>4</v>
      </c>
      <c r="D7510" t="s">
        <v>5</v>
      </c>
      <c r="F7510" t="str" cm="1">
        <f t="array" ref="F7510">CategorizeComment(E7510)</f>
        <v>Other</v>
      </c>
      <c r="G7510" t="str" cm="1">
        <f t="array" ref="G7510">SubCategorizeComment(E7510)</f>
        <v>Other</v>
      </c>
    </row>
    <row r="7511" spans="1:7" x14ac:dyDescent="0.25">
      <c r="A7511">
        <v>66000</v>
      </c>
      <c r="B7511" t="s">
        <v>4</v>
      </c>
      <c r="C7511">
        <v>4</v>
      </c>
      <c r="D7511" t="s">
        <v>5</v>
      </c>
      <c r="F7511" t="str" cm="1">
        <f t="array" ref="F7511">CategorizeComment(E7511)</f>
        <v>Other</v>
      </c>
      <c r="G7511" t="str" cm="1">
        <f t="array" ref="G7511">SubCategorizeComment(E7511)</f>
        <v>Other</v>
      </c>
    </row>
    <row r="7512" spans="1:7" x14ac:dyDescent="0.25">
      <c r="A7512">
        <v>66030</v>
      </c>
      <c r="B7512" t="s">
        <v>4</v>
      </c>
      <c r="C7512">
        <v>3</v>
      </c>
      <c r="D7512" t="s">
        <v>5</v>
      </c>
      <c r="F7512" t="str" cm="1">
        <f t="array" ref="F7512">CategorizeComment(E7512)</f>
        <v>Other</v>
      </c>
      <c r="G7512" t="str" cm="1">
        <f t="array" ref="G7512">SubCategorizeComment(E7512)</f>
        <v>Other</v>
      </c>
    </row>
    <row r="7513" spans="1:7" x14ac:dyDescent="0.25">
      <c r="A7513">
        <v>66042</v>
      </c>
      <c r="B7513" t="s">
        <v>4</v>
      </c>
      <c r="C7513">
        <v>4</v>
      </c>
      <c r="D7513" t="s">
        <v>5</v>
      </c>
      <c r="F7513" t="str" cm="1">
        <f t="array" ref="F7513">CategorizeComment(E7513)</f>
        <v>Other</v>
      </c>
      <c r="G7513" t="str" cm="1">
        <f t="array" ref="G7513">SubCategorizeComment(E7513)</f>
        <v>Other</v>
      </c>
    </row>
    <row r="7514" spans="1:7" x14ac:dyDescent="0.25">
      <c r="A7514">
        <v>66047</v>
      </c>
      <c r="B7514" t="s">
        <v>4</v>
      </c>
      <c r="C7514">
        <v>4</v>
      </c>
      <c r="D7514" t="s">
        <v>5</v>
      </c>
      <c r="F7514" t="str" cm="1">
        <f t="array" ref="F7514">CategorizeComment(E7514)</f>
        <v>Other</v>
      </c>
      <c r="G7514" t="str" cm="1">
        <f t="array" ref="G7514">SubCategorizeComment(E7514)</f>
        <v>Other</v>
      </c>
    </row>
    <row r="7515" spans="1:7" x14ac:dyDescent="0.25">
      <c r="A7515">
        <v>66048</v>
      </c>
      <c r="B7515" t="s">
        <v>4</v>
      </c>
      <c r="C7515">
        <v>3</v>
      </c>
      <c r="D7515" t="s">
        <v>5</v>
      </c>
      <c r="F7515" t="str" cm="1">
        <f t="array" ref="F7515">CategorizeComment(E7515)</f>
        <v>Other</v>
      </c>
      <c r="G7515" t="str" cm="1">
        <f t="array" ref="G7515">SubCategorizeComment(E7515)</f>
        <v>Other</v>
      </c>
    </row>
    <row r="7516" spans="1:7" x14ac:dyDescent="0.25">
      <c r="A7516">
        <v>66055</v>
      </c>
      <c r="B7516" t="s">
        <v>4</v>
      </c>
      <c r="C7516">
        <v>4</v>
      </c>
      <c r="D7516" t="s">
        <v>5</v>
      </c>
      <c r="F7516" t="str" cm="1">
        <f t="array" ref="F7516">CategorizeComment(E7516)</f>
        <v>Other</v>
      </c>
      <c r="G7516" t="str" cm="1">
        <f t="array" ref="G7516">SubCategorizeComment(E7516)</f>
        <v>Other</v>
      </c>
    </row>
    <row r="7517" spans="1:7" x14ac:dyDescent="0.25">
      <c r="A7517">
        <v>66056</v>
      </c>
      <c r="B7517" t="s">
        <v>4</v>
      </c>
      <c r="C7517">
        <v>3</v>
      </c>
      <c r="D7517" t="s">
        <v>5</v>
      </c>
      <c r="F7517" t="str" cm="1">
        <f t="array" ref="F7517">CategorizeComment(E7517)</f>
        <v>Other</v>
      </c>
      <c r="G7517" t="str" cm="1">
        <f t="array" ref="G7517">SubCategorizeComment(E7517)</f>
        <v>Other</v>
      </c>
    </row>
    <row r="7518" spans="1:7" x14ac:dyDescent="0.25">
      <c r="A7518">
        <v>66062</v>
      </c>
      <c r="B7518" t="s">
        <v>4</v>
      </c>
      <c r="C7518">
        <v>4</v>
      </c>
      <c r="D7518" t="s">
        <v>5</v>
      </c>
      <c r="F7518" t="str" cm="1">
        <f t="array" ref="F7518">CategorizeComment(E7518)</f>
        <v>Other</v>
      </c>
      <c r="G7518" t="str" cm="1">
        <f t="array" ref="G7518">SubCategorizeComment(E7518)</f>
        <v>Other</v>
      </c>
    </row>
    <row r="7519" spans="1:7" x14ac:dyDescent="0.25">
      <c r="A7519">
        <v>66065</v>
      </c>
      <c r="B7519" t="s">
        <v>4</v>
      </c>
      <c r="C7519">
        <v>3</v>
      </c>
      <c r="D7519" t="s">
        <v>5</v>
      </c>
      <c r="F7519" t="str" cm="1">
        <f t="array" ref="F7519">CategorizeComment(E7519)</f>
        <v>Other</v>
      </c>
      <c r="G7519" t="str" cm="1">
        <f t="array" ref="G7519">SubCategorizeComment(E7519)</f>
        <v>Other</v>
      </c>
    </row>
    <row r="7520" spans="1:7" x14ac:dyDescent="0.25">
      <c r="A7520">
        <v>66069</v>
      </c>
      <c r="B7520" t="s">
        <v>4</v>
      </c>
      <c r="C7520">
        <v>4</v>
      </c>
      <c r="D7520" t="s">
        <v>5</v>
      </c>
      <c r="F7520" t="str" cm="1">
        <f t="array" ref="F7520">CategorizeComment(E7520)</f>
        <v>Other</v>
      </c>
      <c r="G7520" t="str" cm="1">
        <f t="array" ref="G7520">SubCategorizeComment(E7520)</f>
        <v>Other</v>
      </c>
    </row>
    <row r="7521" spans="1:7" x14ac:dyDescent="0.25">
      <c r="A7521">
        <v>66073</v>
      </c>
      <c r="B7521" t="s">
        <v>4</v>
      </c>
      <c r="C7521">
        <v>4</v>
      </c>
      <c r="D7521" t="s">
        <v>5</v>
      </c>
      <c r="F7521" t="str" cm="1">
        <f t="array" ref="F7521">CategorizeComment(E7521)</f>
        <v>Other</v>
      </c>
      <c r="G7521" t="str" cm="1">
        <f t="array" ref="G7521">SubCategorizeComment(E7521)</f>
        <v>Other</v>
      </c>
    </row>
    <row r="7522" spans="1:7" x14ac:dyDescent="0.25">
      <c r="A7522">
        <v>66075</v>
      </c>
      <c r="B7522" t="s">
        <v>4</v>
      </c>
      <c r="C7522">
        <v>4</v>
      </c>
      <c r="D7522" t="s">
        <v>5</v>
      </c>
      <c r="F7522" t="str" cm="1">
        <f t="array" ref="F7522">CategorizeComment(E7522)</f>
        <v>Other</v>
      </c>
      <c r="G7522" t="str" cm="1">
        <f t="array" ref="G7522">SubCategorizeComment(E7522)</f>
        <v>Other</v>
      </c>
    </row>
    <row r="7523" spans="1:7" x14ac:dyDescent="0.25">
      <c r="A7523">
        <v>66123</v>
      </c>
      <c r="B7523" t="s">
        <v>4</v>
      </c>
      <c r="C7523">
        <v>3</v>
      </c>
      <c r="D7523" t="s">
        <v>5</v>
      </c>
      <c r="F7523" t="str" cm="1">
        <f t="array" ref="F7523">CategorizeComment(E7523)</f>
        <v>Other</v>
      </c>
      <c r="G7523" t="str" cm="1">
        <f t="array" ref="G7523">SubCategorizeComment(E7523)</f>
        <v>Other</v>
      </c>
    </row>
    <row r="7524" spans="1:7" x14ac:dyDescent="0.25">
      <c r="A7524">
        <v>66124</v>
      </c>
      <c r="B7524" t="s">
        <v>4</v>
      </c>
      <c r="C7524">
        <v>3</v>
      </c>
      <c r="D7524" t="s">
        <v>5</v>
      </c>
      <c r="F7524" t="str" cm="1">
        <f t="array" ref="F7524">CategorizeComment(E7524)</f>
        <v>Other</v>
      </c>
      <c r="G7524" t="str" cm="1">
        <f t="array" ref="G7524">SubCategorizeComment(E7524)</f>
        <v>Other</v>
      </c>
    </row>
    <row r="7525" spans="1:7" x14ac:dyDescent="0.25">
      <c r="A7525">
        <v>66132</v>
      </c>
      <c r="B7525" t="s">
        <v>4</v>
      </c>
      <c r="C7525">
        <v>4</v>
      </c>
      <c r="D7525" t="s">
        <v>5</v>
      </c>
      <c r="F7525" t="str" cm="1">
        <f t="array" ref="F7525">CategorizeComment(E7525)</f>
        <v>Other</v>
      </c>
      <c r="G7525" t="str" cm="1">
        <f t="array" ref="G7525">SubCategorizeComment(E7525)</f>
        <v>Other</v>
      </c>
    </row>
    <row r="7526" spans="1:7" x14ac:dyDescent="0.25">
      <c r="A7526">
        <v>66141</v>
      </c>
      <c r="B7526" t="s">
        <v>4</v>
      </c>
      <c r="C7526">
        <v>3</v>
      </c>
      <c r="D7526" t="s">
        <v>5</v>
      </c>
      <c r="F7526" t="str" cm="1">
        <f t="array" ref="F7526">CategorizeComment(E7526)</f>
        <v>Other</v>
      </c>
      <c r="G7526" t="str" cm="1">
        <f t="array" ref="G7526">SubCategorizeComment(E7526)</f>
        <v>Other</v>
      </c>
    </row>
    <row r="7527" spans="1:7" x14ac:dyDescent="0.25">
      <c r="A7527">
        <v>66176</v>
      </c>
      <c r="B7527" t="s">
        <v>4</v>
      </c>
      <c r="C7527">
        <v>3</v>
      </c>
      <c r="D7527" t="s">
        <v>5</v>
      </c>
      <c r="F7527" t="str" cm="1">
        <f t="array" ref="F7527">CategorizeComment(E7527)</f>
        <v>Other</v>
      </c>
      <c r="G7527" t="str" cm="1">
        <f t="array" ref="G7527">SubCategorizeComment(E7527)</f>
        <v>Other</v>
      </c>
    </row>
    <row r="7528" spans="1:7" x14ac:dyDescent="0.25">
      <c r="A7528">
        <v>66187</v>
      </c>
      <c r="B7528" t="s">
        <v>4</v>
      </c>
      <c r="C7528">
        <v>4</v>
      </c>
      <c r="D7528" t="s">
        <v>5</v>
      </c>
      <c r="F7528" t="str" cm="1">
        <f t="array" ref="F7528">CategorizeComment(E7528)</f>
        <v>Other</v>
      </c>
      <c r="G7528" t="str" cm="1">
        <f t="array" ref="G7528">SubCategorizeComment(E7528)</f>
        <v>Other</v>
      </c>
    </row>
    <row r="7529" spans="1:7" x14ac:dyDescent="0.25">
      <c r="A7529">
        <v>66199</v>
      </c>
      <c r="B7529" t="s">
        <v>4</v>
      </c>
      <c r="C7529">
        <v>4</v>
      </c>
      <c r="D7529" t="s">
        <v>5</v>
      </c>
      <c r="F7529" t="str" cm="1">
        <f t="array" ref="F7529">CategorizeComment(E7529)</f>
        <v>Other</v>
      </c>
      <c r="G7529" t="str" cm="1">
        <f t="array" ref="G7529">SubCategorizeComment(E7529)</f>
        <v>Other</v>
      </c>
    </row>
    <row r="7530" spans="1:7" x14ac:dyDescent="0.25">
      <c r="A7530">
        <v>66205</v>
      </c>
      <c r="B7530" t="s">
        <v>4</v>
      </c>
      <c r="C7530">
        <v>0</v>
      </c>
      <c r="D7530" t="s">
        <v>5</v>
      </c>
      <c r="F7530" t="str" cm="1">
        <f t="array" ref="F7530">CategorizeComment(E7530)</f>
        <v>Other</v>
      </c>
      <c r="G7530" t="str" cm="1">
        <f t="array" ref="G7530">SubCategorizeComment(E7530)</f>
        <v>Other</v>
      </c>
    </row>
    <row r="7531" spans="1:7" x14ac:dyDescent="0.25">
      <c r="A7531">
        <v>66208</v>
      </c>
      <c r="B7531" t="s">
        <v>4</v>
      </c>
      <c r="C7531">
        <v>4</v>
      </c>
      <c r="D7531" t="s">
        <v>5</v>
      </c>
      <c r="F7531" t="str" cm="1">
        <f t="array" ref="F7531">CategorizeComment(E7531)</f>
        <v>Other</v>
      </c>
      <c r="G7531" t="str" cm="1">
        <f t="array" ref="G7531">SubCategorizeComment(E7531)</f>
        <v>Other</v>
      </c>
    </row>
    <row r="7532" spans="1:7" x14ac:dyDescent="0.25">
      <c r="A7532">
        <v>66217</v>
      </c>
      <c r="B7532" t="s">
        <v>4</v>
      </c>
      <c r="C7532">
        <v>3</v>
      </c>
      <c r="D7532" t="s">
        <v>5</v>
      </c>
      <c r="F7532" t="str" cm="1">
        <f t="array" ref="F7532">CategorizeComment(E7532)</f>
        <v>Other</v>
      </c>
      <c r="G7532" t="str" cm="1">
        <f t="array" ref="G7532">SubCategorizeComment(E7532)</f>
        <v>Other</v>
      </c>
    </row>
    <row r="7533" spans="1:7" x14ac:dyDescent="0.25">
      <c r="A7533">
        <v>66220</v>
      </c>
      <c r="B7533" t="s">
        <v>4</v>
      </c>
      <c r="C7533">
        <v>4</v>
      </c>
      <c r="D7533" t="s">
        <v>5</v>
      </c>
      <c r="F7533" t="str" cm="1">
        <f t="array" ref="F7533">CategorizeComment(E7533)</f>
        <v>Other</v>
      </c>
      <c r="G7533" t="str" cm="1">
        <f t="array" ref="G7533">SubCategorizeComment(E7533)</f>
        <v>Other</v>
      </c>
    </row>
    <row r="7534" spans="1:7" x14ac:dyDescent="0.25">
      <c r="A7534">
        <v>66230</v>
      </c>
      <c r="B7534" t="s">
        <v>4</v>
      </c>
      <c r="C7534">
        <v>3</v>
      </c>
      <c r="D7534" t="s">
        <v>5</v>
      </c>
      <c r="F7534" t="str" cm="1">
        <f t="array" ref="F7534">CategorizeComment(E7534)</f>
        <v>Other</v>
      </c>
      <c r="G7534" t="str" cm="1">
        <f t="array" ref="G7534">SubCategorizeComment(E7534)</f>
        <v>Other</v>
      </c>
    </row>
    <row r="7535" spans="1:7" x14ac:dyDescent="0.25">
      <c r="A7535">
        <v>66233</v>
      </c>
      <c r="B7535" t="s">
        <v>4</v>
      </c>
      <c r="C7535">
        <v>3</v>
      </c>
      <c r="D7535" t="s">
        <v>5</v>
      </c>
      <c r="F7535" t="str" cm="1">
        <f t="array" ref="F7535">CategorizeComment(E7535)</f>
        <v>Other</v>
      </c>
      <c r="G7535" t="str" cm="1">
        <f t="array" ref="G7535">SubCategorizeComment(E7535)</f>
        <v>Other</v>
      </c>
    </row>
    <row r="7536" spans="1:7" x14ac:dyDescent="0.25">
      <c r="A7536">
        <v>66239</v>
      </c>
      <c r="B7536" t="s">
        <v>4</v>
      </c>
      <c r="C7536">
        <v>4</v>
      </c>
      <c r="D7536" t="s">
        <v>5</v>
      </c>
      <c r="F7536" t="str" cm="1">
        <f t="array" ref="F7536">CategorizeComment(E7536)</f>
        <v>Other</v>
      </c>
      <c r="G7536" t="str" cm="1">
        <f t="array" ref="G7536">SubCategorizeComment(E7536)</f>
        <v>Other</v>
      </c>
    </row>
    <row r="7537" spans="1:7" x14ac:dyDescent="0.25">
      <c r="A7537">
        <v>66259</v>
      </c>
      <c r="B7537" t="s">
        <v>4</v>
      </c>
      <c r="C7537">
        <v>3</v>
      </c>
      <c r="D7537" t="s">
        <v>5</v>
      </c>
      <c r="F7537" t="str" cm="1">
        <f t="array" ref="F7537">CategorizeComment(E7537)</f>
        <v>Other</v>
      </c>
      <c r="G7537" t="str" cm="1">
        <f t="array" ref="G7537">SubCategorizeComment(E7537)</f>
        <v>Other</v>
      </c>
    </row>
    <row r="7538" spans="1:7" x14ac:dyDescent="0.25">
      <c r="A7538">
        <v>66263</v>
      </c>
      <c r="B7538" t="s">
        <v>4</v>
      </c>
      <c r="C7538">
        <v>4</v>
      </c>
      <c r="D7538" t="s">
        <v>5</v>
      </c>
      <c r="F7538" t="str" cm="1">
        <f t="array" ref="F7538">CategorizeComment(E7538)</f>
        <v>Other</v>
      </c>
      <c r="G7538" t="str" cm="1">
        <f t="array" ref="G7538">SubCategorizeComment(E7538)</f>
        <v>Other</v>
      </c>
    </row>
    <row r="7539" spans="1:7" x14ac:dyDescent="0.25">
      <c r="A7539">
        <v>66271</v>
      </c>
      <c r="B7539" t="s">
        <v>4</v>
      </c>
      <c r="C7539">
        <v>4</v>
      </c>
      <c r="D7539" t="s">
        <v>5</v>
      </c>
      <c r="F7539" t="str" cm="1">
        <f t="array" ref="F7539">CategorizeComment(E7539)</f>
        <v>Other</v>
      </c>
      <c r="G7539" t="str" cm="1">
        <f t="array" ref="G7539">SubCategorizeComment(E7539)</f>
        <v>Other</v>
      </c>
    </row>
    <row r="7540" spans="1:7" x14ac:dyDescent="0.25">
      <c r="A7540">
        <v>66286</v>
      </c>
      <c r="B7540" t="s">
        <v>4</v>
      </c>
      <c r="C7540">
        <v>3</v>
      </c>
      <c r="D7540" t="s">
        <v>5</v>
      </c>
      <c r="F7540" t="str" cm="1">
        <f t="array" ref="F7540">CategorizeComment(E7540)</f>
        <v>Other</v>
      </c>
      <c r="G7540" t="str" cm="1">
        <f t="array" ref="G7540">SubCategorizeComment(E7540)</f>
        <v>Other</v>
      </c>
    </row>
    <row r="7541" spans="1:7" x14ac:dyDescent="0.25">
      <c r="A7541">
        <v>66288</v>
      </c>
      <c r="B7541" t="s">
        <v>4</v>
      </c>
      <c r="C7541">
        <v>4</v>
      </c>
      <c r="D7541" t="s">
        <v>5</v>
      </c>
      <c r="F7541" t="str" cm="1">
        <f t="array" ref="F7541">CategorizeComment(E7541)</f>
        <v>Other</v>
      </c>
      <c r="G7541" t="str" cm="1">
        <f t="array" ref="G7541">SubCategorizeComment(E7541)</f>
        <v>Other</v>
      </c>
    </row>
    <row r="7542" spans="1:7" x14ac:dyDescent="0.25">
      <c r="A7542">
        <v>66293</v>
      </c>
      <c r="B7542" t="s">
        <v>4</v>
      </c>
      <c r="C7542">
        <v>3</v>
      </c>
      <c r="D7542" t="s">
        <v>5</v>
      </c>
      <c r="F7542" t="str" cm="1">
        <f t="array" ref="F7542">CategorizeComment(E7542)</f>
        <v>Other</v>
      </c>
      <c r="G7542" t="str" cm="1">
        <f t="array" ref="G7542">SubCategorizeComment(E7542)</f>
        <v>Other</v>
      </c>
    </row>
    <row r="7543" spans="1:7" x14ac:dyDescent="0.25">
      <c r="A7543">
        <v>66300</v>
      </c>
      <c r="B7543" t="s">
        <v>4</v>
      </c>
      <c r="C7543">
        <v>3</v>
      </c>
      <c r="D7543" t="s">
        <v>5</v>
      </c>
      <c r="F7543" t="str" cm="1">
        <f t="array" ref="F7543">CategorizeComment(E7543)</f>
        <v>Other</v>
      </c>
      <c r="G7543" t="str" cm="1">
        <f t="array" ref="G7543">SubCategorizeComment(E7543)</f>
        <v>Other</v>
      </c>
    </row>
    <row r="7544" spans="1:7" x14ac:dyDescent="0.25">
      <c r="A7544">
        <v>66307</v>
      </c>
      <c r="B7544" t="s">
        <v>4</v>
      </c>
      <c r="C7544">
        <v>4</v>
      </c>
      <c r="D7544" t="s">
        <v>5</v>
      </c>
      <c r="F7544" t="str" cm="1">
        <f t="array" ref="F7544">CategorizeComment(E7544)</f>
        <v>Other</v>
      </c>
      <c r="G7544" t="str" cm="1">
        <f t="array" ref="G7544">SubCategorizeComment(E7544)</f>
        <v>Other</v>
      </c>
    </row>
    <row r="7545" spans="1:7" x14ac:dyDescent="0.25">
      <c r="A7545">
        <v>66308</v>
      </c>
      <c r="B7545" t="s">
        <v>4</v>
      </c>
      <c r="C7545">
        <v>3</v>
      </c>
      <c r="D7545" t="s">
        <v>5</v>
      </c>
      <c r="F7545" t="str" cm="1">
        <f t="array" ref="F7545">CategorizeComment(E7545)</f>
        <v>Other</v>
      </c>
      <c r="G7545" t="str" cm="1">
        <f t="array" ref="G7545">SubCategorizeComment(E7545)</f>
        <v>Other</v>
      </c>
    </row>
    <row r="7546" spans="1:7" x14ac:dyDescent="0.25">
      <c r="A7546">
        <v>66335</v>
      </c>
      <c r="B7546" t="s">
        <v>4</v>
      </c>
      <c r="C7546">
        <v>4</v>
      </c>
      <c r="D7546" t="s">
        <v>5</v>
      </c>
      <c r="F7546" t="str" cm="1">
        <f t="array" ref="F7546">CategorizeComment(E7546)</f>
        <v>Other</v>
      </c>
      <c r="G7546" t="str" cm="1">
        <f t="array" ref="G7546">SubCategorizeComment(E7546)</f>
        <v>Other</v>
      </c>
    </row>
    <row r="7547" spans="1:7" x14ac:dyDescent="0.25">
      <c r="A7547">
        <v>66353</v>
      </c>
      <c r="B7547" t="s">
        <v>4</v>
      </c>
      <c r="C7547">
        <v>4</v>
      </c>
      <c r="D7547" t="s">
        <v>5</v>
      </c>
      <c r="F7547" t="str" cm="1">
        <f t="array" ref="F7547">CategorizeComment(E7547)</f>
        <v>Other</v>
      </c>
      <c r="G7547" t="str" cm="1">
        <f t="array" ref="G7547">SubCategorizeComment(E7547)</f>
        <v>Other</v>
      </c>
    </row>
    <row r="7548" spans="1:7" x14ac:dyDescent="0.25">
      <c r="A7548">
        <v>66354</v>
      </c>
      <c r="B7548" t="s">
        <v>4</v>
      </c>
      <c r="C7548">
        <v>4</v>
      </c>
      <c r="D7548" t="s">
        <v>5</v>
      </c>
      <c r="F7548" t="str" cm="1">
        <f t="array" ref="F7548">CategorizeComment(E7548)</f>
        <v>Other</v>
      </c>
      <c r="G7548" t="str" cm="1">
        <f t="array" ref="G7548">SubCategorizeComment(E7548)</f>
        <v>Other</v>
      </c>
    </row>
    <row r="7549" spans="1:7" x14ac:dyDescent="0.25">
      <c r="A7549">
        <v>66359</v>
      </c>
      <c r="B7549" t="s">
        <v>4</v>
      </c>
      <c r="C7549">
        <v>3</v>
      </c>
      <c r="D7549" t="s">
        <v>5</v>
      </c>
      <c r="F7549" t="str" cm="1">
        <f t="array" ref="F7549">CategorizeComment(E7549)</f>
        <v>Other</v>
      </c>
      <c r="G7549" t="str" cm="1">
        <f t="array" ref="G7549">SubCategorizeComment(E7549)</f>
        <v>Other</v>
      </c>
    </row>
    <row r="7550" spans="1:7" x14ac:dyDescent="0.25">
      <c r="A7550">
        <v>66362</v>
      </c>
      <c r="B7550" t="s">
        <v>4</v>
      </c>
      <c r="C7550">
        <v>4</v>
      </c>
      <c r="D7550" t="s">
        <v>5</v>
      </c>
      <c r="F7550" t="str" cm="1">
        <f t="array" ref="F7550">CategorizeComment(E7550)</f>
        <v>Other</v>
      </c>
      <c r="G7550" t="str" cm="1">
        <f t="array" ref="G7550">SubCategorizeComment(E7550)</f>
        <v>Other</v>
      </c>
    </row>
    <row r="7551" spans="1:7" x14ac:dyDescent="0.25">
      <c r="A7551">
        <v>66365</v>
      </c>
      <c r="B7551" t="s">
        <v>4</v>
      </c>
      <c r="C7551">
        <v>3</v>
      </c>
      <c r="D7551" t="s">
        <v>5</v>
      </c>
      <c r="F7551" t="str" cm="1">
        <f t="array" ref="F7551">CategorizeComment(E7551)</f>
        <v>Other</v>
      </c>
      <c r="G7551" t="str" cm="1">
        <f t="array" ref="G7551">SubCategorizeComment(E7551)</f>
        <v>Other</v>
      </c>
    </row>
    <row r="7552" spans="1:7" x14ac:dyDescent="0.25">
      <c r="A7552">
        <v>66397</v>
      </c>
      <c r="B7552" t="s">
        <v>4</v>
      </c>
      <c r="C7552">
        <v>3</v>
      </c>
      <c r="D7552" t="s">
        <v>5</v>
      </c>
      <c r="F7552" t="str" cm="1">
        <f t="array" ref="F7552">CategorizeComment(E7552)</f>
        <v>Other</v>
      </c>
      <c r="G7552" t="str" cm="1">
        <f t="array" ref="G7552">SubCategorizeComment(E7552)</f>
        <v>Other</v>
      </c>
    </row>
    <row r="7553" spans="1:7" x14ac:dyDescent="0.25">
      <c r="A7553">
        <v>66407</v>
      </c>
      <c r="B7553" t="s">
        <v>4</v>
      </c>
      <c r="C7553">
        <v>3</v>
      </c>
      <c r="D7553" t="s">
        <v>5</v>
      </c>
      <c r="F7553" t="str" cm="1">
        <f t="array" ref="F7553">CategorizeComment(E7553)</f>
        <v>Other</v>
      </c>
      <c r="G7553" t="str" cm="1">
        <f t="array" ref="G7553">SubCategorizeComment(E7553)</f>
        <v>Other</v>
      </c>
    </row>
    <row r="7554" spans="1:7" x14ac:dyDescent="0.25">
      <c r="A7554">
        <v>66411</v>
      </c>
      <c r="B7554" t="s">
        <v>4</v>
      </c>
      <c r="C7554">
        <v>4</v>
      </c>
      <c r="D7554" t="s">
        <v>5</v>
      </c>
      <c r="F7554" t="str" cm="1">
        <f t="array" ref="F7554">CategorizeComment(E7554)</f>
        <v>Other</v>
      </c>
      <c r="G7554" t="str" cm="1">
        <f t="array" ref="G7554">SubCategorizeComment(E7554)</f>
        <v>Other</v>
      </c>
    </row>
    <row r="7555" spans="1:7" x14ac:dyDescent="0.25">
      <c r="A7555">
        <v>66444</v>
      </c>
      <c r="B7555" t="s">
        <v>4</v>
      </c>
      <c r="C7555">
        <v>4</v>
      </c>
      <c r="D7555" t="s">
        <v>5</v>
      </c>
      <c r="F7555" t="str" cm="1">
        <f t="array" ref="F7555">CategorizeComment(E7555)</f>
        <v>Other</v>
      </c>
      <c r="G7555" t="str" cm="1">
        <f t="array" ref="G7555">SubCategorizeComment(E7555)</f>
        <v>Other</v>
      </c>
    </row>
    <row r="7556" spans="1:7" x14ac:dyDescent="0.25">
      <c r="A7556">
        <v>66450</v>
      </c>
      <c r="B7556" t="s">
        <v>4</v>
      </c>
      <c r="C7556">
        <v>3</v>
      </c>
      <c r="D7556" t="s">
        <v>5</v>
      </c>
      <c r="F7556" t="str" cm="1">
        <f t="array" ref="F7556">CategorizeComment(E7556)</f>
        <v>Other</v>
      </c>
      <c r="G7556" t="str" cm="1">
        <f t="array" ref="G7556">SubCategorizeComment(E7556)</f>
        <v>Other</v>
      </c>
    </row>
    <row r="7557" spans="1:7" x14ac:dyDescent="0.25">
      <c r="A7557">
        <v>66456</v>
      </c>
      <c r="B7557" t="s">
        <v>4</v>
      </c>
      <c r="C7557">
        <v>4</v>
      </c>
      <c r="D7557" t="s">
        <v>5</v>
      </c>
      <c r="F7557" t="str" cm="1">
        <f t="array" ref="F7557">CategorizeComment(E7557)</f>
        <v>Other</v>
      </c>
      <c r="G7557" t="str" cm="1">
        <f t="array" ref="G7557">SubCategorizeComment(E7557)</f>
        <v>Other</v>
      </c>
    </row>
    <row r="7558" spans="1:7" x14ac:dyDescent="0.25">
      <c r="A7558">
        <v>66458</v>
      </c>
      <c r="B7558" t="s">
        <v>4</v>
      </c>
      <c r="C7558">
        <v>3</v>
      </c>
      <c r="D7558" t="s">
        <v>5</v>
      </c>
      <c r="F7558" t="str" cm="1">
        <f t="array" ref="F7558">CategorizeComment(E7558)</f>
        <v>Other</v>
      </c>
      <c r="G7558" t="str" cm="1">
        <f t="array" ref="G7558">SubCategorizeComment(E7558)</f>
        <v>Other</v>
      </c>
    </row>
    <row r="7559" spans="1:7" x14ac:dyDescent="0.25">
      <c r="A7559">
        <v>66463</v>
      </c>
      <c r="B7559" t="s">
        <v>4</v>
      </c>
      <c r="C7559">
        <v>4</v>
      </c>
      <c r="D7559" t="s">
        <v>5</v>
      </c>
      <c r="F7559" t="str" cm="1">
        <f t="array" ref="F7559">CategorizeComment(E7559)</f>
        <v>Other</v>
      </c>
      <c r="G7559" t="str" cm="1">
        <f t="array" ref="G7559">SubCategorizeComment(E7559)</f>
        <v>Other</v>
      </c>
    </row>
    <row r="7560" spans="1:7" x14ac:dyDescent="0.25">
      <c r="A7560">
        <v>66472</v>
      </c>
      <c r="B7560" t="s">
        <v>4</v>
      </c>
      <c r="C7560">
        <v>3</v>
      </c>
      <c r="D7560" t="s">
        <v>5</v>
      </c>
      <c r="F7560" t="str" cm="1">
        <f t="array" ref="F7560">CategorizeComment(E7560)</f>
        <v>Other</v>
      </c>
      <c r="G7560" t="str" cm="1">
        <f t="array" ref="G7560">SubCategorizeComment(E7560)</f>
        <v>Other</v>
      </c>
    </row>
    <row r="7561" spans="1:7" x14ac:dyDescent="0.25">
      <c r="A7561">
        <v>66473</v>
      </c>
      <c r="B7561" t="s">
        <v>4</v>
      </c>
      <c r="C7561">
        <v>3</v>
      </c>
      <c r="D7561" t="s">
        <v>5</v>
      </c>
      <c r="F7561" t="str" cm="1">
        <f t="array" ref="F7561">CategorizeComment(E7561)</f>
        <v>Other</v>
      </c>
      <c r="G7561" t="str" cm="1">
        <f t="array" ref="G7561">SubCategorizeComment(E7561)</f>
        <v>Other</v>
      </c>
    </row>
    <row r="7562" spans="1:7" x14ac:dyDescent="0.25">
      <c r="A7562">
        <v>66501</v>
      </c>
      <c r="B7562" t="s">
        <v>4</v>
      </c>
      <c r="C7562">
        <v>3</v>
      </c>
      <c r="D7562" t="s">
        <v>5</v>
      </c>
      <c r="F7562" t="str" cm="1">
        <f t="array" ref="F7562">CategorizeComment(E7562)</f>
        <v>Other</v>
      </c>
      <c r="G7562" t="str" cm="1">
        <f t="array" ref="G7562">SubCategorizeComment(E7562)</f>
        <v>Other</v>
      </c>
    </row>
    <row r="7563" spans="1:7" x14ac:dyDescent="0.25">
      <c r="A7563">
        <v>66519</v>
      </c>
      <c r="B7563" t="s">
        <v>4</v>
      </c>
      <c r="C7563">
        <v>3</v>
      </c>
      <c r="D7563" t="s">
        <v>5</v>
      </c>
      <c r="F7563" t="str" cm="1">
        <f t="array" ref="F7563">CategorizeComment(E7563)</f>
        <v>Other</v>
      </c>
      <c r="G7563" t="str" cm="1">
        <f t="array" ref="G7563">SubCategorizeComment(E7563)</f>
        <v>Other</v>
      </c>
    </row>
    <row r="7564" spans="1:7" x14ac:dyDescent="0.25">
      <c r="A7564">
        <v>66536</v>
      </c>
      <c r="B7564" t="s">
        <v>4</v>
      </c>
      <c r="C7564">
        <v>3</v>
      </c>
      <c r="D7564" t="s">
        <v>5</v>
      </c>
      <c r="F7564" t="str" cm="1">
        <f t="array" ref="F7564">CategorizeComment(E7564)</f>
        <v>Other</v>
      </c>
      <c r="G7564" t="str" cm="1">
        <f t="array" ref="G7564">SubCategorizeComment(E7564)</f>
        <v>Other</v>
      </c>
    </row>
    <row r="7565" spans="1:7" x14ac:dyDescent="0.25">
      <c r="A7565">
        <v>66537</v>
      </c>
      <c r="B7565" t="s">
        <v>4</v>
      </c>
      <c r="C7565">
        <v>3</v>
      </c>
      <c r="D7565" t="s">
        <v>5</v>
      </c>
      <c r="F7565" t="str" cm="1">
        <f t="array" ref="F7565">CategorizeComment(E7565)</f>
        <v>Other</v>
      </c>
      <c r="G7565" t="str" cm="1">
        <f t="array" ref="G7565">SubCategorizeComment(E7565)</f>
        <v>Other</v>
      </c>
    </row>
    <row r="7566" spans="1:7" x14ac:dyDescent="0.25">
      <c r="A7566">
        <v>66559</v>
      </c>
      <c r="B7566" t="s">
        <v>4</v>
      </c>
      <c r="C7566">
        <v>3</v>
      </c>
      <c r="D7566" t="s">
        <v>5</v>
      </c>
      <c r="F7566" t="str" cm="1">
        <f t="array" ref="F7566">CategorizeComment(E7566)</f>
        <v>Other</v>
      </c>
      <c r="G7566" t="str" cm="1">
        <f t="array" ref="G7566">SubCategorizeComment(E7566)</f>
        <v>Other</v>
      </c>
    </row>
    <row r="7567" spans="1:7" x14ac:dyDescent="0.25">
      <c r="A7567">
        <v>66567</v>
      </c>
      <c r="B7567" t="s">
        <v>4</v>
      </c>
      <c r="C7567">
        <v>4</v>
      </c>
      <c r="D7567" t="s">
        <v>5</v>
      </c>
      <c r="F7567" t="str" cm="1">
        <f t="array" ref="F7567">CategorizeComment(E7567)</f>
        <v>Other</v>
      </c>
      <c r="G7567" t="str" cm="1">
        <f t="array" ref="G7567">SubCategorizeComment(E7567)</f>
        <v>Other</v>
      </c>
    </row>
    <row r="7568" spans="1:7" x14ac:dyDescent="0.25">
      <c r="A7568">
        <v>66578</v>
      </c>
      <c r="B7568" t="s">
        <v>4</v>
      </c>
      <c r="C7568">
        <v>4</v>
      </c>
      <c r="D7568" t="s">
        <v>5</v>
      </c>
      <c r="F7568" t="str" cm="1">
        <f t="array" ref="F7568">CategorizeComment(E7568)</f>
        <v>Other</v>
      </c>
      <c r="G7568" t="str" cm="1">
        <f t="array" ref="G7568">SubCategorizeComment(E7568)</f>
        <v>Other</v>
      </c>
    </row>
    <row r="7569" spans="1:7" x14ac:dyDescent="0.25">
      <c r="A7569">
        <v>66593</v>
      </c>
      <c r="B7569" t="s">
        <v>4</v>
      </c>
      <c r="C7569">
        <v>3</v>
      </c>
      <c r="D7569" t="s">
        <v>5</v>
      </c>
      <c r="F7569" t="str" cm="1">
        <f t="array" ref="F7569">CategorizeComment(E7569)</f>
        <v>Other</v>
      </c>
      <c r="G7569" t="str" cm="1">
        <f t="array" ref="G7569">SubCategorizeComment(E7569)</f>
        <v>Other</v>
      </c>
    </row>
    <row r="7570" spans="1:7" x14ac:dyDescent="0.25">
      <c r="A7570">
        <v>66606</v>
      </c>
      <c r="B7570" t="s">
        <v>4</v>
      </c>
      <c r="C7570">
        <v>3</v>
      </c>
      <c r="D7570" t="s">
        <v>5</v>
      </c>
      <c r="F7570" t="str" cm="1">
        <f t="array" ref="F7570">CategorizeComment(E7570)</f>
        <v>Other</v>
      </c>
      <c r="G7570" t="str" cm="1">
        <f t="array" ref="G7570">SubCategorizeComment(E7570)</f>
        <v>Other</v>
      </c>
    </row>
    <row r="7571" spans="1:7" x14ac:dyDescent="0.25">
      <c r="A7571">
        <v>66608</v>
      </c>
      <c r="B7571" t="s">
        <v>4</v>
      </c>
      <c r="C7571">
        <v>3</v>
      </c>
      <c r="D7571" t="s">
        <v>5</v>
      </c>
      <c r="F7571" t="str" cm="1">
        <f t="array" ref="F7571">CategorizeComment(E7571)</f>
        <v>Other</v>
      </c>
      <c r="G7571" t="str" cm="1">
        <f t="array" ref="G7571">SubCategorizeComment(E7571)</f>
        <v>Other</v>
      </c>
    </row>
    <row r="7572" spans="1:7" x14ac:dyDescent="0.25">
      <c r="A7572">
        <v>66612</v>
      </c>
      <c r="B7572" t="s">
        <v>4</v>
      </c>
      <c r="C7572">
        <v>3</v>
      </c>
      <c r="D7572" t="s">
        <v>5</v>
      </c>
      <c r="F7572" t="str" cm="1">
        <f t="array" ref="F7572">CategorizeComment(E7572)</f>
        <v>Other</v>
      </c>
      <c r="G7572" t="str" cm="1">
        <f t="array" ref="G7572">SubCategorizeComment(E7572)</f>
        <v>Other</v>
      </c>
    </row>
    <row r="7573" spans="1:7" x14ac:dyDescent="0.25">
      <c r="A7573">
        <v>66627</v>
      </c>
      <c r="B7573" t="s">
        <v>4</v>
      </c>
      <c r="C7573">
        <v>3</v>
      </c>
      <c r="D7573" t="s">
        <v>5</v>
      </c>
      <c r="F7573" t="str" cm="1">
        <f t="array" ref="F7573">CategorizeComment(E7573)</f>
        <v>Other</v>
      </c>
      <c r="G7573" t="str" cm="1">
        <f t="array" ref="G7573">SubCategorizeComment(E7573)</f>
        <v>Other</v>
      </c>
    </row>
    <row r="7574" spans="1:7" x14ac:dyDescent="0.25">
      <c r="A7574">
        <v>66628</v>
      </c>
      <c r="B7574" t="s">
        <v>4</v>
      </c>
      <c r="C7574">
        <v>3</v>
      </c>
      <c r="D7574" t="s">
        <v>5</v>
      </c>
      <c r="F7574" t="str" cm="1">
        <f t="array" ref="F7574">CategorizeComment(E7574)</f>
        <v>Other</v>
      </c>
      <c r="G7574" t="str" cm="1">
        <f t="array" ref="G7574">SubCategorizeComment(E7574)</f>
        <v>Other</v>
      </c>
    </row>
    <row r="7575" spans="1:7" x14ac:dyDescent="0.25">
      <c r="A7575">
        <v>66640</v>
      </c>
      <c r="B7575" t="s">
        <v>4</v>
      </c>
      <c r="C7575">
        <v>3</v>
      </c>
      <c r="D7575" t="s">
        <v>5</v>
      </c>
      <c r="F7575" t="str" cm="1">
        <f t="array" ref="F7575">CategorizeComment(E7575)</f>
        <v>Other</v>
      </c>
      <c r="G7575" t="str" cm="1">
        <f t="array" ref="G7575">SubCategorizeComment(E7575)</f>
        <v>Other</v>
      </c>
    </row>
    <row r="7576" spans="1:7" x14ac:dyDescent="0.25">
      <c r="A7576">
        <v>66683</v>
      </c>
      <c r="B7576" t="s">
        <v>4</v>
      </c>
      <c r="C7576">
        <v>3</v>
      </c>
      <c r="D7576" t="s">
        <v>5</v>
      </c>
      <c r="F7576" t="str" cm="1">
        <f t="array" ref="F7576">CategorizeComment(E7576)</f>
        <v>Other</v>
      </c>
      <c r="G7576" t="str" cm="1">
        <f t="array" ref="G7576">SubCategorizeComment(E7576)</f>
        <v>Other</v>
      </c>
    </row>
    <row r="7577" spans="1:7" x14ac:dyDescent="0.25">
      <c r="A7577">
        <v>66685</v>
      </c>
      <c r="B7577" t="s">
        <v>4</v>
      </c>
      <c r="C7577">
        <v>4</v>
      </c>
      <c r="D7577" t="s">
        <v>5</v>
      </c>
      <c r="F7577" t="str" cm="1">
        <f t="array" ref="F7577">CategorizeComment(E7577)</f>
        <v>Other</v>
      </c>
      <c r="G7577" t="str" cm="1">
        <f t="array" ref="G7577">SubCategorizeComment(E7577)</f>
        <v>Other</v>
      </c>
    </row>
    <row r="7578" spans="1:7" x14ac:dyDescent="0.25">
      <c r="A7578">
        <v>66708</v>
      </c>
      <c r="B7578" t="s">
        <v>4</v>
      </c>
      <c r="C7578">
        <v>4</v>
      </c>
      <c r="D7578" t="s">
        <v>5</v>
      </c>
      <c r="F7578" t="str" cm="1">
        <f t="array" ref="F7578">CategorizeComment(E7578)</f>
        <v>Other</v>
      </c>
      <c r="G7578" t="str" cm="1">
        <f t="array" ref="G7578">SubCategorizeComment(E7578)</f>
        <v>Other</v>
      </c>
    </row>
    <row r="7579" spans="1:7" x14ac:dyDescent="0.25">
      <c r="A7579">
        <v>66709</v>
      </c>
      <c r="B7579" t="s">
        <v>4</v>
      </c>
      <c r="C7579">
        <v>4</v>
      </c>
      <c r="D7579" t="s">
        <v>5</v>
      </c>
      <c r="F7579" t="str" cm="1">
        <f t="array" ref="F7579">CategorizeComment(E7579)</f>
        <v>Other</v>
      </c>
      <c r="G7579" t="str" cm="1">
        <f t="array" ref="G7579">SubCategorizeComment(E7579)</f>
        <v>Other</v>
      </c>
    </row>
    <row r="7580" spans="1:7" x14ac:dyDescent="0.25">
      <c r="A7580">
        <v>66733</v>
      </c>
      <c r="B7580" t="s">
        <v>4</v>
      </c>
      <c r="C7580">
        <v>3</v>
      </c>
      <c r="D7580" t="s">
        <v>5</v>
      </c>
      <c r="F7580" t="str" cm="1">
        <f t="array" ref="F7580">CategorizeComment(E7580)</f>
        <v>Other</v>
      </c>
      <c r="G7580" t="str" cm="1">
        <f t="array" ref="G7580">SubCategorizeComment(E7580)</f>
        <v>Other</v>
      </c>
    </row>
    <row r="7581" spans="1:7" x14ac:dyDescent="0.25">
      <c r="A7581">
        <v>66740</v>
      </c>
      <c r="B7581" t="s">
        <v>4</v>
      </c>
      <c r="C7581">
        <v>4</v>
      </c>
      <c r="D7581" t="s">
        <v>5</v>
      </c>
      <c r="F7581" t="str" cm="1">
        <f t="array" ref="F7581">CategorizeComment(E7581)</f>
        <v>Other</v>
      </c>
      <c r="G7581" t="str" cm="1">
        <f t="array" ref="G7581">SubCategorizeComment(E7581)</f>
        <v>Other</v>
      </c>
    </row>
    <row r="7582" spans="1:7" x14ac:dyDescent="0.25">
      <c r="A7582">
        <v>66746</v>
      </c>
      <c r="B7582" t="s">
        <v>4</v>
      </c>
      <c r="C7582">
        <v>4</v>
      </c>
      <c r="D7582" t="s">
        <v>5</v>
      </c>
      <c r="F7582" t="str" cm="1">
        <f t="array" ref="F7582">CategorizeComment(E7582)</f>
        <v>Other</v>
      </c>
      <c r="G7582" t="str" cm="1">
        <f t="array" ref="G7582">SubCategorizeComment(E7582)</f>
        <v>Other</v>
      </c>
    </row>
    <row r="7583" spans="1:7" x14ac:dyDescent="0.25">
      <c r="A7583">
        <v>66762</v>
      </c>
      <c r="B7583" t="s">
        <v>4</v>
      </c>
      <c r="C7583">
        <v>4</v>
      </c>
      <c r="D7583" t="s">
        <v>5</v>
      </c>
      <c r="F7583" t="str" cm="1">
        <f t="array" ref="F7583">CategorizeComment(E7583)</f>
        <v>Other</v>
      </c>
      <c r="G7583" t="str" cm="1">
        <f t="array" ref="G7583">SubCategorizeComment(E7583)</f>
        <v>Other</v>
      </c>
    </row>
    <row r="7584" spans="1:7" x14ac:dyDescent="0.25">
      <c r="A7584">
        <v>66785</v>
      </c>
      <c r="B7584" t="s">
        <v>4</v>
      </c>
      <c r="C7584">
        <v>4</v>
      </c>
      <c r="D7584" t="s">
        <v>5</v>
      </c>
      <c r="F7584" t="str" cm="1">
        <f t="array" ref="F7584">CategorizeComment(E7584)</f>
        <v>Other</v>
      </c>
      <c r="G7584" t="str" cm="1">
        <f t="array" ref="G7584">SubCategorizeComment(E7584)</f>
        <v>Other</v>
      </c>
    </row>
    <row r="7585" spans="1:7" x14ac:dyDescent="0.25">
      <c r="A7585">
        <v>66787</v>
      </c>
      <c r="B7585" t="s">
        <v>4</v>
      </c>
      <c r="C7585">
        <v>3</v>
      </c>
      <c r="D7585" t="s">
        <v>5</v>
      </c>
      <c r="F7585" t="str" cm="1">
        <f t="array" ref="F7585">CategorizeComment(E7585)</f>
        <v>Other</v>
      </c>
      <c r="G7585" t="str" cm="1">
        <f t="array" ref="G7585">SubCategorizeComment(E7585)</f>
        <v>Other</v>
      </c>
    </row>
    <row r="7586" spans="1:7" x14ac:dyDescent="0.25">
      <c r="A7586">
        <v>66789</v>
      </c>
      <c r="B7586" t="s">
        <v>4</v>
      </c>
      <c r="C7586">
        <v>4</v>
      </c>
      <c r="D7586" t="s">
        <v>5</v>
      </c>
      <c r="F7586" t="str" cm="1">
        <f t="array" ref="F7586">CategorizeComment(E7586)</f>
        <v>Other</v>
      </c>
      <c r="G7586" t="str" cm="1">
        <f t="array" ref="G7586">SubCategorizeComment(E7586)</f>
        <v>Other</v>
      </c>
    </row>
    <row r="7587" spans="1:7" x14ac:dyDescent="0.25">
      <c r="A7587">
        <v>66811</v>
      </c>
      <c r="B7587" t="s">
        <v>4</v>
      </c>
      <c r="C7587">
        <v>4</v>
      </c>
      <c r="D7587" t="s">
        <v>5</v>
      </c>
      <c r="F7587" t="str" cm="1">
        <f t="array" ref="F7587">CategorizeComment(E7587)</f>
        <v>Other</v>
      </c>
      <c r="G7587" t="str" cm="1">
        <f t="array" ref="G7587">SubCategorizeComment(E7587)</f>
        <v>Other</v>
      </c>
    </row>
    <row r="7588" spans="1:7" x14ac:dyDescent="0.25">
      <c r="A7588">
        <v>66812</v>
      </c>
      <c r="B7588" t="s">
        <v>4</v>
      </c>
      <c r="C7588">
        <v>1</v>
      </c>
      <c r="D7588" t="s">
        <v>5</v>
      </c>
      <c r="F7588" t="str" cm="1">
        <f t="array" ref="F7588">CategorizeComment(E7588)</f>
        <v>Other</v>
      </c>
      <c r="G7588" t="str" cm="1">
        <f t="array" ref="G7588">SubCategorizeComment(E7588)</f>
        <v>Other</v>
      </c>
    </row>
    <row r="7589" spans="1:7" x14ac:dyDescent="0.25">
      <c r="A7589">
        <v>66834</v>
      </c>
      <c r="B7589" t="s">
        <v>4</v>
      </c>
      <c r="C7589">
        <v>3</v>
      </c>
      <c r="D7589" t="s">
        <v>5</v>
      </c>
      <c r="F7589" t="str" cm="1">
        <f t="array" ref="F7589">CategorizeComment(E7589)</f>
        <v>Other</v>
      </c>
      <c r="G7589" t="str" cm="1">
        <f t="array" ref="G7589">SubCategorizeComment(E7589)</f>
        <v>Other</v>
      </c>
    </row>
    <row r="7590" spans="1:7" x14ac:dyDescent="0.25">
      <c r="A7590">
        <v>66836</v>
      </c>
      <c r="B7590" t="s">
        <v>4</v>
      </c>
      <c r="C7590">
        <v>3</v>
      </c>
      <c r="D7590" t="s">
        <v>5</v>
      </c>
      <c r="F7590" t="str" cm="1">
        <f t="array" ref="F7590">CategorizeComment(E7590)</f>
        <v>Other</v>
      </c>
      <c r="G7590" t="str" cm="1">
        <f t="array" ref="G7590">SubCategorizeComment(E7590)</f>
        <v>Other</v>
      </c>
    </row>
    <row r="7591" spans="1:7" x14ac:dyDescent="0.25">
      <c r="A7591">
        <v>66844</v>
      </c>
      <c r="B7591" t="s">
        <v>4</v>
      </c>
      <c r="C7591">
        <v>4</v>
      </c>
      <c r="D7591" t="s">
        <v>5</v>
      </c>
      <c r="F7591" t="str" cm="1">
        <f t="array" ref="F7591">CategorizeComment(E7591)</f>
        <v>Other</v>
      </c>
      <c r="G7591" t="str" cm="1">
        <f t="array" ref="G7591">SubCategorizeComment(E7591)</f>
        <v>Other</v>
      </c>
    </row>
    <row r="7592" spans="1:7" x14ac:dyDescent="0.25">
      <c r="A7592">
        <v>66846</v>
      </c>
      <c r="B7592" t="s">
        <v>4</v>
      </c>
      <c r="C7592">
        <v>3</v>
      </c>
      <c r="D7592" t="s">
        <v>5</v>
      </c>
      <c r="F7592" t="str" cm="1">
        <f t="array" ref="F7592">CategorizeComment(E7592)</f>
        <v>Other</v>
      </c>
      <c r="G7592" t="str" cm="1">
        <f t="array" ref="G7592">SubCategorizeComment(E7592)</f>
        <v>Other</v>
      </c>
    </row>
    <row r="7593" spans="1:7" x14ac:dyDescent="0.25">
      <c r="A7593">
        <v>66850</v>
      </c>
      <c r="B7593" t="s">
        <v>4</v>
      </c>
      <c r="C7593">
        <v>4</v>
      </c>
      <c r="D7593" t="s">
        <v>5</v>
      </c>
      <c r="F7593" t="str" cm="1">
        <f t="array" ref="F7593">CategorizeComment(E7593)</f>
        <v>Other</v>
      </c>
      <c r="G7593" t="str" cm="1">
        <f t="array" ref="G7593">SubCategorizeComment(E7593)</f>
        <v>Other</v>
      </c>
    </row>
    <row r="7594" spans="1:7" x14ac:dyDescent="0.25">
      <c r="A7594">
        <v>66964</v>
      </c>
      <c r="B7594" t="s">
        <v>4</v>
      </c>
      <c r="C7594">
        <v>4</v>
      </c>
      <c r="D7594" t="s">
        <v>5</v>
      </c>
      <c r="F7594" t="str" cm="1">
        <f t="array" ref="F7594">CategorizeComment(E7594)</f>
        <v>Other</v>
      </c>
      <c r="G7594" t="str" cm="1">
        <f t="array" ref="G7594">SubCategorizeComment(E7594)</f>
        <v>Other</v>
      </c>
    </row>
    <row r="7595" spans="1:7" x14ac:dyDescent="0.25">
      <c r="A7595">
        <v>66971</v>
      </c>
      <c r="B7595" t="s">
        <v>4</v>
      </c>
      <c r="C7595">
        <v>3</v>
      </c>
      <c r="D7595" t="s">
        <v>5</v>
      </c>
      <c r="F7595" t="str" cm="1">
        <f t="array" ref="F7595">CategorizeComment(E7595)</f>
        <v>Other</v>
      </c>
      <c r="G7595" t="str" cm="1">
        <f t="array" ref="G7595">SubCategorizeComment(E7595)</f>
        <v>Other</v>
      </c>
    </row>
    <row r="7596" spans="1:7" x14ac:dyDescent="0.25">
      <c r="A7596">
        <v>66994</v>
      </c>
      <c r="B7596" t="s">
        <v>4</v>
      </c>
      <c r="C7596">
        <v>4</v>
      </c>
      <c r="D7596" t="s">
        <v>5</v>
      </c>
      <c r="F7596" t="str" cm="1">
        <f t="array" ref="F7596">CategorizeComment(E7596)</f>
        <v>Other</v>
      </c>
      <c r="G7596" t="str" cm="1">
        <f t="array" ref="G7596">SubCategorizeComment(E7596)</f>
        <v>Other</v>
      </c>
    </row>
    <row r="7597" spans="1:7" x14ac:dyDescent="0.25">
      <c r="A7597">
        <v>67044</v>
      </c>
      <c r="B7597" t="s">
        <v>4</v>
      </c>
      <c r="C7597">
        <v>4</v>
      </c>
      <c r="D7597" t="s">
        <v>5</v>
      </c>
      <c r="F7597" t="str" cm="1">
        <f t="array" ref="F7597">CategorizeComment(E7597)</f>
        <v>Other</v>
      </c>
      <c r="G7597" t="str" cm="1">
        <f t="array" ref="G7597">SubCategorizeComment(E7597)</f>
        <v>Other</v>
      </c>
    </row>
    <row r="7598" spans="1:7" x14ac:dyDescent="0.25">
      <c r="A7598">
        <v>67059</v>
      </c>
      <c r="B7598" t="s">
        <v>4</v>
      </c>
      <c r="C7598">
        <v>4</v>
      </c>
      <c r="D7598" t="s">
        <v>5</v>
      </c>
      <c r="F7598" t="str" cm="1">
        <f t="array" ref="F7598">CategorizeComment(E7598)</f>
        <v>Other</v>
      </c>
      <c r="G7598" t="str" cm="1">
        <f t="array" ref="G7598">SubCategorizeComment(E7598)</f>
        <v>Other</v>
      </c>
    </row>
    <row r="7599" spans="1:7" x14ac:dyDescent="0.25">
      <c r="A7599">
        <v>67061</v>
      </c>
      <c r="B7599" t="s">
        <v>4</v>
      </c>
      <c r="C7599">
        <v>3</v>
      </c>
      <c r="D7599" t="s">
        <v>5</v>
      </c>
      <c r="F7599" t="str" cm="1">
        <f t="array" ref="F7599">CategorizeComment(E7599)</f>
        <v>Other</v>
      </c>
      <c r="G7599" t="str" cm="1">
        <f t="array" ref="G7599">SubCategorizeComment(E7599)</f>
        <v>Other</v>
      </c>
    </row>
    <row r="7600" spans="1:7" x14ac:dyDescent="0.25">
      <c r="A7600">
        <v>67068</v>
      </c>
      <c r="B7600" t="s">
        <v>4</v>
      </c>
      <c r="C7600">
        <v>3</v>
      </c>
      <c r="D7600" t="s">
        <v>5</v>
      </c>
      <c r="F7600" t="str" cm="1">
        <f t="array" ref="F7600">CategorizeComment(E7600)</f>
        <v>Other</v>
      </c>
      <c r="G7600" t="str" cm="1">
        <f t="array" ref="G7600">SubCategorizeComment(E7600)</f>
        <v>Other</v>
      </c>
    </row>
    <row r="7601" spans="1:7" x14ac:dyDescent="0.25">
      <c r="A7601">
        <v>67094</v>
      </c>
      <c r="B7601" t="s">
        <v>4</v>
      </c>
      <c r="C7601">
        <v>3</v>
      </c>
      <c r="D7601" t="s">
        <v>5</v>
      </c>
      <c r="F7601" t="str" cm="1">
        <f t="array" ref="F7601">CategorizeComment(E7601)</f>
        <v>Other</v>
      </c>
      <c r="G7601" t="str" cm="1">
        <f t="array" ref="G7601">SubCategorizeComment(E7601)</f>
        <v>Other</v>
      </c>
    </row>
    <row r="7602" spans="1:7" x14ac:dyDescent="0.25">
      <c r="A7602">
        <v>67099</v>
      </c>
      <c r="B7602" t="s">
        <v>4</v>
      </c>
      <c r="C7602">
        <v>4</v>
      </c>
      <c r="D7602" t="s">
        <v>5</v>
      </c>
      <c r="F7602" t="str" cm="1">
        <f t="array" ref="F7602">CategorizeComment(E7602)</f>
        <v>Other</v>
      </c>
      <c r="G7602" t="str" cm="1">
        <f t="array" ref="G7602">SubCategorizeComment(E7602)</f>
        <v>Other</v>
      </c>
    </row>
    <row r="7603" spans="1:7" x14ac:dyDescent="0.25">
      <c r="A7603">
        <v>67105</v>
      </c>
      <c r="B7603" t="s">
        <v>4</v>
      </c>
      <c r="C7603">
        <v>3</v>
      </c>
      <c r="D7603" t="s">
        <v>5</v>
      </c>
      <c r="F7603" t="str" cm="1">
        <f t="array" ref="F7603">CategorizeComment(E7603)</f>
        <v>Other</v>
      </c>
      <c r="G7603" t="str" cm="1">
        <f t="array" ref="G7603">SubCategorizeComment(E7603)</f>
        <v>Other</v>
      </c>
    </row>
    <row r="7604" spans="1:7" x14ac:dyDescent="0.25">
      <c r="A7604">
        <v>67108</v>
      </c>
      <c r="B7604" t="s">
        <v>4</v>
      </c>
      <c r="C7604">
        <v>4</v>
      </c>
      <c r="D7604" t="s">
        <v>5</v>
      </c>
      <c r="F7604" t="str" cm="1">
        <f t="array" ref="F7604">CategorizeComment(E7604)</f>
        <v>Other</v>
      </c>
      <c r="G7604" t="str" cm="1">
        <f t="array" ref="G7604">SubCategorizeComment(E7604)</f>
        <v>Other</v>
      </c>
    </row>
    <row r="7605" spans="1:7" x14ac:dyDescent="0.25">
      <c r="A7605">
        <v>67117</v>
      </c>
      <c r="B7605" t="s">
        <v>4</v>
      </c>
      <c r="C7605">
        <v>3</v>
      </c>
      <c r="D7605" t="s">
        <v>5</v>
      </c>
      <c r="F7605" t="str" cm="1">
        <f t="array" ref="F7605">CategorizeComment(E7605)</f>
        <v>Other</v>
      </c>
      <c r="G7605" t="str" cm="1">
        <f t="array" ref="G7605">SubCategorizeComment(E7605)</f>
        <v>Other</v>
      </c>
    </row>
    <row r="7606" spans="1:7" x14ac:dyDescent="0.25">
      <c r="A7606">
        <v>67119</v>
      </c>
      <c r="B7606" t="s">
        <v>4</v>
      </c>
      <c r="C7606">
        <v>4</v>
      </c>
      <c r="D7606" t="s">
        <v>5</v>
      </c>
      <c r="F7606" t="str" cm="1">
        <f t="array" ref="F7606">CategorizeComment(E7606)</f>
        <v>Other</v>
      </c>
      <c r="G7606" t="str" cm="1">
        <f t="array" ref="G7606">SubCategorizeComment(E7606)</f>
        <v>Other</v>
      </c>
    </row>
    <row r="7607" spans="1:7" x14ac:dyDescent="0.25">
      <c r="A7607">
        <v>67124</v>
      </c>
      <c r="B7607" t="s">
        <v>4</v>
      </c>
      <c r="C7607">
        <v>4</v>
      </c>
      <c r="D7607" t="s">
        <v>5</v>
      </c>
      <c r="F7607" t="str" cm="1">
        <f t="array" ref="F7607">CategorizeComment(E7607)</f>
        <v>Other</v>
      </c>
      <c r="G7607" t="str" cm="1">
        <f t="array" ref="G7607">SubCategorizeComment(E7607)</f>
        <v>Other</v>
      </c>
    </row>
    <row r="7608" spans="1:7" x14ac:dyDescent="0.25">
      <c r="A7608">
        <v>67128</v>
      </c>
      <c r="B7608" t="s">
        <v>4</v>
      </c>
      <c r="C7608">
        <v>3</v>
      </c>
      <c r="D7608" t="s">
        <v>5</v>
      </c>
      <c r="F7608" t="str" cm="1">
        <f t="array" ref="F7608">CategorizeComment(E7608)</f>
        <v>Other</v>
      </c>
      <c r="G7608" t="str" cm="1">
        <f t="array" ref="G7608">SubCategorizeComment(E7608)</f>
        <v>Other</v>
      </c>
    </row>
    <row r="7609" spans="1:7" x14ac:dyDescent="0.25">
      <c r="A7609">
        <v>67129</v>
      </c>
      <c r="B7609" t="s">
        <v>4</v>
      </c>
      <c r="C7609">
        <v>4</v>
      </c>
      <c r="D7609" t="s">
        <v>5</v>
      </c>
      <c r="F7609" t="str" cm="1">
        <f t="array" ref="F7609">CategorizeComment(E7609)</f>
        <v>Other</v>
      </c>
      <c r="G7609" t="str" cm="1">
        <f t="array" ref="G7609">SubCategorizeComment(E7609)</f>
        <v>Other</v>
      </c>
    </row>
    <row r="7610" spans="1:7" x14ac:dyDescent="0.25">
      <c r="A7610">
        <v>67135</v>
      </c>
      <c r="B7610" t="s">
        <v>4</v>
      </c>
      <c r="C7610">
        <v>4</v>
      </c>
      <c r="D7610" t="s">
        <v>5</v>
      </c>
      <c r="F7610" t="str" cm="1">
        <f t="array" ref="F7610">CategorizeComment(E7610)</f>
        <v>Other</v>
      </c>
      <c r="G7610" t="str" cm="1">
        <f t="array" ref="G7610">SubCategorizeComment(E7610)</f>
        <v>Other</v>
      </c>
    </row>
    <row r="7611" spans="1:7" x14ac:dyDescent="0.25">
      <c r="A7611">
        <v>67143</v>
      </c>
      <c r="B7611" t="s">
        <v>4</v>
      </c>
      <c r="C7611">
        <v>4</v>
      </c>
      <c r="D7611" t="s">
        <v>5</v>
      </c>
      <c r="F7611" t="str" cm="1">
        <f t="array" ref="F7611">CategorizeComment(E7611)</f>
        <v>Other</v>
      </c>
      <c r="G7611" t="str" cm="1">
        <f t="array" ref="G7611">SubCategorizeComment(E7611)</f>
        <v>Other</v>
      </c>
    </row>
    <row r="7612" spans="1:7" x14ac:dyDescent="0.25">
      <c r="A7612">
        <v>67154</v>
      </c>
      <c r="B7612" t="s">
        <v>4</v>
      </c>
      <c r="C7612">
        <v>3</v>
      </c>
      <c r="D7612" t="s">
        <v>5</v>
      </c>
      <c r="F7612" t="str" cm="1">
        <f t="array" ref="F7612">CategorizeComment(E7612)</f>
        <v>Other</v>
      </c>
      <c r="G7612" t="str" cm="1">
        <f t="array" ref="G7612">SubCategorizeComment(E7612)</f>
        <v>Other</v>
      </c>
    </row>
    <row r="7613" spans="1:7" x14ac:dyDescent="0.25">
      <c r="A7613">
        <v>67155</v>
      </c>
      <c r="B7613" t="s">
        <v>4</v>
      </c>
      <c r="C7613">
        <v>3</v>
      </c>
      <c r="D7613" t="s">
        <v>5</v>
      </c>
      <c r="F7613" t="str" cm="1">
        <f t="array" ref="F7613">CategorizeComment(E7613)</f>
        <v>Other</v>
      </c>
      <c r="G7613" t="str" cm="1">
        <f t="array" ref="G7613">SubCategorizeComment(E7613)</f>
        <v>Other</v>
      </c>
    </row>
    <row r="7614" spans="1:7" x14ac:dyDescent="0.25">
      <c r="A7614">
        <v>67156</v>
      </c>
      <c r="B7614" t="s">
        <v>4</v>
      </c>
      <c r="C7614">
        <v>4</v>
      </c>
      <c r="D7614" t="s">
        <v>5</v>
      </c>
      <c r="F7614" t="str" cm="1">
        <f t="array" ref="F7614">CategorizeComment(E7614)</f>
        <v>Other</v>
      </c>
      <c r="G7614" t="str" cm="1">
        <f t="array" ref="G7614">SubCategorizeComment(E7614)</f>
        <v>Other</v>
      </c>
    </row>
    <row r="7615" spans="1:7" x14ac:dyDescent="0.25">
      <c r="A7615">
        <v>67158</v>
      </c>
      <c r="B7615" t="s">
        <v>4</v>
      </c>
      <c r="C7615">
        <v>3</v>
      </c>
      <c r="D7615" t="s">
        <v>5</v>
      </c>
      <c r="F7615" t="str" cm="1">
        <f t="array" ref="F7615">CategorizeComment(E7615)</f>
        <v>Other</v>
      </c>
      <c r="G7615" t="str" cm="1">
        <f t="array" ref="G7615">SubCategorizeComment(E7615)</f>
        <v>Other</v>
      </c>
    </row>
    <row r="7616" spans="1:7" x14ac:dyDescent="0.25">
      <c r="A7616">
        <v>67168</v>
      </c>
      <c r="B7616" t="s">
        <v>4</v>
      </c>
      <c r="C7616">
        <v>4</v>
      </c>
      <c r="D7616" t="s">
        <v>5</v>
      </c>
      <c r="F7616" t="str" cm="1">
        <f t="array" ref="F7616">CategorizeComment(E7616)</f>
        <v>Other</v>
      </c>
      <c r="G7616" t="str" cm="1">
        <f t="array" ref="G7616">SubCategorizeComment(E7616)</f>
        <v>Other</v>
      </c>
    </row>
    <row r="7617" spans="1:7" x14ac:dyDescent="0.25">
      <c r="A7617">
        <v>67199</v>
      </c>
      <c r="B7617" t="s">
        <v>4</v>
      </c>
      <c r="C7617">
        <v>3</v>
      </c>
      <c r="D7617" t="s">
        <v>5</v>
      </c>
      <c r="F7617" t="str" cm="1">
        <f t="array" ref="F7617">CategorizeComment(E7617)</f>
        <v>Other</v>
      </c>
      <c r="G7617" t="str" cm="1">
        <f t="array" ref="G7617">SubCategorizeComment(E7617)</f>
        <v>Other</v>
      </c>
    </row>
    <row r="7618" spans="1:7" x14ac:dyDescent="0.25">
      <c r="A7618">
        <v>67219</v>
      </c>
      <c r="B7618" t="s">
        <v>4</v>
      </c>
      <c r="C7618">
        <v>4</v>
      </c>
      <c r="D7618" t="s">
        <v>5</v>
      </c>
      <c r="F7618" t="str" cm="1">
        <f t="array" ref="F7618">CategorizeComment(E7618)</f>
        <v>Other</v>
      </c>
      <c r="G7618" t="str" cm="1">
        <f t="array" ref="G7618">SubCategorizeComment(E7618)</f>
        <v>Other</v>
      </c>
    </row>
    <row r="7619" spans="1:7" x14ac:dyDescent="0.25">
      <c r="A7619">
        <v>67235</v>
      </c>
      <c r="B7619" t="s">
        <v>4</v>
      </c>
      <c r="C7619">
        <v>3</v>
      </c>
      <c r="D7619" t="s">
        <v>5</v>
      </c>
      <c r="F7619" t="str" cm="1">
        <f t="array" ref="F7619">CategorizeComment(E7619)</f>
        <v>Other</v>
      </c>
      <c r="G7619" t="str" cm="1">
        <f t="array" ref="G7619">SubCategorizeComment(E7619)</f>
        <v>Other</v>
      </c>
    </row>
    <row r="7620" spans="1:7" x14ac:dyDescent="0.25">
      <c r="A7620">
        <v>67244</v>
      </c>
      <c r="B7620" t="s">
        <v>4</v>
      </c>
      <c r="C7620">
        <v>3</v>
      </c>
      <c r="D7620" t="s">
        <v>5</v>
      </c>
      <c r="F7620" t="str" cm="1">
        <f t="array" ref="F7620">CategorizeComment(E7620)</f>
        <v>Other</v>
      </c>
      <c r="G7620" t="str" cm="1">
        <f t="array" ref="G7620">SubCategorizeComment(E7620)</f>
        <v>Other</v>
      </c>
    </row>
    <row r="7621" spans="1:7" x14ac:dyDescent="0.25">
      <c r="A7621">
        <v>67252</v>
      </c>
      <c r="B7621" t="s">
        <v>4</v>
      </c>
      <c r="C7621">
        <v>4</v>
      </c>
      <c r="D7621" t="s">
        <v>5</v>
      </c>
      <c r="F7621" t="str" cm="1">
        <f t="array" ref="F7621">CategorizeComment(E7621)</f>
        <v>Other</v>
      </c>
      <c r="G7621" t="str" cm="1">
        <f t="array" ref="G7621">SubCategorizeComment(E7621)</f>
        <v>Other</v>
      </c>
    </row>
    <row r="7622" spans="1:7" x14ac:dyDescent="0.25">
      <c r="A7622">
        <v>67308</v>
      </c>
      <c r="B7622" t="s">
        <v>4</v>
      </c>
      <c r="C7622">
        <v>4</v>
      </c>
      <c r="D7622" t="s">
        <v>5</v>
      </c>
      <c r="F7622" t="str" cm="1">
        <f t="array" ref="F7622">CategorizeComment(E7622)</f>
        <v>Other</v>
      </c>
      <c r="G7622" t="str" cm="1">
        <f t="array" ref="G7622">SubCategorizeComment(E7622)</f>
        <v>Other</v>
      </c>
    </row>
    <row r="7623" spans="1:7" x14ac:dyDescent="0.25">
      <c r="A7623">
        <v>67309</v>
      </c>
      <c r="B7623" t="s">
        <v>4</v>
      </c>
      <c r="C7623">
        <v>3</v>
      </c>
      <c r="D7623" t="s">
        <v>5</v>
      </c>
      <c r="F7623" t="str" cm="1">
        <f t="array" ref="F7623">CategorizeComment(E7623)</f>
        <v>Other</v>
      </c>
      <c r="G7623" t="str" cm="1">
        <f t="array" ref="G7623">SubCategorizeComment(E7623)</f>
        <v>Other</v>
      </c>
    </row>
    <row r="7624" spans="1:7" x14ac:dyDescent="0.25">
      <c r="A7624">
        <v>67310</v>
      </c>
      <c r="B7624" t="s">
        <v>4</v>
      </c>
      <c r="C7624">
        <v>4</v>
      </c>
      <c r="D7624" t="s">
        <v>5</v>
      </c>
      <c r="F7624" t="str" cm="1">
        <f t="array" ref="F7624">CategorizeComment(E7624)</f>
        <v>Other</v>
      </c>
      <c r="G7624" t="str" cm="1">
        <f t="array" ref="G7624">SubCategorizeComment(E7624)</f>
        <v>Other</v>
      </c>
    </row>
    <row r="7625" spans="1:7" x14ac:dyDescent="0.25">
      <c r="A7625">
        <v>67320</v>
      </c>
      <c r="B7625" t="s">
        <v>4</v>
      </c>
      <c r="C7625">
        <v>4</v>
      </c>
      <c r="D7625" t="s">
        <v>5</v>
      </c>
      <c r="F7625" t="str" cm="1">
        <f t="array" ref="F7625">CategorizeComment(E7625)</f>
        <v>Other</v>
      </c>
      <c r="G7625" t="str" cm="1">
        <f t="array" ref="G7625">SubCategorizeComment(E7625)</f>
        <v>Other</v>
      </c>
    </row>
    <row r="7626" spans="1:7" x14ac:dyDescent="0.25">
      <c r="A7626">
        <v>67321</v>
      </c>
      <c r="B7626" t="s">
        <v>4</v>
      </c>
      <c r="C7626">
        <v>4</v>
      </c>
      <c r="D7626" t="s">
        <v>5</v>
      </c>
      <c r="F7626" t="str" cm="1">
        <f t="array" ref="F7626">CategorizeComment(E7626)</f>
        <v>Other</v>
      </c>
      <c r="G7626" t="str" cm="1">
        <f t="array" ref="G7626">SubCategorizeComment(E7626)</f>
        <v>Other</v>
      </c>
    </row>
    <row r="7627" spans="1:7" x14ac:dyDescent="0.25">
      <c r="A7627">
        <v>67338</v>
      </c>
      <c r="B7627" t="s">
        <v>4</v>
      </c>
      <c r="C7627">
        <v>4</v>
      </c>
      <c r="D7627" t="s">
        <v>5</v>
      </c>
      <c r="F7627" t="str" cm="1">
        <f t="array" ref="F7627">CategorizeComment(E7627)</f>
        <v>Other</v>
      </c>
      <c r="G7627" t="str" cm="1">
        <f t="array" ref="G7627">SubCategorizeComment(E7627)</f>
        <v>Other</v>
      </c>
    </row>
    <row r="7628" spans="1:7" x14ac:dyDescent="0.25">
      <c r="A7628">
        <v>67342</v>
      </c>
      <c r="B7628" t="s">
        <v>4</v>
      </c>
      <c r="C7628">
        <v>3</v>
      </c>
      <c r="D7628" t="s">
        <v>5</v>
      </c>
      <c r="F7628" t="str" cm="1">
        <f t="array" ref="F7628">CategorizeComment(E7628)</f>
        <v>Other</v>
      </c>
      <c r="G7628" t="str" cm="1">
        <f t="array" ref="G7628">SubCategorizeComment(E7628)</f>
        <v>Other</v>
      </c>
    </row>
    <row r="7629" spans="1:7" x14ac:dyDescent="0.25">
      <c r="A7629">
        <v>67353</v>
      </c>
      <c r="B7629" t="s">
        <v>4</v>
      </c>
      <c r="C7629">
        <v>4</v>
      </c>
      <c r="D7629" t="s">
        <v>5</v>
      </c>
      <c r="F7629" t="str" cm="1">
        <f t="array" ref="F7629">CategorizeComment(E7629)</f>
        <v>Other</v>
      </c>
      <c r="G7629" t="str" cm="1">
        <f t="array" ref="G7629">SubCategorizeComment(E7629)</f>
        <v>Other</v>
      </c>
    </row>
    <row r="7630" spans="1:7" x14ac:dyDescent="0.25">
      <c r="A7630">
        <v>67376</v>
      </c>
      <c r="B7630" t="s">
        <v>4</v>
      </c>
      <c r="C7630">
        <v>4</v>
      </c>
      <c r="D7630" t="s">
        <v>5</v>
      </c>
      <c r="F7630" t="str" cm="1">
        <f t="array" ref="F7630">CategorizeComment(E7630)</f>
        <v>Other</v>
      </c>
      <c r="G7630" t="str" cm="1">
        <f t="array" ref="G7630">SubCategorizeComment(E7630)</f>
        <v>Other</v>
      </c>
    </row>
    <row r="7631" spans="1:7" x14ac:dyDescent="0.25">
      <c r="A7631">
        <v>67402</v>
      </c>
      <c r="B7631" t="s">
        <v>4</v>
      </c>
      <c r="C7631">
        <v>3</v>
      </c>
      <c r="D7631" t="s">
        <v>5</v>
      </c>
      <c r="F7631" t="str" cm="1">
        <f t="array" ref="F7631">CategorizeComment(E7631)</f>
        <v>Other</v>
      </c>
      <c r="G7631" t="str" cm="1">
        <f t="array" ref="G7631">SubCategorizeComment(E7631)</f>
        <v>Other</v>
      </c>
    </row>
    <row r="7632" spans="1:7" x14ac:dyDescent="0.25">
      <c r="A7632">
        <v>67411</v>
      </c>
      <c r="B7632" t="s">
        <v>4</v>
      </c>
      <c r="C7632">
        <v>3</v>
      </c>
      <c r="D7632" t="s">
        <v>5</v>
      </c>
      <c r="F7632" t="str" cm="1">
        <f t="array" ref="F7632">CategorizeComment(E7632)</f>
        <v>Other</v>
      </c>
      <c r="G7632" t="str" cm="1">
        <f t="array" ref="G7632">SubCategorizeComment(E7632)</f>
        <v>Other</v>
      </c>
    </row>
    <row r="7633" spans="1:7" x14ac:dyDescent="0.25">
      <c r="A7633">
        <v>67414</v>
      </c>
      <c r="B7633" t="s">
        <v>4</v>
      </c>
      <c r="C7633">
        <v>4</v>
      </c>
      <c r="D7633" t="s">
        <v>5</v>
      </c>
      <c r="F7633" t="str" cm="1">
        <f t="array" ref="F7633">CategorizeComment(E7633)</f>
        <v>Other</v>
      </c>
      <c r="G7633" t="str" cm="1">
        <f t="array" ref="G7633">SubCategorizeComment(E7633)</f>
        <v>Other</v>
      </c>
    </row>
    <row r="7634" spans="1:7" x14ac:dyDescent="0.25">
      <c r="A7634">
        <v>67419</v>
      </c>
      <c r="B7634" t="s">
        <v>4</v>
      </c>
      <c r="C7634">
        <v>4</v>
      </c>
      <c r="D7634" t="s">
        <v>5</v>
      </c>
      <c r="F7634" t="str" cm="1">
        <f t="array" ref="F7634">CategorizeComment(E7634)</f>
        <v>Other</v>
      </c>
      <c r="G7634" t="str" cm="1">
        <f t="array" ref="G7634">SubCategorizeComment(E7634)</f>
        <v>Other</v>
      </c>
    </row>
    <row r="7635" spans="1:7" x14ac:dyDescent="0.25">
      <c r="A7635">
        <v>67421</v>
      </c>
      <c r="B7635" t="s">
        <v>4</v>
      </c>
      <c r="C7635">
        <v>4</v>
      </c>
      <c r="D7635" t="s">
        <v>5</v>
      </c>
      <c r="F7635" t="str" cm="1">
        <f t="array" ref="F7635">CategorizeComment(E7635)</f>
        <v>Other</v>
      </c>
      <c r="G7635" t="str" cm="1">
        <f t="array" ref="G7635">SubCategorizeComment(E7635)</f>
        <v>Other</v>
      </c>
    </row>
    <row r="7636" spans="1:7" x14ac:dyDescent="0.25">
      <c r="A7636">
        <v>67439</v>
      </c>
      <c r="B7636" t="s">
        <v>4</v>
      </c>
      <c r="C7636">
        <v>3</v>
      </c>
      <c r="D7636" t="s">
        <v>5</v>
      </c>
      <c r="F7636" t="str" cm="1">
        <f t="array" ref="F7636">CategorizeComment(E7636)</f>
        <v>Other</v>
      </c>
      <c r="G7636" t="str" cm="1">
        <f t="array" ref="G7636">SubCategorizeComment(E7636)</f>
        <v>Other</v>
      </c>
    </row>
    <row r="7637" spans="1:7" x14ac:dyDescent="0.25">
      <c r="A7637">
        <v>67462</v>
      </c>
      <c r="B7637" t="s">
        <v>4</v>
      </c>
      <c r="C7637">
        <v>3</v>
      </c>
      <c r="D7637" t="s">
        <v>5</v>
      </c>
      <c r="F7637" t="str" cm="1">
        <f t="array" ref="F7637">CategorizeComment(E7637)</f>
        <v>Other</v>
      </c>
      <c r="G7637" t="str" cm="1">
        <f t="array" ref="G7637">SubCategorizeComment(E7637)</f>
        <v>Other</v>
      </c>
    </row>
    <row r="7638" spans="1:7" x14ac:dyDescent="0.25">
      <c r="A7638">
        <v>67463</v>
      </c>
      <c r="B7638" t="s">
        <v>4</v>
      </c>
      <c r="C7638">
        <v>4</v>
      </c>
      <c r="D7638" t="s">
        <v>5</v>
      </c>
      <c r="F7638" t="str" cm="1">
        <f t="array" ref="F7638">CategorizeComment(E7638)</f>
        <v>Other</v>
      </c>
      <c r="G7638" t="str" cm="1">
        <f t="array" ref="G7638">SubCategorizeComment(E7638)</f>
        <v>Other</v>
      </c>
    </row>
    <row r="7639" spans="1:7" x14ac:dyDescent="0.25">
      <c r="A7639">
        <v>67467</v>
      </c>
      <c r="B7639" t="s">
        <v>4</v>
      </c>
      <c r="C7639">
        <v>4</v>
      </c>
      <c r="D7639" t="s">
        <v>5</v>
      </c>
      <c r="F7639" t="str" cm="1">
        <f t="array" ref="F7639">CategorizeComment(E7639)</f>
        <v>Other</v>
      </c>
      <c r="G7639" t="str" cm="1">
        <f t="array" ref="G7639">SubCategorizeComment(E7639)</f>
        <v>Other</v>
      </c>
    </row>
    <row r="7640" spans="1:7" x14ac:dyDescent="0.25">
      <c r="A7640">
        <v>67478</v>
      </c>
      <c r="B7640" t="s">
        <v>4</v>
      </c>
      <c r="C7640">
        <v>3</v>
      </c>
      <c r="D7640" t="s">
        <v>5</v>
      </c>
      <c r="F7640" t="str" cm="1">
        <f t="array" ref="F7640">CategorizeComment(E7640)</f>
        <v>Other</v>
      </c>
      <c r="G7640" t="str" cm="1">
        <f t="array" ref="G7640">SubCategorizeComment(E7640)</f>
        <v>Other</v>
      </c>
    </row>
    <row r="7641" spans="1:7" x14ac:dyDescent="0.25">
      <c r="A7641">
        <v>67488</v>
      </c>
      <c r="B7641" t="s">
        <v>4</v>
      </c>
      <c r="C7641">
        <v>4</v>
      </c>
      <c r="D7641" t="s">
        <v>5</v>
      </c>
      <c r="F7641" t="str" cm="1">
        <f t="array" ref="F7641">CategorizeComment(E7641)</f>
        <v>Other</v>
      </c>
      <c r="G7641" t="str" cm="1">
        <f t="array" ref="G7641">SubCategorizeComment(E7641)</f>
        <v>Other</v>
      </c>
    </row>
    <row r="7642" spans="1:7" x14ac:dyDescent="0.25">
      <c r="A7642">
        <v>67514</v>
      </c>
      <c r="B7642" t="s">
        <v>4</v>
      </c>
      <c r="C7642">
        <v>4</v>
      </c>
      <c r="D7642" t="s">
        <v>5</v>
      </c>
      <c r="F7642" t="str" cm="1">
        <f t="array" ref="F7642">CategorizeComment(E7642)</f>
        <v>Other</v>
      </c>
      <c r="G7642" t="str" cm="1">
        <f t="array" ref="G7642">SubCategorizeComment(E7642)</f>
        <v>Other</v>
      </c>
    </row>
    <row r="7643" spans="1:7" x14ac:dyDescent="0.25">
      <c r="A7643">
        <v>67521</v>
      </c>
      <c r="B7643" t="s">
        <v>4</v>
      </c>
      <c r="C7643">
        <v>4</v>
      </c>
      <c r="D7643" t="s">
        <v>5</v>
      </c>
      <c r="F7643" t="str" cm="1">
        <f t="array" ref="F7643">CategorizeComment(E7643)</f>
        <v>Other</v>
      </c>
      <c r="G7643" t="str" cm="1">
        <f t="array" ref="G7643">SubCategorizeComment(E7643)</f>
        <v>Other</v>
      </c>
    </row>
    <row r="7644" spans="1:7" x14ac:dyDescent="0.25">
      <c r="A7644">
        <v>67525</v>
      </c>
      <c r="B7644" t="s">
        <v>4</v>
      </c>
      <c r="C7644">
        <v>4</v>
      </c>
      <c r="D7644" t="s">
        <v>5</v>
      </c>
      <c r="F7644" t="str" cm="1">
        <f t="array" ref="F7644">CategorizeComment(E7644)</f>
        <v>Other</v>
      </c>
      <c r="G7644" t="str" cm="1">
        <f t="array" ref="G7644">SubCategorizeComment(E7644)</f>
        <v>Other</v>
      </c>
    </row>
    <row r="7645" spans="1:7" x14ac:dyDescent="0.25">
      <c r="A7645">
        <v>67532</v>
      </c>
      <c r="B7645" t="s">
        <v>4</v>
      </c>
      <c r="C7645">
        <v>4</v>
      </c>
      <c r="D7645" t="s">
        <v>5</v>
      </c>
      <c r="F7645" t="str" cm="1">
        <f t="array" ref="F7645">CategorizeComment(E7645)</f>
        <v>Other</v>
      </c>
      <c r="G7645" t="str" cm="1">
        <f t="array" ref="G7645">SubCategorizeComment(E7645)</f>
        <v>Other</v>
      </c>
    </row>
    <row r="7646" spans="1:7" x14ac:dyDescent="0.25">
      <c r="A7646">
        <v>67537</v>
      </c>
      <c r="B7646" t="s">
        <v>4</v>
      </c>
      <c r="C7646">
        <v>3</v>
      </c>
      <c r="D7646" t="s">
        <v>5</v>
      </c>
      <c r="F7646" t="str" cm="1">
        <f t="array" ref="F7646">CategorizeComment(E7646)</f>
        <v>Other</v>
      </c>
      <c r="G7646" t="str" cm="1">
        <f t="array" ref="G7646">SubCategorizeComment(E7646)</f>
        <v>Other</v>
      </c>
    </row>
    <row r="7647" spans="1:7" x14ac:dyDescent="0.25">
      <c r="A7647">
        <v>67543</v>
      </c>
      <c r="B7647" t="s">
        <v>4</v>
      </c>
      <c r="C7647">
        <v>4</v>
      </c>
      <c r="D7647" t="s">
        <v>5</v>
      </c>
      <c r="F7647" t="str" cm="1">
        <f t="array" ref="F7647">CategorizeComment(E7647)</f>
        <v>Other</v>
      </c>
      <c r="G7647" t="str" cm="1">
        <f t="array" ref="G7647">SubCategorizeComment(E7647)</f>
        <v>Other</v>
      </c>
    </row>
    <row r="7648" spans="1:7" x14ac:dyDescent="0.25">
      <c r="A7648">
        <v>67549</v>
      </c>
      <c r="B7648" t="s">
        <v>4</v>
      </c>
      <c r="C7648">
        <v>4</v>
      </c>
      <c r="D7648" t="s">
        <v>5</v>
      </c>
      <c r="F7648" t="str" cm="1">
        <f t="array" ref="F7648">CategorizeComment(E7648)</f>
        <v>Other</v>
      </c>
      <c r="G7648" t="str" cm="1">
        <f t="array" ref="G7648">SubCategorizeComment(E7648)</f>
        <v>Other</v>
      </c>
    </row>
    <row r="7649" spans="1:7" x14ac:dyDescent="0.25">
      <c r="A7649">
        <v>67560</v>
      </c>
      <c r="B7649" t="s">
        <v>4</v>
      </c>
      <c r="C7649">
        <v>3</v>
      </c>
      <c r="D7649" t="s">
        <v>5</v>
      </c>
      <c r="F7649" t="str" cm="1">
        <f t="array" ref="F7649">CategorizeComment(E7649)</f>
        <v>Other</v>
      </c>
      <c r="G7649" t="str" cm="1">
        <f t="array" ref="G7649">SubCategorizeComment(E7649)</f>
        <v>Other</v>
      </c>
    </row>
    <row r="7650" spans="1:7" x14ac:dyDescent="0.25">
      <c r="A7650">
        <v>67587</v>
      </c>
      <c r="B7650" t="s">
        <v>4</v>
      </c>
      <c r="C7650">
        <v>3</v>
      </c>
      <c r="D7650" t="s">
        <v>5</v>
      </c>
      <c r="F7650" t="str" cm="1">
        <f t="array" ref="F7650">CategorizeComment(E7650)</f>
        <v>Other</v>
      </c>
      <c r="G7650" t="str" cm="1">
        <f t="array" ref="G7650">SubCategorizeComment(E7650)</f>
        <v>Other</v>
      </c>
    </row>
    <row r="7651" spans="1:7" x14ac:dyDescent="0.25">
      <c r="A7651">
        <v>67597</v>
      </c>
      <c r="B7651" t="s">
        <v>4</v>
      </c>
      <c r="C7651">
        <v>3</v>
      </c>
      <c r="D7651" t="s">
        <v>5</v>
      </c>
      <c r="F7651" t="str" cm="1">
        <f t="array" ref="F7651">CategorizeComment(E7651)</f>
        <v>Other</v>
      </c>
      <c r="G7651" t="str" cm="1">
        <f t="array" ref="G7651">SubCategorizeComment(E7651)</f>
        <v>Other</v>
      </c>
    </row>
    <row r="7652" spans="1:7" x14ac:dyDescent="0.25">
      <c r="A7652">
        <v>67647</v>
      </c>
      <c r="B7652" t="s">
        <v>4</v>
      </c>
      <c r="C7652">
        <v>4</v>
      </c>
      <c r="D7652" t="s">
        <v>5</v>
      </c>
      <c r="F7652" t="str" cm="1">
        <f t="array" ref="F7652">CategorizeComment(E7652)</f>
        <v>Other</v>
      </c>
      <c r="G7652" t="str" cm="1">
        <f t="array" ref="G7652">SubCategorizeComment(E7652)</f>
        <v>Other</v>
      </c>
    </row>
    <row r="7653" spans="1:7" x14ac:dyDescent="0.25">
      <c r="A7653">
        <v>67657</v>
      </c>
      <c r="B7653" t="s">
        <v>4</v>
      </c>
      <c r="C7653">
        <v>3</v>
      </c>
      <c r="D7653" t="s">
        <v>5</v>
      </c>
      <c r="F7653" t="str" cm="1">
        <f t="array" ref="F7653">CategorizeComment(E7653)</f>
        <v>Other</v>
      </c>
      <c r="G7653" t="str" cm="1">
        <f t="array" ref="G7653">SubCategorizeComment(E7653)</f>
        <v>Other</v>
      </c>
    </row>
    <row r="7654" spans="1:7" x14ac:dyDescent="0.25">
      <c r="A7654">
        <v>67670</v>
      </c>
      <c r="B7654" t="s">
        <v>4</v>
      </c>
      <c r="C7654">
        <v>3</v>
      </c>
      <c r="D7654" t="s">
        <v>5</v>
      </c>
      <c r="F7654" t="str" cm="1">
        <f t="array" ref="F7654">CategorizeComment(E7654)</f>
        <v>Other</v>
      </c>
      <c r="G7654" t="str" cm="1">
        <f t="array" ref="G7654">SubCategorizeComment(E7654)</f>
        <v>Other</v>
      </c>
    </row>
    <row r="7655" spans="1:7" x14ac:dyDescent="0.25">
      <c r="A7655">
        <v>67682</v>
      </c>
      <c r="B7655" t="s">
        <v>4</v>
      </c>
      <c r="C7655">
        <v>3</v>
      </c>
      <c r="D7655" t="s">
        <v>5</v>
      </c>
      <c r="F7655" t="str" cm="1">
        <f t="array" ref="F7655">CategorizeComment(E7655)</f>
        <v>Other</v>
      </c>
      <c r="G7655" t="str" cm="1">
        <f t="array" ref="G7655">SubCategorizeComment(E7655)</f>
        <v>Other</v>
      </c>
    </row>
    <row r="7656" spans="1:7" x14ac:dyDescent="0.25">
      <c r="A7656">
        <v>67687</v>
      </c>
      <c r="B7656" t="s">
        <v>4</v>
      </c>
      <c r="C7656">
        <v>4</v>
      </c>
      <c r="D7656" t="s">
        <v>5</v>
      </c>
      <c r="F7656" t="str" cm="1">
        <f t="array" ref="F7656">CategorizeComment(E7656)</f>
        <v>Other</v>
      </c>
      <c r="G7656" t="str" cm="1">
        <f t="array" ref="G7656">SubCategorizeComment(E7656)</f>
        <v>Other</v>
      </c>
    </row>
    <row r="7657" spans="1:7" x14ac:dyDescent="0.25">
      <c r="A7657">
        <v>67716</v>
      </c>
      <c r="B7657" t="s">
        <v>4</v>
      </c>
      <c r="C7657">
        <v>4</v>
      </c>
      <c r="D7657" t="s">
        <v>5</v>
      </c>
      <c r="F7657" t="str" cm="1">
        <f t="array" ref="F7657">CategorizeComment(E7657)</f>
        <v>Other</v>
      </c>
      <c r="G7657" t="str" cm="1">
        <f t="array" ref="G7657">SubCategorizeComment(E7657)</f>
        <v>Other</v>
      </c>
    </row>
    <row r="7658" spans="1:7" x14ac:dyDescent="0.25">
      <c r="A7658">
        <v>67736</v>
      </c>
      <c r="B7658" t="s">
        <v>4</v>
      </c>
      <c r="C7658">
        <v>4</v>
      </c>
      <c r="D7658" t="s">
        <v>5</v>
      </c>
      <c r="F7658" t="str" cm="1">
        <f t="array" ref="F7658">CategorizeComment(E7658)</f>
        <v>Other</v>
      </c>
      <c r="G7658" t="str" cm="1">
        <f t="array" ref="G7658">SubCategorizeComment(E7658)</f>
        <v>Other</v>
      </c>
    </row>
    <row r="7659" spans="1:7" x14ac:dyDescent="0.25">
      <c r="A7659">
        <v>67738</v>
      </c>
      <c r="B7659" t="s">
        <v>4</v>
      </c>
      <c r="C7659">
        <v>4</v>
      </c>
      <c r="D7659" t="s">
        <v>5</v>
      </c>
      <c r="F7659" t="str" cm="1">
        <f t="array" ref="F7659">CategorizeComment(E7659)</f>
        <v>Other</v>
      </c>
      <c r="G7659" t="str" cm="1">
        <f t="array" ref="G7659">SubCategorizeComment(E7659)</f>
        <v>Other</v>
      </c>
    </row>
    <row r="7660" spans="1:7" x14ac:dyDescent="0.25">
      <c r="A7660">
        <v>67740</v>
      </c>
      <c r="B7660" t="s">
        <v>4</v>
      </c>
      <c r="C7660">
        <v>3</v>
      </c>
      <c r="D7660" t="s">
        <v>5</v>
      </c>
      <c r="F7660" t="str" cm="1">
        <f t="array" ref="F7660">CategorizeComment(E7660)</f>
        <v>Other</v>
      </c>
      <c r="G7660" t="str" cm="1">
        <f t="array" ref="G7660">SubCategorizeComment(E7660)</f>
        <v>Other</v>
      </c>
    </row>
    <row r="7661" spans="1:7" x14ac:dyDescent="0.25">
      <c r="A7661">
        <v>67746</v>
      </c>
      <c r="B7661" t="s">
        <v>4</v>
      </c>
      <c r="C7661">
        <v>4</v>
      </c>
      <c r="D7661" t="s">
        <v>5</v>
      </c>
      <c r="F7661" t="str" cm="1">
        <f t="array" ref="F7661">CategorizeComment(E7661)</f>
        <v>Other</v>
      </c>
      <c r="G7661" t="str" cm="1">
        <f t="array" ref="G7661">SubCategorizeComment(E7661)</f>
        <v>Other</v>
      </c>
    </row>
    <row r="7662" spans="1:7" x14ac:dyDescent="0.25">
      <c r="A7662">
        <v>67753</v>
      </c>
      <c r="B7662" t="s">
        <v>4</v>
      </c>
      <c r="C7662">
        <v>4</v>
      </c>
      <c r="D7662" t="s">
        <v>5</v>
      </c>
      <c r="F7662" t="str" cm="1">
        <f t="array" ref="F7662">CategorizeComment(E7662)</f>
        <v>Other</v>
      </c>
      <c r="G7662" t="str" cm="1">
        <f t="array" ref="G7662">SubCategorizeComment(E7662)</f>
        <v>Other</v>
      </c>
    </row>
    <row r="7663" spans="1:7" x14ac:dyDescent="0.25">
      <c r="A7663">
        <v>67754</v>
      </c>
      <c r="B7663" t="s">
        <v>4</v>
      </c>
      <c r="C7663">
        <v>4</v>
      </c>
      <c r="D7663" t="s">
        <v>5</v>
      </c>
      <c r="F7663" t="str" cm="1">
        <f t="array" ref="F7663">CategorizeComment(E7663)</f>
        <v>Other</v>
      </c>
      <c r="G7663" t="str" cm="1">
        <f t="array" ref="G7663">SubCategorizeComment(E7663)</f>
        <v>Other</v>
      </c>
    </row>
    <row r="7664" spans="1:7" x14ac:dyDescent="0.25">
      <c r="A7664">
        <v>67761</v>
      </c>
      <c r="B7664" t="s">
        <v>4</v>
      </c>
      <c r="C7664">
        <v>4</v>
      </c>
      <c r="D7664" t="s">
        <v>5</v>
      </c>
      <c r="F7664" t="str" cm="1">
        <f t="array" ref="F7664">CategorizeComment(E7664)</f>
        <v>Other</v>
      </c>
      <c r="G7664" t="str" cm="1">
        <f t="array" ref="G7664">SubCategorizeComment(E7664)</f>
        <v>Other</v>
      </c>
    </row>
    <row r="7665" spans="1:7" x14ac:dyDescent="0.25">
      <c r="A7665">
        <v>67762</v>
      </c>
      <c r="B7665" t="s">
        <v>4</v>
      </c>
      <c r="C7665">
        <v>4</v>
      </c>
      <c r="D7665" t="s">
        <v>5</v>
      </c>
      <c r="F7665" t="str" cm="1">
        <f t="array" ref="F7665">CategorizeComment(E7665)</f>
        <v>Other</v>
      </c>
      <c r="G7665" t="str" cm="1">
        <f t="array" ref="G7665">SubCategorizeComment(E7665)</f>
        <v>Other</v>
      </c>
    </row>
    <row r="7666" spans="1:7" x14ac:dyDescent="0.25">
      <c r="A7666">
        <v>67763</v>
      </c>
      <c r="B7666" t="s">
        <v>4</v>
      </c>
      <c r="C7666">
        <v>4</v>
      </c>
      <c r="D7666" t="s">
        <v>5</v>
      </c>
      <c r="F7666" t="str" cm="1">
        <f t="array" ref="F7666">CategorizeComment(E7666)</f>
        <v>Other</v>
      </c>
      <c r="G7666" t="str" cm="1">
        <f t="array" ref="G7666">SubCategorizeComment(E7666)</f>
        <v>Other</v>
      </c>
    </row>
    <row r="7667" spans="1:7" x14ac:dyDescent="0.25">
      <c r="A7667">
        <v>67780</v>
      </c>
      <c r="B7667" t="s">
        <v>4</v>
      </c>
      <c r="C7667">
        <v>3</v>
      </c>
      <c r="D7667" t="s">
        <v>5</v>
      </c>
      <c r="F7667" t="str" cm="1">
        <f t="array" ref="F7667">CategorizeComment(E7667)</f>
        <v>Other</v>
      </c>
      <c r="G7667" t="str" cm="1">
        <f t="array" ref="G7667">SubCategorizeComment(E7667)</f>
        <v>Other</v>
      </c>
    </row>
    <row r="7668" spans="1:7" x14ac:dyDescent="0.25">
      <c r="A7668">
        <v>67792</v>
      </c>
      <c r="B7668" t="s">
        <v>4</v>
      </c>
      <c r="C7668">
        <v>4</v>
      </c>
      <c r="D7668" t="s">
        <v>5</v>
      </c>
      <c r="F7668" t="str" cm="1">
        <f t="array" ref="F7668">CategorizeComment(E7668)</f>
        <v>Other</v>
      </c>
      <c r="G7668" t="str" cm="1">
        <f t="array" ref="G7668">SubCategorizeComment(E7668)</f>
        <v>Other</v>
      </c>
    </row>
    <row r="7669" spans="1:7" x14ac:dyDescent="0.25">
      <c r="A7669">
        <v>67799</v>
      </c>
      <c r="B7669" t="s">
        <v>4</v>
      </c>
      <c r="C7669">
        <v>3</v>
      </c>
      <c r="D7669" t="s">
        <v>5</v>
      </c>
      <c r="F7669" t="str" cm="1">
        <f t="array" ref="F7669">CategorizeComment(E7669)</f>
        <v>Other</v>
      </c>
      <c r="G7669" t="str" cm="1">
        <f t="array" ref="G7669">SubCategorizeComment(E7669)</f>
        <v>Other</v>
      </c>
    </row>
    <row r="7670" spans="1:7" x14ac:dyDescent="0.25">
      <c r="A7670">
        <v>67800</v>
      </c>
      <c r="B7670" t="s">
        <v>4</v>
      </c>
      <c r="C7670">
        <v>3</v>
      </c>
      <c r="D7670" t="s">
        <v>5</v>
      </c>
      <c r="F7670" t="str" cm="1">
        <f t="array" ref="F7670">CategorizeComment(E7670)</f>
        <v>Other</v>
      </c>
      <c r="G7670" t="str" cm="1">
        <f t="array" ref="G7670">SubCategorizeComment(E7670)</f>
        <v>Other</v>
      </c>
    </row>
    <row r="7671" spans="1:7" x14ac:dyDescent="0.25">
      <c r="A7671">
        <v>67809</v>
      </c>
      <c r="B7671" t="s">
        <v>4</v>
      </c>
      <c r="C7671">
        <v>3</v>
      </c>
      <c r="D7671" t="s">
        <v>5</v>
      </c>
      <c r="F7671" t="str" cm="1">
        <f t="array" ref="F7671">CategorizeComment(E7671)</f>
        <v>Other</v>
      </c>
      <c r="G7671" t="str" cm="1">
        <f t="array" ref="G7671">SubCategorizeComment(E7671)</f>
        <v>Other</v>
      </c>
    </row>
    <row r="7672" spans="1:7" x14ac:dyDescent="0.25">
      <c r="A7672">
        <v>67811</v>
      </c>
      <c r="B7672" t="s">
        <v>4</v>
      </c>
      <c r="C7672">
        <v>4</v>
      </c>
      <c r="D7672" t="s">
        <v>5</v>
      </c>
      <c r="F7672" t="str" cm="1">
        <f t="array" ref="F7672">CategorizeComment(E7672)</f>
        <v>Other</v>
      </c>
      <c r="G7672" t="str" cm="1">
        <f t="array" ref="G7672">SubCategorizeComment(E7672)</f>
        <v>Other</v>
      </c>
    </row>
    <row r="7673" spans="1:7" x14ac:dyDescent="0.25">
      <c r="A7673">
        <v>67832</v>
      </c>
      <c r="B7673" t="s">
        <v>4</v>
      </c>
      <c r="C7673">
        <v>4</v>
      </c>
      <c r="D7673" t="s">
        <v>5</v>
      </c>
      <c r="F7673" t="str" cm="1">
        <f t="array" ref="F7673">CategorizeComment(E7673)</f>
        <v>Other</v>
      </c>
      <c r="G7673" t="str" cm="1">
        <f t="array" ref="G7673">SubCategorizeComment(E7673)</f>
        <v>Other</v>
      </c>
    </row>
    <row r="7674" spans="1:7" x14ac:dyDescent="0.25">
      <c r="A7674">
        <v>67837</v>
      </c>
      <c r="B7674" t="s">
        <v>4</v>
      </c>
      <c r="C7674">
        <v>4</v>
      </c>
      <c r="D7674" t="s">
        <v>5</v>
      </c>
      <c r="F7674" t="str" cm="1">
        <f t="array" ref="F7674">CategorizeComment(E7674)</f>
        <v>Other</v>
      </c>
      <c r="G7674" t="str" cm="1">
        <f t="array" ref="G7674">SubCategorizeComment(E7674)</f>
        <v>Other</v>
      </c>
    </row>
    <row r="7675" spans="1:7" x14ac:dyDescent="0.25">
      <c r="A7675">
        <v>67853</v>
      </c>
      <c r="B7675" t="s">
        <v>4</v>
      </c>
      <c r="C7675">
        <v>4</v>
      </c>
      <c r="D7675" t="s">
        <v>5</v>
      </c>
      <c r="F7675" t="str" cm="1">
        <f t="array" ref="F7675">CategorizeComment(E7675)</f>
        <v>Other</v>
      </c>
      <c r="G7675" t="str" cm="1">
        <f t="array" ref="G7675">SubCategorizeComment(E7675)</f>
        <v>Other</v>
      </c>
    </row>
    <row r="7676" spans="1:7" x14ac:dyDescent="0.25">
      <c r="A7676">
        <v>67855</v>
      </c>
      <c r="B7676" t="s">
        <v>4</v>
      </c>
      <c r="C7676">
        <v>3</v>
      </c>
      <c r="D7676" t="s">
        <v>5</v>
      </c>
      <c r="F7676" t="str" cm="1">
        <f t="array" ref="F7676">CategorizeComment(E7676)</f>
        <v>Other</v>
      </c>
      <c r="G7676" t="str" cm="1">
        <f t="array" ref="G7676">SubCategorizeComment(E7676)</f>
        <v>Other</v>
      </c>
    </row>
    <row r="7677" spans="1:7" x14ac:dyDescent="0.25">
      <c r="A7677">
        <v>67863</v>
      </c>
      <c r="B7677" t="s">
        <v>4</v>
      </c>
      <c r="C7677">
        <v>3</v>
      </c>
      <c r="D7677" t="s">
        <v>5</v>
      </c>
      <c r="F7677" t="str" cm="1">
        <f t="array" ref="F7677">CategorizeComment(E7677)</f>
        <v>Other</v>
      </c>
      <c r="G7677" t="str" cm="1">
        <f t="array" ref="G7677">SubCategorizeComment(E7677)</f>
        <v>Other</v>
      </c>
    </row>
    <row r="7678" spans="1:7" x14ac:dyDescent="0.25">
      <c r="A7678">
        <v>67877</v>
      </c>
      <c r="B7678" t="s">
        <v>4</v>
      </c>
      <c r="C7678">
        <v>3</v>
      </c>
      <c r="D7678" t="s">
        <v>5</v>
      </c>
      <c r="F7678" t="str" cm="1">
        <f t="array" ref="F7678">CategorizeComment(E7678)</f>
        <v>Other</v>
      </c>
      <c r="G7678" t="str" cm="1">
        <f t="array" ref="G7678">SubCategorizeComment(E7678)</f>
        <v>Other</v>
      </c>
    </row>
    <row r="7679" spans="1:7" x14ac:dyDescent="0.25">
      <c r="A7679">
        <v>67891</v>
      </c>
      <c r="B7679" t="s">
        <v>4</v>
      </c>
      <c r="C7679">
        <v>3</v>
      </c>
      <c r="D7679" t="s">
        <v>5</v>
      </c>
      <c r="F7679" t="str" cm="1">
        <f t="array" ref="F7679">CategorizeComment(E7679)</f>
        <v>Other</v>
      </c>
      <c r="G7679" t="str" cm="1">
        <f t="array" ref="G7679">SubCategorizeComment(E7679)</f>
        <v>Other</v>
      </c>
    </row>
    <row r="7680" spans="1:7" x14ac:dyDescent="0.25">
      <c r="A7680">
        <v>67895</v>
      </c>
      <c r="B7680" t="s">
        <v>4</v>
      </c>
      <c r="C7680">
        <v>4</v>
      </c>
      <c r="D7680" t="s">
        <v>5</v>
      </c>
      <c r="F7680" t="str" cm="1">
        <f t="array" ref="F7680">CategorizeComment(E7680)</f>
        <v>Other</v>
      </c>
      <c r="G7680" t="str" cm="1">
        <f t="array" ref="G7680">SubCategorizeComment(E7680)</f>
        <v>Other</v>
      </c>
    </row>
    <row r="7681" spans="1:7" x14ac:dyDescent="0.25">
      <c r="A7681">
        <v>67900</v>
      </c>
      <c r="B7681" t="s">
        <v>4</v>
      </c>
      <c r="C7681">
        <v>3</v>
      </c>
      <c r="D7681" t="s">
        <v>5</v>
      </c>
      <c r="F7681" t="str" cm="1">
        <f t="array" ref="F7681">CategorizeComment(E7681)</f>
        <v>Other</v>
      </c>
      <c r="G7681" t="str" cm="1">
        <f t="array" ref="G7681">SubCategorizeComment(E7681)</f>
        <v>Other</v>
      </c>
    </row>
    <row r="7682" spans="1:7" x14ac:dyDescent="0.25">
      <c r="A7682">
        <v>67910</v>
      </c>
      <c r="B7682" t="s">
        <v>4</v>
      </c>
      <c r="C7682">
        <v>3</v>
      </c>
      <c r="D7682" t="s">
        <v>5</v>
      </c>
      <c r="F7682" t="str" cm="1">
        <f t="array" ref="F7682">CategorizeComment(E7682)</f>
        <v>Other</v>
      </c>
      <c r="G7682" t="str" cm="1">
        <f t="array" ref="G7682">SubCategorizeComment(E7682)</f>
        <v>Other</v>
      </c>
    </row>
    <row r="7683" spans="1:7" x14ac:dyDescent="0.25">
      <c r="A7683">
        <v>67934</v>
      </c>
      <c r="B7683" t="s">
        <v>4</v>
      </c>
      <c r="C7683">
        <v>3</v>
      </c>
      <c r="D7683" t="s">
        <v>5</v>
      </c>
      <c r="F7683" t="str" cm="1">
        <f t="array" ref="F7683">CategorizeComment(E7683)</f>
        <v>Other</v>
      </c>
      <c r="G7683" t="str" cm="1">
        <f t="array" ref="G7683">SubCategorizeComment(E7683)</f>
        <v>Other</v>
      </c>
    </row>
    <row r="7684" spans="1:7" x14ac:dyDescent="0.25">
      <c r="A7684">
        <v>67941</v>
      </c>
      <c r="B7684" t="s">
        <v>4</v>
      </c>
      <c r="C7684">
        <v>3</v>
      </c>
      <c r="D7684" t="s">
        <v>5</v>
      </c>
      <c r="F7684" t="str" cm="1">
        <f t="array" ref="F7684">CategorizeComment(E7684)</f>
        <v>Other</v>
      </c>
      <c r="G7684" t="str" cm="1">
        <f t="array" ref="G7684">SubCategorizeComment(E7684)</f>
        <v>Other</v>
      </c>
    </row>
    <row r="7685" spans="1:7" x14ac:dyDescent="0.25">
      <c r="A7685">
        <v>67968</v>
      </c>
      <c r="B7685" t="s">
        <v>4</v>
      </c>
      <c r="C7685">
        <v>3</v>
      </c>
      <c r="D7685" t="s">
        <v>5</v>
      </c>
      <c r="F7685" t="str" cm="1">
        <f t="array" ref="F7685">CategorizeComment(E7685)</f>
        <v>Other</v>
      </c>
      <c r="G7685" t="str" cm="1">
        <f t="array" ref="G7685">SubCategorizeComment(E7685)</f>
        <v>Other</v>
      </c>
    </row>
    <row r="7686" spans="1:7" x14ac:dyDescent="0.25">
      <c r="A7686">
        <v>67971</v>
      </c>
      <c r="B7686" t="s">
        <v>4</v>
      </c>
      <c r="C7686">
        <v>4</v>
      </c>
      <c r="D7686" t="s">
        <v>5</v>
      </c>
      <c r="F7686" t="str" cm="1">
        <f t="array" ref="F7686">CategorizeComment(E7686)</f>
        <v>Other</v>
      </c>
      <c r="G7686" t="str" cm="1">
        <f t="array" ref="G7686">SubCategorizeComment(E7686)</f>
        <v>Other</v>
      </c>
    </row>
    <row r="7687" spans="1:7" x14ac:dyDescent="0.25">
      <c r="A7687">
        <v>67972</v>
      </c>
      <c r="B7687" t="s">
        <v>4</v>
      </c>
      <c r="C7687">
        <v>4</v>
      </c>
      <c r="D7687" t="s">
        <v>5</v>
      </c>
      <c r="F7687" t="str" cm="1">
        <f t="array" ref="F7687">CategorizeComment(E7687)</f>
        <v>Other</v>
      </c>
      <c r="G7687" t="str" cm="1">
        <f t="array" ref="G7687">SubCategorizeComment(E7687)</f>
        <v>Other</v>
      </c>
    </row>
    <row r="7688" spans="1:7" x14ac:dyDescent="0.25">
      <c r="A7688">
        <v>67981</v>
      </c>
      <c r="B7688" t="s">
        <v>4</v>
      </c>
      <c r="C7688">
        <v>4</v>
      </c>
      <c r="D7688" t="s">
        <v>5</v>
      </c>
      <c r="F7688" t="str" cm="1">
        <f t="array" ref="F7688">CategorizeComment(E7688)</f>
        <v>Other</v>
      </c>
      <c r="G7688" t="str" cm="1">
        <f t="array" ref="G7688">SubCategorizeComment(E7688)</f>
        <v>Other</v>
      </c>
    </row>
    <row r="7689" spans="1:7" x14ac:dyDescent="0.25">
      <c r="A7689">
        <v>67982</v>
      </c>
      <c r="B7689" t="s">
        <v>4</v>
      </c>
      <c r="C7689">
        <v>4</v>
      </c>
      <c r="D7689" t="s">
        <v>5</v>
      </c>
      <c r="F7689" t="str" cm="1">
        <f t="array" ref="F7689">CategorizeComment(E7689)</f>
        <v>Other</v>
      </c>
      <c r="G7689" t="str" cm="1">
        <f t="array" ref="G7689">SubCategorizeComment(E7689)</f>
        <v>Other</v>
      </c>
    </row>
    <row r="7690" spans="1:7" x14ac:dyDescent="0.25">
      <c r="A7690">
        <v>67985</v>
      </c>
      <c r="B7690" t="s">
        <v>4</v>
      </c>
      <c r="C7690">
        <v>4</v>
      </c>
      <c r="D7690" t="s">
        <v>5</v>
      </c>
      <c r="F7690" t="str" cm="1">
        <f t="array" ref="F7690">CategorizeComment(E7690)</f>
        <v>Other</v>
      </c>
      <c r="G7690" t="str" cm="1">
        <f t="array" ref="G7690">SubCategorizeComment(E7690)</f>
        <v>Other</v>
      </c>
    </row>
    <row r="7691" spans="1:7" x14ac:dyDescent="0.25">
      <c r="A7691">
        <v>67991</v>
      </c>
      <c r="B7691" t="s">
        <v>4</v>
      </c>
      <c r="C7691">
        <v>3</v>
      </c>
      <c r="D7691" t="s">
        <v>5</v>
      </c>
      <c r="F7691" t="str" cm="1">
        <f t="array" ref="F7691">CategorizeComment(E7691)</f>
        <v>Other</v>
      </c>
      <c r="G7691" t="str" cm="1">
        <f t="array" ref="G7691">SubCategorizeComment(E7691)</f>
        <v>Other</v>
      </c>
    </row>
    <row r="7692" spans="1:7" x14ac:dyDescent="0.25">
      <c r="A7692">
        <v>67992</v>
      </c>
      <c r="B7692" t="s">
        <v>4</v>
      </c>
      <c r="C7692">
        <v>4</v>
      </c>
      <c r="D7692" t="s">
        <v>5</v>
      </c>
      <c r="F7692" t="str" cm="1">
        <f t="array" ref="F7692">CategorizeComment(E7692)</f>
        <v>Other</v>
      </c>
      <c r="G7692" t="str" cm="1">
        <f t="array" ref="G7692">SubCategorizeComment(E7692)</f>
        <v>Other</v>
      </c>
    </row>
    <row r="7693" spans="1:7" x14ac:dyDescent="0.25">
      <c r="A7693">
        <v>68014</v>
      </c>
      <c r="B7693" t="s">
        <v>4</v>
      </c>
      <c r="C7693">
        <v>3</v>
      </c>
      <c r="D7693" t="s">
        <v>5</v>
      </c>
      <c r="F7693" t="str" cm="1">
        <f t="array" ref="F7693">CategorizeComment(E7693)</f>
        <v>Other</v>
      </c>
      <c r="G7693" t="str" cm="1">
        <f t="array" ref="G7693">SubCategorizeComment(E7693)</f>
        <v>Other</v>
      </c>
    </row>
    <row r="7694" spans="1:7" x14ac:dyDescent="0.25">
      <c r="A7694">
        <v>68015</v>
      </c>
      <c r="B7694" t="s">
        <v>4</v>
      </c>
      <c r="C7694">
        <v>4</v>
      </c>
      <c r="D7694" t="s">
        <v>5</v>
      </c>
      <c r="F7694" t="str" cm="1">
        <f t="array" ref="F7694">CategorizeComment(E7694)</f>
        <v>Other</v>
      </c>
      <c r="G7694" t="str" cm="1">
        <f t="array" ref="G7694">SubCategorizeComment(E7694)</f>
        <v>Other</v>
      </c>
    </row>
    <row r="7695" spans="1:7" x14ac:dyDescent="0.25">
      <c r="A7695">
        <v>68035</v>
      </c>
      <c r="B7695" t="s">
        <v>4</v>
      </c>
      <c r="C7695">
        <v>4</v>
      </c>
      <c r="D7695" t="s">
        <v>5</v>
      </c>
      <c r="F7695" t="str" cm="1">
        <f t="array" ref="F7695">CategorizeComment(E7695)</f>
        <v>Other</v>
      </c>
      <c r="G7695" t="str" cm="1">
        <f t="array" ref="G7695">SubCategorizeComment(E7695)</f>
        <v>Other</v>
      </c>
    </row>
    <row r="7696" spans="1:7" x14ac:dyDescent="0.25">
      <c r="A7696">
        <v>68071</v>
      </c>
      <c r="B7696" t="s">
        <v>4</v>
      </c>
      <c r="C7696">
        <v>4</v>
      </c>
      <c r="D7696" t="s">
        <v>5</v>
      </c>
      <c r="F7696" t="str" cm="1">
        <f t="array" ref="F7696">CategorizeComment(E7696)</f>
        <v>Other</v>
      </c>
      <c r="G7696" t="str" cm="1">
        <f t="array" ref="G7696">SubCategorizeComment(E7696)</f>
        <v>Other</v>
      </c>
    </row>
    <row r="7697" spans="1:7" x14ac:dyDescent="0.25">
      <c r="A7697">
        <v>68072</v>
      </c>
      <c r="B7697" t="s">
        <v>4</v>
      </c>
      <c r="C7697">
        <v>3</v>
      </c>
      <c r="D7697" t="s">
        <v>5</v>
      </c>
      <c r="F7697" t="str" cm="1">
        <f t="array" ref="F7697">CategorizeComment(E7697)</f>
        <v>Other</v>
      </c>
      <c r="G7697" t="str" cm="1">
        <f t="array" ref="G7697">SubCategorizeComment(E7697)</f>
        <v>Other</v>
      </c>
    </row>
    <row r="7698" spans="1:7" x14ac:dyDescent="0.25">
      <c r="A7698">
        <v>68077</v>
      </c>
      <c r="B7698" t="s">
        <v>4</v>
      </c>
      <c r="C7698">
        <v>3</v>
      </c>
      <c r="D7698" t="s">
        <v>5</v>
      </c>
      <c r="F7698" t="str" cm="1">
        <f t="array" ref="F7698">CategorizeComment(E7698)</f>
        <v>Other</v>
      </c>
      <c r="G7698" t="str" cm="1">
        <f t="array" ref="G7698">SubCategorizeComment(E7698)</f>
        <v>Other</v>
      </c>
    </row>
    <row r="7699" spans="1:7" x14ac:dyDescent="0.25">
      <c r="A7699">
        <v>68083</v>
      </c>
      <c r="B7699" t="s">
        <v>4</v>
      </c>
      <c r="C7699">
        <v>3</v>
      </c>
      <c r="D7699" t="s">
        <v>5</v>
      </c>
      <c r="F7699" t="str" cm="1">
        <f t="array" ref="F7699">CategorizeComment(E7699)</f>
        <v>Other</v>
      </c>
      <c r="G7699" t="str" cm="1">
        <f t="array" ref="G7699">SubCategorizeComment(E7699)</f>
        <v>Other</v>
      </c>
    </row>
    <row r="7700" spans="1:7" x14ac:dyDescent="0.25">
      <c r="A7700">
        <v>68093</v>
      </c>
      <c r="B7700" t="s">
        <v>4</v>
      </c>
      <c r="C7700">
        <v>3</v>
      </c>
      <c r="D7700" t="s">
        <v>5</v>
      </c>
      <c r="F7700" t="str" cm="1">
        <f t="array" ref="F7700">CategorizeComment(E7700)</f>
        <v>Other</v>
      </c>
      <c r="G7700" t="str" cm="1">
        <f t="array" ref="G7700">SubCategorizeComment(E7700)</f>
        <v>Other</v>
      </c>
    </row>
    <row r="7701" spans="1:7" x14ac:dyDescent="0.25">
      <c r="A7701">
        <v>68103</v>
      </c>
      <c r="B7701" t="s">
        <v>4</v>
      </c>
      <c r="C7701">
        <v>4</v>
      </c>
      <c r="D7701" t="s">
        <v>5</v>
      </c>
      <c r="F7701" t="str" cm="1">
        <f t="array" ref="F7701">CategorizeComment(E7701)</f>
        <v>Other</v>
      </c>
      <c r="G7701" t="str" cm="1">
        <f t="array" ref="G7701">SubCategorizeComment(E7701)</f>
        <v>Other</v>
      </c>
    </row>
    <row r="7702" spans="1:7" x14ac:dyDescent="0.25">
      <c r="A7702">
        <v>68118</v>
      </c>
      <c r="B7702" t="s">
        <v>4</v>
      </c>
      <c r="C7702">
        <v>4</v>
      </c>
      <c r="D7702" t="s">
        <v>5</v>
      </c>
      <c r="F7702" t="str" cm="1">
        <f t="array" ref="F7702">CategorizeComment(E7702)</f>
        <v>Other</v>
      </c>
      <c r="G7702" t="str" cm="1">
        <f t="array" ref="G7702">SubCategorizeComment(E7702)</f>
        <v>Other</v>
      </c>
    </row>
    <row r="7703" spans="1:7" x14ac:dyDescent="0.25">
      <c r="A7703">
        <v>68137</v>
      </c>
      <c r="B7703" t="s">
        <v>4</v>
      </c>
      <c r="C7703">
        <v>3</v>
      </c>
      <c r="D7703" t="s">
        <v>5</v>
      </c>
      <c r="F7703" t="str" cm="1">
        <f t="array" ref="F7703">CategorizeComment(E7703)</f>
        <v>Other</v>
      </c>
      <c r="G7703" t="str" cm="1">
        <f t="array" ref="G7703">SubCategorizeComment(E7703)</f>
        <v>Other</v>
      </c>
    </row>
    <row r="7704" spans="1:7" x14ac:dyDescent="0.25">
      <c r="A7704">
        <v>68140</v>
      </c>
      <c r="B7704" t="s">
        <v>4</v>
      </c>
      <c r="C7704">
        <v>3</v>
      </c>
      <c r="D7704" t="s">
        <v>5</v>
      </c>
      <c r="F7704" t="str" cm="1">
        <f t="array" ref="F7704">CategorizeComment(E7704)</f>
        <v>Other</v>
      </c>
      <c r="G7704" t="str" cm="1">
        <f t="array" ref="G7704">SubCategorizeComment(E7704)</f>
        <v>Other</v>
      </c>
    </row>
    <row r="7705" spans="1:7" x14ac:dyDescent="0.25">
      <c r="A7705">
        <v>68169</v>
      </c>
      <c r="B7705" t="s">
        <v>4</v>
      </c>
      <c r="C7705">
        <v>4</v>
      </c>
      <c r="D7705" t="s">
        <v>5</v>
      </c>
      <c r="F7705" t="str" cm="1">
        <f t="array" ref="F7705">CategorizeComment(E7705)</f>
        <v>Other</v>
      </c>
      <c r="G7705" t="str" cm="1">
        <f t="array" ref="G7705">SubCategorizeComment(E7705)</f>
        <v>Other</v>
      </c>
    </row>
    <row r="7706" spans="1:7" x14ac:dyDescent="0.25">
      <c r="A7706">
        <v>68172</v>
      </c>
      <c r="B7706" t="s">
        <v>4</v>
      </c>
      <c r="C7706">
        <v>3</v>
      </c>
      <c r="D7706" t="s">
        <v>5</v>
      </c>
      <c r="F7706" t="str" cm="1">
        <f t="array" ref="F7706">CategorizeComment(E7706)</f>
        <v>Other</v>
      </c>
      <c r="G7706" t="str" cm="1">
        <f t="array" ref="G7706">SubCategorizeComment(E7706)</f>
        <v>Other</v>
      </c>
    </row>
    <row r="7707" spans="1:7" x14ac:dyDescent="0.25">
      <c r="A7707">
        <v>68184</v>
      </c>
      <c r="B7707" t="s">
        <v>4</v>
      </c>
      <c r="C7707">
        <v>4</v>
      </c>
      <c r="D7707" t="s">
        <v>5</v>
      </c>
      <c r="F7707" t="str" cm="1">
        <f t="array" ref="F7707">CategorizeComment(E7707)</f>
        <v>Other</v>
      </c>
      <c r="G7707" t="str" cm="1">
        <f t="array" ref="G7707">SubCategorizeComment(E7707)</f>
        <v>Other</v>
      </c>
    </row>
    <row r="7708" spans="1:7" x14ac:dyDescent="0.25">
      <c r="A7708">
        <v>68187</v>
      </c>
      <c r="B7708" t="s">
        <v>4</v>
      </c>
      <c r="C7708">
        <v>3</v>
      </c>
      <c r="D7708" t="s">
        <v>5</v>
      </c>
      <c r="F7708" t="str" cm="1">
        <f t="array" ref="F7708">CategorizeComment(E7708)</f>
        <v>Other</v>
      </c>
      <c r="G7708" t="str" cm="1">
        <f t="array" ref="G7708">SubCategorizeComment(E7708)</f>
        <v>Other</v>
      </c>
    </row>
    <row r="7709" spans="1:7" x14ac:dyDescent="0.25">
      <c r="A7709">
        <v>68202</v>
      </c>
      <c r="B7709" t="s">
        <v>4</v>
      </c>
      <c r="C7709">
        <v>3</v>
      </c>
      <c r="D7709" t="s">
        <v>5</v>
      </c>
      <c r="F7709" t="str" cm="1">
        <f t="array" ref="F7709">CategorizeComment(E7709)</f>
        <v>Other</v>
      </c>
      <c r="G7709" t="str" cm="1">
        <f t="array" ref="G7709">SubCategorizeComment(E7709)</f>
        <v>Other</v>
      </c>
    </row>
    <row r="7710" spans="1:7" x14ac:dyDescent="0.25">
      <c r="A7710">
        <v>68203</v>
      </c>
      <c r="B7710" t="s">
        <v>4</v>
      </c>
      <c r="C7710">
        <v>4</v>
      </c>
      <c r="D7710" t="s">
        <v>5</v>
      </c>
      <c r="F7710" t="str" cm="1">
        <f t="array" ref="F7710">CategorizeComment(E7710)</f>
        <v>Other</v>
      </c>
      <c r="G7710" t="str" cm="1">
        <f t="array" ref="G7710">SubCategorizeComment(E7710)</f>
        <v>Other</v>
      </c>
    </row>
    <row r="7711" spans="1:7" x14ac:dyDescent="0.25">
      <c r="A7711">
        <v>68227</v>
      </c>
      <c r="B7711" t="s">
        <v>4</v>
      </c>
      <c r="C7711">
        <v>4</v>
      </c>
      <c r="D7711" t="s">
        <v>5</v>
      </c>
      <c r="F7711" t="str" cm="1">
        <f t="array" ref="F7711">CategorizeComment(E7711)</f>
        <v>Other</v>
      </c>
      <c r="G7711" t="str" cm="1">
        <f t="array" ref="G7711">SubCategorizeComment(E7711)</f>
        <v>Other</v>
      </c>
    </row>
    <row r="7712" spans="1:7" x14ac:dyDescent="0.25">
      <c r="A7712">
        <v>68228</v>
      </c>
      <c r="B7712" t="s">
        <v>4</v>
      </c>
      <c r="C7712">
        <v>3</v>
      </c>
      <c r="D7712" t="s">
        <v>5</v>
      </c>
      <c r="F7712" t="str" cm="1">
        <f t="array" ref="F7712">CategorizeComment(E7712)</f>
        <v>Other</v>
      </c>
      <c r="G7712" t="str" cm="1">
        <f t="array" ref="G7712">SubCategorizeComment(E7712)</f>
        <v>Other</v>
      </c>
    </row>
    <row r="7713" spans="1:7" x14ac:dyDescent="0.25">
      <c r="A7713">
        <v>68231</v>
      </c>
      <c r="B7713" t="s">
        <v>4</v>
      </c>
      <c r="C7713">
        <v>4</v>
      </c>
      <c r="D7713" t="s">
        <v>5</v>
      </c>
      <c r="F7713" t="str" cm="1">
        <f t="array" ref="F7713">CategorizeComment(E7713)</f>
        <v>Other</v>
      </c>
      <c r="G7713" t="str" cm="1">
        <f t="array" ref="G7713">SubCategorizeComment(E7713)</f>
        <v>Other</v>
      </c>
    </row>
    <row r="7714" spans="1:7" x14ac:dyDescent="0.25">
      <c r="A7714">
        <v>68252</v>
      </c>
      <c r="B7714" t="s">
        <v>4</v>
      </c>
      <c r="C7714">
        <v>3</v>
      </c>
      <c r="D7714" t="s">
        <v>5</v>
      </c>
      <c r="F7714" t="str" cm="1">
        <f t="array" ref="F7714">CategorizeComment(E7714)</f>
        <v>Other</v>
      </c>
      <c r="G7714" t="str" cm="1">
        <f t="array" ref="G7714">SubCategorizeComment(E7714)</f>
        <v>Other</v>
      </c>
    </row>
    <row r="7715" spans="1:7" x14ac:dyDescent="0.25">
      <c r="A7715">
        <v>68268</v>
      </c>
      <c r="B7715" t="s">
        <v>4</v>
      </c>
      <c r="C7715">
        <v>3</v>
      </c>
      <c r="D7715" t="s">
        <v>5</v>
      </c>
      <c r="F7715" t="str" cm="1">
        <f t="array" ref="F7715">CategorizeComment(E7715)</f>
        <v>Other</v>
      </c>
      <c r="G7715" t="str" cm="1">
        <f t="array" ref="G7715">SubCategorizeComment(E7715)</f>
        <v>Other</v>
      </c>
    </row>
    <row r="7716" spans="1:7" x14ac:dyDescent="0.25">
      <c r="A7716">
        <v>68275</v>
      </c>
      <c r="B7716" t="s">
        <v>4</v>
      </c>
      <c r="C7716">
        <v>4</v>
      </c>
      <c r="D7716" t="s">
        <v>5</v>
      </c>
      <c r="F7716" t="str" cm="1">
        <f t="array" ref="F7716">CategorizeComment(E7716)</f>
        <v>Other</v>
      </c>
      <c r="G7716" t="str" cm="1">
        <f t="array" ref="G7716">SubCategorizeComment(E7716)</f>
        <v>Other</v>
      </c>
    </row>
    <row r="7717" spans="1:7" x14ac:dyDescent="0.25">
      <c r="A7717">
        <v>68290</v>
      </c>
      <c r="B7717" t="s">
        <v>4</v>
      </c>
      <c r="C7717">
        <v>3</v>
      </c>
      <c r="D7717" t="s">
        <v>5</v>
      </c>
      <c r="F7717" t="str" cm="1">
        <f t="array" ref="F7717">CategorizeComment(E7717)</f>
        <v>Other</v>
      </c>
      <c r="G7717" t="str" cm="1">
        <f t="array" ref="G7717">SubCategorizeComment(E7717)</f>
        <v>Other</v>
      </c>
    </row>
    <row r="7718" spans="1:7" x14ac:dyDescent="0.25">
      <c r="A7718">
        <v>68291</v>
      </c>
      <c r="B7718" t="s">
        <v>4</v>
      </c>
      <c r="C7718">
        <v>4</v>
      </c>
      <c r="D7718" t="s">
        <v>5</v>
      </c>
      <c r="F7718" t="str" cm="1">
        <f t="array" ref="F7718">CategorizeComment(E7718)</f>
        <v>Other</v>
      </c>
      <c r="G7718" t="str" cm="1">
        <f t="array" ref="G7718">SubCategorizeComment(E7718)</f>
        <v>Other</v>
      </c>
    </row>
    <row r="7719" spans="1:7" x14ac:dyDescent="0.25">
      <c r="A7719">
        <v>68303</v>
      </c>
      <c r="B7719" t="s">
        <v>4</v>
      </c>
      <c r="C7719">
        <v>4</v>
      </c>
      <c r="D7719" t="s">
        <v>5</v>
      </c>
      <c r="F7719" t="str" cm="1">
        <f t="array" ref="F7719">CategorizeComment(E7719)</f>
        <v>Other</v>
      </c>
      <c r="G7719" t="str" cm="1">
        <f t="array" ref="G7719">SubCategorizeComment(E7719)</f>
        <v>Other</v>
      </c>
    </row>
    <row r="7720" spans="1:7" x14ac:dyDescent="0.25">
      <c r="A7720">
        <v>68325</v>
      </c>
      <c r="B7720" t="s">
        <v>4</v>
      </c>
      <c r="C7720">
        <v>3</v>
      </c>
      <c r="D7720" t="s">
        <v>5</v>
      </c>
      <c r="F7720" t="str" cm="1">
        <f t="array" ref="F7720">CategorizeComment(E7720)</f>
        <v>Other</v>
      </c>
      <c r="G7720" t="str" cm="1">
        <f t="array" ref="G7720">SubCategorizeComment(E7720)</f>
        <v>Other</v>
      </c>
    </row>
    <row r="7721" spans="1:7" x14ac:dyDescent="0.25">
      <c r="A7721">
        <v>68326</v>
      </c>
      <c r="B7721" t="s">
        <v>4</v>
      </c>
      <c r="C7721">
        <v>3</v>
      </c>
      <c r="D7721" t="s">
        <v>5</v>
      </c>
      <c r="F7721" t="str" cm="1">
        <f t="array" ref="F7721">CategorizeComment(E7721)</f>
        <v>Other</v>
      </c>
      <c r="G7721" t="str" cm="1">
        <f t="array" ref="G7721">SubCategorizeComment(E7721)</f>
        <v>Other</v>
      </c>
    </row>
    <row r="7722" spans="1:7" x14ac:dyDescent="0.25">
      <c r="A7722">
        <v>68332</v>
      </c>
      <c r="B7722" t="s">
        <v>4</v>
      </c>
      <c r="C7722">
        <v>3</v>
      </c>
      <c r="D7722" t="s">
        <v>5</v>
      </c>
      <c r="F7722" t="str" cm="1">
        <f t="array" ref="F7722">CategorizeComment(E7722)</f>
        <v>Other</v>
      </c>
      <c r="G7722" t="str" cm="1">
        <f t="array" ref="G7722">SubCategorizeComment(E7722)</f>
        <v>Other</v>
      </c>
    </row>
    <row r="7723" spans="1:7" x14ac:dyDescent="0.25">
      <c r="A7723">
        <v>68345</v>
      </c>
      <c r="B7723" t="s">
        <v>4</v>
      </c>
      <c r="C7723">
        <v>3</v>
      </c>
      <c r="D7723" t="s">
        <v>5</v>
      </c>
      <c r="F7723" t="str" cm="1">
        <f t="array" ref="F7723">CategorizeComment(E7723)</f>
        <v>Other</v>
      </c>
      <c r="G7723" t="str" cm="1">
        <f t="array" ref="G7723">SubCategorizeComment(E7723)</f>
        <v>Other</v>
      </c>
    </row>
    <row r="7724" spans="1:7" x14ac:dyDescent="0.25">
      <c r="A7724">
        <v>68348</v>
      </c>
      <c r="B7724" t="s">
        <v>4</v>
      </c>
      <c r="C7724">
        <v>4</v>
      </c>
      <c r="D7724" t="s">
        <v>5</v>
      </c>
      <c r="F7724" t="str" cm="1">
        <f t="array" ref="F7724">CategorizeComment(E7724)</f>
        <v>Other</v>
      </c>
      <c r="G7724" t="str" cm="1">
        <f t="array" ref="G7724">SubCategorizeComment(E7724)</f>
        <v>Other</v>
      </c>
    </row>
    <row r="7725" spans="1:7" x14ac:dyDescent="0.25">
      <c r="A7725">
        <v>68349</v>
      </c>
      <c r="B7725" t="s">
        <v>4</v>
      </c>
      <c r="C7725">
        <v>3</v>
      </c>
      <c r="D7725" t="s">
        <v>5</v>
      </c>
      <c r="F7725" t="str" cm="1">
        <f t="array" ref="F7725">CategorizeComment(E7725)</f>
        <v>Other</v>
      </c>
      <c r="G7725" t="str" cm="1">
        <f t="array" ref="G7725">SubCategorizeComment(E7725)</f>
        <v>Other</v>
      </c>
    </row>
    <row r="7726" spans="1:7" x14ac:dyDescent="0.25">
      <c r="A7726">
        <v>68350</v>
      </c>
      <c r="B7726" t="s">
        <v>4</v>
      </c>
      <c r="C7726">
        <v>4</v>
      </c>
      <c r="D7726" t="s">
        <v>5</v>
      </c>
      <c r="F7726" t="str" cm="1">
        <f t="array" ref="F7726">CategorizeComment(E7726)</f>
        <v>Other</v>
      </c>
      <c r="G7726" t="str" cm="1">
        <f t="array" ref="G7726">SubCategorizeComment(E7726)</f>
        <v>Other</v>
      </c>
    </row>
    <row r="7727" spans="1:7" x14ac:dyDescent="0.25">
      <c r="A7727">
        <v>68400</v>
      </c>
      <c r="B7727" t="s">
        <v>4</v>
      </c>
      <c r="C7727">
        <v>3</v>
      </c>
      <c r="D7727" t="s">
        <v>5</v>
      </c>
      <c r="F7727" t="str" cm="1">
        <f t="array" ref="F7727">CategorizeComment(E7727)</f>
        <v>Other</v>
      </c>
      <c r="G7727" t="str" cm="1">
        <f t="array" ref="G7727">SubCategorizeComment(E7727)</f>
        <v>Other</v>
      </c>
    </row>
    <row r="7728" spans="1:7" x14ac:dyDescent="0.25">
      <c r="A7728">
        <v>68405</v>
      </c>
      <c r="B7728" t="s">
        <v>4</v>
      </c>
      <c r="C7728">
        <v>4</v>
      </c>
      <c r="D7728" t="s">
        <v>5</v>
      </c>
      <c r="F7728" t="str" cm="1">
        <f t="array" ref="F7728">CategorizeComment(E7728)</f>
        <v>Other</v>
      </c>
      <c r="G7728" t="str" cm="1">
        <f t="array" ref="G7728">SubCategorizeComment(E7728)</f>
        <v>Other</v>
      </c>
    </row>
    <row r="7729" spans="1:7" x14ac:dyDescent="0.25">
      <c r="A7729">
        <v>68414</v>
      </c>
      <c r="B7729" t="s">
        <v>4</v>
      </c>
      <c r="C7729">
        <v>4</v>
      </c>
      <c r="D7729" t="s">
        <v>5</v>
      </c>
      <c r="F7729" t="str" cm="1">
        <f t="array" ref="F7729">CategorizeComment(E7729)</f>
        <v>Other</v>
      </c>
      <c r="G7729" t="str" cm="1">
        <f t="array" ref="G7729">SubCategorizeComment(E7729)</f>
        <v>Other</v>
      </c>
    </row>
    <row r="7730" spans="1:7" x14ac:dyDescent="0.25">
      <c r="A7730">
        <v>68419</v>
      </c>
      <c r="B7730" t="s">
        <v>4</v>
      </c>
      <c r="C7730">
        <v>3</v>
      </c>
      <c r="D7730" t="s">
        <v>5</v>
      </c>
      <c r="F7730" t="str" cm="1">
        <f t="array" ref="F7730">CategorizeComment(E7730)</f>
        <v>Other</v>
      </c>
      <c r="G7730" t="str" cm="1">
        <f t="array" ref="G7730">SubCategorizeComment(E7730)</f>
        <v>Other</v>
      </c>
    </row>
    <row r="7731" spans="1:7" x14ac:dyDescent="0.25">
      <c r="A7731">
        <v>68423</v>
      </c>
      <c r="B7731" t="s">
        <v>4</v>
      </c>
      <c r="C7731">
        <v>4</v>
      </c>
      <c r="D7731" t="s">
        <v>5</v>
      </c>
      <c r="F7731" t="str" cm="1">
        <f t="array" ref="F7731">CategorizeComment(E7731)</f>
        <v>Other</v>
      </c>
      <c r="G7731" t="str" cm="1">
        <f t="array" ref="G7731">SubCategorizeComment(E7731)</f>
        <v>Other</v>
      </c>
    </row>
    <row r="7732" spans="1:7" x14ac:dyDescent="0.25">
      <c r="A7732">
        <v>68425</v>
      </c>
      <c r="B7732" t="s">
        <v>4</v>
      </c>
      <c r="C7732">
        <v>3</v>
      </c>
      <c r="D7732" t="s">
        <v>5</v>
      </c>
      <c r="F7732" t="str" cm="1">
        <f t="array" ref="F7732">CategorizeComment(E7732)</f>
        <v>Other</v>
      </c>
      <c r="G7732" t="str" cm="1">
        <f t="array" ref="G7732">SubCategorizeComment(E7732)</f>
        <v>Other</v>
      </c>
    </row>
    <row r="7733" spans="1:7" x14ac:dyDescent="0.25">
      <c r="A7733">
        <v>68430</v>
      </c>
      <c r="B7733" t="s">
        <v>4</v>
      </c>
      <c r="C7733">
        <v>4</v>
      </c>
      <c r="D7733" t="s">
        <v>5</v>
      </c>
      <c r="F7733" t="str" cm="1">
        <f t="array" ref="F7733">CategorizeComment(E7733)</f>
        <v>Other</v>
      </c>
      <c r="G7733" t="str" cm="1">
        <f t="array" ref="G7733">SubCategorizeComment(E7733)</f>
        <v>Other</v>
      </c>
    </row>
    <row r="7734" spans="1:7" x14ac:dyDescent="0.25">
      <c r="A7734">
        <v>68441</v>
      </c>
      <c r="B7734" t="s">
        <v>4</v>
      </c>
      <c r="C7734">
        <v>4</v>
      </c>
      <c r="D7734" t="s">
        <v>5</v>
      </c>
      <c r="F7734" t="str" cm="1">
        <f t="array" ref="F7734">CategorizeComment(E7734)</f>
        <v>Other</v>
      </c>
      <c r="G7734" t="str" cm="1">
        <f t="array" ref="G7734">SubCategorizeComment(E7734)</f>
        <v>Other</v>
      </c>
    </row>
    <row r="7735" spans="1:7" x14ac:dyDescent="0.25">
      <c r="A7735">
        <v>68458</v>
      </c>
      <c r="B7735" t="s">
        <v>4</v>
      </c>
      <c r="C7735">
        <v>3</v>
      </c>
      <c r="D7735" t="s">
        <v>5</v>
      </c>
      <c r="F7735" t="str" cm="1">
        <f t="array" ref="F7735">CategorizeComment(E7735)</f>
        <v>Other</v>
      </c>
      <c r="G7735" t="str" cm="1">
        <f t="array" ref="G7735">SubCategorizeComment(E7735)</f>
        <v>Other</v>
      </c>
    </row>
    <row r="7736" spans="1:7" x14ac:dyDescent="0.25">
      <c r="A7736">
        <v>68475</v>
      </c>
      <c r="B7736" t="s">
        <v>4</v>
      </c>
      <c r="C7736">
        <v>3</v>
      </c>
      <c r="D7736" t="s">
        <v>5</v>
      </c>
      <c r="F7736" t="str" cm="1">
        <f t="array" ref="F7736">CategorizeComment(E7736)</f>
        <v>Other</v>
      </c>
      <c r="G7736" t="str" cm="1">
        <f t="array" ref="G7736">SubCategorizeComment(E7736)</f>
        <v>Other</v>
      </c>
    </row>
    <row r="7737" spans="1:7" x14ac:dyDescent="0.25">
      <c r="A7737">
        <v>68485</v>
      </c>
      <c r="B7737" t="s">
        <v>4</v>
      </c>
      <c r="C7737">
        <v>4</v>
      </c>
      <c r="D7737" t="s">
        <v>5</v>
      </c>
      <c r="F7737" t="str" cm="1">
        <f t="array" ref="F7737">CategorizeComment(E7737)</f>
        <v>Other</v>
      </c>
      <c r="G7737" t="str" cm="1">
        <f t="array" ref="G7737">SubCategorizeComment(E7737)</f>
        <v>Other</v>
      </c>
    </row>
    <row r="7738" spans="1:7" x14ac:dyDescent="0.25">
      <c r="A7738">
        <v>68489</v>
      </c>
      <c r="B7738" t="s">
        <v>4</v>
      </c>
      <c r="C7738">
        <v>4</v>
      </c>
      <c r="D7738" t="s">
        <v>5</v>
      </c>
      <c r="F7738" t="str" cm="1">
        <f t="array" ref="F7738">CategorizeComment(E7738)</f>
        <v>Other</v>
      </c>
      <c r="G7738" t="str" cm="1">
        <f t="array" ref="G7738">SubCategorizeComment(E7738)</f>
        <v>Other</v>
      </c>
    </row>
    <row r="7739" spans="1:7" x14ac:dyDescent="0.25">
      <c r="A7739">
        <v>68497</v>
      </c>
      <c r="B7739" t="s">
        <v>4</v>
      </c>
      <c r="C7739">
        <v>4</v>
      </c>
      <c r="D7739" t="s">
        <v>5</v>
      </c>
      <c r="F7739" t="str" cm="1">
        <f t="array" ref="F7739">CategorizeComment(E7739)</f>
        <v>Other</v>
      </c>
      <c r="G7739" t="str" cm="1">
        <f t="array" ref="G7739">SubCategorizeComment(E7739)</f>
        <v>Other</v>
      </c>
    </row>
    <row r="7740" spans="1:7" x14ac:dyDescent="0.25">
      <c r="A7740">
        <v>68521</v>
      </c>
      <c r="B7740" t="s">
        <v>4</v>
      </c>
      <c r="C7740">
        <v>3</v>
      </c>
      <c r="D7740" t="s">
        <v>5</v>
      </c>
      <c r="F7740" t="str" cm="1">
        <f t="array" ref="F7740">CategorizeComment(E7740)</f>
        <v>Other</v>
      </c>
      <c r="G7740" t="str" cm="1">
        <f t="array" ref="G7740">SubCategorizeComment(E7740)</f>
        <v>Other</v>
      </c>
    </row>
    <row r="7741" spans="1:7" x14ac:dyDescent="0.25">
      <c r="A7741">
        <v>68546</v>
      </c>
      <c r="B7741" t="s">
        <v>4</v>
      </c>
      <c r="C7741">
        <v>3</v>
      </c>
      <c r="D7741" t="s">
        <v>5</v>
      </c>
      <c r="F7741" t="str" cm="1">
        <f t="array" ref="F7741">CategorizeComment(E7741)</f>
        <v>Other</v>
      </c>
      <c r="G7741" t="str" cm="1">
        <f t="array" ref="G7741">SubCategorizeComment(E7741)</f>
        <v>Other</v>
      </c>
    </row>
    <row r="7742" spans="1:7" x14ac:dyDescent="0.25">
      <c r="A7742">
        <v>68554</v>
      </c>
      <c r="B7742" t="s">
        <v>4</v>
      </c>
      <c r="C7742">
        <v>4</v>
      </c>
      <c r="D7742" t="s">
        <v>5</v>
      </c>
      <c r="F7742" t="str" cm="1">
        <f t="array" ref="F7742">CategorizeComment(E7742)</f>
        <v>Other</v>
      </c>
      <c r="G7742" t="str" cm="1">
        <f t="array" ref="G7742">SubCategorizeComment(E7742)</f>
        <v>Other</v>
      </c>
    </row>
    <row r="7743" spans="1:7" x14ac:dyDescent="0.25">
      <c r="A7743">
        <v>68571</v>
      </c>
      <c r="B7743" t="s">
        <v>4</v>
      </c>
      <c r="C7743">
        <v>4</v>
      </c>
      <c r="D7743" t="s">
        <v>5</v>
      </c>
      <c r="F7743" t="str" cm="1">
        <f t="array" ref="F7743">CategorizeComment(E7743)</f>
        <v>Other</v>
      </c>
      <c r="G7743" t="str" cm="1">
        <f t="array" ref="G7743">SubCategorizeComment(E7743)</f>
        <v>Other</v>
      </c>
    </row>
    <row r="7744" spans="1:7" x14ac:dyDescent="0.25">
      <c r="A7744">
        <v>68586</v>
      </c>
      <c r="B7744" t="s">
        <v>4</v>
      </c>
      <c r="C7744">
        <v>4</v>
      </c>
      <c r="D7744" t="s">
        <v>5</v>
      </c>
      <c r="F7744" t="str" cm="1">
        <f t="array" ref="F7744">CategorizeComment(E7744)</f>
        <v>Other</v>
      </c>
      <c r="G7744" t="str" cm="1">
        <f t="array" ref="G7744">SubCategorizeComment(E7744)</f>
        <v>Other</v>
      </c>
    </row>
    <row r="7745" spans="1:7" x14ac:dyDescent="0.25">
      <c r="A7745">
        <v>68641</v>
      </c>
      <c r="B7745" t="s">
        <v>4</v>
      </c>
      <c r="C7745">
        <v>3</v>
      </c>
      <c r="D7745" t="s">
        <v>5</v>
      </c>
      <c r="F7745" t="str" cm="1">
        <f t="array" ref="F7745">CategorizeComment(E7745)</f>
        <v>Other</v>
      </c>
      <c r="G7745" t="str" cm="1">
        <f t="array" ref="G7745">SubCategorizeComment(E7745)</f>
        <v>Other</v>
      </c>
    </row>
    <row r="7746" spans="1:7" x14ac:dyDescent="0.25">
      <c r="A7746">
        <v>68656</v>
      </c>
      <c r="B7746" t="s">
        <v>4</v>
      </c>
      <c r="C7746">
        <v>4</v>
      </c>
      <c r="D7746" t="s">
        <v>5</v>
      </c>
      <c r="F7746" t="str" cm="1">
        <f t="array" ref="F7746">CategorizeComment(E7746)</f>
        <v>Other</v>
      </c>
      <c r="G7746" t="str" cm="1">
        <f t="array" ref="G7746">SubCategorizeComment(E7746)</f>
        <v>Other</v>
      </c>
    </row>
    <row r="7747" spans="1:7" x14ac:dyDescent="0.25">
      <c r="A7747">
        <v>68659</v>
      </c>
      <c r="B7747" t="s">
        <v>4</v>
      </c>
      <c r="C7747">
        <v>3</v>
      </c>
      <c r="D7747" t="s">
        <v>5</v>
      </c>
      <c r="F7747" t="str" cm="1">
        <f t="array" ref="F7747">CategorizeComment(E7747)</f>
        <v>Other</v>
      </c>
      <c r="G7747" t="str" cm="1">
        <f t="array" ref="G7747">SubCategorizeComment(E7747)</f>
        <v>Other</v>
      </c>
    </row>
    <row r="7748" spans="1:7" x14ac:dyDescent="0.25">
      <c r="A7748">
        <v>68661</v>
      </c>
      <c r="B7748" t="s">
        <v>4</v>
      </c>
      <c r="C7748">
        <v>3</v>
      </c>
      <c r="D7748" t="s">
        <v>5</v>
      </c>
      <c r="F7748" t="str" cm="1">
        <f t="array" ref="F7748">CategorizeComment(E7748)</f>
        <v>Other</v>
      </c>
      <c r="G7748" t="str" cm="1">
        <f t="array" ref="G7748">SubCategorizeComment(E7748)</f>
        <v>Other</v>
      </c>
    </row>
    <row r="7749" spans="1:7" x14ac:dyDescent="0.25">
      <c r="A7749">
        <v>68676</v>
      </c>
      <c r="B7749" t="s">
        <v>4</v>
      </c>
      <c r="C7749">
        <v>4</v>
      </c>
      <c r="D7749" t="s">
        <v>5</v>
      </c>
      <c r="F7749" t="str" cm="1">
        <f t="array" ref="F7749">CategorizeComment(E7749)</f>
        <v>Other</v>
      </c>
      <c r="G7749" t="str" cm="1">
        <f t="array" ref="G7749">SubCategorizeComment(E7749)</f>
        <v>Other</v>
      </c>
    </row>
    <row r="7750" spans="1:7" x14ac:dyDescent="0.25">
      <c r="A7750">
        <v>68685</v>
      </c>
      <c r="B7750" t="s">
        <v>4</v>
      </c>
      <c r="C7750">
        <v>4</v>
      </c>
      <c r="D7750" t="s">
        <v>5</v>
      </c>
      <c r="F7750" t="str" cm="1">
        <f t="array" ref="F7750">CategorizeComment(E7750)</f>
        <v>Other</v>
      </c>
      <c r="G7750" t="str" cm="1">
        <f t="array" ref="G7750">SubCategorizeComment(E7750)</f>
        <v>Other</v>
      </c>
    </row>
    <row r="7751" spans="1:7" x14ac:dyDescent="0.25">
      <c r="A7751">
        <v>68691</v>
      </c>
      <c r="B7751" t="s">
        <v>4</v>
      </c>
      <c r="C7751">
        <v>3</v>
      </c>
      <c r="D7751" t="s">
        <v>5</v>
      </c>
      <c r="F7751" t="str" cm="1">
        <f t="array" ref="F7751">CategorizeComment(E7751)</f>
        <v>Other</v>
      </c>
      <c r="G7751" t="str" cm="1">
        <f t="array" ref="G7751">SubCategorizeComment(E7751)</f>
        <v>Other</v>
      </c>
    </row>
    <row r="7752" spans="1:7" x14ac:dyDescent="0.25">
      <c r="A7752">
        <v>68697</v>
      </c>
      <c r="B7752" t="s">
        <v>4</v>
      </c>
      <c r="C7752">
        <v>3</v>
      </c>
      <c r="D7752" t="s">
        <v>5</v>
      </c>
      <c r="F7752" t="str" cm="1">
        <f t="array" ref="F7752">CategorizeComment(E7752)</f>
        <v>Other</v>
      </c>
      <c r="G7752" t="str" cm="1">
        <f t="array" ref="G7752">SubCategorizeComment(E7752)</f>
        <v>Other</v>
      </c>
    </row>
    <row r="7753" spans="1:7" x14ac:dyDescent="0.25">
      <c r="A7753">
        <v>68703</v>
      </c>
      <c r="B7753" t="s">
        <v>4</v>
      </c>
      <c r="C7753">
        <v>4</v>
      </c>
      <c r="D7753" t="s">
        <v>5</v>
      </c>
      <c r="F7753" t="str" cm="1">
        <f t="array" ref="F7753">CategorizeComment(E7753)</f>
        <v>Other</v>
      </c>
      <c r="G7753" t="str" cm="1">
        <f t="array" ref="G7753">SubCategorizeComment(E7753)</f>
        <v>Other</v>
      </c>
    </row>
    <row r="7754" spans="1:7" x14ac:dyDescent="0.25">
      <c r="A7754">
        <v>68709</v>
      </c>
      <c r="B7754" t="s">
        <v>4</v>
      </c>
      <c r="C7754">
        <v>4</v>
      </c>
      <c r="D7754" t="s">
        <v>5</v>
      </c>
      <c r="F7754" t="str" cm="1">
        <f t="array" ref="F7754">CategorizeComment(E7754)</f>
        <v>Other</v>
      </c>
      <c r="G7754" t="str" cm="1">
        <f t="array" ref="G7754">SubCategorizeComment(E7754)</f>
        <v>Other</v>
      </c>
    </row>
    <row r="7755" spans="1:7" x14ac:dyDescent="0.25">
      <c r="A7755">
        <v>68713</v>
      </c>
      <c r="B7755" t="s">
        <v>4</v>
      </c>
      <c r="C7755">
        <v>3</v>
      </c>
      <c r="D7755" t="s">
        <v>5</v>
      </c>
      <c r="F7755" t="str" cm="1">
        <f t="array" ref="F7755">CategorizeComment(E7755)</f>
        <v>Other</v>
      </c>
      <c r="G7755" t="str" cm="1">
        <f t="array" ref="G7755">SubCategorizeComment(E7755)</f>
        <v>Other</v>
      </c>
    </row>
    <row r="7756" spans="1:7" x14ac:dyDescent="0.25">
      <c r="A7756">
        <v>68765</v>
      </c>
      <c r="B7756" t="s">
        <v>4</v>
      </c>
      <c r="C7756">
        <v>4</v>
      </c>
      <c r="D7756" t="s">
        <v>5</v>
      </c>
      <c r="F7756" t="str" cm="1">
        <f t="array" ref="F7756">CategorizeComment(E7756)</f>
        <v>Other</v>
      </c>
      <c r="G7756" t="str" cm="1">
        <f t="array" ref="G7756">SubCategorizeComment(E7756)</f>
        <v>Other</v>
      </c>
    </row>
    <row r="7757" spans="1:7" x14ac:dyDescent="0.25">
      <c r="A7757">
        <v>68768</v>
      </c>
      <c r="B7757" t="s">
        <v>4</v>
      </c>
      <c r="C7757">
        <v>4</v>
      </c>
      <c r="D7757" t="s">
        <v>5</v>
      </c>
      <c r="F7757" t="str" cm="1">
        <f t="array" ref="F7757">CategorizeComment(E7757)</f>
        <v>Other</v>
      </c>
      <c r="G7757" t="str" cm="1">
        <f t="array" ref="G7757">SubCategorizeComment(E7757)</f>
        <v>Other</v>
      </c>
    </row>
    <row r="7758" spans="1:7" x14ac:dyDescent="0.25">
      <c r="A7758">
        <v>68772</v>
      </c>
      <c r="B7758" t="s">
        <v>4</v>
      </c>
      <c r="C7758">
        <v>4</v>
      </c>
      <c r="D7758" t="s">
        <v>5</v>
      </c>
      <c r="F7758" t="str" cm="1">
        <f t="array" ref="F7758">CategorizeComment(E7758)</f>
        <v>Other</v>
      </c>
      <c r="G7758" t="str" cm="1">
        <f t="array" ref="G7758">SubCategorizeComment(E7758)</f>
        <v>Other</v>
      </c>
    </row>
    <row r="7759" spans="1:7" x14ac:dyDescent="0.25">
      <c r="A7759">
        <v>68775</v>
      </c>
      <c r="B7759" t="s">
        <v>4</v>
      </c>
      <c r="C7759">
        <v>3</v>
      </c>
      <c r="D7759" t="s">
        <v>5</v>
      </c>
      <c r="F7759" t="str" cm="1">
        <f t="array" ref="F7759">CategorizeComment(E7759)</f>
        <v>Other</v>
      </c>
      <c r="G7759" t="str" cm="1">
        <f t="array" ref="G7759">SubCategorizeComment(E7759)</f>
        <v>Other</v>
      </c>
    </row>
    <row r="7760" spans="1:7" x14ac:dyDescent="0.25">
      <c r="A7760">
        <v>68777</v>
      </c>
      <c r="B7760" t="s">
        <v>4</v>
      </c>
      <c r="C7760">
        <v>3</v>
      </c>
      <c r="D7760" t="s">
        <v>5</v>
      </c>
      <c r="F7760" t="str" cm="1">
        <f t="array" ref="F7760">CategorizeComment(E7760)</f>
        <v>Other</v>
      </c>
      <c r="G7760" t="str" cm="1">
        <f t="array" ref="G7760">SubCategorizeComment(E7760)</f>
        <v>Other</v>
      </c>
    </row>
    <row r="7761" spans="1:7" x14ac:dyDescent="0.25">
      <c r="A7761">
        <v>68793</v>
      </c>
      <c r="B7761" t="s">
        <v>4</v>
      </c>
      <c r="C7761">
        <v>3</v>
      </c>
      <c r="D7761" t="s">
        <v>5</v>
      </c>
      <c r="F7761" t="str" cm="1">
        <f t="array" ref="F7761">CategorizeComment(E7761)</f>
        <v>Other</v>
      </c>
      <c r="G7761" t="str" cm="1">
        <f t="array" ref="G7761">SubCategorizeComment(E7761)</f>
        <v>Other</v>
      </c>
    </row>
    <row r="7762" spans="1:7" x14ac:dyDescent="0.25">
      <c r="A7762">
        <v>68800</v>
      </c>
      <c r="B7762" t="s">
        <v>4</v>
      </c>
      <c r="C7762">
        <v>4</v>
      </c>
      <c r="D7762" t="s">
        <v>5</v>
      </c>
      <c r="F7762" t="str" cm="1">
        <f t="array" ref="F7762">CategorizeComment(E7762)</f>
        <v>Other</v>
      </c>
      <c r="G7762" t="str" cm="1">
        <f t="array" ref="G7762">SubCategorizeComment(E7762)</f>
        <v>Other</v>
      </c>
    </row>
    <row r="7763" spans="1:7" x14ac:dyDescent="0.25">
      <c r="A7763">
        <v>68807</v>
      </c>
      <c r="B7763" t="s">
        <v>4</v>
      </c>
      <c r="C7763">
        <v>4</v>
      </c>
      <c r="D7763" t="s">
        <v>5</v>
      </c>
      <c r="F7763" t="str" cm="1">
        <f t="array" ref="F7763">CategorizeComment(E7763)</f>
        <v>Other</v>
      </c>
      <c r="G7763" t="str" cm="1">
        <f t="array" ref="G7763">SubCategorizeComment(E7763)</f>
        <v>Other</v>
      </c>
    </row>
    <row r="7764" spans="1:7" x14ac:dyDescent="0.25">
      <c r="A7764">
        <v>68816</v>
      </c>
      <c r="B7764" t="s">
        <v>4</v>
      </c>
      <c r="C7764">
        <v>3</v>
      </c>
      <c r="D7764" t="s">
        <v>5</v>
      </c>
      <c r="F7764" t="str" cm="1">
        <f t="array" ref="F7764">CategorizeComment(E7764)</f>
        <v>Other</v>
      </c>
      <c r="G7764" t="str" cm="1">
        <f t="array" ref="G7764">SubCategorizeComment(E7764)</f>
        <v>Other</v>
      </c>
    </row>
    <row r="7765" spans="1:7" x14ac:dyDescent="0.25">
      <c r="A7765">
        <v>68817</v>
      </c>
      <c r="B7765" t="s">
        <v>4</v>
      </c>
      <c r="C7765">
        <v>4</v>
      </c>
      <c r="D7765" t="s">
        <v>5</v>
      </c>
      <c r="F7765" t="str" cm="1">
        <f t="array" ref="F7765">CategorizeComment(E7765)</f>
        <v>Other</v>
      </c>
      <c r="G7765" t="str" cm="1">
        <f t="array" ref="G7765">SubCategorizeComment(E7765)</f>
        <v>Other</v>
      </c>
    </row>
    <row r="7766" spans="1:7" x14ac:dyDescent="0.25">
      <c r="A7766">
        <v>68860</v>
      </c>
      <c r="B7766" t="s">
        <v>4</v>
      </c>
      <c r="C7766">
        <v>4</v>
      </c>
      <c r="D7766" t="s">
        <v>5</v>
      </c>
      <c r="F7766" t="str" cm="1">
        <f t="array" ref="F7766">CategorizeComment(E7766)</f>
        <v>Other</v>
      </c>
      <c r="G7766" t="str" cm="1">
        <f t="array" ref="G7766">SubCategorizeComment(E7766)</f>
        <v>Other</v>
      </c>
    </row>
    <row r="7767" spans="1:7" x14ac:dyDescent="0.25">
      <c r="A7767">
        <v>68866</v>
      </c>
      <c r="B7767" t="s">
        <v>4</v>
      </c>
      <c r="C7767">
        <v>3</v>
      </c>
      <c r="D7767" t="s">
        <v>5</v>
      </c>
      <c r="F7767" t="str" cm="1">
        <f t="array" ref="F7767">CategorizeComment(E7767)</f>
        <v>Other</v>
      </c>
      <c r="G7767" t="str" cm="1">
        <f t="array" ref="G7767">SubCategorizeComment(E7767)</f>
        <v>Other</v>
      </c>
    </row>
    <row r="7768" spans="1:7" x14ac:dyDescent="0.25">
      <c r="A7768">
        <v>68872</v>
      </c>
      <c r="B7768" t="s">
        <v>4</v>
      </c>
      <c r="C7768">
        <v>3</v>
      </c>
      <c r="D7768" t="s">
        <v>5</v>
      </c>
      <c r="F7768" t="str" cm="1">
        <f t="array" ref="F7768">CategorizeComment(E7768)</f>
        <v>Other</v>
      </c>
      <c r="G7768" t="str" cm="1">
        <f t="array" ref="G7768">SubCategorizeComment(E7768)</f>
        <v>Other</v>
      </c>
    </row>
    <row r="7769" spans="1:7" x14ac:dyDescent="0.25">
      <c r="A7769">
        <v>68883</v>
      </c>
      <c r="B7769" t="s">
        <v>4</v>
      </c>
      <c r="C7769">
        <v>4</v>
      </c>
      <c r="D7769" t="s">
        <v>5</v>
      </c>
      <c r="F7769" t="str" cm="1">
        <f t="array" ref="F7769">CategorizeComment(E7769)</f>
        <v>Other</v>
      </c>
      <c r="G7769" t="str" cm="1">
        <f t="array" ref="G7769">SubCategorizeComment(E7769)</f>
        <v>Other</v>
      </c>
    </row>
    <row r="7770" spans="1:7" x14ac:dyDescent="0.25">
      <c r="A7770">
        <v>68934</v>
      </c>
      <c r="B7770" t="s">
        <v>4</v>
      </c>
      <c r="C7770">
        <v>4</v>
      </c>
      <c r="D7770" t="s">
        <v>5</v>
      </c>
      <c r="F7770" t="str" cm="1">
        <f t="array" ref="F7770">CategorizeComment(E7770)</f>
        <v>Other</v>
      </c>
      <c r="G7770" t="str" cm="1">
        <f t="array" ref="G7770">SubCategorizeComment(E7770)</f>
        <v>Other</v>
      </c>
    </row>
    <row r="7771" spans="1:7" x14ac:dyDescent="0.25">
      <c r="A7771">
        <v>68936</v>
      </c>
      <c r="B7771" t="s">
        <v>4</v>
      </c>
      <c r="C7771">
        <v>3</v>
      </c>
      <c r="D7771" t="s">
        <v>5</v>
      </c>
      <c r="F7771" t="str" cm="1">
        <f t="array" ref="F7771">CategorizeComment(E7771)</f>
        <v>Other</v>
      </c>
      <c r="G7771" t="str" cm="1">
        <f t="array" ref="G7771">SubCategorizeComment(E7771)</f>
        <v>Other</v>
      </c>
    </row>
    <row r="7772" spans="1:7" x14ac:dyDescent="0.25">
      <c r="A7772">
        <v>68969</v>
      </c>
      <c r="B7772" t="s">
        <v>4</v>
      </c>
      <c r="C7772">
        <v>3</v>
      </c>
      <c r="D7772" t="s">
        <v>5</v>
      </c>
      <c r="F7772" t="str" cm="1">
        <f t="array" ref="F7772">CategorizeComment(E7772)</f>
        <v>Other</v>
      </c>
      <c r="G7772" t="str" cm="1">
        <f t="array" ref="G7772">SubCategorizeComment(E7772)</f>
        <v>Other</v>
      </c>
    </row>
    <row r="7773" spans="1:7" x14ac:dyDescent="0.25">
      <c r="A7773">
        <v>68973</v>
      </c>
      <c r="B7773" t="s">
        <v>4</v>
      </c>
      <c r="C7773">
        <v>3</v>
      </c>
      <c r="D7773" t="s">
        <v>5</v>
      </c>
      <c r="F7773" t="str" cm="1">
        <f t="array" ref="F7773">CategorizeComment(E7773)</f>
        <v>Other</v>
      </c>
      <c r="G7773" t="str" cm="1">
        <f t="array" ref="G7773">SubCategorizeComment(E7773)</f>
        <v>Other</v>
      </c>
    </row>
    <row r="7774" spans="1:7" x14ac:dyDescent="0.25">
      <c r="A7774">
        <v>68974</v>
      </c>
      <c r="B7774" t="s">
        <v>4</v>
      </c>
      <c r="C7774">
        <v>4</v>
      </c>
      <c r="D7774" t="s">
        <v>5</v>
      </c>
      <c r="F7774" t="str" cm="1">
        <f t="array" ref="F7774">CategorizeComment(E7774)</f>
        <v>Other</v>
      </c>
      <c r="G7774" t="str" cm="1">
        <f t="array" ref="G7774">SubCategorizeComment(E7774)</f>
        <v>Other</v>
      </c>
    </row>
    <row r="7775" spans="1:7" x14ac:dyDescent="0.25">
      <c r="A7775">
        <v>68979</v>
      </c>
      <c r="B7775" t="s">
        <v>4</v>
      </c>
      <c r="C7775">
        <v>3</v>
      </c>
      <c r="D7775" t="s">
        <v>5</v>
      </c>
      <c r="F7775" t="str" cm="1">
        <f t="array" ref="F7775">CategorizeComment(E7775)</f>
        <v>Other</v>
      </c>
      <c r="G7775" t="str" cm="1">
        <f t="array" ref="G7775">SubCategorizeComment(E7775)</f>
        <v>Other</v>
      </c>
    </row>
    <row r="7776" spans="1:7" x14ac:dyDescent="0.25">
      <c r="A7776">
        <v>68992</v>
      </c>
      <c r="B7776" t="s">
        <v>4</v>
      </c>
      <c r="C7776">
        <v>4</v>
      </c>
      <c r="D7776" t="s">
        <v>5</v>
      </c>
      <c r="F7776" t="str" cm="1">
        <f t="array" ref="F7776">CategorizeComment(E7776)</f>
        <v>Other</v>
      </c>
      <c r="G7776" t="str" cm="1">
        <f t="array" ref="G7776">SubCategorizeComment(E7776)</f>
        <v>Other</v>
      </c>
    </row>
    <row r="7777" spans="1:7" x14ac:dyDescent="0.25">
      <c r="A7777">
        <v>68995</v>
      </c>
      <c r="B7777" t="s">
        <v>4</v>
      </c>
      <c r="C7777">
        <v>3</v>
      </c>
      <c r="D7777" t="s">
        <v>5</v>
      </c>
      <c r="F7777" t="str" cm="1">
        <f t="array" ref="F7777">CategorizeComment(E7777)</f>
        <v>Other</v>
      </c>
      <c r="G7777" t="str" cm="1">
        <f t="array" ref="G7777">SubCategorizeComment(E7777)</f>
        <v>Other</v>
      </c>
    </row>
    <row r="7778" spans="1:7" x14ac:dyDescent="0.25">
      <c r="A7778">
        <v>69005</v>
      </c>
      <c r="B7778" t="s">
        <v>4</v>
      </c>
      <c r="C7778">
        <v>4</v>
      </c>
      <c r="D7778" t="s">
        <v>5</v>
      </c>
      <c r="F7778" t="str" cm="1">
        <f t="array" ref="F7778">CategorizeComment(E7778)</f>
        <v>Other</v>
      </c>
      <c r="G7778" t="str" cm="1">
        <f t="array" ref="G7778">SubCategorizeComment(E7778)</f>
        <v>Other</v>
      </c>
    </row>
    <row r="7779" spans="1:7" x14ac:dyDescent="0.25">
      <c r="A7779">
        <v>69021</v>
      </c>
      <c r="B7779" t="s">
        <v>4</v>
      </c>
      <c r="C7779">
        <v>4</v>
      </c>
      <c r="D7779" t="s">
        <v>5</v>
      </c>
      <c r="F7779" t="str" cm="1">
        <f t="array" ref="F7779">CategorizeComment(E7779)</f>
        <v>Other</v>
      </c>
      <c r="G7779" t="str" cm="1">
        <f t="array" ref="G7779">SubCategorizeComment(E7779)</f>
        <v>Other</v>
      </c>
    </row>
    <row r="7780" spans="1:7" x14ac:dyDescent="0.25">
      <c r="A7780">
        <v>69064</v>
      </c>
      <c r="B7780" t="s">
        <v>4</v>
      </c>
      <c r="C7780">
        <v>4</v>
      </c>
      <c r="D7780" t="s">
        <v>5</v>
      </c>
      <c r="F7780" t="str" cm="1">
        <f t="array" ref="F7780">CategorizeComment(E7780)</f>
        <v>Other</v>
      </c>
      <c r="G7780" t="str" cm="1">
        <f t="array" ref="G7780">SubCategorizeComment(E7780)</f>
        <v>Other</v>
      </c>
    </row>
    <row r="7781" spans="1:7" x14ac:dyDescent="0.25">
      <c r="A7781">
        <v>69065</v>
      </c>
      <c r="B7781" t="s">
        <v>4</v>
      </c>
      <c r="C7781">
        <v>4</v>
      </c>
      <c r="D7781" t="s">
        <v>5</v>
      </c>
      <c r="F7781" t="str" cm="1">
        <f t="array" ref="F7781">CategorizeComment(E7781)</f>
        <v>Other</v>
      </c>
      <c r="G7781" t="str" cm="1">
        <f t="array" ref="G7781">SubCategorizeComment(E7781)</f>
        <v>Other</v>
      </c>
    </row>
    <row r="7782" spans="1:7" x14ac:dyDescent="0.25">
      <c r="A7782">
        <v>69088</v>
      </c>
      <c r="B7782" t="s">
        <v>4</v>
      </c>
      <c r="C7782">
        <v>4</v>
      </c>
      <c r="D7782" t="s">
        <v>5</v>
      </c>
      <c r="F7782" t="str" cm="1">
        <f t="array" ref="F7782">CategorizeComment(E7782)</f>
        <v>Other</v>
      </c>
      <c r="G7782" t="str" cm="1">
        <f t="array" ref="G7782">SubCategorizeComment(E7782)</f>
        <v>Other</v>
      </c>
    </row>
    <row r="7783" spans="1:7" x14ac:dyDescent="0.25">
      <c r="A7783">
        <v>69114</v>
      </c>
      <c r="B7783" t="s">
        <v>4</v>
      </c>
      <c r="C7783">
        <v>3</v>
      </c>
      <c r="D7783" t="s">
        <v>5</v>
      </c>
      <c r="F7783" t="str" cm="1">
        <f t="array" ref="F7783">CategorizeComment(E7783)</f>
        <v>Other</v>
      </c>
      <c r="G7783" t="str" cm="1">
        <f t="array" ref="G7783">SubCategorizeComment(E7783)</f>
        <v>Other</v>
      </c>
    </row>
    <row r="7784" spans="1:7" x14ac:dyDescent="0.25">
      <c r="A7784">
        <v>69119</v>
      </c>
      <c r="B7784" t="s">
        <v>4</v>
      </c>
      <c r="C7784">
        <v>4</v>
      </c>
      <c r="D7784" t="s">
        <v>5</v>
      </c>
      <c r="F7784" t="str" cm="1">
        <f t="array" ref="F7784">CategorizeComment(E7784)</f>
        <v>Other</v>
      </c>
      <c r="G7784" t="str" cm="1">
        <f t="array" ref="G7784">SubCategorizeComment(E7784)</f>
        <v>Other</v>
      </c>
    </row>
    <row r="7785" spans="1:7" x14ac:dyDescent="0.25">
      <c r="A7785">
        <v>69120</v>
      </c>
      <c r="B7785" t="s">
        <v>4</v>
      </c>
      <c r="C7785">
        <v>4</v>
      </c>
      <c r="D7785" t="s">
        <v>5</v>
      </c>
      <c r="F7785" t="str" cm="1">
        <f t="array" ref="F7785">CategorizeComment(E7785)</f>
        <v>Other</v>
      </c>
      <c r="G7785" t="str" cm="1">
        <f t="array" ref="G7785">SubCategorizeComment(E7785)</f>
        <v>Other</v>
      </c>
    </row>
    <row r="7786" spans="1:7" x14ac:dyDescent="0.25">
      <c r="A7786">
        <v>69179</v>
      </c>
      <c r="B7786" t="s">
        <v>4</v>
      </c>
      <c r="C7786">
        <v>3</v>
      </c>
      <c r="D7786" t="s">
        <v>5</v>
      </c>
      <c r="F7786" t="str" cm="1">
        <f t="array" ref="F7786">CategorizeComment(E7786)</f>
        <v>Other</v>
      </c>
      <c r="G7786" t="str" cm="1">
        <f t="array" ref="G7786">SubCategorizeComment(E7786)</f>
        <v>Other</v>
      </c>
    </row>
    <row r="7787" spans="1:7" x14ac:dyDescent="0.25">
      <c r="A7787">
        <v>69183</v>
      </c>
      <c r="B7787" t="s">
        <v>4</v>
      </c>
      <c r="C7787">
        <v>4</v>
      </c>
      <c r="D7787" t="s">
        <v>5</v>
      </c>
      <c r="F7787" t="str" cm="1">
        <f t="array" ref="F7787">CategorizeComment(E7787)</f>
        <v>Other</v>
      </c>
      <c r="G7787" t="str" cm="1">
        <f t="array" ref="G7787">SubCategorizeComment(E7787)</f>
        <v>Other</v>
      </c>
    </row>
    <row r="7788" spans="1:7" x14ac:dyDescent="0.25">
      <c r="A7788">
        <v>69184</v>
      </c>
      <c r="B7788" t="s">
        <v>4</v>
      </c>
      <c r="C7788">
        <v>4</v>
      </c>
      <c r="D7788" t="s">
        <v>5</v>
      </c>
      <c r="F7788" t="str" cm="1">
        <f t="array" ref="F7788">CategorizeComment(E7788)</f>
        <v>Other</v>
      </c>
      <c r="G7788" t="str" cm="1">
        <f t="array" ref="G7788">SubCategorizeComment(E7788)</f>
        <v>Other</v>
      </c>
    </row>
    <row r="7789" spans="1:7" x14ac:dyDescent="0.25">
      <c r="A7789">
        <v>69190</v>
      </c>
      <c r="B7789" t="s">
        <v>4</v>
      </c>
      <c r="C7789">
        <v>4</v>
      </c>
      <c r="D7789" t="s">
        <v>5</v>
      </c>
      <c r="F7789" t="str" cm="1">
        <f t="array" ref="F7789">CategorizeComment(E7789)</f>
        <v>Other</v>
      </c>
      <c r="G7789" t="str" cm="1">
        <f t="array" ref="G7789">SubCategorizeComment(E7789)</f>
        <v>Other</v>
      </c>
    </row>
    <row r="7790" spans="1:7" x14ac:dyDescent="0.25">
      <c r="A7790">
        <v>69238</v>
      </c>
      <c r="B7790" t="s">
        <v>4</v>
      </c>
      <c r="C7790">
        <v>3</v>
      </c>
      <c r="D7790" t="s">
        <v>5</v>
      </c>
      <c r="F7790" t="str" cm="1">
        <f t="array" ref="F7790">CategorizeComment(E7790)</f>
        <v>Other</v>
      </c>
      <c r="G7790" t="str" cm="1">
        <f t="array" ref="G7790">SubCategorizeComment(E7790)</f>
        <v>Other</v>
      </c>
    </row>
    <row r="7791" spans="1:7" x14ac:dyDescent="0.25">
      <c r="A7791">
        <v>69244</v>
      </c>
      <c r="B7791" t="s">
        <v>4</v>
      </c>
      <c r="C7791">
        <v>3</v>
      </c>
      <c r="D7791" t="s">
        <v>5</v>
      </c>
      <c r="F7791" t="str" cm="1">
        <f t="array" ref="F7791">CategorizeComment(E7791)</f>
        <v>Other</v>
      </c>
      <c r="G7791" t="str" cm="1">
        <f t="array" ref="G7791">SubCategorizeComment(E7791)</f>
        <v>Other</v>
      </c>
    </row>
    <row r="7792" spans="1:7" x14ac:dyDescent="0.25">
      <c r="A7792">
        <v>69246</v>
      </c>
      <c r="B7792" t="s">
        <v>4</v>
      </c>
      <c r="C7792">
        <v>3</v>
      </c>
      <c r="D7792" t="s">
        <v>5</v>
      </c>
      <c r="F7792" t="str" cm="1">
        <f t="array" ref="F7792">CategorizeComment(E7792)</f>
        <v>Other</v>
      </c>
      <c r="G7792" t="str" cm="1">
        <f t="array" ref="G7792">SubCategorizeComment(E7792)</f>
        <v>Other</v>
      </c>
    </row>
    <row r="7793" spans="1:7" x14ac:dyDescent="0.25">
      <c r="A7793">
        <v>69258</v>
      </c>
      <c r="B7793" t="s">
        <v>4</v>
      </c>
      <c r="C7793">
        <v>3</v>
      </c>
      <c r="D7793" t="s">
        <v>5</v>
      </c>
      <c r="F7793" t="str" cm="1">
        <f t="array" ref="F7793">CategorizeComment(E7793)</f>
        <v>Other</v>
      </c>
      <c r="G7793" t="str" cm="1">
        <f t="array" ref="G7793">SubCategorizeComment(E7793)</f>
        <v>Other</v>
      </c>
    </row>
    <row r="7794" spans="1:7" x14ac:dyDescent="0.25">
      <c r="A7794">
        <v>69260</v>
      </c>
      <c r="B7794" t="s">
        <v>4</v>
      </c>
      <c r="C7794">
        <v>3</v>
      </c>
      <c r="D7794" t="s">
        <v>5</v>
      </c>
      <c r="F7794" t="str" cm="1">
        <f t="array" ref="F7794">CategorizeComment(E7794)</f>
        <v>Other</v>
      </c>
      <c r="G7794" t="str" cm="1">
        <f t="array" ref="G7794">SubCategorizeComment(E7794)</f>
        <v>Other</v>
      </c>
    </row>
    <row r="7795" spans="1:7" x14ac:dyDescent="0.25">
      <c r="A7795">
        <v>69261</v>
      </c>
      <c r="B7795" t="s">
        <v>4</v>
      </c>
      <c r="C7795">
        <v>3</v>
      </c>
      <c r="D7795" t="s">
        <v>5</v>
      </c>
      <c r="F7795" t="str" cm="1">
        <f t="array" ref="F7795">CategorizeComment(E7795)</f>
        <v>Other</v>
      </c>
      <c r="G7795" t="str" cm="1">
        <f t="array" ref="G7795">SubCategorizeComment(E7795)</f>
        <v>Other</v>
      </c>
    </row>
    <row r="7796" spans="1:7" x14ac:dyDescent="0.25">
      <c r="A7796">
        <v>69262</v>
      </c>
      <c r="B7796" t="s">
        <v>4</v>
      </c>
      <c r="C7796">
        <v>3</v>
      </c>
      <c r="D7796" t="s">
        <v>5</v>
      </c>
      <c r="F7796" t="str" cm="1">
        <f t="array" ref="F7796">CategorizeComment(E7796)</f>
        <v>Other</v>
      </c>
      <c r="G7796" t="str" cm="1">
        <f t="array" ref="G7796">SubCategorizeComment(E7796)</f>
        <v>Other</v>
      </c>
    </row>
    <row r="7797" spans="1:7" x14ac:dyDescent="0.25">
      <c r="A7797">
        <v>69266</v>
      </c>
      <c r="B7797" t="s">
        <v>4</v>
      </c>
      <c r="C7797">
        <v>3</v>
      </c>
      <c r="D7797" t="s">
        <v>5</v>
      </c>
      <c r="F7797" t="str" cm="1">
        <f t="array" ref="F7797">CategorizeComment(E7797)</f>
        <v>Other</v>
      </c>
      <c r="G7797" t="str" cm="1">
        <f t="array" ref="G7797">SubCategorizeComment(E7797)</f>
        <v>Other</v>
      </c>
    </row>
    <row r="7798" spans="1:7" x14ac:dyDescent="0.25">
      <c r="A7798">
        <v>69280</v>
      </c>
      <c r="B7798" t="s">
        <v>4</v>
      </c>
      <c r="C7798">
        <v>3</v>
      </c>
      <c r="D7798" t="s">
        <v>5</v>
      </c>
      <c r="F7798" t="str" cm="1">
        <f t="array" ref="F7798">CategorizeComment(E7798)</f>
        <v>Other</v>
      </c>
      <c r="G7798" t="str" cm="1">
        <f t="array" ref="G7798">SubCategorizeComment(E7798)</f>
        <v>Other</v>
      </c>
    </row>
    <row r="7799" spans="1:7" x14ac:dyDescent="0.25">
      <c r="A7799">
        <v>69281</v>
      </c>
      <c r="B7799" t="s">
        <v>4</v>
      </c>
      <c r="C7799">
        <v>4</v>
      </c>
      <c r="D7799" t="s">
        <v>5</v>
      </c>
      <c r="F7799" t="str" cm="1">
        <f t="array" ref="F7799">CategorizeComment(E7799)</f>
        <v>Other</v>
      </c>
      <c r="G7799" t="str" cm="1">
        <f t="array" ref="G7799">SubCategorizeComment(E7799)</f>
        <v>Other</v>
      </c>
    </row>
    <row r="7800" spans="1:7" x14ac:dyDescent="0.25">
      <c r="A7800">
        <v>69283</v>
      </c>
      <c r="B7800" t="s">
        <v>4</v>
      </c>
      <c r="C7800">
        <v>4</v>
      </c>
      <c r="D7800" t="s">
        <v>5</v>
      </c>
      <c r="F7800" t="str" cm="1">
        <f t="array" ref="F7800">CategorizeComment(E7800)</f>
        <v>Other</v>
      </c>
      <c r="G7800" t="str" cm="1">
        <f t="array" ref="G7800">SubCategorizeComment(E7800)</f>
        <v>Other</v>
      </c>
    </row>
    <row r="7801" spans="1:7" x14ac:dyDescent="0.25">
      <c r="A7801">
        <v>69307</v>
      </c>
      <c r="B7801" t="s">
        <v>4</v>
      </c>
      <c r="C7801">
        <v>3</v>
      </c>
      <c r="D7801" t="s">
        <v>5</v>
      </c>
      <c r="F7801" t="str" cm="1">
        <f t="array" ref="F7801">CategorizeComment(E7801)</f>
        <v>Other</v>
      </c>
      <c r="G7801" t="str" cm="1">
        <f t="array" ref="G7801">SubCategorizeComment(E7801)</f>
        <v>Other</v>
      </c>
    </row>
    <row r="7802" spans="1:7" x14ac:dyDescent="0.25">
      <c r="A7802">
        <v>69378</v>
      </c>
      <c r="B7802" t="s">
        <v>4</v>
      </c>
      <c r="C7802">
        <v>3</v>
      </c>
      <c r="D7802" t="s">
        <v>5</v>
      </c>
      <c r="F7802" t="str" cm="1">
        <f t="array" ref="F7802">CategorizeComment(E7802)</f>
        <v>Other</v>
      </c>
      <c r="G7802" t="str" cm="1">
        <f t="array" ref="G7802">SubCategorizeComment(E7802)</f>
        <v>Other</v>
      </c>
    </row>
    <row r="7803" spans="1:7" x14ac:dyDescent="0.25">
      <c r="A7803">
        <v>69382</v>
      </c>
      <c r="B7803" t="s">
        <v>4</v>
      </c>
      <c r="C7803">
        <v>4</v>
      </c>
      <c r="D7803" t="s">
        <v>5</v>
      </c>
      <c r="F7803" t="str" cm="1">
        <f t="array" ref="F7803">CategorizeComment(E7803)</f>
        <v>Other</v>
      </c>
      <c r="G7803" t="str" cm="1">
        <f t="array" ref="G7803">SubCategorizeComment(E7803)</f>
        <v>Other</v>
      </c>
    </row>
    <row r="7804" spans="1:7" x14ac:dyDescent="0.25">
      <c r="A7804">
        <v>69403</v>
      </c>
      <c r="B7804" t="s">
        <v>4</v>
      </c>
      <c r="C7804">
        <v>4</v>
      </c>
      <c r="D7804" t="s">
        <v>5</v>
      </c>
      <c r="F7804" t="str" cm="1">
        <f t="array" ref="F7804">CategorizeComment(E7804)</f>
        <v>Other</v>
      </c>
      <c r="G7804" t="str" cm="1">
        <f t="array" ref="G7804">SubCategorizeComment(E7804)</f>
        <v>Other</v>
      </c>
    </row>
    <row r="7805" spans="1:7" x14ac:dyDescent="0.25">
      <c r="A7805">
        <v>69404</v>
      </c>
      <c r="B7805" t="s">
        <v>4</v>
      </c>
      <c r="C7805">
        <v>4</v>
      </c>
      <c r="D7805" t="s">
        <v>5</v>
      </c>
      <c r="F7805" t="str" cm="1">
        <f t="array" ref="F7805">CategorizeComment(E7805)</f>
        <v>Other</v>
      </c>
      <c r="G7805" t="str" cm="1">
        <f t="array" ref="G7805">SubCategorizeComment(E7805)</f>
        <v>Other</v>
      </c>
    </row>
    <row r="7806" spans="1:7" x14ac:dyDescent="0.25">
      <c r="A7806">
        <v>69410</v>
      </c>
      <c r="B7806" t="s">
        <v>4</v>
      </c>
      <c r="C7806">
        <v>3</v>
      </c>
      <c r="D7806" t="s">
        <v>5</v>
      </c>
      <c r="F7806" t="str" cm="1">
        <f t="array" ref="F7806">CategorizeComment(E7806)</f>
        <v>Other</v>
      </c>
      <c r="G7806" t="str" cm="1">
        <f t="array" ref="G7806">SubCategorizeComment(E7806)</f>
        <v>Other</v>
      </c>
    </row>
    <row r="7807" spans="1:7" x14ac:dyDescent="0.25">
      <c r="A7807">
        <v>69421</v>
      </c>
      <c r="B7807" t="s">
        <v>4</v>
      </c>
      <c r="C7807">
        <v>3</v>
      </c>
      <c r="D7807" t="s">
        <v>5</v>
      </c>
      <c r="F7807" t="str" cm="1">
        <f t="array" ref="F7807">CategorizeComment(E7807)</f>
        <v>Other</v>
      </c>
      <c r="G7807" t="str" cm="1">
        <f t="array" ref="G7807">SubCategorizeComment(E7807)</f>
        <v>Other</v>
      </c>
    </row>
    <row r="7808" spans="1:7" x14ac:dyDescent="0.25">
      <c r="A7808">
        <v>69427</v>
      </c>
      <c r="B7808" t="s">
        <v>4</v>
      </c>
      <c r="C7808">
        <v>4</v>
      </c>
      <c r="D7808" t="s">
        <v>5</v>
      </c>
      <c r="F7808" t="str" cm="1">
        <f t="array" ref="F7808">CategorizeComment(E7808)</f>
        <v>Other</v>
      </c>
      <c r="G7808" t="str" cm="1">
        <f t="array" ref="G7808">SubCategorizeComment(E7808)</f>
        <v>Other</v>
      </c>
    </row>
    <row r="7809" spans="1:7" x14ac:dyDescent="0.25">
      <c r="A7809">
        <v>69431</v>
      </c>
      <c r="B7809" t="s">
        <v>4</v>
      </c>
      <c r="C7809">
        <v>4</v>
      </c>
      <c r="D7809" t="s">
        <v>5</v>
      </c>
      <c r="F7809" t="str" cm="1">
        <f t="array" ref="F7809">CategorizeComment(E7809)</f>
        <v>Other</v>
      </c>
      <c r="G7809" t="str" cm="1">
        <f t="array" ref="G7809">SubCategorizeComment(E7809)</f>
        <v>Other</v>
      </c>
    </row>
    <row r="7810" spans="1:7" x14ac:dyDescent="0.25">
      <c r="A7810">
        <v>69437</v>
      </c>
      <c r="B7810" t="s">
        <v>4</v>
      </c>
      <c r="C7810">
        <v>3</v>
      </c>
      <c r="D7810" t="s">
        <v>5</v>
      </c>
      <c r="F7810" t="str" cm="1">
        <f t="array" ref="F7810">CategorizeComment(E7810)</f>
        <v>Other</v>
      </c>
      <c r="G7810" t="str" cm="1">
        <f t="array" ref="G7810">SubCategorizeComment(E7810)</f>
        <v>Other</v>
      </c>
    </row>
    <row r="7811" spans="1:7" x14ac:dyDescent="0.25">
      <c r="A7811">
        <v>69439</v>
      </c>
      <c r="B7811" t="s">
        <v>4</v>
      </c>
      <c r="C7811">
        <v>3</v>
      </c>
      <c r="D7811" t="s">
        <v>5</v>
      </c>
      <c r="F7811" t="str" cm="1">
        <f t="array" ref="F7811">CategorizeComment(E7811)</f>
        <v>Other</v>
      </c>
      <c r="G7811" t="str" cm="1">
        <f t="array" ref="G7811">SubCategorizeComment(E7811)</f>
        <v>Other</v>
      </c>
    </row>
    <row r="7812" spans="1:7" x14ac:dyDescent="0.25">
      <c r="A7812">
        <v>69440</v>
      </c>
      <c r="B7812" t="s">
        <v>4</v>
      </c>
      <c r="C7812">
        <v>4</v>
      </c>
      <c r="D7812" t="s">
        <v>5</v>
      </c>
      <c r="F7812" t="str" cm="1">
        <f t="array" ref="F7812">CategorizeComment(E7812)</f>
        <v>Other</v>
      </c>
      <c r="G7812" t="str" cm="1">
        <f t="array" ref="G7812">SubCategorizeComment(E7812)</f>
        <v>Other</v>
      </c>
    </row>
    <row r="7813" spans="1:7" x14ac:dyDescent="0.25">
      <c r="A7813">
        <v>69443</v>
      </c>
      <c r="B7813" t="s">
        <v>4</v>
      </c>
      <c r="C7813">
        <v>4</v>
      </c>
      <c r="D7813" t="s">
        <v>5</v>
      </c>
      <c r="F7813" t="str" cm="1">
        <f t="array" ref="F7813">CategorizeComment(E7813)</f>
        <v>Other</v>
      </c>
      <c r="G7813" t="str" cm="1">
        <f t="array" ref="G7813">SubCategorizeComment(E7813)</f>
        <v>Other</v>
      </c>
    </row>
    <row r="7814" spans="1:7" x14ac:dyDescent="0.25">
      <c r="A7814">
        <v>69459</v>
      </c>
      <c r="B7814" t="s">
        <v>4</v>
      </c>
      <c r="C7814">
        <v>3</v>
      </c>
      <c r="D7814" t="s">
        <v>5</v>
      </c>
      <c r="F7814" t="str" cm="1">
        <f t="array" ref="F7814">CategorizeComment(E7814)</f>
        <v>Other</v>
      </c>
      <c r="G7814" t="str" cm="1">
        <f t="array" ref="G7814">SubCategorizeComment(E7814)</f>
        <v>Other</v>
      </c>
    </row>
    <row r="7815" spans="1:7" x14ac:dyDescent="0.25">
      <c r="A7815">
        <v>69460</v>
      </c>
      <c r="B7815" t="s">
        <v>4</v>
      </c>
      <c r="C7815">
        <v>4</v>
      </c>
      <c r="D7815" t="s">
        <v>5</v>
      </c>
      <c r="F7815" t="str" cm="1">
        <f t="array" ref="F7815">CategorizeComment(E7815)</f>
        <v>Other</v>
      </c>
      <c r="G7815" t="str" cm="1">
        <f t="array" ref="G7815">SubCategorizeComment(E7815)</f>
        <v>Other</v>
      </c>
    </row>
    <row r="7816" spans="1:7" x14ac:dyDescent="0.25">
      <c r="A7816">
        <v>69463</v>
      </c>
      <c r="B7816" t="s">
        <v>4</v>
      </c>
      <c r="C7816">
        <v>3</v>
      </c>
      <c r="D7816" t="s">
        <v>5</v>
      </c>
      <c r="F7816" t="str" cm="1">
        <f t="array" ref="F7816">CategorizeComment(E7816)</f>
        <v>Other</v>
      </c>
      <c r="G7816" t="str" cm="1">
        <f t="array" ref="G7816">SubCategorizeComment(E7816)</f>
        <v>Other</v>
      </c>
    </row>
    <row r="7817" spans="1:7" x14ac:dyDescent="0.25">
      <c r="A7817">
        <v>69465</v>
      </c>
      <c r="B7817" t="s">
        <v>4</v>
      </c>
      <c r="C7817">
        <v>4</v>
      </c>
      <c r="D7817" t="s">
        <v>5</v>
      </c>
      <c r="F7817" t="str" cm="1">
        <f t="array" ref="F7817">CategorizeComment(E7817)</f>
        <v>Other</v>
      </c>
      <c r="G7817" t="str" cm="1">
        <f t="array" ref="G7817">SubCategorizeComment(E7817)</f>
        <v>Other</v>
      </c>
    </row>
    <row r="7818" spans="1:7" x14ac:dyDescent="0.25">
      <c r="A7818">
        <v>69469</v>
      </c>
      <c r="B7818" t="s">
        <v>4</v>
      </c>
      <c r="C7818">
        <v>4</v>
      </c>
      <c r="D7818" t="s">
        <v>5</v>
      </c>
      <c r="F7818" t="str" cm="1">
        <f t="array" ref="F7818">CategorizeComment(E7818)</f>
        <v>Other</v>
      </c>
      <c r="G7818" t="str" cm="1">
        <f t="array" ref="G7818">SubCategorizeComment(E7818)</f>
        <v>Other</v>
      </c>
    </row>
    <row r="7819" spans="1:7" x14ac:dyDescent="0.25">
      <c r="A7819">
        <v>69473</v>
      </c>
      <c r="B7819" t="s">
        <v>4</v>
      </c>
      <c r="C7819">
        <v>4</v>
      </c>
      <c r="D7819" t="s">
        <v>5</v>
      </c>
      <c r="F7819" t="str" cm="1">
        <f t="array" ref="F7819">CategorizeComment(E7819)</f>
        <v>Other</v>
      </c>
      <c r="G7819" t="str" cm="1">
        <f t="array" ref="G7819">SubCategorizeComment(E7819)</f>
        <v>Other</v>
      </c>
    </row>
    <row r="7820" spans="1:7" x14ac:dyDescent="0.25">
      <c r="A7820">
        <v>69475</v>
      </c>
      <c r="B7820" t="s">
        <v>4</v>
      </c>
      <c r="C7820">
        <v>3</v>
      </c>
      <c r="D7820" t="s">
        <v>5</v>
      </c>
      <c r="F7820" t="str" cm="1">
        <f t="array" ref="F7820">CategorizeComment(E7820)</f>
        <v>Other</v>
      </c>
      <c r="G7820" t="str" cm="1">
        <f t="array" ref="G7820">SubCategorizeComment(E7820)</f>
        <v>Other</v>
      </c>
    </row>
    <row r="7821" spans="1:7" x14ac:dyDescent="0.25">
      <c r="A7821">
        <v>69487</v>
      </c>
      <c r="B7821" t="s">
        <v>4</v>
      </c>
      <c r="C7821">
        <v>3</v>
      </c>
      <c r="D7821" t="s">
        <v>5</v>
      </c>
      <c r="F7821" t="str" cm="1">
        <f t="array" ref="F7821">CategorizeComment(E7821)</f>
        <v>Other</v>
      </c>
      <c r="G7821" t="str" cm="1">
        <f t="array" ref="G7821">SubCategorizeComment(E7821)</f>
        <v>Other</v>
      </c>
    </row>
    <row r="7822" spans="1:7" x14ac:dyDescent="0.25">
      <c r="A7822">
        <v>69490</v>
      </c>
      <c r="B7822" t="s">
        <v>4</v>
      </c>
      <c r="C7822">
        <v>3</v>
      </c>
      <c r="D7822" t="s">
        <v>5</v>
      </c>
      <c r="F7822" t="str" cm="1">
        <f t="array" ref="F7822">CategorizeComment(E7822)</f>
        <v>Other</v>
      </c>
      <c r="G7822" t="str" cm="1">
        <f t="array" ref="G7822">SubCategorizeComment(E7822)</f>
        <v>Other</v>
      </c>
    </row>
    <row r="7823" spans="1:7" x14ac:dyDescent="0.25">
      <c r="A7823">
        <v>69494</v>
      </c>
      <c r="B7823" t="s">
        <v>4</v>
      </c>
      <c r="C7823">
        <v>4</v>
      </c>
      <c r="D7823" t="s">
        <v>5</v>
      </c>
      <c r="F7823" t="str" cm="1">
        <f t="array" ref="F7823">CategorizeComment(E7823)</f>
        <v>Other</v>
      </c>
      <c r="G7823" t="str" cm="1">
        <f t="array" ref="G7823">SubCategorizeComment(E7823)</f>
        <v>Other</v>
      </c>
    </row>
    <row r="7824" spans="1:7" x14ac:dyDescent="0.25">
      <c r="A7824">
        <v>69507</v>
      </c>
      <c r="B7824" t="s">
        <v>4</v>
      </c>
      <c r="C7824">
        <v>3</v>
      </c>
      <c r="D7824" t="s">
        <v>5</v>
      </c>
      <c r="F7824" t="str" cm="1">
        <f t="array" ref="F7824">CategorizeComment(E7824)</f>
        <v>Other</v>
      </c>
      <c r="G7824" t="str" cm="1">
        <f t="array" ref="G7824">SubCategorizeComment(E7824)</f>
        <v>Other</v>
      </c>
    </row>
    <row r="7825" spans="1:7" x14ac:dyDescent="0.25">
      <c r="A7825">
        <v>69510</v>
      </c>
      <c r="B7825" t="s">
        <v>4</v>
      </c>
      <c r="C7825">
        <v>4</v>
      </c>
      <c r="D7825" t="s">
        <v>5</v>
      </c>
      <c r="F7825" t="str" cm="1">
        <f t="array" ref="F7825">CategorizeComment(E7825)</f>
        <v>Other</v>
      </c>
      <c r="G7825" t="str" cm="1">
        <f t="array" ref="G7825">SubCategorizeComment(E7825)</f>
        <v>Other</v>
      </c>
    </row>
    <row r="7826" spans="1:7" x14ac:dyDescent="0.25">
      <c r="A7826">
        <v>69519</v>
      </c>
      <c r="B7826" t="s">
        <v>4</v>
      </c>
      <c r="C7826">
        <v>4</v>
      </c>
      <c r="D7826" t="s">
        <v>5</v>
      </c>
      <c r="F7826" t="str" cm="1">
        <f t="array" ref="F7826">CategorizeComment(E7826)</f>
        <v>Other</v>
      </c>
      <c r="G7826" t="str" cm="1">
        <f t="array" ref="G7826">SubCategorizeComment(E7826)</f>
        <v>Other</v>
      </c>
    </row>
    <row r="7827" spans="1:7" x14ac:dyDescent="0.25">
      <c r="A7827">
        <v>69536</v>
      </c>
      <c r="B7827" t="s">
        <v>4</v>
      </c>
      <c r="C7827">
        <v>3</v>
      </c>
      <c r="D7827" t="s">
        <v>5</v>
      </c>
      <c r="F7827" t="str" cm="1">
        <f t="array" ref="F7827">CategorizeComment(E7827)</f>
        <v>Other</v>
      </c>
      <c r="G7827" t="str" cm="1">
        <f t="array" ref="G7827">SubCategorizeComment(E7827)</f>
        <v>Other</v>
      </c>
    </row>
    <row r="7828" spans="1:7" x14ac:dyDescent="0.25">
      <c r="A7828">
        <v>69543</v>
      </c>
      <c r="B7828" t="s">
        <v>4</v>
      </c>
      <c r="C7828">
        <v>4</v>
      </c>
      <c r="D7828" t="s">
        <v>5</v>
      </c>
      <c r="F7828" t="str" cm="1">
        <f t="array" ref="F7828">CategorizeComment(E7828)</f>
        <v>Other</v>
      </c>
      <c r="G7828" t="str" cm="1">
        <f t="array" ref="G7828">SubCategorizeComment(E7828)</f>
        <v>Other</v>
      </c>
    </row>
    <row r="7829" spans="1:7" x14ac:dyDescent="0.25">
      <c r="A7829">
        <v>69551</v>
      </c>
      <c r="B7829" t="s">
        <v>4</v>
      </c>
      <c r="C7829">
        <v>3</v>
      </c>
      <c r="D7829" t="s">
        <v>5</v>
      </c>
      <c r="F7829" t="str" cm="1">
        <f t="array" ref="F7829">CategorizeComment(E7829)</f>
        <v>Other</v>
      </c>
      <c r="G7829" t="str" cm="1">
        <f t="array" ref="G7829">SubCategorizeComment(E7829)</f>
        <v>Other</v>
      </c>
    </row>
    <row r="7830" spans="1:7" x14ac:dyDescent="0.25">
      <c r="A7830">
        <v>69552</v>
      </c>
      <c r="B7830" t="s">
        <v>4</v>
      </c>
      <c r="C7830">
        <v>3</v>
      </c>
      <c r="D7830" t="s">
        <v>5</v>
      </c>
      <c r="F7830" t="str" cm="1">
        <f t="array" ref="F7830">CategorizeComment(E7830)</f>
        <v>Other</v>
      </c>
      <c r="G7830" t="str" cm="1">
        <f t="array" ref="G7830">SubCategorizeComment(E7830)</f>
        <v>Other</v>
      </c>
    </row>
    <row r="7831" spans="1:7" x14ac:dyDescent="0.25">
      <c r="A7831">
        <v>69566</v>
      </c>
      <c r="B7831" t="s">
        <v>4</v>
      </c>
      <c r="C7831">
        <v>3</v>
      </c>
      <c r="D7831" t="s">
        <v>5</v>
      </c>
      <c r="F7831" t="str" cm="1">
        <f t="array" ref="F7831">CategorizeComment(E7831)</f>
        <v>Other</v>
      </c>
      <c r="G7831" t="str" cm="1">
        <f t="array" ref="G7831">SubCategorizeComment(E7831)</f>
        <v>Other</v>
      </c>
    </row>
    <row r="7832" spans="1:7" x14ac:dyDescent="0.25">
      <c r="A7832">
        <v>69572</v>
      </c>
      <c r="B7832" t="s">
        <v>4</v>
      </c>
      <c r="C7832">
        <v>3</v>
      </c>
      <c r="D7832" t="s">
        <v>5</v>
      </c>
      <c r="F7832" t="str" cm="1">
        <f t="array" ref="F7832">CategorizeComment(E7832)</f>
        <v>Other</v>
      </c>
      <c r="G7832" t="str" cm="1">
        <f t="array" ref="G7832">SubCategorizeComment(E7832)</f>
        <v>Other</v>
      </c>
    </row>
    <row r="7833" spans="1:7" x14ac:dyDescent="0.25">
      <c r="A7833">
        <v>69577</v>
      </c>
      <c r="B7833" t="s">
        <v>4</v>
      </c>
      <c r="C7833">
        <v>4</v>
      </c>
      <c r="D7833" t="s">
        <v>5</v>
      </c>
      <c r="F7833" t="str" cm="1">
        <f t="array" ref="F7833">CategorizeComment(E7833)</f>
        <v>Other</v>
      </c>
      <c r="G7833" t="str" cm="1">
        <f t="array" ref="G7833">SubCategorizeComment(E7833)</f>
        <v>Other</v>
      </c>
    </row>
    <row r="7834" spans="1:7" x14ac:dyDescent="0.25">
      <c r="A7834">
        <v>69584</v>
      </c>
      <c r="B7834" t="s">
        <v>4</v>
      </c>
      <c r="C7834">
        <v>3</v>
      </c>
      <c r="D7834" t="s">
        <v>5</v>
      </c>
      <c r="F7834" t="str" cm="1">
        <f t="array" ref="F7834">CategorizeComment(E7834)</f>
        <v>Other</v>
      </c>
      <c r="G7834" t="str" cm="1">
        <f t="array" ref="G7834">SubCategorizeComment(E7834)</f>
        <v>Other</v>
      </c>
    </row>
    <row r="7835" spans="1:7" x14ac:dyDescent="0.25">
      <c r="A7835">
        <v>69585</v>
      </c>
      <c r="B7835" t="s">
        <v>4</v>
      </c>
      <c r="C7835">
        <v>3</v>
      </c>
      <c r="D7835" t="s">
        <v>5</v>
      </c>
      <c r="F7835" t="str" cm="1">
        <f t="array" ref="F7835">CategorizeComment(E7835)</f>
        <v>Other</v>
      </c>
      <c r="G7835" t="str" cm="1">
        <f t="array" ref="G7835">SubCategorizeComment(E7835)</f>
        <v>Other</v>
      </c>
    </row>
    <row r="7836" spans="1:7" x14ac:dyDescent="0.25">
      <c r="A7836">
        <v>69592</v>
      </c>
      <c r="B7836" t="s">
        <v>4</v>
      </c>
      <c r="C7836">
        <v>3</v>
      </c>
      <c r="D7836" t="s">
        <v>5</v>
      </c>
      <c r="F7836" t="str" cm="1">
        <f t="array" ref="F7836">CategorizeComment(E7836)</f>
        <v>Other</v>
      </c>
      <c r="G7836" t="str" cm="1">
        <f t="array" ref="G7836">SubCategorizeComment(E7836)</f>
        <v>Other</v>
      </c>
    </row>
    <row r="7837" spans="1:7" x14ac:dyDescent="0.25">
      <c r="A7837">
        <v>69594</v>
      </c>
      <c r="B7837" t="s">
        <v>4</v>
      </c>
      <c r="C7837">
        <v>4</v>
      </c>
      <c r="D7837" t="s">
        <v>5</v>
      </c>
      <c r="F7837" t="str" cm="1">
        <f t="array" ref="F7837">CategorizeComment(E7837)</f>
        <v>Other</v>
      </c>
      <c r="G7837" t="str" cm="1">
        <f t="array" ref="G7837">SubCategorizeComment(E7837)</f>
        <v>Other</v>
      </c>
    </row>
    <row r="7838" spans="1:7" x14ac:dyDescent="0.25">
      <c r="A7838">
        <v>69596</v>
      </c>
      <c r="B7838" t="s">
        <v>4</v>
      </c>
      <c r="C7838">
        <v>4</v>
      </c>
      <c r="D7838" t="s">
        <v>5</v>
      </c>
      <c r="F7838" t="str" cm="1">
        <f t="array" ref="F7838">CategorizeComment(E7838)</f>
        <v>Other</v>
      </c>
      <c r="G7838" t="str" cm="1">
        <f t="array" ref="G7838">SubCategorizeComment(E7838)</f>
        <v>Other</v>
      </c>
    </row>
    <row r="7839" spans="1:7" x14ac:dyDescent="0.25">
      <c r="A7839">
        <v>69603</v>
      </c>
      <c r="B7839" t="s">
        <v>4</v>
      </c>
      <c r="C7839">
        <v>3</v>
      </c>
      <c r="D7839" t="s">
        <v>5</v>
      </c>
      <c r="F7839" t="str" cm="1">
        <f t="array" ref="F7839">CategorizeComment(E7839)</f>
        <v>Other</v>
      </c>
      <c r="G7839" t="str" cm="1">
        <f t="array" ref="G7839">SubCategorizeComment(E7839)</f>
        <v>Other</v>
      </c>
    </row>
    <row r="7840" spans="1:7" x14ac:dyDescent="0.25">
      <c r="A7840">
        <v>69606</v>
      </c>
      <c r="B7840" t="s">
        <v>4</v>
      </c>
      <c r="C7840">
        <v>3</v>
      </c>
      <c r="D7840" t="s">
        <v>5</v>
      </c>
      <c r="F7840" t="str" cm="1">
        <f t="array" ref="F7840">CategorizeComment(E7840)</f>
        <v>Other</v>
      </c>
      <c r="G7840" t="str" cm="1">
        <f t="array" ref="G7840">SubCategorizeComment(E7840)</f>
        <v>Other</v>
      </c>
    </row>
    <row r="7841" spans="1:7" x14ac:dyDescent="0.25">
      <c r="A7841">
        <v>69619</v>
      </c>
      <c r="B7841" t="s">
        <v>4</v>
      </c>
      <c r="C7841">
        <v>4</v>
      </c>
      <c r="D7841" t="s">
        <v>5</v>
      </c>
      <c r="F7841" t="str" cm="1">
        <f t="array" ref="F7841">CategorizeComment(E7841)</f>
        <v>Other</v>
      </c>
      <c r="G7841" t="str" cm="1">
        <f t="array" ref="G7841">SubCategorizeComment(E7841)</f>
        <v>Other</v>
      </c>
    </row>
    <row r="7842" spans="1:7" x14ac:dyDescent="0.25">
      <c r="A7842">
        <v>69630</v>
      </c>
      <c r="B7842" t="s">
        <v>4</v>
      </c>
      <c r="C7842">
        <v>3</v>
      </c>
      <c r="D7842" t="s">
        <v>5</v>
      </c>
      <c r="F7842" t="str" cm="1">
        <f t="array" ref="F7842">CategorizeComment(E7842)</f>
        <v>Other</v>
      </c>
      <c r="G7842" t="str" cm="1">
        <f t="array" ref="G7842">SubCategorizeComment(E7842)</f>
        <v>Other</v>
      </c>
    </row>
    <row r="7843" spans="1:7" x14ac:dyDescent="0.25">
      <c r="A7843">
        <v>69641</v>
      </c>
      <c r="B7843" t="s">
        <v>4</v>
      </c>
      <c r="C7843">
        <v>3</v>
      </c>
      <c r="D7843" t="s">
        <v>5</v>
      </c>
      <c r="F7843" t="str" cm="1">
        <f t="array" ref="F7843">CategorizeComment(E7843)</f>
        <v>Other</v>
      </c>
      <c r="G7843" t="str" cm="1">
        <f t="array" ref="G7843">SubCategorizeComment(E7843)</f>
        <v>Other</v>
      </c>
    </row>
    <row r="7844" spans="1:7" x14ac:dyDescent="0.25">
      <c r="A7844">
        <v>69643</v>
      </c>
      <c r="B7844" t="s">
        <v>4</v>
      </c>
      <c r="C7844">
        <v>4</v>
      </c>
      <c r="D7844" t="s">
        <v>5</v>
      </c>
      <c r="F7844" t="str" cm="1">
        <f t="array" ref="F7844">CategorizeComment(E7844)</f>
        <v>Other</v>
      </c>
      <c r="G7844" t="str" cm="1">
        <f t="array" ref="G7844">SubCategorizeComment(E7844)</f>
        <v>Other</v>
      </c>
    </row>
    <row r="7845" spans="1:7" x14ac:dyDescent="0.25">
      <c r="A7845">
        <v>69653</v>
      </c>
      <c r="B7845" t="s">
        <v>4</v>
      </c>
      <c r="C7845">
        <v>4</v>
      </c>
      <c r="D7845" t="s">
        <v>5</v>
      </c>
      <c r="F7845" t="str" cm="1">
        <f t="array" ref="F7845">CategorizeComment(E7845)</f>
        <v>Other</v>
      </c>
      <c r="G7845" t="str" cm="1">
        <f t="array" ref="G7845">SubCategorizeComment(E7845)</f>
        <v>Other</v>
      </c>
    </row>
    <row r="7846" spans="1:7" x14ac:dyDescent="0.25">
      <c r="A7846">
        <v>69655</v>
      </c>
      <c r="B7846" t="s">
        <v>4</v>
      </c>
      <c r="C7846">
        <v>4</v>
      </c>
      <c r="D7846" t="s">
        <v>5</v>
      </c>
      <c r="F7846" t="str" cm="1">
        <f t="array" ref="F7846">CategorizeComment(E7846)</f>
        <v>Other</v>
      </c>
      <c r="G7846" t="str" cm="1">
        <f t="array" ref="G7846">SubCategorizeComment(E7846)</f>
        <v>Other</v>
      </c>
    </row>
    <row r="7847" spans="1:7" x14ac:dyDescent="0.25">
      <c r="A7847">
        <v>69658</v>
      </c>
      <c r="B7847" t="s">
        <v>4</v>
      </c>
      <c r="C7847">
        <v>4</v>
      </c>
      <c r="D7847" t="s">
        <v>5</v>
      </c>
      <c r="F7847" t="str" cm="1">
        <f t="array" ref="F7847">CategorizeComment(E7847)</f>
        <v>Other</v>
      </c>
      <c r="G7847" t="str" cm="1">
        <f t="array" ref="G7847">SubCategorizeComment(E7847)</f>
        <v>Other</v>
      </c>
    </row>
    <row r="7848" spans="1:7" x14ac:dyDescent="0.25">
      <c r="A7848">
        <v>69664</v>
      </c>
      <c r="B7848" t="s">
        <v>4</v>
      </c>
      <c r="C7848">
        <v>4</v>
      </c>
      <c r="D7848" t="s">
        <v>5</v>
      </c>
      <c r="F7848" t="str" cm="1">
        <f t="array" ref="F7848">CategorizeComment(E7848)</f>
        <v>Other</v>
      </c>
      <c r="G7848" t="str" cm="1">
        <f t="array" ref="G7848">SubCategorizeComment(E7848)</f>
        <v>Other</v>
      </c>
    </row>
    <row r="7849" spans="1:7" x14ac:dyDescent="0.25">
      <c r="A7849">
        <v>69667</v>
      </c>
      <c r="B7849" t="s">
        <v>4</v>
      </c>
      <c r="C7849">
        <v>4</v>
      </c>
      <c r="D7849" t="s">
        <v>5</v>
      </c>
      <c r="F7849" t="str" cm="1">
        <f t="array" ref="F7849">CategorizeComment(E7849)</f>
        <v>Other</v>
      </c>
      <c r="G7849" t="str" cm="1">
        <f t="array" ref="G7849">SubCategorizeComment(E7849)</f>
        <v>Other</v>
      </c>
    </row>
    <row r="7850" spans="1:7" x14ac:dyDescent="0.25">
      <c r="A7850">
        <v>69670</v>
      </c>
      <c r="B7850" t="s">
        <v>4</v>
      </c>
      <c r="C7850">
        <v>3</v>
      </c>
      <c r="D7850" t="s">
        <v>5</v>
      </c>
      <c r="F7850" t="str" cm="1">
        <f t="array" ref="F7850">CategorizeComment(E7850)</f>
        <v>Other</v>
      </c>
      <c r="G7850" t="str" cm="1">
        <f t="array" ref="G7850">SubCategorizeComment(E7850)</f>
        <v>Other</v>
      </c>
    </row>
    <row r="7851" spans="1:7" x14ac:dyDescent="0.25">
      <c r="A7851">
        <v>69678</v>
      </c>
      <c r="B7851" t="s">
        <v>4</v>
      </c>
      <c r="C7851">
        <v>3</v>
      </c>
      <c r="D7851" t="s">
        <v>5</v>
      </c>
      <c r="F7851" t="str" cm="1">
        <f t="array" ref="F7851">CategorizeComment(E7851)</f>
        <v>Other</v>
      </c>
      <c r="G7851" t="str" cm="1">
        <f t="array" ref="G7851">SubCategorizeComment(E7851)</f>
        <v>Other</v>
      </c>
    </row>
    <row r="7852" spans="1:7" x14ac:dyDescent="0.25">
      <c r="A7852">
        <v>69687</v>
      </c>
      <c r="B7852" t="s">
        <v>4</v>
      </c>
      <c r="C7852">
        <v>3</v>
      </c>
      <c r="D7852" t="s">
        <v>5</v>
      </c>
      <c r="F7852" t="str" cm="1">
        <f t="array" ref="F7852">CategorizeComment(E7852)</f>
        <v>Other</v>
      </c>
      <c r="G7852" t="str" cm="1">
        <f t="array" ref="G7852">SubCategorizeComment(E7852)</f>
        <v>Other</v>
      </c>
    </row>
    <row r="7853" spans="1:7" x14ac:dyDescent="0.25">
      <c r="A7853">
        <v>69705</v>
      </c>
      <c r="B7853" t="s">
        <v>4</v>
      </c>
      <c r="C7853">
        <v>3</v>
      </c>
      <c r="D7853" t="s">
        <v>5</v>
      </c>
      <c r="F7853" t="str" cm="1">
        <f t="array" ref="F7853">CategorizeComment(E7853)</f>
        <v>Other</v>
      </c>
      <c r="G7853" t="str" cm="1">
        <f t="array" ref="G7853">SubCategorizeComment(E7853)</f>
        <v>Other</v>
      </c>
    </row>
    <row r="7854" spans="1:7" x14ac:dyDescent="0.25">
      <c r="A7854">
        <v>69708</v>
      </c>
      <c r="B7854" t="s">
        <v>4</v>
      </c>
      <c r="C7854">
        <v>4</v>
      </c>
      <c r="D7854" t="s">
        <v>5</v>
      </c>
      <c r="F7854" t="str" cm="1">
        <f t="array" ref="F7854">CategorizeComment(E7854)</f>
        <v>Other</v>
      </c>
      <c r="G7854" t="str" cm="1">
        <f t="array" ref="G7854">SubCategorizeComment(E7854)</f>
        <v>Other</v>
      </c>
    </row>
    <row r="7855" spans="1:7" x14ac:dyDescent="0.25">
      <c r="A7855">
        <v>69730</v>
      </c>
      <c r="B7855" t="s">
        <v>4</v>
      </c>
      <c r="C7855">
        <v>3</v>
      </c>
      <c r="D7855" t="s">
        <v>5</v>
      </c>
      <c r="F7855" t="str" cm="1">
        <f t="array" ref="F7855">CategorizeComment(E7855)</f>
        <v>Other</v>
      </c>
      <c r="G7855" t="str" cm="1">
        <f t="array" ref="G7855">SubCategorizeComment(E7855)</f>
        <v>Other</v>
      </c>
    </row>
    <row r="7856" spans="1:7" x14ac:dyDescent="0.25">
      <c r="A7856">
        <v>69739</v>
      </c>
      <c r="B7856" t="s">
        <v>4</v>
      </c>
      <c r="C7856">
        <v>4</v>
      </c>
      <c r="D7856" t="s">
        <v>5</v>
      </c>
      <c r="F7856" t="str" cm="1">
        <f t="array" ref="F7856">CategorizeComment(E7856)</f>
        <v>Other</v>
      </c>
      <c r="G7856" t="str" cm="1">
        <f t="array" ref="G7856">SubCategorizeComment(E7856)</f>
        <v>Other</v>
      </c>
    </row>
    <row r="7857" spans="1:7" x14ac:dyDescent="0.25">
      <c r="A7857">
        <v>69745</v>
      </c>
      <c r="B7857" t="s">
        <v>4</v>
      </c>
      <c r="C7857">
        <v>4</v>
      </c>
      <c r="D7857" t="s">
        <v>5</v>
      </c>
      <c r="F7857" t="str" cm="1">
        <f t="array" ref="F7857">CategorizeComment(E7857)</f>
        <v>Other</v>
      </c>
      <c r="G7857" t="str" cm="1">
        <f t="array" ref="G7857">SubCategorizeComment(E7857)</f>
        <v>Other</v>
      </c>
    </row>
    <row r="7858" spans="1:7" x14ac:dyDescent="0.25">
      <c r="A7858">
        <v>69749</v>
      </c>
      <c r="B7858" t="s">
        <v>4</v>
      </c>
      <c r="C7858">
        <v>3</v>
      </c>
      <c r="D7858" t="s">
        <v>5</v>
      </c>
      <c r="F7858" t="str" cm="1">
        <f t="array" ref="F7858">CategorizeComment(E7858)</f>
        <v>Other</v>
      </c>
      <c r="G7858" t="str" cm="1">
        <f t="array" ref="G7858">SubCategorizeComment(E7858)</f>
        <v>Other</v>
      </c>
    </row>
    <row r="7859" spans="1:7" x14ac:dyDescent="0.25">
      <c r="A7859">
        <v>69764</v>
      </c>
      <c r="B7859" t="s">
        <v>4</v>
      </c>
      <c r="C7859">
        <v>3</v>
      </c>
      <c r="D7859" t="s">
        <v>5</v>
      </c>
      <c r="F7859" t="str" cm="1">
        <f t="array" ref="F7859">CategorizeComment(E7859)</f>
        <v>Other</v>
      </c>
      <c r="G7859" t="str" cm="1">
        <f t="array" ref="G7859">SubCategorizeComment(E7859)</f>
        <v>Other</v>
      </c>
    </row>
    <row r="7860" spans="1:7" x14ac:dyDescent="0.25">
      <c r="A7860">
        <v>69767</v>
      </c>
      <c r="B7860" t="s">
        <v>4</v>
      </c>
      <c r="C7860">
        <v>3</v>
      </c>
      <c r="D7860" t="s">
        <v>5</v>
      </c>
      <c r="F7860" t="str" cm="1">
        <f t="array" ref="F7860">CategorizeComment(E7860)</f>
        <v>Other</v>
      </c>
      <c r="G7860" t="str" cm="1">
        <f t="array" ref="G7860">SubCategorizeComment(E7860)</f>
        <v>Other</v>
      </c>
    </row>
    <row r="7861" spans="1:7" x14ac:dyDescent="0.25">
      <c r="A7861">
        <v>69773</v>
      </c>
      <c r="B7861" t="s">
        <v>4</v>
      </c>
      <c r="C7861">
        <v>4</v>
      </c>
      <c r="D7861" t="s">
        <v>5</v>
      </c>
      <c r="F7861" t="str" cm="1">
        <f t="array" ref="F7861">CategorizeComment(E7861)</f>
        <v>Other</v>
      </c>
      <c r="G7861" t="str" cm="1">
        <f t="array" ref="G7861">SubCategorizeComment(E7861)</f>
        <v>Other</v>
      </c>
    </row>
    <row r="7862" spans="1:7" x14ac:dyDescent="0.25">
      <c r="A7862">
        <v>69774</v>
      </c>
      <c r="B7862" t="s">
        <v>4</v>
      </c>
      <c r="C7862">
        <v>4</v>
      </c>
      <c r="D7862" t="s">
        <v>5</v>
      </c>
      <c r="F7862" t="str" cm="1">
        <f t="array" ref="F7862">CategorizeComment(E7862)</f>
        <v>Other</v>
      </c>
      <c r="G7862" t="str" cm="1">
        <f t="array" ref="G7862">SubCategorizeComment(E7862)</f>
        <v>Other</v>
      </c>
    </row>
    <row r="7863" spans="1:7" x14ac:dyDescent="0.25">
      <c r="A7863">
        <v>69785</v>
      </c>
      <c r="B7863" t="s">
        <v>4</v>
      </c>
      <c r="C7863">
        <v>3</v>
      </c>
      <c r="D7863" t="s">
        <v>5</v>
      </c>
      <c r="F7863" t="str" cm="1">
        <f t="array" ref="F7863">CategorizeComment(E7863)</f>
        <v>Other</v>
      </c>
      <c r="G7863" t="str" cm="1">
        <f t="array" ref="G7863">SubCategorizeComment(E7863)</f>
        <v>Other</v>
      </c>
    </row>
    <row r="7864" spans="1:7" x14ac:dyDescent="0.25">
      <c r="A7864">
        <v>69787</v>
      </c>
      <c r="B7864" t="s">
        <v>4</v>
      </c>
      <c r="C7864">
        <v>3</v>
      </c>
      <c r="D7864" t="s">
        <v>5</v>
      </c>
      <c r="F7864" t="str" cm="1">
        <f t="array" ref="F7864">CategorizeComment(E7864)</f>
        <v>Other</v>
      </c>
      <c r="G7864" t="str" cm="1">
        <f t="array" ref="G7864">SubCategorizeComment(E7864)</f>
        <v>Other</v>
      </c>
    </row>
    <row r="7865" spans="1:7" x14ac:dyDescent="0.25">
      <c r="A7865">
        <v>69813</v>
      </c>
      <c r="B7865" t="s">
        <v>4</v>
      </c>
      <c r="C7865">
        <v>3</v>
      </c>
      <c r="D7865" t="s">
        <v>5</v>
      </c>
      <c r="F7865" t="str" cm="1">
        <f t="array" ref="F7865">CategorizeComment(E7865)</f>
        <v>Other</v>
      </c>
      <c r="G7865" t="str" cm="1">
        <f t="array" ref="G7865">SubCategorizeComment(E7865)</f>
        <v>Other</v>
      </c>
    </row>
    <row r="7866" spans="1:7" x14ac:dyDescent="0.25">
      <c r="A7866">
        <v>69816</v>
      </c>
      <c r="B7866" t="s">
        <v>4</v>
      </c>
      <c r="C7866">
        <v>4</v>
      </c>
      <c r="D7866" t="s">
        <v>5</v>
      </c>
      <c r="F7866" t="str" cm="1">
        <f t="array" ref="F7866">CategorizeComment(E7866)</f>
        <v>Other</v>
      </c>
      <c r="G7866" t="str" cm="1">
        <f t="array" ref="G7866">SubCategorizeComment(E7866)</f>
        <v>Other</v>
      </c>
    </row>
    <row r="7867" spans="1:7" x14ac:dyDescent="0.25">
      <c r="A7867">
        <v>69819</v>
      </c>
      <c r="B7867" t="s">
        <v>4</v>
      </c>
      <c r="C7867">
        <v>4</v>
      </c>
      <c r="D7867" t="s">
        <v>5</v>
      </c>
      <c r="F7867" t="str" cm="1">
        <f t="array" ref="F7867">CategorizeComment(E7867)</f>
        <v>Other</v>
      </c>
      <c r="G7867" t="str" cm="1">
        <f t="array" ref="G7867">SubCategorizeComment(E7867)</f>
        <v>Other</v>
      </c>
    </row>
    <row r="7868" spans="1:7" x14ac:dyDescent="0.25">
      <c r="A7868">
        <v>69825</v>
      </c>
      <c r="B7868" t="s">
        <v>4</v>
      </c>
      <c r="C7868">
        <v>4</v>
      </c>
      <c r="D7868" t="s">
        <v>5</v>
      </c>
      <c r="F7868" t="str" cm="1">
        <f t="array" ref="F7868">CategorizeComment(E7868)</f>
        <v>Other</v>
      </c>
      <c r="G7868" t="str" cm="1">
        <f t="array" ref="G7868">SubCategorizeComment(E7868)</f>
        <v>Other</v>
      </c>
    </row>
    <row r="7869" spans="1:7" x14ac:dyDescent="0.25">
      <c r="A7869">
        <v>69829</v>
      </c>
      <c r="B7869" t="s">
        <v>4</v>
      </c>
      <c r="C7869">
        <v>3</v>
      </c>
      <c r="D7869" t="s">
        <v>5</v>
      </c>
      <c r="F7869" t="str" cm="1">
        <f t="array" ref="F7869">CategorizeComment(E7869)</f>
        <v>Other</v>
      </c>
      <c r="G7869" t="str" cm="1">
        <f t="array" ref="G7869">SubCategorizeComment(E7869)</f>
        <v>Other</v>
      </c>
    </row>
    <row r="7870" spans="1:7" x14ac:dyDescent="0.25">
      <c r="A7870">
        <v>69834</v>
      </c>
      <c r="B7870" t="s">
        <v>4</v>
      </c>
      <c r="C7870">
        <v>4</v>
      </c>
      <c r="D7870" t="s">
        <v>5</v>
      </c>
      <c r="F7870" t="str" cm="1">
        <f t="array" ref="F7870">CategorizeComment(E7870)</f>
        <v>Other</v>
      </c>
      <c r="G7870" t="str" cm="1">
        <f t="array" ref="G7870">SubCategorizeComment(E7870)</f>
        <v>Other</v>
      </c>
    </row>
    <row r="7871" spans="1:7" x14ac:dyDescent="0.25">
      <c r="A7871">
        <v>69847</v>
      </c>
      <c r="B7871" t="s">
        <v>4</v>
      </c>
      <c r="C7871">
        <v>3</v>
      </c>
      <c r="D7871" t="s">
        <v>5</v>
      </c>
      <c r="F7871" t="str" cm="1">
        <f t="array" ref="F7871">CategorizeComment(E7871)</f>
        <v>Other</v>
      </c>
      <c r="G7871" t="str" cm="1">
        <f t="array" ref="G7871">SubCategorizeComment(E7871)</f>
        <v>Other</v>
      </c>
    </row>
    <row r="7872" spans="1:7" x14ac:dyDescent="0.25">
      <c r="A7872">
        <v>69884</v>
      </c>
      <c r="B7872" t="s">
        <v>4</v>
      </c>
      <c r="C7872">
        <v>3</v>
      </c>
      <c r="D7872" t="s">
        <v>5</v>
      </c>
      <c r="F7872" t="str" cm="1">
        <f t="array" ref="F7872">CategorizeComment(E7872)</f>
        <v>Other</v>
      </c>
      <c r="G7872" t="str" cm="1">
        <f t="array" ref="G7872">SubCategorizeComment(E7872)</f>
        <v>Other</v>
      </c>
    </row>
    <row r="7873" spans="1:7" x14ac:dyDescent="0.25">
      <c r="A7873">
        <v>69907</v>
      </c>
      <c r="B7873" t="s">
        <v>4</v>
      </c>
      <c r="C7873">
        <v>3</v>
      </c>
      <c r="D7873" t="s">
        <v>5</v>
      </c>
      <c r="F7873" t="str" cm="1">
        <f t="array" ref="F7873">CategorizeComment(E7873)</f>
        <v>Other</v>
      </c>
      <c r="G7873" t="str" cm="1">
        <f t="array" ref="G7873">SubCategorizeComment(E7873)</f>
        <v>Other</v>
      </c>
    </row>
    <row r="7874" spans="1:7" x14ac:dyDescent="0.25">
      <c r="A7874">
        <v>69928</v>
      </c>
      <c r="B7874" t="s">
        <v>4</v>
      </c>
      <c r="C7874">
        <v>4</v>
      </c>
      <c r="D7874" t="s">
        <v>5</v>
      </c>
      <c r="F7874" t="str" cm="1">
        <f t="array" ref="F7874">CategorizeComment(E7874)</f>
        <v>Other</v>
      </c>
      <c r="G7874" t="str" cm="1">
        <f t="array" ref="G7874">SubCategorizeComment(E7874)</f>
        <v>Other</v>
      </c>
    </row>
    <row r="7875" spans="1:7" x14ac:dyDescent="0.25">
      <c r="A7875">
        <v>69968</v>
      </c>
      <c r="B7875" t="s">
        <v>4</v>
      </c>
      <c r="C7875">
        <v>3</v>
      </c>
      <c r="D7875" t="s">
        <v>5</v>
      </c>
      <c r="F7875" t="str" cm="1">
        <f t="array" ref="F7875">CategorizeComment(E7875)</f>
        <v>Other</v>
      </c>
      <c r="G7875" t="str" cm="1">
        <f t="array" ref="G7875">SubCategorizeComment(E7875)</f>
        <v>Other</v>
      </c>
    </row>
    <row r="7876" spans="1:7" x14ac:dyDescent="0.25">
      <c r="A7876">
        <v>69985</v>
      </c>
      <c r="B7876" t="s">
        <v>4</v>
      </c>
      <c r="C7876">
        <v>3</v>
      </c>
      <c r="D7876" t="s">
        <v>5</v>
      </c>
      <c r="F7876" t="str" cm="1">
        <f t="array" ref="F7876">CategorizeComment(E7876)</f>
        <v>Other</v>
      </c>
      <c r="G7876" t="str" cm="1">
        <f t="array" ref="G7876">SubCategorizeComment(E7876)</f>
        <v>Other</v>
      </c>
    </row>
    <row r="7877" spans="1:7" x14ac:dyDescent="0.25">
      <c r="A7877">
        <v>69988</v>
      </c>
      <c r="B7877" t="s">
        <v>4</v>
      </c>
      <c r="C7877">
        <v>4</v>
      </c>
      <c r="D7877" t="s">
        <v>5</v>
      </c>
      <c r="F7877" t="str" cm="1">
        <f t="array" ref="F7877">CategorizeComment(E7877)</f>
        <v>Other</v>
      </c>
      <c r="G7877" t="str" cm="1">
        <f t="array" ref="G7877">SubCategorizeComment(E7877)</f>
        <v>Other</v>
      </c>
    </row>
    <row r="7878" spans="1:7" x14ac:dyDescent="0.25">
      <c r="A7878">
        <v>69992</v>
      </c>
      <c r="B7878" t="s">
        <v>4</v>
      </c>
      <c r="C7878">
        <v>3</v>
      </c>
      <c r="D7878" t="s">
        <v>5</v>
      </c>
      <c r="F7878" t="str" cm="1">
        <f t="array" ref="F7878">CategorizeComment(E7878)</f>
        <v>Other</v>
      </c>
      <c r="G7878" t="str" cm="1">
        <f t="array" ref="G7878">SubCategorizeComment(E7878)</f>
        <v>Other</v>
      </c>
    </row>
    <row r="7879" spans="1:7" x14ac:dyDescent="0.25">
      <c r="A7879">
        <v>69995</v>
      </c>
      <c r="B7879" t="s">
        <v>4</v>
      </c>
      <c r="C7879">
        <v>4</v>
      </c>
      <c r="D7879" t="s">
        <v>5</v>
      </c>
      <c r="F7879" t="str" cm="1">
        <f t="array" ref="F7879">CategorizeComment(E7879)</f>
        <v>Other</v>
      </c>
      <c r="G7879" t="str" cm="1">
        <f t="array" ref="G7879">SubCategorizeComment(E7879)</f>
        <v>Other</v>
      </c>
    </row>
    <row r="7880" spans="1:7" x14ac:dyDescent="0.25">
      <c r="A7880">
        <v>69997</v>
      </c>
      <c r="B7880" t="s">
        <v>4</v>
      </c>
      <c r="C7880">
        <v>4</v>
      </c>
      <c r="D7880" t="s">
        <v>5</v>
      </c>
      <c r="F7880" t="str" cm="1">
        <f t="array" ref="F7880">CategorizeComment(E7880)</f>
        <v>Other</v>
      </c>
      <c r="G7880" t="str" cm="1">
        <f t="array" ref="G7880">SubCategorizeComment(E7880)</f>
        <v>Other</v>
      </c>
    </row>
    <row r="7881" spans="1:7" x14ac:dyDescent="0.25">
      <c r="A7881">
        <v>70022</v>
      </c>
      <c r="B7881" t="s">
        <v>4</v>
      </c>
      <c r="C7881">
        <v>4</v>
      </c>
      <c r="D7881" t="s">
        <v>5</v>
      </c>
      <c r="F7881" t="str" cm="1">
        <f t="array" ref="F7881">CategorizeComment(E7881)</f>
        <v>Other</v>
      </c>
      <c r="G7881" t="str" cm="1">
        <f t="array" ref="G7881">SubCategorizeComment(E7881)</f>
        <v>Other</v>
      </c>
    </row>
    <row r="7882" spans="1:7" x14ac:dyDescent="0.25">
      <c r="A7882">
        <v>70033</v>
      </c>
      <c r="B7882" t="s">
        <v>4</v>
      </c>
      <c r="C7882">
        <v>4</v>
      </c>
      <c r="D7882" t="s">
        <v>5</v>
      </c>
      <c r="F7882" t="str" cm="1">
        <f t="array" ref="F7882">CategorizeComment(E7882)</f>
        <v>Other</v>
      </c>
      <c r="G7882" t="str" cm="1">
        <f t="array" ref="G7882">SubCategorizeComment(E7882)</f>
        <v>Other</v>
      </c>
    </row>
    <row r="7883" spans="1:7" x14ac:dyDescent="0.25">
      <c r="A7883">
        <v>70034</v>
      </c>
      <c r="B7883" t="s">
        <v>4</v>
      </c>
      <c r="C7883">
        <v>3</v>
      </c>
      <c r="D7883" t="s">
        <v>5</v>
      </c>
      <c r="F7883" t="str" cm="1">
        <f t="array" ref="F7883">CategorizeComment(E7883)</f>
        <v>Other</v>
      </c>
      <c r="G7883" t="str" cm="1">
        <f t="array" ref="G7883">SubCategorizeComment(E7883)</f>
        <v>Other</v>
      </c>
    </row>
    <row r="7884" spans="1:7" x14ac:dyDescent="0.25">
      <c r="A7884">
        <v>70058</v>
      </c>
      <c r="B7884" t="s">
        <v>4</v>
      </c>
      <c r="C7884">
        <v>4</v>
      </c>
      <c r="D7884" t="s">
        <v>5</v>
      </c>
      <c r="F7884" t="str" cm="1">
        <f t="array" ref="F7884">CategorizeComment(E7884)</f>
        <v>Other</v>
      </c>
      <c r="G7884" t="str" cm="1">
        <f t="array" ref="G7884">SubCategorizeComment(E7884)</f>
        <v>Other</v>
      </c>
    </row>
    <row r="7885" spans="1:7" x14ac:dyDescent="0.25">
      <c r="A7885">
        <v>70061</v>
      </c>
      <c r="B7885" t="s">
        <v>4</v>
      </c>
      <c r="C7885">
        <v>4</v>
      </c>
      <c r="D7885" t="s">
        <v>5</v>
      </c>
      <c r="F7885" t="str" cm="1">
        <f t="array" ref="F7885">CategorizeComment(E7885)</f>
        <v>Other</v>
      </c>
      <c r="G7885" t="str" cm="1">
        <f t="array" ref="G7885">SubCategorizeComment(E7885)</f>
        <v>Other</v>
      </c>
    </row>
    <row r="7886" spans="1:7" x14ac:dyDescent="0.25">
      <c r="A7886">
        <v>70067</v>
      </c>
      <c r="B7886" t="s">
        <v>4</v>
      </c>
      <c r="C7886">
        <v>4</v>
      </c>
      <c r="D7886" t="s">
        <v>5</v>
      </c>
      <c r="F7886" t="str" cm="1">
        <f t="array" ref="F7886">CategorizeComment(E7886)</f>
        <v>Other</v>
      </c>
      <c r="G7886" t="str" cm="1">
        <f t="array" ref="G7886">SubCategorizeComment(E7886)</f>
        <v>Other</v>
      </c>
    </row>
    <row r="7887" spans="1:7" x14ac:dyDescent="0.25">
      <c r="A7887">
        <v>70069</v>
      </c>
      <c r="B7887" t="s">
        <v>4</v>
      </c>
      <c r="C7887">
        <v>4</v>
      </c>
      <c r="D7887" t="s">
        <v>5</v>
      </c>
      <c r="F7887" t="str" cm="1">
        <f t="array" ref="F7887">CategorizeComment(E7887)</f>
        <v>Other</v>
      </c>
      <c r="G7887" t="str" cm="1">
        <f t="array" ref="G7887">SubCategorizeComment(E7887)</f>
        <v>Other</v>
      </c>
    </row>
    <row r="7888" spans="1:7" x14ac:dyDescent="0.25">
      <c r="A7888">
        <v>70077</v>
      </c>
      <c r="B7888" t="s">
        <v>4</v>
      </c>
      <c r="C7888">
        <v>3</v>
      </c>
      <c r="D7888" t="s">
        <v>5</v>
      </c>
      <c r="F7888" t="str" cm="1">
        <f t="array" ref="F7888">CategorizeComment(E7888)</f>
        <v>Other</v>
      </c>
      <c r="G7888" t="str" cm="1">
        <f t="array" ref="G7888">SubCategorizeComment(E7888)</f>
        <v>Other</v>
      </c>
    </row>
    <row r="7889" spans="1:7" x14ac:dyDescent="0.25">
      <c r="A7889">
        <v>70082</v>
      </c>
      <c r="B7889" t="s">
        <v>4</v>
      </c>
      <c r="C7889">
        <v>4</v>
      </c>
      <c r="D7889" t="s">
        <v>5</v>
      </c>
      <c r="F7889" t="str" cm="1">
        <f t="array" ref="F7889">CategorizeComment(E7889)</f>
        <v>Other</v>
      </c>
      <c r="G7889" t="str" cm="1">
        <f t="array" ref="G7889">SubCategorizeComment(E7889)</f>
        <v>Other</v>
      </c>
    </row>
    <row r="7890" spans="1:7" x14ac:dyDescent="0.25">
      <c r="A7890">
        <v>70112</v>
      </c>
      <c r="B7890" t="s">
        <v>4</v>
      </c>
      <c r="C7890">
        <v>3</v>
      </c>
      <c r="D7890" t="s">
        <v>5</v>
      </c>
      <c r="F7890" t="str" cm="1">
        <f t="array" ref="F7890">CategorizeComment(E7890)</f>
        <v>Other</v>
      </c>
      <c r="G7890" t="str" cm="1">
        <f t="array" ref="G7890">SubCategorizeComment(E7890)</f>
        <v>Other</v>
      </c>
    </row>
    <row r="7891" spans="1:7" x14ac:dyDescent="0.25">
      <c r="A7891">
        <v>70127</v>
      </c>
      <c r="B7891" t="s">
        <v>4</v>
      </c>
      <c r="C7891">
        <v>3</v>
      </c>
      <c r="D7891" t="s">
        <v>5</v>
      </c>
      <c r="F7891" t="str" cm="1">
        <f t="array" ref="F7891">CategorizeComment(E7891)</f>
        <v>Other</v>
      </c>
      <c r="G7891" t="str" cm="1">
        <f t="array" ref="G7891">SubCategorizeComment(E7891)</f>
        <v>Other</v>
      </c>
    </row>
    <row r="7892" spans="1:7" x14ac:dyDescent="0.25">
      <c r="A7892">
        <v>70133</v>
      </c>
      <c r="B7892" t="s">
        <v>4</v>
      </c>
      <c r="C7892">
        <v>3</v>
      </c>
      <c r="D7892" t="s">
        <v>5</v>
      </c>
      <c r="F7892" t="str" cm="1">
        <f t="array" ref="F7892">CategorizeComment(E7892)</f>
        <v>Other</v>
      </c>
      <c r="G7892" t="str" cm="1">
        <f t="array" ref="G7892">SubCategorizeComment(E7892)</f>
        <v>Other</v>
      </c>
    </row>
    <row r="7893" spans="1:7" x14ac:dyDescent="0.25">
      <c r="A7893">
        <v>70134</v>
      </c>
      <c r="B7893" t="s">
        <v>4</v>
      </c>
      <c r="C7893">
        <v>4</v>
      </c>
      <c r="D7893" t="s">
        <v>5</v>
      </c>
      <c r="F7893" t="str" cm="1">
        <f t="array" ref="F7893">CategorizeComment(E7893)</f>
        <v>Other</v>
      </c>
      <c r="G7893" t="str" cm="1">
        <f t="array" ref="G7893">SubCategorizeComment(E7893)</f>
        <v>Other</v>
      </c>
    </row>
    <row r="7894" spans="1:7" x14ac:dyDescent="0.25">
      <c r="A7894">
        <v>70136</v>
      </c>
      <c r="B7894" t="s">
        <v>4</v>
      </c>
      <c r="C7894">
        <v>4</v>
      </c>
      <c r="D7894" t="s">
        <v>5</v>
      </c>
      <c r="F7894" t="str" cm="1">
        <f t="array" ref="F7894">CategorizeComment(E7894)</f>
        <v>Other</v>
      </c>
      <c r="G7894" t="str" cm="1">
        <f t="array" ref="G7894">SubCategorizeComment(E7894)</f>
        <v>Other</v>
      </c>
    </row>
    <row r="7895" spans="1:7" x14ac:dyDescent="0.25">
      <c r="A7895">
        <v>70141</v>
      </c>
      <c r="B7895" t="s">
        <v>4</v>
      </c>
      <c r="C7895">
        <v>3</v>
      </c>
      <c r="D7895" t="s">
        <v>5</v>
      </c>
      <c r="F7895" t="str" cm="1">
        <f t="array" ref="F7895">CategorizeComment(E7895)</f>
        <v>Other</v>
      </c>
      <c r="G7895" t="str" cm="1">
        <f t="array" ref="G7895">SubCategorizeComment(E7895)</f>
        <v>Other</v>
      </c>
    </row>
    <row r="7896" spans="1:7" x14ac:dyDescent="0.25">
      <c r="A7896">
        <v>70145</v>
      </c>
      <c r="B7896" t="s">
        <v>4</v>
      </c>
      <c r="C7896">
        <v>4</v>
      </c>
      <c r="D7896" t="s">
        <v>5</v>
      </c>
      <c r="F7896" t="str" cm="1">
        <f t="array" ref="F7896">CategorizeComment(E7896)</f>
        <v>Other</v>
      </c>
      <c r="G7896" t="str" cm="1">
        <f t="array" ref="G7896">SubCategorizeComment(E7896)</f>
        <v>Other</v>
      </c>
    </row>
    <row r="7897" spans="1:7" x14ac:dyDescent="0.25">
      <c r="A7897">
        <v>70148</v>
      </c>
      <c r="B7897" t="s">
        <v>4</v>
      </c>
      <c r="C7897">
        <v>3</v>
      </c>
      <c r="D7897" t="s">
        <v>5</v>
      </c>
      <c r="F7897" t="str" cm="1">
        <f t="array" ref="F7897">CategorizeComment(E7897)</f>
        <v>Other</v>
      </c>
      <c r="G7897" t="str" cm="1">
        <f t="array" ref="G7897">SubCategorizeComment(E7897)</f>
        <v>Other</v>
      </c>
    </row>
    <row r="7898" spans="1:7" x14ac:dyDescent="0.25">
      <c r="A7898">
        <v>70152</v>
      </c>
      <c r="B7898" t="s">
        <v>4</v>
      </c>
      <c r="C7898">
        <v>3</v>
      </c>
      <c r="D7898" t="s">
        <v>5</v>
      </c>
      <c r="F7898" t="str" cm="1">
        <f t="array" ref="F7898">CategorizeComment(E7898)</f>
        <v>Other</v>
      </c>
      <c r="G7898" t="str" cm="1">
        <f t="array" ref="G7898">SubCategorizeComment(E7898)</f>
        <v>Other</v>
      </c>
    </row>
    <row r="7899" spans="1:7" x14ac:dyDescent="0.25">
      <c r="A7899">
        <v>70160</v>
      </c>
      <c r="B7899" t="s">
        <v>4</v>
      </c>
      <c r="C7899">
        <v>3</v>
      </c>
      <c r="D7899" t="s">
        <v>5</v>
      </c>
      <c r="F7899" t="str" cm="1">
        <f t="array" ref="F7899">CategorizeComment(E7899)</f>
        <v>Other</v>
      </c>
      <c r="G7899" t="str" cm="1">
        <f t="array" ref="G7899">SubCategorizeComment(E7899)</f>
        <v>Other</v>
      </c>
    </row>
    <row r="7900" spans="1:7" x14ac:dyDescent="0.25">
      <c r="A7900">
        <v>70165</v>
      </c>
      <c r="B7900" t="s">
        <v>4</v>
      </c>
      <c r="C7900">
        <v>3</v>
      </c>
      <c r="D7900" t="s">
        <v>5</v>
      </c>
      <c r="F7900" t="str" cm="1">
        <f t="array" ref="F7900">CategorizeComment(E7900)</f>
        <v>Other</v>
      </c>
      <c r="G7900" t="str" cm="1">
        <f t="array" ref="G7900">SubCategorizeComment(E7900)</f>
        <v>Other</v>
      </c>
    </row>
    <row r="7901" spans="1:7" x14ac:dyDescent="0.25">
      <c r="A7901">
        <v>70196</v>
      </c>
      <c r="B7901" t="s">
        <v>4</v>
      </c>
      <c r="C7901">
        <v>3</v>
      </c>
      <c r="D7901" t="s">
        <v>5</v>
      </c>
      <c r="F7901" t="str" cm="1">
        <f t="array" ref="F7901">CategorizeComment(E7901)</f>
        <v>Other</v>
      </c>
      <c r="G7901" t="str" cm="1">
        <f t="array" ref="G7901">SubCategorizeComment(E7901)</f>
        <v>Other</v>
      </c>
    </row>
    <row r="7902" spans="1:7" x14ac:dyDescent="0.25">
      <c r="A7902">
        <v>70199</v>
      </c>
      <c r="B7902" t="s">
        <v>4</v>
      </c>
      <c r="C7902">
        <v>4</v>
      </c>
      <c r="D7902" t="s">
        <v>5</v>
      </c>
      <c r="F7902" t="str" cm="1">
        <f t="array" ref="F7902">CategorizeComment(E7902)</f>
        <v>Other</v>
      </c>
      <c r="G7902" t="str" cm="1">
        <f t="array" ref="G7902">SubCategorizeComment(E7902)</f>
        <v>Other</v>
      </c>
    </row>
    <row r="7903" spans="1:7" x14ac:dyDescent="0.25">
      <c r="A7903">
        <v>70202</v>
      </c>
      <c r="B7903" t="s">
        <v>4</v>
      </c>
      <c r="C7903">
        <v>4</v>
      </c>
      <c r="D7903" t="s">
        <v>5</v>
      </c>
      <c r="F7903" t="str" cm="1">
        <f t="array" ref="F7903">CategorizeComment(E7903)</f>
        <v>Other</v>
      </c>
      <c r="G7903" t="str" cm="1">
        <f t="array" ref="G7903">SubCategorizeComment(E7903)</f>
        <v>Other</v>
      </c>
    </row>
    <row r="7904" spans="1:7" x14ac:dyDescent="0.25">
      <c r="A7904">
        <v>70203</v>
      </c>
      <c r="B7904" t="s">
        <v>4</v>
      </c>
      <c r="C7904">
        <v>3</v>
      </c>
      <c r="D7904" t="s">
        <v>5</v>
      </c>
      <c r="F7904" t="str" cm="1">
        <f t="array" ref="F7904">CategorizeComment(E7904)</f>
        <v>Other</v>
      </c>
      <c r="G7904" t="str" cm="1">
        <f t="array" ref="G7904">SubCategorizeComment(E7904)</f>
        <v>Other</v>
      </c>
    </row>
    <row r="7905" spans="1:7" x14ac:dyDescent="0.25">
      <c r="A7905">
        <v>70205</v>
      </c>
      <c r="B7905" t="s">
        <v>4</v>
      </c>
      <c r="C7905">
        <v>4</v>
      </c>
      <c r="D7905" t="s">
        <v>5</v>
      </c>
      <c r="F7905" t="str" cm="1">
        <f t="array" ref="F7905">CategorizeComment(E7905)</f>
        <v>Other</v>
      </c>
      <c r="G7905" t="str" cm="1">
        <f t="array" ref="G7905">SubCategorizeComment(E7905)</f>
        <v>Other</v>
      </c>
    </row>
    <row r="7906" spans="1:7" x14ac:dyDescent="0.25">
      <c r="A7906">
        <v>70207</v>
      </c>
      <c r="B7906" t="s">
        <v>4</v>
      </c>
      <c r="C7906">
        <v>3</v>
      </c>
      <c r="D7906" t="s">
        <v>5</v>
      </c>
      <c r="F7906" t="str" cm="1">
        <f t="array" ref="F7906">CategorizeComment(E7906)</f>
        <v>Other</v>
      </c>
      <c r="G7906" t="str" cm="1">
        <f t="array" ref="G7906">SubCategorizeComment(E7906)</f>
        <v>Other</v>
      </c>
    </row>
    <row r="7907" spans="1:7" x14ac:dyDescent="0.25">
      <c r="A7907">
        <v>70211</v>
      </c>
      <c r="B7907" t="s">
        <v>4</v>
      </c>
      <c r="C7907">
        <v>4</v>
      </c>
      <c r="D7907" t="s">
        <v>5</v>
      </c>
      <c r="F7907" t="str" cm="1">
        <f t="array" ref="F7907">CategorizeComment(E7907)</f>
        <v>Other</v>
      </c>
      <c r="G7907" t="str" cm="1">
        <f t="array" ref="G7907">SubCategorizeComment(E7907)</f>
        <v>Other</v>
      </c>
    </row>
    <row r="7908" spans="1:7" x14ac:dyDescent="0.25">
      <c r="A7908">
        <v>70213</v>
      </c>
      <c r="B7908" t="s">
        <v>4</v>
      </c>
      <c r="C7908">
        <v>4</v>
      </c>
      <c r="D7908" t="s">
        <v>5</v>
      </c>
      <c r="F7908" t="str" cm="1">
        <f t="array" ref="F7908">CategorizeComment(E7908)</f>
        <v>Other</v>
      </c>
      <c r="G7908" t="str" cm="1">
        <f t="array" ref="G7908">SubCategorizeComment(E7908)</f>
        <v>Other</v>
      </c>
    </row>
    <row r="7909" spans="1:7" x14ac:dyDescent="0.25">
      <c r="A7909">
        <v>70244</v>
      </c>
      <c r="B7909" t="s">
        <v>4</v>
      </c>
      <c r="C7909">
        <v>3</v>
      </c>
      <c r="D7909" t="s">
        <v>5</v>
      </c>
      <c r="F7909" t="str" cm="1">
        <f t="array" ref="F7909">CategorizeComment(E7909)</f>
        <v>Other</v>
      </c>
      <c r="G7909" t="str" cm="1">
        <f t="array" ref="G7909">SubCategorizeComment(E7909)</f>
        <v>Other</v>
      </c>
    </row>
    <row r="7910" spans="1:7" x14ac:dyDescent="0.25">
      <c r="A7910">
        <v>70247</v>
      </c>
      <c r="B7910" t="s">
        <v>4</v>
      </c>
      <c r="C7910">
        <v>4</v>
      </c>
      <c r="D7910" t="s">
        <v>5</v>
      </c>
      <c r="F7910" t="str" cm="1">
        <f t="array" ref="F7910">CategorizeComment(E7910)</f>
        <v>Other</v>
      </c>
      <c r="G7910" t="str" cm="1">
        <f t="array" ref="G7910">SubCategorizeComment(E7910)</f>
        <v>Other</v>
      </c>
    </row>
    <row r="7911" spans="1:7" x14ac:dyDescent="0.25">
      <c r="A7911">
        <v>70248</v>
      </c>
      <c r="B7911" t="s">
        <v>4</v>
      </c>
      <c r="C7911">
        <v>3</v>
      </c>
      <c r="D7911" t="s">
        <v>5</v>
      </c>
      <c r="F7911" t="str" cm="1">
        <f t="array" ref="F7911">CategorizeComment(E7911)</f>
        <v>Other</v>
      </c>
      <c r="G7911" t="str" cm="1">
        <f t="array" ref="G7911">SubCategorizeComment(E7911)</f>
        <v>Other</v>
      </c>
    </row>
    <row r="7912" spans="1:7" x14ac:dyDescent="0.25">
      <c r="A7912">
        <v>70267</v>
      </c>
      <c r="B7912" t="s">
        <v>4</v>
      </c>
      <c r="C7912">
        <v>4</v>
      </c>
      <c r="D7912" t="s">
        <v>5</v>
      </c>
      <c r="F7912" t="str" cm="1">
        <f t="array" ref="F7912">CategorizeComment(E7912)</f>
        <v>Other</v>
      </c>
      <c r="G7912" t="str" cm="1">
        <f t="array" ref="G7912">SubCategorizeComment(E7912)</f>
        <v>Other</v>
      </c>
    </row>
    <row r="7913" spans="1:7" x14ac:dyDescent="0.25">
      <c r="A7913">
        <v>70273</v>
      </c>
      <c r="B7913" t="s">
        <v>4</v>
      </c>
      <c r="C7913">
        <v>3</v>
      </c>
      <c r="D7913" t="s">
        <v>5</v>
      </c>
      <c r="F7913" t="str" cm="1">
        <f t="array" ref="F7913">CategorizeComment(E7913)</f>
        <v>Other</v>
      </c>
      <c r="G7913" t="str" cm="1">
        <f t="array" ref="G7913">SubCategorizeComment(E7913)</f>
        <v>Other</v>
      </c>
    </row>
    <row r="7914" spans="1:7" x14ac:dyDescent="0.25">
      <c r="A7914">
        <v>70284</v>
      </c>
      <c r="B7914" t="s">
        <v>4</v>
      </c>
      <c r="C7914">
        <v>3</v>
      </c>
      <c r="D7914" t="s">
        <v>5</v>
      </c>
      <c r="F7914" t="str" cm="1">
        <f t="array" ref="F7914">CategorizeComment(E7914)</f>
        <v>Other</v>
      </c>
      <c r="G7914" t="str" cm="1">
        <f t="array" ref="G7914">SubCategorizeComment(E7914)</f>
        <v>Other</v>
      </c>
    </row>
    <row r="7915" spans="1:7" x14ac:dyDescent="0.25">
      <c r="A7915">
        <v>70313</v>
      </c>
      <c r="B7915" t="s">
        <v>4</v>
      </c>
      <c r="C7915">
        <v>3</v>
      </c>
      <c r="D7915" t="s">
        <v>5</v>
      </c>
      <c r="F7915" t="str" cm="1">
        <f t="array" ref="F7915">CategorizeComment(E7915)</f>
        <v>Other</v>
      </c>
      <c r="G7915" t="str" cm="1">
        <f t="array" ref="G7915">SubCategorizeComment(E7915)</f>
        <v>Other</v>
      </c>
    </row>
    <row r="7916" spans="1:7" x14ac:dyDescent="0.25">
      <c r="A7916">
        <v>70334</v>
      </c>
      <c r="B7916" t="s">
        <v>4</v>
      </c>
      <c r="C7916">
        <v>4</v>
      </c>
      <c r="D7916" t="s">
        <v>5</v>
      </c>
      <c r="F7916" t="str" cm="1">
        <f t="array" ref="F7916">CategorizeComment(E7916)</f>
        <v>Other</v>
      </c>
      <c r="G7916" t="str" cm="1">
        <f t="array" ref="G7916">SubCategorizeComment(E7916)</f>
        <v>Other</v>
      </c>
    </row>
    <row r="7917" spans="1:7" x14ac:dyDescent="0.25">
      <c r="A7917">
        <v>70337</v>
      </c>
      <c r="B7917" t="s">
        <v>4</v>
      </c>
      <c r="C7917">
        <v>3</v>
      </c>
      <c r="D7917" t="s">
        <v>5</v>
      </c>
      <c r="F7917" t="str" cm="1">
        <f t="array" ref="F7917">CategorizeComment(E7917)</f>
        <v>Other</v>
      </c>
      <c r="G7917" t="str" cm="1">
        <f t="array" ref="G7917">SubCategorizeComment(E7917)</f>
        <v>Other</v>
      </c>
    </row>
    <row r="7918" spans="1:7" x14ac:dyDescent="0.25">
      <c r="A7918">
        <v>70363</v>
      </c>
      <c r="B7918" t="s">
        <v>4</v>
      </c>
      <c r="C7918">
        <v>3</v>
      </c>
      <c r="D7918" t="s">
        <v>5</v>
      </c>
      <c r="F7918" t="str" cm="1">
        <f t="array" ref="F7918">CategorizeComment(E7918)</f>
        <v>Other</v>
      </c>
      <c r="G7918" t="str" cm="1">
        <f t="array" ref="G7918">SubCategorizeComment(E7918)</f>
        <v>Other</v>
      </c>
    </row>
    <row r="7919" spans="1:7" x14ac:dyDescent="0.25">
      <c r="A7919">
        <v>70373</v>
      </c>
      <c r="B7919" t="s">
        <v>4</v>
      </c>
      <c r="C7919">
        <v>3</v>
      </c>
      <c r="D7919" t="s">
        <v>5</v>
      </c>
      <c r="F7919" t="str" cm="1">
        <f t="array" ref="F7919">CategorizeComment(E7919)</f>
        <v>Other</v>
      </c>
      <c r="G7919" t="str" cm="1">
        <f t="array" ref="G7919">SubCategorizeComment(E7919)</f>
        <v>Other</v>
      </c>
    </row>
    <row r="7920" spans="1:7" x14ac:dyDescent="0.25">
      <c r="A7920">
        <v>70376</v>
      </c>
      <c r="B7920" t="s">
        <v>4</v>
      </c>
      <c r="C7920">
        <v>4</v>
      </c>
      <c r="D7920" t="s">
        <v>5</v>
      </c>
      <c r="F7920" t="str" cm="1">
        <f t="array" ref="F7920">CategorizeComment(E7920)</f>
        <v>Other</v>
      </c>
      <c r="G7920" t="str" cm="1">
        <f t="array" ref="G7920">SubCategorizeComment(E7920)</f>
        <v>Other</v>
      </c>
    </row>
    <row r="7921" spans="1:7" x14ac:dyDescent="0.25">
      <c r="A7921">
        <v>70383</v>
      </c>
      <c r="B7921" t="s">
        <v>4</v>
      </c>
      <c r="C7921">
        <v>3</v>
      </c>
      <c r="D7921" t="s">
        <v>5</v>
      </c>
      <c r="F7921" t="str" cm="1">
        <f t="array" ref="F7921">CategorizeComment(E7921)</f>
        <v>Other</v>
      </c>
      <c r="G7921" t="str" cm="1">
        <f t="array" ref="G7921">SubCategorizeComment(E7921)</f>
        <v>Other</v>
      </c>
    </row>
    <row r="7922" spans="1:7" x14ac:dyDescent="0.25">
      <c r="A7922">
        <v>70393</v>
      </c>
      <c r="B7922" t="s">
        <v>4</v>
      </c>
      <c r="C7922">
        <v>4</v>
      </c>
      <c r="D7922" t="s">
        <v>5</v>
      </c>
      <c r="F7922" t="str" cm="1">
        <f t="array" ref="F7922">CategorizeComment(E7922)</f>
        <v>Other</v>
      </c>
      <c r="G7922" t="str" cm="1">
        <f t="array" ref="G7922">SubCategorizeComment(E7922)</f>
        <v>Other</v>
      </c>
    </row>
    <row r="7923" spans="1:7" x14ac:dyDescent="0.25">
      <c r="A7923">
        <v>70396</v>
      </c>
      <c r="B7923" t="s">
        <v>4</v>
      </c>
      <c r="C7923">
        <v>3</v>
      </c>
      <c r="D7923" t="s">
        <v>5</v>
      </c>
      <c r="F7923" t="str" cm="1">
        <f t="array" ref="F7923">CategorizeComment(E7923)</f>
        <v>Other</v>
      </c>
      <c r="G7923" t="str" cm="1">
        <f t="array" ref="G7923">SubCategorizeComment(E7923)</f>
        <v>Other</v>
      </c>
    </row>
    <row r="7924" spans="1:7" x14ac:dyDescent="0.25">
      <c r="A7924">
        <v>70401</v>
      </c>
      <c r="B7924" t="s">
        <v>4</v>
      </c>
      <c r="C7924">
        <v>4</v>
      </c>
      <c r="D7924" t="s">
        <v>5</v>
      </c>
      <c r="F7924" t="str" cm="1">
        <f t="array" ref="F7924">CategorizeComment(E7924)</f>
        <v>Other</v>
      </c>
      <c r="G7924" t="str" cm="1">
        <f t="array" ref="G7924">SubCategorizeComment(E7924)</f>
        <v>Other</v>
      </c>
    </row>
    <row r="7925" spans="1:7" x14ac:dyDescent="0.25">
      <c r="A7925">
        <v>70403</v>
      </c>
      <c r="B7925" t="s">
        <v>4</v>
      </c>
      <c r="C7925">
        <v>3</v>
      </c>
      <c r="D7925" t="s">
        <v>5</v>
      </c>
      <c r="F7925" t="str" cm="1">
        <f t="array" ref="F7925">CategorizeComment(E7925)</f>
        <v>Other</v>
      </c>
      <c r="G7925" t="str" cm="1">
        <f t="array" ref="G7925">SubCategorizeComment(E7925)</f>
        <v>Other</v>
      </c>
    </row>
    <row r="7926" spans="1:7" x14ac:dyDescent="0.25">
      <c r="A7926">
        <v>70407</v>
      </c>
      <c r="B7926" t="s">
        <v>4</v>
      </c>
      <c r="C7926">
        <v>4</v>
      </c>
      <c r="D7926" t="s">
        <v>5</v>
      </c>
      <c r="F7926" t="str" cm="1">
        <f t="array" ref="F7926">CategorizeComment(E7926)</f>
        <v>Other</v>
      </c>
      <c r="G7926" t="str" cm="1">
        <f t="array" ref="G7926">SubCategorizeComment(E7926)</f>
        <v>Other</v>
      </c>
    </row>
    <row r="7927" spans="1:7" x14ac:dyDescent="0.25">
      <c r="A7927">
        <v>70410</v>
      </c>
      <c r="B7927" t="s">
        <v>4</v>
      </c>
      <c r="C7927">
        <v>2</v>
      </c>
      <c r="D7927" t="s">
        <v>5</v>
      </c>
      <c r="F7927" t="str" cm="1">
        <f t="array" ref="F7927">CategorizeComment(E7927)</f>
        <v>Other</v>
      </c>
      <c r="G7927" t="str" cm="1">
        <f t="array" ref="G7927">SubCategorizeComment(E7927)</f>
        <v>Other</v>
      </c>
    </row>
    <row r="7928" spans="1:7" x14ac:dyDescent="0.25">
      <c r="A7928">
        <v>70416</v>
      </c>
      <c r="B7928" t="s">
        <v>4</v>
      </c>
      <c r="C7928">
        <v>3</v>
      </c>
      <c r="D7928" t="s">
        <v>5</v>
      </c>
      <c r="F7928" t="str" cm="1">
        <f t="array" ref="F7928">CategorizeComment(E7928)</f>
        <v>Other</v>
      </c>
      <c r="G7928" t="str" cm="1">
        <f t="array" ref="G7928">SubCategorizeComment(E7928)</f>
        <v>Other</v>
      </c>
    </row>
    <row r="7929" spans="1:7" x14ac:dyDescent="0.25">
      <c r="A7929">
        <v>70421</v>
      </c>
      <c r="B7929" t="s">
        <v>4</v>
      </c>
      <c r="C7929">
        <v>4</v>
      </c>
      <c r="D7929" t="s">
        <v>5</v>
      </c>
      <c r="F7929" t="str" cm="1">
        <f t="array" ref="F7929">CategorizeComment(E7929)</f>
        <v>Other</v>
      </c>
      <c r="G7929" t="str" cm="1">
        <f t="array" ref="G7929">SubCategorizeComment(E7929)</f>
        <v>Other</v>
      </c>
    </row>
    <row r="7930" spans="1:7" x14ac:dyDescent="0.25">
      <c r="A7930">
        <v>70466</v>
      </c>
      <c r="B7930" t="s">
        <v>4</v>
      </c>
      <c r="C7930">
        <v>4</v>
      </c>
      <c r="D7930" t="s">
        <v>5</v>
      </c>
      <c r="F7930" t="str" cm="1">
        <f t="array" ref="F7930">CategorizeComment(E7930)</f>
        <v>Other</v>
      </c>
      <c r="G7930" t="str" cm="1">
        <f t="array" ref="G7930">SubCategorizeComment(E7930)</f>
        <v>Other</v>
      </c>
    </row>
    <row r="7931" spans="1:7" x14ac:dyDescent="0.25">
      <c r="A7931">
        <v>70477</v>
      </c>
      <c r="B7931" t="s">
        <v>4</v>
      </c>
      <c r="C7931">
        <v>3</v>
      </c>
      <c r="D7931" t="s">
        <v>5</v>
      </c>
      <c r="F7931" t="str" cm="1">
        <f t="array" ref="F7931">CategorizeComment(E7931)</f>
        <v>Other</v>
      </c>
      <c r="G7931" t="str" cm="1">
        <f t="array" ref="G7931">SubCategorizeComment(E7931)</f>
        <v>Other</v>
      </c>
    </row>
    <row r="7932" spans="1:7" x14ac:dyDescent="0.25">
      <c r="A7932">
        <v>70490</v>
      </c>
      <c r="B7932" t="s">
        <v>4</v>
      </c>
      <c r="C7932">
        <v>3</v>
      </c>
      <c r="D7932" t="s">
        <v>5</v>
      </c>
      <c r="F7932" t="str" cm="1">
        <f t="array" ref="F7932">CategorizeComment(E7932)</f>
        <v>Other</v>
      </c>
      <c r="G7932" t="str" cm="1">
        <f t="array" ref="G7932">SubCategorizeComment(E7932)</f>
        <v>Other</v>
      </c>
    </row>
    <row r="7933" spans="1:7" x14ac:dyDescent="0.25">
      <c r="A7933">
        <v>70493</v>
      </c>
      <c r="B7933" t="s">
        <v>4</v>
      </c>
      <c r="C7933">
        <v>3</v>
      </c>
      <c r="D7933" t="s">
        <v>5</v>
      </c>
      <c r="F7933" t="str" cm="1">
        <f t="array" ref="F7933">CategorizeComment(E7933)</f>
        <v>Other</v>
      </c>
      <c r="G7933" t="str" cm="1">
        <f t="array" ref="G7933">SubCategorizeComment(E7933)</f>
        <v>Other</v>
      </c>
    </row>
    <row r="7934" spans="1:7" x14ac:dyDescent="0.25">
      <c r="A7934">
        <v>70509</v>
      </c>
      <c r="B7934" t="s">
        <v>4</v>
      </c>
      <c r="C7934">
        <v>4</v>
      </c>
      <c r="D7934" t="s">
        <v>5</v>
      </c>
      <c r="F7934" t="str" cm="1">
        <f t="array" ref="F7934">CategorizeComment(E7934)</f>
        <v>Other</v>
      </c>
      <c r="G7934" t="str" cm="1">
        <f t="array" ref="G7934">SubCategorizeComment(E7934)</f>
        <v>Other</v>
      </c>
    </row>
    <row r="7935" spans="1:7" x14ac:dyDescent="0.25">
      <c r="A7935">
        <v>70530</v>
      </c>
      <c r="B7935" t="s">
        <v>4</v>
      </c>
      <c r="C7935">
        <v>4</v>
      </c>
      <c r="D7935" t="s">
        <v>5</v>
      </c>
      <c r="F7935" t="str" cm="1">
        <f t="array" ref="F7935">CategorizeComment(E7935)</f>
        <v>Other</v>
      </c>
      <c r="G7935" t="str" cm="1">
        <f t="array" ref="G7935">SubCategorizeComment(E7935)</f>
        <v>Other</v>
      </c>
    </row>
    <row r="7936" spans="1:7" x14ac:dyDescent="0.25">
      <c r="A7936">
        <v>70531</v>
      </c>
      <c r="B7936" t="s">
        <v>4</v>
      </c>
      <c r="C7936">
        <v>4</v>
      </c>
      <c r="D7936" t="s">
        <v>5</v>
      </c>
      <c r="F7936" t="str" cm="1">
        <f t="array" ref="F7936">CategorizeComment(E7936)</f>
        <v>Other</v>
      </c>
      <c r="G7936" t="str" cm="1">
        <f t="array" ref="G7936">SubCategorizeComment(E7936)</f>
        <v>Other</v>
      </c>
    </row>
    <row r="7937" spans="1:7" x14ac:dyDescent="0.25">
      <c r="A7937">
        <v>70550</v>
      </c>
      <c r="B7937" t="s">
        <v>4</v>
      </c>
      <c r="C7937">
        <v>3</v>
      </c>
      <c r="D7937" t="s">
        <v>5</v>
      </c>
      <c r="F7937" t="str" cm="1">
        <f t="array" ref="F7937">CategorizeComment(E7937)</f>
        <v>Other</v>
      </c>
      <c r="G7937" t="str" cm="1">
        <f t="array" ref="G7937">SubCategorizeComment(E7937)</f>
        <v>Other</v>
      </c>
    </row>
    <row r="7938" spans="1:7" x14ac:dyDescent="0.25">
      <c r="A7938">
        <v>70565</v>
      </c>
      <c r="B7938" t="s">
        <v>4</v>
      </c>
      <c r="C7938">
        <v>3</v>
      </c>
      <c r="D7938" t="s">
        <v>5</v>
      </c>
      <c r="F7938" t="str" cm="1">
        <f t="array" ref="F7938">CategorizeComment(E7938)</f>
        <v>Other</v>
      </c>
      <c r="G7938" t="str" cm="1">
        <f t="array" ref="G7938">SubCategorizeComment(E7938)</f>
        <v>Other</v>
      </c>
    </row>
    <row r="7939" spans="1:7" x14ac:dyDescent="0.25">
      <c r="A7939">
        <v>70566</v>
      </c>
      <c r="B7939" t="s">
        <v>4</v>
      </c>
      <c r="C7939">
        <v>3</v>
      </c>
      <c r="D7939" t="s">
        <v>5</v>
      </c>
      <c r="F7939" t="str" cm="1">
        <f t="array" ref="F7939">CategorizeComment(E7939)</f>
        <v>Other</v>
      </c>
      <c r="G7939" t="str" cm="1">
        <f t="array" ref="G7939">SubCategorizeComment(E7939)</f>
        <v>Other</v>
      </c>
    </row>
    <row r="7940" spans="1:7" x14ac:dyDescent="0.25">
      <c r="A7940">
        <v>70567</v>
      </c>
      <c r="B7940" t="s">
        <v>4</v>
      </c>
      <c r="C7940">
        <v>3</v>
      </c>
      <c r="D7940" t="s">
        <v>5</v>
      </c>
      <c r="F7940" t="str" cm="1">
        <f t="array" ref="F7940">CategorizeComment(E7940)</f>
        <v>Other</v>
      </c>
      <c r="G7940" t="str" cm="1">
        <f t="array" ref="G7940">SubCategorizeComment(E7940)</f>
        <v>Other</v>
      </c>
    </row>
    <row r="7941" spans="1:7" x14ac:dyDescent="0.25">
      <c r="A7941">
        <v>70583</v>
      </c>
      <c r="B7941" t="s">
        <v>4</v>
      </c>
      <c r="C7941">
        <v>3</v>
      </c>
      <c r="D7941" t="s">
        <v>5</v>
      </c>
      <c r="F7941" t="str" cm="1">
        <f t="array" ref="F7941">CategorizeComment(E7941)</f>
        <v>Other</v>
      </c>
      <c r="G7941" t="str" cm="1">
        <f t="array" ref="G7941">SubCategorizeComment(E7941)</f>
        <v>Other</v>
      </c>
    </row>
    <row r="7942" spans="1:7" x14ac:dyDescent="0.25">
      <c r="A7942">
        <v>70586</v>
      </c>
      <c r="B7942" t="s">
        <v>4</v>
      </c>
      <c r="C7942">
        <v>3</v>
      </c>
      <c r="D7942" t="s">
        <v>5</v>
      </c>
      <c r="F7942" t="str" cm="1">
        <f t="array" ref="F7942">CategorizeComment(E7942)</f>
        <v>Other</v>
      </c>
      <c r="G7942" t="str" cm="1">
        <f t="array" ref="G7942">SubCategorizeComment(E7942)</f>
        <v>Other</v>
      </c>
    </row>
    <row r="7943" spans="1:7" x14ac:dyDescent="0.25">
      <c r="A7943">
        <v>70587</v>
      </c>
      <c r="B7943" t="s">
        <v>4</v>
      </c>
      <c r="C7943">
        <v>4</v>
      </c>
      <c r="D7943" t="s">
        <v>5</v>
      </c>
      <c r="F7943" t="str" cm="1">
        <f t="array" ref="F7943">CategorizeComment(E7943)</f>
        <v>Other</v>
      </c>
      <c r="G7943" t="str" cm="1">
        <f t="array" ref="G7943">SubCategorizeComment(E7943)</f>
        <v>Other</v>
      </c>
    </row>
    <row r="7944" spans="1:7" x14ac:dyDescent="0.25">
      <c r="A7944">
        <v>70602</v>
      </c>
      <c r="B7944" t="s">
        <v>4</v>
      </c>
      <c r="C7944">
        <v>4</v>
      </c>
      <c r="D7944" t="s">
        <v>5</v>
      </c>
      <c r="F7944" t="str" cm="1">
        <f t="array" ref="F7944">CategorizeComment(E7944)</f>
        <v>Other</v>
      </c>
      <c r="G7944" t="str" cm="1">
        <f t="array" ref="G7944">SubCategorizeComment(E7944)</f>
        <v>Other</v>
      </c>
    </row>
    <row r="7945" spans="1:7" x14ac:dyDescent="0.25">
      <c r="A7945">
        <v>70616</v>
      </c>
      <c r="B7945" t="s">
        <v>4</v>
      </c>
      <c r="C7945">
        <v>3</v>
      </c>
      <c r="D7945" t="s">
        <v>5</v>
      </c>
      <c r="F7945" t="str" cm="1">
        <f t="array" ref="F7945">CategorizeComment(E7945)</f>
        <v>Other</v>
      </c>
      <c r="G7945" t="str" cm="1">
        <f t="array" ref="G7945">SubCategorizeComment(E7945)</f>
        <v>Other</v>
      </c>
    </row>
    <row r="7946" spans="1:7" x14ac:dyDescent="0.25">
      <c r="A7946">
        <v>70618</v>
      </c>
      <c r="B7946" t="s">
        <v>4</v>
      </c>
      <c r="C7946">
        <v>0</v>
      </c>
      <c r="D7946" t="s">
        <v>5</v>
      </c>
      <c r="F7946" t="str" cm="1">
        <f t="array" ref="F7946">CategorizeComment(E7946)</f>
        <v>Other</v>
      </c>
      <c r="G7946" t="str" cm="1">
        <f t="array" ref="G7946">SubCategorizeComment(E7946)</f>
        <v>Other</v>
      </c>
    </row>
    <row r="7947" spans="1:7" x14ac:dyDescent="0.25">
      <c r="A7947">
        <v>70640</v>
      </c>
      <c r="B7947" t="s">
        <v>4</v>
      </c>
      <c r="C7947">
        <v>4</v>
      </c>
      <c r="D7947" t="s">
        <v>5</v>
      </c>
      <c r="F7947" t="str" cm="1">
        <f t="array" ref="F7947">CategorizeComment(E7947)</f>
        <v>Other</v>
      </c>
      <c r="G7947" t="str" cm="1">
        <f t="array" ref="G7947">SubCategorizeComment(E7947)</f>
        <v>Other</v>
      </c>
    </row>
    <row r="7948" spans="1:7" x14ac:dyDescent="0.25">
      <c r="A7948">
        <v>70657</v>
      </c>
      <c r="B7948" t="s">
        <v>4</v>
      </c>
      <c r="C7948">
        <v>3</v>
      </c>
      <c r="D7948" t="s">
        <v>5</v>
      </c>
      <c r="F7948" t="str" cm="1">
        <f t="array" ref="F7948">CategorizeComment(E7948)</f>
        <v>Other</v>
      </c>
      <c r="G7948" t="str" cm="1">
        <f t="array" ref="G7948">SubCategorizeComment(E7948)</f>
        <v>Other</v>
      </c>
    </row>
    <row r="7949" spans="1:7" x14ac:dyDescent="0.25">
      <c r="A7949">
        <v>70661</v>
      </c>
      <c r="B7949" t="s">
        <v>4</v>
      </c>
      <c r="C7949">
        <v>3</v>
      </c>
      <c r="D7949" t="s">
        <v>5</v>
      </c>
      <c r="F7949" t="str" cm="1">
        <f t="array" ref="F7949">CategorizeComment(E7949)</f>
        <v>Other</v>
      </c>
      <c r="G7949" t="str" cm="1">
        <f t="array" ref="G7949">SubCategorizeComment(E7949)</f>
        <v>Other</v>
      </c>
    </row>
    <row r="7950" spans="1:7" x14ac:dyDescent="0.25">
      <c r="A7950">
        <v>70675</v>
      </c>
      <c r="B7950" t="s">
        <v>4</v>
      </c>
      <c r="C7950">
        <v>4</v>
      </c>
      <c r="D7950" t="s">
        <v>5</v>
      </c>
      <c r="F7950" t="str" cm="1">
        <f t="array" ref="F7950">CategorizeComment(E7950)</f>
        <v>Other</v>
      </c>
      <c r="G7950" t="str" cm="1">
        <f t="array" ref="G7950">SubCategorizeComment(E7950)</f>
        <v>Other</v>
      </c>
    </row>
    <row r="7951" spans="1:7" x14ac:dyDescent="0.25">
      <c r="A7951">
        <v>70680</v>
      </c>
      <c r="B7951" t="s">
        <v>4</v>
      </c>
      <c r="C7951">
        <v>3</v>
      </c>
      <c r="D7951" t="s">
        <v>5</v>
      </c>
      <c r="F7951" t="str" cm="1">
        <f t="array" ref="F7951">CategorizeComment(E7951)</f>
        <v>Other</v>
      </c>
      <c r="G7951" t="str" cm="1">
        <f t="array" ref="G7951">SubCategorizeComment(E7951)</f>
        <v>Other</v>
      </c>
    </row>
    <row r="7952" spans="1:7" x14ac:dyDescent="0.25">
      <c r="A7952">
        <v>70681</v>
      </c>
      <c r="B7952" t="s">
        <v>4</v>
      </c>
      <c r="C7952">
        <v>4</v>
      </c>
      <c r="D7952" t="s">
        <v>5</v>
      </c>
      <c r="F7952" t="str" cm="1">
        <f t="array" ref="F7952">CategorizeComment(E7952)</f>
        <v>Other</v>
      </c>
      <c r="G7952" t="str" cm="1">
        <f t="array" ref="G7952">SubCategorizeComment(E7952)</f>
        <v>Other</v>
      </c>
    </row>
    <row r="7953" spans="1:7" x14ac:dyDescent="0.25">
      <c r="A7953">
        <v>70702</v>
      </c>
      <c r="B7953" t="s">
        <v>4</v>
      </c>
      <c r="C7953">
        <v>3</v>
      </c>
      <c r="D7953" t="s">
        <v>5</v>
      </c>
      <c r="F7953" t="str" cm="1">
        <f t="array" ref="F7953">CategorizeComment(E7953)</f>
        <v>Other</v>
      </c>
      <c r="G7953" t="str" cm="1">
        <f t="array" ref="G7953">SubCategorizeComment(E7953)</f>
        <v>Other</v>
      </c>
    </row>
    <row r="7954" spans="1:7" x14ac:dyDescent="0.25">
      <c r="A7954">
        <v>70713</v>
      </c>
      <c r="B7954" t="s">
        <v>4</v>
      </c>
      <c r="C7954">
        <v>3</v>
      </c>
      <c r="D7954" t="s">
        <v>5</v>
      </c>
      <c r="F7954" t="str" cm="1">
        <f t="array" ref="F7954">CategorizeComment(E7954)</f>
        <v>Other</v>
      </c>
      <c r="G7954" t="str" cm="1">
        <f t="array" ref="G7954">SubCategorizeComment(E7954)</f>
        <v>Other</v>
      </c>
    </row>
    <row r="7955" spans="1:7" x14ac:dyDescent="0.25">
      <c r="A7955">
        <v>70727</v>
      </c>
      <c r="B7955" t="s">
        <v>4</v>
      </c>
      <c r="C7955">
        <v>3</v>
      </c>
      <c r="D7955" t="s">
        <v>5</v>
      </c>
      <c r="F7955" t="str" cm="1">
        <f t="array" ref="F7955">CategorizeComment(E7955)</f>
        <v>Other</v>
      </c>
      <c r="G7955" t="str" cm="1">
        <f t="array" ref="G7955">SubCategorizeComment(E7955)</f>
        <v>Other</v>
      </c>
    </row>
    <row r="7956" spans="1:7" x14ac:dyDescent="0.25">
      <c r="A7956">
        <v>70791</v>
      </c>
      <c r="B7956" t="s">
        <v>4</v>
      </c>
      <c r="C7956">
        <v>4</v>
      </c>
      <c r="D7956" t="s">
        <v>5</v>
      </c>
      <c r="F7956" t="str" cm="1">
        <f t="array" ref="F7956">CategorizeComment(E7956)</f>
        <v>Other</v>
      </c>
      <c r="G7956" t="str" cm="1">
        <f t="array" ref="G7956">SubCategorizeComment(E7956)</f>
        <v>Other</v>
      </c>
    </row>
    <row r="7957" spans="1:7" x14ac:dyDescent="0.25">
      <c r="A7957">
        <v>70799</v>
      </c>
      <c r="B7957" t="s">
        <v>4</v>
      </c>
      <c r="C7957">
        <v>4</v>
      </c>
      <c r="D7957" t="s">
        <v>5</v>
      </c>
      <c r="F7957" t="str" cm="1">
        <f t="array" ref="F7957">CategorizeComment(E7957)</f>
        <v>Other</v>
      </c>
      <c r="G7957" t="str" cm="1">
        <f t="array" ref="G7957">SubCategorizeComment(E7957)</f>
        <v>Other</v>
      </c>
    </row>
    <row r="7958" spans="1:7" x14ac:dyDescent="0.25">
      <c r="A7958">
        <v>70809</v>
      </c>
      <c r="B7958" t="s">
        <v>4</v>
      </c>
      <c r="C7958">
        <v>3</v>
      </c>
      <c r="D7958" t="s">
        <v>5</v>
      </c>
      <c r="F7958" t="str" cm="1">
        <f t="array" ref="F7958">CategorizeComment(E7958)</f>
        <v>Other</v>
      </c>
      <c r="G7958" t="str" cm="1">
        <f t="array" ref="G7958">SubCategorizeComment(E7958)</f>
        <v>Other</v>
      </c>
    </row>
    <row r="7959" spans="1:7" x14ac:dyDescent="0.25">
      <c r="A7959">
        <v>70810</v>
      </c>
      <c r="B7959" t="s">
        <v>4</v>
      </c>
      <c r="C7959">
        <v>4</v>
      </c>
      <c r="D7959" t="s">
        <v>5</v>
      </c>
      <c r="F7959" t="str" cm="1">
        <f t="array" ref="F7959">CategorizeComment(E7959)</f>
        <v>Other</v>
      </c>
      <c r="G7959" t="str" cm="1">
        <f t="array" ref="G7959">SubCategorizeComment(E7959)</f>
        <v>Other</v>
      </c>
    </row>
    <row r="7960" spans="1:7" x14ac:dyDescent="0.25">
      <c r="A7960">
        <v>70814</v>
      </c>
      <c r="B7960" t="s">
        <v>4</v>
      </c>
      <c r="C7960">
        <v>4</v>
      </c>
      <c r="D7960" t="s">
        <v>5</v>
      </c>
      <c r="F7960" t="str" cm="1">
        <f t="array" ref="F7960">CategorizeComment(E7960)</f>
        <v>Other</v>
      </c>
      <c r="G7960" t="str" cm="1">
        <f t="array" ref="G7960">SubCategorizeComment(E7960)</f>
        <v>Other</v>
      </c>
    </row>
    <row r="7961" spans="1:7" x14ac:dyDescent="0.25">
      <c r="A7961">
        <v>70825</v>
      </c>
      <c r="B7961" t="s">
        <v>4</v>
      </c>
      <c r="C7961">
        <v>3</v>
      </c>
      <c r="D7961" t="s">
        <v>5</v>
      </c>
      <c r="F7961" t="str" cm="1">
        <f t="array" ref="F7961">CategorizeComment(E7961)</f>
        <v>Other</v>
      </c>
      <c r="G7961" t="str" cm="1">
        <f t="array" ref="G7961">SubCategorizeComment(E7961)</f>
        <v>Other</v>
      </c>
    </row>
    <row r="7962" spans="1:7" x14ac:dyDescent="0.25">
      <c r="A7962">
        <v>70877</v>
      </c>
      <c r="B7962" t="s">
        <v>4</v>
      </c>
      <c r="C7962">
        <v>3</v>
      </c>
      <c r="D7962" t="s">
        <v>5</v>
      </c>
      <c r="F7962" t="str" cm="1">
        <f t="array" ref="F7962">CategorizeComment(E7962)</f>
        <v>Other</v>
      </c>
      <c r="G7962" t="str" cm="1">
        <f t="array" ref="G7962">SubCategorizeComment(E7962)</f>
        <v>Other</v>
      </c>
    </row>
    <row r="7963" spans="1:7" x14ac:dyDescent="0.25">
      <c r="A7963">
        <v>70902</v>
      </c>
      <c r="B7963" t="s">
        <v>4</v>
      </c>
      <c r="C7963">
        <v>4</v>
      </c>
      <c r="D7963" t="s">
        <v>5</v>
      </c>
      <c r="F7963" t="str" cm="1">
        <f t="array" ref="F7963">CategorizeComment(E7963)</f>
        <v>Other</v>
      </c>
      <c r="G7963" t="str" cm="1">
        <f t="array" ref="G7963">SubCategorizeComment(E7963)</f>
        <v>Other</v>
      </c>
    </row>
    <row r="7964" spans="1:7" x14ac:dyDescent="0.25">
      <c r="A7964">
        <v>70909</v>
      </c>
      <c r="B7964" t="s">
        <v>4</v>
      </c>
      <c r="C7964">
        <v>3</v>
      </c>
      <c r="D7964" t="s">
        <v>5</v>
      </c>
      <c r="F7964" t="str" cm="1">
        <f t="array" ref="F7964">CategorizeComment(E7964)</f>
        <v>Other</v>
      </c>
      <c r="G7964" t="str" cm="1">
        <f t="array" ref="G7964">SubCategorizeComment(E7964)</f>
        <v>Other</v>
      </c>
    </row>
    <row r="7965" spans="1:7" x14ac:dyDescent="0.25">
      <c r="A7965">
        <v>70911</v>
      </c>
      <c r="B7965" t="s">
        <v>4</v>
      </c>
      <c r="C7965">
        <v>4</v>
      </c>
      <c r="D7965" t="s">
        <v>5</v>
      </c>
      <c r="F7965" t="str" cm="1">
        <f t="array" ref="F7965">CategorizeComment(E7965)</f>
        <v>Other</v>
      </c>
      <c r="G7965" t="str" cm="1">
        <f t="array" ref="G7965">SubCategorizeComment(E7965)</f>
        <v>Other</v>
      </c>
    </row>
    <row r="7966" spans="1:7" x14ac:dyDescent="0.25">
      <c r="A7966">
        <v>70914</v>
      </c>
      <c r="B7966" t="s">
        <v>4</v>
      </c>
      <c r="C7966">
        <v>4</v>
      </c>
      <c r="D7966" t="s">
        <v>5</v>
      </c>
      <c r="F7966" t="str" cm="1">
        <f t="array" ref="F7966">CategorizeComment(E7966)</f>
        <v>Other</v>
      </c>
      <c r="G7966" t="str" cm="1">
        <f t="array" ref="G7966">SubCategorizeComment(E7966)</f>
        <v>Other</v>
      </c>
    </row>
    <row r="7967" spans="1:7" x14ac:dyDescent="0.25">
      <c r="A7967">
        <v>70920</v>
      </c>
      <c r="B7967" t="s">
        <v>4</v>
      </c>
      <c r="C7967">
        <v>4</v>
      </c>
      <c r="D7967" t="s">
        <v>5</v>
      </c>
      <c r="F7967" t="str" cm="1">
        <f t="array" ref="F7967">CategorizeComment(E7967)</f>
        <v>Other</v>
      </c>
      <c r="G7967" t="str" cm="1">
        <f t="array" ref="G7967">SubCategorizeComment(E7967)</f>
        <v>Other</v>
      </c>
    </row>
    <row r="7968" spans="1:7" x14ac:dyDescent="0.25">
      <c r="A7968">
        <v>70937</v>
      </c>
      <c r="B7968" t="s">
        <v>4</v>
      </c>
      <c r="C7968">
        <v>4</v>
      </c>
      <c r="D7968" t="s">
        <v>5</v>
      </c>
      <c r="F7968" t="str" cm="1">
        <f t="array" ref="F7968">CategorizeComment(E7968)</f>
        <v>Other</v>
      </c>
      <c r="G7968" t="str" cm="1">
        <f t="array" ref="G7968">SubCategorizeComment(E7968)</f>
        <v>Other</v>
      </c>
    </row>
    <row r="7969" spans="1:7" x14ac:dyDescent="0.25">
      <c r="A7969">
        <v>70948</v>
      </c>
      <c r="B7969" t="s">
        <v>4</v>
      </c>
      <c r="C7969">
        <v>4</v>
      </c>
      <c r="D7969" t="s">
        <v>5</v>
      </c>
      <c r="F7969" t="str" cm="1">
        <f t="array" ref="F7969">CategorizeComment(E7969)</f>
        <v>Other</v>
      </c>
      <c r="G7969" t="str" cm="1">
        <f t="array" ref="G7969">SubCategorizeComment(E7969)</f>
        <v>Other</v>
      </c>
    </row>
    <row r="7970" spans="1:7" x14ac:dyDescent="0.25">
      <c r="A7970">
        <v>70962</v>
      </c>
      <c r="B7970" t="s">
        <v>4</v>
      </c>
      <c r="C7970">
        <v>3</v>
      </c>
      <c r="D7970" t="s">
        <v>5</v>
      </c>
      <c r="F7970" t="str" cm="1">
        <f t="array" ref="F7970">CategorizeComment(E7970)</f>
        <v>Other</v>
      </c>
      <c r="G7970" t="str" cm="1">
        <f t="array" ref="G7970">SubCategorizeComment(E7970)</f>
        <v>Other</v>
      </c>
    </row>
    <row r="7971" spans="1:7" x14ac:dyDescent="0.25">
      <c r="A7971">
        <v>70994</v>
      </c>
      <c r="B7971" t="s">
        <v>4</v>
      </c>
      <c r="C7971">
        <v>3</v>
      </c>
      <c r="D7971" t="s">
        <v>5</v>
      </c>
      <c r="F7971" t="str" cm="1">
        <f t="array" ref="F7971">CategorizeComment(E7971)</f>
        <v>Other</v>
      </c>
      <c r="G7971" t="str" cm="1">
        <f t="array" ref="G7971">SubCategorizeComment(E7971)</f>
        <v>Other</v>
      </c>
    </row>
    <row r="7972" spans="1:7" x14ac:dyDescent="0.25">
      <c r="A7972">
        <v>70999</v>
      </c>
      <c r="B7972" t="s">
        <v>4</v>
      </c>
      <c r="C7972">
        <v>4</v>
      </c>
      <c r="D7972" t="s">
        <v>5</v>
      </c>
      <c r="F7972" t="str" cm="1">
        <f t="array" ref="F7972">CategorizeComment(E7972)</f>
        <v>Other</v>
      </c>
      <c r="G7972" t="str" cm="1">
        <f t="array" ref="G7972">SubCategorizeComment(E7972)</f>
        <v>Other</v>
      </c>
    </row>
    <row r="7973" spans="1:7" x14ac:dyDescent="0.25">
      <c r="A7973">
        <v>71020</v>
      </c>
      <c r="B7973" t="s">
        <v>4</v>
      </c>
      <c r="C7973">
        <v>3</v>
      </c>
      <c r="D7973" t="s">
        <v>5</v>
      </c>
      <c r="F7973" t="str" cm="1">
        <f t="array" ref="F7973">CategorizeComment(E7973)</f>
        <v>Other</v>
      </c>
      <c r="G7973" t="str" cm="1">
        <f t="array" ref="G7973">SubCategorizeComment(E7973)</f>
        <v>Other</v>
      </c>
    </row>
    <row r="7974" spans="1:7" x14ac:dyDescent="0.25">
      <c r="A7974">
        <v>71030</v>
      </c>
      <c r="B7974" t="s">
        <v>4</v>
      </c>
      <c r="C7974">
        <v>4</v>
      </c>
      <c r="D7974" t="s">
        <v>5</v>
      </c>
      <c r="F7974" t="str" cm="1">
        <f t="array" ref="F7974">CategorizeComment(E7974)</f>
        <v>Other</v>
      </c>
      <c r="G7974" t="str" cm="1">
        <f t="array" ref="G7974">SubCategorizeComment(E7974)</f>
        <v>Other</v>
      </c>
    </row>
    <row r="7975" spans="1:7" x14ac:dyDescent="0.25">
      <c r="A7975">
        <v>71031</v>
      </c>
      <c r="B7975" t="s">
        <v>4</v>
      </c>
      <c r="C7975">
        <v>3</v>
      </c>
      <c r="D7975" t="s">
        <v>5</v>
      </c>
      <c r="F7975" t="str" cm="1">
        <f t="array" ref="F7975">CategorizeComment(E7975)</f>
        <v>Other</v>
      </c>
      <c r="G7975" t="str" cm="1">
        <f t="array" ref="G7975">SubCategorizeComment(E7975)</f>
        <v>Other</v>
      </c>
    </row>
    <row r="7976" spans="1:7" x14ac:dyDescent="0.25">
      <c r="A7976">
        <v>71032</v>
      </c>
      <c r="B7976" t="s">
        <v>4</v>
      </c>
      <c r="C7976">
        <v>3</v>
      </c>
      <c r="D7976" t="s">
        <v>5</v>
      </c>
      <c r="F7976" t="str" cm="1">
        <f t="array" ref="F7976">CategorizeComment(E7976)</f>
        <v>Other</v>
      </c>
      <c r="G7976" t="str" cm="1">
        <f t="array" ref="G7976">SubCategorizeComment(E7976)</f>
        <v>Other</v>
      </c>
    </row>
    <row r="7977" spans="1:7" x14ac:dyDescent="0.25">
      <c r="A7977">
        <v>71036</v>
      </c>
      <c r="B7977" t="s">
        <v>4</v>
      </c>
      <c r="C7977">
        <v>3</v>
      </c>
      <c r="D7977" t="s">
        <v>5</v>
      </c>
      <c r="F7977" t="str" cm="1">
        <f t="array" ref="F7977">CategorizeComment(E7977)</f>
        <v>Other</v>
      </c>
      <c r="G7977" t="str" cm="1">
        <f t="array" ref="G7977">SubCategorizeComment(E7977)</f>
        <v>Other</v>
      </c>
    </row>
    <row r="7978" spans="1:7" x14ac:dyDescent="0.25">
      <c r="A7978">
        <v>71039</v>
      </c>
      <c r="B7978" t="s">
        <v>4</v>
      </c>
      <c r="C7978">
        <v>3</v>
      </c>
      <c r="D7978" t="s">
        <v>5</v>
      </c>
      <c r="F7978" t="str" cm="1">
        <f t="array" ref="F7978">CategorizeComment(E7978)</f>
        <v>Other</v>
      </c>
      <c r="G7978" t="str" cm="1">
        <f t="array" ref="G7978">SubCategorizeComment(E7978)</f>
        <v>Other</v>
      </c>
    </row>
    <row r="7979" spans="1:7" x14ac:dyDescent="0.25">
      <c r="A7979">
        <v>71040</v>
      </c>
      <c r="B7979" t="s">
        <v>4</v>
      </c>
      <c r="C7979">
        <v>3</v>
      </c>
      <c r="D7979" t="s">
        <v>5</v>
      </c>
      <c r="F7979" t="str" cm="1">
        <f t="array" ref="F7979">CategorizeComment(E7979)</f>
        <v>Other</v>
      </c>
      <c r="G7979" t="str" cm="1">
        <f t="array" ref="G7979">SubCategorizeComment(E7979)</f>
        <v>Other</v>
      </c>
    </row>
    <row r="7980" spans="1:7" x14ac:dyDescent="0.25">
      <c r="A7980">
        <v>71049</v>
      </c>
      <c r="B7980" t="s">
        <v>4</v>
      </c>
      <c r="C7980">
        <v>4</v>
      </c>
      <c r="D7980" t="s">
        <v>5</v>
      </c>
      <c r="F7980" t="str" cm="1">
        <f t="array" ref="F7980">CategorizeComment(E7980)</f>
        <v>Other</v>
      </c>
      <c r="G7980" t="str" cm="1">
        <f t="array" ref="G7980">SubCategorizeComment(E7980)</f>
        <v>Other</v>
      </c>
    </row>
    <row r="7981" spans="1:7" x14ac:dyDescent="0.25">
      <c r="A7981">
        <v>71052</v>
      </c>
      <c r="B7981" t="s">
        <v>4</v>
      </c>
      <c r="C7981">
        <v>4</v>
      </c>
      <c r="D7981" t="s">
        <v>5</v>
      </c>
      <c r="F7981" t="str" cm="1">
        <f t="array" ref="F7981">CategorizeComment(E7981)</f>
        <v>Other</v>
      </c>
      <c r="G7981" t="str" cm="1">
        <f t="array" ref="G7981">SubCategorizeComment(E7981)</f>
        <v>Other</v>
      </c>
    </row>
    <row r="7982" spans="1:7" x14ac:dyDescent="0.25">
      <c r="A7982">
        <v>71066</v>
      </c>
      <c r="B7982" t="s">
        <v>4</v>
      </c>
      <c r="C7982">
        <v>4</v>
      </c>
      <c r="D7982" t="s">
        <v>5</v>
      </c>
      <c r="F7982" t="str" cm="1">
        <f t="array" ref="F7982">CategorizeComment(E7982)</f>
        <v>Other</v>
      </c>
      <c r="G7982" t="str" cm="1">
        <f t="array" ref="G7982">SubCategorizeComment(E7982)</f>
        <v>Other</v>
      </c>
    </row>
    <row r="7983" spans="1:7" x14ac:dyDescent="0.25">
      <c r="A7983">
        <v>71073</v>
      </c>
      <c r="B7983" t="s">
        <v>4</v>
      </c>
      <c r="C7983">
        <v>4</v>
      </c>
      <c r="D7983" t="s">
        <v>5</v>
      </c>
      <c r="F7983" t="str" cm="1">
        <f t="array" ref="F7983">CategorizeComment(E7983)</f>
        <v>Other</v>
      </c>
      <c r="G7983" t="str" cm="1">
        <f t="array" ref="G7983">SubCategorizeComment(E7983)</f>
        <v>Other</v>
      </c>
    </row>
    <row r="7984" spans="1:7" x14ac:dyDescent="0.25">
      <c r="A7984">
        <v>71075</v>
      </c>
      <c r="B7984" t="s">
        <v>4</v>
      </c>
      <c r="C7984">
        <v>3</v>
      </c>
      <c r="D7984" t="s">
        <v>5</v>
      </c>
      <c r="F7984" t="str" cm="1">
        <f t="array" ref="F7984">CategorizeComment(E7984)</f>
        <v>Other</v>
      </c>
      <c r="G7984" t="str" cm="1">
        <f t="array" ref="G7984">SubCategorizeComment(E7984)</f>
        <v>Other</v>
      </c>
    </row>
    <row r="7985" spans="1:7" x14ac:dyDescent="0.25">
      <c r="A7985">
        <v>71079</v>
      </c>
      <c r="B7985" t="s">
        <v>4</v>
      </c>
      <c r="C7985">
        <v>3</v>
      </c>
      <c r="D7985" t="s">
        <v>5</v>
      </c>
      <c r="F7985" t="str" cm="1">
        <f t="array" ref="F7985">CategorizeComment(E7985)</f>
        <v>Other</v>
      </c>
      <c r="G7985" t="str" cm="1">
        <f t="array" ref="G7985">SubCategorizeComment(E7985)</f>
        <v>Other</v>
      </c>
    </row>
    <row r="7986" spans="1:7" x14ac:dyDescent="0.25">
      <c r="A7986">
        <v>71087</v>
      </c>
      <c r="B7986" t="s">
        <v>4</v>
      </c>
      <c r="C7986">
        <v>4</v>
      </c>
      <c r="D7986" t="s">
        <v>5</v>
      </c>
      <c r="F7986" t="str" cm="1">
        <f t="array" ref="F7986">CategorizeComment(E7986)</f>
        <v>Other</v>
      </c>
      <c r="G7986" t="str" cm="1">
        <f t="array" ref="G7986">SubCategorizeComment(E7986)</f>
        <v>Other</v>
      </c>
    </row>
    <row r="7987" spans="1:7" x14ac:dyDescent="0.25">
      <c r="A7987">
        <v>71110</v>
      </c>
      <c r="B7987" t="s">
        <v>4</v>
      </c>
      <c r="C7987">
        <v>3</v>
      </c>
      <c r="D7987" t="s">
        <v>5</v>
      </c>
      <c r="F7987" t="str" cm="1">
        <f t="array" ref="F7987">CategorizeComment(E7987)</f>
        <v>Other</v>
      </c>
      <c r="G7987" t="str" cm="1">
        <f t="array" ref="G7987">SubCategorizeComment(E7987)</f>
        <v>Other</v>
      </c>
    </row>
    <row r="7988" spans="1:7" x14ac:dyDescent="0.25">
      <c r="A7988">
        <v>71160</v>
      </c>
      <c r="B7988" t="s">
        <v>4</v>
      </c>
      <c r="C7988">
        <v>4</v>
      </c>
      <c r="D7988" t="s">
        <v>5</v>
      </c>
      <c r="F7988" t="str" cm="1">
        <f t="array" ref="F7988">CategorizeComment(E7988)</f>
        <v>Other</v>
      </c>
      <c r="G7988" t="str" cm="1">
        <f t="array" ref="G7988">SubCategorizeComment(E7988)</f>
        <v>Other</v>
      </c>
    </row>
    <row r="7989" spans="1:7" x14ac:dyDescent="0.25">
      <c r="A7989">
        <v>71170</v>
      </c>
      <c r="B7989" t="s">
        <v>4</v>
      </c>
      <c r="C7989">
        <v>4</v>
      </c>
      <c r="D7989" t="s">
        <v>5</v>
      </c>
      <c r="F7989" t="str" cm="1">
        <f t="array" ref="F7989">CategorizeComment(E7989)</f>
        <v>Other</v>
      </c>
      <c r="G7989" t="str" cm="1">
        <f t="array" ref="G7989">SubCategorizeComment(E7989)</f>
        <v>Other</v>
      </c>
    </row>
    <row r="7990" spans="1:7" x14ac:dyDescent="0.25">
      <c r="A7990">
        <v>71182</v>
      </c>
      <c r="B7990" t="s">
        <v>4</v>
      </c>
      <c r="C7990">
        <v>3</v>
      </c>
      <c r="D7990" t="s">
        <v>5</v>
      </c>
      <c r="F7990" t="str" cm="1">
        <f t="array" ref="F7990">CategorizeComment(E7990)</f>
        <v>Other</v>
      </c>
      <c r="G7990" t="str" cm="1">
        <f t="array" ref="G7990">SubCategorizeComment(E7990)</f>
        <v>Other</v>
      </c>
    </row>
    <row r="7991" spans="1:7" x14ac:dyDescent="0.25">
      <c r="A7991">
        <v>71209</v>
      </c>
      <c r="B7991" t="s">
        <v>4</v>
      </c>
      <c r="C7991">
        <v>3</v>
      </c>
      <c r="D7991" t="s">
        <v>5</v>
      </c>
      <c r="F7991" t="str" cm="1">
        <f t="array" ref="F7991">CategorizeComment(E7991)</f>
        <v>Other</v>
      </c>
      <c r="G7991" t="str" cm="1">
        <f t="array" ref="G7991">SubCategorizeComment(E7991)</f>
        <v>Other</v>
      </c>
    </row>
    <row r="7992" spans="1:7" x14ac:dyDescent="0.25">
      <c r="A7992">
        <v>71222</v>
      </c>
      <c r="B7992" t="s">
        <v>4</v>
      </c>
      <c r="C7992">
        <v>4</v>
      </c>
      <c r="D7992" t="s">
        <v>5</v>
      </c>
      <c r="F7992" t="str" cm="1">
        <f t="array" ref="F7992">CategorizeComment(E7992)</f>
        <v>Other</v>
      </c>
      <c r="G7992" t="str" cm="1">
        <f t="array" ref="G7992">SubCategorizeComment(E7992)</f>
        <v>Other</v>
      </c>
    </row>
    <row r="7993" spans="1:7" x14ac:dyDescent="0.25">
      <c r="A7993">
        <v>71225</v>
      </c>
      <c r="B7993" t="s">
        <v>4</v>
      </c>
      <c r="C7993">
        <v>4</v>
      </c>
      <c r="D7993" t="s">
        <v>5</v>
      </c>
      <c r="F7993" t="str" cm="1">
        <f t="array" ref="F7993">CategorizeComment(E7993)</f>
        <v>Other</v>
      </c>
      <c r="G7993" t="str" cm="1">
        <f t="array" ref="G7993">SubCategorizeComment(E7993)</f>
        <v>Other</v>
      </c>
    </row>
    <row r="7994" spans="1:7" x14ac:dyDescent="0.25">
      <c r="A7994">
        <v>71233</v>
      </c>
      <c r="B7994" t="s">
        <v>4</v>
      </c>
      <c r="C7994">
        <v>3</v>
      </c>
      <c r="D7994" t="s">
        <v>5</v>
      </c>
      <c r="F7994" t="str" cm="1">
        <f t="array" ref="F7994">CategorizeComment(E7994)</f>
        <v>Other</v>
      </c>
      <c r="G7994" t="str" cm="1">
        <f t="array" ref="G7994">SubCategorizeComment(E7994)</f>
        <v>Other</v>
      </c>
    </row>
    <row r="7995" spans="1:7" x14ac:dyDescent="0.25">
      <c r="A7995">
        <v>71236</v>
      </c>
      <c r="B7995" t="s">
        <v>4</v>
      </c>
      <c r="C7995">
        <v>4</v>
      </c>
      <c r="D7995" t="s">
        <v>5</v>
      </c>
      <c r="F7995" t="str" cm="1">
        <f t="array" ref="F7995">CategorizeComment(E7995)</f>
        <v>Other</v>
      </c>
      <c r="G7995" t="str" cm="1">
        <f t="array" ref="G7995">SubCategorizeComment(E7995)</f>
        <v>Other</v>
      </c>
    </row>
    <row r="7996" spans="1:7" x14ac:dyDescent="0.25">
      <c r="A7996">
        <v>71238</v>
      </c>
      <c r="B7996" t="s">
        <v>4</v>
      </c>
      <c r="C7996">
        <v>4</v>
      </c>
      <c r="D7996" t="s">
        <v>5</v>
      </c>
      <c r="F7996" t="str" cm="1">
        <f t="array" ref="F7996">CategorizeComment(E7996)</f>
        <v>Other</v>
      </c>
      <c r="G7996" t="str" cm="1">
        <f t="array" ref="G7996">SubCategorizeComment(E7996)</f>
        <v>Other</v>
      </c>
    </row>
    <row r="7997" spans="1:7" x14ac:dyDescent="0.25">
      <c r="A7997">
        <v>71255</v>
      </c>
      <c r="B7997" t="s">
        <v>4</v>
      </c>
      <c r="C7997">
        <v>4</v>
      </c>
      <c r="D7997" t="s">
        <v>5</v>
      </c>
      <c r="F7997" t="str" cm="1">
        <f t="array" ref="F7997">CategorizeComment(E7997)</f>
        <v>Other</v>
      </c>
      <c r="G7997" t="str" cm="1">
        <f t="array" ref="G7997">SubCategorizeComment(E7997)</f>
        <v>Other</v>
      </c>
    </row>
    <row r="7998" spans="1:7" x14ac:dyDescent="0.25">
      <c r="A7998">
        <v>71256</v>
      </c>
      <c r="B7998" t="s">
        <v>4</v>
      </c>
      <c r="C7998">
        <v>3</v>
      </c>
      <c r="D7998" t="s">
        <v>5</v>
      </c>
      <c r="F7998" t="str" cm="1">
        <f t="array" ref="F7998">CategorizeComment(E7998)</f>
        <v>Other</v>
      </c>
      <c r="G7998" t="str" cm="1">
        <f t="array" ref="G7998">SubCategorizeComment(E7998)</f>
        <v>Other</v>
      </c>
    </row>
    <row r="7999" spans="1:7" x14ac:dyDescent="0.25">
      <c r="A7999">
        <v>71262</v>
      </c>
      <c r="B7999" t="s">
        <v>4</v>
      </c>
      <c r="C7999">
        <v>3</v>
      </c>
      <c r="D7999" t="s">
        <v>5</v>
      </c>
      <c r="F7999" t="str" cm="1">
        <f t="array" ref="F7999">CategorizeComment(E7999)</f>
        <v>Other</v>
      </c>
      <c r="G7999" t="str" cm="1">
        <f t="array" ref="G7999">SubCategorizeComment(E7999)</f>
        <v>Other</v>
      </c>
    </row>
    <row r="8000" spans="1:7" x14ac:dyDescent="0.25">
      <c r="A8000">
        <v>71265</v>
      </c>
      <c r="B8000" t="s">
        <v>4</v>
      </c>
      <c r="C8000">
        <v>3</v>
      </c>
      <c r="D8000" t="s">
        <v>5</v>
      </c>
      <c r="F8000" t="str" cm="1">
        <f t="array" ref="F8000">CategorizeComment(E8000)</f>
        <v>Other</v>
      </c>
      <c r="G8000" t="str" cm="1">
        <f t="array" ref="G8000">SubCategorizeComment(E8000)</f>
        <v>Other</v>
      </c>
    </row>
    <row r="8001" spans="1:7" x14ac:dyDescent="0.25">
      <c r="A8001">
        <v>71270</v>
      </c>
      <c r="B8001" t="s">
        <v>4</v>
      </c>
      <c r="C8001">
        <v>4</v>
      </c>
      <c r="D8001" t="s">
        <v>5</v>
      </c>
      <c r="F8001" t="str" cm="1">
        <f t="array" ref="F8001">CategorizeComment(E8001)</f>
        <v>Other</v>
      </c>
      <c r="G8001" t="str" cm="1">
        <f t="array" ref="G8001">SubCategorizeComment(E8001)</f>
        <v>Other</v>
      </c>
    </row>
    <row r="8002" spans="1:7" x14ac:dyDescent="0.25">
      <c r="A8002">
        <v>71275</v>
      </c>
      <c r="B8002" t="s">
        <v>4</v>
      </c>
      <c r="C8002">
        <v>4</v>
      </c>
      <c r="D8002" t="s">
        <v>5</v>
      </c>
      <c r="F8002" t="str" cm="1">
        <f t="array" ref="F8002">CategorizeComment(E8002)</f>
        <v>Other</v>
      </c>
      <c r="G8002" t="str" cm="1">
        <f t="array" ref="G8002">SubCategorizeComment(E8002)</f>
        <v>Other</v>
      </c>
    </row>
    <row r="8003" spans="1:7" x14ac:dyDescent="0.25">
      <c r="A8003">
        <v>71279</v>
      </c>
      <c r="B8003" t="s">
        <v>4</v>
      </c>
      <c r="C8003">
        <v>3</v>
      </c>
      <c r="D8003" t="s">
        <v>5</v>
      </c>
      <c r="F8003" t="str" cm="1">
        <f t="array" ref="F8003">CategorizeComment(E8003)</f>
        <v>Other</v>
      </c>
      <c r="G8003" t="str" cm="1">
        <f t="array" ref="G8003">SubCategorizeComment(E8003)</f>
        <v>Other</v>
      </c>
    </row>
    <row r="8004" spans="1:7" x14ac:dyDescent="0.25">
      <c r="A8004">
        <v>71290</v>
      </c>
      <c r="B8004" t="s">
        <v>4</v>
      </c>
      <c r="C8004">
        <v>3</v>
      </c>
      <c r="D8004" t="s">
        <v>5</v>
      </c>
      <c r="F8004" t="str" cm="1">
        <f t="array" ref="F8004">CategorizeComment(E8004)</f>
        <v>Other</v>
      </c>
      <c r="G8004" t="str" cm="1">
        <f t="array" ref="G8004">SubCategorizeComment(E8004)</f>
        <v>Other</v>
      </c>
    </row>
    <row r="8005" spans="1:7" x14ac:dyDescent="0.25">
      <c r="A8005">
        <v>71313</v>
      </c>
      <c r="B8005" t="s">
        <v>4</v>
      </c>
      <c r="C8005">
        <v>3</v>
      </c>
      <c r="D8005" t="s">
        <v>5</v>
      </c>
      <c r="F8005" t="str" cm="1">
        <f t="array" ref="F8005">CategorizeComment(E8005)</f>
        <v>Other</v>
      </c>
      <c r="G8005" t="str" cm="1">
        <f t="array" ref="G8005">SubCategorizeComment(E8005)</f>
        <v>Other</v>
      </c>
    </row>
    <row r="8006" spans="1:7" x14ac:dyDescent="0.25">
      <c r="A8006">
        <v>71321</v>
      </c>
      <c r="B8006" t="s">
        <v>4</v>
      </c>
      <c r="C8006">
        <v>3</v>
      </c>
      <c r="D8006" t="s">
        <v>5</v>
      </c>
      <c r="F8006" t="str" cm="1">
        <f t="array" ref="F8006">CategorizeComment(E8006)</f>
        <v>Other</v>
      </c>
      <c r="G8006" t="str" cm="1">
        <f t="array" ref="G8006">SubCategorizeComment(E8006)</f>
        <v>Other</v>
      </c>
    </row>
    <row r="8007" spans="1:7" x14ac:dyDescent="0.25">
      <c r="A8007">
        <v>71331</v>
      </c>
      <c r="B8007" t="s">
        <v>4</v>
      </c>
      <c r="C8007">
        <v>4</v>
      </c>
      <c r="D8007" t="s">
        <v>5</v>
      </c>
      <c r="F8007" t="str" cm="1">
        <f t="array" ref="F8007">CategorizeComment(E8007)</f>
        <v>Other</v>
      </c>
      <c r="G8007" t="str" cm="1">
        <f t="array" ref="G8007">SubCategorizeComment(E8007)</f>
        <v>Other</v>
      </c>
    </row>
    <row r="8008" spans="1:7" x14ac:dyDescent="0.25">
      <c r="A8008">
        <v>71346</v>
      </c>
      <c r="B8008" t="s">
        <v>4</v>
      </c>
      <c r="C8008">
        <v>3</v>
      </c>
      <c r="D8008" t="s">
        <v>5</v>
      </c>
      <c r="F8008" t="str" cm="1">
        <f t="array" ref="F8008">CategorizeComment(E8008)</f>
        <v>Other</v>
      </c>
      <c r="G8008" t="str" cm="1">
        <f t="array" ref="G8008">SubCategorizeComment(E8008)</f>
        <v>Other</v>
      </c>
    </row>
    <row r="8009" spans="1:7" x14ac:dyDescent="0.25">
      <c r="A8009">
        <v>71348</v>
      </c>
      <c r="B8009" t="s">
        <v>4</v>
      </c>
      <c r="C8009">
        <v>4</v>
      </c>
      <c r="D8009" t="s">
        <v>5</v>
      </c>
      <c r="F8009" t="str" cm="1">
        <f t="array" ref="F8009">CategorizeComment(E8009)</f>
        <v>Other</v>
      </c>
      <c r="G8009" t="str" cm="1">
        <f t="array" ref="G8009">SubCategorizeComment(E8009)</f>
        <v>Other</v>
      </c>
    </row>
    <row r="8010" spans="1:7" x14ac:dyDescent="0.25">
      <c r="A8010">
        <v>71351</v>
      </c>
      <c r="B8010" t="s">
        <v>4</v>
      </c>
      <c r="C8010">
        <v>3</v>
      </c>
      <c r="D8010" t="s">
        <v>5</v>
      </c>
      <c r="F8010" t="str" cm="1">
        <f t="array" ref="F8010">CategorizeComment(E8010)</f>
        <v>Other</v>
      </c>
      <c r="G8010" t="str" cm="1">
        <f t="array" ref="G8010">SubCategorizeComment(E8010)</f>
        <v>Other</v>
      </c>
    </row>
    <row r="8011" spans="1:7" x14ac:dyDescent="0.25">
      <c r="A8011">
        <v>71372</v>
      </c>
      <c r="B8011" t="s">
        <v>4</v>
      </c>
      <c r="C8011">
        <v>3</v>
      </c>
      <c r="D8011" t="s">
        <v>5</v>
      </c>
      <c r="F8011" t="str" cm="1">
        <f t="array" ref="F8011">CategorizeComment(E8011)</f>
        <v>Other</v>
      </c>
      <c r="G8011" t="str" cm="1">
        <f t="array" ref="G8011">SubCategorizeComment(E8011)</f>
        <v>Other</v>
      </c>
    </row>
    <row r="8012" spans="1:7" x14ac:dyDescent="0.25">
      <c r="A8012">
        <v>71385</v>
      </c>
      <c r="B8012" t="s">
        <v>4</v>
      </c>
      <c r="C8012">
        <v>4</v>
      </c>
      <c r="D8012" t="s">
        <v>5</v>
      </c>
      <c r="F8012" t="str" cm="1">
        <f t="array" ref="F8012">CategorizeComment(E8012)</f>
        <v>Other</v>
      </c>
      <c r="G8012" t="str" cm="1">
        <f t="array" ref="G8012">SubCategorizeComment(E8012)</f>
        <v>Other</v>
      </c>
    </row>
    <row r="8013" spans="1:7" x14ac:dyDescent="0.25">
      <c r="A8013">
        <v>71410</v>
      </c>
      <c r="B8013" t="s">
        <v>4</v>
      </c>
      <c r="C8013">
        <v>4</v>
      </c>
      <c r="D8013" t="s">
        <v>5</v>
      </c>
      <c r="F8013" t="str" cm="1">
        <f t="array" ref="F8013">CategorizeComment(E8013)</f>
        <v>Other</v>
      </c>
      <c r="G8013" t="str" cm="1">
        <f t="array" ref="G8013">SubCategorizeComment(E8013)</f>
        <v>Other</v>
      </c>
    </row>
    <row r="8014" spans="1:7" x14ac:dyDescent="0.25">
      <c r="A8014">
        <v>71413</v>
      </c>
      <c r="B8014" t="s">
        <v>4</v>
      </c>
      <c r="C8014">
        <v>4</v>
      </c>
      <c r="D8014" t="s">
        <v>5</v>
      </c>
      <c r="F8014" t="str" cm="1">
        <f t="array" ref="F8014">CategorizeComment(E8014)</f>
        <v>Other</v>
      </c>
      <c r="G8014" t="str" cm="1">
        <f t="array" ref="G8014">SubCategorizeComment(E8014)</f>
        <v>Other</v>
      </c>
    </row>
    <row r="8015" spans="1:7" x14ac:dyDescent="0.25">
      <c r="A8015">
        <v>71427</v>
      </c>
      <c r="B8015" t="s">
        <v>4</v>
      </c>
      <c r="C8015">
        <v>3</v>
      </c>
      <c r="D8015" t="s">
        <v>5</v>
      </c>
      <c r="F8015" t="str" cm="1">
        <f t="array" ref="F8015">CategorizeComment(E8015)</f>
        <v>Other</v>
      </c>
      <c r="G8015" t="str" cm="1">
        <f t="array" ref="G8015">SubCategorizeComment(E8015)</f>
        <v>Other</v>
      </c>
    </row>
    <row r="8016" spans="1:7" x14ac:dyDescent="0.25">
      <c r="A8016">
        <v>71441</v>
      </c>
      <c r="B8016" t="s">
        <v>4</v>
      </c>
      <c r="C8016">
        <v>4</v>
      </c>
      <c r="D8016" t="s">
        <v>5</v>
      </c>
      <c r="F8016" t="str" cm="1">
        <f t="array" ref="F8016">CategorizeComment(E8016)</f>
        <v>Other</v>
      </c>
      <c r="G8016" t="str" cm="1">
        <f t="array" ref="G8016">SubCategorizeComment(E8016)</f>
        <v>Other</v>
      </c>
    </row>
    <row r="8017" spans="1:7" x14ac:dyDescent="0.25">
      <c r="A8017">
        <v>71452</v>
      </c>
      <c r="B8017" t="s">
        <v>4</v>
      </c>
      <c r="C8017">
        <v>3</v>
      </c>
      <c r="D8017" t="s">
        <v>5</v>
      </c>
      <c r="F8017" t="str" cm="1">
        <f t="array" ref="F8017">CategorizeComment(E8017)</f>
        <v>Other</v>
      </c>
      <c r="G8017" t="str" cm="1">
        <f t="array" ref="G8017">SubCategorizeComment(E8017)</f>
        <v>Other</v>
      </c>
    </row>
    <row r="8018" spans="1:7" x14ac:dyDescent="0.25">
      <c r="A8018">
        <v>71458</v>
      </c>
      <c r="B8018" t="s">
        <v>4</v>
      </c>
      <c r="C8018">
        <v>4</v>
      </c>
      <c r="D8018" t="s">
        <v>5</v>
      </c>
      <c r="F8018" t="str" cm="1">
        <f t="array" ref="F8018">CategorizeComment(E8018)</f>
        <v>Other</v>
      </c>
      <c r="G8018" t="str" cm="1">
        <f t="array" ref="G8018">SubCategorizeComment(E8018)</f>
        <v>Other</v>
      </c>
    </row>
    <row r="8019" spans="1:7" x14ac:dyDescent="0.25">
      <c r="A8019">
        <v>71486</v>
      </c>
      <c r="B8019" t="s">
        <v>4</v>
      </c>
      <c r="C8019">
        <v>4</v>
      </c>
      <c r="D8019" t="s">
        <v>5</v>
      </c>
      <c r="F8019" t="str" cm="1">
        <f t="array" ref="F8019">CategorizeComment(E8019)</f>
        <v>Other</v>
      </c>
      <c r="G8019" t="str" cm="1">
        <f t="array" ref="G8019">SubCategorizeComment(E8019)</f>
        <v>Other</v>
      </c>
    </row>
    <row r="8020" spans="1:7" x14ac:dyDescent="0.25">
      <c r="A8020">
        <v>71489</v>
      </c>
      <c r="B8020" t="s">
        <v>4</v>
      </c>
      <c r="C8020">
        <v>3</v>
      </c>
      <c r="D8020" t="s">
        <v>5</v>
      </c>
      <c r="F8020" t="str" cm="1">
        <f t="array" ref="F8020">CategorizeComment(E8020)</f>
        <v>Other</v>
      </c>
      <c r="G8020" t="str" cm="1">
        <f t="array" ref="G8020">SubCategorizeComment(E8020)</f>
        <v>Other</v>
      </c>
    </row>
    <row r="8021" spans="1:7" x14ac:dyDescent="0.25">
      <c r="A8021">
        <v>71538</v>
      </c>
      <c r="B8021" t="s">
        <v>4</v>
      </c>
      <c r="C8021">
        <v>4</v>
      </c>
      <c r="D8021" t="s">
        <v>5</v>
      </c>
      <c r="F8021" t="str" cm="1">
        <f t="array" ref="F8021">CategorizeComment(E8021)</f>
        <v>Other</v>
      </c>
      <c r="G8021" t="str" cm="1">
        <f t="array" ref="G8021">SubCategorizeComment(E8021)</f>
        <v>Other</v>
      </c>
    </row>
    <row r="8022" spans="1:7" x14ac:dyDescent="0.25">
      <c r="A8022">
        <v>71542</v>
      </c>
      <c r="B8022" t="s">
        <v>4</v>
      </c>
      <c r="C8022">
        <v>4</v>
      </c>
      <c r="D8022" t="s">
        <v>5</v>
      </c>
      <c r="F8022" t="str" cm="1">
        <f t="array" ref="F8022">CategorizeComment(E8022)</f>
        <v>Other</v>
      </c>
      <c r="G8022" t="str" cm="1">
        <f t="array" ref="G8022">SubCategorizeComment(E8022)</f>
        <v>Other</v>
      </c>
    </row>
    <row r="8023" spans="1:7" x14ac:dyDescent="0.25">
      <c r="A8023">
        <v>71585</v>
      </c>
      <c r="B8023" t="s">
        <v>4</v>
      </c>
      <c r="C8023">
        <v>3</v>
      </c>
      <c r="D8023" t="s">
        <v>5</v>
      </c>
      <c r="F8023" t="str" cm="1">
        <f t="array" ref="F8023">CategorizeComment(E8023)</f>
        <v>Other</v>
      </c>
      <c r="G8023" t="str" cm="1">
        <f t="array" ref="G8023">SubCategorizeComment(E8023)</f>
        <v>Other</v>
      </c>
    </row>
    <row r="8024" spans="1:7" x14ac:dyDescent="0.25">
      <c r="A8024">
        <v>71595</v>
      </c>
      <c r="B8024" t="s">
        <v>4</v>
      </c>
      <c r="C8024">
        <v>3</v>
      </c>
      <c r="D8024" t="s">
        <v>5</v>
      </c>
      <c r="F8024" t="str" cm="1">
        <f t="array" ref="F8024">CategorizeComment(E8024)</f>
        <v>Other</v>
      </c>
      <c r="G8024" t="str" cm="1">
        <f t="array" ref="G8024">SubCategorizeComment(E8024)</f>
        <v>Other</v>
      </c>
    </row>
    <row r="8025" spans="1:7" x14ac:dyDescent="0.25">
      <c r="A8025">
        <v>71611</v>
      </c>
      <c r="B8025" t="s">
        <v>4</v>
      </c>
      <c r="C8025">
        <v>3</v>
      </c>
      <c r="D8025" t="s">
        <v>5</v>
      </c>
      <c r="F8025" t="str" cm="1">
        <f t="array" ref="F8025">CategorizeComment(E8025)</f>
        <v>Other</v>
      </c>
      <c r="G8025" t="str" cm="1">
        <f t="array" ref="G8025">SubCategorizeComment(E8025)</f>
        <v>Other</v>
      </c>
    </row>
    <row r="8026" spans="1:7" x14ac:dyDescent="0.25">
      <c r="A8026">
        <v>71614</v>
      </c>
      <c r="B8026" t="s">
        <v>4</v>
      </c>
      <c r="C8026">
        <v>4</v>
      </c>
      <c r="D8026" t="s">
        <v>5</v>
      </c>
      <c r="F8026" t="str" cm="1">
        <f t="array" ref="F8026">CategorizeComment(E8026)</f>
        <v>Other</v>
      </c>
      <c r="G8026" t="str" cm="1">
        <f t="array" ref="G8026">SubCategorizeComment(E8026)</f>
        <v>Other</v>
      </c>
    </row>
    <row r="8027" spans="1:7" x14ac:dyDescent="0.25">
      <c r="A8027">
        <v>71617</v>
      </c>
      <c r="B8027" t="s">
        <v>4</v>
      </c>
      <c r="C8027">
        <v>4</v>
      </c>
      <c r="D8027" t="s">
        <v>5</v>
      </c>
      <c r="F8027" t="str" cm="1">
        <f t="array" ref="F8027">CategorizeComment(E8027)</f>
        <v>Other</v>
      </c>
      <c r="G8027" t="str" cm="1">
        <f t="array" ref="G8027">SubCategorizeComment(E8027)</f>
        <v>Other</v>
      </c>
    </row>
    <row r="8028" spans="1:7" x14ac:dyDescent="0.25">
      <c r="A8028">
        <v>71619</v>
      </c>
      <c r="B8028" t="s">
        <v>4</v>
      </c>
      <c r="C8028">
        <v>4</v>
      </c>
      <c r="D8028" t="s">
        <v>5</v>
      </c>
      <c r="F8028" t="str" cm="1">
        <f t="array" ref="F8028">CategorizeComment(E8028)</f>
        <v>Other</v>
      </c>
      <c r="G8028" t="str" cm="1">
        <f t="array" ref="G8028">SubCategorizeComment(E8028)</f>
        <v>Other</v>
      </c>
    </row>
    <row r="8029" spans="1:7" x14ac:dyDescent="0.25">
      <c r="A8029">
        <v>71622</v>
      </c>
      <c r="B8029" t="s">
        <v>4</v>
      </c>
      <c r="C8029">
        <v>4</v>
      </c>
      <c r="D8029" t="s">
        <v>5</v>
      </c>
      <c r="F8029" t="str" cm="1">
        <f t="array" ref="F8029">CategorizeComment(E8029)</f>
        <v>Other</v>
      </c>
      <c r="G8029" t="str" cm="1">
        <f t="array" ref="G8029">SubCategorizeComment(E8029)</f>
        <v>Other</v>
      </c>
    </row>
    <row r="8030" spans="1:7" x14ac:dyDescent="0.25">
      <c r="A8030">
        <v>71623</v>
      </c>
      <c r="B8030" t="s">
        <v>4</v>
      </c>
      <c r="C8030">
        <v>4</v>
      </c>
      <c r="D8030" t="s">
        <v>5</v>
      </c>
      <c r="F8030" t="str" cm="1">
        <f t="array" ref="F8030">CategorizeComment(E8030)</f>
        <v>Other</v>
      </c>
      <c r="G8030" t="str" cm="1">
        <f t="array" ref="G8030">SubCategorizeComment(E8030)</f>
        <v>Other</v>
      </c>
    </row>
    <row r="8031" spans="1:7" x14ac:dyDescent="0.25">
      <c r="A8031">
        <v>71630</v>
      </c>
      <c r="B8031" t="s">
        <v>4</v>
      </c>
      <c r="C8031">
        <v>4</v>
      </c>
      <c r="D8031" t="s">
        <v>5</v>
      </c>
      <c r="F8031" t="str" cm="1">
        <f t="array" ref="F8031">CategorizeComment(E8031)</f>
        <v>Other</v>
      </c>
      <c r="G8031" t="str" cm="1">
        <f t="array" ref="G8031">SubCategorizeComment(E8031)</f>
        <v>Other</v>
      </c>
    </row>
    <row r="8032" spans="1:7" x14ac:dyDescent="0.25">
      <c r="A8032">
        <v>71634</v>
      </c>
      <c r="B8032" t="s">
        <v>4</v>
      </c>
      <c r="C8032">
        <v>3</v>
      </c>
      <c r="D8032" t="s">
        <v>5</v>
      </c>
      <c r="F8032" t="str" cm="1">
        <f t="array" ref="F8032">CategorizeComment(E8032)</f>
        <v>Other</v>
      </c>
      <c r="G8032" t="str" cm="1">
        <f t="array" ref="G8032">SubCategorizeComment(E8032)</f>
        <v>Other</v>
      </c>
    </row>
    <row r="8033" spans="1:7" x14ac:dyDescent="0.25">
      <c r="A8033">
        <v>71643</v>
      </c>
      <c r="B8033" t="s">
        <v>4</v>
      </c>
      <c r="C8033">
        <v>3</v>
      </c>
      <c r="D8033" t="s">
        <v>5</v>
      </c>
      <c r="F8033" t="str" cm="1">
        <f t="array" ref="F8033">CategorizeComment(E8033)</f>
        <v>Other</v>
      </c>
      <c r="G8033" t="str" cm="1">
        <f t="array" ref="G8033">SubCategorizeComment(E8033)</f>
        <v>Other</v>
      </c>
    </row>
    <row r="8034" spans="1:7" x14ac:dyDescent="0.25">
      <c r="A8034">
        <v>71665</v>
      </c>
      <c r="B8034" t="s">
        <v>4</v>
      </c>
      <c r="C8034">
        <v>3</v>
      </c>
      <c r="D8034" t="s">
        <v>5</v>
      </c>
      <c r="F8034" t="str" cm="1">
        <f t="array" ref="F8034">CategorizeComment(E8034)</f>
        <v>Other</v>
      </c>
      <c r="G8034" t="str" cm="1">
        <f t="array" ref="G8034">SubCategorizeComment(E8034)</f>
        <v>Other</v>
      </c>
    </row>
    <row r="8035" spans="1:7" x14ac:dyDescent="0.25">
      <c r="A8035">
        <v>71681</v>
      </c>
      <c r="B8035" t="s">
        <v>4</v>
      </c>
      <c r="C8035">
        <v>4</v>
      </c>
      <c r="D8035" t="s">
        <v>5</v>
      </c>
      <c r="F8035" t="str" cm="1">
        <f t="array" ref="F8035">CategorizeComment(E8035)</f>
        <v>Other</v>
      </c>
      <c r="G8035" t="str" cm="1">
        <f t="array" ref="G8035">SubCategorizeComment(E8035)</f>
        <v>Other</v>
      </c>
    </row>
    <row r="8036" spans="1:7" x14ac:dyDescent="0.25">
      <c r="A8036">
        <v>71686</v>
      </c>
      <c r="B8036" t="s">
        <v>4</v>
      </c>
      <c r="C8036">
        <v>4</v>
      </c>
      <c r="D8036" t="s">
        <v>5</v>
      </c>
      <c r="F8036" t="str" cm="1">
        <f t="array" ref="F8036">CategorizeComment(E8036)</f>
        <v>Other</v>
      </c>
      <c r="G8036" t="str" cm="1">
        <f t="array" ref="G8036">SubCategorizeComment(E8036)</f>
        <v>Other</v>
      </c>
    </row>
    <row r="8037" spans="1:7" x14ac:dyDescent="0.25">
      <c r="A8037">
        <v>71719</v>
      </c>
      <c r="B8037" t="s">
        <v>4</v>
      </c>
      <c r="C8037">
        <v>4</v>
      </c>
      <c r="D8037" t="s">
        <v>5</v>
      </c>
      <c r="F8037" t="str" cm="1">
        <f t="array" ref="F8037">CategorizeComment(E8037)</f>
        <v>Other</v>
      </c>
      <c r="G8037" t="str" cm="1">
        <f t="array" ref="G8037">SubCategorizeComment(E8037)</f>
        <v>Other</v>
      </c>
    </row>
    <row r="8038" spans="1:7" x14ac:dyDescent="0.25">
      <c r="A8038">
        <v>71723</v>
      </c>
      <c r="B8038" t="s">
        <v>4</v>
      </c>
      <c r="C8038">
        <v>3</v>
      </c>
      <c r="D8038" t="s">
        <v>5</v>
      </c>
      <c r="F8038" t="str" cm="1">
        <f t="array" ref="F8038">CategorizeComment(E8038)</f>
        <v>Other</v>
      </c>
      <c r="G8038" t="str" cm="1">
        <f t="array" ref="G8038">SubCategorizeComment(E8038)</f>
        <v>Other</v>
      </c>
    </row>
    <row r="8039" spans="1:7" x14ac:dyDescent="0.25">
      <c r="A8039">
        <v>71765</v>
      </c>
      <c r="B8039" t="s">
        <v>4</v>
      </c>
      <c r="C8039">
        <v>4</v>
      </c>
      <c r="D8039" t="s">
        <v>5</v>
      </c>
      <c r="F8039" t="str" cm="1">
        <f t="array" ref="F8039">CategorizeComment(E8039)</f>
        <v>Other</v>
      </c>
      <c r="G8039" t="str" cm="1">
        <f t="array" ref="G8039">SubCategorizeComment(E8039)</f>
        <v>Other</v>
      </c>
    </row>
    <row r="8040" spans="1:7" x14ac:dyDescent="0.25">
      <c r="A8040">
        <v>71790</v>
      </c>
      <c r="B8040" t="s">
        <v>4</v>
      </c>
      <c r="C8040">
        <v>3</v>
      </c>
      <c r="D8040" t="s">
        <v>5</v>
      </c>
      <c r="F8040" t="str" cm="1">
        <f t="array" ref="F8040">CategorizeComment(E8040)</f>
        <v>Other</v>
      </c>
      <c r="G8040" t="str" cm="1">
        <f t="array" ref="G8040">SubCategorizeComment(E8040)</f>
        <v>Other</v>
      </c>
    </row>
    <row r="8041" spans="1:7" x14ac:dyDescent="0.25">
      <c r="A8041">
        <v>71801</v>
      </c>
      <c r="B8041" t="s">
        <v>4</v>
      </c>
      <c r="C8041">
        <v>3</v>
      </c>
      <c r="D8041" t="s">
        <v>5</v>
      </c>
      <c r="F8041" t="str" cm="1">
        <f t="array" ref="F8041">CategorizeComment(E8041)</f>
        <v>Other</v>
      </c>
      <c r="G8041" t="str" cm="1">
        <f t="array" ref="G8041">SubCategorizeComment(E8041)</f>
        <v>Other</v>
      </c>
    </row>
    <row r="8042" spans="1:7" x14ac:dyDescent="0.25">
      <c r="A8042">
        <v>71802</v>
      </c>
      <c r="B8042" t="s">
        <v>4</v>
      </c>
      <c r="C8042">
        <v>4</v>
      </c>
      <c r="D8042" t="s">
        <v>5</v>
      </c>
      <c r="F8042" t="str" cm="1">
        <f t="array" ref="F8042">CategorizeComment(E8042)</f>
        <v>Other</v>
      </c>
      <c r="G8042" t="str" cm="1">
        <f t="array" ref="G8042">SubCategorizeComment(E8042)</f>
        <v>Other</v>
      </c>
    </row>
    <row r="8043" spans="1:7" x14ac:dyDescent="0.25">
      <c r="A8043">
        <v>71830</v>
      </c>
      <c r="B8043" t="s">
        <v>4</v>
      </c>
      <c r="C8043">
        <v>3</v>
      </c>
      <c r="D8043" t="s">
        <v>5</v>
      </c>
      <c r="F8043" t="str" cm="1">
        <f t="array" ref="F8043">CategorizeComment(E8043)</f>
        <v>Other</v>
      </c>
      <c r="G8043" t="str" cm="1">
        <f t="array" ref="G8043">SubCategorizeComment(E8043)</f>
        <v>Other</v>
      </c>
    </row>
    <row r="8044" spans="1:7" x14ac:dyDescent="0.25">
      <c r="A8044">
        <v>71834</v>
      </c>
      <c r="B8044" t="s">
        <v>4</v>
      </c>
      <c r="C8044">
        <v>4</v>
      </c>
      <c r="D8044" t="s">
        <v>5</v>
      </c>
      <c r="F8044" t="str" cm="1">
        <f t="array" ref="F8044">CategorizeComment(E8044)</f>
        <v>Other</v>
      </c>
      <c r="G8044" t="str" cm="1">
        <f t="array" ref="G8044">SubCategorizeComment(E8044)</f>
        <v>Other</v>
      </c>
    </row>
    <row r="8045" spans="1:7" x14ac:dyDescent="0.25">
      <c r="A8045">
        <v>71836</v>
      </c>
      <c r="B8045" t="s">
        <v>4</v>
      </c>
      <c r="C8045">
        <v>4</v>
      </c>
      <c r="D8045" t="s">
        <v>5</v>
      </c>
      <c r="F8045" t="str" cm="1">
        <f t="array" ref="F8045">CategorizeComment(E8045)</f>
        <v>Other</v>
      </c>
      <c r="G8045" t="str" cm="1">
        <f t="array" ref="G8045">SubCategorizeComment(E8045)</f>
        <v>Other</v>
      </c>
    </row>
    <row r="8046" spans="1:7" x14ac:dyDescent="0.25">
      <c r="A8046">
        <v>71837</v>
      </c>
      <c r="B8046" t="s">
        <v>4</v>
      </c>
      <c r="C8046">
        <v>4</v>
      </c>
      <c r="D8046" t="s">
        <v>5</v>
      </c>
      <c r="F8046" t="str" cm="1">
        <f t="array" ref="F8046">CategorizeComment(E8046)</f>
        <v>Other</v>
      </c>
      <c r="G8046" t="str" cm="1">
        <f t="array" ref="G8046">SubCategorizeComment(E8046)</f>
        <v>Other</v>
      </c>
    </row>
    <row r="8047" spans="1:7" x14ac:dyDescent="0.25">
      <c r="A8047">
        <v>71839</v>
      </c>
      <c r="B8047" t="s">
        <v>4</v>
      </c>
      <c r="C8047">
        <v>4</v>
      </c>
      <c r="D8047" t="s">
        <v>5</v>
      </c>
      <c r="F8047" t="str" cm="1">
        <f t="array" ref="F8047">CategorizeComment(E8047)</f>
        <v>Other</v>
      </c>
      <c r="G8047" t="str" cm="1">
        <f t="array" ref="G8047">SubCategorizeComment(E8047)</f>
        <v>Other</v>
      </c>
    </row>
    <row r="8048" spans="1:7" x14ac:dyDescent="0.25">
      <c r="A8048">
        <v>71893</v>
      </c>
      <c r="B8048" t="s">
        <v>4</v>
      </c>
      <c r="C8048">
        <v>4</v>
      </c>
      <c r="D8048" t="s">
        <v>5</v>
      </c>
      <c r="F8048" t="str" cm="1">
        <f t="array" ref="F8048">CategorizeComment(E8048)</f>
        <v>Other</v>
      </c>
      <c r="G8048" t="str" cm="1">
        <f t="array" ref="G8048">SubCategorizeComment(E8048)</f>
        <v>Other</v>
      </c>
    </row>
    <row r="8049" spans="1:7" x14ac:dyDescent="0.25">
      <c r="A8049">
        <v>71898</v>
      </c>
      <c r="B8049" t="s">
        <v>4</v>
      </c>
      <c r="C8049">
        <v>4</v>
      </c>
      <c r="D8049" t="s">
        <v>5</v>
      </c>
      <c r="F8049" t="str" cm="1">
        <f t="array" ref="F8049">CategorizeComment(E8049)</f>
        <v>Other</v>
      </c>
      <c r="G8049" t="str" cm="1">
        <f t="array" ref="G8049">SubCategorizeComment(E8049)</f>
        <v>Other</v>
      </c>
    </row>
    <row r="8050" spans="1:7" x14ac:dyDescent="0.25">
      <c r="A8050">
        <v>71904</v>
      </c>
      <c r="B8050" t="s">
        <v>4</v>
      </c>
      <c r="C8050">
        <v>4</v>
      </c>
      <c r="D8050" t="s">
        <v>5</v>
      </c>
      <c r="F8050" t="str" cm="1">
        <f t="array" ref="F8050">CategorizeComment(E8050)</f>
        <v>Other</v>
      </c>
      <c r="G8050" t="str" cm="1">
        <f t="array" ref="G8050">SubCategorizeComment(E8050)</f>
        <v>Other</v>
      </c>
    </row>
    <row r="8051" spans="1:7" x14ac:dyDescent="0.25">
      <c r="A8051">
        <v>71908</v>
      </c>
      <c r="B8051" t="s">
        <v>4</v>
      </c>
      <c r="C8051">
        <v>4</v>
      </c>
      <c r="D8051" t="s">
        <v>5</v>
      </c>
      <c r="F8051" t="str" cm="1">
        <f t="array" ref="F8051">CategorizeComment(E8051)</f>
        <v>Other</v>
      </c>
      <c r="G8051" t="str" cm="1">
        <f t="array" ref="G8051">SubCategorizeComment(E8051)</f>
        <v>Other</v>
      </c>
    </row>
    <row r="8052" spans="1:7" x14ac:dyDescent="0.25">
      <c r="A8052">
        <v>71911</v>
      </c>
      <c r="B8052" t="s">
        <v>4</v>
      </c>
      <c r="C8052">
        <v>3</v>
      </c>
      <c r="D8052" t="s">
        <v>5</v>
      </c>
      <c r="F8052" t="str" cm="1">
        <f t="array" ref="F8052">CategorizeComment(E8052)</f>
        <v>Other</v>
      </c>
      <c r="G8052" t="str" cm="1">
        <f t="array" ref="G8052">SubCategorizeComment(E8052)</f>
        <v>Other</v>
      </c>
    </row>
    <row r="8053" spans="1:7" x14ac:dyDescent="0.25">
      <c r="A8053">
        <v>71913</v>
      </c>
      <c r="B8053" t="s">
        <v>4</v>
      </c>
      <c r="C8053">
        <v>4</v>
      </c>
      <c r="D8053" t="s">
        <v>5</v>
      </c>
      <c r="F8053" t="str" cm="1">
        <f t="array" ref="F8053">CategorizeComment(E8053)</f>
        <v>Other</v>
      </c>
      <c r="G8053" t="str" cm="1">
        <f t="array" ref="G8053">SubCategorizeComment(E8053)</f>
        <v>Other</v>
      </c>
    </row>
    <row r="8054" spans="1:7" x14ac:dyDescent="0.25">
      <c r="A8054">
        <v>71915</v>
      </c>
      <c r="B8054" t="s">
        <v>4</v>
      </c>
      <c r="C8054">
        <v>3</v>
      </c>
      <c r="D8054" t="s">
        <v>5</v>
      </c>
      <c r="F8054" t="str" cm="1">
        <f t="array" ref="F8054">CategorizeComment(E8054)</f>
        <v>Other</v>
      </c>
      <c r="G8054" t="str" cm="1">
        <f t="array" ref="G8054">SubCategorizeComment(E8054)</f>
        <v>Other</v>
      </c>
    </row>
    <row r="8055" spans="1:7" x14ac:dyDescent="0.25">
      <c r="A8055">
        <v>71937</v>
      </c>
      <c r="B8055" t="s">
        <v>4</v>
      </c>
      <c r="C8055">
        <v>4</v>
      </c>
      <c r="D8055" t="s">
        <v>5</v>
      </c>
      <c r="F8055" t="str" cm="1">
        <f t="array" ref="F8055">CategorizeComment(E8055)</f>
        <v>Other</v>
      </c>
      <c r="G8055" t="str" cm="1">
        <f t="array" ref="G8055">SubCategorizeComment(E8055)</f>
        <v>Other</v>
      </c>
    </row>
    <row r="8056" spans="1:7" x14ac:dyDescent="0.25">
      <c r="A8056">
        <v>71942</v>
      </c>
      <c r="B8056" t="s">
        <v>4</v>
      </c>
      <c r="C8056">
        <v>3</v>
      </c>
      <c r="D8056" t="s">
        <v>5</v>
      </c>
      <c r="F8056" t="str" cm="1">
        <f t="array" ref="F8056">CategorizeComment(E8056)</f>
        <v>Other</v>
      </c>
      <c r="G8056" t="str" cm="1">
        <f t="array" ref="G8056">SubCategorizeComment(E8056)</f>
        <v>Other</v>
      </c>
    </row>
    <row r="8057" spans="1:7" x14ac:dyDescent="0.25">
      <c r="A8057">
        <v>71971</v>
      </c>
      <c r="B8057" t="s">
        <v>4</v>
      </c>
      <c r="C8057">
        <v>4</v>
      </c>
      <c r="D8057" t="s">
        <v>5</v>
      </c>
      <c r="F8057" t="str" cm="1">
        <f t="array" ref="F8057">CategorizeComment(E8057)</f>
        <v>Other</v>
      </c>
      <c r="G8057" t="str" cm="1">
        <f t="array" ref="G8057">SubCategorizeComment(E8057)</f>
        <v>Other</v>
      </c>
    </row>
    <row r="8058" spans="1:7" x14ac:dyDescent="0.25">
      <c r="A8058">
        <v>71980</v>
      </c>
      <c r="B8058" t="s">
        <v>4</v>
      </c>
      <c r="C8058">
        <v>3</v>
      </c>
      <c r="D8058" t="s">
        <v>5</v>
      </c>
      <c r="F8058" t="str" cm="1">
        <f t="array" ref="F8058">CategorizeComment(E8058)</f>
        <v>Other</v>
      </c>
      <c r="G8058" t="str" cm="1">
        <f t="array" ref="G8058">SubCategorizeComment(E8058)</f>
        <v>Other</v>
      </c>
    </row>
    <row r="8059" spans="1:7" x14ac:dyDescent="0.25">
      <c r="A8059">
        <v>72006</v>
      </c>
      <c r="B8059" t="s">
        <v>4</v>
      </c>
      <c r="C8059">
        <v>3</v>
      </c>
      <c r="D8059" t="s">
        <v>5</v>
      </c>
      <c r="F8059" t="str" cm="1">
        <f t="array" ref="F8059">CategorizeComment(E8059)</f>
        <v>Other</v>
      </c>
      <c r="G8059" t="str" cm="1">
        <f t="array" ref="G8059">SubCategorizeComment(E8059)</f>
        <v>Other</v>
      </c>
    </row>
    <row r="8060" spans="1:7" x14ac:dyDescent="0.25">
      <c r="A8060">
        <v>72007</v>
      </c>
      <c r="B8060" t="s">
        <v>4</v>
      </c>
      <c r="C8060">
        <v>3</v>
      </c>
      <c r="D8060" t="s">
        <v>5</v>
      </c>
      <c r="F8060" t="str" cm="1">
        <f t="array" ref="F8060">CategorizeComment(E8060)</f>
        <v>Other</v>
      </c>
      <c r="G8060" t="str" cm="1">
        <f t="array" ref="G8060">SubCategorizeComment(E8060)</f>
        <v>Other</v>
      </c>
    </row>
    <row r="8061" spans="1:7" x14ac:dyDescent="0.25">
      <c r="A8061">
        <v>72042</v>
      </c>
      <c r="B8061" t="s">
        <v>4</v>
      </c>
      <c r="C8061">
        <v>3</v>
      </c>
      <c r="D8061" t="s">
        <v>5</v>
      </c>
      <c r="F8061" t="str" cm="1">
        <f t="array" ref="F8061">CategorizeComment(E8061)</f>
        <v>Other</v>
      </c>
      <c r="G8061" t="str" cm="1">
        <f t="array" ref="G8061">SubCategorizeComment(E8061)</f>
        <v>Other</v>
      </c>
    </row>
    <row r="8062" spans="1:7" x14ac:dyDescent="0.25">
      <c r="A8062">
        <v>72066</v>
      </c>
      <c r="B8062" t="s">
        <v>4</v>
      </c>
      <c r="C8062">
        <v>3</v>
      </c>
      <c r="D8062" t="s">
        <v>5</v>
      </c>
      <c r="F8062" t="str" cm="1">
        <f t="array" ref="F8062">CategorizeComment(E8062)</f>
        <v>Other</v>
      </c>
      <c r="G8062" t="str" cm="1">
        <f t="array" ref="G8062">SubCategorizeComment(E8062)</f>
        <v>Other</v>
      </c>
    </row>
    <row r="8063" spans="1:7" x14ac:dyDescent="0.25">
      <c r="A8063">
        <v>72072</v>
      </c>
      <c r="B8063" t="s">
        <v>4</v>
      </c>
      <c r="C8063">
        <v>3</v>
      </c>
      <c r="D8063" t="s">
        <v>5</v>
      </c>
      <c r="F8063" t="str" cm="1">
        <f t="array" ref="F8063">CategorizeComment(E8063)</f>
        <v>Other</v>
      </c>
      <c r="G8063" t="str" cm="1">
        <f t="array" ref="G8063">SubCategorizeComment(E8063)</f>
        <v>Other</v>
      </c>
    </row>
    <row r="8064" spans="1:7" x14ac:dyDescent="0.25">
      <c r="A8064">
        <v>72074</v>
      </c>
      <c r="B8064" t="s">
        <v>4</v>
      </c>
      <c r="C8064">
        <v>4</v>
      </c>
      <c r="D8064" t="s">
        <v>5</v>
      </c>
      <c r="F8064" t="str" cm="1">
        <f t="array" ref="F8064">CategorizeComment(E8064)</f>
        <v>Other</v>
      </c>
      <c r="G8064" t="str" cm="1">
        <f t="array" ref="G8064">SubCategorizeComment(E8064)</f>
        <v>Other</v>
      </c>
    </row>
    <row r="8065" spans="1:7" x14ac:dyDescent="0.25">
      <c r="A8065">
        <v>72094</v>
      </c>
      <c r="B8065" t="s">
        <v>4</v>
      </c>
      <c r="C8065">
        <v>4</v>
      </c>
      <c r="D8065" t="s">
        <v>5</v>
      </c>
      <c r="F8065" t="str" cm="1">
        <f t="array" ref="F8065">CategorizeComment(E8065)</f>
        <v>Other</v>
      </c>
      <c r="G8065" t="str" cm="1">
        <f t="array" ref="G8065">SubCategorizeComment(E8065)</f>
        <v>Other</v>
      </c>
    </row>
    <row r="8066" spans="1:7" x14ac:dyDescent="0.25">
      <c r="A8066">
        <v>72112</v>
      </c>
      <c r="B8066" t="s">
        <v>4</v>
      </c>
      <c r="C8066">
        <v>4</v>
      </c>
      <c r="D8066" t="s">
        <v>5</v>
      </c>
      <c r="F8066" t="str" cm="1">
        <f t="array" ref="F8066">CategorizeComment(E8066)</f>
        <v>Other</v>
      </c>
      <c r="G8066" t="str" cm="1">
        <f t="array" ref="G8066">SubCategorizeComment(E8066)</f>
        <v>Other</v>
      </c>
    </row>
    <row r="8067" spans="1:7" x14ac:dyDescent="0.25">
      <c r="A8067">
        <v>72137</v>
      </c>
      <c r="B8067" t="s">
        <v>4</v>
      </c>
      <c r="C8067">
        <v>3</v>
      </c>
      <c r="D8067" t="s">
        <v>5</v>
      </c>
      <c r="F8067" t="str" cm="1">
        <f t="array" ref="F8067">CategorizeComment(E8067)</f>
        <v>Other</v>
      </c>
      <c r="G8067" t="str" cm="1">
        <f t="array" ref="G8067">SubCategorizeComment(E8067)</f>
        <v>Other</v>
      </c>
    </row>
    <row r="8068" spans="1:7" x14ac:dyDescent="0.25">
      <c r="A8068">
        <v>72142</v>
      </c>
      <c r="B8068" t="s">
        <v>4</v>
      </c>
      <c r="C8068">
        <v>3</v>
      </c>
      <c r="D8068" t="s">
        <v>5</v>
      </c>
      <c r="F8068" t="str" cm="1">
        <f t="array" ref="F8068">CategorizeComment(E8068)</f>
        <v>Other</v>
      </c>
      <c r="G8068" t="str" cm="1">
        <f t="array" ref="G8068">SubCategorizeComment(E8068)</f>
        <v>Other</v>
      </c>
    </row>
    <row r="8069" spans="1:7" x14ac:dyDescent="0.25">
      <c r="A8069">
        <v>72144</v>
      </c>
      <c r="B8069" t="s">
        <v>4</v>
      </c>
      <c r="C8069">
        <v>4</v>
      </c>
      <c r="D8069" t="s">
        <v>5</v>
      </c>
      <c r="F8069" t="str" cm="1">
        <f t="array" ref="F8069">CategorizeComment(E8069)</f>
        <v>Other</v>
      </c>
      <c r="G8069" t="str" cm="1">
        <f t="array" ref="G8069">SubCategorizeComment(E8069)</f>
        <v>Other</v>
      </c>
    </row>
    <row r="8070" spans="1:7" x14ac:dyDescent="0.25">
      <c r="A8070">
        <v>72146</v>
      </c>
      <c r="B8070" t="s">
        <v>4</v>
      </c>
      <c r="C8070">
        <v>4</v>
      </c>
      <c r="D8070" t="s">
        <v>5</v>
      </c>
      <c r="F8070" t="str" cm="1">
        <f t="array" ref="F8070">CategorizeComment(E8070)</f>
        <v>Other</v>
      </c>
      <c r="G8070" t="str" cm="1">
        <f t="array" ref="G8070">SubCategorizeComment(E8070)</f>
        <v>Other</v>
      </c>
    </row>
    <row r="8071" spans="1:7" x14ac:dyDescent="0.25">
      <c r="A8071">
        <v>72147</v>
      </c>
      <c r="B8071" t="s">
        <v>4</v>
      </c>
      <c r="C8071">
        <v>4</v>
      </c>
      <c r="D8071" t="s">
        <v>5</v>
      </c>
      <c r="F8071" t="str" cm="1">
        <f t="array" ref="F8071">CategorizeComment(E8071)</f>
        <v>Other</v>
      </c>
      <c r="G8071" t="str" cm="1">
        <f t="array" ref="G8071">SubCategorizeComment(E8071)</f>
        <v>Other</v>
      </c>
    </row>
    <row r="8072" spans="1:7" x14ac:dyDescent="0.25">
      <c r="A8072">
        <v>72166</v>
      </c>
      <c r="B8072" t="s">
        <v>4</v>
      </c>
      <c r="C8072">
        <v>3</v>
      </c>
      <c r="D8072" t="s">
        <v>5</v>
      </c>
      <c r="F8072" t="str" cm="1">
        <f t="array" ref="F8072">CategorizeComment(E8072)</f>
        <v>Other</v>
      </c>
      <c r="G8072" t="str" cm="1">
        <f t="array" ref="G8072">SubCategorizeComment(E8072)</f>
        <v>Other</v>
      </c>
    </row>
    <row r="8073" spans="1:7" x14ac:dyDescent="0.25">
      <c r="A8073">
        <v>72168</v>
      </c>
      <c r="B8073" t="s">
        <v>4</v>
      </c>
      <c r="C8073">
        <v>4</v>
      </c>
      <c r="D8073" t="s">
        <v>5</v>
      </c>
      <c r="F8073" t="str" cm="1">
        <f t="array" ref="F8073">CategorizeComment(E8073)</f>
        <v>Other</v>
      </c>
      <c r="G8073" t="str" cm="1">
        <f t="array" ref="G8073">SubCategorizeComment(E8073)</f>
        <v>Other</v>
      </c>
    </row>
    <row r="8074" spans="1:7" x14ac:dyDescent="0.25">
      <c r="A8074">
        <v>72181</v>
      </c>
      <c r="B8074" t="s">
        <v>4</v>
      </c>
      <c r="C8074">
        <v>3</v>
      </c>
      <c r="D8074" t="s">
        <v>5</v>
      </c>
      <c r="F8074" t="str" cm="1">
        <f t="array" ref="F8074">CategorizeComment(E8074)</f>
        <v>Other</v>
      </c>
      <c r="G8074" t="str" cm="1">
        <f t="array" ref="G8074">SubCategorizeComment(E8074)</f>
        <v>Other</v>
      </c>
    </row>
    <row r="8075" spans="1:7" x14ac:dyDescent="0.25">
      <c r="A8075">
        <v>72207</v>
      </c>
      <c r="B8075" t="s">
        <v>4</v>
      </c>
      <c r="C8075">
        <v>3</v>
      </c>
      <c r="D8075" t="s">
        <v>5</v>
      </c>
      <c r="F8075" t="str" cm="1">
        <f t="array" ref="F8075">CategorizeComment(E8075)</f>
        <v>Other</v>
      </c>
      <c r="G8075" t="str" cm="1">
        <f t="array" ref="G8075">SubCategorizeComment(E8075)</f>
        <v>Other</v>
      </c>
    </row>
    <row r="8076" spans="1:7" x14ac:dyDescent="0.25">
      <c r="A8076">
        <v>72240</v>
      </c>
      <c r="B8076" t="s">
        <v>4</v>
      </c>
      <c r="C8076">
        <v>3</v>
      </c>
      <c r="D8076" t="s">
        <v>5</v>
      </c>
      <c r="F8076" t="str" cm="1">
        <f t="array" ref="F8076">CategorizeComment(E8076)</f>
        <v>Other</v>
      </c>
      <c r="G8076" t="str" cm="1">
        <f t="array" ref="G8076">SubCategorizeComment(E8076)</f>
        <v>Other</v>
      </c>
    </row>
    <row r="8077" spans="1:7" x14ac:dyDescent="0.25">
      <c r="A8077">
        <v>72250</v>
      </c>
      <c r="B8077" t="s">
        <v>4</v>
      </c>
      <c r="C8077">
        <v>3</v>
      </c>
      <c r="D8077" t="s">
        <v>5</v>
      </c>
      <c r="F8077" t="str" cm="1">
        <f t="array" ref="F8077">CategorizeComment(E8077)</f>
        <v>Other</v>
      </c>
      <c r="G8077" t="str" cm="1">
        <f t="array" ref="G8077">SubCategorizeComment(E8077)</f>
        <v>Other</v>
      </c>
    </row>
    <row r="8078" spans="1:7" x14ac:dyDescent="0.25">
      <c r="A8078">
        <v>72256</v>
      </c>
      <c r="B8078" t="s">
        <v>4</v>
      </c>
      <c r="C8078">
        <v>3</v>
      </c>
      <c r="D8078" t="s">
        <v>5</v>
      </c>
      <c r="F8078" t="str" cm="1">
        <f t="array" ref="F8078">CategorizeComment(E8078)</f>
        <v>Other</v>
      </c>
      <c r="G8078" t="str" cm="1">
        <f t="array" ref="G8078">SubCategorizeComment(E8078)</f>
        <v>Other</v>
      </c>
    </row>
    <row r="8079" spans="1:7" x14ac:dyDescent="0.25">
      <c r="A8079">
        <v>72257</v>
      </c>
      <c r="B8079" t="s">
        <v>4</v>
      </c>
      <c r="C8079">
        <v>3</v>
      </c>
      <c r="D8079" t="s">
        <v>5</v>
      </c>
      <c r="F8079" t="str" cm="1">
        <f t="array" ref="F8079">CategorizeComment(E8079)</f>
        <v>Other</v>
      </c>
      <c r="G8079" t="str" cm="1">
        <f t="array" ref="G8079">SubCategorizeComment(E8079)</f>
        <v>Other</v>
      </c>
    </row>
    <row r="8080" spans="1:7" x14ac:dyDescent="0.25">
      <c r="A8080">
        <v>72259</v>
      </c>
      <c r="B8080" t="s">
        <v>4</v>
      </c>
      <c r="C8080">
        <v>4</v>
      </c>
      <c r="D8080" t="s">
        <v>5</v>
      </c>
      <c r="F8080" t="str" cm="1">
        <f t="array" ref="F8080">CategorizeComment(E8080)</f>
        <v>Other</v>
      </c>
      <c r="G8080" t="str" cm="1">
        <f t="array" ref="G8080">SubCategorizeComment(E8080)</f>
        <v>Other</v>
      </c>
    </row>
    <row r="8081" spans="1:7" x14ac:dyDescent="0.25">
      <c r="A8081">
        <v>72263</v>
      </c>
      <c r="B8081" t="s">
        <v>4</v>
      </c>
      <c r="C8081">
        <v>4</v>
      </c>
      <c r="D8081" t="s">
        <v>5</v>
      </c>
      <c r="F8081" t="str" cm="1">
        <f t="array" ref="F8081">CategorizeComment(E8081)</f>
        <v>Other</v>
      </c>
      <c r="G8081" t="str" cm="1">
        <f t="array" ref="G8081">SubCategorizeComment(E8081)</f>
        <v>Other</v>
      </c>
    </row>
    <row r="8082" spans="1:7" x14ac:dyDescent="0.25">
      <c r="A8082">
        <v>72269</v>
      </c>
      <c r="B8082" t="s">
        <v>4</v>
      </c>
      <c r="C8082">
        <v>4</v>
      </c>
      <c r="D8082" t="s">
        <v>5</v>
      </c>
      <c r="F8082" t="str" cm="1">
        <f t="array" ref="F8082">CategorizeComment(E8082)</f>
        <v>Other</v>
      </c>
      <c r="G8082" t="str" cm="1">
        <f t="array" ref="G8082">SubCategorizeComment(E8082)</f>
        <v>Other</v>
      </c>
    </row>
    <row r="8083" spans="1:7" x14ac:dyDescent="0.25">
      <c r="A8083">
        <v>72277</v>
      </c>
      <c r="B8083" t="s">
        <v>4</v>
      </c>
      <c r="C8083">
        <v>3</v>
      </c>
      <c r="D8083" t="s">
        <v>5</v>
      </c>
      <c r="F8083" t="str" cm="1">
        <f t="array" ref="F8083">CategorizeComment(E8083)</f>
        <v>Other</v>
      </c>
      <c r="G8083" t="str" cm="1">
        <f t="array" ref="G8083">SubCategorizeComment(E8083)</f>
        <v>Other</v>
      </c>
    </row>
    <row r="8084" spans="1:7" x14ac:dyDescent="0.25">
      <c r="A8084">
        <v>72289</v>
      </c>
      <c r="B8084" t="s">
        <v>4</v>
      </c>
      <c r="C8084">
        <v>4</v>
      </c>
      <c r="D8084" t="s">
        <v>5</v>
      </c>
      <c r="F8084" t="str" cm="1">
        <f t="array" ref="F8084">CategorizeComment(E8084)</f>
        <v>Other</v>
      </c>
      <c r="G8084" t="str" cm="1">
        <f t="array" ref="G8084">SubCategorizeComment(E8084)</f>
        <v>Other</v>
      </c>
    </row>
    <row r="8085" spans="1:7" x14ac:dyDescent="0.25">
      <c r="A8085">
        <v>72342</v>
      </c>
      <c r="B8085" t="s">
        <v>4</v>
      </c>
      <c r="C8085">
        <v>2</v>
      </c>
      <c r="D8085" t="s">
        <v>5</v>
      </c>
      <c r="F8085" t="str" cm="1">
        <f t="array" ref="F8085">CategorizeComment(E8085)</f>
        <v>Other</v>
      </c>
      <c r="G8085" t="str" cm="1">
        <f t="array" ref="G8085">SubCategorizeComment(E8085)</f>
        <v>Other</v>
      </c>
    </row>
    <row r="8086" spans="1:7" x14ac:dyDescent="0.25">
      <c r="A8086">
        <v>72344</v>
      </c>
      <c r="B8086" t="s">
        <v>4</v>
      </c>
      <c r="C8086">
        <v>4</v>
      </c>
      <c r="D8086" t="s">
        <v>5</v>
      </c>
      <c r="F8086" t="str" cm="1">
        <f t="array" ref="F8086">CategorizeComment(E8086)</f>
        <v>Other</v>
      </c>
      <c r="G8086" t="str" cm="1">
        <f t="array" ref="G8086">SubCategorizeComment(E8086)</f>
        <v>Other</v>
      </c>
    </row>
    <row r="8087" spans="1:7" x14ac:dyDescent="0.25">
      <c r="A8087">
        <v>72406</v>
      </c>
      <c r="B8087" t="s">
        <v>4</v>
      </c>
      <c r="C8087">
        <v>3</v>
      </c>
      <c r="D8087" t="s">
        <v>5</v>
      </c>
      <c r="F8087" t="str" cm="1">
        <f t="array" ref="F8087">CategorizeComment(E8087)</f>
        <v>Other</v>
      </c>
      <c r="G8087" t="str" cm="1">
        <f t="array" ref="G8087">SubCategorizeComment(E8087)</f>
        <v>Other</v>
      </c>
    </row>
    <row r="8088" spans="1:7" x14ac:dyDescent="0.25">
      <c r="A8088">
        <v>72426</v>
      </c>
      <c r="B8088" t="s">
        <v>4</v>
      </c>
      <c r="C8088">
        <v>3</v>
      </c>
      <c r="D8088" t="s">
        <v>5</v>
      </c>
      <c r="F8088" t="str" cm="1">
        <f t="array" ref="F8088">CategorizeComment(E8088)</f>
        <v>Other</v>
      </c>
      <c r="G8088" t="str" cm="1">
        <f t="array" ref="G8088">SubCategorizeComment(E8088)</f>
        <v>Other</v>
      </c>
    </row>
    <row r="8089" spans="1:7" x14ac:dyDescent="0.25">
      <c r="A8089">
        <v>72429</v>
      </c>
      <c r="B8089" t="s">
        <v>4</v>
      </c>
      <c r="C8089">
        <v>4</v>
      </c>
      <c r="D8089" t="s">
        <v>5</v>
      </c>
      <c r="F8089" t="str" cm="1">
        <f t="array" ref="F8089">CategorizeComment(E8089)</f>
        <v>Other</v>
      </c>
      <c r="G8089" t="str" cm="1">
        <f t="array" ref="G8089">SubCategorizeComment(E8089)</f>
        <v>Other</v>
      </c>
    </row>
    <row r="8090" spans="1:7" x14ac:dyDescent="0.25">
      <c r="A8090">
        <v>72457</v>
      </c>
      <c r="B8090" t="s">
        <v>4</v>
      </c>
      <c r="C8090">
        <v>3</v>
      </c>
      <c r="D8090" t="s">
        <v>5</v>
      </c>
      <c r="F8090" t="str" cm="1">
        <f t="array" ref="F8090">CategorizeComment(E8090)</f>
        <v>Other</v>
      </c>
      <c r="G8090" t="str" cm="1">
        <f t="array" ref="G8090">SubCategorizeComment(E8090)</f>
        <v>Other</v>
      </c>
    </row>
    <row r="8091" spans="1:7" x14ac:dyDescent="0.25">
      <c r="A8091">
        <v>72461</v>
      </c>
      <c r="B8091" t="s">
        <v>4</v>
      </c>
      <c r="C8091">
        <v>4</v>
      </c>
      <c r="D8091" t="s">
        <v>5</v>
      </c>
      <c r="F8091" t="str" cm="1">
        <f t="array" ref="F8091">CategorizeComment(E8091)</f>
        <v>Other</v>
      </c>
      <c r="G8091" t="str" cm="1">
        <f t="array" ref="G8091">SubCategorizeComment(E8091)</f>
        <v>Other</v>
      </c>
    </row>
    <row r="8092" spans="1:7" x14ac:dyDescent="0.25">
      <c r="A8092">
        <v>72501</v>
      </c>
      <c r="B8092" t="s">
        <v>4</v>
      </c>
      <c r="C8092">
        <v>3</v>
      </c>
      <c r="D8092" t="s">
        <v>5</v>
      </c>
      <c r="F8092" t="str" cm="1">
        <f t="array" ref="F8092">CategorizeComment(E8092)</f>
        <v>Other</v>
      </c>
      <c r="G8092" t="str" cm="1">
        <f t="array" ref="G8092">SubCategorizeComment(E8092)</f>
        <v>Other</v>
      </c>
    </row>
    <row r="8093" spans="1:7" x14ac:dyDescent="0.25">
      <c r="A8093">
        <v>72506</v>
      </c>
      <c r="B8093" t="s">
        <v>4</v>
      </c>
      <c r="C8093">
        <v>3</v>
      </c>
      <c r="D8093" t="s">
        <v>5</v>
      </c>
      <c r="F8093" t="str" cm="1">
        <f t="array" ref="F8093">CategorizeComment(E8093)</f>
        <v>Other</v>
      </c>
      <c r="G8093" t="str" cm="1">
        <f t="array" ref="G8093">SubCategorizeComment(E8093)</f>
        <v>Other</v>
      </c>
    </row>
    <row r="8094" spans="1:7" x14ac:dyDescent="0.25">
      <c r="A8094">
        <v>72524</v>
      </c>
      <c r="B8094" t="s">
        <v>4</v>
      </c>
      <c r="C8094">
        <v>4</v>
      </c>
      <c r="D8094" t="s">
        <v>5</v>
      </c>
      <c r="F8094" t="str" cm="1">
        <f t="array" ref="F8094">CategorizeComment(E8094)</f>
        <v>Other</v>
      </c>
      <c r="G8094" t="str" cm="1">
        <f t="array" ref="G8094">SubCategorizeComment(E8094)</f>
        <v>Other</v>
      </c>
    </row>
    <row r="8095" spans="1:7" x14ac:dyDescent="0.25">
      <c r="A8095">
        <v>72534</v>
      </c>
      <c r="B8095" t="s">
        <v>4</v>
      </c>
      <c r="C8095">
        <v>3</v>
      </c>
      <c r="D8095" t="s">
        <v>5</v>
      </c>
      <c r="F8095" t="str" cm="1">
        <f t="array" ref="F8095">CategorizeComment(E8095)</f>
        <v>Other</v>
      </c>
      <c r="G8095" t="str" cm="1">
        <f t="array" ref="G8095">SubCategorizeComment(E8095)</f>
        <v>Other</v>
      </c>
    </row>
    <row r="8096" spans="1:7" x14ac:dyDescent="0.25">
      <c r="A8096">
        <v>72546</v>
      </c>
      <c r="B8096" t="s">
        <v>4</v>
      </c>
      <c r="C8096">
        <v>3</v>
      </c>
      <c r="D8096" t="s">
        <v>5</v>
      </c>
      <c r="F8096" t="str" cm="1">
        <f t="array" ref="F8096">CategorizeComment(E8096)</f>
        <v>Other</v>
      </c>
      <c r="G8096" t="str" cm="1">
        <f t="array" ref="G8096">SubCategorizeComment(E8096)</f>
        <v>Other</v>
      </c>
    </row>
    <row r="8097" spans="1:7" x14ac:dyDescent="0.25">
      <c r="A8097">
        <v>72549</v>
      </c>
      <c r="B8097" t="s">
        <v>4</v>
      </c>
      <c r="C8097">
        <v>4</v>
      </c>
      <c r="D8097" t="s">
        <v>5</v>
      </c>
      <c r="F8097" t="str" cm="1">
        <f t="array" ref="F8097">CategorizeComment(E8097)</f>
        <v>Other</v>
      </c>
      <c r="G8097" t="str" cm="1">
        <f t="array" ref="G8097">SubCategorizeComment(E8097)</f>
        <v>Other</v>
      </c>
    </row>
    <row r="8098" spans="1:7" x14ac:dyDescent="0.25">
      <c r="A8098">
        <v>72552</v>
      </c>
      <c r="B8098" t="s">
        <v>4</v>
      </c>
      <c r="C8098">
        <v>3</v>
      </c>
      <c r="D8098" t="s">
        <v>5</v>
      </c>
      <c r="F8098" t="str" cm="1">
        <f t="array" ref="F8098">CategorizeComment(E8098)</f>
        <v>Other</v>
      </c>
      <c r="G8098" t="str" cm="1">
        <f t="array" ref="G8098">SubCategorizeComment(E8098)</f>
        <v>Other</v>
      </c>
    </row>
    <row r="8099" spans="1:7" x14ac:dyDescent="0.25">
      <c r="A8099">
        <v>72559</v>
      </c>
      <c r="B8099" t="s">
        <v>4</v>
      </c>
      <c r="C8099">
        <v>4</v>
      </c>
      <c r="D8099" t="s">
        <v>5</v>
      </c>
      <c r="F8099" t="str" cm="1">
        <f t="array" ref="F8099">CategorizeComment(E8099)</f>
        <v>Other</v>
      </c>
      <c r="G8099" t="str" cm="1">
        <f t="array" ref="G8099">SubCategorizeComment(E8099)</f>
        <v>Other</v>
      </c>
    </row>
    <row r="8100" spans="1:7" x14ac:dyDescent="0.25">
      <c r="A8100">
        <v>72561</v>
      </c>
      <c r="B8100" t="s">
        <v>4</v>
      </c>
      <c r="C8100">
        <v>4</v>
      </c>
      <c r="D8100" t="s">
        <v>5</v>
      </c>
      <c r="F8100" t="str" cm="1">
        <f t="array" ref="F8100">CategorizeComment(E8100)</f>
        <v>Other</v>
      </c>
      <c r="G8100" t="str" cm="1">
        <f t="array" ref="G8100">SubCategorizeComment(E8100)</f>
        <v>Other</v>
      </c>
    </row>
    <row r="8101" spans="1:7" x14ac:dyDescent="0.25">
      <c r="A8101">
        <v>72564</v>
      </c>
      <c r="B8101" t="s">
        <v>4</v>
      </c>
      <c r="C8101">
        <v>4</v>
      </c>
      <c r="D8101" t="s">
        <v>5</v>
      </c>
      <c r="F8101" t="str" cm="1">
        <f t="array" ref="F8101">CategorizeComment(E8101)</f>
        <v>Other</v>
      </c>
      <c r="G8101" t="str" cm="1">
        <f t="array" ref="G8101">SubCategorizeComment(E8101)</f>
        <v>Other</v>
      </c>
    </row>
    <row r="8102" spans="1:7" x14ac:dyDescent="0.25">
      <c r="A8102">
        <v>72566</v>
      </c>
      <c r="B8102" t="s">
        <v>4</v>
      </c>
      <c r="C8102">
        <v>4</v>
      </c>
      <c r="D8102" t="s">
        <v>5</v>
      </c>
      <c r="F8102" t="str" cm="1">
        <f t="array" ref="F8102">CategorizeComment(E8102)</f>
        <v>Other</v>
      </c>
      <c r="G8102" t="str" cm="1">
        <f t="array" ref="G8102">SubCategorizeComment(E8102)</f>
        <v>Other</v>
      </c>
    </row>
    <row r="8103" spans="1:7" x14ac:dyDescent="0.25">
      <c r="A8103">
        <v>72574</v>
      </c>
      <c r="B8103" t="s">
        <v>4</v>
      </c>
      <c r="C8103">
        <v>4</v>
      </c>
      <c r="D8103" t="s">
        <v>5</v>
      </c>
      <c r="F8103" t="str" cm="1">
        <f t="array" ref="F8103">CategorizeComment(E8103)</f>
        <v>Other</v>
      </c>
      <c r="G8103" t="str" cm="1">
        <f t="array" ref="G8103">SubCategorizeComment(E8103)</f>
        <v>Other</v>
      </c>
    </row>
    <row r="8104" spans="1:7" x14ac:dyDescent="0.25">
      <c r="A8104">
        <v>72585</v>
      </c>
      <c r="B8104" t="s">
        <v>4</v>
      </c>
      <c r="C8104">
        <v>3</v>
      </c>
      <c r="D8104" t="s">
        <v>5</v>
      </c>
      <c r="F8104" t="str" cm="1">
        <f t="array" ref="F8104">CategorizeComment(E8104)</f>
        <v>Other</v>
      </c>
      <c r="G8104" t="str" cm="1">
        <f t="array" ref="G8104">SubCategorizeComment(E8104)</f>
        <v>Other</v>
      </c>
    </row>
    <row r="8105" spans="1:7" x14ac:dyDescent="0.25">
      <c r="A8105">
        <v>72589</v>
      </c>
      <c r="B8105" t="s">
        <v>4</v>
      </c>
      <c r="C8105">
        <v>4</v>
      </c>
      <c r="D8105" t="s">
        <v>5</v>
      </c>
      <c r="F8105" t="str" cm="1">
        <f t="array" ref="F8105">CategorizeComment(E8105)</f>
        <v>Other</v>
      </c>
      <c r="G8105" t="str" cm="1">
        <f t="array" ref="G8105">SubCategorizeComment(E8105)</f>
        <v>Other</v>
      </c>
    </row>
    <row r="8106" spans="1:7" x14ac:dyDescent="0.25">
      <c r="A8106">
        <v>72597</v>
      </c>
      <c r="B8106" t="s">
        <v>4</v>
      </c>
      <c r="C8106">
        <v>3</v>
      </c>
      <c r="D8106" t="s">
        <v>5</v>
      </c>
      <c r="F8106" t="str" cm="1">
        <f t="array" ref="F8106">CategorizeComment(E8106)</f>
        <v>Other</v>
      </c>
      <c r="G8106" t="str" cm="1">
        <f t="array" ref="G8106">SubCategorizeComment(E8106)</f>
        <v>Other</v>
      </c>
    </row>
    <row r="8107" spans="1:7" x14ac:dyDescent="0.25">
      <c r="A8107">
        <v>72601</v>
      </c>
      <c r="B8107" t="s">
        <v>4</v>
      </c>
      <c r="C8107">
        <v>4</v>
      </c>
      <c r="D8107" t="s">
        <v>5</v>
      </c>
      <c r="F8107" t="str" cm="1">
        <f t="array" ref="F8107">CategorizeComment(E8107)</f>
        <v>Other</v>
      </c>
      <c r="G8107" t="str" cm="1">
        <f t="array" ref="G8107">SubCategorizeComment(E8107)</f>
        <v>Other</v>
      </c>
    </row>
    <row r="8108" spans="1:7" x14ac:dyDescent="0.25">
      <c r="A8108">
        <v>72611</v>
      </c>
      <c r="B8108" t="s">
        <v>4</v>
      </c>
      <c r="C8108">
        <v>3</v>
      </c>
      <c r="D8108" t="s">
        <v>5</v>
      </c>
      <c r="F8108" t="str" cm="1">
        <f t="array" ref="F8108">CategorizeComment(E8108)</f>
        <v>Other</v>
      </c>
      <c r="G8108" t="str" cm="1">
        <f t="array" ref="G8108">SubCategorizeComment(E8108)</f>
        <v>Other</v>
      </c>
    </row>
    <row r="8109" spans="1:7" x14ac:dyDescent="0.25">
      <c r="A8109">
        <v>72623</v>
      </c>
      <c r="B8109" t="s">
        <v>4</v>
      </c>
      <c r="C8109">
        <v>3</v>
      </c>
      <c r="D8109" t="s">
        <v>5</v>
      </c>
      <c r="F8109" t="str" cm="1">
        <f t="array" ref="F8109">CategorizeComment(E8109)</f>
        <v>Other</v>
      </c>
      <c r="G8109" t="str" cm="1">
        <f t="array" ref="G8109">SubCategorizeComment(E8109)</f>
        <v>Other</v>
      </c>
    </row>
    <row r="8110" spans="1:7" x14ac:dyDescent="0.25">
      <c r="A8110">
        <v>72629</v>
      </c>
      <c r="B8110" t="s">
        <v>4</v>
      </c>
      <c r="C8110">
        <v>4</v>
      </c>
      <c r="D8110" t="s">
        <v>5</v>
      </c>
      <c r="F8110" t="str" cm="1">
        <f t="array" ref="F8110">CategorizeComment(E8110)</f>
        <v>Other</v>
      </c>
      <c r="G8110" t="str" cm="1">
        <f t="array" ref="G8110">SubCategorizeComment(E8110)</f>
        <v>Other</v>
      </c>
    </row>
    <row r="8111" spans="1:7" x14ac:dyDescent="0.25">
      <c r="A8111">
        <v>72638</v>
      </c>
      <c r="B8111" t="s">
        <v>4</v>
      </c>
      <c r="C8111">
        <v>4</v>
      </c>
      <c r="D8111" t="s">
        <v>5</v>
      </c>
      <c r="F8111" t="str" cm="1">
        <f t="array" ref="F8111">CategorizeComment(E8111)</f>
        <v>Other</v>
      </c>
      <c r="G8111" t="str" cm="1">
        <f t="array" ref="G8111">SubCategorizeComment(E8111)</f>
        <v>Other</v>
      </c>
    </row>
    <row r="8112" spans="1:7" x14ac:dyDescent="0.25">
      <c r="A8112">
        <v>72639</v>
      </c>
      <c r="B8112" t="s">
        <v>4</v>
      </c>
      <c r="C8112">
        <v>4</v>
      </c>
      <c r="D8112" t="s">
        <v>5</v>
      </c>
      <c r="F8112" t="str" cm="1">
        <f t="array" ref="F8112">CategorizeComment(E8112)</f>
        <v>Other</v>
      </c>
      <c r="G8112" t="str" cm="1">
        <f t="array" ref="G8112">SubCategorizeComment(E8112)</f>
        <v>Other</v>
      </c>
    </row>
    <row r="8113" spans="1:7" x14ac:dyDescent="0.25">
      <c r="A8113">
        <v>72651</v>
      </c>
      <c r="B8113" t="s">
        <v>4</v>
      </c>
      <c r="C8113">
        <v>3</v>
      </c>
      <c r="D8113" t="s">
        <v>5</v>
      </c>
      <c r="F8113" t="str" cm="1">
        <f t="array" ref="F8113">CategorizeComment(E8113)</f>
        <v>Other</v>
      </c>
      <c r="G8113" t="str" cm="1">
        <f t="array" ref="G8113">SubCategorizeComment(E8113)</f>
        <v>Other</v>
      </c>
    </row>
    <row r="8114" spans="1:7" x14ac:dyDescent="0.25">
      <c r="A8114">
        <v>72660</v>
      </c>
      <c r="B8114" t="s">
        <v>4</v>
      </c>
      <c r="C8114">
        <v>4</v>
      </c>
      <c r="D8114" t="s">
        <v>5</v>
      </c>
      <c r="F8114" t="str" cm="1">
        <f t="array" ref="F8114">CategorizeComment(E8114)</f>
        <v>Other</v>
      </c>
      <c r="G8114" t="str" cm="1">
        <f t="array" ref="G8114">SubCategorizeComment(E8114)</f>
        <v>Other</v>
      </c>
    </row>
    <row r="8115" spans="1:7" x14ac:dyDescent="0.25">
      <c r="A8115">
        <v>72672</v>
      </c>
      <c r="B8115" t="s">
        <v>4</v>
      </c>
      <c r="C8115">
        <v>4</v>
      </c>
      <c r="D8115" t="s">
        <v>5</v>
      </c>
      <c r="F8115" t="str" cm="1">
        <f t="array" ref="F8115">CategorizeComment(E8115)</f>
        <v>Other</v>
      </c>
      <c r="G8115" t="str" cm="1">
        <f t="array" ref="G8115">SubCategorizeComment(E8115)</f>
        <v>Other</v>
      </c>
    </row>
    <row r="8116" spans="1:7" x14ac:dyDescent="0.25">
      <c r="A8116">
        <v>72691</v>
      </c>
      <c r="B8116" t="s">
        <v>4</v>
      </c>
      <c r="C8116">
        <v>4</v>
      </c>
      <c r="D8116" t="s">
        <v>5</v>
      </c>
      <c r="F8116" t="str" cm="1">
        <f t="array" ref="F8116">CategorizeComment(E8116)</f>
        <v>Other</v>
      </c>
      <c r="G8116" t="str" cm="1">
        <f t="array" ref="G8116">SubCategorizeComment(E8116)</f>
        <v>Other</v>
      </c>
    </row>
    <row r="8117" spans="1:7" x14ac:dyDescent="0.25">
      <c r="A8117">
        <v>72730</v>
      </c>
      <c r="B8117" t="s">
        <v>4</v>
      </c>
      <c r="C8117">
        <v>3</v>
      </c>
      <c r="D8117" t="s">
        <v>5</v>
      </c>
      <c r="F8117" t="str" cm="1">
        <f t="array" ref="F8117">CategorizeComment(E8117)</f>
        <v>Other</v>
      </c>
      <c r="G8117" t="str" cm="1">
        <f t="array" ref="G8117">SubCategorizeComment(E8117)</f>
        <v>Other</v>
      </c>
    </row>
    <row r="8118" spans="1:7" x14ac:dyDescent="0.25">
      <c r="A8118">
        <v>72746</v>
      </c>
      <c r="B8118" t="s">
        <v>4</v>
      </c>
      <c r="C8118">
        <v>4</v>
      </c>
      <c r="D8118" t="s">
        <v>5</v>
      </c>
      <c r="F8118" t="str" cm="1">
        <f t="array" ref="F8118">CategorizeComment(E8118)</f>
        <v>Other</v>
      </c>
      <c r="G8118" t="str" cm="1">
        <f t="array" ref="G8118">SubCategorizeComment(E8118)</f>
        <v>Other</v>
      </c>
    </row>
    <row r="8119" spans="1:7" x14ac:dyDescent="0.25">
      <c r="A8119">
        <v>72752</v>
      </c>
      <c r="B8119" t="s">
        <v>4</v>
      </c>
      <c r="C8119">
        <v>3</v>
      </c>
      <c r="D8119" t="s">
        <v>5</v>
      </c>
      <c r="F8119" t="str" cm="1">
        <f t="array" ref="F8119">CategorizeComment(E8119)</f>
        <v>Other</v>
      </c>
      <c r="G8119" t="str" cm="1">
        <f t="array" ref="G8119">SubCategorizeComment(E8119)</f>
        <v>Other</v>
      </c>
    </row>
    <row r="8120" spans="1:7" x14ac:dyDescent="0.25">
      <c r="A8120">
        <v>72778</v>
      </c>
      <c r="B8120" t="s">
        <v>4</v>
      </c>
      <c r="C8120">
        <v>3</v>
      </c>
      <c r="D8120" t="s">
        <v>5</v>
      </c>
      <c r="F8120" t="str" cm="1">
        <f t="array" ref="F8120">CategorizeComment(E8120)</f>
        <v>Other</v>
      </c>
      <c r="G8120" t="str" cm="1">
        <f t="array" ref="G8120">SubCategorizeComment(E8120)</f>
        <v>Other</v>
      </c>
    </row>
    <row r="8121" spans="1:7" x14ac:dyDescent="0.25">
      <c r="A8121">
        <v>72784</v>
      </c>
      <c r="B8121" t="s">
        <v>4</v>
      </c>
      <c r="C8121">
        <v>2</v>
      </c>
      <c r="D8121" t="s">
        <v>5</v>
      </c>
      <c r="F8121" t="str" cm="1">
        <f t="array" ref="F8121">CategorizeComment(E8121)</f>
        <v>Other</v>
      </c>
      <c r="G8121" t="str" cm="1">
        <f t="array" ref="G8121">SubCategorizeComment(E8121)</f>
        <v>Other</v>
      </c>
    </row>
    <row r="8122" spans="1:7" x14ac:dyDescent="0.25">
      <c r="A8122">
        <v>72788</v>
      </c>
      <c r="B8122" t="s">
        <v>4</v>
      </c>
      <c r="C8122">
        <v>3</v>
      </c>
      <c r="D8122" t="s">
        <v>5</v>
      </c>
      <c r="F8122" t="str" cm="1">
        <f t="array" ref="F8122">CategorizeComment(E8122)</f>
        <v>Other</v>
      </c>
      <c r="G8122" t="str" cm="1">
        <f t="array" ref="G8122">SubCategorizeComment(E8122)</f>
        <v>Other</v>
      </c>
    </row>
    <row r="8123" spans="1:7" x14ac:dyDescent="0.25">
      <c r="A8123">
        <v>72806</v>
      </c>
      <c r="B8123" t="s">
        <v>4</v>
      </c>
      <c r="C8123">
        <v>4</v>
      </c>
      <c r="D8123" t="s">
        <v>5</v>
      </c>
      <c r="F8123" t="str" cm="1">
        <f t="array" ref="F8123">CategorizeComment(E8123)</f>
        <v>Other</v>
      </c>
      <c r="G8123" t="str" cm="1">
        <f t="array" ref="G8123">SubCategorizeComment(E8123)</f>
        <v>Other</v>
      </c>
    </row>
    <row r="8124" spans="1:7" x14ac:dyDescent="0.25">
      <c r="A8124">
        <v>72813</v>
      </c>
      <c r="B8124" t="s">
        <v>4</v>
      </c>
      <c r="C8124">
        <v>0</v>
      </c>
      <c r="D8124" t="s">
        <v>5</v>
      </c>
      <c r="F8124" t="str" cm="1">
        <f t="array" ref="F8124">CategorizeComment(E8124)</f>
        <v>Other</v>
      </c>
      <c r="G8124" t="str" cm="1">
        <f t="array" ref="G8124">SubCategorizeComment(E8124)</f>
        <v>Other</v>
      </c>
    </row>
    <row r="8125" spans="1:7" x14ac:dyDescent="0.25">
      <c r="A8125">
        <v>72817</v>
      </c>
      <c r="B8125" t="s">
        <v>4</v>
      </c>
      <c r="C8125">
        <v>3</v>
      </c>
      <c r="D8125" t="s">
        <v>5</v>
      </c>
      <c r="F8125" t="str" cm="1">
        <f t="array" ref="F8125">CategorizeComment(E8125)</f>
        <v>Other</v>
      </c>
      <c r="G8125" t="str" cm="1">
        <f t="array" ref="G8125">SubCategorizeComment(E8125)</f>
        <v>Other</v>
      </c>
    </row>
    <row r="8126" spans="1:7" x14ac:dyDescent="0.25">
      <c r="A8126">
        <v>72819</v>
      </c>
      <c r="B8126" t="s">
        <v>4</v>
      </c>
      <c r="C8126">
        <v>3</v>
      </c>
      <c r="D8126" t="s">
        <v>5</v>
      </c>
      <c r="F8126" t="str" cm="1">
        <f t="array" ref="F8126">CategorizeComment(E8126)</f>
        <v>Other</v>
      </c>
      <c r="G8126" t="str" cm="1">
        <f t="array" ref="G8126">SubCategorizeComment(E8126)</f>
        <v>Other</v>
      </c>
    </row>
    <row r="8127" spans="1:7" x14ac:dyDescent="0.25">
      <c r="A8127">
        <v>72822</v>
      </c>
      <c r="B8127" t="s">
        <v>4</v>
      </c>
      <c r="C8127">
        <v>3</v>
      </c>
      <c r="D8127" t="s">
        <v>5</v>
      </c>
      <c r="F8127" t="str" cm="1">
        <f t="array" ref="F8127">CategorizeComment(E8127)</f>
        <v>Other</v>
      </c>
      <c r="G8127" t="str" cm="1">
        <f t="array" ref="G8127">SubCategorizeComment(E8127)</f>
        <v>Other</v>
      </c>
    </row>
    <row r="8128" spans="1:7" x14ac:dyDescent="0.25">
      <c r="A8128">
        <v>72826</v>
      </c>
      <c r="B8128" t="s">
        <v>4</v>
      </c>
      <c r="C8128">
        <v>4</v>
      </c>
      <c r="D8128" t="s">
        <v>5</v>
      </c>
      <c r="F8128" t="str" cm="1">
        <f t="array" ref="F8128">CategorizeComment(E8128)</f>
        <v>Other</v>
      </c>
      <c r="G8128" t="str" cm="1">
        <f t="array" ref="G8128">SubCategorizeComment(E8128)</f>
        <v>Other</v>
      </c>
    </row>
    <row r="8129" spans="1:7" x14ac:dyDescent="0.25">
      <c r="A8129">
        <v>72836</v>
      </c>
      <c r="B8129" t="s">
        <v>4</v>
      </c>
      <c r="C8129">
        <v>3</v>
      </c>
      <c r="D8129" t="s">
        <v>5</v>
      </c>
      <c r="F8129" t="str" cm="1">
        <f t="array" ref="F8129">CategorizeComment(E8129)</f>
        <v>Other</v>
      </c>
      <c r="G8129" t="str" cm="1">
        <f t="array" ref="G8129">SubCategorizeComment(E8129)</f>
        <v>Other</v>
      </c>
    </row>
    <row r="8130" spans="1:7" x14ac:dyDescent="0.25">
      <c r="A8130">
        <v>72837</v>
      </c>
      <c r="B8130" t="s">
        <v>4</v>
      </c>
      <c r="C8130">
        <v>3</v>
      </c>
      <c r="D8130" t="s">
        <v>5</v>
      </c>
      <c r="F8130" t="str" cm="1">
        <f t="array" ref="F8130">CategorizeComment(E8130)</f>
        <v>Other</v>
      </c>
      <c r="G8130" t="str" cm="1">
        <f t="array" ref="G8130">SubCategorizeComment(E8130)</f>
        <v>Other</v>
      </c>
    </row>
    <row r="8131" spans="1:7" x14ac:dyDescent="0.25">
      <c r="A8131">
        <v>72838</v>
      </c>
      <c r="B8131" t="s">
        <v>4</v>
      </c>
      <c r="C8131">
        <v>3</v>
      </c>
      <c r="D8131" t="s">
        <v>5</v>
      </c>
      <c r="F8131" t="str" cm="1">
        <f t="array" ref="F8131">CategorizeComment(E8131)</f>
        <v>Other</v>
      </c>
      <c r="G8131" t="str" cm="1">
        <f t="array" ref="G8131">SubCategorizeComment(E8131)</f>
        <v>Other</v>
      </c>
    </row>
    <row r="8132" spans="1:7" x14ac:dyDescent="0.25">
      <c r="A8132">
        <v>72842</v>
      </c>
      <c r="B8132" t="s">
        <v>4</v>
      </c>
      <c r="C8132">
        <v>3</v>
      </c>
      <c r="D8132" t="s">
        <v>5</v>
      </c>
      <c r="F8132" t="str" cm="1">
        <f t="array" ref="F8132">CategorizeComment(E8132)</f>
        <v>Other</v>
      </c>
      <c r="G8132" t="str" cm="1">
        <f t="array" ref="G8132">SubCategorizeComment(E8132)</f>
        <v>Other</v>
      </c>
    </row>
    <row r="8133" spans="1:7" x14ac:dyDescent="0.25">
      <c r="A8133">
        <v>72853</v>
      </c>
      <c r="B8133" t="s">
        <v>4</v>
      </c>
      <c r="C8133">
        <v>4</v>
      </c>
      <c r="D8133" t="s">
        <v>5</v>
      </c>
      <c r="F8133" t="str" cm="1">
        <f t="array" ref="F8133">CategorizeComment(E8133)</f>
        <v>Other</v>
      </c>
      <c r="G8133" t="str" cm="1">
        <f t="array" ref="G8133">SubCategorizeComment(E8133)</f>
        <v>Other</v>
      </c>
    </row>
    <row r="8134" spans="1:7" x14ac:dyDescent="0.25">
      <c r="A8134">
        <v>72855</v>
      </c>
      <c r="B8134" t="s">
        <v>4</v>
      </c>
      <c r="C8134">
        <v>3</v>
      </c>
      <c r="D8134" t="s">
        <v>5</v>
      </c>
      <c r="F8134" t="str" cm="1">
        <f t="array" ref="F8134">CategorizeComment(E8134)</f>
        <v>Other</v>
      </c>
      <c r="G8134" t="str" cm="1">
        <f t="array" ref="G8134">SubCategorizeComment(E8134)</f>
        <v>Other</v>
      </c>
    </row>
    <row r="8135" spans="1:7" x14ac:dyDescent="0.25">
      <c r="A8135">
        <v>72865</v>
      </c>
      <c r="B8135" t="s">
        <v>4</v>
      </c>
      <c r="C8135">
        <v>3</v>
      </c>
      <c r="D8135" t="s">
        <v>5</v>
      </c>
      <c r="F8135" t="str" cm="1">
        <f t="array" ref="F8135">CategorizeComment(E8135)</f>
        <v>Other</v>
      </c>
      <c r="G8135" t="str" cm="1">
        <f t="array" ref="G8135">SubCategorizeComment(E8135)</f>
        <v>Other</v>
      </c>
    </row>
    <row r="8136" spans="1:7" x14ac:dyDescent="0.25">
      <c r="A8136">
        <v>72889</v>
      </c>
      <c r="B8136" t="s">
        <v>4</v>
      </c>
      <c r="C8136">
        <v>4</v>
      </c>
      <c r="D8136" t="s">
        <v>5</v>
      </c>
      <c r="F8136" t="str" cm="1">
        <f t="array" ref="F8136">CategorizeComment(E8136)</f>
        <v>Other</v>
      </c>
      <c r="G8136" t="str" cm="1">
        <f t="array" ref="G8136">SubCategorizeComment(E8136)</f>
        <v>Other</v>
      </c>
    </row>
    <row r="8137" spans="1:7" x14ac:dyDescent="0.25">
      <c r="A8137">
        <v>72946</v>
      </c>
      <c r="B8137" t="s">
        <v>4</v>
      </c>
      <c r="C8137">
        <v>4</v>
      </c>
      <c r="D8137" t="s">
        <v>5</v>
      </c>
      <c r="F8137" t="str" cm="1">
        <f t="array" ref="F8137">CategorizeComment(E8137)</f>
        <v>Other</v>
      </c>
      <c r="G8137" t="str" cm="1">
        <f t="array" ref="G8137">SubCategorizeComment(E8137)</f>
        <v>Other</v>
      </c>
    </row>
    <row r="8138" spans="1:7" x14ac:dyDescent="0.25">
      <c r="A8138">
        <v>72955</v>
      </c>
      <c r="B8138" t="s">
        <v>4</v>
      </c>
      <c r="C8138">
        <v>3</v>
      </c>
      <c r="D8138" t="s">
        <v>5</v>
      </c>
      <c r="F8138" t="str" cm="1">
        <f t="array" ref="F8138">CategorizeComment(E8138)</f>
        <v>Other</v>
      </c>
      <c r="G8138" t="str" cm="1">
        <f t="array" ref="G8138">SubCategorizeComment(E8138)</f>
        <v>Other</v>
      </c>
    </row>
    <row r="8139" spans="1:7" x14ac:dyDescent="0.25">
      <c r="A8139">
        <v>72959</v>
      </c>
      <c r="B8139" t="s">
        <v>4</v>
      </c>
      <c r="C8139">
        <v>3</v>
      </c>
      <c r="D8139" t="s">
        <v>5</v>
      </c>
      <c r="F8139" t="str" cm="1">
        <f t="array" ref="F8139">CategorizeComment(E8139)</f>
        <v>Other</v>
      </c>
      <c r="G8139" t="str" cm="1">
        <f t="array" ref="G8139">SubCategorizeComment(E8139)</f>
        <v>Other</v>
      </c>
    </row>
    <row r="8140" spans="1:7" x14ac:dyDescent="0.25">
      <c r="A8140">
        <v>72971</v>
      </c>
      <c r="B8140" t="s">
        <v>4</v>
      </c>
      <c r="C8140">
        <v>3</v>
      </c>
      <c r="D8140" t="s">
        <v>5</v>
      </c>
      <c r="F8140" t="str" cm="1">
        <f t="array" ref="F8140">CategorizeComment(E8140)</f>
        <v>Other</v>
      </c>
      <c r="G8140" t="str" cm="1">
        <f t="array" ref="G8140">SubCategorizeComment(E8140)</f>
        <v>Other</v>
      </c>
    </row>
    <row r="8141" spans="1:7" x14ac:dyDescent="0.25">
      <c r="A8141">
        <v>72973</v>
      </c>
      <c r="B8141" t="s">
        <v>4</v>
      </c>
      <c r="C8141">
        <v>4</v>
      </c>
      <c r="D8141" t="s">
        <v>5</v>
      </c>
      <c r="F8141" t="str" cm="1">
        <f t="array" ref="F8141">CategorizeComment(E8141)</f>
        <v>Other</v>
      </c>
      <c r="G8141" t="str" cm="1">
        <f t="array" ref="G8141">SubCategorizeComment(E8141)</f>
        <v>Other</v>
      </c>
    </row>
    <row r="8142" spans="1:7" x14ac:dyDescent="0.25">
      <c r="A8142">
        <v>72975</v>
      </c>
      <c r="B8142" t="s">
        <v>4</v>
      </c>
      <c r="C8142">
        <v>3</v>
      </c>
      <c r="D8142" t="s">
        <v>5</v>
      </c>
      <c r="F8142" t="str" cm="1">
        <f t="array" ref="F8142">CategorizeComment(E8142)</f>
        <v>Other</v>
      </c>
      <c r="G8142" t="str" cm="1">
        <f t="array" ref="G8142">SubCategorizeComment(E8142)</f>
        <v>Other</v>
      </c>
    </row>
    <row r="8143" spans="1:7" x14ac:dyDescent="0.25">
      <c r="A8143">
        <v>72988</v>
      </c>
      <c r="B8143" t="s">
        <v>4</v>
      </c>
      <c r="C8143">
        <v>3</v>
      </c>
      <c r="D8143" t="s">
        <v>5</v>
      </c>
      <c r="F8143" t="str" cm="1">
        <f t="array" ref="F8143">CategorizeComment(E8143)</f>
        <v>Other</v>
      </c>
      <c r="G8143" t="str" cm="1">
        <f t="array" ref="G8143">SubCategorizeComment(E8143)</f>
        <v>Other</v>
      </c>
    </row>
    <row r="8144" spans="1:7" x14ac:dyDescent="0.25">
      <c r="A8144">
        <v>72992</v>
      </c>
      <c r="B8144" t="s">
        <v>4</v>
      </c>
      <c r="C8144">
        <v>4</v>
      </c>
      <c r="D8144" t="s">
        <v>5</v>
      </c>
      <c r="F8144" t="str" cm="1">
        <f t="array" ref="F8144">CategorizeComment(E8144)</f>
        <v>Other</v>
      </c>
      <c r="G8144" t="str" cm="1">
        <f t="array" ref="G8144">SubCategorizeComment(E8144)</f>
        <v>Other</v>
      </c>
    </row>
    <row r="8145" spans="1:7" x14ac:dyDescent="0.25">
      <c r="A8145">
        <v>73002</v>
      </c>
      <c r="B8145" t="s">
        <v>4</v>
      </c>
      <c r="C8145">
        <v>3</v>
      </c>
      <c r="D8145" t="s">
        <v>5</v>
      </c>
      <c r="F8145" t="str" cm="1">
        <f t="array" ref="F8145">CategorizeComment(E8145)</f>
        <v>Other</v>
      </c>
      <c r="G8145" t="str" cm="1">
        <f t="array" ref="G8145">SubCategorizeComment(E8145)</f>
        <v>Other</v>
      </c>
    </row>
    <row r="8146" spans="1:7" x14ac:dyDescent="0.25">
      <c r="A8146">
        <v>73017</v>
      </c>
      <c r="B8146" t="s">
        <v>4</v>
      </c>
      <c r="C8146">
        <v>4</v>
      </c>
      <c r="D8146" t="s">
        <v>5</v>
      </c>
      <c r="F8146" t="str" cm="1">
        <f t="array" ref="F8146">CategorizeComment(E8146)</f>
        <v>Other</v>
      </c>
      <c r="G8146" t="str" cm="1">
        <f t="array" ref="G8146">SubCategorizeComment(E8146)</f>
        <v>Other</v>
      </c>
    </row>
    <row r="8147" spans="1:7" x14ac:dyDescent="0.25">
      <c r="A8147">
        <v>73019</v>
      </c>
      <c r="B8147" t="s">
        <v>4</v>
      </c>
      <c r="C8147">
        <v>4</v>
      </c>
      <c r="D8147" t="s">
        <v>5</v>
      </c>
      <c r="F8147" t="str" cm="1">
        <f t="array" ref="F8147">CategorizeComment(E8147)</f>
        <v>Other</v>
      </c>
      <c r="G8147" t="str" cm="1">
        <f t="array" ref="G8147">SubCategorizeComment(E8147)</f>
        <v>Other</v>
      </c>
    </row>
    <row r="8148" spans="1:7" x14ac:dyDescent="0.25">
      <c r="A8148">
        <v>73021</v>
      </c>
      <c r="B8148" t="s">
        <v>4</v>
      </c>
      <c r="C8148">
        <v>4</v>
      </c>
      <c r="D8148" t="s">
        <v>5</v>
      </c>
      <c r="F8148" t="str" cm="1">
        <f t="array" ref="F8148">CategorizeComment(E8148)</f>
        <v>Other</v>
      </c>
      <c r="G8148" t="str" cm="1">
        <f t="array" ref="G8148">SubCategorizeComment(E8148)</f>
        <v>Other</v>
      </c>
    </row>
    <row r="8149" spans="1:7" x14ac:dyDescent="0.25">
      <c r="A8149">
        <v>73040</v>
      </c>
      <c r="B8149" t="s">
        <v>4</v>
      </c>
      <c r="C8149">
        <v>3</v>
      </c>
      <c r="D8149" t="s">
        <v>5</v>
      </c>
      <c r="F8149" t="str" cm="1">
        <f t="array" ref="F8149">CategorizeComment(E8149)</f>
        <v>Other</v>
      </c>
      <c r="G8149" t="str" cm="1">
        <f t="array" ref="G8149">SubCategorizeComment(E8149)</f>
        <v>Other</v>
      </c>
    </row>
    <row r="8150" spans="1:7" x14ac:dyDescent="0.25">
      <c r="A8150">
        <v>73041</v>
      </c>
      <c r="B8150" t="s">
        <v>4</v>
      </c>
      <c r="C8150">
        <v>3</v>
      </c>
      <c r="D8150" t="s">
        <v>5</v>
      </c>
      <c r="F8150" t="str" cm="1">
        <f t="array" ref="F8150">CategorizeComment(E8150)</f>
        <v>Other</v>
      </c>
      <c r="G8150" t="str" cm="1">
        <f t="array" ref="G8150">SubCategorizeComment(E8150)</f>
        <v>Other</v>
      </c>
    </row>
    <row r="8151" spans="1:7" x14ac:dyDescent="0.25">
      <c r="A8151">
        <v>73056</v>
      </c>
      <c r="B8151" t="s">
        <v>4</v>
      </c>
      <c r="C8151">
        <v>3</v>
      </c>
      <c r="D8151" t="s">
        <v>5</v>
      </c>
      <c r="F8151" t="str" cm="1">
        <f t="array" ref="F8151">CategorizeComment(E8151)</f>
        <v>Other</v>
      </c>
      <c r="G8151" t="str" cm="1">
        <f t="array" ref="G8151">SubCategorizeComment(E8151)</f>
        <v>Other</v>
      </c>
    </row>
    <row r="8152" spans="1:7" x14ac:dyDescent="0.25">
      <c r="A8152">
        <v>73062</v>
      </c>
      <c r="B8152" t="s">
        <v>4</v>
      </c>
      <c r="C8152">
        <v>4</v>
      </c>
      <c r="D8152" t="s">
        <v>5</v>
      </c>
      <c r="F8152" t="str" cm="1">
        <f t="array" ref="F8152">CategorizeComment(E8152)</f>
        <v>Other</v>
      </c>
      <c r="G8152" t="str" cm="1">
        <f t="array" ref="G8152">SubCategorizeComment(E8152)</f>
        <v>Other</v>
      </c>
    </row>
    <row r="8153" spans="1:7" x14ac:dyDescent="0.25">
      <c r="A8153">
        <v>73066</v>
      </c>
      <c r="B8153" t="s">
        <v>4</v>
      </c>
      <c r="C8153">
        <v>3</v>
      </c>
      <c r="D8153" t="s">
        <v>5</v>
      </c>
      <c r="F8153" t="str" cm="1">
        <f t="array" ref="F8153">CategorizeComment(E8153)</f>
        <v>Other</v>
      </c>
      <c r="G8153" t="str" cm="1">
        <f t="array" ref="G8153">SubCategorizeComment(E8153)</f>
        <v>Other</v>
      </c>
    </row>
    <row r="8154" spans="1:7" x14ac:dyDescent="0.25">
      <c r="A8154">
        <v>73078</v>
      </c>
      <c r="B8154" t="s">
        <v>4</v>
      </c>
      <c r="C8154">
        <v>3</v>
      </c>
      <c r="D8154" t="s">
        <v>5</v>
      </c>
      <c r="F8154" t="str" cm="1">
        <f t="array" ref="F8154">CategorizeComment(E8154)</f>
        <v>Other</v>
      </c>
      <c r="G8154" t="str" cm="1">
        <f t="array" ref="G8154">SubCategorizeComment(E8154)</f>
        <v>Other</v>
      </c>
    </row>
    <row r="8155" spans="1:7" x14ac:dyDescent="0.25">
      <c r="A8155">
        <v>73086</v>
      </c>
      <c r="B8155" t="s">
        <v>4</v>
      </c>
      <c r="C8155">
        <v>4</v>
      </c>
      <c r="D8155" t="s">
        <v>5</v>
      </c>
      <c r="F8155" t="str" cm="1">
        <f t="array" ref="F8155">CategorizeComment(E8155)</f>
        <v>Other</v>
      </c>
      <c r="G8155" t="str" cm="1">
        <f t="array" ref="G8155">SubCategorizeComment(E8155)</f>
        <v>Other</v>
      </c>
    </row>
    <row r="8156" spans="1:7" x14ac:dyDescent="0.25">
      <c r="A8156">
        <v>73090</v>
      </c>
      <c r="B8156" t="s">
        <v>4</v>
      </c>
      <c r="C8156">
        <v>3</v>
      </c>
      <c r="D8156" t="s">
        <v>5</v>
      </c>
      <c r="F8156" t="str" cm="1">
        <f t="array" ref="F8156">CategorizeComment(E8156)</f>
        <v>Other</v>
      </c>
      <c r="G8156" t="str" cm="1">
        <f t="array" ref="G8156">SubCategorizeComment(E8156)</f>
        <v>Other</v>
      </c>
    </row>
    <row r="8157" spans="1:7" x14ac:dyDescent="0.25">
      <c r="A8157">
        <v>73109</v>
      </c>
      <c r="B8157" t="s">
        <v>4</v>
      </c>
      <c r="C8157">
        <v>3</v>
      </c>
      <c r="D8157" t="s">
        <v>5</v>
      </c>
      <c r="F8157" t="str" cm="1">
        <f t="array" ref="F8157">CategorizeComment(E8157)</f>
        <v>Other</v>
      </c>
      <c r="G8157" t="str" cm="1">
        <f t="array" ref="G8157">SubCategorizeComment(E8157)</f>
        <v>Other</v>
      </c>
    </row>
    <row r="8158" spans="1:7" x14ac:dyDescent="0.25">
      <c r="A8158">
        <v>73113</v>
      </c>
      <c r="B8158" t="s">
        <v>4</v>
      </c>
      <c r="C8158">
        <v>4</v>
      </c>
      <c r="D8158" t="s">
        <v>5</v>
      </c>
      <c r="F8158" t="str" cm="1">
        <f t="array" ref="F8158">CategorizeComment(E8158)</f>
        <v>Other</v>
      </c>
      <c r="G8158" t="str" cm="1">
        <f t="array" ref="G8158">SubCategorizeComment(E8158)</f>
        <v>Other</v>
      </c>
    </row>
    <row r="8159" spans="1:7" x14ac:dyDescent="0.25">
      <c r="A8159">
        <v>73119</v>
      </c>
      <c r="B8159" t="s">
        <v>4</v>
      </c>
      <c r="C8159">
        <v>4</v>
      </c>
      <c r="D8159" t="s">
        <v>5</v>
      </c>
      <c r="F8159" t="str" cm="1">
        <f t="array" ref="F8159">CategorizeComment(E8159)</f>
        <v>Other</v>
      </c>
      <c r="G8159" t="str" cm="1">
        <f t="array" ref="G8159">SubCategorizeComment(E8159)</f>
        <v>Other</v>
      </c>
    </row>
    <row r="8160" spans="1:7" x14ac:dyDescent="0.25">
      <c r="A8160">
        <v>73124</v>
      </c>
      <c r="B8160" t="s">
        <v>4</v>
      </c>
      <c r="C8160">
        <v>4</v>
      </c>
      <c r="D8160" t="s">
        <v>5</v>
      </c>
      <c r="F8160" t="str" cm="1">
        <f t="array" ref="F8160">CategorizeComment(E8160)</f>
        <v>Other</v>
      </c>
      <c r="G8160" t="str" cm="1">
        <f t="array" ref="G8160">SubCategorizeComment(E8160)</f>
        <v>Other</v>
      </c>
    </row>
    <row r="8161" spans="1:7" x14ac:dyDescent="0.25">
      <c r="A8161">
        <v>73125</v>
      </c>
      <c r="B8161" t="s">
        <v>4</v>
      </c>
      <c r="C8161">
        <v>4</v>
      </c>
      <c r="D8161" t="s">
        <v>5</v>
      </c>
      <c r="F8161" t="str" cm="1">
        <f t="array" ref="F8161">CategorizeComment(E8161)</f>
        <v>Other</v>
      </c>
      <c r="G8161" t="str" cm="1">
        <f t="array" ref="G8161">SubCategorizeComment(E8161)</f>
        <v>Other</v>
      </c>
    </row>
    <row r="8162" spans="1:7" x14ac:dyDescent="0.25">
      <c r="A8162">
        <v>73134</v>
      </c>
      <c r="B8162" t="s">
        <v>4</v>
      </c>
      <c r="C8162">
        <v>4</v>
      </c>
      <c r="D8162" t="s">
        <v>5</v>
      </c>
      <c r="F8162" t="str" cm="1">
        <f t="array" ref="F8162">CategorizeComment(E8162)</f>
        <v>Other</v>
      </c>
      <c r="G8162" t="str" cm="1">
        <f t="array" ref="G8162">SubCategorizeComment(E8162)</f>
        <v>Other</v>
      </c>
    </row>
    <row r="8163" spans="1:7" x14ac:dyDescent="0.25">
      <c r="A8163">
        <v>73143</v>
      </c>
      <c r="B8163" t="s">
        <v>4</v>
      </c>
      <c r="C8163">
        <v>4</v>
      </c>
      <c r="D8163" t="s">
        <v>5</v>
      </c>
      <c r="F8163" t="str" cm="1">
        <f t="array" ref="F8163">CategorizeComment(E8163)</f>
        <v>Other</v>
      </c>
      <c r="G8163" t="str" cm="1">
        <f t="array" ref="G8163">SubCategorizeComment(E8163)</f>
        <v>Other</v>
      </c>
    </row>
    <row r="8164" spans="1:7" x14ac:dyDescent="0.25">
      <c r="A8164">
        <v>73150</v>
      </c>
      <c r="B8164" t="s">
        <v>4</v>
      </c>
      <c r="C8164">
        <v>4</v>
      </c>
      <c r="D8164" t="s">
        <v>5</v>
      </c>
      <c r="F8164" t="str" cm="1">
        <f t="array" ref="F8164">CategorizeComment(E8164)</f>
        <v>Other</v>
      </c>
      <c r="G8164" t="str" cm="1">
        <f t="array" ref="G8164">SubCategorizeComment(E8164)</f>
        <v>Other</v>
      </c>
    </row>
    <row r="8165" spans="1:7" x14ac:dyDescent="0.25">
      <c r="A8165">
        <v>73160</v>
      </c>
      <c r="B8165" t="s">
        <v>4</v>
      </c>
      <c r="C8165">
        <v>3</v>
      </c>
      <c r="D8165" t="s">
        <v>5</v>
      </c>
      <c r="F8165" t="str" cm="1">
        <f t="array" ref="F8165">CategorizeComment(E8165)</f>
        <v>Other</v>
      </c>
      <c r="G8165" t="str" cm="1">
        <f t="array" ref="G8165">SubCategorizeComment(E8165)</f>
        <v>Other</v>
      </c>
    </row>
    <row r="8166" spans="1:7" x14ac:dyDescent="0.25">
      <c r="A8166">
        <v>73184</v>
      </c>
      <c r="B8166" t="s">
        <v>4</v>
      </c>
      <c r="C8166">
        <v>4</v>
      </c>
      <c r="D8166" t="s">
        <v>5</v>
      </c>
      <c r="F8166" t="str" cm="1">
        <f t="array" ref="F8166">CategorizeComment(E8166)</f>
        <v>Other</v>
      </c>
      <c r="G8166" t="str" cm="1">
        <f t="array" ref="G8166">SubCategorizeComment(E8166)</f>
        <v>Other</v>
      </c>
    </row>
    <row r="8167" spans="1:7" x14ac:dyDescent="0.25">
      <c r="A8167">
        <v>73188</v>
      </c>
      <c r="B8167" t="s">
        <v>4</v>
      </c>
      <c r="C8167">
        <v>3</v>
      </c>
      <c r="D8167" t="s">
        <v>5</v>
      </c>
      <c r="F8167" t="str" cm="1">
        <f t="array" ref="F8167">CategorizeComment(E8167)</f>
        <v>Other</v>
      </c>
      <c r="G8167" t="str" cm="1">
        <f t="array" ref="G8167">SubCategorizeComment(E8167)</f>
        <v>Other</v>
      </c>
    </row>
    <row r="8168" spans="1:7" x14ac:dyDescent="0.25">
      <c r="A8168">
        <v>73197</v>
      </c>
      <c r="B8168" t="s">
        <v>4</v>
      </c>
      <c r="C8168">
        <v>4</v>
      </c>
      <c r="D8168" t="s">
        <v>5</v>
      </c>
      <c r="F8168" t="str" cm="1">
        <f t="array" ref="F8168">CategorizeComment(E8168)</f>
        <v>Other</v>
      </c>
      <c r="G8168" t="str" cm="1">
        <f t="array" ref="G8168">SubCategorizeComment(E8168)</f>
        <v>Other</v>
      </c>
    </row>
    <row r="8169" spans="1:7" x14ac:dyDescent="0.25">
      <c r="A8169">
        <v>73199</v>
      </c>
      <c r="B8169" t="s">
        <v>4</v>
      </c>
      <c r="C8169">
        <v>3</v>
      </c>
      <c r="D8169" t="s">
        <v>5</v>
      </c>
      <c r="F8169" t="str" cm="1">
        <f t="array" ref="F8169">CategorizeComment(E8169)</f>
        <v>Other</v>
      </c>
      <c r="G8169" t="str" cm="1">
        <f t="array" ref="G8169">SubCategorizeComment(E8169)</f>
        <v>Other</v>
      </c>
    </row>
    <row r="8170" spans="1:7" x14ac:dyDescent="0.25">
      <c r="A8170">
        <v>73201</v>
      </c>
      <c r="B8170" t="s">
        <v>4</v>
      </c>
      <c r="C8170">
        <v>3</v>
      </c>
      <c r="D8170" t="s">
        <v>5</v>
      </c>
      <c r="F8170" t="str" cm="1">
        <f t="array" ref="F8170">CategorizeComment(E8170)</f>
        <v>Other</v>
      </c>
      <c r="G8170" t="str" cm="1">
        <f t="array" ref="G8170">SubCategorizeComment(E8170)</f>
        <v>Other</v>
      </c>
    </row>
    <row r="8171" spans="1:7" x14ac:dyDescent="0.25">
      <c r="A8171">
        <v>73222</v>
      </c>
      <c r="B8171" t="s">
        <v>4</v>
      </c>
      <c r="C8171">
        <v>3</v>
      </c>
      <c r="D8171" t="s">
        <v>5</v>
      </c>
      <c r="F8171" t="str" cm="1">
        <f t="array" ref="F8171">CategorizeComment(E8171)</f>
        <v>Other</v>
      </c>
      <c r="G8171" t="str" cm="1">
        <f t="array" ref="G8171">SubCategorizeComment(E8171)</f>
        <v>Other</v>
      </c>
    </row>
    <row r="8172" spans="1:7" x14ac:dyDescent="0.25">
      <c r="A8172">
        <v>73227</v>
      </c>
      <c r="B8172" t="s">
        <v>4</v>
      </c>
      <c r="C8172">
        <v>4</v>
      </c>
      <c r="D8172" t="s">
        <v>5</v>
      </c>
      <c r="F8172" t="str" cm="1">
        <f t="array" ref="F8172">CategorizeComment(E8172)</f>
        <v>Other</v>
      </c>
      <c r="G8172" t="str" cm="1">
        <f t="array" ref="G8172">SubCategorizeComment(E8172)</f>
        <v>Other</v>
      </c>
    </row>
    <row r="8173" spans="1:7" x14ac:dyDescent="0.25">
      <c r="A8173">
        <v>73231</v>
      </c>
      <c r="B8173" t="s">
        <v>4</v>
      </c>
      <c r="C8173">
        <v>4</v>
      </c>
      <c r="D8173" t="s">
        <v>5</v>
      </c>
      <c r="F8173" t="str" cm="1">
        <f t="array" ref="F8173">CategorizeComment(E8173)</f>
        <v>Other</v>
      </c>
      <c r="G8173" t="str" cm="1">
        <f t="array" ref="G8173">SubCategorizeComment(E8173)</f>
        <v>Other</v>
      </c>
    </row>
    <row r="8174" spans="1:7" x14ac:dyDescent="0.25">
      <c r="A8174">
        <v>73232</v>
      </c>
      <c r="B8174" t="s">
        <v>4</v>
      </c>
      <c r="C8174">
        <v>4</v>
      </c>
      <c r="D8174" t="s">
        <v>5</v>
      </c>
      <c r="F8174" t="str" cm="1">
        <f t="array" ref="F8174">CategorizeComment(E8174)</f>
        <v>Other</v>
      </c>
      <c r="G8174" t="str" cm="1">
        <f t="array" ref="G8174">SubCategorizeComment(E8174)</f>
        <v>Other</v>
      </c>
    </row>
    <row r="8175" spans="1:7" x14ac:dyDescent="0.25">
      <c r="A8175">
        <v>73234</v>
      </c>
      <c r="B8175" t="s">
        <v>4</v>
      </c>
      <c r="C8175">
        <v>4</v>
      </c>
      <c r="D8175" t="s">
        <v>5</v>
      </c>
      <c r="F8175" t="str" cm="1">
        <f t="array" ref="F8175">CategorizeComment(E8175)</f>
        <v>Other</v>
      </c>
      <c r="G8175" t="str" cm="1">
        <f t="array" ref="G8175">SubCategorizeComment(E8175)</f>
        <v>Other</v>
      </c>
    </row>
    <row r="8176" spans="1:7" x14ac:dyDescent="0.25">
      <c r="A8176">
        <v>73236</v>
      </c>
      <c r="B8176" t="s">
        <v>4</v>
      </c>
      <c r="C8176">
        <v>3</v>
      </c>
      <c r="D8176" t="s">
        <v>5</v>
      </c>
      <c r="F8176" t="str" cm="1">
        <f t="array" ref="F8176">CategorizeComment(E8176)</f>
        <v>Other</v>
      </c>
      <c r="G8176" t="str" cm="1">
        <f t="array" ref="G8176">SubCategorizeComment(E8176)</f>
        <v>Other</v>
      </c>
    </row>
    <row r="8177" spans="1:7" x14ac:dyDescent="0.25">
      <c r="A8177">
        <v>73248</v>
      </c>
      <c r="B8177" t="s">
        <v>4</v>
      </c>
      <c r="C8177">
        <v>4</v>
      </c>
      <c r="D8177" t="s">
        <v>5</v>
      </c>
      <c r="F8177" t="str" cm="1">
        <f t="array" ref="F8177">CategorizeComment(E8177)</f>
        <v>Other</v>
      </c>
      <c r="G8177" t="str" cm="1">
        <f t="array" ref="G8177">SubCategorizeComment(E8177)</f>
        <v>Other</v>
      </c>
    </row>
    <row r="8178" spans="1:7" x14ac:dyDescent="0.25">
      <c r="A8178">
        <v>73253</v>
      </c>
      <c r="B8178" t="s">
        <v>4</v>
      </c>
      <c r="C8178">
        <v>3</v>
      </c>
      <c r="D8178" t="s">
        <v>5</v>
      </c>
      <c r="F8178" t="str" cm="1">
        <f t="array" ref="F8178">CategorizeComment(E8178)</f>
        <v>Other</v>
      </c>
      <c r="G8178" t="str" cm="1">
        <f t="array" ref="G8178">SubCategorizeComment(E8178)</f>
        <v>Other</v>
      </c>
    </row>
    <row r="8179" spans="1:7" x14ac:dyDescent="0.25">
      <c r="A8179">
        <v>73255</v>
      </c>
      <c r="B8179" t="s">
        <v>4</v>
      </c>
      <c r="C8179">
        <v>3</v>
      </c>
      <c r="D8179" t="s">
        <v>5</v>
      </c>
      <c r="F8179" t="str" cm="1">
        <f t="array" ref="F8179">CategorizeComment(E8179)</f>
        <v>Other</v>
      </c>
      <c r="G8179" t="str" cm="1">
        <f t="array" ref="G8179">SubCategorizeComment(E8179)</f>
        <v>Other</v>
      </c>
    </row>
    <row r="8180" spans="1:7" x14ac:dyDescent="0.25">
      <c r="A8180">
        <v>73259</v>
      </c>
      <c r="B8180" t="s">
        <v>4</v>
      </c>
      <c r="C8180">
        <v>4</v>
      </c>
      <c r="D8180" t="s">
        <v>5</v>
      </c>
      <c r="F8180" t="str" cm="1">
        <f t="array" ref="F8180">CategorizeComment(E8180)</f>
        <v>Other</v>
      </c>
      <c r="G8180" t="str" cm="1">
        <f t="array" ref="G8180">SubCategorizeComment(E8180)</f>
        <v>Other</v>
      </c>
    </row>
    <row r="8181" spans="1:7" x14ac:dyDescent="0.25">
      <c r="A8181">
        <v>73276</v>
      </c>
      <c r="B8181" t="s">
        <v>4</v>
      </c>
      <c r="C8181">
        <v>4</v>
      </c>
      <c r="D8181" t="s">
        <v>5</v>
      </c>
      <c r="F8181" t="str" cm="1">
        <f t="array" ref="F8181">CategorizeComment(E8181)</f>
        <v>Other</v>
      </c>
      <c r="G8181" t="str" cm="1">
        <f t="array" ref="G8181">SubCategorizeComment(E8181)</f>
        <v>Other</v>
      </c>
    </row>
    <row r="8182" spans="1:7" x14ac:dyDescent="0.25">
      <c r="A8182">
        <v>73309</v>
      </c>
      <c r="B8182" t="s">
        <v>4</v>
      </c>
      <c r="C8182">
        <v>3</v>
      </c>
      <c r="D8182" t="s">
        <v>5</v>
      </c>
      <c r="F8182" t="str" cm="1">
        <f t="array" ref="F8182">CategorizeComment(E8182)</f>
        <v>Other</v>
      </c>
      <c r="G8182" t="str" cm="1">
        <f t="array" ref="G8182">SubCategorizeComment(E8182)</f>
        <v>Other</v>
      </c>
    </row>
    <row r="8183" spans="1:7" x14ac:dyDescent="0.25">
      <c r="A8183">
        <v>73330</v>
      </c>
      <c r="B8183" t="s">
        <v>4</v>
      </c>
      <c r="C8183">
        <v>3</v>
      </c>
      <c r="D8183" t="s">
        <v>5</v>
      </c>
      <c r="F8183" t="str" cm="1">
        <f t="array" ref="F8183">CategorizeComment(E8183)</f>
        <v>Other</v>
      </c>
      <c r="G8183" t="str" cm="1">
        <f t="array" ref="G8183">SubCategorizeComment(E8183)</f>
        <v>Other</v>
      </c>
    </row>
    <row r="8184" spans="1:7" x14ac:dyDescent="0.25">
      <c r="A8184">
        <v>73349</v>
      </c>
      <c r="B8184" t="s">
        <v>4</v>
      </c>
      <c r="C8184">
        <v>3</v>
      </c>
      <c r="D8184" t="s">
        <v>5</v>
      </c>
      <c r="F8184" t="str" cm="1">
        <f t="array" ref="F8184">CategorizeComment(E8184)</f>
        <v>Other</v>
      </c>
      <c r="G8184" t="str" cm="1">
        <f t="array" ref="G8184">SubCategorizeComment(E8184)</f>
        <v>Other</v>
      </c>
    </row>
    <row r="8185" spans="1:7" x14ac:dyDescent="0.25">
      <c r="A8185">
        <v>73350</v>
      </c>
      <c r="B8185" t="s">
        <v>4</v>
      </c>
      <c r="C8185">
        <v>4</v>
      </c>
      <c r="D8185" t="s">
        <v>5</v>
      </c>
      <c r="F8185" t="str" cm="1">
        <f t="array" ref="F8185">CategorizeComment(E8185)</f>
        <v>Other</v>
      </c>
      <c r="G8185" t="str" cm="1">
        <f t="array" ref="G8185">SubCategorizeComment(E8185)</f>
        <v>Other</v>
      </c>
    </row>
    <row r="8186" spans="1:7" x14ac:dyDescent="0.25">
      <c r="A8186">
        <v>73360</v>
      </c>
      <c r="B8186" t="s">
        <v>4</v>
      </c>
      <c r="C8186">
        <v>3</v>
      </c>
      <c r="D8186" t="s">
        <v>5</v>
      </c>
      <c r="F8186" t="str" cm="1">
        <f t="array" ref="F8186">CategorizeComment(E8186)</f>
        <v>Other</v>
      </c>
      <c r="G8186" t="str" cm="1">
        <f t="array" ref="G8186">SubCategorizeComment(E8186)</f>
        <v>Other</v>
      </c>
    </row>
    <row r="8187" spans="1:7" x14ac:dyDescent="0.25">
      <c r="A8187">
        <v>73364</v>
      </c>
      <c r="B8187" t="s">
        <v>4</v>
      </c>
      <c r="C8187">
        <v>3</v>
      </c>
      <c r="D8187" t="s">
        <v>5</v>
      </c>
      <c r="F8187" t="str" cm="1">
        <f t="array" ref="F8187">CategorizeComment(E8187)</f>
        <v>Other</v>
      </c>
      <c r="G8187" t="str" cm="1">
        <f t="array" ref="G8187">SubCategorizeComment(E8187)</f>
        <v>Other</v>
      </c>
    </row>
    <row r="8188" spans="1:7" x14ac:dyDescent="0.25">
      <c r="A8188">
        <v>73365</v>
      </c>
      <c r="B8188" t="s">
        <v>4</v>
      </c>
      <c r="C8188">
        <v>3</v>
      </c>
      <c r="D8188" t="s">
        <v>5</v>
      </c>
      <c r="F8188" t="str" cm="1">
        <f t="array" ref="F8188">CategorizeComment(E8188)</f>
        <v>Other</v>
      </c>
      <c r="G8188" t="str" cm="1">
        <f t="array" ref="G8188">SubCategorizeComment(E8188)</f>
        <v>Other</v>
      </c>
    </row>
    <row r="8189" spans="1:7" x14ac:dyDescent="0.25">
      <c r="A8189">
        <v>73366</v>
      </c>
      <c r="B8189" t="s">
        <v>4</v>
      </c>
      <c r="C8189">
        <v>4</v>
      </c>
      <c r="D8189" t="s">
        <v>5</v>
      </c>
      <c r="F8189" t="str" cm="1">
        <f t="array" ref="F8189">CategorizeComment(E8189)</f>
        <v>Other</v>
      </c>
      <c r="G8189" t="str" cm="1">
        <f t="array" ref="G8189">SubCategorizeComment(E8189)</f>
        <v>Other</v>
      </c>
    </row>
    <row r="8190" spans="1:7" x14ac:dyDescent="0.25">
      <c r="A8190">
        <v>73372</v>
      </c>
      <c r="B8190" t="s">
        <v>4</v>
      </c>
      <c r="C8190">
        <v>3</v>
      </c>
      <c r="D8190" t="s">
        <v>5</v>
      </c>
      <c r="F8190" t="str" cm="1">
        <f t="array" ref="F8190">CategorizeComment(E8190)</f>
        <v>Other</v>
      </c>
      <c r="G8190" t="str" cm="1">
        <f t="array" ref="G8190">SubCategorizeComment(E8190)</f>
        <v>Other</v>
      </c>
    </row>
    <row r="8191" spans="1:7" x14ac:dyDescent="0.25">
      <c r="A8191">
        <v>73379</v>
      </c>
      <c r="B8191" t="s">
        <v>4</v>
      </c>
      <c r="C8191">
        <v>3</v>
      </c>
      <c r="D8191" t="s">
        <v>5</v>
      </c>
      <c r="F8191" t="str" cm="1">
        <f t="array" ref="F8191">CategorizeComment(E8191)</f>
        <v>Other</v>
      </c>
      <c r="G8191" t="str" cm="1">
        <f t="array" ref="G8191">SubCategorizeComment(E8191)</f>
        <v>Other</v>
      </c>
    </row>
    <row r="8192" spans="1:7" x14ac:dyDescent="0.25">
      <c r="A8192">
        <v>73385</v>
      </c>
      <c r="B8192" t="s">
        <v>4</v>
      </c>
      <c r="C8192">
        <v>3</v>
      </c>
      <c r="D8192" t="s">
        <v>5</v>
      </c>
      <c r="F8192" t="str" cm="1">
        <f t="array" ref="F8192">CategorizeComment(E8192)</f>
        <v>Other</v>
      </c>
      <c r="G8192" t="str" cm="1">
        <f t="array" ref="G8192">SubCategorizeComment(E8192)</f>
        <v>Other</v>
      </c>
    </row>
    <row r="8193" spans="1:7" x14ac:dyDescent="0.25">
      <c r="A8193">
        <v>73390</v>
      </c>
      <c r="B8193" t="s">
        <v>4</v>
      </c>
      <c r="C8193">
        <v>4</v>
      </c>
      <c r="D8193" t="s">
        <v>5</v>
      </c>
      <c r="F8193" t="str" cm="1">
        <f t="array" ref="F8193">CategorizeComment(E8193)</f>
        <v>Other</v>
      </c>
      <c r="G8193" t="str" cm="1">
        <f t="array" ref="G8193">SubCategorizeComment(E8193)</f>
        <v>Other</v>
      </c>
    </row>
    <row r="8194" spans="1:7" x14ac:dyDescent="0.25">
      <c r="A8194">
        <v>73398</v>
      </c>
      <c r="B8194" t="s">
        <v>4</v>
      </c>
      <c r="C8194">
        <v>3</v>
      </c>
      <c r="D8194" t="s">
        <v>5</v>
      </c>
      <c r="F8194" t="str" cm="1">
        <f t="array" ref="F8194">CategorizeComment(E8194)</f>
        <v>Other</v>
      </c>
      <c r="G8194" t="str" cm="1">
        <f t="array" ref="G8194">SubCategorizeComment(E8194)</f>
        <v>Other</v>
      </c>
    </row>
    <row r="8195" spans="1:7" x14ac:dyDescent="0.25">
      <c r="A8195">
        <v>73413</v>
      </c>
      <c r="B8195" t="s">
        <v>4</v>
      </c>
      <c r="C8195">
        <v>4</v>
      </c>
      <c r="D8195" t="s">
        <v>5</v>
      </c>
      <c r="F8195" t="str" cm="1">
        <f t="array" ref="F8195">CategorizeComment(E8195)</f>
        <v>Other</v>
      </c>
      <c r="G8195" t="str" cm="1">
        <f t="array" ref="G8195">SubCategorizeComment(E8195)</f>
        <v>Other</v>
      </c>
    </row>
    <row r="8196" spans="1:7" x14ac:dyDescent="0.25">
      <c r="A8196">
        <v>73418</v>
      </c>
      <c r="B8196" t="s">
        <v>4</v>
      </c>
      <c r="C8196">
        <v>4</v>
      </c>
      <c r="D8196" t="s">
        <v>5</v>
      </c>
      <c r="F8196" t="str" cm="1">
        <f t="array" ref="F8196">CategorizeComment(E8196)</f>
        <v>Other</v>
      </c>
      <c r="G8196" t="str" cm="1">
        <f t="array" ref="G8196">SubCategorizeComment(E8196)</f>
        <v>Other</v>
      </c>
    </row>
    <row r="8197" spans="1:7" x14ac:dyDescent="0.25">
      <c r="A8197">
        <v>73420</v>
      </c>
      <c r="B8197" t="s">
        <v>4</v>
      </c>
      <c r="C8197">
        <v>4</v>
      </c>
      <c r="D8197" t="s">
        <v>5</v>
      </c>
      <c r="F8197" t="str" cm="1">
        <f t="array" ref="F8197">CategorizeComment(E8197)</f>
        <v>Other</v>
      </c>
      <c r="G8197" t="str" cm="1">
        <f t="array" ref="G8197">SubCategorizeComment(E8197)</f>
        <v>Other</v>
      </c>
    </row>
    <row r="8198" spans="1:7" x14ac:dyDescent="0.25">
      <c r="A8198">
        <v>73421</v>
      </c>
      <c r="B8198" t="s">
        <v>4</v>
      </c>
      <c r="C8198">
        <v>4</v>
      </c>
      <c r="D8198" t="s">
        <v>5</v>
      </c>
      <c r="F8198" t="str" cm="1">
        <f t="array" ref="F8198">CategorizeComment(E8198)</f>
        <v>Other</v>
      </c>
      <c r="G8198" t="str" cm="1">
        <f t="array" ref="G8198">SubCategorizeComment(E8198)</f>
        <v>Other</v>
      </c>
    </row>
    <row r="8199" spans="1:7" x14ac:dyDescent="0.25">
      <c r="A8199">
        <v>73423</v>
      </c>
      <c r="B8199" t="s">
        <v>4</v>
      </c>
      <c r="C8199">
        <v>3</v>
      </c>
      <c r="D8199" t="s">
        <v>5</v>
      </c>
      <c r="F8199" t="str" cm="1">
        <f t="array" ref="F8199">CategorizeComment(E8199)</f>
        <v>Other</v>
      </c>
      <c r="G8199" t="str" cm="1">
        <f t="array" ref="G8199">SubCategorizeComment(E8199)</f>
        <v>Other</v>
      </c>
    </row>
    <row r="8200" spans="1:7" x14ac:dyDescent="0.25">
      <c r="A8200">
        <v>73427</v>
      </c>
      <c r="B8200" t="s">
        <v>4</v>
      </c>
      <c r="C8200">
        <v>4</v>
      </c>
      <c r="D8200" t="s">
        <v>5</v>
      </c>
      <c r="F8200" t="str" cm="1">
        <f t="array" ref="F8200">CategorizeComment(E8200)</f>
        <v>Other</v>
      </c>
      <c r="G8200" t="str" cm="1">
        <f t="array" ref="G8200">SubCategorizeComment(E8200)</f>
        <v>Other</v>
      </c>
    </row>
    <row r="8201" spans="1:7" x14ac:dyDescent="0.25">
      <c r="A8201">
        <v>73429</v>
      </c>
      <c r="B8201" t="s">
        <v>4</v>
      </c>
      <c r="C8201">
        <v>4</v>
      </c>
      <c r="D8201" t="s">
        <v>5</v>
      </c>
      <c r="F8201" t="str" cm="1">
        <f t="array" ref="F8201">CategorizeComment(E8201)</f>
        <v>Other</v>
      </c>
      <c r="G8201" t="str" cm="1">
        <f t="array" ref="G8201">SubCategorizeComment(E8201)</f>
        <v>Other</v>
      </c>
    </row>
    <row r="8202" spans="1:7" x14ac:dyDescent="0.25">
      <c r="A8202">
        <v>73472</v>
      </c>
      <c r="B8202" t="s">
        <v>4</v>
      </c>
      <c r="C8202">
        <v>4</v>
      </c>
      <c r="D8202" t="s">
        <v>5</v>
      </c>
      <c r="F8202" t="str" cm="1">
        <f t="array" ref="F8202">CategorizeComment(E8202)</f>
        <v>Other</v>
      </c>
      <c r="G8202" t="str" cm="1">
        <f t="array" ref="G8202">SubCategorizeComment(E8202)</f>
        <v>Other</v>
      </c>
    </row>
    <row r="8203" spans="1:7" x14ac:dyDescent="0.25">
      <c r="A8203">
        <v>73480</v>
      </c>
      <c r="B8203" t="s">
        <v>4</v>
      </c>
      <c r="C8203">
        <v>4</v>
      </c>
      <c r="D8203" t="s">
        <v>5</v>
      </c>
      <c r="F8203" t="str" cm="1">
        <f t="array" ref="F8203">CategorizeComment(E8203)</f>
        <v>Other</v>
      </c>
      <c r="G8203" t="str" cm="1">
        <f t="array" ref="G8203">SubCategorizeComment(E8203)</f>
        <v>Other</v>
      </c>
    </row>
    <row r="8204" spans="1:7" x14ac:dyDescent="0.25">
      <c r="A8204">
        <v>73481</v>
      </c>
      <c r="B8204" t="s">
        <v>4</v>
      </c>
      <c r="C8204">
        <v>3</v>
      </c>
      <c r="D8204" t="s">
        <v>5</v>
      </c>
      <c r="F8204" t="str" cm="1">
        <f t="array" ref="F8204">CategorizeComment(E8204)</f>
        <v>Other</v>
      </c>
      <c r="G8204" t="str" cm="1">
        <f t="array" ref="G8204">SubCategorizeComment(E8204)</f>
        <v>Other</v>
      </c>
    </row>
    <row r="8205" spans="1:7" x14ac:dyDescent="0.25">
      <c r="A8205">
        <v>73488</v>
      </c>
      <c r="B8205" t="s">
        <v>4</v>
      </c>
      <c r="C8205">
        <v>3</v>
      </c>
      <c r="D8205" t="s">
        <v>5</v>
      </c>
      <c r="F8205" t="str" cm="1">
        <f t="array" ref="F8205">CategorizeComment(E8205)</f>
        <v>Other</v>
      </c>
      <c r="G8205" t="str" cm="1">
        <f t="array" ref="G8205">SubCategorizeComment(E8205)</f>
        <v>Other</v>
      </c>
    </row>
    <row r="8206" spans="1:7" x14ac:dyDescent="0.25">
      <c r="A8206">
        <v>73490</v>
      </c>
      <c r="B8206" t="s">
        <v>4</v>
      </c>
      <c r="C8206">
        <v>4</v>
      </c>
      <c r="D8206" t="s">
        <v>5</v>
      </c>
      <c r="F8206" t="str" cm="1">
        <f t="array" ref="F8206">CategorizeComment(E8206)</f>
        <v>Other</v>
      </c>
      <c r="G8206" t="str" cm="1">
        <f t="array" ref="G8206">SubCategorizeComment(E8206)</f>
        <v>Other</v>
      </c>
    </row>
    <row r="8207" spans="1:7" x14ac:dyDescent="0.25">
      <c r="A8207">
        <v>73535</v>
      </c>
      <c r="B8207" t="s">
        <v>4</v>
      </c>
      <c r="C8207">
        <v>4</v>
      </c>
      <c r="D8207" t="s">
        <v>5</v>
      </c>
      <c r="F8207" t="str" cm="1">
        <f t="array" ref="F8207">CategorizeComment(E8207)</f>
        <v>Other</v>
      </c>
      <c r="G8207" t="str" cm="1">
        <f t="array" ref="G8207">SubCategorizeComment(E8207)</f>
        <v>Other</v>
      </c>
    </row>
    <row r="8208" spans="1:7" x14ac:dyDescent="0.25">
      <c r="A8208">
        <v>73542</v>
      </c>
      <c r="B8208" t="s">
        <v>4</v>
      </c>
      <c r="C8208">
        <v>4</v>
      </c>
      <c r="D8208" t="s">
        <v>5</v>
      </c>
      <c r="F8208" t="str" cm="1">
        <f t="array" ref="F8208">CategorizeComment(E8208)</f>
        <v>Other</v>
      </c>
      <c r="G8208" t="str" cm="1">
        <f t="array" ref="G8208">SubCategorizeComment(E8208)</f>
        <v>Other</v>
      </c>
    </row>
    <row r="8209" spans="1:7" x14ac:dyDescent="0.25">
      <c r="A8209">
        <v>73546</v>
      </c>
      <c r="B8209" t="s">
        <v>4</v>
      </c>
      <c r="C8209">
        <v>3</v>
      </c>
      <c r="D8209" t="s">
        <v>5</v>
      </c>
      <c r="F8209" t="str" cm="1">
        <f t="array" ref="F8209">CategorizeComment(E8209)</f>
        <v>Other</v>
      </c>
      <c r="G8209" t="str" cm="1">
        <f t="array" ref="G8209">SubCategorizeComment(E8209)</f>
        <v>Other</v>
      </c>
    </row>
    <row r="8210" spans="1:7" x14ac:dyDescent="0.25">
      <c r="A8210">
        <v>73550</v>
      </c>
      <c r="B8210" t="s">
        <v>4</v>
      </c>
      <c r="C8210">
        <v>4</v>
      </c>
      <c r="D8210" t="s">
        <v>5</v>
      </c>
      <c r="F8210" t="str" cm="1">
        <f t="array" ref="F8210">CategorizeComment(E8210)</f>
        <v>Other</v>
      </c>
      <c r="G8210" t="str" cm="1">
        <f t="array" ref="G8210">SubCategorizeComment(E8210)</f>
        <v>Other</v>
      </c>
    </row>
    <row r="8211" spans="1:7" x14ac:dyDescent="0.25">
      <c r="A8211">
        <v>73569</v>
      </c>
      <c r="B8211" t="s">
        <v>4</v>
      </c>
      <c r="C8211">
        <v>4</v>
      </c>
      <c r="D8211" t="s">
        <v>5</v>
      </c>
      <c r="F8211" t="str" cm="1">
        <f t="array" ref="F8211">CategorizeComment(E8211)</f>
        <v>Other</v>
      </c>
      <c r="G8211" t="str" cm="1">
        <f t="array" ref="G8211">SubCategorizeComment(E8211)</f>
        <v>Other</v>
      </c>
    </row>
    <row r="8212" spans="1:7" x14ac:dyDescent="0.25">
      <c r="A8212">
        <v>73643</v>
      </c>
      <c r="B8212" t="s">
        <v>4</v>
      </c>
      <c r="C8212">
        <v>4</v>
      </c>
      <c r="D8212" t="s">
        <v>5</v>
      </c>
      <c r="F8212" t="str" cm="1">
        <f t="array" ref="F8212">CategorizeComment(E8212)</f>
        <v>Other</v>
      </c>
      <c r="G8212" t="str" cm="1">
        <f t="array" ref="G8212">SubCategorizeComment(E8212)</f>
        <v>Other</v>
      </c>
    </row>
    <row r="8213" spans="1:7" x14ac:dyDescent="0.25">
      <c r="A8213">
        <v>73647</v>
      </c>
      <c r="B8213" t="s">
        <v>4</v>
      </c>
      <c r="C8213">
        <v>4</v>
      </c>
      <c r="D8213" t="s">
        <v>5</v>
      </c>
      <c r="F8213" t="str" cm="1">
        <f t="array" ref="F8213">CategorizeComment(E8213)</f>
        <v>Other</v>
      </c>
      <c r="G8213" t="str" cm="1">
        <f t="array" ref="G8213">SubCategorizeComment(E8213)</f>
        <v>Other</v>
      </c>
    </row>
    <row r="8214" spans="1:7" x14ac:dyDescent="0.25">
      <c r="A8214">
        <v>73650</v>
      </c>
      <c r="B8214" t="s">
        <v>4</v>
      </c>
      <c r="C8214">
        <v>4</v>
      </c>
      <c r="D8214" t="s">
        <v>5</v>
      </c>
      <c r="F8214" t="str" cm="1">
        <f t="array" ref="F8214">CategorizeComment(E8214)</f>
        <v>Other</v>
      </c>
      <c r="G8214" t="str" cm="1">
        <f t="array" ref="G8214">SubCategorizeComment(E8214)</f>
        <v>Other</v>
      </c>
    </row>
    <row r="8215" spans="1:7" x14ac:dyDescent="0.25">
      <c r="A8215">
        <v>73670</v>
      </c>
      <c r="B8215" t="s">
        <v>4</v>
      </c>
      <c r="C8215">
        <v>3</v>
      </c>
      <c r="D8215" t="s">
        <v>5</v>
      </c>
      <c r="F8215" t="str" cm="1">
        <f t="array" ref="F8215">CategorizeComment(E8215)</f>
        <v>Other</v>
      </c>
      <c r="G8215" t="str" cm="1">
        <f t="array" ref="G8215">SubCategorizeComment(E8215)</f>
        <v>Other</v>
      </c>
    </row>
    <row r="8216" spans="1:7" x14ac:dyDescent="0.25">
      <c r="A8216">
        <v>73705</v>
      </c>
      <c r="B8216" t="s">
        <v>4</v>
      </c>
      <c r="C8216">
        <v>4</v>
      </c>
      <c r="D8216" t="s">
        <v>5</v>
      </c>
      <c r="F8216" t="str" cm="1">
        <f t="array" ref="F8216">CategorizeComment(E8216)</f>
        <v>Other</v>
      </c>
      <c r="G8216" t="str" cm="1">
        <f t="array" ref="G8216">SubCategorizeComment(E8216)</f>
        <v>Other</v>
      </c>
    </row>
    <row r="8217" spans="1:7" x14ac:dyDescent="0.25">
      <c r="A8217">
        <v>73710</v>
      </c>
      <c r="B8217" t="s">
        <v>4</v>
      </c>
      <c r="C8217">
        <v>3</v>
      </c>
      <c r="D8217" t="s">
        <v>5</v>
      </c>
      <c r="F8217" t="str" cm="1">
        <f t="array" ref="F8217">CategorizeComment(E8217)</f>
        <v>Other</v>
      </c>
      <c r="G8217" t="str" cm="1">
        <f t="array" ref="G8217">SubCategorizeComment(E8217)</f>
        <v>Other</v>
      </c>
    </row>
    <row r="8218" spans="1:7" x14ac:dyDescent="0.25">
      <c r="A8218">
        <v>73718</v>
      </c>
      <c r="B8218" t="s">
        <v>4</v>
      </c>
      <c r="C8218">
        <v>3</v>
      </c>
      <c r="D8218" t="s">
        <v>5</v>
      </c>
      <c r="F8218" t="str" cm="1">
        <f t="array" ref="F8218">CategorizeComment(E8218)</f>
        <v>Other</v>
      </c>
      <c r="G8218" t="str" cm="1">
        <f t="array" ref="G8218">SubCategorizeComment(E8218)</f>
        <v>Other</v>
      </c>
    </row>
    <row r="8219" spans="1:7" x14ac:dyDescent="0.25">
      <c r="A8219">
        <v>73719</v>
      </c>
      <c r="B8219" t="s">
        <v>4</v>
      </c>
      <c r="C8219">
        <v>3</v>
      </c>
      <c r="D8219" t="s">
        <v>5</v>
      </c>
      <c r="F8219" t="str" cm="1">
        <f t="array" ref="F8219">CategorizeComment(E8219)</f>
        <v>Other</v>
      </c>
      <c r="G8219" t="str" cm="1">
        <f t="array" ref="G8219">SubCategorizeComment(E8219)</f>
        <v>Other</v>
      </c>
    </row>
    <row r="8220" spans="1:7" x14ac:dyDescent="0.25">
      <c r="A8220">
        <v>73723</v>
      </c>
      <c r="B8220" t="s">
        <v>4</v>
      </c>
      <c r="C8220">
        <v>3</v>
      </c>
      <c r="D8220" t="s">
        <v>5</v>
      </c>
      <c r="F8220" t="str" cm="1">
        <f t="array" ref="F8220">CategorizeComment(E8220)</f>
        <v>Other</v>
      </c>
      <c r="G8220" t="str" cm="1">
        <f t="array" ref="G8220">SubCategorizeComment(E8220)</f>
        <v>Other</v>
      </c>
    </row>
    <row r="8221" spans="1:7" x14ac:dyDescent="0.25">
      <c r="A8221">
        <v>73736</v>
      </c>
      <c r="B8221" t="s">
        <v>4</v>
      </c>
      <c r="C8221">
        <v>3</v>
      </c>
      <c r="D8221" t="s">
        <v>5</v>
      </c>
      <c r="F8221" t="str" cm="1">
        <f t="array" ref="F8221">CategorizeComment(E8221)</f>
        <v>Other</v>
      </c>
      <c r="G8221" t="str" cm="1">
        <f t="array" ref="G8221">SubCategorizeComment(E8221)</f>
        <v>Other</v>
      </c>
    </row>
    <row r="8222" spans="1:7" x14ac:dyDescent="0.25">
      <c r="A8222">
        <v>73740</v>
      </c>
      <c r="B8222" t="s">
        <v>4</v>
      </c>
      <c r="C8222">
        <v>4</v>
      </c>
      <c r="D8222" t="s">
        <v>5</v>
      </c>
      <c r="F8222" t="str" cm="1">
        <f t="array" ref="F8222">CategorizeComment(E8222)</f>
        <v>Other</v>
      </c>
      <c r="G8222" t="str" cm="1">
        <f t="array" ref="G8222">SubCategorizeComment(E8222)</f>
        <v>Other</v>
      </c>
    </row>
    <row r="8223" spans="1:7" x14ac:dyDescent="0.25">
      <c r="A8223">
        <v>73743</v>
      </c>
      <c r="B8223" t="s">
        <v>4</v>
      </c>
      <c r="C8223">
        <v>3</v>
      </c>
      <c r="D8223" t="s">
        <v>5</v>
      </c>
      <c r="F8223" t="str" cm="1">
        <f t="array" ref="F8223">CategorizeComment(E8223)</f>
        <v>Other</v>
      </c>
      <c r="G8223" t="str" cm="1">
        <f t="array" ref="G8223">SubCategorizeComment(E8223)</f>
        <v>Other</v>
      </c>
    </row>
    <row r="8224" spans="1:7" x14ac:dyDescent="0.25">
      <c r="A8224">
        <v>73745</v>
      </c>
      <c r="B8224" t="s">
        <v>4</v>
      </c>
      <c r="C8224">
        <v>3</v>
      </c>
      <c r="D8224" t="s">
        <v>5</v>
      </c>
      <c r="F8224" t="str" cm="1">
        <f t="array" ref="F8224">CategorizeComment(E8224)</f>
        <v>Other</v>
      </c>
      <c r="G8224" t="str" cm="1">
        <f t="array" ref="G8224">SubCategorizeComment(E8224)</f>
        <v>Other</v>
      </c>
    </row>
    <row r="8225" spans="1:7" x14ac:dyDescent="0.25">
      <c r="A8225">
        <v>73746</v>
      </c>
      <c r="B8225" t="s">
        <v>4</v>
      </c>
      <c r="C8225">
        <v>3</v>
      </c>
      <c r="D8225" t="s">
        <v>5</v>
      </c>
      <c r="F8225" t="str" cm="1">
        <f t="array" ref="F8225">CategorizeComment(E8225)</f>
        <v>Other</v>
      </c>
      <c r="G8225" t="str" cm="1">
        <f t="array" ref="G8225">SubCategorizeComment(E8225)</f>
        <v>Other</v>
      </c>
    </row>
    <row r="8226" spans="1:7" x14ac:dyDescent="0.25">
      <c r="A8226">
        <v>73753</v>
      </c>
      <c r="B8226" t="s">
        <v>4</v>
      </c>
      <c r="C8226">
        <v>3</v>
      </c>
      <c r="D8226" t="s">
        <v>5</v>
      </c>
      <c r="F8226" t="str" cm="1">
        <f t="array" ref="F8226">CategorizeComment(E8226)</f>
        <v>Other</v>
      </c>
      <c r="G8226" t="str" cm="1">
        <f t="array" ref="G8226">SubCategorizeComment(E8226)</f>
        <v>Other</v>
      </c>
    </row>
    <row r="8227" spans="1:7" x14ac:dyDescent="0.25">
      <c r="A8227">
        <v>73777</v>
      </c>
      <c r="B8227" t="s">
        <v>4</v>
      </c>
      <c r="C8227">
        <v>3</v>
      </c>
      <c r="D8227" t="s">
        <v>5</v>
      </c>
      <c r="F8227" t="str" cm="1">
        <f t="array" ref="F8227">CategorizeComment(E8227)</f>
        <v>Other</v>
      </c>
      <c r="G8227" t="str" cm="1">
        <f t="array" ref="G8227">SubCategorizeComment(E8227)</f>
        <v>Other</v>
      </c>
    </row>
    <row r="8228" spans="1:7" x14ac:dyDescent="0.25">
      <c r="A8228">
        <v>73805</v>
      </c>
      <c r="B8228" t="s">
        <v>4</v>
      </c>
      <c r="C8228">
        <v>3</v>
      </c>
      <c r="D8228" t="s">
        <v>5</v>
      </c>
      <c r="F8228" t="str" cm="1">
        <f t="array" ref="F8228">CategorizeComment(E8228)</f>
        <v>Other</v>
      </c>
      <c r="G8228" t="str" cm="1">
        <f t="array" ref="G8228">SubCategorizeComment(E8228)</f>
        <v>Other</v>
      </c>
    </row>
    <row r="8229" spans="1:7" x14ac:dyDescent="0.25">
      <c r="A8229">
        <v>73808</v>
      </c>
      <c r="B8229" t="s">
        <v>4</v>
      </c>
      <c r="C8229">
        <v>3</v>
      </c>
      <c r="D8229" t="s">
        <v>5</v>
      </c>
      <c r="F8229" t="str" cm="1">
        <f t="array" ref="F8229">CategorizeComment(E8229)</f>
        <v>Other</v>
      </c>
      <c r="G8229" t="str" cm="1">
        <f t="array" ref="G8229">SubCategorizeComment(E8229)</f>
        <v>Other</v>
      </c>
    </row>
    <row r="8230" spans="1:7" x14ac:dyDescent="0.25">
      <c r="A8230">
        <v>73822</v>
      </c>
      <c r="B8230" t="s">
        <v>4</v>
      </c>
      <c r="C8230">
        <v>3</v>
      </c>
      <c r="D8230" t="s">
        <v>5</v>
      </c>
      <c r="F8230" t="str" cm="1">
        <f t="array" ref="F8230">CategorizeComment(E8230)</f>
        <v>Other</v>
      </c>
      <c r="G8230" t="str" cm="1">
        <f t="array" ref="G8230">SubCategorizeComment(E8230)</f>
        <v>Other</v>
      </c>
    </row>
    <row r="8231" spans="1:7" x14ac:dyDescent="0.25">
      <c r="A8231">
        <v>73828</v>
      </c>
      <c r="B8231" t="s">
        <v>4</v>
      </c>
      <c r="C8231">
        <v>3</v>
      </c>
      <c r="D8231" t="s">
        <v>5</v>
      </c>
      <c r="F8231" t="str" cm="1">
        <f t="array" ref="F8231">CategorizeComment(E8231)</f>
        <v>Other</v>
      </c>
      <c r="G8231" t="str" cm="1">
        <f t="array" ref="G8231">SubCategorizeComment(E8231)</f>
        <v>Other</v>
      </c>
    </row>
    <row r="8232" spans="1:7" x14ac:dyDescent="0.25">
      <c r="A8232">
        <v>73830</v>
      </c>
      <c r="B8232" t="s">
        <v>4</v>
      </c>
      <c r="C8232">
        <v>4</v>
      </c>
      <c r="D8232" t="s">
        <v>5</v>
      </c>
      <c r="F8232" t="str" cm="1">
        <f t="array" ref="F8232">CategorizeComment(E8232)</f>
        <v>Other</v>
      </c>
      <c r="G8232" t="str" cm="1">
        <f t="array" ref="G8232">SubCategorizeComment(E8232)</f>
        <v>Other</v>
      </c>
    </row>
    <row r="8233" spans="1:7" x14ac:dyDescent="0.25">
      <c r="A8233">
        <v>73831</v>
      </c>
      <c r="B8233" t="s">
        <v>4</v>
      </c>
      <c r="C8233">
        <v>4</v>
      </c>
      <c r="D8233" t="s">
        <v>5</v>
      </c>
      <c r="F8233" t="str" cm="1">
        <f t="array" ref="F8233">CategorizeComment(E8233)</f>
        <v>Other</v>
      </c>
      <c r="G8233" t="str" cm="1">
        <f t="array" ref="G8233">SubCategorizeComment(E8233)</f>
        <v>Other</v>
      </c>
    </row>
    <row r="8234" spans="1:7" x14ac:dyDescent="0.25">
      <c r="A8234">
        <v>73848</v>
      </c>
      <c r="B8234" t="s">
        <v>4</v>
      </c>
      <c r="C8234">
        <v>3</v>
      </c>
      <c r="D8234" t="s">
        <v>5</v>
      </c>
      <c r="F8234" t="str" cm="1">
        <f t="array" ref="F8234">CategorizeComment(E8234)</f>
        <v>Other</v>
      </c>
      <c r="G8234" t="str" cm="1">
        <f t="array" ref="G8234">SubCategorizeComment(E8234)</f>
        <v>Other</v>
      </c>
    </row>
    <row r="8235" spans="1:7" x14ac:dyDescent="0.25">
      <c r="A8235">
        <v>73849</v>
      </c>
      <c r="B8235" t="s">
        <v>4</v>
      </c>
      <c r="C8235">
        <v>4</v>
      </c>
      <c r="D8235" t="s">
        <v>5</v>
      </c>
      <c r="F8235" t="str" cm="1">
        <f t="array" ref="F8235">CategorizeComment(E8235)</f>
        <v>Other</v>
      </c>
      <c r="G8235" t="str" cm="1">
        <f t="array" ref="G8235">SubCategorizeComment(E8235)</f>
        <v>Other</v>
      </c>
    </row>
    <row r="8236" spans="1:7" x14ac:dyDescent="0.25">
      <c r="A8236">
        <v>73851</v>
      </c>
      <c r="B8236" t="s">
        <v>4</v>
      </c>
      <c r="C8236">
        <v>3</v>
      </c>
      <c r="D8236" t="s">
        <v>5</v>
      </c>
      <c r="F8236" t="str" cm="1">
        <f t="array" ref="F8236">CategorizeComment(E8236)</f>
        <v>Other</v>
      </c>
      <c r="G8236" t="str" cm="1">
        <f t="array" ref="G8236">SubCategorizeComment(E8236)</f>
        <v>Other</v>
      </c>
    </row>
    <row r="8237" spans="1:7" x14ac:dyDescent="0.25">
      <c r="A8237">
        <v>73860</v>
      </c>
      <c r="B8237" t="s">
        <v>4</v>
      </c>
      <c r="C8237">
        <v>4</v>
      </c>
      <c r="D8237" t="s">
        <v>5</v>
      </c>
      <c r="F8237" t="str" cm="1">
        <f t="array" ref="F8237">CategorizeComment(E8237)</f>
        <v>Other</v>
      </c>
      <c r="G8237" t="str" cm="1">
        <f t="array" ref="G8237">SubCategorizeComment(E8237)</f>
        <v>Other</v>
      </c>
    </row>
    <row r="8238" spans="1:7" x14ac:dyDescent="0.25">
      <c r="A8238">
        <v>73872</v>
      </c>
      <c r="B8238" t="s">
        <v>4</v>
      </c>
      <c r="C8238">
        <v>4</v>
      </c>
      <c r="D8238" t="s">
        <v>5</v>
      </c>
      <c r="F8238" t="str" cm="1">
        <f t="array" ref="F8238">CategorizeComment(E8238)</f>
        <v>Other</v>
      </c>
      <c r="G8238" t="str" cm="1">
        <f t="array" ref="G8238">SubCategorizeComment(E8238)</f>
        <v>Other</v>
      </c>
    </row>
    <row r="8239" spans="1:7" x14ac:dyDescent="0.25">
      <c r="A8239">
        <v>73916</v>
      </c>
      <c r="B8239" t="s">
        <v>4</v>
      </c>
      <c r="C8239">
        <v>4</v>
      </c>
      <c r="D8239" t="s">
        <v>5</v>
      </c>
      <c r="F8239" t="str" cm="1">
        <f t="array" ref="F8239">CategorizeComment(E8239)</f>
        <v>Other</v>
      </c>
      <c r="G8239" t="str" cm="1">
        <f t="array" ref="G8239">SubCategorizeComment(E8239)</f>
        <v>Other</v>
      </c>
    </row>
    <row r="8240" spans="1:7" x14ac:dyDescent="0.25">
      <c r="A8240">
        <v>73927</v>
      </c>
      <c r="B8240" t="s">
        <v>4</v>
      </c>
      <c r="C8240">
        <v>3</v>
      </c>
      <c r="D8240" t="s">
        <v>5</v>
      </c>
      <c r="F8240" t="str" cm="1">
        <f t="array" ref="F8240">CategorizeComment(E8240)</f>
        <v>Other</v>
      </c>
      <c r="G8240" t="str" cm="1">
        <f t="array" ref="G8240">SubCategorizeComment(E8240)</f>
        <v>Other</v>
      </c>
    </row>
    <row r="8241" spans="1:7" x14ac:dyDescent="0.25">
      <c r="A8241">
        <v>73928</v>
      </c>
      <c r="B8241" t="s">
        <v>4</v>
      </c>
      <c r="C8241">
        <v>4</v>
      </c>
      <c r="D8241" t="s">
        <v>5</v>
      </c>
      <c r="F8241" t="str" cm="1">
        <f t="array" ref="F8241">CategorizeComment(E8241)</f>
        <v>Other</v>
      </c>
      <c r="G8241" t="str" cm="1">
        <f t="array" ref="G8241">SubCategorizeComment(E8241)</f>
        <v>Other</v>
      </c>
    </row>
    <row r="8242" spans="1:7" x14ac:dyDescent="0.25">
      <c r="A8242">
        <v>73931</v>
      </c>
      <c r="B8242" t="s">
        <v>4</v>
      </c>
      <c r="C8242">
        <v>3</v>
      </c>
      <c r="D8242" t="s">
        <v>5</v>
      </c>
      <c r="F8242" t="str" cm="1">
        <f t="array" ref="F8242">CategorizeComment(E8242)</f>
        <v>Other</v>
      </c>
      <c r="G8242" t="str" cm="1">
        <f t="array" ref="G8242">SubCategorizeComment(E8242)</f>
        <v>Other</v>
      </c>
    </row>
    <row r="8243" spans="1:7" x14ac:dyDescent="0.25">
      <c r="A8243">
        <v>73932</v>
      </c>
      <c r="B8243" t="s">
        <v>4</v>
      </c>
      <c r="C8243">
        <v>4</v>
      </c>
      <c r="D8243" t="s">
        <v>5</v>
      </c>
      <c r="F8243" t="str" cm="1">
        <f t="array" ref="F8243">CategorizeComment(E8243)</f>
        <v>Other</v>
      </c>
      <c r="G8243" t="str" cm="1">
        <f t="array" ref="G8243">SubCategorizeComment(E8243)</f>
        <v>Other</v>
      </c>
    </row>
    <row r="8244" spans="1:7" x14ac:dyDescent="0.25">
      <c r="A8244">
        <v>73935</v>
      </c>
      <c r="B8244" t="s">
        <v>4</v>
      </c>
      <c r="C8244">
        <v>4</v>
      </c>
      <c r="D8244" t="s">
        <v>5</v>
      </c>
      <c r="F8244" t="str" cm="1">
        <f t="array" ref="F8244">CategorizeComment(E8244)</f>
        <v>Other</v>
      </c>
      <c r="G8244" t="str" cm="1">
        <f t="array" ref="G8244">SubCategorizeComment(E8244)</f>
        <v>Other</v>
      </c>
    </row>
    <row r="8245" spans="1:7" x14ac:dyDescent="0.25">
      <c r="A8245">
        <v>73936</v>
      </c>
      <c r="B8245" t="s">
        <v>4</v>
      </c>
      <c r="C8245">
        <v>4</v>
      </c>
      <c r="D8245" t="s">
        <v>5</v>
      </c>
      <c r="F8245" t="str" cm="1">
        <f t="array" ref="F8245">CategorizeComment(E8245)</f>
        <v>Other</v>
      </c>
      <c r="G8245" t="str" cm="1">
        <f t="array" ref="G8245">SubCategorizeComment(E8245)</f>
        <v>Other</v>
      </c>
    </row>
    <row r="8246" spans="1:7" x14ac:dyDescent="0.25">
      <c r="A8246">
        <v>73945</v>
      </c>
      <c r="B8246" t="s">
        <v>4</v>
      </c>
      <c r="C8246">
        <v>4</v>
      </c>
      <c r="D8246" t="s">
        <v>5</v>
      </c>
      <c r="F8246" t="str" cm="1">
        <f t="array" ref="F8246">CategorizeComment(E8246)</f>
        <v>Other</v>
      </c>
      <c r="G8246" t="str" cm="1">
        <f t="array" ref="G8246">SubCategorizeComment(E8246)</f>
        <v>Other</v>
      </c>
    </row>
    <row r="8247" spans="1:7" x14ac:dyDescent="0.25">
      <c r="A8247">
        <v>73954</v>
      </c>
      <c r="B8247" t="s">
        <v>4</v>
      </c>
      <c r="C8247">
        <v>4</v>
      </c>
      <c r="D8247" t="s">
        <v>5</v>
      </c>
      <c r="F8247" t="str" cm="1">
        <f t="array" ref="F8247">CategorizeComment(E8247)</f>
        <v>Other</v>
      </c>
      <c r="G8247" t="str" cm="1">
        <f t="array" ref="G8247">SubCategorizeComment(E8247)</f>
        <v>Other</v>
      </c>
    </row>
    <row r="8248" spans="1:7" x14ac:dyDescent="0.25">
      <c r="A8248">
        <v>73968</v>
      </c>
      <c r="B8248" t="s">
        <v>4</v>
      </c>
      <c r="C8248">
        <v>4</v>
      </c>
      <c r="D8248" t="s">
        <v>5</v>
      </c>
      <c r="F8248" t="str" cm="1">
        <f t="array" ref="F8248">CategorizeComment(E8248)</f>
        <v>Other</v>
      </c>
      <c r="G8248" t="str" cm="1">
        <f t="array" ref="G8248">SubCategorizeComment(E8248)</f>
        <v>Other</v>
      </c>
    </row>
    <row r="8249" spans="1:7" x14ac:dyDescent="0.25">
      <c r="A8249">
        <v>73970</v>
      </c>
      <c r="B8249" t="s">
        <v>4</v>
      </c>
      <c r="C8249">
        <v>4</v>
      </c>
      <c r="D8249" t="s">
        <v>5</v>
      </c>
      <c r="F8249" t="str" cm="1">
        <f t="array" ref="F8249">CategorizeComment(E8249)</f>
        <v>Other</v>
      </c>
      <c r="G8249" t="str" cm="1">
        <f t="array" ref="G8249">SubCategorizeComment(E8249)</f>
        <v>Other</v>
      </c>
    </row>
    <row r="8250" spans="1:7" x14ac:dyDescent="0.25">
      <c r="A8250">
        <v>73972</v>
      </c>
      <c r="B8250" t="s">
        <v>4</v>
      </c>
      <c r="C8250">
        <v>3</v>
      </c>
      <c r="D8250" t="s">
        <v>5</v>
      </c>
      <c r="F8250" t="str" cm="1">
        <f t="array" ref="F8250">CategorizeComment(E8250)</f>
        <v>Other</v>
      </c>
      <c r="G8250" t="str" cm="1">
        <f t="array" ref="G8250">SubCategorizeComment(E8250)</f>
        <v>Other</v>
      </c>
    </row>
    <row r="8251" spans="1:7" x14ac:dyDescent="0.25">
      <c r="A8251">
        <v>73989</v>
      </c>
      <c r="B8251" t="s">
        <v>4</v>
      </c>
      <c r="C8251">
        <v>4</v>
      </c>
      <c r="D8251" t="s">
        <v>5</v>
      </c>
      <c r="F8251" t="str" cm="1">
        <f t="array" ref="F8251">CategorizeComment(E8251)</f>
        <v>Other</v>
      </c>
      <c r="G8251" t="str" cm="1">
        <f t="array" ref="G8251">SubCategorizeComment(E8251)</f>
        <v>Other</v>
      </c>
    </row>
    <row r="8252" spans="1:7" x14ac:dyDescent="0.25">
      <c r="A8252">
        <v>73996</v>
      </c>
      <c r="B8252" t="s">
        <v>4</v>
      </c>
      <c r="C8252">
        <v>4</v>
      </c>
      <c r="D8252" t="s">
        <v>5</v>
      </c>
      <c r="F8252" t="str" cm="1">
        <f t="array" ref="F8252">CategorizeComment(E8252)</f>
        <v>Other</v>
      </c>
      <c r="G8252" t="str" cm="1">
        <f t="array" ref="G8252">SubCategorizeComment(E8252)</f>
        <v>Other</v>
      </c>
    </row>
    <row r="8253" spans="1:7" x14ac:dyDescent="0.25">
      <c r="A8253">
        <v>74001</v>
      </c>
      <c r="B8253" t="s">
        <v>4</v>
      </c>
      <c r="C8253">
        <v>4</v>
      </c>
      <c r="D8253" t="s">
        <v>5</v>
      </c>
      <c r="F8253" t="str" cm="1">
        <f t="array" ref="F8253">CategorizeComment(E8253)</f>
        <v>Other</v>
      </c>
      <c r="G8253" t="str" cm="1">
        <f t="array" ref="G8253">SubCategorizeComment(E8253)</f>
        <v>Other</v>
      </c>
    </row>
    <row r="8254" spans="1:7" x14ac:dyDescent="0.25">
      <c r="A8254">
        <v>74002</v>
      </c>
      <c r="B8254" t="s">
        <v>4</v>
      </c>
      <c r="C8254">
        <v>4</v>
      </c>
      <c r="D8254" t="s">
        <v>5</v>
      </c>
      <c r="F8254" t="str" cm="1">
        <f t="array" ref="F8254">CategorizeComment(E8254)</f>
        <v>Other</v>
      </c>
      <c r="G8254" t="str" cm="1">
        <f t="array" ref="G8254">SubCategorizeComment(E8254)</f>
        <v>Other</v>
      </c>
    </row>
    <row r="8255" spans="1:7" x14ac:dyDescent="0.25">
      <c r="A8255">
        <v>74005</v>
      </c>
      <c r="B8255" t="s">
        <v>4</v>
      </c>
      <c r="C8255">
        <v>3</v>
      </c>
      <c r="D8255" t="s">
        <v>5</v>
      </c>
      <c r="F8255" t="str" cm="1">
        <f t="array" ref="F8255">CategorizeComment(E8255)</f>
        <v>Other</v>
      </c>
      <c r="G8255" t="str" cm="1">
        <f t="array" ref="G8255">SubCategorizeComment(E8255)</f>
        <v>Other</v>
      </c>
    </row>
    <row r="8256" spans="1:7" x14ac:dyDescent="0.25">
      <c r="A8256">
        <v>74010</v>
      </c>
      <c r="B8256" t="s">
        <v>4</v>
      </c>
      <c r="C8256">
        <v>4</v>
      </c>
      <c r="D8256" t="s">
        <v>5</v>
      </c>
      <c r="F8256" t="str" cm="1">
        <f t="array" ref="F8256">CategorizeComment(E8256)</f>
        <v>Other</v>
      </c>
      <c r="G8256" t="str" cm="1">
        <f t="array" ref="G8256">SubCategorizeComment(E8256)</f>
        <v>Other</v>
      </c>
    </row>
    <row r="8257" spans="1:7" x14ac:dyDescent="0.25">
      <c r="A8257">
        <v>74015</v>
      </c>
      <c r="B8257" t="s">
        <v>4</v>
      </c>
      <c r="C8257">
        <v>3</v>
      </c>
      <c r="D8257" t="s">
        <v>5</v>
      </c>
      <c r="F8257" t="str" cm="1">
        <f t="array" ref="F8257">CategorizeComment(E8257)</f>
        <v>Other</v>
      </c>
      <c r="G8257" t="str" cm="1">
        <f t="array" ref="G8257">SubCategorizeComment(E8257)</f>
        <v>Other</v>
      </c>
    </row>
    <row r="8258" spans="1:7" x14ac:dyDescent="0.25">
      <c r="A8258">
        <v>74033</v>
      </c>
      <c r="B8258" t="s">
        <v>4</v>
      </c>
      <c r="C8258">
        <v>4</v>
      </c>
      <c r="D8258" t="s">
        <v>5</v>
      </c>
      <c r="F8258" t="str" cm="1">
        <f t="array" ref="F8258">CategorizeComment(E8258)</f>
        <v>Other</v>
      </c>
      <c r="G8258" t="str" cm="1">
        <f t="array" ref="G8258">SubCategorizeComment(E8258)</f>
        <v>Other</v>
      </c>
    </row>
    <row r="8259" spans="1:7" x14ac:dyDescent="0.25">
      <c r="A8259">
        <v>74044</v>
      </c>
      <c r="B8259" t="s">
        <v>4</v>
      </c>
      <c r="C8259">
        <v>3</v>
      </c>
      <c r="D8259" t="s">
        <v>5</v>
      </c>
      <c r="F8259" t="str" cm="1">
        <f t="array" ref="F8259">CategorizeComment(E8259)</f>
        <v>Other</v>
      </c>
      <c r="G8259" t="str" cm="1">
        <f t="array" ref="G8259">SubCategorizeComment(E8259)</f>
        <v>Other</v>
      </c>
    </row>
    <row r="8260" spans="1:7" x14ac:dyDescent="0.25">
      <c r="A8260">
        <v>74045</v>
      </c>
      <c r="B8260" t="s">
        <v>4</v>
      </c>
      <c r="C8260">
        <v>4</v>
      </c>
      <c r="D8260" t="s">
        <v>5</v>
      </c>
      <c r="F8260" t="str" cm="1">
        <f t="array" ref="F8260">CategorizeComment(E8260)</f>
        <v>Other</v>
      </c>
      <c r="G8260" t="str" cm="1">
        <f t="array" ref="G8260">SubCategorizeComment(E8260)</f>
        <v>Other</v>
      </c>
    </row>
    <row r="8261" spans="1:7" x14ac:dyDescent="0.25">
      <c r="A8261">
        <v>74046</v>
      </c>
      <c r="B8261" t="s">
        <v>4</v>
      </c>
      <c r="C8261">
        <v>3</v>
      </c>
      <c r="D8261" t="s">
        <v>5</v>
      </c>
      <c r="F8261" t="str" cm="1">
        <f t="array" ref="F8261">CategorizeComment(E8261)</f>
        <v>Other</v>
      </c>
      <c r="G8261" t="str" cm="1">
        <f t="array" ref="G8261">SubCategorizeComment(E8261)</f>
        <v>Other</v>
      </c>
    </row>
    <row r="8262" spans="1:7" x14ac:dyDescent="0.25">
      <c r="A8262">
        <v>74047</v>
      </c>
      <c r="B8262" t="s">
        <v>4</v>
      </c>
      <c r="C8262">
        <v>3</v>
      </c>
      <c r="D8262" t="s">
        <v>5</v>
      </c>
      <c r="F8262" t="str" cm="1">
        <f t="array" ref="F8262">CategorizeComment(E8262)</f>
        <v>Other</v>
      </c>
      <c r="G8262" t="str" cm="1">
        <f t="array" ref="G8262">SubCategorizeComment(E8262)</f>
        <v>Other</v>
      </c>
    </row>
    <row r="8263" spans="1:7" x14ac:dyDescent="0.25">
      <c r="A8263">
        <v>74059</v>
      </c>
      <c r="B8263" t="s">
        <v>4</v>
      </c>
      <c r="C8263">
        <v>3</v>
      </c>
      <c r="D8263" t="s">
        <v>5</v>
      </c>
      <c r="F8263" t="str" cm="1">
        <f t="array" ref="F8263">CategorizeComment(E8263)</f>
        <v>Other</v>
      </c>
      <c r="G8263" t="str" cm="1">
        <f t="array" ref="G8263">SubCategorizeComment(E8263)</f>
        <v>Other</v>
      </c>
    </row>
    <row r="8264" spans="1:7" x14ac:dyDescent="0.25">
      <c r="A8264">
        <v>74113</v>
      </c>
      <c r="B8264" t="s">
        <v>4</v>
      </c>
      <c r="C8264">
        <v>3</v>
      </c>
      <c r="D8264" t="s">
        <v>5</v>
      </c>
      <c r="F8264" t="str" cm="1">
        <f t="array" ref="F8264">CategorizeComment(E8264)</f>
        <v>Other</v>
      </c>
      <c r="G8264" t="str" cm="1">
        <f t="array" ref="G8264">SubCategorizeComment(E8264)</f>
        <v>Other</v>
      </c>
    </row>
    <row r="8265" spans="1:7" x14ac:dyDescent="0.25">
      <c r="A8265">
        <v>74125</v>
      </c>
      <c r="B8265" t="s">
        <v>4</v>
      </c>
      <c r="C8265">
        <v>3</v>
      </c>
      <c r="D8265" t="s">
        <v>5</v>
      </c>
      <c r="F8265" t="str" cm="1">
        <f t="array" ref="F8265">CategorizeComment(E8265)</f>
        <v>Other</v>
      </c>
      <c r="G8265" t="str" cm="1">
        <f t="array" ref="G8265">SubCategorizeComment(E8265)</f>
        <v>Other</v>
      </c>
    </row>
    <row r="8266" spans="1:7" x14ac:dyDescent="0.25">
      <c r="A8266">
        <v>74126</v>
      </c>
      <c r="B8266" t="s">
        <v>4</v>
      </c>
      <c r="C8266">
        <v>4</v>
      </c>
      <c r="D8266" t="s">
        <v>5</v>
      </c>
      <c r="F8266" t="str" cm="1">
        <f t="array" ref="F8266">CategorizeComment(E8266)</f>
        <v>Other</v>
      </c>
      <c r="G8266" t="str" cm="1">
        <f t="array" ref="G8266">SubCategorizeComment(E8266)</f>
        <v>Other</v>
      </c>
    </row>
    <row r="8267" spans="1:7" x14ac:dyDescent="0.25">
      <c r="A8267">
        <v>74129</v>
      </c>
      <c r="B8267" t="s">
        <v>4</v>
      </c>
      <c r="C8267">
        <v>4</v>
      </c>
      <c r="D8267" t="s">
        <v>5</v>
      </c>
      <c r="F8267" t="str" cm="1">
        <f t="array" ref="F8267">CategorizeComment(E8267)</f>
        <v>Other</v>
      </c>
      <c r="G8267" t="str" cm="1">
        <f t="array" ref="G8267">SubCategorizeComment(E8267)</f>
        <v>Other</v>
      </c>
    </row>
    <row r="8268" spans="1:7" x14ac:dyDescent="0.25">
      <c r="A8268">
        <v>74134</v>
      </c>
      <c r="B8268" t="s">
        <v>4</v>
      </c>
      <c r="C8268">
        <v>4</v>
      </c>
      <c r="D8268" t="s">
        <v>5</v>
      </c>
      <c r="F8268" t="str" cm="1">
        <f t="array" ref="F8268">CategorizeComment(E8268)</f>
        <v>Other</v>
      </c>
      <c r="G8268" t="str" cm="1">
        <f t="array" ref="G8268">SubCategorizeComment(E8268)</f>
        <v>Other</v>
      </c>
    </row>
    <row r="8269" spans="1:7" x14ac:dyDescent="0.25">
      <c r="A8269">
        <v>74139</v>
      </c>
      <c r="B8269" t="s">
        <v>4</v>
      </c>
      <c r="C8269">
        <v>0</v>
      </c>
      <c r="D8269" t="s">
        <v>5</v>
      </c>
      <c r="F8269" t="str" cm="1">
        <f t="array" ref="F8269">CategorizeComment(E8269)</f>
        <v>Other</v>
      </c>
      <c r="G8269" t="str" cm="1">
        <f t="array" ref="G8269">SubCategorizeComment(E8269)</f>
        <v>Other</v>
      </c>
    </row>
    <row r="8270" spans="1:7" x14ac:dyDescent="0.25">
      <c r="A8270">
        <v>74146</v>
      </c>
      <c r="B8270" t="s">
        <v>4</v>
      </c>
      <c r="C8270">
        <v>3</v>
      </c>
      <c r="D8270" t="s">
        <v>5</v>
      </c>
      <c r="F8270" t="str" cm="1">
        <f t="array" ref="F8270">CategorizeComment(E8270)</f>
        <v>Other</v>
      </c>
      <c r="G8270" t="str" cm="1">
        <f t="array" ref="G8270">SubCategorizeComment(E8270)</f>
        <v>Other</v>
      </c>
    </row>
    <row r="8271" spans="1:7" x14ac:dyDescent="0.25">
      <c r="A8271">
        <v>74161</v>
      </c>
      <c r="B8271" t="s">
        <v>4</v>
      </c>
      <c r="C8271">
        <v>3</v>
      </c>
      <c r="D8271" t="s">
        <v>5</v>
      </c>
      <c r="F8271" t="str" cm="1">
        <f t="array" ref="F8271">CategorizeComment(E8271)</f>
        <v>Other</v>
      </c>
      <c r="G8271" t="str" cm="1">
        <f t="array" ref="G8271">SubCategorizeComment(E8271)</f>
        <v>Other</v>
      </c>
    </row>
    <row r="8272" spans="1:7" x14ac:dyDescent="0.25">
      <c r="A8272">
        <v>74178</v>
      </c>
      <c r="B8272" t="s">
        <v>4</v>
      </c>
      <c r="C8272">
        <v>3</v>
      </c>
      <c r="D8272" t="s">
        <v>5</v>
      </c>
      <c r="F8272" t="str" cm="1">
        <f t="array" ref="F8272">CategorizeComment(E8272)</f>
        <v>Other</v>
      </c>
      <c r="G8272" t="str" cm="1">
        <f t="array" ref="G8272">SubCategorizeComment(E8272)</f>
        <v>Other</v>
      </c>
    </row>
    <row r="8273" spans="1:7" x14ac:dyDescent="0.25">
      <c r="A8273">
        <v>74180</v>
      </c>
      <c r="B8273" t="s">
        <v>4</v>
      </c>
      <c r="C8273">
        <v>4</v>
      </c>
      <c r="D8273" t="s">
        <v>5</v>
      </c>
      <c r="F8273" t="str" cm="1">
        <f t="array" ref="F8273">CategorizeComment(E8273)</f>
        <v>Other</v>
      </c>
      <c r="G8273" t="str" cm="1">
        <f t="array" ref="G8273">SubCategorizeComment(E8273)</f>
        <v>Other</v>
      </c>
    </row>
    <row r="8274" spans="1:7" x14ac:dyDescent="0.25">
      <c r="A8274">
        <v>74186</v>
      </c>
      <c r="B8274" t="s">
        <v>4</v>
      </c>
      <c r="C8274">
        <v>4</v>
      </c>
      <c r="D8274" t="s">
        <v>5</v>
      </c>
      <c r="F8274" t="str" cm="1">
        <f t="array" ref="F8274">CategorizeComment(E8274)</f>
        <v>Other</v>
      </c>
      <c r="G8274" t="str" cm="1">
        <f t="array" ref="G8274">SubCategorizeComment(E8274)</f>
        <v>Other</v>
      </c>
    </row>
    <row r="8275" spans="1:7" x14ac:dyDescent="0.25">
      <c r="A8275">
        <v>74187</v>
      </c>
      <c r="B8275" t="s">
        <v>4</v>
      </c>
      <c r="C8275">
        <v>4</v>
      </c>
      <c r="D8275" t="s">
        <v>5</v>
      </c>
      <c r="F8275" t="str" cm="1">
        <f t="array" ref="F8275">CategorizeComment(E8275)</f>
        <v>Other</v>
      </c>
      <c r="G8275" t="str" cm="1">
        <f t="array" ref="G8275">SubCategorizeComment(E8275)</f>
        <v>Other</v>
      </c>
    </row>
    <row r="8276" spans="1:7" x14ac:dyDescent="0.25">
      <c r="A8276">
        <v>74190</v>
      </c>
      <c r="B8276" t="s">
        <v>4</v>
      </c>
      <c r="C8276">
        <v>4</v>
      </c>
      <c r="D8276" t="s">
        <v>5</v>
      </c>
      <c r="F8276" t="str" cm="1">
        <f t="array" ref="F8276">CategorizeComment(E8276)</f>
        <v>Other</v>
      </c>
      <c r="G8276" t="str" cm="1">
        <f t="array" ref="G8276">SubCategorizeComment(E8276)</f>
        <v>Other</v>
      </c>
    </row>
    <row r="8277" spans="1:7" x14ac:dyDescent="0.25">
      <c r="A8277">
        <v>74196</v>
      </c>
      <c r="B8277" t="s">
        <v>4</v>
      </c>
      <c r="C8277">
        <v>3</v>
      </c>
      <c r="D8277" t="s">
        <v>5</v>
      </c>
      <c r="F8277" t="str" cm="1">
        <f t="array" ref="F8277">CategorizeComment(E8277)</f>
        <v>Other</v>
      </c>
      <c r="G8277" t="str" cm="1">
        <f t="array" ref="G8277">SubCategorizeComment(E8277)</f>
        <v>Other</v>
      </c>
    </row>
    <row r="8278" spans="1:7" x14ac:dyDescent="0.25">
      <c r="A8278">
        <v>74209</v>
      </c>
      <c r="B8278" t="s">
        <v>4</v>
      </c>
      <c r="C8278">
        <v>3</v>
      </c>
      <c r="D8278" t="s">
        <v>5</v>
      </c>
      <c r="F8278" t="str" cm="1">
        <f t="array" ref="F8278">CategorizeComment(E8278)</f>
        <v>Other</v>
      </c>
      <c r="G8278" t="str" cm="1">
        <f t="array" ref="G8278">SubCategorizeComment(E8278)</f>
        <v>Other</v>
      </c>
    </row>
    <row r="8279" spans="1:7" x14ac:dyDescent="0.25">
      <c r="A8279">
        <v>74215</v>
      </c>
      <c r="B8279" t="s">
        <v>4</v>
      </c>
      <c r="C8279">
        <v>3</v>
      </c>
      <c r="D8279" t="s">
        <v>5</v>
      </c>
      <c r="F8279" t="str" cm="1">
        <f t="array" ref="F8279">CategorizeComment(E8279)</f>
        <v>Other</v>
      </c>
      <c r="G8279" t="str" cm="1">
        <f t="array" ref="G8279">SubCategorizeComment(E8279)</f>
        <v>Other</v>
      </c>
    </row>
    <row r="8280" spans="1:7" x14ac:dyDescent="0.25">
      <c r="A8280">
        <v>74236</v>
      </c>
      <c r="B8280" t="s">
        <v>4</v>
      </c>
      <c r="C8280">
        <v>4</v>
      </c>
      <c r="D8280" t="s">
        <v>5</v>
      </c>
      <c r="F8280" t="str" cm="1">
        <f t="array" ref="F8280">CategorizeComment(E8280)</f>
        <v>Other</v>
      </c>
      <c r="G8280" t="str" cm="1">
        <f t="array" ref="G8280">SubCategorizeComment(E8280)</f>
        <v>Other</v>
      </c>
    </row>
    <row r="8281" spans="1:7" x14ac:dyDescent="0.25">
      <c r="A8281">
        <v>74247</v>
      </c>
      <c r="B8281" t="s">
        <v>4</v>
      </c>
      <c r="C8281">
        <v>4</v>
      </c>
      <c r="D8281" t="s">
        <v>5</v>
      </c>
      <c r="F8281" t="str" cm="1">
        <f t="array" ref="F8281">CategorizeComment(E8281)</f>
        <v>Other</v>
      </c>
      <c r="G8281" t="str" cm="1">
        <f t="array" ref="G8281">SubCategorizeComment(E8281)</f>
        <v>Other</v>
      </c>
    </row>
    <row r="8282" spans="1:7" x14ac:dyDescent="0.25">
      <c r="A8282">
        <v>74252</v>
      </c>
      <c r="B8282" t="s">
        <v>4</v>
      </c>
      <c r="C8282">
        <v>4</v>
      </c>
      <c r="D8282" t="s">
        <v>5</v>
      </c>
      <c r="F8282" t="str" cm="1">
        <f t="array" ref="F8282">CategorizeComment(E8282)</f>
        <v>Other</v>
      </c>
      <c r="G8282" t="str" cm="1">
        <f t="array" ref="G8282">SubCategorizeComment(E8282)</f>
        <v>Other</v>
      </c>
    </row>
    <row r="8283" spans="1:7" x14ac:dyDescent="0.25">
      <c r="A8283">
        <v>74293</v>
      </c>
      <c r="B8283" t="s">
        <v>4</v>
      </c>
      <c r="C8283">
        <v>3</v>
      </c>
      <c r="D8283" t="s">
        <v>5</v>
      </c>
      <c r="F8283" t="str" cm="1">
        <f t="array" ref="F8283">CategorizeComment(E8283)</f>
        <v>Other</v>
      </c>
      <c r="G8283" t="str" cm="1">
        <f t="array" ref="G8283">SubCategorizeComment(E8283)</f>
        <v>Other</v>
      </c>
    </row>
    <row r="8284" spans="1:7" x14ac:dyDescent="0.25">
      <c r="A8284">
        <v>74299</v>
      </c>
      <c r="B8284" t="s">
        <v>4</v>
      </c>
      <c r="C8284">
        <v>3</v>
      </c>
      <c r="D8284" t="s">
        <v>5</v>
      </c>
      <c r="F8284" t="str" cm="1">
        <f t="array" ref="F8284">CategorizeComment(E8284)</f>
        <v>Other</v>
      </c>
      <c r="G8284" t="str" cm="1">
        <f t="array" ref="G8284">SubCategorizeComment(E8284)</f>
        <v>Other</v>
      </c>
    </row>
    <row r="8285" spans="1:7" x14ac:dyDescent="0.25">
      <c r="A8285">
        <v>74300</v>
      </c>
      <c r="B8285" t="s">
        <v>4</v>
      </c>
      <c r="C8285">
        <v>3</v>
      </c>
      <c r="D8285" t="s">
        <v>5</v>
      </c>
      <c r="F8285" t="str" cm="1">
        <f t="array" ref="F8285">CategorizeComment(E8285)</f>
        <v>Other</v>
      </c>
      <c r="G8285" t="str" cm="1">
        <f t="array" ref="G8285">SubCategorizeComment(E8285)</f>
        <v>Other</v>
      </c>
    </row>
    <row r="8286" spans="1:7" x14ac:dyDescent="0.25">
      <c r="A8286">
        <v>74317</v>
      </c>
      <c r="B8286" t="s">
        <v>4</v>
      </c>
      <c r="C8286">
        <v>4</v>
      </c>
      <c r="D8286" t="s">
        <v>5</v>
      </c>
      <c r="F8286" t="str" cm="1">
        <f t="array" ref="F8286">CategorizeComment(E8286)</f>
        <v>Other</v>
      </c>
      <c r="G8286" t="str" cm="1">
        <f t="array" ref="G8286">SubCategorizeComment(E8286)</f>
        <v>Other</v>
      </c>
    </row>
    <row r="8287" spans="1:7" x14ac:dyDescent="0.25">
      <c r="A8287">
        <v>74336</v>
      </c>
      <c r="B8287" t="s">
        <v>4</v>
      </c>
      <c r="C8287">
        <v>3</v>
      </c>
      <c r="D8287" t="s">
        <v>5</v>
      </c>
      <c r="F8287" t="str" cm="1">
        <f t="array" ref="F8287">CategorizeComment(E8287)</f>
        <v>Other</v>
      </c>
      <c r="G8287" t="str" cm="1">
        <f t="array" ref="G8287">SubCategorizeComment(E8287)</f>
        <v>Other</v>
      </c>
    </row>
    <row r="8288" spans="1:7" x14ac:dyDescent="0.25">
      <c r="A8288">
        <v>74347</v>
      </c>
      <c r="B8288" t="s">
        <v>4</v>
      </c>
      <c r="C8288">
        <v>4</v>
      </c>
      <c r="D8288" t="s">
        <v>5</v>
      </c>
      <c r="F8288" t="str" cm="1">
        <f t="array" ref="F8288">CategorizeComment(E8288)</f>
        <v>Other</v>
      </c>
      <c r="G8288" t="str" cm="1">
        <f t="array" ref="G8288">SubCategorizeComment(E8288)</f>
        <v>Other</v>
      </c>
    </row>
    <row r="8289" spans="1:7" x14ac:dyDescent="0.25">
      <c r="A8289">
        <v>74362</v>
      </c>
      <c r="B8289" t="s">
        <v>4</v>
      </c>
      <c r="C8289">
        <v>3</v>
      </c>
      <c r="D8289" t="s">
        <v>5</v>
      </c>
      <c r="F8289" t="str" cm="1">
        <f t="array" ref="F8289">CategorizeComment(E8289)</f>
        <v>Other</v>
      </c>
      <c r="G8289" t="str" cm="1">
        <f t="array" ref="G8289">SubCategorizeComment(E8289)</f>
        <v>Other</v>
      </c>
    </row>
    <row r="8290" spans="1:7" x14ac:dyDescent="0.25">
      <c r="A8290">
        <v>74363</v>
      </c>
      <c r="B8290" t="s">
        <v>4</v>
      </c>
      <c r="C8290">
        <v>3</v>
      </c>
      <c r="D8290" t="s">
        <v>5</v>
      </c>
      <c r="F8290" t="str" cm="1">
        <f t="array" ref="F8290">CategorizeComment(E8290)</f>
        <v>Other</v>
      </c>
      <c r="G8290" t="str" cm="1">
        <f t="array" ref="G8290">SubCategorizeComment(E8290)</f>
        <v>Other</v>
      </c>
    </row>
    <row r="8291" spans="1:7" x14ac:dyDescent="0.25">
      <c r="A8291">
        <v>74464</v>
      </c>
      <c r="B8291" t="s">
        <v>4</v>
      </c>
      <c r="C8291">
        <v>3</v>
      </c>
      <c r="D8291" t="s">
        <v>5</v>
      </c>
      <c r="F8291" t="str" cm="1">
        <f t="array" ref="F8291">CategorizeComment(E8291)</f>
        <v>Other</v>
      </c>
      <c r="G8291" t="str" cm="1">
        <f t="array" ref="G8291">SubCategorizeComment(E8291)</f>
        <v>Other</v>
      </c>
    </row>
    <row r="8292" spans="1:7" x14ac:dyDescent="0.25">
      <c r="A8292">
        <v>74507</v>
      </c>
      <c r="B8292" t="s">
        <v>4</v>
      </c>
      <c r="C8292">
        <v>4</v>
      </c>
      <c r="D8292" t="s">
        <v>5</v>
      </c>
      <c r="F8292" t="str" cm="1">
        <f t="array" ref="F8292">CategorizeComment(E8292)</f>
        <v>Other</v>
      </c>
      <c r="G8292" t="str" cm="1">
        <f t="array" ref="G8292">SubCategorizeComment(E8292)</f>
        <v>Other</v>
      </c>
    </row>
    <row r="8293" spans="1:7" x14ac:dyDescent="0.25">
      <c r="A8293">
        <v>74516</v>
      </c>
      <c r="B8293" t="s">
        <v>4</v>
      </c>
      <c r="C8293">
        <v>4</v>
      </c>
      <c r="D8293" t="s">
        <v>5</v>
      </c>
      <c r="F8293" t="str" cm="1">
        <f t="array" ref="F8293">CategorizeComment(E8293)</f>
        <v>Other</v>
      </c>
      <c r="G8293" t="str" cm="1">
        <f t="array" ref="G8293">SubCategorizeComment(E8293)</f>
        <v>Other</v>
      </c>
    </row>
    <row r="8294" spans="1:7" x14ac:dyDescent="0.25">
      <c r="A8294">
        <v>74537</v>
      </c>
      <c r="B8294" t="s">
        <v>4</v>
      </c>
      <c r="C8294">
        <v>3</v>
      </c>
      <c r="D8294" t="s">
        <v>5</v>
      </c>
      <c r="F8294" t="str" cm="1">
        <f t="array" ref="F8294">CategorizeComment(E8294)</f>
        <v>Other</v>
      </c>
      <c r="G8294" t="str" cm="1">
        <f t="array" ref="G8294">SubCategorizeComment(E8294)</f>
        <v>Other</v>
      </c>
    </row>
    <row r="8295" spans="1:7" x14ac:dyDescent="0.25">
      <c r="A8295">
        <v>74539</v>
      </c>
      <c r="B8295" t="s">
        <v>4</v>
      </c>
      <c r="C8295">
        <v>3</v>
      </c>
      <c r="D8295" t="s">
        <v>5</v>
      </c>
      <c r="F8295" t="str" cm="1">
        <f t="array" ref="F8295">CategorizeComment(E8295)</f>
        <v>Other</v>
      </c>
      <c r="G8295" t="str" cm="1">
        <f t="array" ref="G8295">SubCategorizeComment(E8295)</f>
        <v>Other</v>
      </c>
    </row>
    <row r="8296" spans="1:7" x14ac:dyDescent="0.25">
      <c r="A8296">
        <v>74551</v>
      </c>
      <c r="B8296" t="s">
        <v>4</v>
      </c>
      <c r="C8296">
        <v>4</v>
      </c>
      <c r="D8296" t="s">
        <v>5</v>
      </c>
      <c r="F8296" t="str" cm="1">
        <f t="array" ref="F8296">CategorizeComment(E8296)</f>
        <v>Other</v>
      </c>
      <c r="G8296" t="str" cm="1">
        <f t="array" ref="G8296">SubCategorizeComment(E8296)</f>
        <v>Other</v>
      </c>
    </row>
    <row r="8297" spans="1:7" x14ac:dyDescent="0.25">
      <c r="A8297">
        <v>74563</v>
      </c>
      <c r="B8297" t="s">
        <v>4</v>
      </c>
      <c r="C8297">
        <v>4</v>
      </c>
      <c r="D8297" t="s">
        <v>5</v>
      </c>
      <c r="F8297" t="str" cm="1">
        <f t="array" ref="F8297">CategorizeComment(E8297)</f>
        <v>Other</v>
      </c>
      <c r="G8297" t="str" cm="1">
        <f t="array" ref="G8297">SubCategorizeComment(E8297)</f>
        <v>Other</v>
      </c>
    </row>
    <row r="8298" spans="1:7" x14ac:dyDescent="0.25">
      <c r="A8298">
        <v>74571</v>
      </c>
      <c r="B8298" t="s">
        <v>4</v>
      </c>
      <c r="C8298">
        <v>3</v>
      </c>
      <c r="D8298" t="s">
        <v>5</v>
      </c>
      <c r="F8298" t="str" cm="1">
        <f t="array" ref="F8298">CategorizeComment(E8298)</f>
        <v>Other</v>
      </c>
      <c r="G8298" t="str" cm="1">
        <f t="array" ref="G8298">SubCategorizeComment(E8298)</f>
        <v>Other</v>
      </c>
    </row>
    <row r="8299" spans="1:7" x14ac:dyDescent="0.25">
      <c r="A8299">
        <v>74577</v>
      </c>
      <c r="B8299" t="s">
        <v>4</v>
      </c>
      <c r="C8299">
        <v>3</v>
      </c>
      <c r="D8299" t="s">
        <v>5</v>
      </c>
      <c r="F8299" t="str" cm="1">
        <f t="array" ref="F8299">CategorizeComment(E8299)</f>
        <v>Other</v>
      </c>
      <c r="G8299" t="str" cm="1">
        <f t="array" ref="G8299">SubCategorizeComment(E8299)</f>
        <v>Other</v>
      </c>
    </row>
    <row r="8300" spans="1:7" x14ac:dyDescent="0.25">
      <c r="A8300">
        <v>74579</v>
      </c>
      <c r="B8300" t="s">
        <v>4</v>
      </c>
      <c r="C8300">
        <v>4</v>
      </c>
      <c r="D8300" t="s">
        <v>5</v>
      </c>
      <c r="F8300" t="str" cm="1">
        <f t="array" ref="F8300">CategorizeComment(E8300)</f>
        <v>Other</v>
      </c>
      <c r="G8300" t="str" cm="1">
        <f t="array" ref="G8300">SubCategorizeComment(E8300)</f>
        <v>Other</v>
      </c>
    </row>
    <row r="8301" spans="1:7" x14ac:dyDescent="0.25">
      <c r="A8301">
        <v>74581</v>
      </c>
      <c r="B8301" t="s">
        <v>4</v>
      </c>
      <c r="C8301">
        <v>4</v>
      </c>
      <c r="D8301" t="s">
        <v>5</v>
      </c>
      <c r="F8301" t="str" cm="1">
        <f t="array" ref="F8301">CategorizeComment(E8301)</f>
        <v>Other</v>
      </c>
      <c r="G8301" t="str" cm="1">
        <f t="array" ref="G8301">SubCategorizeComment(E8301)</f>
        <v>Other</v>
      </c>
    </row>
    <row r="8302" spans="1:7" x14ac:dyDescent="0.25">
      <c r="A8302">
        <v>74582</v>
      </c>
      <c r="B8302" t="s">
        <v>4</v>
      </c>
      <c r="C8302">
        <v>3</v>
      </c>
      <c r="D8302" t="s">
        <v>5</v>
      </c>
      <c r="F8302" t="str" cm="1">
        <f t="array" ref="F8302">CategorizeComment(E8302)</f>
        <v>Other</v>
      </c>
      <c r="G8302" t="str" cm="1">
        <f t="array" ref="G8302">SubCategorizeComment(E8302)</f>
        <v>Other</v>
      </c>
    </row>
    <row r="8303" spans="1:7" x14ac:dyDescent="0.25">
      <c r="A8303">
        <v>74584</v>
      </c>
      <c r="B8303" t="s">
        <v>4</v>
      </c>
      <c r="C8303">
        <v>3</v>
      </c>
      <c r="D8303" t="s">
        <v>5</v>
      </c>
      <c r="F8303" t="str" cm="1">
        <f t="array" ref="F8303">CategorizeComment(E8303)</f>
        <v>Other</v>
      </c>
      <c r="G8303" t="str" cm="1">
        <f t="array" ref="G8303">SubCategorizeComment(E8303)</f>
        <v>Other</v>
      </c>
    </row>
    <row r="8304" spans="1:7" x14ac:dyDescent="0.25">
      <c r="A8304">
        <v>74592</v>
      </c>
      <c r="B8304" t="s">
        <v>4</v>
      </c>
      <c r="C8304">
        <v>4</v>
      </c>
      <c r="D8304" t="s">
        <v>5</v>
      </c>
      <c r="F8304" t="str" cm="1">
        <f t="array" ref="F8304">CategorizeComment(E8304)</f>
        <v>Other</v>
      </c>
      <c r="G8304" t="str" cm="1">
        <f t="array" ref="G8304">SubCategorizeComment(E8304)</f>
        <v>Other</v>
      </c>
    </row>
    <row r="8305" spans="1:7" x14ac:dyDescent="0.25">
      <c r="A8305">
        <v>74602</v>
      </c>
      <c r="B8305" t="s">
        <v>4</v>
      </c>
      <c r="C8305">
        <v>3</v>
      </c>
      <c r="D8305" t="s">
        <v>5</v>
      </c>
      <c r="F8305" t="str" cm="1">
        <f t="array" ref="F8305">CategorizeComment(E8305)</f>
        <v>Other</v>
      </c>
      <c r="G8305" t="str" cm="1">
        <f t="array" ref="G8305">SubCategorizeComment(E8305)</f>
        <v>Other</v>
      </c>
    </row>
    <row r="8306" spans="1:7" x14ac:dyDescent="0.25">
      <c r="A8306">
        <v>74617</v>
      </c>
      <c r="B8306" t="s">
        <v>4</v>
      </c>
      <c r="C8306">
        <v>4</v>
      </c>
      <c r="D8306" t="s">
        <v>5</v>
      </c>
      <c r="F8306" t="str" cm="1">
        <f t="array" ref="F8306">CategorizeComment(E8306)</f>
        <v>Other</v>
      </c>
      <c r="G8306" t="str" cm="1">
        <f t="array" ref="G8306">SubCategorizeComment(E8306)</f>
        <v>Other</v>
      </c>
    </row>
    <row r="8307" spans="1:7" x14ac:dyDescent="0.25">
      <c r="A8307">
        <v>74670</v>
      </c>
      <c r="B8307" t="s">
        <v>4</v>
      </c>
      <c r="C8307">
        <v>3</v>
      </c>
      <c r="D8307" t="s">
        <v>5</v>
      </c>
      <c r="F8307" t="str" cm="1">
        <f t="array" ref="F8307">CategorizeComment(E8307)</f>
        <v>Other</v>
      </c>
      <c r="G8307" t="str" cm="1">
        <f t="array" ref="G8307">SubCategorizeComment(E8307)</f>
        <v>Other</v>
      </c>
    </row>
    <row r="8308" spans="1:7" x14ac:dyDescent="0.25">
      <c r="A8308">
        <v>74671</v>
      </c>
      <c r="B8308" t="s">
        <v>4</v>
      </c>
      <c r="C8308">
        <v>4</v>
      </c>
      <c r="D8308" t="s">
        <v>5</v>
      </c>
      <c r="F8308" t="str" cm="1">
        <f t="array" ref="F8308">CategorizeComment(E8308)</f>
        <v>Other</v>
      </c>
      <c r="G8308" t="str" cm="1">
        <f t="array" ref="G8308">SubCategorizeComment(E8308)</f>
        <v>Other</v>
      </c>
    </row>
    <row r="8309" spans="1:7" x14ac:dyDescent="0.25">
      <c r="A8309">
        <v>74681</v>
      </c>
      <c r="B8309" t="s">
        <v>4</v>
      </c>
      <c r="C8309">
        <v>4</v>
      </c>
      <c r="D8309" t="s">
        <v>5</v>
      </c>
      <c r="F8309" t="str" cm="1">
        <f t="array" ref="F8309">CategorizeComment(E8309)</f>
        <v>Other</v>
      </c>
      <c r="G8309" t="str" cm="1">
        <f t="array" ref="G8309">SubCategorizeComment(E8309)</f>
        <v>Other</v>
      </c>
    </row>
    <row r="8310" spans="1:7" x14ac:dyDescent="0.25">
      <c r="A8310">
        <v>74683</v>
      </c>
      <c r="B8310" t="s">
        <v>4</v>
      </c>
      <c r="C8310">
        <v>4</v>
      </c>
      <c r="D8310" t="s">
        <v>5</v>
      </c>
      <c r="F8310" t="str" cm="1">
        <f t="array" ref="F8310">CategorizeComment(E8310)</f>
        <v>Other</v>
      </c>
      <c r="G8310" t="str" cm="1">
        <f t="array" ref="G8310">SubCategorizeComment(E8310)</f>
        <v>Other</v>
      </c>
    </row>
    <row r="8311" spans="1:7" x14ac:dyDescent="0.25">
      <c r="A8311">
        <v>74684</v>
      </c>
      <c r="B8311" t="s">
        <v>4</v>
      </c>
      <c r="C8311">
        <v>3</v>
      </c>
      <c r="D8311" t="s">
        <v>5</v>
      </c>
      <c r="F8311" t="str" cm="1">
        <f t="array" ref="F8311">CategorizeComment(E8311)</f>
        <v>Other</v>
      </c>
      <c r="G8311" t="str" cm="1">
        <f t="array" ref="G8311">SubCategorizeComment(E8311)</f>
        <v>Other</v>
      </c>
    </row>
    <row r="8312" spans="1:7" x14ac:dyDescent="0.25">
      <c r="A8312">
        <v>74688</v>
      </c>
      <c r="B8312" t="s">
        <v>4</v>
      </c>
      <c r="C8312">
        <v>3</v>
      </c>
      <c r="D8312" t="s">
        <v>5</v>
      </c>
      <c r="F8312" t="str" cm="1">
        <f t="array" ref="F8312">CategorizeComment(E8312)</f>
        <v>Other</v>
      </c>
      <c r="G8312" t="str" cm="1">
        <f t="array" ref="G8312">SubCategorizeComment(E8312)</f>
        <v>Other</v>
      </c>
    </row>
    <row r="8313" spans="1:7" x14ac:dyDescent="0.25">
      <c r="A8313">
        <v>74689</v>
      </c>
      <c r="B8313" t="s">
        <v>4</v>
      </c>
      <c r="C8313">
        <v>4</v>
      </c>
      <c r="D8313" t="s">
        <v>5</v>
      </c>
      <c r="F8313" t="str" cm="1">
        <f t="array" ref="F8313">CategorizeComment(E8313)</f>
        <v>Other</v>
      </c>
      <c r="G8313" t="str" cm="1">
        <f t="array" ref="G8313">SubCategorizeComment(E8313)</f>
        <v>Other</v>
      </c>
    </row>
    <row r="8314" spans="1:7" x14ac:dyDescent="0.25">
      <c r="A8314">
        <v>74707</v>
      </c>
      <c r="B8314" t="s">
        <v>4</v>
      </c>
      <c r="C8314">
        <v>4</v>
      </c>
      <c r="D8314" t="s">
        <v>5</v>
      </c>
      <c r="F8314" t="str" cm="1">
        <f t="array" ref="F8314">CategorizeComment(E8314)</f>
        <v>Other</v>
      </c>
      <c r="G8314" t="str" cm="1">
        <f t="array" ref="G8314">SubCategorizeComment(E8314)</f>
        <v>Other</v>
      </c>
    </row>
    <row r="8315" spans="1:7" x14ac:dyDescent="0.25">
      <c r="A8315">
        <v>74716</v>
      </c>
      <c r="B8315" t="s">
        <v>4</v>
      </c>
      <c r="C8315">
        <v>3</v>
      </c>
      <c r="D8315" t="s">
        <v>5</v>
      </c>
      <c r="F8315" t="str" cm="1">
        <f t="array" ref="F8315">CategorizeComment(E8315)</f>
        <v>Other</v>
      </c>
      <c r="G8315" t="str" cm="1">
        <f t="array" ref="G8315">SubCategorizeComment(E8315)</f>
        <v>Other</v>
      </c>
    </row>
    <row r="8316" spans="1:7" x14ac:dyDescent="0.25">
      <c r="A8316">
        <v>74725</v>
      </c>
      <c r="B8316" t="s">
        <v>4</v>
      </c>
      <c r="C8316">
        <v>4</v>
      </c>
      <c r="D8316" t="s">
        <v>5</v>
      </c>
      <c r="F8316" t="str" cm="1">
        <f t="array" ref="F8316">CategorizeComment(E8316)</f>
        <v>Other</v>
      </c>
      <c r="G8316" t="str" cm="1">
        <f t="array" ref="G8316">SubCategorizeComment(E8316)</f>
        <v>Other</v>
      </c>
    </row>
    <row r="8317" spans="1:7" x14ac:dyDescent="0.25">
      <c r="A8317">
        <v>74745</v>
      </c>
      <c r="B8317" t="s">
        <v>4</v>
      </c>
      <c r="C8317">
        <v>4</v>
      </c>
      <c r="D8317" t="s">
        <v>5</v>
      </c>
      <c r="F8317" t="str" cm="1">
        <f t="array" ref="F8317">CategorizeComment(E8317)</f>
        <v>Other</v>
      </c>
      <c r="G8317" t="str" cm="1">
        <f t="array" ref="G8317">SubCategorizeComment(E8317)</f>
        <v>Other</v>
      </c>
    </row>
    <row r="8318" spans="1:7" x14ac:dyDescent="0.25">
      <c r="A8318">
        <v>74798</v>
      </c>
      <c r="B8318" t="s">
        <v>4</v>
      </c>
      <c r="C8318">
        <v>3</v>
      </c>
      <c r="D8318" t="s">
        <v>5</v>
      </c>
      <c r="F8318" t="str" cm="1">
        <f t="array" ref="F8318">CategorizeComment(E8318)</f>
        <v>Other</v>
      </c>
      <c r="G8318" t="str" cm="1">
        <f t="array" ref="G8318">SubCategorizeComment(E8318)</f>
        <v>Other</v>
      </c>
    </row>
    <row r="8319" spans="1:7" x14ac:dyDescent="0.25">
      <c r="A8319">
        <v>74806</v>
      </c>
      <c r="B8319" t="s">
        <v>4</v>
      </c>
      <c r="C8319">
        <v>3</v>
      </c>
      <c r="D8319" t="s">
        <v>5</v>
      </c>
      <c r="F8319" t="str" cm="1">
        <f t="array" ref="F8319">CategorizeComment(E8319)</f>
        <v>Other</v>
      </c>
      <c r="G8319" t="str" cm="1">
        <f t="array" ref="G8319">SubCategorizeComment(E8319)</f>
        <v>Other</v>
      </c>
    </row>
    <row r="8320" spans="1:7" x14ac:dyDescent="0.25">
      <c r="A8320">
        <v>74810</v>
      </c>
      <c r="B8320" t="s">
        <v>4</v>
      </c>
      <c r="C8320">
        <v>4</v>
      </c>
      <c r="D8320" t="s">
        <v>5</v>
      </c>
      <c r="F8320" t="str" cm="1">
        <f t="array" ref="F8320">CategorizeComment(E8320)</f>
        <v>Other</v>
      </c>
      <c r="G8320" t="str" cm="1">
        <f t="array" ref="G8320">SubCategorizeComment(E8320)</f>
        <v>Other</v>
      </c>
    </row>
    <row r="8321" spans="1:7" x14ac:dyDescent="0.25">
      <c r="A8321">
        <v>74811</v>
      </c>
      <c r="B8321" t="s">
        <v>4</v>
      </c>
      <c r="C8321">
        <v>3</v>
      </c>
      <c r="D8321" t="s">
        <v>5</v>
      </c>
      <c r="F8321" t="str" cm="1">
        <f t="array" ref="F8321">CategorizeComment(E8321)</f>
        <v>Other</v>
      </c>
      <c r="G8321" t="str" cm="1">
        <f t="array" ref="G8321">SubCategorizeComment(E8321)</f>
        <v>Other</v>
      </c>
    </row>
    <row r="8322" spans="1:7" x14ac:dyDescent="0.25">
      <c r="A8322">
        <v>74835</v>
      </c>
      <c r="B8322" t="s">
        <v>4</v>
      </c>
      <c r="C8322">
        <v>3</v>
      </c>
      <c r="D8322" t="s">
        <v>5</v>
      </c>
      <c r="F8322" t="str" cm="1">
        <f t="array" ref="F8322">CategorizeComment(E8322)</f>
        <v>Other</v>
      </c>
      <c r="G8322" t="str" cm="1">
        <f t="array" ref="G8322">SubCategorizeComment(E8322)</f>
        <v>Other</v>
      </c>
    </row>
    <row r="8323" spans="1:7" x14ac:dyDescent="0.25">
      <c r="A8323">
        <v>74852</v>
      </c>
      <c r="B8323" t="s">
        <v>4</v>
      </c>
      <c r="C8323">
        <v>4</v>
      </c>
      <c r="D8323" t="s">
        <v>5</v>
      </c>
      <c r="F8323" t="str" cm="1">
        <f t="array" ref="F8323">CategorizeComment(E8323)</f>
        <v>Other</v>
      </c>
      <c r="G8323" t="str" cm="1">
        <f t="array" ref="G8323">SubCategorizeComment(E8323)</f>
        <v>Other</v>
      </c>
    </row>
    <row r="8324" spans="1:7" x14ac:dyDescent="0.25">
      <c r="A8324">
        <v>74861</v>
      </c>
      <c r="B8324" t="s">
        <v>4</v>
      </c>
      <c r="C8324">
        <v>4</v>
      </c>
      <c r="D8324" t="s">
        <v>5</v>
      </c>
      <c r="F8324" t="str" cm="1">
        <f t="array" ref="F8324">CategorizeComment(E8324)</f>
        <v>Other</v>
      </c>
      <c r="G8324" t="str" cm="1">
        <f t="array" ref="G8324">SubCategorizeComment(E8324)</f>
        <v>Other</v>
      </c>
    </row>
    <row r="8325" spans="1:7" x14ac:dyDescent="0.25">
      <c r="A8325">
        <v>74873</v>
      </c>
      <c r="B8325" t="s">
        <v>4</v>
      </c>
      <c r="C8325">
        <v>3</v>
      </c>
      <c r="D8325" t="s">
        <v>5</v>
      </c>
      <c r="F8325" t="str" cm="1">
        <f t="array" ref="F8325">CategorizeComment(E8325)</f>
        <v>Other</v>
      </c>
      <c r="G8325" t="str" cm="1">
        <f t="array" ref="G8325">SubCategorizeComment(E8325)</f>
        <v>Other</v>
      </c>
    </row>
    <row r="8326" spans="1:7" x14ac:dyDescent="0.25">
      <c r="A8326">
        <v>74874</v>
      </c>
      <c r="B8326" t="s">
        <v>4</v>
      </c>
      <c r="C8326">
        <v>3</v>
      </c>
      <c r="D8326" t="s">
        <v>5</v>
      </c>
      <c r="F8326" t="str" cm="1">
        <f t="array" ref="F8326">CategorizeComment(E8326)</f>
        <v>Other</v>
      </c>
      <c r="G8326" t="str" cm="1">
        <f t="array" ref="G8326">SubCategorizeComment(E8326)</f>
        <v>Other</v>
      </c>
    </row>
    <row r="8327" spans="1:7" x14ac:dyDescent="0.25">
      <c r="A8327">
        <v>74901</v>
      </c>
      <c r="B8327" t="s">
        <v>4</v>
      </c>
      <c r="C8327">
        <v>4</v>
      </c>
      <c r="D8327" t="s">
        <v>5</v>
      </c>
      <c r="F8327" t="str" cm="1">
        <f t="array" ref="F8327">CategorizeComment(E8327)</f>
        <v>Other</v>
      </c>
      <c r="G8327" t="str" cm="1">
        <f t="array" ref="G8327">SubCategorizeComment(E8327)</f>
        <v>Other</v>
      </c>
    </row>
    <row r="8328" spans="1:7" x14ac:dyDescent="0.25">
      <c r="A8328">
        <v>74924</v>
      </c>
      <c r="B8328" t="s">
        <v>4</v>
      </c>
      <c r="C8328">
        <v>4</v>
      </c>
      <c r="D8328" t="s">
        <v>5</v>
      </c>
      <c r="F8328" t="str" cm="1">
        <f t="array" ref="F8328">CategorizeComment(E8328)</f>
        <v>Other</v>
      </c>
      <c r="G8328" t="str" cm="1">
        <f t="array" ref="G8328">SubCategorizeComment(E8328)</f>
        <v>Other</v>
      </c>
    </row>
    <row r="8329" spans="1:7" x14ac:dyDescent="0.25">
      <c r="A8329">
        <v>74927</v>
      </c>
      <c r="B8329" t="s">
        <v>4</v>
      </c>
      <c r="C8329">
        <v>4</v>
      </c>
      <c r="D8329" t="s">
        <v>5</v>
      </c>
      <c r="F8329" t="str" cm="1">
        <f t="array" ref="F8329">CategorizeComment(E8329)</f>
        <v>Other</v>
      </c>
      <c r="G8329" t="str" cm="1">
        <f t="array" ref="G8329">SubCategorizeComment(E8329)</f>
        <v>Other</v>
      </c>
    </row>
    <row r="8330" spans="1:7" x14ac:dyDescent="0.25">
      <c r="A8330">
        <v>74932</v>
      </c>
      <c r="B8330" t="s">
        <v>4</v>
      </c>
      <c r="C8330">
        <v>4</v>
      </c>
      <c r="D8330" t="s">
        <v>5</v>
      </c>
      <c r="F8330" t="str" cm="1">
        <f t="array" ref="F8330">CategorizeComment(E8330)</f>
        <v>Other</v>
      </c>
      <c r="G8330" t="str" cm="1">
        <f t="array" ref="G8330">SubCategorizeComment(E8330)</f>
        <v>Other</v>
      </c>
    </row>
    <row r="8331" spans="1:7" x14ac:dyDescent="0.25">
      <c r="A8331">
        <v>74938</v>
      </c>
      <c r="B8331" t="s">
        <v>4</v>
      </c>
      <c r="C8331">
        <v>4</v>
      </c>
      <c r="D8331" t="s">
        <v>5</v>
      </c>
      <c r="F8331" t="str" cm="1">
        <f t="array" ref="F8331">CategorizeComment(E8331)</f>
        <v>Other</v>
      </c>
      <c r="G8331" t="str" cm="1">
        <f t="array" ref="G8331">SubCategorizeComment(E8331)</f>
        <v>Other</v>
      </c>
    </row>
    <row r="8332" spans="1:7" x14ac:dyDescent="0.25">
      <c r="A8332">
        <v>74941</v>
      </c>
      <c r="B8332" t="s">
        <v>4</v>
      </c>
      <c r="C8332">
        <v>4</v>
      </c>
      <c r="D8332" t="s">
        <v>5</v>
      </c>
      <c r="F8332" t="str" cm="1">
        <f t="array" ref="F8332">CategorizeComment(E8332)</f>
        <v>Other</v>
      </c>
      <c r="G8332" t="str" cm="1">
        <f t="array" ref="G8332">SubCategorizeComment(E8332)</f>
        <v>Other</v>
      </c>
    </row>
    <row r="8333" spans="1:7" x14ac:dyDescent="0.25">
      <c r="A8333">
        <v>74949</v>
      </c>
      <c r="B8333" t="s">
        <v>4</v>
      </c>
      <c r="C8333">
        <v>4</v>
      </c>
      <c r="D8333" t="s">
        <v>5</v>
      </c>
      <c r="F8333" t="str" cm="1">
        <f t="array" ref="F8333">CategorizeComment(E8333)</f>
        <v>Other</v>
      </c>
      <c r="G8333" t="str" cm="1">
        <f t="array" ref="G8333">SubCategorizeComment(E8333)</f>
        <v>Other</v>
      </c>
    </row>
    <row r="8334" spans="1:7" x14ac:dyDescent="0.25">
      <c r="A8334">
        <v>74957</v>
      </c>
      <c r="B8334" t="s">
        <v>4</v>
      </c>
      <c r="C8334">
        <v>3</v>
      </c>
      <c r="D8334" t="s">
        <v>5</v>
      </c>
      <c r="F8334" t="str" cm="1">
        <f t="array" ref="F8334">CategorizeComment(E8334)</f>
        <v>Other</v>
      </c>
      <c r="G8334" t="str" cm="1">
        <f t="array" ref="G8334">SubCategorizeComment(E8334)</f>
        <v>Other</v>
      </c>
    </row>
    <row r="8335" spans="1:7" x14ac:dyDescent="0.25">
      <c r="A8335">
        <v>74965</v>
      </c>
      <c r="B8335" t="s">
        <v>4</v>
      </c>
      <c r="C8335">
        <v>3</v>
      </c>
      <c r="D8335" t="s">
        <v>5</v>
      </c>
      <c r="F8335" t="str" cm="1">
        <f t="array" ref="F8335">CategorizeComment(E8335)</f>
        <v>Other</v>
      </c>
      <c r="G8335" t="str" cm="1">
        <f t="array" ref="G8335">SubCategorizeComment(E8335)</f>
        <v>Other</v>
      </c>
    </row>
    <row r="8336" spans="1:7" x14ac:dyDescent="0.25">
      <c r="A8336">
        <v>74969</v>
      </c>
      <c r="B8336" t="s">
        <v>4</v>
      </c>
      <c r="C8336">
        <v>4</v>
      </c>
      <c r="D8336" t="s">
        <v>5</v>
      </c>
      <c r="F8336" t="str" cm="1">
        <f t="array" ref="F8336">CategorizeComment(E8336)</f>
        <v>Other</v>
      </c>
      <c r="G8336" t="str" cm="1">
        <f t="array" ref="G8336">SubCategorizeComment(E8336)</f>
        <v>Other</v>
      </c>
    </row>
    <row r="8337" spans="1:7" x14ac:dyDescent="0.25">
      <c r="A8337">
        <v>74972</v>
      </c>
      <c r="B8337" t="s">
        <v>4</v>
      </c>
      <c r="C8337">
        <v>4</v>
      </c>
      <c r="D8337" t="s">
        <v>5</v>
      </c>
      <c r="F8337" t="str" cm="1">
        <f t="array" ref="F8337">CategorizeComment(E8337)</f>
        <v>Other</v>
      </c>
      <c r="G8337" t="str" cm="1">
        <f t="array" ref="G8337">SubCategorizeComment(E8337)</f>
        <v>Other</v>
      </c>
    </row>
    <row r="8338" spans="1:7" x14ac:dyDescent="0.25">
      <c r="A8338">
        <v>74975</v>
      </c>
      <c r="B8338" t="s">
        <v>4</v>
      </c>
      <c r="C8338">
        <v>4</v>
      </c>
      <c r="D8338" t="s">
        <v>5</v>
      </c>
      <c r="F8338" t="str" cm="1">
        <f t="array" ref="F8338">CategorizeComment(E8338)</f>
        <v>Other</v>
      </c>
      <c r="G8338" t="str" cm="1">
        <f t="array" ref="G8338">SubCategorizeComment(E8338)</f>
        <v>Other</v>
      </c>
    </row>
    <row r="8339" spans="1:7" x14ac:dyDescent="0.25">
      <c r="A8339">
        <v>74998</v>
      </c>
      <c r="B8339" t="s">
        <v>4</v>
      </c>
      <c r="C8339">
        <v>3</v>
      </c>
      <c r="D8339" t="s">
        <v>5</v>
      </c>
      <c r="F8339" t="str" cm="1">
        <f t="array" ref="F8339">CategorizeComment(E8339)</f>
        <v>Other</v>
      </c>
      <c r="G8339" t="str" cm="1">
        <f t="array" ref="G8339">SubCategorizeComment(E8339)</f>
        <v>Other</v>
      </c>
    </row>
    <row r="8340" spans="1:7" x14ac:dyDescent="0.25">
      <c r="A8340">
        <v>75003</v>
      </c>
      <c r="B8340" t="s">
        <v>4</v>
      </c>
      <c r="C8340">
        <v>3</v>
      </c>
      <c r="D8340" t="s">
        <v>5</v>
      </c>
      <c r="F8340" t="str" cm="1">
        <f t="array" ref="F8340">CategorizeComment(E8340)</f>
        <v>Other</v>
      </c>
      <c r="G8340" t="str" cm="1">
        <f t="array" ref="G8340">SubCategorizeComment(E8340)</f>
        <v>Other</v>
      </c>
    </row>
    <row r="8341" spans="1:7" x14ac:dyDescent="0.25">
      <c r="A8341">
        <v>75020</v>
      </c>
      <c r="B8341" t="s">
        <v>4</v>
      </c>
      <c r="C8341">
        <v>3</v>
      </c>
      <c r="D8341" t="s">
        <v>5</v>
      </c>
      <c r="F8341" t="str" cm="1">
        <f t="array" ref="F8341">CategorizeComment(E8341)</f>
        <v>Other</v>
      </c>
      <c r="G8341" t="str" cm="1">
        <f t="array" ref="G8341">SubCategorizeComment(E8341)</f>
        <v>Other</v>
      </c>
    </row>
    <row r="8342" spans="1:7" x14ac:dyDescent="0.25">
      <c r="A8342">
        <v>75023</v>
      </c>
      <c r="B8342" t="s">
        <v>4</v>
      </c>
      <c r="C8342">
        <v>4</v>
      </c>
      <c r="D8342" t="s">
        <v>5</v>
      </c>
      <c r="F8342" t="str" cm="1">
        <f t="array" ref="F8342">CategorizeComment(E8342)</f>
        <v>Other</v>
      </c>
      <c r="G8342" t="str" cm="1">
        <f t="array" ref="G8342">SubCategorizeComment(E8342)</f>
        <v>Other</v>
      </c>
    </row>
    <row r="8343" spans="1:7" x14ac:dyDescent="0.25">
      <c r="A8343">
        <v>75031</v>
      </c>
      <c r="B8343" t="s">
        <v>4</v>
      </c>
      <c r="C8343">
        <v>4</v>
      </c>
      <c r="D8343" t="s">
        <v>5</v>
      </c>
      <c r="F8343" t="str" cm="1">
        <f t="array" ref="F8343">CategorizeComment(E8343)</f>
        <v>Other</v>
      </c>
      <c r="G8343" t="str" cm="1">
        <f t="array" ref="G8343">SubCategorizeComment(E8343)</f>
        <v>Other</v>
      </c>
    </row>
    <row r="8344" spans="1:7" x14ac:dyDescent="0.25">
      <c r="A8344">
        <v>75035</v>
      </c>
      <c r="B8344" t="s">
        <v>4</v>
      </c>
      <c r="C8344">
        <v>3</v>
      </c>
      <c r="D8344" t="s">
        <v>5</v>
      </c>
      <c r="F8344" t="str" cm="1">
        <f t="array" ref="F8344">CategorizeComment(E8344)</f>
        <v>Other</v>
      </c>
      <c r="G8344" t="str" cm="1">
        <f t="array" ref="G8344">SubCategorizeComment(E8344)</f>
        <v>Other</v>
      </c>
    </row>
    <row r="8345" spans="1:7" x14ac:dyDescent="0.25">
      <c r="A8345">
        <v>75040</v>
      </c>
      <c r="B8345" t="s">
        <v>4</v>
      </c>
      <c r="C8345">
        <v>4</v>
      </c>
      <c r="D8345" t="s">
        <v>5</v>
      </c>
      <c r="F8345" t="str" cm="1">
        <f t="array" ref="F8345">CategorizeComment(E8345)</f>
        <v>Other</v>
      </c>
      <c r="G8345" t="str" cm="1">
        <f t="array" ref="G8345">SubCategorizeComment(E8345)</f>
        <v>Other</v>
      </c>
    </row>
    <row r="8346" spans="1:7" x14ac:dyDescent="0.25">
      <c r="A8346">
        <v>75041</v>
      </c>
      <c r="B8346" t="s">
        <v>4</v>
      </c>
      <c r="C8346">
        <v>3</v>
      </c>
      <c r="D8346" t="s">
        <v>5</v>
      </c>
      <c r="F8346" t="str" cm="1">
        <f t="array" ref="F8346">CategorizeComment(E8346)</f>
        <v>Other</v>
      </c>
      <c r="G8346" t="str" cm="1">
        <f t="array" ref="G8346">SubCategorizeComment(E8346)</f>
        <v>Other</v>
      </c>
    </row>
    <row r="8347" spans="1:7" x14ac:dyDescent="0.25">
      <c r="A8347">
        <v>75043</v>
      </c>
      <c r="B8347" t="s">
        <v>4</v>
      </c>
      <c r="C8347">
        <v>3</v>
      </c>
      <c r="D8347" t="s">
        <v>5</v>
      </c>
      <c r="F8347" t="str" cm="1">
        <f t="array" ref="F8347">CategorizeComment(E8347)</f>
        <v>Other</v>
      </c>
      <c r="G8347" t="str" cm="1">
        <f t="array" ref="G8347">SubCategorizeComment(E8347)</f>
        <v>Other</v>
      </c>
    </row>
    <row r="8348" spans="1:7" x14ac:dyDescent="0.25">
      <c r="A8348">
        <v>75050</v>
      </c>
      <c r="B8348" t="s">
        <v>4</v>
      </c>
      <c r="C8348">
        <v>4</v>
      </c>
      <c r="D8348" t="s">
        <v>5</v>
      </c>
      <c r="F8348" t="str" cm="1">
        <f t="array" ref="F8348">CategorizeComment(E8348)</f>
        <v>Other</v>
      </c>
      <c r="G8348" t="str" cm="1">
        <f t="array" ref="G8348">SubCategorizeComment(E8348)</f>
        <v>Other</v>
      </c>
    </row>
    <row r="8349" spans="1:7" x14ac:dyDescent="0.25">
      <c r="A8349">
        <v>75056</v>
      </c>
      <c r="B8349" t="s">
        <v>4</v>
      </c>
      <c r="C8349">
        <v>3</v>
      </c>
      <c r="D8349" t="s">
        <v>5</v>
      </c>
      <c r="F8349" t="str" cm="1">
        <f t="array" ref="F8349">CategorizeComment(E8349)</f>
        <v>Other</v>
      </c>
      <c r="G8349" t="str" cm="1">
        <f t="array" ref="G8349">SubCategorizeComment(E8349)</f>
        <v>Other</v>
      </c>
    </row>
    <row r="8350" spans="1:7" x14ac:dyDescent="0.25">
      <c r="A8350">
        <v>75075</v>
      </c>
      <c r="B8350" t="s">
        <v>4</v>
      </c>
      <c r="C8350">
        <v>3</v>
      </c>
      <c r="D8350" t="s">
        <v>5</v>
      </c>
      <c r="F8350" t="str" cm="1">
        <f t="array" ref="F8350">CategorizeComment(E8350)</f>
        <v>Other</v>
      </c>
      <c r="G8350" t="str" cm="1">
        <f t="array" ref="G8350">SubCategorizeComment(E8350)</f>
        <v>Other</v>
      </c>
    </row>
    <row r="8351" spans="1:7" x14ac:dyDescent="0.25">
      <c r="A8351">
        <v>75076</v>
      </c>
      <c r="B8351" t="s">
        <v>4</v>
      </c>
      <c r="C8351">
        <v>3</v>
      </c>
      <c r="D8351" t="s">
        <v>5</v>
      </c>
      <c r="F8351" t="str" cm="1">
        <f t="array" ref="F8351">CategorizeComment(E8351)</f>
        <v>Other</v>
      </c>
      <c r="G8351" t="str" cm="1">
        <f t="array" ref="G8351">SubCategorizeComment(E8351)</f>
        <v>Other</v>
      </c>
    </row>
    <row r="8352" spans="1:7" x14ac:dyDescent="0.25">
      <c r="A8352">
        <v>75077</v>
      </c>
      <c r="B8352" t="s">
        <v>4</v>
      </c>
      <c r="C8352">
        <v>3</v>
      </c>
      <c r="D8352" t="s">
        <v>5</v>
      </c>
      <c r="F8352" t="str" cm="1">
        <f t="array" ref="F8352">CategorizeComment(E8352)</f>
        <v>Other</v>
      </c>
      <c r="G8352" t="str" cm="1">
        <f t="array" ref="G8352">SubCategorizeComment(E8352)</f>
        <v>Other</v>
      </c>
    </row>
    <row r="8353" spans="1:7" x14ac:dyDescent="0.25">
      <c r="A8353">
        <v>75081</v>
      </c>
      <c r="B8353" t="s">
        <v>4</v>
      </c>
      <c r="C8353">
        <v>4</v>
      </c>
      <c r="D8353" t="s">
        <v>5</v>
      </c>
      <c r="F8353" t="str" cm="1">
        <f t="array" ref="F8353">CategorizeComment(E8353)</f>
        <v>Other</v>
      </c>
      <c r="G8353" t="str" cm="1">
        <f t="array" ref="G8353">SubCategorizeComment(E8353)</f>
        <v>Other</v>
      </c>
    </row>
    <row r="8354" spans="1:7" x14ac:dyDescent="0.25">
      <c r="A8354">
        <v>75157</v>
      </c>
      <c r="B8354" t="s">
        <v>4</v>
      </c>
      <c r="C8354">
        <v>4</v>
      </c>
      <c r="D8354" t="s">
        <v>5</v>
      </c>
      <c r="F8354" t="str" cm="1">
        <f t="array" ref="F8354">CategorizeComment(E8354)</f>
        <v>Other</v>
      </c>
      <c r="G8354" t="str" cm="1">
        <f t="array" ref="G8354">SubCategorizeComment(E8354)</f>
        <v>Other</v>
      </c>
    </row>
    <row r="8355" spans="1:7" x14ac:dyDescent="0.25">
      <c r="A8355">
        <v>75168</v>
      </c>
      <c r="B8355" t="s">
        <v>4</v>
      </c>
      <c r="C8355">
        <v>3</v>
      </c>
      <c r="D8355" t="s">
        <v>5</v>
      </c>
      <c r="F8355" t="str" cm="1">
        <f t="array" ref="F8355">CategorizeComment(E8355)</f>
        <v>Other</v>
      </c>
      <c r="G8355" t="str" cm="1">
        <f t="array" ref="G8355">SubCategorizeComment(E8355)</f>
        <v>Other</v>
      </c>
    </row>
    <row r="8356" spans="1:7" x14ac:dyDescent="0.25">
      <c r="A8356">
        <v>75169</v>
      </c>
      <c r="B8356" t="s">
        <v>4</v>
      </c>
      <c r="C8356">
        <v>4</v>
      </c>
      <c r="D8356" t="s">
        <v>5</v>
      </c>
      <c r="F8356" t="str" cm="1">
        <f t="array" ref="F8356">CategorizeComment(E8356)</f>
        <v>Other</v>
      </c>
      <c r="G8356" t="str" cm="1">
        <f t="array" ref="G8356">SubCategorizeComment(E8356)</f>
        <v>Other</v>
      </c>
    </row>
    <row r="8357" spans="1:7" x14ac:dyDescent="0.25">
      <c r="A8357">
        <v>75190</v>
      </c>
      <c r="B8357" t="s">
        <v>4</v>
      </c>
      <c r="C8357">
        <v>4</v>
      </c>
      <c r="D8357" t="s">
        <v>5</v>
      </c>
      <c r="F8357" t="str" cm="1">
        <f t="array" ref="F8357">CategorizeComment(E8357)</f>
        <v>Other</v>
      </c>
      <c r="G8357" t="str" cm="1">
        <f t="array" ref="G8357">SubCategorizeComment(E8357)</f>
        <v>Other</v>
      </c>
    </row>
    <row r="8358" spans="1:7" x14ac:dyDescent="0.25">
      <c r="A8358">
        <v>75192</v>
      </c>
      <c r="B8358" t="s">
        <v>4</v>
      </c>
      <c r="C8358">
        <v>3</v>
      </c>
      <c r="D8358" t="s">
        <v>5</v>
      </c>
      <c r="F8358" t="str" cm="1">
        <f t="array" ref="F8358">CategorizeComment(E8358)</f>
        <v>Other</v>
      </c>
      <c r="G8358" t="str" cm="1">
        <f t="array" ref="G8358">SubCategorizeComment(E8358)</f>
        <v>Other</v>
      </c>
    </row>
    <row r="8359" spans="1:7" x14ac:dyDescent="0.25">
      <c r="A8359">
        <v>75195</v>
      </c>
      <c r="B8359" t="s">
        <v>4</v>
      </c>
      <c r="C8359">
        <v>4</v>
      </c>
      <c r="D8359" t="s">
        <v>5</v>
      </c>
      <c r="F8359" t="str" cm="1">
        <f t="array" ref="F8359">CategorizeComment(E8359)</f>
        <v>Other</v>
      </c>
      <c r="G8359" t="str" cm="1">
        <f t="array" ref="G8359">SubCategorizeComment(E8359)</f>
        <v>Other</v>
      </c>
    </row>
    <row r="8360" spans="1:7" x14ac:dyDescent="0.25">
      <c r="A8360">
        <v>75196</v>
      </c>
      <c r="B8360" t="s">
        <v>4</v>
      </c>
      <c r="C8360">
        <v>4</v>
      </c>
      <c r="D8360" t="s">
        <v>5</v>
      </c>
      <c r="F8360" t="str" cm="1">
        <f t="array" ref="F8360">CategorizeComment(E8360)</f>
        <v>Other</v>
      </c>
      <c r="G8360" t="str" cm="1">
        <f t="array" ref="G8360">SubCategorizeComment(E8360)</f>
        <v>Other</v>
      </c>
    </row>
    <row r="8361" spans="1:7" x14ac:dyDescent="0.25">
      <c r="A8361">
        <v>75203</v>
      </c>
      <c r="B8361" t="s">
        <v>4</v>
      </c>
      <c r="C8361">
        <v>4</v>
      </c>
      <c r="D8361" t="s">
        <v>5</v>
      </c>
      <c r="F8361" t="str" cm="1">
        <f t="array" ref="F8361">CategorizeComment(E8361)</f>
        <v>Other</v>
      </c>
      <c r="G8361" t="str" cm="1">
        <f t="array" ref="G8361">SubCategorizeComment(E8361)</f>
        <v>Other</v>
      </c>
    </row>
    <row r="8362" spans="1:7" x14ac:dyDescent="0.25">
      <c r="A8362">
        <v>75204</v>
      </c>
      <c r="B8362" t="s">
        <v>4</v>
      </c>
      <c r="C8362">
        <v>3</v>
      </c>
      <c r="D8362" t="s">
        <v>5</v>
      </c>
      <c r="F8362" t="str" cm="1">
        <f t="array" ref="F8362">CategorizeComment(E8362)</f>
        <v>Other</v>
      </c>
      <c r="G8362" t="str" cm="1">
        <f t="array" ref="G8362">SubCategorizeComment(E8362)</f>
        <v>Other</v>
      </c>
    </row>
    <row r="8363" spans="1:7" x14ac:dyDescent="0.25">
      <c r="A8363">
        <v>75205</v>
      </c>
      <c r="B8363" t="s">
        <v>4</v>
      </c>
      <c r="C8363">
        <v>3</v>
      </c>
      <c r="D8363" t="s">
        <v>5</v>
      </c>
      <c r="F8363" t="str" cm="1">
        <f t="array" ref="F8363">CategorizeComment(E8363)</f>
        <v>Other</v>
      </c>
      <c r="G8363" t="str" cm="1">
        <f t="array" ref="G8363">SubCategorizeComment(E8363)</f>
        <v>Other</v>
      </c>
    </row>
    <row r="8364" spans="1:7" x14ac:dyDescent="0.25">
      <c r="A8364">
        <v>75207</v>
      </c>
      <c r="B8364" t="s">
        <v>4</v>
      </c>
      <c r="C8364">
        <v>3</v>
      </c>
      <c r="D8364" t="s">
        <v>5</v>
      </c>
      <c r="F8364" t="str" cm="1">
        <f t="array" ref="F8364">CategorizeComment(E8364)</f>
        <v>Other</v>
      </c>
      <c r="G8364" t="str" cm="1">
        <f t="array" ref="G8364">SubCategorizeComment(E8364)</f>
        <v>Other</v>
      </c>
    </row>
    <row r="8365" spans="1:7" x14ac:dyDescent="0.25">
      <c r="A8365">
        <v>75209</v>
      </c>
      <c r="B8365" t="s">
        <v>4</v>
      </c>
      <c r="C8365">
        <v>4</v>
      </c>
      <c r="D8365" t="s">
        <v>5</v>
      </c>
      <c r="F8365" t="str" cm="1">
        <f t="array" ref="F8365">CategorizeComment(E8365)</f>
        <v>Other</v>
      </c>
      <c r="G8365" t="str" cm="1">
        <f t="array" ref="G8365">SubCategorizeComment(E8365)</f>
        <v>Other</v>
      </c>
    </row>
    <row r="8366" spans="1:7" x14ac:dyDescent="0.25">
      <c r="A8366">
        <v>75210</v>
      </c>
      <c r="B8366" t="s">
        <v>4</v>
      </c>
      <c r="C8366">
        <v>4</v>
      </c>
      <c r="D8366" t="s">
        <v>5</v>
      </c>
      <c r="F8366" t="str" cm="1">
        <f t="array" ref="F8366">CategorizeComment(E8366)</f>
        <v>Other</v>
      </c>
      <c r="G8366" t="str" cm="1">
        <f t="array" ref="G8366">SubCategorizeComment(E8366)</f>
        <v>Other</v>
      </c>
    </row>
    <row r="8367" spans="1:7" x14ac:dyDescent="0.25">
      <c r="A8367">
        <v>75212</v>
      </c>
      <c r="B8367" t="s">
        <v>4</v>
      </c>
      <c r="C8367">
        <v>3</v>
      </c>
      <c r="D8367" t="s">
        <v>5</v>
      </c>
      <c r="F8367" t="str" cm="1">
        <f t="array" ref="F8367">CategorizeComment(E8367)</f>
        <v>Other</v>
      </c>
      <c r="G8367" t="str" cm="1">
        <f t="array" ref="G8367">SubCategorizeComment(E8367)</f>
        <v>Other</v>
      </c>
    </row>
    <row r="8368" spans="1:7" x14ac:dyDescent="0.25">
      <c r="A8368">
        <v>75216</v>
      </c>
      <c r="B8368" t="s">
        <v>4</v>
      </c>
      <c r="C8368">
        <v>4</v>
      </c>
      <c r="D8368" t="s">
        <v>5</v>
      </c>
      <c r="F8368" t="str" cm="1">
        <f t="array" ref="F8368">CategorizeComment(E8368)</f>
        <v>Other</v>
      </c>
      <c r="G8368" t="str" cm="1">
        <f t="array" ref="G8368">SubCategorizeComment(E8368)</f>
        <v>Other</v>
      </c>
    </row>
    <row r="8369" spans="1:7" x14ac:dyDescent="0.25">
      <c r="A8369">
        <v>75217</v>
      </c>
      <c r="B8369" t="s">
        <v>4</v>
      </c>
      <c r="C8369">
        <v>3</v>
      </c>
      <c r="D8369" t="s">
        <v>5</v>
      </c>
      <c r="F8369" t="str" cm="1">
        <f t="array" ref="F8369">CategorizeComment(E8369)</f>
        <v>Other</v>
      </c>
      <c r="G8369" t="str" cm="1">
        <f t="array" ref="G8369">SubCategorizeComment(E8369)</f>
        <v>Other</v>
      </c>
    </row>
    <row r="8370" spans="1:7" x14ac:dyDescent="0.25">
      <c r="A8370">
        <v>75224</v>
      </c>
      <c r="B8370" t="s">
        <v>4</v>
      </c>
      <c r="C8370">
        <v>4</v>
      </c>
      <c r="D8370" t="s">
        <v>5</v>
      </c>
      <c r="F8370" t="str" cm="1">
        <f t="array" ref="F8370">CategorizeComment(E8370)</f>
        <v>Other</v>
      </c>
      <c r="G8370" t="str" cm="1">
        <f t="array" ref="G8370">SubCategorizeComment(E8370)</f>
        <v>Other</v>
      </c>
    </row>
    <row r="8371" spans="1:7" x14ac:dyDescent="0.25">
      <c r="A8371">
        <v>75228</v>
      </c>
      <c r="B8371" t="s">
        <v>4</v>
      </c>
      <c r="C8371">
        <v>3</v>
      </c>
      <c r="D8371" t="s">
        <v>5</v>
      </c>
      <c r="F8371" t="str" cm="1">
        <f t="array" ref="F8371">CategorizeComment(E8371)</f>
        <v>Other</v>
      </c>
      <c r="G8371" t="str" cm="1">
        <f t="array" ref="G8371">SubCategorizeComment(E8371)</f>
        <v>Other</v>
      </c>
    </row>
    <row r="8372" spans="1:7" x14ac:dyDescent="0.25">
      <c r="A8372">
        <v>75234</v>
      </c>
      <c r="B8372" t="s">
        <v>4</v>
      </c>
      <c r="C8372">
        <v>3</v>
      </c>
      <c r="D8372" t="s">
        <v>5</v>
      </c>
      <c r="F8372" t="str" cm="1">
        <f t="array" ref="F8372">CategorizeComment(E8372)</f>
        <v>Other</v>
      </c>
      <c r="G8372" t="str" cm="1">
        <f t="array" ref="G8372">SubCategorizeComment(E8372)</f>
        <v>Other</v>
      </c>
    </row>
    <row r="8373" spans="1:7" x14ac:dyDescent="0.25">
      <c r="A8373">
        <v>75236</v>
      </c>
      <c r="B8373" t="s">
        <v>4</v>
      </c>
      <c r="C8373">
        <v>3</v>
      </c>
      <c r="D8373" t="s">
        <v>5</v>
      </c>
      <c r="F8373" t="str" cm="1">
        <f t="array" ref="F8373">CategorizeComment(E8373)</f>
        <v>Other</v>
      </c>
      <c r="G8373" t="str" cm="1">
        <f t="array" ref="G8373">SubCategorizeComment(E8373)</f>
        <v>Other</v>
      </c>
    </row>
    <row r="8374" spans="1:7" x14ac:dyDescent="0.25">
      <c r="A8374">
        <v>75237</v>
      </c>
      <c r="B8374" t="s">
        <v>4</v>
      </c>
      <c r="C8374">
        <v>3</v>
      </c>
      <c r="D8374" t="s">
        <v>5</v>
      </c>
      <c r="F8374" t="str" cm="1">
        <f t="array" ref="F8374">CategorizeComment(E8374)</f>
        <v>Other</v>
      </c>
      <c r="G8374" t="str" cm="1">
        <f t="array" ref="G8374">SubCategorizeComment(E8374)</f>
        <v>Other</v>
      </c>
    </row>
    <row r="8375" spans="1:7" x14ac:dyDescent="0.25">
      <c r="A8375">
        <v>75238</v>
      </c>
      <c r="B8375" t="s">
        <v>4</v>
      </c>
      <c r="C8375">
        <v>3</v>
      </c>
      <c r="D8375" t="s">
        <v>5</v>
      </c>
      <c r="F8375" t="str" cm="1">
        <f t="array" ref="F8375">CategorizeComment(E8375)</f>
        <v>Other</v>
      </c>
      <c r="G8375" t="str" cm="1">
        <f t="array" ref="G8375">SubCategorizeComment(E8375)</f>
        <v>Other</v>
      </c>
    </row>
    <row r="8376" spans="1:7" x14ac:dyDescent="0.25">
      <c r="A8376">
        <v>75251</v>
      </c>
      <c r="B8376" t="s">
        <v>4</v>
      </c>
      <c r="C8376">
        <v>4</v>
      </c>
      <c r="D8376" t="s">
        <v>5</v>
      </c>
      <c r="F8376" t="str" cm="1">
        <f t="array" ref="F8376">CategorizeComment(E8376)</f>
        <v>Other</v>
      </c>
      <c r="G8376" t="str" cm="1">
        <f t="array" ref="G8376">SubCategorizeComment(E8376)</f>
        <v>Other</v>
      </c>
    </row>
    <row r="8377" spans="1:7" x14ac:dyDescent="0.25">
      <c r="A8377">
        <v>75259</v>
      </c>
      <c r="B8377" t="s">
        <v>4</v>
      </c>
      <c r="C8377">
        <v>4</v>
      </c>
      <c r="D8377" t="s">
        <v>5</v>
      </c>
      <c r="F8377" t="str" cm="1">
        <f t="array" ref="F8377">CategorizeComment(E8377)</f>
        <v>Other</v>
      </c>
      <c r="G8377" t="str" cm="1">
        <f t="array" ref="G8377">SubCategorizeComment(E8377)</f>
        <v>Other</v>
      </c>
    </row>
    <row r="8378" spans="1:7" x14ac:dyDescent="0.25">
      <c r="A8378">
        <v>75299</v>
      </c>
      <c r="B8378" t="s">
        <v>4</v>
      </c>
      <c r="C8378">
        <v>3</v>
      </c>
      <c r="D8378" t="s">
        <v>5</v>
      </c>
      <c r="F8378" t="str" cm="1">
        <f t="array" ref="F8378">CategorizeComment(E8378)</f>
        <v>Other</v>
      </c>
      <c r="G8378" t="str" cm="1">
        <f t="array" ref="G8378">SubCategorizeComment(E8378)</f>
        <v>Other</v>
      </c>
    </row>
    <row r="8379" spans="1:7" x14ac:dyDescent="0.25">
      <c r="A8379">
        <v>75317</v>
      </c>
      <c r="B8379" t="s">
        <v>4</v>
      </c>
      <c r="C8379">
        <v>3</v>
      </c>
      <c r="D8379" t="s">
        <v>5</v>
      </c>
      <c r="F8379" t="str" cm="1">
        <f t="array" ref="F8379">CategorizeComment(E8379)</f>
        <v>Other</v>
      </c>
      <c r="G8379" t="str" cm="1">
        <f t="array" ref="G8379">SubCategorizeComment(E8379)</f>
        <v>Other</v>
      </c>
    </row>
    <row r="8380" spans="1:7" x14ac:dyDescent="0.25">
      <c r="A8380">
        <v>75342</v>
      </c>
      <c r="B8380" t="s">
        <v>4</v>
      </c>
      <c r="C8380">
        <v>3</v>
      </c>
      <c r="D8380" t="s">
        <v>5</v>
      </c>
      <c r="F8380" t="str" cm="1">
        <f t="array" ref="F8380">CategorizeComment(E8380)</f>
        <v>Other</v>
      </c>
      <c r="G8380" t="str" cm="1">
        <f t="array" ref="G8380">SubCategorizeComment(E8380)</f>
        <v>Other</v>
      </c>
    </row>
    <row r="8381" spans="1:7" x14ac:dyDescent="0.25">
      <c r="A8381">
        <v>75343</v>
      </c>
      <c r="B8381" t="s">
        <v>4</v>
      </c>
      <c r="C8381">
        <v>4</v>
      </c>
      <c r="D8381" t="s">
        <v>5</v>
      </c>
      <c r="F8381" t="str" cm="1">
        <f t="array" ref="F8381">CategorizeComment(E8381)</f>
        <v>Other</v>
      </c>
      <c r="G8381" t="str" cm="1">
        <f t="array" ref="G8381">SubCategorizeComment(E8381)</f>
        <v>Other</v>
      </c>
    </row>
    <row r="8382" spans="1:7" x14ac:dyDescent="0.25">
      <c r="A8382">
        <v>75345</v>
      </c>
      <c r="B8382" t="s">
        <v>4</v>
      </c>
      <c r="C8382">
        <v>4</v>
      </c>
      <c r="D8382" t="s">
        <v>5</v>
      </c>
      <c r="F8382" t="str" cm="1">
        <f t="array" ref="F8382">CategorizeComment(E8382)</f>
        <v>Other</v>
      </c>
      <c r="G8382" t="str" cm="1">
        <f t="array" ref="G8382">SubCategorizeComment(E8382)</f>
        <v>Other</v>
      </c>
    </row>
    <row r="8383" spans="1:7" x14ac:dyDescent="0.25">
      <c r="A8383">
        <v>75364</v>
      </c>
      <c r="B8383" t="s">
        <v>4</v>
      </c>
      <c r="C8383">
        <v>4</v>
      </c>
      <c r="D8383" t="s">
        <v>5</v>
      </c>
      <c r="F8383" t="str" cm="1">
        <f t="array" ref="F8383">CategorizeComment(E8383)</f>
        <v>Other</v>
      </c>
      <c r="G8383" t="str" cm="1">
        <f t="array" ref="G8383">SubCategorizeComment(E8383)</f>
        <v>Other</v>
      </c>
    </row>
    <row r="8384" spans="1:7" x14ac:dyDescent="0.25">
      <c r="A8384">
        <v>75365</v>
      </c>
      <c r="B8384" t="s">
        <v>4</v>
      </c>
      <c r="C8384">
        <v>3</v>
      </c>
      <c r="D8384" t="s">
        <v>5</v>
      </c>
      <c r="F8384" t="str" cm="1">
        <f t="array" ref="F8384">CategorizeComment(E8384)</f>
        <v>Other</v>
      </c>
      <c r="G8384" t="str" cm="1">
        <f t="array" ref="G8384">SubCategorizeComment(E8384)</f>
        <v>Other</v>
      </c>
    </row>
    <row r="8385" spans="1:7" x14ac:dyDescent="0.25">
      <c r="A8385">
        <v>75374</v>
      </c>
      <c r="B8385" t="s">
        <v>4</v>
      </c>
      <c r="C8385">
        <v>3</v>
      </c>
      <c r="D8385" t="s">
        <v>5</v>
      </c>
      <c r="F8385" t="str" cm="1">
        <f t="array" ref="F8385">CategorizeComment(E8385)</f>
        <v>Other</v>
      </c>
      <c r="G8385" t="str" cm="1">
        <f t="array" ref="G8385">SubCategorizeComment(E8385)</f>
        <v>Other</v>
      </c>
    </row>
    <row r="8386" spans="1:7" x14ac:dyDescent="0.25">
      <c r="A8386">
        <v>75396</v>
      </c>
      <c r="B8386" t="s">
        <v>4</v>
      </c>
      <c r="C8386">
        <v>4</v>
      </c>
      <c r="D8386" t="s">
        <v>5</v>
      </c>
      <c r="F8386" t="str" cm="1">
        <f t="array" ref="F8386">CategorizeComment(E8386)</f>
        <v>Other</v>
      </c>
      <c r="G8386" t="str" cm="1">
        <f t="array" ref="G8386">SubCategorizeComment(E8386)</f>
        <v>Other</v>
      </c>
    </row>
    <row r="8387" spans="1:7" x14ac:dyDescent="0.25">
      <c r="A8387">
        <v>75410</v>
      </c>
      <c r="B8387" t="s">
        <v>4</v>
      </c>
      <c r="C8387">
        <v>3</v>
      </c>
      <c r="D8387" t="s">
        <v>5</v>
      </c>
      <c r="F8387" t="str" cm="1">
        <f t="array" ref="F8387">CategorizeComment(E8387)</f>
        <v>Other</v>
      </c>
      <c r="G8387" t="str" cm="1">
        <f t="array" ref="G8387">SubCategorizeComment(E8387)</f>
        <v>Other</v>
      </c>
    </row>
    <row r="8388" spans="1:7" x14ac:dyDescent="0.25">
      <c r="A8388">
        <v>75421</v>
      </c>
      <c r="B8388" t="s">
        <v>4</v>
      </c>
      <c r="C8388">
        <v>3</v>
      </c>
      <c r="D8388" t="s">
        <v>5</v>
      </c>
      <c r="F8388" t="str" cm="1">
        <f t="array" ref="F8388">CategorizeComment(E8388)</f>
        <v>Other</v>
      </c>
      <c r="G8388" t="str" cm="1">
        <f t="array" ref="G8388">SubCategorizeComment(E8388)</f>
        <v>Other</v>
      </c>
    </row>
    <row r="8389" spans="1:7" x14ac:dyDescent="0.25">
      <c r="A8389">
        <v>75426</v>
      </c>
      <c r="B8389" t="s">
        <v>4</v>
      </c>
      <c r="C8389">
        <v>4</v>
      </c>
      <c r="D8389" t="s">
        <v>5</v>
      </c>
      <c r="F8389" t="str" cm="1">
        <f t="array" ref="F8389">CategorizeComment(E8389)</f>
        <v>Other</v>
      </c>
      <c r="G8389" t="str" cm="1">
        <f t="array" ref="G8389">SubCategorizeComment(E8389)</f>
        <v>Other</v>
      </c>
    </row>
    <row r="8390" spans="1:7" x14ac:dyDescent="0.25">
      <c r="A8390">
        <v>75439</v>
      </c>
      <c r="B8390" t="s">
        <v>4</v>
      </c>
      <c r="C8390">
        <v>4</v>
      </c>
      <c r="D8390" t="s">
        <v>5</v>
      </c>
      <c r="F8390" t="str" cm="1">
        <f t="array" ref="F8390">CategorizeComment(E8390)</f>
        <v>Other</v>
      </c>
      <c r="G8390" t="str" cm="1">
        <f t="array" ref="G8390">SubCategorizeComment(E8390)</f>
        <v>Other</v>
      </c>
    </row>
    <row r="8391" spans="1:7" x14ac:dyDescent="0.25">
      <c r="A8391">
        <v>75443</v>
      </c>
      <c r="B8391" t="s">
        <v>4</v>
      </c>
      <c r="C8391">
        <v>4</v>
      </c>
      <c r="D8391" t="s">
        <v>5</v>
      </c>
      <c r="F8391" t="str" cm="1">
        <f t="array" ref="F8391">CategorizeComment(E8391)</f>
        <v>Other</v>
      </c>
      <c r="G8391" t="str" cm="1">
        <f t="array" ref="G8391">SubCategorizeComment(E8391)</f>
        <v>Other</v>
      </c>
    </row>
    <row r="8392" spans="1:7" x14ac:dyDescent="0.25">
      <c r="A8392">
        <v>75444</v>
      </c>
      <c r="B8392" t="s">
        <v>4</v>
      </c>
      <c r="C8392">
        <v>4</v>
      </c>
      <c r="D8392" t="s">
        <v>5</v>
      </c>
      <c r="F8392" t="str" cm="1">
        <f t="array" ref="F8392">CategorizeComment(E8392)</f>
        <v>Other</v>
      </c>
      <c r="G8392" t="str" cm="1">
        <f t="array" ref="G8392">SubCategorizeComment(E8392)</f>
        <v>Other</v>
      </c>
    </row>
    <row r="8393" spans="1:7" x14ac:dyDescent="0.25">
      <c r="A8393">
        <v>75455</v>
      </c>
      <c r="B8393" t="s">
        <v>4</v>
      </c>
      <c r="C8393">
        <v>3</v>
      </c>
      <c r="D8393" t="s">
        <v>5</v>
      </c>
      <c r="F8393" t="str" cm="1">
        <f t="array" ref="F8393">CategorizeComment(E8393)</f>
        <v>Other</v>
      </c>
      <c r="G8393" t="str" cm="1">
        <f t="array" ref="G8393">SubCategorizeComment(E8393)</f>
        <v>Other</v>
      </c>
    </row>
    <row r="8394" spans="1:7" x14ac:dyDescent="0.25">
      <c r="A8394">
        <v>75459</v>
      </c>
      <c r="B8394" t="s">
        <v>4</v>
      </c>
      <c r="C8394">
        <v>4</v>
      </c>
      <c r="D8394" t="s">
        <v>5</v>
      </c>
      <c r="F8394" t="str" cm="1">
        <f t="array" ref="F8394">CategorizeComment(E8394)</f>
        <v>Other</v>
      </c>
      <c r="G8394" t="str" cm="1">
        <f t="array" ref="G8394">SubCategorizeComment(E8394)</f>
        <v>Other</v>
      </c>
    </row>
    <row r="8395" spans="1:7" x14ac:dyDescent="0.25">
      <c r="A8395">
        <v>75465</v>
      </c>
      <c r="B8395" t="s">
        <v>4</v>
      </c>
      <c r="C8395">
        <v>3</v>
      </c>
      <c r="D8395" t="s">
        <v>5</v>
      </c>
      <c r="F8395" t="str" cm="1">
        <f t="array" ref="F8395">CategorizeComment(E8395)</f>
        <v>Other</v>
      </c>
      <c r="G8395" t="str" cm="1">
        <f t="array" ref="G8395">SubCategorizeComment(E8395)</f>
        <v>Other</v>
      </c>
    </row>
    <row r="8396" spans="1:7" x14ac:dyDescent="0.25">
      <c r="A8396">
        <v>75479</v>
      </c>
      <c r="B8396" t="s">
        <v>4</v>
      </c>
      <c r="C8396">
        <v>3</v>
      </c>
      <c r="D8396" t="s">
        <v>5</v>
      </c>
      <c r="F8396" t="str" cm="1">
        <f t="array" ref="F8396">CategorizeComment(E8396)</f>
        <v>Other</v>
      </c>
      <c r="G8396" t="str" cm="1">
        <f t="array" ref="G8396">SubCategorizeComment(E8396)</f>
        <v>Other</v>
      </c>
    </row>
    <row r="8397" spans="1:7" x14ac:dyDescent="0.25">
      <c r="A8397">
        <v>75481</v>
      </c>
      <c r="B8397" t="s">
        <v>4</v>
      </c>
      <c r="C8397">
        <v>4</v>
      </c>
      <c r="D8397" t="s">
        <v>5</v>
      </c>
      <c r="F8397" t="str" cm="1">
        <f t="array" ref="F8397">CategorizeComment(E8397)</f>
        <v>Other</v>
      </c>
      <c r="G8397" t="str" cm="1">
        <f t="array" ref="G8397">SubCategorizeComment(E8397)</f>
        <v>Other</v>
      </c>
    </row>
    <row r="8398" spans="1:7" x14ac:dyDescent="0.25">
      <c r="A8398">
        <v>75482</v>
      </c>
      <c r="B8398" t="s">
        <v>4</v>
      </c>
      <c r="C8398">
        <v>4</v>
      </c>
      <c r="D8398" t="s">
        <v>5</v>
      </c>
      <c r="F8398" t="str" cm="1">
        <f t="array" ref="F8398">CategorizeComment(E8398)</f>
        <v>Other</v>
      </c>
      <c r="G8398" t="str" cm="1">
        <f t="array" ref="G8398">SubCategorizeComment(E8398)</f>
        <v>Other</v>
      </c>
    </row>
    <row r="8399" spans="1:7" x14ac:dyDescent="0.25">
      <c r="A8399">
        <v>75485</v>
      </c>
      <c r="B8399" t="s">
        <v>4</v>
      </c>
      <c r="C8399">
        <v>4</v>
      </c>
      <c r="D8399" t="s">
        <v>5</v>
      </c>
      <c r="F8399" t="str" cm="1">
        <f t="array" ref="F8399">CategorizeComment(E8399)</f>
        <v>Other</v>
      </c>
      <c r="G8399" t="str" cm="1">
        <f t="array" ref="G8399">SubCategorizeComment(E8399)</f>
        <v>Other</v>
      </c>
    </row>
    <row r="8400" spans="1:7" x14ac:dyDescent="0.25">
      <c r="A8400">
        <v>75491</v>
      </c>
      <c r="B8400" t="s">
        <v>4</v>
      </c>
      <c r="C8400">
        <v>4</v>
      </c>
      <c r="D8400" t="s">
        <v>5</v>
      </c>
      <c r="F8400" t="str" cm="1">
        <f t="array" ref="F8400">CategorizeComment(E8400)</f>
        <v>Other</v>
      </c>
      <c r="G8400" t="str" cm="1">
        <f t="array" ref="G8400">SubCategorizeComment(E8400)</f>
        <v>Other</v>
      </c>
    </row>
    <row r="8401" spans="1:7" x14ac:dyDescent="0.25">
      <c r="A8401">
        <v>75509</v>
      </c>
      <c r="B8401" t="s">
        <v>4</v>
      </c>
      <c r="C8401">
        <v>4</v>
      </c>
      <c r="D8401" t="s">
        <v>5</v>
      </c>
      <c r="F8401" t="str" cm="1">
        <f t="array" ref="F8401">CategorizeComment(E8401)</f>
        <v>Other</v>
      </c>
      <c r="G8401" t="str" cm="1">
        <f t="array" ref="G8401">SubCategorizeComment(E8401)</f>
        <v>Other</v>
      </c>
    </row>
    <row r="8402" spans="1:7" x14ac:dyDescent="0.25">
      <c r="A8402">
        <v>75518</v>
      </c>
      <c r="B8402" t="s">
        <v>4</v>
      </c>
      <c r="C8402">
        <v>4</v>
      </c>
      <c r="D8402" t="s">
        <v>5</v>
      </c>
      <c r="F8402" t="str" cm="1">
        <f t="array" ref="F8402">CategorizeComment(E8402)</f>
        <v>Other</v>
      </c>
      <c r="G8402" t="str" cm="1">
        <f t="array" ref="G8402">SubCategorizeComment(E8402)</f>
        <v>Other</v>
      </c>
    </row>
    <row r="8403" spans="1:7" x14ac:dyDescent="0.25">
      <c r="A8403">
        <v>75539</v>
      </c>
      <c r="B8403" t="s">
        <v>4</v>
      </c>
      <c r="C8403">
        <v>3</v>
      </c>
      <c r="D8403" t="s">
        <v>5</v>
      </c>
      <c r="F8403" t="str" cm="1">
        <f t="array" ref="F8403">CategorizeComment(E8403)</f>
        <v>Other</v>
      </c>
      <c r="G8403" t="str" cm="1">
        <f t="array" ref="G8403">SubCategorizeComment(E8403)</f>
        <v>Other</v>
      </c>
    </row>
    <row r="8404" spans="1:7" x14ac:dyDescent="0.25">
      <c r="A8404">
        <v>75558</v>
      </c>
      <c r="B8404" t="s">
        <v>4</v>
      </c>
      <c r="C8404">
        <v>4</v>
      </c>
      <c r="D8404" t="s">
        <v>5</v>
      </c>
      <c r="F8404" t="str" cm="1">
        <f t="array" ref="F8404">CategorizeComment(E8404)</f>
        <v>Other</v>
      </c>
      <c r="G8404" t="str" cm="1">
        <f t="array" ref="G8404">SubCategorizeComment(E8404)</f>
        <v>Other</v>
      </c>
    </row>
    <row r="8405" spans="1:7" x14ac:dyDescent="0.25">
      <c r="A8405">
        <v>75563</v>
      </c>
      <c r="B8405" t="s">
        <v>4</v>
      </c>
      <c r="C8405">
        <v>3</v>
      </c>
      <c r="D8405" t="s">
        <v>5</v>
      </c>
      <c r="F8405" t="str" cm="1">
        <f t="array" ref="F8405">CategorizeComment(E8405)</f>
        <v>Other</v>
      </c>
      <c r="G8405" t="str" cm="1">
        <f t="array" ref="G8405">SubCategorizeComment(E8405)</f>
        <v>Other</v>
      </c>
    </row>
    <row r="8406" spans="1:7" x14ac:dyDescent="0.25">
      <c r="A8406">
        <v>75577</v>
      </c>
      <c r="B8406" t="s">
        <v>4</v>
      </c>
      <c r="C8406">
        <v>3</v>
      </c>
      <c r="D8406" t="s">
        <v>5</v>
      </c>
      <c r="F8406" t="str" cm="1">
        <f t="array" ref="F8406">CategorizeComment(E8406)</f>
        <v>Other</v>
      </c>
      <c r="G8406" t="str" cm="1">
        <f t="array" ref="G8406">SubCategorizeComment(E8406)</f>
        <v>Other</v>
      </c>
    </row>
    <row r="8407" spans="1:7" x14ac:dyDescent="0.25">
      <c r="A8407">
        <v>75578</v>
      </c>
      <c r="B8407" t="s">
        <v>4</v>
      </c>
      <c r="C8407">
        <v>3</v>
      </c>
      <c r="D8407" t="s">
        <v>5</v>
      </c>
      <c r="F8407" t="str" cm="1">
        <f t="array" ref="F8407">CategorizeComment(E8407)</f>
        <v>Other</v>
      </c>
      <c r="G8407" t="str" cm="1">
        <f t="array" ref="G8407">SubCategorizeComment(E8407)</f>
        <v>Other</v>
      </c>
    </row>
    <row r="8408" spans="1:7" x14ac:dyDescent="0.25">
      <c r="A8408">
        <v>75580</v>
      </c>
      <c r="B8408" t="s">
        <v>4</v>
      </c>
      <c r="C8408">
        <v>4</v>
      </c>
      <c r="D8408" t="s">
        <v>5</v>
      </c>
      <c r="F8408" t="str" cm="1">
        <f t="array" ref="F8408">CategorizeComment(E8408)</f>
        <v>Other</v>
      </c>
      <c r="G8408" t="str" cm="1">
        <f t="array" ref="G8408">SubCategorizeComment(E8408)</f>
        <v>Other</v>
      </c>
    </row>
    <row r="8409" spans="1:7" x14ac:dyDescent="0.25">
      <c r="A8409">
        <v>75585</v>
      </c>
      <c r="B8409" t="s">
        <v>4</v>
      </c>
      <c r="C8409">
        <v>3</v>
      </c>
      <c r="D8409" t="s">
        <v>5</v>
      </c>
      <c r="F8409" t="str" cm="1">
        <f t="array" ref="F8409">CategorizeComment(E8409)</f>
        <v>Other</v>
      </c>
      <c r="G8409" t="str" cm="1">
        <f t="array" ref="G8409">SubCategorizeComment(E8409)</f>
        <v>Other</v>
      </c>
    </row>
    <row r="8410" spans="1:7" x14ac:dyDescent="0.25">
      <c r="A8410">
        <v>75631</v>
      </c>
      <c r="B8410" t="s">
        <v>4</v>
      </c>
      <c r="C8410">
        <v>3</v>
      </c>
      <c r="D8410" t="s">
        <v>5</v>
      </c>
      <c r="F8410" t="str" cm="1">
        <f t="array" ref="F8410">CategorizeComment(E8410)</f>
        <v>Other</v>
      </c>
      <c r="G8410" t="str" cm="1">
        <f t="array" ref="G8410">SubCategorizeComment(E8410)</f>
        <v>Other</v>
      </c>
    </row>
    <row r="8411" spans="1:7" x14ac:dyDescent="0.25">
      <c r="A8411">
        <v>75633</v>
      </c>
      <c r="B8411" t="s">
        <v>4</v>
      </c>
      <c r="C8411">
        <v>3</v>
      </c>
      <c r="D8411" t="s">
        <v>5</v>
      </c>
      <c r="F8411" t="str" cm="1">
        <f t="array" ref="F8411">CategorizeComment(E8411)</f>
        <v>Other</v>
      </c>
      <c r="G8411" t="str" cm="1">
        <f t="array" ref="G8411">SubCategorizeComment(E8411)</f>
        <v>Other</v>
      </c>
    </row>
    <row r="8412" spans="1:7" x14ac:dyDescent="0.25">
      <c r="A8412">
        <v>75645</v>
      </c>
      <c r="B8412" t="s">
        <v>4</v>
      </c>
      <c r="C8412">
        <v>4</v>
      </c>
      <c r="D8412" t="s">
        <v>5</v>
      </c>
      <c r="F8412" t="str" cm="1">
        <f t="array" ref="F8412">CategorizeComment(E8412)</f>
        <v>Other</v>
      </c>
      <c r="G8412" t="str" cm="1">
        <f t="array" ref="G8412">SubCategorizeComment(E8412)</f>
        <v>Other</v>
      </c>
    </row>
    <row r="8413" spans="1:7" x14ac:dyDescent="0.25">
      <c r="A8413">
        <v>75655</v>
      </c>
      <c r="B8413" t="s">
        <v>4</v>
      </c>
      <c r="C8413">
        <v>3</v>
      </c>
      <c r="D8413" t="s">
        <v>5</v>
      </c>
      <c r="F8413" t="str" cm="1">
        <f t="array" ref="F8413">CategorizeComment(E8413)</f>
        <v>Other</v>
      </c>
      <c r="G8413" t="str" cm="1">
        <f t="array" ref="G8413">SubCategorizeComment(E8413)</f>
        <v>Other</v>
      </c>
    </row>
    <row r="8414" spans="1:7" x14ac:dyDescent="0.25">
      <c r="A8414">
        <v>75679</v>
      </c>
      <c r="B8414" t="s">
        <v>4</v>
      </c>
      <c r="C8414">
        <v>3</v>
      </c>
      <c r="D8414" t="s">
        <v>5</v>
      </c>
      <c r="F8414" t="str" cm="1">
        <f t="array" ref="F8414">CategorizeComment(E8414)</f>
        <v>Other</v>
      </c>
      <c r="G8414" t="str" cm="1">
        <f t="array" ref="G8414">SubCategorizeComment(E8414)</f>
        <v>Other</v>
      </c>
    </row>
    <row r="8415" spans="1:7" x14ac:dyDescent="0.25">
      <c r="A8415">
        <v>75720</v>
      </c>
      <c r="B8415" t="s">
        <v>4</v>
      </c>
      <c r="C8415">
        <v>4</v>
      </c>
      <c r="D8415" t="s">
        <v>5</v>
      </c>
      <c r="F8415" t="str" cm="1">
        <f t="array" ref="F8415">CategorizeComment(E8415)</f>
        <v>Other</v>
      </c>
      <c r="G8415" t="str" cm="1">
        <f t="array" ref="G8415">SubCategorizeComment(E8415)</f>
        <v>Other</v>
      </c>
    </row>
    <row r="8416" spans="1:7" x14ac:dyDescent="0.25">
      <c r="A8416">
        <v>75724</v>
      </c>
      <c r="B8416" t="s">
        <v>4</v>
      </c>
      <c r="C8416">
        <v>4</v>
      </c>
      <c r="D8416" t="s">
        <v>5</v>
      </c>
      <c r="F8416" t="str" cm="1">
        <f t="array" ref="F8416">CategorizeComment(E8416)</f>
        <v>Other</v>
      </c>
      <c r="G8416" t="str" cm="1">
        <f t="array" ref="G8416">SubCategorizeComment(E8416)</f>
        <v>Other</v>
      </c>
    </row>
    <row r="8417" spans="1:7" x14ac:dyDescent="0.25">
      <c r="A8417">
        <v>75730</v>
      </c>
      <c r="B8417" t="s">
        <v>4</v>
      </c>
      <c r="C8417">
        <v>4</v>
      </c>
      <c r="D8417" t="s">
        <v>5</v>
      </c>
      <c r="F8417" t="str" cm="1">
        <f t="array" ref="F8417">CategorizeComment(E8417)</f>
        <v>Other</v>
      </c>
      <c r="G8417" t="str" cm="1">
        <f t="array" ref="G8417">SubCategorizeComment(E8417)</f>
        <v>Other</v>
      </c>
    </row>
    <row r="8418" spans="1:7" x14ac:dyDescent="0.25">
      <c r="A8418">
        <v>75732</v>
      </c>
      <c r="B8418" t="s">
        <v>4</v>
      </c>
      <c r="C8418">
        <v>3</v>
      </c>
      <c r="D8418" t="s">
        <v>5</v>
      </c>
      <c r="F8418" t="str" cm="1">
        <f t="array" ref="F8418">CategorizeComment(E8418)</f>
        <v>Other</v>
      </c>
      <c r="G8418" t="str" cm="1">
        <f t="array" ref="G8418">SubCategorizeComment(E8418)</f>
        <v>Other</v>
      </c>
    </row>
    <row r="8419" spans="1:7" x14ac:dyDescent="0.25">
      <c r="A8419">
        <v>75740</v>
      </c>
      <c r="B8419" t="s">
        <v>4</v>
      </c>
      <c r="C8419">
        <v>3</v>
      </c>
      <c r="D8419" t="s">
        <v>5</v>
      </c>
      <c r="F8419" t="str" cm="1">
        <f t="array" ref="F8419">CategorizeComment(E8419)</f>
        <v>Other</v>
      </c>
      <c r="G8419" t="str" cm="1">
        <f t="array" ref="G8419">SubCategorizeComment(E8419)</f>
        <v>Other</v>
      </c>
    </row>
    <row r="8420" spans="1:7" x14ac:dyDescent="0.25">
      <c r="A8420">
        <v>75743</v>
      </c>
      <c r="B8420" t="s">
        <v>4</v>
      </c>
      <c r="C8420">
        <v>4</v>
      </c>
      <c r="D8420" t="s">
        <v>5</v>
      </c>
      <c r="F8420" t="str" cm="1">
        <f t="array" ref="F8420">CategorizeComment(E8420)</f>
        <v>Other</v>
      </c>
      <c r="G8420" t="str" cm="1">
        <f t="array" ref="G8420">SubCategorizeComment(E8420)</f>
        <v>Other</v>
      </c>
    </row>
    <row r="8421" spans="1:7" x14ac:dyDescent="0.25">
      <c r="A8421">
        <v>75751</v>
      </c>
      <c r="B8421" t="s">
        <v>4</v>
      </c>
      <c r="C8421">
        <v>3</v>
      </c>
      <c r="D8421" t="s">
        <v>5</v>
      </c>
      <c r="F8421" t="str" cm="1">
        <f t="array" ref="F8421">CategorizeComment(E8421)</f>
        <v>Other</v>
      </c>
      <c r="G8421" t="str" cm="1">
        <f t="array" ref="G8421">SubCategorizeComment(E8421)</f>
        <v>Other</v>
      </c>
    </row>
    <row r="8422" spans="1:7" x14ac:dyDescent="0.25">
      <c r="A8422">
        <v>75759</v>
      </c>
      <c r="B8422" t="s">
        <v>4</v>
      </c>
      <c r="C8422">
        <v>4</v>
      </c>
      <c r="D8422" t="s">
        <v>5</v>
      </c>
      <c r="F8422" t="str" cm="1">
        <f t="array" ref="F8422">CategorizeComment(E8422)</f>
        <v>Other</v>
      </c>
      <c r="G8422" t="str" cm="1">
        <f t="array" ref="G8422">SubCategorizeComment(E8422)</f>
        <v>Other</v>
      </c>
    </row>
    <row r="8423" spans="1:7" x14ac:dyDescent="0.25">
      <c r="A8423">
        <v>75765</v>
      </c>
      <c r="B8423" t="s">
        <v>4</v>
      </c>
      <c r="C8423">
        <v>4</v>
      </c>
      <c r="D8423" t="s">
        <v>5</v>
      </c>
      <c r="F8423" t="str" cm="1">
        <f t="array" ref="F8423">CategorizeComment(E8423)</f>
        <v>Other</v>
      </c>
      <c r="G8423" t="str" cm="1">
        <f t="array" ref="G8423">SubCategorizeComment(E8423)</f>
        <v>Other</v>
      </c>
    </row>
    <row r="8424" spans="1:7" x14ac:dyDescent="0.25">
      <c r="A8424">
        <v>75778</v>
      </c>
      <c r="B8424" t="s">
        <v>4</v>
      </c>
      <c r="C8424">
        <v>4</v>
      </c>
      <c r="D8424" t="s">
        <v>5</v>
      </c>
      <c r="F8424" t="str" cm="1">
        <f t="array" ref="F8424">CategorizeComment(E8424)</f>
        <v>Other</v>
      </c>
      <c r="G8424" t="str" cm="1">
        <f t="array" ref="G8424">SubCategorizeComment(E8424)</f>
        <v>Other</v>
      </c>
    </row>
    <row r="8425" spans="1:7" x14ac:dyDescent="0.25">
      <c r="A8425">
        <v>75782</v>
      </c>
      <c r="B8425" t="s">
        <v>4</v>
      </c>
      <c r="C8425">
        <v>3</v>
      </c>
      <c r="D8425" t="s">
        <v>5</v>
      </c>
      <c r="F8425" t="str" cm="1">
        <f t="array" ref="F8425">CategorizeComment(E8425)</f>
        <v>Other</v>
      </c>
      <c r="G8425" t="str" cm="1">
        <f t="array" ref="G8425">SubCategorizeComment(E8425)</f>
        <v>Other</v>
      </c>
    </row>
    <row r="8426" spans="1:7" x14ac:dyDescent="0.25">
      <c r="A8426">
        <v>75788</v>
      </c>
      <c r="B8426" t="s">
        <v>4</v>
      </c>
      <c r="C8426">
        <v>4</v>
      </c>
      <c r="D8426" t="s">
        <v>5</v>
      </c>
      <c r="F8426" t="str" cm="1">
        <f t="array" ref="F8426">CategorizeComment(E8426)</f>
        <v>Other</v>
      </c>
      <c r="G8426" t="str" cm="1">
        <f t="array" ref="G8426">SubCategorizeComment(E8426)</f>
        <v>Other</v>
      </c>
    </row>
    <row r="8427" spans="1:7" x14ac:dyDescent="0.25">
      <c r="A8427">
        <v>75790</v>
      </c>
      <c r="B8427" t="s">
        <v>4</v>
      </c>
      <c r="C8427">
        <v>3</v>
      </c>
      <c r="D8427" t="s">
        <v>5</v>
      </c>
      <c r="F8427" t="str" cm="1">
        <f t="array" ref="F8427">CategorizeComment(E8427)</f>
        <v>Other</v>
      </c>
      <c r="G8427" t="str" cm="1">
        <f t="array" ref="G8427">SubCategorizeComment(E8427)</f>
        <v>Other</v>
      </c>
    </row>
    <row r="8428" spans="1:7" x14ac:dyDescent="0.25">
      <c r="A8428">
        <v>75793</v>
      </c>
      <c r="B8428" t="s">
        <v>4</v>
      </c>
      <c r="C8428">
        <v>3</v>
      </c>
      <c r="D8428" t="s">
        <v>5</v>
      </c>
      <c r="F8428" t="str" cm="1">
        <f t="array" ref="F8428">CategorizeComment(E8428)</f>
        <v>Other</v>
      </c>
      <c r="G8428" t="str" cm="1">
        <f t="array" ref="G8428">SubCategorizeComment(E8428)</f>
        <v>Other</v>
      </c>
    </row>
    <row r="8429" spans="1:7" x14ac:dyDescent="0.25">
      <c r="A8429">
        <v>75800</v>
      </c>
      <c r="B8429" t="s">
        <v>4</v>
      </c>
      <c r="C8429">
        <v>4</v>
      </c>
      <c r="D8429" t="s">
        <v>5</v>
      </c>
      <c r="F8429" t="str" cm="1">
        <f t="array" ref="F8429">CategorizeComment(E8429)</f>
        <v>Other</v>
      </c>
      <c r="G8429" t="str" cm="1">
        <f t="array" ref="G8429">SubCategorizeComment(E8429)</f>
        <v>Other</v>
      </c>
    </row>
    <row r="8430" spans="1:7" x14ac:dyDescent="0.25">
      <c r="A8430">
        <v>75804</v>
      </c>
      <c r="B8430" t="s">
        <v>4</v>
      </c>
      <c r="C8430">
        <v>4</v>
      </c>
      <c r="D8430" t="s">
        <v>5</v>
      </c>
      <c r="F8430" t="str" cm="1">
        <f t="array" ref="F8430">CategorizeComment(E8430)</f>
        <v>Other</v>
      </c>
      <c r="G8430" t="str" cm="1">
        <f t="array" ref="G8430">SubCategorizeComment(E8430)</f>
        <v>Other</v>
      </c>
    </row>
    <row r="8431" spans="1:7" x14ac:dyDescent="0.25">
      <c r="A8431">
        <v>75814</v>
      </c>
      <c r="B8431" t="s">
        <v>4</v>
      </c>
      <c r="C8431">
        <v>3</v>
      </c>
      <c r="D8431" t="s">
        <v>5</v>
      </c>
      <c r="F8431" t="str" cm="1">
        <f t="array" ref="F8431">CategorizeComment(E8431)</f>
        <v>Other</v>
      </c>
      <c r="G8431" t="str" cm="1">
        <f t="array" ref="G8431">SubCategorizeComment(E8431)</f>
        <v>Other</v>
      </c>
    </row>
    <row r="8432" spans="1:7" x14ac:dyDescent="0.25">
      <c r="A8432">
        <v>75816</v>
      </c>
      <c r="B8432" t="s">
        <v>4</v>
      </c>
      <c r="C8432">
        <v>4</v>
      </c>
      <c r="D8432" t="s">
        <v>5</v>
      </c>
      <c r="F8432" t="str" cm="1">
        <f t="array" ref="F8432">CategorizeComment(E8432)</f>
        <v>Other</v>
      </c>
      <c r="G8432" t="str" cm="1">
        <f t="array" ref="G8432">SubCategorizeComment(E8432)</f>
        <v>Other</v>
      </c>
    </row>
    <row r="8433" spans="1:7" x14ac:dyDescent="0.25">
      <c r="A8433">
        <v>75817</v>
      </c>
      <c r="B8433" t="s">
        <v>4</v>
      </c>
      <c r="C8433">
        <v>3</v>
      </c>
      <c r="D8433" t="s">
        <v>5</v>
      </c>
      <c r="F8433" t="str" cm="1">
        <f t="array" ref="F8433">CategorizeComment(E8433)</f>
        <v>Other</v>
      </c>
      <c r="G8433" t="str" cm="1">
        <f t="array" ref="G8433">SubCategorizeComment(E8433)</f>
        <v>Other</v>
      </c>
    </row>
    <row r="8434" spans="1:7" x14ac:dyDescent="0.25">
      <c r="A8434">
        <v>75819</v>
      </c>
      <c r="B8434" t="s">
        <v>4</v>
      </c>
      <c r="C8434">
        <v>4</v>
      </c>
      <c r="D8434" t="s">
        <v>5</v>
      </c>
      <c r="F8434" t="str" cm="1">
        <f t="array" ref="F8434">CategorizeComment(E8434)</f>
        <v>Other</v>
      </c>
      <c r="G8434" t="str" cm="1">
        <f t="array" ref="G8434">SubCategorizeComment(E8434)</f>
        <v>Other</v>
      </c>
    </row>
    <row r="8435" spans="1:7" x14ac:dyDescent="0.25">
      <c r="A8435">
        <v>75837</v>
      </c>
      <c r="B8435" t="s">
        <v>4</v>
      </c>
      <c r="C8435">
        <v>3</v>
      </c>
      <c r="D8435" t="s">
        <v>5</v>
      </c>
      <c r="F8435" t="str" cm="1">
        <f t="array" ref="F8435">CategorizeComment(E8435)</f>
        <v>Other</v>
      </c>
      <c r="G8435" t="str" cm="1">
        <f t="array" ref="G8435">SubCategorizeComment(E8435)</f>
        <v>Other</v>
      </c>
    </row>
    <row r="8436" spans="1:7" x14ac:dyDescent="0.25">
      <c r="A8436">
        <v>75843</v>
      </c>
      <c r="B8436" t="s">
        <v>4</v>
      </c>
      <c r="C8436">
        <v>3</v>
      </c>
      <c r="D8436" t="s">
        <v>5</v>
      </c>
      <c r="F8436" t="str" cm="1">
        <f t="array" ref="F8436">CategorizeComment(E8436)</f>
        <v>Other</v>
      </c>
      <c r="G8436" t="str" cm="1">
        <f t="array" ref="G8436">SubCategorizeComment(E8436)</f>
        <v>Other</v>
      </c>
    </row>
    <row r="8437" spans="1:7" x14ac:dyDescent="0.25">
      <c r="A8437">
        <v>75861</v>
      </c>
      <c r="B8437" t="s">
        <v>4</v>
      </c>
      <c r="C8437">
        <v>4</v>
      </c>
      <c r="D8437" t="s">
        <v>5</v>
      </c>
      <c r="F8437" t="str" cm="1">
        <f t="array" ref="F8437">CategorizeComment(E8437)</f>
        <v>Other</v>
      </c>
      <c r="G8437" t="str" cm="1">
        <f t="array" ref="G8437">SubCategorizeComment(E8437)</f>
        <v>Other</v>
      </c>
    </row>
    <row r="8438" spans="1:7" x14ac:dyDescent="0.25">
      <c r="A8438">
        <v>75862</v>
      </c>
      <c r="B8438" t="s">
        <v>4</v>
      </c>
      <c r="C8438">
        <v>4</v>
      </c>
      <c r="D8438" t="s">
        <v>5</v>
      </c>
      <c r="F8438" t="str" cm="1">
        <f t="array" ref="F8438">CategorizeComment(E8438)</f>
        <v>Other</v>
      </c>
      <c r="G8438" t="str" cm="1">
        <f t="array" ref="G8438">SubCategorizeComment(E8438)</f>
        <v>Other</v>
      </c>
    </row>
    <row r="8439" spans="1:7" x14ac:dyDescent="0.25">
      <c r="A8439">
        <v>75880</v>
      </c>
      <c r="B8439" t="s">
        <v>4</v>
      </c>
      <c r="C8439">
        <v>4</v>
      </c>
      <c r="D8439" t="s">
        <v>5</v>
      </c>
      <c r="F8439" t="str" cm="1">
        <f t="array" ref="F8439">CategorizeComment(E8439)</f>
        <v>Other</v>
      </c>
      <c r="G8439" t="str" cm="1">
        <f t="array" ref="G8439">SubCategorizeComment(E8439)</f>
        <v>Other</v>
      </c>
    </row>
    <row r="8440" spans="1:7" x14ac:dyDescent="0.25">
      <c r="A8440">
        <v>75898</v>
      </c>
      <c r="B8440" t="s">
        <v>4</v>
      </c>
      <c r="C8440">
        <v>4</v>
      </c>
      <c r="D8440" t="s">
        <v>5</v>
      </c>
      <c r="F8440" t="str" cm="1">
        <f t="array" ref="F8440">CategorizeComment(E8440)</f>
        <v>Other</v>
      </c>
      <c r="G8440" t="str" cm="1">
        <f t="array" ref="G8440">SubCategorizeComment(E8440)</f>
        <v>Other</v>
      </c>
    </row>
    <row r="8441" spans="1:7" x14ac:dyDescent="0.25">
      <c r="A8441">
        <v>75907</v>
      </c>
      <c r="B8441" t="s">
        <v>4</v>
      </c>
      <c r="C8441">
        <v>4</v>
      </c>
      <c r="D8441" t="s">
        <v>5</v>
      </c>
      <c r="F8441" t="str" cm="1">
        <f t="array" ref="F8441">CategorizeComment(E8441)</f>
        <v>Other</v>
      </c>
      <c r="G8441" t="str" cm="1">
        <f t="array" ref="G8441">SubCategorizeComment(E8441)</f>
        <v>Other</v>
      </c>
    </row>
    <row r="8442" spans="1:7" x14ac:dyDescent="0.25">
      <c r="A8442">
        <v>75908</v>
      </c>
      <c r="B8442" t="s">
        <v>4</v>
      </c>
      <c r="C8442">
        <v>3</v>
      </c>
      <c r="D8442" t="s">
        <v>5</v>
      </c>
      <c r="F8442" t="str" cm="1">
        <f t="array" ref="F8442">CategorizeComment(E8442)</f>
        <v>Other</v>
      </c>
      <c r="G8442" t="str" cm="1">
        <f t="array" ref="G8442">SubCategorizeComment(E8442)</f>
        <v>Other</v>
      </c>
    </row>
    <row r="8443" spans="1:7" x14ac:dyDescent="0.25">
      <c r="A8443">
        <v>75941</v>
      </c>
      <c r="B8443" t="s">
        <v>4</v>
      </c>
      <c r="C8443">
        <v>4</v>
      </c>
      <c r="D8443" t="s">
        <v>5</v>
      </c>
      <c r="F8443" t="str" cm="1">
        <f t="array" ref="F8443">CategorizeComment(E8443)</f>
        <v>Other</v>
      </c>
      <c r="G8443" t="str" cm="1">
        <f t="array" ref="G8443">SubCategorizeComment(E8443)</f>
        <v>Other</v>
      </c>
    </row>
    <row r="8444" spans="1:7" x14ac:dyDescent="0.25">
      <c r="A8444">
        <v>75960</v>
      </c>
      <c r="B8444" t="s">
        <v>4</v>
      </c>
      <c r="C8444">
        <v>3</v>
      </c>
      <c r="D8444" t="s">
        <v>5</v>
      </c>
      <c r="F8444" t="str" cm="1">
        <f t="array" ref="F8444">CategorizeComment(E8444)</f>
        <v>Other</v>
      </c>
      <c r="G8444" t="str" cm="1">
        <f t="array" ref="G8444">SubCategorizeComment(E8444)</f>
        <v>Other</v>
      </c>
    </row>
    <row r="8445" spans="1:7" x14ac:dyDescent="0.25">
      <c r="A8445">
        <v>75970</v>
      </c>
      <c r="B8445" t="s">
        <v>4</v>
      </c>
      <c r="C8445">
        <v>3</v>
      </c>
      <c r="D8445" t="s">
        <v>5</v>
      </c>
      <c r="F8445" t="str" cm="1">
        <f t="array" ref="F8445">CategorizeComment(E8445)</f>
        <v>Other</v>
      </c>
      <c r="G8445" t="str" cm="1">
        <f t="array" ref="G8445">SubCategorizeComment(E8445)</f>
        <v>Other</v>
      </c>
    </row>
    <row r="8446" spans="1:7" x14ac:dyDescent="0.25">
      <c r="A8446">
        <v>75981</v>
      </c>
      <c r="B8446" t="s">
        <v>4</v>
      </c>
      <c r="C8446">
        <v>4</v>
      </c>
      <c r="D8446" t="s">
        <v>5</v>
      </c>
      <c r="F8446" t="str" cm="1">
        <f t="array" ref="F8446">CategorizeComment(E8446)</f>
        <v>Other</v>
      </c>
      <c r="G8446" t="str" cm="1">
        <f t="array" ref="G8446">SubCategorizeComment(E8446)</f>
        <v>Other</v>
      </c>
    </row>
    <row r="8447" spans="1:7" x14ac:dyDescent="0.25">
      <c r="A8447">
        <v>75991</v>
      </c>
      <c r="B8447" t="s">
        <v>4</v>
      </c>
      <c r="C8447">
        <v>4</v>
      </c>
      <c r="D8447" t="s">
        <v>5</v>
      </c>
      <c r="F8447" t="str" cm="1">
        <f t="array" ref="F8447">CategorizeComment(E8447)</f>
        <v>Other</v>
      </c>
      <c r="G8447" t="str" cm="1">
        <f t="array" ref="G8447">SubCategorizeComment(E8447)</f>
        <v>Other</v>
      </c>
    </row>
    <row r="8448" spans="1:7" x14ac:dyDescent="0.25">
      <c r="A8448">
        <v>75996</v>
      </c>
      <c r="B8448" t="s">
        <v>4</v>
      </c>
      <c r="C8448">
        <v>3</v>
      </c>
      <c r="D8448" t="s">
        <v>5</v>
      </c>
      <c r="F8448" t="str" cm="1">
        <f t="array" ref="F8448">CategorizeComment(E8448)</f>
        <v>Other</v>
      </c>
      <c r="G8448" t="str" cm="1">
        <f t="array" ref="G8448">SubCategorizeComment(E8448)</f>
        <v>Other</v>
      </c>
    </row>
    <row r="8449" spans="1:7" x14ac:dyDescent="0.25">
      <c r="A8449">
        <v>76007</v>
      </c>
      <c r="B8449" t="s">
        <v>4</v>
      </c>
      <c r="C8449">
        <v>4</v>
      </c>
      <c r="D8449" t="s">
        <v>5</v>
      </c>
      <c r="F8449" t="str" cm="1">
        <f t="array" ref="F8449">CategorizeComment(E8449)</f>
        <v>Other</v>
      </c>
      <c r="G8449" t="str" cm="1">
        <f t="array" ref="G8449">SubCategorizeComment(E8449)</f>
        <v>Other</v>
      </c>
    </row>
    <row r="8450" spans="1:7" x14ac:dyDescent="0.25">
      <c r="A8450">
        <v>76025</v>
      </c>
      <c r="B8450" t="s">
        <v>4</v>
      </c>
      <c r="C8450">
        <v>3</v>
      </c>
      <c r="D8450" t="s">
        <v>5</v>
      </c>
      <c r="F8450" t="str" cm="1">
        <f t="array" ref="F8450">CategorizeComment(E8450)</f>
        <v>Other</v>
      </c>
      <c r="G8450" t="str" cm="1">
        <f t="array" ref="G8450">SubCategorizeComment(E8450)</f>
        <v>Other</v>
      </c>
    </row>
    <row r="8451" spans="1:7" x14ac:dyDescent="0.25">
      <c r="A8451">
        <v>76036</v>
      </c>
      <c r="B8451" t="s">
        <v>4</v>
      </c>
      <c r="C8451">
        <v>3</v>
      </c>
      <c r="D8451" t="s">
        <v>5</v>
      </c>
      <c r="F8451" t="str" cm="1">
        <f t="array" ref="F8451">CategorizeComment(E8451)</f>
        <v>Other</v>
      </c>
      <c r="G8451" t="str" cm="1">
        <f t="array" ref="G8451">SubCategorizeComment(E8451)</f>
        <v>Other</v>
      </c>
    </row>
    <row r="8452" spans="1:7" x14ac:dyDescent="0.25">
      <c r="A8452">
        <v>76058</v>
      </c>
      <c r="B8452" t="s">
        <v>4</v>
      </c>
      <c r="C8452">
        <v>4</v>
      </c>
      <c r="D8452" t="s">
        <v>5</v>
      </c>
      <c r="F8452" t="str" cm="1">
        <f t="array" ref="F8452">CategorizeComment(E8452)</f>
        <v>Other</v>
      </c>
      <c r="G8452" t="str" cm="1">
        <f t="array" ref="G8452">SubCategorizeComment(E8452)</f>
        <v>Other</v>
      </c>
    </row>
    <row r="8453" spans="1:7" x14ac:dyDescent="0.25">
      <c r="A8453">
        <v>76075</v>
      </c>
      <c r="B8453" t="s">
        <v>4</v>
      </c>
      <c r="C8453">
        <v>4</v>
      </c>
      <c r="D8453" t="s">
        <v>5</v>
      </c>
      <c r="F8453" t="str" cm="1">
        <f t="array" ref="F8453">CategorizeComment(E8453)</f>
        <v>Other</v>
      </c>
      <c r="G8453" t="str" cm="1">
        <f t="array" ref="G8453">SubCategorizeComment(E8453)</f>
        <v>Other</v>
      </c>
    </row>
    <row r="8454" spans="1:7" x14ac:dyDescent="0.25">
      <c r="A8454">
        <v>76098</v>
      </c>
      <c r="B8454" t="s">
        <v>4</v>
      </c>
      <c r="C8454">
        <v>4</v>
      </c>
      <c r="D8454" t="s">
        <v>5</v>
      </c>
      <c r="F8454" t="str" cm="1">
        <f t="array" ref="F8454">CategorizeComment(E8454)</f>
        <v>Other</v>
      </c>
      <c r="G8454" t="str" cm="1">
        <f t="array" ref="G8454">SubCategorizeComment(E8454)</f>
        <v>Other</v>
      </c>
    </row>
    <row r="8455" spans="1:7" x14ac:dyDescent="0.25">
      <c r="A8455">
        <v>76101</v>
      </c>
      <c r="B8455" t="s">
        <v>4</v>
      </c>
      <c r="C8455">
        <v>3</v>
      </c>
      <c r="D8455" t="s">
        <v>5</v>
      </c>
      <c r="F8455" t="str" cm="1">
        <f t="array" ref="F8455">CategorizeComment(E8455)</f>
        <v>Other</v>
      </c>
      <c r="G8455" t="str" cm="1">
        <f t="array" ref="G8455">SubCategorizeComment(E8455)</f>
        <v>Other</v>
      </c>
    </row>
    <row r="8456" spans="1:7" x14ac:dyDescent="0.25">
      <c r="A8456">
        <v>76102</v>
      </c>
      <c r="B8456" t="s">
        <v>4</v>
      </c>
      <c r="C8456">
        <v>3</v>
      </c>
      <c r="D8456" t="s">
        <v>5</v>
      </c>
      <c r="F8456" t="str" cm="1">
        <f t="array" ref="F8456">CategorizeComment(E8456)</f>
        <v>Other</v>
      </c>
      <c r="G8456" t="str" cm="1">
        <f t="array" ref="G8456">SubCategorizeComment(E8456)</f>
        <v>Other</v>
      </c>
    </row>
    <row r="8457" spans="1:7" x14ac:dyDescent="0.25">
      <c r="A8457">
        <v>76107</v>
      </c>
      <c r="B8457" t="s">
        <v>4</v>
      </c>
      <c r="C8457">
        <v>4</v>
      </c>
      <c r="D8457" t="s">
        <v>5</v>
      </c>
      <c r="F8457" t="str" cm="1">
        <f t="array" ref="F8457">CategorizeComment(E8457)</f>
        <v>Other</v>
      </c>
      <c r="G8457" t="str" cm="1">
        <f t="array" ref="G8457">SubCategorizeComment(E8457)</f>
        <v>Other</v>
      </c>
    </row>
    <row r="8458" spans="1:7" x14ac:dyDescent="0.25">
      <c r="A8458">
        <v>76144</v>
      </c>
      <c r="B8458" t="s">
        <v>4</v>
      </c>
      <c r="C8458">
        <v>4</v>
      </c>
      <c r="D8458" t="s">
        <v>5</v>
      </c>
      <c r="F8458" t="str" cm="1">
        <f t="array" ref="F8458">CategorizeComment(E8458)</f>
        <v>Other</v>
      </c>
      <c r="G8458" t="str" cm="1">
        <f t="array" ref="G8458">SubCategorizeComment(E8458)</f>
        <v>Other</v>
      </c>
    </row>
    <row r="8459" spans="1:7" x14ac:dyDescent="0.25">
      <c r="A8459">
        <v>76159</v>
      </c>
      <c r="B8459" t="s">
        <v>4</v>
      </c>
      <c r="C8459">
        <v>3</v>
      </c>
      <c r="D8459" t="s">
        <v>5</v>
      </c>
      <c r="F8459" t="str" cm="1">
        <f t="array" ref="F8459">CategorizeComment(E8459)</f>
        <v>Other</v>
      </c>
      <c r="G8459" t="str" cm="1">
        <f t="array" ref="G8459">SubCategorizeComment(E8459)</f>
        <v>Other</v>
      </c>
    </row>
    <row r="8460" spans="1:7" x14ac:dyDescent="0.25">
      <c r="A8460">
        <v>76165</v>
      </c>
      <c r="B8460" t="s">
        <v>4</v>
      </c>
      <c r="C8460">
        <v>4</v>
      </c>
      <c r="D8460" t="s">
        <v>5</v>
      </c>
      <c r="F8460" t="str" cm="1">
        <f t="array" ref="F8460">CategorizeComment(E8460)</f>
        <v>Other</v>
      </c>
      <c r="G8460" t="str" cm="1">
        <f t="array" ref="G8460">SubCategorizeComment(E8460)</f>
        <v>Other</v>
      </c>
    </row>
    <row r="8461" spans="1:7" x14ac:dyDescent="0.25">
      <c r="A8461">
        <v>76187</v>
      </c>
      <c r="B8461" t="s">
        <v>4</v>
      </c>
      <c r="C8461">
        <v>3</v>
      </c>
      <c r="D8461" t="s">
        <v>5</v>
      </c>
      <c r="F8461" t="str" cm="1">
        <f t="array" ref="F8461">CategorizeComment(E8461)</f>
        <v>Other</v>
      </c>
      <c r="G8461" t="str" cm="1">
        <f t="array" ref="G8461">SubCategorizeComment(E8461)</f>
        <v>Other</v>
      </c>
    </row>
    <row r="8462" spans="1:7" x14ac:dyDescent="0.25">
      <c r="A8462">
        <v>76200</v>
      </c>
      <c r="B8462" t="s">
        <v>4</v>
      </c>
      <c r="C8462">
        <v>3</v>
      </c>
      <c r="D8462" t="s">
        <v>5</v>
      </c>
      <c r="F8462" t="str" cm="1">
        <f t="array" ref="F8462">CategorizeComment(E8462)</f>
        <v>Other</v>
      </c>
      <c r="G8462" t="str" cm="1">
        <f t="array" ref="G8462">SubCategorizeComment(E8462)</f>
        <v>Other</v>
      </c>
    </row>
    <row r="8463" spans="1:7" x14ac:dyDescent="0.25">
      <c r="A8463">
        <v>76212</v>
      </c>
      <c r="B8463" t="s">
        <v>4</v>
      </c>
      <c r="C8463">
        <v>4</v>
      </c>
      <c r="D8463" t="s">
        <v>5</v>
      </c>
      <c r="F8463" t="str" cm="1">
        <f t="array" ref="F8463">CategorizeComment(E8463)</f>
        <v>Other</v>
      </c>
      <c r="G8463" t="str" cm="1">
        <f t="array" ref="G8463">SubCategorizeComment(E8463)</f>
        <v>Other</v>
      </c>
    </row>
    <row r="8464" spans="1:7" x14ac:dyDescent="0.25">
      <c r="A8464">
        <v>76224</v>
      </c>
      <c r="B8464" t="s">
        <v>4</v>
      </c>
      <c r="C8464">
        <v>4</v>
      </c>
      <c r="D8464" t="s">
        <v>5</v>
      </c>
      <c r="F8464" t="str" cm="1">
        <f t="array" ref="F8464">CategorizeComment(E8464)</f>
        <v>Other</v>
      </c>
      <c r="G8464" t="str" cm="1">
        <f t="array" ref="G8464">SubCategorizeComment(E8464)</f>
        <v>Other</v>
      </c>
    </row>
    <row r="8465" spans="1:7" x14ac:dyDescent="0.25">
      <c r="A8465">
        <v>76228</v>
      </c>
      <c r="B8465" t="s">
        <v>4</v>
      </c>
      <c r="C8465">
        <v>4</v>
      </c>
      <c r="D8465" t="s">
        <v>5</v>
      </c>
      <c r="F8465" t="str" cm="1">
        <f t="array" ref="F8465">CategorizeComment(E8465)</f>
        <v>Other</v>
      </c>
      <c r="G8465" t="str" cm="1">
        <f t="array" ref="G8465">SubCategorizeComment(E8465)</f>
        <v>Other</v>
      </c>
    </row>
    <row r="8466" spans="1:7" x14ac:dyDescent="0.25">
      <c r="A8466">
        <v>76240</v>
      </c>
      <c r="B8466" t="s">
        <v>4</v>
      </c>
      <c r="C8466">
        <v>4</v>
      </c>
      <c r="D8466" t="s">
        <v>5</v>
      </c>
      <c r="F8466" t="str" cm="1">
        <f t="array" ref="F8466">CategorizeComment(E8466)</f>
        <v>Other</v>
      </c>
      <c r="G8466" t="str" cm="1">
        <f t="array" ref="G8466">SubCategorizeComment(E8466)</f>
        <v>Other</v>
      </c>
    </row>
    <row r="8467" spans="1:7" x14ac:dyDescent="0.25">
      <c r="A8467">
        <v>76250</v>
      </c>
      <c r="B8467" t="s">
        <v>4</v>
      </c>
      <c r="C8467">
        <v>4</v>
      </c>
      <c r="D8467" t="s">
        <v>5</v>
      </c>
      <c r="F8467" t="str" cm="1">
        <f t="array" ref="F8467">CategorizeComment(E8467)</f>
        <v>Other</v>
      </c>
      <c r="G8467" t="str" cm="1">
        <f t="array" ref="G8467">SubCategorizeComment(E8467)</f>
        <v>Other</v>
      </c>
    </row>
    <row r="8468" spans="1:7" x14ac:dyDescent="0.25">
      <c r="A8468">
        <v>76252</v>
      </c>
      <c r="B8468" t="s">
        <v>4</v>
      </c>
      <c r="C8468">
        <v>3</v>
      </c>
      <c r="D8468" t="s">
        <v>5</v>
      </c>
      <c r="F8468" t="str" cm="1">
        <f t="array" ref="F8468">CategorizeComment(E8468)</f>
        <v>Other</v>
      </c>
      <c r="G8468" t="str" cm="1">
        <f t="array" ref="G8468">SubCategorizeComment(E8468)</f>
        <v>Other</v>
      </c>
    </row>
    <row r="8469" spans="1:7" x14ac:dyDescent="0.25">
      <c r="A8469">
        <v>76257</v>
      </c>
      <c r="B8469" t="s">
        <v>4</v>
      </c>
      <c r="C8469">
        <v>3</v>
      </c>
      <c r="D8469" t="s">
        <v>5</v>
      </c>
      <c r="F8469" t="str" cm="1">
        <f t="array" ref="F8469">CategorizeComment(E8469)</f>
        <v>Other</v>
      </c>
      <c r="G8469" t="str" cm="1">
        <f t="array" ref="G8469">SubCategorizeComment(E8469)</f>
        <v>Other</v>
      </c>
    </row>
    <row r="8470" spans="1:7" x14ac:dyDescent="0.25">
      <c r="A8470">
        <v>76266</v>
      </c>
      <c r="B8470" t="s">
        <v>4</v>
      </c>
      <c r="C8470">
        <v>3</v>
      </c>
      <c r="D8470" t="s">
        <v>5</v>
      </c>
      <c r="F8470" t="str" cm="1">
        <f t="array" ref="F8470">CategorizeComment(E8470)</f>
        <v>Other</v>
      </c>
      <c r="G8470" t="str" cm="1">
        <f t="array" ref="G8470">SubCategorizeComment(E8470)</f>
        <v>Other</v>
      </c>
    </row>
    <row r="8471" spans="1:7" x14ac:dyDescent="0.25">
      <c r="A8471">
        <v>76276</v>
      </c>
      <c r="B8471" t="s">
        <v>4</v>
      </c>
      <c r="C8471">
        <v>3</v>
      </c>
      <c r="D8471" t="s">
        <v>5</v>
      </c>
      <c r="F8471" t="str" cm="1">
        <f t="array" ref="F8471">CategorizeComment(E8471)</f>
        <v>Other</v>
      </c>
      <c r="G8471" t="str" cm="1">
        <f t="array" ref="G8471">SubCategorizeComment(E8471)</f>
        <v>Other</v>
      </c>
    </row>
    <row r="8472" spans="1:7" x14ac:dyDescent="0.25">
      <c r="A8472">
        <v>76289</v>
      </c>
      <c r="B8472" t="s">
        <v>4</v>
      </c>
      <c r="C8472">
        <v>4</v>
      </c>
      <c r="D8472" t="s">
        <v>5</v>
      </c>
      <c r="F8472" t="str" cm="1">
        <f t="array" ref="F8472">CategorizeComment(E8472)</f>
        <v>Other</v>
      </c>
      <c r="G8472" t="str" cm="1">
        <f t="array" ref="G8472">SubCategorizeComment(E8472)</f>
        <v>Other</v>
      </c>
    </row>
    <row r="8473" spans="1:7" x14ac:dyDescent="0.25">
      <c r="A8473">
        <v>76291</v>
      </c>
      <c r="B8473" t="s">
        <v>4</v>
      </c>
      <c r="C8473">
        <v>3</v>
      </c>
      <c r="D8473" t="s">
        <v>5</v>
      </c>
      <c r="F8473" t="str" cm="1">
        <f t="array" ref="F8473">CategorizeComment(E8473)</f>
        <v>Other</v>
      </c>
      <c r="G8473" t="str" cm="1">
        <f t="array" ref="G8473">SubCategorizeComment(E8473)</f>
        <v>Other</v>
      </c>
    </row>
    <row r="8474" spans="1:7" x14ac:dyDescent="0.25">
      <c r="A8474">
        <v>76293</v>
      </c>
      <c r="B8474" t="s">
        <v>4</v>
      </c>
      <c r="C8474">
        <v>3</v>
      </c>
      <c r="D8474" t="s">
        <v>5</v>
      </c>
      <c r="F8474" t="str" cm="1">
        <f t="array" ref="F8474">CategorizeComment(E8474)</f>
        <v>Other</v>
      </c>
      <c r="G8474" t="str" cm="1">
        <f t="array" ref="G8474">SubCategorizeComment(E8474)</f>
        <v>Other</v>
      </c>
    </row>
    <row r="8475" spans="1:7" x14ac:dyDescent="0.25">
      <c r="A8475">
        <v>76309</v>
      </c>
      <c r="B8475" t="s">
        <v>4</v>
      </c>
      <c r="C8475">
        <v>3</v>
      </c>
      <c r="D8475" t="s">
        <v>5</v>
      </c>
      <c r="F8475" t="str" cm="1">
        <f t="array" ref="F8475">CategorizeComment(E8475)</f>
        <v>Other</v>
      </c>
      <c r="G8475" t="str" cm="1">
        <f t="array" ref="G8475">SubCategorizeComment(E8475)</f>
        <v>Other</v>
      </c>
    </row>
    <row r="8476" spans="1:7" x14ac:dyDescent="0.25">
      <c r="A8476">
        <v>76323</v>
      </c>
      <c r="B8476" t="s">
        <v>4</v>
      </c>
      <c r="C8476">
        <v>3</v>
      </c>
      <c r="D8476" t="s">
        <v>5</v>
      </c>
      <c r="F8476" t="str" cm="1">
        <f t="array" ref="F8476">CategorizeComment(E8476)</f>
        <v>Other</v>
      </c>
      <c r="G8476" t="str" cm="1">
        <f t="array" ref="G8476">SubCategorizeComment(E8476)</f>
        <v>Other</v>
      </c>
    </row>
    <row r="8477" spans="1:7" x14ac:dyDescent="0.25">
      <c r="A8477">
        <v>76326</v>
      </c>
      <c r="B8477" t="s">
        <v>4</v>
      </c>
      <c r="C8477">
        <v>4</v>
      </c>
      <c r="D8477" t="s">
        <v>5</v>
      </c>
      <c r="F8477" t="str" cm="1">
        <f t="array" ref="F8477">CategorizeComment(E8477)</f>
        <v>Other</v>
      </c>
      <c r="G8477" t="str" cm="1">
        <f t="array" ref="G8477">SubCategorizeComment(E8477)</f>
        <v>Other</v>
      </c>
    </row>
    <row r="8478" spans="1:7" x14ac:dyDescent="0.25">
      <c r="A8478">
        <v>76337</v>
      </c>
      <c r="B8478" t="s">
        <v>4</v>
      </c>
      <c r="C8478">
        <v>3</v>
      </c>
      <c r="D8478" t="s">
        <v>5</v>
      </c>
      <c r="F8478" t="str" cm="1">
        <f t="array" ref="F8478">CategorizeComment(E8478)</f>
        <v>Other</v>
      </c>
      <c r="G8478" t="str" cm="1">
        <f t="array" ref="G8478">SubCategorizeComment(E8478)</f>
        <v>Other</v>
      </c>
    </row>
    <row r="8479" spans="1:7" x14ac:dyDescent="0.25">
      <c r="A8479">
        <v>76340</v>
      </c>
      <c r="B8479" t="s">
        <v>4</v>
      </c>
      <c r="C8479">
        <v>4</v>
      </c>
      <c r="D8479" t="s">
        <v>5</v>
      </c>
      <c r="F8479" t="str" cm="1">
        <f t="array" ref="F8479">CategorizeComment(E8479)</f>
        <v>Other</v>
      </c>
      <c r="G8479" t="str" cm="1">
        <f t="array" ref="G8479">SubCategorizeComment(E8479)</f>
        <v>Other</v>
      </c>
    </row>
    <row r="8480" spans="1:7" x14ac:dyDescent="0.25">
      <c r="A8480">
        <v>76342</v>
      </c>
      <c r="B8480" t="s">
        <v>4</v>
      </c>
      <c r="C8480">
        <v>4</v>
      </c>
      <c r="D8480" t="s">
        <v>5</v>
      </c>
      <c r="F8480" t="str" cm="1">
        <f t="array" ref="F8480">CategorizeComment(E8480)</f>
        <v>Other</v>
      </c>
      <c r="G8480" t="str" cm="1">
        <f t="array" ref="G8480">SubCategorizeComment(E8480)</f>
        <v>Other</v>
      </c>
    </row>
    <row r="8481" spans="1:7" x14ac:dyDescent="0.25">
      <c r="A8481">
        <v>76344</v>
      </c>
      <c r="B8481" t="s">
        <v>4</v>
      </c>
      <c r="C8481">
        <v>4</v>
      </c>
      <c r="D8481" t="s">
        <v>5</v>
      </c>
      <c r="F8481" t="str" cm="1">
        <f t="array" ref="F8481">CategorizeComment(E8481)</f>
        <v>Other</v>
      </c>
      <c r="G8481" t="str" cm="1">
        <f t="array" ref="G8481">SubCategorizeComment(E8481)</f>
        <v>Other</v>
      </c>
    </row>
    <row r="8482" spans="1:7" x14ac:dyDescent="0.25">
      <c r="A8482">
        <v>76353</v>
      </c>
      <c r="B8482" t="s">
        <v>4</v>
      </c>
      <c r="C8482">
        <v>4</v>
      </c>
      <c r="D8482" t="s">
        <v>5</v>
      </c>
      <c r="F8482" t="str" cm="1">
        <f t="array" ref="F8482">CategorizeComment(E8482)</f>
        <v>Other</v>
      </c>
      <c r="G8482" t="str" cm="1">
        <f t="array" ref="G8482">SubCategorizeComment(E8482)</f>
        <v>Other</v>
      </c>
    </row>
    <row r="8483" spans="1:7" x14ac:dyDescent="0.25">
      <c r="A8483">
        <v>76359</v>
      </c>
      <c r="B8483" t="s">
        <v>4</v>
      </c>
      <c r="C8483">
        <v>3</v>
      </c>
      <c r="D8483" t="s">
        <v>5</v>
      </c>
      <c r="F8483" t="str" cm="1">
        <f t="array" ref="F8483">CategorizeComment(E8483)</f>
        <v>Other</v>
      </c>
      <c r="G8483" t="str" cm="1">
        <f t="array" ref="G8483">SubCategorizeComment(E8483)</f>
        <v>Other</v>
      </c>
    </row>
    <row r="8484" spans="1:7" x14ac:dyDescent="0.25">
      <c r="A8484">
        <v>76376</v>
      </c>
      <c r="B8484" t="s">
        <v>4</v>
      </c>
      <c r="C8484">
        <v>3</v>
      </c>
      <c r="D8484" t="s">
        <v>5</v>
      </c>
      <c r="F8484" t="str" cm="1">
        <f t="array" ref="F8484">CategorizeComment(E8484)</f>
        <v>Other</v>
      </c>
      <c r="G8484" t="str" cm="1">
        <f t="array" ref="G8484">SubCategorizeComment(E8484)</f>
        <v>Other</v>
      </c>
    </row>
    <row r="8485" spans="1:7" x14ac:dyDescent="0.25">
      <c r="A8485">
        <v>76378</v>
      </c>
      <c r="B8485" t="s">
        <v>4</v>
      </c>
      <c r="C8485">
        <v>4</v>
      </c>
      <c r="D8485" t="s">
        <v>5</v>
      </c>
      <c r="F8485" t="str" cm="1">
        <f t="array" ref="F8485">CategorizeComment(E8485)</f>
        <v>Other</v>
      </c>
      <c r="G8485" t="str" cm="1">
        <f t="array" ref="G8485">SubCategorizeComment(E8485)</f>
        <v>Other</v>
      </c>
    </row>
    <row r="8486" spans="1:7" x14ac:dyDescent="0.25">
      <c r="A8486">
        <v>76385</v>
      </c>
      <c r="B8486" t="s">
        <v>4</v>
      </c>
      <c r="C8486">
        <v>4</v>
      </c>
      <c r="D8486" t="s">
        <v>5</v>
      </c>
      <c r="F8486" t="str" cm="1">
        <f t="array" ref="F8486">CategorizeComment(E8486)</f>
        <v>Other</v>
      </c>
      <c r="G8486" t="str" cm="1">
        <f t="array" ref="G8486">SubCategorizeComment(E8486)</f>
        <v>Other</v>
      </c>
    </row>
    <row r="8487" spans="1:7" x14ac:dyDescent="0.25">
      <c r="A8487">
        <v>76391</v>
      </c>
      <c r="B8487" t="s">
        <v>4</v>
      </c>
      <c r="C8487">
        <v>3</v>
      </c>
      <c r="D8487" t="s">
        <v>5</v>
      </c>
      <c r="F8487" t="str" cm="1">
        <f t="array" ref="F8487">CategorizeComment(E8487)</f>
        <v>Other</v>
      </c>
      <c r="G8487" t="str" cm="1">
        <f t="array" ref="G8487">SubCategorizeComment(E8487)</f>
        <v>Other</v>
      </c>
    </row>
    <row r="8488" spans="1:7" x14ac:dyDescent="0.25">
      <c r="A8488">
        <v>76407</v>
      </c>
      <c r="B8488" t="s">
        <v>4</v>
      </c>
      <c r="C8488">
        <v>3</v>
      </c>
      <c r="D8488" t="s">
        <v>5</v>
      </c>
      <c r="F8488" t="str" cm="1">
        <f t="array" ref="F8488">CategorizeComment(E8488)</f>
        <v>Other</v>
      </c>
      <c r="G8488" t="str" cm="1">
        <f t="array" ref="G8488">SubCategorizeComment(E8488)</f>
        <v>Other</v>
      </c>
    </row>
    <row r="8489" spans="1:7" x14ac:dyDescent="0.25">
      <c r="A8489">
        <v>76413</v>
      </c>
      <c r="B8489" t="s">
        <v>4</v>
      </c>
      <c r="C8489">
        <v>4</v>
      </c>
      <c r="D8489" t="s">
        <v>5</v>
      </c>
      <c r="F8489" t="str" cm="1">
        <f t="array" ref="F8489">CategorizeComment(E8489)</f>
        <v>Other</v>
      </c>
      <c r="G8489" t="str" cm="1">
        <f t="array" ref="G8489">SubCategorizeComment(E8489)</f>
        <v>Other</v>
      </c>
    </row>
    <row r="8490" spans="1:7" x14ac:dyDescent="0.25">
      <c r="A8490">
        <v>76424</v>
      </c>
      <c r="B8490" t="s">
        <v>4</v>
      </c>
      <c r="C8490">
        <v>4</v>
      </c>
      <c r="D8490" t="s">
        <v>5</v>
      </c>
      <c r="F8490" t="str" cm="1">
        <f t="array" ref="F8490">CategorizeComment(E8490)</f>
        <v>Other</v>
      </c>
      <c r="G8490" t="str" cm="1">
        <f t="array" ref="G8490">SubCategorizeComment(E8490)</f>
        <v>Other</v>
      </c>
    </row>
    <row r="8491" spans="1:7" x14ac:dyDescent="0.25">
      <c r="A8491">
        <v>76430</v>
      </c>
      <c r="B8491" t="s">
        <v>4</v>
      </c>
      <c r="C8491">
        <v>4</v>
      </c>
      <c r="D8491" t="s">
        <v>5</v>
      </c>
      <c r="F8491" t="str" cm="1">
        <f t="array" ref="F8491">CategorizeComment(E8491)</f>
        <v>Other</v>
      </c>
      <c r="G8491" t="str" cm="1">
        <f t="array" ref="G8491">SubCategorizeComment(E8491)</f>
        <v>Other</v>
      </c>
    </row>
    <row r="8492" spans="1:7" x14ac:dyDescent="0.25">
      <c r="A8492">
        <v>76431</v>
      </c>
      <c r="B8492" t="s">
        <v>4</v>
      </c>
      <c r="C8492">
        <v>4</v>
      </c>
      <c r="D8492" t="s">
        <v>5</v>
      </c>
      <c r="F8492" t="str" cm="1">
        <f t="array" ref="F8492">CategorizeComment(E8492)</f>
        <v>Other</v>
      </c>
      <c r="G8492" t="str" cm="1">
        <f t="array" ref="G8492">SubCategorizeComment(E8492)</f>
        <v>Other</v>
      </c>
    </row>
    <row r="8493" spans="1:7" x14ac:dyDescent="0.25">
      <c r="A8493">
        <v>76506</v>
      </c>
      <c r="B8493" t="s">
        <v>4</v>
      </c>
      <c r="C8493">
        <v>4</v>
      </c>
      <c r="D8493" t="s">
        <v>5</v>
      </c>
      <c r="F8493" t="str" cm="1">
        <f t="array" ref="F8493">CategorizeComment(E8493)</f>
        <v>Other</v>
      </c>
      <c r="G8493" t="str" cm="1">
        <f t="array" ref="G8493">SubCategorizeComment(E8493)</f>
        <v>Other</v>
      </c>
    </row>
    <row r="8494" spans="1:7" x14ac:dyDescent="0.25">
      <c r="A8494">
        <v>76518</v>
      </c>
      <c r="B8494" t="s">
        <v>4</v>
      </c>
      <c r="C8494">
        <v>4</v>
      </c>
      <c r="D8494" t="s">
        <v>5</v>
      </c>
      <c r="F8494" t="str" cm="1">
        <f t="array" ref="F8494">CategorizeComment(E8494)</f>
        <v>Other</v>
      </c>
      <c r="G8494" t="str" cm="1">
        <f t="array" ref="G8494">SubCategorizeComment(E8494)</f>
        <v>Other</v>
      </c>
    </row>
    <row r="8495" spans="1:7" x14ac:dyDescent="0.25">
      <c r="A8495">
        <v>76557</v>
      </c>
      <c r="B8495" t="s">
        <v>4</v>
      </c>
      <c r="C8495">
        <v>4</v>
      </c>
      <c r="D8495" t="s">
        <v>5</v>
      </c>
      <c r="F8495" t="str" cm="1">
        <f t="array" ref="F8495">CategorizeComment(E8495)</f>
        <v>Other</v>
      </c>
      <c r="G8495" t="str" cm="1">
        <f t="array" ref="G8495">SubCategorizeComment(E8495)</f>
        <v>Other</v>
      </c>
    </row>
    <row r="8496" spans="1:7" x14ac:dyDescent="0.25">
      <c r="A8496">
        <v>76560</v>
      </c>
      <c r="B8496" t="s">
        <v>4</v>
      </c>
      <c r="C8496">
        <v>4</v>
      </c>
      <c r="D8496" t="s">
        <v>5</v>
      </c>
      <c r="F8496" t="str" cm="1">
        <f t="array" ref="F8496">CategorizeComment(E8496)</f>
        <v>Other</v>
      </c>
      <c r="G8496" t="str" cm="1">
        <f t="array" ref="G8496">SubCategorizeComment(E8496)</f>
        <v>Other</v>
      </c>
    </row>
    <row r="8497" spans="1:7" x14ac:dyDescent="0.25">
      <c r="A8497">
        <v>76562</v>
      </c>
      <c r="B8497" t="s">
        <v>4</v>
      </c>
      <c r="C8497">
        <v>4</v>
      </c>
      <c r="D8497" t="s">
        <v>5</v>
      </c>
      <c r="F8497" t="str" cm="1">
        <f t="array" ref="F8497">CategorizeComment(E8497)</f>
        <v>Other</v>
      </c>
      <c r="G8497" t="str" cm="1">
        <f t="array" ref="G8497">SubCategorizeComment(E8497)</f>
        <v>Other</v>
      </c>
    </row>
    <row r="8498" spans="1:7" x14ac:dyDescent="0.25">
      <c r="A8498">
        <v>76566</v>
      </c>
      <c r="B8498" t="s">
        <v>4</v>
      </c>
      <c r="C8498">
        <v>3</v>
      </c>
      <c r="D8498" t="s">
        <v>5</v>
      </c>
      <c r="F8498" t="str" cm="1">
        <f t="array" ref="F8498">CategorizeComment(E8498)</f>
        <v>Other</v>
      </c>
      <c r="G8498" t="str" cm="1">
        <f t="array" ref="G8498">SubCategorizeComment(E8498)</f>
        <v>Other</v>
      </c>
    </row>
    <row r="8499" spans="1:7" x14ac:dyDescent="0.25">
      <c r="A8499">
        <v>76567</v>
      </c>
      <c r="B8499" t="s">
        <v>4</v>
      </c>
      <c r="C8499">
        <v>3</v>
      </c>
      <c r="D8499" t="s">
        <v>5</v>
      </c>
      <c r="F8499" t="str" cm="1">
        <f t="array" ref="F8499">CategorizeComment(E8499)</f>
        <v>Other</v>
      </c>
      <c r="G8499" t="str" cm="1">
        <f t="array" ref="G8499">SubCategorizeComment(E8499)</f>
        <v>Other</v>
      </c>
    </row>
    <row r="8500" spans="1:7" x14ac:dyDescent="0.25">
      <c r="A8500">
        <v>76568</v>
      </c>
      <c r="B8500" t="s">
        <v>4</v>
      </c>
      <c r="C8500">
        <v>4</v>
      </c>
      <c r="D8500" t="s">
        <v>5</v>
      </c>
      <c r="F8500" t="str" cm="1">
        <f t="array" ref="F8500">CategorizeComment(E8500)</f>
        <v>Other</v>
      </c>
      <c r="G8500" t="str" cm="1">
        <f t="array" ref="G8500">SubCategorizeComment(E8500)</f>
        <v>Other</v>
      </c>
    </row>
    <row r="8501" spans="1:7" x14ac:dyDescent="0.25">
      <c r="A8501">
        <v>76571</v>
      </c>
      <c r="B8501" t="s">
        <v>4</v>
      </c>
      <c r="C8501">
        <v>4</v>
      </c>
      <c r="D8501" t="s">
        <v>5</v>
      </c>
      <c r="F8501" t="str" cm="1">
        <f t="array" ref="F8501">CategorizeComment(E8501)</f>
        <v>Other</v>
      </c>
      <c r="G8501" t="str" cm="1">
        <f t="array" ref="G8501">SubCategorizeComment(E8501)</f>
        <v>Other</v>
      </c>
    </row>
    <row r="8502" spans="1:7" x14ac:dyDescent="0.25">
      <c r="A8502">
        <v>76573</v>
      </c>
      <c r="B8502" t="s">
        <v>4</v>
      </c>
      <c r="C8502">
        <v>3</v>
      </c>
      <c r="D8502" t="s">
        <v>5</v>
      </c>
      <c r="F8502" t="str" cm="1">
        <f t="array" ref="F8502">CategorizeComment(E8502)</f>
        <v>Other</v>
      </c>
      <c r="G8502" t="str" cm="1">
        <f t="array" ref="G8502">SubCategorizeComment(E8502)</f>
        <v>Other</v>
      </c>
    </row>
    <row r="8503" spans="1:7" x14ac:dyDescent="0.25">
      <c r="A8503">
        <v>76579</v>
      </c>
      <c r="B8503" t="s">
        <v>4</v>
      </c>
      <c r="C8503">
        <v>3</v>
      </c>
      <c r="D8503" t="s">
        <v>5</v>
      </c>
      <c r="F8503" t="str" cm="1">
        <f t="array" ref="F8503">CategorizeComment(E8503)</f>
        <v>Other</v>
      </c>
      <c r="G8503" t="str" cm="1">
        <f t="array" ref="G8503">SubCategorizeComment(E8503)</f>
        <v>Other</v>
      </c>
    </row>
    <row r="8504" spans="1:7" x14ac:dyDescent="0.25">
      <c r="A8504">
        <v>76582</v>
      </c>
      <c r="B8504" t="s">
        <v>4</v>
      </c>
      <c r="C8504">
        <v>3</v>
      </c>
      <c r="D8504" t="s">
        <v>5</v>
      </c>
      <c r="F8504" t="str" cm="1">
        <f t="array" ref="F8504">CategorizeComment(E8504)</f>
        <v>Other</v>
      </c>
      <c r="G8504" t="str" cm="1">
        <f t="array" ref="G8504">SubCategorizeComment(E8504)</f>
        <v>Other</v>
      </c>
    </row>
    <row r="8505" spans="1:7" x14ac:dyDescent="0.25">
      <c r="A8505">
        <v>76593</v>
      </c>
      <c r="B8505" t="s">
        <v>4</v>
      </c>
      <c r="C8505">
        <v>3</v>
      </c>
      <c r="D8505" t="s">
        <v>5</v>
      </c>
      <c r="F8505" t="str" cm="1">
        <f t="array" ref="F8505">CategorizeComment(E8505)</f>
        <v>Other</v>
      </c>
      <c r="G8505" t="str" cm="1">
        <f t="array" ref="G8505">SubCategorizeComment(E8505)</f>
        <v>Other</v>
      </c>
    </row>
    <row r="8506" spans="1:7" x14ac:dyDescent="0.25">
      <c r="A8506">
        <v>76605</v>
      </c>
      <c r="B8506" t="s">
        <v>4</v>
      </c>
      <c r="C8506">
        <v>3</v>
      </c>
      <c r="D8506" t="s">
        <v>5</v>
      </c>
      <c r="F8506" t="str" cm="1">
        <f t="array" ref="F8506">CategorizeComment(E8506)</f>
        <v>Other</v>
      </c>
      <c r="G8506" t="str" cm="1">
        <f t="array" ref="G8506">SubCategorizeComment(E8506)</f>
        <v>Other</v>
      </c>
    </row>
    <row r="8507" spans="1:7" x14ac:dyDescent="0.25">
      <c r="A8507">
        <v>76607</v>
      </c>
      <c r="B8507" t="s">
        <v>4</v>
      </c>
      <c r="C8507">
        <v>3</v>
      </c>
      <c r="D8507" t="s">
        <v>5</v>
      </c>
      <c r="F8507" t="str" cm="1">
        <f t="array" ref="F8507">CategorizeComment(E8507)</f>
        <v>Other</v>
      </c>
      <c r="G8507" t="str" cm="1">
        <f t="array" ref="G8507">SubCategorizeComment(E8507)</f>
        <v>Other</v>
      </c>
    </row>
    <row r="8508" spans="1:7" x14ac:dyDescent="0.25">
      <c r="A8508">
        <v>76624</v>
      </c>
      <c r="B8508" t="s">
        <v>4</v>
      </c>
      <c r="C8508">
        <v>3</v>
      </c>
      <c r="D8508" t="s">
        <v>5</v>
      </c>
      <c r="F8508" t="str" cm="1">
        <f t="array" ref="F8508">CategorizeComment(E8508)</f>
        <v>Other</v>
      </c>
      <c r="G8508" t="str" cm="1">
        <f t="array" ref="G8508">SubCategorizeComment(E8508)</f>
        <v>Other</v>
      </c>
    </row>
    <row r="8509" spans="1:7" x14ac:dyDescent="0.25">
      <c r="A8509">
        <v>76629</v>
      </c>
      <c r="B8509" t="s">
        <v>4</v>
      </c>
      <c r="C8509">
        <v>3</v>
      </c>
      <c r="D8509" t="s">
        <v>5</v>
      </c>
      <c r="F8509" t="str" cm="1">
        <f t="array" ref="F8509">CategorizeComment(E8509)</f>
        <v>Other</v>
      </c>
      <c r="G8509" t="str" cm="1">
        <f t="array" ref="G8509">SubCategorizeComment(E8509)</f>
        <v>Other</v>
      </c>
    </row>
    <row r="8510" spans="1:7" x14ac:dyDescent="0.25">
      <c r="A8510">
        <v>76633</v>
      </c>
      <c r="B8510" t="s">
        <v>4</v>
      </c>
      <c r="C8510">
        <v>4</v>
      </c>
      <c r="D8510" t="s">
        <v>5</v>
      </c>
      <c r="F8510" t="str" cm="1">
        <f t="array" ref="F8510">CategorizeComment(E8510)</f>
        <v>Other</v>
      </c>
      <c r="G8510" t="str" cm="1">
        <f t="array" ref="G8510">SubCategorizeComment(E8510)</f>
        <v>Other</v>
      </c>
    </row>
    <row r="8511" spans="1:7" x14ac:dyDescent="0.25">
      <c r="A8511">
        <v>76636</v>
      </c>
      <c r="B8511" t="s">
        <v>4</v>
      </c>
      <c r="C8511">
        <v>3</v>
      </c>
      <c r="D8511" t="s">
        <v>5</v>
      </c>
      <c r="F8511" t="str" cm="1">
        <f t="array" ref="F8511">CategorizeComment(E8511)</f>
        <v>Other</v>
      </c>
      <c r="G8511" t="str" cm="1">
        <f t="array" ref="G8511">SubCategorizeComment(E8511)</f>
        <v>Other</v>
      </c>
    </row>
    <row r="8512" spans="1:7" x14ac:dyDescent="0.25">
      <c r="A8512">
        <v>76653</v>
      </c>
      <c r="B8512" t="s">
        <v>4</v>
      </c>
      <c r="C8512">
        <v>3</v>
      </c>
      <c r="D8512" t="s">
        <v>5</v>
      </c>
      <c r="F8512" t="str" cm="1">
        <f t="array" ref="F8512">CategorizeComment(E8512)</f>
        <v>Other</v>
      </c>
      <c r="G8512" t="str" cm="1">
        <f t="array" ref="G8512">SubCategorizeComment(E8512)</f>
        <v>Other</v>
      </c>
    </row>
    <row r="8513" spans="1:7" x14ac:dyDescent="0.25">
      <c r="A8513">
        <v>76655</v>
      </c>
      <c r="B8513" t="s">
        <v>4</v>
      </c>
      <c r="C8513">
        <v>4</v>
      </c>
      <c r="D8513" t="s">
        <v>5</v>
      </c>
      <c r="F8513" t="str" cm="1">
        <f t="array" ref="F8513">CategorizeComment(E8513)</f>
        <v>Other</v>
      </c>
      <c r="G8513" t="str" cm="1">
        <f t="array" ref="G8513">SubCategorizeComment(E8513)</f>
        <v>Other</v>
      </c>
    </row>
    <row r="8514" spans="1:7" x14ac:dyDescent="0.25">
      <c r="A8514">
        <v>76668</v>
      </c>
      <c r="B8514" t="s">
        <v>4</v>
      </c>
      <c r="C8514">
        <v>4</v>
      </c>
      <c r="D8514" t="s">
        <v>5</v>
      </c>
      <c r="F8514" t="str" cm="1">
        <f t="array" ref="F8514">CategorizeComment(E8514)</f>
        <v>Other</v>
      </c>
      <c r="G8514" t="str" cm="1">
        <f t="array" ref="G8514">SubCategorizeComment(E8514)</f>
        <v>Other</v>
      </c>
    </row>
    <row r="8515" spans="1:7" x14ac:dyDescent="0.25">
      <c r="A8515">
        <v>76675</v>
      </c>
      <c r="B8515" t="s">
        <v>4</v>
      </c>
      <c r="C8515">
        <v>4</v>
      </c>
      <c r="D8515" t="s">
        <v>5</v>
      </c>
      <c r="F8515" t="str" cm="1">
        <f t="array" ref="F8515">CategorizeComment(E8515)</f>
        <v>Other</v>
      </c>
      <c r="G8515" t="str" cm="1">
        <f t="array" ref="G8515">SubCategorizeComment(E8515)</f>
        <v>Other</v>
      </c>
    </row>
    <row r="8516" spans="1:7" x14ac:dyDescent="0.25">
      <c r="A8516">
        <v>76679</v>
      </c>
      <c r="B8516" t="s">
        <v>4</v>
      </c>
      <c r="C8516">
        <v>4</v>
      </c>
      <c r="D8516" t="s">
        <v>5</v>
      </c>
      <c r="F8516" t="str" cm="1">
        <f t="array" ref="F8516">CategorizeComment(E8516)</f>
        <v>Other</v>
      </c>
      <c r="G8516" t="str" cm="1">
        <f t="array" ref="G8516">SubCategorizeComment(E8516)</f>
        <v>Other</v>
      </c>
    </row>
    <row r="8517" spans="1:7" x14ac:dyDescent="0.25">
      <c r="A8517">
        <v>76683</v>
      </c>
      <c r="B8517" t="s">
        <v>4</v>
      </c>
      <c r="C8517">
        <v>4</v>
      </c>
      <c r="D8517" t="s">
        <v>5</v>
      </c>
      <c r="F8517" t="str" cm="1">
        <f t="array" ref="F8517">CategorizeComment(E8517)</f>
        <v>Other</v>
      </c>
      <c r="G8517" t="str" cm="1">
        <f t="array" ref="G8517">SubCategorizeComment(E8517)</f>
        <v>Other</v>
      </c>
    </row>
    <row r="8518" spans="1:7" x14ac:dyDescent="0.25">
      <c r="A8518">
        <v>76695</v>
      </c>
      <c r="B8518" t="s">
        <v>4</v>
      </c>
      <c r="C8518">
        <v>3</v>
      </c>
      <c r="D8518" t="s">
        <v>5</v>
      </c>
      <c r="F8518" t="str" cm="1">
        <f t="array" ref="F8518">CategorizeComment(E8518)</f>
        <v>Other</v>
      </c>
      <c r="G8518" t="str" cm="1">
        <f t="array" ref="G8518">SubCategorizeComment(E8518)</f>
        <v>Other</v>
      </c>
    </row>
    <row r="8519" spans="1:7" x14ac:dyDescent="0.25">
      <c r="A8519">
        <v>76696</v>
      </c>
      <c r="B8519" t="s">
        <v>4</v>
      </c>
      <c r="C8519">
        <v>3</v>
      </c>
      <c r="D8519" t="s">
        <v>5</v>
      </c>
      <c r="F8519" t="str" cm="1">
        <f t="array" ref="F8519">CategorizeComment(E8519)</f>
        <v>Other</v>
      </c>
      <c r="G8519" t="str" cm="1">
        <f t="array" ref="G8519">SubCategorizeComment(E8519)</f>
        <v>Other</v>
      </c>
    </row>
    <row r="8520" spans="1:7" x14ac:dyDescent="0.25">
      <c r="A8520">
        <v>76702</v>
      </c>
      <c r="B8520" t="s">
        <v>4</v>
      </c>
      <c r="C8520">
        <v>3</v>
      </c>
      <c r="D8520" t="s">
        <v>5</v>
      </c>
      <c r="F8520" t="str" cm="1">
        <f t="array" ref="F8520">CategorizeComment(E8520)</f>
        <v>Other</v>
      </c>
      <c r="G8520" t="str" cm="1">
        <f t="array" ref="G8520">SubCategorizeComment(E8520)</f>
        <v>Other</v>
      </c>
    </row>
    <row r="8521" spans="1:7" x14ac:dyDescent="0.25">
      <c r="A8521">
        <v>76717</v>
      </c>
      <c r="B8521" t="s">
        <v>4</v>
      </c>
      <c r="C8521">
        <v>3</v>
      </c>
      <c r="D8521" t="s">
        <v>5</v>
      </c>
      <c r="F8521" t="str" cm="1">
        <f t="array" ref="F8521">CategorizeComment(E8521)</f>
        <v>Other</v>
      </c>
      <c r="G8521" t="str" cm="1">
        <f t="array" ref="G8521">SubCategorizeComment(E8521)</f>
        <v>Other</v>
      </c>
    </row>
    <row r="8522" spans="1:7" x14ac:dyDescent="0.25">
      <c r="A8522">
        <v>76722</v>
      </c>
      <c r="B8522" t="s">
        <v>4</v>
      </c>
      <c r="C8522">
        <v>4</v>
      </c>
      <c r="D8522" t="s">
        <v>5</v>
      </c>
      <c r="F8522" t="str" cm="1">
        <f t="array" ref="F8522">CategorizeComment(E8522)</f>
        <v>Other</v>
      </c>
      <c r="G8522" t="str" cm="1">
        <f t="array" ref="G8522">SubCategorizeComment(E8522)</f>
        <v>Other</v>
      </c>
    </row>
    <row r="8523" spans="1:7" x14ac:dyDescent="0.25">
      <c r="A8523">
        <v>76725</v>
      </c>
      <c r="B8523" t="s">
        <v>4</v>
      </c>
      <c r="C8523">
        <v>3</v>
      </c>
      <c r="D8523" t="s">
        <v>5</v>
      </c>
      <c r="F8523" t="str" cm="1">
        <f t="array" ref="F8523">CategorizeComment(E8523)</f>
        <v>Other</v>
      </c>
      <c r="G8523" t="str" cm="1">
        <f t="array" ref="G8523">SubCategorizeComment(E8523)</f>
        <v>Other</v>
      </c>
    </row>
    <row r="8524" spans="1:7" x14ac:dyDescent="0.25">
      <c r="A8524">
        <v>76744</v>
      </c>
      <c r="B8524" t="s">
        <v>4</v>
      </c>
      <c r="C8524">
        <v>3</v>
      </c>
      <c r="D8524" t="s">
        <v>5</v>
      </c>
      <c r="F8524" t="str" cm="1">
        <f t="array" ref="F8524">CategorizeComment(E8524)</f>
        <v>Other</v>
      </c>
      <c r="G8524" t="str" cm="1">
        <f t="array" ref="G8524">SubCategorizeComment(E8524)</f>
        <v>Other</v>
      </c>
    </row>
    <row r="8525" spans="1:7" x14ac:dyDescent="0.25">
      <c r="A8525">
        <v>76747</v>
      </c>
      <c r="B8525" t="s">
        <v>4</v>
      </c>
      <c r="C8525">
        <v>4</v>
      </c>
      <c r="D8525" t="s">
        <v>5</v>
      </c>
      <c r="F8525" t="str" cm="1">
        <f t="array" ref="F8525">CategorizeComment(E8525)</f>
        <v>Other</v>
      </c>
      <c r="G8525" t="str" cm="1">
        <f t="array" ref="G8525">SubCategorizeComment(E8525)</f>
        <v>Other</v>
      </c>
    </row>
    <row r="8526" spans="1:7" x14ac:dyDescent="0.25">
      <c r="A8526">
        <v>76749</v>
      </c>
      <c r="B8526" t="s">
        <v>4</v>
      </c>
      <c r="C8526">
        <v>4</v>
      </c>
      <c r="D8526" t="s">
        <v>5</v>
      </c>
      <c r="F8526" t="str" cm="1">
        <f t="array" ref="F8526">CategorizeComment(E8526)</f>
        <v>Other</v>
      </c>
      <c r="G8526" t="str" cm="1">
        <f t="array" ref="G8526">SubCategorizeComment(E8526)</f>
        <v>Other</v>
      </c>
    </row>
    <row r="8527" spans="1:7" x14ac:dyDescent="0.25">
      <c r="A8527">
        <v>76783</v>
      </c>
      <c r="B8527" t="s">
        <v>4</v>
      </c>
      <c r="C8527">
        <v>3</v>
      </c>
      <c r="D8527" t="s">
        <v>5</v>
      </c>
      <c r="F8527" t="str" cm="1">
        <f t="array" ref="F8527">CategorizeComment(E8527)</f>
        <v>Other</v>
      </c>
      <c r="G8527" t="str" cm="1">
        <f t="array" ref="G8527">SubCategorizeComment(E8527)</f>
        <v>Other</v>
      </c>
    </row>
    <row r="8528" spans="1:7" x14ac:dyDescent="0.25">
      <c r="A8528">
        <v>76786</v>
      </c>
      <c r="B8528" t="s">
        <v>4</v>
      </c>
      <c r="C8528">
        <v>4</v>
      </c>
      <c r="D8528" t="s">
        <v>5</v>
      </c>
      <c r="F8528" t="str" cm="1">
        <f t="array" ref="F8528">CategorizeComment(E8528)</f>
        <v>Other</v>
      </c>
      <c r="G8528" t="str" cm="1">
        <f t="array" ref="G8528">SubCategorizeComment(E8528)</f>
        <v>Other</v>
      </c>
    </row>
    <row r="8529" spans="1:7" x14ac:dyDescent="0.25">
      <c r="A8529">
        <v>76794</v>
      </c>
      <c r="B8529" t="s">
        <v>4</v>
      </c>
      <c r="C8529">
        <v>3</v>
      </c>
      <c r="D8529" t="s">
        <v>5</v>
      </c>
      <c r="F8529" t="str" cm="1">
        <f t="array" ref="F8529">CategorizeComment(E8529)</f>
        <v>Other</v>
      </c>
      <c r="G8529" t="str" cm="1">
        <f t="array" ref="G8529">SubCategorizeComment(E8529)</f>
        <v>Other</v>
      </c>
    </row>
    <row r="8530" spans="1:7" x14ac:dyDescent="0.25">
      <c r="A8530">
        <v>76802</v>
      </c>
      <c r="B8530" t="s">
        <v>4</v>
      </c>
      <c r="C8530">
        <v>4</v>
      </c>
      <c r="D8530" t="s">
        <v>5</v>
      </c>
      <c r="F8530" t="str" cm="1">
        <f t="array" ref="F8530">CategorizeComment(E8530)</f>
        <v>Other</v>
      </c>
      <c r="G8530" t="str" cm="1">
        <f t="array" ref="G8530">SubCategorizeComment(E8530)</f>
        <v>Other</v>
      </c>
    </row>
    <row r="8531" spans="1:7" x14ac:dyDescent="0.25">
      <c r="A8531">
        <v>76831</v>
      </c>
      <c r="B8531" t="s">
        <v>4</v>
      </c>
      <c r="C8531">
        <v>4</v>
      </c>
      <c r="D8531" t="s">
        <v>5</v>
      </c>
      <c r="F8531" t="str" cm="1">
        <f t="array" ref="F8531">CategorizeComment(E8531)</f>
        <v>Other</v>
      </c>
      <c r="G8531" t="str" cm="1">
        <f t="array" ref="G8531">SubCategorizeComment(E8531)</f>
        <v>Other</v>
      </c>
    </row>
    <row r="8532" spans="1:7" x14ac:dyDescent="0.25">
      <c r="A8532">
        <v>76843</v>
      </c>
      <c r="B8532" t="s">
        <v>4</v>
      </c>
      <c r="C8532">
        <v>4</v>
      </c>
      <c r="D8532" t="s">
        <v>5</v>
      </c>
      <c r="F8532" t="str" cm="1">
        <f t="array" ref="F8532">CategorizeComment(E8532)</f>
        <v>Other</v>
      </c>
      <c r="G8532" t="str" cm="1">
        <f t="array" ref="G8532">SubCategorizeComment(E8532)</f>
        <v>Other</v>
      </c>
    </row>
    <row r="8533" spans="1:7" x14ac:dyDescent="0.25">
      <c r="A8533">
        <v>76848</v>
      </c>
      <c r="B8533" t="s">
        <v>4</v>
      </c>
      <c r="C8533">
        <v>3</v>
      </c>
      <c r="D8533" t="s">
        <v>5</v>
      </c>
      <c r="F8533" t="str" cm="1">
        <f t="array" ref="F8533">CategorizeComment(E8533)</f>
        <v>Other</v>
      </c>
      <c r="G8533" t="str" cm="1">
        <f t="array" ref="G8533">SubCategorizeComment(E8533)</f>
        <v>Other</v>
      </c>
    </row>
    <row r="8534" spans="1:7" x14ac:dyDescent="0.25">
      <c r="A8534">
        <v>76866</v>
      </c>
      <c r="B8534" t="s">
        <v>4</v>
      </c>
      <c r="C8534">
        <v>4</v>
      </c>
      <c r="D8534" t="s">
        <v>5</v>
      </c>
      <c r="F8534" t="str" cm="1">
        <f t="array" ref="F8534">CategorizeComment(E8534)</f>
        <v>Other</v>
      </c>
      <c r="G8534" t="str" cm="1">
        <f t="array" ref="G8534">SubCategorizeComment(E8534)</f>
        <v>Other</v>
      </c>
    </row>
    <row r="8535" spans="1:7" x14ac:dyDescent="0.25">
      <c r="A8535">
        <v>76900</v>
      </c>
      <c r="B8535" t="s">
        <v>4</v>
      </c>
      <c r="C8535">
        <v>4</v>
      </c>
      <c r="D8535" t="s">
        <v>5</v>
      </c>
      <c r="F8535" t="str" cm="1">
        <f t="array" ref="F8535">CategorizeComment(E8535)</f>
        <v>Other</v>
      </c>
      <c r="G8535" t="str" cm="1">
        <f t="array" ref="G8535">SubCategorizeComment(E8535)</f>
        <v>Other</v>
      </c>
    </row>
    <row r="8536" spans="1:7" x14ac:dyDescent="0.25">
      <c r="A8536">
        <v>76904</v>
      </c>
      <c r="B8536" t="s">
        <v>4</v>
      </c>
      <c r="C8536">
        <v>4</v>
      </c>
      <c r="D8536" t="s">
        <v>5</v>
      </c>
      <c r="F8536" t="str" cm="1">
        <f t="array" ref="F8536">CategorizeComment(E8536)</f>
        <v>Other</v>
      </c>
      <c r="G8536" t="str" cm="1">
        <f t="array" ref="G8536">SubCategorizeComment(E8536)</f>
        <v>Other</v>
      </c>
    </row>
    <row r="8537" spans="1:7" x14ac:dyDescent="0.25">
      <c r="A8537">
        <v>76908</v>
      </c>
      <c r="B8537" t="s">
        <v>4</v>
      </c>
      <c r="C8537">
        <v>3</v>
      </c>
      <c r="D8537" t="s">
        <v>5</v>
      </c>
      <c r="F8537" t="str" cm="1">
        <f t="array" ref="F8537">CategorizeComment(E8537)</f>
        <v>Other</v>
      </c>
      <c r="G8537" t="str" cm="1">
        <f t="array" ref="G8537">SubCategorizeComment(E8537)</f>
        <v>Other</v>
      </c>
    </row>
    <row r="8538" spans="1:7" x14ac:dyDescent="0.25">
      <c r="A8538">
        <v>76909</v>
      </c>
      <c r="B8538" t="s">
        <v>4</v>
      </c>
      <c r="C8538">
        <v>3</v>
      </c>
      <c r="D8538" t="s">
        <v>5</v>
      </c>
      <c r="F8538" t="str" cm="1">
        <f t="array" ref="F8538">CategorizeComment(E8538)</f>
        <v>Other</v>
      </c>
      <c r="G8538" t="str" cm="1">
        <f t="array" ref="G8538">SubCategorizeComment(E8538)</f>
        <v>Other</v>
      </c>
    </row>
    <row r="8539" spans="1:7" x14ac:dyDescent="0.25">
      <c r="A8539">
        <v>76919</v>
      </c>
      <c r="B8539" t="s">
        <v>4</v>
      </c>
      <c r="C8539">
        <v>4</v>
      </c>
      <c r="D8539" t="s">
        <v>5</v>
      </c>
      <c r="F8539" t="str" cm="1">
        <f t="array" ref="F8539">CategorizeComment(E8539)</f>
        <v>Other</v>
      </c>
      <c r="G8539" t="str" cm="1">
        <f t="array" ref="G8539">SubCategorizeComment(E8539)</f>
        <v>Other</v>
      </c>
    </row>
    <row r="8540" spans="1:7" x14ac:dyDescent="0.25">
      <c r="A8540">
        <v>76928</v>
      </c>
      <c r="B8540" t="s">
        <v>4</v>
      </c>
      <c r="C8540">
        <v>3</v>
      </c>
      <c r="D8540" t="s">
        <v>5</v>
      </c>
      <c r="F8540" t="str" cm="1">
        <f t="array" ref="F8540">CategorizeComment(E8540)</f>
        <v>Other</v>
      </c>
      <c r="G8540" t="str" cm="1">
        <f t="array" ref="G8540">SubCategorizeComment(E8540)</f>
        <v>Other</v>
      </c>
    </row>
    <row r="8541" spans="1:7" x14ac:dyDescent="0.25">
      <c r="A8541">
        <v>76955</v>
      </c>
      <c r="B8541" t="s">
        <v>4</v>
      </c>
      <c r="C8541">
        <v>3</v>
      </c>
      <c r="D8541" t="s">
        <v>5</v>
      </c>
      <c r="F8541" t="str" cm="1">
        <f t="array" ref="F8541">CategorizeComment(E8541)</f>
        <v>Other</v>
      </c>
      <c r="G8541" t="str" cm="1">
        <f t="array" ref="G8541">SubCategorizeComment(E8541)</f>
        <v>Other</v>
      </c>
    </row>
    <row r="8542" spans="1:7" x14ac:dyDescent="0.25">
      <c r="A8542">
        <v>76958</v>
      </c>
      <c r="B8542" t="s">
        <v>4</v>
      </c>
      <c r="C8542">
        <v>3</v>
      </c>
      <c r="D8542" t="s">
        <v>5</v>
      </c>
      <c r="F8542" t="str" cm="1">
        <f t="array" ref="F8542">CategorizeComment(E8542)</f>
        <v>Other</v>
      </c>
      <c r="G8542" t="str" cm="1">
        <f t="array" ref="G8542">SubCategorizeComment(E8542)</f>
        <v>Other</v>
      </c>
    </row>
    <row r="8543" spans="1:7" x14ac:dyDescent="0.25">
      <c r="A8543">
        <v>76959</v>
      </c>
      <c r="B8543" t="s">
        <v>4</v>
      </c>
      <c r="C8543">
        <v>3</v>
      </c>
      <c r="D8543" t="s">
        <v>5</v>
      </c>
      <c r="F8543" t="str" cm="1">
        <f t="array" ref="F8543">CategorizeComment(E8543)</f>
        <v>Other</v>
      </c>
      <c r="G8543" t="str" cm="1">
        <f t="array" ref="G8543">SubCategorizeComment(E8543)</f>
        <v>Other</v>
      </c>
    </row>
    <row r="8544" spans="1:7" x14ac:dyDescent="0.25">
      <c r="A8544">
        <v>76962</v>
      </c>
      <c r="B8544" t="s">
        <v>4</v>
      </c>
      <c r="C8544">
        <v>4</v>
      </c>
      <c r="D8544" t="s">
        <v>5</v>
      </c>
      <c r="F8544" t="str" cm="1">
        <f t="array" ref="F8544">CategorizeComment(E8544)</f>
        <v>Other</v>
      </c>
      <c r="G8544" t="str" cm="1">
        <f t="array" ref="G8544">SubCategorizeComment(E8544)</f>
        <v>Other</v>
      </c>
    </row>
    <row r="8545" spans="1:7" x14ac:dyDescent="0.25">
      <c r="A8545">
        <v>76965</v>
      </c>
      <c r="B8545" t="s">
        <v>4</v>
      </c>
      <c r="C8545">
        <v>4</v>
      </c>
      <c r="D8545" t="s">
        <v>5</v>
      </c>
      <c r="F8545" t="str" cm="1">
        <f t="array" ref="F8545">CategorizeComment(E8545)</f>
        <v>Other</v>
      </c>
      <c r="G8545" t="str" cm="1">
        <f t="array" ref="G8545">SubCategorizeComment(E8545)</f>
        <v>Other</v>
      </c>
    </row>
    <row r="8546" spans="1:7" x14ac:dyDescent="0.25">
      <c r="A8546">
        <v>76967</v>
      </c>
      <c r="B8546" t="s">
        <v>4</v>
      </c>
      <c r="C8546">
        <v>4</v>
      </c>
      <c r="D8546" t="s">
        <v>5</v>
      </c>
      <c r="F8546" t="str" cm="1">
        <f t="array" ref="F8546">CategorizeComment(E8546)</f>
        <v>Other</v>
      </c>
      <c r="G8546" t="str" cm="1">
        <f t="array" ref="G8546">SubCategorizeComment(E8546)</f>
        <v>Other</v>
      </c>
    </row>
    <row r="8547" spans="1:7" x14ac:dyDescent="0.25">
      <c r="A8547">
        <v>76969</v>
      </c>
      <c r="B8547" t="s">
        <v>4</v>
      </c>
      <c r="C8547">
        <v>3</v>
      </c>
      <c r="D8547" t="s">
        <v>5</v>
      </c>
      <c r="F8547" t="str" cm="1">
        <f t="array" ref="F8547">CategorizeComment(E8547)</f>
        <v>Other</v>
      </c>
      <c r="G8547" t="str" cm="1">
        <f t="array" ref="G8547">SubCategorizeComment(E8547)</f>
        <v>Other</v>
      </c>
    </row>
    <row r="8548" spans="1:7" x14ac:dyDescent="0.25">
      <c r="A8548">
        <v>76977</v>
      </c>
      <c r="B8548" t="s">
        <v>4</v>
      </c>
      <c r="C8548">
        <v>3</v>
      </c>
      <c r="D8548" t="s">
        <v>5</v>
      </c>
      <c r="F8548" t="str" cm="1">
        <f t="array" ref="F8548">CategorizeComment(E8548)</f>
        <v>Other</v>
      </c>
      <c r="G8548" t="str" cm="1">
        <f t="array" ref="G8548">SubCategorizeComment(E8548)</f>
        <v>Other</v>
      </c>
    </row>
    <row r="8549" spans="1:7" x14ac:dyDescent="0.25">
      <c r="A8549">
        <v>76978</v>
      </c>
      <c r="B8549" t="s">
        <v>4</v>
      </c>
      <c r="C8549">
        <v>4</v>
      </c>
      <c r="D8549" t="s">
        <v>5</v>
      </c>
      <c r="F8549" t="str" cm="1">
        <f t="array" ref="F8549">CategorizeComment(E8549)</f>
        <v>Other</v>
      </c>
      <c r="G8549" t="str" cm="1">
        <f t="array" ref="G8549">SubCategorizeComment(E8549)</f>
        <v>Other</v>
      </c>
    </row>
    <row r="8550" spans="1:7" x14ac:dyDescent="0.25">
      <c r="A8550">
        <v>77005</v>
      </c>
      <c r="B8550" t="s">
        <v>4</v>
      </c>
      <c r="C8550">
        <v>3</v>
      </c>
      <c r="D8550" t="s">
        <v>5</v>
      </c>
      <c r="F8550" t="str" cm="1">
        <f t="array" ref="F8550">CategorizeComment(E8550)</f>
        <v>Other</v>
      </c>
      <c r="G8550" t="str" cm="1">
        <f t="array" ref="G8550">SubCategorizeComment(E8550)</f>
        <v>Other</v>
      </c>
    </row>
    <row r="8551" spans="1:7" x14ac:dyDescent="0.25">
      <c r="A8551">
        <v>77020</v>
      </c>
      <c r="B8551" t="s">
        <v>4</v>
      </c>
      <c r="C8551">
        <v>4</v>
      </c>
      <c r="D8551" t="s">
        <v>5</v>
      </c>
      <c r="F8551" t="str" cm="1">
        <f t="array" ref="F8551">CategorizeComment(E8551)</f>
        <v>Other</v>
      </c>
      <c r="G8551" t="str" cm="1">
        <f t="array" ref="G8551">SubCategorizeComment(E8551)</f>
        <v>Other</v>
      </c>
    </row>
    <row r="8552" spans="1:7" x14ac:dyDescent="0.25">
      <c r="A8552">
        <v>77022</v>
      </c>
      <c r="B8552" t="s">
        <v>4</v>
      </c>
      <c r="C8552">
        <v>4</v>
      </c>
      <c r="D8552" t="s">
        <v>5</v>
      </c>
      <c r="F8552" t="str" cm="1">
        <f t="array" ref="F8552">CategorizeComment(E8552)</f>
        <v>Other</v>
      </c>
      <c r="G8552" t="str" cm="1">
        <f t="array" ref="G8552">SubCategorizeComment(E8552)</f>
        <v>Other</v>
      </c>
    </row>
    <row r="8553" spans="1:7" x14ac:dyDescent="0.25">
      <c r="A8553">
        <v>77040</v>
      </c>
      <c r="B8553" t="s">
        <v>4</v>
      </c>
      <c r="C8553">
        <v>3</v>
      </c>
      <c r="D8553" t="s">
        <v>5</v>
      </c>
      <c r="F8553" t="str" cm="1">
        <f t="array" ref="F8553">CategorizeComment(E8553)</f>
        <v>Other</v>
      </c>
      <c r="G8553" t="str" cm="1">
        <f t="array" ref="G8553">SubCategorizeComment(E8553)</f>
        <v>Other</v>
      </c>
    </row>
    <row r="8554" spans="1:7" x14ac:dyDescent="0.25">
      <c r="A8554">
        <v>77066</v>
      </c>
      <c r="B8554" t="s">
        <v>4</v>
      </c>
      <c r="C8554">
        <v>4</v>
      </c>
      <c r="D8554" t="s">
        <v>5</v>
      </c>
      <c r="F8554" t="str" cm="1">
        <f t="array" ref="F8554">CategorizeComment(E8554)</f>
        <v>Other</v>
      </c>
      <c r="G8554" t="str" cm="1">
        <f t="array" ref="G8554">SubCategorizeComment(E8554)</f>
        <v>Other</v>
      </c>
    </row>
    <row r="8555" spans="1:7" x14ac:dyDescent="0.25">
      <c r="A8555">
        <v>77076</v>
      </c>
      <c r="B8555" t="s">
        <v>4</v>
      </c>
      <c r="C8555">
        <v>4</v>
      </c>
      <c r="D8555" t="s">
        <v>5</v>
      </c>
      <c r="F8555" t="str" cm="1">
        <f t="array" ref="F8555">CategorizeComment(E8555)</f>
        <v>Other</v>
      </c>
      <c r="G8555" t="str" cm="1">
        <f t="array" ref="G8555">SubCategorizeComment(E8555)</f>
        <v>Other</v>
      </c>
    </row>
    <row r="8556" spans="1:7" x14ac:dyDescent="0.25">
      <c r="A8556">
        <v>77098</v>
      </c>
      <c r="B8556" t="s">
        <v>4</v>
      </c>
      <c r="C8556">
        <v>3</v>
      </c>
      <c r="D8556" t="s">
        <v>5</v>
      </c>
      <c r="F8556" t="str" cm="1">
        <f t="array" ref="F8556">CategorizeComment(E8556)</f>
        <v>Other</v>
      </c>
      <c r="G8556" t="str" cm="1">
        <f t="array" ref="G8556">SubCategorizeComment(E8556)</f>
        <v>Other</v>
      </c>
    </row>
    <row r="8557" spans="1:7" x14ac:dyDescent="0.25">
      <c r="A8557">
        <v>77103</v>
      </c>
      <c r="B8557" t="s">
        <v>4</v>
      </c>
      <c r="C8557">
        <v>3</v>
      </c>
      <c r="D8557" t="s">
        <v>5</v>
      </c>
      <c r="F8557" t="str" cm="1">
        <f t="array" ref="F8557">CategorizeComment(E8557)</f>
        <v>Other</v>
      </c>
      <c r="G8557" t="str" cm="1">
        <f t="array" ref="G8557">SubCategorizeComment(E8557)</f>
        <v>Other</v>
      </c>
    </row>
    <row r="8558" spans="1:7" x14ac:dyDescent="0.25">
      <c r="A8558">
        <v>77107</v>
      </c>
      <c r="B8558" t="s">
        <v>4</v>
      </c>
      <c r="C8558">
        <v>4</v>
      </c>
      <c r="D8558" t="s">
        <v>5</v>
      </c>
      <c r="F8558" t="str" cm="1">
        <f t="array" ref="F8558">CategorizeComment(E8558)</f>
        <v>Other</v>
      </c>
      <c r="G8558" t="str" cm="1">
        <f t="array" ref="G8558">SubCategorizeComment(E8558)</f>
        <v>Other</v>
      </c>
    </row>
    <row r="8559" spans="1:7" x14ac:dyDescent="0.25">
      <c r="A8559">
        <v>77112</v>
      </c>
      <c r="B8559" t="s">
        <v>4</v>
      </c>
      <c r="C8559">
        <v>4</v>
      </c>
      <c r="D8559" t="s">
        <v>5</v>
      </c>
      <c r="F8559" t="str" cm="1">
        <f t="array" ref="F8559">CategorizeComment(E8559)</f>
        <v>Other</v>
      </c>
      <c r="G8559" t="str" cm="1">
        <f t="array" ref="G8559">SubCategorizeComment(E8559)</f>
        <v>Other</v>
      </c>
    </row>
    <row r="8560" spans="1:7" x14ac:dyDescent="0.25">
      <c r="A8560">
        <v>77114</v>
      </c>
      <c r="B8560" t="s">
        <v>4</v>
      </c>
      <c r="C8560">
        <v>3</v>
      </c>
      <c r="D8560" t="s">
        <v>5</v>
      </c>
      <c r="F8560" t="str" cm="1">
        <f t="array" ref="F8560">CategorizeComment(E8560)</f>
        <v>Other</v>
      </c>
      <c r="G8560" t="str" cm="1">
        <f t="array" ref="G8560">SubCategorizeComment(E8560)</f>
        <v>Other</v>
      </c>
    </row>
    <row r="8561" spans="1:7" x14ac:dyDescent="0.25">
      <c r="A8561">
        <v>77143</v>
      </c>
      <c r="B8561" t="s">
        <v>4</v>
      </c>
      <c r="C8561">
        <v>3</v>
      </c>
      <c r="D8561" t="s">
        <v>5</v>
      </c>
      <c r="F8561" t="str" cm="1">
        <f t="array" ref="F8561">CategorizeComment(E8561)</f>
        <v>Other</v>
      </c>
      <c r="G8561" t="str" cm="1">
        <f t="array" ref="G8561">SubCategorizeComment(E8561)</f>
        <v>Other</v>
      </c>
    </row>
    <row r="8562" spans="1:7" x14ac:dyDescent="0.25">
      <c r="A8562">
        <v>77166</v>
      </c>
      <c r="B8562" t="s">
        <v>4</v>
      </c>
      <c r="C8562">
        <v>3</v>
      </c>
      <c r="D8562" t="s">
        <v>5</v>
      </c>
      <c r="F8562" t="str" cm="1">
        <f t="array" ref="F8562">CategorizeComment(E8562)</f>
        <v>Other</v>
      </c>
      <c r="G8562" t="str" cm="1">
        <f t="array" ref="G8562">SubCategorizeComment(E8562)</f>
        <v>Other</v>
      </c>
    </row>
    <row r="8563" spans="1:7" x14ac:dyDescent="0.25">
      <c r="A8563">
        <v>77173</v>
      </c>
      <c r="B8563" t="s">
        <v>4</v>
      </c>
      <c r="C8563">
        <v>3</v>
      </c>
      <c r="D8563" t="s">
        <v>5</v>
      </c>
      <c r="F8563" t="str" cm="1">
        <f t="array" ref="F8563">CategorizeComment(E8563)</f>
        <v>Other</v>
      </c>
      <c r="G8563" t="str" cm="1">
        <f t="array" ref="G8563">SubCategorizeComment(E8563)</f>
        <v>Other</v>
      </c>
    </row>
    <row r="8564" spans="1:7" x14ac:dyDescent="0.25">
      <c r="A8564">
        <v>77181</v>
      </c>
      <c r="B8564" t="s">
        <v>4</v>
      </c>
      <c r="C8564">
        <v>4</v>
      </c>
      <c r="D8564" t="s">
        <v>5</v>
      </c>
      <c r="F8564" t="str" cm="1">
        <f t="array" ref="F8564">CategorizeComment(E8564)</f>
        <v>Other</v>
      </c>
      <c r="G8564" t="str" cm="1">
        <f t="array" ref="G8564">SubCategorizeComment(E8564)</f>
        <v>Other</v>
      </c>
    </row>
    <row r="8565" spans="1:7" x14ac:dyDescent="0.25">
      <c r="A8565">
        <v>77182</v>
      </c>
      <c r="B8565" t="s">
        <v>4</v>
      </c>
      <c r="C8565">
        <v>4</v>
      </c>
      <c r="D8565" t="s">
        <v>5</v>
      </c>
      <c r="F8565" t="str" cm="1">
        <f t="array" ref="F8565">CategorizeComment(E8565)</f>
        <v>Other</v>
      </c>
      <c r="G8565" t="str" cm="1">
        <f t="array" ref="G8565">SubCategorizeComment(E8565)</f>
        <v>Other</v>
      </c>
    </row>
    <row r="8566" spans="1:7" x14ac:dyDescent="0.25">
      <c r="A8566">
        <v>77195</v>
      </c>
      <c r="B8566" t="s">
        <v>4</v>
      </c>
      <c r="C8566">
        <v>4</v>
      </c>
      <c r="D8566" t="s">
        <v>5</v>
      </c>
      <c r="F8566" t="str" cm="1">
        <f t="array" ref="F8566">CategorizeComment(E8566)</f>
        <v>Other</v>
      </c>
      <c r="G8566" t="str" cm="1">
        <f t="array" ref="G8566">SubCategorizeComment(E8566)</f>
        <v>Other</v>
      </c>
    </row>
    <row r="8567" spans="1:7" x14ac:dyDescent="0.25">
      <c r="A8567">
        <v>77198</v>
      </c>
      <c r="B8567" t="s">
        <v>4</v>
      </c>
      <c r="C8567">
        <v>4</v>
      </c>
      <c r="D8567" t="s">
        <v>5</v>
      </c>
      <c r="F8567" t="str" cm="1">
        <f t="array" ref="F8567">CategorizeComment(E8567)</f>
        <v>Other</v>
      </c>
      <c r="G8567" t="str" cm="1">
        <f t="array" ref="G8567">SubCategorizeComment(E8567)</f>
        <v>Other</v>
      </c>
    </row>
    <row r="8568" spans="1:7" x14ac:dyDescent="0.25">
      <c r="A8568">
        <v>77211</v>
      </c>
      <c r="B8568" t="s">
        <v>4</v>
      </c>
      <c r="C8568">
        <v>3</v>
      </c>
      <c r="D8568" t="s">
        <v>5</v>
      </c>
      <c r="F8568" t="str" cm="1">
        <f t="array" ref="F8568">CategorizeComment(E8568)</f>
        <v>Other</v>
      </c>
      <c r="G8568" t="str" cm="1">
        <f t="array" ref="G8568">SubCategorizeComment(E8568)</f>
        <v>Other</v>
      </c>
    </row>
    <row r="8569" spans="1:7" x14ac:dyDescent="0.25">
      <c r="A8569">
        <v>77245</v>
      </c>
      <c r="B8569" t="s">
        <v>4</v>
      </c>
      <c r="C8569">
        <v>4</v>
      </c>
      <c r="D8569" t="s">
        <v>5</v>
      </c>
      <c r="F8569" t="str" cm="1">
        <f t="array" ref="F8569">CategorizeComment(E8569)</f>
        <v>Other</v>
      </c>
      <c r="G8569" t="str" cm="1">
        <f t="array" ref="G8569">SubCategorizeComment(E8569)</f>
        <v>Other</v>
      </c>
    </row>
    <row r="8570" spans="1:7" x14ac:dyDescent="0.25">
      <c r="A8570">
        <v>77251</v>
      </c>
      <c r="B8570" t="s">
        <v>4</v>
      </c>
      <c r="C8570">
        <v>4</v>
      </c>
      <c r="D8570" t="s">
        <v>5</v>
      </c>
      <c r="F8570" t="str" cm="1">
        <f t="array" ref="F8570">CategorizeComment(E8570)</f>
        <v>Other</v>
      </c>
      <c r="G8570" t="str" cm="1">
        <f t="array" ref="G8570">SubCategorizeComment(E8570)</f>
        <v>Other</v>
      </c>
    </row>
    <row r="8571" spans="1:7" x14ac:dyDescent="0.25">
      <c r="A8571">
        <v>77252</v>
      </c>
      <c r="B8571" t="s">
        <v>4</v>
      </c>
      <c r="C8571">
        <v>4</v>
      </c>
      <c r="D8571" t="s">
        <v>5</v>
      </c>
      <c r="F8571" t="str" cm="1">
        <f t="array" ref="F8571">CategorizeComment(E8571)</f>
        <v>Other</v>
      </c>
      <c r="G8571" t="str" cm="1">
        <f t="array" ref="G8571">SubCategorizeComment(E8571)</f>
        <v>Other</v>
      </c>
    </row>
    <row r="8572" spans="1:7" x14ac:dyDescent="0.25">
      <c r="A8572">
        <v>77258</v>
      </c>
      <c r="B8572" t="s">
        <v>4</v>
      </c>
      <c r="C8572">
        <v>3</v>
      </c>
      <c r="D8572" t="s">
        <v>5</v>
      </c>
      <c r="F8572" t="str" cm="1">
        <f t="array" ref="F8572">CategorizeComment(E8572)</f>
        <v>Other</v>
      </c>
      <c r="G8572" t="str" cm="1">
        <f t="array" ref="G8572">SubCategorizeComment(E8572)</f>
        <v>Other</v>
      </c>
    </row>
    <row r="8573" spans="1:7" x14ac:dyDescent="0.25">
      <c r="A8573">
        <v>77269</v>
      </c>
      <c r="B8573" t="s">
        <v>4</v>
      </c>
      <c r="C8573">
        <v>4</v>
      </c>
      <c r="D8573" t="s">
        <v>5</v>
      </c>
      <c r="F8573" t="str" cm="1">
        <f t="array" ref="F8573">CategorizeComment(E8573)</f>
        <v>Other</v>
      </c>
      <c r="G8573" t="str" cm="1">
        <f t="array" ref="G8573">SubCategorizeComment(E8573)</f>
        <v>Other</v>
      </c>
    </row>
    <row r="8574" spans="1:7" x14ac:dyDescent="0.25">
      <c r="A8574">
        <v>77271</v>
      </c>
      <c r="B8574" t="s">
        <v>4</v>
      </c>
      <c r="C8574">
        <v>3</v>
      </c>
      <c r="D8574" t="s">
        <v>5</v>
      </c>
      <c r="F8574" t="str" cm="1">
        <f t="array" ref="F8574">CategorizeComment(E8574)</f>
        <v>Other</v>
      </c>
      <c r="G8574" t="str" cm="1">
        <f t="array" ref="G8574">SubCategorizeComment(E8574)</f>
        <v>Other</v>
      </c>
    </row>
    <row r="8575" spans="1:7" x14ac:dyDescent="0.25">
      <c r="A8575">
        <v>77277</v>
      </c>
      <c r="B8575" t="s">
        <v>4</v>
      </c>
      <c r="C8575">
        <v>3</v>
      </c>
      <c r="D8575" t="s">
        <v>5</v>
      </c>
      <c r="F8575" t="str" cm="1">
        <f t="array" ref="F8575">CategorizeComment(E8575)</f>
        <v>Other</v>
      </c>
      <c r="G8575" t="str" cm="1">
        <f t="array" ref="G8575">SubCategorizeComment(E8575)</f>
        <v>Other</v>
      </c>
    </row>
    <row r="8576" spans="1:7" x14ac:dyDescent="0.25">
      <c r="A8576">
        <v>77278</v>
      </c>
      <c r="B8576" t="s">
        <v>4</v>
      </c>
      <c r="C8576">
        <v>3</v>
      </c>
      <c r="D8576" t="s">
        <v>5</v>
      </c>
      <c r="F8576" t="str" cm="1">
        <f t="array" ref="F8576">CategorizeComment(E8576)</f>
        <v>Other</v>
      </c>
      <c r="G8576" t="str" cm="1">
        <f t="array" ref="G8576">SubCategorizeComment(E8576)</f>
        <v>Other</v>
      </c>
    </row>
    <row r="8577" spans="1:7" x14ac:dyDescent="0.25">
      <c r="A8577">
        <v>77280</v>
      </c>
      <c r="B8577" t="s">
        <v>4</v>
      </c>
      <c r="C8577">
        <v>4</v>
      </c>
      <c r="D8577" t="s">
        <v>5</v>
      </c>
      <c r="F8577" t="str" cm="1">
        <f t="array" ref="F8577">CategorizeComment(E8577)</f>
        <v>Other</v>
      </c>
      <c r="G8577" t="str" cm="1">
        <f t="array" ref="G8577">SubCategorizeComment(E8577)</f>
        <v>Other</v>
      </c>
    </row>
    <row r="8578" spans="1:7" x14ac:dyDescent="0.25">
      <c r="A8578">
        <v>77286</v>
      </c>
      <c r="B8578" t="s">
        <v>4</v>
      </c>
      <c r="C8578">
        <v>4</v>
      </c>
      <c r="D8578" t="s">
        <v>5</v>
      </c>
      <c r="F8578" t="str" cm="1">
        <f t="array" ref="F8578">CategorizeComment(E8578)</f>
        <v>Other</v>
      </c>
      <c r="G8578" t="str" cm="1">
        <f t="array" ref="G8578">SubCategorizeComment(E8578)</f>
        <v>Other</v>
      </c>
    </row>
    <row r="8579" spans="1:7" x14ac:dyDescent="0.25">
      <c r="A8579">
        <v>77288</v>
      </c>
      <c r="B8579" t="s">
        <v>4</v>
      </c>
      <c r="C8579">
        <v>3</v>
      </c>
      <c r="D8579" t="s">
        <v>5</v>
      </c>
      <c r="F8579" t="str" cm="1">
        <f t="array" ref="F8579">CategorizeComment(E8579)</f>
        <v>Other</v>
      </c>
      <c r="G8579" t="str" cm="1">
        <f t="array" ref="G8579">SubCategorizeComment(E8579)</f>
        <v>Other</v>
      </c>
    </row>
    <row r="8580" spans="1:7" x14ac:dyDescent="0.25">
      <c r="A8580">
        <v>77338</v>
      </c>
      <c r="B8580" t="s">
        <v>4</v>
      </c>
      <c r="C8580">
        <v>4</v>
      </c>
      <c r="D8580" t="s">
        <v>5</v>
      </c>
      <c r="F8580" t="str" cm="1">
        <f t="array" ref="F8580">CategorizeComment(E8580)</f>
        <v>Other</v>
      </c>
      <c r="G8580" t="str" cm="1">
        <f t="array" ref="G8580">SubCategorizeComment(E8580)</f>
        <v>Other</v>
      </c>
    </row>
    <row r="8581" spans="1:7" x14ac:dyDescent="0.25">
      <c r="A8581">
        <v>77358</v>
      </c>
      <c r="B8581" t="s">
        <v>4</v>
      </c>
      <c r="C8581">
        <v>3</v>
      </c>
      <c r="D8581" t="s">
        <v>5</v>
      </c>
      <c r="F8581" t="str" cm="1">
        <f t="array" ref="F8581">CategorizeComment(E8581)</f>
        <v>Other</v>
      </c>
      <c r="G8581" t="str" cm="1">
        <f t="array" ref="G8581">SubCategorizeComment(E8581)</f>
        <v>Other</v>
      </c>
    </row>
    <row r="8582" spans="1:7" x14ac:dyDescent="0.25">
      <c r="A8582">
        <v>77366</v>
      </c>
      <c r="B8582" t="s">
        <v>4</v>
      </c>
      <c r="C8582">
        <v>4</v>
      </c>
      <c r="D8582" t="s">
        <v>5</v>
      </c>
      <c r="F8582" t="str" cm="1">
        <f t="array" ref="F8582">CategorizeComment(E8582)</f>
        <v>Other</v>
      </c>
      <c r="G8582" t="str" cm="1">
        <f t="array" ref="G8582">SubCategorizeComment(E8582)</f>
        <v>Other</v>
      </c>
    </row>
    <row r="8583" spans="1:7" x14ac:dyDescent="0.25">
      <c r="A8583">
        <v>77368</v>
      </c>
      <c r="B8583" t="s">
        <v>4</v>
      </c>
      <c r="C8583">
        <v>4</v>
      </c>
      <c r="D8583" t="s">
        <v>5</v>
      </c>
      <c r="F8583" t="str" cm="1">
        <f t="array" ref="F8583">CategorizeComment(E8583)</f>
        <v>Other</v>
      </c>
      <c r="G8583" t="str" cm="1">
        <f t="array" ref="G8583">SubCategorizeComment(E8583)</f>
        <v>Other</v>
      </c>
    </row>
    <row r="8584" spans="1:7" x14ac:dyDescent="0.25">
      <c r="A8584">
        <v>77371</v>
      </c>
      <c r="B8584" t="s">
        <v>4</v>
      </c>
      <c r="C8584">
        <v>4</v>
      </c>
      <c r="D8584" t="s">
        <v>5</v>
      </c>
      <c r="F8584" t="str" cm="1">
        <f t="array" ref="F8584">CategorizeComment(E8584)</f>
        <v>Other</v>
      </c>
      <c r="G8584" t="str" cm="1">
        <f t="array" ref="G8584">SubCategorizeComment(E8584)</f>
        <v>Other</v>
      </c>
    </row>
    <row r="8585" spans="1:7" x14ac:dyDescent="0.25">
      <c r="A8585">
        <v>77381</v>
      </c>
      <c r="B8585" t="s">
        <v>4</v>
      </c>
      <c r="C8585">
        <v>4</v>
      </c>
      <c r="D8585" t="s">
        <v>5</v>
      </c>
      <c r="F8585" t="str" cm="1">
        <f t="array" ref="F8585">CategorizeComment(E8585)</f>
        <v>Other</v>
      </c>
      <c r="G8585" t="str" cm="1">
        <f t="array" ref="G8585">SubCategorizeComment(E8585)</f>
        <v>Other</v>
      </c>
    </row>
    <row r="8586" spans="1:7" x14ac:dyDescent="0.25">
      <c r="A8586">
        <v>77401</v>
      </c>
      <c r="B8586" t="s">
        <v>4</v>
      </c>
      <c r="C8586">
        <v>4</v>
      </c>
      <c r="D8586" t="s">
        <v>5</v>
      </c>
      <c r="F8586" t="str" cm="1">
        <f t="array" ref="F8586">CategorizeComment(E8586)</f>
        <v>Other</v>
      </c>
      <c r="G8586" t="str" cm="1">
        <f t="array" ref="G8586">SubCategorizeComment(E8586)</f>
        <v>Other</v>
      </c>
    </row>
    <row r="8587" spans="1:7" x14ac:dyDescent="0.25">
      <c r="A8587">
        <v>77407</v>
      </c>
      <c r="B8587" t="s">
        <v>4</v>
      </c>
      <c r="C8587">
        <v>3</v>
      </c>
      <c r="D8587" t="s">
        <v>5</v>
      </c>
      <c r="F8587" t="str" cm="1">
        <f t="array" ref="F8587">CategorizeComment(E8587)</f>
        <v>Other</v>
      </c>
      <c r="G8587" t="str" cm="1">
        <f t="array" ref="G8587">SubCategorizeComment(E8587)</f>
        <v>Other</v>
      </c>
    </row>
    <row r="8588" spans="1:7" x14ac:dyDescent="0.25">
      <c r="A8588">
        <v>77412</v>
      </c>
      <c r="B8588" t="s">
        <v>4</v>
      </c>
      <c r="C8588">
        <v>3</v>
      </c>
      <c r="D8588" t="s">
        <v>5</v>
      </c>
      <c r="F8588" t="str" cm="1">
        <f t="array" ref="F8588">CategorizeComment(E8588)</f>
        <v>Other</v>
      </c>
      <c r="G8588" t="str" cm="1">
        <f t="array" ref="G8588">SubCategorizeComment(E8588)</f>
        <v>Other</v>
      </c>
    </row>
    <row r="8589" spans="1:7" x14ac:dyDescent="0.25">
      <c r="A8589">
        <v>77426</v>
      </c>
      <c r="B8589" t="s">
        <v>4</v>
      </c>
      <c r="C8589">
        <v>3</v>
      </c>
      <c r="D8589" t="s">
        <v>5</v>
      </c>
      <c r="F8589" t="str" cm="1">
        <f t="array" ref="F8589">CategorizeComment(E8589)</f>
        <v>Other</v>
      </c>
      <c r="G8589" t="str" cm="1">
        <f t="array" ref="G8589">SubCategorizeComment(E8589)</f>
        <v>Other</v>
      </c>
    </row>
    <row r="8590" spans="1:7" x14ac:dyDescent="0.25">
      <c r="A8590">
        <v>77428</v>
      </c>
      <c r="B8590" t="s">
        <v>4</v>
      </c>
      <c r="C8590">
        <v>4</v>
      </c>
      <c r="D8590" t="s">
        <v>5</v>
      </c>
      <c r="F8590" t="str" cm="1">
        <f t="array" ref="F8590">CategorizeComment(E8590)</f>
        <v>Other</v>
      </c>
      <c r="G8590" t="str" cm="1">
        <f t="array" ref="G8590">SubCategorizeComment(E8590)</f>
        <v>Other</v>
      </c>
    </row>
    <row r="8591" spans="1:7" x14ac:dyDescent="0.25">
      <c r="A8591">
        <v>77468</v>
      </c>
      <c r="B8591" t="s">
        <v>4</v>
      </c>
      <c r="C8591">
        <v>4</v>
      </c>
      <c r="D8591" t="s">
        <v>5</v>
      </c>
      <c r="F8591" t="str" cm="1">
        <f t="array" ref="F8591">CategorizeComment(E8591)</f>
        <v>Other</v>
      </c>
      <c r="G8591" t="str" cm="1">
        <f t="array" ref="G8591">SubCategorizeComment(E8591)</f>
        <v>Other</v>
      </c>
    </row>
    <row r="8592" spans="1:7" x14ac:dyDescent="0.25">
      <c r="A8592">
        <v>77519</v>
      </c>
      <c r="B8592" t="s">
        <v>4</v>
      </c>
      <c r="C8592">
        <v>3</v>
      </c>
      <c r="D8592" t="s">
        <v>5</v>
      </c>
      <c r="F8592" t="str" cm="1">
        <f t="array" ref="F8592">CategorizeComment(E8592)</f>
        <v>Other</v>
      </c>
      <c r="G8592" t="str" cm="1">
        <f t="array" ref="G8592">SubCategorizeComment(E8592)</f>
        <v>Other</v>
      </c>
    </row>
    <row r="8593" spans="1:7" x14ac:dyDescent="0.25">
      <c r="A8593">
        <v>77521</v>
      </c>
      <c r="B8593" t="s">
        <v>4</v>
      </c>
      <c r="C8593">
        <v>4</v>
      </c>
      <c r="D8593" t="s">
        <v>5</v>
      </c>
      <c r="F8593" t="str" cm="1">
        <f t="array" ref="F8593">CategorizeComment(E8593)</f>
        <v>Other</v>
      </c>
      <c r="G8593" t="str" cm="1">
        <f t="array" ref="G8593">SubCategorizeComment(E8593)</f>
        <v>Other</v>
      </c>
    </row>
    <row r="8594" spans="1:7" x14ac:dyDescent="0.25">
      <c r="A8594">
        <v>77530</v>
      </c>
      <c r="B8594" t="s">
        <v>4</v>
      </c>
      <c r="C8594">
        <v>3</v>
      </c>
      <c r="D8594" t="s">
        <v>5</v>
      </c>
      <c r="F8594" t="str" cm="1">
        <f t="array" ref="F8594">CategorizeComment(E8594)</f>
        <v>Other</v>
      </c>
      <c r="G8594" t="str" cm="1">
        <f t="array" ref="G8594">SubCategorizeComment(E8594)</f>
        <v>Other</v>
      </c>
    </row>
    <row r="8595" spans="1:7" x14ac:dyDescent="0.25">
      <c r="A8595">
        <v>77548</v>
      </c>
      <c r="B8595" t="s">
        <v>4</v>
      </c>
      <c r="C8595">
        <v>4</v>
      </c>
      <c r="D8595" t="s">
        <v>5</v>
      </c>
      <c r="F8595" t="str" cm="1">
        <f t="array" ref="F8595">CategorizeComment(E8595)</f>
        <v>Other</v>
      </c>
      <c r="G8595" t="str" cm="1">
        <f t="array" ref="G8595">SubCategorizeComment(E8595)</f>
        <v>Other</v>
      </c>
    </row>
    <row r="8596" spans="1:7" x14ac:dyDescent="0.25">
      <c r="A8596">
        <v>77575</v>
      </c>
      <c r="B8596" t="s">
        <v>4</v>
      </c>
      <c r="C8596">
        <v>4</v>
      </c>
      <c r="D8596" t="s">
        <v>5</v>
      </c>
      <c r="F8596" t="str" cm="1">
        <f t="array" ref="F8596">CategorizeComment(E8596)</f>
        <v>Other</v>
      </c>
      <c r="G8596" t="str" cm="1">
        <f t="array" ref="G8596">SubCategorizeComment(E8596)</f>
        <v>Other</v>
      </c>
    </row>
    <row r="8597" spans="1:7" x14ac:dyDescent="0.25">
      <c r="A8597">
        <v>77578</v>
      </c>
      <c r="B8597" t="s">
        <v>4</v>
      </c>
      <c r="C8597">
        <v>4</v>
      </c>
      <c r="D8597" t="s">
        <v>5</v>
      </c>
      <c r="F8597" t="str" cm="1">
        <f t="array" ref="F8597">CategorizeComment(E8597)</f>
        <v>Other</v>
      </c>
      <c r="G8597" t="str" cm="1">
        <f t="array" ref="G8597">SubCategorizeComment(E8597)</f>
        <v>Other</v>
      </c>
    </row>
    <row r="8598" spans="1:7" x14ac:dyDescent="0.25">
      <c r="A8598">
        <v>77579</v>
      </c>
      <c r="B8598" t="s">
        <v>4</v>
      </c>
      <c r="C8598">
        <v>3</v>
      </c>
      <c r="D8598" t="s">
        <v>5</v>
      </c>
      <c r="F8598" t="str" cm="1">
        <f t="array" ref="F8598">CategorizeComment(E8598)</f>
        <v>Other</v>
      </c>
      <c r="G8598" t="str" cm="1">
        <f t="array" ref="G8598">SubCategorizeComment(E8598)</f>
        <v>Other</v>
      </c>
    </row>
    <row r="8599" spans="1:7" x14ac:dyDescent="0.25">
      <c r="A8599">
        <v>77587</v>
      </c>
      <c r="B8599" t="s">
        <v>4</v>
      </c>
      <c r="C8599">
        <v>3</v>
      </c>
      <c r="D8599" t="s">
        <v>5</v>
      </c>
      <c r="F8599" t="str" cm="1">
        <f t="array" ref="F8599">CategorizeComment(E8599)</f>
        <v>Other</v>
      </c>
      <c r="G8599" t="str" cm="1">
        <f t="array" ref="G8599">SubCategorizeComment(E8599)</f>
        <v>Other</v>
      </c>
    </row>
    <row r="8600" spans="1:7" x14ac:dyDescent="0.25">
      <c r="A8600">
        <v>77662</v>
      </c>
      <c r="B8600" t="s">
        <v>4</v>
      </c>
      <c r="C8600">
        <v>4</v>
      </c>
      <c r="D8600" t="s">
        <v>5</v>
      </c>
      <c r="F8600" t="str" cm="1">
        <f t="array" ref="F8600">CategorizeComment(E8600)</f>
        <v>Other</v>
      </c>
      <c r="G8600" t="str" cm="1">
        <f t="array" ref="G8600">SubCategorizeComment(E8600)</f>
        <v>Other</v>
      </c>
    </row>
    <row r="8601" spans="1:7" x14ac:dyDescent="0.25">
      <c r="A8601">
        <v>77674</v>
      </c>
      <c r="B8601" t="s">
        <v>4</v>
      </c>
      <c r="C8601">
        <v>3</v>
      </c>
      <c r="D8601" t="s">
        <v>5</v>
      </c>
      <c r="F8601" t="str" cm="1">
        <f t="array" ref="F8601">CategorizeComment(E8601)</f>
        <v>Other</v>
      </c>
      <c r="G8601" t="str" cm="1">
        <f t="array" ref="G8601">SubCategorizeComment(E8601)</f>
        <v>Other</v>
      </c>
    </row>
    <row r="8602" spans="1:7" x14ac:dyDescent="0.25">
      <c r="A8602">
        <v>77686</v>
      </c>
      <c r="B8602" t="s">
        <v>4</v>
      </c>
      <c r="C8602">
        <v>4</v>
      </c>
      <c r="D8602" t="s">
        <v>5</v>
      </c>
      <c r="F8602" t="str" cm="1">
        <f t="array" ref="F8602">CategorizeComment(E8602)</f>
        <v>Other</v>
      </c>
      <c r="G8602" t="str" cm="1">
        <f t="array" ref="G8602">SubCategorizeComment(E8602)</f>
        <v>Other</v>
      </c>
    </row>
    <row r="8603" spans="1:7" x14ac:dyDescent="0.25">
      <c r="A8603">
        <v>77689</v>
      </c>
      <c r="B8603" t="s">
        <v>4</v>
      </c>
      <c r="C8603">
        <v>3</v>
      </c>
      <c r="D8603" t="s">
        <v>5</v>
      </c>
      <c r="F8603" t="str" cm="1">
        <f t="array" ref="F8603">CategorizeComment(E8603)</f>
        <v>Other</v>
      </c>
      <c r="G8603" t="str" cm="1">
        <f t="array" ref="G8603">SubCategorizeComment(E8603)</f>
        <v>Other</v>
      </c>
    </row>
    <row r="8604" spans="1:7" x14ac:dyDescent="0.25">
      <c r="A8604">
        <v>77690</v>
      </c>
      <c r="B8604" t="s">
        <v>4</v>
      </c>
      <c r="C8604">
        <v>3</v>
      </c>
      <c r="D8604" t="s">
        <v>5</v>
      </c>
      <c r="F8604" t="str" cm="1">
        <f t="array" ref="F8604">CategorizeComment(E8604)</f>
        <v>Other</v>
      </c>
      <c r="G8604" t="str" cm="1">
        <f t="array" ref="G8604">SubCategorizeComment(E8604)</f>
        <v>Other</v>
      </c>
    </row>
    <row r="8605" spans="1:7" x14ac:dyDescent="0.25">
      <c r="A8605">
        <v>77712</v>
      </c>
      <c r="B8605" t="s">
        <v>4</v>
      </c>
      <c r="C8605">
        <v>3</v>
      </c>
      <c r="D8605" t="s">
        <v>5</v>
      </c>
      <c r="F8605" t="str" cm="1">
        <f t="array" ref="F8605">CategorizeComment(E8605)</f>
        <v>Other</v>
      </c>
      <c r="G8605" t="str" cm="1">
        <f t="array" ref="G8605">SubCategorizeComment(E8605)</f>
        <v>Other</v>
      </c>
    </row>
    <row r="8606" spans="1:7" x14ac:dyDescent="0.25">
      <c r="A8606">
        <v>77717</v>
      </c>
      <c r="B8606" t="s">
        <v>4</v>
      </c>
      <c r="C8606">
        <v>3</v>
      </c>
      <c r="D8606" t="s">
        <v>5</v>
      </c>
      <c r="F8606" t="str" cm="1">
        <f t="array" ref="F8606">CategorizeComment(E8606)</f>
        <v>Other</v>
      </c>
      <c r="G8606" t="str" cm="1">
        <f t="array" ref="G8606">SubCategorizeComment(E8606)</f>
        <v>Other</v>
      </c>
    </row>
    <row r="8607" spans="1:7" x14ac:dyDescent="0.25">
      <c r="A8607">
        <v>77718</v>
      </c>
      <c r="B8607" t="s">
        <v>4</v>
      </c>
      <c r="C8607">
        <v>3</v>
      </c>
      <c r="D8607" t="s">
        <v>5</v>
      </c>
      <c r="F8607" t="str" cm="1">
        <f t="array" ref="F8607">CategorizeComment(E8607)</f>
        <v>Other</v>
      </c>
      <c r="G8607" t="str" cm="1">
        <f t="array" ref="G8607">SubCategorizeComment(E8607)</f>
        <v>Other</v>
      </c>
    </row>
    <row r="8608" spans="1:7" x14ac:dyDescent="0.25">
      <c r="A8608">
        <v>77719</v>
      </c>
      <c r="B8608" t="s">
        <v>4</v>
      </c>
      <c r="C8608">
        <v>3</v>
      </c>
      <c r="D8608" t="s">
        <v>5</v>
      </c>
      <c r="F8608" t="str" cm="1">
        <f t="array" ref="F8608">CategorizeComment(E8608)</f>
        <v>Other</v>
      </c>
      <c r="G8608" t="str" cm="1">
        <f t="array" ref="G8608">SubCategorizeComment(E8608)</f>
        <v>Other</v>
      </c>
    </row>
    <row r="8609" spans="1:7" x14ac:dyDescent="0.25">
      <c r="A8609">
        <v>77727</v>
      </c>
      <c r="B8609" t="s">
        <v>4</v>
      </c>
      <c r="C8609">
        <v>4</v>
      </c>
      <c r="D8609" t="s">
        <v>5</v>
      </c>
      <c r="F8609" t="str" cm="1">
        <f t="array" ref="F8609">CategorizeComment(E8609)</f>
        <v>Other</v>
      </c>
      <c r="G8609" t="str" cm="1">
        <f t="array" ref="G8609">SubCategorizeComment(E8609)</f>
        <v>Other</v>
      </c>
    </row>
    <row r="8610" spans="1:7" x14ac:dyDescent="0.25">
      <c r="A8610">
        <v>77742</v>
      </c>
      <c r="B8610" t="s">
        <v>4</v>
      </c>
      <c r="C8610">
        <v>4</v>
      </c>
      <c r="D8610" t="s">
        <v>5</v>
      </c>
      <c r="F8610" t="str" cm="1">
        <f t="array" ref="F8610">CategorizeComment(E8610)</f>
        <v>Other</v>
      </c>
      <c r="G8610" t="str" cm="1">
        <f t="array" ref="G8610">SubCategorizeComment(E8610)</f>
        <v>Other</v>
      </c>
    </row>
    <row r="8611" spans="1:7" x14ac:dyDescent="0.25">
      <c r="A8611">
        <v>77749</v>
      </c>
      <c r="B8611" t="s">
        <v>4</v>
      </c>
      <c r="C8611">
        <v>3</v>
      </c>
      <c r="D8611" t="s">
        <v>5</v>
      </c>
      <c r="F8611" t="str" cm="1">
        <f t="array" ref="F8611">CategorizeComment(E8611)</f>
        <v>Other</v>
      </c>
      <c r="G8611" t="str" cm="1">
        <f t="array" ref="G8611">SubCategorizeComment(E8611)</f>
        <v>Other</v>
      </c>
    </row>
    <row r="8612" spans="1:7" x14ac:dyDescent="0.25">
      <c r="A8612">
        <v>77751</v>
      </c>
      <c r="B8612" t="s">
        <v>4</v>
      </c>
      <c r="C8612">
        <v>4</v>
      </c>
      <c r="D8612" t="s">
        <v>5</v>
      </c>
      <c r="F8612" t="str" cm="1">
        <f t="array" ref="F8612">CategorizeComment(E8612)</f>
        <v>Other</v>
      </c>
      <c r="G8612" t="str" cm="1">
        <f t="array" ref="G8612">SubCategorizeComment(E8612)</f>
        <v>Other</v>
      </c>
    </row>
    <row r="8613" spans="1:7" x14ac:dyDescent="0.25">
      <c r="A8613">
        <v>77770</v>
      </c>
      <c r="B8613" t="s">
        <v>4</v>
      </c>
      <c r="C8613">
        <v>4</v>
      </c>
      <c r="D8613" t="s">
        <v>5</v>
      </c>
      <c r="F8613" t="str" cm="1">
        <f t="array" ref="F8613">CategorizeComment(E8613)</f>
        <v>Other</v>
      </c>
      <c r="G8613" t="str" cm="1">
        <f t="array" ref="G8613">SubCategorizeComment(E8613)</f>
        <v>Other</v>
      </c>
    </row>
    <row r="8614" spans="1:7" x14ac:dyDescent="0.25">
      <c r="A8614">
        <v>77772</v>
      </c>
      <c r="B8614" t="s">
        <v>4</v>
      </c>
      <c r="C8614">
        <v>4</v>
      </c>
      <c r="D8614" t="s">
        <v>5</v>
      </c>
      <c r="F8614" t="str" cm="1">
        <f t="array" ref="F8614">CategorizeComment(E8614)</f>
        <v>Other</v>
      </c>
      <c r="G8614" t="str" cm="1">
        <f t="array" ref="G8614">SubCategorizeComment(E8614)</f>
        <v>Other</v>
      </c>
    </row>
    <row r="8615" spans="1:7" x14ac:dyDescent="0.25">
      <c r="A8615">
        <v>77783</v>
      </c>
      <c r="B8615" t="s">
        <v>4</v>
      </c>
      <c r="C8615">
        <v>4</v>
      </c>
      <c r="D8615" t="s">
        <v>5</v>
      </c>
      <c r="F8615" t="str" cm="1">
        <f t="array" ref="F8615">CategorizeComment(E8615)</f>
        <v>Other</v>
      </c>
      <c r="G8615" t="str" cm="1">
        <f t="array" ref="G8615">SubCategorizeComment(E8615)</f>
        <v>Other</v>
      </c>
    </row>
    <row r="8616" spans="1:7" x14ac:dyDescent="0.25">
      <c r="A8616">
        <v>77796</v>
      </c>
      <c r="B8616" t="s">
        <v>4</v>
      </c>
      <c r="C8616">
        <v>4</v>
      </c>
      <c r="D8616" t="s">
        <v>5</v>
      </c>
      <c r="F8616" t="str" cm="1">
        <f t="array" ref="F8616">CategorizeComment(E8616)</f>
        <v>Other</v>
      </c>
      <c r="G8616" t="str" cm="1">
        <f t="array" ref="G8616">SubCategorizeComment(E8616)</f>
        <v>Other</v>
      </c>
    </row>
    <row r="8617" spans="1:7" x14ac:dyDescent="0.25">
      <c r="A8617">
        <v>77800</v>
      </c>
      <c r="B8617" t="s">
        <v>4</v>
      </c>
      <c r="C8617">
        <v>3</v>
      </c>
      <c r="D8617" t="s">
        <v>5</v>
      </c>
      <c r="F8617" t="str" cm="1">
        <f t="array" ref="F8617">CategorizeComment(E8617)</f>
        <v>Other</v>
      </c>
      <c r="G8617" t="str" cm="1">
        <f t="array" ref="G8617">SubCategorizeComment(E8617)</f>
        <v>Other</v>
      </c>
    </row>
    <row r="8618" spans="1:7" x14ac:dyDescent="0.25">
      <c r="A8618">
        <v>77805</v>
      </c>
      <c r="B8618" t="s">
        <v>4</v>
      </c>
      <c r="C8618">
        <v>3</v>
      </c>
      <c r="D8618" t="s">
        <v>5</v>
      </c>
      <c r="F8618" t="str" cm="1">
        <f t="array" ref="F8618">CategorizeComment(E8618)</f>
        <v>Other</v>
      </c>
      <c r="G8618" t="str" cm="1">
        <f t="array" ref="G8618">SubCategorizeComment(E8618)</f>
        <v>Other</v>
      </c>
    </row>
    <row r="8619" spans="1:7" x14ac:dyDescent="0.25">
      <c r="A8619">
        <v>77814</v>
      </c>
      <c r="B8619" t="s">
        <v>4</v>
      </c>
      <c r="C8619">
        <v>3</v>
      </c>
      <c r="D8619" t="s">
        <v>5</v>
      </c>
      <c r="F8619" t="str" cm="1">
        <f t="array" ref="F8619">CategorizeComment(E8619)</f>
        <v>Other</v>
      </c>
      <c r="G8619" t="str" cm="1">
        <f t="array" ref="G8619">SubCategorizeComment(E8619)</f>
        <v>Other</v>
      </c>
    </row>
    <row r="8620" spans="1:7" x14ac:dyDescent="0.25">
      <c r="A8620">
        <v>77819</v>
      </c>
      <c r="B8620" t="s">
        <v>4</v>
      </c>
      <c r="C8620">
        <v>4</v>
      </c>
      <c r="D8620" t="s">
        <v>5</v>
      </c>
      <c r="F8620" t="str" cm="1">
        <f t="array" ref="F8620">CategorizeComment(E8620)</f>
        <v>Other</v>
      </c>
      <c r="G8620" t="str" cm="1">
        <f t="array" ref="G8620">SubCategorizeComment(E8620)</f>
        <v>Other</v>
      </c>
    </row>
    <row r="8621" spans="1:7" x14ac:dyDescent="0.25">
      <c r="A8621">
        <v>77825</v>
      </c>
      <c r="B8621" t="s">
        <v>4</v>
      </c>
      <c r="C8621">
        <v>4</v>
      </c>
      <c r="D8621" t="s">
        <v>5</v>
      </c>
      <c r="F8621" t="str" cm="1">
        <f t="array" ref="F8621">CategorizeComment(E8621)</f>
        <v>Other</v>
      </c>
      <c r="G8621" t="str" cm="1">
        <f t="array" ref="G8621">SubCategorizeComment(E8621)</f>
        <v>Other</v>
      </c>
    </row>
    <row r="8622" spans="1:7" x14ac:dyDescent="0.25">
      <c r="A8622">
        <v>77827</v>
      </c>
      <c r="B8622" t="s">
        <v>4</v>
      </c>
      <c r="C8622">
        <v>4</v>
      </c>
      <c r="D8622" t="s">
        <v>5</v>
      </c>
      <c r="F8622" t="str" cm="1">
        <f t="array" ref="F8622">CategorizeComment(E8622)</f>
        <v>Other</v>
      </c>
      <c r="G8622" t="str" cm="1">
        <f t="array" ref="G8622">SubCategorizeComment(E8622)</f>
        <v>Other</v>
      </c>
    </row>
    <row r="8623" spans="1:7" x14ac:dyDescent="0.25">
      <c r="A8623">
        <v>77834</v>
      </c>
      <c r="B8623" t="s">
        <v>4</v>
      </c>
      <c r="C8623">
        <v>3</v>
      </c>
      <c r="D8623" t="s">
        <v>5</v>
      </c>
      <c r="F8623" t="str" cm="1">
        <f t="array" ref="F8623">CategorizeComment(E8623)</f>
        <v>Other</v>
      </c>
      <c r="G8623" t="str" cm="1">
        <f t="array" ref="G8623">SubCategorizeComment(E8623)</f>
        <v>Other</v>
      </c>
    </row>
    <row r="8624" spans="1:7" x14ac:dyDescent="0.25">
      <c r="A8624">
        <v>77844</v>
      </c>
      <c r="B8624" t="s">
        <v>4</v>
      </c>
      <c r="C8624">
        <v>3</v>
      </c>
      <c r="D8624" t="s">
        <v>5</v>
      </c>
      <c r="F8624" t="str" cm="1">
        <f t="array" ref="F8624">CategorizeComment(E8624)</f>
        <v>Other</v>
      </c>
      <c r="G8624" t="str" cm="1">
        <f t="array" ref="G8624">SubCategorizeComment(E8624)</f>
        <v>Other</v>
      </c>
    </row>
    <row r="8625" spans="1:7" x14ac:dyDescent="0.25">
      <c r="A8625">
        <v>77847</v>
      </c>
      <c r="B8625" t="s">
        <v>4</v>
      </c>
      <c r="C8625">
        <v>3</v>
      </c>
      <c r="D8625" t="s">
        <v>5</v>
      </c>
      <c r="F8625" t="str" cm="1">
        <f t="array" ref="F8625">CategorizeComment(E8625)</f>
        <v>Other</v>
      </c>
      <c r="G8625" t="str" cm="1">
        <f t="array" ref="G8625">SubCategorizeComment(E8625)</f>
        <v>Other</v>
      </c>
    </row>
    <row r="8626" spans="1:7" x14ac:dyDescent="0.25">
      <c r="A8626">
        <v>77849</v>
      </c>
      <c r="B8626" t="s">
        <v>4</v>
      </c>
      <c r="C8626">
        <v>4</v>
      </c>
      <c r="D8626" t="s">
        <v>5</v>
      </c>
      <c r="F8626" t="str" cm="1">
        <f t="array" ref="F8626">CategorizeComment(E8626)</f>
        <v>Other</v>
      </c>
      <c r="G8626" t="str" cm="1">
        <f t="array" ref="G8626">SubCategorizeComment(E8626)</f>
        <v>Other</v>
      </c>
    </row>
    <row r="8627" spans="1:7" x14ac:dyDescent="0.25">
      <c r="A8627">
        <v>77855</v>
      </c>
      <c r="B8627" t="s">
        <v>4</v>
      </c>
      <c r="C8627">
        <v>3</v>
      </c>
      <c r="D8627" t="s">
        <v>5</v>
      </c>
      <c r="F8627" t="str" cm="1">
        <f t="array" ref="F8627">CategorizeComment(E8627)</f>
        <v>Other</v>
      </c>
      <c r="G8627" t="str" cm="1">
        <f t="array" ref="G8627">SubCategorizeComment(E8627)</f>
        <v>Other</v>
      </c>
    </row>
    <row r="8628" spans="1:7" x14ac:dyDescent="0.25">
      <c r="A8628">
        <v>77856</v>
      </c>
      <c r="B8628" t="s">
        <v>4</v>
      </c>
      <c r="C8628">
        <v>3</v>
      </c>
      <c r="D8628" t="s">
        <v>5</v>
      </c>
      <c r="F8628" t="str" cm="1">
        <f t="array" ref="F8628">CategorizeComment(E8628)</f>
        <v>Other</v>
      </c>
      <c r="G8628" t="str" cm="1">
        <f t="array" ref="G8628">SubCategorizeComment(E8628)</f>
        <v>Other</v>
      </c>
    </row>
    <row r="8629" spans="1:7" x14ac:dyDescent="0.25">
      <c r="A8629">
        <v>77870</v>
      </c>
      <c r="B8629" t="s">
        <v>4</v>
      </c>
      <c r="C8629">
        <v>4</v>
      </c>
      <c r="D8629" t="s">
        <v>5</v>
      </c>
      <c r="F8629" t="str" cm="1">
        <f t="array" ref="F8629">CategorizeComment(E8629)</f>
        <v>Other</v>
      </c>
      <c r="G8629" t="str" cm="1">
        <f t="array" ref="G8629">SubCategorizeComment(E8629)</f>
        <v>Other</v>
      </c>
    </row>
    <row r="8630" spans="1:7" x14ac:dyDescent="0.25">
      <c r="A8630">
        <v>77876</v>
      </c>
      <c r="B8630" t="s">
        <v>4</v>
      </c>
      <c r="C8630">
        <v>3</v>
      </c>
      <c r="D8630" t="s">
        <v>5</v>
      </c>
      <c r="F8630" t="str" cm="1">
        <f t="array" ref="F8630">CategorizeComment(E8630)</f>
        <v>Other</v>
      </c>
      <c r="G8630" t="str" cm="1">
        <f t="array" ref="G8630">SubCategorizeComment(E8630)</f>
        <v>Other</v>
      </c>
    </row>
    <row r="8631" spans="1:7" x14ac:dyDescent="0.25">
      <c r="A8631">
        <v>77877</v>
      </c>
      <c r="B8631" t="s">
        <v>4</v>
      </c>
      <c r="C8631">
        <v>4</v>
      </c>
      <c r="D8631" t="s">
        <v>5</v>
      </c>
      <c r="F8631" t="str" cm="1">
        <f t="array" ref="F8631">CategorizeComment(E8631)</f>
        <v>Other</v>
      </c>
      <c r="G8631" t="str" cm="1">
        <f t="array" ref="G8631">SubCategorizeComment(E8631)</f>
        <v>Other</v>
      </c>
    </row>
    <row r="8632" spans="1:7" x14ac:dyDescent="0.25">
      <c r="A8632">
        <v>77880</v>
      </c>
      <c r="B8632" t="s">
        <v>4</v>
      </c>
      <c r="C8632">
        <v>4</v>
      </c>
      <c r="D8632" t="s">
        <v>5</v>
      </c>
      <c r="F8632" t="str" cm="1">
        <f t="array" ref="F8632">CategorizeComment(E8632)</f>
        <v>Other</v>
      </c>
      <c r="G8632" t="str" cm="1">
        <f t="array" ref="G8632">SubCategorizeComment(E8632)</f>
        <v>Other</v>
      </c>
    </row>
    <row r="8633" spans="1:7" x14ac:dyDescent="0.25">
      <c r="A8633">
        <v>77883</v>
      </c>
      <c r="B8633" t="s">
        <v>4</v>
      </c>
      <c r="C8633">
        <v>4</v>
      </c>
      <c r="D8633" t="s">
        <v>5</v>
      </c>
      <c r="F8633" t="str" cm="1">
        <f t="array" ref="F8633">CategorizeComment(E8633)</f>
        <v>Other</v>
      </c>
      <c r="G8633" t="str" cm="1">
        <f t="array" ref="G8633">SubCategorizeComment(E8633)</f>
        <v>Other</v>
      </c>
    </row>
    <row r="8634" spans="1:7" x14ac:dyDescent="0.25">
      <c r="A8634">
        <v>77901</v>
      </c>
      <c r="B8634" t="s">
        <v>4</v>
      </c>
      <c r="C8634">
        <v>3</v>
      </c>
      <c r="D8634" t="s">
        <v>5</v>
      </c>
      <c r="F8634" t="str" cm="1">
        <f t="array" ref="F8634">CategorizeComment(E8634)</f>
        <v>Other</v>
      </c>
      <c r="G8634" t="str" cm="1">
        <f t="array" ref="G8634">SubCategorizeComment(E8634)</f>
        <v>Other</v>
      </c>
    </row>
    <row r="8635" spans="1:7" x14ac:dyDescent="0.25">
      <c r="A8635">
        <v>77909</v>
      </c>
      <c r="B8635" t="s">
        <v>4</v>
      </c>
      <c r="C8635">
        <v>4</v>
      </c>
      <c r="D8635" t="s">
        <v>5</v>
      </c>
      <c r="F8635" t="str" cm="1">
        <f t="array" ref="F8635">CategorizeComment(E8635)</f>
        <v>Other</v>
      </c>
      <c r="G8635" t="str" cm="1">
        <f t="array" ref="G8635">SubCategorizeComment(E8635)</f>
        <v>Other</v>
      </c>
    </row>
    <row r="8636" spans="1:7" x14ac:dyDescent="0.25">
      <c r="A8636">
        <v>77910</v>
      </c>
      <c r="B8636" t="s">
        <v>4</v>
      </c>
      <c r="C8636">
        <v>3</v>
      </c>
      <c r="D8636" t="s">
        <v>5</v>
      </c>
      <c r="F8636" t="str" cm="1">
        <f t="array" ref="F8636">CategorizeComment(E8636)</f>
        <v>Other</v>
      </c>
      <c r="G8636" t="str" cm="1">
        <f t="array" ref="G8636">SubCategorizeComment(E8636)</f>
        <v>Other</v>
      </c>
    </row>
    <row r="8637" spans="1:7" x14ac:dyDescent="0.25">
      <c r="A8637">
        <v>77921</v>
      </c>
      <c r="B8637" t="s">
        <v>4</v>
      </c>
      <c r="C8637">
        <v>3</v>
      </c>
      <c r="D8637" t="s">
        <v>5</v>
      </c>
      <c r="F8637" t="str" cm="1">
        <f t="array" ref="F8637">CategorizeComment(E8637)</f>
        <v>Other</v>
      </c>
      <c r="G8637" t="str" cm="1">
        <f t="array" ref="G8637">SubCategorizeComment(E8637)</f>
        <v>Other</v>
      </c>
    </row>
    <row r="8638" spans="1:7" x14ac:dyDescent="0.25">
      <c r="A8638">
        <v>77980</v>
      </c>
      <c r="B8638" t="s">
        <v>4</v>
      </c>
      <c r="C8638">
        <v>4</v>
      </c>
      <c r="D8638" t="s">
        <v>5</v>
      </c>
      <c r="F8638" t="str" cm="1">
        <f t="array" ref="F8638">CategorizeComment(E8638)</f>
        <v>Other</v>
      </c>
      <c r="G8638" t="str" cm="1">
        <f t="array" ref="G8638">SubCategorizeComment(E8638)</f>
        <v>Other</v>
      </c>
    </row>
    <row r="8639" spans="1:7" x14ac:dyDescent="0.25">
      <c r="A8639">
        <v>78012</v>
      </c>
      <c r="B8639" t="s">
        <v>4</v>
      </c>
      <c r="C8639">
        <v>3</v>
      </c>
      <c r="D8639" t="s">
        <v>5</v>
      </c>
      <c r="F8639" t="str" cm="1">
        <f t="array" ref="F8639">CategorizeComment(E8639)</f>
        <v>Other</v>
      </c>
      <c r="G8639" t="str" cm="1">
        <f t="array" ref="G8639">SubCategorizeComment(E8639)</f>
        <v>Other</v>
      </c>
    </row>
    <row r="8640" spans="1:7" x14ac:dyDescent="0.25">
      <c r="A8640">
        <v>78013</v>
      </c>
      <c r="B8640" t="s">
        <v>4</v>
      </c>
      <c r="C8640">
        <v>3</v>
      </c>
      <c r="D8640" t="s">
        <v>5</v>
      </c>
      <c r="F8640" t="str" cm="1">
        <f t="array" ref="F8640">CategorizeComment(E8640)</f>
        <v>Other</v>
      </c>
      <c r="G8640" t="str" cm="1">
        <f t="array" ref="G8640">SubCategorizeComment(E8640)</f>
        <v>Other</v>
      </c>
    </row>
    <row r="8641" spans="1:7" x14ac:dyDescent="0.25">
      <c r="A8641">
        <v>78015</v>
      </c>
      <c r="B8641" t="s">
        <v>4</v>
      </c>
      <c r="C8641">
        <v>3</v>
      </c>
      <c r="D8641" t="s">
        <v>5</v>
      </c>
      <c r="F8641" t="str" cm="1">
        <f t="array" ref="F8641">CategorizeComment(E8641)</f>
        <v>Other</v>
      </c>
      <c r="G8641" t="str" cm="1">
        <f t="array" ref="G8641">SubCategorizeComment(E8641)</f>
        <v>Other</v>
      </c>
    </row>
    <row r="8642" spans="1:7" x14ac:dyDescent="0.25">
      <c r="A8642">
        <v>78016</v>
      </c>
      <c r="B8642" t="s">
        <v>4</v>
      </c>
      <c r="C8642">
        <v>4</v>
      </c>
      <c r="D8642" t="s">
        <v>5</v>
      </c>
      <c r="F8642" t="str" cm="1">
        <f t="array" ref="F8642">CategorizeComment(E8642)</f>
        <v>Other</v>
      </c>
      <c r="G8642" t="str" cm="1">
        <f t="array" ref="G8642">SubCategorizeComment(E8642)</f>
        <v>Other</v>
      </c>
    </row>
    <row r="8643" spans="1:7" x14ac:dyDescent="0.25">
      <c r="A8643">
        <v>78018</v>
      </c>
      <c r="B8643" t="s">
        <v>4</v>
      </c>
      <c r="C8643">
        <v>3</v>
      </c>
      <c r="D8643" t="s">
        <v>5</v>
      </c>
      <c r="F8643" t="str" cm="1">
        <f t="array" ref="F8643">CategorizeComment(E8643)</f>
        <v>Other</v>
      </c>
      <c r="G8643" t="str" cm="1">
        <f t="array" ref="G8643">SubCategorizeComment(E8643)</f>
        <v>Other</v>
      </c>
    </row>
    <row r="8644" spans="1:7" x14ac:dyDescent="0.25">
      <c r="A8644">
        <v>78027</v>
      </c>
      <c r="B8644" t="s">
        <v>4</v>
      </c>
      <c r="C8644">
        <v>3</v>
      </c>
      <c r="D8644" t="s">
        <v>5</v>
      </c>
      <c r="F8644" t="str" cm="1">
        <f t="array" ref="F8644">CategorizeComment(E8644)</f>
        <v>Other</v>
      </c>
      <c r="G8644" t="str" cm="1">
        <f t="array" ref="G8644">SubCategorizeComment(E8644)</f>
        <v>Other</v>
      </c>
    </row>
    <row r="8645" spans="1:7" x14ac:dyDescent="0.25">
      <c r="A8645">
        <v>78028</v>
      </c>
      <c r="B8645" t="s">
        <v>4</v>
      </c>
      <c r="C8645">
        <v>4</v>
      </c>
      <c r="D8645" t="s">
        <v>5</v>
      </c>
      <c r="F8645" t="str" cm="1">
        <f t="array" ref="F8645">CategorizeComment(E8645)</f>
        <v>Other</v>
      </c>
      <c r="G8645" t="str" cm="1">
        <f t="array" ref="G8645">SubCategorizeComment(E8645)</f>
        <v>Other</v>
      </c>
    </row>
    <row r="8646" spans="1:7" x14ac:dyDescent="0.25">
      <c r="A8646">
        <v>78029</v>
      </c>
      <c r="B8646" t="s">
        <v>4</v>
      </c>
      <c r="C8646">
        <v>3</v>
      </c>
      <c r="D8646" t="s">
        <v>5</v>
      </c>
      <c r="F8646" t="str" cm="1">
        <f t="array" ref="F8646">CategorizeComment(E8646)</f>
        <v>Other</v>
      </c>
      <c r="G8646" t="str" cm="1">
        <f t="array" ref="G8646">SubCategorizeComment(E8646)</f>
        <v>Other</v>
      </c>
    </row>
    <row r="8647" spans="1:7" x14ac:dyDescent="0.25">
      <c r="A8647">
        <v>78037</v>
      </c>
      <c r="B8647" t="s">
        <v>4</v>
      </c>
      <c r="C8647">
        <v>3</v>
      </c>
      <c r="D8647" t="s">
        <v>5</v>
      </c>
      <c r="F8647" t="str" cm="1">
        <f t="array" ref="F8647">CategorizeComment(E8647)</f>
        <v>Other</v>
      </c>
      <c r="G8647" t="str" cm="1">
        <f t="array" ref="G8647">SubCategorizeComment(E8647)</f>
        <v>Other</v>
      </c>
    </row>
    <row r="8648" spans="1:7" x14ac:dyDescent="0.25">
      <c r="A8648">
        <v>78047</v>
      </c>
      <c r="B8648" t="s">
        <v>4</v>
      </c>
      <c r="C8648">
        <v>4</v>
      </c>
      <c r="D8648" t="s">
        <v>5</v>
      </c>
      <c r="F8648" t="str" cm="1">
        <f t="array" ref="F8648">CategorizeComment(E8648)</f>
        <v>Other</v>
      </c>
      <c r="G8648" t="str" cm="1">
        <f t="array" ref="G8648">SubCategorizeComment(E8648)</f>
        <v>Other</v>
      </c>
    </row>
    <row r="8649" spans="1:7" x14ac:dyDescent="0.25">
      <c r="A8649">
        <v>78060</v>
      </c>
      <c r="B8649" t="s">
        <v>4</v>
      </c>
      <c r="C8649">
        <v>3</v>
      </c>
      <c r="D8649" t="s">
        <v>5</v>
      </c>
      <c r="F8649" t="str" cm="1">
        <f t="array" ref="F8649">CategorizeComment(E8649)</f>
        <v>Other</v>
      </c>
      <c r="G8649" t="str" cm="1">
        <f t="array" ref="G8649">SubCategorizeComment(E8649)</f>
        <v>Other</v>
      </c>
    </row>
    <row r="8650" spans="1:7" x14ac:dyDescent="0.25">
      <c r="A8650">
        <v>78063</v>
      </c>
      <c r="B8650" t="s">
        <v>4</v>
      </c>
      <c r="C8650">
        <v>4</v>
      </c>
      <c r="D8650" t="s">
        <v>5</v>
      </c>
      <c r="F8650" t="str" cm="1">
        <f t="array" ref="F8650">CategorizeComment(E8650)</f>
        <v>Other</v>
      </c>
      <c r="G8650" t="str" cm="1">
        <f t="array" ref="G8650">SubCategorizeComment(E8650)</f>
        <v>Other</v>
      </c>
    </row>
    <row r="8651" spans="1:7" x14ac:dyDescent="0.25">
      <c r="A8651">
        <v>78081</v>
      </c>
      <c r="B8651" t="s">
        <v>4</v>
      </c>
      <c r="C8651">
        <v>4</v>
      </c>
      <c r="D8651" t="s">
        <v>5</v>
      </c>
      <c r="F8651" t="str" cm="1">
        <f t="array" ref="F8651">CategorizeComment(E8651)</f>
        <v>Other</v>
      </c>
      <c r="G8651" t="str" cm="1">
        <f t="array" ref="G8651">SubCategorizeComment(E8651)</f>
        <v>Other</v>
      </c>
    </row>
    <row r="8652" spans="1:7" x14ac:dyDescent="0.25">
      <c r="A8652">
        <v>78084</v>
      </c>
      <c r="B8652" t="s">
        <v>4</v>
      </c>
      <c r="C8652">
        <v>4</v>
      </c>
      <c r="D8652" t="s">
        <v>5</v>
      </c>
      <c r="F8652" t="str" cm="1">
        <f t="array" ref="F8652">CategorizeComment(E8652)</f>
        <v>Other</v>
      </c>
      <c r="G8652" t="str" cm="1">
        <f t="array" ref="G8652">SubCategorizeComment(E8652)</f>
        <v>Other</v>
      </c>
    </row>
    <row r="8653" spans="1:7" x14ac:dyDescent="0.25">
      <c r="A8653">
        <v>78103</v>
      </c>
      <c r="B8653" t="s">
        <v>4</v>
      </c>
      <c r="C8653">
        <v>4</v>
      </c>
      <c r="D8653" t="s">
        <v>5</v>
      </c>
      <c r="F8653" t="str" cm="1">
        <f t="array" ref="F8653">CategorizeComment(E8653)</f>
        <v>Other</v>
      </c>
      <c r="G8653" t="str" cm="1">
        <f t="array" ref="G8653">SubCategorizeComment(E8653)</f>
        <v>Other</v>
      </c>
    </row>
    <row r="8654" spans="1:7" x14ac:dyDescent="0.25">
      <c r="A8654">
        <v>78104</v>
      </c>
      <c r="B8654" t="s">
        <v>4</v>
      </c>
      <c r="C8654">
        <v>3</v>
      </c>
      <c r="D8654" t="s">
        <v>5</v>
      </c>
      <c r="F8654" t="str" cm="1">
        <f t="array" ref="F8654">CategorizeComment(E8654)</f>
        <v>Other</v>
      </c>
      <c r="G8654" t="str" cm="1">
        <f t="array" ref="G8654">SubCategorizeComment(E8654)</f>
        <v>Other</v>
      </c>
    </row>
    <row r="8655" spans="1:7" x14ac:dyDescent="0.25">
      <c r="A8655">
        <v>78124</v>
      </c>
      <c r="B8655" t="s">
        <v>4</v>
      </c>
      <c r="C8655">
        <v>3</v>
      </c>
      <c r="D8655" t="s">
        <v>5</v>
      </c>
      <c r="F8655" t="str" cm="1">
        <f t="array" ref="F8655">CategorizeComment(E8655)</f>
        <v>Other</v>
      </c>
      <c r="G8655" t="str" cm="1">
        <f t="array" ref="G8655">SubCategorizeComment(E8655)</f>
        <v>Other</v>
      </c>
    </row>
    <row r="8656" spans="1:7" x14ac:dyDescent="0.25">
      <c r="A8656">
        <v>78176</v>
      </c>
      <c r="B8656" t="s">
        <v>4</v>
      </c>
      <c r="C8656">
        <v>4</v>
      </c>
      <c r="D8656" t="s">
        <v>5</v>
      </c>
      <c r="F8656" t="str" cm="1">
        <f t="array" ref="F8656">CategorizeComment(E8656)</f>
        <v>Other</v>
      </c>
      <c r="G8656" t="str" cm="1">
        <f t="array" ref="G8656">SubCategorizeComment(E8656)</f>
        <v>Other</v>
      </c>
    </row>
    <row r="8657" spans="1:7" x14ac:dyDescent="0.25">
      <c r="A8657">
        <v>78177</v>
      </c>
      <c r="B8657" t="s">
        <v>4</v>
      </c>
      <c r="C8657">
        <v>3</v>
      </c>
      <c r="D8657" t="s">
        <v>5</v>
      </c>
      <c r="F8657" t="str" cm="1">
        <f t="array" ref="F8657">CategorizeComment(E8657)</f>
        <v>Other</v>
      </c>
      <c r="G8657" t="str" cm="1">
        <f t="array" ref="G8657">SubCategorizeComment(E8657)</f>
        <v>Other</v>
      </c>
    </row>
    <row r="8658" spans="1:7" x14ac:dyDescent="0.25">
      <c r="A8658">
        <v>78183</v>
      </c>
      <c r="B8658" t="s">
        <v>4</v>
      </c>
      <c r="C8658">
        <v>3</v>
      </c>
      <c r="D8658" t="s">
        <v>5</v>
      </c>
      <c r="F8658" t="str" cm="1">
        <f t="array" ref="F8658">CategorizeComment(E8658)</f>
        <v>Other</v>
      </c>
      <c r="G8658" t="str" cm="1">
        <f t="array" ref="G8658">SubCategorizeComment(E8658)</f>
        <v>Other</v>
      </c>
    </row>
    <row r="8659" spans="1:7" x14ac:dyDescent="0.25">
      <c r="A8659">
        <v>78187</v>
      </c>
      <c r="B8659" t="s">
        <v>4</v>
      </c>
      <c r="C8659">
        <v>4</v>
      </c>
      <c r="D8659" t="s">
        <v>5</v>
      </c>
      <c r="F8659" t="str" cm="1">
        <f t="array" ref="F8659">CategorizeComment(E8659)</f>
        <v>Other</v>
      </c>
      <c r="G8659" t="str" cm="1">
        <f t="array" ref="G8659">SubCategorizeComment(E8659)</f>
        <v>Other</v>
      </c>
    </row>
    <row r="8660" spans="1:7" x14ac:dyDescent="0.25">
      <c r="A8660">
        <v>78194</v>
      </c>
      <c r="B8660" t="s">
        <v>4</v>
      </c>
      <c r="C8660">
        <v>3</v>
      </c>
      <c r="D8660" t="s">
        <v>5</v>
      </c>
      <c r="F8660" t="str" cm="1">
        <f t="array" ref="F8660">CategorizeComment(E8660)</f>
        <v>Other</v>
      </c>
      <c r="G8660" t="str" cm="1">
        <f t="array" ref="G8660">SubCategorizeComment(E8660)</f>
        <v>Other</v>
      </c>
    </row>
    <row r="8661" spans="1:7" x14ac:dyDescent="0.25">
      <c r="A8661">
        <v>78197</v>
      </c>
      <c r="B8661" t="s">
        <v>4</v>
      </c>
      <c r="C8661">
        <v>4</v>
      </c>
      <c r="D8661" t="s">
        <v>5</v>
      </c>
      <c r="F8661" t="str" cm="1">
        <f t="array" ref="F8661">CategorizeComment(E8661)</f>
        <v>Other</v>
      </c>
      <c r="G8661" t="str" cm="1">
        <f t="array" ref="G8661">SubCategorizeComment(E8661)</f>
        <v>Other</v>
      </c>
    </row>
    <row r="8662" spans="1:7" x14ac:dyDescent="0.25">
      <c r="A8662">
        <v>78201</v>
      </c>
      <c r="B8662" t="s">
        <v>4</v>
      </c>
      <c r="C8662">
        <v>3</v>
      </c>
      <c r="D8662" t="s">
        <v>5</v>
      </c>
      <c r="F8662" t="str" cm="1">
        <f t="array" ref="F8662">CategorizeComment(E8662)</f>
        <v>Other</v>
      </c>
      <c r="G8662" t="str" cm="1">
        <f t="array" ref="G8662">SubCategorizeComment(E8662)</f>
        <v>Other</v>
      </c>
    </row>
    <row r="8663" spans="1:7" x14ac:dyDescent="0.25">
      <c r="A8663">
        <v>78208</v>
      </c>
      <c r="B8663" t="s">
        <v>4</v>
      </c>
      <c r="C8663">
        <v>3</v>
      </c>
      <c r="D8663" t="s">
        <v>5</v>
      </c>
      <c r="F8663" t="str" cm="1">
        <f t="array" ref="F8663">CategorizeComment(E8663)</f>
        <v>Other</v>
      </c>
      <c r="G8663" t="str" cm="1">
        <f t="array" ref="G8663">SubCategorizeComment(E8663)</f>
        <v>Other</v>
      </c>
    </row>
    <row r="8664" spans="1:7" x14ac:dyDescent="0.25">
      <c r="A8664">
        <v>78224</v>
      </c>
      <c r="B8664" t="s">
        <v>4</v>
      </c>
      <c r="C8664">
        <v>4</v>
      </c>
      <c r="D8664" t="s">
        <v>5</v>
      </c>
      <c r="F8664" t="str" cm="1">
        <f t="array" ref="F8664">CategorizeComment(E8664)</f>
        <v>Other</v>
      </c>
      <c r="G8664" t="str" cm="1">
        <f t="array" ref="G8664">SubCategorizeComment(E8664)</f>
        <v>Other</v>
      </c>
    </row>
    <row r="8665" spans="1:7" x14ac:dyDescent="0.25">
      <c r="A8665">
        <v>78230</v>
      </c>
      <c r="B8665" t="s">
        <v>4</v>
      </c>
      <c r="C8665">
        <v>3</v>
      </c>
      <c r="D8665" t="s">
        <v>5</v>
      </c>
      <c r="F8665" t="str" cm="1">
        <f t="array" ref="F8665">CategorizeComment(E8665)</f>
        <v>Other</v>
      </c>
      <c r="G8665" t="str" cm="1">
        <f t="array" ref="G8665">SubCategorizeComment(E8665)</f>
        <v>Other</v>
      </c>
    </row>
    <row r="8666" spans="1:7" x14ac:dyDescent="0.25">
      <c r="A8666">
        <v>78239</v>
      </c>
      <c r="B8666" t="s">
        <v>4</v>
      </c>
      <c r="C8666">
        <v>4</v>
      </c>
      <c r="D8666" t="s">
        <v>5</v>
      </c>
      <c r="F8666" t="str" cm="1">
        <f t="array" ref="F8666">CategorizeComment(E8666)</f>
        <v>Other</v>
      </c>
      <c r="G8666" t="str" cm="1">
        <f t="array" ref="G8666">SubCategorizeComment(E8666)</f>
        <v>Other</v>
      </c>
    </row>
    <row r="8667" spans="1:7" x14ac:dyDescent="0.25">
      <c r="A8667">
        <v>78240</v>
      </c>
      <c r="B8667" t="s">
        <v>4</v>
      </c>
      <c r="C8667">
        <v>4</v>
      </c>
      <c r="D8667" t="s">
        <v>5</v>
      </c>
      <c r="F8667" t="str" cm="1">
        <f t="array" ref="F8667">CategorizeComment(E8667)</f>
        <v>Other</v>
      </c>
      <c r="G8667" t="str" cm="1">
        <f t="array" ref="G8667">SubCategorizeComment(E8667)</f>
        <v>Other</v>
      </c>
    </row>
    <row r="8668" spans="1:7" x14ac:dyDescent="0.25">
      <c r="A8668">
        <v>78255</v>
      </c>
      <c r="B8668" t="s">
        <v>4</v>
      </c>
      <c r="C8668">
        <v>4</v>
      </c>
      <c r="D8668" t="s">
        <v>5</v>
      </c>
      <c r="F8668" t="str" cm="1">
        <f t="array" ref="F8668">CategorizeComment(E8668)</f>
        <v>Other</v>
      </c>
      <c r="G8668" t="str" cm="1">
        <f t="array" ref="G8668">SubCategorizeComment(E8668)</f>
        <v>Other</v>
      </c>
    </row>
    <row r="8669" spans="1:7" x14ac:dyDescent="0.25">
      <c r="A8669">
        <v>78271</v>
      </c>
      <c r="B8669" t="s">
        <v>4</v>
      </c>
      <c r="C8669">
        <v>4</v>
      </c>
      <c r="D8669" t="s">
        <v>5</v>
      </c>
      <c r="F8669" t="str" cm="1">
        <f t="array" ref="F8669">CategorizeComment(E8669)</f>
        <v>Other</v>
      </c>
      <c r="G8669" t="str" cm="1">
        <f t="array" ref="G8669">SubCategorizeComment(E8669)</f>
        <v>Other</v>
      </c>
    </row>
    <row r="8670" spans="1:7" x14ac:dyDescent="0.25">
      <c r="A8670">
        <v>78300</v>
      </c>
      <c r="B8670" t="s">
        <v>4</v>
      </c>
      <c r="C8670">
        <v>3</v>
      </c>
      <c r="D8670" t="s">
        <v>5</v>
      </c>
      <c r="F8670" t="str" cm="1">
        <f t="array" ref="F8670">CategorizeComment(E8670)</f>
        <v>Other</v>
      </c>
      <c r="G8670" t="str" cm="1">
        <f t="array" ref="G8670">SubCategorizeComment(E8670)</f>
        <v>Other</v>
      </c>
    </row>
    <row r="8671" spans="1:7" x14ac:dyDescent="0.25">
      <c r="A8671">
        <v>78310</v>
      </c>
      <c r="B8671" t="s">
        <v>4</v>
      </c>
      <c r="C8671">
        <v>3</v>
      </c>
      <c r="D8671" t="s">
        <v>5</v>
      </c>
      <c r="F8671" t="str" cm="1">
        <f t="array" ref="F8671">CategorizeComment(E8671)</f>
        <v>Other</v>
      </c>
      <c r="G8671" t="str" cm="1">
        <f t="array" ref="G8671">SubCategorizeComment(E8671)</f>
        <v>Other</v>
      </c>
    </row>
    <row r="8672" spans="1:7" x14ac:dyDescent="0.25">
      <c r="A8672">
        <v>78318</v>
      </c>
      <c r="B8672" t="s">
        <v>4</v>
      </c>
      <c r="C8672">
        <v>4</v>
      </c>
      <c r="D8672" t="s">
        <v>5</v>
      </c>
      <c r="F8672" t="str" cm="1">
        <f t="array" ref="F8672">CategorizeComment(E8672)</f>
        <v>Other</v>
      </c>
      <c r="G8672" t="str" cm="1">
        <f t="array" ref="G8672">SubCategorizeComment(E8672)</f>
        <v>Other</v>
      </c>
    </row>
    <row r="8673" spans="1:7" x14ac:dyDescent="0.25">
      <c r="A8673">
        <v>78329</v>
      </c>
      <c r="B8673" t="s">
        <v>4</v>
      </c>
      <c r="C8673">
        <v>4</v>
      </c>
      <c r="D8673" t="s">
        <v>5</v>
      </c>
      <c r="F8673" t="str" cm="1">
        <f t="array" ref="F8673">CategorizeComment(E8673)</f>
        <v>Other</v>
      </c>
      <c r="G8673" t="str" cm="1">
        <f t="array" ref="G8673">SubCategorizeComment(E8673)</f>
        <v>Other</v>
      </c>
    </row>
    <row r="8674" spans="1:7" x14ac:dyDescent="0.25">
      <c r="A8674">
        <v>78335</v>
      </c>
      <c r="B8674" t="s">
        <v>4</v>
      </c>
      <c r="C8674">
        <v>4</v>
      </c>
      <c r="D8674" t="s">
        <v>5</v>
      </c>
      <c r="F8674" t="str" cm="1">
        <f t="array" ref="F8674">CategorizeComment(E8674)</f>
        <v>Other</v>
      </c>
      <c r="G8674" t="str" cm="1">
        <f t="array" ref="G8674">SubCategorizeComment(E8674)</f>
        <v>Other</v>
      </c>
    </row>
    <row r="8675" spans="1:7" x14ac:dyDescent="0.25">
      <c r="A8675">
        <v>78338</v>
      </c>
      <c r="B8675" t="s">
        <v>4</v>
      </c>
      <c r="C8675">
        <v>3</v>
      </c>
      <c r="D8675" t="s">
        <v>5</v>
      </c>
      <c r="F8675" t="str" cm="1">
        <f t="array" ref="F8675">CategorizeComment(E8675)</f>
        <v>Other</v>
      </c>
      <c r="G8675" t="str" cm="1">
        <f t="array" ref="G8675">SubCategorizeComment(E8675)</f>
        <v>Other</v>
      </c>
    </row>
    <row r="8676" spans="1:7" x14ac:dyDescent="0.25">
      <c r="A8676">
        <v>78356</v>
      </c>
      <c r="B8676" t="s">
        <v>4</v>
      </c>
      <c r="C8676">
        <v>4</v>
      </c>
      <c r="D8676" t="s">
        <v>5</v>
      </c>
      <c r="F8676" t="str" cm="1">
        <f t="array" ref="F8676">CategorizeComment(E8676)</f>
        <v>Other</v>
      </c>
      <c r="G8676" t="str" cm="1">
        <f t="array" ref="G8676">SubCategorizeComment(E8676)</f>
        <v>Other</v>
      </c>
    </row>
    <row r="8677" spans="1:7" x14ac:dyDescent="0.25">
      <c r="A8677">
        <v>78358</v>
      </c>
      <c r="B8677" t="s">
        <v>4</v>
      </c>
      <c r="C8677">
        <v>4</v>
      </c>
      <c r="D8677" t="s">
        <v>5</v>
      </c>
      <c r="F8677" t="str" cm="1">
        <f t="array" ref="F8677">CategorizeComment(E8677)</f>
        <v>Other</v>
      </c>
      <c r="G8677" t="str" cm="1">
        <f t="array" ref="G8677">SubCategorizeComment(E8677)</f>
        <v>Other</v>
      </c>
    </row>
    <row r="8678" spans="1:7" x14ac:dyDescent="0.25">
      <c r="A8678">
        <v>78365</v>
      </c>
      <c r="B8678" t="s">
        <v>4</v>
      </c>
      <c r="C8678">
        <v>3</v>
      </c>
      <c r="D8678" t="s">
        <v>5</v>
      </c>
      <c r="F8678" t="str" cm="1">
        <f t="array" ref="F8678">CategorizeComment(E8678)</f>
        <v>Other</v>
      </c>
      <c r="G8678" t="str" cm="1">
        <f t="array" ref="G8678">SubCategorizeComment(E8678)</f>
        <v>Other</v>
      </c>
    </row>
    <row r="8679" spans="1:7" x14ac:dyDescent="0.25">
      <c r="A8679">
        <v>78367</v>
      </c>
      <c r="B8679" t="s">
        <v>4</v>
      </c>
      <c r="C8679">
        <v>4</v>
      </c>
      <c r="D8679" t="s">
        <v>5</v>
      </c>
      <c r="F8679" t="str" cm="1">
        <f t="array" ref="F8679">CategorizeComment(E8679)</f>
        <v>Other</v>
      </c>
      <c r="G8679" t="str" cm="1">
        <f t="array" ref="G8679">SubCategorizeComment(E8679)</f>
        <v>Other</v>
      </c>
    </row>
    <row r="8680" spans="1:7" x14ac:dyDescent="0.25">
      <c r="A8680">
        <v>78383</v>
      </c>
      <c r="B8680" t="s">
        <v>4</v>
      </c>
      <c r="C8680">
        <v>3</v>
      </c>
      <c r="D8680" t="s">
        <v>5</v>
      </c>
      <c r="F8680" t="str" cm="1">
        <f t="array" ref="F8680">CategorizeComment(E8680)</f>
        <v>Other</v>
      </c>
      <c r="G8680" t="str" cm="1">
        <f t="array" ref="G8680">SubCategorizeComment(E8680)</f>
        <v>Other</v>
      </c>
    </row>
    <row r="8681" spans="1:7" x14ac:dyDescent="0.25">
      <c r="A8681">
        <v>78396</v>
      </c>
      <c r="B8681" t="s">
        <v>4</v>
      </c>
      <c r="C8681">
        <v>2</v>
      </c>
      <c r="D8681" t="s">
        <v>5</v>
      </c>
      <c r="F8681" t="str" cm="1">
        <f t="array" ref="F8681">CategorizeComment(E8681)</f>
        <v>Other</v>
      </c>
      <c r="G8681" t="str" cm="1">
        <f t="array" ref="G8681">SubCategorizeComment(E8681)</f>
        <v>Other</v>
      </c>
    </row>
    <row r="8682" spans="1:7" x14ac:dyDescent="0.25">
      <c r="A8682">
        <v>78399</v>
      </c>
      <c r="B8682" t="s">
        <v>4</v>
      </c>
      <c r="C8682">
        <v>3</v>
      </c>
      <c r="D8682" t="s">
        <v>5</v>
      </c>
      <c r="F8682" t="str" cm="1">
        <f t="array" ref="F8682">CategorizeComment(E8682)</f>
        <v>Other</v>
      </c>
      <c r="G8682" t="str" cm="1">
        <f t="array" ref="G8682">SubCategorizeComment(E8682)</f>
        <v>Other</v>
      </c>
    </row>
    <row r="8683" spans="1:7" x14ac:dyDescent="0.25">
      <c r="A8683">
        <v>78419</v>
      </c>
      <c r="B8683" t="s">
        <v>4</v>
      </c>
      <c r="C8683">
        <v>4</v>
      </c>
      <c r="D8683" t="s">
        <v>5</v>
      </c>
      <c r="F8683" t="str" cm="1">
        <f t="array" ref="F8683">CategorizeComment(E8683)</f>
        <v>Other</v>
      </c>
      <c r="G8683" t="str" cm="1">
        <f t="array" ref="G8683">SubCategorizeComment(E8683)</f>
        <v>Other</v>
      </c>
    </row>
    <row r="8684" spans="1:7" x14ac:dyDescent="0.25">
      <c r="A8684">
        <v>78420</v>
      </c>
      <c r="B8684" t="s">
        <v>4</v>
      </c>
      <c r="C8684">
        <v>4</v>
      </c>
      <c r="D8684" t="s">
        <v>5</v>
      </c>
      <c r="F8684" t="str" cm="1">
        <f t="array" ref="F8684">CategorizeComment(E8684)</f>
        <v>Other</v>
      </c>
      <c r="G8684" t="str" cm="1">
        <f t="array" ref="G8684">SubCategorizeComment(E8684)</f>
        <v>Other</v>
      </c>
    </row>
    <row r="8685" spans="1:7" x14ac:dyDescent="0.25">
      <c r="A8685">
        <v>78442</v>
      </c>
      <c r="B8685" t="s">
        <v>4</v>
      </c>
      <c r="C8685">
        <v>4</v>
      </c>
      <c r="D8685" t="s">
        <v>5</v>
      </c>
      <c r="F8685" t="str" cm="1">
        <f t="array" ref="F8685">CategorizeComment(E8685)</f>
        <v>Other</v>
      </c>
      <c r="G8685" t="str" cm="1">
        <f t="array" ref="G8685">SubCategorizeComment(E8685)</f>
        <v>Other</v>
      </c>
    </row>
    <row r="8686" spans="1:7" x14ac:dyDescent="0.25">
      <c r="A8686">
        <v>78461</v>
      </c>
      <c r="B8686" t="s">
        <v>4</v>
      </c>
      <c r="C8686">
        <v>3</v>
      </c>
      <c r="D8686" t="s">
        <v>5</v>
      </c>
      <c r="F8686" t="str" cm="1">
        <f t="array" ref="F8686">CategorizeComment(E8686)</f>
        <v>Other</v>
      </c>
      <c r="G8686" t="str" cm="1">
        <f t="array" ref="G8686">SubCategorizeComment(E8686)</f>
        <v>Other</v>
      </c>
    </row>
    <row r="8687" spans="1:7" x14ac:dyDescent="0.25">
      <c r="A8687">
        <v>78490</v>
      </c>
      <c r="B8687" t="s">
        <v>4</v>
      </c>
      <c r="C8687">
        <v>3</v>
      </c>
      <c r="D8687" t="s">
        <v>5</v>
      </c>
      <c r="F8687" t="str" cm="1">
        <f t="array" ref="F8687">CategorizeComment(E8687)</f>
        <v>Other</v>
      </c>
      <c r="G8687" t="str" cm="1">
        <f t="array" ref="G8687">SubCategorizeComment(E8687)</f>
        <v>Other</v>
      </c>
    </row>
    <row r="8688" spans="1:7" x14ac:dyDescent="0.25">
      <c r="A8688">
        <v>78506</v>
      </c>
      <c r="B8688" t="s">
        <v>4</v>
      </c>
      <c r="C8688">
        <v>4</v>
      </c>
      <c r="D8688" t="s">
        <v>5</v>
      </c>
      <c r="F8688" t="str" cm="1">
        <f t="array" ref="F8688">CategorizeComment(E8688)</f>
        <v>Other</v>
      </c>
      <c r="G8688" t="str" cm="1">
        <f t="array" ref="G8688">SubCategorizeComment(E8688)</f>
        <v>Other</v>
      </c>
    </row>
    <row r="8689" spans="1:7" x14ac:dyDescent="0.25">
      <c r="A8689">
        <v>78508</v>
      </c>
      <c r="B8689" t="s">
        <v>4</v>
      </c>
      <c r="C8689">
        <v>3</v>
      </c>
      <c r="D8689" t="s">
        <v>5</v>
      </c>
      <c r="F8689" t="str" cm="1">
        <f t="array" ref="F8689">CategorizeComment(E8689)</f>
        <v>Other</v>
      </c>
      <c r="G8689" t="str" cm="1">
        <f t="array" ref="G8689">SubCategorizeComment(E8689)</f>
        <v>Other</v>
      </c>
    </row>
    <row r="8690" spans="1:7" x14ac:dyDescent="0.25">
      <c r="A8690">
        <v>78521</v>
      </c>
      <c r="B8690" t="s">
        <v>4</v>
      </c>
      <c r="C8690">
        <v>4</v>
      </c>
      <c r="D8690" t="s">
        <v>5</v>
      </c>
      <c r="F8690" t="str" cm="1">
        <f t="array" ref="F8690">CategorizeComment(E8690)</f>
        <v>Other</v>
      </c>
      <c r="G8690" t="str" cm="1">
        <f t="array" ref="G8690">SubCategorizeComment(E8690)</f>
        <v>Other</v>
      </c>
    </row>
    <row r="8691" spans="1:7" x14ac:dyDescent="0.25">
      <c r="A8691">
        <v>78537</v>
      </c>
      <c r="B8691" t="s">
        <v>4</v>
      </c>
      <c r="C8691">
        <v>3</v>
      </c>
      <c r="D8691" t="s">
        <v>5</v>
      </c>
      <c r="F8691" t="str" cm="1">
        <f t="array" ref="F8691">CategorizeComment(E8691)</f>
        <v>Other</v>
      </c>
      <c r="G8691" t="str" cm="1">
        <f t="array" ref="G8691">SubCategorizeComment(E8691)</f>
        <v>Other</v>
      </c>
    </row>
    <row r="8692" spans="1:7" x14ac:dyDescent="0.25">
      <c r="A8692">
        <v>78538</v>
      </c>
      <c r="B8692" t="s">
        <v>4</v>
      </c>
      <c r="C8692">
        <v>4</v>
      </c>
      <c r="D8692" t="s">
        <v>5</v>
      </c>
      <c r="F8692" t="str" cm="1">
        <f t="array" ref="F8692">CategorizeComment(E8692)</f>
        <v>Other</v>
      </c>
      <c r="G8692" t="str" cm="1">
        <f t="array" ref="G8692">SubCategorizeComment(E8692)</f>
        <v>Other</v>
      </c>
    </row>
    <row r="8693" spans="1:7" x14ac:dyDescent="0.25">
      <c r="A8693">
        <v>78542</v>
      </c>
      <c r="B8693" t="s">
        <v>4</v>
      </c>
      <c r="C8693">
        <v>3</v>
      </c>
      <c r="D8693" t="s">
        <v>5</v>
      </c>
      <c r="F8693" t="str" cm="1">
        <f t="array" ref="F8693">CategorizeComment(E8693)</f>
        <v>Other</v>
      </c>
      <c r="G8693" t="str" cm="1">
        <f t="array" ref="G8693">SubCategorizeComment(E8693)</f>
        <v>Other</v>
      </c>
    </row>
    <row r="8694" spans="1:7" x14ac:dyDescent="0.25">
      <c r="A8694">
        <v>78545</v>
      </c>
      <c r="B8694" t="s">
        <v>4</v>
      </c>
      <c r="C8694">
        <v>4</v>
      </c>
      <c r="D8694" t="s">
        <v>5</v>
      </c>
      <c r="F8694" t="str" cm="1">
        <f t="array" ref="F8694">CategorizeComment(E8694)</f>
        <v>Other</v>
      </c>
      <c r="G8694" t="str" cm="1">
        <f t="array" ref="G8694">SubCategorizeComment(E8694)</f>
        <v>Other</v>
      </c>
    </row>
    <row r="8695" spans="1:7" x14ac:dyDescent="0.25">
      <c r="A8695">
        <v>78554</v>
      </c>
      <c r="B8695" t="s">
        <v>4</v>
      </c>
      <c r="C8695">
        <v>4</v>
      </c>
      <c r="D8695" t="s">
        <v>5</v>
      </c>
      <c r="F8695" t="str" cm="1">
        <f t="array" ref="F8695">CategorizeComment(E8695)</f>
        <v>Other</v>
      </c>
      <c r="G8695" t="str" cm="1">
        <f t="array" ref="G8695">SubCategorizeComment(E8695)</f>
        <v>Other</v>
      </c>
    </row>
    <row r="8696" spans="1:7" x14ac:dyDescent="0.25">
      <c r="A8696">
        <v>78555</v>
      </c>
      <c r="B8696" t="s">
        <v>4</v>
      </c>
      <c r="C8696">
        <v>4</v>
      </c>
      <c r="D8696" t="s">
        <v>5</v>
      </c>
      <c r="F8696" t="str" cm="1">
        <f t="array" ref="F8696">CategorizeComment(E8696)</f>
        <v>Other</v>
      </c>
      <c r="G8696" t="str" cm="1">
        <f t="array" ref="G8696">SubCategorizeComment(E8696)</f>
        <v>Other</v>
      </c>
    </row>
    <row r="8697" spans="1:7" x14ac:dyDescent="0.25">
      <c r="A8697">
        <v>78559</v>
      </c>
      <c r="B8697" t="s">
        <v>4</v>
      </c>
      <c r="C8697">
        <v>4</v>
      </c>
      <c r="D8697" t="s">
        <v>5</v>
      </c>
      <c r="F8697" t="str" cm="1">
        <f t="array" ref="F8697">CategorizeComment(E8697)</f>
        <v>Other</v>
      </c>
      <c r="G8697" t="str" cm="1">
        <f t="array" ref="G8697">SubCategorizeComment(E8697)</f>
        <v>Other</v>
      </c>
    </row>
    <row r="8698" spans="1:7" x14ac:dyDescent="0.25">
      <c r="A8698">
        <v>78573</v>
      </c>
      <c r="B8698" t="s">
        <v>4</v>
      </c>
      <c r="C8698">
        <v>4</v>
      </c>
      <c r="D8698" t="s">
        <v>5</v>
      </c>
      <c r="F8698" t="str" cm="1">
        <f t="array" ref="F8698">CategorizeComment(E8698)</f>
        <v>Other</v>
      </c>
      <c r="G8698" t="str" cm="1">
        <f t="array" ref="G8698">SubCategorizeComment(E8698)</f>
        <v>Other</v>
      </c>
    </row>
    <row r="8699" spans="1:7" x14ac:dyDescent="0.25">
      <c r="A8699">
        <v>78574</v>
      </c>
      <c r="B8699" t="s">
        <v>4</v>
      </c>
      <c r="C8699">
        <v>4</v>
      </c>
      <c r="D8699" t="s">
        <v>5</v>
      </c>
      <c r="F8699" t="str" cm="1">
        <f t="array" ref="F8699">CategorizeComment(E8699)</f>
        <v>Other</v>
      </c>
      <c r="G8699" t="str" cm="1">
        <f t="array" ref="G8699">SubCategorizeComment(E8699)</f>
        <v>Other</v>
      </c>
    </row>
    <row r="8700" spans="1:7" x14ac:dyDescent="0.25">
      <c r="A8700">
        <v>78582</v>
      </c>
      <c r="B8700" t="s">
        <v>4</v>
      </c>
      <c r="C8700">
        <v>3</v>
      </c>
      <c r="D8700" t="s">
        <v>5</v>
      </c>
      <c r="F8700" t="str" cm="1">
        <f t="array" ref="F8700">CategorizeComment(E8700)</f>
        <v>Other</v>
      </c>
      <c r="G8700" t="str" cm="1">
        <f t="array" ref="G8700">SubCategorizeComment(E8700)</f>
        <v>Other</v>
      </c>
    </row>
    <row r="8701" spans="1:7" x14ac:dyDescent="0.25">
      <c r="A8701">
        <v>78600</v>
      </c>
      <c r="B8701" t="s">
        <v>4</v>
      </c>
      <c r="C8701">
        <v>4</v>
      </c>
      <c r="D8701" t="s">
        <v>5</v>
      </c>
      <c r="F8701" t="str" cm="1">
        <f t="array" ref="F8701">CategorizeComment(E8701)</f>
        <v>Other</v>
      </c>
      <c r="G8701" t="str" cm="1">
        <f t="array" ref="G8701">SubCategorizeComment(E8701)</f>
        <v>Other</v>
      </c>
    </row>
    <row r="8702" spans="1:7" x14ac:dyDescent="0.25">
      <c r="A8702">
        <v>78647</v>
      </c>
      <c r="B8702" t="s">
        <v>4</v>
      </c>
      <c r="C8702">
        <v>4</v>
      </c>
      <c r="D8702" t="s">
        <v>5</v>
      </c>
      <c r="F8702" t="str" cm="1">
        <f t="array" ref="F8702">CategorizeComment(E8702)</f>
        <v>Other</v>
      </c>
      <c r="G8702" t="str" cm="1">
        <f t="array" ref="G8702">SubCategorizeComment(E8702)</f>
        <v>Other</v>
      </c>
    </row>
    <row r="8703" spans="1:7" x14ac:dyDescent="0.25">
      <c r="A8703">
        <v>78650</v>
      </c>
      <c r="B8703" t="s">
        <v>4</v>
      </c>
      <c r="C8703">
        <v>4</v>
      </c>
      <c r="D8703" t="s">
        <v>5</v>
      </c>
      <c r="F8703" t="str" cm="1">
        <f t="array" ref="F8703">CategorizeComment(E8703)</f>
        <v>Other</v>
      </c>
      <c r="G8703" t="str" cm="1">
        <f t="array" ref="G8703">SubCategorizeComment(E8703)</f>
        <v>Other</v>
      </c>
    </row>
    <row r="8704" spans="1:7" x14ac:dyDescent="0.25">
      <c r="A8704">
        <v>78684</v>
      </c>
      <c r="B8704" t="s">
        <v>4</v>
      </c>
      <c r="C8704">
        <v>4</v>
      </c>
      <c r="D8704" t="s">
        <v>5</v>
      </c>
      <c r="F8704" t="str" cm="1">
        <f t="array" ref="F8704">CategorizeComment(E8704)</f>
        <v>Other</v>
      </c>
      <c r="G8704" t="str" cm="1">
        <f t="array" ref="G8704">SubCategorizeComment(E8704)</f>
        <v>Other</v>
      </c>
    </row>
    <row r="8705" spans="1:7" x14ac:dyDescent="0.25">
      <c r="A8705">
        <v>78707</v>
      </c>
      <c r="B8705" t="s">
        <v>4</v>
      </c>
      <c r="C8705">
        <v>3</v>
      </c>
      <c r="D8705" t="s">
        <v>5</v>
      </c>
      <c r="F8705" t="str" cm="1">
        <f t="array" ref="F8705">CategorizeComment(E8705)</f>
        <v>Other</v>
      </c>
      <c r="G8705" t="str" cm="1">
        <f t="array" ref="G8705">SubCategorizeComment(E8705)</f>
        <v>Other</v>
      </c>
    </row>
    <row r="8706" spans="1:7" x14ac:dyDescent="0.25">
      <c r="A8706">
        <v>78744</v>
      </c>
      <c r="B8706" t="s">
        <v>4</v>
      </c>
      <c r="C8706">
        <v>3</v>
      </c>
      <c r="D8706" t="s">
        <v>5</v>
      </c>
      <c r="F8706" t="str" cm="1">
        <f t="array" ref="F8706">CategorizeComment(E8706)</f>
        <v>Other</v>
      </c>
      <c r="G8706" t="str" cm="1">
        <f t="array" ref="G8706">SubCategorizeComment(E8706)</f>
        <v>Other</v>
      </c>
    </row>
    <row r="8707" spans="1:7" x14ac:dyDescent="0.25">
      <c r="A8707">
        <v>78774</v>
      </c>
      <c r="B8707" t="s">
        <v>4</v>
      </c>
      <c r="C8707">
        <v>3</v>
      </c>
      <c r="D8707" t="s">
        <v>5</v>
      </c>
      <c r="F8707" t="str" cm="1">
        <f t="array" ref="F8707">CategorizeComment(E8707)</f>
        <v>Other</v>
      </c>
      <c r="G8707" t="str" cm="1">
        <f t="array" ref="G8707">SubCategorizeComment(E8707)</f>
        <v>Other</v>
      </c>
    </row>
    <row r="8708" spans="1:7" x14ac:dyDescent="0.25">
      <c r="A8708">
        <v>78779</v>
      </c>
      <c r="B8708" t="s">
        <v>4</v>
      </c>
      <c r="C8708">
        <v>3</v>
      </c>
      <c r="D8708" t="s">
        <v>5</v>
      </c>
      <c r="F8708" t="str" cm="1">
        <f t="array" ref="F8708">CategorizeComment(E8708)</f>
        <v>Other</v>
      </c>
      <c r="G8708" t="str" cm="1">
        <f t="array" ref="G8708">SubCategorizeComment(E8708)</f>
        <v>Other</v>
      </c>
    </row>
    <row r="8709" spans="1:7" x14ac:dyDescent="0.25">
      <c r="A8709">
        <v>78784</v>
      </c>
      <c r="B8709" t="s">
        <v>4</v>
      </c>
      <c r="C8709">
        <v>3</v>
      </c>
      <c r="D8709" t="s">
        <v>5</v>
      </c>
      <c r="F8709" t="str" cm="1">
        <f t="array" ref="F8709">CategorizeComment(E8709)</f>
        <v>Other</v>
      </c>
      <c r="G8709" t="str" cm="1">
        <f t="array" ref="G8709">SubCategorizeComment(E8709)</f>
        <v>Other</v>
      </c>
    </row>
    <row r="8710" spans="1:7" x14ac:dyDescent="0.25">
      <c r="A8710">
        <v>78789</v>
      </c>
      <c r="B8710" t="s">
        <v>4</v>
      </c>
      <c r="C8710">
        <v>4</v>
      </c>
      <c r="D8710" t="s">
        <v>5</v>
      </c>
      <c r="F8710" t="str" cm="1">
        <f t="array" ref="F8710">CategorizeComment(E8710)</f>
        <v>Other</v>
      </c>
      <c r="G8710" t="str" cm="1">
        <f t="array" ref="G8710">SubCategorizeComment(E8710)</f>
        <v>Other</v>
      </c>
    </row>
    <row r="8711" spans="1:7" x14ac:dyDescent="0.25">
      <c r="A8711">
        <v>78799</v>
      </c>
      <c r="B8711" t="s">
        <v>4</v>
      </c>
      <c r="C8711">
        <v>4</v>
      </c>
      <c r="D8711" t="s">
        <v>5</v>
      </c>
      <c r="F8711" t="str" cm="1">
        <f t="array" ref="F8711">CategorizeComment(E8711)</f>
        <v>Other</v>
      </c>
      <c r="G8711" t="str" cm="1">
        <f t="array" ref="G8711">SubCategorizeComment(E8711)</f>
        <v>Other</v>
      </c>
    </row>
    <row r="8712" spans="1:7" x14ac:dyDescent="0.25">
      <c r="A8712">
        <v>78805</v>
      </c>
      <c r="B8712" t="s">
        <v>4</v>
      </c>
      <c r="C8712">
        <v>4</v>
      </c>
      <c r="D8712" t="s">
        <v>5</v>
      </c>
      <c r="F8712" t="str" cm="1">
        <f t="array" ref="F8712">CategorizeComment(E8712)</f>
        <v>Other</v>
      </c>
      <c r="G8712" t="str" cm="1">
        <f t="array" ref="G8712">SubCategorizeComment(E8712)</f>
        <v>Other</v>
      </c>
    </row>
    <row r="8713" spans="1:7" x14ac:dyDescent="0.25">
      <c r="A8713">
        <v>78807</v>
      </c>
      <c r="B8713" t="s">
        <v>4</v>
      </c>
      <c r="C8713">
        <v>3</v>
      </c>
      <c r="D8713" t="s">
        <v>5</v>
      </c>
      <c r="F8713" t="str" cm="1">
        <f t="array" ref="F8713">CategorizeComment(E8713)</f>
        <v>Other</v>
      </c>
      <c r="G8713" t="str" cm="1">
        <f t="array" ref="G8713">SubCategorizeComment(E8713)</f>
        <v>Other</v>
      </c>
    </row>
    <row r="8714" spans="1:7" x14ac:dyDescent="0.25">
      <c r="A8714">
        <v>78838</v>
      </c>
      <c r="B8714" t="s">
        <v>4</v>
      </c>
      <c r="C8714">
        <v>3</v>
      </c>
      <c r="D8714" t="s">
        <v>5</v>
      </c>
      <c r="F8714" t="str" cm="1">
        <f t="array" ref="F8714">CategorizeComment(E8714)</f>
        <v>Other</v>
      </c>
      <c r="G8714" t="str" cm="1">
        <f t="array" ref="G8714">SubCategorizeComment(E8714)</f>
        <v>Other</v>
      </c>
    </row>
    <row r="8715" spans="1:7" x14ac:dyDescent="0.25">
      <c r="A8715">
        <v>78852</v>
      </c>
      <c r="B8715" t="s">
        <v>4</v>
      </c>
      <c r="C8715">
        <v>3</v>
      </c>
      <c r="D8715" t="s">
        <v>5</v>
      </c>
      <c r="F8715" t="str" cm="1">
        <f t="array" ref="F8715">CategorizeComment(E8715)</f>
        <v>Other</v>
      </c>
      <c r="G8715" t="str" cm="1">
        <f t="array" ref="G8715">SubCategorizeComment(E8715)</f>
        <v>Other</v>
      </c>
    </row>
    <row r="8716" spans="1:7" x14ac:dyDescent="0.25">
      <c r="A8716">
        <v>78871</v>
      </c>
      <c r="B8716" t="s">
        <v>4</v>
      </c>
      <c r="C8716">
        <v>3</v>
      </c>
      <c r="D8716" t="s">
        <v>5</v>
      </c>
      <c r="F8716" t="str" cm="1">
        <f t="array" ref="F8716">CategorizeComment(E8716)</f>
        <v>Other</v>
      </c>
      <c r="G8716" t="str" cm="1">
        <f t="array" ref="G8716">SubCategorizeComment(E8716)</f>
        <v>Other</v>
      </c>
    </row>
    <row r="8717" spans="1:7" x14ac:dyDescent="0.25">
      <c r="A8717">
        <v>78874</v>
      </c>
      <c r="B8717" t="s">
        <v>4</v>
      </c>
      <c r="C8717">
        <v>3</v>
      </c>
      <c r="D8717" t="s">
        <v>5</v>
      </c>
      <c r="F8717" t="str" cm="1">
        <f t="array" ref="F8717">CategorizeComment(E8717)</f>
        <v>Other</v>
      </c>
      <c r="G8717" t="str" cm="1">
        <f t="array" ref="G8717">SubCategorizeComment(E8717)</f>
        <v>Other</v>
      </c>
    </row>
    <row r="8718" spans="1:7" x14ac:dyDescent="0.25">
      <c r="A8718">
        <v>78883</v>
      </c>
      <c r="B8718" t="s">
        <v>4</v>
      </c>
      <c r="C8718">
        <v>3</v>
      </c>
      <c r="D8718" t="s">
        <v>5</v>
      </c>
      <c r="F8718" t="str" cm="1">
        <f t="array" ref="F8718">CategorizeComment(E8718)</f>
        <v>Other</v>
      </c>
      <c r="G8718" t="str" cm="1">
        <f t="array" ref="G8718">SubCategorizeComment(E8718)</f>
        <v>Other</v>
      </c>
    </row>
    <row r="8719" spans="1:7" x14ac:dyDescent="0.25">
      <c r="A8719">
        <v>78897</v>
      </c>
      <c r="B8719" t="s">
        <v>4</v>
      </c>
      <c r="C8719">
        <v>4</v>
      </c>
      <c r="D8719" t="s">
        <v>5</v>
      </c>
      <c r="F8719" t="str" cm="1">
        <f t="array" ref="F8719">CategorizeComment(E8719)</f>
        <v>Other</v>
      </c>
      <c r="G8719" t="str" cm="1">
        <f t="array" ref="G8719">SubCategorizeComment(E8719)</f>
        <v>Other</v>
      </c>
    </row>
    <row r="8720" spans="1:7" x14ac:dyDescent="0.25">
      <c r="A8720">
        <v>78907</v>
      </c>
      <c r="B8720" t="s">
        <v>4</v>
      </c>
      <c r="C8720">
        <v>4</v>
      </c>
      <c r="D8720" t="s">
        <v>5</v>
      </c>
      <c r="F8720" t="str" cm="1">
        <f t="array" ref="F8720">CategorizeComment(E8720)</f>
        <v>Other</v>
      </c>
      <c r="G8720" t="str" cm="1">
        <f t="array" ref="G8720">SubCategorizeComment(E8720)</f>
        <v>Other</v>
      </c>
    </row>
    <row r="8721" spans="1:7" x14ac:dyDescent="0.25">
      <c r="A8721">
        <v>78924</v>
      </c>
      <c r="B8721" t="s">
        <v>4</v>
      </c>
      <c r="C8721">
        <v>4</v>
      </c>
      <c r="D8721" t="s">
        <v>5</v>
      </c>
      <c r="F8721" t="str" cm="1">
        <f t="array" ref="F8721">CategorizeComment(E8721)</f>
        <v>Other</v>
      </c>
      <c r="G8721" t="str" cm="1">
        <f t="array" ref="G8721">SubCategorizeComment(E8721)</f>
        <v>Other</v>
      </c>
    </row>
    <row r="8722" spans="1:7" x14ac:dyDescent="0.25">
      <c r="A8722">
        <v>78932</v>
      </c>
      <c r="B8722" t="s">
        <v>4</v>
      </c>
      <c r="C8722">
        <v>3</v>
      </c>
      <c r="D8722" t="s">
        <v>5</v>
      </c>
      <c r="F8722" t="str" cm="1">
        <f t="array" ref="F8722">CategorizeComment(E8722)</f>
        <v>Other</v>
      </c>
      <c r="G8722" t="str" cm="1">
        <f t="array" ref="G8722">SubCategorizeComment(E8722)</f>
        <v>Other</v>
      </c>
    </row>
    <row r="8723" spans="1:7" x14ac:dyDescent="0.25">
      <c r="A8723">
        <v>79008</v>
      </c>
      <c r="B8723" t="s">
        <v>4</v>
      </c>
      <c r="C8723">
        <v>3</v>
      </c>
      <c r="D8723" t="s">
        <v>5</v>
      </c>
      <c r="F8723" t="str" cm="1">
        <f t="array" ref="F8723">CategorizeComment(E8723)</f>
        <v>Other</v>
      </c>
      <c r="G8723" t="str" cm="1">
        <f t="array" ref="G8723">SubCategorizeComment(E8723)</f>
        <v>Other</v>
      </c>
    </row>
    <row r="8724" spans="1:7" x14ac:dyDescent="0.25">
      <c r="A8724">
        <v>79050</v>
      </c>
      <c r="B8724" t="s">
        <v>4</v>
      </c>
      <c r="C8724">
        <v>4</v>
      </c>
      <c r="D8724" t="s">
        <v>5</v>
      </c>
      <c r="F8724" t="str" cm="1">
        <f t="array" ref="F8724">CategorizeComment(E8724)</f>
        <v>Other</v>
      </c>
      <c r="G8724" t="str" cm="1">
        <f t="array" ref="G8724">SubCategorizeComment(E8724)</f>
        <v>Other</v>
      </c>
    </row>
    <row r="8725" spans="1:7" x14ac:dyDescent="0.25">
      <c r="A8725">
        <v>79053</v>
      </c>
      <c r="B8725" t="s">
        <v>4</v>
      </c>
      <c r="C8725">
        <v>4</v>
      </c>
      <c r="D8725" t="s">
        <v>5</v>
      </c>
      <c r="F8725" t="str" cm="1">
        <f t="array" ref="F8725">CategorizeComment(E8725)</f>
        <v>Other</v>
      </c>
      <c r="G8725" t="str" cm="1">
        <f t="array" ref="G8725">SubCategorizeComment(E8725)</f>
        <v>Other</v>
      </c>
    </row>
    <row r="8726" spans="1:7" x14ac:dyDescent="0.25">
      <c r="A8726">
        <v>79056</v>
      </c>
      <c r="B8726" t="s">
        <v>4</v>
      </c>
      <c r="C8726">
        <v>3</v>
      </c>
      <c r="D8726" t="s">
        <v>5</v>
      </c>
      <c r="F8726" t="str" cm="1">
        <f t="array" ref="F8726">CategorizeComment(E8726)</f>
        <v>Other</v>
      </c>
      <c r="G8726" t="str" cm="1">
        <f t="array" ref="G8726">SubCategorizeComment(E8726)</f>
        <v>Other</v>
      </c>
    </row>
    <row r="8727" spans="1:7" x14ac:dyDescent="0.25">
      <c r="A8727">
        <v>79061</v>
      </c>
      <c r="B8727" t="s">
        <v>4</v>
      </c>
      <c r="C8727">
        <v>4</v>
      </c>
      <c r="D8727" t="s">
        <v>5</v>
      </c>
      <c r="F8727" t="str" cm="1">
        <f t="array" ref="F8727">CategorizeComment(E8727)</f>
        <v>Other</v>
      </c>
      <c r="G8727" t="str" cm="1">
        <f t="array" ref="G8727">SubCategorizeComment(E8727)</f>
        <v>Other</v>
      </c>
    </row>
    <row r="8728" spans="1:7" x14ac:dyDescent="0.25">
      <c r="A8728">
        <v>79065</v>
      </c>
      <c r="B8728" t="s">
        <v>4</v>
      </c>
      <c r="C8728">
        <v>3</v>
      </c>
      <c r="D8728" t="s">
        <v>5</v>
      </c>
      <c r="F8728" t="str" cm="1">
        <f t="array" ref="F8728">CategorizeComment(E8728)</f>
        <v>Other</v>
      </c>
      <c r="G8728" t="str" cm="1">
        <f t="array" ref="G8728">SubCategorizeComment(E8728)</f>
        <v>Other</v>
      </c>
    </row>
    <row r="8729" spans="1:7" x14ac:dyDescent="0.25">
      <c r="A8729">
        <v>79066</v>
      </c>
      <c r="B8729" t="s">
        <v>4</v>
      </c>
      <c r="C8729">
        <v>4</v>
      </c>
      <c r="D8729" t="s">
        <v>5</v>
      </c>
      <c r="F8729" t="str" cm="1">
        <f t="array" ref="F8729">CategorizeComment(E8729)</f>
        <v>Other</v>
      </c>
      <c r="G8729" t="str" cm="1">
        <f t="array" ref="G8729">SubCategorizeComment(E8729)</f>
        <v>Other</v>
      </c>
    </row>
    <row r="8730" spans="1:7" x14ac:dyDescent="0.25">
      <c r="A8730">
        <v>79069</v>
      </c>
      <c r="B8730" t="s">
        <v>4</v>
      </c>
      <c r="C8730">
        <v>3</v>
      </c>
      <c r="D8730" t="s">
        <v>5</v>
      </c>
      <c r="F8730" t="str" cm="1">
        <f t="array" ref="F8730">CategorizeComment(E8730)</f>
        <v>Other</v>
      </c>
      <c r="G8730" t="str" cm="1">
        <f t="array" ref="G8730">SubCategorizeComment(E8730)</f>
        <v>Other</v>
      </c>
    </row>
    <row r="8731" spans="1:7" x14ac:dyDescent="0.25">
      <c r="A8731">
        <v>79071</v>
      </c>
      <c r="B8731" t="s">
        <v>4</v>
      </c>
      <c r="C8731">
        <v>4</v>
      </c>
      <c r="D8731" t="s">
        <v>5</v>
      </c>
      <c r="F8731" t="str" cm="1">
        <f t="array" ref="F8731">CategorizeComment(E8731)</f>
        <v>Other</v>
      </c>
      <c r="G8731" t="str" cm="1">
        <f t="array" ref="G8731">SubCategorizeComment(E8731)</f>
        <v>Other</v>
      </c>
    </row>
    <row r="8732" spans="1:7" x14ac:dyDescent="0.25">
      <c r="A8732">
        <v>79074</v>
      </c>
      <c r="B8732" t="s">
        <v>4</v>
      </c>
      <c r="C8732">
        <v>3</v>
      </c>
      <c r="D8732" t="s">
        <v>5</v>
      </c>
      <c r="F8732" t="str" cm="1">
        <f t="array" ref="F8732">CategorizeComment(E8732)</f>
        <v>Other</v>
      </c>
      <c r="G8732" t="str" cm="1">
        <f t="array" ref="G8732">SubCategorizeComment(E8732)</f>
        <v>Other</v>
      </c>
    </row>
    <row r="8733" spans="1:7" x14ac:dyDescent="0.25">
      <c r="A8733">
        <v>79085</v>
      </c>
      <c r="B8733" t="s">
        <v>4</v>
      </c>
      <c r="C8733">
        <v>4</v>
      </c>
      <c r="D8733" t="s">
        <v>5</v>
      </c>
      <c r="F8733" t="str" cm="1">
        <f t="array" ref="F8733">CategorizeComment(E8733)</f>
        <v>Other</v>
      </c>
      <c r="G8733" t="str" cm="1">
        <f t="array" ref="G8733">SubCategorizeComment(E8733)</f>
        <v>Other</v>
      </c>
    </row>
    <row r="8734" spans="1:7" x14ac:dyDescent="0.25">
      <c r="A8734">
        <v>79086</v>
      </c>
      <c r="B8734" t="s">
        <v>4</v>
      </c>
      <c r="C8734">
        <v>3</v>
      </c>
      <c r="D8734" t="s">
        <v>5</v>
      </c>
      <c r="F8734" t="str" cm="1">
        <f t="array" ref="F8734">CategorizeComment(E8734)</f>
        <v>Other</v>
      </c>
      <c r="G8734" t="str" cm="1">
        <f t="array" ref="G8734">SubCategorizeComment(E8734)</f>
        <v>Other</v>
      </c>
    </row>
    <row r="8735" spans="1:7" x14ac:dyDescent="0.25">
      <c r="A8735">
        <v>79099</v>
      </c>
      <c r="B8735" t="s">
        <v>4</v>
      </c>
      <c r="C8735">
        <v>4</v>
      </c>
      <c r="D8735" t="s">
        <v>5</v>
      </c>
      <c r="F8735" t="str" cm="1">
        <f t="array" ref="F8735">CategorizeComment(E8735)</f>
        <v>Other</v>
      </c>
      <c r="G8735" t="str" cm="1">
        <f t="array" ref="G8735">SubCategorizeComment(E8735)</f>
        <v>Other</v>
      </c>
    </row>
    <row r="8736" spans="1:7" x14ac:dyDescent="0.25">
      <c r="A8736">
        <v>79110</v>
      </c>
      <c r="B8736" t="s">
        <v>4</v>
      </c>
      <c r="C8736">
        <v>4</v>
      </c>
      <c r="D8736" t="s">
        <v>5</v>
      </c>
      <c r="F8736" t="str" cm="1">
        <f t="array" ref="F8736">CategorizeComment(E8736)</f>
        <v>Other</v>
      </c>
      <c r="G8736" t="str" cm="1">
        <f t="array" ref="G8736">SubCategorizeComment(E8736)</f>
        <v>Other</v>
      </c>
    </row>
    <row r="8737" spans="1:7" x14ac:dyDescent="0.25">
      <c r="A8737">
        <v>79120</v>
      </c>
      <c r="B8737" t="s">
        <v>4</v>
      </c>
      <c r="C8737">
        <v>3</v>
      </c>
      <c r="D8737" t="s">
        <v>5</v>
      </c>
      <c r="F8737" t="str" cm="1">
        <f t="array" ref="F8737">CategorizeComment(E8737)</f>
        <v>Other</v>
      </c>
      <c r="G8737" t="str" cm="1">
        <f t="array" ref="G8737">SubCategorizeComment(E8737)</f>
        <v>Other</v>
      </c>
    </row>
    <row r="8738" spans="1:7" x14ac:dyDescent="0.25">
      <c r="A8738">
        <v>79129</v>
      </c>
      <c r="B8738" t="s">
        <v>4</v>
      </c>
      <c r="C8738">
        <v>3</v>
      </c>
      <c r="D8738" t="s">
        <v>5</v>
      </c>
      <c r="F8738" t="str" cm="1">
        <f t="array" ref="F8738">CategorizeComment(E8738)</f>
        <v>Other</v>
      </c>
      <c r="G8738" t="str" cm="1">
        <f t="array" ref="G8738">SubCategorizeComment(E8738)</f>
        <v>Other</v>
      </c>
    </row>
    <row r="8739" spans="1:7" x14ac:dyDescent="0.25">
      <c r="A8739">
        <v>79141</v>
      </c>
      <c r="B8739" t="s">
        <v>4</v>
      </c>
      <c r="C8739">
        <v>3</v>
      </c>
      <c r="D8739" t="s">
        <v>5</v>
      </c>
      <c r="F8739" t="str" cm="1">
        <f t="array" ref="F8739">CategorizeComment(E8739)</f>
        <v>Other</v>
      </c>
      <c r="G8739" t="str" cm="1">
        <f t="array" ref="G8739">SubCategorizeComment(E8739)</f>
        <v>Other</v>
      </c>
    </row>
    <row r="8740" spans="1:7" x14ac:dyDescent="0.25">
      <c r="A8740">
        <v>79144</v>
      </c>
      <c r="B8740" t="s">
        <v>4</v>
      </c>
      <c r="C8740">
        <v>4</v>
      </c>
      <c r="D8740" t="s">
        <v>5</v>
      </c>
      <c r="F8740" t="str" cm="1">
        <f t="array" ref="F8740">CategorizeComment(E8740)</f>
        <v>Other</v>
      </c>
      <c r="G8740" t="str" cm="1">
        <f t="array" ref="G8740">SubCategorizeComment(E8740)</f>
        <v>Other</v>
      </c>
    </row>
    <row r="8741" spans="1:7" x14ac:dyDescent="0.25">
      <c r="A8741">
        <v>79145</v>
      </c>
      <c r="B8741" t="s">
        <v>4</v>
      </c>
      <c r="C8741">
        <v>3</v>
      </c>
      <c r="D8741" t="s">
        <v>5</v>
      </c>
      <c r="F8741" t="str" cm="1">
        <f t="array" ref="F8741">CategorizeComment(E8741)</f>
        <v>Other</v>
      </c>
      <c r="G8741" t="str" cm="1">
        <f t="array" ref="G8741">SubCategorizeComment(E8741)</f>
        <v>Other</v>
      </c>
    </row>
    <row r="8742" spans="1:7" x14ac:dyDescent="0.25">
      <c r="A8742">
        <v>79157</v>
      </c>
      <c r="B8742" t="s">
        <v>4</v>
      </c>
      <c r="C8742">
        <v>3</v>
      </c>
      <c r="D8742" t="s">
        <v>5</v>
      </c>
      <c r="F8742" t="str" cm="1">
        <f t="array" ref="F8742">CategorizeComment(E8742)</f>
        <v>Other</v>
      </c>
      <c r="G8742" t="str" cm="1">
        <f t="array" ref="G8742">SubCategorizeComment(E8742)</f>
        <v>Other</v>
      </c>
    </row>
    <row r="8743" spans="1:7" x14ac:dyDescent="0.25">
      <c r="A8743">
        <v>79170</v>
      </c>
      <c r="B8743" t="s">
        <v>4</v>
      </c>
      <c r="C8743">
        <v>4</v>
      </c>
      <c r="D8743" t="s">
        <v>5</v>
      </c>
      <c r="F8743" t="str" cm="1">
        <f t="array" ref="F8743">CategorizeComment(E8743)</f>
        <v>Other</v>
      </c>
      <c r="G8743" t="str" cm="1">
        <f t="array" ref="G8743">SubCategorizeComment(E8743)</f>
        <v>Other</v>
      </c>
    </row>
    <row r="8744" spans="1:7" x14ac:dyDescent="0.25">
      <c r="A8744">
        <v>79213</v>
      </c>
      <c r="B8744" t="s">
        <v>4</v>
      </c>
      <c r="C8744">
        <v>3</v>
      </c>
      <c r="D8744" t="s">
        <v>5</v>
      </c>
      <c r="F8744" t="str" cm="1">
        <f t="array" ref="F8744">CategorizeComment(E8744)</f>
        <v>Other</v>
      </c>
      <c r="G8744" t="str" cm="1">
        <f t="array" ref="G8744">SubCategorizeComment(E8744)</f>
        <v>Other</v>
      </c>
    </row>
    <row r="8745" spans="1:7" x14ac:dyDescent="0.25">
      <c r="A8745">
        <v>79216</v>
      </c>
      <c r="B8745" t="s">
        <v>4</v>
      </c>
      <c r="C8745">
        <v>4</v>
      </c>
      <c r="D8745" t="s">
        <v>5</v>
      </c>
      <c r="F8745" t="str" cm="1">
        <f t="array" ref="F8745">CategorizeComment(E8745)</f>
        <v>Other</v>
      </c>
      <c r="G8745" t="str" cm="1">
        <f t="array" ref="G8745">SubCategorizeComment(E8745)</f>
        <v>Other</v>
      </c>
    </row>
    <row r="8746" spans="1:7" x14ac:dyDescent="0.25">
      <c r="A8746">
        <v>79217</v>
      </c>
      <c r="B8746" t="s">
        <v>4</v>
      </c>
      <c r="C8746">
        <v>4</v>
      </c>
      <c r="D8746" t="s">
        <v>5</v>
      </c>
      <c r="F8746" t="str" cm="1">
        <f t="array" ref="F8746">CategorizeComment(E8746)</f>
        <v>Other</v>
      </c>
      <c r="G8746" t="str" cm="1">
        <f t="array" ref="G8746">SubCategorizeComment(E8746)</f>
        <v>Other</v>
      </c>
    </row>
    <row r="8747" spans="1:7" x14ac:dyDescent="0.25">
      <c r="A8747">
        <v>79225</v>
      </c>
      <c r="B8747" t="s">
        <v>4</v>
      </c>
      <c r="C8747">
        <v>3</v>
      </c>
      <c r="D8747" t="s">
        <v>5</v>
      </c>
      <c r="F8747" t="str" cm="1">
        <f t="array" ref="F8747">CategorizeComment(E8747)</f>
        <v>Other</v>
      </c>
      <c r="G8747" t="str" cm="1">
        <f t="array" ref="G8747">SubCategorizeComment(E8747)</f>
        <v>Other</v>
      </c>
    </row>
    <row r="8748" spans="1:7" x14ac:dyDescent="0.25">
      <c r="A8748">
        <v>79253</v>
      </c>
      <c r="B8748" t="s">
        <v>4</v>
      </c>
      <c r="C8748">
        <v>3</v>
      </c>
      <c r="D8748" t="s">
        <v>5</v>
      </c>
      <c r="F8748" t="str" cm="1">
        <f t="array" ref="F8748">CategorizeComment(E8748)</f>
        <v>Other</v>
      </c>
      <c r="G8748" t="str" cm="1">
        <f t="array" ref="G8748">SubCategorizeComment(E8748)</f>
        <v>Other</v>
      </c>
    </row>
    <row r="8749" spans="1:7" x14ac:dyDescent="0.25">
      <c r="A8749">
        <v>79254</v>
      </c>
      <c r="B8749" t="s">
        <v>4</v>
      </c>
      <c r="C8749">
        <v>4</v>
      </c>
      <c r="D8749" t="s">
        <v>5</v>
      </c>
      <c r="F8749" t="str" cm="1">
        <f t="array" ref="F8749">CategorizeComment(E8749)</f>
        <v>Other</v>
      </c>
      <c r="G8749" t="str" cm="1">
        <f t="array" ref="G8749">SubCategorizeComment(E8749)</f>
        <v>Other</v>
      </c>
    </row>
    <row r="8750" spans="1:7" x14ac:dyDescent="0.25">
      <c r="A8750">
        <v>79255</v>
      </c>
      <c r="B8750" t="s">
        <v>4</v>
      </c>
      <c r="C8750">
        <v>4</v>
      </c>
      <c r="D8750" t="s">
        <v>5</v>
      </c>
      <c r="F8750" t="str" cm="1">
        <f t="array" ref="F8750">CategorizeComment(E8750)</f>
        <v>Other</v>
      </c>
      <c r="G8750" t="str" cm="1">
        <f t="array" ref="G8750">SubCategorizeComment(E8750)</f>
        <v>Other</v>
      </c>
    </row>
    <row r="8751" spans="1:7" x14ac:dyDescent="0.25">
      <c r="A8751">
        <v>79267</v>
      </c>
      <c r="B8751" t="s">
        <v>4</v>
      </c>
      <c r="C8751">
        <v>3</v>
      </c>
      <c r="D8751" t="s">
        <v>5</v>
      </c>
      <c r="F8751" t="str" cm="1">
        <f t="array" ref="F8751">CategorizeComment(E8751)</f>
        <v>Other</v>
      </c>
      <c r="G8751" t="str" cm="1">
        <f t="array" ref="G8751">SubCategorizeComment(E8751)</f>
        <v>Other</v>
      </c>
    </row>
    <row r="8752" spans="1:7" x14ac:dyDescent="0.25">
      <c r="A8752">
        <v>79300</v>
      </c>
      <c r="B8752" t="s">
        <v>4</v>
      </c>
      <c r="C8752">
        <v>4</v>
      </c>
      <c r="D8752" t="s">
        <v>5</v>
      </c>
      <c r="F8752" t="str" cm="1">
        <f t="array" ref="F8752">CategorizeComment(E8752)</f>
        <v>Other</v>
      </c>
      <c r="G8752" t="str" cm="1">
        <f t="array" ref="G8752">SubCategorizeComment(E8752)</f>
        <v>Other</v>
      </c>
    </row>
    <row r="8753" spans="1:7" x14ac:dyDescent="0.25">
      <c r="A8753">
        <v>79304</v>
      </c>
      <c r="B8753" t="s">
        <v>4</v>
      </c>
      <c r="C8753">
        <v>4</v>
      </c>
      <c r="D8753" t="s">
        <v>5</v>
      </c>
      <c r="F8753" t="str" cm="1">
        <f t="array" ref="F8753">CategorizeComment(E8753)</f>
        <v>Other</v>
      </c>
      <c r="G8753" t="str" cm="1">
        <f t="array" ref="G8753">SubCategorizeComment(E8753)</f>
        <v>Other</v>
      </c>
    </row>
    <row r="8754" spans="1:7" x14ac:dyDescent="0.25">
      <c r="A8754">
        <v>79305</v>
      </c>
      <c r="B8754" t="s">
        <v>4</v>
      </c>
      <c r="C8754">
        <v>3</v>
      </c>
      <c r="D8754" t="s">
        <v>5</v>
      </c>
      <c r="F8754" t="str" cm="1">
        <f t="array" ref="F8754">CategorizeComment(E8754)</f>
        <v>Other</v>
      </c>
      <c r="G8754" t="str" cm="1">
        <f t="array" ref="G8754">SubCategorizeComment(E8754)</f>
        <v>Other</v>
      </c>
    </row>
    <row r="8755" spans="1:7" x14ac:dyDescent="0.25">
      <c r="A8755">
        <v>79309</v>
      </c>
      <c r="B8755" t="s">
        <v>4</v>
      </c>
      <c r="C8755">
        <v>4</v>
      </c>
      <c r="D8755" t="s">
        <v>5</v>
      </c>
      <c r="F8755" t="str" cm="1">
        <f t="array" ref="F8755">CategorizeComment(E8755)</f>
        <v>Other</v>
      </c>
      <c r="G8755" t="str" cm="1">
        <f t="array" ref="G8755">SubCategorizeComment(E8755)</f>
        <v>Other</v>
      </c>
    </row>
    <row r="8756" spans="1:7" x14ac:dyDescent="0.25">
      <c r="A8756">
        <v>79318</v>
      </c>
      <c r="B8756" t="s">
        <v>4</v>
      </c>
      <c r="C8756">
        <v>3</v>
      </c>
      <c r="D8756" t="s">
        <v>5</v>
      </c>
      <c r="F8756" t="str" cm="1">
        <f t="array" ref="F8756">CategorizeComment(E8756)</f>
        <v>Other</v>
      </c>
      <c r="G8756" t="str" cm="1">
        <f t="array" ref="G8756">SubCategorizeComment(E8756)</f>
        <v>Other</v>
      </c>
    </row>
    <row r="8757" spans="1:7" x14ac:dyDescent="0.25">
      <c r="A8757">
        <v>79332</v>
      </c>
      <c r="B8757" t="s">
        <v>4</v>
      </c>
      <c r="C8757">
        <v>3</v>
      </c>
      <c r="D8757" t="s">
        <v>5</v>
      </c>
      <c r="F8757" t="str" cm="1">
        <f t="array" ref="F8757">CategorizeComment(E8757)</f>
        <v>Other</v>
      </c>
      <c r="G8757" t="str" cm="1">
        <f t="array" ref="G8757">SubCategorizeComment(E8757)</f>
        <v>Other</v>
      </c>
    </row>
    <row r="8758" spans="1:7" x14ac:dyDescent="0.25">
      <c r="A8758">
        <v>79350</v>
      </c>
      <c r="B8758" t="s">
        <v>4</v>
      </c>
      <c r="C8758">
        <v>3</v>
      </c>
      <c r="D8758" t="s">
        <v>5</v>
      </c>
      <c r="F8758" t="str" cm="1">
        <f t="array" ref="F8758">CategorizeComment(E8758)</f>
        <v>Other</v>
      </c>
      <c r="G8758" t="str" cm="1">
        <f t="array" ref="G8758">SubCategorizeComment(E8758)</f>
        <v>Other</v>
      </c>
    </row>
    <row r="8759" spans="1:7" x14ac:dyDescent="0.25">
      <c r="A8759">
        <v>79358</v>
      </c>
      <c r="B8759" t="s">
        <v>4</v>
      </c>
      <c r="C8759">
        <v>4</v>
      </c>
      <c r="D8759" t="s">
        <v>5</v>
      </c>
      <c r="F8759" t="str" cm="1">
        <f t="array" ref="F8759">CategorizeComment(E8759)</f>
        <v>Other</v>
      </c>
      <c r="G8759" t="str" cm="1">
        <f t="array" ref="G8759">SubCategorizeComment(E8759)</f>
        <v>Other</v>
      </c>
    </row>
    <row r="8760" spans="1:7" x14ac:dyDescent="0.25">
      <c r="A8760">
        <v>79393</v>
      </c>
      <c r="B8760" t="s">
        <v>4</v>
      </c>
      <c r="C8760">
        <v>4</v>
      </c>
      <c r="D8760" t="s">
        <v>5</v>
      </c>
      <c r="F8760" t="str" cm="1">
        <f t="array" ref="F8760">CategorizeComment(E8760)</f>
        <v>Other</v>
      </c>
      <c r="G8760" t="str" cm="1">
        <f t="array" ref="G8760">SubCategorizeComment(E8760)</f>
        <v>Other</v>
      </c>
    </row>
    <row r="8761" spans="1:7" x14ac:dyDescent="0.25">
      <c r="A8761">
        <v>79394</v>
      </c>
      <c r="B8761" t="s">
        <v>4</v>
      </c>
      <c r="C8761">
        <v>4</v>
      </c>
      <c r="D8761" t="s">
        <v>5</v>
      </c>
      <c r="F8761" t="str" cm="1">
        <f t="array" ref="F8761">CategorizeComment(E8761)</f>
        <v>Other</v>
      </c>
      <c r="G8761" t="str" cm="1">
        <f t="array" ref="G8761">SubCategorizeComment(E8761)</f>
        <v>Other</v>
      </c>
    </row>
    <row r="8762" spans="1:7" x14ac:dyDescent="0.25">
      <c r="A8762">
        <v>79401</v>
      </c>
      <c r="B8762" t="s">
        <v>4</v>
      </c>
      <c r="C8762">
        <v>4</v>
      </c>
      <c r="D8762" t="s">
        <v>5</v>
      </c>
      <c r="F8762" t="str" cm="1">
        <f t="array" ref="F8762">CategorizeComment(E8762)</f>
        <v>Other</v>
      </c>
      <c r="G8762" t="str" cm="1">
        <f t="array" ref="G8762">SubCategorizeComment(E8762)</f>
        <v>Other</v>
      </c>
    </row>
    <row r="8763" spans="1:7" x14ac:dyDescent="0.25">
      <c r="A8763">
        <v>79406</v>
      </c>
      <c r="B8763" t="s">
        <v>4</v>
      </c>
      <c r="C8763">
        <v>4</v>
      </c>
      <c r="D8763" t="s">
        <v>5</v>
      </c>
      <c r="F8763" t="str" cm="1">
        <f t="array" ref="F8763">CategorizeComment(E8763)</f>
        <v>Other</v>
      </c>
      <c r="G8763" t="str" cm="1">
        <f t="array" ref="G8763">SubCategorizeComment(E8763)</f>
        <v>Other</v>
      </c>
    </row>
    <row r="8764" spans="1:7" x14ac:dyDescent="0.25">
      <c r="A8764">
        <v>79409</v>
      </c>
      <c r="B8764" t="s">
        <v>4</v>
      </c>
      <c r="C8764">
        <v>4</v>
      </c>
      <c r="D8764" t="s">
        <v>5</v>
      </c>
      <c r="F8764" t="str" cm="1">
        <f t="array" ref="F8764">CategorizeComment(E8764)</f>
        <v>Other</v>
      </c>
      <c r="G8764" t="str" cm="1">
        <f t="array" ref="G8764">SubCategorizeComment(E8764)</f>
        <v>Other</v>
      </c>
    </row>
    <row r="8765" spans="1:7" x14ac:dyDescent="0.25">
      <c r="A8765">
        <v>79428</v>
      </c>
      <c r="B8765" t="s">
        <v>4</v>
      </c>
      <c r="C8765">
        <v>4</v>
      </c>
      <c r="D8765" t="s">
        <v>5</v>
      </c>
      <c r="F8765" t="str" cm="1">
        <f t="array" ref="F8765">CategorizeComment(E8765)</f>
        <v>Other</v>
      </c>
      <c r="G8765" t="str" cm="1">
        <f t="array" ref="G8765">SubCategorizeComment(E8765)</f>
        <v>Other</v>
      </c>
    </row>
    <row r="8766" spans="1:7" x14ac:dyDescent="0.25">
      <c r="A8766">
        <v>79430</v>
      </c>
      <c r="B8766" t="s">
        <v>4</v>
      </c>
      <c r="C8766">
        <v>3</v>
      </c>
      <c r="D8766" t="s">
        <v>5</v>
      </c>
      <c r="F8766" t="str" cm="1">
        <f t="array" ref="F8766">CategorizeComment(E8766)</f>
        <v>Other</v>
      </c>
      <c r="G8766" t="str" cm="1">
        <f t="array" ref="G8766">SubCategorizeComment(E8766)</f>
        <v>Other</v>
      </c>
    </row>
    <row r="8767" spans="1:7" x14ac:dyDescent="0.25">
      <c r="A8767">
        <v>79439</v>
      </c>
      <c r="B8767" t="s">
        <v>4</v>
      </c>
      <c r="C8767">
        <v>3</v>
      </c>
      <c r="D8767" t="s">
        <v>5</v>
      </c>
      <c r="F8767" t="str" cm="1">
        <f t="array" ref="F8767">CategorizeComment(E8767)</f>
        <v>Other</v>
      </c>
      <c r="G8767" t="str" cm="1">
        <f t="array" ref="G8767">SubCategorizeComment(E8767)</f>
        <v>Other</v>
      </c>
    </row>
    <row r="8768" spans="1:7" x14ac:dyDescent="0.25">
      <c r="A8768">
        <v>79461</v>
      </c>
      <c r="B8768" t="s">
        <v>4</v>
      </c>
      <c r="C8768">
        <v>3</v>
      </c>
      <c r="D8768" t="s">
        <v>5</v>
      </c>
      <c r="F8768" t="str" cm="1">
        <f t="array" ref="F8768">CategorizeComment(E8768)</f>
        <v>Other</v>
      </c>
      <c r="G8768" t="str" cm="1">
        <f t="array" ref="G8768">SubCategorizeComment(E8768)</f>
        <v>Other</v>
      </c>
    </row>
    <row r="8769" spans="1:7" x14ac:dyDescent="0.25">
      <c r="A8769">
        <v>79482</v>
      </c>
      <c r="B8769" t="s">
        <v>4</v>
      </c>
      <c r="C8769">
        <v>3</v>
      </c>
      <c r="D8769" t="s">
        <v>5</v>
      </c>
      <c r="F8769" t="str" cm="1">
        <f t="array" ref="F8769">CategorizeComment(E8769)</f>
        <v>Other</v>
      </c>
      <c r="G8769" t="str" cm="1">
        <f t="array" ref="G8769">SubCategorizeComment(E8769)</f>
        <v>Other</v>
      </c>
    </row>
    <row r="8770" spans="1:7" x14ac:dyDescent="0.25">
      <c r="A8770">
        <v>79485</v>
      </c>
      <c r="B8770" t="s">
        <v>4</v>
      </c>
      <c r="C8770">
        <v>3</v>
      </c>
      <c r="D8770" t="s">
        <v>5</v>
      </c>
      <c r="F8770" t="str" cm="1">
        <f t="array" ref="F8770">CategorizeComment(E8770)</f>
        <v>Other</v>
      </c>
      <c r="G8770" t="str" cm="1">
        <f t="array" ref="G8770">SubCategorizeComment(E8770)</f>
        <v>Other</v>
      </c>
    </row>
    <row r="8771" spans="1:7" x14ac:dyDescent="0.25">
      <c r="A8771">
        <v>79509</v>
      </c>
      <c r="B8771" t="s">
        <v>4</v>
      </c>
      <c r="C8771">
        <v>3</v>
      </c>
      <c r="D8771" t="s">
        <v>5</v>
      </c>
      <c r="F8771" t="str" cm="1">
        <f t="array" ref="F8771">CategorizeComment(E8771)</f>
        <v>Other</v>
      </c>
      <c r="G8771" t="str" cm="1">
        <f t="array" ref="G8771">SubCategorizeComment(E8771)</f>
        <v>Other</v>
      </c>
    </row>
    <row r="8772" spans="1:7" x14ac:dyDescent="0.25">
      <c r="A8772">
        <v>79530</v>
      </c>
      <c r="B8772" t="s">
        <v>4</v>
      </c>
      <c r="C8772">
        <v>4</v>
      </c>
      <c r="D8772" t="s">
        <v>5</v>
      </c>
      <c r="F8772" t="str" cm="1">
        <f t="array" ref="F8772">CategorizeComment(E8772)</f>
        <v>Other</v>
      </c>
      <c r="G8772" t="str" cm="1">
        <f t="array" ref="G8772">SubCategorizeComment(E8772)</f>
        <v>Other</v>
      </c>
    </row>
    <row r="8773" spans="1:7" x14ac:dyDescent="0.25">
      <c r="A8773">
        <v>79572</v>
      </c>
      <c r="B8773" t="s">
        <v>4</v>
      </c>
      <c r="C8773">
        <v>3</v>
      </c>
      <c r="D8773" t="s">
        <v>5</v>
      </c>
      <c r="F8773" t="str" cm="1">
        <f t="array" ref="F8773">CategorizeComment(E8773)</f>
        <v>Other</v>
      </c>
      <c r="G8773" t="str" cm="1">
        <f t="array" ref="G8773">SubCategorizeComment(E8773)</f>
        <v>Other</v>
      </c>
    </row>
    <row r="8774" spans="1:7" x14ac:dyDescent="0.25">
      <c r="A8774">
        <v>79622</v>
      </c>
      <c r="B8774" t="s">
        <v>4</v>
      </c>
      <c r="C8774">
        <v>3</v>
      </c>
      <c r="D8774" t="s">
        <v>5</v>
      </c>
      <c r="F8774" t="str" cm="1">
        <f t="array" ref="F8774">CategorizeComment(E8774)</f>
        <v>Other</v>
      </c>
      <c r="G8774" t="str" cm="1">
        <f t="array" ref="G8774">SubCategorizeComment(E8774)</f>
        <v>Other</v>
      </c>
    </row>
    <row r="8775" spans="1:7" x14ac:dyDescent="0.25">
      <c r="A8775">
        <v>79627</v>
      </c>
      <c r="B8775" t="s">
        <v>4</v>
      </c>
      <c r="C8775">
        <v>3</v>
      </c>
      <c r="D8775" t="s">
        <v>5</v>
      </c>
      <c r="F8775" t="str" cm="1">
        <f t="array" ref="F8775">CategorizeComment(E8775)</f>
        <v>Other</v>
      </c>
      <c r="G8775" t="str" cm="1">
        <f t="array" ref="G8775">SubCategorizeComment(E8775)</f>
        <v>Other</v>
      </c>
    </row>
    <row r="8776" spans="1:7" x14ac:dyDescent="0.25">
      <c r="A8776">
        <v>79634</v>
      </c>
      <c r="B8776" t="s">
        <v>4</v>
      </c>
      <c r="C8776">
        <v>4</v>
      </c>
      <c r="D8776" t="s">
        <v>5</v>
      </c>
      <c r="F8776" t="str" cm="1">
        <f t="array" ref="F8776">CategorizeComment(E8776)</f>
        <v>Other</v>
      </c>
      <c r="G8776" t="str" cm="1">
        <f t="array" ref="G8776">SubCategorizeComment(E8776)</f>
        <v>Other</v>
      </c>
    </row>
    <row r="8777" spans="1:7" x14ac:dyDescent="0.25">
      <c r="A8777">
        <v>79639</v>
      </c>
      <c r="B8777" t="s">
        <v>4</v>
      </c>
      <c r="C8777">
        <v>3</v>
      </c>
      <c r="D8777" t="s">
        <v>5</v>
      </c>
      <c r="F8777" t="str" cm="1">
        <f t="array" ref="F8777">CategorizeComment(E8777)</f>
        <v>Other</v>
      </c>
      <c r="G8777" t="str" cm="1">
        <f t="array" ref="G8777">SubCategorizeComment(E8777)</f>
        <v>Other</v>
      </c>
    </row>
    <row r="8778" spans="1:7" x14ac:dyDescent="0.25">
      <c r="A8778">
        <v>79645</v>
      </c>
      <c r="B8778" t="s">
        <v>4</v>
      </c>
      <c r="C8778">
        <v>4</v>
      </c>
      <c r="D8778" t="s">
        <v>5</v>
      </c>
      <c r="F8778" t="str" cm="1">
        <f t="array" ref="F8778">CategorizeComment(E8778)</f>
        <v>Other</v>
      </c>
      <c r="G8778" t="str" cm="1">
        <f t="array" ref="G8778">SubCategorizeComment(E8778)</f>
        <v>Other</v>
      </c>
    </row>
    <row r="8779" spans="1:7" x14ac:dyDescent="0.25">
      <c r="A8779">
        <v>79653</v>
      </c>
      <c r="B8779" t="s">
        <v>4</v>
      </c>
      <c r="C8779">
        <v>4</v>
      </c>
      <c r="D8779" t="s">
        <v>5</v>
      </c>
      <c r="F8779" t="str" cm="1">
        <f t="array" ref="F8779">CategorizeComment(E8779)</f>
        <v>Other</v>
      </c>
      <c r="G8779" t="str" cm="1">
        <f t="array" ref="G8779">SubCategorizeComment(E8779)</f>
        <v>Other</v>
      </c>
    </row>
    <row r="8780" spans="1:7" x14ac:dyDescent="0.25">
      <c r="A8780">
        <v>79656</v>
      </c>
      <c r="B8780" t="s">
        <v>4</v>
      </c>
      <c r="C8780">
        <v>4</v>
      </c>
      <c r="D8780" t="s">
        <v>5</v>
      </c>
      <c r="F8780" t="str" cm="1">
        <f t="array" ref="F8780">CategorizeComment(E8780)</f>
        <v>Other</v>
      </c>
      <c r="G8780" t="str" cm="1">
        <f t="array" ref="G8780">SubCategorizeComment(E8780)</f>
        <v>Other</v>
      </c>
    </row>
    <row r="8781" spans="1:7" x14ac:dyDescent="0.25">
      <c r="A8781">
        <v>79668</v>
      </c>
      <c r="B8781" t="s">
        <v>4</v>
      </c>
      <c r="C8781">
        <v>3</v>
      </c>
      <c r="D8781" t="s">
        <v>5</v>
      </c>
      <c r="F8781" t="str" cm="1">
        <f t="array" ref="F8781">CategorizeComment(E8781)</f>
        <v>Other</v>
      </c>
      <c r="G8781" t="str" cm="1">
        <f t="array" ref="G8781">SubCategorizeComment(E8781)</f>
        <v>Other</v>
      </c>
    </row>
    <row r="8782" spans="1:7" x14ac:dyDescent="0.25">
      <c r="A8782">
        <v>79670</v>
      </c>
      <c r="B8782" t="s">
        <v>4</v>
      </c>
      <c r="C8782">
        <v>3</v>
      </c>
      <c r="D8782" t="s">
        <v>5</v>
      </c>
      <c r="F8782" t="str" cm="1">
        <f t="array" ref="F8782">CategorizeComment(E8782)</f>
        <v>Other</v>
      </c>
      <c r="G8782" t="str" cm="1">
        <f t="array" ref="G8782">SubCategorizeComment(E8782)</f>
        <v>Other</v>
      </c>
    </row>
    <row r="8783" spans="1:7" x14ac:dyDescent="0.25">
      <c r="A8783">
        <v>79673</v>
      </c>
      <c r="B8783" t="s">
        <v>4</v>
      </c>
      <c r="C8783">
        <v>3</v>
      </c>
      <c r="D8783" t="s">
        <v>5</v>
      </c>
      <c r="F8783" t="str" cm="1">
        <f t="array" ref="F8783">CategorizeComment(E8783)</f>
        <v>Other</v>
      </c>
      <c r="G8783" t="str" cm="1">
        <f t="array" ref="G8783">SubCategorizeComment(E8783)</f>
        <v>Other</v>
      </c>
    </row>
    <row r="8784" spans="1:7" x14ac:dyDescent="0.25">
      <c r="A8784">
        <v>79690</v>
      </c>
      <c r="B8784" t="s">
        <v>4</v>
      </c>
      <c r="C8784">
        <v>3</v>
      </c>
      <c r="D8784" t="s">
        <v>5</v>
      </c>
      <c r="F8784" t="str" cm="1">
        <f t="array" ref="F8784">CategorizeComment(E8784)</f>
        <v>Other</v>
      </c>
      <c r="G8784" t="str" cm="1">
        <f t="array" ref="G8784">SubCategorizeComment(E8784)</f>
        <v>Other</v>
      </c>
    </row>
    <row r="8785" spans="1:7" x14ac:dyDescent="0.25">
      <c r="A8785">
        <v>79693</v>
      </c>
      <c r="B8785" t="s">
        <v>4</v>
      </c>
      <c r="C8785">
        <v>4</v>
      </c>
      <c r="D8785" t="s">
        <v>5</v>
      </c>
      <c r="F8785" t="str" cm="1">
        <f t="array" ref="F8785">CategorizeComment(E8785)</f>
        <v>Other</v>
      </c>
      <c r="G8785" t="str" cm="1">
        <f t="array" ref="G8785">SubCategorizeComment(E8785)</f>
        <v>Other</v>
      </c>
    </row>
    <row r="8786" spans="1:7" x14ac:dyDescent="0.25">
      <c r="A8786">
        <v>79695</v>
      </c>
      <c r="B8786" t="s">
        <v>4</v>
      </c>
      <c r="C8786">
        <v>3</v>
      </c>
      <c r="D8786" t="s">
        <v>5</v>
      </c>
      <c r="F8786" t="str" cm="1">
        <f t="array" ref="F8786">CategorizeComment(E8786)</f>
        <v>Other</v>
      </c>
      <c r="G8786" t="str" cm="1">
        <f t="array" ref="G8786">SubCategorizeComment(E8786)</f>
        <v>Other</v>
      </c>
    </row>
    <row r="8787" spans="1:7" x14ac:dyDescent="0.25">
      <c r="A8787">
        <v>79699</v>
      </c>
      <c r="B8787" t="s">
        <v>4</v>
      </c>
      <c r="C8787">
        <v>3</v>
      </c>
      <c r="D8787" t="s">
        <v>5</v>
      </c>
      <c r="F8787" t="str" cm="1">
        <f t="array" ref="F8787">CategorizeComment(E8787)</f>
        <v>Other</v>
      </c>
      <c r="G8787" t="str" cm="1">
        <f t="array" ref="G8787">SubCategorizeComment(E8787)</f>
        <v>Other</v>
      </c>
    </row>
    <row r="8788" spans="1:7" x14ac:dyDescent="0.25">
      <c r="A8788">
        <v>79721</v>
      </c>
      <c r="B8788" t="s">
        <v>4</v>
      </c>
      <c r="C8788">
        <v>4</v>
      </c>
      <c r="D8788" t="s">
        <v>5</v>
      </c>
      <c r="F8788" t="str" cm="1">
        <f t="array" ref="F8788">CategorizeComment(E8788)</f>
        <v>Other</v>
      </c>
      <c r="G8788" t="str" cm="1">
        <f t="array" ref="G8788">SubCategorizeComment(E8788)</f>
        <v>Other</v>
      </c>
    </row>
    <row r="8789" spans="1:7" x14ac:dyDescent="0.25">
      <c r="A8789">
        <v>79722</v>
      </c>
      <c r="B8789" t="s">
        <v>4</v>
      </c>
      <c r="C8789">
        <v>4</v>
      </c>
      <c r="D8789" t="s">
        <v>5</v>
      </c>
      <c r="F8789" t="str" cm="1">
        <f t="array" ref="F8789">CategorizeComment(E8789)</f>
        <v>Other</v>
      </c>
      <c r="G8789" t="str" cm="1">
        <f t="array" ref="G8789">SubCategorizeComment(E8789)</f>
        <v>Other</v>
      </c>
    </row>
    <row r="8790" spans="1:7" x14ac:dyDescent="0.25">
      <c r="A8790">
        <v>79728</v>
      </c>
      <c r="B8790" t="s">
        <v>4</v>
      </c>
      <c r="C8790">
        <v>3</v>
      </c>
      <c r="D8790" t="s">
        <v>5</v>
      </c>
      <c r="F8790" t="str" cm="1">
        <f t="array" ref="F8790">CategorizeComment(E8790)</f>
        <v>Other</v>
      </c>
      <c r="G8790" t="str" cm="1">
        <f t="array" ref="G8790">SubCategorizeComment(E8790)</f>
        <v>Other</v>
      </c>
    </row>
    <row r="8791" spans="1:7" x14ac:dyDescent="0.25">
      <c r="A8791">
        <v>79740</v>
      </c>
      <c r="B8791" t="s">
        <v>4</v>
      </c>
      <c r="C8791">
        <v>3</v>
      </c>
      <c r="D8791" t="s">
        <v>5</v>
      </c>
      <c r="F8791" t="str" cm="1">
        <f t="array" ref="F8791">CategorizeComment(E8791)</f>
        <v>Other</v>
      </c>
      <c r="G8791" t="str" cm="1">
        <f t="array" ref="G8791">SubCategorizeComment(E8791)</f>
        <v>Other</v>
      </c>
    </row>
    <row r="8792" spans="1:7" x14ac:dyDescent="0.25">
      <c r="A8792">
        <v>79746</v>
      </c>
      <c r="B8792" t="s">
        <v>4</v>
      </c>
      <c r="C8792">
        <v>4</v>
      </c>
      <c r="D8792" t="s">
        <v>5</v>
      </c>
      <c r="F8792" t="str" cm="1">
        <f t="array" ref="F8792">CategorizeComment(E8792)</f>
        <v>Other</v>
      </c>
      <c r="G8792" t="str" cm="1">
        <f t="array" ref="G8792">SubCategorizeComment(E8792)</f>
        <v>Other</v>
      </c>
    </row>
    <row r="8793" spans="1:7" x14ac:dyDescent="0.25">
      <c r="A8793">
        <v>79766</v>
      </c>
      <c r="B8793" t="s">
        <v>4</v>
      </c>
      <c r="C8793">
        <v>4</v>
      </c>
      <c r="D8793" t="s">
        <v>5</v>
      </c>
      <c r="F8793" t="str" cm="1">
        <f t="array" ref="F8793">CategorizeComment(E8793)</f>
        <v>Other</v>
      </c>
      <c r="G8793" t="str" cm="1">
        <f t="array" ref="G8793">SubCategorizeComment(E8793)</f>
        <v>Other</v>
      </c>
    </row>
    <row r="8794" spans="1:7" x14ac:dyDescent="0.25">
      <c r="A8794">
        <v>79779</v>
      </c>
      <c r="B8794" t="s">
        <v>4</v>
      </c>
      <c r="C8794">
        <v>4</v>
      </c>
      <c r="D8794" t="s">
        <v>5</v>
      </c>
      <c r="F8794" t="str" cm="1">
        <f t="array" ref="F8794">CategorizeComment(E8794)</f>
        <v>Other</v>
      </c>
      <c r="G8794" t="str" cm="1">
        <f t="array" ref="G8794">SubCategorizeComment(E8794)</f>
        <v>Other</v>
      </c>
    </row>
    <row r="8795" spans="1:7" x14ac:dyDescent="0.25">
      <c r="A8795">
        <v>79827</v>
      </c>
      <c r="B8795" t="s">
        <v>4</v>
      </c>
      <c r="C8795">
        <v>3</v>
      </c>
      <c r="D8795" t="s">
        <v>5</v>
      </c>
      <c r="F8795" t="str" cm="1">
        <f t="array" ref="F8795">CategorizeComment(E8795)</f>
        <v>Other</v>
      </c>
      <c r="G8795" t="str" cm="1">
        <f t="array" ref="G8795">SubCategorizeComment(E8795)</f>
        <v>Other</v>
      </c>
    </row>
    <row r="8796" spans="1:7" x14ac:dyDescent="0.25">
      <c r="A8796">
        <v>79837</v>
      </c>
      <c r="B8796" t="s">
        <v>4</v>
      </c>
      <c r="C8796">
        <v>4</v>
      </c>
      <c r="D8796" t="s">
        <v>5</v>
      </c>
      <c r="F8796" t="str" cm="1">
        <f t="array" ref="F8796">CategorizeComment(E8796)</f>
        <v>Other</v>
      </c>
      <c r="G8796" t="str" cm="1">
        <f t="array" ref="G8796">SubCategorizeComment(E8796)</f>
        <v>Other</v>
      </c>
    </row>
    <row r="8797" spans="1:7" x14ac:dyDescent="0.25">
      <c r="A8797">
        <v>79909</v>
      </c>
      <c r="B8797" t="s">
        <v>4</v>
      </c>
      <c r="C8797">
        <v>4</v>
      </c>
      <c r="D8797" t="s">
        <v>5</v>
      </c>
      <c r="F8797" t="str" cm="1">
        <f t="array" ref="F8797">CategorizeComment(E8797)</f>
        <v>Other</v>
      </c>
      <c r="G8797" t="str" cm="1">
        <f t="array" ref="G8797">SubCategorizeComment(E8797)</f>
        <v>Other</v>
      </c>
    </row>
    <row r="8798" spans="1:7" x14ac:dyDescent="0.25">
      <c r="A8798">
        <v>79927</v>
      </c>
      <c r="B8798" t="s">
        <v>4</v>
      </c>
      <c r="C8798">
        <v>4</v>
      </c>
      <c r="D8798" t="s">
        <v>5</v>
      </c>
      <c r="F8798" t="str" cm="1">
        <f t="array" ref="F8798">CategorizeComment(E8798)</f>
        <v>Other</v>
      </c>
      <c r="G8798" t="str" cm="1">
        <f t="array" ref="G8798">SubCategorizeComment(E8798)</f>
        <v>Other</v>
      </c>
    </row>
    <row r="8799" spans="1:7" x14ac:dyDescent="0.25">
      <c r="A8799">
        <v>79935</v>
      </c>
      <c r="B8799" t="s">
        <v>4</v>
      </c>
      <c r="C8799">
        <v>4</v>
      </c>
      <c r="D8799" t="s">
        <v>5</v>
      </c>
      <c r="F8799" t="str" cm="1">
        <f t="array" ref="F8799">CategorizeComment(E8799)</f>
        <v>Other</v>
      </c>
      <c r="G8799" t="str" cm="1">
        <f t="array" ref="G8799">SubCategorizeComment(E8799)</f>
        <v>Other</v>
      </c>
    </row>
    <row r="8800" spans="1:7" x14ac:dyDescent="0.25">
      <c r="A8800">
        <v>79953</v>
      </c>
      <c r="B8800" t="s">
        <v>4</v>
      </c>
      <c r="C8800">
        <v>4</v>
      </c>
      <c r="D8800" t="s">
        <v>5</v>
      </c>
      <c r="F8800" t="str" cm="1">
        <f t="array" ref="F8800">CategorizeComment(E8800)</f>
        <v>Other</v>
      </c>
      <c r="G8800" t="str" cm="1">
        <f t="array" ref="G8800">SubCategorizeComment(E8800)</f>
        <v>Other</v>
      </c>
    </row>
    <row r="8801" spans="1:7" x14ac:dyDescent="0.25">
      <c r="A8801">
        <v>79955</v>
      </c>
      <c r="B8801" t="s">
        <v>4</v>
      </c>
      <c r="C8801">
        <v>3</v>
      </c>
      <c r="D8801" t="s">
        <v>5</v>
      </c>
      <c r="F8801" t="str" cm="1">
        <f t="array" ref="F8801">CategorizeComment(E8801)</f>
        <v>Other</v>
      </c>
      <c r="G8801" t="str" cm="1">
        <f t="array" ref="G8801">SubCategorizeComment(E8801)</f>
        <v>Other</v>
      </c>
    </row>
    <row r="8802" spans="1:7" x14ac:dyDescent="0.25">
      <c r="A8802">
        <v>79956</v>
      </c>
      <c r="B8802" t="s">
        <v>4</v>
      </c>
      <c r="C8802">
        <v>4</v>
      </c>
      <c r="D8802" t="s">
        <v>5</v>
      </c>
      <c r="F8802" t="str" cm="1">
        <f t="array" ref="F8802">CategorizeComment(E8802)</f>
        <v>Other</v>
      </c>
      <c r="G8802" t="str" cm="1">
        <f t="array" ref="G8802">SubCategorizeComment(E8802)</f>
        <v>Other</v>
      </c>
    </row>
    <row r="8803" spans="1:7" x14ac:dyDescent="0.25">
      <c r="A8803">
        <v>79958</v>
      </c>
      <c r="B8803" t="s">
        <v>4</v>
      </c>
      <c r="C8803">
        <v>4</v>
      </c>
      <c r="D8803" t="s">
        <v>5</v>
      </c>
      <c r="F8803" t="str" cm="1">
        <f t="array" ref="F8803">CategorizeComment(E8803)</f>
        <v>Other</v>
      </c>
      <c r="G8803" t="str" cm="1">
        <f t="array" ref="G8803">SubCategorizeComment(E8803)</f>
        <v>Other</v>
      </c>
    </row>
    <row r="8804" spans="1:7" x14ac:dyDescent="0.25">
      <c r="A8804">
        <v>79960</v>
      </c>
      <c r="B8804" t="s">
        <v>4</v>
      </c>
      <c r="C8804">
        <v>4</v>
      </c>
      <c r="D8804" t="s">
        <v>5</v>
      </c>
      <c r="F8804" t="str" cm="1">
        <f t="array" ref="F8804">CategorizeComment(E8804)</f>
        <v>Other</v>
      </c>
      <c r="G8804" t="str" cm="1">
        <f t="array" ref="G8804">SubCategorizeComment(E8804)</f>
        <v>Other</v>
      </c>
    </row>
    <row r="8805" spans="1:7" x14ac:dyDescent="0.25">
      <c r="A8805">
        <v>79975</v>
      </c>
      <c r="B8805" t="s">
        <v>4</v>
      </c>
      <c r="C8805">
        <v>3</v>
      </c>
      <c r="D8805" t="s">
        <v>5</v>
      </c>
      <c r="F8805" t="str" cm="1">
        <f t="array" ref="F8805">CategorizeComment(E8805)</f>
        <v>Other</v>
      </c>
      <c r="G8805" t="str" cm="1">
        <f t="array" ref="G8805">SubCategorizeComment(E8805)</f>
        <v>Other</v>
      </c>
    </row>
    <row r="8806" spans="1:7" x14ac:dyDescent="0.25">
      <c r="A8806">
        <v>79990</v>
      </c>
      <c r="B8806" t="s">
        <v>4</v>
      </c>
      <c r="C8806">
        <v>4</v>
      </c>
      <c r="D8806" t="s">
        <v>5</v>
      </c>
      <c r="F8806" t="str" cm="1">
        <f t="array" ref="F8806">CategorizeComment(E8806)</f>
        <v>Other</v>
      </c>
      <c r="G8806" t="str" cm="1">
        <f t="array" ref="G8806">SubCategorizeComment(E8806)</f>
        <v>Other</v>
      </c>
    </row>
    <row r="8807" spans="1:7" x14ac:dyDescent="0.25">
      <c r="A8807">
        <v>80010</v>
      </c>
      <c r="B8807" t="s">
        <v>4</v>
      </c>
      <c r="C8807">
        <v>3</v>
      </c>
      <c r="D8807" t="s">
        <v>5</v>
      </c>
      <c r="F8807" t="str" cm="1">
        <f t="array" ref="F8807">CategorizeComment(E8807)</f>
        <v>Other</v>
      </c>
      <c r="G8807" t="str" cm="1">
        <f t="array" ref="G8807">SubCategorizeComment(E8807)</f>
        <v>Other</v>
      </c>
    </row>
    <row r="8808" spans="1:7" x14ac:dyDescent="0.25">
      <c r="A8808">
        <v>80011</v>
      </c>
      <c r="B8808" t="s">
        <v>4</v>
      </c>
      <c r="C8808">
        <v>4</v>
      </c>
      <c r="D8808" t="s">
        <v>5</v>
      </c>
      <c r="F8808" t="str" cm="1">
        <f t="array" ref="F8808">CategorizeComment(E8808)</f>
        <v>Other</v>
      </c>
      <c r="G8808" t="str" cm="1">
        <f t="array" ref="G8808">SubCategorizeComment(E8808)</f>
        <v>Other</v>
      </c>
    </row>
    <row r="8809" spans="1:7" x14ac:dyDescent="0.25">
      <c r="A8809">
        <v>80013</v>
      </c>
      <c r="B8809" t="s">
        <v>4</v>
      </c>
      <c r="C8809">
        <v>4</v>
      </c>
      <c r="D8809" t="s">
        <v>5</v>
      </c>
      <c r="F8809" t="str" cm="1">
        <f t="array" ref="F8809">CategorizeComment(E8809)</f>
        <v>Other</v>
      </c>
      <c r="G8809" t="str" cm="1">
        <f t="array" ref="G8809">SubCategorizeComment(E8809)</f>
        <v>Other</v>
      </c>
    </row>
    <row r="8810" spans="1:7" x14ac:dyDescent="0.25">
      <c r="A8810">
        <v>80024</v>
      </c>
      <c r="B8810" t="s">
        <v>4</v>
      </c>
      <c r="C8810">
        <v>4</v>
      </c>
      <c r="D8810" t="s">
        <v>5</v>
      </c>
      <c r="F8810" t="str" cm="1">
        <f t="array" ref="F8810">CategorizeComment(E8810)</f>
        <v>Other</v>
      </c>
      <c r="G8810" t="str" cm="1">
        <f t="array" ref="G8810">SubCategorizeComment(E8810)</f>
        <v>Other</v>
      </c>
    </row>
    <row r="8811" spans="1:7" x14ac:dyDescent="0.25">
      <c r="A8811">
        <v>80028</v>
      </c>
      <c r="B8811" t="s">
        <v>4</v>
      </c>
      <c r="C8811">
        <v>4</v>
      </c>
      <c r="D8811" t="s">
        <v>5</v>
      </c>
      <c r="F8811" t="str" cm="1">
        <f t="array" ref="F8811">CategorizeComment(E8811)</f>
        <v>Other</v>
      </c>
      <c r="G8811" t="str" cm="1">
        <f t="array" ref="G8811">SubCategorizeComment(E8811)</f>
        <v>Other</v>
      </c>
    </row>
    <row r="8812" spans="1:7" x14ac:dyDescent="0.25">
      <c r="A8812">
        <v>80053</v>
      </c>
      <c r="B8812" t="s">
        <v>4</v>
      </c>
      <c r="C8812">
        <v>3</v>
      </c>
      <c r="D8812" t="s">
        <v>5</v>
      </c>
      <c r="F8812" t="str" cm="1">
        <f t="array" ref="F8812">CategorizeComment(E8812)</f>
        <v>Other</v>
      </c>
      <c r="G8812" t="str" cm="1">
        <f t="array" ref="G8812">SubCategorizeComment(E8812)</f>
        <v>Other</v>
      </c>
    </row>
    <row r="8813" spans="1:7" x14ac:dyDescent="0.25">
      <c r="A8813">
        <v>80064</v>
      </c>
      <c r="B8813" t="s">
        <v>4</v>
      </c>
      <c r="C8813">
        <v>3</v>
      </c>
      <c r="D8813" t="s">
        <v>5</v>
      </c>
      <c r="F8813" t="str" cm="1">
        <f t="array" ref="F8813">CategorizeComment(E8813)</f>
        <v>Other</v>
      </c>
      <c r="G8813" t="str" cm="1">
        <f t="array" ref="G8813">SubCategorizeComment(E8813)</f>
        <v>Other</v>
      </c>
    </row>
    <row r="8814" spans="1:7" x14ac:dyDescent="0.25">
      <c r="A8814">
        <v>80076</v>
      </c>
      <c r="B8814" t="s">
        <v>4</v>
      </c>
      <c r="C8814">
        <v>4</v>
      </c>
      <c r="D8814" t="s">
        <v>5</v>
      </c>
      <c r="F8814" t="str" cm="1">
        <f t="array" ref="F8814">CategorizeComment(E8814)</f>
        <v>Other</v>
      </c>
      <c r="G8814" t="str" cm="1">
        <f t="array" ref="G8814">SubCategorizeComment(E8814)</f>
        <v>Other</v>
      </c>
    </row>
    <row r="8815" spans="1:7" x14ac:dyDescent="0.25">
      <c r="A8815">
        <v>80082</v>
      </c>
      <c r="B8815" t="s">
        <v>4</v>
      </c>
      <c r="C8815">
        <v>3</v>
      </c>
      <c r="D8815" t="s">
        <v>5</v>
      </c>
      <c r="F8815" t="str" cm="1">
        <f t="array" ref="F8815">CategorizeComment(E8815)</f>
        <v>Other</v>
      </c>
      <c r="G8815" t="str" cm="1">
        <f t="array" ref="G8815">SubCategorizeComment(E8815)</f>
        <v>Other</v>
      </c>
    </row>
    <row r="8816" spans="1:7" x14ac:dyDescent="0.25">
      <c r="A8816">
        <v>80084</v>
      </c>
      <c r="B8816" t="s">
        <v>4</v>
      </c>
      <c r="C8816">
        <v>3</v>
      </c>
      <c r="D8816" t="s">
        <v>5</v>
      </c>
      <c r="F8816" t="str" cm="1">
        <f t="array" ref="F8816">CategorizeComment(E8816)</f>
        <v>Other</v>
      </c>
      <c r="G8816" t="str" cm="1">
        <f t="array" ref="G8816">SubCategorizeComment(E8816)</f>
        <v>Other</v>
      </c>
    </row>
    <row r="8817" spans="1:7" x14ac:dyDescent="0.25">
      <c r="A8817">
        <v>80090</v>
      </c>
      <c r="B8817" t="s">
        <v>4</v>
      </c>
      <c r="C8817">
        <v>4</v>
      </c>
      <c r="D8817" t="s">
        <v>5</v>
      </c>
      <c r="F8817" t="str" cm="1">
        <f t="array" ref="F8817">CategorizeComment(E8817)</f>
        <v>Other</v>
      </c>
      <c r="G8817" t="str" cm="1">
        <f t="array" ref="G8817">SubCategorizeComment(E8817)</f>
        <v>Other</v>
      </c>
    </row>
    <row r="8818" spans="1:7" x14ac:dyDescent="0.25">
      <c r="A8818">
        <v>80091</v>
      </c>
      <c r="B8818" t="s">
        <v>4</v>
      </c>
      <c r="C8818">
        <v>3</v>
      </c>
      <c r="D8818" t="s">
        <v>5</v>
      </c>
      <c r="F8818" t="str" cm="1">
        <f t="array" ref="F8818">CategorizeComment(E8818)</f>
        <v>Other</v>
      </c>
      <c r="G8818" t="str" cm="1">
        <f t="array" ref="G8818">SubCategorizeComment(E8818)</f>
        <v>Other</v>
      </c>
    </row>
    <row r="8819" spans="1:7" x14ac:dyDescent="0.25">
      <c r="A8819">
        <v>80092</v>
      </c>
      <c r="B8819" t="s">
        <v>4</v>
      </c>
      <c r="C8819">
        <v>3</v>
      </c>
      <c r="D8819" t="s">
        <v>5</v>
      </c>
      <c r="F8819" t="str" cm="1">
        <f t="array" ref="F8819">CategorizeComment(E8819)</f>
        <v>Other</v>
      </c>
      <c r="G8819" t="str" cm="1">
        <f t="array" ref="G8819">SubCategorizeComment(E8819)</f>
        <v>Other</v>
      </c>
    </row>
    <row r="8820" spans="1:7" x14ac:dyDescent="0.25">
      <c r="A8820">
        <v>80097</v>
      </c>
      <c r="B8820" t="s">
        <v>4</v>
      </c>
      <c r="C8820">
        <v>3</v>
      </c>
      <c r="D8820" t="s">
        <v>5</v>
      </c>
      <c r="F8820" t="str" cm="1">
        <f t="array" ref="F8820">CategorizeComment(E8820)</f>
        <v>Other</v>
      </c>
      <c r="G8820" t="str" cm="1">
        <f t="array" ref="G8820">SubCategorizeComment(E8820)</f>
        <v>Other</v>
      </c>
    </row>
    <row r="8821" spans="1:7" x14ac:dyDescent="0.25">
      <c r="A8821">
        <v>80107</v>
      </c>
      <c r="B8821" t="s">
        <v>4</v>
      </c>
      <c r="C8821">
        <v>3</v>
      </c>
      <c r="D8821" t="s">
        <v>5</v>
      </c>
      <c r="F8821" t="str" cm="1">
        <f t="array" ref="F8821">CategorizeComment(E8821)</f>
        <v>Other</v>
      </c>
      <c r="G8821" t="str" cm="1">
        <f t="array" ref="G8821">SubCategorizeComment(E8821)</f>
        <v>Other</v>
      </c>
    </row>
    <row r="8822" spans="1:7" x14ac:dyDescent="0.25">
      <c r="A8822">
        <v>80116</v>
      </c>
      <c r="B8822" t="s">
        <v>4</v>
      </c>
      <c r="C8822">
        <v>4</v>
      </c>
      <c r="D8822" t="s">
        <v>5</v>
      </c>
      <c r="F8822" t="str" cm="1">
        <f t="array" ref="F8822">CategorizeComment(E8822)</f>
        <v>Other</v>
      </c>
      <c r="G8822" t="str" cm="1">
        <f t="array" ref="G8822">SubCategorizeComment(E8822)</f>
        <v>Other</v>
      </c>
    </row>
    <row r="8823" spans="1:7" x14ac:dyDescent="0.25">
      <c r="A8823">
        <v>80123</v>
      </c>
      <c r="B8823" t="s">
        <v>4</v>
      </c>
      <c r="C8823">
        <v>3</v>
      </c>
      <c r="D8823" t="s">
        <v>5</v>
      </c>
      <c r="F8823" t="str" cm="1">
        <f t="array" ref="F8823">CategorizeComment(E8823)</f>
        <v>Other</v>
      </c>
      <c r="G8823" t="str" cm="1">
        <f t="array" ref="G8823">SubCategorizeComment(E8823)</f>
        <v>Other</v>
      </c>
    </row>
    <row r="8824" spans="1:7" x14ac:dyDescent="0.25">
      <c r="A8824">
        <v>80124</v>
      </c>
      <c r="B8824" t="s">
        <v>4</v>
      </c>
      <c r="C8824">
        <v>3</v>
      </c>
      <c r="D8824" t="s">
        <v>5</v>
      </c>
      <c r="F8824" t="str" cm="1">
        <f t="array" ref="F8824">CategorizeComment(E8824)</f>
        <v>Other</v>
      </c>
      <c r="G8824" t="str" cm="1">
        <f t="array" ref="G8824">SubCategorizeComment(E8824)</f>
        <v>Other</v>
      </c>
    </row>
    <row r="8825" spans="1:7" x14ac:dyDescent="0.25">
      <c r="A8825">
        <v>80152</v>
      </c>
      <c r="B8825" t="s">
        <v>4</v>
      </c>
      <c r="C8825">
        <v>3</v>
      </c>
      <c r="D8825" t="s">
        <v>5</v>
      </c>
      <c r="F8825" t="str" cm="1">
        <f t="array" ref="F8825">CategorizeComment(E8825)</f>
        <v>Other</v>
      </c>
      <c r="G8825" t="str" cm="1">
        <f t="array" ref="G8825">SubCategorizeComment(E8825)</f>
        <v>Other</v>
      </c>
    </row>
    <row r="8826" spans="1:7" x14ac:dyDescent="0.25">
      <c r="A8826">
        <v>80157</v>
      </c>
      <c r="B8826" t="s">
        <v>4</v>
      </c>
      <c r="C8826">
        <v>4</v>
      </c>
      <c r="D8826" t="s">
        <v>5</v>
      </c>
      <c r="F8826" t="str" cm="1">
        <f t="array" ref="F8826">CategorizeComment(E8826)</f>
        <v>Other</v>
      </c>
      <c r="G8826" t="str" cm="1">
        <f t="array" ref="G8826">SubCategorizeComment(E8826)</f>
        <v>Other</v>
      </c>
    </row>
    <row r="8827" spans="1:7" x14ac:dyDescent="0.25">
      <c r="A8827">
        <v>80165</v>
      </c>
      <c r="B8827" t="s">
        <v>4</v>
      </c>
      <c r="C8827">
        <v>4</v>
      </c>
      <c r="D8827" t="s">
        <v>5</v>
      </c>
      <c r="F8827" t="str" cm="1">
        <f t="array" ref="F8827">CategorizeComment(E8827)</f>
        <v>Other</v>
      </c>
      <c r="G8827" t="str" cm="1">
        <f t="array" ref="G8827">SubCategorizeComment(E8827)</f>
        <v>Other</v>
      </c>
    </row>
    <row r="8828" spans="1:7" x14ac:dyDescent="0.25">
      <c r="A8828">
        <v>80169</v>
      </c>
      <c r="B8828" t="s">
        <v>4</v>
      </c>
      <c r="C8828">
        <v>4</v>
      </c>
      <c r="D8828" t="s">
        <v>5</v>
      </c>
      <c r="F8828" t="str" cm="1">
        <f t="array" ref="F8828">CategorizeComment(E8828)</f>
        <v>Other</v>
      </c>
      <c r="G8828" t="str" cm="1">
        <f t="array" ref="G8828">SubCategorizeComment(E8828)</f>
        <v>Other</v>
      </c>
    </row>
    <row r="8829" spans="1:7" x14ac:dyDescent="0.25">
      <c r="A8829">
        <v>80170</v>
      </c>
      <c r="B8829" t="s">
        <v>4</v>
      </c>
      <c r="C8829">
        <v>4</v>
      </c>
      <c r="D8829" t="s">
        <v>5</v>
      </c>
      <c r="F8829" t="str" cm="1">
        <f t="array" ref="F8829">CategorizeComment(E8829)</f>
        <v>Other</v>
      </c>
      <c r="G8829" t="str" cm="1">
        <f t="array" ref="G8829">SubCategorizeComment(E8829)</f>
        <v>Other</v>
      </c>
    </row>
    <row r="8830" spans="1:7" x14ac:dyDescent="0.25">
      <c r="A8830">
        <v>80177</v>
      </c>
      <c r="B8830" t="s">
        <v>4</v>
      </c>
      <c r="C8830">
        <v>3</v>
      </c>
      <c r="D8830" t="s">
        <v>5</v>
      </c>
      <c r="F8830" t="str" cm="1">
        <f t="array" ref="F8830">CategorizeComment(E8830)</f>
        <v>Other</v>
      </c>
      <c r="G8830" t="str" cm="1">
        <f t="array" ref="G8830">SubCategorizeComment(E8830)</f>
        <v>Other</v>
      </c>
    </row>
    <row r="8831" spans="1:7" x14ac:dyDescent="0.25">
      <c r="A8831">
        <v>80179</v>
      </c>
      <c r="B8831" t="s">
        <v>4</v>
      </c>
      <c r="C8831">
        <v>4</v>
      </c>
      <c r="D8831" t="s">
        <v>5</v>
      </c>
      <c r="F8831" t="str" cm="1">
        <f t="array" ref="F8831">CategorizeComment(E8831)</f>
        <v>Other</v>
      </c>
      <c r="G8831" t="str" cm="1">
        <f t="array" ref="G8831">SubCategorizeComment(E8831)</f>
        <v>Other</v>
      </c>
    </row>
    <row r="8832" spans="1:7" x14ac:dyDescent="0.25">
      <c r="A8832">
        <v>80180</v>
      </c>
      <c r="B8832" t="s">
        <v>4</v>
      </c>
      <c r="C8832">
        <v>3</v>
      </c>
      <c r="D8832" t="s">
        <v>5</v>
      </c>
      <c r="F8832" t="str" cm="1">
        <f t="array" ref="F8832">CategorizeComment(E8832)</f>
        <v>Other</v>
      </c>
      <c r="G8832" t="str" cm="1">
        <f t="array" ref="G8832">SubCategorizeComment(E8832)</f>
        <v>Other</v>
      </c>
    </row>
    <row r="8833" spans="1:7" x14ac:dyDescent="0.25">
      <c r="A8833">
        <v>80185</v>
      </c>
      <c r="B8833" t="s">
        <v>4</v>
      </c>
      <c r="C8833">
        <v>4</v>
      </c>
      <c r="D8833" t="s">
        <v>5</v>
      </c>
      <c r="F8833" t="str" cm="1">
        <f t="array" ref="F8833">CategorizeComment(E8833)</f>
        <v>Other</v>
      </c>
      <c r="G8833" t="str" cm="1">
        <f t="array" ref="G8833">SubCategorizeComment(E8833)</f>
        <v>Other</v>
      </c>
    </row>
    <row r="8834" spans="1:7" x14ac:dyDescent="0.25">
      <c r="A8834">
        <v>80189</v>
      </c>
      <c r="B8834" t="s">
        <v>4</v>
      </c>
      <c r="C8834">
        <v>4</v>
      </c>
      <c r="D8834" t="s">
        <v>5</v>
      </c>
      <c r="F8834" t="str" cm="1">
        <f t="array" ref="F8834">CategorizeComment(E8834)</f>
        <v>Other</v>
      </c>
      <c r="G8834" t="str" cm="1">
        <f t="array" ref="G8834">SubCategorizeComment(E8834)</f>
        <v>Other</v>
      </c>
    </row>
    <row r="8835" spans="1:7" x14ac:dyDescent="0.25">
      <c r="A8835">
        <v>80192</v>
      </c>
      <c r="B8835" t="s">
        <v>4</v>
      </c>
      <c r="C8835">
        <v>3</v>
      </c>
      <c r="D8835" t="s">
        <v>5</v>
      </c>
      <c r="F8835" t="str" cm="1">
        <f t="array" ref="F8835">CategorizeComment(E8835)</f>
        <v>Other</v>
      </c>
      <c r="G8835" t="str" cm="1">
        <f t="array" ref="G8835">SubCategorizeComment(E8835)</f>
        <v>Other</v>
      </c>
    </row>
    <row r="8836" spans="1:7" x14ac:dyDescent="0.25">
      <c r="A8836">
        <v>80193</v>
      </c>
      <c r="B8836" t="s">
        <v>4</v>
      </c>
      <c r="C8836">
        <v>4</v>
      </c>
      <c r="D8836" t="s">
        <v>5</v>
      </c>
      <c r="F8836" t="str" cm="1">
        <f t="array" ref="F8836">CategorizeComment(E8836)</f>
        <v>Other</v>
      </c>
      <c r="G8836" t="str" cm="1">
        <f t="array" ref="G8836">SubCategorizeComment(E8836)</f>
        <v>Other</v>
      </c>
    </row>
    <row r="8837" spans="1:7" x14ac:dyDescent="0.25">
      <c r="A8837">
        <v>80197</v>
      </c>
      <c r="B8837" t="s">
        <v>4</v>
      </c>
      <c r="C8837">
        <v>4</v>
      </c>
      <c r="D8837" t="s">
        <v>5</v>
      </c>
      <c r="F8837" t="str" cm="1">
        <f t="array" ref="F8837">CategorizeComment(E8837)</f>
        <v>Other</v>
      </c>
      <c r="G8837" t="str" cm="1">
        <f t="array" ref="G8837">SubCategorizeComment(E8837)</f>
        <v>Other</v>
      </c>
    </row>
    <row r="8838" spans="1:7" x14ac:dyDescent="0.25">
      <c r="A8838">
        <v>80202</v>
      </c>
      <c r="B8838" t="s">
        <v>4</v>
      </c>
      <c r="C8838">
        <v>3</v>
      </c>
      <c r="D8838" t="s">
        <v>5</v>
      </c>
      <c r="F8838" t="str" cm="1">
        <f t="array" ref="F8838">CategorizeComment(E8838)</f>
        <v>Other</v>
      </c>
      <c r="G8838" t="str" cm="1">
        <f t="array" ref="G8838">SubCategorizeComment(E8838)</f>
        <v>Other</v>
      </c>
    </row>
    <row r="8839" spans="1:7" x14ac:dyDescent="0.25">
      <c r="A8839">
        <v>80205</v>
      </c>
      <c r="B8839" t="s">
        <v>4</v>
      </c>
      <c r="C8839">
        <v>4</v>
      </c>
      <c r="D8839" t="s">
        <v>5</v>
      </c>
      <c r="F8839" t="str" cm="1">
        <f t="array" ref="F8839">CategorizeComment(E8839)</f>
        <v>Other</v>
      </c>
      <c r="G8839" t="str" cm="1">
        <f t="array" ref="G8839">SubCategorizeComment(E8839)</f>
        <v>Other</v>
      </c>
    </row>
    <row r="8840" spans="1:7" x14ac:dyDescent="0.25">
      <c r="A8840">
        <v>80235</v>
      </c>
      <c r="B8840" t="s">
        <v>4</v>
      </c>
      <c r="C8840">
        <v>3</v>
      </c>
      <c r="D8840" t="s">
        <v>5</v>
      </c>
      <c r="F8840" t="str" cm="1">
        <f t="array" ref="F8840">CategorizeComment(E8840)</f>
        <v>Other</v>
      </c>
      <c r="G8840" t="str" cm="1">
        <f t="array" ref="G8840">SubCategorizeComment(E8840)</f>
        <v>Other</v>
      </c>
    </row>
    <row r="8841" spans="1:7" x14ac:dyDescent="0.25">
      <c r="A8841">
        <v>80245</v>
      </c>
      <c r="B8841" t="s">
        <v>4</v>
      </c>
      <c r="C8841">
        <v>3</v>
      </c>
      <c r="D8841" t="s">
        <v>5</v>
      </c>
      <c r="F8841" t="str" cm="1">
        <f t="array" ref="F8841">CategorizeComment(E8841)</f>
        <v>Other</v>
      </c>
      <c r="G8841" t="str" cm="1">
        <f t="array" ref="G8841">SubCategorizeComment(E8841)</f>
        <v>Other</v>
      </c>
    </row>
    <row r="8842" spans="1:7" x14ac:dyDescent="0.25">
      <c r="A8842">
        <v>80250</v>
      </c>
      <c r="B8842" t="s">
        <v>4</v>
      </c>
      <c r="C8842">
        <v>4</v>
      </c>
      <c r="D8842" t="s">
        <v>5</v>
      </c>
      <c r="F8842" t="str" cm="1">
        <f t="array" ref="F8842">CategorizeComment(E8842)</f>
        <v>Other</v>
      </c>
      <c r="G8842" t="str" cm="1">
        <f t="array" ref="G8842">SubCategorizeComment(E8842)</f>
        <v>Other</v>
      </c>
    </row>
    <row r="8843" spans="1:7" x14ac:dyDescent="0.25">
      <c r="A8843">
        <v>80255</v>
      </c>
      <c r="B8843" t="s">
        <v>4</v>
      </c>
      <c r="C8843">
        <v>3</v>
      </c>
      <c r="D8843" t="s">
        <v>5</v>
      </c>
      <c r="F8843" t="str" cm="1">
        <f t="array" ref="F8843">CategorizeComment(E8843)</f>
        <v>Other</v>
      </c>
      <c r="G8843" t="str" cm="1">
        <f t="array" ref="G8843">SubCategorizeComment(E8843)</f>
        <v>Other</v>
      </c>
    </row>
    <row r="8844" spans="1:7" x14ac:dyDescent="0.25">
      <c r="A8844">
        <v>80257</v>
      </c>
      <c r="B8844" t="s">
        <v>4</v>
      </c>
      <c r="C8844">
        <v>3</v>
      </c>
      <c r="D8844" t="s">
        <v>5</v>
      </c>
      <c r="F8844" t="str" cm="1">
        <f t="array" ref="F8844">CategorizeComment(E8844)</f>
        <v>Other</v>
      </c>
      <c r="G8844" t="str" cm="1">
        <f t="array" ref="G8844">SubCategorizeComment(E8844)</f>
        <v>Other</v>
      </c>
    </row>
    <row r="8845" spans="1:7" x14ac:dyDescent="0.25">
      <c r="A8845">
        <v>80260</v>
      </c>
      <c r="B8845" t="s">
        <v>4</v>
      </c>
      <c r="C8845">
        <v>4</v>
      </c>
      <c r="D8845" t="s">
        <v>5</v>
      </c>
      <c r="F8845" t="str" cm="1">
        <f t="array" ref="F8845">CategorizeComment(E8845)</f>
        <v>Other</v>
      </c>
      <c r="G8845" t="str" cm="1">
        <f t="array" ref="G8845">SubCategorizeComment(E8845)</f>
        <v>Other</v>
      </c>
    </row>
    <row r="8846" spans="1:7" x14ac:dyDescent="0.25">
      <c r="A8846">
        <v>80274</v>
      </c>
      <c r="B8846" t="s">
        <v>4</v>
      </c>
      <c r="C8846">
        <v>3</v>
      </c>
      <c r="D8846" t="s">
        <v>5</v>
      </c>
      <c r="F8846" t="str" cm="1">
        <f t="array" ref="F8846">CategorizeComment(E8846)</f>
        <v>Other</v>
      </c>
      <c r="G8846" t="str" cm="1">
        <f t="array" ref="G8846">SubCategorizeComment(E8846)</f>
        <v>Other</v>
      </c>
    </row>
    <row r="8847" spans="1:7" x14ac:dyDescent="0.25">
      <c r="A8847">
        <v>80298</v>
      </c>
      <c r="B8847" t="s">
        <v>4</v>
      </c>
      <c r="C8847">
        <v>3</v>
      </c>
      <c r="D8847" t="s">
        <v>5</v>
      </c>
      <c r="F8847" t="str" cm="1">
        <f t="array" ref="F8847">CategorizeComment(E8847)</f>
        <v>Other</v>
      </c>
      <c r="G8847" t="str" cm="1">
        <f t="array" ref="G8847">SubCategorizeComment(E8847)</f>
        <v>Other</v>
      </c>
    </row>
    <row r="8848" spans="1:7" x14ac:dyDescent="0.25">
      <c r="A8848">
        <v>80335</v>
      </c>
      <c r="B8848" t="s">
        <v>4</v>
      </c>
      <c r="C8848">
        <v>3</v>
      </c>
      <c r="D8848" t="s">
        <v>5</v>
      </c>
      <c r="F8848" t="str" cm="1">
        <f t="array" ref="F8848">CategorizeComment(E8848)</f>
        <v>Other</v>
      </c>
      <c r="G8848" t="str" cm="1">
        <f t="array" ref="G8848">SubCategorizeComment(E8848)</f>
        <v>Other</v>
      </c>
    </row>
    <row r="8849" spans="1:7" x14ac:dyDescent="0.25">
      <c r="A8849">
        <v>80379</v>
      </c>
      <c r="B8849" t="s">
        <v>4</v>
      </c>
      <c r="C8849">
        <v>4</v>
      </c>
      <c r="D8849" t="s">
        <v>5</v>
      </c>
      <c r="F8849" t="str" cm="1">
        <f t="array" ref="F8849">CategorizeComment(E8849)</f>
        <v>Other</v>
      </c>
      <c r="G8849" t="str" cm="1">
        <f t="array" ref="G8849">SubCategorizeComment(E8849)</f>
        <v>Other</v>
      </c>
    </row>
    <row r="8850" spans="1:7" x14ac:dyDescent="0.25">
      <c r="A8850">
        <v>80387</v>
      </c>
      <c r="B8850" t="s">
        <v>4</v>
      </c>
      <c r="C8850">
        <v>3</v>
      </c>
      <c r="D8850" t="s">
        <v>5</v>
      </c>
      <c r="F8850" t="str" cm="1">
        <f t="array" ref="F8850">CategorizeComment(E8850)</f>
        <v>Other</v>
      </c>
      <c r="G8850" t="str" cm="1">
        <f t="array" ref="G8850">SubCategorizeComment(E8850)</f>
        <v>Other</v>
      </c>
    </row>
    <row r="8851" spans="1:7" x14ac:dyDescent="0.25">
      <c r="A8851">
        <v>80391</v>
      </c>
      <c r="B8851" t="s">
        <v>4</v>
      </c>
      <c r="C8851">
        <v>3</v>
      </c>
      <c r="D8851" t="s">
        <v>5</v>
      </c>
      <c r="F8851" t="str" cm="1">
        <f t="array" ref="F8851">CategorizeComment(E8851)</f>
        <v>Other</v>
      </c>
      <c r="G8851" t="str" cm="1">
        <f t="array" ref="G8851">SubCategorizeComment(E8851)</f>
        <v>Other</v>
      </c>
    </row>
    <row r="8852" spans="1:7" x14ac:dyDescent="0.25">
      <c r="A8852">
        <v>80422</v>
      </c>
      <c r="B8852" t="s">
        <v>4</v>
      </c>
      <c r="C8852">
        <v>4</v>
      </c>
      <c r="D8852" t="s">
        <v>5</v>
      </c>
      <c r="F8852" t="str" cm="1">
        <f t="array" ref="F8852">CategorizeComment(E8852)</f>
        <v>Other</v>
      </c>
      <c r="G8852" t="str" cm="1">
        <f t="array" ref="G8852">SubCategorizeComment(E8852)</f>
        <v>Other</v>
      </c>
    </row>
    <row r="8853" spans="1:7" x14ac:dyDescent="0.25">
      <c r="A8853">
        <v>80427</v>
      </c>
      <c r="B8853" t="s">
        <v>4</v>
      </c>
      <c r="C8853">
        <v>4</v>
      </c>
      <c r="D8853" t="s">
        <v>5</v>
      </c>
      <c r="F8853" t="str" cm="1">
        <f t="array" ref="F8853">CategorizeComment(E8853)</f>
        <v>Other</v>
      </c>
      <c r="G8853" t="str" cm="1">
        <f t="array" ref="G8853">SubCategorizeComment(E8853)</f>
        <v>Other</v>
      </c>
    </row>
    <row r="8854" spans="1:7" x14ac:dyDescent="0.25">
      <c r="A8854">
        <v>80506</v>
      </c>
      <c r="B8854" t="s">
        <v>4</v>
      </c>
      <c r="C8854">
        <v>4</v>
      </c>
      <c r="D8854" t="s">
        <v>5</v>
      </c>
      <c r="F8854" t="str" cm="1">
        <f t="array" ref="F8854">CategorizeComment(E8854)</f>
        <v>Other</v>
      </c>
      <c r="G8854" t="str" cm="1">
        <f t="array" ref="G8854">SubCategorizeComment(E8854)</f>
        <v>Other</v>
      </c>
    </row>
    <row r="8855" spans="1:7" x14ac:dyDescent="0.25">
      <c r="A8855">
        <v>80509</v>
      </c>
      <c r="B8855" t="s">
        <v>4</v>
      </c>
      <c r="C8855">
        <v>3</v>
      </c>
      <c r="D8855" t="s">
        <v>5</v>
      </c>
      <c r="F8855" t="str" cm="1">
        <f t="array" ref="F8855">CategorizeComment(E8855)</f>
        <v>Other</v>
      </c>
      <c r="G8855" t="str" cm="1">
        <f t="array" ref="G8855">SubCategorizeComment(E8855)</f>
        <v>Other</v>
      </c>
    </row>
    <row r="8856" spans="1:7" x14ac:dyDescent="0.25">
      <c r="A8856">
        <v>80510</v>
      </c>
      <c r="B8856" t="s">
        <v>4</v>
      </c>
      <c r="C8856">
        <v>4</v>
      </c>
      <c r="D8856" t="s">
        <v>5</v>
      </c>
      <c r="F8856" t="str" cm="1">
        <f t="array" ref="F8856">CategorizeComment(E8856)</f>
        <v>Other</v>
      </c>
      <c r="G8856" t="str" cm="1">
        <f t="array" ref="G8856">SubCategorizeComment(E8856)</f>
        <v>Other</v>
      </c>
    </row>
    <row r="8857" spans="1:7" x14ac:dyDescent="0.25">
      <c r="A8857">
        <v>80514</v>
      </c>
      <c r="B8857" t="s">
        <v>4</v>
      </c>
      <c r="C8857">
        <v>4</v>
      </c>
      <c r="D8857" t="s">
        <v>5</v>
      </c>
      <c r="F8857" t="str" cm="1">
        <f t="array" ref="F8857">CategorizeComment(E8857)</f>
        <v>Other</v>
      </c>
      <c r="G8857" t="str" cm="1">
        <f t="array" ref="G8857">SubCategorizeComment(E8857)</f>
        <v>Other</v>
      </c>
    </row>
    <row r="8858" spans="1:7" x14ac:dyDescent="0.25">
      <c r="A8858">
        <v>80516</v>
      </c>
      <c r="B8858" t="s">
        <v>4</v>
      </c>
      <c r="C8858">
        <v>4</v>
      </c>
      <c r="D8858" t="s">
        <v>5</v>
      </c>
      <c r="F8858" t="str" cm="1">
        <f t="array" ref="F8858">CategorizeComment(E8858)</f>
        <v>Other</v>
      </c>
      <c r="G8858" t="str" cm="1">
        <f t="array" ref="G8858">SubCategorizeComment(E8858)</f>
        <v>Other</v>
      </c>
    </row>
    <row r="8859" spans="1:7" x14ac:dyDescent="0.25">
      <c r="A8859">
        <v>80517</v>
      </c>
      <c r="B8859" t="s">
        <v>4</v>
      </c>
      <c r="C8859">
        <v>4</v>
      </c>
      <c r="D8859" t="s">
        <v>5</v>
      </c>
      <c r="F8859" t="str" cm="1">
        <f t="array" ref="F8859">CategorizeComment(E8859)</f>
        <v>Other</v>
      </c>
      <c r="G8859" t="str" cm="1">
        <f t="array" ref="G8859">SubCategorizeComment(E8859)</f>
        <v>Other</v>
      </c>
    </row>
    <row r="8860" spans="1:7" x14ac:dyDescent="0.25">
      <c r="A8860">
        <v>80521</v>
      </c>
      <c r="B8860" t="s">
        <v>4</v>
      </c>
      <c r="C8860">
        <v>4</v>
      </c>
      <c r="D8860" t="s">
        <v>5</v>
      </c>
      <c r="F8860" t="str" cm="1">
        <f t="array" ref="F8860">CategorizeComment(E8860)</f>
        <v>Other</v>
      </c>
      <c r="G8860" t="str" cm="1">
        <f t="array" ref="G8860">SubCategorizeComment(E8860)</f>
        <v>Other</v>
      </c>
    </row>
    <row r="8861" spans="1:7" x14ac:dyDescent="0.25">
      <c r="A8861">
        <v>80523</v>
      </c>
      <c r="B8861" t="s">
        <v>4</v>
      </c>
      <c r="C8861">
        <v>3</v>
      </c>
      <c r="D8861" t="s">
        <v>5</v>
      </c>
      <c r="F8861" t="str" cm="1">
        <f t="array" ref="F8861">CategorizeComment(E8861)</f>
        <v>Other</v>
      </c>
      <c r="G8861" t="str" cm="1">
        <f t="array" ref="G8861">SubCategorizeComment(E8861)</f>
        <v>Other</v>
      </c>
    </row>
    <row r="8862" spans="1:7" x14ac:dyDescent="0.25">
      <c r="A8862">
        <v>80524</v>
      </c>
      <c r="B8862" t="s">
        <v>4</v>
      </c>
      <c r="C8862">
        <v>4</v>
      </c>
      <c r="D8862" t="s">
        <v>5</v>
      </c>
      <c r="F8862" t="str" cm="1">
        <f t="array" ref="F8862">CategorizeComment(E8862)</f>
        <v>Other</v>
      </c>
      <c r="G8862" t="str" cm="1">
        <f t="array" ref="G8862">SubCategorizeComment(E8862)</f>
        <v>Other</v>
      </c>
    </row>
    <row r="8863" spans="1:7" x14ac:dyDescent="0.25">
      <c r="A8863">
        <v>80532</v>
      </c>
      <c r="B8863" t="s">
        <v>4</v>
      </c>
      <c r="C8863">
        <v>4</v>
      </c>
      <c r="D8863" t="s">
        <v>5</v>
      </c>
      <c r="F8863" t="str" cm="1">
        <f t="array" ref="F8863">CategorizeComment(E8863)</f>
        <v>Other</v>
      </c>
      <c r="G8863" t="str" cm="1">
        <f t="array" ref="G8863">SubCategorizeComment(E8863)</f>
        <v>Other</v>
      </c>
    </row>
    <row r="8864" spans="1:7" x14ac:dyDescent="0.25">
      <c r="A8864">
        <v>80534</v>
      </c>
      <c r="B8864" t="s">
        <v>4</v>
      </c>
      <c r="C8864">
        <v>4</v>
      </c>
      <c r="D8864" t="s">
        <v>5</v>
      </c>
      <c r="F8864" t="str" cm="1">
        <f t="array" ref="F8864">CategorizeComment(E8864)</f>
        <v>Other</v>
      </c>
      <c r="G8864" t="str" cm="1">
        <f t="array" ref="G8864">SubCategorizeComment(E8864)</f>
        <v>Other</v>
      </c>
    </row>
    <row r="8865" spans="1:7" x14ac:dyDescent="0.25">
      <c r="A8865">
        <v>80536</v>
      </c>
      <c r="B8865" t="s">
        <v>4</v>
      </c>
      <c r="C8865">
        <v>4</v>
      </c>
      <c r="D8865" t="s">
        <v>5</v>
      </c>
      <c r="F8865" t="str" cm="1">
        <f t="array" ref="F8865">CategorizeComment(E8865)</f>
        <v>Other</v>
      </c>
      <c r="G8865" t="str" cm="1">
        <f t="array" ref="G8865">SubCategorizeComment(E8865)</f>
        <v>Other</v>
      </c>
    </row>
    <row r="8866" spans="1:7" x14ac:dyDescent="0.25">
      <c r="A8866">
        <v>80549</v>
      </c>
      <c r="B8866" t="s">
        <v>4</v>
      </c>
      <c r="C8866">
        <v>4</v>
      </c>
      <c r="D8866" t="s">
        <v>5</v>
      </c>
      <c r="F8866" t="str" cm="1">
        <f t="array" ref="F8866">CategorizeComment(E8866)</f>
        <v>Other</v>
      </c>
      <c r="G8866" t="str" cm="1">
        <f t="array" ref="G8866">SubCategorizeComment(E8866)</f>
        <v>Other</v>
      </c>
    </row>
    <row r="8867" spans="1:7" x14ac:dyDescent="0.25">
      <c r="A8867">
        <v>80565</v>
      </c>
      <c r="B8867" t="s">
        <v>4</v>
      </c>
      <c r="C8867">
        <v>3</v>
      </c>
      <c r="D8867" t="s">
        <v>5</v>
      </c>
      <c r="F8867" t="str" cm="1">
        <f t="array" ref="F8867">CategorizeComment(E8867)</f>
        <v>Other</v>
      </c>
      <c r="G8867" t="str" cm="1">
        <f t="array" ref="G8867">SubCategorizeComment(E8867)</f>
        <v>Other</v>
      </c>
    </row>
    <row r="8868" spans="1:7" x14ac:dyDescent="0.25">
      <c r="A8868">
        <v>80574</v>
      </c>
      <c r="B8868" t="s">
        <v>4</v>
      </c>
      <c r="C8868">
        <v>4</v>
      </c>
      <c r="D8868" t="s">
        <v>5</v>
      </c>
      <c r="F8868" t="str" cm="1">
        <f t="array" ref="F8868">CategorizeComment(E8868)</f>
        <v>Other</v>
      </c>
      <c r="G8868" t="str" cm="1">
        <f t="array" ref="G8868">SubCategorizeComment(E8868)</f>
        <v>Other</v>
      </c>
    </row>
    <row r="8869" spans="1:7" x14ac:dyDescent="0.25">
      <c r="A8869">
        <v>80577</v>
      </c>
      <c r="B8869" t="s">
        <v>4</v>
      </c>
      <c r="C8869">
        <v>4</v>
      </c>
      <c r="D8869" t="s">
        <v>5</v>
      </c>
      <c r="F8869" t="str" cm="1">
        <f t="array" ref="F8869">CategorizeComment(E8869)</f>
        <v>Other</v>
      </c>
      <c r="G8869" t="str" cm="1">
        <f t="array" ref="G8869">SubCategorizeComment(E8869)</f>
        <v>Other</v>
      </c>
    </row>
    <row r="8870" spans="1:7" x14ac:dyDescent="0.25">
      <c r="A8870">
        <v>80579</v>
      </c>
      <c r="B8870" t="s">
        <v>4</v>
      </c>
      <c r="C8870">
        <v>4</v>
      </c>
      <c r="D8870" t="s">
        <v>5</v>
      </c>
      <c r="F8870" t="str" cm="1">
        <f t="array" ref="F8870">CategorizeComment(E8870)</f>
        <v>Other</v>
      </c>
      <c r="G8870" t="str" cm="1">
        <f t="array" ref="G8870">SubCategorizeComment(E8870)</f>
        <v>Other</v>
      </c>
    </row>
    <row r="8871" spans="1:7" x14ac:dyDescent="0.25">
      <c r="A8871">
        <v>80582</v>
      </c>
      <c r="B8871" t="s">
        <v>4</v>
      </c>
      <c r="C8871">
        <v>4</v>
      </c>
      <c r="D8871" t="s">
        <v>5</v>
      </c>
      <c r="F8871" t="str" cm="1">
        <f t="array" ref="F8871">CategorizeComment(E8871)</f>
        <v>Other</v>
      </c>
      <c r="G8871" t="str" cm="1">
        <f t="array" ref="G8871">SubCategorizeComment(E8871)</f>
        <v>Other</v>
      </c>
    </row>
    <row r="8872" spans="1:7" x14ac:dyDescent="0.25">
      <c r="A8872">
        <v>80583</v>
      </c>
      <c r="B8872" t="s">
        <v>4</v>
      </c>
      <c r="C8872">
        <v>4</v>
      </c>
      <c r="D8872" t="s">
        <v>5</v>
      </c>
      <c r="F8872" t="str" cm="1">
        <f t="array" ref="F8872">CategorizeComment(E8872)</f>
        <v>Other</v>
      </c>
      <c r="G8872" t="str" cm="1">
        <f t="array" ref="G8872">SubCategorizeComment(E8872)</f>
        <v>Other</v>
      </c>
    </row>
    <row r="8873" spans="1:7" x14ac:dyDescent="0.25">
      <c r="A8873">
        <v>80586</v>
      </c>
      <c r="B8873" t="s">
        <v>4</v>
      </c>
      <c r="C8873">
        <v>3</v>
      </c>
      <c r="D8873" t="s">
        <v>5</v>
      </c>
      <c r="F8873" t="str" cm="1">
        <f t="array" ref="F8873">CategorizeComment(E8873)</f>
        <v>Other</v>
      </c>
      <c r="G8873" t="str" cm="1">
        <f t="array" ref="G8873">SubCategorizeComment(E8873)</f>
        <v>Other</v>
      </c>
    </row>
    <row r="8874" spans="1:7" x14ac:dyDescent="0.25">
      <c r="A8874">
        <v>80638</v>
      </c>
      <c r="B8874" t="s">
        <v>4</v>
      </c>
      <c r="C8874">
        <v>4</v>
      </c>
      <c r="D8874" t="s">
        <v>5</v>
      </c>
      <c r="F8874" t="str" cm="1">
        <f t="array" ref="F8874">CategorizeComment(E8874)</f>
        <v>Other</v>
      </c>
      <c r="G8874" t="str" cm="1">
        <f t="array" ref="G8874">SubCategorizeComment(E8874)</f>
        <v>Other</v>
      </c>
    </row>
    <row r="8875" spans="1:7" x14ac:dyDescent="0.25">
      <c r="A8875">
        <v>80641</v>
      </c>
      <c r="B8875" t="s">
        <v>4</v>
      </c>
      <c r="C8875">
        <v>4</v>
      </c>
      <c r="D8875" t="s">
        <v>5</v>
      </c>
      <c r="F8875" t="str" cm="1">
        <f t="array" ref="F8875">CategorizeComment(E8875)</f>
        <v>Other</v>
      </c>
      <c r="G8875" t="str" cm="1">
        <f t="array" ref="G8875">SubCategorizeComment(E8875)</f>
        <v>Other</v>
      </c>
    </row>
    <row r="8876" spans="1:7" x14ac:dyDescent="0.25">
      <c r="A8876">
        <v>80658</v>
      </c>
      <c r="B8876" t="s">
        <v>4</v>
      </c>
      <c r="C8876">
        <v>4</v>
      </c>
      <c r="D8876" t="s">
        <v>5</v>
      </c>
      <c r="F8876" t="str" cm="1">
        <f t="array" ref="F8876">CategorizeComment(E8876)</f>
        <v>Other</v>
      </c>
      <c r="G8876" t="str" cm="1">
        <f t="array" ref="G8876">SubCategorizeComment(E8876)</f>
        <v>Other</v>
      </c>
    </row>
    <row r="8877" spans="1:7" x14ac:dyDescent="0.25">
      <c r="A8877">
        <v>80662</v>
      </c>
      <c r="B8877" t="s">
        <v>4</v>
      </c>
      <c r="C8877">
        <v>4</v>
      </c>
      <c r="D8877" t="s">
        <v>5</v>
      </c>
      <c r="F8877" t="str" cm="1">
        <f t="array" ref="F8877">CategorizeComment(E8877)</f>
        <v>Other</v>
      </c>
      <c r="G8877" t="str" cm="1">
        <f t="array" ref="G8877">SubCategorizeComment(E8877)</f>
        <v>Other</v>
      </c>
    </row>
    <row r="8878" spans="1:7" x14ac:dyDescent="0.25">
      <c r="A8878">
        <v>80663</v>
      </c>
      <c r="B8878" t="s">
        <v>4</v>
      </c>
      <c r="C8878">
        <v>3</v>
      </c>
      <c r="D8878" t="s">
        <v>5</v>
      </c>
      <c r="F8878" t="str" cm="1">
        <f t="array" ref="F8878">CategorizeComment(E8878)</f>
        <v>Other</v>
      </c>
      <c r="G8878" t="str" cm="1">
        <f t="array" ref="G8878">SubCategorizeComment(E8878)</f>
        <v>Other</v>
      </c>
    </row>
    <row r="8879" spans="1:7" x14ac:dyDescent="0.25">
      <c r="A8879">
        <v>80664</v>
      </c>
      <c r="B8879" t="s">
        <v>4</v>
      </c>
      <c r="C8879">
        <v>4</v>
      </c>
      <c r="D8879" t="s">
        <v>5</v>
      </c>
      <c r="F8879" t="str" cm="1">
        <f t="array" ref="F8879">CategorizeComment(E8879)</f>
        <v>Other</v>
      </c>
      <c r="G8879" t="str" cm="1">
        <f t="array" ref="G8879">SubCategorizeComment(E8879)</f>
        <v>Other</v>
      </c>
    </row>
    <row r="8880" spans="1:7" x14ac:dyDescent="0.25">
      <c r="A8880">
        <v>80667</v>
      </c>
      <c r="B8880" t="s">
        <v>4</v>
      </c>
      <c r="C8880">
        <v>4</v>
      </c>
      <c r="D8880" t="s">
        <v>5</v>
      </c>
      <c r="F8880" t="str" cm="1">
        <f t="array" ref="F8880">CategorizeComment(E8880)</f>
        <v>Other</v>
      </c>
      <c r="G8880" t="str" cm="1">
        <f t="array" ref="G8880">SubCategorizeComment(E8880)</f>
        <v>Other</v>
      </c>
    </row>
    <row r="8881" spans="1:7" x14ac:dyDescent="0.25">
      <c r="A8881">
        <v>80669</v>
      </c>
      <c r="B8881" t="s">
        <v>4</v>
      </c>
      <c r="C8881">
        <v>3</v>
      </c>
      <c r="D8881" t="s">
        <v>5</v>
      </c>
      <c r="F8881" t="str" cm="1">
        <f t="array" ref="F8881">CategorizeComment(E8881)</f>
        <v>Other</v>
      </c>
      <c r="G8881" t="str" cm="1">
        <f t="array" ref="G8881">SubCategorizeComment(E8881)</f>
        <v>Other</v>
      </c>
    </row>
    <row r="8882" spans="1:7" x14ac:dyDescent="0.25">
      <c r="A8882">
        <v>80677</v>
      </c>
      <c r="B8882" t="s">
        <v>4</v>
      </c>
      <c r="C8882">
        <v>3</v>
      </c>
      <c r="D8882" t="s">
        <v>5</v>
      </c>
      <c r="F8882" t="str" cm="1">
        <f t="array" ref="F8882">CategorizeComment(E8882)</f>
        <v>Other</v>
      </c>
      <c r="G8882" t="str" cm="1">
        <f t="array" ref="G8882">SubCategorizeComment(E8882)</f>
        <v>Other</v>
      </c>
    </row>
    <row r="8883" spans="1:7" x14ac:dyDescent="0.25">
      <c r="A8883">
        <v>80714</v>
      </c>
      <c r="B8883" t="s">
        <v>4</v>
      </c>
      <c r="C8883">
        <v>3</v>
      </c>
      <c r="D8883" t="s">
        <v>5</v>
      </c>
      <c r="F8883" t="str" cm="1">
        <f t="array" ref="F8883">CategorizeComment(E8883)</f>
        <v>Other</v>
      </c>
      <c r="G8883" t="str" cm="1">
        <f t="array" ref="G8883">SubCategorizeComment(E8883)</f>
        <v>Other</v>
      </c>
    </row>
    <row r="8884" spans="1:7" x14ac:dyDescent="0.25">
      <c r="A8884">
        <v>80737</v>
      </c>
      <c r="B8884" t="s">
        <v>4</v>
      </c>
      <c r="C8884">
        <v>4</v>
      </c>
      <c r="D8884" t="s">
        <v>5</v>
      </c>
      <c r="F8884" t="str" cm="1">
        <f t="array" ref="F8884">CategorizeComment(E8884)</f>
        <v>Other</v>
      </c>
      <c r="G8884" t="str" cm="1">
        <f t="array" ref="G8884">SubCategorizeComment(E8884)</f>
        <v>Other</v>
      </c>
    </row>
    <row r="8885" spans="1:7" x14ac:dyDescent="0.25">
      <c r="A8885">
        <v>80739</v>
      </c>
      <c r="B8885" t="s">
        <v>4</v>
      </c>
      <c r="C8885">
        <v>3</v>
      </c>
      <c r="D8885" t="s">
        <v>5</v>
      </c>
      <c r="F8885" t="str" cm="1">
        <f t="array" ref="F8885">CategorizeComment(E8885)</f>
        <v>Other</v>
      </c>
      <c r="G8885" t="str" cm="1">
        <f t="array" ref="G8885">SubCategorizeComment(E8885)</f>
        <v>Other</v>
      </c>
    </row>
    <row r="8886" spans="1:7" x14ac:dyDescent="0.25">
      <c r="A8886">
        <v>80743</v>
      </c>
      <c r="B8886" t="s">
        <v>4</v>
      </c>
      <c r="C8886">
        <v>4</v>
      </c>
      <c r="D8886" t="s">
        <v>5</v>
      </c>
      <c r="F8886" t="str" cm="1">
        <f t="array" ref="F8886">CategorizeComment(E8886)</f>
        <v>Other</v>
      </c>
      <c r="G8886" t="str" cm="1">
        <f t="array" ref="G8886">SubCategorizeComment(E8886)</f>
        <v>Other</v>
      </c>
    </row>
    <row r="8887" spans="1:7" x14ac:dyDescent="0.25">
      <c r="A8887">
        <v>80745</v>
      </c>
      <c r="B8887" t="s">
        <v>4</v>
      </c>
      <c r="C8887">
        <v>3</v>
      </c>
      <c r="D8887" t="s">
        <v>5</v>
      </c>
      <c r="F8887" t="str" cm="1">
        <f t="array" ref="F8887">CategorizeComment(E8887)</f>
        <v>Other</v>
      </c>
      <c r="G8887" t="str" cm="1">
        <f t="array" ref="G8887">SubCategorizeComment(E8887)</f>
        <v>Other</v>
      </c>
    </row>
    <row r="8888" spans="1:7" x14ac:dyDescent="0.25">
      <c r="A8888">
        <v>80749</v>
      </c>
      <c r="B8888" t="s">
        <v>4</v>
      </c>
      <c r="C8888">
        <v>3</v>
      </c>
      <c r="D8888" t="s">
        <v>5</v>
      </c>
      <c r="F8888" t="str" cm="1">
        <f t="array" ref="F8888">CategorizeComment(E8888)</f>
        <v>Other</v>
      </c>
      <c r="G8888" t="str" cm="1">
        <f t="array" ref="G8888">SubCategorizeComment(E8888)</f>
        <v>Other</v>
      </c>
    </row>
    <row r="8889" spans="1:7" x14ac:dyDescent="0.25">
      <c r="A8889">
        <v>80755</v>
      </c>
      <c r="B8889" t="s">
        <v>4</v>
      </c>
      <c r="C8889">
        <v>3</v>
      </c>
      <c r="D8889" t="s">
        <v>5</v>
      </c>
      <c r="F8889" t="str" cm="1">
        <f t="array" ref="F8889">CategorizeComment(E8889)</f>
        <v>Other</v>
      </c>
      <c r="G8889" t="str" cm="1">
        <f t="array" ref="G8889">SubCategorizeComment(E8889)</f>
        <v>Other</v>
      </c>
    </row>
    <row r="8890" spans="1:7" x14ac:dyDescent="0.25">
      <c r="A8890">
        <v>80757</v>
      </c>
      <c r="B8890" t="s">
        <v>4</v>
      </c>
      <c r="C8890">
        <v>4</v>
      </c>
      <c r="D8890" t="s">
        <v>5</v>
      </c>
      <c r="F8890" t="str" cm="1">
        <f t="array" ref="F8890">CategorizeComment(E8890)</f>
        <v>Other</v>
      </c>
      <c r="G8890" t="str" cm="1">
        <f t="array" ref="G8890">SubCategorizeComment(E8890)</f>
        <v>Other</v>
      </c>
    </row>
    <row r="8891" spans="1:7" x14ac:dyDescent="0.25">
      <c r="A8891">
        <v>80766</v>
      </c>
      <c r="B8891" t="s">
        <v>4</v>
      </c>
      <c r="C8891">
        <v>4</v>
      </c>
      <c r="D8891" t="s">
        <v>5</v>
      </c>
      <c r="F8891" t="str" cm="1">
        <f t="array" ref="F8891">CategorizeComment(E8891)</f>
        <v>Other</v>
      </c>
      <c r="G8891" t="str" cm="1">
        <f t="array" ref="G8891">SubCategorizeComment(E8891)</f>
        <v>Other</v>
      </c>
    </row>
    <row r="8892" spans="1:7" x14ac:dyDescent="0.25">
      <c r="A8892">
        <v>80771</v>
      </c>
      <c r="B8892" t="s">
        <v>4</v>
      </c>
      <c r="C8892">
        <v>3</v>
      </c>
      <c r="D8892" t="s">
        <v>5</v>
      </c>
      <c r="F8892" t="str" cm="1">
        <f t="array" ref="F8892">CategorizeComment(E8892)</f>
        <v>Other</v>
      </c>
      <c r="G8892" t="str" cm="1">
        <f t="array" ref="G8892">SubCategorizeComment(E8892)</f>
        <v>Other</v>
      </c>
    </row>
    <row r="8893" spans="1:7" x14ac:dyDescent="0.25">
      <c r="A8893">
        <v>80815</v>
      </c>
      <c r="B8893" t="s">
        <v>4</v>
      </c>
      <c r="C8893">
        <v>3</v>
      </c>
      <c r="D8893" t="s">
        <v>5</v>
      </c>
      <c r="F8893" t="str" cm="1">
        <f t="array" ref="F8893">CategorizeComment(E8893)</f>
        <v>Other</v>
      </c>
      <c r="G8893" t="str" cm="1">
        <f t="array" ref="G8893">SubCategorizeComment(E8893)</f>
        <v>Other</v>
      </c>
    </row>
    <row r="8894" spans="1:7" x14ac:dyDescent="0.25">
      <c r="A8894">
        <v>80819</v>
      </c>
      <c r="B8894" t="s">
        <v>4</v>
      </c>
      <c r="C8894">
        <v>3</v>
      </c>
      <c r="D8894" t="s">
        <v>5</v>
      </c>
      <c r="F8894" t="str" cm="1">
        <f t="array" ref="F8894">CategorizeComment(E8894)</f>
        <v>Other</v>
      </c>
      <c r="G8894" t="str" cm="1">
        <f t="array" ref="G8894">SubCategorizeComment(E8894)</f>
        <v>Other</v>
      </c>
    </row>
    <row r="8895" spans="1:7" x14ac:dyDescent="0.25">
      <c r="A8895">
        <v>80821</v>
      </c>
      <c r="B8895" t="s">
        <v>4</v>
      </c>
      <c r="C8895">
        <v>3</v>
      </c>
      <c r="D8895" t="s">
        <v>5</v>
      </c>
      <c r="F8895" t="str" cm="1">
        <f t="array" ref="F8895">CategorizeComment(E8895)</f>
        <v>Other</v>
      </c>
      <c r="G8895" t="str" cm="1">
        <f t="array" ref="G8895">SubCategorizeComment(E8895)</f>
        <v>Other</v>
      </c>
    </row>
    <row r="8896" spans="1:7" x14ac:dyDescent="0.25">
      <c r="A8896">
        <v>80823</v>
      </c>
      <c r="B8896" t="s">
        <v>4</v>
      </c>
      <c r="C8896">
        <v>4</v>
      </c>
      <c r="D8896" t="s">
        <v>5</v>
      </c>
      <c r="F8896" t="str" cm="1">
        <f t="array" ref="F8896">CategorizeComment(E8896)</f>
        <v>Other</v>
      </c>
      <c r="G8896" t="str" cm="1">
        <f t="array" ref="G8896">SubCategorizeComment(E8896)</f>
        <v>Other</v>
      </c>
    </row>
    <row r="8897" spans="1:7" x14ac:dyDescent="0.25">
      <c r="A8897">
        <v>80829</v>
      </c>
      <c r="B8897" t="s">
        <v>4</v>
      </c>
      <c r="C8897">
        <v>3</v>
      </c>
      <c r="D8897" t="s">
        <v>5</v>
      </c>
      <c r="F8897" t="str" cm="1">
        <f t="array" ref="F8897">CategorizeComment(E8897)</f>
        <v>Other</v>
      </c>
      <c r="G8897" t="str" cm="1">
        <f t="array" ref="G8897">SubCategorizeComment(E8897)</f>
        <v>Other</v>
      </c>
    </row>
    <row r="8898" spans="1:7" x14ac:dyDescent="0.25">
      <c r="A8898">
        <v>80835</v>
      </c>
      <c r="B8898" t="s">
        <v>4</v>
      </c>
      <c r="C8898">
        <v>3</v>
      </c>
      <c r="D8898" t="s">
        <v>5</v>
      </c>
      <c r="F8898" t="str" cm="1">
        <f t="array" ref="F8898">CategorizeComment(E8898)</f>
        <v>Other</v>
      </c>
      <c r="G8898" t="str" cm="1">
        <f t="array" ref="G8898">SubCategorizeComment(E8898)</f>
        <v>Other</v>
      </c>
    </row>
    <row r="8899" spans="1:7" x14ac:dyDescent="0.25">
      <c r="A8899">
        <v>80847</v>
      </c>
      <c r="B8899" t="s">
        <v>4</v>
      </c>
      <c r="C8899">
        <v>3</v>
      </c>
      <c r="D8899" t="s">
        <v>5</v>
      </c>
      <c r="F8899" t="str" cm="1">
        <f t="array" ref="F8899">CategorizeComment(E8899)</f>
        <v>Other</v>
      </c>
      <c r="G8899" t="str" cm="1">
        <f t="array" ref="G8899">SubCategorizeComment(E8899)</f>
        <v>Other</v>
      </c>
    </row>
    <row r="8900" spans="1:7" x14ac:dyDescent="0.25">
      <c r="A8900">
        <v>80850</v>
      </c>
      <c r="B8900" t="s">
        <v>4</v>
      </c>
      <c r="C8900">
        <v>4</v>
      </c>
      <c r="D8900" t="s">
        <v>5</v>
      </c>
      <c r="F8900" t="str" cm="1">
        <f t="array" ref="F8900">CategorizeComment(E8900)</f>
        <v>Other</v>
      </c>
      <c r="G8900" t="str" cm="1">
        <f t="array" ref="G8900">SubCategorizeComment(E8900)</f>
        <v>Other</v>
      </c>
    </row>
    <row r="8901" spans="1:7" x14ac:dyDescent="0.25">
      <c r="A8901">
        <v>80852</v>
      </c>
      <c r="B8901" t="s">
        <v>4</v>
      </c>
      <c r="C8901">
        <v>3</v>
      </c>
      <c r="D8901" t="s">
        <v>5</v>
      </c>
      <c r="F8901" t="str" cm="1">
        <f t="array" ref="F8901">CategorizeComment(E8901)</f>
        <v>Other</v>
      </c>
      <c r="G8901" t="str" cm="1">
        <f t="array" ref="G8901">SubCategorizeComment(E8901)</f>
        <v>Other</v>
      </c>
    </row>
    <row r="8902" spans="1:7" x14ac:dyDescent="0.25">
      <c r="A8902">
        <v>80863</v>
      </c>
      <c r="B8902" t="s">
        <v>4</v>
      </c>
      <c r="C8902">
        <v>3</v>
      </c>
      <c r="D8902" t="s">
        <v>5</v>
      </c>
      <c r="F8902" t="str" cm="1">
        <f t="array" ref="F8902">CategorizeComment(E8902)</f>
        <v>Other</v>
      </c>
      <c r="G8902" t="str" cm="1">
        <f t="array" ref="G8902">SubCategorizeComment(E8902)</f>
        <v>Other</v>
      </c>
    </row>
    <row r="8903" spans="1:7" x14ac:dyDescent="0.25">
      <c r="A8903">
        <v>80867</v>
      </c>
      <c r="B8903" t="s">
        <v>4</v>
      </c>
      <c r="C8903">
        <v>3</v>
      </c>
      <c r="D8903" t="s">
        <v>5</v>
      </c>
      <c r="F8903" t="str" cm="1">
        <f t="array" ref="F8903">CategorizeComment(E8903)</f>
        <v>Other</v>
      </c>
      <c r="G8903" t="str" cm="1">
        <f t="array" ref="G8903">SubCategorizeComment(E8903)</f>
        <v>Other</v>
      </c>
    </row>
    <row r="8904" spans="1:7" x14ac:dyDescent="0.25">
      <c r="A8904">
        <v>80878</v>
      </c>
      <c r="B8904" t="s">
        <v>4</v>
      </c>
      <c r="C8904">
        <v>4</v>
      </c>
      <c r="D8904" t="s">
        <v>5</v>
      </c>
      <c r="F8904" t="str" cm="1">
        <f t="array" ref="F8904">CategorizeComment(E8904)</f>
        <v>Other</v>
      </c>
      <c r="G8904" t="str" cm="1">
        <f t="array" ref="G8904">SubCategorizeComment(E8904)</f>
        <v>Other</v>
      </c>
    </row>
    <row r="8905" spans="1:7" x14ac:dyDescent="0.25">
      <c r="A8905">
        <v>80886</v>
      </c>
      <c r="B8905" t="s">
        <v>4</v>
      </c>
      <c r="C8905">
        <v>3</v>
      </c>
      <c r="D8905" t="s">
        <v>5</v>
      </c>
      <c r="F8905" t="str" cm="1">
        <f t="array" ref="F8905">CategorizeComment(E8905)</f>
        <v>Other</v>
      </c>
      <c r="G8905" t="str" cm="1">
        <f t="array" ref="G8905">SubCategorizeComment(E8905)</f>
        <v>Other</v>
      </c>
    </row>
    <row r="8906" spans="1:7" x14ac:dyDescent="0.25">
      <c r="A8906">
        <v>80891</v>
      </c>
      <c r="B8906" t="s">
        <v>4</v>
      </c>
      <c r="C8906">
        <v>3</v>
      </c>
      <c r="D8906" t="s">
        <v>5</v>
      </c>
      <c r="F8906" t="str" cm="1">
        <f t="array" ref="F8906">CategorizeComment(E8906)</f>
        <v>Other</v>
      </c>
      <c r="G8906" t="str" cm="1">
        <f t="array" ref="G8906">SubCategorizeComment(E8906)</f>
        <v>Other</v>
      </c>
    </row>
    <row r="8907" spans="1:7" x14ac:dyDescent="0.25">
      <c r="A8907">
        <v>80897</v>
      </c>
      <c r="B8907" t="s">
        <v>4</v>
      </c>
      <c r="C8907">
        <v>4</v>
      </c>
      <c r="D8907" t="s">
        <v>5</v>
      </c>
      <c r="F8907" t="str" cm="1">
        <f t="array" ref="F8907">CategorizeComment(E8907)</f>
        <v>Other</v>
      </c>
      <c r="G8907" t="str" cm="1">
        <f t="array" ref="G8907">SubCategorizeComment(E8907)</f>
        <v>Other</v>
      </c>
    </row>
    <row r="8908" spans="1:7" x14ac:dyDescent="0.25">
      <c r="A8908">
        <v>80901</v>
      </c>
      <c r="B8908" t="s">
        <v>4</v>
      </c>
      <c r="C8908">
        <v>3</v>
      </c>
      <c r="D8908" t="s">
        <v>5</v>
      </c>
      <c r="F8908" t="str" cm="1">
        <f t="array" ref="F8908">CategorizeComment(E8908)</f>
        <v>Other</v>
      </c>
      <c r="G8908" t="str" cm="1">
        <f t="array" ref="G8908">SubCategorizeComment(E8908)</f>
        <v>Other</v>
      </c>
    </row>
    <row r="8909" spans="1:7" x14ac:dyDescent="0.25">
      <c r="A8909">
        <v>80918</v>
      </c>
      <c r="B8909" t="s">
        <v>4</v>
      </c>
      <c r="C8909">
        <v>4</v>
      </c>
      <c r="D8909" t="s">
        <v>5</v>
      </c>
      <c r="F8909" t="str" cm="1">
        <f t="array" ref="F8909">CategorizeComment(E8909)</f>
        <v>Other</v>
      </c>
      <c r="G8909" t="str" cm="1">
        <f t="array" ref="G8909">SubCategorizeComment(E8909)</f>
        <v>Other</v>
      </c>
    </row>
    <row r="8910" spans="1:7" x14ac:dyDescent="0.25">
      <c r="A8910">
        <v>80937</v>
      </c>
      <c r="B8910" t="s">
        <v>4</v>
      </c>
      <c r="C8910">
        <v>3</v>
      </c>
      <c r="D8910" t="s">
        <v>5</v>
      </c>
      <c r="F8910" t="str" cm="1">
        <f t="array" ref="F8910">CategorizeComment(E8910)</f>
        <v>Other</v>
      </c>
      <c r="G8910" t="str" cm="1">
        <f t="array" ref="G8910">SubCategorizeComment(E8910)</f>
        <v>Other</v>
      </c>
    </row>
    <row r="8911" spans="1:7" x14ac:dyDescent="0.25">
      <c r="A8911">
        <v>80939</v>
      </c>
      <c r="B8911" t="s">
        <v>4</v>
      </c>
      <c r="C8911">
        <v>4</v>
      </c>
      <c r="D8911" t="s">
        <v>5</v>
      </c>
      <c r="F8911" t="str" cm="1">
        <f t="array" ref="F8911">CategorizeComment(E8911)</f>
        <v>Other</v>
      </c>
      <c r="G8911" t="str" cm="1">
        <f t="array" ref="G8911">SubCategorizeComment(E8911)</f>
        <v>Other</v>
      </c>
    </row>
    <row r="8912" spans="1:7" x14ac:dyDescent="0.25">
      <c r="A8912">
        <v>80952</v>
      </c>
      <c r="B8912" t="s">
        <v>4</v>
      </c>
      <c r="C8912">
        <v>3</v>
      </c>
      <c r="D8912" t="s">
        <v>5</v>
      </c>
      <c r="F8912" t="str" cm="1">
        <f t="array" ref="F8912">CategorizeComment(E8912)</f>
        <v>Other</v>
      </c>
      <c r="G8912" t="str" cm="1">
        <f t="array" ref="G8912">SubCategorizeComment(E8912)</f>
        <v>Other</v>
      </c>
    </row>
    <row r="8913" spans="1:7" x14ac:dyDescent="0.25">
      <c r="A8913">
        <v>80966</v>
      </c>
      <c r="B8913" t="s">
        <v>4</v>
      </c>
      <c r="C8913">
        <v>3</v>
      </c>
      <c r="D8913" t="s">
        <v>5</v>
      </c>
      <c r="F8913" t="str" cm="1">
        <f t="array" ref="F8913">CategorizeComment(E8913)</f>
        <v>Other</v>
      </c>
      <c r="G8913" t="str" cm="1">
        <f t="array" ref="G8913">SubCategorizeComment(E8913)</f>
        <v>Other</v>
      </c>
    </row>
    <row r="8914" spans="1:7" x14ac:dyDescent="0.25">
      <c r="A8914">
        <v>80976</v>
      </c>
      <c r="B8914" t="s">
        <v>4</v>
      </c>
      <c r="C8914">
        <v>3</v>
      </c>
      <c r="D8914" t="s">
        <v>5</v>
      </c>
      <c r="F8914" t="str" cm="1">
        <f t="array" ref="F8914">CategorizeComment(E8914)</f>
        <v>Other</v>
      </c>
      <c r="G8914" t="str" cm="1">
        <f t="array" ref="G8914">SubCategorizeComment(E8914)</f>
        <v>Other</v>
      </c>
    </row>
    <row r="8915" spans="1:7" x14ac:dyDescent="0.25">
      <c r="A8915">
        <v>80977</v>
      </c>
      <c r="B8915" t="s">
        <v>4</v>
      </c>
      <c r="C8915">
        <v>4</v>
      </c>
      <c r="D8915" t="s">
        <v>5</v>
      </c>
      <c r="F8915" t="str" cm="1">
        <f t="array" ref="F8915">CategorizeComment(E8915)</f>
        <v>Other</v>
      </c>
      <c r="G8915" t="str" cm="1">
        <f t="array" ref="G8915">SubCategorizeComment(E8915)</f>
        <v>Other</v>
      </c>
    </row>
    <row r="8916" spans="1:7" x14ac:dyDescent="0.25">
      <c r="A8916">
        <v>80996</v>
      </c>
      <c r="B8916" t="s">
        <v>4</v>
      </c>
      <c r="C8916">
        <v>3</v>
      </c>
      <c r="D8916" t="s">
        <v>5</v>
      </c>
      <c r="F8916" t="str" cm="1">
        <f t="array" ref="F8916">CategorizeComment(E8916)</f>
        <v>Other</v>
      </c>
      <c r="G8916" t="str" cm="1">
        <f t="array" ref="G8916">SubCategorizeComment(E8916)</f>
        <v>Other</v>
      </c>
    </row>
    <row r="8917" spans="1:7" x14ac:dyDescent="0.25">
      <c r="A8917">
        <v>81006</v>
      </c>
      <c r="B8917" t="s">
        <v>4</v>
      </c>
      <c r="C8917">
        <v>3</v>
      </c>
      <c r="D8917" t="s">
        <v>5</v>
      </c>
      <c r="F8917" t="str" cm="1">
        <f t="array" ref="F8917">CategorizeComment(E8917)</f>
        <v>Other</v>
      </c>
      <c r="G8917" t="str" cm="1">
        <f t="array" ref="G8917">SubCategorizeComment(E8917)</f>
        <v>Other</v>
      </c>
    </row>
    <row r="8918" spans="1:7" x14ac:dyDescent="0.25">
      <c r="A8918">
        <v>81015</v>
      </c>
      <c r="B8918" t="s">
        <v>4</v>
      </c>
      <c r="C8918">
        <v>4</v>
      </c>
      <c r="D8918" t="s">
        <v>5</v>
      </c>
      <c r="F8918" t="str" cm="1">
        <f t="array" ref="F8918">CategorizeComment(E8918)</f>
        <v>Other</v>
      </c>
      <c r="G8918" t="str" cm="1">
        <f t="array" ref="G8918">SubCategorizeComment(E8918)</f>
        <v>Other</v>
      </c>
    </row>
    <row r="8919" spans="1:7" x14ac:dyDescent="0.25">
      <c r="A8919">
        <v>81021</v>
      </c>
      <c r="B8919" t="s">
        <v>4</v>
      </c>
      <c r="C8919">
        <v>3</v>
      </c>
      <c r="D8919" t="s">
        <v>5</v>
      </c>
      <c r="F8919" t="str" cm="1">
        <f t="array" ref="F8919">CategorizeComment(E8919)</f>
        <v>Other</v>
      </c>
      <c r="G8919" t="str" cm="1">
        <f t="array" ref="G8919">SubCategorizeComment(E8919)</f>
        <v>Other</v>
      </c>
    </row>
    <row r="8920" spans="1:7" x14ac:dyDescent="0.25">
      <c r="A8920">
        <v>81034</v>
      </c>
      <c r="B8920" t="s">
        <v>4</v>
      </c>
      <c r="C8920">
        <v>4</v>
      </c>
      <c r="D8920" t="s">
        <v>5</v>
      </c>
      <c r="F8920" t="str" cm="1">
        <f t="array" ref="F8920">CategorizeComment(E8920)</f>
        <v>Other</v>
      </c>
      <c r="G8920" t="str" cm="1">
        <f t="array" ref="G8920">SubCategorizeComment(E8920)</f>
        <v>Other</v>
      </c>
    </row>
    <row r="8921" spans="1:7" x14ac:dyDescent="0.25">
      <c r="A8921">
        <v>81035</v>
      </c>
      <c r="B8921" t="s">
        <v>4</v>
      </c>
      <c r="C8921">
        <v>4</v>
      </c>
      <c r="D8921" t="s">
        <v>5</v>
      </c>
      <c r="F8921" t="str" cm="1">
        <f t="array" ref="F8921">CategorizeComment(E8921)</f>
        <v>Other</v>
      </c>
      <c r="G8921" t="str" cm="1">
        <f t="array" ref="G8921">SubCategorizeComment(E8921)</f>
        <v>Other</v>
      </c>
    </row>
    <row r="8922" spans="1:7" x14ac:dyDescent="0.25">
      <c r="A8922">
        <v>81039</v>
      </c>
      <c r="B8922" t="s">
        <v>4</v>
      </c>
      <c r="C8922">
        <v>4</v>
      </c>
      <c r="D8922" t="s">
        <v>5</v>
      </c>
      <c r="F8922" t="str" cm="1">
        <f t="array" ref="F8922">CategorizeComment(E8922)</f>
        <v>Other</v>
      </c>
      <c r="G8922" t="str" cm="1">
        <f t="array" ref="G8922">SubCategorizeComment(E8922)</f>
        <v>Other</v>
      </c>
    </row>
    <row r="8923" spans="1:7" x14ac:dyDescent="0.25">
      <c r="A8923">
        <v>81043</v>
      </c>
      <c r="B8923" t="s">
        <v>4</v>
      </c>
      <c r="C8923">
        <v>4</v>
      </c>
      <c r="D8923" t="s">
        <v>5</v>
      </c>
      <c r="F8923" t="str" cm="1">
        <f t="array" ref="F8923">CategorizeComment(E8923)</f>
        <v>Other</v>
      </c>
      <c r="G8923" t="str" cm="1">
        <f t="array" ref="G8923">SubCategorizeComment(E8923)</f>
        <v>Other</v>
      </c>
    </row>
    <row r="8924" spans="1:7" x14ac:dyDescent="0.25">
      <c r="A8924">
        <v>81059</v>
      </c>
      <c r="B8924" t="s">
        <v>4</v>
      </c>
      <c r="C8924">
        <v>3</v>
      </c>
      <c r="D8924" t="s">
        <v>5</v>
      </c>
      <c r="F8924" t="str" cm="1">
        <f t="array" ref="F8924">CategorizeComment(E8924)</f>
        <v>Other</v>
      </c>
      <c r="G8924" t="str" cm="1">
        <f t="array" ref="G8924">SubCategorizeComment(E8924)</f>
        <v>Other</v>
      </c>
    </row>
    <row r="8925" spans="1:7" x14ac:dyDescent="0.25">
      <c r="A8925">
        <v>81062</v>
      </c>
      <c r="B8925" t="s">
        <v>4</v>
      </c>
      <c r="C8925">
        <v>4</v>
      </c>
      <c r="D8925" t="s">
        <v>5</v>
      </c>
      <c r="F8925" t="str" cm="1">
        <f t="array" ref="F8925">CategorizeComment(E8925)</f>
        <v>Other</v>
      </c>
      <c r="G8925" t="str" cm="1">
        <f t="array" ref="G8925">SubCategorizeComment(E8925)</f>
        <v>Other</v>
      </c>
    </row>
    <row r="8926" spans="1:7" x14ac:dyDescent="0.25">
      <c r="A8926">
        <v>81086</v>
      </c>
      <c r="B8926" t="s">
        <v>4</v>
      </c>
      <c r="C8926">
        <v>3</v>
      </c>
      <c r="D8926" t="s">
        <v>5</v>
      </c>
      <c r="F8926" t="str" cm="1">
        <f t="array" ref="F8926">CategorizeComment(E8926)</f>
        <v>Other</v>
      </c>
      <c r="G8926" t="str" cm="1">
        <f t="array" ref="G8926">SubCategorizeComment(E8926)</f>
        <v>Other</v>
      </c>
    </row>
    <row r="8927" spans="1:7" x14ac:dyDescent="0.25">
      <c r="A8927">
        <v>81092</v>
      </c>
      <c r="B8927" t="s">
        <v>4</v>
      </c>
      <c r="C8927">
        <v>4</v>
      </c>
      <c r="D8927" t="s">
        <v>5</v>
      </c>
      <c r="F8927" t="str" cm="1">
        <f t="array" ref="F8927">CategorizeComment(E8927)</f>
        <v>Other</v>
      </c>
      <c r="G8927" t="str" cm="1">
        <f t="array" ref="G8927">SubCategorizeComment(E8927)</f>
        <v>Other</v>
      </c>
    </row>
    <row r="8928" spans="1:7" x14ac:dyDescent="0.25">
      <c r="A8928">
        <v>81095</v>
      </c>
      <c r="B8928" t="s">
        <v>4</v>
      </c>
      <c r="C8928">
        <v>3</v>
      </c>
      <c r="D8928" t="s">
        <v>5</v>
      </c>
      <c r="F8928" t="str" cm="1">
        <f t="array" ref="F8928">CategorizeComment(E8928)</f>
        <v>Other</v>
      </c>
      <c r="G8928" t="str" cm="1">
        <f t="array" ref="G8928">SubCategorizeComment(E8928)</f>
        <v>Other</v>
      </c>
    </row>
    <row r="8929" spans="1:7" x14ac:dyDescent="0.25">
      <c r="A8929">
        <v>81109</v>
      </c>
      <c r="B8929" t="s">
        <v>4</v>
      </c>
      <c r="C8929">
        <v>4</v>
      </c>
      <c r="D8929" t="s">
        <v>5</v>
      </c>
      <c r="F8929" t="str" cm="1">
        <f t="array" ref="F8929">CategorizeComment(E8929)</f>
        <v>Other</v>
      </c>
      <c r="G8929" t="str" cm="1">
        <f t="array" ref="G8929">SubCategorizeComment(E8929)</f>
        <v>Other</v>
      </c>
    </row>
    <row r="8930" spans="1:7" x14ac:dyDescent="0.25">
      <c r="A8930">
        <v>81114</v>
      </c>
      <c r="B8930" t="s">
        <v>4</v>
      </c>
      <c r="C8930">
        <v>3</v>
      </c>
      <c r="D8930" t="s">
        <v>5</v>
      </c>
      <c r="F8930" t="str" cm="1">
        <f t="array" ref="F8930">CategorizeComment(E8930)</f>
        <v>Other</v>
      </c>
      <c r="G8930" t="str" cm="1">
        <f t="array" ref="G8930">SubCategorizeComment(E8930)</f>
        <v>Other</v>
      </c>
    </row>
    <row r="8931" spans="1:7" x14ac:dyDescent="0.25">
      <c r="A8931">
        <v>81149</v>
      </c>
      <c r="B8931" t="s">
        <v>4</v>
      </c>
      <c r="C8931">
        <v>3</v>
      </c>
      <c r="D8931" t="s">
        <v>5</v>
      </c>
      <c r="F8931" t="str" cm="1">
        <f t="array" ref="F8931">CategorizeComment(E8931)</f>
        <v>Other</v>
      </c>
      <c r="G8931" t="str" cm="1">
        <f t="array" ref="G8931">SubCategorizeComment(E8931)</f>
        <v>Other</v>
      </c>
    </row>
    <row r="8932" spans="1:7" x14ac:dyDescent="0.25">
      <c r="A8932">
        <v>81165</v>
      </c>
      <c r="B8932" t="s">
        <v>4</v>
      </c>
      <c r="C8932">
        <v>3</v>
      </c>
      <c r="D8932" t="s">
        <v>5</v>
      </c>
      <c r="F8932" t="str" cm="1">
        <f t="array" ref="F8932">CategorizeComment(E8932)</f>
        <v>Other</v>
      </c>
      <c r="G8932" t="str" cm="1">
        <f t="array" ref="G8932">SubCategorizeComment(E8932)</f>
        <v>Other</v>
      </c>
    </row>
    <row r="8933" spans="1:7" x14ac:dyDescent="0.25">
      <c r="A8933">
        <v>81169</v>
      </c>
      <c r="B8933" t="s">
        <v>4</v>
      </c>
      <c r="C8933">
        <v>4</v>
      </c>
      <c r="D8933" t="s">
        <v>5</v>
      </c>
      <c r="F8933" t="str" cm="1">
        <f t="array" ref="F8933">CategorizeComment(E8933)</f>
        <v>Other</v>
      </c>
      <c r="G8933" t="str" cm="1">
        <f t="array" ref="G8933">SubCategorizeComment(E8933)</f>
        <v>Other</v>
      </c>
    </row>
    <row r="8934" spans="1:7" x14ac:dyDescent="0.25">
      <c r="A8934">
        <v>81197</v>
      </c>
      <c r="B8934" t="s">
        <v>4</v>
      </c>
      <c r="C8934">
        <v>3</v>
      </c>
      <c r="D8934" t="s">
        <v>5</v>
      </c>
      <c r="F8934" t="str" cm="1">
        <f t="array" ref="F8934">CategorizeComment(E8934)</f>
        <v>Other</v>
      </c>
      <c r="G8934" t="str" cm="1">
        <f t="array" ref="G8934">SubCategorizeComment(E8934)</f>
        <v>Other</v>
      </c>
    </row>
    <row r="8935" spans="1:7" x14ac:dyDescent="0.25">
      <c r="A8935">
        <v>81222</v>
      </c>
      <c r="B8935" t="s">
        <v>4</v>
      </c>
      <c r="C8935">
        <v>3</v>
      </c>
      <c r="D8935" t="s">
        <v>5</v>
      </c>
      <c r="F8935" t="str" cm="1">
        <f t="array" ref="F8935">CategorizeComment(E8935)</f>
        <v>Other</v>
      </c>
      <c r="G8935" t="str" cm="1">
        <f t="array" ref="G8935">SubCategorizeComment(E8935)</f>
        <v>Other</v>
      </c>
    </row>
    <row r="8936" spans="1:7" x14ac:dyDescent="0.25">
      <c r="A8936">
        <v>81224</v>
      </c>
      <c r="B8936" t="s">
        <v>4</v>
      </c>
      <c r="C8936">
        <v>4</v>
      </c>
      <c r="D8936" t="s">
        <v>5</v>
      </c>
      <c r="F8936" t="str" cm="1">
        <f t="array" ref="F8936">CategorizeComment(E8936)</f>
        <v>Other</v>
      </c>
      <c r="G8936" t="str" cm="1">
        <f t="array" ref="G8936">SubCategorizeComment(E8936)</f>
        <v>Other</v>
      </c>
    </row>
    <row r="8937" spans="1:7" x14ac:dyDescent="0.25">
      <c r="A8937">
        <v>81235</v>
      </c>
      <c r="B8937" t="s">
        <v>4</v>
      </c>
      <c r="C8937">
        <v>4</v>
      </c>
      <c r="D8937" t="s">
        <v>5</v>
      </c>
      <c r="F8937" t="str" cm="1">
        <f t="array" ref="F8937">CategorizeComment(E8937)</f>
        <v>Other</v>
      </c>
      <c r="G8937" t="str" cm="1">
        <f t="array" ref="G8937">SubCategorizeComment(E8937)</f>
        <v>Other</v>
      </c>
    </row>
    <row r="8938" spans="1:7" x14ac:dyDescent="0.25">
      <c r="A8938">
        <v>81239</v>
      </c>
      <c r="B8938" t="s">
        <v>4</v>
      </c>
      <c r="C8938">
        <v>4</v>
      </c>
      <c r="D8938" t="s">
        <v>5</v>
      </c>
      <c r="F8938" t="str" cm="1">
        <f t="array" ref="F8938">CategorizeComment(E8938)</f>
        <v>Other</v>
      </c>
      <c r="G8938" t="str" cm="1">
        <f t="array" ref="G8938">SubCategorizeComment(E8938)</f>
        <v>Other</v>
      </c>
    </row>
    <row r="8939" spans="1:7" x14ac:dyDescent="0.25">
      <c r="A8939">
        <v>81245</v>
      </c>
      <c r="B8939" t="s">
        <v>4</v>
      </c>
      <c r="C8939">
        <v>3</v>
      </c>
      <c r="D8939" t="s">
        <v>5</v>
      </c>
      <c r="F8939" t="str" cm="1">
        <f t="array" ref="F8939">CategorizeComment(E8939)</f>
        <v>Other</v>
      </c>
      <c r="G8939" t="str" cm="1">
        <f t="array" ref="G8939">SubCategorizeComment(E8939)</f>
        <v>Other</v>
      </c>
    </row>
    <row r="8940" spans="1:7" x14ac:dyDescent="0.25">
      <c r="A8940">
        <v>81246</v>
      </c>
      <c r="B8940" t="s">
        <v>4</v>
      </c>
      <c r="C8940">
        <v>4</v>
      </c>
      <c r="D8940" t="s">
        <v>5</v>
      </c>
      <c r="F8940" t="str" cm="1">
        <f t="array" ref="F8940">CategorizeComment(E8940)</f>
        <v>Other</v>
      </c>
      <c r="G8940" t="str" cm="1">
        <f t="array" ref="G8940">SubCategorizeComment(E8940)</f>
        <v>Other</v>
      </c>
    </row>
    <row r="8941" spans="1:7" x14ac:dyDescent="0.25">
      <c r="A8941">
        <v>81248</v>
      </c>
      <c r="B8941" t="s">
        <v>4</v>
      </c>
      <c r="C8941">
        <v>3</v>
      </c>
      <c r="D8941" t="s">
        <v>5</v>
      </c>
      <c r="F8941" t="str" cm="1">
        <f t="array" ref="F8941">CategorizeComment(E8941)</f>
        <v>Other</v>
      </c>
      <c r="G8941" t="str" cm="1">
        <f t="array" ref="G8941">SubCategorizeComment(E8941)</f>
        <v>Other</v>
      </c>
    </row>
    <row r="8942" spans="1:7" x14ac:dyDescent="0.25">
      <c r="A8942">
        <v>81273</v>
      </c>
      <c r="B8942" t="s">
        <v>4</v>
      </c>
      <c r="C8942">
        <v>3</v>
      </c>
      <c r="D8942" t="s">
        <v>5</v>
      </c>
      <c r="F8942" t="str" cm="1">
        <f t="array" ref="F8942">CategorizeComment(E8942)</f>
        <v>Other</v>
      </c>
      <c r="G8942" t="str" cm="1">
        <f t="array" ref="G8942">SubCategorizeComment(E8942)</f>
        <v>Other</v>
      </c>
    </row>
    <row r="8943" spans="1:7" x14ac:dyDescent="0.25">
      <c r="A8943">
        <v>81291</v>
      </c>
      <c r="B8943" t="s">
        <v>4</v>
      </c>
      <c r="C8943">
        <v>3</v>
      </c>
      <c r="D8943" t="s">
        <v>5</v>
      </c>
      <c r="F8943" t="str" cm="1">
        <f t="array" ref="F8943">CategorizeComment(E8943)</f>
        <v>Other</v>
      </c>
      <c r="G8943" t="str" cm="1">
        <f t="array" ref="G8943">SubCategorizeComment(E8943)</f>
        <v>Other</v>
      </c>
    </row>
    <row r="8944" spans="1:7" x14ac:dyDescent="0.25">
      <c r="A8944">
        <v>81296</v>
      </c>
      <c r="B8944" t="s">
        <v>4</v>
      </c>
      <c r="C8944">
        <v>4</v>
      </c>
      <c r="D8944" t="s">
        <v>5</v>
      </c>
      <c r="F8944" t="str" cm="1">
        <f t="array" ref="F8944">CategorizeComment(E8944)</f>
        <v>Other</v>
      </c>
      <c r="G8944" t="str" cm="1">
        <f t="array" ref="G8944">SubCategorizeComment(E8944)</f>
        <v>Other</v>
      </c>
    </row>
    <row r="8945" spans="1:7" x14ac:dyDescent="0.25">
      <c r="A8945">
        <v>81305</v>
      </c>
      <c r="B8945" t="s">
        <v>4</v>
      </c>
      <c r="C8945">
        <v>4</v>
      </c>
      <c r="D8945" t="s">
        <v>5</v>
      </c>
      <c r="F8945" t="str" cm="1">
        <f t="array" ref="F8945">CategorizeComment(E8945)</f>
        <v>Other</v>
      </c>
      <c r="G8945" t="str" cm="1">
        <f t="array" ref="G8945">SubCategorizeComment(E8945)</f>
        <v>Other</v>
      </c>
    </row>
    <row r="8946" spans="1:7" x14ac:dyDescent="0.25">
      <c r="A8946">
        <v>81328</v>
      </c>
      <c r="B8946" t="s">
        <v>4</v>
      </c>
      <c r="C8946">
        <v>3</v>
      </c>
      <c r="D8946" t="s">
        <v>5</v>
      </c>
      <c r="F8946" t="str" cm="1">
        <f t="array" ref="F8946">CategorizeComment(E8946)</f>
        <v>Other</v>
      </c>
      <c r="G8946" t="str" cm="1">
        <f t="array" ref="G8946">SubCategorizeComment(E8946)</f>
        <v>Other</v>
      </c>
    </row>
    <row r="8947" spans="1:7" x14ac:dyDescent="0.25">
      <c r="A8947">
        <v>81337</v>
      </c>
      <c r="B8947" t="s">
        <v>4</v>
      </c>
      <c r="C8947">
        <v>3</v>
      </c>
      <c r="D8947" t="s">
        <v>5</v>
      </c>
      <c r="F8947" t="str" cm="1">
        <f t="array" ref="F8947">CategorizeComment(E8947)</f>
        <v>Other</v>
      </c>
      <c r="G8947" t="str" cm="1">
        <f t="array" ref="G8947">SubCategorizeComment(E8947)</f>
        <v>Other</v>
      </c>
    </row>
    <row r="8948" spans="1:7" x14ac:dyDescent="0.25">
      <c r="A8948">
        <v>81342</v>
      </c>
      <c r="B8948" t="s">
        <v>4</v>
      </c>
      <c r="C8948">
        <v>4</v>
      </c>
      <c r="D8948" t="s">
        <v>5</v>
      </c>
      <c r="F8948" t="str" cm="1">
        <f t="array" ref="F8948">CategorizeComment(E8948)</f>
        <v>Other</v>
      </c>
      <c r="G8948" t="str" cm="1">
        <f t="array" ref="G8948">SubCategorizeComment(E8948)</f>
        <v>Other</v>
      </c>
    </row>
    <row r="8949" spans="1:7" x14ac:dyDescent="0.25">
      <c r="A8949">
        <v>81343</v>
      </c>
      <c r="B8949" t="s">
        <v>4</v>
      </c>
      <c r="C8949">
        <v>3</v>
      </c>
      <c r="D8949" t="s">
        <v>5</v>
      </c>
      <c r="F8949" t="str" cm="1">
        <f t="array" ref="F8949">CategorizeComment(E8949)</f>
        <v>Other</v>
      </c>
      <c r="G8949" t="str" cm="1">
        <f t="array" ref="G8949">SubCategorizeComment(E8949)</f>
        <v>Other</v>
      </c>
    </row>
    <row r="8950" spans="1:7" x14ac:dyDescent="0.25">
      <c r="A8950">
        <v>81346</v>
      </c>
      <c r="B8950" t="s">
        <v>4</v>
      </c>
      <c r="C8950">
        <v>4</v>
      </c>
      <c r="D8950" t="s">
        <v>5</v>
      </c>
      <c r="F8950" t="str" cm="1">
        <f t="array" ref="F8950">CategorizeComment(E8950)</f>
        <v>Other</v>
      </c>
      <c r="G8950" t="str" cm="1">
        <f t="array" ref="G8950">SubCategorizeComment(E8950)</f>
        <v>Other</v>
      </c>
    </row>
    <row r="8951" spans="1:7" x14ac:dyDescent="0.25">
      <c r="A8951">
        <v>81347</v>
      </c>
      <c r="B8951" t="s">
        <v>4</v>
      </c>
      <c r="C8951">
        <v>4</v>
      </c>
      <c r="D8951" t="s">
        <v>5</v>
      </c>
      <c r="F8951" t="str" cm="1">
        <f t="array" ref="F8951">CategorizeComment(E8951)</f>
        <v>Other</v>
      </c>
      <c r="G8951" t="str" cm="1">
        <f t="array" ref="G8951">SubCategorizeComment(E8951)</f>
        <v>Other</v>
      </c>
    </row>
    <row r="8952" spans="1:7" x14ac:dyDescent="0.25">
      <c r="A8952">
        <v>81348</v>
      </c>
      <c r="B8952" t="s">
        <v>4</v>
      </c>
      <c r="C8952">
        <v>3</v>
      </c>
      <c r="D8952" t="s">
        <v>5</v>
      </c>
      <c r="F8952" t="str" cm="1">
        <f t="array" ref="F8952">CategorizeComment(E8952)</f>
        <v>Other</v>
      </c>
      <c r="G8952" t="str" cm="1">
        <f t="array" ref="G8952">SubCategorizeComment(E8952)</f>
        <v>Other</v>
      </c>
    </row>
    <row r="8953" spans="1:7" x14ac:dyDescent="0.25">
      <c r="A8953">
        <v>81351</v>
      </c>
      <c r="B8953" t="s">
        <v>4</v>
      </c>
      <c r="C8953">
        <v>3</v>
      </c>
      <c r="D8953" t="s">
        <v>5</v>
      </c>
      <c r="F8953" t="str" cm="1">
        <f t="array" ref="F8953">CategorizeComment(E8953)</f>
        <v>Other</v>
      </c>
      <c r="G8953" t="str" cm="1">
        <f t="array" ref="G8953">SubCategorizeComment(E8953)</f>
        <v>Other</v>
      </c>
    </row>
    <row r="8954" spans="1:7" x14ac:dyDescent="0.25">
      <c r="A8954">
        <v>81353</v>
      </c>
      <c r="B8954" t="s">
        <v>4</v>
      </c>
      <c r="C8954">
        <v>4</v>
      </c>
      <c r="D8954" t="s">
        <v>5</v>
      </c>
      <c r="F8954" t="str" cm="1">
        <f t="array" ref="F8954">CategorizeComment(E8954)</f>
        <v>Other</v>
      </c>
      <c r="G8954" t="str" cm="1">
        <f t="array" ref="G8954">SubCategorizeComment(E8954)</f>
        <v>Other</v>
      </c>
    </row>
    <row r="8955" spans="1:7" x14ac:dyDescent="0.25">
      <c r="A8955">
        <v>81384</v>
      </c>
      <c r="B8955" t="s">
        <v>4</v>
      </c>
      <c r="C8955">
        <v>3</v>
      </c>
      <c r="D8955" t="s">
        <v>5</v>
      </c>
      <c r="F8955" t="str" cm="1">
        <f t="array" ref="F8955">CategorizeComment(E8955)</f>
        <v>Other</v>
      </c>
      <c r="G8955" t="str" cm="1">
        <f t="array" ref="G8955">SubCategorizeComment(E8955)</f>
        <v>Other</v>
      </c>
    </row>
    <row r="8956" spans="1:7" x14ac:dyDescent="0.25">
      <c r="A8956">
        <v>81403</v>
      </c>
      <c r="B8956" t="s">
        <v>4</v>
      </c>
      <c r="C8956">
        <v>3</v>
      </c>
      <c r="D8956" t="s">
        <v>5</v>
      </c>
      <c r="F8956" t="str" cm="1">
        <f t="array" ref="F8956">CategorizeComment(E8956)</f>
        <v>Other</v>
      </c>
      <c r="G8956" t="str" cm="1">
        <f t="array" ref="G8956">SubCategorizeComment(E8956)</f>
        <v>Other</v>
      </c>
    </row>
    <row r="8957" spans="1:7" x14ac:dyDescent="0.25">
      <c r="A8957">
        <v>81414</v>
      </c>
      <c r="B8957" t="s">
        <v>4</v>
      </c>
      <c r="C8957">
        <v>4</v>
      </c>
      <c r="D8957" t="s">
        <v>5</v>
      </c>
      <c r="F8957" t="str" cm="1">
        <f t="array" ref="F8957">CategorizeComment(E8957)</f>
        <v>Other</v>
      </c>
      <c r="G8957" t="str" cm="1">
        <f t="array" ref="G8957">SubCategorizeComment(E8957)</f>
        <v>Other</v>
      </c>
    </row>
    <row r="8958" spans="1:7" x14ac:dyDescent="0.25">
      <c r="A8958">
        <v>81427</v>
      </c>
      <c r="B8958" t="s">
        <v>4</v>
      </c>
      <c r="C8958">
        <v>4</v>
      </c>
      <c r="D8958" t="s">
        <v>5</v>
      </c>
      <c r="F8958" t="str" cm="1">
        <f t="array" ref="F8958">CategorizeComment(E8958)</f>
        <v>Other</v>
      </c>
      <c r="G8958" t="str" cm="1">
        <f t="array" ref="G8958">SubCategorizeComment(E8958)</f>
        <v>Other</v>
      </c>
    </row>
    <row r="8959" spans="1:7" x14ac:dyDescent="0.25">
      <c r="A8959">
        <v>81430</v>
      </c>
      <c r="B8959" t="s">
        <v>4</v>
      </c>
      <c r="C8959">
        <v>3</v>
      </c>
      <c r="D8959" t="s">
        <v>5</v>
      </c>
      <c r="F8959" t="str" cm="1">
        <f t="array" ref="F8959">CategorizeComment(E8959)</f>
        <v>Other</v>
      </c>
      <c r="G8959" t="str" cm="1">
        <f t="array" ref="G8959">SubCategorizeComment(E8959)</f>
        <v>Other</v>
      </c>
    </row>
    <row r="8960" spans="1:7" x14ac:dyDescent="0.25">
      <c r="A8960">
        <v>81433</v>
      </c>
      <c r="B8960" t="s">
        <v>4</v>
      </c>
      <c r="C8960">
        <v>4</v>
      </c>
      <c r="D8960" t="s">
        <v>5</v>
      </c>
      <c r="F8960" t="str" cm="1">
        <f t="array" ref="F8960">CategorizeComment(E8960)</f>
        <v>Other</v>
      </c>
      <c r="G8960" t="str" cm="1">
        <f t="array" ref="G8960">SubCategorizeComment(E8960)</f>
        <v>Other</v>
      </c>
    </row>
    <row r="8961" spans="1:7" x14ac:dyDescent="0.25">
      <c r="A8961">
        <v>81472</v>
      </c>
      <c r="B8961" t="s">
        <v>4</v>
      </c>
      <c r="C8961">
        <v>3</v>
      </c>
      <c r="D8961" t="s">
        <v>5</v>
      </c>
      <c r="F8961" t="str" cm="1">
        <f t="array" ref="F8961">CategorizeComment(E8961)</f>
        <v>Other</v>
      </c>
      <c r="G8961" t="str" cm="1">
        <f t="array" ref="G8961">SubCategorizeComment(E8961)</f>
        <v>Other</v>
      </c>
    </row>
    <row r="8962" spans="1:7" x14ac:dyDescent="0.25">
      <c r="A8962">
        <v>81498</v>
      </c>
      <c r="B8962" t="s">
        <v>4</v>
      </c>
      <c r="C8962">
        <v>4</v>
      </c>
      <c r="D8962" t="s">
        <v>5</v>
      </c>
      <c r="F8962" t="str" cm="1">
        <f t="array" ref="F8962">CategorizeComment(E8962)</f>
        <v>Other</v>
      </c>
      <c r="G8962" t="str" cm="1">
        <f t="array" ref="G8962">SubCategorizeComment(E8962)</f>
        <v>Other</v>
      </c>
    </row>
    <row r="8963" spans="1:7" x14ac:dyDescent="0.25">
      <c r="A8963">
        <v>81510</v>
      </c>
      <c r="B8963" t="s">
        <v>4</v>
      </c>
      <c r="C8963">
        <v>4</v>
      </c>
      <c r="D8963" t="s">
        <v>5</v>
      </c>
      <c r="F8963" t="str" cm="1">
        <f t="array" ref="F8963">CategorizeComment(E8963)</f>
        <v>Other</v>
      </c>
      <c r="G8963" t="str" cm="1">
        <f t="array" ref="G8963">SubCategorizeComment(E8963)</f>
        <v>Other</v>
      </c>
    </row>
    <row r="8964" spans="1:7" x14ac:dyDescent="0.25">
      <c r="A8964">
        <v>81531</v>
      </c>
      <c r="B8964" t="s">
        <v>4</v>
      </c>
      <c r="C8964">
        <v>4</v>
      </c>
      <c r="D8964" t="s">
        <v>5</v>
      </c>
      <c r="F8964" t="str" cm="1">
        <f t="array" ref="F8964">CategorizeComment(E8964)</f>
        <v>Other</v>
      </c>
      <c r="G8964" t="str" cm="1">
        <f t="array" ref="G8964">SubCategorizeComment(E8964)</f>
        <v>Other</v>
      </c>
    </row>
    <row r="8965" spans="1:7" x14ac:dyDescent="0.25">
      <c r="A8965">
        <v>81532</v>
      </c>
      <c r="B8965" t="s">
        <v>4</v>
      </c>
      <c r="C8965">
        <v>4</v>
      </c>
      <c r="D8965" t="s">
        <v>5</v>
      </c>
      <c r="F8965" t="str" cm="1">
        <f t="array" ref="F8965">CategorizeComment(E8965)</f>
        <v>Other</v>
      </c>
      <c r="G8965" t="str" cm="1">
        <f t="array" ref="G8965">SubCategorizeComment(E8965)</f>
        <v>Other</v>
      </c>
    </row>
    <row r="8966" spans="1:7" x14ac:dyDescent="0.25">
      <c r="A8966">
        <v>81548</v>
      </c>
      <c r="B8966" t="s">
        <v>4</v>
      </c>
      <c r="C8966">
        <v>3</v>
      </c>
      <c r="D8966" t="s">
        <v>5</v>
      </c>
      <c r="F8966" t="str" cm="1">
        <f t="array" ref="F8966">CategorizeComment(E8966)</f>
        <v>Other</v>
      </c>
      <c r="G8966" t="str" cm="1">
        <f t="array" ref="G8966">SubCategorizeComment(E8966)</f>
        <v>Other</v>
      </c>
    </row>
    <row r="8967" spans="1:7" x14ac:dyDescent="0.25">
      <c r="A8967">
        <v>81558</v>
      </c>
      <c r="B8967" t="s">
        <v>4</v>
      </c>
      <c r="C8967">
        <v>4</v>
      </c>
      <c r="D8967" t="s">
        <v>5</v>
      </c>
      <c r="F8967" t="str" cm="1">
        <f t="array" ref="F8967">CategorizeComment(E8967)</f>
        <v>Other</v>
      </c>
      <c r="G8967" t="str" cm="1">
        <f t="array" ref="G8967">SubCategorizeComment(E8967)</f>
        <v>Other</v>
      </c>
    </row>
    <row r="8968" spans="1:7" x14ac:dyDescent="0.25">
      <c r="A8968">
        <v>81562</v>
      </c>
      <c r="B8968" t="s">
        <v>4</v>
      </c>
      <c r="C8968">
        <v>3</v>
      </c>
      <c r="D8968" t="s">
        <v>5</v>
      </c>
      <c r="F8968" t="str" cm="1">
        <f t="array" ref="F8968">CategorizeComment(E8968)</f>
        <v>Other</v>
      </c>
      <c r="G8968" t="str" cm="1">
        <f t="array" ref="G8968">SubCategorizeComment(E8968)</f>
        <v>Other</v>
      </c>
    </row>
    <row r="8969" spans="1:7" x14ac:dyDescent="0.25">
      <c r="A8969">
        <v>81563</v>
      </c>
      <c r="B8969" t="s">
        <v>4</v>
      </c>
      <c r="C8969">
        <v>3</v>
      </c>
      <c r="D8969" t="s">
        <v>5</v>
      </c>
      <c r="F8969" t="str" cm="1">
        <f t="array" ref="F8969">CategorizeComment(E8969)</f>
        <v>Other</v>
      </c>
      <c r="G8969" t="str" cm="1">
        <f t="array" ref="G8969">SubCategorizeComment(E8969)</f>
        <v>Other</v>
      </c>
    </row>
    <row r="8970" spans="1:7" x14ac:dyDescent="0.25">
      <c r="A8970">
        <v>81572</v>
      </c>
      <c r="B8970" t="s">
        <v>4</v>
      </c>
      <c r="C8970">
        <v>4</v>
      </c>
      <c r="D8970" t="s">
        <v>5</v>
      </c>
      <c r="F8970" t="str" cm="1">
        <f t="array" ref="F8970">CategorizeComment(E8970)</f>
        <v>Other</v>
      </c>
      <c r="G8970" t="str" cm="1">
        <f t="array" ref="G8970">SubCategorizeComment(E8970)</f>
        <v>Other</v>
      </c>
    </row>
    <row r="8971" spans="1:7" x14ac:dyDescent="0.25">
      <c r="A8971">
        <v>81577</v>
      </c>
      <c r="B8971" t="s">
        <v>4</v>
      </c>
      <c r="C8971">
        <v>4</v>
      </c>
      <c r="D8971" t="s">
        <v>5</v>
      </c>
      <c r="F8971" t="str" cm="1">
        <f t="array" ref="F8971">CategorizeComment(E8971)</f>
        <v>Other</v>
      </c>
      <c r="G8971" t="str" cm="1">
        <f t="array" ref="G8971">SubCategorizeComment(E8971)</f>
        <v>Other</v>
      </c>
    </row>
    <row r="8972" spans="1:7" x14ac:dyDescent="0.25">
      <c r="A8972">
        <v>81603</v>
      </c>
      <c r="B8972" t="s">
        <v>4</v>
      </c>
      <c r="C8972">
        <v>3</v>
      </c>
      <c r="D8972" t="s">
        <v>5</v>
      </c>
      <c r="F8972" t="str" cm="1">
        <f t="array" ref="F8972">CategorizeComment(E8972)</f>
        <v>Other</v>
      </c>
      <c r="G8972" t="str" cm="1">
        <f t="array" ref="G8972">SubCategorizeComment(E8972)</f>
        <v>Other</v>
      </c>
    </row>
    <row r="8973" spans="1:7" x14ac:dyDescent="0.25">
      <c r="A8973">
        <v>81604</v>
      </c>
      <c r="B8973" t="s">
        <v>4</v>
      </c>
      <c r="C8973">
        <v>4</v>
      </c>
      <c r="D8973" t="s">
        <v>5</v>
      </c>
      <c r="F8973" t="str" cm="1">
        <f t="array" ref="F8973">CategorizeComment(E8973)</f>
        <v>Other</v>
      </c>
      <c r="G8973" t="str" cm="1">
        <f t="array" ref="G8973">SubCategorizeComment(E8973)</f>
        <v>Other</v>
      </c>
    </row>
    <row r="8974" spans="1:7" x14ac:dyDescent="0.25">
      <c r="A8974">
        <v>81605</v>
      </c>
      <c r="B8974" t="s">
        <v>4</v>
      </c>
      <c r="C8974">
        <v>3</v>
      </c>
      <c r="D8974" t="s">
        <v>5</v>
      </c>
      <c r="F8974" t="str" cm="1">
        <f t="array" ref="F8974">CategorizeComment(E8974)</f>
        <v>Other</v>
      </c>
      <c r="G8974" t="str" cm="1">
        <f t="array" ref="G8974">SubCategorizeComment(E8974)</f>
        <v>Other</v>
      </c>
    </row>
    <row r="8975" spans="1:7" x14ac:dyDescent="0.25">
      <c r="A8975">
        <v>81607</v>
      </c>
      <c r="B8975" t="s">
        <v>4</v>
      </c>
      <c r="C8975">
        <v>4</v>
      </c>
      <c r="D8975" t="s">
        <v>5</v>
      </c>
      <c r="F8975" t="str" cm="1">
        <f t="array" ref="F8975">CategorizeComment(E8975)</f>
        <v>Other</v>
      </c>
      <c r="G8975" t="str" cm="1">
        <f t="array" ref="G8975">SubCategorizeComment(E8975)</f>
        <v>Other</v>
      </c>
    </row>
    <row r="8976" spans="1:7" x14ac:dyDescent="0.25">
      <c r="A8976">
        <v>81618</v>
      </c>
      <c r="B8976" t="s">
        <v>4</v>
      </c>
      <c r="C8976">
        <v>4</v>
      </c>
      <c r="D8976" t="s">
        <v>5</v>
      </c>
      <c r="F8976" t="str" cm="1">
        <f t="array" ref="F8976">CategorizeComment(E8976)</f>
        <v>Other</v>
      </c>
      <c r="G8976" t="str" cm="1">
        <f t="array" ref="G8976">SubCategorizeComment(E8976)</f>
        <v>Other</v>
      </c>
    </row>
    <row r="8977" spans="1:7" x14ac:dyDescent="0.25">
      <c r="A8977">
        <v>81629</v>
      </c>
      <c r="B8977" t="s">
        <v>4</v>
      </c>
      <c r="C8977">
        <v>4</v>
      </c>
      <c r="D8977" t="s">
        <v>5</v>
      </c>
      <c r="F8977" t="str" cm="1">
        <f t="array" ref="F8977">CategorizeComment(E8977)</f>
        <v>Other</v>
      </c>
      <c r="G8977" t="str" cm="1">
        <f t="array" ref="G8977">SubCategorizeComment(E8977)</f>
        <v>Other</v>
      </c>
    </row>
    <row r="8978" spans="1:7" x14ac:dyDescent="0.25">
      <c r="A8978">
        <v>81662</v>
      </c>
      <c r="B8978" t="s">
        <v>4</v>
      </c>
      <c r="C8978">
        <v>3</v>
      </c>
      <c r="D8978" t="s">
        <v>5</v>
      </c>
      <c r="F8978" t="str" cm="1">
        <f t="array" ref="F8978">CategorizeComment(E8978)</f>
        <v>Other</v>
      </c>
      <c r="G8978" t="str" cm="1">
        <f t="array" ref="G8978">SubCategorizeComment(E8978)</f>
        <v>Other</v>
      </c>
    </row>
    <row r="8979" spans="1:7" x14ac:dyDescent="0.25">
      <c r="A8979">
        <v>81665</v>
      </c>
      <c r="B8979" t="s">
        <v>4</v>
      </c>
      <c r="C8979">
        <v>4</v>
      </c>
      <c r="D8979" t="s">
        <v>5</v>
      </c>
      <c r="F8979" t="str" cm="1">
        <f t="array" ref="F8979">CategorizeComment(E8979)</f>
        <v>Other</v>
      </c>
      <c r="G8979" t="str" cm="1">
        <f t="array" ref="G8979">SubCategorizeComment(E8979)</f>
        <v>Other</v>
      </c>
    </row>
    <row r="8980" spans="1:7" x14ac:dyDescent="0.25">
      <c r="A8980">
        <v>81673</v>
      </c>
      <c r="B8980" t="s">
        <v>4</v>
      </c>
      <c r="C8980">
        <v>3</v>
      </c>
      <c r="D8980" t="s">
        <v>5</v>
      </c>
      <c r="F8980" t="str" cm="1">
        <f t="array" ref="F8980">CategorizeComment(E8980)</f>
        <v>Other</v>
      </c>
      <c r="G8980" t="str" cm="1">
        <f t="array" ref="G8980">SubCategorizeComment(E8980)</f>
        <v>Other</v>
      </c>
    </row>
    <row r="8981" spans="1:7" x14ac:dyDescent="0.25">
      <c r="A8981">
        <v>81679</v>
      </c>
      <c r="B8981" t="s">
        <v>4</v>
      </c>
      <c r="C8981">
        <v>4</v>
      </c>
      <c r="D8981" t="s">
        <v>5</v>
      </c>
      <c r="F8981" t="str" cm="1">
        <f t="array" ref="F8981">CategorizeComment(E8981)</f>
        <v>Other</v>
      </c>
      <c r="G8981" t="str" cm="1">
        <f t="array" ref="G8981">SubCategorizeComment(E8981)</f>
        <v>Other</v>
      </c>
    </row>
    <row r="8982" spans="1:7" x14ac:dyDescent="0.25">
      <c r="A8982">
        <v>81686</v>
      </c>
      <c r="B8982" t="s">
        <v>4</v>
      </c>
      <c r="C8982">
        <v>4</v>
      </c>
      <c r="D8982" t="s">
        <v>5</v>
      </c>
      <c r="F8982" t="str" cm="1">
        <f t="array" ref="F8982">CategorizeComment(E8982)</f>
        <v>Other</v>
      </c>
      <c r="G8982" t="str" cm="1">
        <f t="array" ref="G8982">SubCategorizeComment(E8982)</f>
        <v>Other</v>
      </c>
    </row>
    <row r="8983" spans="1:7" x14ac:dyDescent="0.25">
      <c r="A8983">
        <v>81707</v>
      </c>
      <c r="B8983" t="s">
        <v>4</v>
      </c>
      <c r="C8983">
        <v>4</v>
      </c>
      <c r="D8983" t="s">
        <v>5</v>
      </c>
      <c r="F8983" t="str" cm="1">
        <f t="array" ref="F8983">CategorizeComment(E8983)</f>
        <v>Other</v>
      </c>
      <c r="G8983" t="str" cm="1">
        <f t="array" ref="G8983">SubCategorizeComment(E8983)</f>
        <v>Other</v>
      </c>
    </row>
    <row r="8984" spans="1:7" x14ac:dyDescent="0.25">
      <c r="A8984">
        <v>81713</v>
      </c>
      <c r="B8984" t="s">
        <v>4</v>
      </c>
      <c r="C8984">
        <v>3</v>
      </c>
      <c r="D8984" t="s">
        <v>5</v>
      </c>
      <c r="F8984" t="str" cm="1">
        <f t="array" ref="F8984">CategorizeComment(E8984)</f>
        <v>Other</v>
      </c>
      <c r="G8984" t="str" cm="1">
        <f t="array" ref="G8984">SubCategorizeComment(E8984)</f>
        <v>Other</v>
      </c>
    </row>
    <row r="8985" spans="1:7" x14ac:dyDescent="0.25">
      <c r="A8985">
        <v>81748</v>
      </c>
      <c r="B8985" t="s">
        <v>4</v>
      </c>
      <c r="C8985">
        <v>4</v>
      </c>
      <c r="D8985" t="s">
        <v>5</v>
      </c>
      <c r="F8985" t="str" cm="1">
        <f t="array" ref="F8985">CategorizeComment(E8985)</f>
        <v>Other</v>
      </c>
      <c r="G8985" t="str" cm="1">
        <f t="array" ref="G8985">SubCategorizeComment(E8985)</f>
        <v>Other</v>
      </c>
    </row>
    <row r="8986" spans="1:7" x14ac:dyDescent="0.25">
      <c r="A8986">
        <v>81757</v>
      </c>
      <c r="B8986" t="s">
        <v>4</v>
      </c>
      <c r="C8986">
        <v>3</v>
      </c>
      <c r="D8986" t="s">
        <v>5</v>
      </c>
      <c r="F8986" t="str" cm="1">
        <f t="array" ref="F8986">CategorizeComment(E8986)</f>
        <v>Other</v>
      </c>
      <c r="G8986" t="str" cm="1">
        <f t="array" ref="G8986">SubCategorizeComment(E8986)</f>
        <v>Other</v>
      </c>
    </row>
    <row r="8987" spans="1:7" x14ac:dyDescent="0.25">
      <c r="A8987">
        <v>81761</v>
      </c>
      <c r="B8987" t="s">
        <v>4</v>
      </c>
      <c r="C8987">
        <v>4</v>
      </c>
      <c r="D8987" t="s">
        <v>5</v>
      </c>
      <c r="F8987" t="str" cm="1">
        <f t="array" ref="F8987">CategorizeComment(E8987)</f>
        <v>Other</v>
      </c>
      <c r="G8987" t="str" cm="1">
        <f t="array" ref="G8987">SubCategorizeComment(E8987)</f>
        <v>Other</v>
      </c>
    </row>
    <row r="8988" spans="1:7" x14ac:dyDescent="0.25">
      <c r="A8988">
        <v>81763</v>
      </c>
      <c r="B8988" t="s">
        <v>4</v>
      </c>
      <c r="C8988">
        <v>4</v>
      </c>
      <c r="D8988" t="s">
        <v>5</v>
      </c>
      <c r="F8988" t="str" cm="1">
        <f t="array" ref="F8988">CategorizeComment(E8988)</f>
        <v>Other</v>
      </c>
      <c r="G8988" t="str" cm="1">
        <f t="array" ref="G8988">SubCategorizeComment(E8988)</f>
        <v>Other</v>
      </c>
    </row>
    <row r="8989" spans="1:7" x14ac:dyDescent="0.25">
      <c r="A8989">
        <v>81782</v>
      </c>
      <c r="B8989" t="s">
        <v>4</v>
      </c>
      <c r="C8989">
        <v>4</v>
      </c>
      <c r="D8989" t="s">
        <v>5</v>
      </c>
      <c r="F8989" t="str" cm="1">
        <f t="array" ref="F8989">CategorizeComment(E8989)</f>
        <v>Other</v>
      </c>
      <c r="G8989" t="str" cm="1">
        <f t="array" ref="G8989">SubCategorizeComment(E8989)</f>
        <v>Other</v>
      </c>
    </row>
    <row r="8990" spans="1:7" x14ac:dyDescent="0.25">
      <c r="A8990">
        <v>81783</v>
      </c>
      <c r="B8990" t="s">
        <v>4</v>
      </c>
      <c r="C8990">
        <v>3</v>
      </c>
      <c r="D8990" t="s">
        <v>5</v>
      </c>
      <c r="F8990" t="str" cm="1">
        <f t="array" ref="F8990">CategorizeComment(E8990)</f>
        <v>Other</v>
      </c>
      <c r="G8990" t="str" cm="1">
        <f t="array" ref="G8990">SubCategorizeComment(E8990)</f>
        <v>Other</v>
      </c>
    </row>
    <row r="8991" spans="1:7" x14ac:dyDescent="0.25">
      <c r="A8991">
        <v>81788</v>
      </c>
      <c r="B8991" t="s">
        <v>4</v>
      </c>
      <c r="C8991">
        <v>4</v>
      </c>
      <c r="D8991" t="s">
        <v>5</v>
      </c>
      <c r="F8991" t="str" cm="1">
        <f t="array" ref="F8991">CategorizeComment(E8991)</f>
        <v>Other</v>
      </c>
      <c r="G8991" t="str" cm="1">
        <f t="array" ref="G8991">SubCategorizeComment(E8991)</f>
        <v>Other</v>
      </c>
    </row>
    <row r="8992" spans="1:7" x14ac:dyDescent="0.25">
      <c r="A8992">
        <v>81798</v>
      </c>
      <c r="B8992" t="s">
        <v>4</v>
      </c>
      <c r="C8992">
        <v>3</v>
      </c>
      <c r="D8992" t="s">
        <v>5</v>
      </c>
      <c r="F8992" t="str" cm="1">
        <f t="array" ref="F8992">CategorizeComment(E8992)</f>
        <v>Other</v>
      </c>
      <c r="G8992" t="str" cm="1">
        <f t="array" ref="G8992">SubCategorizeComment(E8992)</f>
        <v>Other</v>
      </c>
    </row>
    <row r="8993" spans="1:7" x14ac:dyDescent="0.25">
      <c r="A8993">
        <v>81801</v>
      </c>
      <c r="B8993" t="s">
        <v>4</v>
      </c>
      <c r="C8993">
        <v>3</v>
      </c>
      <c r="D8993" t="s">
        <v>5</v>
      </c>
      <c r="F8993" t="str" cm="1">
        <f t="array" ref="F8993">CategorizeComment(E8993)</f>
        <v>Other</v>
      </c>
      <c r="G8993" t="str" cm="1">
        <f t="array" ref="G8993">SubCategorizeComment(E8993)</f>
        <v>Other</v>
      </c>
    </row>
    <row r="8994" spans="1:7" x14ac:dyDescent="0.25">
      <c r="A8994">
        <v>81809</v>
      </c>
      <c r="B8994" t="s">
        <v>4</v>
      </c>
      <c r="C8994">
        <v>3</v>
      </c>
      <c r="D8994" t="s">
        <v>5</v>
      </c>
      <c r="F8994" t="str" cm="1">
        <f t="array" ref="F8994">CategorizeComment(E8994)</f>
        <v>Other</v>
      </c>
      <c r="G8994" t="str" cm="1">
        <f t="array" ref="G8994">SubCategorizeComment(E8994)</f>
        <v>Other</v>
      </c>
    </row>
    <row r="8995" spans="1:7" x14ac:dyDescent="0.25">
      <c r="A8995">
        <v>81815</v>
      </c>
      <c r="B8995" t="s">
        <v>4</v>
      </c>
      <c r="C8995">
        <v>3</v>
      </c>
      <c r="D8995" t="s">
        <v>5</v>
      </c>
      <c r="F8995" t="str" cm="1">
        <f t="array" ref="F8995">CategorizeComment(E8995)</f>
        <v>Other</v>
      </c>
      <c r="G8995" t="str" cm="1">
        <f t="array" ref="G8995">SubCategorizeComment(E8995)</f>
        <v>Other</v>
      </c>
    </row>
    <row r="8996" spans="1:7" x14ac:dyDescent="0.25">
      <c r="A8996">
        <v>81823</v>
      </c>
      <c r="B8996" t="s">
        <v>4</v>
      </c>
      <c r="C8996">
        <v>4</v>
      </c>
      <c r="D8996" t="s">
        <v>5</v>
      </c>
      <c r="F8996" t="str" cm="1">
        <f t="array" ref="F8996">CategorizeComment(E8996)</f>
        <v>Other</v>
      </c>
      <c r="G8996" t="str" cm="1">
        <f t="array" ref="G8996">SubCategorizeComment(E8996)</f>
        <v>Other</v>
      </c>
    </row>
    <row r="8997" spans="1:7" x14ac:dyDescent="0.25">
      <c r="A8997">
        <v>81842</v>
      </c>
      <c r="B8997" t="s">
        <v>4</v>
      </c>
      <c r="C8997">
        <v>3</v>
      </c>
      <c r="D8997" t="s">
        <v>5</v>
      </c>
      <c r="F8997" t="str" cm="1">
        <f t="array" ref="F8997">CategorizeComment(E8997)</f>
        <v>Other</v>
      </c>
      <c r="G8997" t="str" cm="1">
        <f t="array" ref="G8997">SubCategorizeComment(E8997)</f>
        <v>Other</v>
      </c>
    </row>
    <row r="8998" spans="1:7" x14ac:dyDescent="0.25">
      <c r="A8998">
        <v>81858</v>
      </c>
      <c r="B8998" t="s">
        <v>4</v>
      </c>
      <c r="C8998">
        <v>3</v>
      </c>
      <c r="D8998" t="s">
        <v>5</v>
      </c>
      <c r="F8998" t="str" cm="1">
        <f t="array" ref="F8998">CategorizeComment(E8998)</f>
        <v>Other</v>
      </c>
      <c r="G8998" t="str" cm="1">
        <f t="array" ref="G8998">SubCategorizeComment(E8998)</f>
        <v>Other</v>
      </c>
    </row>
    <row r="8999" spans="1:7" x14ac:dyDescent="0.25">
      <c r="A8999">
        <v>81863</v>
      </c>
      <c r="B8999" t="s">
        <v>4</v>
      </c>
      <c r="C8999">
        <v>3</v>
      </c>
      <c r="D8999" t="s">
        <v>5</v>
      </c>
      <c r="F8999" t="str" cm="1">
        <f t="array" ref="F8999">CategorizeComment(E8999)</f>
        <v>Other</v>
      </c>
      <c r="G8999" t="str" cm="1">
        <f t="array" ref="G8999">SubCategorizeComment(E8999)</f>
        <v>Other</v>
      </c>
    </row>
    <row r="9000" spans="1:7" x14ac:dyDescent="0.25">
      <c r="A9000">
        <v>81894</v>
      </c>
      <c r="B9000" t="s">
        <v>4</v>
      </c>
      <c r="C9000">
        <v>3</v>
      </c>
      <c r="D9000" t="s">
        <v>5</v>
      </c>
      <c r="F9000" t="str" cm="1">
        <f t="array" ref="F9000">CategorizeComment(E9000)</f>
        <v>Other</v>
      </c>
      <c r="G9000" t="str" cm="1">
        <f t="array" ref="G9000">SubCategorizeComment(E9000)</f>
        <v>Other</v>
      </c>
    </row>
    <row r="9001" spans="1:7" x14ac:dyDescent="0.25">
      <c r="A9001">
        <v>81899</v>
      </c>
      <c r="B9001" t="s">
        <v>4</v>
      </c>
      <c r="C9001">
        <v>4</v>
      </c>
      <c r="D9001" t="s">
        <v>5</v>
      </c>
      <c r="F9001" t="str" cm="1">
        <f t="array" ref="F9001">CategorizeComment(E9001)</f>
        <v>Other</v>
      </c>
      <c r="G9001" t="str" cm="1">
        <f t="array" ref="G9001">SubCategorizeComment(E9001)</f>
        <v>Other</v>
      </c>
    </row>
    <row r="9002" spans="1:7" x14ac:dyDescent="0.25">
      <c r="A9002">
        <v>81900</v>
      </c>
      <c r="B9002" t="s">
        <v>4</v>
      </c>
      <c r="C9002">
        <v>4</v>
      </c>
      <c r="D9002" t="s">
        <v>5</v>
      </c>
      <c r="F9002" t="str" cm="1">
        <f t="array" ref="F9002">CategorizeComment(E9002)</f>
        <v>Other</v>
      </c>
      <c r="G9002" t="str" cm="1">
        <f t="array" ref="G9002">SubCategorizeComment(E9002)</f>
        <v>Other</v>
      </c>
    </row>
    <row r="9003" spans="1:7" x14ac:dyDescent="0.25">
      <c r="A9003">
        <v>81930</v>
      </c>
      <c r="B9003" t="s">
        <v>4</v>
      </c>
      <c r="C9003">
        <v>4</v>
      </c>
      <c r="D9003" t="s">
        <v>5</v>
      </c>
      <c r="F9003" t="str" cm="1">
        <f t="array" ref="F9003">CategorizeComment(E9003)</f>
        <v>Other</v>
      </c>
      <c r="G9003" t="str" cm="1">
        <f t="array" ref="G9003">SubCategorizeComment(E9003)</f>
        <v>Other</v>
      </c>
    </row>
    <row r="9004" spans="1:7" x14ac:dyDescent="0.25">
      <c r="A9004">
        <v>81975</v>
      </c>
      <c r="B9004" t="s">
        <v>4</v>
      </c>
      <c r="C9004">
        <v>4</v>
      </c>
      <c r="D9004" t="s">
        <v>5</v>
      </c>
      <c r="F9004" t="str" cm="1">
        <f t="array" ref="F9004">CategorizeComment(E9004)</f>
        <v>Other</v>
      </c>
      <c r="G9004" t="str" cm="1">
        <f t="array" ref="G9004">SubCategorizeComment(E9004)</f>
        <v>Other</v>
      </c>
    </row>
    <row r="9005" spans="1:7" x14ac:dyDescent="0.25">
      <c r="A9005">
        <v>81983</v>
      </c>
      <c r="B9005" t="s">
        <v>4</v>
      </c>
      <c r="C9005">
        <v>3</v>
      </c>
      <c r="D9005" t="s">
        <v>5</v>
      </c>
      <c r="F9005" t="str" cm="1">
        <f t="array" ref="F9005">CategorizeComment(E9005)</f>
        <v>Other</v>
      </c>
      <c r="G9005" t="str" cm="1">
        <f t="array" ref="G9005">SubCategorizeComment(E9005)</f>
        <v>Other</v>
      </c>
    </row>
    <row r="9006" spans="1:7" x14ac:dyDescent="0.25">
      <c r="A9006">
        <v>81987</v>
      </c>
      <c r="B9006" t="s">
        <v>4</v>
      </c>
      <c r="C9006">
        <v>4</v>
      </c>
      <c r="D9006" t="s">
        <v>5</v>
      </c>
      <c r="F9006" t="str" cm="1">
        <f t="array" ref="F9006">CategorizeComment(E9006)</f>
        <v>Other</v>
      </c>
      <c r="G9006" t="str" cm="1">
        <f t="array" ref="G9006">SubCategorizeComment(E9006)</f>
        <v>Other</v>
      </c>
    </row>
    <row r="9007" spans="1:7" x14ac:dyDescent="0.25">
      <c r="A9007">
        <v>81992</v>
      </c>
      <c r="B9007" t="s">
        <v>4</v>
      </c>
      <c r="C9007">
        <v>4</v>
      </c>
      <c r="D9007" t="s">
        <v>5</v>
      </c>
      <c r="F9007" t="str" cm="1">
        <f t="array" ref="F9007">CategorizeComment(E9007)</f>
        <v>Other</v>
      </c>
      <c r="G9007" t="str" cm="1">
        <f t="array" ref="G9007">SubCategorizeComment(E9007)</f>
        <v>Other</v>
      </c>
    </row>
    <row r="9008" spans="1:7" x14ac:dyDescent="0.25">
      <c r="A9008">
        <v>81993</v>
      </c>
      <c r="B9008" t="s">
        <v>4</v>
      </c>
      <c r="C9008">
        <v>4</v>
      </c>
      <c r="D9008" t="s">
        <v>5</v>
      </c>
      <c r="F9008" t="str" cm="1">
        <f t="array" ref="F9008">CategorizeComment(E9008)</f>
        <v>Other</v>
      </c>
      <c r="G9008" t="str" cm="1">
        <f t="array" ref="G9008">SubCategorizeComment(E9008)</f>
        <v>Other</v>
      </c>
    </row>
    <row r="9009" spans="1:7" x14ac:dyDescent="0.25">
      <c r="A9009">
        <v>82002</v>
      </c>
      <c r="B9009" t="s">
        <v>4</v>
      </c>
      <c r="C9009">
        <v>4</v>
      </c>
      <c r="D9009" t="s">
        <v>5</v>
      </c>
      <c r="F9009" t="str" cm="1">
        <f t="array" ref="F9009">CategorizeComment(E9009)</f>
        <v>Other</v>
      </c>
      <c r="G9009" t="str" cm="1">
        <f t="array" ref="G9009">SubCategorizeComment(E9009)</f>
        <v>Other</v>
      </c>
    </row>
    <row r="9010" spans="1:7" x14ac:dyDescent="0.25">
      <c r="A9010">
        <v>82028</v>
      </c>
      <c r="B9010" t="s">
        <v>4</v>
      </c>
      <c r="C9010">
        <v>4</v>
      </c>
      <c r="D9010" t="s">
        <v>5</v>
      </c>
      <c r="F9010" t="str" cm="1">
        <f t="array" ref="F9010">CategorizeComment(E9010)</f>
        <v>Other</v>
      </c>
      <c r="G9010" t="str" cm="1">
        <f t="array" ref="G9010">SubCategorizeComment(E9010)</f>
        <v>Other</v>
      </c>
    </row>
    <row r="9011" spans="1:7" x14ac:dyDescent="0.25">
      <c r="A9011">
        <v>82033</v>
      </c>
      <c r="B9011" t="s">
        <v>4</v>
      </c>
      <c r="C9011">
        <v>3</v>
      </c>
      <c r="D9011" t="s">
        <v>5</v>
      </c>
      <c r="F9011" t="str" cm="1">
        <f t="array" ref="F9011">CategorizeComment(E9011)</f>
        <v>Other</v>
      </c>
      <c r="G9011" t="str" cm="1">
        <f t="array" ref="G9011">SubCategorizeComment(E9011)</f>
        <v>Other</v>
      </c>
    </row>
    <row r="9012" spans="1:7" x14ac:dyDescent="0.25">
      <c r="A9012">
        <v>82044</v>
      </c>
      <c r="B9012" t="s">
        <v>4</v>
      </c>
      <c r="C9012">
        <v>3</v>
      </c>
      <c r="D9012" t="s">
        <v>5</v>
      </c>
      <c r="F9012" t="str" cm="1">
        <f t="array" ref="F9012">CategorizeComment(E9012)</f>
        <v>Other</v>
      </c>
      <c r="G9012" t="str" cm="1">
        <f t="array" ref="G9012">SubCategorizeComment(E9012)</f>
        <v>Other</v>
      </c>
    </row>
    <row r="9013" spans="1:7" x14ac:dyDescent="0.25">
      <c r="A9013">
        <v>82053</v>
      </c>
      <c r="B9013" t="s">
        <v>4</v>
      </c>
      <c r="C9013">
        <v>4</v>
      </c>
      <c r="D9013" t="s">
        <v>5</v>
      </c>
      <c r="F9013" t="str" cm="1">
        <f t="array" ref="F9013">CategorizeComment(E9013)</f>
        <v>Other</v>
      </c>
      <c r="G9013" t="str" cm="1">
        <f t="array" ref="G9013">SubCategorizeComment(E9013)</f>
        <v>Other</v>
      </c>
    </row>
    <row r="9014" spans="1:7" x14ac:dyDescent="0.25">
      <c r="A9014">
        <v>82056</v>
      </c>
      <c r="B9014" t="s">
        <v>4</v>
      </c>
      <c r="C9014">
        <v>4</v>
      </c>
      <c r="D9014" t="s">
        <v>5</v>
      </c>
      <c r="F9014" t="str" cm="1">
        <f t="array" ref="F9014">CategorizeComment(E9014)</f>
        <v>Other</v>
      </c>
      <c r="G9014" t="str" cm="1">
        <f t="array" ref="G9014">SubCategorizeComment(E9014)</f>
        <v>Other</v>
      </c>
    </row>
    <row r="9015" spans="1:7" x14ac:dyDescent="0.25">
      <c r="A9015">
        <v>82080</v>
      </c>
      <c r="B9015" t="s">
        <v>4</v>
      </c>
      <c r="C9015">
        <v>3</v>
      </c>
      <c r="D9015" t="s">
        <v>5</v>
      </c>
      <c r="F9015" t="str" cm="1">
        <f t="array" ref="F9015">CategorizeComment(E9015)</f>
        <v>Other</v>
      </c>
      <c r="G9015" t="str" cm="1">
        <f t="array" ref="G9015">SubCategorizeComment(E9015)</f>
        <v>Other</v>
      </c>
    </row>
    <row r="9016" spans="1:7" x14ac:dyDescent="0.25">
      <c r="A9016">
        <v>82111</v>
      </c>
      <c r="B9016" t="s">
        <v>4</v>
      </c>
      <c r="C9016">
        <v>3</v>
      </c>
      <c r="D9016" t="s">
        <v>5</v>
      </c>
      <c r="F9016" t="str" cm="1">
        <f t="array" ref="F9016">CategorizeComment(E9016)</f>
        <v>Other</v>
      </c>
      <c r="G9016" t="str" cm="1">
        <f t="array" ref="G9016">SubCategorizeComment(E9016)</f>
        <v>Other</v>
      </c>
    </row>
    <row r="9017" spans="1:7" x14ac:dyDescent="0.25">
      <c r="A9017">
        <v>82116</v>
      </c>
      <c r="B9017" t="s">
        <v>4</v>
      </c>
      <c r="C9017">
        <v>3</v>
      </c>
      <c r="D9017" t="s">
        <v>5</v>
      </c>
      <c r="F9017" t="str" cm="1">
        <f t="array" ref="F9017">CategorizeComment(E9017)</f>
        <v>Other</v>
      </c>
      <c r="G9017" t="str" cm="1">
        <f t="array" ref="G9017">SubCategorizeComment(E9017)</f>
        <v>Other</v>
      </c>
    </row>
    <row r="9018" spans="1:7" x14ac:dyDescent="0.25">
      <c r="A9018">
        <v>82119</v>
      </c>
      <c r="B9018" t="s">
        <v>4</v>
      </c>
      <c r="C9018">
        <v>4</v>
      </c>
      <c r="D9018" t="s">
        <v>5</v>
      </c>
      <c r="F9018" t="str" cm="1">
        <f t="array" ref="F9018">CategorizeComment(E9018)</f>
        <v>Other</v>
      </c>
      <c r="G9018" t="str" cm="1">
        <f t="array" ref="G9018">SubCategorizeComment(E9018)</f>
        <v>Other</v>
      </c>
    </row>
    <row r="9019" spans="1:7" x14ac:dyDescent="0.25">
      <c r="A9019">
        <v>82123</v>
      </c>
      <c r="B9019" t="s">
        <v>4</v>
      </c>
      <c r="C9019">
        <v>4</v>
      </c>
      <c r="D9019" t="s">
        <v>5</v>
      </c>
      <c r="F9019" t="str" cm="1">
        <f t="array" ref="F9019">CategorizeComment(E9019)</f>
        <v>Other</v>
      </c>
      <c r="G9019" t="str" cm="1">
        <f t="array" ref="G9019">SubCategorizeComment(E9019)</f>
        <v>Other</v>
      </c>
    </row>
    <row r="9020" spans="1:7" x14ac:dyDescent="0.25">
      <c r="A9020">
        <v>82129</v>
      </c>
      <c r="B9020" t="s">
        <v>4</v>
      </c>
      <c r="C9020">
        <v>3</v>
      </c>
      <c r="D9020" t="s">
        <v>5</v>
      </c>
      <c r="F9020" t="str" cm="1">
        <f t="array" ref="F9020">CategorizeComment(E9020)</f>
        <v>Other</v>
      </c>
      <c r="G9020" t="str" cm="1">
        <f t="array" ref="G9020">SubCategorizeComment(E9020)</f>
        <v>Other</v>
      </c>
    </row>
    <row r="9021" spans="1:7" x14ac:dyDescent="0.25">
      <c r="A9021">
        <v>82155</v>
      </c>
      <c r="B9021" t="s">
        <v>4</v>
      </c>
      <c r="C9021">
        <v>3</v>
      </c>
      <c r="D9021" t="s">
        <v>5</v>
      </c>
      <c r="F9021" t="str" cm="1">
        <f t="array" ref="F9021">CategorizeComment(E9021)</f>
        <v>Other</v>
      </c>
      <c r="G9021" t="str" cm="1">
        <f t="array" ref="G9021">SubCategorizeComment(E9021)</f>
        <v>Other</v>
      </c>
    </row>
    <row r="9022" spans="1:7" x14ac:dyDescent="0.25">
      <c r="A9022">
        <v>82157</v>
      </c>
      <c r="B9022" t="s">
        <v>4</v>
      </c>
      <c r="C9022">
        <v>4</v>
      </c>
      <c r="D9022" t="s">
        <v>5</v>
      </c>
      <c r="F9022" t="str" cm="1">
        <f t="array" ref="F9022">CategorizeComment(E9022)</f>
        <v>Other</v>
      </c>
      <c r="G9022" t="str" cm="1">
        <f t="array" ref="G9022">SubCategorizeComment(E9022)</f>
        <v>Other</v>
      </c>
    </row>
    <row r="9023" spans="1:7" x14ac:dyDescent="0.25">
      <c r="A9023">
        <v>82166</v>
      </c>
      <c r="B9023" t="s">
        <v>4</v>
      </c>
      <c r="C9023">
        <v>4</v>
      </c>
      <c r="D9023" t="s">
        <v>5</v>
      </c>
      <c r="F9023" t="str" cm="1">
        <f t="array" ref="F9023">CategorizeComment(E9023)</f>
        <v>Other</v>
      </c>
      <c r="G9023" t="str" cm="1">
        <f t="array" ref="G9023">SubCategorizeComment(E9023)</f>
        <v>Other</v>
      </c>
    </row>
    <row r="9024" spans="1:7" x14ac:dyDescent="0.25">
      <c r="A9024">
        <v>82174</v>
      </c>
      <c r="B9024" t="s">
        <v>4</v>
      </c>
      <c r="C9024">
        <v>3</v>
      </c>
      <c r="D9024" t="s">
        <v>5</v>
      </c>
      <c r="F9024" t="str" cm="1">
        <f t="array" ref="F9024">CategorizeComment(E9024)</f>
        <v>Other</v>
      </c>
      <c r="G9024" t="str" cm="1">
        <f t="array" ref="G9024">SubCategorizeComment(E9024)</f>
        <v>Other</v>
      </c>
    </row>
    <row r="9025" spans="1:7" x14ac:dyDescent="0.25">
      <c r="A9025">
        <v>82175</v>
      </c>
      <c r="B9025" t="s">
        <v>4</v>
      </c>
      <c r="C9025">
        <v>4</v>
      </c>
      <c r="D9025" t="s">
        <v>5</v>
      </c>
      <c r="F9025" t="str" cm="1">
        <f t="array" ref="F9025">CategorizeComment(E9025)</f>
        <v>Other</v>
      </c>
      <c r="G9025" t="str" cm="1">
        <f t="array" ref="G9025">SubCategorizeComment(E9025)</f>
        <v>Other</v>
      </c>
    </row>
    <row r="9026" spans="1:7" x14ac:dyDescent="0.25">
      <c r="A9026">
        <v>82181</v>
      </c>
      <c r="B9026" t="s">
        <v>4</v>
      </c>
      <c r="C9026">
        <v>3</v>
      </c>
      <c r="D9026" t="s">
        <v>5</v>
      </c>
      <c r="F9026" t="str" cm="1">
        <f t="array" ref="F9026">CategorizeComment(E9026)</f>
        <v>Other</v>
      </c>
      <c r="G9026" t="str" cm="1">
        <f t="array" ref="G9026">SubCategorizeComment(E9026)</f>
        <v>Other</v>
      </c>
    </row>
    <row r="9027" spans="1:7" x14ac:dyDescent="0.25">
      <c r="A9027">
        <v>82191</v>
      </c>
      <c r="B9027" t="s">
        <v>4</v>
      </c>
      <c r="C9027">
        <v>3</v>
      </c>
      <c r="D9027" t="s">
        <v>5</v>
      </c>
      <c r="F9027" t="str" cm="1">
        <f t="array" ref="F9027">CategorizeComment(E9027)</f>
        <v>Other</v>
      </c>
      <c r="G9027" t="str" cm="1">
        <f t="array" ref="G9027">SubCategorizeComment(E9027)</f>
        <v>Other</v>
      </c>
    </row>
    <row r="9028" spans="1:7" x14ac:dyDescent="0.25">
      <c r="A9028">
        <v>82192</v>
      </c>
      <c r="B9028" t="s">
        <v>4</v>
      </c>
      <c r="C9028">
        <v>3</v>
      </c>
      <c r="D9028" t="s">
        <v>5</v>
      </c>
      <c r="F9028" t="str" cm="1">
        <f t="array" ref="F9028">CategorizeComment(E9028)</f>
        <v>Other</v>
      </c>
      <c r="G9028" t="str" cm="1">
        <f t="array" ref="G9028">SubCategorizeComment(E9028)</f>
        <v>Other</v>
      </c>
    </row>
    <row r="9029" spans="1:7" x14ac:dyDescent="0.25">
      <c r="A9029">
        <v>82195</v>
      </c>
      <c r="B9029" t="s">
        <v>4</v>
      </c>
      <c r="C9029">
        <v>4</v>
      </c>
      <c r="D9029" t="s">
        <v>5</v>
      </c>
      <c r="F9029" t="str" cm="1">
        <f t="array" ref="F9029">CategorizeComment(E9029)</f>
        <v>Other</v>
      </c>
      <c r="G9029" t="str" cm="1">
        <f t="array" ref="G9029">SubCategorizeComment(E9029)</f>
        <v>Other</v>
      </c>
    </row>
    <row r="9030" spans="1:7" x14ac:dyDescent="0.25">
      <c r="A9030">
        <v>82196</v>
      </c>
      <c r="B9030" t="s">
        <v>4</v>
      </c>
      <c r="C9030">
        <v>3</v>
      </c>
      <c r="D9030" t="s">
        <v>5</v>
      </c>
      <c r="F9030" t="str" cm="1">
        <f t="array" ref="F9030">CategorizeComment(E9030)</f>
        <v>Other</v>
      </c>
      <c r="G9030" t="str" cm="1">
        <f t="array" ref="G9030">SubCategorizeComment(E9030)</f>
        <v>Other</v>
      </c>
    </row>
    <row r="9031" spans="1:7" x14ac:dyDescent="0.25">
      <c r="A9031">
        <v>82223</v>
      </c>
      <c r="B9031" t="s">
        <v>4</v>
      </c>
      <c r="C9031">
        <v>3</v>
      </c>
      <c r="D9031" t="s">
        <v>5</v>
      </c>
      <c r="F9031" t="str" cm="1">
        <f t="array" ref="F9031">CategorizeComment(E9031)</f>
        <v>Other</v>
      </c>
      <c r="G9031" t="str" cm="1">
        <f t="array" ref="G9031">SubCategorizeComment(E9031)</f>
        <v>Other</v>
      </c>
    </row>
    <row r="9032" spans="1:7" x14ac:dyDescent="0.25">
      <c r="A9032">
        <v>82229</v>
      </c>
      <c r="B9032" t="s">
        <v>4</v>
      </c>
      <c r="C9032">
        <v>3</v>
      </c>
      <c r="D9032" t="s">
        <v>5</v>
      </c>
      <c r="F9032" t="str" cm="1">
        <f t="array" ref="F9032">CategorizeComment(E9032)</f>
        <v>Other</v>
      </c>
      <c r="G9032" t="str" cm="1">
        <f t="array" ref="G9032">SubCategorizeComment(E9032)</f>
        <v>Other</v>
      </c>
    </row>
    <row r="9033" spans="1:7" x14ac:dyDescent="0.25">
      <c r="A9033">
        <v>82231</v>
      </c>
      <c r="B9033" t="s">
        <v>4</v>
      </c>
      <c r="C9033">
        <v>4</v>
      </c>
      <c r="D9033" t="s">
        <v>5</v>
      </c>
      <c r="F9033" t="str" cm="1">
        <f t="array" ref="F9033">CategorizeComment(E9033)</f>
        <v>Other</v>
      </c>
      <c r="G9033" t="str" cm="1">
        <f t="array" ref="G9033">SubCategorizeComment(E9033)</f>
        <v>Other</v>
      </c>
    </row>
    <row r="9034" spans="1:7" x14ac:dyDescent="0.25">
      <c r="A9034">
        <v>82275</v>
      </c>
      <c r="B9034" t="s">
        <v>4</v>
      </c>
      <c r="C9034">
        <v>4</v>
      </c>
      <c r="D9034" t="s">
        <v>5</v>
      </c>
      <c r="F9034" t="str" cm="1">
        <f t="array" ref="F9034">CategorizeComment(E9034)</f>
        <v>Other</v>
      </c>
      <c r="G9034" t="str" cm="1">
        <f t="array" ref="G9034">SubCategorizeComment(E9034)</f>
        <v>Other</v>
      </c>
    </row>
    <row r="9035" spans="1:7" x14ac:dyDescent="0.25">
      <c r="A9035">
        <v>82277</v>
      </c>
      <c r="B9035" t="s">
        <v>4</v>
      </c>
      <c r="C9035">
        <v>4</v>
      </c>
      <c r="D9035" t="s">
        <v>5</v>
      </c>
      <c r="F9035" t="str" cm="1">
        <f t="array" ref="F9035">CategorizeComment(E9035)</f>
        <v>Other</v>
      </c>
      <c r="G9035" t="str" cm="1">
        <f t="array" ref="G9035">SubCategorizeComment(E9035)</f>
        <v>Other</v>
      </c>
    </row>
    <row r="9036" spans="1:7" x14ac:dyDescent="0.25">
      <c r="A9036">
        <v>82279</v>
      </c>
      <c r="B9036" t="s">
        <v>4</v>
      </c>
      <c r="C9036">
        <v>4</v>
      </c>
      <c r="D9036" t="s">
        <v>5</v>
      </c>
      <c r="F9036" t="str" cm="1">
        <f t="array" ref="F9036">CategorizeComment(E9036)</f>
        <v>Other</v>
      </c>
      <c r="G9036" t="str" cm="1">
        <f t="array" ref="G9036">SubCategorizeComment(E9036)</f>
        <v>Other</v>
      </c>
    </row>
    <row r="9037" spans="1:7" x14ac:dyDescent="0.25">
      <c r="A9037">
        <v>82283</v>
      </c>
      <c r="B9037" t="s">
        <v>4</v>
      </c>
      <c r="C9037">
        <v>4</v>
      </c>
      <c r="D9037" t="s">
        <v>5</v>
      </c>
      <c r="F9037" t="str" cm="1">
        <f t="array" ref="F9037">CategorizeComment(E9037)</f>
        <v>Other</v>
      </c>
      <c r="G9037" t="str" cm="1">
        <f t="array" ref="G9037">SubCategorizeComment(E9037)</f>
        <v>Other</v>
      </c>
    </row>
    <row r="9038" spans="1:7" x14ac:dyDescent="0.25">
      <c r="A9038">
        <v>82298</v>
      </c>
      <c r="B9038" t="s">
        <v>4</v>
      </c>
      <c r="C9038">
        <v>3</v>
      </c>
      <c r="D9038" t="s">
        <v>5</v>
      </c>
      <c r="F9038" t="str" cm="1">
        <f t="array" ref="F9038">CategorizeComment(E9038)</f>
        <v>Other</v>
      </c>
      <c r="G9038" t="str" cm="1">
        <f t="array" ref="G9038">SubCategorizeComment(E9038)</f>
        <v>Other</v>
      </c>
    </row>
    <row r="9039" spans="1:7" x14ac:dyDescent="0.25">
      <c r="A9039">
        <v>82303</v>
      </c>
      <c r="B9039" t="s">
        <v>4</v>
      </c>
      <c r="C9039">
        <v>3</v>
      </c>
      <c r="D9039" t="s">
        <v>5</v>
      </c>
      <c r="F9039" t="str" cm="1">
        <f t="array" ref="F9039">CategorizeComment(E9039)</f>
        <v>Other</v>
      </c>
      <c r="G9039" t="str" cm="1">
        <f t="array" ref="G9039">SubCategorizeComment(E9039)</f>
        <v>Other</v>
      </c>
    </row>
    <row r="9040" spans="1:7" x14ac:dyDescent="0.25">
      <c r="A9040">
        <v>82304</v>
      </c>
      <c r="B9040" t="s">
        <v>4</v>
      </c>
      <c r="C9040">
        <v>4</v>
      </c>
      <c r="D9040" t="s">
        <v>5</v>
      </c>
      <c r="F9040" t="str" cm="1">
        <f t="array" ref="F9040">CategorizeComment(E9040)</f>
        <v>Other</v>
      </c>
      <c r="G9040" t="str" cm="1">
        <f t="array" ref="G9040">SubCategorizeComment(E9040)</f>
        <v>Other</v>
      </c>
    </row>
    <row r="9041" spans="1:7" x14ac:dyDescent="0.25">
      <c r="A9041">
        <v>82320</v>
      </c>
      <c r="B9041" t="s">
        <v>4</v>
      </c>
      <c r="C9041">
        <v>4</v>
      </c>
      <c r="D9041" t="s">
        <v>5</v>
      </c>
      <c r="F9041" t="str" cm="1">
        <f t="array" ref="F9041">CategorizeComment(E9041)</f>
        <v>Other</v>
      </c>
      <c r="G9041" t="str" cm="1">
        <f t="array" ref="G9041">SubCategorizeComment(E9041)</f>
        <v>Other</v>
      </c>
    </row>
    <row r="9042" spans="1:7" x14ac:dyDescent="0.25">
      <c r="A9042">
        <v>82323</v>
      </c>
      <c r="B9042" t="s">
        <v>4</v>
      </c>
      <c r="C9042">
        <v>4</v>
      </c>
      <c r="D9042" t="s">
        <v>5</v>
      </c>
      <c r="F9042" t="str" cm="1">
        <f t="array" ref="F9042">CategorizeComment(E9042)</f>
        <v>Other</v>
      </c>
      <c r="G9042" t="str" cm="1">
        <f t="array" ref="G9042">SubCategorizeComment(E9042)</f>
        <v>Other</v>
      </c>
    </row>
    <row r="9043" spans="1:7" x14ac:dyDescent="0.25">
      <c r="A9043">
        <v>82326</v>
      </c>
      <c r="B9043" t="s">
        <v>4</v>
      </c>
      <c r="C9043">
        <v>3</v>
      </c>
      <c r="D9043" t="s">
        <v>5</v>
      </c>
      <c r="F9043" t="str" cm="1">
        <f t="array" ref="F9043">CategorizeComment(E9043)</f>
        <v>Other</v>
      </c>
      <c r="G9043" t="str" cm="1">
        <f t="array" ref="G9043">SubCategorizeComment(E9043)</f>
        <v>Other</v>
      </c>
    </row>
    <row r="9044" spans="1:7" x14ac:dyDescent="0.25">
      <c r="A9044">
        <v>82327</v>
      </c>
      <c r="B9044" t="s">
        <v>4</v>
      </c>
      <c r="C9044">
        <v>3</v>
      </c>
      <c r="D9044" t="s">
        <v>5</v>
      </c>
      <c r="F9044" t="str" cm="1">
        <f t="array" ref="F9044">CategorizeComment(E9044)</f>
        <v>Other</v>
      </c>
      <c r="G9044" t="str" cm="1">
        <f t="array" ref="G9044">SubCategorizeComment(E9044)</f>
        <v>Other</v>
      </c>
    </row>
    <row r="9045" spans="1:7" x14ac:dyDescent="0.25">
      <c r="A9045">
        <v>82347</v>
      </c>
      <c r="B9045" t="s">
        <v>4</v>
      </c>
      <c r="C9045">
        <v>4</v>
      </c>
      <c r="D9045" t="s">
        <v>5</v>
      </c>
      <c r="F9045" t="str" cm="1">
        <f t="array" ref="F9045">CategorizeComment(E9045)</f>
        <v>Other</v>
      </c>
      <c r="G9045" t="str" cm="1">
        <f t="array" ref="G9045">SubCategorizeComment(E9045)</f>
        <v>Other</v>
      </c>
    </row>
    <row r="9046" spans="1:7" x14ac:dyDescent="0.25">
      <c r="A9046">
        <v>82351</v>
      </c>
      <c r="B9046" t="s">
        <v>4</v>
      </c>
      <c r="C9046">
        <v>4</v>
      </c>
      <c r="D9046" t="s">
        <v>5</v>
      </c>
      <c r="F9046" t="str" cm="1">
        <f t="array" ref="F9046">CategorizeComment(E9046)</f>
        <v>Other</v>
      </c>
      <c r="G9046" t="str" cm="1">
        <f t="array" ref="G9046">SubCategorizeComment(E9046)</f>
        <v>Other</v>
      </c>
    </row>
    <row r="9047" spans="1:7" x14ac:dyDescent="0.25">
      <c r="A9047">
        <v>82352</v>
      </c>
      <c r="B9047" t="s">
        <v>4</v>
      </c>
      <c r="C9047">
        <v>3</v>
      </c>
      <c r="D9047" t="s">
        <v>5</v>
      </c>
      <c r="F9047" t="str" cm="1">
        <f t="array" ref="F9047">CategorizeComment(E9047)</f>
        <v>Other</v>
      </c>
      <c r="G9047" t="str" cm="1">
        <f t="array" ref="G9047">SubCategorizeComment(E9047)</f>
        <v>Other</v>
      </c>
    </row>
    <row r="9048" spans="1:7" x14ac:dyDescent="0.25">
      <c r="A9048">
        <v>82355</v>
      </c>
      <c r="B9048" t="s">
        <v>4</v>
      </c>
      <c r="C9048">
        <v>4</v>
      </c>
      <c r="D9048" t="s">
        <v>5</v>
      </c>
      <c r="F9048" t="str" cm="1">
        <f t="array" ref="F9048">CategorizeComment(E9048)</f>
        <v>Other</v>
      </c>
      <c r="G9048" t="str" cm="1">
        <f t="array" ref="G9048">SubCategorizeComment(E9048)</f>
        <v>Other</v>
      </c>
    </row>
    <row r="9049" spans="1:7" x14ac:dyDescent="0.25">
      <c r="A9049">
        <v>82358</v>
      </c>
      <c r="B9049" t="s">
        <v>4</v>
      </c>
      <c r="C9049">
        <v>4</v>
      </c>
      <c r="D9049" t="s">
        <v>5</v>
      </c>
      <c r="F9049" t="str" cm="1">
        <f t="array" ref="F9049">CategorizeComment(E9049)</f>
        <v>Other</v>
      </c>
      <c r="G9049" t="str" cm="1">
        <f t="array" ref="G9049">SubCategorizeComment(E9049)</f>
        <v>Other</v>
      </c>
    </row>
    <row r="9050" spans="1:7" x14ac:dyDescent="0.25">
      <c r="A9050">
        <v>82360</v>
      </c>
      <c r="B9050" t="s">
        <v>4</v>
      </c>
      <c r="C9050">
        <v>4</v>
      </c>
      <c r="D9050" t="s">
        <v>5</v>
      </c>
      <c r="F9050" t="str" cm="1">
        <f t="array" ref="F9050">CategorizeComment(E9050)</f>
        <v>Other</v>
      </c>
      <c r="G9050" t="str" cm="1">
        <f t="array" ref="G9050">SubCategorizeComment(E9050)</f>
        <v>Other</v>
      </c>
    </row>
    <row r="9051" spans="1:7" x14ac:dyDescent="0.25">
      <c r="A9051">
        <v>82367</v>
      </c>
      <c r="B9051" t="s">
        <v>4</v>
      </c>
      <c r="C9051">
        <v>4</v>
      </c>
      <c r="D9051" t="s">
        <v>5</v>
      </c>
      <c r="F9051" t="str" cm="1">
        <f t="array" ref="F9051">CategorizeComment(E9051)</f>
        <v>Other</v>
      </c>
      <c r="G9051" t="str" cm="1">
        <f t="array" ref="G9051">SubCategorizeComment(E9051)</f>
        <v>Other</v>
      </c>
    </row>
    <row r="9052" spans="1:7" x14ac:dyDescent="0.25">
      <c r="A9052">
        <v>82376</v>
      </c>
      <c r="B9052" t="s">
        <v>4</v>
      </c>
      <c r="C9052">
        <v>3</v>
      </c>
      <c r="D9052" t="s">
        <v>5</v>
      </c>
      <c r="F9052" t="str" cm="1">
        <f t="array" ref="F9052">CategorizeComment(E9052)</f>
        <v>Other</v>
      </c>
      <c r="G9052" t="str" cm="1">
        <f t="array" ref="G9052">SubCategorizeComment(E9052)</f>
        <v>Other</v>
      </c>
    </row>
    <row r="9053" spans="1:7" x14ac:dyDescent="0.25">
      <c r="A9053">
        <v>82399</v>
      </c>
      <c r="B9053" t="s">
        <v>4</v>
      </c>
      <c r="C9053">
        <v>3</v>
      </c>
      <c r="D9053" t="s">
        <v>5</v>
      </c>
      <c r="F9053" t="str" cm="1">
        <f t="array" ref="F9053">CategorizeComment(E9053)</f>
        <v>Other</v>
      </c>
      <c r="G9053" t="str" cm="1">
        <f t="array" ref="G9053">SubCategorizeComment(E9053)</f>
        <v>Other</v>
      </c>
    </row>
    <row r="9054" spans="1:7" x14ac:dyDescent="0.25">
      <c r="A9054">
        <v>82408</v>
      </c>
      <c r="B9054" t="s">
        <v>4</v>
      </c>
      <c r="C9054">
        <v>3</v>
      </c>
      <c r="D9054" t="s">
        <v>5</v>
      </c>
      <c r="F9054" t="str" cm="1">
        <f t="array" ref="F9054">CategorizeComment(E9054)</f>
        <v>Other</v>
      </c>
      <c r="G9054" t="str" cm="1">
        <f t="array" ref="G9054">SubCategorizeComment(E9054)</f>
        <v>Other</v>
      </c>
    </row>
    <row r="9055" spans="1:7" x14ac:dyDescent="0.25">
      <c r="A9055">
        <v>82425</v>
      </c>
      <c r="B9055" t="s">
        <v>4</v>
      </c>
      <c r="C9055">
        <v>3</v>
      </c>
      <c r="D9055" t="s">
        <v>5</v>
      </c>
      <c r="F9055" t="str" cm="1">
        <f t="array" ref="F9055">CategorizeComment(E9055)</f>
        <v>Other</v>
      </c>
      <c r="G9055" t="str" cm="1">
        <f t="array" ref="G9055">SubCategorizeComment(E9055)</f>
        <v>Other</v>
      </c>
    </row>
    <row r="9056" spans="1:7" x14ac:dyDescent="0.25">
      <c r="A9056">
        <v>82435</v>
      </c>
      <c r="B9056" t="s">
        <v>4</v>
      </c>
      <c r="C9056">
        <v>3</v>
      </c>
      <c r="D9056" t="s">
        <v>5</v>
      </c>
      <c r="F9056" t="str" cm="1">
        <f t="array" ref="F9056">CategorizeComment(E9056)</f>
        <v>Other</v>
      </c>
      <c r="G9056" t="str" cm="1">
        <f t="array" ref="G9056">SubCategorizeComment(E9056)</f>
        <v>Other</v>
      </c>
    </row>
    <row r="9057" spans="1:7" x14ac:dyDescent="0.25">
      <c r="A9057">
        <v>82436</v>
      </c>
      <c r="B9057" t="s">
        <v>4</v>
      </c>
      <c r="C9057">
        <v>4</v>
      </c>
      <c r="D9057" t="s">
        <v>5</v>
      </c>
      <c r="F9057" t="str" cm="1">
        <f t="array" ref="F9057">CategorizeComment(E9057)</f>
        <v>Other</v>
      </c>
      <c r="G9057" t="str" cm="1">
        <f t="array" ref="G9057">SubCategorizeComment(E9057)</f>
        <v>Other</v>
      </c>
    </row>
    <row r="9058" spans="1:7" x14ac:dyDescent="0.25">
      <c r="A9058">
        <v>82439</v>
      </c>
      <c r="B9058" t="s">
        <v>4</v>
      </c>
      <c r="C9058">
        <v>3</v>
      </c>
      <c r="D9058" t="s">
        <v>5</v>
      </c>
      <c r="F9058" t="str" cm="1">
        <f t="array" ref="F9058">CategorizeComment(E9058)</f>
        <v>Other</v>
      </c>
      <c r="G9058" t="str" cm="1">
        <f t="array" ref="G9058">SubCategorizeComment(E9058)</f>
        <v>Other</v>
      </c>
    </row>
    <row r="9059" spans="1:7" x14ac:dyDescent="0.25">
      <c r="A9059">
        <v>82442</v>
      </c>
      <c r="B9059" t="s">
        <v>4</v>
      </c>
      <c r="C9059">
        <v>3</v>
      </c>
      <c r="D9059" t="s">
        <v>5</v>
      </c>
      <c r="F9059" t="str" cm="1">
        <f t="array" ref="F9059">CategorizeComment(E9059)</f>
        <v>Other</v>
      </c>
      <c r="G9059" t="str" cm="1">
        <f t="array" ref="G9059">SubCategorizeComment(E9059)</f>
        <v>Other</v>
      </c>
    </row>
    <row r="9060" spans="1:7" x14ac:dyDescent="0.25">
      <c r="A9060">
        <v>82443</v>
      </c>
      <c r="B9060" t="s">
        <v>4</v>
      </c>
      <c r="C9060">
        <v>3</v>
      </c>
      <c r="D9060" t="s">
        <v>5</v>
      </c>
      <c r="F9060" t="str" cm="1">
        <f t="array" ref="F9060">CategorizeComment(E9060)</f>
        <v>Other</v>
      </c>
      <c r="G9060" t="str" cm="1">
        <f t="array" ref="G9060">SubCategorizeComment(E9060)</f>
        <v>Other</v>
      </c>
    </row>
    <row r="9061" spans="1:7" x14ac:dyDescent="0.25">
      <c r="A9061">
        <v>82517</v>
      </c>
      <c r="B9061" t="s">
        <v>4</v>
      </c>
      <c r="C9061">
        <v>3</v>
      </c>
      <c r="D9061" t="s">
        <v>5</v>
      </c>
      <c r="F9061" t="str" cm="1">
        <f t="array" ref="F9061">CategorizeComment(E9061)</f>
        <v>Other</v>
      </c>
      <c r="G9061" t="str" cm="1">
        <f t="array" ref="G9061">SubCategorizeComment(E9061)</f>
        <v>Other</v>
      </c>
    </row>
    <row r="9062" spans="1:7" x14ac:dyDescent="0.25">
      <c r="A9062">
        <v>82518</v>
      </c>
      <c r="B9062" t="s">
        <v>4</v>
      </c>
      <c r="C9062">
        <v>4</v>
      </c>
      <c r="D9062" t="s">
        <v>5</v>
      </c>
      <c r="F9062" t="str" cm="1">
        <f t="array" ref="F9062">CategorizeComment(E9062)</f>
        <v>Other</v>
      </c>
      <c r="G9062" t="str" cm="1">
        <f t="array" ref="G9062">SubCategorizeComment(E9062)</f>
        <v>Other</v>
      </c>
    </row>
    <row r="9063" spans="1:7" x14ac:dyDescent="0.25">
      <c r="A9063">
        <v>82522</v>
      </c>
      <c r="B9063" t="s">
        <v>4</v>
      </c>
      <c r="C9063">
        <v>3</v>
      </c>
      <c r="D9063" t="s">
        <v>5</v>
      </c>
      <c r="F9063" t="str" cm="1">
        <f t="array" ref="F9063">CategorizeComment(E9063)</f>
        <v>Other</v>
      </c>
      <c r="G9063" t="str" cm="1">
        <f t="array" ref="G9063">SubCategorizeComment(E9063)</f>
        <v>Other</v>
      </c>
    </row>
    <row r="9064" spans="1:7" x14ac:dyDescent="0.25">
      <c r="A9064">
        <v>82523</v>
      </c>
      <c r="B9064" t="s">
        <v>4</v>
      </c>
      <c r="C9064">
        <v>3</v>
      </c>
      <c r="D9064" t="s">
        <v>5</v>
      </c>
      <c r="F9064" t="str" cm="1">
        <f t="array" ref="F9064">CategorizeComment(E9064)</f>
        <v>Other</v>
      </c>
      <c r="G9064" t="str" cm="1">
        <f t="array" ref="G9064">SubCategorizeComment(E9064)</f>
        <v>Other</v>
      </c>
    </row>
    <row r="9065" spans="1:7" x14ac:dyDescent="0.25">
      <c r="A9065">
        <v>82531</v>
      </c>
      <c r="B9065" t="s">
        <v>4</v>
      </c>
      <c r="C9065">
        <v>3</v>
      </c>
      <c r="D9065" t="s">
        <v>5</v>
      </c>
      <c r="F9065" t="str" cm="1">
        <f t="array" ref="F9065">CategorizeComment(E9065)</f>
        <v>Other</v>
      </c>
      <c r="G9065" t="str" cm="1">
        <f t="array" ref="G9065">SubCategorizeComment(E9065)</f>
        <v>Other</v>
      </c>
    </row>
    <row r="9066" spans="1:7" x14ac:dyDescent="0.25">
      <c r="A9066">
        <v>82540</v>
      </c>
      <c r="B9066" t="s">
        <v>4</v>
      </c>
      <c r="C9066">
        <v>3</v>
      </c>
      <c r="D9066" t="s">
        <v>5</v>
      </c>
      <c r="F9066" t="str" cm="1">
        <f t="array" ref="F9066">CategorizeComment(E9066)</f>
        <v>Other</v>
      </c>
      <c r="G9066" t="str" cm="1">
        <f t="array" ref="G9066">SubCategorizeComment(E9066)</f>
        <v>Other</v>
      </c>
    </row>
    <row r="9067" spans="1:7" x14ac:dyDescent="0.25">
      <c r="A9067">
        <v>82542</v>
      </c>
      <c r="B9067" t="s">
        <v>4</v>
      </c>
      <c r="C9067">
        <v>4</v>
      </c>
      <c r="D9067" t="s">
        <v>5</v>
      </c>
      <c r="F9067" t="str" cm="1">
        <f t="array" ref="F9067">CategorizeComment(E9067)</f>
        <v>Other</v>
      </c>
      <c r="G9067" t="str" cm="1">
        <f t="array" ref="G9067">SubCategorizeComment(E9067)</f>
        <v>Other</v>
      </c>
    </row>
    <row r="9068" spans="1:7" x14ac:dyDescent="0.25">
      <c r="A9068">
        <v>82584</v>
      </c>
      <c r="B9068" t="s">
        <v>4</v>
      </c>
      <c r="C9068">
        <v>4</v>
      </c>
      <c r="D9068" t="s">
        <v>5</v>
      </c>
      <c r="F9068" t="str" cm="1">
        <f t="array" ref="F9068">CategorizeComment(E9068)</f>
        <v>Other</v>
      </c>
      <c r="G9068" t="str" cm="1">
        <f t="array" ref="G9068">SubCategorizeComment(E9068)</f>
        <v>Other</v>
      </c>
    </row>
    <row r="9069" spans="1:7" x14ac:dyDescent="0.25">
      <c r="A9069">
        <v>82614</v>
      </c>
      <c r="B9069" t="s">
        <v>4</v>
      </c>
      <c r="C9069">
        <v>3</v>
      </c>
      <c r="D9069" t="s">
        <v>5</v>
      </c>
      <c r="F9069" t="str" cm="1">
        <f t="array" ref="F9069">CategorizeComment(E9069)</f>
        <v>Other</v>
      </c>
      <c r="G9069" t="str" cm="1">
        <f t="array" ref="G9069">SubCategorizeComment(E9069)</f>
        <v>Other</v>
      </c>
    </row>
    <row r="9070" spans="1:7" x14ac:dyDescent="0.25">
      <c r="A9070">
        <v>82624</v>
      </c>
      <c r="B9070" t="s">
        <v>4</v>
      </c>
      <c r="C9070">
        <v>4</v>
      </c>
      <c r="D9070" t="s">
        <v>5</v>
      </c>
      <c r="F9070" t="str" cm="1">
        <f t="array" ref="F9070">CategorizeComment(E9070)</f>
        <v>Other</v>
      </c>
      <c r="G9070" t="str" cm="1">
        <f t="array" ref="G9070">SubCategorizeComment(E9070)</f>
        <v>Other</v>
      </c>
    </row>
    <row r="9071" spans="1:7" x14ac:dyDescent="0.25">
      <c r="A9071">
        <v>82628</v>
      </c>
      <c r="B9071" t="s">
        <v>4</v>
      </c>
      <c r="C9071">
        <v>3</v>
      </c>
      <c r="D9071" t="s">
        <v>5</v>
      </c>
      <c r="F9071" t="str" cm="1">
        <f t="array" ref="F9071">CategorizeComment(E9071)</f>
        <v>Other</v>
      </c>
      <c r="G9071" t="str" cm="1">
        <f t="array" ref="G9071">SubCategorizeComment(E9071)</f>
        <v>Other</v>
      </c>
    </row>
    <row r="9072" spans="1:7" x14ac:dyDescent="0.25">
      <c r="A9072">
        <v>82630</v>
      </c>
      <c r="B9072" t="s">
        <v>4</v>
      </c>
      <c r="C9072">
        <v>4</v>
      </c>
      <c r="D9072" t="s">
        <v>5</v>
      </c>
      <c r="F9072" t="str" cm="1">
        <f t="array" ref="F9072">CategorizeComment(E9072)</f>
        <v>Other</v>
      </c>
      <c r="G9072" t="str" cm="1">
        <f t="array" ref="G9072">SubCategorizeComment(E9072)</f>
        <v>Other</v>
      </c>
    </row>
    <row r="9073" spans="1:7" x14ac:dyDescent="0.25">
      <c r="A9073">
        <v>82632</v>
      </c>
      <c r="B9073" t="s">
        <v>4</v>
      </c>
      <c r="C9073">
        <v>4</v>
      </c>
      <c r="D9073" t="s">
        <v>5</v>
      </c>
      <c r="F9073" t="str" cm="1">
        <f t="array" ref="F9073">CategorizeComment(E9073)</f>
        <v>Other</v>
      </c>
      <c r="G9073" t="str" cm="1">
        <f t="array" ref="G9073">SubCategorizeComment(E9073)</f>
        <v>Other</v>
      </c>
    </row>
    <row r="9074" spans="1:7" x14ac:dyDescent="0.25">
      <c r="A9074">
        <v>82640</v>
      </c>
      <c r="B9074" t="s">
        <v>4</v>
      </c>
      <c r="C9074">
        <v>3</v>
      </c>
      <c r="D9074" t="s">
        <v>5</v>
      </c>
      <c r="F9074" t="str" cm="1">
        <f t="array" ref="F9074">CategorizeComment(E9074)</f>
        <v>Other</v>
      </c>
      <c r="G9074" t="str" cm="1">
        <f t="array" ref="G9074">SubCategorizeComment(E9074)</f>
        <v>Other</v>
      </c>
    </row>
    <row r="9075" spans="1:7" x14ac:dyDescent="0.25">
      <c r="A9075">
        <v>82646</v>
      </c>
      <c r="B9075" t="s">
        <v>4</v>
      </c>
      <c r="C9075">
        <v>3</v>
      </c>
      <c r="D9075" t="s">
        <v>5</v>
      </c>
      <c r="F9075" t="str" cm="1">
        <f t="array" ref="F9075">CategorizeComment(E9075)</f>
        <v>Other</v>
      </c>
      <c r="G9075" t="str" cm="1">
        <f t="array" ref="G9075">SubCategorizeComment(E9075)</f>
        <v>Other</v>
      </c>
    </row>
    <row r="9076" spans="1:7" x14ac:dyDescent="0.25">
      <c r="A9076">
        <v>82661</v>
      </c>
      <c r="B9076" t="s">
        <v>4</v>
      </c>
      <c r="C9076">
        <v>4</v>
      </c>
      <c r="D9076" t="s">
        <v>5</v>
      </c>
      <c r="F9076" t="str" cm="1">
        <f t="array" ref="F9076">CategorizeComment(E9076)</f>
        <v>Other</v>
      </c>
      <c r="G9076" t="str" cm="1">
        <f t="array" ref="G9076">SubCategorizeComment(E9076)</f>
        <v>Other</v>
      </c>
    </row>
    <row r="9077" spans="1:7" x14ac:dyDescent="0.25">
      <c r="A9077">
        <v>82662</v>
      </c>
      <c r="B9077" t="s">
        <v>4</v>
      </c>
      <c r="C9077">
        <v>3</v>
      </c>
      <c r="D9077" t="s">
        <v>5</v>
      </c>
      <c r="F9077" t="str" cm="1">
        <f t="array" ref="F9077">CategorizeComment(E9077)</f>
        <v>Other</v>
      </c>
      <c r="G9077" t="str" cm="1">
        <f t="array" ref="G9077">SubCategorizeComment(E9077)</f>
        <v>Other</v>
      </c>
    </row>
    <row r="9078" spans="1:7" x14ac:dyDescent="0.25">
      <c r="A9078">
        <v>82667</v>
      </c>
      <c r="B9078" t="s">
        <v>4</v>
      </c>
      <c r="C9078">
        <v>3</v>
      </c>
      <c r="D9078" t="s">
        <v>5</v>
      </c>
      <c r="F9078" t="str" cm="1">
        <f t="array" ref="F9078">CategorizeComment(E9078)</f>
        <v>Other</v>
      </c>
      <c r="G9078" t="str" cm="1">
        <f t="array" ref="G9078">SubCategorizeComment(E9078)</f>
        <v>Other</v>
      </c>
    </row>
    <row r="9079" spans="1:7" x14ac:dyDescent="0.25">
      <c r="A9079">
        <v>82672</v>
      </c>
      <c r="B9079" t="s">
        <v>4</v>
      </c>
      <c r="C9079">
        <v>4</v>
      </c>
      <c r="D9079" t="s">
        <v>5</v>
      </c>
      <c r="F9079" t="str" cm="1">
        <f t="array" ref="F9079">CategorizeComment(E9079)</f>
        <v>Other</v>
      </c>
      <c r="G9079" t="str" cm="1">
        <f t="array" ref="G9079">SubCategorizeComment(E9079)</f>
        <v>Other</v>
      </c>
    </row>
    <row r="9080" spans="1:7" x14ac:dyDescent="0.25">
      <c r="A9080">
        <v>82688</v>
      </c>
      <c r="B9080" t="s">
        <v>4</v>
      </c>
      <c r="C9080">
        <v>4</v>
      </c>
      <c r="D9080" t="s">
        <v>5</v>
      </c>
      <c r="F9080" t="str" cm="1">
        <f t="array" ref="F9080">CategorizeComment(E9080)</f>
        <v>Other</v>
      </c>
      <c r="G9080" t="str" cm="1">
        <f t="array" ref="G9080">SubCategorizeComment(E9080)</f>
        <v>Other</v>
      </c>
    </row>
    <row r="9081" spans="1:7" x14ac:dyDescent="0.25">
      <c r="A9081">
        <v>82689</v>
      </c>
      <c r="B9081" t="s">
        <v>4</v>
      </c>
      <c r="C9081">
        <v>3</v>
      </c>
      <c r="D9081" t="s">
        <v>5</v>
      </c>
      <c r="F9081" t="str" cm="1">
        <f t="array" ref="F9081">CategorizeComment(E9081)</f>
        <v>Other</v>
      </c>
      <c r="G9081" t="str" cm="1">
        <f t="array" ref="G9081">SubCategorizeComment(E9081)</f>
        <v>Other</v>
      </c>
    </row>
    <row r="9082" spans="1:7" x14ac:dyDescent="0.25">
      <c r="A9082">
        <v>82695</v>
      </c>
      <c r="B9082" t="s">
        <v>4</v>
      </c>
      <c r="C9082">
        <v>3</v>
      </c>
      <c r="D9082" t="s">
        <v>5</v>
      </c>
      <c r="F9082" t="str" cm="1">
        <f t="array" ref="F9082">CategorizeComment(E9082)</f>
        <v>Other</v>
      </c>
      <c r="G9082" t="str" cm="1">
        <f t="array" ref="G9082">SubCategorizeComment(E9082)</f>
        <v>Other</v>
      </c>
    </row>
    <row r="9083" spans="1:7" x14ac:dyDescent="0.25">
      <c r="A9083">
        <v>82700</v>
      </c>
      <c r="B9083" t="s">
        <v>4</v>
      </c>
      <c r="C9083">
        <v>4</v>
      </c>
      <c r="D9083" t="s">
        <v>5</v>
      </c>
      <c r="F9083" t="str" cm="1">
        <f t="array" ref="F9083">CategorizeComment(E9083)</f>
        <v>Other</v>
      </c>
      <c r="G9083" t="str" cm="1">
        <f t="array" ref="G9083">SubCategorizeComment(E9083)</f>
        <v>Other</v>
      </c>
    </row>
    <row r="9084" spans="1:7" x14ac:dyDescent="0.25">
      <c r="A9084">
        <v>82707</v>
      </c>
      <c r="B9084" t="s">
        <v>4</v>
      </c>
      <c r="C9084">
        <v>4</v>
      </c>
      <c r="D9084" t="s">
        <v>5</v>
      </c>
      <c r="F9084" t="str" cm="1">
        <f t="array" ref="F9084">CategorizeComment(E9084)</f>
        <v>Other</v>
      </c>
      <c r="G9084" t="str" cm="1">
        <f t="array" ref="G9084">SubCategorizeComment(E9084)</f>
        <v>Other</v>
      </c>
    </row>
    <row r="9085" spans="1:7" x14ac:dyDescent="0.25">
      <c r="A9085">
        <v>82715</v>
      </c>
      <c r="B9085" t="s">
        <v>4</v>
      </c>
      <c r="C9085">
        <v>4</v>
      </c>
      <c r="D9085" t="s">
        <v>5</v>
      </c>
      <c r="F9085" t="str" cm="1">
        <f t="array" ref="F9085">CategorizeComment(E9085)</f>
        <v>Other</v>
      </c>
      <c r="G9085" t="str" cm="1">
        <f t="array" ref="G9085">SubCategorizeComment(E9085)</f>
        <v>Other</v>
      </c>
    </row>
    <row r="9086" spans="1:7" x14ac:dyDescent="0.25">
      <c r="A9086">
        <v>82743</v>
      </c>
      <c r="B9086" t="s">
        <v>4</v>
      </c>
      <c r="C9086">
        <v>4</v>
      </c>
      <c r="D9086" t="s">
        <v>5</v>
      </c>
      <c r="F9086" t="str" cm="1">
        <f t="array" ref="F9086">CategorizeComment(E9086)</f>
        <v>Other</v>
      </c>
      <c r="G9086" t="str" cm="1">
        <f t="array" ref="G9086">SubCategorizeComment(E9086)</f>
        <v>Other</v>
      </c>
    </row>
    <row r="9087" spans="1:7" x14ac:dyDescent="0.25">
      <c r="A9087">
        <v>82744</v>
      </c>
      <c r="B9087" t="s">
        <v>4</v>
      </c>
      <c r="C9087">
        <v>3</v>
      </c>
      <c r="D9087" t="s">
        <v>5</v>
      </c>
      <c r="F9087" t="str" cm="1">
        <f t="array" ref="F9087">CategorizeComment(E9087)</f>
        <v>Other</v>
      </c>
      <c r="G9087" t="str" cm="1">
        <f t="array" ref="G9087">SubCategorizeComment(E9087)</f>
        <v>Other</v>
      </c>
    </row>
    <row r="9088" spans="1:7" x14ac:dyDescent="0.25">
      <c r="A9088">
        <v>82750</v>
      </c>
      <c r="B9088" t="s">
        <v>4</v>
      </c>
      <c r="C9088">
        <v>3</v>
      </c>
      <c r="D9088" t="s">
        <v>5</v>
      </c>
      <c r="F9088" t="str" cm="1">
        <f t="array" ref="F9088">CategorizeComment(E9088)</f>
        <v>Other</v>
      </c>
      <c r="G9088" t="str" cm="1">
        <f t="array" ref="G9088">SubCategorizeComment(E9088)</f>
        <v>Other</v>
      </c>
    </row>
    <row r="9089" spans="1:7" x14ac:dyDescent="0.25">
      <c r="A9089">
        <v>82758</v>
      </c>
      <c r="B9089" t="s">
        <v>4</v>
      </c>
      <c r="C9089">
        <v>4</v>
      </c>
      <c r="D9089" t="s">
        <v>5</v>
      </c>
      <c r="F9089" t="str" cm="1">
        <f t="array" ref="F9089">CategorizeComment(E9089)</f>
        <v>Other</v>
      </c>
      <c r="G9089" t="str" cm="1">
        <f t="array" ref="G9089">SubCategorizeComment(E9089)</f>
        <v>Other</v>
      </c>
    </row>
    <row r="9090" spans="1:7" x14ac:dyDescent="0.25">
      <c r="A9090">
        <v>82784</v>
      </c>
      <c r="B9090" t="s">
        <v>4</v>
      </c>
      <c r="C9090">
        <v>4</v>
      </c>
      <c r="D9090" t="s">
        <v>5</v>
      </c>
      <c r="F9090" t="str" cm="1">
        <f t="array" ref="F9090">CategorizeComment(E9090)</f>
        <v>Other</v>
      </c>
      <c r="G9090" t="str" cm="1">
        <f t="array" ref="G9090">SubCategorizeComment(E9090)</f>
        <v>Other</v>
      </c>
    </row>
    <row r="9091" spans="1:7" x14ac:dyDescent="0.25">
      <c r="A9091">
        <v>82788</v>
      </c>
      <c r="B9091" t="s">
        <v>4</v>
      </c>
      <c r="C9091">
        <v>4</v>
      </c>
      <c r="D9091" t="s">
        <v>5</v>
      </c>
      <c r="F9091" t="str" cm="1">
        <f t="array" ref="F9091">CategorizeComment(E9091)</f>
        <v>Other</v>
      </c>
      <c r="G9091" t="str" cm="1">
        <f t="array" ref="G9091">SubCategorizeComment(E9091)</f>
        <v>Other</v>
      </c>
    </row>
    <row r="9092" spans="1:7" x14ac:dyDescent="0.25">
      <c r="A9092">
        <v>82804</v>
      </c>
      <c r="B9092" t="s">
        <v>4</v>
      </c>
      <c r="C9092">
        <v>3</v>
      </c>
      <c r="D9092" t="s">
        <v>5</v>
      </c>
      <c r="F9092" t="str" cm="1">
        <f t="array" ref="F9092">CategorizeComment(E9092)</f>
        <v>Other</v>
      </c>
      <c r="G9092" t="str" cm="1">
        <f t="array" ref="G9092">SubCategorizeComment(E9092)</f>
        <v>Other</v>
      </c>
    </row>
    <row r="9093" spans="1:7" x14ac:dyDescent="0.25">
      <c r="A9093">
        <v>82879</v>
      </c>
      <c r="B9093" t="s">
        <v>4</v>
      </c>
      <c r="C9093">
        <v>3</v>
      </c>
      <c r="D9093" t="s">
        <v>5</v>
      </c>
      <c r="F9093" t="str" cm="1">
        <f t="array" ref="F9093">CategorizeComment(E9093)</f>
        <v>Other</v>
      </c>
      <c r="G9093" t="str" cm="1">
        <f t="array" ref="G9093">SubCategorizeComment(E9093)</f>
        <v>Other</v>
      </c>
    </row>
    <row r="9094" spans="1:7" x14ac:dyDescent="0.25">
      <c r="A9094">
        <v>82885</v>
      </c>
      <c r="B9094" t="s">
        <v>4</v>
      </c>
      <c r="C9094">
        <v>3</v>
      </c>
      <c r="D9094" t="s">
        <v>5</v>
      </c>
      <c r="F9094" t="str" cm="1">
        <f t="array" ref="F9094">CategorizeComment(E9094)</f>
        <v>Other</v>
      </c>
      <c r="G9094" t="str" cm="1">
        <f t="array" ref="G9094">SubCategorizeComment(E9094)</f>
        <v>Other</v>
      </c>
    </row>
    <row r="9095" spans="1:7" x14ac:dyDescent="0.25">
      <c r="A9095">
        <v>82889</v>
      </c>
      <c r="B9095" t="s">
        <v>4</v>
      </c>
      <c r="C9095">
        <v>4</v>
      </c>
      <c r="D9095" t="s">
        <v>5</v>
      </c>
      <c r="F9095" t="str" cm="1">
        <f t="array" ref="F9095">CategorizeComment(E9095)</f>
        <v>Other</v>
      </c>
      <c r="G9095" t="str" cm="1">
        <f t="array" ref="G9095">SubCategorizeComment(E9095)</f>
        <v>Other</v>
      </c>
    </row>
    <row r="9096" spans="1:7" x14ac:dyDescent="0.25">
      <c r="A9096">
        <v>82892</v>
      </c>
      <c r="B9096" t="s">
        <v>4</v>
      </c>
      <c r="C9096">
        <v>3</v>
      </c>
      <c r="D9096" t="s">
        <v>5</v>
      </c>
      <c r="F9096" t="str" cm="1">
        <f t="array" ref="F9096">CategorizeComment(E9096)</f>
        <v>Other</v>
      </c>
      <c r="G9096" t="str" cm="1">
        <f t="array" ref="G9096">SubCategorizeComment(E9096)</f>
        <v>Other</v>
      </c>
    </row>
    <row r="9097" spans="1:7" x14ac:dyDescent="0.25">
      <c r="A9097">
        <v>82899</v>
      </c>
      <c r="B9097" t="s">
        <v>4</v>
      </c>
      <c r="C9097">
        <v>4</v>
      </c>
      <c r="D9097" t="s">
        <v>5</v>
      </c>
      <c r="F9097" t="str" cm="1">
        <f t="array" ref="F9097">CategorizeComment(E9097)</f>
        <v>Other</v>
      </c>
      <c r="G9097" t="str" cm="1">
        <f t="array" ref="G9097">SubCategorizeComment(E9097)</f>
        <v>Other</v>
      </c>
    </row>
    <row r="9098" spans="1:7" x14ac:dyDescent="0.25">
      <c r="A9098">
        <v>82907</v>
      </c>
      <c r="B9098" t="s">
        <v>4</v>
      </c>
      <c r="C9098">
        <v>4</v>
      </c>
      <c r="D9098" t="s">
        <v>5</v>
      </c>
      <c r="F9098" t="str" cm="1">
        <f t="array" ref="F9098">CategorizeComment(E9098)</f>
        <v>Other</v>
      </c>
      <c r="G9098" t="str" cm="1">
        <f t="array" ref="G9098">SubCategorizeComment(E9098)</f>
        <v>Other</v>
      </c>
    </row>
    <row r="9099" spans="1:7" x14ac:dyDescent="0.25">
      <c r="A9099">
        <v>82918</v>
      </c>
      <c r="B9099" t="s">
        <v>4</v>
      </c>
      <c r="C9099">
        <v>4</v>
      </c>
      <c r="D9099" t="s">
        <v>5</v>
      </c>
      <c r="F9099" t="str" cm="1">
        <f t="array" ref="F9099">CategorizeComment(E9099)</f>
        <v>Other</v>
      </c>
      <c r="G9099" t="str" cm="1">
        <f t="array" ref="G9099">SubCategorizeComment(E9099)</f>
        <v>Other</v>
      </c>
    </row>
    <row r="9100" spans="1:7" x14ac:dyDescent="0.25">
      <c r="A9100">
        <v>82939</v>
      </c>
      <c r="B9100" t="s">
        <v>4</v>
      </c>
      <c r="C9100">
        <v>4</v>
      </c>
      <c r="D9100" t="s">
        <v>5</v>
      </c>
      <c r="F9100" t="str" cm="1">
        <f t="array" ref="F9100">CategorizeComment(E9100)</f>
        <v>Other</v>
      </c>
      <c r="G9100" t="str" cm="1">
        <f t="array" ref="G9100">SubCategorizeComment(E9100)</f>
        <v>Other</v>
      </c>
    </row>
    <row r="9101" spans="1:7" x14ac:dyDescent="0.25">
      <c r="A9101">
        <v>82948</v>
      </c>
      <c r="B9101" t="s">
        <v>4</v>
      </c>
      <c r="C9101">
        <v>3</v>
      </c>
      <c r="D9101" t="s">
        <v>5</v>
      </c>
      <c r="F9101" t="str" cm="1">
        <f t="array" ref="F9101">CategorizeComment(E9101)</f>
        <v>Other</v>
      </c>
      <c r="G9101" t="str" cm="1">
        <f t="array" ref="G9101">SubCategorizeComment(E9101)</f>
        <v>Other</v>
      </c>
    </row>
    <row r="9102" spans="1:7" x14ac:dyDescent="0.25">
      <c r="A9102">
        <v>82950</v>
      </c>
      <c r="B9102" t="s">
        <v>4</v>
      </c>
      <c r="C9102">
        <v>4</v>
      </c>
      <c r="D9102" t="s">
        <v>5</v>
      </c>
      <c r="F9102" t="str" cm="1">
        <f t="array" ref="F9102">CategorizeComment(E9102)</f>
        <v>Other</v>
      </c>
      <c r="G9102" t="str" cm="1">
        <f t="array" ref="G9102">SubCategorizeComment(E9102)</f>
        <v>Other</v>
      </c>
    </row>
    <row r="9103" spans="1:7" x14ac:dyDescent="0.25">
      <c r="A9103">
        <v>83006</v>
      </c>
      <c r="B9103" t="s">
        <v>4</v>
      </c>
      <c r="C9103">
        <v>4</v>
      </c>
      <c r="D9103" t="s">
        <v>5</v>
      </c>
      <c r="F9103" t="str" cm="1">
        <f t="array" ref="F9103">CategorizeComment(E9103)</f>
        <v>Other</v>
      </c>
      <c r="G9103" t="str" cm="1">
        <f t="array" ref="G9103">SubCategorizeComment(E9103)</f>
        <v>Other</v>
      </c>
    </row>
    <row r="9104" spans="1:7" x14ac:dyDescent="0.25">
      <c r="A9104">
        <v>83020</v>
      </c>
      <c r="B9104" t="s">
        <v>4</v>
      </c>
      <c r="C9104">
        <v>4</v>
      </c>
      <c r="D9104" t="s">
        <v>5</v>
      </c>
      <c r="F9104" t="str" cm="1">
        <f t="array" ref="F9104">CategorizeComment(E9104)</f>
        <v>Other</v>
      </c>
      <c r="G9104" t="str" cm="1">
        <f t="array" ref="G9104">SubCategorizeComment(E9104)</f>
        <v>Other</v>
      </c>
    </row>
    <row r="9105" spans="1:7" x14ac:dyDescent="0.25">
      <c r="A9105">
        <v>83039</v>
      </c>
      <c r="B9105" t="s">
        <v>4</v>
      </c>
      <c r="C9105">
        <v>3</v>
      </c>
      <c r="D9105" t="s">
        <v>5</v>
      </c>
      <c r="F9105" t="str" cm="1">
        <f t="array" ref="F9105">CategorizeComment(E9105)</f>
        <v>Other</v>
      </c>
      <c r="G9105" t="str" cm="1">
        <f t="array" ref="G9105">SubCategorizeComment(E9105)</f>
        <v>Other</v>
      </c>
    </row>
    <row r="9106" spans="1:7" x14ac:dyDescent="0.25">
      <c r="A9106">
        <v>83052</v>
      </c>
      <c r="B9106" t="s">
        <v>4</v>
      </c>
      <c r="C9106">
        <v>3</v>
      </c>
      <c r="D9106" t="s">
        <v>5</v>
      </c>
      <c r="F9106" t="str" cm="1">
        <f t="array" ref="F9106">CategorizeComment(E9106)</f>
        <v>Other</v>
      </c>
      <c r="G9106" t="str" cm="1">
        <f t="array" ref="G9106">SubCategorizeComment(E9106)</f>
        <v>Other</v>
      </c>
    </row>
    <row r="9107" spans="1:7" x14ac:dyDescent="0.25">
      <c r="A9107">
        <v>83053</v>
      </c>
      <c r="B9107" t="s">
        <v>4</v>
      </c>
      <c r="C9107">
        <v>3</v>
      </c>
      <c r="D9107" t="s">
        <v>5</v>
      </c>
      <c r="F9107" t="str" cm="1">
        <f t="array" ref="F9107">CategorizeComment(E9107)</f>
        <v>Other</v>
      </c>
      <c r="G9107" t="str" cm="1">
        <f t="array" ref="G9107">SubCategorizeComment(E9107)</f>
        <v>Other</v>
      </c>
    </row>
    <row r="9108" spans="1:7" x14ac:dyDescent="0.25">
      <c r="A9108">
        <v>83069</v>
      </c>
      <c r="B9108" t="s">
        <v>4</v>
      </c>
      <c r="C9108">
        <v>3</v>
      </c>
      <c r="D9108" t="s">
        <v>5</v>
      </c>
      <c r="F9108" t="str" cm="1">
        <f t="array" ref="F9108">CategorizeComment(E9108)</f>
        <v>Other</v>
      </c>
      <c r="G9108" t="str" cm="1">
        <f t="array" ref="G9108">SubCategorizeComment(E9108)</f>
        <v>Other</v>
      </c>
    </row>
    <row r="9109" spans="1:7" x14ac:dyDescent="0.25">
      <c r="A9109">
        <v>83071</v>
      </c>
      <c r="B9109" t="s">
        <v>4</v>
      </c>
      <c r="C9109">
        <v>3</v>
      </c>
      <c r="D9109" t="s">
        <v>5</v>
      </c>
      <c r="F9109" t="str" cm="1">
        <f t="array" ref="F9109">CategorizeComment(E9109)</f>
        <v>Other</v>
      </c>
      <c r="G9109" t="str" cm="1">
        <f t="array" ref="G9109">SubCategorizeComment(E9109)</f>
        <v>Other</v>
      </c>
    </row>
    <row r="9110" spans="1:7" x14ac:dyDescent="0.25">
      <c r="A9110">
        <v>83082</v>
      </c>
      <c r="B9110" t="s">
        <v>4</v>
      </c>
      <c r="C9110">
        <v>4</v>
      </c>
      <c r="D9110" t="s">
        <v>5</v>
      </c>
      <c r="F9110" t="str" cm="1">
        <f t="array" ref="F9110">CategorizeComment(E9110)</f>
        <v>Other</v>
      </c>
      <c r="G9110" t="str" cm="1">
        <f t="array" ref="G9110">SubCategorizeComment(E9110)</f>
        <v>Other</v>
      </c>
    </row>
    <row r="9111" spans="1:7" x14ac:dyDescent="0.25">
      <c r="A9111">
        <v>83083</v>
      </c>
      <c r="B9111" t="s">
        <v>4</v>
      </c>
      <c r="C9111">
        <v>3</v>
      </c>
      <c r="D9111" t="s">
        <v>5</v>
      </c>
      <c r="F9111" t="str" cm="1">
        <f t="array" ref="F9111">CategorizeComment(E9111)</f>
        <v>Other</v>
      </c>
      <c r="G9111" t="str" cm="1">
        <f t="array" ref="G9111">SubCategorizeComment(E9111)</f>
        <v>Other</v>
      </c>
    </row>
    <row r="9112" spans="1:7" x14ac:dyDescent="0.25">
      <c r="A9112">
        <v>83089</v>
      </c>
      <c r="B9112" t="s">
        <v>4</v>
      </c>
      <c r="C9112">
        <v>3</v>
      </c>
      <c r="D9112" t="s">
        <v>5</v>
      </c>
      <c r="F9112" t="str" cm="1">
        <f t="array" ref="F9112">CategorizeComment(E9112)</f>
        <v>Other</v>
      </c>
      <c r="G9112" t="str" cm="1">
        <f t="array" ref="G9112">SubCategorizeComment(E9112)</f>
        <v>Other</v>
      </c>
    </row>
    <row r="9113" spans="1:7" x14ac:dyDescent="0.25">
      <c r="A9113">
        <v>83091</v>
      </c>
      <c r="B9113" t="s">
        <v>4</v>
      </c>
      <c r="C9113">
        <v>3</v>
      </c>
      <c r="D9113" t="s">
        <v>5</v>
      </c>
      <c r="F9113" t="str" cm="1">
        <f t="array" ref="F9113">CategorizeComment(E9113)</f>
        <v>Other</v>
      </c>
      <c r="G9113" t="str" cm="1">
        <f t="array" ref="G9113">SubCategorizeComment(E9113)</f>
        <v>Other</v>
      </c>
    </row>
    <row r="9114" spans="1:7" x14ac:dyDescent="0.25">
      <c r="A9114">
        <v>83120</v>
      </c>
      <c r="B9114" t="s">
        <v>4</v>
      </c>
      <c r="C9114">
        <v>4</v>
      </c>
      <c r="D9114" t="s">
        <v>5</v>
      </c>
      <c r="F9114" t="str" cm="1">
        <f t="array" ref="F9114">CategorizeComment(E9114)</f>
        <v>Other</v>
      </c>
      <c r="G9114" t="str" cm="1">
        <f t="array" ref="G9114">SubCategorizeComment(E9114)</f>
        <v>Other</v>
      </c>
    </row>
    <row r="9115" spans="1:7" x14ac:dyDescent="0.25">
      <c r="A9115">
        <v>83168</v>
      </c>
      <c r="B9115" t="s">
        <v>4</v>
      </c>
      <c r="C9115">
        <v>3</v>
      </c>
      <c r="D9115" t="s">
        <v>5</v>
      </c>
      <c r="F9115" t="str" cm="1">
        <f t="array" ref="F9115">CategorizeComment(E9115)</f>
        <v>Other</v>
      </c>
      <c r="G9115" t="str" cm="1">
        <f t="array" ref="G9115">SubCategorizeComment(E9115)</f>
        <v>Other</v>
      </c>
    </row>
    <row r="9116" spans="1:7" x14ac:dyDescent="0.25">
      <c r="A9116">
        <v>83197</v>
      </c>
      <c r="B9116" t="s">
        <v>4</v>
      </c>
      <c r="C9116">
        <v>4</v>
      </c>
      <c r="D9116" t="s">
        <v>5</v>
      </c>
      <c r="F9116" t="str" cm="1">
        <f t="array" ref="F9116">CategorizeComment(E9116)</f>
        <v>Other</v>
      </c>
      <c r="G9116" t="str" cm="1">
        <f t="array" ref="G9116">SubCategorizeComment(E9116)</f>
        <v>Other</v>
      </c>
    </row>
    <row r="9117" spans="1:7" x14ac:dyDescent="0.25">
      <c r="A9117">
        <v>83198</v>
      </c>
      <c r="B9117" t="s">
        <v>4</v>
      </c>
      <c r="C9117">
        <v>3</v>
      </c>
      <c r="D9117" t="s">
        <v>5</v>
      </c>
      <c r="F9117" t="str" cm="1">
        <f t="array" ref="F9117">CategorizeComment(E9117)</f>
        <v>Other</v>
      </c>
      <c r="G9117" t="str" cm="1">
        <f t="array" ref="G9117">SubCategorizeComment(E9117)</f>
        <v>Other</v>
      </c>
    </row>
    <row r="9118" spans="1:7" x14ac:dyDescent="0.25">
      <c r="A9118">
        <v>83205</v>
      </c>
      <c r="B9118" t="s">
        <v>4</v>
      </c>
      <c r="C9118">
        <v>3</v>
      </c>
      <c r="D9118" t="s">
        <v>5</v>
      </c>
      <c r="F9118" t="str" cm="1">
        <f t="array" ref="F9118">CategorizeComment(E9118)</f>
        <v>Other</v>
      </c>
      <c r="G9118" t="str" cm="1">
        <f t="array" ref="G9118">SubCategorizeComment(E9118)</f>
        <v>Other</v>
      </c>
    </row>
    <row r="9119" spans="1:7" x14ac:dyDescent="0.25">
      <c r="A9119">
        <v>83220</v>
      </c>
      <c r="B9119" t="s">
        <v>4</v>
      </c>
      <c r="C9119">
        <v>4</v>
      </c>
      <c r="D9119" t="s">
        <v>5</v>
      </c>
      <c r="F9119" t="str" cm="1">
        <f t="array" ref="F9119">CategorizeComment(E9119)</f>
        <v>Other</v>
      </c>
      <c r="G9119" t="str" cm="1">
        <f t="array" ref="G9119">SubCategorizeComment(E9119)</f>
        <v>Other</v>
      </c>
    </row>
    <row r="9120" spans="1:7" x14ac:dyDescent="0.25">
      <c r="A9120">
        <v>83261</v>
      </c>
      <c r="B9120" t="s">
        <v>4</v>
      </c>
      <c r="C9120">
        <v>3</v>
      </c>
      <c r="D9120" t="s">
        <v>5</v>
      </c>
      <c r="F9120" t="str" cm="1">
        <f t="array" ref="F9120">CategorizeComment(E9120)</f>
        <v>Other</v>
      </c>
      <c r="G9120" t="str" cm="1">
        <f t="array" ref="G9120">SubCategorizeComment(E9120)</f>
        <v>Other</v>
      </c>
    </row>
    <row r="9121" spans="1:7" x14ac:dyDescent="0.25">
      <c r="A9121">
        <v>83315</v>
      </c>
      <c r="B9121" t="s">
        <v>4</v>
      </c>
      <c r="C9121">
        <v>3</v>
      </c>
      <c r="D9121" t="s">
        <v>5</v>
      </c>
      <c r="F9121" t="str" cm="1">
        <f t="array" ref="F9121">CategorizeComment(E9121)</f>
        <v>Other</v>
      </c>
      <c r="G9121" t="str" cm="1">
        <f t="array" ref="G9121">SubCategorizeComment(E9121)</f>
        <v>Other</v>
      </c>
    </row>
    <row r="9122" spans="1:7" x14ac:dyDescent="0.25">
      <c r="A9122">
        <v>83317</v>
      </c>
      <c r="B9122" t="s">
        <v>4</v>
      </c>
      <c r="C9122">
        <v>4</v>
      </c>
      <c r="D9122" t="s">
        <v>5</v>
      </c>
      <c r="F9122" t="str" cm="1">
        <f t="array" ref="F9122">CategorizeComment(E9122)</f>
        <v>Other</v>
      </c>
      <c r="G9122" t="str" cm="1">
        <f t="array" ref="G9122">SubCategorizeComment(E9122)</f>
        <v>Other</v>
      </c>
    </row>
    <row r="9123" spans="1:7" x14ac:dyDescent="0.25">
      <c r="A9123">
        <v>83323</v>
      </c>
      <c r="B9123" t="s">
        <v>4</v>
      </c>
      <c r="C9123">
        <v>3</v>
      </c>
      <c r="D9123" t="s">
        <v>5</v>
      </c>
      <c r="F9123" t="str" cm="1">
        <f t="array" ref="F9123">CategorizeComment(E9123)</f>
        <v>Other</v>
      </c>
      <c r="G9123" t="str" cm="1">
        <f t="array" ref="G9123">SubCategorizeComment(E9123)</f>
        <v>Other</v>
      </c>
    </row>
    <row r="9124" spans="1:7" x14ac:dyDescent="0.25">
      <c r="A9124">
        <v>83331</v>
      </c>
      <c r="B9124" t="s">
        <v>4</v>
      </c>
      <c r="C9124">
        <v>4</v>
      </c>
      <c r="D9124" t="s">
        <v>5</v>
      </c>
      <c r="F9124" t="str" cm="1">
        <f t="array" ref="F9124">CategorizeComment(E9124)</f>
        <v>Other</v>
      </c>
      <c r="G9124" t="str" cm="1">
        <f t="array" ref="G9124">SubCategorizeComment(E9124)</f>
        <v>Other</v>
      </c>
    </row>
    <row r="9125" spans="1:7" x14ac:dyDescent="0.25">
      <c r="A9125">
        <v>83334</v>
      </c>
      <c r="B9125" t="s">
        <v>4</v>
      </c>
      <c r="C9125">
        <v>4</v>
      </c>
      <c r="D9125" t="s">
        <v>5</v>
      </c>
      <c r="F9125" t="str" cm="1">
        <f t="array" ref="F9125">CategorizeComment(E9125)</f>
        <v>Other</v>
      </c>
      <c r="G9125" t="str" cm="1">
        <f t="array" ref="G9125">SubCategorizeComment(E9125)</f>
        <v>Other</v>
      </c>
    </row>
    <row r="9126" spans="1:7" x14ac:dyDescent="0.25">
      <c r="A9126">
        <v>83349</v>
      </c>
      <c r="B9126" t="s">
        <v>4</v>
      </c>
      <c r="C9126">
        <v>4</v>
      </c>
      <c r="D9126" t="s">
        <v>5</v>
      </c>
      <c r="F9126" t="str" cm="1">
        <f t="array" ref="F9126">CategorizeComment(E9126)</f>
        <v>Other</v>
      </c>
      <c r="G9126" t="str" cm="1">
        <f t="array" ref="G9126">SubCategorizeComment(E9126)</f>
        <v>Other</v>
      </c>
    </row>
    <row r="9127" spans="1:7" x14ac:dyDescent="0.25">
      <c r="A9127">
        <v>83365</v>
      </c>
      <c r="B9127" t="s">
        <v>4</v>
      </c>
      <c r="C9127">
        <v>4</v>
      </c>
      <c r="D9127" t="s">
        <v>5</v>
      </c>
      <c r="F9127" t="str" cm="1">
        <f t="array" ref="F9127">CategorizeComment(E9127)</f>
        <v>Other</v>
      </c>
      <c r="G9127" t="str" cm="1">
        <f t="array" ref="G9127">SubCategorizeComment(E9127)</f>
        <v>Other</v>
      </c>
    </row>
    <row r="9128" spans="1:7" x14ac:dyDescent="0.25">
      <c r="A9128">
        <v>83383</v>
      </c>
      <c r="B9128" t="s">
        <v>4</v>
      </c>
      <c r="C9128">
        <v>4</v>
      </c>
      <c r="D9128" t="s">
        <v>5</v>
      </c>
      <c r="F9128" t="str" cm="1">
        <f t="array" ref="F9128">CategorizeComment(E9128)</f>
        <v>Other</v>
      </c>
      <c r="G9128" t="str" cm="1">
        <f t="array" ref="G9128">SubCategorizeComment(E9128)</f>
        <v>Other</v>
      </c>
    </row>
    <row r="9129" spans="1:7" x14ac:dyDescent="0.25">
      <c r="A9129">
        <v>83406</v>
      </c>
      <c r="B9129" t="s">
        <v>4</v>
      </c>
      <c r="C9129">
        <v>3</v>
      </c>
      <c r="D9129" t="s">
        <v>5</v>
      </c>
      <c r="F9129" t="str" cm="1">
        <f t="array" ref="F9129">CategorizeComment(E9129)</f>
        <v>Other</v>
      </c>
      <c r="G9129" t="str" cm="1">
        <f t="array" ref="G9129">SubCategorizeComment(E9129)</f>
        <v>Other</v>
      </c>
    </row>
    <row r="9130" spans="1:7" x14ac:dyDescent="0.25">
      <c r="A9130">
        <v>83430</v>
      </c>
      <c r="B9130" t="s">
        <v>4</v>
      </c>
      <c r="C9130">
        <v>3</v>
      </c>
      <c r="D9130" t="s">
        <v>5</v>
      </c>
      <c r="F9130" t="str" cm="1">
        <f t="array" ref="F9130">CategorizeComment(E9130)</f>
        <v>Other</v>
      </c>
      <c r="G9130" t="str" cm="1">
        <f t="array" ref="G9130">SubCategorizeComment(E9130)</f>
        <v>Other</v>
      </c>
    </row>
    <row r="9131" spans="1:7" x14ac:dyDescent="0.25">
      <c r="A9131">
        <v>83432</v>
      </c>
      <c r="B9131" t="s">
        <v>4</v>
      </c>
      <c r="C9131">
        <v>3</v>
      </c>
      <c r="D9131" t="s">
        <v>5</v>
      </c>
      <c r="F9131" t="str" cm="1">
        <f t="array" ref="F9131">CategorizeComment(E9131)</f>
        <v>Other</v>
      </c>
      <c r="G9131" t="str" cm="1">
        <f t="array" ref="G9131">SubCategorizeComment(E9131)</f>
        <v>Other</v>
      </c>
    </row>
    <row r="9132" spans="1:7" x14ac:dyDescent="0.25">
      <c r="A9132">
        <v>83438</v>
      </c>
      <c r="B9132" t="s">
        <v>4</v>
      </c>
      <c r="C9132">
        <v>3</v>
      </c>
      <c r="D9132" t="s">
        <v>5</v>
      </c>
      <c r="F9132" t="str" cm="1">
        <f t="array" ref="F9132">CategorizeComment(E9132)</f>
        <v>Other</v>
      </c>
      <c r="G9132" t="str" cm="1">
        <f t="array" ref="G9132">SubCategorizeComment(E9132)</f>
        <v>Other</v>
      </c>
    </row>
    <row r="9133" spans="1:7" x14ac:dyDescent="0.25">
      <c r="A9133">
        <v>83440</v>
      </c>
      <c r="B9133" t="s">
        <v>4</v>
      </c>
      <c r="C9133">
        <v>3</v>
      </c>
      <c r="D9133" t="s">
        <v>5</v>
      </c>
      <c r="F9133" t="str" cm="1">
        <f t="array" ref="F9133">CategorizeComment(E9133)</f>
        <v>Other</v>
      </c>
      <c r="G9133" t="str" cm="1">
        <f t="array" ref="G9133">SubCategorizeComment(E9133)</f>
        <v>Other</v>
      </c>
    </row>
    <row r="9134" spans="1:7" x14ac:dyDescent="0.25">
      <c r="A9134">
        <v>83477</v>
      </c>
      <c r="B9134" t="s">
        <v>4</v>
      </c>
      <c r="C9134">
        <v>4</v>
      </c>
      <c r="D9134" t="s">
        <v>5</v>
      </c>
      <c r="F9134" t="str" cm="1">
        <f t="array" ref="F9134">CategorizeComment(E9134)</f>
        <v>Other</v>
      </c>
      <c r="G9134" t="str" cm="1">
        <f t="array" ref="G9134">SubCategorizeComment(E9134)</f>
        <v>Other</v>
      </c>
    </row>
    <row r="9135" spans="1:7" x14ac:dyDescent="0.25">
      <c r="A9135">
        <v>83481</v>
      </c>
      <c r="B9135" t="s">
        <v>4</v>
      </c>
      <c r="C9135">
        <v>3</v>
      </c>
      <c r="D9135" t="s">
        <v>5</v>
      </c>
      <c r="F9135" t="str" cm="1">
        <f t="array" ref="F9135">CategorizeComment(E9135)</f>
        <v>Other</v>
      </c>
      <c r="G9135" t="str" cm="1">
        <f t="array" ref="G9135">SubCategorizeComment(E9135)</f>
        <v>Other</v>
      </c>
    </row>
    <row r="9136" spans="1:7" x14ac:dyDescent="0.25">
      <c r="A9136">
        <v>83483</v>
      </c>
      <c r="B9136" t="s">
        <v>4</v>
      </c>
      <c r="C9136">
        <v>3</v>
      </c>
      <c r="D9136" t="s">
        <v>5</v>
      </c>
      <c r="F9136" t="str" cm="1">
        <f t="array" ref="F9136">CategorizeComment(E9136)</f>
        <v>Other</v>
      </c>
      <c r="G9136" t="str" cm="1">
        <f t="array" ref="G9136">SubCategorizeComment(E9136)</f>
        <v>Other</v>
      </c>
    </row>
    <row r="9137" spans="1:7" x14ac:dyDescent="0.25">
      <c r="A9137">
        <v>83495</v>
      </c>
      <c r="B9137" t="s">
        <v>4</v>
      </c>
      <c r="C9137">
        <v>3</v>
      </c>
      <c r="D9137" t="s">
        <v>5</v>
      </c>
      <c r="F9137" t="str" cm="1">
        <f t="array" ref="F9137">CategorizeComment(E9137)</f>
        <v>Other</v>
      </c>
      <c r="G9137" t="str" cm="1">
        <f t="array" ref="G9137">SubCategorizeComment(E9137)</f>
        <v>Other</v>
      </c>
    </row>
    <row r="9138" spans="1:7" x14ac:dyDescent="0.25">
      <c r="A9138">
        <v>83498</v>
      </c>
      <c r="B9138" t="s">
        <v>4</v>
      </c>
      <c r="C9138">
        <v>3</v>
      </c>
      <c r="D9138" t="s">
        <v>5</v>
      </c>
      <c r="F9138" t="str" cm="1">
        <f t="array" ref="F9138">CategorizeComment(E9138)</f>
        <v>Other</v>
      </c>
      <c r="G9138" t="str" cm="1">
        <f t="array" ref="G9138">SubCategorizeComment(E9138)</f>
        <v>Other</v>
      </c>
    </row>
    <row r="9139" spans="1:7" x14ac:dyDescent="0.25">
      <c r="A9139">
        <v>83499</v>
      </c>
      <c r="B9139" t="s">
        <v>4</v>
      </c>
      <c r="C9139">
        <v>3</v>
      </c>
      <c r="D9139" t="s">
        <v>5</v>
      </c>
      <c r="F9139" t="str" cm="1">
        <f t="array" ref="F9139">CategorizeComment(E9139)</f>
        <v>Other</v>
      </c>
      <c r="G9139" t="str" cm="1">
        <f t="array" ref="G9139">SubCategorizeComment(E9139)</f>
        <v>Other</v>
      </c>
    </row>
    <row r="9140" spans="1:7" x14ac:dyDescent="0.25">
      <c r="A9140">
        <v>83505</v>
      </c>
      <c r="B9140" t="s">
        <v>4</v>
      </c>
      <c r="C9140">
        <v>3</v>
      </c>
      <c r="D9140" t="s">
        <v>5</v>
      </c>
      <c r="F9140" t="str" cm="1">
        <f t="array" ref="F9140">CategorizeComment(E9140)</f>
        <v>Other</v>
      </c>
      <c r="G9140" t="str" cm="1">
        <f t="array" ref="G9140">SubCategorizeComment(E9140)</f>
        <v>Other</v>
      </c>
    </row>
    <row r="9141" spans="1:7" x14ac:dyDescent="0.25">
      <c r="A9141">
        <v>83512</v>
      </c>
      <c r="B9141" t="s">
        <v>4</v>
      </c>
      <c r="C9141">
        <v>3</v>
      </c>
      <c r="D9141" t="s">
        <v>5</v>
      </c>
      <c r="F9141" t="str" cm="1">
        <f t="array" ref="F9141">CategorizeComment(E9141)</f>
        <v>Other</v>
      </c>
      <c r="G9141" t="str" cm="1">
        <f t="array" ref="G9141">SubCategorizeComment(E9141)</f>
        <v>Other</v>
      </c>
    </row>
    <row r="9142" spans="1:7" x14ac:dyDescent="0.25">
      <c r="A9142">
        <v>83516</v>
      </c>
      <c r="B9142" t="s">
        <v>4</v>
      </c>
      <c r="C9142">
        <v>4</v>
      </c>
      <c r="D9142" t="s">
        <v>5</v>
      </c>
      <c r="F9142" t="str" cm="1">
        <f t="array" ref="F9142">CategorizeComment(E9142)</f>
        <v>Other</v>
      </c>
      <c r="G9142" t="str" cm="1">
        <f t="array" ref="G9142">SubCategorizeComment(E9142)</f>
        <v>Other</v>
      </c>
    </row>
    <row r="9143" spans="1:7" x14ac:dyDescent="0.25">
      <c r="A9143">
        <v>83517</v>
      </c>
      <c r="B9143" t="s">
        <v>4</v>
      </c>
      <c r="C9143">
        <v>3</v>
      </c>
      <c r="D9143" t="s">
        <v>5</v>
      </c>
      <c r="F9143" t="str" cm="1">
        <f t="array" ref="F9143">CategorizeComment(E9143)</f>
        <v>Other</v>
      </c>
      <c r="G9143" t="str" cm="1">
        <f t="array" ref="G9143">SubCategorizeComment(E9143)</f>
        <v>Other</v>
      </c>
    </row>
    <row r="9144" spans="1:7" x14ac:dyDescent="0.25">
      <c r="A9144">
        <v>83520</v>
      </c>
      <c r="B9144" t="s">
        <v>4</v>
      </c>
      <c r="C9144">
        <v>3</v>
      </c>
      <c r="D9144" t="s">
        <v>5</v>
      </c>
      <c r="F9144" t="str" cm="1">
        <f t="array" ref="F9144">CategorizeComment(E9144)</f>
        <v>Other</v>
      </c>
      <c r="G9144" t="str" cm="1">
        <f t="array" ref="G9144">SubCategorizeComment(E9144)</f>
        <v>Other</v>
      </c>
    </row>
    <row r="9145" spans="1:7" x14ac:dyDescent="0.25">
      <c r="A9145">
        <v>83521</v>
      </c>
      <c r="B9145" t="s">
        <v>4</v>
      </c>
      <c r="C9145">
        <v>4</v>
      </c>
      <c r="D9145" t="s">
        <v>5</v>
      </c>
      <c r="F9145" t="str" cm="1">
        <f t="array" ref="F9145">CategorizeComment(E9145)</f>
        <v>Other</v>
      </c>
      <c r="G9145" t="str" cm="1">
        <f t="array" ref="G9145">SubCategorizeComment(E9145)</f>
        <v>Other</v>
      </c>
    </row>
    <row r="9146" spans="1:7" x14ac:dyDescent="0.25">
      <c r="A9146">
        <v>83526</v>
      </c>
      <c r="B9146" t="s">
        <v>4</v>
      </c>
      <c r="C9146">
        <v>4</v>
      </c>
      <c r="D9146" t="s">
        <v>5</v>
      </c>
      <c r="F9146" t="str" cm="1">
        <f t="array" ref="F9146">CategorizeComment(E9146)</f>
        <v>Other</v>
      </c>
      <c r="G9146" t="str" cm="1">
        <f t="array" ref="G9146">SubCategorizeComment(E9146)</f>
        <v>Other</v>
      </c>
    </row>
    <row r="9147" spans="1:7" x14ac:dyDescent="0.25">
      <c r="A9147">
        <v>83527</v>
      </c>
      <c r="B9147" t="s">
        <v>4</v>
      </c>
      <c r="C9147">
        <v>3</v>
      </c>
      <c r="D9147" t="s">
        <v>5</v>
      </c>
      <c r="F9147" t="str" cm="1">
        <f t="array" ref="F9147">CategorizeComment(E9147)</f>
        <v>Other</v>
      </c>
      <c r="G9147" t="str" cm="1">
        <f t="array" ref="G9147">SubCategorizeComment(E9147)</f>
        <v>Other</v>
      </c>
    </row>
    <row r="9148" spans="1:7" x14ac:dyDescent="0.25">
      <c r="A9148">
        <v>83530</v>
      </c>
      <c r="B9148" t="s">
        <v>4</v>
      </c>
      <c r="C9148">
        <v>3</v>
      </c>
      <c r="D9148" t="s">
        <v>5</v>
      </c>
      <c r="F9148" t="str" cm="1">
        <f t="array" ref="F9148">CategorizeComment(E9148)</f>
        <v>Other</v>
      </c>
      <c r="G9148" t="str" cm="1">
        <f t="array" ref="G9148">SubCategorizeComment(E9148)</f>
        <v>Other</v>
      </c>
    </row>
    <row r="9149" spans="1:7" x14ac:dyDescent="0.25">
      <c r="A9149">
        <v>83535</v>
      </c>
      <c r="B9149" t="s">
        <v>4</v>
      </c>
      <c r="C9149">
        <v>4</v>
      </c>
      <c r="D9149" t="s">
        <v>5</v>
      </c>
      <c r="F9149" t="str" cm="1">
        <f t="array" ref="F9149">CategorizeComment(E9149)</f>
        <v>Other</v>
      </c>
      <c r="G9149" t="str" cm="1">
        <f t="array" ref="G9149">SubCategorizeComment(E9149)</f>
        <v>Other</v>
      </c>
    </row>
    <row r="9150" spans="1:7" x14ac:dyDescent="0.25">
      <c r="A9150">
        <v>83571</v>
      </c>
      <c r="B9150" t="s">
        <v>4</v>
      </c>
      <c r="C9150">
        <v>4</v>
      </c>
      <c r="D9150" t="s">
        <v>5</v>
      </c>
      <c r="F9150" t="str" cm="1">
        <f t="array" ref="F9150">CategorizeComment(E9150)</f>
        <v>Other</v>
      </c>
      <c r="G9150" t="str" cm="1">
        <f t="array" ref="G9150">SubCategorizeComment(E9150)</f>
        <v>Other</v>
      </c>
    </row>
    <row r="9151" spans="1:7" x14ac:dyDescent="0.25">
      <c r="A9151">
        <v>83576</v>
      </c>
      <c r="B9151" t="s">
        <v>4</v>
      </c>
      <c r="C9151">
        <v>3</v>
      </c>
      <c r="D9151" t="s">
        <v>5</v>
      </c>
      <c r="F9151" t="str" cm="1">
        <f t="array" ref="F9151">CategorizeComment(E9151)</f>
        <v>Other</v>
      </c>
      <c r="G9151" t="str" cm="1">
        <f t="array" ref="G9151">SubCategorizeComment(E9151)</f>
        <v>Other</v>
      </c>
    </row>
    <row r="9152" spans="1:7" x14ac:dyDescent="0.25">
      <c r="A9152">
        <v>83578</v>
      </c>
      <c r="B9152" t="s">
        <v>4</v>
      </c>
      <c r="C9152">
        <v>3</v>
      </c>
      <c r="D9152" t="s">
        <v>5</v>
      </c>
      <c r="F9152" t="str" cm="1">
        <f t="array" ref="F9152">CategorizeComment(E9152)</f>
        <v>Other</v>
      </c>
      <c r="G9152" t="str" cm="1">
        <f t="array" ref="G9152">SubCategorizeComment(E9152)</f>
        <v>Other</v>
      </c>
    </row>
    <row r="9153" spans="1:7" x14ac:dyDescent="0.25">
      <c r="A9153">
        <v>83593</v>
      </c>
      <c r="B9153" t="s">
        <v>4</v>
      </c>
      <c r="C9153">
        <v>4</v>
      </c>
      <c r="D9153" t="s">
        <v>5</v>
      </c>
      <c r="F9153" t="str" cm="1">
        <f t="array" ref="F9153">CategorizeComment(E9153)</f>
        <v>Other</v>
      </c>
      <c r="G9153" t="str" cm="1">
        <f t="array" ref="G9153">SubCategorizeComment(E9153)</f>
        <v>Other</v>
      </c>
    </row>
    <row r="9154" spans="1:7" x14ac:dyDescent="0.25">
      <c r="A9154">
        <v>83614</v>
      </c>
      <c r="B9154" t="s">
        <v>4</v>
      </c>
      <c r="C9154">
        <v>4</v>
      </c>
      <c r="D9154" t="s">
        <v>5</v>
      </c>
      <c r="F9154" t="str" cm="1">
        <f t="array" ref="F9154">CategorizeComment(E9154)</f>
        <v>Other</v>
      </c>
      <c r="G9154" t="str" cm="1">
        <f t="array" ref="G9154">SubCategorizeComment(E9154)</f>
        <v>Other</v>
      </c>
    </row>
    <row r="9155" spans="1:7" x14ac:dyDescent="0.25">
      <c r="A9155">
        <v>83640</v>
      </c>
      <c r="B9155" t="s">
        <v>4</v>
      </c>
      <c r="C9155">
        <v>4</v>
      </c>
      <c r="D9155" t="s">
        <v>5</v>
      </c>
      <c r="F9155" t="str" cm="1">
        <f t="array" ref="F9155">CategorizeComment(E9155)</f>
        <v>Other</v>
      </c>
      <c r="G9155" t="str" cm="1">
        <f t="array" ref="G9155">SubCategorizeComment(E9155)</f>
        <v>Other</v>
      </c>
    </row>
    <row r="9156" spans="1:7" x14ac:dyDescent="0.25">
      <c r="A9156">
        <v>83679</v>
      </c>
      <c r="B9156" t="s">
        <v>4</v>
      </c>
      <c r="C9156">
        <v>3</v>
      </c>
      <c r="D9156" t="s">
        <v>5</v>
      </c>
      <c r="F9156" t="str" cm="1">
        <f t="array" ref="F9156">CategorizeComment(E9156)</f>
        <v>Other</v>
      </c>
      <c r="G9156" t="str" cm="1">
        <f t="array" ref="G9156">SubCategorizeComment(E9156)</f>
        <v>Other</v>
      </c>
    </row>
    <row r="9157" spans="1:7" x14ac:dyDescent="0.25">
      <c r="A9157">
        <v>83686</v>
      </c>
      <c r="B9157" t="s">
        <v>4</v>
      </c>
      <c r="C9157">
        <v>3</v>
      </c>
      <c r="D9157" t="s">
        <v>5</v>
      </c>
      <c r="F9157" t="str" cm="1">
        <f t="array" ref="F9157">CategorizeComment(E9157)</f>
        <v>Other</v>
      </c>
      <c r="G9157" t="str" cm="1">
        <f t="array" ref="G9157">SubCategorizeComment(E9157)</f>
        <v>Other</v>
      </c>
    </row>
    <row r="9158" spans="1:7" x14ac:dyDescent="0.25">
      <c r="A9158">
        <v>83689</v>
      </c>
      <c r="B9158" t="s">
        <v>4</v>
      </c>
      <c r="C9158">
        <v>4</v>
      </c>
      <c r="D9158" t="s">
        <v>5</v>
      </c>
      <c r="F9158" t="str" cm="1">
        <f t="array" ref="F9158">CategorizeComment(E9158)</f>
        <v>Other</v>
      </c>
      <c r="G9158" t="str" cm="1">
        <f t="array" ref="G9158">SubCategorizeComment(E9158)</f>
        <v>Other</v>
      </c>
    </row>
    <row r="9159" spans="1:7" x14ac:dyDescent="0.25">
      <c r="A9159">
        <v>83697</v>
      </c>
      <c r="B9159" t="s">
        <v>4</v>
      </c>
      <c r="C9159">
        <v>3</v>
      </c>
      <c r="D9159" t="s">
        <v>5</v>
      </c>
      <c r="F9159" t="str" cm="1">
        <f t="array" ref="F9159">CategorizeComment(E9159)</f>
        <v>Other</v>
      </c>
      <c r="G9159" t="str" cm="1">
        <f t="array" ref="G9159">SubCategorizeComment(E9159)</f>
        <v>Other</v>
      </c>
    </row>
    <row r="9160" spans="1:7" x14ac:dyDescent="0.25">
      <c r="A9160">
        <v>83717</v>
      </c>
      <c r="B9160" t="s">
        <v>4</v>
      </c>
      <c r="C9160">
        <v>4</v>
      </c>
      <c r="D9160" t="s">
        <v>5</v>
      </c>
      <c r="F9160" t="str" cm="1">
        <f t="array" ref="F9160">CategorizeComment(E9160)</f>
        <v>Other</v>
      </c>
      <c r="G9160" t="str" cm="1">
        <f t="array" ref="G9160">SubCategorizeComment(E9160)</f>
        <v>Other</v>
      </c>
    </row>
    <row r="9161" spans="1:7" x14ac:dyDescent="0.25">
      <c r="A9161">
        <v>83735</v>
      </c>
      <c r="B9161" t="s">
        <v>4</v>
      </c>
      <c r="C9161">
        <v>4</v>
      </c>
      <c r="D9161" t="s">
        <v>5</v>
      </c>
      <c r="F9161" t="str" cm="1">
        <f t="array" ref="F9161">CategorizeComment(E9161)</f>
        <v>Other</v>
      </c>
      <c r="G9161" t="str" cm="1">
        <f t="array" ref="G9161">SubCategorizeComment(E9161)</f>
        <v>Other</v>
      </c>
    </row>
    <row r="9162" spans="1:7" x14ac:dyDescent="0.25">
      <c r="A9162">
        <v>83743</v>
      </c>
      <c r="B9162" t="s">
        <v>4</v>
      </c>
      <c r="C9162">
        <v>4</v>
      </c>
      <c r="D9162" t="s">
        <v>5</v>
      </c>
      <c r="F9162" t="str" cm="1">
        <f t="array" ref="F9162">CategorizeComment(E9162)</f>
        <v>Other</v>
      </c>
      <c r="G9162" t="str" cm="1">
        <f t="array" ref="G9162">SubCategorizeComment(E9162)</f>
        <v>Other</v>
      </c>
    </row>
    <row r="9163" spans="1:7" x14ac:dyDescent="0.25">
      <c r="A9163">
        <v>83745</v>
      </c>
      <c r="B9163" t="s">
        <v>4</v>
      </c>
      <c r="C9163">
        <v>3</v>
      </c>
      <c r="D9163" t="s">
        <v>5</v>
      </c>
      <c r="F9163" t="str" cm="1">
        <f t="array" ref="F9163">CategorizeComment(E9163)</f>
        <v>Other</v>
      </c>
      <c r="G9163" t="str" cm="1">
        <f t="array" ref="G9163">SubCategorizeComment(E9163)</f>
        <v>Other</v>
      </c>
    </row>
    <row r="9164" spans="1:7" x14ac:dyDescent="0.25">
      <c r="A9164">
        <v>83748</v>
      </c>
      <c r="B9164" t="s">
        <v>4</v>
      </c>
      <c r="C9164">
        <v>3</v>
      </c>
      <c r="D9164" t="s">
        <v>5</v>
      </c>
      <c r="F9164" t="str" cm="1">
        <f t="array" ref="F9164">CategorizeComment(E9164)</f>
        <v>Other</v>
      </c>
      <c r="G9164" t="str" cm="1">
        <f t="array" ref="G9164">SubCategorizeComment(E9164)</f>
        <v>Other</v>
      </c>
    </row>
    <row r="9165" spans="1:7" x14ac:dyDescent="0.25">
      <c r="A9165">
        <v>83751</v>
      </c>
      <c r="B9165" t="s">
        <v>4</v>
      </c>
      <c r="C9165">
        <v>3</v>
      </c>
      <c r="D9165" t="s">
        <v>5</v>
      </c>
      <c r="F9165" t="str" cm="1">
        <f t="array" ref="F9165">CategorizeComment(E9165)</f>
        <v>Other</v>
      </c>
      <c r="G9165" t="str" cm="1">
        <f t="array" ref="G9165">SubCategorizeComment(E9165)</f>
        <v>Other</v>
      </c>
    </row>
    <row r="9166" spans="1:7" x14ac:dyDescent="0.25">
      <c r="A9166">
        <v>83756</v>
      </c>
      <c r="B9166" t="s">
        <v>4</v>
      </c>
      <c r="C9166">
        <v>4</v>
      </c>
      <c r="D9166" t="s">
        <v>5</v>
      </c>
      <c r="F9166" t="str" cm="1">
        <f t="array" ref="F9166">CategorizeComment(E9166)</f>
        <v>Other</v>
      </c>
      <c r="G9166" t="str" cm="1">
        <f t="array" ref="G9166">SubCategorizeComment(E9166)</f>
        <v>Other</v>
      </c>
    </row>
    <row r="9167" spans="1:7" x14ac:dyDescent="0.25">
      <c r="A9167">
        <v>83773</v>
      </c>
      <c r="B9167" t="s">
        <v>4</v>
      </c>
      <c r="C9167">
        <v>4</v>
      </c>
      <c r="D9167" t="s">
        <v>5</v>
      </c>
      <c r="F9167" t="str" cm="1">
        <f t="array" ref="F9167">CategorizeComment(E9167)</f>
        <v>Other</v>
      </c>
      <c r="G9167" t="str" cm="1">
        <f t="array" ref="G9167">SubCategorizeComment(E9167)</f>
        <v>Other</v>
      </c>
    </row>
    <row r="9168" spans="1:7" x14ac:dyDescent="0.25">
      <c r="A9168">
        <v>83778</v>
      </c>
      <c r="B9168" t="s">
        <v>4</v>
      </c>
      <c r="C9168">
        <v>3</v>
      </c>
      <c r="D9168" t="s">
        <v>5</v>
      </c>
      <c r="F9168" t="str" cm="1">
        <f t="array" ref="F9168">CategorizeComment(E9168)</f>
        <v>Other</v>
      </c>
      <c r="G9168" t="str" cm="1">
        <f t="array" ref="G9168">SubCategorizeComment(E9168)</f>
        <v>Other</v>
      </c>
    </row>
    <row r="9169" spans="1:7" x14ac:dyDescent="0.25">
      <c r="A9169">
        <v>83831</v>
      </c>
      <c r="B9169" t="s">
        <v>4</v>
      </c>
      <c r="C9169">
        <v>4</v>
      </c>
      <c r="D9169" t="s">
        <v>5</v>
      </c>
      <c r="F9169" t="str" cm="1">
        <f t="array" ref="F9169">CategorizeComment(E9169)</f>
        <v>Other</v>
      </c>
      <c r="G9169" t="str" cm="1">
        <f t="array" ref="G9169">SubCategorizeComment(E9169)</f>
        <v>Other</v>
      </c>
    </row>
    <row r="9170" spans="1:7" x14ac:dyDescent="0.25">
      <c r="A9170">
        <v>83832</v>
      </c>
      <c r="B9170" t="s">
        <v>4</v>
      </c>
      <c r="C9170">
        <v>4</v>
      </c>
      <c r="D9170" t="s">
        <v>5</v>
      </c>
      <c r="F9170" t="str" cm="1">
        <f t="array" ref="F9170">CategorizeComment(E9170)</f>
        <v>Other</v>
      </c>
      <c r="G9170" t="str" cm="1">
        <f t="array" ref="G9170">SubCategorizeComment(E9170)</f>
        <v>Other</v>
      </c>
    </row>
    <row r="9171" spans="1:7" x14ac:dyDescent="0.25">
      <c r="A9171">
        <v>83836</v>
      </c>
      <c r="B9171" t="s">
        <v>4</v>
      </c>
      <c r="C9171">
        <v>3</v>
      </c>
      <c r="D9171" t="s">
        <v>5</v>
      </c>
      <c r="F9171" t="str" cm="1">
        <f t="array" ref="F9171">CategorizeComment(E9171)</f>
        <v>Other</v>
      </c>
      <c r="G9171" t="str" cm="1">
        <f t="array" ref="G9171">SubCategorizeComment(E9171)</f>
        <v>Other</v>
      </c>
    </row>
    <row r="9172" spans="1:7" x14ac:dyDescent="0.25">
      <c r="A9172">
        <v>83837</v>
      </c>
      <c r="B9172" t="s">
        <v>4</v>
      </c>
      <c r="C9172">
        <v>4</v>
      </c>
      <c r="D9172" t="s">
        <v>5</v>
      </c>
      <c r="F9172" t="str" cm="1">
        <f t="array" ref="F9172">CategorizeComment(E9172)</f>
        <v>Other</v>
      </c>
      <c r="G9172" t="str" cm="1">
        <f t="array" ref="G9172">SubCategorizeComment(E9172)</f>
        <v>Other</v>
      </c>
    </row>
    <row r="9173" spans="1:7" x14ac:dyDescent="0.25">
      <c r="A9173">
        <v>83839</v>
      </c>
      <c r="B9173" t="s">
        <v>4</v>
      </c>
      <c r="C9173">
        <v>4</v>
      </c>
      <c r="D9173" t="s">
        <v>5</v>
      </c>
      <c r="F9173" t="str" cm="1">
        <f t="array" ref="F9173">CategorizeComment(E9173)</f>
        <v>Other</v>
      </c>
      <c r="G9173" t="str" cm="1">
        <f t="array" ref="G9173">SubCategorizeComment(E9173)</f>
        <v>Other</v>
      </c>
    </row>
    <row r="9174" spans="1:7" x14ac:dyDescent="0.25">
      <c r="A9174">
        <v>83843</v>
      </c>
      <c r="B9174" t="s">
        <v>4</v>
      </c>
      <c r="C9174">
        <v>3</v>
      </c>
      <c r="D9174" t="s">
        <v>5</v>
      </c>
      <c r="F9174" t="str" cm="1">
        <f t="array" ref="F9174">CategorizeComment(E9174)</f>
        <v>Other</v>
      </c>
      <c r="G9174" t="str" cm="1">
        <f t="array" ref="G9174">SubCategorizeComment(E9174)</f>
        <v>Other</v>
      </c>
    </row>
    <row r="9175" spans="1:7" x14ac:dyDescent="0.25">
      <c r="A9175">
        <v>83845</v>
      </c>
      <c r="B9175" t="s">
        <v>4</v>
      </c>
      <c r="C9175">
        <v>3</v>
      </c>
      <c r="D9175" t="s">
        <v>5</v>
      </c>
      <c r="F9175" t="str" cm="1">
        <f t="array" ref="F9175">CategorizeComment(E9175)</f>
        <v>Other</v>
      </c>
      <c r="G9175" t="str" cm="1">
        <f t="array" ref="G9175">SubCategorizeComment(E9175)</f>
        <v>Other</v>
      </c>
    </row>
    <row r="9176" spans="1:7" x14ac:dyDescent="0.25">
      <c r="A9176">
        <v>83869</v>
      </c>
      <c r="B9176" t="s">
        <v>4</v>
      </c>
      <c r="C9176">
        <v>4</v>
      </c>
      <c r="D9176" t="s">
        <v>5</v>
      </c>
      <c r="F9176" t="str" cm="1">
        <f t="array" ref="F9176">CategorizeComment(E9176)</f>
        <v>Other</v>
      </c>
      <c r="G9176" t="str" cm="1">
        <f t="array" ref="G9176">SubCategorizeComment(E9176)</f>
        <v>Other</v>
      </c>
    </row>
    <row r="9177" spans="1:7" x14ac:dyDescent="0.25">
      <c r="A9177">
        <v>83870</v>
      </c>
      <c r="B9177" t="s">
        <v>4</v>
      </c>
      <c r="C9177">
        <v>3</v>
      </c>
      <c r="D9177" t="s">
        <v>5</v>
      </c>
      <c r="F9177" t="str" cm="1">
        <f t="array" ref="F9177">CategorizeComment(E9177)</f>
        <v>Other</v>
      </c>
      <c r="G9177" t="str" cm="1">
        <f t="array" ref="G9177">SubCategorizeComment(E9177)</f>
        <v>Other</v>
      </c>
    </row>
    <row r="9178" spans="1:7" x14ac:dyDescent="0.25">
      <c r="A9178">
        <v>83871</v>
      </c>
      <c r="B9178" t="s">
        <v>4</v>
      </c>
      <c r="C9178">
        <v>3</v>
      </c>
      <c r="D9178" t="s">
        <v>5</v>
      </c>
      <c r="F9178" t="str" cm="1">
        <f t="array" ref="F9178">CategorizeComment(E9178)</f>
        <v>Other</v>
      </c>
      <c r="G9178" t="str" cm="1">
        <f t="array" ref="G9178">SubCategorizeComment(E9178)</f>
        <v>Other</v>
      </c>
    </row>
    <row r="9179" spans="1:7" x14ac:dyDescent="0.25">
      <c r="A9179">
        <v>83882</v>
      </c>
      <c r="B9179" t="s">
        <v>4</v>
      </c>
      <c r="C9179">
        <v>3</v>
      </c>
      <c r="D9179" t="s">
        <v>5</v>
      </c>
      <c r="F9179" t="str" cm="1">
        <f t="array" ref="F9179">CategorizeComment(E9179)</f>
        <v>Other</v>
      </c>
      <c r="G9179" t="str" cm="1">
        <f t="array" ref="G9179">SubCategorizeComment(E9179)</f>
        <v>Other</v>
      </c>
    </row>
    <row r="9180" spans="1:7" x14ac:dyDescent="0.25">
      <c r="A9180">
        <v>83885</v>
      </c>
      <c r="B9180" t="s">
        <v>4</v>
      </c>
      <c r="C9180">
        <v>3</v>
      </c>
      <c r="D9180" t="s">
        <v>5</v>
      </c>
      <c r="F9180" t="str" cm="1">
        <f t="array" ref="F9180">CategorizeComment(E9180)</f>
        <v>Other</v>
      </c>
      <c r="G9180" t="str" cm="1">
        <f t="array" ref="G9180">SubCategorizeComment(E9180)</f>
        <v>Other</v>
      </c>
    </row>
    <row r="9181" spans="1:7" x14ac:dyDescent="0.25">
      <c r="A9181">
        <v>83904</v>
      </c>
      <c r="B9181" t="s">
        <v>4</v>
      </c>
      <c r="C9181">
        <v>4</v>
      </c>
      <c r="D9181" t="s">
        <v>5</v>
      </c>
      <c r="F9181" t="str" cm="1">
        <f t="array" ref="F9181">CategorizeComment(E9181)</f>
        <v>Other</v>
      </c>
      <c r="G9181" t="str" cm="1">
        <f t="array" ref="G9181">SubCategorizeComment(E9181)</f>
        <v>Other</v>
      </c>
    </row>
    <row r="9182" spans="1:7" x14ac:dyDescent="0.25">
      <c r="A9182">
        <v>83916</v>
      </c>
      <c r="B9182" t="s">
        <v>4</v>
      </c>
      <c r="C9182">
        <v>3</v>
      </c>
      <c r="D9182" t="s">
        <v>5</v>
      </c>
      <c r="F9182" t="str" cm="1">
        <f t="array" ref="F9182">CategorizeComment(E9182)</f>
        <v>Other</v>
      </c>
      <c r="G9182" t="str" cm="1">
        <f t="array" ref="G9182">SubCategorizeComment(E9182)</f>
        <v>Other</v>
      </c>
    </row>
    <row r="9183" spans="1:7" x14ac:dyDescent="0.25">
      <c r="A9183">
        <v>83962</v>
      </c>
      <c r="B9183" t="s">
        <v>4</v>
      </c>
      <c r="C9183">
        <v>4</v>
      </c>
      <c r="D9183" t="s">
        <v>5</v>
      </c>
      <c r="F9183" t="str" cm="1">
        <f t="array" ref="F9183">CategorizeComment(E9183)</f>
        <v>Other</v>
      </c>
      <c r="G9183" t="str" cm="1">
        <f t="array" ref="G9183">SubCategorizeComment(E9183)</f>
        <v>Other</v>
      </c>
    </row>
    <row r="9184" spans="1:7" x14ac:dyDescent="0.25">
      <c r="A9184">
        <v>83986</v>
      </c>
      <c r="B9184" t="s">
        <v>4</v>
      </c>
      <c r="C9184">
        <v>4</v>
      </c>
      <c r="D9184" t="s">
        <v>5</v>
      </c>
      <c r="F9184" t="str" cm="1">
        <f t="array" ref="F9184">CategorizeComment(E9184)</f>
        <v>Other</v>
      </c>
      <c r="G9184" t="str" cm="1">
        <f t="array" ref="G9184">SubCategorizeComment(E9184)</f>
        <v>Other</v>
      </c>
    </row>
    <row r="9185" spans="1:7" x14ac:dyDescent="0.25">
      <c r="A9185">
        <v>83988</v>
      </c>
      <c r="B9185" t="s">
        <v>4</v>
      </c>
      <c r="C9185">
        <v>3</v>
      </c>
      <c r="D9185" t="s">
        <v>5</v>
      </c>
      <c r="F9185" t="str" cm="1">
        <f t="array" ref="F9185">CategorizeComment(E9185)</f>
        <v>Other</v>
      </c>
      <c r="G9185" t="str" cm="1">
        <f t="array" ref="G9185">SubCategorizeComment(E9185)</f>
        <v>Other</v>
      </c>
    </row>
    <row r="9186" spans="1:7" x14ac:dyDescent="0.25">
      <c r="A9186">
        <v>83997</v>
      </c>
      <c r="B9186" t="s">
        <v>4</v>
      </c>
      <c r="C9186">
        <v>4</v>
      </c>
      <c r="D9186" t="s">
        <v>5</v>
      </c>
      <c r="F9186" t="str" cm="1">
        <f t="array" ref="F9186">CategorizeComment(E9186)</f>
        <v>Other</v>
      </c>
      <c r="G9186" t="str" cm="1">
        <f t="array" ref="G9186">SubCategorizeComment(E9186)</f>
        <v>Other</v>
      </c>
    </row>
    <row r="9187" spans="1:7" x14ac:dyDescent="0.25">
      <c r="A9187">
        <v>84012</v>
      </c>
      <c r="B9187" t="s">
        <v>4</v>
      </c>
      <c r="C9187">
        <v>4</v>
      </c>
      <c r="D9187" t="s">
        <v>5</v>
      </c>
      <c r="F9187" t="str" cm="1">
        <f t="array" ref="F9187">CategorizeComment(E9187)</f>
        <v>Other</v>
      </c>
      <c r="G9187" t="str" cm="1">
        <f t="array" ref="G9187">SubCategorizeComment(E9187)</f>
        <v>Other</v>
      </c>
    </row>
    <row r="9188" spans="1:7" x14ac:dyDescent="0.25">
      <c r="A9188">
        <v>84014</v>
      </c>
      <c r="B9188" t="s">
        <v>4</v>
      </c>
      <c r="C9188">
        <v>3</v>
      </c>
      <c r="D9188" t="s">
        <v>5</v>
      </c>
      <c r="F9188" t="str" cm="1">
        <f t="array" ref="F9188">CategorizeComment(E9188)</f>
        <v>Other</v>
      </c>
      <c r="G9188" t="str" cm="1">
        <f t="array" ref="G9188">SubCategorizeComment(E9188)</f>
        <v>Other</v>
      </c>
    </row>
    <row r="9189" spans="1:7" x14ac:dyDescent="0.25">
      <c r="A9189">
        <v>84019</v>
      </c>
      <c r="B9189" t="s">
        <v>4</v>
      </c>
      <c r="C9189">
        <v>4</v>
      </c>
      <c r="D9189" t="s">
        <v>5</v>
      </c>
      <c r="F9189" t="str" cm="1">
        <f t="array" ref="F9189">CategorizeComment(E9189)</f>
        <v>Other</v>
      </c>
      <c r="G9189" t="str" cm="1">
        <f t="array" ref="G9189">SubCategorizeComment(E9189)</f>
        <v>Other</v>
      </c>
    </row>
    <row r="9190" spans="1:7" x14ac:dyDescent="0.25">
      <c r="A9190">
        <v>84029</v>
      </c>
      <c r="B9190" t="s">
        <v>4</v>
      </c>
      <c r="C9190">
        <v>4</v>
      </c>
      <c r="D9190" t="s">
        <v>5</v>
      </c>
      <c r="F9190" t="str" cm="1">
        <f t="array" ref="F9190">CategorizeComment(E9190)</f>
        <v>Other</v>
      </c>
      <c r="G9190" t="str" cm="1">
        <f t="array" ref="G9190">SubCategorizeComment(E9190)</f>
        <v>Other</v>
      </c>
    </row>
    <row r="9191" spans="1:7" x14ac:dyDescent="0.25">
      <c r="A9191">
        <v>84055</v>
      </c>
      <c r="B9191" t="s">
        <v>4</v>
      </c>
      <c r="C9191">
        <v>3</v>
      </c>
      <c r="D9191" t="s">
        <v>5</v>
      </c>
      <c r="F9191" t="str" cm="1">
        <f t="array" ref="F9191">CategorizeComment(E9191)</f>
        <v>Other</v>
      </c>
      <c r="G9191" t="str" cm="1">
        <f t="array" ref="G9191">SubCategorizeComment(E9191)</f>
        <v>Other</v>
      </c>
    </row>
    <row r="9192" spans="1:7" x14ac:dyDescent="0.25">
      <c r="A9192">
        <v>84065</v>
      </c>
      <c r="B9192" t="s">
        <v>4</v>
      </c>
      <c r="C9192">
        <v>3</v>
      </c>
      <c r="D9192" t="s">
        <v>5</v>
      </c>
      <c r="F9192" t="str" cm="1">
        <f t="array" ref="F9192">CategorizeComment(E9192)</f>
        <v>Other</v>
      </c>
      <c r="G9192" t="str" cm="1">
        <f t="array" ref="G9192">SubCategorizeComment(E9192)</f>
        <v>Other</v>
      </c>
    </row>
    <row r="9193" spans="1:7" x14ac:dyDescent="0.25">
      <c r="A9193">
        <v>84075</v>
      </c>
      <c r="B9193" t="s">
        <v>4</v>
      </c>
      <c r="C9193">
        <v>4</v>
      </c>
      <c r="D9193" t="s">
        <v>5</v>
      </c>
      <c r="F9193" t="str" cm="1">
        <f t="array" ref="F9193">CategorizeComment(E9193)</f>
        <v>Other</v>
      </c>
      <c r="G9193" t="str" cm="1">
        <f t="array" ref="G9193">SubCategorizeComment(E9193)</f>
        <v>Other</v>
      </c>
    </row>
    <row r="9194" spans="1:7" x14ac:dyDescent="0.25">
      <c r="A9194">
        <v>84079</v>
      </c>
      <c r="B9194" t="s">
        <v>4</v>
      </c>
      <c r="C9194">
        <v>4</v>
      </c>
      <c r="D9194" t="s">
        <v>5</v>
      </c>
      <c r="F9194" t="str" cm="1">
        <f t="array" ref="F9194">CategorizeComment(E9194)</f>
        <v>Other</v>
      </c>
      <c r="G9194" t="str" cm="1">
        <f t="array" ref="G9194">SubCategorizeComment(E9194)</f>
        <v>Other</v>
      </c>
    </row>
    <row r="9195" spans="1:7" x14ac:dyDescent="0.25">
      <c r="A9195">
        <v>84094</v>
      </c>
      <c r="B9195" t="s">
        <v>4</v>
      </c>
      <c r="C9195">
        <v>4</v>
      </c>
      <c r="D9195" t="s">
        <v>5</v>
      </c>
      <c r="F9195" t="str" cm="1">
        <f t="array" ref="F9195">CategorizeComment(E9195)</f>
        <v>Other</v>
      </c>
      <c r="G9195" t="str" cm="1">
        <f t="array" ref="G9195">SubCategorizeComment(E9195)</f>
        <v>Other</v>
      </c>
    </row>
    <row r="9196" spans="1:7" x14ac:dyDescent="0.25">
      <c r="A9196">
        <v>84117</v>
      </c>
      <c r="B9196" t="s">
        <v>4</v>
      </c>
      <c r="C9196">
        <v>4</v>
      </c>
      <c r="D9196" t="s">
        <v>5</v>
      </c>
      <c r="F9196" t="str" cm="1">
        <f t="array" ref="F9196">CategorizeComment(E9196)</f>
        <v>Other</v>
      </c>
      <c r="G9196" t="str" cm="1">
        <f t="array" ref="G9196">SubCategorizeComment(E9196)</f>
        <v>Other</v>
      </c>
    </row>
    <row r="9197" spans="1:7" x14ac:dyDescent="0.25">
      <c r="A9197">
        <v>84118</v>
      </c>
      <c r="B9197" t="s">
        <v>4</v>
      </c>
      <c r="C9197">
        <v>3</v>
      </c>
      <c r="D9197" t="s">
        <v>5</v>
      </c>
      <c r="F9197" t="str" cm="1">
        <f t="array" ref="F9197">CategorizeComment(E9197)</f>
        <v>Other</v>
      </c>
      <c r="G9197" t="str" cm="1">
        <f t="array" ref="G9197">SubCategorizeComment(E9197)</f>
        <v>Other</v>
      </c>
    </row>
    <row r="9198" spans="1:7" x14ac:dyDescent="0.25">
      <c r="A9198">
        <v>84119</v>
      </c>
      <c r="B9198" t="s">
        <v>4</v>
      </c>
      <c r="C9198">
        <v>3</v>
      </c>
      <c r="D9198" t="s">
        <v>5</v>
      </c>
      <c r="F9198" t="str" cm="1">
        <f t="array" ref="F9198">CategorizeComment(E9198)</f>
        <v>Other</v>
      </c>
      <c r="G9198" t="str" cm="1">
        <f t="array" ref="G9198">SubCategorizeComment(E9198)</f>
        <v>Other</v>
      </c>
    </row>
    <row r="9199" spans="1:7" x14ac:dyDescent="0.25">
      <c r="A9199">
        <v>84120</v>
      </c>
      <c r="B9199" t="s">
        <v>4</v>
      </c>
      <c r="C9199">
        <v>4</v>
      </c>
      <c r="D9199" t="s">
        <v>5</v>
      </c>
      <c r="F9199" t="str" cm="1">
        <f t="array" ref="F9199">CategorizeComment(E9199)</f>
        <v>Other</v>
      </c>
      <c r="G9199" t="str" cm="1">
        <f t="array" ref="G9199">SubCategorizeComment(E9199)</f>
        <v>Other</v>
      </c>
    </row>
    <row r="9200" spans="1:7" x14ac:dyDescent="0.25">
      <c r="A9200">
        <v>84164</v>
      </c>
      <c r="B9200" t="s">
        <v>4</v>
      </c>
      <c r="C9200">
        <v>3</v>
      </c>
      <c r="D9200" t="s">
        <v>5</v>
      </c>
      <c r="F9200" t="str" cm="1">
        <f t="array" ref="F9200">CategorizeComment(E9200)</f>
        <v>Other</v>
      </c>
      <c r="G9200" t="str" cm="1">
        <f t="array" ref="G9200">SubCategorizeComment(E9200)</f>
        <v>Other</v>
      </c>
    </row>
    <row r="9201" spans="1:7" x14ac:dyDescent="0.25">
      <c r="A9201">
        <v>84166</v>
      </c>
      <c r="B9201" t="s">
        <v>4</v>
      </c>
      <c r="C9201">
        <v>4</v>
      </c>
      <c r="D9201" t="s">
        <v>5</v>
      </c>
      <c r="F9201" t="str" cm="1">
        <f t="array" ref="F9201">CategorizeComment(E9201)</f>
        <v>Other</v>
      </c>
      <c r="G9201" t="str" cm="1">
        <f t="array" ref="G9201">SubCategorizeComment(E9201)</f>
        <v>Other</v>
      </c>
    </row>
    <row r="9202" spans="1:7" x14ac:dyDescent="0.25">
      <c r="A9202">
        <v>84171</v>
      </c>
      <c r="B9202" t="s">
        <v>4</v>
      </c>
      <c r="C9202">
        <v>4</v>
      </c>
      <c r="D9202" t="s">
        <v>5</v>
      </c>
      <c r="F9202" t="str" cm="1">
        <f t="array" ref="F9202">CategorizeComment(E9202)</f>
        <v>Other</v>
      </c>
      <c r="G9202" t="str" cm="1">
        <f t="array" ref="G9202">SubCategorizeComment(E9202)</f>
        <v>Other</v>
      </c>
    </row>
    <row r="9203" spans="1:7" x14ac:dyDescent="0.25">
      <c r="A9203">
        <v>84174</v>
      </c>
      <c r="B9203" t="s">
        <v>4</v>
      </c>
      <c r="C9203">
        <v>4</v>
      </c>
      <c r="D9203" t="s">
        <v>5</v>
      </c>
      <c r="F9203" t="str" cm="1">
        <f t="array" ref="F9203">CategorizeComment(E9203)</f>
        <v>Other</v>
      </c>
      <c r="G9203" t="str" cm="1">
        <f t="array" ref="G9203">SubCategorizeComment(E9203)</f>
        <v>Other</v>
      </c>
    </row>
    <row r="9204" spans="1:7" x14ac:dyDescent="0.25">
      <c r="A9204">
        <v>84180</v>
      </c>
      <c r="B9204" t="s">
        <v>4</v>
      </c>
      <c r="C9204">
        <v>3</v>
      </c>
      <c r="D9204" t="s">
        <v>5</v>
      </c>
      <c r="F9204" t="str" cm="1">
        <f t="array" ref="F9204">CategorizeComment(E9204)</f>
        <v>Other</v>
      </c>
      <c r="G9204" t="str" cm="1">
        <f t="array" ref="G9204">SubCategorizeComment(E9204)</f>
        <v>Other</v>
      </c>
    </row>
    <row r="9205" spans="1:7" x14ac:dyDescent="0.25">
      <c r="A9205">
        <v>84194</v>
      </c>
      <c r="B9205" t="s">
        <v>4</v>
      </c>
      <c r="C9205">
        <v>4</v>
      </c>
      <c r="D9205" t="s">
        <v>5</v>
      </c>
      <c r="F9205" t="str" cm="1">
        <f t="array" ref="F9205">CategorizeComment(E9205)</f>
        <v>Other</v>
      </c>
      <c r="G9205" t="str" cm="1">
        <f t="array" ref="G9205">SubCategorizeComment(E9205)</f>
        <v>Other</v>
      </c>
    </row>
    <row r="9206" spans="1:7" x14ac:dyDescent="0.25">
      <c r="A9206">
        <v>84202</v>
      </c>
      <c r="B9206" t="s">
        <v>4</v>
      </c>
      <c r="C9206">
        <v>3</v>
      </c>
      <c r="D9206" t="s">
        <v>5</v>
      </c>
      <c r="F9206" t="str" cm="1">
        <f t="array" ref="F9206">CategorizeComment(E9206)</f>
        <v>Other</v>
      </c>
      <c r="G9206" t="str" cm="1">
        <f t="array" ref="G9206">SubCategorizeComment(E9206)</f>
        <v>Other</v>
      </c>
    </row>
    <row r="9207" spans="1:7" x14ac:dyDescent="0.25">
      <c r="A9207">
        <v>84209</v>
      </c>
      <c r="B9207" t="s">
        <v>4</v>
      </c>
      <c r="C9207">
        <v>4</v>
      </c>
      <c r="D9207" t="s">
        <v>5</v>
      </c>
      <c r="F9207" t="str" cm="1">
        <f t="array" ref="F9207">CategorizeComment(E9207)</f>
        <v>Other</v>
      </c>
      <c r="G9207" t="str" cm="1">
        <f t="array" ref="G9207">SubCategorizeComment(E9207)</f>
        <v>Other</v>
      </c>
    </row>
    <row r="9208" spans="1:7" x14ac:dyDescent="0.25">
      <c r="A9208">
        <v>84211</v>
      </c>
      <c r="B9208" t="s">
        <v>4</v>
      </c>
      <c r="C9208">
        <v>4</v>
      </c>
      <c r="D9208" t="s">
        <v>5</v>
      </c>
      <c r="F9208" t="str" cm="1">
        <f t="array" ref="F9208">CategorizeComment(E9208)</f>
        <v>Other</v>
      </c>
      <c r="G9208" t="str" cm="1">
        <f t="array" ref="G9208">SubCategorizeComment(E9208)</f>
        <v>Other</v>
      </c>
    </row>
    <row r="9209" spans="1:7" x14ac:dyDescent="0.25">
      <c r="A9209">
        <v>84220</v>
      </c>
      <c r="B9209" t="s">
        <v>4</v>
      </c>
      <c r="C9209">
        <v>4</v>
      </c>
      <c r="D9209" t="s">
        <v>5</v>
      </c>
      <c r="F9209" t="str" cm="1">
        <f t="array" ref="F9209">CategorizeComment(E9209)</f>
        <v>Other</v>
      </c>
      <c r="G9209" t="str" cm="1">
        <f t="array" ref="G9209">SubCategorizeComment(E9209)</f>
        <v>Other</v>
      </c>
    </row>
    <row r="9210" spans="1:7" x14ac:dyDescent="0.25">
      <c r="A9210">
        <v>84222</v>
      </c>
      <c r="B9210" t="s">
        <v>4</v>
      </c>
      <c r="C9210">
        <v>3</v>
      </c>
      <c r="D9210" t="s">
        <v>5</v>
      </c>
      <c r="F9210" t="str" cm="1">
        <f t="array" ref="F9210">CategorizeComment(E9210)</f>
        <v>Other</v>
      </c>
      <c r="G9210" t="str" cm="1">
        <f t="array" ref="G9210">SubCategorizeComment(E9210)</f>
        <v>Other</v>
      </c>
    </row>
    <row r="9211" spans="1:7" x14ac:dyDescent="0.25">
      <c r="A9211">
        <v>84232</v>
      </c>
      <c r="B9211" t="s">
        <v>4</v>
      </c>
      <c r="C9211">
        <v>4</v>
      </c>
      <c r="D9211" t="s">
        <v>5</v>
      </c>
      <c r="F9211" t="str" cm="1">
        <f t="array" ref="F9211">CategorizeComment(E9211)</f>
        <v>Other</v>
      </c>
      <c r="G9211" t="str" cm="1">
        <f t="array" ref="G9211">SubCategorizeComment(E9211)</f>
        <v>Other</v>
      </c>
    </row>
    <row r="9212" spans="1:7" x14ac:dyDescent="0.25">
      <c r="A9212">
        <v>84238</v>
      </c>
      <c r="B9212" t="s">
        <v>4</v>
      </c>
      <c r="C9212">
        <v>4</v>
      </c>
      <c r="D9212" t="s">
        <v>5</v>
      </c>
      <c r="F9212" t="str" cm="1">
        <f t="array" ref="F9212">CategorizeComment(E9212)</f>
        <v>Other</v>
      </c>
      <c r="G9212" t="str" cm="1">
        <f t="array" ref="G9212">SubCategorizeComment(E9212)</f>
        <v>Other</v>
      </c>
    </row>
    <row r="9213" spans="1:7" x14ac:dyDescent="0.25">
      <c r="A9213">
        <v>84247</v>
      </c>
      <c r="B9213" t="s">
        <v>4</v>
      </c>
      <c r="C9213">
        <v>4</v>
      </c>
      <c r="D9213" t="s">
        <v>5</v>
      </c>
      <c r="F9213" t="str" cm="1">
        <f t="array" ref="F9213">CategorizeComment(E9213)</f>
        <v>Other</v>
      </c>
      <c r="G9213" t="str" cm="1">
        <f t="array" ref="G9213">SubCategorizeComment(E9213)</f>
        <v>Other</v>
      </c>
    </row>
    <row r="9214" spans="1:7" x14ac:dyDescent="0.25">
      <c r="A9214">
        <v>84254</v>
      </c>
      <c r="B9214" t="s">
        <v>4</v>
      </c>
      <c r="C9214">
        <v>4</v>
      </c>
      <c r="D9214" t="s">
        <v>5</v>
      </c>
      <c r="F9214" t="str" cm="1">
        <f t="array" ref="F9214">CategorizeComment(E9214)</f>
        <v>Other</v>
      </c>
      <c r="G9214" t="str" cm="1">
        <f t="array" ref="G9214">SubCategorizeComment(E9214)</f>
        <v>Other</v>
      </c>
    </row>
    <row r="9215" spans="1:7" x14ac:dyDescent="0.25">
      <c r="A9215">
        <v>84255</v>
      </c>
      <c r="B9215" t="s">
        <v>4</v>
      </c>
      <c r="C9215">
        <v>4</v>
      </c>
      <c r="D9215" t="s">
        <v>5</v>
      </c>
      <c r="F9215" t="str" cm="1">
        <f t="array" ref="F9215">CategorizeComment(E9215)</f>
        <v>Other</v>
      </c>
      <c r="G9215" t="str" cm="1">
        <f t="array" ref="G9215">SubCategorizeComment(E9215)</f>
        <v>Other</v>
      </c>
    </row>
    <row r="9216" spans="1:7" x14ac:dyDescent="0.25">
      <c r="A9216">
        <v>84256</v>
      </c>
      <c r="B9216" t="s">
        <v>4</v>
      </c>
      <c r="C9216">
        <v>3</v>
      </c>
      <c r="D9216" t="s">
        <v>5</v>
      </c>
      <c r="F9216" t="str" cm="1">
        <f t="array" ref="F9216">CategorizeComment(E9216)</f>
        <v>Other</v>
      </c>
      <c r="G9216" t="str" cm="1">
        <f t="array" ref="G9216">SubCategorizeComment(E9216)</f>
        <v>Other</v>
      </c>
    </row>
    <row r="9217" spans="1:7" x14ac:dyDescent="0.25">
      <c r="A9217">
        <v>84285</v>
      </c>
      <c r="B9217" t="s">
        <v>4</v>
      </c>
      <c r="C9217">
        <v>3</v>
      </c>
      <c r="D9217" t="s">
        <v>5</v>
      </c>
      <c r="F9217" t="str" cm="1">
        <f t="array" ref="F9217">CategorizeComment(E9217)</f>
        <v>Other</v>
      </c>
      <c r="G9217" t="str" cm="1">
        <f t="array" ref="G9217">SubCategorizeComment(E9217)</f>
        <v>Other</v>
      </c>
    </row>
    <row r="9218" spans="1:7" x14ac:dyDescent="0.25">
      <c r="A9218">
        <v>84290</v>
      </c>
      <c r="B9218" t="s">
        <v>4</v>
      </c>
      <c r="C9218">
        <v>4</v>
      </c>
      <c r="D9218" t="s">
        <v>5</v>
      </c>
      <c r="F9218" t="str" cm="1">
        <f t="array" ref="F9218">CategorizeComment(E9218)</f>
        <v>Other</v>
      </c>
      <c r="G9218" t="str" cm="1">
        <f t="array" ref="G9218">SubCategorizeComment(E9218)</f>
        <v>Other</v>
      </c>
    </row>
    <row r="9219" spans="1:7" x14ac:dyDescent="0.25">
      <c r="A9219">
        <v>84336</v>
      </c>
      <c r="B9219" t="s">
        <v>4</v>
      </c>
      <c r="C9219">
        <v>4</v>
      </c>
      <c r="D9219" t="s">
        <v>5</v>
      </c>
      <c r="F9219" t="str" cm="1">
        <f t="array" ref="F9219">CategorizeComment(E9219)</f>
        <v>Other</v>
      </c>
      <c r="G9219" t="str" cm="1">
        <f t="array" ref="G9219">SubCategorizeComment(E9219)</f>
        <v>Other</v>
      </c>
    </row>
    <row r="9220" spans="1:7" x14ac:dyDescent="0.25">
      <c r="A9220">
        <v>84352</v>
      </c>
      <c r="B9220" t="s">
        <v>4</v>
      </c>
      <c r="C9220">
        <v>3</v>
      </c>
      <c r="D9220" t="s">
        <v>5</v>
      </c>
      <c r="F9220" t="str" cm="1">
        <f t="array" ref="F9220">CategorizeComment(E9220)</f>
        <v>Other</v>
      </c>
      <c r="G9220" t="str" cm="1">
        <f t="array" ref="G9220">SubCategorizeComment(E9220)</f>
        <v>Other</v>
      </c>
    </row>
    <row r="9221" spans="1:7" x14ac:dyDescent="0.25">
      <c r="A9221">
        <v>84358</v>
      </c>
      <c r="B9221" t="s">
        <v>4</v>
      </c>
      <c r="C9221">
        <v>3</v>
      </c>
      <c r="D9221" t="s">
        <v>5</v>
      </c>
      <c r="F9221" t="str" cm="1">
        <f t="array" ref="F9221">CategorizeComment(E9221)</f>
        <v>Other</v>
      </c>
      <c r="G9221" t="str" cm="1">
        <f t="array" ref="G9221">SubCategorizeComment(E9221)</f>
        <v>Other</v>
      </c>
    </row>
    <row r="9222" spans="1:7" x14ac:dyDescent="0.25">
      <c r="A9222">
        <v>84372</v>
      </c>
      <c r="B9222" t="s">
        <v>4</v>
      </c>
      <c r="C9222">
        <v>3</v>
      </c>
      <c r="D9222" t="s">
        <v>5</v>
      </c>
      <c r="F9222" t="str" cm="1">
        <f t="array" ref="F9222">CategorizeComment(E9222)</f>
        <v>Other</v>
      </c>
      <c r="G9222" t="str" cm="1">
        <f t="array" ref="G9222">SubCategorizeComment(E9222)</f>
        <v>Other</v>
      </c>
    </row>
    <row r="9223" spans="1:7" x14ac:dyDescent="0.25">
      <c r="A9223">
        <v>84380</v>
      </c>
      <c r="B9223" t="s">
        <v>4</v>
      </c>
      <c r="C9223">
        <v>4</v>
      </c>
      <c r="D9223" t="s">
        <v>5</v>
      </c>
      <c r="F9223" t="str" cm="1">
        <f t="array" ref="F9223">CategorizeComment(E9223)</f>
        <v>Other</v>
      </c>
      <c r="G9223" t="str" cm="1">
        <f t="array" ref="G9223">SubCategorizeComment(E9223)</f>
        <v>Other</v>
      </c>
    </row>
    <row r="9224" spans="1:7" x14ac:dyDescent="0.25">
      <c r="A9224">
        <v>84385</v>
      </c>
      <c r="B9224" t="s">
        <v>4</v>
      </c>
      <c r="C9224">
        <v>3</v>
      </c>
      <c r="D9224" t="s">
        <v>5</v>
      </c>
      <c r="F9224" t="str" cm="1">
        <f t="array" ref="F9224">CategorizeComment(E9224)</f>
        <v>Other</v>
      </c>
      <c r="G9224" t="str" cm="1">
        <f t="array" ref="G9224">SubCategorizeComment(E9224)</f>
        <v>Other</v>
      </c>
    </row>
    <row r="9225" spans="1:7" x14ac:dyDescent="0.25">
      <c r="A9225">
        <v>84396</v>
      </c>
      <c r="B9225" t="s">
        <v>4</v>
      </c>
      <c r="C9225">
        <v>3</v>
      </c>
      <c r="D9225" t="s">
        <v>5</v>
      </c>
      <c r="F9225" t="str" cm="1">
        <f t="array" ref="F9225">CategorizeComment(E9225)</f>
        <v>Other</v>
      </c>
      <c r="G9225" t="str" cm="1">
        <f t="array" ref="G9225">SubCategorizeComment(E9225)</f>
        <v>Other</v>
      </c>
    </row>
    <row r="9226" spans="1:7" x14ac:dyDescent="0.25">
      <c r="A9226">
        <v>84401</v>
      </c>
      <c r="B9226" t="s">
        <v>4</v>
      </c>
      <c r="C9226">
        <v>3</v>
      </c>
      <c r="D9226" t="s">
        <v>5</v>
      </c>
      <c r="F9226" t="str" cm="1">
        <f t="array" ref="F9226">CategorizeComment(E9226)</f>
        <v>Other</v>
      </c>
      <c r="G9226" t="str" cm="1">
        <f t="array" ref="G9226">SubCategorizeComment(E9226)</f>
        <v>Other</v>
      </c>
    </row>
    <row r="9227" spans="1:7" x14ac:dyDescent="0.25">
      <c r="A9227">
        <v>84407</v>
      </c>
      <c r="B9227" t="s">
        <v>4</v>
      </c>
      <c r="C9227">
        <v>3</v>
      </c>
      <c r="D9227" t="s">
        <v>5</v>
      </c>
      <c r="F9227" t="str" cm="1">
        <f t="array" ref="F9227">CategorizeComment(E9227)</f>
        <v>Other</v>
      </c>
      <c r="G9227" t="str" cm="1">
        <f t="array" ref="G9227">SubCategorizeComment(E9227)</f>
        <v>Other</v>
      </c>
    </row>
    <row r="9228" spans="1:7" x14ac:dyDescent="0.25">
      <c r="A9228">
        <v>84436</v>
      </c>
      <c r="B9228" t="s">
        <v>4</v>
      </c>
      <c r="C9228">
        <v>4</v>
      </c>
      <c r="D9228" t="s">
        <v>5</v>
      </c>
      <c r="F9228" t="str" cm="1">
        <f t="array" ref="F9228">CategorizeComment(E9228)</f>
        <v>Other</v>
      </c>
      <c r="G9228" t="str" cm="1">
        <f t="array" ref="G9228">SubCategorizeComment(E9228)</f>
        <v>Other</v>
      </c>
    </row>
    <row r="9229" spans="1:7" x14ac:dyDescent="0.25">
      <c r="A9229">
        <v>84444</v>
      </c>
      <c r="B9229" t="s">
        <v>4</v>
      </c>
      <c r="C9229">
        <v>3</v>
      </c>
      <c r="D9229" t="s">
        <v>5</v>
      </c>
      <c r="F9229" t="str" cm="1">
        <f t="array" ref="F9229">CategorizeComment(E9229)</f>
        <v>Other</v>
      </c>
      <c r="G9229" t="str" cm="1">
        <f t="array" ref="G9229">SubCategorizeComment(E9229)</f>
        <v>Other</v>
      </c>
    </row>
    <row r="9230" spans="1:7" x14ac:dyDescent="0.25">
      <c r="A9230">
        <v>84472</v>
      </c>
      <c r="B9230" t="s">
        <v>4</v>
      </c>
      <c r="C9230">
        <v>3</v>
      </c>
      <c r="D9230" t="s">
        <v>5</v>
      </c>
      <c r="F9230" t="str" cm="1">
        <f t="array" ref="F9230">CategorizeComment(E9230)</f>
        <v>Other</v>
      </c>
      <c r="G9230" t="str" cm="1">
        <f t="array" ref="G9230">SubCategorizeComment(E9230)</f>
        <v>Other</v>
      </c>
    </row>
    <row r="9231" spans="1:7" x14ac:dyDescent="0.25">
      <c r="A9231">
        <v>84476</v>
      </c>
      <c r="B9231" t="s">
        <v>4</v>
      </c>
      <c r="C9231">
        <v>4</v>
      </c>
      <c r="D9231" t="s">
        <v>5</v>
      </c>
      <c r="F9231" t="str" cm="1">
        <f t="array" ref="F9231">CategorizeComment(E9231)</f>
        <v>Other</v>
      </c>
      <c r="G9231" t="str" cm="1">
        <f t="array" ref="G9231">SubCategorizeComment(E9231)</f>
        <v>Other</v>
      </c>
    </row>
    <row r="9232" spans="1:7" x14ac:dyDescent="0.25">
      <c r="A9232">
        <v>84497</v>
      </c>
      <c r="B9232" t="s">
        <v>4</v>
      </c>
      <c r="C9232">
        <v>3</v>
      </c>
      <c r="D9232" t="s">
        <v>5</v>
      </c>
      <c r="F9232" t="str" cm="1">
        <f t="array" ref="F9232">CategorizeComment(E9232)</f>
        <v>Other</v>
      </c>
      <c r="G9232" t="str" cm="1">
        <f t="array" ref="G9232">SubCategorizeComment(E9232)</f>
        <v>Other</v>
      </c>
    </row>
    <row r="9233" spans="1:7" x14ac:dyDescent="0.25">
      <c r="A9233">
        <v>84534</v>
      </c>
      <c r="B9233" t="s">
        <v>4</v>
      </c>
      <c r="C9233">
        <v>4</v>
      </c>
      <c r="D9233" t="s">
        <v>5</v>
      </c>
      <c r="F9233" t="str" cm="1">
        <f t="array" ref="F9233">CategorizeComment(E9233)</f>
        <v>Other</v>
      </c>
      <c r="G9233" t="str" cm="1">
        <f t="array" ref="G9233">SubCategorizeComment(E9233)</f>
        <v>Other</v>
      </c>
    </row>
    <row r="9234" spans="1:7" x14ac:dyDescent="0.25">
      <c r="A9234">
        <v>84538</v>
      </c>
      <c r="B9234" t="s">
        <v>4</v>
      </c>
      <c r="C9234">
        <v>3</v>
      </c>
      <c r="D9234" t="s">
        <v>5</v>
      </c>
      <c r="F9234" t="str" cm="1">
        <f t="array" ref="F9234">CategorizeComment(E9234)</f>
        <v>Other</v>
      </c>
      <c r="G9234" t="str" cm="1">
        <f t="array" ref="G9234">SubCategorizeComment(E9234)</f>
        <v>Other</v>
      </c>
    </row>
    <row r="9235" spans="1:7" x14ac:dyDescent="0.25">
      <c r="A9235">
        <v>84539</v>
      </c>
      <c r="B9235" t="s">
        <v>4</v>
      </c>
      <c r="C9235">
        <v>3</v>
      </c>
      <c r="D9235" t="s">
        <v>5</v>
      </c>
      <c r="F9235" t="str" cm="1">
        <f t="array" ref="F9235">CategorizeComment(E9235)</f>
        <v>Other</v>
      </c>
      <c r="G9235" t="str" cm="1">
        <f t="array" ref="G9235">SubCategorizeComment(E9235)</f>
        <v>Other</v>
      </c>
    </row>
    <row r="9236" spans="1:7" x14ac:dyDescent="0.25">
      <c r="A9236">
        <v>84544</v>
      </c>
      <c r="B9236" t="s">
        <v>4</v>
      </c>
      <c r="C9236">
        <v>4</v>
      </c>
      <c r="D9236" t="s">
        <v>5</v>
      </c>
      <c r="F9236" t="str" cm="1">
        <f t="array" ref="F9236">CategorizeComment(E9236)</f>
        <v>Other</v>
      </c>
      <c r="G9236" t="str" cm="1">
        <f t="array" ref="G9236">SubCategorizeComment(E9236)</f>
        <v>Other</v>
      </c>
    </row>
    <row r="9237" spans="1:7" x14ac:dyDescent="0.25">
      <c r="A9237">
        <v>84552</v>
      </c>
      <c r="B9237" t="s">
        <v>4</v>
      </c>
      <c r="C9237">
        <v>3</v>
      </c>
      <c r="D9237" t="s">
        <v>5</v>
      </c>
      <c r="F9237" t="str" cm="1">
        <f t="array" ref="F9237">CategorizeComment(E9237)</f>
        <v>Other</v>
      </c>
      <c r="G9237" t="str" cm="1">
        <f t="array" ref="G9237">SubCategorizeComment(E9237)</f>
        <v>Other</v>
      </c>
    </row>
    <row r="9238" spans="1:7" x14ac:dyDescent="0.25">
      <c r="A9238">
        <v>84554</v>
      </c>
      <c r="B9238" t="s">
        <v>4</v>
      </c>
      <c r="C9238">
        <v>4</v>
      </c>
      <c r="D9238" t="s">
        <v>5</v>
      </c>
      <c r="F9238" t="str" cm="1">
        <f t="array" ref="F9238">CategorizeComment(E9238)</f>
        <v>Other</v>
      </c>
      <c r="G9238" t="str" cm="1">
        <f t="array" ref="G9238">SubCategorizeComment(E9238)</f>
        <v>Other</v>
      </c>
    </row>
    <row r="9239" spans="1:7" x14ac:dyDescent="0.25">
      <c r="A9239">
        <v>84559</v>
      </c>
      <c r="B9239" t="s">
        <v>4</v>
      </c>
      <c r="C9239">
        <v>3</v>
      </c>
      <c r="D9239" t="s">
        <v>5</v>
      </c>
      <c r="F9239" t="str" cm="1">
        <f t="array" ref="F9239">CategorizeComment(E9239)</f>
        <v>Other</v>
      </c>
      <c r="G9239" t="str" cm="1">
        <f t="array" ref="G9239">SubCategorizeComment(E9239)</f>
        <v>Other</v>
      </c>
    </row>
    <row r="9240" spans="1:7" x14ac:dyDescent="0.25">
      <c r="A9240">
        <v>84564</v>
      </c>
      <c r="B9240" t="s">
        <v>4</v>
      </c>
      <c r="C9240">
        <v>3</v>
      </c>
      <c r="D9240" t="s">
        <v>5</v>
      </c>
      <c r="F9240" t="str" cm="1">
        <f t="array" ref="F9240">CategorizeComment(E9240)</f>
        <v>Other</v>
      </c>
      <c r="G9240" t="str" cm="1">
        <f t="array" ref="G9240">SubCategorizeComment(E9240)</f>
        <v>Other</v>
      </c>
    </row>
    <row r="9241" spans="1:7" x14ac:dyDescent="0.25">
      <c r="A9241">
        <v>84568</v>
      </c>
      <c r="B9241" t="s">
        <v>4</v>
      </c>
      <c r="C9241">
        <v>4</v>
      </c>
      <c r="D9241" t="s">
        <v>5</v>
      </c>
      <c r="F9241" t="str" cm="1">
        <f t="array" ref="F9241">CategorizeComment(E9241)</f>
        <v>Other</v>
      </c>
      <c r="G9241" t="str" cm="1">
        <f t="array" ref="G9241">SubCategorizeComment(E9241)</f>
        <v>Other</v>
      </c>
    </row>
    <row r="9242" spans="1:7" x14ac:dyDescent="0.25">
      <c r="A9242">
        <v>84569</v>
      </c>
      <c r="B9242" t="s">
        <v>4</v>
      </c>
      <c r="C9242">
        <v>3</v>
      </c>
      <c r="D9242" t="s">
        <v>5</v>
      </c>
      <c r="F9242" t="str" cm="1">
        <f t="array" ref="F9242">CategorizeComment(E9242)</f>
        <v>Other</v>
      </c>
      <c r="G9242" t="str" cm="1">
        <f t="array" ref="G9242">SubCategorizeComment(E9242)</f>
        <v>Other</v>
      </c>
    </row>
    <row r="9243" spans="1:7" x14ac:dyDescent="0.25">
      <c r="A9243">
        <v>84594</v>
      </c>
      <c r="B9243" t="s">
        <v>4</v>
      </c>
      <c r="C9243">
        <v>3</v>
      </c>
      <c r="D9243" t="s">
        <v>5</v>
      </c>
      <c r="F9243" t="str" cm="1">
        <f t="array" ref="F9243">CategorizeComment(E9243)</f>
        <v>Other</v>
      </c>
      <c r="G9243" t="str" cm="1">
        <f t="array" ref="G9243">SubCategorizeComment(E9243)</f>
        <v>Other</v>
      </c>
    </row>
    <row r="9244" spans="1:7" x14ac:dyDescent="0.25">
      <c r="A9244">
        <v>84596</v>
      </c>
      <c r="B9244" t="s">
        <v>4</v>
      </c>
      <c r="C9244">
        <v>3</v>
      </c>
      <c r="D9244" t="s">
        <v>5</v>
      </c>
      <c r="F9244" t="str" cm="1">
        <f t="array" ref="F9244">CategorizeComment(E9244)</f>
        <v>Other</v>
      </c>
      <c r="G9244" t="str" cm="1">
        <f t="array" ref="G9244">SubCategorizeComment(E9244)</f>
        <v>Other</v>
      </c>
    </row>
    <row r="9245" spans="1:7" x14ac:dyDescent="0.25">
      <c r="A9245">
        <v>84626</v>
      </c>
      <c r="B9245" t="s">
        <v>4</v>
      </c>
      <c r="C9245">
        <v>4</v>
      </c>
      <c r="D9245" t="s">
        <v>5</v>
      </c>
      <c r="F9245" t="str" cm="1">
        <f t="array" ref="F9245">CategorizeComment(E9245)</f>
        <v>Other</v>
      </c>
      <c r="G9245" t="str" cm="1">
        <f t="array" ref="G9245">SubCategorizeComment(E9245)</f>
        <v>Other</v>
      </c>
    </row>
    <row r="9246" spans="1:7" x14ac:dyDescent="0.25">
      <c r="A9246">
        <v>84634</v>
      </c>
      <c r="B9246" t="s">
        <v>4</v>
      </c>
      <c r="C9246">
        <v>4</v>
      </c>
      <c r="D9246" t="s">
        <v>5</v>
      </c>
      <c r="F9246" t="str" cm="1">
        <f t="array" ref="F9246">CategorizeComment(E9246)</f>
        <v>Other</v>
      </c>
      <c r="G9246" t="str" cm="1">
        <f t="array" ref="G9246">SubCategorizeComment(E9246)</f>
        <v>Other</v>
      </c>
    </row>
    <row r="9247" spans="1:7" x14ac:dyDescent="0.25">
      <c r="A9247">
        <v>84639</v>
      </c>
      <c r="B9247" t="s">
        <v>4</v>
      </c>
      <c r="C9247">
        <v>3</v>
      </c>
      <c r="D9247" t="s">
        <v>5</v>
      </c>
      <c r="F9247" t="str" cm="1">
        <f t="array" ref="F9247">CategorizeComment(E9247)</f>
        <v>Other</v>
      </c>
      <c r="G9247" t="str" cm="1">
        <f t="array" ref="G9247">SubCategorizeComment(E9247)</f>
        <v>Other</v>
      </c>
    </row>
    <row r="9248" spans="1:7" x14ac:dyDescent="0.25">
      <c r="A9248">
        <v>84643</v>
      </c>
      <c r="B9248" t="s">
        <v>4</v>
      </c>
      <c r="C9248">
        <v>4</v>
      </c>
      <c r="D9248" t="s">
        <v>5</v>
      </c>
      <c r="F9248" t="str" cm="1">
        <f t="array" ref="F9248">CategorizeComment(E9248)</f>
        <v>Other</v>
      </c>
      <c r="G9248" t="str" cm="1">
        <f t="array" ref="G9248">SubCategorizeComment(E9248)</f>
        <v>Other</v>
      </c>
    </row>
    <row r="9249" spans="1:7" x14ac:dyDescent="0.25">
      <c r="A9249">
        <v>84652</v>
      </c>
      <c r="B9249" t="s">
        <v>4</v>
      </c>
      <c r="C9249">
        <v>3</v>
      </c>
      <c r="D9249" t="s">
        <v>5</v>
      </c>
      <c r="F9249" t="str" cm="1">
        <f t="array" ref="F9249">CategorizeComment(E9249)</f>
        <v>Other</v>
      </c>
      <c r="G9249" t="str" cm="1">
        <f t="array" ref="G9249">SubCategorizeComment(E9249)</f>
        <v>Other</v>
      </c>
    </row>
    <row r="9250" spans="1:7" x14ac:dyDescent="0.25">
      <c r="A9250">
        <v>84680</v>
      </c>
      <c r="B9250" t="s">
        <v>4</v>
      </c>
      <c r="C9250">
        <v>3</v>
      </c>
      <c r="D9250" t="s">
        <v>5</v>
      </c>
      <c r="F9250" t="str" cm="1">
        <f t="array" ref="F9250">CategorizeComment(E9250)</f>
        <v>Other</v>
      </c>
      <c r="G9250" t="str" cm="1">
        <f t="array" ref="G9250">SubCategorizeComment(E9250)</f>
        <v>Other</v>
      </c>
    </row>
    <row r="9251" spans="1:7" x14ac:dyDescent="0.25">
      <c r="A9251">
        <v>84681</v>
      </c>
      <c r="B9251" t="s">
        <v>4</v>
      </c>
      <c r="C9251">
        <v>3</v>
      </c>
      <c r="D9251" t="s">
        <v>5</v>
      </c>
      <c r="F9251" t="str" cm="1">
        <f t="array" ref="F9251">CategorizeComment(E9251)</f>
        <v>Other</v>
      </c>
      <c r="G9251" t="str" cm="1">
        <f t="array" ref="G9251">SubCategorizeComment(E9251)</f>
        <v>Other</v>
      </c>
    </row>
    <row r="9252" spans="1:7" x14ac:dyDescent="0.25">
      <c r="A9252">
        <v>84682</v>
      </c>
      <c r="B9252" t="s">
        <v>4</v>
      </c>
      <c r="C9252">
        <v>3</v>
      </c>
      <c r="D9252" t="s">
        <v>5</v>
      </c>
      <c r="F9252" t="str" cm="1">
        <f t="array" ref="F9252">CategorizeComment(E9252)</f>
        <v>Other</v>
      </c>
      <c r="G9252" t="str" cm="1">
        <f t="array" ref="G9252">SubCategorizeComment(E9252)</f>
        <v>Other</v>
      </c>
    </row>
    <row r="9253" spans="1:7" x14ac:dyDescent="0.25">
      <c r="A9253">
        <v>84708</v>
      </c>
      <c r="B9253" t="s">
        <v>4</v>
      </c>
      <c r="C9253">
        <v>3</v>
      </c>
      <c r="D9253" t="s">
        <v>5</v>
      </c>
      <c r="F9253" t="str" cm="1">
        <f t="array" ref="F9253">CategorizeComment(E9253)</f>
        <v>Other</v>
      </c>
      <c r="G9253" t="str" cm="1">
        <f t="array" ref="G9253">SubCategorizeComment(E9253)</f>
        <v>Other</v>
      </c>
    </row>
    <row r="9254" spans="1:7" x14ac:dyDescent="0.25">
      <c r="A9254">
        <v>84747</v>
      </c>
      <c r="B9254" t="s">
        <v>4</v>
      </c>
      <c r="C9254">
        <v>3</v>
      </c>
      <c r="D9254" t="s">
        <v>5</v>
      </c>
      <c r="F9254" t="str" cm="1">
        <f t="array" ref="F9254">CategorizeComment(E9254)</f>
        <v>Other</v>
      </c>
      <c r="G9254" t="str" cm="1">
        <f t="array" ref="G9254">SubCategorizeComment(E9254)</f>
        <v>Other</v>
      </c>
    </row>
    <row r="9255" spans="1:7" x14ac:dyDescent="0.25">
      <c r="A9255">
        <v>84750</v>
      </c>
      <c r="B9255" t="s">
        <v>4</v>
      </c>
      <c r="C9255">
        <v>3</v>
      </c>
      <c r="D9255" t="s">
        <v>5</v>
      </c>
      <c r="F9255" t="str" cm="1">
        <f t="array" ref="F9255">CategorizeComment(E9255)</f>
        <v>Other</v>
      </c>
      <c r="G9255" t="str" cm="1">
        <f t="array" ref="G9255">SubCategorizeComment(E9255)</f>
        <v>Other</v>
      </c>
    </row>
    <row r="9256" spans="1:7" x14ac:dyDescent="0.25">
      <c r="A9256">
        <v>84751</v>
      </c>
      <c r="B9256" t="s">
        <v>4</v>
      </c>
      <c r="C9256">
        <v>3</v>
      </c>
      <c r="D9256" t="s">
        <v>5</v>
      </c>
      <c r="F9256" t="str" cm="1">
        <f t="array" ref="F9256">CategorizeComment(E9256)</f>
        <v>Other</v>
      </c>
      <c r="G9256" t="str" cm="1">
        <f t="array" ref="G9256">SubCategorizeComment(E9256)</f>
        <v>Other</v>
      </c>
    </row>
    <row r="9257" spans="1:7" x14ac:dyDescent="0.25">
      <c r="A9257">
        <v>84799</v>
      </c>
      <c r="B9257" t="s">
        <v>4</v>
      </c>
      <c r="C9257">
        <v>3</v>
      </c>
      <c r="D9257" t="s">
        <v>5</v>
      </c>
      <c r="F9257" t="str" cm="1">
        <f t="array" ref="F9257">CategorizeComment(E9257)</f>
        <v>Other</v>
      </c>
      <c r="G9257" t="str" cm="1">
        <f t="array" ref="G9257">SubCategorizeComment(E9257)</f>
        <v>Other</v>
      </c>
    </row>
    <row r="9258" spans="1:7" x14ac:dyDescent="0.25">
      <c r="A9258">
        <v>84815</v>
      </c>
      <c r="B9258" t="s">
        <v>4</v>
      </c>
      <c r="C9258">
        <v>4</v>
      </c>
      <c r="D9258" t="s">
        <v>5</v>
      </c>
      <c r="F9258" t="str" cm="1">
        <f t="array" ref="F9258">CategorizeComment(E9258)</f>
        <v>Other</v>
      </c>
      <c r="G9258" t="str" cm="1">
        <f t="array" ref="G9258">SubCategorizeComment(E9258)</f>
        <v>Other</v>
      </c>
    </row>
    <row r="9259" spans="1:7" x14ac:dyDescent="0.25">
      <c r="A9259">
        <v>84823</v>
      </c>
      <c r="B9259" t="s">
        <v>4</v>
      </c>
      <c r="C9259">
        <v>4</v>
      </c>
      <c r="D9259" t="s">
        <v>5</v>
      </c>
      <c r="F9259" t="str" cm="1">
        <f t="array" ref="F9259">CategorizeComment(E9259)</f>
        <v>Other</v>
      </c>
      <c r="G9259" t="str" cm="1">
        <f t="array" ref="G9259">SubCategorizeComment(E9259)</f>
        <v>Other</v>
      </c>
    </row>
    <row r="9260" spans="1:7" x14ac:dyDescent="0.25">
      <c r="A9260">
        <v>84824</v>
      </c>
      <c r="B9260" t="s">
        <v>4</v>
      </c>
      <c r="C9260">
        <v>3</v>
      </c>
      <c r="D9260" t="s">
        <v>5</v>
      </c>
      <c r="F9260" t="str" cm="1">
        <f t="array" ref="F9260">CategorizeComment(E9260)</f>
        <v>Other</v>
      </c>
      <c r="G9260" t="str" cm="1">
        <f t="array" ref="G9260">SubCategorizeComment(E9260)</f>
        <v>Other</v>
      </c>
    </row>
    <row r="9261" spans="1:7" x14ac:dyDescent="0.25">
      <c r="A9261">
        <v>84829</v>
      </c>
      <c r="B9261" t="s">
        <v>4</v>
      </c>
      <c r="C9261">
        <v>3</v>
      </c>
      <c r="D9261" t="s">
        <v>5</v>
      </c>
      <c r="F9261" t="str" cm="1">
        <f t="array" ref="F9261">CategorizeComment(E9261)</f>
        <v>Other</v>
      </c>
      <c r="G9261" t="str" cm="1">
        <f t="array" ref="G9261">SubCategorizeComment(E9261)</f>
        <v>Other</v>
      </c>
    </row>
    <row r="9262" spans="1:7" x14ac:dyDescent="0.25">
      <c r="A9262">
        <v>84832</v>
      </c>
      <c r="B9262" t="s">
        <v>4</v>
      </c>
      <c r="C9262">
        <v>4</v>
      </c>
      <c r="D9262" t="s">
        <v>5</v>
      </c>
      <c r="F9262" t="str" cm="1">
        <f t="array" ref="F9262">CategorizeComment(E9262)</f>
        <v>Other</v>
      </c>
      <c r="G9262" t="str" cm="1">
        <f t="array" ref="G9262">SubCategorizeComment(E9262)</f>
        <v>Other</v>
      </c>
    </row>
    <row r="9263" spans="1:7" x14ac:dyDescent="0.25">
      <c r="A9263">
        <v>84839</v>
      </c>
      <c r="B9263" t="s">
        <v>4</v>
      </c>
      <c r="C9263">
        <v>3</v>
      </c>
      <c r="D9263" t="s">
        <v>5</v>
      </c>
      <c r="F9263" t="str" cm="1">
        <f t="array" ref="F9263">CategorizeComment(E9263)</f>
        <v>Other</v>
      </c>
      <c r="G9263" t="str" cm="1">
        <f t="array" ref="G9263">SubCategorizeComment(E9263)</f>
        <v>Other</v>
      </c>
    </row>
    <row r="9264" spans="1:7" x14ac:dyDescent="0.25">
      <c r="A9264">
        <v>84841</v>
      </c>
      <c r="B9264" t="s">
        <v>4</v>
      </c>
      <c r="C9264">
        <v>4</v>
      </c>
      <c r="D9264" t="s">
        <v>5</v>
      </c>
      <c r="F9264" t="str" cm="1">
        <f t="array" ref="F9264">CategorizeComment(E9264)</f>
        <v>Other</v>
      </c>
      <c r="G9264" t="str" cm="1">
        <f t="array" ref="G9264">SubCategorizeComment(E9264)</f>
        <v>Other</v>
      </c>
    </row>
    <row r="9265" spans="1:7" x14ac:dyDescent="0.25">
      <c r="A9265">
        <v>84842</v>
      </c>
      <c r="B9265" t="s">
        <v>4</v>
      </c>
      <c r="C9265">
        <v>3</v>
      </c>
      <c r="D9265" t="s">
        <v>5</v>
      </c>
      <c r="F9265" t="str" cm="1">
        <f t="array" ref="F9265">CategorizeComment(E9265)</f>
        <v>Other</v>
      </c>
      <c r="G9265" t="str" cm="1">
        <f t="array" ref="G9265">SubCategorizeComment(E9265)</f>
        <v>Other</v>
      </c>
    </row>
    <row r="9266" spans="1:7" x14ac:dyDescent="0.25">
      <c r="A9266">
        <v>84844</v>
      </c>
      <c r="B9266" t="s">
        <v>4</v>
      </c>
      <c r="C9266">
        <v>3</v>
      </c>
      <c r="D9266" t="s">
        <v>5</v>
      </c>
      <c r="F9266" t="str" cm="1">
        <f t="array" ref="F9266">CategorizeComment(E9266)</f>
        <v>Other</v>
      </c>
      <c r="G9266" t="str" cm="1">
        <f t="array" ref="G9266">SubCategorizeComment(E9266)</f>
        <v>Other</v>
      </c>
    </row>
    <row r="9267" spans="1:7" x14ac:dyDescent="0.25">
      <c r="A9267">
        <v>84847</v>
      </c>
      <c r="B9267" t="s">
        <v>4</v>
      </c>
      <c r="C9267">
        <v>3</v>
      </c>
      <c r="D9267" t="s">
        <v>5</v>
      </c>
      <c r="F9267" t="str" cm="1">
        <f t="array" ref="F9267">CategorizeComment(E9267)</f>
        <v>Other</v>
      </c>
      <c r="G9267" t="str" cm="1">
        <f t="array" ref="G9267">SubCategorizeComment(E9267)</f>
        <v>Other</v>
      </c>
    </row>
    <row r="9268" spans="1:7" x14ac:dyDescent="0.25">
      <c r="A9268">
        <v>84852</v>
      </c>
      <c r="B9268" t="s">
        <v>4</v>
      </c>
      <c r="C9268">
        <v>3</v>
      </c>
      <c r="D9268" t="s">
        <v>5</v>
      </c>
      <c r="F9268" t="str" cm="1">
        <f t="array" ref="F9268">CategorizeComment(E9268)</f>
        <v>Other</v>
      </c>
      <c r="G9268" t="str" cm="1">
        <f t="array" ref="G9268">SubCategorizeComment(E9268)</f>
        <v>Other</v>
      </c>
    </row>
    <row r="9269" spans="1:7" x14ac:dyDescent="0.25">
      <c r="A9269">
        <v>84876</v>
      </c>
      <c r="B9269" t="s">
        <v>4</v>
      </c>
      <c r="C9269">
        <v>4</v>
      </c>
      <c r="D9269" t="s">
        <v>5</v>
      </c>
      <c r="F9269" t="str" cm="1">
        <f t="array" ref="F9269">CategorizeComment(E9269)</f>
        <v>Other</v>
      </c>
      <c r="G9269" t="str" cm="1">
        <f t="array" ref="G9269">SubCategorizeComment(E9269)</f>
        <v>Other</v>
      </c>
    </row>
    <row r="9270" spans="1:7" x14ac:dyDescent="0.25">
      <c r="A9270">
        <v>84877</v>
      </c>
      <c r="B9270" t="s">
        <v>4</v>
      </c>
      <c r="C9270">
        <v>3</v>
      </c>
      <c r="D9270" t="s">
        <v>5</v>
      </c>
      <c r="F9270" t="str" cm="1">
        <f t="array" ref="F9270">CategorizeComment(E9270)</f>
        <v>Other</v>
      </c>
      <c r="G9270" t="str" cm="1">
        <f t="array" ref="G9270">SubCategorizeComment(E9270)</f>
        <v>Other</v>
      </c>
    </row>
    <row r="9271" spans="1:7" x14ac:dyDescent="0.25">
      <c r="A9271">
        <v>84885</v>
      </c>
      <c r="B9271" t="s">
        <v>4</v>
      </c>
      <c r="C9271">
        <v>4</v>
      </c>
      <c r="D9271" t="s">
        <v>5</v>
      </c>
      <c r="F9271" t="str" cm="1">
        <f t="array" ref="F9271">CategorizeComment(E9271)</f>
        <v>Other</v>
      </c>
      <c r="G9271" t="str" cm="1">
        <f t="array" ref="G9271">SubCategorizeComment(E9271)</f>
        <v>Other</v>
      </c>
    </row>
    <row r="9272" spans="1:7" x14ac:dyDescent="0.25">
      <c r="A9272">
        <v>84903</v>
      </c>
      <c r="B9272" t="s">
        <v>4</v>
      </c>
      <c r="C9272">
        <v>3</v>
      </c>
      <c r="D9272" t="s">
        <v>5</v>
      </c>
      <c r="F9272" t="str" cm="1">
        <f t="array" ref="F9272">CategorizeComment(E9272)</f>
        <v>Other</v>
      </c>
      <c r="G9272" t="str" cm="1">
        <f t="array" ref="G9272">SubCategorizeComment(E9272)</f>
        <v>Other</v>
      </c>
    </row>
    <row r="9273" spans="1:7" x14ac:dyDescent="0.25">
      <c r="A9273">
        <v>84907</v>
      </c>
      <c r="B9273" t="s">
        <v>4</v>
      </c>
      <c r="C9273">
        <v>4</v>
      </c>
      <c r="D9273" t="s">
        <v>5</v>
      </c>
      <c r="F9273" t="str" cm="1">
        <f t="array" ref="F9273">CategorizeComment(E9273)</f>
        <v>Other</v>
      </c>
      <c r="G9273" t="str" cm="1">
        <f t="array" ref="G9273">SubCategorizeComment(E9273)</f>
        <v>Other</v>
      </c>
    </row>
    <row r="9274" spans="1:7" x14ac:dyDescent="0.25">
      <c r="A9274">
        <v>84914</v>
      </c>
      <c r="B9274" t="s">
        <v>4</v>
      </c>
      <c r="C9274">
        <v>3</v>
      </c>
      <c r="D9274" t="s">
        <v>5</v>
      </c>
      <c r="F9274" t="str" cm="1">
        <f t="array" ref="F9274">CategorizeComment(E9274)</f>
        <v>Other</v>
      </c>
      <c r="G9274" t="str" cm="1">
        <f t="array" ref="G9274">SubCategorizeComment(E9274)</f>
        <v>Other</v>
      </c>
    </row>
    <row r="9275" spans="1:7" x14ac:dyDescent="0.25">
      <c r="A9275">
        <v>84926</v>
      </c>
      <c r="B9275" t="s">
        <v>4</v>
      </c>
      <c r="C9275">
        <v>4</v>
      </c>
      <c r="D9275" t="s">
        <v>5</v>
      </c>
      <c r="F9275" t="str" cm="1">
        <f t="array" ref="F9275">CategorizeComment(E9275)</f>
        <v>Other</v>
      </c>
      <c r="G9275" t="str" cm="1">
        <f t="array" ref="G9275">SubCategorizeComment(E9275)</f>
        <v>Other</v>
      </c>
    </row>
    <row r="9276" spans="1:7" x14ac:dyDescent="0.25">
      <c r="A9276">
        <v>84932</v>
      </c>
      <c r="B9276" t="s">
        <v>4</v>
      </c>
      <c r="C9276">
        <v>4</v>
      </c>
      <c r="D9276" t="s">
        <v>5</v>
      </c>
      <c r="F9276" t="str" cm="1">
        <f t="array" ref="F9276">CategorizeComment(E9276)</f>
        <v>Other</v>
      </c>
      <c r="G9276" t="str" cm="1">
        <f t="array" ref="G9276">SubCategorizeComment(E9276)</f>
        <v>Other</v>
      </c>
    </row>
    <row r="9277" spans="1:7" x14ac:dyDescent="0.25">
      <c r="A9277">
        <v>84950</v>
      </c>
      <c r="B9277" t="s">
        <v>4</v>
      </c>
      <c r="C9277">
        <v>4</v>
      </c>
      <c r="D9277" t="s">
        <v>5</v>
      </c>
      <c r="F9277" t="str" cm="1">
        <f t="array" ref="F9277">CategorizeComment(E9277)</f>
        <v>Other</v>
      </c>
      <c r="G9277" t="str" cm="1">
        <f t="array" ref="G9277">SubCategorizeComment(E9277)</f>
        <v>Other</v>
      </c>
    </row>
    <row r="9278" spans="1:7" x14ac:dyDescent="0.25">
      <c r="A9278">
        <v>84956</v>
      </c>
      <c r="B9278" t="s">
        <v>4</v>
      </c>
      <c r="C9278">
        <v>3</v>
      </c>
      <c r="D9278" t="s">
        <v>5</v>
      </c>
      <c r="F9278" t="str" cm="1">
        <f t="array" ref="F9278">CategorizeComment(E9278)</f>
        <v>Other</v>
      </c>
      <c r="G9278" t="str" cm="1">
        <f t="array" ref="G9278">SubCategorizeComment(E9278)</f>
        <v>Other</v>
      </c>
    </row>
    <row r="9279" spans="1:7" x14ac:dyDescent="0.25">
      <c r="A9279">
        <v>84959</v>
      </c>
      <c r="B9279" t="s">
        <v>4</v>
      </c>
      <c r="C9279">
        <v>4</v>
      </c>
      <c r="D9279" t="s">
        <v>5</v>
      </c>
      <c r="F9279" t="str" cm="1">
        <f t="array" ref="F9279">CategorizeComment(E9279)</f>
        <v>Other</v>
      </c>
      <c r="G9279" t="str" cm="1">
        <f t="array" ref="G9279">SubCategorizeComment(E9279)</f>
        <v>Other</v>
      </c>
    </row>
    <row r="9280" spans="1:7" x14ac:dyDescent="0.25">
      <c r="A9280">
        <v>84976</v>
      </c>
      <c r="B9280" t="s">
        <v>4</v>
      </c>
      <c r="C9280">
        <v>4</v>
      </c>
      <c r="D9280" t="s">
        <v>5</v>
      </c>
      <c r="F9280" t="str" cm="1">
        <f t="array" ref="F9280">CategorizeComment(E9280)</f>
        <v>Other</v>
      </c>
      <c r="G9280" t="str" cm="1">
        <f t="array" ref="G9280">SubCategorizeComment(E9280)</f>
        <v>Other</v>
      </c>
    </row>
    <row r="9281" spans="1:7" x14ac:dyDescent="0.25">
      <c r="A9281">
        <v>84979</v>
      </c>
      <c r="B9281" t="s">
        <v>4</v>
      </c>
      <c r="C9281">
        <v>4</v>
      </c>
      <c r="D9281" t="s">
        <v>5</v>
      </c>
      <c r="F9281" t="str" cm="1">
        <f t="array" ref="F9281">CategorizeComment(E9281)</f>
        <v>Other</v>
      </c>
      <c r="G9281" t="str" cm="1">
        <f t="array" ref="G9281">SubCategorizeComment(E9281)</f>
        <v>Other</v>
      </c>
    </row>
    <row r="9282" spans="1:7" x14ac:dyDescent="0.25">
      <c r="A9282">
        <v>84985</v>
      </c>
      <c r="B9282" t="s">
        <v>4</v>
      </c>
      <c r="C9282">
        <v>3</v>
      </c>
      <c r="D9282" t="s">
        <v>5</v>
      </c>
      <c r="F9282" t="str" cm="1">
        <f t="array" ref="F9282">CategorizeComment(E9282)</f>
        <v>Other</v>
      </c>
      <c r="G9282" t="str" cm="1">
        <f t="array" ref="G9282">SubCategorizeComment(E9282)</f>
        <v>Other</v>
      </c>
    </row>
    <row r="9283" spans="1:7" x14ac:dyDescent="0.25">
      <c r="A9283">
        <v>85000</v>
      </c>
      <c r="B9283" t="s">
        <v>4</v>
      </c>
      <c r="C9283">
        <v>3</v>
      </c>
      <c r="D9283" t="s">
        <v>5</v>
      </c>
      <c r="F9283" t="str" cm="1">
        <f t="array" ref="F9283">CategorizeComment(E9283)</f>
        <v>Other</v>
      </c>
      <c r="G9283" t="str" cm="1">
        <f t="array" ref="G9283">SubCategorizeComment(E9283)</f>
        <v>Other</v>
      </c>
    </row>
    <row r="9284" spans="1:7" x14ac:dyDescent="0.25">
      <c r="A9284">
        <v>85002</v>
      </c>
      <c r="B9284" t="s">
        <v>4</v>
      </c>
      <c r="C9284">
        <v>4</v>
      </c>
      <c r="D9284" t="s">
        <v>5</v>
      </c>
      <c r="F9284" t="str" cm="1">
        <f t="array" ref="F9284">CategorizeComment(E9284)</f>
        <v>Other</v>
      </c>
      <c r="G9284" t="str" cm="1">
        <f t="array" ref="G9284">SubCategorizeComment(E9284)</f>
        <v>Other</v>
      </c>
    </row>
    <row r="9285" spans="1:7" x14ac:dyDescent="0.25">
      <c r="A9285">
        <v>85005</v>
      </c>
      <c r="B9285" t="s">
        <v>4</v>
      </c>
      <c r="C9285">
        <v>3</v>
      </c>
      <c r="D9285" t="s">
        <v>5</v>
      </c>
      <c r="F9285" t="str" cm="1">
        <f t="array" ref="F9285">CategorizeComment(E9285)</f>
        <v>Other</v>
      </c>
      <c r="G9285" t="str" cm="1">
        <f t="array" ref="G9285">SubCategorizeComment(E9285)</f>
        <v>Other</v>
      </c>
    </row>
    <row r="9286" spans="1:7" x14ac:dyDescent="0.25">
      <c r="A9286">
        <v>85008</v>
      </c>
      <c r="B9286" t="s">
        <v>4</v>
      </c>
      <c r="C9286">
        <v>3</v>
      </c>
      <c r="D9286" t="s">
        <v>5</v>
      </c>
      <c r="F9286" t="str" cm="1">
        <f t="array" ref="F9286">CategorizeComment(E9286)</f>
        <v>Other</v>
      </c>
      <c r="G9286" t="str" cm="1">
        <f t="array" ref="G9286">SubCategorizeComment(E9286)</f>
        <v>Other</v>
      </c>
    </row>
    <row r="9287" spans="1:7" x14ac:dyDescent="0.25">
      <c r="A9287">
        <v>85017</v>
      </c>
      <c r="B9287" t="s">
        <v>4</v>
      </c>
      <c r="C9287">
        <v>4</v>
      </c>
      <c r="D9287" t="s">
        <v>5</v>
      </c>
      <c r="F9287" t="str" cm="1">
        <f t="array" ref="F9287">CategorizeComment(E9287)</f>
        <v>Other</v>
      </c>
      <c r="G9287" t="str" cm="1">
        <f t="array" ref="G9287">SubCategorizeComment(E9287)</f>
        <v>Other</v>
      </c>
    </row>
    <row r="9288" spans="1:7" x14ac:dyDescent="0.25">
      <c r="A9288">
        <v>85025</v>
      </c>
      <c r="B9288" t="s">
        <v>4</v>
      </c>
      <c r="C9288">
        <v>3</v>
      </c>
      <c r="D9288" t="s">
        <v>5</v>
      </c>
      <c r="F9288" t="str" cm="1">
        <f t="array" ref="F9288">CategorizeComment(E9288)</f>
        <v>Other</v>
      </c>
      <c r="G9288" t="str" cm="1">
        <f t="array" ref="G9288">SubCategorizeComment(E9288)</f>
        <v>Other</v>
      </c>
    </row>
    <row r="9289" spans="1:7" x14ac:dyDescent="0.25">
      <c r="A9289">
        <v>85075</v>
      </c>
      <c r="B9289" t="s">
        <v>4</v>
      </c>
      <c r="C9289">
        <v>3</v>
      </c>
      <c r="D9289" t="s">
        <v>5</v>
      </c>
      <c r="F9289" t="str" cm="1">
        <f t="array" ref="F9289">CategorizeComment(E9289)</f>
        <v>Other</v>
      </c>
      <c r="G9289" t="str" cm="1">
        <f t="array" ref="G9289">SubCategorizeComment(E9289)</f>
        <v>Other</v>
      </c>
    </row>
    <row r="9290" spans="1:7" x14ac:dyDescent="0.25">
      <c r="A9290">
        <v>85122</v>
      </c>
      <c r="B9290" t="s">
        <v>4</v>
      </c>
      <c r="C9290">
        <v>4</v>
      </c>
      <c r="D9290" t="s">
        <v>5</v>
      </c>
      <c r="F9290" t="str" cm="1">
        <f t="array" ref="F9290">CategorizeComment(E9290)</f>
        <v>Other</v>
      </c>
      <c r="G9290" t="str" cm="1">
        <f t="array" ref="G9290">SubCategorizeComment(E9290)</f>
        <v>Other</v>
      </c>
    </row>
    <row r="9291" spans="1:7" x14ac:dyDescent="0.25">
      <c r="A9291">
        <v>85123</v>
      </c>
      <c r="B9291" t="s">
        <v>4</v>
      </c>
      <c r="C9291">
        <v>3</v>
      </c>
      <c r="D9291" t="s">
        <v>5</v>
      </c>
      <c r="F9291" t="str" cm="1">
        <f t="array" ref="F9291">CategorizeComment(E9291)</f>
        <v>Other</v>
      </c>
      <c r="G9291" t="str" cm="1">
        <f t="array" ref="G9291">SubCategorizeComment(E9291)</f>
        <v>Other</v>
      </c>
    </row>
    <row r="9292" spans="1:7" x14ac:dyDescent="0.25">
      <c r="A9292">
        <v>85137</v>
      </c>
      <c r="B9292" t="s">
        <v>4</v>
      </c>
      <c r="C9292">
        <v>3</v>
      </c>
      <c r="D9292" t="s">
        <v>5</v>
      </c>
      <c r="F9292" t="str" cm="1">
        <f t="array" ref="F9292">CategorizeComment(E9292)</f>
        <v>Other</v>
      </c>
      <c r="G9292" t="str" cm="1">
        <f t="array" ref="G9292">SubCategorizeComment(E9292)</f>
        <v>Other</v>
      </c>
    </row>
    <row r="9293" spans="1:7" x14ac:dyDescent="0.25">
      <c r="A9293">
        <v>85146</v>
      </c>
      <c r="B9293" t="s">
        <v>4</v>
      </c>
      <c r="C9293">
        <v>3</v>
      </c>
      <c r="D9293" t="s">
        <v>5</v>
      </c>
      <c r="F9293" t="str" cm="1">
        <f t="array" ref="F9293">CategorizeComment(E9293)</f>
        <v>Other</v>
      </c>
      <c r="G9293" t="str" cm="1">
        <f t="array" ref="G9293">SubCategorizeComment(E9293)</f>
        <v>Other</v>
      </c>
    </row>
    <row r="9294" spans="1:7" x14ac:dyDescent="0.25">
      <c r="A9294">
        <v>85152</v>
      </c>
      <c r="B9294" t="s">
        <v>4</v>
      </c>
      <c r="C9294">
        <v>4</v>
      </c>
      <c r="D9294" t="s">
        <v>5</v>
      </c>
      <c r="F9294" t="str" cm="1">
        <f t="array" ref="F9294">CategorizeComment(E9294)</f>
        <v>Other</v>
      </c>
      <c r="G9294" t="str" cm="1">
        <f t="array" ref="G9294">SubCategorizeComment(E9294)</f>
        <v>Other</v>
      </c>
    </row>
    <row r="9295" spans="1:7" x14ac:dyDescent="0.25">
      <c r="A9295">
        <v>85161</v>
      </c>
      <c r="B9295" t="s">
        <v>4</v>
      </c>
      <c r="C9295">
        <v>3</v>
      </c>
      <c r="D9295" t="s">
        <v>5</v>
      </c>
      <c r="F9295" t="str" cm="1">
        <f t="array" ref="F9295">CategorizeComment(E9295)</f>
        <v>Other</v>
      </c>
      <c r="G9295" t="str" cm="1">
        <f t="array" ref="G9295">SubCategorizeComment(E9295)</f>
        <v>Other</v>
      </c>
    </row>
    <row r="9296" spans="1:7" x14ac:dyDescent="0.25">
      <c r="A9296">
        <v>85164</v>
      </c>
      <c r="B9296" t="s">
        <v>4</v>
      </c>
      <c r="C9296">
        <v>4</v>
      </c>
      <c r="D9296" t="s">
        <v>5</v>
      </c>
      <c r="F9296" t="str" cm="1">
        <f t="array" ref="F9296">CategorizeComment(E9296)</f>
        <v>Other</v>
      </c>
      <c r="G9296" t="str" cm="1">
        <f t="array" ref="G9296">SubCategorizeComment(E9296)</f>
        <v>Other</v>
      </c>
    </row>
    <row r="9297" spans="1:7" x14ac:dyDescent="0.25">
      <c r="A9297">
        <v>85168</v>
      </c>
      <c r="B9297" t="s">
        <v>4</v>
      </c>
      <c r="C9297">
        <v>4</v>
      </c>
      <c r="D9297" t="s">
        <v>5</v>
      </c>
      <c r="F9297" t="str" cm="1">
        <f t="array" ref="F9297">CategorizeComment(E9297)</f>
        <v>Other</v>
      </c>
      <c r="G9297" t="str" cm="1">
        <f t="array" ref="G9297">SubCategorizeComment(E9297)</f>
        <v>Other</v>
      </c>
    </row>
    <row r="9298" spans="1:7" x14ac:dyDescent="0.25">
      <c r="A9298">
        <v>85195</v>
      </c>
      <c r="B9298" t="s">
        <v>4</v>
      </c>
      <c r="C9298">
        <v>4</v>
      </c>
      <c r="D9298" t="s">
        <v>5</v>
      </c>
      <c r="F9298" t="str" cm="1">
        <f t="array" ref="F9298">CategorizeComment(E9298)</f>
        <v>Other</v>
      </c>
      <c r="G9298" t="str" cm="1">
        <f t="array" ref="G9298">SubCategorizeComment(E9298)</f>
        <v>Other</v>
      </c>
    </row>
    <row r="9299" spans="1:7" x14ac:dyDescent="0.25">
      <c r="A9299">
        <v>85200</v>
      </c>
      <c r="B9299" t="s">
        <v>4</v>
      </c>
      <c r="C9299">
        <v>4</v>
      </c>
      <c r="D9299" t="s">
        <v>5</v>
      </c>
      <c r="F9299" t="str" cm="1">
        <f t="array" ref="F9299">CategorizeComment(E9299)</f>
        <v>Other</v>
      </c>
      <c r="G9299" t="str" cm="1">
        <f t="array" ref="G9299">SubCategorizeComment(E9299)</f>
        <v>Other</v>
      </c>
    </row>
    <row r="9300" spans="1:7" x14ac:dyDescent="0.25">
      <c r="A9300">
        <v>85216</v>
      </c>
      <c r="B9300" t="s">
        <v>4</v>
      </c>
      <c r="C9300">
        <v>4</v>
      </c>
      <c r="D9300" t="s">
        <v>5</v>
      </c>
      <c r="F9300" t="str" cm="1">
        <f t="array" ref="F9300">CategorizeComment(E9300)</f>
        <v>Other</v>
      </c>
      <c r="G9300" t="str" cm="1">
        <f t="array" ref="G9300">SubCategorizeComment(E9300)</f>
        <v>Other</v>
      </c>
    </row>
    <row r="9301" spans="1:7" x14ac:dyDescent="0.25">
      <c r="A9301">
        <v>85219</v>
      </c>
      <c r="B9301" t="s">
        <v>4</v>
      </c>
      <c r="C9301">
        <v>3</v>
      </c>
      <c r="D9301" t="s">
        <v>5</v>
      </c>
      <c r="F9301" t="str" cm="1">
        <f t="array" ref="F9301">CategorizeComment(E9301)</f>
        <v>Other</v>
      </c>
      <c r="G9301" t="str" cm="1">
        <f t="array" ref="G9301">SubCategorizeComment(E9301)</f>
        <v>Other</v>
      </c>
    </row>
    <row r="9302" spans="1:7" x14ac:dyDescent="0.25">
      <c r="A9302">
        <v>85222</v>
      </c>
      <c r="B9302" t="s">
        <v>4</v>
      </c>
      <c r="C9302">
        <v>4</v>
      </c>
      <c r="D9302" t="s">
        <v>5</v>
      </c>
      <c r="F9302" t="str" cm="1">
        <f t="array" ref="F9302">CategorizeComment(E9302)</f>
        <v>Other</v>
      </c>
      <c r="G9302" t="str" cm="1">
        <f t="array" ref="G9302">SubCategorizeComment(E9302)</f>
        <v>Other</v>
      </c>
    </row>
    <row r="9303" spans="1:7" x14ac:dyDescent="0.25">
      <c r="A9303">
        <v>85226</v>
      </c>
      <c r="B9303" t="s">
        <v>4</v>
      </c>
      <c r="C9303">
        <v>3</v>
      </c>
      <c r="D9303" t="s">
        <v>5</v>
      </c>
      <c r="F9303" t="str" cm="1">
        <f t="array" ref="F9303">CategorizeComment(E9303)</f>
        <v>Other</v>
      </c>
      <c r="G9303" t="str" cm="1">
        <f t="array" ref="G9303">SubCategorizeComment(E9303)</f>
        <v>Other</v>
      </c>
    </row>
    <row r="9304" spans="1:7" x14ac:dyDescent="0.25">
      <c r="A9304">
        <v>85231</v>
      </c>
      <c r="B9304" t="s">
        <v>4</v>
      </c>
      <c r="C9304">
        <v>4</v>
      </c>
      <c r="D9304" t="s">
        <v>5</v>
      </c>
      <c r="F9304" t="str" cm="1">
        <f t="array" ref="F9304">CategorizeComment(E9304)</f>
        <v>Other</v>
      </c>
      <c r="G9304" t="str" cm="1">
        <f t="array" ref="G9304">SubCategorizeComment(E9304)</f>
        <v>Other</v>
      </c>
    </row>
    <row r="9305" spans="1:7" x14ac:dyDescent="0.25">
      <c r="A9305">
        <v>85233</v>
      </c>
      <c r="B9305" t="s">
        <v>4</v>
      </c>
      <c r="C9305">
        <v>3</v>
      </c>
      <c r="D9305" t="s">
        <v>5</v>
      </c>
      <c r="F9305" t="str" cm="1">
        <f t="array" ref="F9305">CategorizeComment(E9305)</f>
        <v>Other</v>
      </c>
      <c r="G9305" t="str" cm="1">
        <f t="array" ref="G9305">SubCategorizeComment(E9305)</f>
        <v>Other</v>
      </c>
    </row>
    <row r="9306" spans="1:7" x14ac:dyDescent="0.25">
      <c r="A9306">
        <v>85238</v>
      </c>
      <c r="B9306" t="s">
        <v>4</v>
      </c>
      <c r="C9306">
        <v>3</v>
      </c>
      <c r="D9306" t="s">
        <v>5</v>
      </c>
      <c r="F9306" t="str" cm="1">
        <f t="array" ref="F9306">CategorizeComment(E9306)</f>
        <v>Other</v>
      </c>
      <c r="G9306" t="str" cm="1">
        <f t="array" ref="G9306">SubCategorizeComment(E9306)</f>
        <v>Other</v>
      </c>
    </row>
    <row r="9307" spans="1:7" x14ac:dyDescent="0.25">
      <c r="A9307">
        <v>85239</v>
      </c>
      <c r="B9307" t="s">
        <v>4</v>
      </c>
      <c r="C9307">
        <v>3</v>
      </c>
      <c r="D9307" t="s">
        <v>5</v>
      </c>
      <c r="F9307" t="str" cm="1">
        <f t="array" ref="F9307">CategorizeComment(E9307)</f>
        <v>Other</v>
      </c>
      <c r="G9307" t="str" cm="1">
        <f t="array" ref="G9307">SubCategorizeComment(E9307)</f>
        <v>Other</v>
      </c>
    </row>
    <row r="9308" spans="1:7" x14ac:dyDescent="0.25">
      <c r="A9308">
        <v>85240</v>
      </c>
      <c r="B9308" t="s">
        <v>4</v>
      </c>
      <c r="C9308">
        <v>3</v>
      </c>
      <c r="D9308" t="s">
        <v>5</v>
      </c>
      <c r="F9308" t="str" cm="1">
        <f t="array" ref="F9308">CategorizeComment(E9308)</f>
        <v>Other</v>
      </c>
      <c r="G9308" t="str" cm="1">
        <f t="array" ref="G9308">SubCategorizeComment(E9308)</f>
        <v>Other</v>
      </c>
    </row>
    <row r="9309" spans="1:7" x14ac:dyDescent="0.25">
      <c r="A9309">
        <v>85241</v>
      </c>
      <c r="B9309" t="s">
        <v>4</v>
      </c>
      <c r="C9309">
        <v>3</v>
      </c>
      <c r="D9309" t="s">
        <v>5</v>
      </c>
      <c r="F9309" t="str" cm="1">
        <f t="array" ref="F9309">CategorizeComment(E9309)</f>
        <v>Other</v>
      </c>
      <c r="G9309" t="str" cm="1">
        <f t="array" ref="G9309">SubCategorizeComment(E9309)</f>
        <v>Other</v>
      </c>
    </row>
    <row r="9310" spans="1:7" x14ac:dyDescent="0.25">
      <c r="A9310">
        <v>85253</v>
      </c>
      <c r="B9310" t="s">
        <v>4</v>
      </c>
      <c r="C9310">
        <v>3</v>
      </c>
      <c r="D9310" t="s">
        <v>5</v>
      </c>
      <c r="F9310" t="str" cm="1">
        <f t="array" ref="F9310">CategorizeComment(E9310)</f>
        <v>Other</v>
      </c>
      <c r="G9310" t="str" cm="1">
        <f t="array" ref="G9310">SubCategorizeComment(E9310)</f>
        <v>Other</v>
      </c>
    </row>
    <row r="9311" spans="1:7" x14ac:dyDescent="0.25">
      <c r="A9311">
        <v>85258</v>
      </c>
      <c r="B9311" t="s">
        <v>4</v>
      </c>
      <c r="C9311">
        <v>3</v>
      </c>
      <c r="D9311" t="s">
        <v>5</v>
      </c>
      <c r="F9311" t="str" cm="1">
        <f t="array" ref="F9311">CategorizeComment(E9311)</f>
        <v>Other</v>
      </c>
      <c r="G9311" t="str" cm="1">
        <f t="array" ref="G9311">SubCategorizeComment(E9311)</f>
        <v>Other</v>
      </c>
    </row>
    <row r="9312" spans="1:7" x14ac:dyDescent="0.25">
      <c r="A9312">
        <v>85264</v>
      </c>
      <c r="B9312" t="s">
        <v>4</v>
      </c>
      <c r="C9312">
        <v>4</v>
      </c>
      <c r="D9312" t="s">
        <v>5</v>
      </c>
      <c r="F9312" t="str" cm="1">
        <f t="array" ref="F9312">CategorizeComment(E9312)</f>
        <v>Other</v>
      </c>
      <c r="G9312" t="str" cm="1">
        <f t="array" ref="G9312">SubCategorizeComment(E9312)</f>
        <v>Other</v>
      </c>
    </row>
    <row r="9313" spans="1:7" x14ac:dyDescent="0.25">
      <c r="A9313">
        <v>85273</v>
      </c>
      <c r="B9313" t="s">
        <v>4</v>
      </c>
      <c r="C9313">
        <v>3</v>
      </c>
      <c r="D9313" t="s">
        <v>5</v>
      </c>
      <c r="F9313" t="str" cm="1">
        <f t="array" ref="F9313">CategorizeComment(E9313)</f>
        <v>Other</v>
      </c>
      <c r="G9313" t="str" cm="1">
        <f t="array" ref="G9313">SubCategorizeComment(E9313)</f>
        <v>Other</v>
      </c>
    </row>
    <row r="9314" spans="1:7" x14ac:dyDescent="0.25">
      <c r="A9314">
        <v>85281</v>
      </c>
      <c r="B9314" t="s">
        <v>4</v>
      </c>
      <c r="C9314">
        <v>3</v>
      </c>
      <c r="D9314" t="s">
        <v>5</v>
      </c>
      <c r="F9314" t="str" cm="1">
        <f t="array" ref="F9314">CategorizeComment(E9314)</f>
        <v>Other</v>
      </c>
      <c r="G9314" t="str" cm="1">
        <f t="array" ref="G9314">SubCategorizeComment(E9314)</f>
        <v>Other</v>
      </c>
    </row>
    <row r="9315" spans="1:7" x14ac:dyDescent="0.25">
      <c r="A9315">
        <v>85284</v>
      </c>
      <c r="B9315" t="s">
        <v>4</v>
      </c>
      <c r="C9315">
        <v>4</v>
      </c>
      <c r="D9315" t="s">
        <v>5</v>
      </c>
      <c r="F9315" t="str" cm="1">
        <f t="array" ref="F9315">CategorizeComment(E9315)</f>
        <v>Other</v>
      </c>
      <c r="G9315" t="str" cm="1">
        <f t="array" ref="G9315">SubCategorizeComment(E9315)</f>
        <v>Other</v>
      </c>
    </row>
    <row r="9316" spans="1:7" x14ac:dyDescent="0.25">
      <c r="A9316">
        <v>85285</v>
      </c>
      <c r="B9316" t="s">
        <v>4</v>
      </c>
      <c r="C9316">
        <v>4</v>
      </c>
      <c r="D9316" t="s">
        <v>5</v>
      </c>
      <c r="F9316" t="str" cm="1">
        <f t="array" ref="F9316">CategorizeComment(E9316)</f>
        <v>Other</v>
      </c>
      <c r="G9316" t="str" cm="1">
        <f t="array" ref="G9316">SubCategorizeComment(E9316)</f>
        <v>Other</v>
      </c>
    </row>
    <row r="9317" spans="1:7" x14ac:dyDescent="0.25">
      <c r="A9317">
        <v>85290</v>
      </c>
      <c r="B9317" t="s">
        <v>4</v>
      </c>
      <c r="C9317">
        <v>4</v>
      </c>
      <c r="D9317" t="s">
        <v>5</v>
      </c>
      <c r="F9317" t="str" cm="1">
        <f t="array" ref="F9317">CategorizeComment(E9317)</f>
        <v>Other</v>
      </c>
      <c r="G9317" t="str" cm="1">
        <f t="array" ref="G9317">SubCategorizeComment(E9317)</f>
        <v>Other</v>
      </c>
    </row>
    <row r="9318" spans="1:7" x14ac:dyDescent="0.25">
      <c r="A9318">
        <v>85293</v>
      </c>
      <c r="B9318" t="s">
        <v>4</v>
      </c>
      <c r="C9318">
        <v>3</v>
      </c>
      <c r="D9318" t="s">
        <v>5</v>
      </c>
      <c r="F9318" t="str" cm="1">
        <f t="array" ref="F9318">CategorizeComment(E9318)</f>
        <v>Other</v>
      </c>
      <c r="G9318" t="str" cm="1">
        <f t="array" ref="G9318">SubCategorizeComment(E9318)</f>
        <v>Other</v>
      </c>
    </row>
    <row r="9319" spans="1:7" x14ac:dyDescent="0.25">
      <c r="A9319">
        <v>85295</v>
      </c>
      <c r="B9319" t="s">
        <v>4</v>
      </c>
      <c r="C9319">
        <v>4</v>
      </c>
      <c r="D9319" t="s">
        <v>5</v>
      </c>
      <c r="F9319" t="str" cm="1">
        <f t="array" ref="F9319">CategorizeComment(E9319)</f>
        <v>Other</v>
      </c>
      <c r="G9319" t="str" cm="1">
        <f t="array" ref="G9319">SubCategorizeComment(E9319)</f>
        <v>Other</v>
      </c>
    </row>
    <row r="9320" spans="1:7" x14ac:dyDescent="0.25">
      <c r="A9320">
        <v>85297</v>
      </c>
      <c r="B9320" t="s">
        <v>4</v>
      </c>
      <c r="C9320">
        <v>3</v>
      </c>
      <c r="D9320" t="s">
        <v>5</v>
      </c>
      <c r="F9320" t="str" cm="1">
        <f t="array" ref="F9320">CategorizeComment(E9320)</f>
        <v>Other</v>
      </c>
      <c r="G9320" t="str" cm="1">
        <f t="array" ref="G9320">SubCategorizeComment(E9320)</f>
        <v>Other</v>
      </c>
    </row>
    <row r="9321" spans="1:7" x14ac:dyDescent="0.25">
      <c r="A9321">
        <v>85301</v>
      </c>
      <c r="B9321" t="s">
        <v>4</v>
      </c>
      <c r="C9321">
        <v>4</v>
      </c>
      <c r="D9321" t="s">
        <v>5</v>
      </c>
      <c r="F9321" t="str" cm="1">
        <f t="array" ref="F9321">CategorizeComment(E9321)</f>
        <v>Other</v>
      </c>
      <c r="G9321" t="str" cm="1">
        <f t="array" ref="G9321">SubCategorizeComment(E9321)</f>
        <v>Other</v>
      </c>
    </row>
    <row r="9322" spans="1:7" x14ac:dyDescent="0.25">
      <c r="A9322">
        <v>85306</v>
      </c>
      <c r="B9322" t="s">
        <v>4</v>
      </c>
      <c r="C9322">
        <v>4</v>
      </c>
      <c r="D9322" t="s">
        <v>5</v>
      </c>
      <c r="F9322" t="str" cm="1">
        <f t="array" ref="F9322">CategorizeComment(E9322)</f>
        <v>Other</v>
      </c>
      <c r="G9322" t="str" cm="1">
        <f t="array" ref="G9322">SubCategorizeComment(E9322)</f>
        <v>Other</v>
      </c>
    </row>
    <row r="9323" spans="1:7" x14ac:dyDescent="0.25">
      <c r="A9323">
        <v>85321</v>
      </c>
      <c r="B9323" t="s">
        <v>4</v>
      </c>
      <c r="C9323">
        <v>4</v>
      </c>
      <c r="D9323" t="s">
        <v>5</v>
      </c>
      <c r="F9323" t="str" cm="1">
        <f t="array" ref="F9323">CategorizeComment(E9323)</f>
        <v>Other</v>
      </c>
      <c r="G9323" t="str" cm="1">
        <f t="array" ref="G9323">SubCategorizeComment(E9323)</f>
        <v>Other</v>
      </c>
    </row>
    <row r="9324" spans="1:7" x14ac:dyDescent="0.25">
      <c r="A9324">
        <v>85324</v>
      </c>
      <c r="B9324" t="s">
        <v>4</v>
      </c>
      <c r="C9324">
        <v>3</v>
      </c>
      <c r="D9324" t="s">
        <v>5</v>
      </c>
      <c r="F9324" t="str" cm="1">
        <f t="array" ref="F9324">CategorizeComment(E9324)</f>
        <v>Other</v>
      </c>
      <c r="G9324" t="str" cm="1">
        <f t="array" ref="G9324">SubCategorizeComment(E9324)</f>
        <v>Other</v>
      </c>
    </row>
    <row r="9325" spans="1:7" x14ac:dyDescent="0.25">
      <c r="A9325">
        <v>85346</v>
      </c>
      <c r="B9325" t="s">
        <v>4</v>
      </c>
      <c r="C9325">
        <v>4</v>
      </c>
      <c r="D9325" t="s">
        <v>5</v>
      </c>
      <c r="F9325" t="str" cm="1">
        <f t="array" ref="F9325">CategorizeComment(E9325)</f>
        <v>Other</v>
      </c>
      <c r="G9325" t="str" cm="1">
        <f t="array" ref="G9325">SubCategorizeComment(E9325)</f>
        <v>Other</v>
      </c>
    </row>
    <row r="9326" spans="1:7" x14ac:dyDescent="0.25">
      <c r="A9326">
        <v>85365</v>
      </c>
      <c r="B9326" t="s">
        <v>4</v>
      </c>
      <c r="C9326">
        <v>3</v>
      </c>
      <c r="D9326" t="s">
        <v>5</v>
      </c>
      <c r="F9326" t="str" cm="1">
        <f t="array" ref="F9326">CategorizeComment(E9326)</f>
        <v>Other</v>
      </c>
      <c r="G9326" t="str" cm="1">
        <f t="array" ref="G9326">SubCategorizeComment(E9326)</f>
        <v>Other</v>
      </c>
    </row>
    <row r="9327" spans="1:7" x14ac:dyDescent="0.25">
      <c r="A9327">
        <v>85382</v>
      </c>
      <c r="B9327" t="s">
        <v>4</v>
      </c>
      <c r="C9327">
        <v>3</v>
      </c>
      <c r="D9327" t="s">
        <v>5</v>
      </c>
      <c r="F9327" t="str" cm="1">
        <f t="array" ref="F9327">CategorizeComment(E9327)</f>
        <v>Other</v>
      </c>
      <c r="G9327" t="str" cm="1">
        <f t="array" ref="G9327">SubCategorizeComment(E9327)</f>
        <v>Other</v>
      </c>
    </row>
    <row r="9328" spans="1:7" x14ac:dyDescent="0.25">
      <c r="A9328">
        <v>85433</v>
      </c>
      <c r="B9328" t="s">
        <v>4</v>
      </c>
      <c r="C9328">
        <v>3</v>
      </c>
      <c r="D9328" t="s">
        <v>5</v>
      </c>
      <c r="F9328" t="str" cm="1">
        <f t="array" ref="F9328">CategorizeComment(E9328)</f>
        <v>Other</v>
      </c>
      <c r="G9328" t="str" cm="1">
        <f t="array" ref="G9328">SubCategorizeComment(E9328)</f>
        <v>Other</v>
      </c>
    </row>
    <row r="9329" spans="1:7" x14ac:dyDescent="0.25">
      <c r="A9329">
        <v>85434</v>
      </c>
      <c r="B9329" t="s">
        <v>4</v>
      </c>
      <c r="C9329">
        <v>3</v>
      </c>
      <c r="D9329" t="s">
        <v>5</v>
      </c>
      <c r="F9329" t="str" cm="1">
        <f t="array" ref="F9329">CategorizeComment(E9329)</f>
        <v>Other</v>
      </c>
      <c r="G9329" t="str" cm="1">
        <f t="array" ref="G9329">SubCategorizeComment(E9329)</f>
        <v>Other</v>
      </c>
    </row>
    <row r="9330" spans="1:7" x14ac:dyDescent="0.25">
      <c r="A9330">
        <v>85436</v>
      </c>
      <c r="B9330" t="s">
        <v>4</v>
      </c>
      <c r="C9330">
        <v>3</v>
      </c>
      <c r="D9330" t="s">
        <v>5</v>
      </c>
      <c r="F9330" t="str" cm="1">
        <f t="array" ref="F9330">CategorizeComment(E9330)</f>
        <v>Other</v>
      </c>
      <c r="G9330" t="str" cm="1">
        <f t="array" ref="G9330">SubCategorizeComment(E9330)</f>
        <v>Other</v>
      </c>
    </row>
    <row r="9331" spans="1:7" x14ac:dyDescent="0.25">
      <c r="A9331">
        <v>85453</v>
      </c>
      <c r="B9331" t="s">
        <v>4</v>
      </c>
      <c r="C9331">
        <v>3</v>
      </c>
      <c r="D9331" t="s">
        <v>5</v>
      </c>
      <c r="F9331" t="str" cm="1">
        <f t="array" ref="F9331">CategorizeComment(E9331)</f>
        <v>Other</v>
      </c>
      <c r="G9331" t="str" cm="1">
        <f t="array" ref="G9331">SubCategorizeComment(E9331)</f>
        <v>Other</v>
      </c>
    </row>
    <row r="9332" spans="1:7" x14ac:dyDescent="0.25">
      <c r="A9332">
        <v>85461</v>
      </c>
      <c r="B9332" t="s">
        <v>4</v>
      </c>
      <c r="C9332">
        <v>4</v>
      </c>
      <c r="D9332" t="s">
        <v>5</v>
      </c>
      <c r="F9332" t="str" cm="1">
        <f t="array" ref="F9332">CategorizeComment(E9332)</f>
        <v>Other</v>
      </c>
      <c r="G9332" t="str" cm="1">
        <f t="array" ref="G9332">SubCategorizeComment(E9332)</f>
        <v>Other</v>
      </c>
    </row>
    <row r="9333" spans="1:7" x14ac:dyDescent="0.25">
      <c r="A9333">
        <v>85463</v>
      </c>
      <c r="B9333" t="s">
        <v>4</v>
      </c>
      <c r="C9333">
        <v>3</v>
      </c>
      <c r="D9333" t="s">
        <v>5</v>
      </c>
      <c r="F9333" t="str" cm="1">
        <f t="array" ref="F9333">CategorizeComment(E9333)</f>
        <v>Other</v>
      </c>
      <c r="G9333" t="str" cm="1">
        <f t="array" ref="G9333">SubCategorizeComment(E9333)</f>
        <v>Other</v>
      </c>
    </row>
    <row r="9334" spans="1:7" x14ac:dyDescent="0.25">
      <c r="A9334">
        <v>85473</v>
      </c>
      <c r="B9334" t="s">
        <v>4</v>
      </c>
      <c r="C9334">
        <v>3</v>
      </c>
      <c r="D9334" t="s">
        <v>5</v>
      </c>
      <c r="F9334" t="str" cm="1">
        <f t="array" ref="F9334">CategorizeComment(E9334)</f>
        <v>Other</v>
      </c>
      <c r="G9334" t="str" cm="1">
        <f t="array" ref="G9334">SubCategorizeComment(E9334)</f>
        <v>Other</v>
      </c>
    </row>
    <row r="9335" spans="1:7" x14ac:dyDescent="0.25">
      <c r="A9335">
        <v>85477</v>
      </c>
      <c r="B9335" t="s">
        <v>4</v>
      </c>
      <c r="C9335">
        <v>4</v>
      </c>
      <c r="D9335" t="s">
        <v>5</v>
      </c>
      <c r="F9335" t="str" cm="1">
        <f t="array" ref="F9335">CategorizeComment(E9335)</f>
        <v>Other</v>
      </c>
      <c r="G9335" t="str" cm="1">
        <f t="array" ref="G9335">SubCategorizeComment(E9335)</f>
        <v>Other</v>
      </c>
    </row>
    <row r="9336" spans="1:7" x14ac:dyDescent="0.25">
      <c r="A9336">
        <v>85478</v>
      </c>
      <c r="B9336" t="s">
        <v>4</v>
      </c>
      <c r="C9336">
        <v>4</v>
      </c>
      <c r="D9336" t="s">
        <v>5</v>
      </c>
      <c r="F9336" t="str" cm="1">
        <f t="array" ref="F9336">CategorizeComment(E9336)</f>
        <v>Other</v>
      </c>
      <c r="G9336" t="str" cm="1">
        <f t="array" ref="G9336">SubCategorizeComment(E9336)</f>
        <v>Other</v>
      </c>
    </row>
    <row r="9337" spans="1:7" x14ac:dyDescent="0.25">
      <c r="A9337">
        <v>85491</v>
      </c>
      <c r="B9337" t="s">
        <v>4</v>
      </c>
      <c r="C9337">
        <v>4</v>
      </c>
      <c r="D9337" t="s">
        <v>5</v>
      </c>
      <c r="F9337" t="str" cm="1">
        <f t="array" ref="F9337">CategorizeComment(E9337)</f>
        <v>Other</v>
      </c>
      <c r="G9337" t="str" cm="1">
        <f t="array" ref="G9337">SubCategorizeComment(E9337)</f>
        <v>Other</v>
      </c>
    </row>
    <row r="9338" spans="1:7" x14ac:dyDescent="0.25">
      <c r="A9338">
        <v>85492</v>
      </c>
      <c r="B9338" t="s">
        <v>4</v>
      </c>
      <c r="C9338">
        <v>3</v>
      </c>
      <c r="D9338" t="s">
        <v>5</v>
      </c>
      <c r="F9338" t="str" cm="1">
        <f t="array" ref="F9338">CategorizeComment(E9338)</f>
        <v>Other</v>
      </c>
      <c r="G9338" t="str" cm="1">
        <f t="array" ref="G9338">SubCategorizeComment(E9338)</f>
        <v>Other</v>
      </c>
    </row>
    <row r="9339" spans="1:7" x14ac:dyDescent="0.25">
      <c r="A9339">
        <v>85504</v>
      </c>
      <c r="B9339" t="s">
        <v>4</v>
      </c>
      <c r="C9339">
        <v>3</v>
      </c>
      <c r="D9339" t="s">
        <v>5</v>
      </c>
      <c r="F9339" t="str" cm="1">
        <f t="array" ref="F9339">CategorizeComment(E9339)</f>
        <v>Other</v>
      </c>
      <c r="G9339" t="str" cm="1">
        <f t="array" ref="G9339">SubCategorizeComment(E9339)</f>
        <v>Other</v>
      </c>
    </row>
    <row r="9340" spans="1:7" x14ac:dyDescent="0.25">
      <c r="A9340">
        <v>85561</v>
      </c>
      <c r="B9340" t="s">
        <v>4</v>
      </c>
      <c r="C9340">
        <v>4</v>
      </c>
      <c r="D9340" t="s">
        <v>5</v>
      </c>
      <c r="F9340" t="str" cm="1">
        <f t="array" ref="F9340">CategorizeComment(E9340)</f>
        <v>Other</v>
      </c>
      <c r="G9340" t="str" cm="1">
        <f t="array" ref="G9340">SubCategorizeComment(E9340)</f>
        <v>Other</v>
      </c>
    </row>
    <row r="9341" spans="1:7" x14ac:dyDescent="0.25">
      <c r="A9341">
        <v>85571</v>
      </c>
      <c r="B9341" t="s">
        <v>4</v>
      </c>
      <c r="C9341">
        <v>4</v>
      </c>
      <c r="D9341" t="s">
        <v>5</v>
      </c>
      <c r="F9341" t="str" cm="1">
        <f t="array" ref="F9341">CategorizeComment(E9341)</f>
        <v>Other</v>
      </c>
      <c r="G9341" t="str" cm="1">
        <f t="array" ref="G9341">SubCategorizeComment(E9341)</f>
        <v>Other</v>
      </c>
    </row>
    <row r="9342" spans="1:7" x14ac:dyDescent="0.25">
      <c r="A9342">
        <v>85589</v>
      </c>
      <c r="B9342" t="s">
        <v>4</v>
      </c>
      <c r="C9342">
        <v>3</v>
      </c>
      <c r="D9342" t="s">
        <v>5</v>
      </c>
      <c r="F9342" t="str" cm="1">
        <f t="array" ref="F9342">CategorizeComment(E9342)</f>
        <v>Other</v>
      </c>
      <c r="G9342" t="str" cm="1">
        <f t="array" ref="G9342">SubCategorizeComment(E9342)</f>
        <v>Other</v>
      </c>
    </row>
    <row r="9343" spans="1:7" x14ac:dyDescent="0.25">
      <c r="A9343">
        <v>85597</v>
      </c>
      <c r="B9343" t="s">
        <v>4</v>
      </c>
      <c r="C9343">
        <v>3</v>
      </c>
      <c r="D9343" t="s">
        <v>5</v>
      </c>
      <c r="F9343" t="str" cm="1">
        <f t="array" ref="F9343">CategorizeComment(E9343)</f>
        <v>Other</v>
      </c>
      <c r="G9343" t="str" cm="1">
        <f t="array" ref="G9343">SubCategorizeComment(E9343)</f>
        <v>Other</v>
      </c>
    </row>
    <row r="9344" spans="1:7" x14ac:dyDescent="0.25">
      <c r="A9344">
        <v>85598</v>
      </c>
      <c r="B9344" t="s">
        <v>4</v>
      </c>
      <c r="C9344">
        <v>4</v>
      </c>
      <c r="D9344" t="s">
        <v>5</v>
      </c>
      <c r="F9344" t="str" cm="1">
        <f t="array" ref="F9344">CategorizeComment(E9344)</f>
        <v>Other</v>
      </c>
      <c r="G9344" t="str" cm="1">
        <f t="array" ref="G9344">SubCategorizeComment(E9344)</f>
        <v>Other</v>
      </c>
    </row>
    <row r="9345" spans="1:7" x14ac:dyDescent="0.25">
      <c r="A9345">
        <v>85603</v>
      </c>
      <c r="B9345" t="s">
        <v>4</v>
      </c>
      <c r="C9345">
        <v>4</v>
      </c>
      <c r="D9345" t="s">
        <v>5</v>
      </c>
      <c r="F9345" t="str" cm="1">
        <f t="array" ref="F9345">CategorizeComment(E9345)</f>
        <v>Other</v>
      </c>
      <c r="G9345" t="str" cm="1">
        <f t="array" ref="G9345">SubCategorizeComment(E9345)</f>
        <v>Other</v>
      </c>
    </row>
    <row r="9346" spans="1:7" x14ac:dyDescent="0.25">
      <c r="A9346">
        <v>85612</v>
      </c>
      <c r="B9346" t="s">
        <v>4</v>
      </c>
      <c r="C9346">
        <v>3</v>
      </c>
      <c r="D9346" t="s">
        <v>5</v>
      </c>
      <c r="F9346" t="str" cm="1">
        <f t="array" ref="F9346">CategorizeComment(E9346)</f>
        <v>Other</v>
      </c>
      <c r="G9346" t="str" cm="1">
        <f t="array" ref="G9346">SubCategorizeComment(E9346)</f>
        <v>Other</v>
      </c>
    </row>
    <row r="9347" spans="1:7" x14ac:dyDescent="0.25">
      <c r="A9347">
        <v>85613</v>
      </c>
      <c r="B9347" t="s">
        <v>4</v>
      </c>
      <c r="C9347">
        <v>3</v>
      </c>
      <c r="D9347" t="s">
        <v>5</v>
      </c>
      <c r="F9347" t="str" cm="1">
        <f t="array" ref="F9347">CategorizeComment(E9347)</f>
        <v>Other</v>
      </c>
      <c r="G9347" t="str" cm="1">
        <f t="array" ref="G9347">SubCategorizeComment(E9347)</f>
        <v>Other</v>
      </c>
    </row>
    <row r="9348" spans="1:7" x14ac:dyDescent="0.25">
      <c r="A9348">
        <v>85620</v>
      </c>
      <c r="B9348" t="s">
        <v>4</v>
      </c>
      <c r="C9348">
        <v>4</v>
      </c>
      <c r="D9348" t="s">
        <v>5</v>
      </c>
      <c r="F9348" t="str" cm="1">
        <f t="array" ref="F9348">CategorizeComment(E9348)</f>
        <v>Other</v>
      </c>
      <c r="G9348" t="str" cm="1">
        <f t="array" ref="G9348">SubCategorizeComment(E9348)</f>
        <v>Other</v>
      </c>
    </row>
    <row r="9349" spans="1:7" x14ac:dyDescent="0.25">
      <c r="A9349">
        <v>85623</v>
      </c>
      <c r="B9349" t="s">
        <v>4</v>
      </c>
      <c r="C9349">
        <v>4</v>
      </c>
      <c r="D9349" t="s">
        <v>5</v>
      </c>
      <c r="F9349" t="str" cm="1">
        <f t="array" ref="F9349">CategorizeComment(E9349)</f>
        <v>Other</v>
      </c>
      <c r="G9349" t="str" cm="1">
        <f t="array" ref="G9349">SubCategorizeComment(E9349)</f>
        <v>Other</v>
      </c>
    </row>
    <row r="9350" spans="1:7" x14ac:dyDescent="0.25">
      <c r="A9350">
        <v>85624</v>
      </c>
      <c r="B9350" t="s">
        <v>4</v>
      </c>
      <c r="C9350">
        <v>3</v>
      </c>
      <c r="D9350" t="s">
        <v>5</v>
      </c>
      <c r="F9350" t="str" cm="1">
        <f t="array" ref="F9350">CategorizeComment(E9350)</f>
        <v>Other</v>
      </c>
      <c r="G9350" t="str" cm="1">
        <f t="array" ref="G9350">SubCategorizeComment(E9350)</f>
        <v>Other</v>
      </c>
    </row>
    <row r="9351" spans="1:7" x14ac:dyDescent="0.25">
      <c r="A9351">
        <v>85627</v>
      </c>
      <c r="B9351" t="s">
        <v>4</v>
      </c>
      <c r="C9351">
        <v>4</v>
      </c>
      <c r="D9351" t="s">
        <v>5</v>
      </c>
      <c r="F9351" t="str" cm="1">
        <f t="array" ref="F9351">CategorizeComment(E9351)</f>
        <v>Other</v>
      </c>
      <c r="G9351" t="str" cm="1">
        <f t="array" ref="G9351">SubCategorizeComment(E9351)</f>
        <v>Other</v>
      </c>
    </row>
    <row r="9352" spans="1:7" x14ac:dyDescent="0.25">
      <c r="A9352">
        <v>85629</v>
      </c>
      <c r="B9352" t="s">
        <v>4</v>
      </c>
      <c r="C9352">
        <v>4</v>
      </c>
      <c r="D9352" t="s">
        <v>5</v>
      </c>
      <c r="F9352" t="str" cm="1">
        <f t="array" ref="F9352">CategorizeComment(E9352)</f>
        <v>Other</v>
      </c>
      <c r="G9352" t="str" cm="1">
        <f t="array" ref="G9352">SubCategorizeComment(E9352)</f>
        <v>Other</v>
      </c>
    </row>
    <row r="9353" spans="1:7" x14ac:dyDescent="0.25">
      <c r="A9353">
        <v>85634</v>
      </c>
      <c r="B9353" t="s">
        <v>4</v>
      </c>
      <c r="C9353">
        <v>4</v>
      </c>
      <c r="D9353" t="s">
        <v>5</v>
      </c>
      <c r="F9353" t="str" cm="1">
        <f t="array" ref="F9353">CategorizeComment(E9353)</f>
        <v>Other</v>
      </c>
      <c r="G9353" t="str" cm="1">
        <f t="array" ref="G9353">SubCategorizeComment(E9353)</f>
        <v>Other</v>
      </c>
    </row>
    <row r="9354" spans="1:7" x14ac:dyDescent="0.25">
      <c r="A9354">
        <v>85639</v>
      </c>
      <c r="B9354" t="s">
        <v>4</v>
      </c>
      <c r="C9354">
        <v>4</v>
      </c>
      <c r="D9354" t="s">
        <v>5</v>
      </c>
      <c r="F9354" t="str" cm="1">
        <f t="array" ref="F9354">CategorizeComment(E9354)</f>
        <v>Other</v>
      </c>
      <c r="G9354" t="str" cm="1">
        <f t="array" ref="G9354">SubCategorizeComment(E9354)</f>
        <v>Other</v>
      </c>
    </row>
    <row r="9355" spans="1:7" x14ac:dyDescent="0.25">
      <c r="A9355">
        <v>85647</v>
      </c>
      <c r="B9355" t="s">
        <v>4</v>
      </c>
      <c r="C9355">
        <v>4</v>
      </c>
      <c r="D9355" t="s">
        <v>5</v>
      </c>
      <c r="F9355" t="str" cm="1">
        <f t="array" ref="F9355">CategorizeComment(E9355)</f>
        <v>Other</v>
      </c>
      <c r="G9355" t="str" cm="1">
        <f t="array" ref="G9355">SubCategorizeComment(E9355)</f>
        <v>Other</v>
      </c>
    </row>
    <row r="9356" spans="1:7" x14ac:dyDescent="0.25">
      <c r="A9356">
        <v>85702</v>
      </c>
      <c r="B9356" t="s">
        <v>4</v>
      </c>
      <c r="C9356">
        <v>3</v>
      </c>
      <c r="D9356" t="s">
        <v>5</v>
      </c>
      <c r="F9356" t="str" cm="1">
        <f t="array" ref="F9356">CategorizeComment(E9356)</f>
        <v>Other</v>
      </c>
      <c r="G9356" t="str" cm="1">
        <f t="array" ref="G9356">SubCategorizeComment(E9356)</f>
        <v>Other</v>
      </c>
    </row>
    <row r="9357" spans="1:7" x14ac:dyDescent="0.25">
      <c r="A9357">
        <v>85725</v>
      </c>
      <c r="B9357" t="s">
        <v>4</v>
      </c>
      <c r="C9357">
        <v>3</v>
      </c>
      <c r="D9357" t="s">
        <v>5</v>
      </c>
      <c r="F9357" t="str" cm="1">
        <f t="array" ref="F9357">CategorizeComment(E9357)</f>
        <v>Other</v>
      </c>
      <c r="G9357" t="str" cm="1">
        <f t="array" ref="G9357">SubCategorizeComment(E9357)</f>
        <v>Other</v>
      </c>
    </row>
    <row r="9358" spans="1:7" x14ac:dyDescent="0.25">
      <c r="A9358">
        <v>85767</v>
      </c>
      <c r="B9358" t="s">
        <v>4</v>
      </c>
      <c r="C9358">
        <v>3</v>
      </c>
      <c r="D9358" t="s">
        <v>5</v>
      </c>
      <c r="F9358" t="str" cm="1">
        <f t="array" ref="F9358">CategorizeComment(E9358)</f>
        <v>Other</v>
      </c>
      <c r="G9358" t="str" cm="1">
        <f t="array" ref="G9358">SubCategorizeComment(E9358)</f>
        <v>Other</v>
      </c>
    </row>
    <row r="9359" spans="1:7" x14ac:dyDescent="0.25">
      <c r="A9359">
        <v>85793</v>
      </c>
      <c r="B9359" t="s">
        <v>4</v>
      </c>
      <c r="C9359">
        <v>3</v>
      </c>
      <c r="D9359" t="s">
        <v>5</v>
      </c>
      <c r="F9359" t="str" cm="1">
        <f t="array" ref="F9359">CategorizeComment(E9359)</f>
        <v>Other</v>
      </c>
      <c r="G9359" t="str" cm="1">
        <f t="array" ref="G9359">SubCategorizeComment(E9359)</f>
        <v>Other</v>
      </c>
    </row>
    <row r="9360" spans="1:7" x14ac:dyDescent="0.25">
      <c r="A9360">
        <v>85795</v>
      </c>
      <c r="B9360" t="s">
        <v>4</v>
      </c>
      <c r="C9360">
        <v>4</v>
      </c>
      <c r="D9360" t="s">
        <v>5</v>
      </c>
      <c r="F9360" t="str" cm="1">
        <f t="array" ref="F9360">CategorizeComment(E9360)</f>
        <v>Other</v>
      </c>
      <c r="G9360" t="str" cm="1">
        <f t="array" ref="G9360">SubCategorizeComment(E9360)</f>
        <v>Other</v>
      </c>
    </row>
    <row r="9361" spans="1:7" x14ac:dyDescent="0.25">
      <c r="A9361">
        <v>85803</v>
      </c>
      <c r="B9361" t="s">
        <v>4</v>
      </c>
      <c r="C9361">
        <v>4</v>
      </c>
      <c r="D9361" t="s">
        <v>5</v>
      </c>
      <c r="F9361" t="str" cm="1">
        <f t="array" ref="F9361">CategorizeComment(E9361)</f>
        <v>Other</v>
      </c>
      <c r="G9361" t="str" cm="1">
        <f t="array" ref="G9361">SubCategorizeComment(E9361)</f>
        <v>Other</v>
      </c>
    </row>
    <row r="9362" spans="1:7" x14ac:dyDescent="0.25">
      <c r="A9362">
        <v>85822</v>
      </c>
      <c r="B9362" t="s">
        <v>4</v>
      </c>
      <c r="C9362">
        <v>3</v>
      </c>
      <c r="D9362" t="s">
        <v>5</v>
      </c>
      <c r="F9362" t="str" cm="1">
        <f t="array" ref="F9362">CategorizeComment(E9362)</f>
        <v>Other</v>
      </c>
      <c r="G9362" t="str" cm="1">
        <f t="array" ref="G9362">SubCategorizeComment(E9362)</f>
        <v>Other</v>
      </c>
    </row>
    <row r="9363" spans="1:7" x14ac:dyDescent="0.25">
      <c r="A9363">
        <v>85823</v>
      </c>
      <c r="B9363" t="s">
        <v>4</v>
      </c>
      <c r="C9363">
        <v>4</v>
      </c>
      <c r="D9363" t="s">
        <v>5</v>
      </c>
      <c r="F9363" t="str" cm="1">
        <f t="array" ref="F9363">CategorizeComment(E9363)</f>
        <v>Other</v>
      </c>
      <c r="G9363" t="str" cm="1">
        <f t="array" ref="G9363">SubCategorizeComment(E9363)</f>
        <v>Other</v>
      </c>
    </row>
    <row r="9364" spans="1:7" x14ac:dyDescent="0.25">
      <c r="A9364">
        <v>85837</v>
      </c>
      <c r="B9364" t="s">
        <v>4</v>
      </c>
      <c r="C9364">
        <v>4</v>
      </c>
      <c r="D9364" t="s">
        <v>5</v>
      </c>
      <c r="F9364" t="str" cm="1">
        <f t="array" ref="F9364">CategorizeComment(E9364)</f>
        <v>Other</v>
      </c>
      <c r="G9364" t="str" cm="1">
        <f t="array" ref="G9364">SubCategorizeComment(E9364)</f>
        <v>Other</v>
      </c>
    </row>
    <row r="9365" spans="1:7" x14ac:dyDescent="0.25">
      <c r="A9365">
        <v>85840</v>
      </c>
      <c r="B9365" t="s">
        <v>4</v>
      </c>
      <c r="C9365">
        <v>4</v>
      </c>
      <c r="D9365" t="s">
        <v>5</v>
      </c>
      <c r="F9365" t="str" cm="1">
        <f t="array" ref="F9365">CategorizeComment(E9365)</f>
        <v>Other</v>
      </c>
      <c r="G9365" t="str" cm="1">
        <f t="array" ref="G9365">SubCategorizeComment(E9365)</f>
        <v>Other</v>
      </c>
    </row>
    <row r="9366" spans="1:7" x14ac:dyDescent="0.25">
      <c r="A9366">
        <v>85867</v>
      </c>
      <c r="B9366" t="s">
        <v>4</v>
      </c>
      <c r="C9366">
        <v>3</v>
      </c>
      <c r="D9366" t="s">
        <v>5</v>
      </c>
      <c r="F9366" t="str" cm="1">
        <f t="array" ref="F9366">CategorizeComment(E9366)</f>
        <v>Other</v>
      </c>
      <c r="G9366" t="str" cm="1">
        <f t="array" ref="G9366">SubCategorizeComment(E9366)</f>
        <v>Other</v>
      </c>
    </row>
    <row r="9367" spans="1:7" x14ac:dyDescent="0.25">
      <c r="A9367">
        <v>85881</v>
      </c>
      <c r="B9367" t="s">
        <v>4</v>
      </c>
      <c r="C9367">
        <v>3</v>
      </c>
      <c r="D9367" t="s">
        <v>5</v>
      </c>
      <c r="F9367" t="str" cm="1">
        <f t="array" ref="F9367">CategorizeComment(E9367)</f>
        <v>Other</v>
      </c>
      <c r="G9367" t="str" cm="1">
        <f t="array" ref="G9367">SubCategorizeComment(E9367)</f>
        <v>Other</v>
      </c>
    </row>
    <row r="9368" spans="1:7" x14ac:dyDescent="0.25">
      <c r="A9368">
        <v>85887</v>
      </c>
      <c r="B9368" t="s">
        <v>4</v>
      </c>
      <c r="C9368">
        <v>3</v>
      </c>
      <c r="D9368" t="s">
        <v>5</v>
      </c>
      <c r="F9368" t="str" cm="1">
        <f t="array" ref="F9368">CategorizeComment(E9368)</f>
        <v>Other</v>
      </c>
      <c r="G9368" t="str" cm="1">
        <f t="array" ref="G9368">SubCategorizeComment(E9368)</f>
        <v>Other</v>
      </c>
    </row>
    <row r="9369" spans="1:7" x14ac:dyDescent="0.25">
      <c r="A9369">
        <v>85903</v>
      </c>
      <c r="B9369" t="s">
        <v>4</v>
      </c>
      <c r="C9369">
        <v>4</v>
      </c>
      <c r="D9369" t="s">
        <v>5</v>
      </c>
      <c r="F9369" t="str" cm="1">
        <f t="array" ref="F9369">CategorizeComment(E9369)</f>
        <v>Other</v>
      </c>
      <c r="G9369" t="str" cm="1">
        <f t="array" ref="G9369">SubCategorizeComment(E9369)</f>
        <v>Other</v>
      </c>
    </row>
    <row r="9370" spans="1:7" x14ac:dyDescent="0.25">
      <c r="A9370">
        <v>85911</v>
      </c>
      <c r="B9370" t="s">
        <v>4</v>
      </c>
      <c r="C9370">
        <v>3</v>
      </c>
      <c r="D9370" t="s">
        <v>5</v>
      </c>
      <c r="F9370" t="str" cm="1">
        <f t="array" ref="F9370">CategorizeComment(E9370)</f>
        <v>Other</v>
      </c>
      <c r="G9370" t="str" cm="1">
        <f t="array" ref="G9370">SubCategorizeComment(E9370)</f>
        <v>Other</v>
      </c>
    </row>
    <row r="9371" spans="1:7" x14ac:dyDescent="0.25">
      <c r="A9371">
        <v>85914</v>
      </c>
      <c r="B9371" t="s">
        <v>4</v>
      </c>
      <c r="C9371">
        <v>3</v>
      </c>
      <c r="D9371" t="s">
        <v>5</v>
      </c>
      <c r="F9371" t="str" cm="1">
        <f t="array" ref="F9371">CategorizeComment(E9371)</f>
        <v>Other</v>
      </c>
      <c r="G9371" t="str" cm="1">
        <f t="array" ref="G9371">SubCategorizeComment(E9371)</f>
        <v>Other</v>
      </c>
    </row>
    <row r="9372" spans="1:7" x14ac:dyDescent="0.25">
      <c r="A9372">
        <v>85915</v>
      </c>
      <c r="B9372" t="s">
        <v>4</v>
      </c>
      <c r="C9372">
        <v>4</v>
      </c>
      <c r="D9372" t="s">
        <v>5</v>
      </c>
      <c r="F9372" t="str" cm="1">
        <f t="array" ref="F9372">CategorizeComment(E9372)</f>
        <v>Other</v>
      </c>
      <c r="G9372" t="str" cm="1">
        <f t="array" ref="G9372">SubCategorizeComment(E9372)</f>
        <v>Other</v>
      </c>
    </row>
    <row r="9373" spans="1:7" x14ac:dyDescent="0.25">
      <c r="A9373">
        <v>85929</v>
      </c>
      <c r="B9373" t="s">
        <v>4</v>
      </c>
      <c r="C9373">
        <v>4</v>
      </c>
      <c r="D9373" t="s">
        <v>5</v>
      </c>
      <c r="F9373" t="str" cm="1">
        <f t="array" ref="F9373">CategorizeComment(E9373)</f>
        <v>Other</v>
      </c>
      <c r="G9373" t="str" cm="1">
        <f t="array" ref="G9373">SubCategorizeComment(E9373)</f>
        <v>Other</v>
      </c>
    </row>
    <row r="9374" spans="1:7" x14ac:dyDescent="0.25">
      <c r="A9374">
        <v>85938</v>
      </c>
      <c r="B9374" t="s">
        <v>4</v>
      </c>
      <c r="C9374">
        <v>3</v>
      </c>
      <c r="D9374" t="s">
        <v>5</v>
      </c>
      <c r="F9374" t="str" cm="1">
        <f t="array" ref="F9374">CategorizeComment(E9374)</f>
        <v>Other</v>
      </c>
      <c r="G9374" t="str" cm="1">
        <f t="array" ref="G9374">SubCategorizeComment(E9374)</f>
        <v>Other</v>
      </c>
    </row>
    <row r="9375" spans="1:7" x14ac:dyDescent="0.25">
      <c r="A9375">
        <v>85969</v>
      </c>
      <c r="B9375" t="s">
        <v>4</v>
      </c>
      <c r="C9375">
        <v>4</v>
      </c>
      <c r="D9375" t="s">
        <v>5</v>
      </c>
      <c r="F9375" t="str" cm="1">
        <f t="array" ref="F9375">CategorizeComment(E9375)</f>
        <v>Other</v>
      </c>
      <c r="G9375" t="str" cm="1">
        <f t="array" ref="G9375">SubCategorizeComment(E9375)</f>
        <v>Other</v>
      </c>
    </row>
    <row r="9376" spans="1:7" x14ac:dyDescent="0.25">
      <c r="A9376">
        <v>85981</v>
      </c>
      <c r="B9376" t="s">
        <v>4</v>
      </c>
      <c r="C9376">
        <v>3</v>
      </c>
      <c r="D9376" t="s">
        <v>5</v>
      </c>
      <c r="F9376" t="str" cm="1">
        <f t="array" ref="F9376">CategorizeComment(E9376)</f>
        <v>Other</v>
      </c>
      <c r="G9376" t="str" cm="1">
        <f t="array" ref="G9376">SubCategorizeComment(E9376)</f>
        <v>Other</v>
      </c>
    </row>
    <row r="9377" spans="1:7" x14ac:dyDescent="0.25">
      <c r="A9377">
        <v>85982</v>
      </c>
      <c r="B9377" t="s">
        <v>4</v>
      </c>
      <c r="C9377">
        <v>3</v>
      </c>
      <c r="D9377" t="s">
        <v>5</v>
      </c>
      <c r="F9377" t="str" cm="1">
        <f t="array" ref="F9377">CategorizeComment(E9377)</f>
        <v>Other</v>
      </c>
      <c r="G9377" t="str" cm="1">
        <f t="array" ref="G9377">SubCategorizeComment(E9377)</f>
        <v>Other</v>
      </c>
    </row>
    <row r="9378" spans="1:7" x14ac:dyDescent="0.25">
      <c r="A9378">
        <v>85988</v>
      </c>
      <c r="B9378" t="s">
        <v>4</v>
      </c>
      <c r="C9378">
        <v>3</v>
      </c>
      <c r="D9378" t="s">
        <v>5</v>
      </c>
      <c r="F9378" t="str" cm="1">
        <f t="array" ref="F9378">CategorizeComment(E9378)</f>
        <v>Other</v>
      </c>
      <c r="G9378" t="str" cm="1">
        <f t="array" ref="G9378">SubCategorizeComment(E9378)</f>
        <v>Other</v>
      </c>
    </row>
    <row r="9379" spans="1:7" x14ac:dyDescent="0.25">
      <c r="A9379">
        <v>86002</v>
      </c>
      <c r="B9379" t="s">
        <v>4</v>
      </c>
      <c r="C9379">
        <v>3</v>
      </c>
      <c r="D9379" t="s">
        <v>5</v>
      </c>
      <c r="F9379" t="str" cm="1">
        <f t="array" ref="F9379">CategorizeComment(E9379)</f>
        <v>Other</v>
      </c>
      <c r="G9379" t="str" cm="1">
        <f t="array" ref="G9379">SubCategorizeComment(E9379)</f>
        <v>Other</v>
      </c>
    </row>
    <row r="9380" spans="1:7" x14ac:dyDescent="0.25">
      <c r="A9380">
        <v>86052</v>
      </c>
      <c r="B9380" t="s">
        <v>4</v>
      </c>
      <c r="C9380">
        <v>3</v>
      </c>
      <c r="D9380" t="s">
        <v>5</v>
      </c>
      <c r="F9380" t="str" cm="1">
        <f t="array" ref="F9380">CategorizeComment(E9380)</f>
        <v>Other</v>
      </c>
      <c r="G9380" t="str" cm="1">
        <f t="array" ref="G9380">SubCategorizeComment(E9380)</f>
        <v>Other</v>
      </c>
    </row>
    <row r="9381" spans="1:7" x14ac:dyDescent="0.25">
      <c r="A9381">
        <v>86070</v>
      </c>
      <c r="B9381" t="s">
        <v>4</v>
      </c>
      <c r="C9381">
        <v>3</v>
      </c>
      <c r="D9381" t="s">
        <v>5</v>
      </c>
      <c r="F9381" t="str" cm="1">
        <f t="array" ref="F9381">CategorizeComment(E9381)</f>
        <v>Other</v>
      </c>
      <c r="G9381" t="str" cm="1">
        <f t="array" ref="G9381">SubCategorizeComment(E9381)</f>
        <v>Other</v>
      </c>
    </row>
    <row r="9382" spans="1:7" x14ac:dyDescent="0.25">
      <c r="A9382">
        <v>86090</v>
      </c>
      <c r="B9382" t="s">
        <v>4</v>
      </c>
      <c r="C9382">
        <v>4</v>
      </c>
      <c r="D9382" t="s">
        <v>5</v>
      </c>
      <c r="F9382" t="str" cm="1">
        <f t="array" ref="F9382">CategorizeComment(E9382)</f>
        <v>Other</v>
      </c>
      <c r="G9382" t="str" cm="1">
        <f t="array" ref="G9382">SubCategorizeComment(E9382)</f>
        <v>Other</v>
      </c>
    </row>
    <row r="9383" spans="1:7" x14ac:dyDescent="0.25">
      <c r="A9383">
        <v>86146</v>
      </c>
      <c r="B9383" t="s">
        <v>4</v>
      </c>
      <c r="C9383">
        <v>3</v>
      </c>
      <c r="D9383" t="s">
        <v>5</v>
      </c>
      <c r="F9383" t="str" cm="1">
        <f t="array" ref="F9383">CategorizeComment(E9383)</f>
        <v>Other</v>
      </c>
      <c r="G9383" t="str" cm="1">
        <f t="array" ref="G9383">SubCategorizeComment(E9383)</f>
        <v>Other</v>
      </c>
    </row>
    <row r="9384" spans="1:7" x14ac:dyDescent="0.25">
      <c r="A9384">
        <v>86151</v>
      </c>
      <c r="B9384" t="s">
        <v>4</v>
      </c>
      <c r="C9384">
        <v>4</v>
      </c>
      <c r="D9384" t="s">
        <v>5</v>
      </c>
      <c r="F9384" t="str" cm="1">
        <f t="array" ref="F9384">CategorizeComment(E9384)</f>
        <v>Other</v>
      </c>
      <c r="G9384" t="str" cm="1">
        <f t="array" ref="G9384">SubCategorizeComment(E9384)</f>
        <v>Other</v>
      </c>
    </row>
    <row r="9385" spans="1:7" x14ac:dyDescent="0.25">
      <c r="A9385">
        <v>86164</v>
      </c>
      <c r="B9385" t="s">
        <v>4</v>
      </c>
      <c r="C9385">
        <v>4</v>
      </c>
      <c r="D9385" t="s">
        <v>5</v>
      </c>
      <c r="F9385" t="str" cm="1">
        <f t="array" ref="F9385">CategorizeComment(E9385)</f>
        <v>Other</v>
      </c>
      <c r="G9385" t="str" cm="1">
        <f t="array" ref="G9385">SubCategorizeComment(E9385)</f>
        <v>Other</v>
      </c>
    </row>
    <row r="9386" spans="1:7" x14ac:dyDescent="0.25">
      <c r="A9386">
        <v>86177</v>
      </c>
      <c r="B9386" t="s">
        <v>4</v>
      </c>
      <c r="C9386">
        <v>3</v>
      </c>
      <c r="D9386" t="s">
        <v>5</v>
      </c>
      <c r="F9386" t="str" cm="1">
        <f t="array" ref="F9386">CategorizeComment(E9386)</f>
        <v>Other</v>
      </c>
      <c r="G9386" t="str" cm="1">
        <f t="array" ref="G9386">SubCategorizeComment(E9386)</f>
        <v>Other</v>
      </c>
    </row>
    <row r="9387" spans="1:7" x14ac:dyDescent="0.25">
      <c r="A9387">
        <v>86188</v>
      </c>
      <c r="B9387" t="s">
        <v>4</v>
      </c>
      <c r="C9387">
        <v>4</v>
      </c>
      <c r="D9387" t="s">
        <v>5</v>
      </c>
      <c r="F9387" t="str" cm="1">
        <f t="array" ref="F9387">CategorizeComment(E9387)</f>
        <v>Other</v>
      </c>
      <c r="G9387" t="str" cm="1">
        <f t="array" ref="G9387">SubCategorizeComment(E9387)</f>
        <v>Other</v>
      </c>
    </row>
    <row r="9388" spans="1:7" x14ac:dyDescent="0.25">
      <c r="A9388">
        <v>86191</v>
      </c>
      <c r="B9388" t="s">
        <v>4</v>
      </c>
      <c r="C9388">
        <v>3</v>
      </c>
      <c r="D9388" t="s">
        <v>5</v>
      </c>
      <c r="F9388" t="str" cm="1">
        <f t="array" ref="F9388">CategorizeComment(E9388)</f>
        <v>Other</v>
      </c>
      <c r="G9388" t="str" cm="1">
        <f t="array" ref="G9388">SubCategorizeComment(E9388)</f>
        <v>Other</v>
      </c>
    </row>
    <row r="9389" spans="1:7" x14ac:dyDescent="0.25">
      <c r="A9389">
        <v>86197</v>
      </c>
      <c r="B9389" t="s">
        <v>4</v>
      </c>
      <c r="C9389">
        <v>4</v>
      </c>
      <c r="D9389" t="s">
        <v>5</v>
      </c>
      <c r="F9389" t="str" cm="1">
        <f t="array" ref="F9389">CategorizeComment(E9389)</f>
        <v>Other</v>
      </c>
      <c r="G9389" t="str" cm="1">
        <f t="array" ref="G9389">SubCategorizeComment(E9389)</f>
        <v>Other</v>
      </c>
    </row>
    <row r="9390" spans="1:7" x14ac:dyDescent="0.25">
      <c r="A9390">
        <v>86220</v>
      </c>
      <c r="B9390" t="s">
        <v>4</v>
      </c>
      <c r="C9390">
        <v>3</v>
      </c>
      <c r="D9390" t="s">
        <v>5</v>
      </c>
      <c r="F9390" t="str" cm="1">
        <f t="array" ref="F9390">CategorizeComment(E9390)</f>
        <v>Other</v>
      </c>
      <c r="G9390" t="str" cm="1">
        <f t="array" ref="G9390">SubCategorizeComment(E9390)</f>
        <v>Other</v>
      </c>
    </row>
    <row r="9391" spans="1:7" x14ac:dyDescent="0.25">
      <c r="A9391">
        <v>86221</v>
      </c>
      <c r="B9391" t="s">
        <v>4</v>
      </c>
      <c r="C9391">
        <v>4</v>
      </c>
      <c r="D9391" t="s">
        <v>5</v>
      </c>
      <c r="F9391" t="str" cm="1">
        <f t="array" ref="F9391">CategorizeComment(E9391)</f>
        <v>Other</v>
      </c>
      <c r="G9391" t="str" cm="1">
        <f t="array" ref="G9391">SubCategorizeComment(E9391)</f>
        <v>Other</v>
      </c>
    </row>
    <row r="9392" spans="1:7" x14ac:dyDescent="0.25">
      <c r="A9392">
        <v>86225</v>
      </c>
      <c r="B9392" t="s">
        <v>4</v>
      </c>
      <c r="C9392">
        <v>4</v>
      </c>
      <c r="D9392" t="s">
        <v>5</v>
      </c>
      <c r="F9392" t="str" cm="1">
        <f t="array" ref="F9392">CategorizeComment(E9392)</f>
        <v>Other</v>
      </c>
      <c r="G9392" t="str" cm="1">
        <f t="array" ref="G9392">SubCategorizeComment(E9392)</f>
        <v>Other</v>
      </c>
    </row>
    <row r="9393" spans="1:7" x14ac:dyDescent="0.25">
      <c r="A9393">
        <v>86226</v>
      </c>
      <c r="B9393" t="s">
        <v>4</v>
      </c>
      <c r="C9393">
        <v>4</v>
      </c>
      <c r="D9393" t="s">
        <v>5</v>
      </c>
      <c r="F9393" t="str" cm="1">
        <f t="array" ref="F9393">CategorizeComment(E9393)</f>
        <v>Other</v>
      </c>
      <c r="G9393" t="str" cm="1">
        <f t="array" ref="G9393">SubCategorizeComment(E9393)</f>
        <v>Other</v>
      </c>
    </row>
    <row r="9394" spans="1:7" x14ac:dyDescent="0.25">
      <c r="A9394">
        <v>86282</v>
      </c>
      <c r="B9394" t="s">
        <v>4</v>
      </c>
      <c r="C9394">
        <v>3</v>
      </c>
      <c r="D9394" t="s">
        <v>5</v>
      </c>
      <c r="F9394" t="str" cm="1">
        <f t="array" ref="F9394">CategorizeComment(E9394)</f>
        <v>Other</v>
      </c>
      <c r="G9394" t="str" cm="1">
        <f t="array" ref="G9394">SubCategorizeComment(E9394)</f>
        <v>Other</v>
      </c>
    </row>
    <row r="9395" spans="1:7" x14ac:dyDescent="0.25">
      <c r="A9395">
        <v>86288</v>
      </c>
      <c r="B9395" t="s">
        <v>4</v>
      </c>
      <c r="C9395">
        <v>3</v>
      </c>
      <c r="D9395" t="s">
        <v>5</v>
      </c>
      <c r="F9395" t="str" cm="1">
        <f t="array" ref="F9395">CategorizeComment(E9395)</f>
        <v>Other</v>
      </c>
      <c r="G9395" t="str" cm="1">
        <f t="array" ref="G9395">SubCategorizeComment(E9395)</f>
        <v>Other</v>
      </c>
    </row>
    <row r="9396" spans="1:7" x14ac:dyDescent="0.25">
      <c r="A9396">
        <v>86295</v>
      </c>
      <c r="B9396" t="s">
        <v>4</v>
      </c>
      <c r="C9396">
        <v>4</v>
      </c>
      <c r="D9396" t="s">
        <v>5</v>
      </c>
      <c r="F9396" t="str" cm="1">
        <f t="array" ref="F9396">CategorizeComment(E9396)</f>
        <v>Other</v>
      </c>
      <c r="G9396" t="str" cm="1">
        <f t="array" ref="G9396">SubCategorizeComment(E9396)</f>
        <v>Other</v>
      </c>
    </row>
    <row r="9397" spans="1:7" x14ac:dyDescent="0.25">
      <c r="A9397">
        <v>86307</v>
      </c>
      <c r="B9397" t="s">
        <v>4</v>
      </c>
      <c r="C9397">
        <v>4</v>
      </c>
      <c r="D9397" t="s">
        <v>5</v>
      </c>
      <c r="F9397" t="str" cm="1">
        <f t="array" ref="F9397">CategorizeComment(E9397)</f>
        <v>Other</v>
      </c>
      <c r="G9397" t="str" cm="1">
        <f t="array" ref="G9397">SubCategorizeComment(E9397)</f>
        <v>Other</v>
      </c>
    </row>
    <row r="9398" spans="1:7" x14ac:dyDescent="0.25">
      <c r="A9398">
        <v>86315</v>
      </c>
      <c r="B9398" t="s">
        <v>4</v>
      </c>
      <c r="C9398">
        <v>3</v>
      </c>
      <c r="D9398" t="s">
        <v>5</v>
      </c>
      <c r="F9398" t="str" cm="1">
        <f t="array" ref="F9398">CategorizeComment(E9398)</f>
        <v>Other</v>
      </c>
      <c r="G9398" t="str" cm="1">
        <f t="array" ref="G9398">SubCategorizeComment(E9398)</f>
        <v>Other</v>
      </c>
    </row>
    <row r="9399" spans="1:7" x14ac:dyDescent="0.25">
      <c r="A9399">
        <v>86330</v>
      </c>
      <c r="B9399" t="s">
        <v>4</v>
      </c>
      <c r="C9399">
        <v>3</v>
      </c>
      <c r="D9399" t="s">
        <v>5</v>
      </c>
      <c r="F9399" t="str" cm="1">
        <f t="array" ref="F9399">CategorizeComment(E9399)</f>
        <v>Other</v>
      </c>
      <c r="G9399" t="str" cm="1">
        <f t="array" ref="G9399">SubCategorizeComment(E9399)</f>
        <v>Other</v>
      </c>
    </row>
    <row r="9400" spans="1:7" x14ac:dyDescent="0.25">
      <c r="A9400">
        <v>86331</v>
      </c>
      <c r="B9400" t="s">
        <v>4</v>
      </c>
      <c r="C9400">
        <v>4</v>
      </c>
      <c r="D9400" t="s">
        <v>5</v>
      </c>
      <c r="F9400" t="str" cm="1">
        <f t="array" ref="F9400">CategorizeComment(E9400)</f>
        <v>Other</v>
      </c>
      <c r="G9400" t="str" cm="1">
        <f t="array" ref="G9400">SubCategorizeComment(E9400)</f>
        <v>Other</v>
      </c>
    </row>
    <row r="9401" spans="1:7" x14ac:dyDescent="0.25">
      <c r="A9401">
        <v>86397</v>
      </c>
      <c r="B9401" t="s">
        <v>4</v>
      </c>
      <c r="C9401">
        <v>3</v>
      </c>
      <c r="D9401" t="s">
        <v>5</v>
      </c>
      <c r="F9401" t="str" cm="1">
        <f t="array" ref="F9401">CategorizeComment(E9401)</f>
        <v>Other</v>
      </c>
      <c r="G9401" t="str" cm="1">
        <f t="array" ref="G9401">SubCategorizeComment(E9401)</f>
        <v>Other</v>
      </c>
    </row>
    <row r="9402" spans="1:7" x14ac:dyDescent="0.25">
      <c r="A9402">
        <v>86423</v>
      </c>
      <c r="B9402" t="s">
        <v>4</v>
      </c>
      <c r="C9402">
        <v>4</v>
      </c>
      <c r="D9402" t="s">
        <v>5</v>
      </c>
      <c r="F9402" t="str" cm="1">
        <f t="array" ref="F9402">CategorizeComment(E9402)</f>
        <v>Other</v>
      </c>
      <c r="G9402" t="str" cm="1">
        <f t="array" ref="G9402">SubCategorizeComment(E9402)</f>
        <v>Other</v>
      </c>
    </row>
    <row r="9403" spans="1:7" x14ac:dyDescent="0.25">
      <c r="A9403">
        <v>86427</v>
      </c>
      <c r="B9403" t="s">
        <v>4</v>
      </c>
      <c r="C9403">
        <v>4</v>
      </c>
      <c r="D9403" t="s">
        <v>5</v>
      </c>
      <c r="F9403" t="str" cm="1">
        <f t="array" ref="F9403">CategorizeComment(E9403)</f>
        <v>Other</v>
      </c>
      <c r="G9403" t="str" cm="1">
        <f t="array" ref="G9403">SubCategorizeComment(E9403)</f>
        <v>Other</v>
      </c>
    </row>
    <row r="9404" spans="1:7" x14ac:dyDescent="0.25">
      <c r="A9404">
        <v>86431</v>
      </c>
      <c r="B9404" t="s">
        <v>4</v>
      </c>
      <c r="C9404">
        <v>3</v>
      </c>
      <c r="D9404" t="s">
        <v>5</v>
      </c>
      <c r="F9404" t="str" cm="1">
        <f t="array" ref="F9404">CategorizeComment(E9404)</f>
        <v>Other</v>
      </c>
      <c r="G9404" t="str" cm="1">
        <f t="array" ref="G9404">SubCategorizeComment(E9404)</f>
        <v>Other</v>
      </c>
    </row>
    <row r="9405" spans="1:7" x14ac:dyDescent="0.25">
      <c r="A9405">
        <v>86434</v>
      </c>
      <c r="B9405" t="s">
        <v>4</v>
      </c>
      <c r="C9405">
        <v>4</v>
      </c>
      <c r="D9405" t="s">
        <v>5</v>
      </c>
      <c r="F9405" t="str" cm="1">
        <f t="array" ref="F9405">CategorizeComment(E9405)</f>
        <v>Other</v>
      </c>
      <c r="G9405" t="str" cm="1">
        <f t="array" ref="G9405">SubCategorizeComment(E9405)</f>
        <v>Other</v>
      </c>
    </row>
    <row r="9406" spans="1:7" x14ac:dyDescent="0.25">
      <c r="A9406">
        <v>86439</v>
      </c>
      <c r="B9406" t="s">
        <v>4</v>
      </c>
      <c r="C9406">
        <v>3</v>
      </c>
      <c r="D9406" t="s">
        <v>5</v>
      </c>
      <c r="F9406" t="str" cm="1">
        <f t="array" ref="F9406">CategorizeComment(E9406)</f>
        <v>Other</v>
      </c>
      <c r="G9406" t="str" cm="1">
        <f t="array" ref="G9406">SubCategorizeComment(E9406)</f>
        <v>Other</v>
      </c>
    </row>
    <row r="9407" spans="1:7" x14ac:dyDescent="0.25">
      <c r="A9407">
        <v>86441</v>
      </c>
      <c r="B9407" t="s">
        <v>4</v>
      </c>
      <c r="C9407">
        <v>4</v>
      </c>
      <c r="D9407" t="s">
        <v>5</v>
      </c>
      <c r="F9407" t="str" cm="1">
        <f t="array" ref="F9407">CategorizeComment(E9407)</f>
        <v>Other</v>
      </c>
      <c r="G9407" t="str" cm="1">
        <f t="array" ref="G9407">SubCategorizeComment(E9407)</f>
        <v>Other</v>
      </c>
    </row>
    <row r="9408" spans="1:7" x14ac:dyDescent="0.25">
      <c r="A9408">
        <v>86442</v>
      </c>
      <c r="B9408" t="s">
        <v>4</v>
      </c>
      <c r="C9408">
        <v>3</v>
      </c>
      <c r="D9408" t="s">
        <v>5</v>
      </c>
      <c r="F9408" t="str" cm="1">
        <f t="array" ref="F9408">CategorizeComment(E9408)</f>
        <v>Other</v>
      </c>
      <c r="G9408" t="str" cm="1">
        <f t="array" ref="G9408">SubCategorizeComment(E9408)</f>
        <v>Other</v>
      </c>
    </row>
    <row r="9409" spans="1:7" x14ac:dyDescent="0.25">
      <c r="A9409">
        <v>86443</v>
      </c>
      <c r="B9409" t="s">
        <v>4</v>
      </c>
      <c r="C9409">
        <v>3</v>
      </c>
      <c r="D9409" t="s">
        <v>5</v>
      </c>
      <c r="F9409" t="str" cm="1">
        <f t="array" ref="F9409">CategorizeComment(E9409)</f>
        <v>Other</v>
      </c>
      <c r="G9409" t="str" cm="1">
        <f t="array" ref="G9409">SubCategorizeComment(E9409)</f>
        <v>Other</v>
      </c>
    </row>
    <row r="9410" spans="1:7" x14ac:dyDescent="0.25">
      <c r="A9410">
        <v>86464</v>
      </c>
      <c r="B9410" t="s">
        <v>4</v>
      </c>
      <c r="C9410">
        <v>3</v>
      </c>
      <c r="D9410" t="s">
        <v>5</v>
      </c>
      <c r="F9410" t="str" cm="1">
        <f t="array" ref="F9410">CategorizeComment(E9410)</f>
        <v>Other</v>
      </c>
      <c r="G9410" t="str" cm="1">
        <f t="array" ref="G9410">SubCategorizeComment(E9410)</f>
        <v>Other</v>
      </c>
    </row>
    <row r="9411" spans="1:7" x14ac:dyDescent="0.25">
      <c r="A9411">
        <v>86471</v>
      </c>
      <c r="B9411" t="s">
        <v>4</v>
      </c>
      <c r="C9411">
        <v>4</v>
      </c>
      <c r="D9411" t="s">
        <v>5</v>
      </c>
      <c r="F9411" t="str" cm="1">
        <f t="array" ref="F9411">CategorizeComment(E9411)</f>
        <v>Other</v>
      </c>
      <c r="G9411" t="str" cm="1">
        <f t="array" ref="G9411">SubCategorizeComment(E9411)</f>
        <v>Other</v>
      </c>
    </row>
    <row r="9412" spans="1:7" x14ac:dyDescent="0.25">
      <c r="A9412">
        <v>86494</v>
      </c>
      <c r="B9412" t="s">
        <v>4</v>
      </c>
      <c r="C9412">
        <v>3</v>
      </c>
      <c r="D9412" t="s">
        <v>5</v>
      </c>
      <c r="F9412" t="str" cm="1">
        <f t="array" ref="F9412">CategorizeComment(E9412)</f>
        <v>Other</v>
      </c>
      <c r="G9412" t="str" cm="1">
        <f t="array" ref="G9412">SubCategorizeComment(E9412)</f>
        <v>Other</v>
      </c>
    </row>
    <row r="9413" spans="1:7" x14ac:dyDescent="0.25">
      <c r="A9413">
        <v>86501</v>
      </c>
      <c r="B9413" t="s">
        <v>4</v>
      </c>
      <c r="C9413">
        <v>3</v>
      </c>
      <c r="D9413" t="s">
        <v>5</v>
      </c>
      <c r="F9413" t="str" cm="1">
        <f t="array" ref="F9413">CategorizeComment(E9413)</f>
        <v>Other</v>
      </c>
      <c r="G9413" t="str" cm="1">
        <f t="array" ref="G9413">SubCategorizeComment(E9413)</f>
        <v>Other</v>
      </c>
    </row>
    <row r="9414" spans="1:7" x14ac:dyDescent="0.25">
      <c r="A9414">
        <v>86503</v>
      </c>
      <c r="B9414" t="s">
        <v>4</v>
      </c>
      <c r="C9414">
        <v>3</v>
      </c>
      <c r="D9414" t="s">
        <v>5</v>
      </c>
      <c r="F9414" t="str" cm="1">
        <f t="array" ref="F9414">CategorizeComment(E9414)</f>
        <v>Other</v>
      </c>
      <c r="G9414" t="str" cm="1">
        <f t="array" ref="G9414">SubCategorizeComment(E9414)</f>
        <v>Other</v>
      </c>
    </row>
    <row r="9415" spans="1:7" x14ac:dyDescent="0.25">
      <c r="A9415">
        <v>86509</v>
      </c>
      <c r="B9415" t="s">
        <v>4</v>
      </c>
      <c r="C9415">
        <v>4</v>
      </c>
      <c r="D9415" t="s">
        <v>5</v>
      </c>
      <c r="F9415" t="str" cm="1">
        <f t="array" ref="F9415">CategorizeComment(E9415)</f>
        <v>Other</v>
      </c>
      <c r="G9415" t="str" cm="1">
        <f t="array" ref="G9415">SubCategorizeComment(E9415)</f>
        <v>Other</v>
      </c>
    </row>
    <row r="9416" spans="1:7" x14ac:dyDescent="0.25">
      <c r="A9416">
        <v>86519</v>
      </c>
      <c r="B9416" t="s">
        <v>4</v>
      </c>
      <c r="C9416">
        <v>4</v>
      </c>
      <c r="D9416" t="s">
        <v>5</v>
      </c>
      <c r="F9416" t="str" cm="1">
        <f t="array" ref="F9416">CategorizeComment(E9416)</f>
        <v>Other</v>
      </c>
      <c r="G9416" t="str" cm="1">
        <f t="array" ref="G9416">SubCategorizeComment(E9416)</f>
        <v>Other</v>
      </c>
    </row>
    <row r="9417" spans="1:7" x14ac:dyDescent="0.25">
      <c r="A9417">
        <v>86522</v>
      </c>
      <c r="B9417" t="s">
        <v>4</v>
      </c>
      <c r="C9417">
        <v>4</v>
      </c>
      <c r="D9417" t="s">
        <v>5</v>
      </c>
      <c r="F9417" t="str" cm="1">
        <f t="array" ref="F9417">CategorizeComment(E9417)</f>
        <v>Other</v>
      </c>
      <c r="G9417" t="str" cm="1">
        <f t="array" ref="G9417">SubCategorizeComment(E9417)</f>
        <v>Other</v>
      </c>
    </row>
    <row r="9418" spans="1:7" x14ac:dyDescent="0.25">
      <c r="A9418">
        <v>86567</v>
      </c>
      <c r="B9418" t="s">
        <v>4</v>
      </c>
      <c r="C9418">
        <v>3</v>
      </c>
      <c r="D9418" t="s">
        <v>5</v>
      </c>
      <c r="F9418" t="str" cm="1">
        <f t="array" ref="F9418">CategorizeComment(E9418)</f>
        <v>Other</v>
      </c>
      <c r="G9418" t="str" cm="1">
        <f t="array" ref="G9418">SubCategorizeComment(E9418)</f>
        <v>Other</v>
      </c>
    </row>
    <row r="9419" spans="1:7" x14ac:dyDescent="0.25">
      <c r="A9419">
        <v>86576</v>
      </c>
      <c r="B9419" t="s">
        <v>4</v>
      </c>
      <c r="C9419">
        <v>3</v>
      </c>
      <c r="D9419" t="s">
        <v>5</v>
      </c>
      <c r="F9419" t="str" cm="1">
        <f t="array" ref="F9419">CategorizeComment(E9419)</f>
        <v>Other</v>
      </c>
      <c r="G9419" t="str" cm="1">
        <f t="array" ref="G9419">SubCategorizeComment(E9419)</f>
        <v>Other</v>
      </c>
    </row>
    <row r="9420" spans="1:7" x14ac:dyDescent="0.25">
      <c r="A9420">
        <v>86578</v>
      </c>
      <c r="B9420" t="s">
        <v>4</v>
      </c>
      <c r="C9420">
        <v>3</v>
      </c>
      <c r="D9420" t="s">
        <v>5</v>
      </c>
      <c r="F9420" t="str" cm="1">
        <f t="array" ref="F9420">CategorizeComment(E9420)</f>
        <v>Other</v>
      </c>
      <c r="G9420" t="str" cm="1">
        <f t="array" ref="G9420">SubCategorizeComment(E9420)</f>
        <v>Other</v>
      </c>
    </row>
    <row r="9421" spans="1:7" x14ac:dyDescent="0.25">
      <c r="A9421">
        <v>86590</v>
      </c>
      <c r="B9421" t="s">
        <v>4</v>
      </c>
      <c r="C9421">
        <v>3</v>
      </c>
      <c r="D9421" t="s">
        <v>5</v>
      </c>
      <c r="F9421" t="str" cm="1">
        <f t="array" ref="F9421">CategorizeComment(E9421)</f>
        <v>Other</v>
      </c>
      <c r="G9421" t="str" cm="1">
        <f t="array" ref="G9421">SubCategorizeComment(E9421)</f>
        <v>Other</v>
      </c>
    </row>
    <row r="9422" spans="1:7" x14ac:dyDescent="0.25">
      <c r="A9422">
        <v>86598</v>
      </c>
      <c r="B9422" t="s">
        <v>4</v>
      </c>
      <c r="C9422">
        <v>3</v>
      </c>
      <c r="D9422" t="s">
        <v>5</v>
      </c>
      <c r="F9422" t="str" cm="1">
        <f t="array" ref="F9422">CategorizeComment(E9422)</f>
        <v>Other</v>
      </c>
      <c r="G9422" t="str" cm="1">
        <f t="array" ref="G9422">SubCategorizeComment(E9422)</f>
        <v>Other</v>
      </c>
    </row>
    <row r="9423" spans="1:7" x14ac:dyDescent="0.25">
      <c r="A9423">
        <v>86622</v>
      </c>
      <c r="B9423" t="s">
        <v>4</v>
      </c>
      <c r="C9423">
        <v>3</v>
      </c>
      <c r="D9423" t="s">
        <v>5</v>
      </c>
      <c r="F9423" t="str" cm="1">
        <f t="array" ref="F9423">CategorizeComment(E9423)</f>
        <v>Other</v>
      </c>
      <c r="G9423" t="str" cm="1">
        <f t="array" ref="G9423">SubCategorizeComment(E9423)</f>
        <v>Other</v>
      </c>
    </row>
    <row r="9424" spans="1:7" x14ac:dyDescent="0.25">
      <c r="A9424">
        <v>86623</v>
      </c>
      <c r="B9424" t="s">
        <v>4</v>
      </c>
      <c r="C9424">
        <v>4</v>
      </c>
      <c r="D9424" t="s">
        <v>5</v>
      </c>
      <c r="F9424" t="str" cm="1">
        <f t="array" ref="F9424">CategorizeComment(E9424)</f>
        <v>Other</v>
      </c>
      <c r="G9424" t="str" cm="1">
        <f t="array" ref="G9424">SubCategorizeComment(E9424)</f>
        <v>Other</v>
      </c>
    </row>
    <row r="9425" spans="1:7" x14ac:dyDescent="0.25">
      <c r="A9425">
        <v>86627</v>
      </c>
      <c r="B9425" t="s">
        <v>4</v>
      </c>
      <c r="C9425">
        <v>3</v>
      </c>
      <c r="D9425" t="s">
        <v>5</v>
      </c>
      <c r="F9425" t="str" cm="1">
        <f t="array" ref="F9425">CategorizeComment(E9425)</f>
        <v>Other</v>
      </c>
      <c r="G9425" t="str" cm="1">
        <f t="array" ref="G9425">SubCategorizeComment(E9425)</f>
        <v>Other</v>
      </c>
    </row>
    <row r="9426" spans="1:7" x14ac:dyDescent="0.25">
      <c r="A9426">
        <v>86631</v>
      </c>
      <c r="B9426" t="s">
        <v>4</v>
      </c>
      <c r="C9426">
        <v>3</v>
      </c>
      <c r="D9426" t="s">
        <v>5</v>
      </c>
      <c r="F9426" t="str" cm="1">
        <f t="array" ref="F9426">CategorizeComment(E9426)</f>
        <v>Other</v>
      </c>
      <c r="G9426" t="str" cm="1">
        <f t="array" ref="G9426">SubCategorizeComment(E9426)</f>
        <v>Other</v>
      </c>
    </row>
    <row r="9427" spans="1:7" x14ac:dyDescent="0.25">
      <c r="A9427">
        <v>86635</v>
      </c>
      <c r="B9427" t="s">
        <v>4</v>
      </c>
      <c r="C9427">
        <v>3</v>
      </c>
      <c r="D9427" t="s">
        <v>5</v>
      </c>
      <c r="F9427" t="str" cm="1">
        <f t="array" ref="F9427">CategorizeComment(E9427)</f>
        <v>Other</v>
      </c>
      <c r="G9427" t="str" cm="1">
        <f t="array" ref="G9427">SubCategorizeComment(E9427)</f>
        <v>Other</v>
      </c>
    </row>
    <row r="9428" spans="1:7" x14ac:dyDescent="0.25">
      <c r="A9428">
        <v>86637</v>
      </c>
      <c r="B9428" t="s">
        <v>4</v>
      </c>
      <c r="C9428">
        <v>4</v>
      </c>
      <c r="D9428" t="s">
        <v>5</v>
      </c>
      <c r="F9428" t="str" cm="1">
        <f t="array" ref="F9428">CategorizeComment(E9428)</f>
        <v>Other</v>
      </c>
      <c r="G9428" t="str" cm="1">
        <f t="array" ref="G9428">SubCategorizeComment(E9428)</f>
        <v>Other</v>
      </c>
    </row>
    <row r="9429" spans="1:7" x14ac:dyDescent="0.25">
      <c r="A9429">
        <v>86639</v>
      </c>
      <c r="B9429" t="s">
        <v>4</v>
      </c>
      <c r="C9429">
        <v>3</v>
      </c>
      <c r="D9429" t="s">
        <v>5</v>
      </c>
      <c r="F9429" t="str" cm="1">
        <f t="array" ref="F9429">CategorizeComment(E9429)</f>
        <v>Other</v>
      </c>
      <c r="G9429" t="str" cm="1">
        <f t="array" ref="G9429">SubCategorizeComment(E9429)</f>
        <v>Other</v>
      </c>
    </row>
    <row r="9430" spans="1:7" x14ac:dyDescent="0.25">
      <c r="A9430">
        <v>86640</v>
      </c>
      <c r="B9430" t="s">
        <v>4</v>
      </c>
      <c r="C9430">
        <v>3</v>
      </c>
      <c r="D9430" t="s">
        <v>5</v>
      </c>
      <c r="F9430" t="str" cm="1">
        <f t="array" ref="F9430">CategorizeComment(E9430)</f>
        <v>Other</v>
      </c>
      <c r="G9430" t="str" cm="1">
        <f t="array" ref="G9430">SubCategorizeComment(E9430)</f>
        <v>Other</v>
      </c>
    </row>
    <row r="9431" spans="1:7" x14ac:dyDescent="0.25">
      <c r="A9431">
        <v>86666</v>
      </c>
      <c r="B9431" t="s">
        <v>4</v>
      </c>
      <c r="C9431">
        <v>4</v>
      </c>
      <c r="D9431" t="s">
        <v>5</v>
      </c>
      <c r="F9431" t="str" cm="1">
        <f t="array" ref="F9431">CategorizeComment(E9431)</f>
        <v>Other</v>
      </c>
      <c r="G9431" t="str" cm="1">
        <f t="array" ref="G9431">SubCategorizeComment(E9431)</f>
        <v>Other</v>
      </c>
    </row>
    <row r="9432" spans="1:7" x14ac:dyDescent="0.25">
      <c r="A9432">
        <v>86678</v>
      </c>
      <c r="B9432" t="s">
        <v>4</v>
      </c>
      <c r="C9432">
        <v>4</v>
      </c>
      <c r="D9432" t="s">
        <v>5</v>
      </c>
      <c r="F9432" t="str" cm="1">
        <f t="array" ref="F9432">CategorizeComment(E9432)</f>
        <v>Other</v>
      </c>
      <c r="G9432" t="str" cm="1">
        <f t="array" ref="G9432">SubCategorizeComment(E9432)</f>
        <v>Other</v>
      </c>
    </row>
    <row r="9433" spans="1:7" x14ac:dyDescent="0.25">
      <c r="A9433">
        <v>86682</v>
      </c>
      <c r="B9433" t="s">
        <v>4</v>
      </c>
      <c r="C9433">
        <v>3</v>
      </c>
      <c r="D9433" t="s">
        <v>5</v>
      </c>
      <c r="F9433" t="str" cm="1">
        <f t="array" ref="F9433">CategorizeComment(E9433)</f>
        <v>Other</v>
      </c>
      <c r="G9433" t="str" cm="1">
        <f t="array" ref="G9433">SubCategorizeComment(E9433)</f>
        <v>Other</v>
      </c>
    </row>
    <row r="9434" spans="1:7" x14ac:dyDescent="0.25">
      <c r="A9434">
        <v>86722</v>
      </c>
      <c r="B9434" t="s">
        <v>4</v>
      </c>
      <c r="C9434">
        <v>3</v>
      </c>
      <c r="D9434" t="s">
        <v>5</v>
      </c>
      <c r="F9434" t="str" cm="1">
        <f t="array" ref="F9434">CategorizeComment(E9434)</f>
        <v>Other</v>
      </c>
      <c r="G9434" t="str" cm="1">
        <f t="array" ref="G9434">SubCategorizeComment(E9434)</f>
        <v>Other</v>
      </c>
    </row>
    <row r="9435" spans="1:7" x14ac:dyDescent="0.25">
      <c r="A9435">
        <v>86730</v>
      </c>
      <c r="B9435" t="s">
        <v>4</v>
      </c>
      <c r="C9435">
        <v>4</v>
      </c>
      <c r="D9435" t="s">
        <v>5</v>
      </c>
      <c r="F9435" t="str" cm="1">
        <f t="array" ref="F9435">CategorizeComment(E9435)</f>
        <v>Other</v>
      </c>
      <c r="G9435" t="str" cm="1">
        <f t="array" ref="G9435">SubCategorizeComment(E9435)</f>
        <v>Other</v>
      </c>
    </row>
    <row r="9436" spans="1:7" x14ac:dyDescent="0.25">
      <c r="A9436">
        <v>86731</v>
      </c>
      <c r="B9436" t="s">
        <v>4</v>
      </c>
      <c r="C9436">
        <v>4</v>
      </c>
      <c r="D9436" t="s">
        <v>5</v>
      </c>
      <c r="F9436" t="str" cm="1">
        <f t="array" ref="F9436">CategorizeComment(E9436)</f>
        <v>Other</v>
      </c>
      <c r="G9436" t="str" cm="1">
        <f t="array" ref="G9436">SubCategorizeComment(E9436)</f>
        <v>Other</v>
      </c>
    </row>
    <row r="9437" spans="1:7" x14ac:dyDescent="0.25">
      <c r="A9437">
        <v>86732</v>
      </c>
      <c r="B9437" t="s">
        <v>4</v>
      </c>
      <c r="C9437">
        <v>3</v>
      </c>
      <c r="D9437" t="s">
        <v>5</v>
      </c>
      <c r="F9437" t="str" cm="1">
        <f t="array" ref="F9437">CategorizeComment(E9437)</f>
        <v>Other</v>
      </c>
      <c r="G9437" t="str" cm="1">
        <f t="array" ref="G9437">SubCategorizeComment(E9437)</f>
        <v>Other</v>
      </c>
    </row>
    <row r="9438" spans="1:7" x14ac:dyDescent="0.25">
      <c r="A9438">
        <v>86735</v>
      </c>
      <c r="B9438" t="s">
        <v>4</v>
      </c>
      <c r="C9438">
        <v>4</v>
      </c>
      <c r="D9438" t="s">
        <v>5</v>
      </c>
      <c r="F9438" t="str" cm="1">
        <f t="array" ref="F9438">CategorizeComment(E9438)</f>
        <v>Other</v>
      </c>
      <c r="G9438" t="str" cm="1">
        <f t="array" ref="G9438">SubCategorizeComment(E9438)</f>
        <v>Other</v>
      </c>
    </row>
    <row r="9439" spans="1:7" x14ac:dyDescent="0.25">
      <c r="A9439">
        <v>86736</v>
      </c>
      <c r="B9439" t="s">
        <v>4</v>
      </c>
      <c r="C9439">
        <v>3</v>
      </c>
      <c r="D9439" t="s">
        <v>5</v>
      </c>
      <c r="F9439" t="str" cm="1">
        <f t="array" ref="F9439">CategorizeComment(E9439)</f>
        <v>Other</v>
      </c>
      <c r="G9439" t="str" cm="1">
        <f t="array" ref="G9439">SubCategorizeComment(E9439)</f>
        <v>Other</v>
      </c>
    </row>
    <row r="9440" spans="1:7" x14ac:dyDescent="0.25">
      <c r="A9440">
        <v>86754</v>
      </c>
      <c r="B9440" t="s">
        <v>4</v>
      </c>
      <c r="C9440">
        <v>3</v>
      </c>
      <c r="D9440" t="s">
        <v>5</v>
      </c>
      <c r="F9440" t="str" cm="1">
        <f t="array" ref="F9440">CategorizeComment(E9440)</f>
        <v>Other</v>
      </c>
      <c r="G9440" t="str" cm="1">
        <f t="array" ref="G9440">SubCategorizeComment(E9440)</f>
        <v>Other</v>
      </c>
    </row>
    <row r="9441" spans="1:7" x14ac:dyDescent="0.25">
      <c r="A9441">
        <v>86755</v>
      </c>
      <c r="B9441" t="s">
        <v>4</v>
      </c>
      <c r="C9441">
        <v>3</v>
      </c>
      <c r="D9441" t="s">
        <v>5</v>
      </c>
      <c r="F9441" t="str" cm="1">
        <f t="array" ref="F9441">CategorizeComment(E9441)</f>
        <v>Other</v>
      </c>
      <c r="G9441" t="str" cm="1">
        <f t="array" ref="G9441">SubCategorizeComment(E9441)</f>
        <v>Other</v>
      </c>
    </row>
    <row r="9442" spans="1:7" x14ac:dyDescent="0.25">
      <c r="A9442">
        <v>86762</v>
      </c>
      <c r="B9442" t="s">
        <v>4</v>
      </c>
      <c r="C9442">
        <v>4</v>
      </c>
      <c r="D9442" t="s">
        <v>5</v>
      </c>
      <c r="F9442" t="str" cm="1">
        <f t="array" ref="F9442">CategorizeComment(E9442)</f>
        <v>Other</v>
      </c>
      <c r="G9442" t="str" cm="1">
        <f t="array" ref="G9442">SubCategorizeComment(E9442)</f>
        <v>Other</v>
      </c>
    </row>
    <row r="9443" spans="1:7" x14ac:dyDescent="0.25">
      <c r="A9443">
        <v>86766</v>
      </c>
      <c r="B9443" t="s">
        <v>4</v>
      </c>
      <c r="C9443">
        <v>4</v>
      </c>
      <c r="D9443" t="s">
        <v>5</v>
      </c>
      <c r="F9443" t="str" cm="1">
        <f t="array" ref="F9443">CategorizeComment(E9443)</f>
        <v>Other</v>
      </c>
      <c r="G9443" t="str" cm="1">
        <f t="array" ref="G9443">SubCategorizeComment(E9443)</f>
        <v>Other</v>
      </c>
    </row>
    <row r="9444" spans="1:7" x14ac:dyDescent="0.25">
      <c r="A9444">
        <v>86774</v>
      </c>
      <c r="B9444" t="s">
        <v>4</v>
      </c>
      <c r="C9444">
        <v>3</v>
      </c>
      <c r="D9444" t="s">
        <v>5</v>
      </c>
      <c r="F9444" t="str" cm="1">
        <f t="array" ref="F9444">CategorizeComment(E9444)</f>
        <v>Other</v>
      </c>
      <c r="G9444" t="str" cm="1">
        <f t="array" ref="G9444">SubCategorizeComment(E9444)</f>
        <v>Other</v>
      </c>
    </row>
    <row r="9445" spans="1:7" x14ac:dyDescent="0.25">
      <c r="A9445">
        <v>86775</v>
      </c>
      <c r="B9445" t="s">
        <v>4</v>
      </c>
      <c r="C9445">
        <v>4</v>
      </c>
      <c r="D9445" t="s">
        <v>5</v>
      </c>
      <c r="F9445" t="str" cm="1">
        <f t="array" ref="F9445">CategorizeComment(E9445)</f>
        <v>Other</v>
      </c>
      <c r="G9445" t="str" cm="1">
        <f t="array" ref="G9445">SubCategorizeComment(E9445)</f>
        <v>Other</v>
      </c>
    </row>
    <row r="9446" spans="1:7" x14ac:dyDescent="0.25">
      <c r="A9446">
        <v>86817</v>
      </c>
      <c r="B9446" t="s">
        <v>4</v>
      </c>
      <c r="C9446">
        <v>4</v>
      </c>
      <c r="D9446" t="s">
        <v>5</v>
      </c>
      <c r="F9446" t="str" cm="1">
        <f t="array" ref="F9446">CategorizeComment(E9446)</f>
        <v>Other</v>
      </c>
      <c r="G9446" t="str" cm="1">
        <f t="array" ref="G9446">SubCategorizeComment(E9446)</f>
        <v>Other</v>
      </c>
    </row>
    <row r="9447" spans="1:7" x14ac:dyDescent="0.25">
      <c r="A9447">
        <v>86820</v>
      </c>
      <c r="B9447" t="s">
        <v>4</v>
      </c>
      <c r="C9447">
        <v>4</v>
      </c>
      <c r="D9447" t="s">
        <v>5</v>
      </c>
      <c r="F9447" t="str" cm="1">
        <f t="array" ref="F9447">CategorizeComment(E9447)</f>
        <v>Other</v>
      </c>
      <c r="G9447" t="str" cm="1">
        <f t="array" ref="G9447">SubCategorizeComment(E9447)</f>
        <v>Other</v>
      </c>
    </row>
    <row r="9448" spans="1:7" x14ac:dyDescent="0.25">
      <c r="A9448">
        <v>86822</v>
      </c>
      <c r="B9448" t="s">
        <v>4</v>
      </c>
      <c r="C9448">
        <v>4</v>
      </c>
      <c r="D9448" t="s">
        <v>5</v>
      </c>
      <c r="F9448" t="str" cm="1">
        <f t="array" ref="F9448">CategorizeComment(E9448)</f>
        <v>Other</v>
      </c>
      <c r="G9448" t="str" cm="1">
        <f t="array" ref="G9448">SubCategorizeComment(E9448)</f>
        <v>Other</v>
      </c>
    </row>
    <row r="9449" spans="1:7" x14ac:dyDescent="0.25">
      <c r="A9449">
        <v>86824</v>
      </c>
      <c r="B9449" t="s">
        <v>4</v>
      </c>
      <c r="C9449">
        <v>4</v>
      </c>
      <c r="D9449" t="s">
        <v>5</v>
      </c>
      <c r="F9449" t="str" cm="1">
        <f t="array" ref="F9449">CategorizeComment(E9449)</f>
        <v>Other</v>
      </c>
      <c r="G9449" t="str" cm="1">
        <f t="array" ref="G9449">SubCategorizeComment(E9449)</f>
        <v>Other</v>
      </c>
    </row>
    <row r="9450" spans="1:7" x14ac:dyDescent="0.25">
      <c r="A9450">
        <v>86825</v>
      </c>
      <c r="B9450" t="s">
        <v>4</v>
      </c>
      <c r="C9450">
        <v>4</v>
      </c>
      <c r="D9450" t="s">
        <v>5</v>
      </c>
      <c r="F9450" t="str" cm="1">
        <f t="array" ref="F9450">CategorizeComment(E9450)</f>
        <v>Other</v>
      </c>
      <c r="G9450" t="str" cm="1">
        <f t="array" ref="G9450">SubCategorizeComment(E9450)</f>
        <v>Other</v>
      </c>
    </row>
    <row r="9451" spans="1:7" x14ac:dyDescent="0.25">
      <c r="A9451">
        <v>86826</v>
      </c>
      <c r="B9451" t="s">
        <v>4</v>
      </c>
      <c r="C9451">
        <v>3</v>
      </c>
      <c r="D9451" t="s">
        <v>5</v>
      </c>
      <c r="F9451" t="str" cm="1">
        <f t="array" ref="F9451">CategorizeComment(E9451)</f>
        <v>Other</v>
      </c>
      <c r="G9451" t="str" cm="1">
        <f t="array" ref="G9451">SubCategorizeComment(E9451)</f>
        <v>Other</v>
      </c>
    </row>
    <row r="9452" spans="1:7" x14ac:dyDescent="0.25">
      <c r="A9452">
        <v>86827</v>
      </c>
      <c r="B9452" t="s">
        <v>4</v>
      </c>
      <c r="C9452">
        <v>3</v>
      </c>
      <c r="D9452" t="s">
        <v>5</v>
      </c>
      <c r="F9452" t="str" cm="1">
        <f t="array" ref="F9452">CategorizeComment(E9452)</f>
        <v>Other</v>
      </c>
      <c r="G9452" t="str" cm="1">
        <f t="array" ref="G9452">SubCategorizeComment(E9452)</f>
        <v>Other</v>
      </c>
    </row>
    <row r="9453" spans="1:7" x14ac:dyDescent="0.25">
      <c r="A9453">
        <v>86831</v>
      </c>
      <c r="B9453" t="s">
        <v>4</v>
      </c>
      <c r="C9453">
        <v>3</v>
      </c>
      <c r="D9453" t="s">
        <v>5</v>
      </c>
      <c r="F9453" t="str" cm="1">
        <f t="array" ref="F9453">CategorizeComment(E9453)</f>
        <v>Other</v>
      </c>
      <c r="G9453" t="str" cm="1">
        <f t="array" ref="G9453">SubCategorizeComment(E9453)</f>
        <v>Other</v>
      </c>
    </row>
    <row r="9454" spans="1:7" x14ac:dyDescent="0.25">
      <c r="A9454">
        <v>86845</v>
      </c>
      <c r="B9454" t="s">
        <v>4</v>
      </c>
      <c r="C9454">
        <v>3</v>
      </c>
      <c r="D9454" t="s">
        <v>5</v>
      </c>
      <c r="F9454" t="str" cm="1">
        <f t="array" ref="F9454">CategorizeComment(E9454)</f>
        <v>Other</v>
      </c>
      <c r="G9454" t="str" cm="1">
        <f t="array" ref="G9454">SubCategorizeComment(E9454)</f>
        <v>Other</v>
      </c>
    </row>
    <row r="9455" spans="1:7" x14ac:dyDescent="0.25">
      <c r="A9455">
        <v>86876</v>
      </c>
      <c r="B9455" t="s">
        <v>4</v>
      </c>
      <c r="C9455">
        <v>3</v>
      </c>
      <c r="D9455" t="s">
        <v>5</v>
      </c>
      <c r="F9455" t="str" cm="1">
        <f t="array" ref="F9455">CategorizeComment(E9455)</f>
        <v>Other</v>
      </c>
      <c r="G9455" t="str" cm="1">
        <f t="array" ref="G9455">SubCategorizeComment(E9455)</f>
        <v>Other</v>
      </c>
    </row>
    <row r="9456" spans="1:7" x14ac:dyDescent="0.25">
      <c r="A9456">
        <v>86891</v>
      </c>
      <c r="B9456" t="s">
        <v>4</v>
      </c>
      <c r="C9456">
        <v>4</v>
      </c>
      <c r="D9456" t="s">
        <v>5</v>
      </c>
      <c r="F9456" t="str" cm="1">
        <f t="array" ref="F9456">CategorizeComment(E9456)</f>
        <v>Other</v>
      </c>
      <c r="G9456" t="str" cm="1">
        <f t="array" ref="G9456">SubCategorizeComment(E9456)</f>
        <v>Other</v>
      </c>
    </row>
    <row r="9457" spans="1:7" x14ac:dyDescent="0.25">
      <c r="A9457">
        <v>86892</v>
      </c>
      <c r="B9457" t="s">
        <v>4</v>
      </c>
      <c r="C9457">
        <v>3</v>
      </c>
      <c r="D9457" t="s">
        <v>5</v>
      </c>
      <c r="F9457" t="str" cm="1">
        <f t="array" ref="F9457">CategorizeComment(E9457)</f>
        <v>Other</v>
      </c>
      <c r="G9457" t="str" cm="1">
        <f t="array" ref="G9457">SubCategorizeComment(E9457)</f>
        <v>Other</v>
      </c>
    </row>
    <row r="9458" spans="1:7" x14ac:dyDescent="0.25">
      <c r="A9458">
        <v>86904</v>
      </c>
      <c r="B9458" t="s">
        <v>4</v>
      </c>
      <c r="C9458">
        <v>4</v>
      </c>
      <c r="D9458" t="s">
        <v>5</v>
      </c>
      <c r="F9458" t="str" cm="1">
        <f t="array" ref="F9458">CategorizeComment(E9458)</f>
        <v>Other</v>
      </c>
      <c r="G9458" t="str" cm="1">
        <f t="array" ref="G9458">SubCategorizeComment(E9458)</f>
        <v>Other</v>
      </c>
    </row>
    <row r="9459" spans="1:7" x14ac:dyDescent="0.25">
      <c r="A9459">
        <v>86912</v>
      </c>
      <c r="B9459" t="s">
        <v>4</v>
      </c>
      <c r="C9459">
        <v>4</v>
      </c>
      <c r="D9459" t="s">
        <v>5</v>
      </c>
      <c r="F9459" t="str" cm="1">
        <f t="array" ref="F9459">CategorizeComment(E9459)</f>
        <v>Other</v>
      </c>
      <c r="G9459" t="str" cm="1">
        <f t="array" ref="G9459">SubCategorizeComment(E9459)</f>
        <v>Other</v>
      </c>
    </row>
    <row r="9460" spans="1:7" x14ac:dyDescent="0.25">
      <c r="A9460">
        <v>86939</v>
      </c>
      <c r="B9460" t="s">
        <v>4</v>
      </c>
      <c r="C9460">
        <v>3</v>
      </c>
      <c r="D9460" t="s">
        <v>5</v>
      </c>
      <c r="F9460" t="str" cm="1">
        <f t="array" ref="F9460">CategorizeComment(E9460)</f>
        <v>Other</v>
      </c>
      <c r="G9460" t="str" cm="1">
        <f t="array" ref="G9460">SubCategorizeComment(E9460)</f>
        <v>Other</v>
      </c>
    </row>
    <row r="9461" spans="1:7" x14ac:dyDescent="0.25">
      <c r="A9461">
        <v>86961</v>
      </c>
      <c r="B9461" t="s">
        <v>4</v>
      </c>
      <c r="C9461">
        <v>3</v>
      </c>
      <c r="D9461" t="s">
        <v>5</v>
      </c>
      <c r="F9461" t="str" cm="1">
        <f t="array" ref="F9461">CategorizeComment(E9461)</f>
        <v>Other</v>
      </c>
      <c r="G9461" t="str" cm="1">
        <f t="array" ref="G9461">SubCategorizeComment(E9461)</f>
        <v>Other</v>
      </c>
    </row>
    <row r="9462" spans="1:7" x14ac:dyDescent="0.25">
      <c r="A9462">
        <v>86966</v>
      </c>
      <c r="B9462" t="s">
        <v>4</v>
      </c>
      <c r="C9462">
        <v>3</v>
      </c>
      <c r="D9462" t="s">
        <v>5</v>
      </c>
      <c r="F9462" t="str" cm="1">
        <f t="array" ref="F9462">CategorizeComment(E9462)</f>
        <v>Other</v>
      </c>
      <c r="G9462" t="str" cm="1">
        <f t="array" ref="G9462">SubCategorizeComment(E9462)</f>
        <v>Other</v>
      </c>
    </row>
    <row r="9463" spans="1:7" x14ac:dyDescent="0.25">
      <c r="A9463">
        <v>86977</v>
      </c>
      <c r="B9463" t="s">
        <v>4</v>
      </c>
      <c r="C9463">
        <v>4</v>
      </c>
      <c r="D9463" t="s">
        <v>5</v>
      </c>
      <c r="F9463" t="str" cm="1">
        <f t="array" ref="F9463">CategorizeComment(E9463)</f>
        <v>Other</v>
      </c>
      <c r="G9463" t="str" cm="1">
        <f t="array" ref="G9463">SubCategorizeComment(E9463)</f>
        <v>Other</v>
      </c>
    </row>
    <row r="9464" spans="1:7" x14ac:dyDescent="0.25">
      <c r="A9464">
        <v>86979</v>
      </c>
      <c r="B9464" t="s">
        <v>4</v>
      </c>
      <c r="C9464">
        <v>4</v>
      </c>
      <c r="D9464" t="s">
        <v>5</v>
      </c>
      <c r="F9464" t="str" cm="1">
        <f t="array" ref="F9464">CategorizeComment(E9464)</f>
        <v>Other</v>
      </c>
      <c r="G9464" t="str" cm="1">
        <f t="array" ref="G9464">SubCategorizeComment(E9464)</f>
        <v>Other</v>
      </c>
    </row>
    <row r="9465" spans="1:7" x14ac:dyDescent="0.25">
      <c r="A9465">
        <v>86983</v>
      </c>
      <c r="B9465" t="s">
        <v>4</v>
      </c>
      <c r="C9465">
        <v>3</v>
      </c>
      <c r="D9465" t="s">
        <v>5</v>
      </c>
      <c r="F9465" t="str" cm="1">
        <f t="array" ref="F9465">CategorizeComment(E9465)</f>
        <v>Other</v>
      </c>
      <c r="G9465" t="str" cm="1">
        <f t="array" ref="G9465">SubCategorizeComment(E9465)</f>
        <v>Other</v>
      </c>
    </row>
    <row r="9466" spans="1:7" x14ac:dyDescent="0.25">
      <c r="A9466">
        <v>86990</v>
      </c>
      <c r="B9466" t="s">
        <v>4</v>
      </c>
      <c r="C9466">
        <v>3</v>
      </c>
      <c r="D9466" t="s">
        <v>5</v>
      </c>
      <c r="F9466" t="str" cm="1">
        <f t="array" ref="F9466">CategorizeComment(E9466)</f>
        <v>Other</v>
      </c>
      <c r="G9466" t="str" cm="1">
        <f t="array" ref="G9466">SubCategorizeComment(E9466)</f>
        <v>Other</v>
      </c>
    </row>
    <row r="9467" spans="1:7" x14ac:dyDescent="0.25">
      <c r="A9467">
        <v>87015</v>
      </c>
      <c r="B9467" t="s">
        <v>4</v>
      </c>
      <c r="C9467">
        <v>3</v>
      </c>
      <c r="D9467" t="s">
        <v>5</v>
      </c>
      <c r="F9467" t="str" cm="1">
        <f t="array" ref="F9467">CategorizeComment(E9467)</f>
        <v>Other</v>
      </c>
      <c r="G9467" t="str" cm="1">
        <f t="array" ref="G9467">SubCategorizeComment(E9467)</f>
        <v>Other</v>
      </c>
    </row>
    <row r="9468" spans="1:7" x14ac:dyDescent="0.25">
      <c r="A9468">
        <v>87023</v>
      </c>
      <c r="B9468" t="s">
        <v>4</v>
      </c>
      <c r="C9468">
        <v>4</v>
      </c>
      <c r="D9468" t="s">
        <v>5</v>
      </c>
      <c r="F9468" t="str" cm="1">
        <f t="array" ref="F9468">CategorizeComment(E9468)</f>
        <v>Other</v>
      </c>
      <c r="G9468" t="str" cm="1">
        <f t="array" ref="G9468">SubCategorizeComment(E9468)</f>
        <v>Other</v>
      </c>
    </row>
    <row r="9469" spans="1:7" x14ac:dyDescent="0.25">
      <c r="A9469">
        <v>87028</v>
      </c>
      <c r="B9469" t="s">
        <v>4</v>
      </c>
      <c r="C9469">
        <v>4</v>
      </c>
      <c r="D9469" t="s">
        <v>5</v>
      </c>
      <c r="F9469" t="str" cm="1">
        <f t="array" ref="F9469">CategorizeComment(E9469)</f>
        <v>Other</v>
      </c>
      <c r="G9469" t="str" cm="1">
        <f t="array" ref="G9469">SubCategorizeComment(E9469)</f>
        <v>Other</v>
      </c>
    </row>
    <row r="9470" spans="1:7" x14ac:dyDescent="0.25">
      <c r="A9470">
        <v>87029</v>
      </c>
      <c r="B9470" t="s">
        <v>4</v>
      </c>
      <c r="C9470">
        <v>4</v>
      </c>
      <c r="D9470" t="s">
        <v>5</v>
      </c>
      <c r="F9470" t="str" cm="1">
        <f t="array" ref="F9470">CategorizeComment(E9470)</f>
        <v>Other</v>
      </c>
      <c r="G9470" t="str" cm="1">
        <f t="array" ref="G9470">SubCategorizeComment(E9470)</f>
        <v>Other</v>
      </c>
    </row>
    <row r="9471" spans="1:7" x14ac:dyDescent="0.25">
      <c r="A9471">
        <v>87035</v>
      </c>
      <c r="B9471" t="s">
        <v>4</v>
      </c>
      <c r="C9471">
        <v>3</v>
      </c>
      <c r="D9471" t="s">
        <v>5</v>
      </c>
      <c r="F9471" t="str" cm="1">
        <f t="array" ref="F9471">CategorizeComment(E9471)</f>
        <v>Other</v>
      </c>
      <c r="G9471" t="str" cm="1">
        <f t="array" ref="G9471">SubCategorizeComment(E9471)</f>
        <v>Other</v>
      </c>
    </row>
    <row r="9472" spans="1:7" x14ac:dyDescent="0.25">
      <c r="A9472">
        <v>87047</v>
      </c>
      <c r="B9472" t="s">
        <v>4</v>
      </c>
      <c r="C9472">
        <v>3</v>
      </c>
      <c r="D9472" t="s">
        <v>5</v>
      </c>
      <c r="F9472" t="str" cm="1">
        <f t="array" ref="F9472">CategorizeComment(E9472)</f>
        <v>Other</v>
      </c>
      <c r="G9472" t="str" cm="1">
        <f t="array" ref="G9472">SubCategorizeComment(E9472)</f>
        <v>Other</v>
      </c>
    </row>
    <row r="9473" spans="1:7" x14ac:dyDescent="0.25">
      <c r="A9473">
        <v>87082</v>
      </c>
      <c r="B9473" t="s">
        <v>4</v>
      </c>
      <c r="C9473">
        <v>3</v>
      </c>
      <c r="D9473" t="s">
        <v>5</v>
      </c>
      <c r="F9473" t="str" cm="1">
        <f t="array" ref="F9473">CategorizeComment(E9473)</f>
        <v>Other</v>
      </c>
      <c r="G9473" t="str" cm="1">
        <f t="array" ref="G9473">SubCategorizeComment(E9473)</f>
        <v>Other</v>
      </c>
    </row>
    <row r="9474" spans="1:7" x14ac:dyDescent="0.25">
      <c r="A9474">
        <v>87083</v>
      </c>
      <c r="B9474" t="s">
        <v>4</v>
      </c>
      <c r="C9474">
        <v>3</v>
      </c>
      <c r="D9474" t="s">
        <v>5</v>
      </c>
      <c r="F9474" t="str" cm="1">
        <f t="array" ref="F9474">CategorizeComment(E9474)</f>
        <v>Other</v>
      </c>
      <c r="G9474" t="str" cm="1">
        <f t="array" ref="G9474">SubCategorizeComment(E9474)</f>
        <v>Other</v>
      </c>
    </row>
    <row r="9475" spans="1:7" x14ac:dyDescent="0.25">
      <c r="A9475">
        <v>87091</v>
      </c>
      <c r="B9475" t="s">
        <v>4</v>
      </c>
      <c r="C9475">
        <v>3</v>
      </c>
      <c r="D9475" t="s">
        <v>5</v>
      </c>
      <c r="F9475" t="str" cm="1">
        <f t="array" ref="F9475">CategorizeComment(E9475)</f>
        <v>Other</v>
      </c>
      <c r="G9475" t="str" cm="1">
        <f t="array" ref="G9475">SubCategorizeComment(E9475)</f>
        <v>Other</v>
      </c>
    </row>
    <row r="9476" spans="1:7" x14ac:dyDescent="0.25">
      <c r="A9476">
        <v>87093</v>
      </c>
      <c r="B9476" t="s">
        <v>4</v>
      </c>
      <c r="C9476">
        <v>3</v>
      </c>
      <c r="D9476" t="s">
        <v>5</v>
      </c>
      <c r="F9476" t="str" cm="1">
        <f t="array" ref="F9476">CategorizeComment(E9476)</f>
        <v>Other</v>
      </c>
      <c r="G9476" t="str" cm="1">
        <f t="array" ref="G9476">SubCategorizeComment(E9476)</f>
        <v>Other</v>
      </c>
    </row>
    <row r="9477" spans="1:7" x14ac:dyDescent="0.25">
      <c r="A9477">
        <v>87096</v>
      </c>
      <c r="B9477" t="s">
        <v>4</v>
      </c>
      <c r="C9477">
        <v>4</v>
      </c>
      <c r="D9477" t="s">
        <v>5</v>
      </c>
      <c r="F9477" t="str" cm="1">
        <f t="array" ref="F9477">CategorizeComment(E9477)</f>
        <v>Other</v>
      </c>
      <c r="G9477" t="str" cm="1">
        <f t="array" ref="G9477">SubCategorizeComment(E9477)</f>
        <v>Other</v>
      </c>
    </row>
    <row r="9478" spans="1:7" x14ac:dyDescent="0.25">
      <c r="A9478">
        <v>87097</v>
      </c>
      <c r="B9478" t="s">
        <v>4</v>
      </c>
      <c r="C9478">
        <v>4</v>
      </c>
      <c r="D9478" t="s">
        <v>5</v>
      </c>
      <c r="F9478" t="str" cm="1">
        <f t="array" ref="F9478">CategorizeComment(E9478)</f>
        <v>Other</v>
      </c>
      <c r="G9478" t="str" cm="1">
        <f t="array" ref="G9478">SubCategorizeComment(E9478)</f>
        <v>Other</v>
      </c>
    </row>
    <row r="9479" spans="1:7" x14ac:dyDescent="0.25">
      <c r="A9479">
        <v>87101</v>
      </c>
      <c r="B9479" t="s">
        <v>4</v>
      </c>
      <c r="C9479">
        <v>3</v>
      </c>
      <c r="D9479" t="s">
        <v>5</v>
      </c>
      <c r="F9479" t="str" cm="1">
        <f t="array" ref="F9479">CategorizeComment(E9479)</f>
        <v>Other</v>
      </c>
      <c r="G9479" t="str" cm="1">
        <f t="array" ref="G9479">SubCategorizeComment(E9479)</f>
        <v>Other</v>
      </c>
    </row>
    <row r="9480" spans="1:7" x14ac:dyDescent="0.25">
      <c r="A9480">
        <v>87103</v>
      </c>
      <c r="B9480" t="s">
        <v>4</v>
      </c>
      <c r="C9480">
        <v>4</v>
      </c>
      <c r="D9480" t="s">
        <v>5</v>
      </c>
      <c r="F9480" t="str" cm="1">
        <f t="array" ref="F9480">CategorizeComment(E9480)</f>
        <v>Other</v>
      </c>
      <c r="G9480" t="str" cm="1">
        <f t="array" ref="G9480">SubCategorizeComment(E9480)</f>
        <v>Other</v>
      </c>
    </row>
    <row r="9481" spans="1:7" x14ac:dyDescent="0.25">
      <c r="A9481">
        <v>87107</v>
      </c>
      <c r="B9481" t="s">
        <v>4</v>
      </c>
      <c r="C9481">
        <v>4</v>
      </c>
      <c r="D9481" t="s">
        <v>5</v>
      </c>
      <c r="F9481" t="str" cm="1">
        <f t="array" ref="F9481">CategorizeComment(E9481)</f>
        <v>Other</v>
      </c>
      <c r="G9481" t="str" cm="1">
        <f t="array" ref="G9481">SubCategorizeComment(E9481)</f>
        <v>Other</v>
      </c>
    </row>
    <row r="9482" spans="1:7" x14ac:dyDescent="0.25">
      <c r="A9482">
        <v>87116</v>
      </c>
      <c r="B9482" t="s">
        <v>4</v>
      </c>
      <c r="C9482">
        <v>4</v>
      </c>
      <c r="D9482" t="s">
        <v>5</v>
      </c>
      <c r="F9482" t="str" cm="1">
        <f t="array" ref="F9482">CategorizeComment(E9482)</f>
        <v>Other</v>
      </c>
      <c r="G9482" t="str" cm="1">
        <f t="array" ref="G9482">SubCategorizeComment(E9482)</f>
        <v>Other</v>
      </c>
    </row>
    <row r="9483" spans="1:7" x14ac:dyDescent="0.25">
      <c r="A9483">
        <v>87124</v>
      </c>
      <c r="B9483" t="s">
        <v>4</v>
      </c>
      <c r="C9483">
        <v>3</v>
      </c>
      <c r="D9483" t="s">
        <v>5</v>
      </c>
      <c r="F9483" t="str" cm="1">
        <f t="array" ref="F9483">CategorizeComment(E9483)</f>
        <v>Other</v>
      </c>
      <c r="G9483" t="str" cm="1">
        <f t="array" ref="G9483">SubCategorizeComment(E9483)</f>
        <v>Other</v>
      </c>
    </row>
    <row r="9484" spans="1:7" x14ac:dyDescent="0.25">
      <c r="A9484">
        <v>87126</v>
      </c>
      <c r="B9484" t="s">
        <v>4</v>
      </c>
      <c r="C9484">
        <v>4</v>
      </c>
      <c r="D9484" t="s">
        <v>5</v>
      </c>
      <c r="F9484" t="str" cm="1">
        <f t="array" ref="F9484">CategorizeComment(E9484)</f>
        <v>Other</v>
      </c>
      <c r="G9484" t="str" cm="1">
        <f t="array" ref="G9484">SubCategorizeComment(E9484)</f>
        <v>Other</v>
      </c>
    </row>
    <row r="9485" spans="1:7" x14ac:dyDescent="0.25">
      <c r="A9485">
        <v>87136</v>
      </c>
      <c r="B9485" t="s">
        <v>4</v>
      </c>
      <c r="C9485">
        <v>3</v>
      </c>
      <c r="D9485" t="s">
        <v>5</v>
      </c>
      <c r="F9485" t="str" cm="1">
        <f t="array" ref="F9485">CategorizeComment(E9485)</f>
        <v>Other</v>
      </c>
      <c r="G9485" t="str" cm="1">
        <f t="array" ref="G9485">SubCategorizeComment(E9485)</f>
        <v>Other</v>
      </c>
    </row>
    <row r="9486" spans="1:7" x14ac:dyDescent="0.25">
      <c r="A9486">
        <v>87137</v>
      </c>
      <c r="B9486" t="s">
        <v>4</v>
      </c>
      <c r="C9486">
        <v>4</v>
      </c>
      <c r="D9486" t="s">
        <v>5</v>
      </c>
      <c r="F9486" t="str" cm="1">
        <f t="array" ref="F9486">CategorizeComment(E9486)</f>
        <v>Other</v>
      </c>
      <c r="G9486" t="str" cm="1">
        <f t="array" ref="G9486">SubCategorizeComment(E9486)</f>
        <v>Other</v>
      </c>
    </row>
    <row r="9487" spans="1:7" x14ac:dyDescent="0.25">
      <c r="A9487">
        <v>87139</v>
      </c>
      <c r="B9487" t="s">
        <v>4</v>
      </c>
      <c r="C9487">
        <v>4</v>
      </c>
      <c r="D9487" t="s">
        <v>5</v>
      </c>
      <c r="F9487" t="str" cm="1">
        <f t="array" ref="F9487">CategorizeComment(E9487)</f>
        <v>Other</v>
      </c>
      <c r="G9487" t="str" cm="1">
        <f t="array" ref="G9487">SubCategorizeComment(E9487)</f>
        <v>Other</v>
      </c>
    </row>
    <row r="9488" spans="1:7" x14ac:dyDescent="0.25">
      <c r="A9488">
        <v>87151</v>
      </c>
      <c r="B9488" t="s">
        <v>4</v>
      </c>
      <c r="C9488">
        <v>4</v>
      </c>
      <c r="D9488" t="s">
        <v>5</v>
      </c>
      <c r="F9488" t="str" cm="1">
        <f t="array" ref="F9488">CategorizeComment(E9488)</f>
        <v>Other</v>
      </c>
      <c r="G9488" t="str" cm="1">
        <f t="array" ref="G9488">SubCategorizeComment(E9488)</f>
        <v>Other</v>
      </c>
    </row>
    <row r="9489" spans="1:7" x14ac:dyDescent="0.25">
      <c r="A9489">
        <v>87172</v>
      </c>
      <c r="B9489" t="s">
        <v>4</v>
      </c>
      <c r="C9489">
        <v>4</v>
      </c>
      <c r="D9489" t="s">
        <v>5</v>
      </c>
      <c r="F9489" t="str" cm="1">
        <f t="array" ref="F9489">CategorizeComment(E9489)</f>
        <v>Other</v>
      </c>
      <c r="G9489" t="str" cm="1">
        <f t="array" ref="G9489">SubCategorizeComment(E9489)</f>
        <v>Other</v>
      </c>
    </row>
    <row r="9490" spans="1:7" x14ac:dyDescent="0.25">
      <c r="A9490">
        <v>87210</v>
      </c>
      <c r="B9490" t="s">
        <v>4</v>
      </c>
      <c r="C9490">
        <v>4</v>
      </c>
      <c r="D9490" t="s">
        <v>5</v>
      </c>
      <c r="F9490" t="str" cm="1">
        <f t="array" ref="F9490">CategorizeComment(E9490)</f>
        <v>Other</v>
      </c>
      <c r="G9490" t="str" cm="1">
        <f t="array" ref="G9490">SubCategorizeComment(E9490)</f>
        <v>Other</v>
      </c>
    </row>
    <row r="9491" spans="1:7" x14ac:dyDescent="0.25">
      <c r="A9491">
        <v>87215</v>
      </c>
      <c r="B9491" t="s">
        <v>4</v>
      </c>
      <c r="C9491">
        <v>3</v>
      </c>
      <c r="D9491" t="s">
        <v>5</v>
      </c>
      <c r="F9491" t="str" cm="1">
        <f t="array" ref="F9491">CategorizeComment(E9491)</f>
        <v>Other</v>
      </c>
      <c r="G9491" t="str" cm="1">
        <f t="array" ref="G9491">SubCategorizeComment(E9491)</f>
        <v>Other</v>
      </c>
    </row>
    <row r="9492" spans="1:7" x14ac:dyDescent="0.25">
      <c r="A9492">
        <v>87221</v>
      </c>
      <c r="B9492" t="s">
        <v>4</v>
      </c>
      <c r="C9492">
        <v>3</v>
      </c>
      <c r="D9492" t="s">
        <v>5</v>
      </c>
      <c r="F9492" t="str" cm="1">
        <f t="array" ref="F9492">CategorizeComment(E9492)</f>
        <v>Other</v>
      </c>
      <c r="G9492" t="str" cm="1">
        <f t="array" ref="G9492">SubCategorizeComment(E9492)</f>
        <v>Other</v>
      </c>
    </row>
    <row r="9493" spans="1:7" x14ac:dyDescent="0.25">
      <c r="A9493">
        <v>87271</v>
      </c>
      <c r="B9493" t="s">
        <v>4</v>
      </c>
      <c r="C9493">
        <v>4</v>
      </c>
      <c r="D9493" t="s">
        <v>5</v>
      </c>
      <c r="F9493" t="str" cm="1">
        <f t="array" ref="F9493">CategorizeComment(E9493)</f>
        <v>Other</v>
      </c>
      <c r="G9493" t="str" cm="1">
        <f t="array" ref="G9493">SubCategorizeComment(E9493)</f>
        <v>Other</v>
      </c>
    </row>
    <row r="9494" spans="1:7" x14ac:dyDescent="0.25">
      <c r="A9494">
        <v>87272</v>
      </c>
      <c r="B9494" t="s">
        <v>4</v>
      </c>
      <c r="C9494">
        <v>4</v>
      </c>
      <c r="D9494" t="s">
        <v>5</v>
      </c>
      <c r="F9494" t="str" cm="1">
        <f t="array" ref="F9494">CategorizeComment(E9494)</f>
        <v>Other</v>
      </c>
      <c r="G9494" t="str" cm="1">
        <f t="array" ref="G9494">SubCategorizeComment(E9494)</f>
        <v>Other</v>
      </c>
    </row>
    <row r="9495" spans="1:7" x14ac:dyDescent="0.25">
      <c r="A9495">
        <v>87281</v>
      </c>
      <c r="B9495" t="s">
        <v>4</v>
      </c>
      <c r="C9495">
        <v>3</v>
      </c>
      <c r="D9495" t="s">
        <v>5</v>
      </c>
      <c r="F9495" t="str" cm="1">
        <f t="array" ref="F9495">CategorizeComment(E9495)</f>
        <v>Other</v>
      </c>
      <c r="G9495" t="str" cm="1">
        <f t="array" ref="G9495">SubCategorizeComment(E9495)</f>
        <v>Other</v>
      </c>
    </row>
    <row r="9496" spans="1:7" x14ac:dyDescent="0.25">
      <c r="A9496">
        <v>87298</v>
      </c>
      <c r="B9496" t="s">
        <v>4</v>
      </c>
      <c r="C9496">
        <v>4</v>
      </c>
      <c r="D9496" t="s">
        <v>5</v>
      </c>
      <c r="F9496" t="str" cm="1">
        <f t="array" ref="F9496">CategorizeComment(E9496)</f>
        <v>Other</v>
      </c>
      <c r="G9496" t="str" cm="1">
        <f t="array" ref="G9496">SubCategorizeComment(E9496)</f>
        <v>Other</v>
      </c>
    </row>
    <row r="9497" spans="1:7" x14ac:dyDescent="0.25">
      <c r="A9497">
        <v>87338</v>
      </c>
      <c r="B9497" t="s">
        <v>4</v>
      </c>
      <c r="C9497">
        <v>4</v>
      </c>
      <c r="D9497" t="s">
        <v>5</v>
      </c>
      <c r="F9497" t="str" cm="1">
        <f t="array" ref="F9497">CategorizeComment(E9497)</f>
        <v>Other</v>
      </c>
      <c r="G9497" t="str" cm="1">
        <f t="array" ref="G9497">SubCategorizeComment(E9497)</f>
        <v>Other</v>
      </c>
    </row>
    <row r="9498" spans="1:7" x14ac:dyDescent="0.25">
      <c r="A9498">
        <v>87369</v>
      </c>
      <c r="B9498" t="s">
        <v>4</v>
      </c>
      <c r="C9498">
        <v>4</v>
      </c>
      <c r="D9498" t="s">
        <v>5</v>
      </c>
      <c r="F9498" t="str" cm="1">
        <f t="array" ref="F9498">CategorizeComment(E9498)</f>
        <v>Other</v>
      </c>
      <c r="G9498" t="str" cm="1">
        <f t="array" ref="G9498">SubCategorizeComment(E9498)</f>
        <v>Other</v>
      </c>
    </row>
    <row r="9499" spans="1:7" x14ac:dyDescent="0.25">
      <c r="A9499">
        <v>87373</v>
      </c>
      <c r="B9499" t="s">
        <v>4</v>
      </c>
      <c r="C9499">
        <v>4</v>
      </c>
      <c r="D9499" t="s">
        <v>5</v>
      </c>
      <c r="F9499" t="str" cm="1">
        <f t="array" ref="F9499">CategorizeComment(E9499)</f>
        <v>Other</v>
      </c>
      <c r="G9499" t="str" cm="1">
        <f t="array" ref="G9499">SubCategorizeComment(E9499)</f>
        <v>Other</v>
      </c>
    </row>
    <row r="9500" spans="1:7" x14ac:dyDescent="0.25">
      <c r="A9500">
        <v>87386</v>
      </c>
      <c r="B9500" t="s">
        <v>4</v>
      </c>
      <c r="C9500">
        <v>3</v>
      </c>
      <c r="D9500" t="s">
        <v>5</v>
      </c>
      <c r="F9500" t="str" cm="1">
        <f t="array" ref="F9500">CategorizeComment(E9500)</f>
        <v>Other</v>
      </c>
      <c r="G9500" t="str" cm="1">
        <f t="array" ref="G9500">SubCategorizeComment(E9500)</f>
        <v>Other</v>
      </c>
    </row>
    <row r="9501" spans="1:7" x14ac:dyDescent="0.25">
      <c r="A9501">
        <v>87392</v>
      </c>
      <c r="B9501" t="s">
        <v>4</v>
      </c>
      <c r="C9501">
        <v>4</v>
      </c>
      <c r="D9501" t="s">
        <v>5</v>
      </c>
      <c r="F9501" t="str" cm="1">
        <f t="array" ref="F9501">CategorizeComment(E9501)</f>
        <v>Other</v>
      </c>
      <c r="G9501" t="str" cm="1">
        <f t="array" ref="G9501">SubCategorizeComment(E9501)</f>
        <v>Other</v>
      </c>
    </row>
    <row r="9502" spans="1:7" x14ac:dyDescent="0.25">
      <c r="A9502">
        <v>87395</v>
      </c>
      <c r="B9502" t="s">
        <v>4</v>
      </c>
      <c r="C9502">
        <v>4</v>
      </c>
      <c r="D9502" t="s">
        <v>5</v>
      </c>
      <c r="F9502" t="str" cm="1">
        <f t="array" ref="F9502">CategorizeComment(E9502)</f>
        <v>Other</v>
      </c>
      <c r="G9502" t="str" cm="1">
        <f t="array" ref="G9502">SubCategorizeComment(E9502)</f>
        <v>Other</v>
      </c>
    </row>
    <row r="9503" spans="1:7" x14ac:dyDescent="0.25">
      <c r="A9503">
        <v>87401</v>
      </c>
      <c r="B9503" t="s">
        <v>4</v>
      </c>
      <c r="C9503">
        <v>3</v>
      </c>
      <c r="D9503" t="s">
        <v>5</v>
      </c>
      <c r="F9503" t="str" cm="1">
        <f t="array" ref="F9503">CategorizeComment(E9503)</f>
        <v>Other</v>
      </c>
      <c r="G9503" t="str" cm="1">
        <f t="array" ref="G9503">SubCategorizeComment(E9503)</f>
        <v>Other</v>
      </c>
    </row>
    <row r="9504" spans="1:7" x14ac:dyDescent="0.25">
      <c r="A9504">
        <v>87419</v>
      </c>
      <c r="B9504" t="s">
        <v>4</v>
      </c>
      <c r="C9504">
        <v>3</v>
      </c>
      <c r="D9504" t="s">
        <v>5</v>
      </c>
      <c r="F9504" t="str" cm="1">
        <f t="array" ref="F9504">CategorizeComment(E9504)</f>
        <v>Other</v>
      </c>
      <c r="G9504" t="str" cm="1">
        <f t="array" ref="G9504">SubCategorizeComment(E9504)</f>
        <v>Other</v>
      </c>
    </row>
    <row r="9505" spans="1:7" x14ac:dyDescent="0.25">
      <c r="A9505">
        <v>87423</v>
      </c>
      <c r="B9505" t="s">
        <v>4</v>
      </c>
      <c r="C9505">
        <v>3</v>
      </c>
      <c r="D9505" t="s">
        <v>5</v>
      </c>
      <c r="F9505" t="str" cm="1">
        <f t="array" ref="F9505">CategorizeComment(E9505)</f>
        <v>Other</v>
      </c>
      <c r="G9505" t="str" cm="1">
        <f t="array" ref="G9505">SubCategorizeComment(E9505)</f>
        <v>Other</v>
      </c>
    </row>
    <row r="9506" spans="1:7" x14ac:dyDescent="0.25">
      <c r="A9506">
        <v>87425</v>
      </c>
      <c r="B9506" t="s">
        <v>4</v>
      </c>
      <c r="C9506">
        <v>4</v>
      </c>
      <c r="D9506" t="s">
        <v>5</v>
      </c>
      <c r="F9506" t="str" cm="1">
        <f t="array" ref="F9506">CategorizeComment(E9506)</f>
        <v>Other</v>
      </c>
      <c r="G9506" t="str" cm="1">
        <f t="array" ref="G9506">SubCategorizeComment(E9506)</f>
        <v>Other</v>
      </c>
    </row>
    <row r="9507" spans="1:7" x14ac:dyDescent="0.25">
      <c r="A9507">
        <v>87459</v>
      </c>
      <c r="B9507" t="s">
        <v>4</v>
      </c>
      <c r="C9507">
        <v>4</v>
      </c>
      <c r="D9507" t="s">
        <v>5</v>
      </c>
      <c r="F9507" t="str" cm="1">
        <f t="array" ref="F9507">CategorizeComment(E9507)</f>
        <v>Other</v>
      </c>
      <c r="G9507" t="str" cm="1">
        <f t="array" ref="G9507">SubCategorizeComment(E9507)</f>
        <v>Other</v>
      </c>
    </row>
    <row r="9508" spans="1:7" x14ac:dyDescent="0.25">
      <c r="A9508">
        <v>87484</v>
      </c>
      <c r="B9508" t="s">
        <v>4</v>
      </c>
      <c r="C9508">
        <v>3</v>
      </c>
      <c r="D9508" t="s">
        <v>5</v>
      </c>
      <c r="F9508" t="str" cm="1">
        <f t="array" ref="F9508">CategorizeComment(E9508)</f>
        <v>Other</v>
      </c>
      <c r="G9508" t="str" cm="1">
        <f t="array" ref="G9508">SubCategorizeComment(E9508)</f>
        <v>Other</v>
      </c>
    </row>
    <row r="9509" spans="1:7" x14ac:dyDescent="0.25">
      <c r="A9509">
        <v>87486</v>
      </c>
      <c r="B9509" t="s">
        <v>4</v>
      </c>
      <c r="C9509">
        <v>4</v>
      </c>
      <c r="D9509" t="s">
        <v>5</v>
      </c>
      <c r="F9509" t="str" cm="1">
        <f t="array" ref="F9509">CategorizeComment(E9509)</f>
        <v>Other</v>
      </c>
      <c r="G9509" t="str" cm="1">
        <f t="array" ref="G9509">SubCategorizeComment(E9509)</f>
        <v>Other</v>
      </c>
    </row>
    <row r="9510" spans="1:7" x14ac:dyDescent="0.25">
      <c r="A9510">
        <v>87489</v>
      </c>
      <c r="B9510" t="s">
        <v>4</v>
      </c>
      <c r="C9510">
        <v>4</v>
      </c>
      <c r="D9510" t="s">
        <v>5</v>
      </c>
      <c r="F9510" t="str" cm="1">
        <f t="array" ref="F9510">CategorizeComment(E9510)</f>
        <v>Other</v>
      </c>
      <c r="G9510" t="str" cm="1">
        <f t="array" ref="G9510">SubCategorizeComment(E9510)</f>
        <v>Other</v>
      </c>
    </row>
    <row r="9511" spans="1:7" x14ac:dyDescent="0.25">
      <c r="A9511">
        <v>87495</v>
      </c>
      <c r="B9511" t="s">
        <v>4</v>
      </c>
      <c r="C9511">
        <v>4</v>
      </c>
      <c r="D9511" t="s">
        <v>5</v>
      </c>
      <c r="F9511" t="str" cm="1">
        <f t="array" ref="F9511">CategorizeComment(E9511)</f>
        <v>Other</v>
      </c>
      <c r="G9511" t="str" cm="1">
        <f t="array" ref="G9511">SubCategorizeComment(E9511)</f>
        <v>Other</v>
      </c>
    </row>
    <row r="9512" spans="1:7" x14ac:dyDescent="0.25">
      <c r="A9512">
        <v>87498</v>
      </c>
      <c r="B9512" t="s">
        <v>4</v>
      </c>
      <c r="C9512">
        <v>3</v>
      </c>
      <c r="D9512" t="s">
        <v>5</v>
      </c>
      <c r="F9512" t="str" cm="1">
        <f t="array" ref="F9512">CategorizeComment(E9512)</f>
        <v>Other</v>
      </c>
      <c r="G9512" t="str" cm="1">
        <f t="array" ref="G9512">SubCategorizeComment(E9512)</f>
        <v>Other</v>
      </c>
    </row>
    <row r="9513" spans="1:7" x14ac:dyDescent="0.25">
      <c r="A9513">
        <v>87513</v>
      </c>
      <c r="B9513" t="s">
        <v>4</v>
      </c>
      <c r="C9513">
        <v>3</v>
      </c>
      <c r="D9513" t="s">
        <v>5</v>
      </c>
      <c r="F9513" t="str" cm="1">
        <f t="array" ref="F9513">CategorizeComment(E9513)</f>
        <v>Other</v>
      </c>
      <c r="G9513" t="str" cm="1">
        <f t="array" ref="G9513">SubCategorizeComment(E9513)</f>
        <v>Other</v>
      </c>
    </row>
    <row r="9514" spans="1:7" x14ac:dyDescent="0.25">
      <c r="A9514">
        <v>87528</v>
      </c>
      <c r="B9514" t="s">
        <v>4</v>
      </c>
      <c r="C9514">
        <v>3</v>
      </c>
      <c r="D9514" t="s">
        <v>5</v>
      </c>
      <c r="F9514" t="str" cm="1">
        <f t="array" ref="F9514">CategorizeComment(E9514)</f>
        <v>Other</v>
      </c>
      <c r="G9514" t="str" cm="1">
        <f t="array" ref="G9514">SubCategorizeComment(E9514)</f>
        <v>Other</v>
      </c>
    </row>
    <row r="9515" spans="1:7" x14ac:dyDescent="0.25">
      <c r="A9515">
        <v>87531</v>
      </c>
      <c r="B9515" t="s">
        <v>4</v>
      </c>
      <c r="C9515">
        <v>3</v>
      </c>
      <c r="D9515" t="s">
        <v>5</v>
      </c>
      <c r="F9515" t="str" cm="1">
        <f t="array" ref="F9515">CategorizeComment(E9515)</f>
        <v>Other</v>
      </c>
      <c r="G9515" t="str" cm="1">
        <f t="array" ref="G9515">SubCategorizeComment(E9515)</f>
        <v>Other</v>
      </c>
    </row>
    <row r="9516" spans="1:7" x14ac:dyDescent="0.25">
      <c r="A9516">
        <v>87560</v>
      </c>
      <c r="B9516" t="s">
        <v>4</v>
      </c>
      <c r="C9516">
        <v>4</v>
      </c>
      <c r="D9516" t="s">
        <v>5</v>
      </c>
      <c r="F9516" t="str" cm="1">
        <f t="array" ref="F9516">CategorizeComment(E9516)</f>
        <v>Other</v>
      </c>
      <c r="G9516" t="str" cm="1">
        <f t="array" ref="G9516">SubCategorizeComment(E9516)</f>
        <v>Other</v>
      </c>
    </row>
    <row r="9517" spans="1:7" x14ac:dyDescent="0.25">
      <c r="A9517">
        <v>87563</v>
      </c>
      <c r="B9517" t="s">
        <v>4</v>
      </c>
      <c r="C9517">
        <v>3</v>
      </c>
      <c r="D9517" t="s">
        <v>5</v>
      </c>
      <c r="F9517" t="str" cm="1">
        <f t="array" ref="F9517">CategorizeComment(E9517)</f>
        <v>Other</v>
      </c>
      <c r="G9517" t="str" cm="1">
        <f t="array" ref="G9517">SubCategorizeComment(E9517)</f>
        <v>Other</v>
      </c>
    </row>
    <row r="9518" spans="1:7" x14ac:dyDescent="0.25">
      <c r="A9518">
        <v>87567</v>
      </c>
      <c r="B9518" t="s">
        <v>4</v>
      </c>
      <c r="C9518">
        <v>3</v>
      </c>
      <c r="D9518" t="s">
        <v>5</v>
      </c>
      <c r="F9518" t="str" cm="1">
        <f t="array" ref="F9518">CategorizeComment(E9518)</f>
        <v>Other</v>
      </c>
      <c r="G9518" t="str" cm="1">
        <f t="array" ref="G9518">SubCategorizeComment(E9518)</f>
        <v>Other</v>
      </c>
    </row>
    <row r="9519" spans="1:7" x14ac:dyDescent="0.25">
      <c r="A9519">
        <v>87602</v>
      </c>
      <c r="B9519" t="s">
        <v>4</v>
      </c>
      <c r="C9519">
        <v>3</v>
      </c>
      <c r="D9519" t="s">
        <v>5</v>
      </c>
      <c r="F9519" t="str" cm="1">
        <f t="array" ref="F9519">CategorizeComment(E9519)</f>
        <v>Other</v>
      </c>
      <c r="G9519" t="str" cm="1">
        <f t="array" ref="G9519">SubCategorizeComment(E9519)</f>
        <v>Other</v>
      </c>
    </row>
    <row r="9520" spans="1:7" x14ac:dyDescent="0.25">
      <c r="A9520">
        <v>87608</v>
      </c>
      <c r="B9520" t="s">
        <v>4</v>
      </c>
      <c r="C9520">
        <v>3</v>
      </c>
      <c r="D9520" t="s">
        <v>5</v>
      </c>
      <c r="F9520" t="str" cm="1">
        <f t="array" ref="F9520">CategorizeComment(E9520)</f>
        <v>Other</v>
      </c>
      <c r="G9520" t="str" cm="1">
        <f t="array" ref="G9520">SubCategorizeComment(E9520)</f>
        <v>Other</v>
      </c>
    </row>
    <row r="9521" spans="1:7" x14ac:dyDescent="0.25">
      <c r="A9521">
        <v>87617</v>
      </c>
      <c r="B9521" t="s">
        <v>4</v>
      </c>
      <c r="C9521">
        <v>4</v>
      </c>
      <c r="D9521" t="s">
        <v>5</v>
      </c>
      <c r="F9521" t="str" cm="1">
        <f t="array" ref="F9521">CategorizeComment(E9521)</f>
        <v>Other</v>
      </c>
      <c r="G9521" t="str" cm="1">
        <f t="array" ref="G9521">SubCategorizeComment(E9521)</f>
        <v>Other</v>
      </c>
    </row>
    <row r="9522" spans="1:7" x14ac:dyDescent="0.25">
      <c r="A9522">
        <v>87626</v>
      </c>
      <c r="B9522" t="s">
        <v>4</v>
      </c>
      <c r="C9522">
        <v>3</v>
      </c>
      <c r="D9522" t="s">
        <v>5</v>
      </c>
      <c r="F9522" t="str" cm="1">
        <f t="array" ref="F9522">CategorizeComment(E9522)</f>
        <v>Other</v>
      </c>
      <c r="G9522" t="str" cm="1">
        <f t="array" ref="G9522">SubCategorizeComment(E9522)</f>
        <v>Other</v>
      </c>
    </row>
    <row r="9523" spans="1:7" x14ac:dyDescent="0.25">
      <c r="A9523">
        <v>87656</v>
      </c>
      <c r="B9523" t="s">
        <v>4</v>
      </c>
      <c r="C9523">
        <v>4</v>
      </c>
      <c r="D9523" t="s">
        <v>5</v>
      </c>
      <c r="F9523" t="str" cm="1">
        <f t="array" ref="F9523">CategorizeComment(E9523)</f>
        <v>Other</v>
      </c>
      <c r="G9523" t="str" cm="1">
        <f t="array" ref="G9523">SubCategorizeComment(E9523)</f>
        <v>Other</v>
      </c>
    </row>
    <row r="9524" spans="1:7" x14ac:dyDescent="0.25">
      <c r="A9524">
        <v>87665</v>
      </c>
      <c r="B9524" t="s">
        <v>4</v>
      </c>
      <c r="C9524">
        <v>4</v>
      </c>
      <c r="D9524" t="s">
        <v>5</v>
      </c>
      <c r="F9524" t="str" cm="1">
        <f t="array" ref="F9524">CategorizeComment(E9524)</f>
        <v>Other</v>
      </c>
      <c r="G9524" t="str" cm="1">
        <f t="array" ref="G9524">SubCategorizeComment(E9524)</f>
        <v>Other</v>
      </c>
    </row>
    <row r="9525" spans="1:7" x14ac:dyDescent="0.25">
      <c r="A9525">
        <v>87667</v>
      </c>
      <c r="B9525" t="s">
        <v>4</v>
      </c>
      <c r="C9525">
        <v>4</v>
      </c>
      <c r="D9525" t="s">
        <v>5</v>
      </c>
      <c r="F9525" t="str" cm="1">
        <f t="array" ref="F9525">CategorizeComment(E9525)</f>
        <v>Other</v>
      </c>
      <c r="G9525" t="str" cm="1">
        <f t="array" ref="G9525">SubCategorizeComment(E9525)</f>
        <v>Other</v>
      </c>
    </row>
    <row r="9526" spans="1:7" x14ac:dyDescent="0.25">
      <c r="A9526">
        <v>87669</v>
      </c>
      <c r="B9526" t="s">
        <v>4</v>
      </c>
      <c r="C9526">
        <v>4</v>
      </c>
      <c r="D9526" t="s">
        <v>5</v>
      </c>
      <c r="F9526" t="str" cm="1">
        <f t="array" ref="F9526">CategorizeComment(E9526)</f>
        <v>Other</v>
      </c>
      <c r="G9526" t="str" cm="1">
        <f t="array" ref="G9526">SubCategorizeComment(E9526)</f>
        <v>Other</v>
      </c>
    </row>
    <row r="9527" spans="1:7" x14ac:dyDescent="0.25">
      <c r="A9527">
        <v>87671</v>
      </c>
      <c r="B9527" t="s">
        <v>4</v>
      </c>
      <c r="C9527">
        <v>3</v>
      </c>
      <c r="D9527" t="s">
        <v>5</v>
      </c>
      <c r="F9527" t="str" cm="1">
        <f t="array" ref="F9527">CategorizeComment(E9527)</f>
        <v>Other</v>
      </c>
      <c r="G9527" t="str" cm="1">
        <f t="array" ref="G9527">SubCategorizeComment(E9527)</f>
        <v>Other</v>
      </c>
    </row>
    <row r="9528" spans="1:7" x14ac:dyDescent="0.25">
      <c r="A9528">
        <v>87673</v>
      </c>
      <c r="B9528" t="s">
        <v>4</v>
      </c>
      <c r="C9528">
        <v>3</v>
      </c>
      <c r="D9528" t="s">
        <v>5</v>
      </c>
      <c r="F9528" t="str" cm="1">
        <f t="array" ref="F9528">CategorizeComment(E9528)</f>
        <v>Other</v>
      </c>
      <c r="G9528" t="str" cm="1">
        <f t="array" ref="G9528">SubCategorizeComment(E9528)</f>
        <v>Other</v>
      </c>
    </row>
    <row r="9529" spans="1:7" x14ac:dyDescent="0.25">
      <c r="A9529">
        <v>87677</v>
      </c>
      <c r="B9529" t="s">
        <v>4</v>
      </c>
      <c r="C9529">
        <v>4</v>
      </c>
      <c r="D9529" t="s">
        <v>5</v>
      </c>
      <c r="F9529" t="str" cm="1">
        <f t="array" ref="F9529">CategorizeComment(E9529)</f>
        <v>Other</v>
      </c>
      <c r="G9529" t="str" cm="1">
        <f t="array" ref="G9529">SubCategorizeComment(E9529)</f>
        <v>Other</v>
      </c>
    </row>
    <row r="9530" spans="1:7" x14ac:dyDescent="0.25">
      <c r="A9530">
        <v>87679</v>
      </c>
      <c r="B9530" t="s">
        <v>4</v>
      </c>
      <c r="C9530">
        <v>4</v>
      </c>
      <c r="D9530" t="s">
        <v>5</v>
      </c>
      <c r="F9530" t="str" cm="1">
        <f t="array" ref="F9530">CategorizeComment(E9530)</f>
        <v>Other</v>
      </c>
      <c r="G9530" t="str" cm="1">
        <f t="array" ref="G9530">SubCategorizeComment(E9530)</f>
        <v>Other</v>
      </c>
    </row>
    <row r="9531" spans="1:7" x14ac:dyDescent="0.25">
      <c r="A9531">
        <v>87680</v>
      </c>
      <c r="B9531" t="s">
        <v>4</v>
      </c>
      <c r="C9531">
        <v>4</v>
      </c>
      <c r="D9531" t="s">
        <v>5</v>
      </c>
      <c r="F9531" t="str" cm="1">
        <f t="array" ref="F9531">CategorizeComment(E9531)</f>
        <v>Other</v>
      </c>
      <c r="G9531" t="str" cm="1">
        <f t="array" ref="G9531">SubCategorizeComment(E9531)</f>
        <v>Other</v>
      </c>
    </row>
    <row r="9532" spans="1:7" x14ac:dyDescent="0.25">
      <c r="A9532">
        <v>87683</v>
      </c>
      <c r="B9532" t="s">
        <v>4</v>
      </c>
      <c r="C9532">
        <v>3</v>
      </c>
      <c r="D9532" t="s">
        <v>5</v>
      </c>
      <c r="F9532" t="str" cm="1">
        <f t="array" ref="F9532">CategorizeComment(E9532)</f>
        <v>Other</v>
      </c>
      <c r="G9532" t="str" cm="1">
        <f t="array" ref="G9532">SubCategorizeComment(E9532)</f>
        <v>Other</v>
      </c>
    </row>
    <row r="9533" spans="1:7" x14ac:dyDescent="0.25">
      <c r="A9533">
        <v>87733</v>
      </c>
      <c r="B9533" t="s">
        <v>4</v>
      </c>
      <c r="C9533">
        <v>3</v>
      </c>
      <c r="D9533" t="s">
        <v>5</v>
      </c>
      <c r="F9533" t="str" cm="1">
        <f t="array" ref="F9533">CategorizeComment(E9533)</f>
        <v>Other</v>
      </c>
      <c r="G9533" t="str" cm="1">
        <f t="array" ref="G9533">SubCategorizeComment(E9533)</f>
        <v>Other</v>
      </c>
    </row>
    <row r="9534" spans="1:7" x14ac:dyDescent="0.25">
      <c r="A9534">
        <v>87782</v>
      </c>
      <c r="B9534" t="s">
        <v>4</v>
      </c>
      <c r="C9534">
        <v>3</v>
      </c>
      <c r="D9534" t="s">
        <v>5</v>
      </c>
      <c r="F9534" t="str" cm="1">
        <f t="array" ref="F9534">CategorizeComment(E9534)</f>
        <v>Other</v>
      </c>
      <c r="G9534" t="str" cm="1">
        <f t="array" ref="G9534">SubCategorizeComment(E9534)</f>
        <v>Other</v>
      </c>
    </row>
    <row r="9535" spans="1:7" x14ac:dyDescent="0.25">
      <c r="A9535">
        <v>87790</v>
      </c>
      <c r="B9535" t="s">
        <v>4</v>
      </c>
      <c r="C9535">
        <v>3</v>
      </c>
      <c r="D9535" t="s">
        <v>5</v>
      </c>
      <c r="F9535" t="str" cm="1">
        <f t="array" ref="F9535">CategorizeComment(E9535)</f>
        <v>Other</v>
      </c>
      <c r="G9535" t="str" cm="1">
        <f t="array" ref="G9535">SubCategorizeComment(E9535)</f>
        <v>Other</v>
      </c>
    </row>
    <row r="9536" spans="1:7" x14ac:dyDescent="0.25">
      <c r="A9536">
        <v>87802</v>
      </c>
      <c r="B9536" t="s">
        <v>4</v>
      </c>
      <c r="C9536">
        <v>3</v>
      </c>
      <c r="D9536" t="s">
        <v>5</v>
      </c>
      <c r="F9536" t="str" cm="1">
        <f t="array" ref="F9536">CategorizeComment(E9536)</f>
        <v>Other</v>
      </c>
      <c r="G9536" t="str" cm="1">
        <f t="array" ref="G9536">SubCategorizeComment(E9536)</f>
        <v>Other</v>
      </c>
    </row>
    <row r="9537" spans="1:7" x14ac:dyDescent="0.25">
      <c r="A9537">
        <v>87803</v>
      </c>
      <c r="B9537" t="s">
        <v>4</v>
      </c>
      <c r="C9537">
        <v>4</v>
      </c>
      <c r="D9537" t="s">
        <v>5</v>
      </c>
      <c r="F9537" t="str" cm="1">
        <f t="array" ref="F9537">CategorizeComment(E9537)</f>
        <v>Other</v>
      </c>
      <c r="G9537" t="str" cm="1">
        <f t="array" ref="G9537">SubCategorizeComment(E9537)</f>
        <v>Other</v>
      </c>
    </row>
    <row r="9538" spans="1:7" x14ac:dyDescent="0.25">
      <c r="A9538">
        <v>87809</v>
      </c>
      <c r="B9538" t="s">
        <v>4</v>
      </c>
      <c r="C9538">
        <v>4</v>
      </c>
      <c r="D9538" t="s">
        <v>5</v>
      </c>
      <c r="F9538" t="str" cm="1">
        <f t="array" ref="F9538">CategorizeComment(E9538)</f>
        <v>Other</v>
      </c>
      <c r="G9538" t="str" cm="1">
        <f t="array" ref="G9538">SubCategorizeComment(E9538)</f>
        <v>Other</v>
      </c>
    </row>
    <row r="9539" spans="1:7" x14ac:dyDescent="0.25">
      <c r="A9539">
        <v>87820</v>
      </c>
      <c r="B9539" t="s">
        <v>4</v>
      </c>
      <c r="C9539">
        <v>4</v>
      </c>
      <c r="D9539" t="s">
        <v>5</v>
      </c>
      <c r="F9539" t="str" cm="1">
        <f t="array" ref="F9539">CategorizeComment(E9539)</f>
        <v>Other</v>
      </c>
      <c r="G9539" t="str" cm="1">
        <f t="array" ref="G9539">SubCategorizeComment(E9539)</f>
        <v>Other</v>
      </c>
    </row>
    <row r="9540" spans="1:7" x14ac:dyDescent="0.25">
      <c r="A9540">
        <v>87821</v>
      </c>
      <c r="B9540" t="s">
        <v>4</v>
      </c>
      <c r="C9540">
        <v>3</v>
      </c>
      <c r="D9540" t="s">
        <v>5</v>
      </c>
      <c r="F9540" t="str" cm="1">
        <f t="array" ref="F9540">CategorizeComment(E9540)</f>
        <v>Other</v>
      </c>
      <c r="G9540" t="str" cm="1">
        <f t="array" ref="G9540">SubCategorizeComment(E9540)</f>
        <v>Other</v>
      </c>
    </row>
    <row r="9541" spans="1:7" x14ac:dyDescent="0.25">
      <c r="A9541">
        <v>87826</v>
      </c>
      <c r="B9541" t="s">
        <v>4</v>
      </c>
      <c r="C9541">
        <v>3</v>
      </c>
      <c r="D9541" t="s">
        <v>5</v>
      </c>
      <c r="F9541" t="str" cm="1">
        <f t="array" ref="F9541">CategorizeComment(E9541)</f>
        <v>Other</v>
      </c>
      <c r="G9541" t="str" cm="1">
        <f t="array" ref="G9541">SubCategorizeComment(E9541)</f>
        <v>Other</v>
      </c>
    </row>
    <row r="9542" spans="1:7" x14ac:dyDescent="0.25">
      <c r="A9542">
        <v>87854</v>
      </c>
      <c r="B9542" t="s">
        <v>4</v>
      </c>
      <c r="C9542">
        <v>4</v>
      </c>
      <c r="D9542" t="s">
        <v>5</v>
      </c>
      <c r="F9542" t="str" cm="1">
        <f t="array" ref="F9542">CategorizeComment(E9542)</f>
        <v>Other</v>
      </c>
      <c r="G9542" t="str" cm="1">
        <f t="array" ref="G9542">SubCategorizeComment(E9542)</f>
        <v>Other</v>
      </c>
    </row>
    <row r="9543" spans="1:7" x14ac:dyDescent="0.25">
      <c r="A9543">
        <v>87855</v>
      </c>
      <c r="B9543" t="s">
        <v>4</v>
      </c>
      <c r="C9543">
        <v>3</v>
      </c>
      <c r="D9543" t="s">
        <v>5</v>
      </c>
      <c r="F9543" t="str" cm="1">
        <f t="array" ref="F9543">CategorizeComment(E9543)</f>
        <v>Other</v>
      </c>
      <c r="G9543" t="str" cm="1">
        <f t="array" ref="G9543">SubCategorizeComment(E9543)</f>
        <v>Other</v>
      </c>
    </row>
    <row r="9544" spans="1:7" x14ac:dyDescent="0.25">
      <c r="A9544">
        <v>87858</v>
      </c>
      <c r="B9544" t="s">
        <v>4</v>
      </c>
      <c r="C9544">
        <v>3</v>
      </c>
      <c r="D9544" t="s">
        <v>5</v>
      </c>
      <c r="F9544" t="str" cm="1">
        <f t="array" ref="F9544">CategorizeComment(E9544)</f>
        <v>Other</v>
      </c>
      <c r="G9544" t="str" cm="1">
        <f t="array" ref="G9544">SubCategorizeComment(E9544)</f>
        <v>Other</v>
      </c>
    </row>
    <row r="9545" spans="1:7" x14ac:dyDescent="0.25">
      <c r="A9545">
        <v>87859</v>
      </c>
      <c r="B9545" t="s">
        <v>4</v>
      </c>
      <c r="C9545">
        <v>3</v>
      </c>
      <c r="D9545" t="s">
        <v>5</v>
      </c>
      <c r="F9545" t="str" cm="1">
        <f t="array" ref="F9545">CategorizeComment(E9545)</f>
        <v>Other</v>
      </c>
      <c r="G9545" t="str" cm="1">
        <f t="array" ref="G9545">SubCategorizeComment(E9545)</f>
        <v>Other</v>
      </c>
    </row>
    <row r="9546" spans="1:7" x14ac:dyDescent="0.25">
      <c r="A9546">
        <v>87864</v>
      </c>
      <c r="B9546" t="s">
        <v>4</v>
      </c>
      <c r="C9546">
        <v>4</v>
      </c>
      <c r="D9546" t="s">
        <v>5</v>
      </c>
      <c r="F9546" t="str" cm="1">
        <f t="array" ref="F9546">CategorizeComment(E9546)</f>
        <v>Other</v>
      </c>
      <c r="G9546" t="str" cm="1">
        <f t="array" ref="G9546">SubCategorizeComment(E9546)</f>
        <v>Other</v>
      </c>
    </row>
    <row r="9547" spans="1:7" x14ac:dyDescent="0.25">
      <c r="A9547">
        <v>87865</v>
      </c>
      <c r="B9547" t="s">
        <v>4</v>
      </c>
      <c r="C9547">
        <v>4</v>
      </c>
      <c r="D9547" t="s">
        <v>5</v>
      </c>
      <c r="F9547" t="str" cm="1">
        <f t="array" ref="F9547">CategorizeComment(E9547)</f>
        <v>Other</v>
      </c>
      <c r="G9547" t="str" cm="1">
        <f t="array" ref="G9547">SubCategorizeComment(E9547)</f>
        <v>Other</v>
      </c>
    </row>
    <row r="9548" spans="1:7" x14ac:dyDescent="0.25">
      <c r="A9548">
        <v>87874</v>
      </c>
      <c r="B9548" t="s">
        <v>4</v>
      </c>
      <c r="C9548">
        <v>3</v>
      </c>
      <c r="D9548" t="s">
        <v>5</v>
      </c>
      <c r="F9548" t="str" cm="1">
        <f t="array" ref="F9548">CategorizeComment(E9548)</f>
        <v>Other</v>
      </c>
      <c r="G9548" t="str" cm="1">
        <f t="array" ref="G9548">SubCategorizeComment(E9548)</f>
        <v>Other</v>
      </c>
    </row>
    <row r="9549" spans="1:7" x14ac:dyDescent="0.25">
      <c r="A9549">
        <v>87875</v>
      </c>
      <c r="B9549" t="s">
        <v>4</v>
      </c>
      <c r="C9549">
        <v>4</v>
      </c>
      <c r="D9549" t="s">
        <v>5</v>
      </c>
      <c r="F9549" t="str" cm="1">
        <f t="array" ref="F9549">CategorizeComment(E9549)</f>
        <v>Other</v>
      </c>
      <c r="G9549" t="str" cm="1">
        <f t="array" ref="G9549">SubCategorizeComment(E9549)</f>
        <v>Other</v>
      </c>
    </row>
    <row r="9550" spans="1:7" x14ac:dyDescent="0.25">
      <c r="A9550">
        <v>87880</v>
      </c>
      <c r="B9550" t="s">
        <v>4</v>
      </c>
      <c r="C9550">
        <v>4</v>
      </c>
      <c r="D9550" t="s">
        <v>5</v>
      </c>
      <c r="F9550" t="str" cm="1">
        <f t="array" ref="F9550">CategorizeComment(E9550)</f>
        <v>Other</v>
      </c>
      <c r="G9550" t="str" cm="1">
        <f t="array" ref="G9550">SubCategorizeComment(E9550)</f>
        <v>Other</v>
      </c>
    </row>
    <row r="9551" spans="1:7" x14ac:dyDescent="0.25">
      <c r="A9551">
        <v>87884</v>
      </c>
      <c r="B9551" t="s">
        <v>4</v>
      </c>
      <c r="C9551">
        <v>1</v>
      </c>
      <c r="D9551" t="s">
        <v>5</v>
      </c>
      <c r="F9551" t="str" cm="1">
        <f t="array" ref="F9551">CategorizeComment(E9551)</f>
        <v>Other</v>
      </c>
      <c r="G9551" t="str" cm="1">
        <f t="array" ref="G9551">SubCategorizeComment(E9551)</f>
        <v>Other</v>
      </c>
    </row>
    <row r="9552" spans="1:7" x14ac:dyDescent="0.25">
      <c r="A9552">
        <v>87917</v>
      </c>
      <c r="B9552" t="s">
        <v>4</v>
      </c>
      <c r="C9552">
        <v>3</v>
      </c>
      <c r="D9552" t="s">
        <v>5</v>
      </c>
      <c r="F9552" t="str" cm="1">
        <f t="array" ref="F9552">CategorizeComment(E9552)</f>
        <v>Other</v>
      </c>
      <c r="G9552" t="str" cm="1">
        <f t="array" ref="G9552">SubCategorizeComment(E9552)</f>
        <v>Other</v>
      </c>
    </row>
    <row r="9553" spans="1:7" x14ac:dyDescent="0.25">
      <c r="A9553">
        <v>87922</v>
      </c>
      <c r="B9553" t="s">
        <v>4</v>
      </c>
      <c r="C9553">
        <v>3</v>
      </c>
      <c r="D9553" t="s">
        <v>5</v>
      </c>
      <c r="F9553" t="str" cm="1">
        <f t="array" ref="F9553">CategorizeComment(E9553)</f>
        <v>Other</v>
      </c>
      <c r="G9553" t="str" cm="1">
        <f t="array" ref="G9553">SubCategorizeComment(E9553)</f>
        <v>Other</v>
      </c>
    </row>
    <row r="9554" spans="1:7" x14ac:dyDescent="0.25">
      <c r="A9554">
        <v>87928</v>
      </c>
      <c r="B9554" t="s">
        <v>4</v>
      </c>
      <c r="C9554">
        <v>4</v>
      </c>
      <c r="D9554" t="s">
        <v>5</v>
      </c>
      <c r="F9554" t="str" cm="1">
        <f t="array" ref="F9554">CategorizeComment(E9554)</f>
        <v>Other</v>
      </c>
      <c r="G9554" t="str" cm="1">
        <f t="array" ref="G9554">SubCategorizeComment(E9554)</f>
        <v>Other</v>
      </c>
    </row>
    <row r="9555" spans="1:7" x14ac:dyDescent="0.25">
      <c r="A9555">
        <v>87934</v>
      </c>
      <c r="B9555" t="s">
        <v>4</v>
      </c>
      <c r="C9555">
        <v>4</v>
      </c>
      <c r="D9555" t="s">
        <v>5</v>
      </c>
      <c r="F9555" t="str" cm="1">
        <f t="array" ref="F9555">CategorizeComment(E9555)</f>
        <v>Other</v>
      </c>
      <c r="G9555" t="str" cm="1">
        <f t="array" ref="G9555">SubCategorizeComment(E9555)</f>
        <v>Other</v>
      </c>
    </row>
    <row r="9556" spans="1:7" x14ac:dyDescent="0.25">
      <c r="A9556">
        <v>87937</v>
      </c>
      <c r="B9556" t="s">
        <v>4</v>
      </c>
      <c r="C9556">
        <v>3</v>
      </c>
      <c r="D9556" t="s">
        <v>5</v>
      </c>
      <c r="F9556" t="str" cm="1">
        <f t="array" ref="F9556">CategorizeComment(E9556)</f>
        <v>Other</v>
      </c>
      <c r="G9556" t="str" cm="1">
        <f t="array" ref="G9556">SubCategorizeComment(E9556)</f>
        <v>Other</v>
      </c>
    </row>
    <row r="9557" spans="1:7" x14ac:dyDescent="0.25">
      <c r="A9557">
        <v>88019</v>
      </c>
      <c r="B9557" t="s">
        <v>4</v>
      </c>
      <c r="C9557">
        <v>4</v>
      </c>
      <c r="D9557" t="s">
        <v>5</v>
      </c>
      <c r="F9557" t="str" cm="1">
        <f t="array" ref="F9557">CategorizeComment(E9557)</f>
        <v>Other</v>
      </c>
      <c r="G9557" t="str" cm="1">
        <f t="array" ref="G9557">SubCategorizeComment(E9557)</f>
        <v>Other</v>
      </c>
    </row>
    <row r="9558" spans="1:7" x14ac:dyDescent="0.25">
      <c r="A9558">
        <v>88116</v>
      </c>
      <c r="B9558" t="s">
        <v>4</v>
      </c>
      <c r="C9558">
        <v>4</v>
      </c>
      <c r="D9558" t="s">
        <v>5</v>
      </c>
      <c r="F9558" t="str" cm="1">
        <f t="array" ref="F9558">CategorizeComment(E9558)</f>
        <v>Other</v>
      </c>
      <c r="G9558" t="str" cm="1">
        <f t="array" ref="G9558">SubCategorizeComment(E9558)</f>
        <v>Other</v>
      </c>
    </row>
    <row r="9559" spans="1:7" x14ac:dyDescent="0.25">
      <c r="A9559">
        <v>88154</v>
      </c>
      <c r="B9559" t="s">
        <v>4</v>
      </c>
      <c r="C9559">
        <v>3</v>
      </c>
      <c r="D9559" t="s">
        <v>5</v>
      </c>
      <c r="F9559" t="str" cm="1">
        <f t="array" ref="F9559">CategorizeComment(E9559)</f>
        <v>Other</v>
      </c>
      <c r="G9559" t="str" cm="1">
        <f t="array" ref="G9559">SubCategorizeComment(E9559)</f>
        <v>Other</v>
      </c>
    </row>
    <row r="9560" spans="1:7" x14ac:dyDescent="0.25">
      <c r="A9560">
        <v>88168</v>
      </c>
      <c r="B9560" t="s">
        <v>4</v>
      </c>
      <c r="C9560">
        <v>4</v>
      </c>
      <c r="D9560" t="s">
        <v>5</v>
      </c>
      <c r="F9560" t="str" cm="1">
        <f t="array" ref="F9560">CategorizeComment(E9560)</f>
        <v>Other</v>
      </c>
      <c r="G9560" t="str" cm="1">
        <f t="array" ref="G9560">SubCategorizeComment(E9560)</f>
        <v>Other</v>
      </c>
    </row>
    <row r="9561" spans="1:7" x14ac:dyDescent="0.25">
      <c r="A9561">
        <v>88178</v>
      </c>
      <c r="B9561" t="s">
        <v>4</v>
      </c>
      <c r="C9561">
        <v>4</v>
      </c>
      <c r="D9561" t="s">
        <v>5</v>
      </c>
      <c r="F9561" t="str" cm="1">
        <f t="array" ref="F9561">CategorizeComment(E9561)</f>
        <v>Other</v>
      </c>
      <c r="G9561" t="str" cm="1">
        <f t="array" ref="G9561">SubCategorizeComment(E9561)</f>
        <v>Other</v>
      </c>
    </row>
    <row r="9562" spans="1:7" x14ac:dyDescent="0.25">
      <c r="A9562">
        <v>88216</v>
      </c>
      <c r="B9562" t="s">
        <v>4</v>
      </c>
      <c r="C9562">
        <v>3</v>
      </c>
      <c r="D9562" t="s">
        <v>5</v>
      </c>
      <c r="F9562" t="str" cm="1">
        <f t="array" ref="F9562">CategorizeComment(E9562)</f>
        <v>Other</v>
      </c>
      <c r="G9562" t="str" cm="1">
        <f t="array" ref="G9562">SubCategorizeComment(E9562)</f>
        <v>Other</v>
      </c>
    </row>
    <row r="9563" spans="1:7" x14ac:dyDescent="0.25">
      <c r="A9563">
        <v>88261</v>
      </c>
      <c r="B9563" t="s">
        <v>4</v>
      </c>
      <c r="C9563">
        <v>3</v>
      </c>
      <c r="D9563" t="s">
        <v>5</v>
      </c>
      <c r="F9563" t="str" cm="1">
        <f t="array" ref="F9563">CategorizeComment(E9563)</f>
        <v>Other</v>
      </c>
      <c r="G9563" t="str" cm="1">
        <f t="array" ref="G9563">SubCategorizeComment(E9563)</f>
        <v>Other</v>
      </c>
    </row>
    <row r="9564" spans="1:7" x14ac:dyDescent="0.25">
      <c r="A9564">
        <v>88265</v>
      </c>
      <c r="B9564" t="s">
        <v>4</v>
      </c>
      <c r="C9564">
        <v>4</v>
      </c>
      <c r="D9564" t="s">
        <v>5</v>
      </c>
      <c r="F9564" t="str" cm="1">
        <f t="array" ref="F9564">CategorizeComment(E9564)</f>
        <v>Other</v>
      </c>
      <c r="G9564" t="str" cm="1">
        <f t="array" ref="G9564">SubCategorizeComment(E9564)</f>
        <v>Other</v>
      </c>
    </row>
    <row r="9565" spans="1:7" x14ac:dyDescent="0.25">
      <c r="A9565">
        <v>88279</v>
      </c>
      <c r="B9565" t="s">
        <v>4</v>
      </c>
      <c r="C9565">
        <v>3</v>
      </c>
      <c r="D9565" t="s">
        <v>5</v>
      </c>
      <c r="F9565" t="str" cm="1">
        <f t="array" ref="F9565">CategorizeComment(E9565)</f>
        <v>Other</v>
      </c>
      <c r="G9565" t="str" cm="1">
        <f t="array" ref="G9565">SubCategorizeComment(E9565)</f>
        <v>Other</v>
      </c>
    </row>
    <row r="9566" spans="1:7" x14ac:dyDescent="0.25">
      <c r="A9566">
        <v>88287</v>
      </c>
      <c r="B9566" t="s">
        <v>4</v>
      </c>
      <c r="C9566">
        <v>4</v>
      </c>
      <c r="D9566" t="s">
        <v>5</v>
      </c>
      <c r="F9566" t="str" cm="1">
        <f t="array" ref="F9566">CategorizeComment(E9566)</f>
        <v>Other</v>
      </c>
      <c r="G9566" t="str" cm="1">
        <f t="array" ref="G9566">SubCategorizeComment(E9566)</f>
        <v>Other</v>
      </c>
    </row>
    <row r="9567" spans="1:7" x14ac:dyDescent="0.25">
      <c r="A9567">
        <v>88291</v>
      </c>
      <c r="B9567" t="s">
        <v>4</v>
      </c>
      <c r="C9567">
        <v>3</v>
      </c>
      <c r="D9567" t="s">
        <v>5</v>
      </c>
      <c r="F9567" t="str" cm="1">
        <f t="array" ref="F9567">CategorizeComment(E9567)</f>
        <v>Other</v>
      </c>
      <c r="G9567" t="str" cm="1">
        <f t="array" ref="G9567">SubCategorizeComment(E9567)</f>
        <v>Other</v>
      </c>
    </row>
    <row r="9568" spans="1:7" x14ac:dyDescent="0.25">
      <c r="A9568">
        <v>88295</v>
      </c>
      <c r="B9568" t="s">
        <v>4</v>
      </c>
      <c r="C9568">
        <v>4</v>
      </c>
      <c r="D9568" t="s">
        <v>5</v>
      </c>
      <c r="F9568" t="str" cm="1">
        <f t="array" ref="F9568">CategorizeComment(E9568)</f>
        <v>Other</v>
      </c>
      <c r="G9568" t="str" cm="1">
        <f t="array" ref="G9568">SubCategorizeComment(E9568)</f>
        <v>Other</v>
      </c>
    </row>
    <row r="9569" spans="1:7" x14ac:dyDescent="0.25">
      <c r="A9569">
        <v>88309</v>
      </c>
      <c r="B9569" t="s">
        <v>4</v>
      </c>
      <c r="C9569">
        <v>4</v>
      </c>
      <c r="D9569" t="s">
        <v>5</v>
      </c>
      <c r="F9569" t="str" cm="1">
        <f t="array" ref="F9569">CategorizeComment(E9569)</f>
        <v>Other</v>
      </c>
      <c r="G9569" t="str" cm="1">
        <f t="array" ref="G9569">SubCategorizeComment(E9569)</f>
        <v>Other</v>
      </c>
    </row>
    <row r="9570" spans="1:7" x14ac:dyDescent="0.25">
      <c r="A9570">
        <v>88311</v>
      </c>
      <c r="B9570" t="s">
        <v>4</v>
      </c>
      <c r="C9570">
        <v>4</v>
      </c>
      <c r="D9570" t="s">
        <v>5</v>
      </c>
      <c r="F9570" t="str" cm="1">
        <f t="array" ref="F9570">CategorizeComment(E9570)</f>
        <v>Other</v>
      </c>
      <c r="G9570" t="str" cm="1">
        <f t="array" ref="G9570">SubCategorizeComment(E9570)</f>
        <v>Other</v>
      </c>
    </row>
    <row r="9571" spans="1:7" x14ac:dyDescent="0.25">
      <c r="A9571">
        <v>88313</v>
      </c>
      <c r="B9571" t="s">
        <v>4</v>
      </c>
      <c r="C9571">
        <v>4</v>
      </c>
      <c r="D9571" t="s">
        <v>5</v>
      </c>
      <c r="F9571" t="str" cm="1">
        <f t="array" ref="F9571">CategorizeComment(E9571)</f>
        <v>Other</v>
      </c>
      <c r="G9571" t="str" cm="1">
        <f t="array" ref="G9571">SubCategorizeComment(E9571)</f>
        <v>Other</v>
      </c>
    </row>
    <row r="9572" spans="1:7" x14ac:dyDescent="0.25">
      <c r="A9572">
        <v>88315</v>
      </c>
      <c r="B9572" t="s">
        <v>4</v>
      </c>
      <c r="C9572">
        <v>3</v>
      </c>
      <c r="D9572" t="s">
        <v>5</v>
      </c>
      <c r="F9572" t="str" cm="1">
        <f t="array" ref="F9572">CategorizeComment(E9572)</f>
        <v>Other</v>
      </c>
      <c r="G9572" t="str" cm="1">
        <f t="array" ref="G9572">SubCategorizeComment(E9572)</f>
        <v>Other</v>
      </c>
    </row>
    <row r="9573" spans="1:7" x14ac:dyDescent="0.25">
      <c r="A9573">
        <v>88318</v>
      </c>
      <c r="B9573" t="s">
        <v>4</v>
      </c>
      <c r="C9573">
        <v>4</v>
      </c>
      <c r="D9573" t="s">
        <v>5</v>
      </c>
      <c r="F9573" t="str" cm="1">
        <f t="array" ref="F9573">CategorizeComment(E9573)</f>
        <v>Other</v>
      </c>
      <c r="G9573" t="str" cm="1">
        <f t="array" ref="G9573">SubCategorizeComment(E9573)</f>
        <v>Other</v>
      </c>
    </row>
    <row r="9574" spans="1:7" x14ac:dyDescent="0.25">
      <c r="A9574">
        <v>88346</v>
      </c>
      <c r="B9574" t="s">
        <v>4</v>
      </c>
      <c r="C9574">
        <v>3</v>
      </c>
      <c r="D9574" t="s">
        <v>5</v>
      </c>
      <c r="F9574" t="str" cm="1">
        <f t="array" ref="F9574">CategorizeComment(E9574)</f>
        <v>Other</v>
      </c>
      <c r="G9574" t="str" cm="1">
        <f t="array" ref="G9574">SubCategorizeComment(E9574)</f>
        <v>Other</v>
      </c>
    </row>
    <row r="9575" spans="1:7" x14ac:dyDescent="0.25">
      <c r="A9575">
        <v>88372</v>
      </c>
      <c r="B9575" t="s">
        <v>4</v>
      </c>
      <c r="C9575">
        <v>4</v>
      </c>
      <c r="D9575" t="s">
        <v>5</v>
      </c>
      <c r="F9575" t="str" cm="1">
        <f t="array" ref="F9575">CategorizeComment(E9575)</f>
        <v>Other</v>
      </c>
      <c r="G9575" t="str" cm="1">
        <f t="array" ref="G9575">SubCategorizeComment(E9575)</f>
        <v>Other</v>
      </c>
    </row>
    <row r="9576" spans="1:7" x14ac:dyDescent="0.25">
      <c r="A9576">
        <v>88374</v>
      </c>
      <c r="B9576" t="s">
        <v>4</v>
      </c>
      <c r="C9576">
        <v>3</v>
      </c>
      <c r="D9576" t="s">
        <v>5</v>
      </c>
      <c r="F9576" t="str" cm="1">
        <f t="array" ref="F9576">CategorizeComment(E9576)</f>
        <v>Other</v>
      </c>
      <c r="G9576" t="str" cm="1">
        <f t="array" ref="G9576">SubCategorizeComment(E9576)</f>
        <v>Other</v>
      </c>
    </row>
    <row r="9577" spans="1:7" x14ac:dyDescent="0.25">
      <c r="A9577">
        <v>88376</v>
      </c>
      <c r="B9577" t="s">
        <v>4</v>
      </c>
      <c r="C9577">
        <v>3</v>
      </c>
      <c r="D9577" t="s">
        <v>5</v>
      </c>
      <c r="F9577" t="str" cm="1">
        <f t="array" ref="F9577">CategorizeComment(E9577)</f>
        <v>Other</v>
      </c>
      <c r="G9577" t="str" cm="1">
        <f t="array" ref="G9577">SubCategorizeComment(E9577)</f>
        <v>Other</v>
      </c>
    </row>
    <row r="9578" spans="1:7" x14ac:dyDescent="0.25">
      <c r="A9578">
        <v>88381</v>
      </c>
      <c r="B9578" t="s">
        <v>4</v>
      </c>
      <c r="C9578">
        <v>3</v>
      </c>
      <c r="D9578" t="s">
        <v>5</v>
      </c>
      <c r="F9578" t="str" cm="1">
        <f t="array" ref="F9578">CategorizeComment(E9578)</f>
        <v>Other</v>
      </c>
      <c r="G9578" t="str" cm="1">
        <f t="array" ref="G9578">SubCategorizeComment(E9578)</f>
        <v>Other</v>
      </c>
    </row>
    <row r="9579" spans="1:7" x14ac:dyDescent="0.25">
      <c r="A9579">
        <v>88382</v>
      </c>
      <c r="B9579" t="s">
        <v>4</v>
      </c>
      <c r="C9579">
        <v>3</v>
      </c>
      <c r="D9579" t="s">
        <v>5</v>
      </c>
      <c r="F9579" t="str" cm="1">
        <f t="array" ref="F9579">CategorizeComment(E9579)</f>
        <v>Other</v>
      </c>
      <c r="G9579" t="str" cm="1">
        <f t="array" ref="G9579">SubCategorizeComment(E9579)</f>
        <v>Other</v>
      </c>
    </row>
    <row r="9580" spans="1:7" x14ac:dyDescent="0.25">
      <c r="A9580">
        <v>88397</v>
      </c>
      <c r="B9580" t="s">
        <v>4</v>
      </c>
      <c r="C9580">
        <v>3</v>
      </c>
      <c r="D9580" t="s">
        <v>5</v>
      </c>
      <c r="F9580" t="str" cm="1">
        <f t="array" ref="F9580">CategorizeComment(E9580)</f>
        <v>Other</v>
      </c>
      <c r="G9580" t="str" cm="1">
        <f t="array" ref="G9580">SubCategorizeComment(E9580)</f>
        <v>Other</v>
      </c>
    </row>
    <row r="9581" spans="1:7" x14ac:dyDescent="0.25">
      <c r="A9581">
        <v>88400</v>
      </c>
      <c r="B9581" t="s">
        <v>4</v>
      </c>
      <c r="C9581">
        <v>4</v>
      </c>
      <c r="D9581" t="s">
        <v>5</v>
      </c>
      <c r="F9581" t="str" cm="1">
        <f t="array" ref="F9581">CategorizeComment(E9581)</f>
        <v>Other</v>
      </c>
      <c r="G9581" t="str" cm="1">
        <f t="array" ref="G9581">SubCategorizeComment(E9581)</f>
        <v>Other</v>
      </c>
    </row>
    <row r="9582" spans="1:7" x14ac:dyDescent="0.25">
      <c r="A9582">
        <v>88404</v>
      </c>
      <c r="B9582" t="s">
        <v>4</v>
      </c>
      <c r="C9582">
        <v>4</v>
      </c>
      <c r="D9582" t="s">
        <v>5</v>
      </c>
      <c r="F9582" t="str" cm="1">
        <f t="array" ref="F9582">CategorizeComment(E9582)</f>
        <v>Other</v>
      </c>
      <c r="G9582" t="str" cm="1">
        <f t="array" ref="G9582">SubCategorizeComment(E9582)</f>
        <v>Other</v>
      </c>
    </row>
    <row r="9583" spans="1:7" x14ac:dyDescent="0.25">
      <c r="A9583">
        <v>88405</v>
      </c>
      <c r="B9583" t="s">
        <v>4</v>
      </c>
      <c r="C9583">
        <v>3</v>
      </c>
      <c r="D9583" t="s">
        <v>5</v>
      </c>
      <c r="F9583" t="str" cm="1">
        <f t="array" ref="F9583">CategorizeComment(E9583)</f>
        <v>Other</v>
      </c>
      <c r="G9583" t="str" cm="1">
        <f t="array" ref="G9583">SubCategorizeComment(E9583)</f>
        <v>Other</v>
      </c>
    </row>
    <row r="9584" spans="1:7" x14ac:dyDescent="0.25">
      <c r="A9584">
        <v>88407</v>
      </c>
      <c r="B9584" t="s">
        <v>4</v>
      </c>
      <c r="C9584">
        <v>3</v>
      </c>
      <c r="D9584" t="s">
        <v>5</v>
      </c>
      <c r="F9584" t="str" cm="1">
        <f t="array" ref="F9584">CategorizeComment(E9584)</f>
        <v>Other</v>
      </c>
      <c r="G9584" t="str" cm="1">
        <f t="array" ref="G9584">SubCategorizeComment(E9584)</f>
        <v>Other</v>
      </c>
    </row>
    <row r="9585" spans="1:7" x14ac:dyDescent="0.25">
      <c r="A9585">
        <v>88413</v>
      </c>
      <c r="B9585" t="s">
        <v>4</v>
      </c>
      <c r="C9585">
        <v>3</v>
      </c>
      <c r="D9585" t="s">
        <v>5</v>
      </c>
      <c r="F9585" t="str" cm="1">
        <f t="array" ref="F9585">CategorizeComment(E9585)</f>
        <v>Other</v>
      </c>
      <c r="G9585" t="str" cm="1">
        <f t="array" ref="G9585">SubCategorizeComment(E9585)</f>
        <v>Other</v>
      </c>
    </row>
    <row r="9586" spans="1:7" x14ac:dyDescent="0.25">
      <c r="A9586">
        <v>88415</v>
      </c>
      <c r="B9586" t="s">
        <v>4</v>
      </c>
      <c r="C9586">
        <v>4</v>
      </c>
      <c r="D9586" t="s">
        <v>5</v>
      </c>
      <c r="F9586" t="str" cm="1">
        <f t="array" ref="F9586">CategorizeComment(E9586)</f>
        <v>Other</v>
      </c>
      <c r="G9586" t="str" cm="1">
        <f t="array" ref="G9586">SubCategorizeComment(E9586)</f>
        <v>Other</v>
      </c>
    </row>
    <row r="9587" spans="1:7" x14ac:dyDescent="0.25">
      <c r="A9587">
        <v>88431</v>
      </c>
      <c r="B9587" t="s">
        <v>4</v>
      </c>
      <c r="C9587">
        <v>3</v>
      </c>
      <c r="D9587" t="s">
        <v>5</v>
      </c>
      <c r="F9587" t="str" cm="1">
        <f t="array" ref="F9587">CategorizeComment(E9587)</f>
        <v>Other</v>
      </c>
      <c r="G9587" t="str" cm="1">
        <f t="array" ref="G9587">SubCategorizeComment(E9587)</f>
        <v>Other</v>
      </c>
    </row>
    <row r="9588" spans="1:7" x14ac:dyDescent="0.25">
      <c r="A9588">
        <v>88437</v>
      </c>
      <c r="B9588" t="s">
        <v>4</v>
      </c>
      <c r="C9588">
        <v>3</v>
      </c>
      <c r="D9588" t="s">
        <v>5</v>
      </c>
      <c r="F9588" t="str" cm="1">
        <f t="array" ref="F9588">CategorizeComment(E9588)</f>
        <v>Other</v>
      </c>
      <c r="G9588" t="str" cm="1">
        <f t="array" ref="G9588">SubCategorizeComment(E9588)</f>
        <v>Other</v>
      </c>
    </row>
    <row r="9589" spans="1:7" x14ac:dyDescent="0.25">
      <c r="A9589">
        <v>88441</v>
      </c>
      <c r="B9589" t="s">
        <v>4</v>
      </c>
      <c r="C9589">
        <v>4</v>
      </c>
      <c r="D9589" t="s">
        <v>5</v>
      </c>
      <c r="F9589" t="str" cm="1">
        <f t="array" ref="F9589">CategorizeComment(E9589)</f>
        <v>Other</v>
      </c>
      <c r="G9589" t="str" cm="1">
        <f t="array" ref="G9589">SubCategorizeComment(E9589)</f>
        <v>Other</v>
      </c>
    </row>
    <row r="9590" spans="1:7" x14ac:dyDescent="0.25">
      <c r="A9590">
        <v>88442</v>
      </c>
      <c r="B9590" t="s">
        <v>4</v>
      </c>
      <c r="C9590">
        <v>4</v>
      </c>
      <c r="D9590" t="s">
        <v>5</v>
      </c>
      <c r="F9590" t="str" cm="1">
        <f t="array" ref="F9590">CategorizeComment(E9590)</f>
        <v>Other</v>
      </c>
      <c r="G9590" t="str" cm="1">
        <f t="array" ref="G9590">SubCategorizeComment(E9590)</f>
        <v>Other</v>
      </c>
    </row>
    <row r="9591" spans="1:7" x14ac:dyDescent="0.25">
      <c r="A9591">
        <v>88448</v>
      </c>
      <c r="B9591" t="s">
        <v>4</v>
      </c>
      <c r="C9591">
        <v>4</v>
      </c>
      <c r="D9591" t="s">
        <v>5</v>
      </c>
      <c r="F9591" t="str" cm="1">
        <f t="array" ref="F9591">CategorizeComment(E9591)</f>
        <v>Other</v>
      </c>
      <c r="G9591" t="str" cm="1">
        <f t="array" ref="G9591">SubCategorizeComment(E9591)</f>
        <v>Other</v>
      </c>
    </row>
    <row r="9592" spans="1:7" x14ac:dyDescent="0.25">
      <c r="A9592">
        <v>88467</v>
      </c>
      <c r="B9592" t="s">
        <v>4</v>
      </c>
      <c r="C9592">
        <v>4</v>
      </c>
      <c r="D9592" t="s">
        <v>5</v>
      </c>
      <c r="F9592" t="str" cm="1">
        <f t="array" ref="F9592">CategorizeComment(E9592)</f>
        <v>Other</v>
      </c>
      <c r="G9592" t="str" cm="1">
        <f t="array" ref="G9592">SubCategorizeComment(E9592)</f>
        <v>Other</v>
      </c>
    </row>
    <row r="9593" spans="1:7" x14ac:dyDescent="0.25">
      <c r="A9593">
        <v>88475</v>
      </c>
      <c r="B9593" t="s">
        <v>4</v>
      </c>
      <c r="C9593">
        <v>3</v>
      </c>
      <c r="D9593" t="s">
        <v>5</v>
      </c>
      <c r="F9593" t="str" cm="1">
        <f t="array" ref="F9593">CategorizeComment(E9593)</f>
        <v>Other</v>
      </c>
      <c r="G9593" t="str" cm="1">
        <f t="array" ref="G9593">SubCategorizeComment(E9593)</f>
        <v>Other</v>
      </c>
    </row>
    <row r="9594" spans="1:7" x14ac:dyDescent="0.25">
      <c r="A9594">
        <v>88480</v>
      </c>
      <c r="B9594" t="s">
        <v>4</v>
      </c>
      <c r="C9594">
        <v>3</v>
      </c>
      <c r="D9594" t="s">
        <v>5</v>
      </c>
      <c r="F9594" t="str" cm="1">
        <f t="array" ref="F9594">CategorizeComment(E9594)</f>
        <v>Other</v>
      </c>
      <c r="G9594" t="str" cm="1">
        <f t="array" ref="G9594">SubCategorizeComment(E9594)</f>
        <v>Other</v>
      </c>
    </row>
    <row r="9595" spans="1:7" x14ac:dyDescent="0.25">
      <c r="A9595">
        <v>88482</v>
      </c>
      <c r="B9595" t="s">
        <v>4</v>
      </c>
      <c r="C9595">
        <v>3</v>
      </c>
      <c r="D9595" t="s">
        <v>5</v>
      </c>
      <c r="F9595" t="str" cm="1">
        <f t="array" ref="F9595">CategorizeComment(E9595)</f>
        <v>Other</v>
      </c>
      <c r="G9595" t="str" cm="1">
        <f t="array" ref="G9595">SubCategorizeComment(E9595)</f>
        <v>Other</v>
      </c>
    </row>
    <row r="9596" spans="1:7" x14ac:dyDescent="0.25">
      <c r="A9596">
        <v>88484</v>
      </c>
      <c r="B9596" t="s">
        <v>4</v>
      </c>
      <c r="C9596">
        <v>4</v>
      </c>
      <c r="D9596" t="s">
        <v>5</v>
      </c>
      <c r="F9596" t="str" cm="1">
        <f t="array" ref="F9596">CategorizeComment(E9596)</f>
        <v>Other</v>
      </c>
      <c r="G9596" t="str" cm="1">
        <f t="array" ref="G9596">SubCategorizeComment(E9596)</f>
        <v>Other</v>
      </c>
    </row>
    <row r="9597" spans="1:7" x14ac:dyDescent="0.25">
      <c r="A9597">
        <v>88492</v>
      </c>
      <c r="B9597" t="s">
        <v>4</v>
      </c>
      <c r="C9597">
        <v>3</v>
      </c>
      <c r="D9597" t="s">
        <v>5</v>
      </c>
      <c r="F9597" t="str" cm="1">
        <f t="array" ref="F9597">CategorizeComment(E9597)</f>
        <v>Other</v>
      </c>
      <c r="G9597" t="str" cm="1">
        <f t="array" ref="G9597">SubCategorizeComment(E9597)</f>
        <v>Other</v>
      </c>
    </row>
    <row r="9598" spans="1:7" x14ac:dyDescent="0.25">
      <c r="A9598">
        <v>88508</v>
      </c>
      <c r="B9598" t="s">
        <v>4</v>
      </c>
      <c r="C9598">
        <v>3</v>
      </c>
      <c r="D9598" t="s">
        <v>5</v>
      </c>
      <c r="F9598" t="str" cm="1">
        <f t="array" ref="F9598">CategorizeComment(E9598)</f>
        <v>Other</v>
      </c>
      <c r="G9598" t="str" cm="1">
        <f t="array" ref="G9598">SubCategorizeComment(E9598)</f>
        <v>Other</v>
      </c>
    </row>
    <row r="9599" spans="1:7" x14ac:dyDescent="0.25">
      <c r="A9599">
        <v>88514</v>
      </c>
      <c r="B9599" t="s">
        <v>4</v>
      </c>
      <c r="C9599">
        <v>4</v>
      </c>
      <c r="D9599" t="s">
        <v>5</v>
      </c>
      <c r="F9599" t="str" cm="1">
        <f t="array" ref="F9599">CategorizeComment(E9599)</f>
        <v>Other</v>
      </c>
      <c r="G9599" t="str" cm="1">
        <f t="array" ref="G9599">SubCategorizeComment(E9599)</f>
        <v>Other</v>
      </c>
    </row>
    <row r="9600" spans="1:7" x14ac:dyDescent="0.25">
      <c r="A9600">
        <v>88522</v>
      </c>
      <c r="B9600" t="s">
        <v>4</v>
      </c>
      <c r="C9600">
        <v>4</v>
      </c>
      <c r="D9600" t="s">
        <v>5</v>
      </c>
      <c r="F9600" t="str" cm="1">
        <f t="array" ref="F9600">CategorizeComment(E9600)</f>
        <v>Other</v>
      </c>
      <c r="G9600" t="str" cm="1">
        <f t="array" ref="G9600">SubCategorizeComment(E9600)</f>
        <v>Other</v>
      </c>
    </row>
    <row r="9601" spans="1:7" x14ac:dyDescent="0.25">
      <c r="A9601">
        <v>88530</v>
      </c>
      <c r="B9601" t="s">
        <v>4</v>
      </c>
      <c r="C9601">
        <v>4</v>
      </c>
      <c r="D9601" t="s">
        <v>5</v>
      </c>
      <c r="F9601" t="str" cm="1">
        <f t="array" ref="F9601">CategorizeComment(E9601)</f>
        <v>Other</v>
      </c>
      <c r="G9601" t="str" cm="1">
        <f t="array" ref="G9601">SubCategorizeComment(E9601)</f>
        <v>Other</v>
      </c>
    </row>
    <row r="9602" spans="1:7" x14ac:dyDescent="0.25">
      <c r="A9602">
        <v>88536</v>
      </c>
      <c r="B9602" t="s">
        <v>4</v>
      </c>
      <c r="C9602">
        <v>3</v>
      </c>
      <c r="D9602" t="s">
        <v>5</v>
      </c>
      <c r="F9602" t="str" cm="1">
        <f t="array" ref="F9602">CategorizeComment(E9602)</f>
        <v>Other</v>
      </c>
      <c r="G9602" t="str" cm="1">
        <f t="array" ref="G9602">SubCategorizeComment(E9602)</f>
        <v>Other</v>
      </c>
    </row>
    <row r="9603" spans="1:7" x14ac:dyDescent="0.25">
      <c r="A9603">
        <v>88540</v>
      </c>
      <c r="B9603" t="s">
        <v>4</v>
      </c>
      <c r="C9603">
        <v>4</v>
      </c>
      <c r="D9603" t="s">
        <v>5</v>
      </c>
      <c r="F9603" t="str" cm="1">
        <f t="array" ref="F9603">CategorizeComment(E9603)</f>
        <v>Other</v>
      </c>
      <c r="G9603" t="str" cm="1">
        <f t="array" ref="G9603">SubCategorizeComment(E9603)</f>
        <v>Other</v>
      </c>
    </row>
    <row r="9604" spans="1:7" x14ac:dyDescent="0.25">
      <c r="A9604">
        <v>88550</v>
      </c>
      <c r="B9604" t="s">
        <v>4</v>
      </c>
      <c r="C9604">
        <v>3</v>
      </c>
      <c r="D9604" t="s">
        <v>5</v>
      </c>
      <c r="F9604" t="str" cm="1">
        <f t="array" ref="F9604">CategorizeComment(E9604)</f>
        <v>Other</v>
      </c>
      <c r="G9604" t="str" cm="1">
        <f t="array" ref="G9604">SubCategorizeComment(E9604)</f>
        <v>Other</v>
      </c>
    </row>
    <row r="9605" spans="1:7" x14ac:dyDescent="0.25">
      <c r="A9605">
        <v>88557</v>
      </c>
      <c r="B9605" t="s">
        <v>4</v>
      </c>
      <c r="C9605">
        <v>3</v>
      </c>
      <c r="D9605" t="s">
        <v>5</v>
      </c>
      <c r="F9605" t="str" cm="1">
        <f t="array" ref="F9605">CategorizeComment(E9605)</f>
        <v>Other</v>
      </c>
      <c r="G9605" t="str" cm="1">
        <f t="array" ref="G9605">SubCategorizeComment(E9605)</f>
        <v>Other</v>
      </c>
    </row>
    <row r="9606" spans="1:7" x14ac:dyDescent="0.25">
      <c r="A9606">
        <v>88572</v>
      </c>
      <c r="B9606" t="s">
        <v>4</v>
      </c>
      <c r="C9606">
        <v>4</v>
      </c>
      <c r="D9606" t="s">
        <v>5</v>
      </c>
      <c r="F9606" t="str" cm="1">
        <f t="array" ref="F9606">CategorizeComment(E9606)</f>
        <v>Other</v>
      </c>
      <c r="G9606" t="str" cm="1">
        <f t="array" ref="G9606">SubCategorizeComment(E9606)</f>
        <v>Other</v>
      </c>
    </row>
    <row r="9607" spans="1:7" x14ac:dyDescent="0.25">
      <c r="A9607">
        <v>88605</v>
      </c>
      <c r="B9607" t="s">
        <v>4</v>
      </c>
      <c r="C9607">
        <v>4</v>
      </c>
      <c r="D9607" t="s">
        <v>5</v>
      </c>
      <c r="F9607" t="str" cm="1">
        <f t="array" ref="F9607">CategorizeComment(E9607)</f>
        <v>Other</v>
      </c>
      <c r="G9607" t="str" cm="1">
        <f t="array" ref="G9607">SubCategorizeComment(E9607)</f>
        <v>Other</v>
      </c>
    </row>
    <row r="9608" spans="1:7" x14ac:dyDescent="0.25">
      <c r="A9608">
        <v>88610</v>
      </c>
      <c r="B9608" t="s">
        <v>4</v>
      </c>
      <c r="C9608">
        <v>3</v>
      </c>
      <c r="D9608" t="s">
        <v>5</v>
      </c>
      <c r="F9608" t="str" cm="1">
        <f t="array" ref="F9608">CategorizeComment(E9608)</f>
        <v>Other</v>
      </c>
      <c r="G9608" t="str" cm="1">
        <f t="array" ref="G9608">SubCategorizeComment(E9608)</f>
        <v>Other</v>
      </c>
    </row>
    <row r="9609" spans="1:7" x14ac:dyDescent="0.25">
      <c r="A9609">
        <v>88613</v>
      </c>
      <c r="B9609" t="s">
        <v>4</v>
      </c>
      <c r="C9609">
        <v>3</v>
      </c>
      <c r="D9609" t="s">
        <v>5</v>
      </c>
      <c r="F9609" t="str" cm="1">
        <f t="array" ref="F9609">CategorizeComment(E9609)</f>
        <v>Other</v>
      </c>
      <c r="G9609" t="str" cm="1">
        <f t="array" ref="G9609">SubCategorizeComment(E9609)</f>
        <v>Other</v>
      </c>
    </row>
    <row r="9610" spans="1:7" x14ac:dyDescent="0.25">
      <c r="A9610">
        <v>88617</v>
      </c>
      <c r="B9610" t="s">
        <v>4</v>
      </c>
      <c r="C9610">
        <v>3</v>
      </c>
      <c r="D9610" t="s">
        <v>5</v>
      </c>
      <c r="F9610" t="str" cm="1">
        <f t="array" ref="F9610">CategorizeComment(E9610)</f>
        <v>Other</v>
      </c>
      <c r="G9610" t="str" cm="1">
        <f t="array" ref="G9610">SubCategorizeComment(E9610)</f>
        <v>Other</v>
      </c>
    </row>
    <row r="9611" spans="1:7" x14ac:dyDescent="0.25">
      <c r="A9611">
        <v>88618</v>
      </c>
      <c r="B9611" t="s">
        <v>4</v>
      </c>
      <c r="C9611">
        <v>4</v>
      </c>
      <c r="D9611" t="s">
        <v>5</v>
      </c>
      <c r="F9611" t="str" cm="1">
        <f t="array" ref="F9611">CategorizeComment(E9611)</f>
        <v>Other</v>
      </c>
      <c r="G9611" t="str" cm="1">
        <f t="array" ref="G9611">SubCategorizeComment(E9611)</f>
        <v>Other</v>
      </c>
    </row>
    <row r="9612" spans="1:7" x14ac:dyDescent="0.25">
      <c r="A9612">
        <v>88639</v>
      </c>
      <c r="B9612" t="s">
        <v>4</v>
      </c>
      <c r="C9612">
        <v>3</v>
      </c>
      <c r="D9612" t="s">
        <v>5</v>
      </c>
      <c r="F9612" t="str" cm="1">
        <f t="array" ref="F9612">CategorizeComment(E9612)</f>
        <v>Other</v>
      </c>
      <c r="G9612" t="str" cm="1">
        <f t="array" ref="G9612">SubCategorizeComment(E9612)</f>
        <v>Other</v>
      </c>
    </row>
    <row r="9613" spans="1:7" x14ac:dyDescent="0.25">
      <c r="A9613">
        <v>88663</v>
      </c>
      <c r="B9613" t="s">
        <v>4</v>
      </c>
      <c r="C9613">
        <v>4</v>
      </c>
      <c r="D9613" t="s">
        <v>5</v>
      </c>
      <c r="F9613" t="str" cm="1">
        <f t="array" ref="F9613">CategorizeComment(E9613)</f>
        <v>Other</v>
      </c>
      <c r="G9613" t="str" cm="1">
        <f t="array" ref="G9613">SubCategorizeComment(E9613)</f>
        <v>Other</v>
      </c>
    </row>
    <row r="9614" spans="1:7" x14ac:dyDescent="0.25">
      <c r="A9614">
        <v>88675</v>
      </c>
      <c r="B9614" t="s">
        <v>4</v>
      </c>
      <c r="C9614">
        <v>4</v>
      </c>
      <c r="D9614" t="s">
        <v>5</v>
      </c>
      <c r="F9614" t="str" cm="1">
        <f t="array" ref="F9614">CategorizeComment(E9614)</f>
        <v>Other</v>
      </c>
      <c r="G9614" t="str" cm="1">
        <f t="array" ref="G9614">SubCategorizeComment(E9614)</f>
        <v>Other</v>
      </c>
    </row>
    <row r="9615" spans="1:7" x14ac:dyDescent="0.25">
      <c r="A9615">
        <v>88680</v>
      </c>
      <c r="B9615" t="s">
        <v>4</v>
      </c>
      <c r="C9615">
        <v>4</v>
      </c>
      <c r="D9615" t="s">
        <v>5</v>
      </c>
      <c r="F9615" t="str" cm="1">
        <f t="array" ref="F9615">CategorizeComment(E9615)</f>
        <v>Other</v>
      </c>
      <c r="G9615" t="str" cm="1">
        <f t="array" ref="G9615">SubCategorizeComment(E9615)</f>
        <v>Other</v>
      </c>
    </row>
    <row r="9616" spans="1:7" x14ac:dyDescent="0.25">
      <c r="A9616">
        <v>88711</v>
      </c>
      <c r="B9616" t="s">
        <v>4</v>
      </c>
      <c r="C9616">
        <v>3</v>
      </c>
      <c r="D9616" t="s">
        <v>5</v>
      </c>
      <c r="F9616" t="str" cm="1">
        <f t="array" ref="F9616">CategorizeComment(E9616)</f>
        <v>Other</v>
      </c>
      <c r="G9616" t="str" cm="1">
        <f t="array" ref="G9616">SubCategorizeComment(E9616)</f>
        <v>Other</v>
      </c>
    </row>
    <row r="9617" spans="1:7" x14ac:dyDescent="0.25">
      <c r="A9617">
        <v>88733</v>
      </c>
      <c r="B9617" t="s">
        <v>4</v>
      </c>
      <c r="C9617">
        <v>3</v>
      </c>
      <c r="D9617" t="s">
        <v>5</v>
      </c>
      <c r="F9617" t="str" cm="1">
        <f t="array" ref="F9617">CategorizeComment(E9617)</f>
        <v>Other</v>
      </c>
      <c r="G9617" t="str" cm="1">
        <f t="array" ref="G9617">SubCategorizeComment(E9617)</f>
        <v>Other</v>
      </c>
    </row>
    <row r="9618" spans="1:7" x14ac:dyDescent="0.25">
      <c r="A9618">
        <v>88742</v>
      </c>
      <c r="B9618" t="s">
        <v>4</v>
      </c>
      <c r="C9618">
        <v>3</v>
      </c>
      <c r="D9618" t="s">
        <v>5</v>
      </c>
      <c r="F9618" t="str" cm="1">
        <f t="array" ref="F9618">CategorizeComment(E9618)</f>
        <v>Other</v>
      </c>
      <c r="G9618" t="str" cm="1">
        <f t="array" ref="G9618">SubCategorizeComment(E9618)</f>
        <v>Other</v>
      </c>
    </row>
    <row r="9619" spans="1:7" x14ac:dyDescent="0.25">
      <c r="A9619">
        <v>88752</v>
      </c>
      <c r="B9619" t="s">
        <v>4</v>
      </c>
      <c r="C9619">
        <v>3</v>
      </c>
      <c r="D9619" t="s">
        <v>5</v>
      </c>
      <c r="F9619" t="str" cm="1">
        <f t="array" ref="F9619">CategorizeComment(E9619)</f>
        <v>Other</v>
      </c>
      <c r="G9619" t="str" cm="1">
        <f t="array" ref="G9619">SubCategorizeComment(E9619)</f>
        <v>Other</v>
      </c>
    </row>
    <row r="9620" spans="1:7" x14ac:dyDescent="0.25">
      <c r="A9620">
        <v>88754</v>
      </c>
      <c r="B9620" t="s">
        <v>4</v>
      </c>
      <c r="C9620">
        <v>4</v>
      </c>
      <c r="D9620" t="s">
        <v>5</v>
      </c>
      <c r="F9620" t="str" cm="1">
        <f t="array" ref="F9620">CategorizeComment(E9620)</f>
        <v>Other</v>
      </c>
      <c r="G9620" t="str" cm="1">
        <f t="array" ref="G9620">SubCategorizeComment(E9620)</f>
        <v>Other</v>
      </c>
    </row>
    <row r="9621" spans="1:7" x14ac:dyDescent="0.25">
      <c r="A9621">
        <v>88777</v>
      </c>
      <c r="B9621" t="s">
        <v>4</v>
      </c>
      <c r="C9621">
        <v>3</v>
      </c>
      <c r="D9621" t="s">
        <v>5</v>
      </c>
      <c r="F9621" t="str" cm="1">
        <f t="array" ref="F9621">CategorizeComment(E9621)</f>
        <v>Other</v>
      </c>
      <c r="G9621" t="str" cm="1">
        <f t="array" ref="G9621">SubCategorizeComment(E9621)</f>
        <v>Other</v>
      </c>
    </row>
    <row r="9622" spans="1:7" x14ac:dyDescent="0.25">
      <c r="A9622">
        <v>88781</v>
      </c>
      <c r="B9622" t="s">
        <v>4</v>
      </c>
      <c r="C9622">
        <v>3</v>
      </c>
      <c r="D9622" t="s">
        <v>5</v>
      </c>
      <c r="F9622" t="str" cm="1">
        <f t="array" ref="F9622">CategorizeComment(E9622)</f>
        <v>Other</v>
      </c>
      <c r="G9622" t="str" cm="1">
        <f t="array" ref="G9622">SubCategorizeComment(E9622)</f>
        <v>Other</v>
      </c>
    </row>
    <row r="9623" spans="1:7" x14ac:dyDescent="0.25">
      <c r="A9623">
        <v>88799</v>
      </c>
      <c r="B9623" t="s">
        <v>4</v>
      </c>
      <c r="C9623">
        <v>3</v>
      </c>
      <c r="D9623" t="s">
        <v>5</v>
      </c>
      <c r="F9623" t="str" cm="1">
        <f t="array" ref="F9623">CategorizeComment(E9623)</f>
        <v>Other</v>
      </c>
      <c r="G9623" t="str" cm="1">
        <f t="array" ref="G9623">SubCategorizeComment(E9623)</f>
        <v>Other</v>
      </c>
    </row>
    <row r="9624" spans="1:7" x14ac:dyDescent="0.25">
      <c r="A9624">
        <v>88800</v>
      </c>
      <c r="B9624" t="s">
        <v>4</v>
      </c>
      <c r="C9624">
        <v>3</v>
      </c>
      <c r="D9624" t="s">
        <v>5</v>
      </c>
      <c r="F9624" t="str" cm="1">
        <f t="array" ref="F9624">CategorizeComment(E9624)</f>
        <v>Other</v>
      </c>
      <c r="G9624" t="str" cm="1">
        <f t="array" ref="G9624">SubCategorizeComment(E9624)</f>
        <v>Other</v>
      </c>
    </row>
    <row r="9625" spans="1:7" x14ac:dyDescent="0.25">
      <c r="A9625">
        <v>88803</v>
      </c>
      <c r="B9625" t="s">
        <v>4</v>
      </c>
      <c r="C9625">
        <v>4</v>
      </c>
      <c r="D9625" t="s">
        <v>5</v>
      </c>
      <c r="F9625" t="str" cm="1">
        <f t="array" ref="F9625">CategorizeComment(E9625)</f>
        <v>Other</v>
      </c>
      <c r="G9625" t="str" cm="1">
        <f t="array" ref="G9625">SubCategorizeComment(E9625)</f>
        <v>Other</v>
      </c>
    </row>
    <row r="9626" spans="1:7" x14ac:dyDescent="0.25">
      <c r="A9626">
        <v>88809</v>
      </c>
      <c r="B9626" t="s">
        <v>4</v>
      </c>
      <c r="C9626">
        <v>4</v>
      </c>
      <c r="D9626" t="s">
        <v>5</v>
      </c>
      <c r="F9626" t="str" cm="1">
        <f t="array" ref="F9626">CategorizeComment(E9626)</f>
        <v>Other</v>
      </c>
      <c r="G9626" t="str" cm="1">
        <f t="array" ref="G9626">SubCategorizeComment(E9626)</f>
        <v>Other</v>
      </c>
    </row>
    <row r="9627" spans="1:7" x14ac:dyDescent="0.25">
      <c r="A9627">
        <v>88811</v>
      </c>
      <c r="B9627" t="s">
        <v>4</v>
      </c>
      <c r="C9627">
        <v>4</v>
      </c>
      <c r="D9627" t="s">
        <v>5</v>
      </c>
      <c r="F9627" t="str" cm="1">
        <f t="array" ref="F9627">CategorizeComment(E9627)</f>
        <v>Other</v>
      </c>
      <c r="G9627" t="str" cm="1">
        <f t="array" ref="G9627">SubCategorizeComment(E9627)</f>
        <v>Other</v>
      </c>
    </row>
    <row r="9628" spans="1:7" x14ac:dyDescent="0.25">
      <c r="A9628">
        <v>88813</v>
      </c>
      <c r="B9628" t="s">
        <v>4</v>
      </c>
      <c r="C9628">
        <v>4</v>
      </c>
      <c r="D9628" t="s">
        <v>5</v>
      </c>
      <c r="F9628" t="str" cm="1">
        <f t="array" ref="F9628">CategorizeComment(E9628)</f>
        <v>Other</v>
      </c>
      <c r="G9628" t="str" cm="1">
        <f t="array" ref="G9628">SubCategorizeComment(E9628)</f>
        <v>Other</v>
      </c>
    </row>
    <row r="9629" spans="1:7" x14ac:dyDescent="0.25">
      <c r="A9629">
        <v>88821</v>
      </c>
      <c r="B9629" t="s">
        <v>4</v>
      </c>
      <c r="C9629">
        <v>3</v>
      </c>
      <c r="D9629" t="s">
        <v>5</v>
      </c>
      <c r="F9629" t="str" cm="1">
        <f t="array" ref="F9629">CategorizeComment(E9629)</f>
        <v>Other</v>
      </c>
      <c r="G9629" t="str" cm="1">
        <f t="array" ref="G9629">SubCategorizeComment(E9629)</f>
        <v>Other</v>
      </c>
    </row>
    <row r="9630" spans="1:7" x14ac:dyDescent="0.25">
      <c r="A9630">
        <v>88826</v>
      </c>
      <c r="B9630" t="s">
        <v>4</v>
      </c>
      <c r="C9630">
        <v>4</v>
      </c>
      <c r="D9630" t="s">
        <v>5</v>
      </c>
      <c r="F9630" t="str" cm="1">
        <f t="array" ref="F9630">CategorizeComment(E9630)</f>
        <v>Other</v>
      </c>
      <c r="G9630" t="str" cm="1">
        <f t="array" ref="G9630">SubCategorizeComment(E9630)</f>
        <v>Other</v>
      </c>
    </row>
    <row r="9631" spans="1:7" x14ac:dyDescent="0.25">
      <c r="A9631">
        <v>88837</v>
      </c>
      <c r="B9631" t="s">
        <v>4</v>
      </c>
      <c r="C9631">
        <v>4</v>
      </c>
      <c r="D9631" t="s">
        <v>5</v>
      </c>
      <c r="F9631" t="str" cm="1">
        <f t="array" ref="F9631">CategorizeComment(E9631)</f>
        <v>Other</v>
      </c>
      <c r="G9631" t="str" cm="1">
        <f t="array" ref="G9631">SubCategorizeComment(E9631)</f>
        <v>Other</v>
      </c>
    </row>
    <row r="9632" spans="1:7" x14ac:dyDescent="0.25">
      <c r="A9632">
        <v>88858</v>
      </c>
      <c r="B9632" t="s">
        <v>4</v>
      </c>
      <c r="C9632">
        <v>3</v>
      </c>
      <c r="D9632" t="s">
        <v>5</v>
      </c>
      <c r="F9632" t="str" cm="1">
        <f t="array" ref="F9632">CategorizeComment(E9632)</f>
        <v>Other</v>
      </c>
      <c r="G9632" t="str" cm="1">
        <f t="array" ref="G9632">SubCategorizeComment(E9632)</f>
        <v>Other</v>
      </c>
    </row>
    <row r="9633" spans="1:7" x14ac:dyDescent="0.25">
      <c r="A9633">
        <v>88871</v>
      </c>
      <c r="B9633" t="s">
        <v>4</v>
      </c>
      <c r="C9633">
        <v>4</v>
      </c>
      <c r="D9633" t="s">
        <v>5</v>
      </c>
      <c r="F9633" t="str" cm="1">
        <f t="array" ref="F9633">CategorizeComment(E9633)</f>
        <v>Other</v>
      </c>
      <c r="G9633" t="str" cm="1">
        <f t="array" ref="G9633">SubCategorizeComment(E9633)</f>
        <v>Other</v>
      </c>
    </row>
    <row r="9634" spans="1:7" x14ac:dyDescent="0.25">
      <c r="A9634">
        <v>88887</v>
      </c>
      <c r="B9634" t="s">
        <v>4</v>
      </c>
      <c r="C9634">
        <v>3</v>
      </c>
      <c r="D9634" t="s">
        <v>5</v>
      </c>
      <c r="F9634" t="str" cm="1">
        <f t="array" ref="F9634">CategorizeComment(E9634)</f>
        <v>Other</v>
      </c>
      <c r="G9634" t="str" cm="1">
        <f t="array" ref="G9634">SubCategorizeComment(E9634)</f>
        <v>Other</v>
      </c>
    </row>
    <row r="9635" spans="1:7" x14ac:dyDescent="0.25">
      <c r="A9635">
        <v>88889</v>
      </c>
      <c r="B9635" t="s">
        <v>4</v>
      </c>
      <c r="C9635">
        <v>4</v>
      </c>
      <c r="D9635" t="s">
        <v>5</v>
      </c>
      <c r="F9635" t="str" cm="1">
        <f t="array" ref="F9635">CategorizeComment(E9635)</f>
        <v>Other</v>
      </c>
      <c r="G9635" t="str" cm="1">
        <f t="array" ref="G9635">SubCategorizeComment(E9635)</f>
        <v>Other</v>
      </c>
    </row>
    <row r="9636" spans="1:7" x14ac:dyDescent="0.25">
      <c r="A9636">
        <v>88898</v>
      </c>
      <c r="B9636" t="s">
        <v>4</v>
      </c>
      <c r="C9636">
        <v>3</v>
      </c>
      <c r="D9636" t="s">
        <v>5</v>
      </c>
      <c r="F9636" t="str" cm="1">
        <f t="array" ref="F9636">CategorizeComment(E9636)</f>
        <v>Other</v>
      </c>
      <c r="G9636" t="str" cm="1">
        <f t="array" ref="G9636">SubCategorizeComment(E9636)</f>
        <v>Other</v>
      </c>
    </row>
    <row r="9637" spans="1:7" x14ac:dyDescent="0.25">
      <c r="A9637">
        <v>88899</v>
      </c>
      <c r="B9637" t="s">
        <v>4</v>
      </c>
      <c r="C9637">
        <v>4</v>
      </c>
      <c r="D9637" t="s">
        <v>5</v>
      </c>
      <c r="F9637" t="str" cm="1">
        <f t="array" ref="F9637">CategorizeComment(E9637)</f>
        <v>Other</v>
      </c>
      <c r="G9637" t="str" cm="1">
        <f t="array" ref="G9637">SubCategorizeComment(E9637)</f>
        <v>Other</v>
      </c>
    </row>
    <row r="9638" spans="1:7" x14ac:dyDescent="0.25">
      <c r="A9638">
        <v>88917</v>
      </c>
      <c r="B9638" t="s">
        <v>4</v>
      </c>
      <c r="C9638">
        <v>3</v>
      </c>
      <c r="D9638" t="s">
        <v>5</v>
      </c>
      <c r="F9638" t="str" cm="1">
        <f t="array" ref="F9638">CategorizeComment(E9638)</f>
        <v>Other</v>
      </c>
      <c r="G9638" t="str" cm="1">
        <f t="array" ref="G9638">SubCategorizeComment(E9638)</f>
        <v>Other</v>
      </c>
    </row>
    <row r="9639" spans="1:7" x14ac:dyDescent="0.25">
      <c r="A9639">
        <v>88955</v>
      </c>
      <c r="B9639" t="s">
        <v>4</v>
      </c>
      <c r="C9639">
        <v>3</v>
      </c>
      <c r="D9639" t="s">
        <v>5</v>
      </c>
      <c r="F9639" t="str" cm="1">
        <f t="array" ref="F9639">CategorizeComment(E9639)</f>
        <v>Other</v>
      </c>
      <c r="G9639" t="str" cm="1">
        <f t="array" ref="G9639">SubCategorizeComment(E9639)</f>
        <v>Other</v>
      </c>
    </row>
    <row r="9640" spans="1:7" x14ac:dyDescent="0.25">
      <c r="A9640">
        <v>88967</v>
      </c>
      <c r="B9640" t="s">
        <v>4</v>
      </c>
      <c r="C9640">
        <v>3</v>
      </c>
      <c r="D9640" t="s">
        <v>5</v>
      </c>
      <c r="F9640" t="str" cm="1">
        <f t="array" ref="F9640">CategorizeComment(E9640)</f>
        <v>Other</v>
      </c>
      <c r="G9640" t="str" cm="1">
        <f t="array" ref="G9640">SubCategorizeComment(E9640)</f>
        <v>Other</v>
      </c>
    </row>
    <row r="9641" spans="1:7" x14ac:dyDescent="0.25">
      <c r="A9641">
        <v>88968</v>
      </c>
      <c r="B9641" t="s">
        <v>4</v>
      </c>
      <c r="C9641">
        <v>3</v>
      </c>
      <c r="D9641" t="s">
        <v>5</v>
      </c>
      <c r="F9641" t="str" cm="1">
        <f t="array" ref="F9641">CategorizeComment(E9641)</f>
        <v>Other</v>
      </c>
      <c r="G9641" t="str" cm="1">
        <f t="array" ref="G9641">SubCategorizeComment(E9641)</f>
        <v>Other</v>
      </c>
    </row>
    <row r="9642" spans="1:7" x14ac:dyDescent="0.25">
      <c r="A9642">
        <v>88975</v>
      </c>
      <c r="B9642" t="s">
        <v>4</v>
      </c>
      <c r="C9642">
        <v>3</v>
      </c>
      <c r="D9642" t="s">
        <v>5</v>
      </c>
      <c r="F9642" t="str" cm="1">
        <f t="array" ref="F9642">CategorizeComment(E9642)</f>
        <v>Other</v>
      </c>
      <c r="G9642" t="str" cm="1">
        <f t="array" ref="G9642">SubCategorizeComment(E9642)</f>
        <v>Other</v>
      </c>
    </row>
    <row r="9643" spans="1:7" x14ac:dyDescent="0.25">
      <c r="A9643">
        <v>88976</v>
      </c>
      <c r="B9643" t="s">
        <v>4</v>
      </c>
      <c r="C9643">
        <v>4</v>
      </c>
      <c r="D9643" t="s">
        <v>5</v>
      </c>
      <c r="F9643" t="str" cm="1">
        <f t="array" ref="F9643">CategorizeComment(E9643)</f>
        <v>Other</v>
      </c>
      <c r="G9643" t="str" cm="1">
        <f t="array" ref="G9643">SubCategorizeComment(E9643)</f>
        <v>Other</v>
      </c>
    </row>
    <row r="9644" spans="1:7" x14ac:dyDescent="0.25">
      <c r="A9644">
        <v>88995</v>
      </c>
      <c r="B9644" t="s">
        <v>4</v>
      </c>
      <c r="C9644">
        <v>3</v>
      </c>
      <c r="D9644" t="s">
        <v>5</v>
      </c>
      <c r="F9644" t="str" cm="1">
        <f t="array" ref="F9644">CategorizeComment(E9644)</f>
        <v>Other</v>
      </c>
      <c r="G9644" t="str" cm="1">
        <f t="array" ref="G9644">SubCategorizeComment(E9644)</f>
        <v>Other</v>
      </c>
    </row>
    <row r="9645" spans="1:7" x14ac:dyDescent="0.25">
      <c r="A9645">
        <v>88997</v>
      </c>
      <c r="B9645" t="s">
        <v>4</v>
      </c>
      <c r="C9645">
        <v>4</v>
      </c>
      <c r="D9645" t="s">
        <v>5</v>
      </c>
      <c r="F9645" t="str" cm="1">
        <f t="array" ref="F9645">CategorizeComment(E9645)</f>
        <v>Other</v>
      </c>
      <c r="G9645" t="str" cm="1">
        <f t="array" ref="G9645">SubCategorizeComment(E9645)</f>
        <v>Other</v>
      </c>
    </row>
    <row r="9646" spans="1:7" x14ac:dyDescent="0.25">
      <c r="A9646">
        <v>88998</v>
      </c>
      <c r="B9646" t="s">
        <v>4</v>
      </c>
      <c r="C9646">
        <v>3</v>
      </c>
      <c r="D9646" t="s">
        <v>5</v>
      </c>
      <c r="F9646" t="str" cm="1">
        <f t="array" ref="F9646">CategorizeComment(E9646)</f>
        <v>Other</v>
      </c>
      <c r="G9646" t="str" cm="1">
        <f t="array" ref="G9646">SubCategorizeComment(E9646)</f>
        <v>Other</v>
      </c>
    </row>
    <row r="9647" spans="1:7" x14ac:dyDescent="0.25">
      <c r="A9647">
        <v>88999</v>
      </c>
      <c r="B9647" t="s">
        <v>4</v>
      </c>
      <c r="C9647">
        <v>4</v>
      </c>
      <c r="D9647" t="s">
        <v>5</v>
      </c>
      <c r="F9647" t="str" cm="1">
        <f t="array" ref="F9647">CategorizeComment(E9647)</f>
        <v>Other</v>
      </c>
      <c r="G9647" t="str" cm="1">
        <f t="array" ref="G9647">SubCategorizeComment(E9647)</f>
        <v>Other</v>
      </c>
    </row>
    <row r="9648" spans="1:7" x14ac:dyDescent="0.25">
      <c r="A9648">
        <v>89006</v>
      </c>
      <c r="B9648" t="s">
        <v>4</v>
      </c>
      <c r="C9648">
        <v>3</v>
      </c>
      <c r="D9648" t="s">
        <v>5</v>
      </c>
      <c r="F9648" t="str" cm="1">
        <f t="array" ref="F9648">CategorizeComment(E9648)</f>
        <v>Other</v>
      </c>
      <c r="G9648" t="str" cm="1">
        <f t="array" ref="G9648">SubCategorizeComment(E9648)</f>
        <v>Other</v>
      </c>
    </row>
    <row r="9649" spans="1:7" x14ac:dyDescent="0.25">
      <c r="A9649">
        <v>89016</v>
      </c>
      <c r="B9649" t="s">
        <v>4</v>
      </c>
      <c r="C9649">
        <v>3</v>
      </c>
      <c r="D9649" t="s">
        <v>5</v>
      </c>
      <c r="F9649" t="str" cm="1">
        <f t="array" ref="F9649">CategorizeComment(E9649)</f>
        <v>Other</v>
      </c>
      <c r="G9649" t="str" cm="1">
        <f t="array" ref="G9649">SubCategorizeComment(E9649)</f>
        <v>Other</v>
      </c>
    </row>
    <row r="9650" spans="1:7" x14ac:dyDescent="0.25">
      <c r="A9650">
        <v>89017</v>
      </c>
      <c r="B9650" t="s">
        <v>4</v>
      </c>
      <c r="C9650">
        <v>3</v>
      </c>
      <c r="D9650" t="s">
        <v>5</v>
      </c>
      <c r="F9650" t="str" cm="1">
        <f t="array" ref="F9650">CategorizeComment(E9650)</f>
        <v>Other</v>
      </c>
      <c r="G9650" t="str" cm="1">
        <f t="array" ref="G9650">SubCategorizeComment(E9650)</f>
        <v>Other</v>
      </c>
    </row>
    <row r="9651" spans="1:7" x14ac:dyDescent="0.25">
      <c r="A9651">
        <v>89053</v>
      </c>
      <c r="B9651" t="s">
        <v>4</v>
      </c>
      <c r="C9651">
        <v>3</v>
      </c>
      <c r="D9651" t="s">
        <v>5</v>
      </c>
      <c r="F9651" t="str" cm="1">
        <f t="array" ref="F9651">CategorizeComment(E9651)</f>
        <v>Other</v>
      </c>
      <c r="G9651" t="str" cm="1">
        <f t="array" ref="G9651">SubCategorizeComment(E9651)</f>
        <v>Other</v>
      </c>
    </row>
    <row r="9652" spans="1:7" x14ac:dyDescent="0.25">
      <c r="A9652">
        <v>89056</v>
      </c>
      <c r="B9652" t="s">
        <v>4</v>
      </c>
      <c r="C9652">
        <v>4</v>
      </c>
      <c r="D9652" t="s">
        <v>5</v>
      </c>
      <c r="F9652" t="str" cm="1">
        <f t="array" ref="F9652">CategorizeComment(E9652)</f>
        <v>Other</v>
      </c>
      <c r="G9652" t="str" cm="1">
        <f t="array" ref="G9652">SubCategorizeComment(E9652)</f>
        <v>Other</v>
      </c>
    </row>
    <row r="9653" spans="1:7" x14ac:dyDescent="0.25">
      <c r="A9653">
        <v>89076</v>
      </c>
      <c r="B9653" t="s">
        <v>4</v>
      </c>
      <c r="C9653">
        <v>3</v>
      </c>
      <c r="D9653" t="s">
        <v>5</v>
      </c>
      <c r="F9653" t="str" cm="1">
        <f t="array" ref="F9653">CategorizeComment(E9653)</f>
        <v>Other</v>
      </c>
      <c r="G9653" t="str" cm="1">
        <f t="array" ref="G9653">SubCategorizeComment(E9653)</f>
        <v>Other</v>
      </c>
    </row>
    <row r="9654" spans="1:7" x14ac:dyDescent="0.25">
      <c r="A9654">
        <v>89105</v>
      </c>
      <c r="B9654" t="s">
        <v>4</v>
      </c>
      <c r="C9654">
        <v>4</v>
      </c>
      <c r="D9654" t="s">
        <v>5</v>
      </c>
      <c r="F9654" t="str" cm="1">
        <f t="array" ref="F9654">CategorizeComment(E9654)</f>
        <v>Other</v>
      </c>
      <c r="G9654" t="str" cm="1">
        <f t="array" ref="G9654">SubCategorizeComment(E9654)</f>
        <v>Other</v>
      </c>
    </row>
    <row r="9655" spans="1:7" x14ac:dyDescent="0.25">
      <c r="A9655">
        <v>89107</v>
      </c>
      <c r="B9655" t="s">
        <v>4</v>
      </c>
      <c r="C9655">
        <v>3</v>
      </c>
      <c r="D9655" t="s">
        <v>5</v>
      </c>
      <c r="F9655" t="str" cm="1">
        <f t="array" ref="F9655">CategorizeComment(E9655)</f>
        <v>Other</v>
      </c>
      <c r="G9655" t="str" cm="1">
        <f t="array" ref="G9655">SubCategorizeComment(E9655)</f>
        <v>Other</v>
      </c>
    </row>
    <row r="9656" spans="1:7" x14ac:dyDescent="0.25">
      <c r="A9656">
        <v>89113</v>
      </c>
      <c r="B9656" t="s">
        <v>4</v>
      </c>
      <c r="C9656">
        <v>4</v>
      </c>
      <c r="D9656" t="s">
        <v>5</v>
      </c>
      <c r="F9656" t="str" cm="1">
        <f t="array" ref="F9656">CategorizeComment(E9656)</f>
        <v>Other</v>
      </c>
      <c r="G9656" t="str" cm="1">
        <f t="array" ref="G9656">SubCategorizeComment(E9656)</f>
        <v>Other</v>
      </c>
    </row>
    <row r="9657" spans="1:7" x14ac:dyDescent="0.25">
      <c r="A9657">
        <v>89118</v>
      </c>
      <c r="B9657" t="s">
        <v>4</v>
      </c>
      <c r="C9657">
        <v>3</v>
      </c>
      <c r="D9657" t="s">
        <v>5</v>
      </c>
      <c r="F9657" t="str" cm="1">
        <f t="array" ref="F9657">CategorizeComment(E9657)</f>
        <v>Other</v>
      </c>
      <c r="G9657" t="str" cm="1">
        <f t="array" ref="G9657">SubCategorizeComment(E9657)</f>
        <v>Other</v>
      </c>
    </row>
    <row r="9658" spans="1:7" x14ac:dyDescent="0.25">
      <c r="A9658">
        <v>89122</v>
      </c>
      <c r="B9658" t="s">
        <v>4</v>
      </c>
      <c r="C9658">
        <v>4</v>
      </c>
      <c r="D9658" t="s">
        <v>5</v>
      </c>
      <c r="F9658" t="str" cm="1">
        <f t="array" ref="F9658">CategorizeComment(E9658)</f>
        <v>Other</v>
      </c>
      <c r="G9658" t="str" cm="1">
        <f t="array" ref="G9658">SubCategorizeComment(E9658)</f>
        <v>Other</v>
      </c>
    </row>
    <row r="9659" spans="1:7" x14ac:dyDescent="0.25">
      <c r="A9659">
        <v>89125</v>
      </c>
      <c r="B9659" t="s">
        <v>4</v>
      </c>
      <c r="C9659">
        <v>3</v>
      </c>
      <c r="D9659" t="s">
        <v>5</v>
      </c>
      <c r="F9659" t="str" cm="1">
        <f t="array" ref="F9659">CategorizeComment(E9659)</f>
        <v>Other</v>
      </c>
      <c r="G9659" t="str" cm="1">
        <f t="array" ref="G9659">SubCategorizeComment(E9659)</f>
        <v>Other</v>
      </c>
    </row>
    <row r="9660" spans="1:7" x14ac:dyDescent="0.25">
      <c r="A9660">
        <v>89130</v>
      </c>
      <c r="B9660" t="s">
        <v>4</v>
      </c>
      <c r="C9660">
        <v>3</v>
      </c>
      <c r="D9660" t="s">
        <v>5</v>
      </c>
      <c r="F9660" t="str" cm="1">
        <f t="array" ref="F9660">CategorizeComment(E9660)</f>
        <v>Other</v>
      </c>
      <c r="G9660" t="str" cm="1">
        <f t="array" ref="G9660">SubCategorizeComment(E9660)</f>
        <v>Other</v>
      </c>
    </row>
    <row r="9661" spans="1:7" x14ac:dyDescent="0.25">
      <c r="A9661">
        <v>89132</v>
      </c>
      <c r="B9661" t="s">
        <v>4</v>
      </c>
      <c r="C9661">
        <v>3</v>
      </c>
      <c r="D9661" t="s">
        <v>5</v>
      </c>
      <c r="F9661" t="str" cm="1">
        <f t="array" ref="F9661">CategorizeComment(E9661)</f>
        <v>Other</v>
      </c>
      <c r="G9661" t="str" cm="1">
        <f t="array" ref="G9661">SubCategorizeComment(E9661)</f>
        <v>Other</v>
      </c>
    </row>
    <row r="9662" spans="1:7" x14ac:dyDescent="0.25">
      <c r="A9662">
        <v>89134</v>
      </c>
      <c r="B9662" t="s">
        <v>4</v>
      </c>
      <c r="C9662">
        <v>3</v>
      </c>
      <c r="D9662" t="s">
        <v>5</v>
      </c>
      <c r="F9662" t="str" cm="1">
        <f t="array" ref="F9662">CategorizeComment(E9662)</f>
        <v>Other</v>
      </c>
      <c r="G9662" t="str" cm="1">
        <f t="array" ref="G9662">SubCategorizeComment(E9662)</f>
        <v>Other</v>
      </c>
    </row>
    <row r="9663" spans="1:7" x14ac:dyDescent="0.25">
      <c r="A9663">
        <v>89153</v>
      </c>
      <c r="B9663" t="s">
        <v>4</v>
      </c>
      <c r="C9663">
        <v>4</v>
      </c>
      <c r="D9663" t="s">
        <v>5</v>
      </c>
      <c r="F9663" t="str" cm="1">
        <f t="array" ref="F9663">CategorizeComment(E9663)</f>
        <v>Other</v>
      </c>
      <c r="G9663" t="str" cm="1">
        <f t="array" ref="G9663">SubCategorizeComment(E9663)</f>
        <v>Other</v>
      </c>
    </row>
    <row r="9664" spans="1:7" x14ac:dyDescent="0.25">
      <c r="A9664">
        <v>89159</v>
      </c>
      <c r="B9664" t="s">
        <v>4</v>
      </c>
      <c r="C9664">
        <v>4</v>
      </c>
      <c r="D9664" t="s">
        <v>5</v>
      </c>
      <c r="F9664" t="str" cm="1">
        <f t="array" ref="F9664">CategorizeComment(E9664)</f>
        <v>Other</v>
      </c>
      <c r="G9664" t="str" cm="1">
        <f t="array" ref="G9664">SubCategorizeComment(E9664)</f>
        <v>Other</v>
      </c>
    </row>
    <row r="9665" spans="1:7" x14ac:dyDescent="0.25">
      <c r="A9665">
        <v>89169</v>
      </c>
      <c r="B9665" t="s">
        <v>4</v>
      </c>
      <c r="C9665">
        <v>4</v>
      </c>
      <c r="D9665" t="s">
        <v>5</v>
      </c>
      <c r="F9665" t="str" cm="1">
        <f t="array" ref="F9665">CategorizeComment(E9665)</f>
        <v>Other</v>
      </c>
      <c r="G9665" t="str" cm="1">
        <f t="array" ref="G9665">SubCategorizeComment(E9665)</f>
        <v>Other</v>
      </c>
    </row>
    <row r="9666" spans="1:7" x14ac:dyDescent="0.25">
      <c r="A9666">
        <v>89175</v>
      </c>
      <c r="B9666" t="s">
        <v>4</v>
      </c>
      <c r="C9666">
        <v>3</v>
      </c>
      <c r="D9666" t="s">
        <v>5</v>
      </c>
      <c r="F9666" t="str" cm="1">
        <f t="array" ref="F9666">CategorizeComment(E9666)</f>
        <v>Other</v>
      </c>
      <c r="G9666" t="str" cm="1">
        <f t="array" ref="G9666">SubCategorizeComment(E9666)</f>
        <v>Other</v>
      </c>
    </row>
    <row r="9667" spans="1:7" x14ac:dyDescent="0.25">
      <c r="A9667">
        <v>89181</v>
      </c>
      <c r="B9667" t="s">
        <v>4</v>
      </c>
      <c r="C9667">
        <v>4</v>
      </c>
      <c r="D9667" t="s">
        <v>5</v>
      </c>
      <c r="F9667" t="str" cm="1">
        <f t="array" ref="F9667">CategorizeComment(E9667)</f>
        <v>Other</v>
      </c>
      <c r="G9667" t="str" cm="1">
        <f t="array" ref="G9667">SubCategorizeComment(E9667)</f>
        <v>Other</v>
      </c>
    </row>
    <row r="9668" spans="1:7" x14ac:dyDescent="0.25">
      <c r="A9668">
        <v>89200</v>
      </c>
      <c r="B9668" t="s">
        <v>4</v>
      </c>
      <c r="C9668">
        <v>3</v>
      </c>
      <c r="D9668" t="s">
        <v>5</v>
      </c>
      <c r="F9668" t="str" cm="1">
        <f t="array" ref="F9668">CategorizeComment(E9668)</f>
        <v>Other</v>
      </c>
      <c r="G9668" t="str" cm="1">
        <f t="array" ref="G9668">SubCategorizeComment(E9668)</f>
        <v>Other</v>
      </c>
    </row>
    <row r="9669" spans="1:7" x14ac:dyDescent="0.25">
      <c r="A9669">
        <v>89206</v>
      </c>
      <c r="B9669" t="s">
        <v>4</v>
      </c>
      <c r="C9669">
        <v>4</v>
      </c>
      <c r="D9669" t="s">
        <v>5</v>
      </c>
      <c r="F9669" t="str" cm="1">
        <f t="array" ref="F9669">CategorizeComment(E9669)</f>
        <v>Other</v>
      </c>
      <c r="G9669" t="str" cm="1">
        <f t="array" ref="G9669">SubCategorizeComment(E9669)</f>
        <v>Other</v>
      </c>
    </row>
    <row r="9670" spans="1:7" x14ac:dyDescent="0.25">
      <c r="A9670">
        <v>89209</v>
      </c>
      <c r="B9670" t="s">
        <v>4</v>
      </c>
      <c r="C9670">
        <v>4</v>
      </c>
      <c r="D9670" t="s">
        <v>5</v>
      </c>
      <c r="F9670" t="str" cm="1">
        <f t="array" ref="F9670">CategorizeComment(E9670)</f>
        <v>Other</v>
      </c>
      <c r="G9670" t="str" cm="1">
        <f t="array" ref="G9670">SubCategorizeComment(E9670)</f>
        <v>Other</v>
      </c>
    </row>
    <row r="9671" spans="1:7" x14ac:dyDescent="0.25">
      <c r="A9671">
        <v>89214</v>
      </c>
      <c r="B9671" t="s">
        <v>4</v>
      </c>
      <c r="C9671">
        <v>3</v>
      </c>
      <c r="D9671" t="s">
        <v>5</v>
      </c>
      <c r="F9671" t="str" cm="1">
        <f t="array" ref="F9671">CategorizeComment(E9671)</f>
        <v>Other</v>
      </c>
      <c r="G9671" t="str" cm="1">
        <f t="array" ref="G9671">SubCategorizeComment(E9671)</f>
        <v>Other</v>
      </c>
    </row>
    <row r="9672" spans="1:7" x14ac:dyDescent="0.25">
      <c r="A9672">
        <v>89219</v>
      </c>
      <c r="B9672" t="s">
        <v>4</v>
      </c>
      <c r="C9672">
        <v>4</v>
      </c>
      <c r="D9672" t="s">
        <v>5</v>
      </c>
      <c r="F9672" t="str" cm="1">
        <f t="array" ref="F9672">CategorizeComment(E9672)</f>
        <v>Other</v>
      </c>
      <c r="G9672" t="str" cm="1">
        <f t="array" ref="G9672">SubCategorizeComment(E9672)</f>
        <v>Other</v>
      </c>
    </row>
    <row r="9673" spans="1:7" x14ac:dyDescent="0.25">
      <c r="A9673">
        <v>89224</v>
      </c>
      <c r="B9673" t="s">
        <v>4</v>
      </c>
      <c r="C9673">
        <v>4</v>
      </c>
      <c r="D9673" t="s">
        <v>5</v>
      </c>
      <c r="F9673" t="str" cm="1">
        <f t="array" ref="F9673">CategorizeComment(E9673)</f>
        <v>Other</v>
      </c>
      <c r="G9673" t="str" cm="1">
        <f t="array" ref="G9673">SubCategorizeComment(E9673)</f>
        <v>Other</v>
      </c>
    </row>
    <row r="9674" spans="1:7" x14ac:dyDescent="0.25">
      <c r="A9674">
        <v>89230</v>
      </c>
      <c r="B9674" t="s">
        <v>4</v>
      </c>
      <c r="C9674">
        <v>3</v>
      </c>
      <c r="D9674" t="s">
        <v>5</v>
      </c>
      <c r="F9674" t="str" cm="1">
        <f t="array" ref="F9674">CategorizeComment(E9674)</f>
        <v>Other</v>
      </c>
      <c r="G9674" t="str" cm="1">
        <f t="array" ref="G9674">SubCategorizeComment(E9674)</f>
        <v>Other</v>
      </c>
    </row>
    <row r="9675" spans="1:7" x14ac:dyDescent="0.25">
      <c r="A9675">
        <v>89238</v>
      </c>
      <c r="B9675" t="s">
        <v>4</v>
      </c>
      <c r="C9675">
        <v>4</v>
      </c>
      <c r="D9675" t="s">
        <v>5</v>
      </c>
      <c r="F9675" t="str" cm="1">
        <f t="array" ref="F9675">CategorizeComment(E9675)</f>
        <v>Other</v>
      </c>
      <c r="G9675" t="str" cm="1">
        <f t="array" ref="G9675">SubCategorizeComment(E9675)</f>
        <v>Other</v>
      </c>
    </row>
    <row r="9676" spans="1:7" x14ac:dyDescent="0.25">
      <c r="A9676">
        <v>89239</v>
      </c>
      <c r="B9676" t="s">
        <v>4</v>
      </c>
      <c r="C9676">
        <v>4</v>
      </c>
      <c r="D9676" t="s">
        <v>5</v>
      </c>
      <c r="F9676" t="str" cm="1">
        <f t="array" ref="F9676">CategorizeComment(E9676)</f>
        <v>Other</v>
      </c>
      <c r="G9676" t="str" cm="1">
        <f t="array" ref="G9676">SubCategorizeComment(E9676)</f>
        <v>Other</v>
      </c>
    </row>
    <row r="9677" spans="1:7" x14ac:dyDescent="0.25">
      <c r="A9677">
        <v>89240</v>
      </c>
      <c r="B9677" t="s">
        <v>4</v>
      </c>
      <c r="C9677">
        <v>4</v>
      </c>
      <c r="D9677" t="s">
        <v>5</v>
      </c>
      <c r="F9677" t="str" cm="1">
        <f t="array" ref="F9677">CategorizeComment(E9677)</f>
        <v>Other</v>
      </c>
      <c r="G9677" t="str" cm="1">
        <f t="array" ref="G9677">SubCategorizeComment(E9677)</f>
        <v>Other</v>
      </c>
    </row>
    <row r="9678" spans="1:7" x14ac:dyDescent="0.25">
      <c r="A9678">
        <v>89241</v>
      </c>
      <c r="B9678" t="s">
        <v>4</v>
      </c>
      <c r="C9678">
        <v>4</v>
      </c>
      <c r="D9678" t="s">
        <v>5</v>
      </c>
      <c r="F9678" t="str" cm="1">
        <f t="array" ref="F9678">CategorizeComment(E9678)</f>
        <v>Other</v>
      </c>
      <c r="G9678" t="str" cm="1">
        <f t="array" ref="G9678">SubCategorizeComment(E9678)</f>
        <v>Other</v>
      </c>
    </row>
    <row r="9679" spans="1:7" x14ac:dyDescent="0.25">
      <c r="A9679">
        <v>89256</v>
      </c>
      <c r="B9679" t="s">
        <v>4</v>
      </c>
      <c r="C9679">
        <v>4</v>
      </c>
      <c r="D9679" t="s">
        <v>5</v>
      </c>
      <c r="F9679" t="str" cm="1">
        <f t="array" ref="F9679">CategorizeComment(E9679)</f>
        <v>Other</v>
      </c>
      <c r="G9679" t="str" cm="1">
        <f t="array" ref="G9679">SubCategorizeComment(E9679)</f>
        <v>Other</v>
      </c>
    </row>
    <row r="9680" spans="1:7" x14ac:dyDescent="0.25">
      <c r="A9680">
        <v>89338</v>
      </c>
      <c r="B9680" t="s">
        <v>4</v>
      </c>
      <c r="C9680">
        <v>4</v>
      </c>
      <c r="D9680" t="s">
        <v>5</v>
      </c>
      <c r="F9680" t="str" cm="1">
        <f t="array" ref="F9680">CategorizeComment(E9680)</f>
        <v>Other</v>
      </c>
      <c r="G9680" t="str" cm="1">
        <f t="array" ref="G9680">SubCategorizeComment(E9680)</f>
        <v>Other</v>
      </c>
    </row>
    <row r="9681" spans="1:7" x14ac:dyDescent="0.25">
      <c r="A9681">
        <v>89349</v>
      </c>
      <c r="B9681" t="s">
        <v>4</v>
      </c>
      <c r="C9681">
        <v>4</v>
      </c>
      <c r="D9681" t="s">
        <v>5</v>
      </c>
      <c r="F9681" t="str" cm="1">
        <f t="array" ref="F9681">CategorizeComment(E9681)</f>
        <v>Other</v>
      </c>
      <c r="G9681" t="str" cm="1">
        <f t="array" ref="G9681">SubCategorizeComment(E9681)</f>
        <v>Other</v>
      </c>
    </row>
    <row r="9682" spans="1:7" x14ac:dyDescent="0.25">
      <c r="A9682">
        <v>89373</v>
      </c>
      <c r="B9682" t="s">
        <v>4</v>
      </c>
      <c r="C9682">
        <v>4</v>
      </c>
      <c r="D9682" t="s">
        <v>5</v>
      </c>
      <c r="F9682" t="str" cm="1">
        <f t="array" ref="F9682">CategorizeComment(E9682)</f>
        <v>Other</v>
      </c>
      <c r="G9682" t="str" cm="1">
        <f t="array" ref="G9682">SubCategorizeComment(E9682)</f>
        <v>Other</v>
      </c>
    </row>
    <row r="9683" spans="1:7" x14ac:dyDescent="0.25">
      <c r="A9683">
        <v>89392</v>
      </c>
      <c r="B9683" t="s">
        <v>4</v>
      </c>
      <c r="C9683">
        <v>4</v>
      </c>
      <c r="D9683" t="s">
        <v>5</v>
      </c>
      <c r="F9683" t="str" cm="1">
        <f t="array" ref="F9683">CategorizeComment(E9683)</f>
        <v>Other</v>
      </c>
      <c r="G9683" t="str" cm="1">
        <f t="array" ref="G9683">SubCategorizeComment(E9683)</f>
        <v>Other</v>
      </c>
    </row>
    <row r="9684" spans="1:7" x14ac:dyDescent="0.25">
      <c r="A9684">
        <v>89398</v>
      </c>
      <c r="B9684" t="s">
        <v>4</v>
      </c>
      <c r="C9684">
        <v>3</v>
      </c>
      <c r="D9684" t="s">
        <v>5</v>
      </c>
      <c r="F9684" t="str" cm="1">
        <f t="array" ref="F9684">CategorizeComment(E9684)</f>
        <v>Other</v>
      </c>
      <c r="G9684" t="str" cm="1">
        <f t="array" ref="G9684">SubCategorizeComment(E9684)</f>
        <v>Other</v>
      </c>
    </row>
    <row r="9685" spans="1:7" x14ac:dyDescent="0.25">
      <c r="A9685">
        <v>89411</v>
      </c>
      <c r="B9685" t="s">
        <v>4</v>
      </c>
      <c r="C9685">
        <v>4</v>
      </c>
      <c r="D9685" t="s">
        <v>5</v>
      </c>
      <c r="F9685" t="str" cm="1">
        <f t="array" ref="F9685">CategorizeComment(E9685)</f>
        <v>Other</v>
      </c>
      <c r="G9685" t="str" cm="1">
        <f t="array" ref="G9685">SubCategorizeComment(E9685)</f>
        <v>Other</v>
      </c>
    </row>
    <row r="9686" spans="1:7" x14ac:dyDescent="0.25">
      <c r="A9686">
        <v>89414</v>
      </c>
      <c r="B9686" t="s">
        <v>4</v>
      </c>
      <c r="C9686">
        <v>4</v>
      </c>
      <c r="D9686" t="s">
        <v>5</v>
      </c>
      <c r="F9686" t="str" cm="1">
        <f t="array" ref="F9686">CategorizeComment(E9686)</f>
        <v>Other</v>
      </c>
      <c r="G9686" t="str" cm="1">
        <f t="array" ref="G9686">SubCategorizeComment(E9686)</f>
        <v>Other</v>
      </c>
    </row>
    <row r="9687" spans="1:7" x14ac:dyDescent="0.25">
      <c r="A9687">
        <v>89420</v>
      </c>
      <c r="B9687" t="s">
        <v>4</v>
      </c>
      <c r="C9687">
        <v>4</v>
      </c>
      <c r="D9687" t="s">
        <v>5</v>
      </c>
      <c r="F9687" t="str" cm="1">
        <f t="array" ref="F9687">CategorizeComment(E9687)</f>
        <v>Other</v>
      </c>
      <c r="G9687" t="str" cm="1">
        <f t="array" ref="G9687">SubCategorizeComment(E9687)</f>
        <v>Other</v>
      </c>
    </row>
    <row r="9688" spans="1:7" x14ac:dyDescent="0.25">
      <c r="A9688">
        <v>89425</v>
      </c>
      <c r="B9688" t="s">
        <v>4</v>
      </c>
      <c r="C9688">
        <v>4</v>
      </c>
      <c r="D9688" t="s">
        <v>5</v>
      </c>
      <c r="F9688" t="str" cm="1">
        <f t="array" ref="F9688">CategorizeComment(E9688)</f>
        <v>Other</v>
      </c>
      <c r="G9688" t="str" cm="1">
        <f t="array" ref="G9688">SubCategorizeComment(E9688)</f>
        <v>Other</v>
      </c>
    </row>
    <row r="9689" spans="1:7" x14ac:dyDescent="0.25">
      <c r="A9689">
        <v>89427</v>
      </c>
      <c r="B9689" t="s">
        <v>4</v>
      </c>
      <c r="C9689">
        <v>4</v>
      </c>
      <c r="D9689" t="s">
        <v>5</v>
      </c>
      <c r="F9689" t="str" cm="1">
        <f t="array" ref="F9689">CategorizeComment(E9689)</f>
        <v>Other</v>
      </c>
      <c r="G9689" t="str" cm="1">
        <f t="array" ref="G9689">SubCategorizeComment(E9689)</f>
        <v>Other</v>
      </c>
    </row>
    <row r="9690" spans="1:7" x14ac:dyDescent="0.25">
      <c r="A9690">
        <v>89432</v>
      </c>
      <c r="B9690" t="s">
        <v>4</v>
      </c>
      <c r="C9690">
        <v>3</v>
      </c>
      <c r="D9690" t="s">
        <v>5</v>
      </c>
      <c r="F9690" t="str" cm="1">
        <f t="array" ref="F9690">CategorizeComment(E9690)</f>
        <v>Other</v>
      </c>
      <c r="G9690" t="str" cm="1">
        <f t="array" ref="G9690">SubCategorizeComment(E9690)</f>
        <v>Other</v>
      </c>
    </row>
    <row r="9691" spans="1:7" x14ac:dyDescent="0.25">
      <c r="A9691">
        <v>89434</v>
      </c>
      <c r="B9691" t="s">
        <v>4</v>
      </c>
      <c r="C9691">
        <v>3</v>
      </c>
      <c r="D9691" t="s">
        <v>5</v>
      </c>
      <c r="F9691" t="str" cm="1">
        <f t="array" ref="F9691">CategorizeComment(E9691)</f>
        <v>Other</v>
      </c>
      <c r="G9691" t="str" cm="1">
        <f t="array" ref="G9691">SubCategorizeComment(E9691)</f>
        <v>Other</v>
      </c>
    </row>
    <row r="9692" spans="1:7" x14ac:dyDescent="0.25">
      <c r="A9692">
        <v>89445</v>
      </c>
      <c r="B9692" t="s">
        <v>4</v>
      </c>
      <c r="C9692">
        <v>3</v>
      </c>
      <c r="D9692" t="s">
        <v>5</v>
      </c>
      <c r="F9692" t="str" cm="1">
        <f t="array" ref="F9692">CategorizeComment(E9692)</f>
        <v>Other</v>
      </c>
      <c r="G9692" t="str" cm="1">
        <f t="array" ref="G9692">SubCategorizeComment(E9692)</f>
        <v>Other</v>
      </c>
    </row>
    <row r="9693" spans="1:7" x14ac:dyDescent="0.25">
      <c r="A9693">
        <v>89452</v>
      </c>
      <c r="B9693" t="s">
        <v>4</v>
      </c>
      <c r="C9693">
        <v>4</v>
      </c>
      <c r="D9693" t="s">
        <v>5</v>
      </c>
      <c r="F9693" t="str" cm="1">
        <f t="array" ref="F9693">CategorizeComment(E9693)</f>
        <v>Other</v>
      </c>
      <c r="G9693" t="str" cm="1">
        <f t="array" ref="G9693">SubCategorizeComment(E9693)</f>
        <v>Other</v>
      </c>
    </row>
    <row r="9694" spans="1:7" x14ac:dyDescent="0.25">
      <c r="A9694">
        <v>89460</v>
      </c>
      <c r="B9694" t="s">
        <v>4</v>
      </c>
      <c r="C9694">
        <v>4</v>
      </c>
      <c r="D9694" t="s">
        <v>5</v>
      </c>
      <c r="F9694" t="str" cm="1">
        <f t="array" ref="F9694">CategorizeComment(E9694)</f>
        <v>Other</v>
      </c>
      <c r="G9694" t="str" cm="1">
        <f t="array" ref="G9694">SubCategorizeComment(E9694)</f>
        <v>Other</v>
      </c>
    </row>
    <row r="9695" spans="1:7" x14ac:dyDescent="0.25">
      <c r="A9695">
        <v>89463</v>
      </c>
      <c r="B9695" t="s">
        <v>4</v>
      </c>
      <c r="C9695">
        <v>3</v>
      </c>
      <c r="D9695" t="s">
        <v>5</v>
      </c>
      <c r="F9695" t="str" cm="1">
        <f t="array" ref="F9695">CategorizeComment(E9695)</f>
        <v>Other</v>
      </c>
      <c r="G9695" t="str" cm="1">
        <f t="array" ref="G9695">SubCategorizeComment(E9695)</f>
        <v>Other</v>
      </c>
    </row>
    <row r="9696" spans="1:7" x14ac:dyDescent="0.25">
      <c r="A9696">
        <v>89468</v>
      </c>
      <c r="B9696" t="s">
        <v>4</v>
      </c>
      <c r="C9696">
        <v>3</v>
      </c>
      <c r="D9696" t="s">
        <v>5</v>
      </c>
      <c r="F9696" t="str" cm="1">
        <f t="array" ref="F9696">CategorizeComment(E9696)</f>
        <v>Other</v>
      </c>
      <c r="G9696" t="str" cm="1">
        <f t="array" ref="G9696">SubCategorizeComment(E9696)</f>
        <v>Other</v>
      </c>
    </row>
    <row r="9697" spans="1:7" x14ac:dyDescent="0.25">
      <c r="A9697">
        <v>89470</v>
      </c>
      <c r="B9697" t="s">
        <v>4</v>
      </c>
      <c r="C9697">
        <v>3</v>
      </c>
      <c r="D9697" t="s">
        <v>5</v>
      </c>
      <c r="F9697" t="str" cm="1">
        <f t="array" ref="F9697">CategorizeComment(E9697)</f>
        <v>Other</v>
      </c>
      <c r="G9697" t="str" cm="1">
        <f t="array" ref="G9697">SubCategorizeComment(E9697)</f>
        <v>Other</v>
      </c>
    </row>
    <row r="9698" spans="1:7" x14ac:dyDescent="0.25">
      <c r="A9698">
        <v>89476</v>
      </c>
      <c r="B9698" t="s">
        <v>4</v>
      </c>
      <c r="C9698">
        <v>4</v>
      </c>
      <c r="D9698" t="s">
        <v>5</v>
      </c>
      <c r="F9698" t="str" cm="1">
        <f t="array" ref="F9698">CategorizeComment(E9698)</f>
        <v>Other</v>
      </c>
      <c r="G9698" t="str" cm="1">
        <f t="array" ref="G9698">SubCategorizeComment(E9698)</f>
        <v>Other</v>
      </c>
    </row>
    <row r="9699" spans="1:7" x14ac:dyDescent="0.25">
      <c r="A9699">
        <v>89493</v>
      </c>
      <c r="B9699" t="s">
        <v>4</v>
      </c>
      <c r="C9699">
        <v>3</v>
      </c>
      <c r="D9699" t="s">
        <v>5</v>
      </c>
      <c r="F9699" t="str" cm="1">
        <f t="array" ref="F9699">CategorizeComment(E9699)</f>
        <v>Other</v>
      </c>
      <c r="G9699" t="str" cm="1">
        <f t="array" ref="G9699">SubCategorizeComment(E9699)</f>
        <v>Other</v>
      </c>
    </row>
    <row r="9700" spans="1:7" x14ac:dyDescent="0.25">
      <c r="A9700">
        <v>89500</v>
      </c>
      <c r="B9700" t="s">
        <v>4</v>
      </c>
      <c r="C9700">
        <v>4</v>
      </c>
      <c r="D9700" t="s">
        <v>5</v>
      </c>
      <c r="F9700" t="str" cm="1">
        <f t="array" ref="F9700">CategorizeComment(E9700)</f>
        <v>Other</v>
      </c>
      <c r="G9700" t="str" cm="1">
        <f t="array" ref="G9700">SubCategorizeComment(E9700)</f>
        <v>Other</v>
      </c>
    </row>
    <row r="9701" spans="1:7" x14ac:dyDescent="0.25">
      <c r="A9701">
        <v>89521</v>
      </c>
      <c r="B9701" t="s">
        <v>4</v>
      </c>
      <c r="C9701">
        <v>4</v>
      </c>
      <c r="D9701" t="s">
        <v>5</v>
      </c>
      <c r="F9701" t="str" cm="1">
        <f t="array" ref="F9701">CategorizeComment(E9701)</f>
        <v>Other</v>
      </c>
      <c r="G9701" t="str" cm="1">
        <f t="array" ref="G9701">SubCategorizeComment(E9701)</f>
        <v>Other</v>
      </c>
    </row>
    <row r="9702" spans="1:7" x14ac:dyDescent="0.25">
      <c r="A9702">
        <v>89527</v>
      </c>
      <c r="B9702" t="s">
        <v>4</v>
      </c>
      <c r="C9702">
        <v>3</v>
      </c>
      <c r="D9702" t="s">
        <v>5</v>
      </c>
      <c r="F9702" t="str" cm="1">
        <f t="array" ref="F9702">CategorizeComment(E9702)</f>
        <v>Other</v>
      </c>
      <c r="G9702" t="str" cm="1">
        <f t="array" ref="G9702">SubCategorizeComment(E9702)</f>
        <v>Other</v>
      </c>
    </row>
    <row r="9703" spans="1:7" x14ac:dyDescent="0.25">
      <c r="A9703">
        <v>89575</v>
      </c>
      <c r="B9703" t="s">
        <v>4</v>
      </c>
      <c r="C9703">
        <v>4</v>
      </c>
      <c r="D9703" t="s">
        <v>5</v>
      </c>
      <c r="F9703" t="str" cm="1">
        <f t="array" ref="F9703">CategorizeComment(E9703)</f>
        <v>Other</v>
      </c>
      <c r="G9703" t="str" cm="1">
        <f t="array" ref="G9703">SubCategorizeComment(E9703)</f>
        <v>Other</v>
      </c>
    </row>
    <row r="9704" spans="1:7" x14ac:dyDescent="0.25">
      <c r="A9704">
        <v>89602</v>
      </c>
      <c r="B9704" t="s">
        <v>4</v>
      </c>
      <c r="C9704">
        <v>3</v>
      </c>
      <c r="D9704" t="s">
        <v>5</v>
      </c>
      <c r="F9704" t="str" cm="1">
        <f t="array" ref="F9704">CategorizeComment(E9704)</f>
        <v>Other</v>
      </c>
      <c r="G9704" t="str" cm="1">
        <f t="array" ref="G9704">SubCategorizeComment(E9704)</f>
        <v>Other</v>
      </c>
    </row>
    <row r="9705" spans="1:7" x14ac:dyDescent="0.25">
      <c r="A9705">
        <v>89630</v>
      </c>
      <c r="B9705" t="s">
        <v>4</v>
      </c>
      <c r="C9705">
        <v>3</v>
      </c>
      <c r="D9705" t="s">
        <v>5</v>
      </c>
      <c r="F9705" t="str" cm="1">
        <f t="array" ref="F9705">CategorizeComment(E9705)</f>
        <v>Other</v>
      </c>
      <c r="G9705" t="str" cm="1">
        <f t="array" ref="G9705">SubCategorizeComment(E9705)</f>
        <v>Other</v>
      </c>
    </row>
    <row r="9706" spans="1:7" x14ac:dyDescent="0.25">
      <c r="A9706">
        <v>89632</v>
      </c>
      <c r="B9706" t="s">
        <v>4</v>
      </c>
      <c r="C9706">
        <v>4</v>
      </c>
      <c r="D9706" t="s">
        <v>5</v>
      </c>
      <c r="F9706" t="str" cm="1">
        <f t="array" ref="F9706">CategorizeComment(E9706)</f>
        <v>Other</v>
      </c>
      <c r="G9706" t="str" cm="1">
        <f t="array" ref="G9706">SubCategorizeComment(E9706)</f>
        <v>Other</v>
      </c>
    </row>
    <row r="9707" spans="1:7" x14ac:dyDescent="0.25">
      <c r="A9707">
        <v>89640</v>
      </c>
      <c r="B9707" t="s">
        <v>4</v>
      </c>
      <c r="C9707">
        <v>4</v>
      </c>
      <c r="D9707" t="s">
        <v>5</v>
      </c>
      <c r="F9707" t="str" cm="1">
        <f t="array" ref="F9707">CategorizeComment(E9707)</f>
        <v>Other</v>
      </c>
      <c r="G9707" t="str" cm="1">
        <f t="array" ref="G9707">SubCategorizeComment(E9707)</f>
        <v>Other</v>
      </c>
    </row>
    <row r="9708" spans="1:7" x14ac:dyDescent="0.25">
      <c r="A9708">
        <v>89641</v>
      </c>
      <c r="B9708" t="s">
        <v>4</v>
      </c>
      <c r="C9708">
        <v>3</v>
      </c>
      <c r="D9708" t="s">
        <v>5</v>
      </c>
      <c r="F9708" t="str" cm="1">
        <f t="array" ref="F9708">CategorizeComment(E9708)</f>
        <v>Other</v>
      </c>
      <c r="G9708" t="str" cm="1">
        <f t="array" ref="G9708">SubCategorizeComment(E9708)</f>
        <v>Other</v>
      </c>
    </row>
    <row r="9709" spans="1:7" x14ac:dyDescent="0.25">
      <c r="A9709">
        <v>89664</v>
      </c>
      <c r="B9709" t="s">
        <v>4</v>
      </c>
      <c r="C9709">
        <v>3</v>
      </c>
      <c r="D9709" t="s">
        <v>5</v>
      </c>
      <c r="F9709" t="str" cm="1">
        <f t="array" ref="F9709">CategorizeComment(E9709)</f>
        <v>Other</v>
      </c>
      <c r="G9709" t="str" cm="1">
        <f t="array" ref="G9709">SubCategorizeComment(E9709)</f>
        <v>Other</v>
      </c>
    </row>
    <row r="9710" spans="1:7" x14ac:dyDescent="0.25">
      <c r="A9710">
        <v>89669</v>
      </c>
      <c r="B9710" t="s">
        <v>4</v>
      </c>
      <c r="C9710">
        <v>4</v>
      </c>
      <c r="D9710" t="s">
        <v>5</v>
      </c>
      <c r="F9710" t="str" cm="1">
        <f t="array" ref="F9710">CategorizeComment(E9710)</f>
        <v>Other</v>
      </c>
      <c r="G9710" t="str" cm="1">
        <f t="array" ref="G9710">SubCategorizeComment(E9710)</f>
        <v>Other</v>
      </c>
    </row>
    <row r="9711" spans="1:7" x14ac:dyDescent="0.25">
      <c r="A9711">
        <v>89676</v>
      </c>
      <c r="B9711" t="s">
        <v>4</v>
      </c>
      <c r="C9711">
        <v>3</v>
      </c>
      <c r="D9711" t="s">
        <v>5</v>
      </c>
      <c r="F9711" t="str" cm="1">
        <f t="array" ref="F9711">CategorizeComment(E9711)</f>
        <v>Other</v>
      </c>
      <c r="G9711" t="str" cm="1">
        <f t="array" ref="G9711">SubCategorizeComment(E9711)</f>
        <v>Other</v>
      </c>
    </row>
    <row r="9712" spans="1:7" x14ac:dyDescent="0.25">
      <c r="A9712">
        <v>89677</v>
      </c>
      <c r="B9712" t="s">
        <v>4</v>
      </c>
      <c r="C9712">
        <v>3</v>
      </c>
      <c r="D9712" t="s">
        <v>5</v>
      </c>
      <c r="F9712" t="str" cm="1">
        <f t="array" ref="F9712">CategorizeComment(E9712)</f>
        <v>Other</v>
      </c>
      <c r="G9712" t="str" cm="1">
        <f t="array" ref="G9712">SubCategorizeComment(E9712)</f>
        <v>Other</v>
      </c>
    </row>
    <row r="9713" spans="1:7" x14ac:dyDescent="0.25">
      <c r="A9713">
        <v>89698</v>
      </c>
      <c r="B9713" t="s">
        <v>4</v>
      </c>
      <c r="C9713">
        <v>4</v>
      </c>
      <c r="D9713" t="s">
        <v>5</v>
      </c>
      <c r="F9713" t="str" cm="1">
        <f t="array" ref="F9713">CategorizeComment(E9713)</f>
        <v>Other</v>
      </c>
      <c r="G9713" t="str" cm="1">
        <f t="array" ref="G9713">SubCategorizeComment(E9713)</f>
        <v>Other</v>
      </c>
    </row>
    <row r="9714" spans="1:7" x14ac:dyDescent="0.25">
      <c r="A9714">
        <v>89707</v>
      </c>
      <c r="B9714" t="s">
        <v>4</v>
      </c>
      <c r="C9714">
        <v>3</v>
      </c>
      <c r="D9714" t="s">
        <v>5</v>
      </c>
      <c r="F9714" t="str" cm="1">
        <f t="array" ref="F9714">CategorizeComment(E9714)</f>
        <v>Other</v>
      </c>
      <c r="G9714" t="str" cm="1">
        <f t="array" ref="G9714">SubCategorizeComment(E9714)</f>
        <v>Other</v>
      </c>
    </row>
    <row r="9715" spans="1:7" x14ac:dyDescent="0.25">
      <c r="A9715">
        <v>89723</v>
      </c>
      <c r="B9715" t="s">
        <v>4</v>
      </c>
      <c r="C9715">
        <v>4</v>
      </c>
      <c r="D9715" t="s">
        <v>5</v>
      </c>
      <c r="F9715" t="str" cm="1">
        <f t="array" ref="F9715">CategorizeComment(E9715)</f>
        <v>Other</v>
      </c>
      <c r="G9715" t="str" cm="1">
        <f t="array" ref="G9715">SubCategorizeComment(E9715)</f>
        <v>Other</v>
      </c>
    </row>
    <row r="9716" spans="1:7" x14ac:dyDescent="0.25">
      <c r="A9716">
        <v>89729</v>
      </c>
      <c r="B9716" t="s">
        <v>4</v>
      </c>
      <c r="C9716">
        <v>3</v>
      </c>
      <c r="D9716" t="s">
        <v>5</v>
      </c>
      <c r="F9716" t="str" cm="1">
        <f t="array" ref="F9716">CategorizeComment(E9716)</f>
        <v>Other</v>
      </c>
      <c r="G9716" t="str" cm="1">
        <f t="array" ref="G9716">SubCategorizeComment(E9716)</f>
        <v>Other</v>
      </c>
    </row>
    <row r="9717" spans="1:7" x14ac:dyDescent="0.25">
      <c r="A9717">
        <v>89735</v>
      </c>
      <c r="B9717" t="s">
        <v>4</v>
      </c>
      <c r="C9717">
        <v>4</v>
      </c>
      <c r="D9717" t="s">
        <v>5</v>
      </c>
      <c r="F9717" t="str" cm="1">
        <f t="array" ref="F9717">CategorizeComment(E9717)</f>
        <v>Other</v>
      </c>
      <c r="G9717" t="str" cm="1">
        <f t="array" ref="G9717">SubCategorizeComment(E9717)</f>
        <v>Other</v>
      </c>
    </row>
    <row r="9718" spans="1:7" x14ac:dyDescent="0.25">
      <c r="A9718">
        <v>89769</v>
      </c>
      <c r="B9718" t="s">
        <v>4</v>
      </c>
      <c r="C9718">
        <v>4</v>
      </c>
      <c r="D9718" t="s">
        <v>5</v>
      </c>
      <c r="F9718" t="str" cm="1">
        <f t="array" ref="F9718">CategorizeComment(E9718)</f>
        <v>Other</v>
      </c>
      <c r="G9718" t="str" cm="1">
        <f t="array" ref="G9718">SubCategorizeComment(E9718)</f>
        <v>Other</v>
      </c>
    </row>
    <row r="9719" spans="1:7" x14ac:dyDescent="0.25">
      <c r="A9719">
        <v>89779</v>
      </c>
      <c r="B9719" t="s">
        <v>4</v>
      </c>
      <c r="C9719">
        <v>3</v>
      </c>
      <c r="D9719" t="s">
        <v>5</v>
      </c>
      <c r="F9719" t="str" cm="1">
        <f t="array" ref="F9719">CategorizeComment(E9719)</f>
        <v>Other</v>
      </c>
      <c r="G9719" t="str" cm="1">
        <f t="array" ref="G9719">SubCategorizeComment(E9719)</f>
        <v>Other</v>
      </c>
    </row>
    <row r="9720" spans="1:7" x14ac:dyDescent="0.25">
      <c r="A9720">
        <v>89780</v>
      </c>
      <c r="B9720" t="s">
        <v>4</v>
      </c>
      <c r="C9720">
        <v>4</v>
      </c>
      <c r="D9720" t="s">
        <v>5</v>
      </c>
      <c r="F9720" t="str" cm="1">
        <f t="array" ref="F9720">CategorizeComment(E9720)</f>
        <v>Other</v>
      </c>
      <c r="G9720" t="str" cm="1">
        <f t="array" ref="G9720">SubCategorizeComment(E9720)</f>
        <v>Other</v>
      </c>
    </row>
    <row r="9721" spans="1:7" x14ac:dyDescent="0.25">
      <c r="A9721">
        <v>89790</v>
      </c>
      <c r="B9721" t="s">
        <v>4</v>
      </c>
      <c r="C9721">
        <v>3</v>
      </c>
      <c r="D9721" t="s">
        <v>5</v>
      </c>
      <c r="F9721" t="str" cm="1">
        <f t="array" ref="F9721">CategorizeComment(E9721)</f>
        <v>Other</v>
      </c>
      <c r="G9721" t="str" cm="1">
        <f t="array" ref="G9721">SubCategorizeComment(E9721)</f>
        <v>Other</v>
      </c>
    </row>
    <row r="9722" spans="1:7" x14ac:dyDescent="0.25">
      <c r="A9722">
        <v>89799</v>
      </c>
      <c r="B9722" t="s">
        <v>4</v>
      </c>
      <c r="C9722">
        <v>3</v>
      </c>
      <c r="D9722" t="s">
        <v>5</v>
      </c>
      <c r="F9722" t="str" cm="1">
        <f t="array" ref="F9722">CategorizeComment(E9722)</f>
        <v>Other</v>
      </c>
      <c r="G9722" t="str" cm="1">
        <f t="array" ref="G9722">SubCategorizeComment(E9722)</f>
        <v>Other</v>
      </c>
    </row>
    <row r="9723" spans="1:7" x14ac:dyDescent="0.25">
      <c r="A9723">
        <v>89815</v>
      </c>
      <c r="B9723" t="s">
        <v>4</v>
      </c>
      <c r="C9723">
        <v>4</v>
      </c>
      <c r="D9723" t="s">
        <v>5</v>
      </c>
      <c r="F9723" t="str" cm="1">
        <f t="array" ref="F9723">CategorizeComment(E9723)</f>
        <v>Other</v>
      </c>
      <c r="G9723" t="str" cm="1">
        <f t="array" ref="G9723">SubCategorizeComment(E9723)</f>
        <v>Other</v>
      </c>
    </row>
    <row r="9724" spans="1:7" x14ac:dyDescent="0.25">
      <c r="A9724">
        <v>89817</v>
      </c>
      <c r="B9724" t="s">
        <v>4</v>
      </c>
      <c r="C9724">
        <v>4</v>
      </c>
      <c r="D9724" t="s">
        <v>5</v>
      </c>
      <c r="F9724" t="str" cm="1">
        <f t="array" ref="F9724">CategorizeComment(E9724)</f>
        <v>Other</v>
      </c>
      <c r="G9724" t="str" cm="1">
        <f t="array" ref="G9724">SubCategorizeComment(E9724)</f>
        <v>Other</v>
      </c>
    </row>
    <row r="9725" spans="1:7" x14ac:dyDescent="0.25">
      <c r="A9725">
        <v>89819</v>
      </c>
      <c r="B9725" t="s">
        <v>4</v>
      </c>
      <c r="C9725">
        <v>3</v>
      </c>
      <c r="D9725" t="s">
        <v>5</v>
      </c>
      <c r="F9725" t="str" cm="1">
        <f t="array" ref="F9725">CategorizeComment(E9725)</f>
        <v>Other</v>
      </c>
      <c r="G9725" t="str" cm="1">
        <f t="array" ref="G9725">SubCategorizeComment(E9725)</f>
        <v>Other</v>
      </c>
    </row>
    <row r="9726" spans="1:7" x14ac:dyDescent="0.25">
      <c r="A9726">
        <v>89822</v>
      </c>
      <c r="B9726" t="s">
        <v>4</v>
      </c>
      <c r="C9726">
        <v>3</v>
      </c>
      <c r="D9726" t="s">
        <v>5</v>
      </c>
      <c r="F9726" t="str" cm="1">
        <f t="array" ref="F9726">CategorizeComment(E9726)</f>
        <v>Other</v>
      </c>
      <c r="G9726" t="str" cm="1">
        <f t="array" ref="G9726">SubCategorizeComment(E9726)</f>
        <v>Other</v>
      </c>
    </row>
    <row r="9727" spans="1:7" x14ac:dyDescent="0.25">
      <c r="A9727">
        <v>89836</v>
      </c>
      <c r="B9727" t="s">
        <v>4</v>
      </c>
      <c r="C9727">
        <v>3</v>
      </c>
      <c r="D9727" t="s">
        <v>5</v>
      </c>
      <c r="F9727" t="str" cm="1">
        <f t="array" ref="F9727">CategorizeComment(E9727)</f>
        <v>Other</v>
      </c>
      <c r="G9727" t="str" cm="1">
        <f t="array" ref="G9727">SubCategorizeComment(E9727)</f>
        <v>Other</v>
      </c>
    </row>
    <row r="9728" spans="1:7" x14ac:dyDescent="0.25">
      <c r="A9728">
        <v>89845</v>
      </c>
      <c r="B9728" t="s">
        <v>4</v>
      </c>
      <c r="C9728">
        <v>3</v>
      </c>
      <c r="D9728" t="s">
        <v>5</v>
      </c>
      <c r="F9728" t="str" cm="1">
        <f t="array" ref="F9728">CategorizeComment(E9728)</f>
        <v>Other</v>
      </c>
      <c r="G9728" t="str" cm="1">
        <f t="array" ref="G9728">SubCategorizeComment(E9728)</f>
        <v>Other</v>
      </c>
    </row>
    <row r="9729" spans="1:7" x14ac:dyDescent="0.25">
      <c r="A9729">
        <v>89853</v>
      </c>
      <c r="B9729" t="s">
        <v>4</v>
      </c>
      <c r="C9729">
        <v>4</v>
      </c>
      <c r="D9729" t="s">
        <v>5</v>
      </c>
      <c r="F9729" t="str" cm="1">
        <f t="array" ref="F9729">CategorizeComment(E9729)</f>
        <v>Other</v>
      </c>
      <c r="G9729" t="str" cm="1">
        <f t="array" ref="G9729">SubCategorizeComment(E9729)</f>
        <v>Other</v>
      </c>
    </row>
    <row r="9730" spans="1:7" x14ac:dyDescent="0.25">
      <c r="A9730">
        <v>89898</v>
      </c>
      <c r="B9730" t="s">
        <v>4</v>
      </c>
      <c r="C9730">
        <v>3</v>
      </c>
      <c r="D9730" t="s">
        <v>5</v>
      </c>
      <c r="F9730" t="str" cm="1">
        <f t="array" ref="F9730">CategorizeComment(E9730)</f>
        <v>Other</v>
      </c>
      <c r="G9730" t="str" cm="1">
        <f t="array" ref="G9730">SubCategorizeComment(E9730)</f>
        <v>Other</v>
      </c>
    </row>
    <row r="9731" spans="1:7" x14ac:dyDescent="0.25">
      <c r="A9731">
        <v>89900</v>
      </c>
      <c r="B9731" t="s">
        <v>4</v>
      </c>
      <c r="C9731">
        <v>4</v>
      </c>
      <c r="D9731" t="s">
        <v>5</v>
      </c>
      <c r="F9731" t="str" cm="1">
        <f t="array" ref="F9731">CategorizeComment(E9731)</f>
        <v>Other</v>
      </c>
      <c r="G9731" t="str" cm="1">
        <f t="array" ref="G9731">SubCategorizeComment(E9731)</f>
        <v>Other</v>
      </c>
    </row>
    <row r="9732" spans="1:7" x14ac:dyDescent="0.25">
      <c r="A9732">
        <v>89901</v>
      </c>
      <c r="B9732" t="s">
        <v>4</v>
      </c>
      <c r="C9732">
        <v>3</v>
      </c>
      <c r="D9732" t="s">
        <v>5</v>
      </c>
      <c r="F9732" t="str" cm="1">
        <f t="array" ref="F9732">CategorizeComment(E9732)</f>
        <v>Other</v>
      </c>
      <c r="G9732" t="str" cm="1">
        <f t="array" ref="G9732">SubCategorizeComment(E9732)</f>
        <v>Other</v>
      </c>
    </row>
    <row r="9733" spans="1:7" x14ac:dyDescent="0.25">
      <c r="A9733">
        <v>89917</v>
      </c>
      <c r="B9733" t="s">
        <v>4</v>
      </c>
      <c r="C9733">
        <v>4</v>
      </c>
      <c r="D9733" t="s">
        <v>5</v>
      </c>
      <c r="F9733" t="str" cm="1">
        <f t="array" ref="F9733">CategorizeComment(E9733)</f>
        <v>Other</v>
      </c>
      <c r="G9733" t="str" cm="1">
        <f t="array" ref="G9733">SubCategorizeComment(E9733)</f>
        <v>Other</v>
      </c>
    </row>
    <row r="9734" spans="1:7" x14ac:dyDescent="0.25">
      <c r="A9734">
        <v>89922</v>
      </c>
      <c r="B9734" t="s">
        <v>4</v>
      </c>
      <c r="C9734">
        <v>4</v>
      </c>
      <c r="D9734" t="s">
        <v>5</v>
      </c>
      <c r="F9734" t="str" cm="1">
        <f t="array" ref="F9734">CategorizeComment(E9734)</f>
        <v>Other</v>
      </c>
      <c r="G9734" t="str" cm="1">
        <f t="array" ref="G9734">SubCategorizeComment(E9734)</f>
        <v>Other</v>
      </c>
    </row>
    <row r="9735" spans="1:7" x14ac:dyDescent="0.25">
      <c r="A9735">
        <v>89928</v>
      </c>
      <c r="B9735" t="s">
        <v>4</v>
      </c>
      <c r="C9735">
        <v>4</v>
      </c>
      <c r="D9735" t="s">
        <v>5</v>
      </c>
      <c r="F9735" t="str" cm="1">
        <f t="array" ref="F9735">CategorizeComment(E9735)</f>
        <v>Other</v>
      </c>
      <c r="G9735" t="str" cm="1">
        <f t="array" ref="G9735">SubCategorizeComment(E9735)</f>
        <v>Other</v>
      </c>
    </row>
    <row r="9736" spans="1:7" x14ac:dyDescent="0.25">
      <c r="A9736">
        <v>89933</v>
      </c>
      <c r="B9736" t="s">
        <v>4</v>
      </c>
      <c r="C9736">
        <v>3</v>
      </c>
      <c r="D9736" t="s">
        <v>5</v>
      </c>
      <c r="F9736" t="str" cm="1">
        <f t="array" ref="F9736">CategorizeComment(E9736)</f>
        <v>Other</v>
      </c>
      <c r="G9736" t="str" cm="1">
        <f t="array" ref="G9736">SubCategorizeComment(E9736)</f>
        <v>Other</v>
      </c>
    </row>
    <row r="9737" spans="1:7" x14ac:dyDescent="0.25">
      <c r="A9737">
        <v>89963</v>
      </c>
      <c r="B9737" t="s">
        <v>4</v>
      </c>
      <c r="C9737">
        <v>3</v>
      </c>
      <c r="D9737" t="s">
        <v>5</v>
      </c>
      <c r="F9737" t="str" cm="1">
        <f t="array" ref="F9737">CategorizeComment(E9737)</f>
        <v>Other</v>
      </c>
      <c r="G9737" t="str" cm="1">
        <f t="array" ref="G9737">SubCategorizeComment(E9737)</f>
        <v>Other</v>
      </c>
    </row>
    <row r="9738" spans="1:7" x14ac:dyDescent="0.25">
      <c r="A9738">
        <v>89972</v>
      </c>
      <c r="B9738" t="s">
        <v>4</v>
      </c>
      <c r="C9738">
        <v>4</v>
      </c>
      <c r="D9738" t="s">
        <v>5</v>
      </c>
      <c r="F9738" t="str" cm="1">
        <f t="array" ref="F9738">CategorizeComment(E9738)</f>
        <v>Other</v>
      </c>
      <c r="G9738" t="str" cm="1">
        <f t="array" ref="G9738">SubCategorizeComment(E9738)</f>
        <v>Other</v>
      </c>
    </row>
    <row r="9739" spans="1:7" x14ac:dyDescent="0.25">
      <c r="A9739">
        <v>89979</v>
      </c>
      <c r="B9739" t="s">
        <v>4</v>
      </c>
      <c r="C9739">
        <v>3</v>
      </c>
      <c r="D9739" t="s">
        <v>5</v>
      </c>
      <c r="F9739" t="str" cm="1">
        <f t="array" ref="F9739">CategorizeComment(E9739)</f>
        <v>Other</v>
      </c>
      <c r="G9739" t="str" cm="1">
        <f t="array" ref="G9739">SubCategorizeComment(E9739)</f>
        <v>Other</v>
      </c>
    </row>
    <row r="9740" spans="1:7" x14ac:dyDescent="0.25">
      <c r="A9740">
        <v>89980</v>
      </c>
      <c r="B9740" t="s">
        <v>4</v>
      </c>
      <c r="C9740">
        <v>4</v>
      </c>
      <c r="D9740" t="s">
        <v>5</v>
      </c>
      <c r="F9740" t="str" cm="1">
        <f t="array" ref="F9740">CategorizeComment(E9740)</f>
        <v>Other</v>
      </c>
      <c r="G9740" t="str" cm="1">
        <f t="array" ref="G9740">SubCategorizeComment(E9740)</f>
        <v>Other</v>
      </c>
    </row>
    <row r="9741" spans="1:7" x14ac:dyDescent="0.25">
      <c r="A9741">
        <v>89983</v>
      </c>
      <c r="B9741" t="s">
        <v>4</v>
      </c>
      <c r="C9741">
        <v>4</v>
      </c>
      <c r="D9741" t="s">
        <v>5</v>
      </c>
      <c r="F9741" t="str" cm="1">
        <f t="array" ref="F9741">CategorizeComment(E9741)</f>
        <v>Other</v>
      </c>
      <c r="G9741" t="str" cm="1">
        <f t="array" ref="G9741">SubCategorizeComment(E9741)</f>
        <v>Other</v>
      </c>
    </row>
    <row r="9742" spans="1:7" x14ac:dyDescent="0.25">
      <c r="A9742">
        <v>89986</v>
      </c>
      <c r="B9742" t="s">
        <v>4</v>
      </c>
      <c r="C9742">
        <v>4</v>
      </c>
      <c r="D9742" t="s">
        <v>5</v>
      </c>
      <c r="F9742" t="str" cm="1">
        <f t="array" ref="F9742">CategorizeComment(E9742)</f>
        <v>Other</v>
      </c>
      <c r="G9742" t="str" cm="1">
        <f t="array" ref="G9742">SubCategorizeComment(E9742)</f>
        <v>Other</v>
      </c>
    </row>
    <row r="9743" spans="1:7" x14ac:dyDescent="0.25">
      <c r="A9743">
        <v>90003</v>
      </c>
      <c r="B9743" t="s">
        <v>4</v>
      </c>
      <c r="C9743">
        <v>4</v>
      </c>
      <c r="D9743" t="s">
        <v>5</v>
      </c>
      <c r="F9743" t="str" cm="1">
        <f t="array" ref="F9743">CategorizeComment(E9743)</f>
        <v>Other</v>
      </c>
      <c r="G9743" t="str" cm="1">
        <f t="array" ref="G9743">SubCategorizeComment(E9743)</f>
        <v>Other</v>
      </c>
    </row>
    <row r="9744" spans="1:7" x14ac:dyDescent="0.25">
      <c r="A9744">
        <v>90006</v>
      </c>
      <c r="B9744" t="s">
        <v>4</v>
      </c>
      <c r="C9744">
        <v>3</v>
      </c>
      <c r="D9744" t="s">
        <v>5</v>
      </c>
      <c r="F9744" t="str" cm="1">
        <f t="array" ref="F9744">CategorizeComment(E9744)</f>
        <v>Other</v>
      </c>
      <c r="G9744" t="str" cm="1">
        <f t="array" ref="G9744">SubCategorizeComment(E9744)</f>
        <v>Other</v>
      </c>
    </row>
    <row r="9745" spans="1:7" x14ac:dyDescent="0.25">
      <c r="A9745">
        <v>90080</v>
      </c>
      <c r="B9745" t="s">
        <v>4</v>
      </c>
      <c r="C9745">
        <v>4</v>
      </c>
      <c r="D9745" t="s">
        <v>5</v>
      </c>
      <c r="F9745" t="str" cm="1">
        <f t="array" ref="F9745">CategorizeComment(E9745)</f>
        <v>Other</v>
      </c>
      <c r="G9745" t="str" cm="1">
        <f t="array" ref="G9745">SubCategorizeComment(E9745)</f>
        <v>Other</v>
      </c>
    </row>
    <row r="9746" spans="1:7" x14ac:dyDescent="0.25">
      <c r="A9746">
        <v>90087</v>
      </c>
      <c r="B9746" t="s">
        <v>4</v>
      </c>
      <c r="C9746">
        <v>4</v>
      </c>
      <c r="D9746" t="s">
        <v>5</v>
      </c>
      <c r="F9746" t="str" cm="1">
        <f t="array" ref="F9746">CategorizeComment(E9746)</f>
        <v>Other</v>
      </c>
      <c r="G9746" t="str" cm="1">
        <f t="array" ref="G9746">SubCategorizeComment(E9746)</f>
        <v>Other</v>
      </c>
    </row>
    <row r="9747" spans="1:7" x14ac:dyDescent="0.25">
      <c r="A9747">
        <v>90097</v>
      </c>
      <c r="B9747" t="s">
        <v>4</v>
      </c>
      <c r="C9747">
        <v>3</v>
      </c>
      <c r="D9747" t="s">
        <v>5</v>
      </c>
      <c r="F9747" t="str" cm="1">
        <f t="array" ref="F9747">CategorizeComment(E9747)</f>
        <v>Other</v>
      </c>
      <c r="G9747" t="str" cm="1">
        <f t="array" ref="G9747">SubCategorizeComment(E9747)</f>
        <v>Other</v>
      </c>
    </row>
    <row r="9748" spans="1:7" x14ac:dyDescent="0.25">
      <c r="A9748">
        <v>90103</v>
      </c>
      <c r="B9748" t="s">
        <v>4</v>
      </c>
      <c r="C9748">
        <v>3</v>
      </c>
      <c r="D9748" t="s">
        <v>5</v>
      </c>
      <c r="F9748" t="str" cm="1">
        <f t="array" ref="F9748">CategorizeComment(E9748)</f>
        <v>Other</v>
      </c>
      <c r="G9748" t="str" cm="1">
        <f t="array" ref="G9748">SubCategorizeComment(E9748)</f>
        <v>Other</v>
      </c>
    </row>
    <row r="9749" spans="1:7" x14ac:dyDescent="0.25">
      <c r="A9749">
        <v>90110</v>
      </c>
      <c r="B9749" t="s">
        <v>4</v>
      </c>
      <c r="C9749">
        <v>4</v>
      </c>
      <c r="D9749" t="s">
        <v>5</v>
      </c>
      <c r="F9749" t="str" cm="1">
        <f t="array" ref="F9749">CategorizeComment(E9749)</f>
        <v>Other</v>
      </c>
      <c r="G9749" t="str" cm="1">
        <f t="array" ref="G9749">SubCategorizeComment(E9749)</f>
        <v>Other</v>
      </c>
    </row>
    <row r="9750" spans="1:7" x14ac:dyDescent="0.25">
      <c r="A9750">
        <v>90113</v>
      </c>
      <c r="B9750" t="s">
        <v>4</v>
      </c>
      <c r="C9750">
        <v>4</v>
      </c>
      <c r="D9750" t="s">
        <v>5</v>
      </c>
      <c r="F9750" t="str" cm="1">
        <f t="array" ref="F9750">CategorizeComment(E9750)</f>
        <v>Other</v>
      </c>
      <c r="G9750" t="str" cm="1">
        <f t="array" ref="G9750">SubCategorizeComment(E9750)</f>
        <v>Other</v>
      </c>
    </row>
    <row r="9751" spans="1:7" x14ac:dyDescent="0.25">
      <c r="A9751">
        <v>90122</v>
      </c>
      <c r="B9751" t="s">
        <v>4</v>
      </c>
      <c r="C9751">
        <v>4</v>
      </c>
      <c r="D9751" t="s">
        <v>5</v>
      </c>
      <c r="F9751" t="str" cm="1">
        <f t="array" ref="F9751">CategorizeComment(E9751)</f>
        <v>Other</v>
      </c>
      <c r="G9751" t="str" cm="1">
        <f t="array" ref="G9751">SubCategorizeComment(E9751)</f>
        <v>Other</v>
      </c>
    </row>
    <row r="9752" spans="1:7" x14ac:dyDescent="0.25">
      <c r="A9752">
        <v>90152</v>
      </c>
      <c r="B9752" t="s">
        <v>4</v>
      </c>
      <c r="C9752">
        <v>4</v>
      </c>
      <c r="D9752" t="s">
        <v>5</v>
      </c>
      <c r="F9752" t="str" cm="1">
        <f t="array" ref="F9752">CategorizeComment(E9752)</f>
        <v>Other</v>
      </c>
      <c r="G9752" t="str" cm="1">
        <f t="array" ref="G9752">SubCategorizeComment(E9752)</f>
        <v>Other</v>
      </c>
    </row>
    <row r="9753" spans="1:7" x14ac:dyDescent="0.25">
      <c r="A9753">
        <v>90179</v>
      </c>
      <c r="B9753" t="s">
        <v>4</v>
      </c>
      <c r="C9753">
        <v>3</v>
      </c>
      <c r="D9753" t="s">
        <v>5</v>
      </c>
      <c r="F9753" t="str" cm="1">
        <f t="array" ref="F9753">CategorizeComment(E9753)</f>
        <v>Other</v>
      </c>
      <c r="G9753" t="str" cm="1">
        <f t="array" ref="G9753">SubCategorizeComment(E9753)</f>
        <v>Other</v>
      </c>
    </row>
    <row r="9754" spans="1:7" x14ac:dyDescent="0.25">
      <c r="A9754">
        <v>90182</v>
      </c>
      <c r="B9754" t="s">
        <v>4</v>
      </c>
      <c r="C9754">
        <v>3</v>
      </c>
      <c r="D9754" t="s">
        <v>5</v>
      </c>
      <c r="F9754" t="str" cm="1">
        <f t="array" ref="F9754">CategorizeComment(E9754)</f>
        <v>Other</v>
      </c>
      <c r="G9754" t="str" cm="1">
        <f t="array" ref="G9754">SubCategorizeComment(E9754)</f>
        <v>Other</v>
      </c>
    </row>
    <row r="9755" spans="1:7" x14ac:dyDescent="0.25">
      <c r="A9755">
        <v>90193</v>
      </c>
      <c r="B9755" t="s">
        <v>4</v>
      </c>
      <c r="C9755">
        <v>4</v>
      </c>
      <c r="D9755" t="s">
        <v>5</v>
      </c>
      <c r="F9755" t="str" cm="1">
        <f t="array" ref="F9755">CategorizeComment(E9755)</f>
        <v>Other</v>
      </c>
      <c r="G9755" t="str" cm="1">
        <f t="array" ref="G9755">SubCategorizeComment(E9755)</f>
        <v>Other</v>
      </c>
    </row>
    <row r="9756" spans="1:7" x14ac:dyDescent="0.25">
      <c r="A9756">
        <v>90201</v>
      </c>
      <c r="B9756" t="s">
        <v>4</v>
      </c>
      <c r="C9756">
        <v>3</v>
      </c>
      <c r="D9756" t="s">
        <v>5</v>
      </c>
      <c r="F9756" t="str" cm="1">
        <f t="array" ref="F9756">CategorizeComment(E9756)</f>
        <v>Other</v>
      </c>
      <c r="G9756" t="str" cm="1">
        <f t="array" ref="G9756">SubCategorizeComment(E9756)</f>
        <v>Other</v>
      </c>
    </row>
    <row r="9757" spans="1:7" x14ac:dyDescent="0.25">
      <c r="A9757">
        <v>90209</v>
      </c>
      <c r="B9757" t="s">
        <v>4</v>
      </c>
      <c r="C9757">
        <v>4</v>
      </c>
      <c r="D9757" t="s">
        <v>5</v>
      </c>
      <c r="F9757" t="str" cm="1">
        <f t="array" ref="F9757">CategorizeComment(E9757)</f>
        <v>Other</v>
      </c>
      <c r="G9757" t="str" cm="1">
        <f t="array" ref="G9757">SubCategorizeComment(E9757)</f>
        <v>Other</v>
      </c>
    </row>
    <row r="9758" spans="1:7" x14ac:dyDescent="0.25">
      <c r="A9758">
        <v>90219</v>
      </c>
      <c r="B9758" t="s">
        <v>4</v>
      </c>
      <c r="C9758">
        <v>4</v>
      </c>
      <c r="D9758" t="s">
        <v>5</v>
      </c>
      <c r="F9758" t="str" cm="1">
        <f t="array" ref="F9758">CategorizeComment(E9758)</f>
        <v>Other</v>
      </c>
      <c r="G9758" t="str" cm="1">
        <f t="array" ref="G9758">SubCategorizeComment(E9758)</f>
        <v>Other</v>
      </c>
    </row>
    <row r="9759" spans="1:7" x14ac:dyDescent="0.25">
      <c r="A9759">
        <v>90223</v>
      </c>
      <c r="B9759" t="s">
        <v>4</v>
      </c>
      <c r="C9759">
        <v>3</v>
      </c>
      <c r="D9759" t="s">
        <v>5</v>
      </c>
      <c r="F9759" t="str" cm="1">
        <f t="array" ref="F9759">CategorizeComment(E9759)</f>
        <v>Other</v>
      </c>
      <c r="G9759" t="str" cm="1">
        <f t="array" ref="G9759">SubCategorizeComment(E9759)</f>
        <v>Other</v>
      </c>
    </row>
    <row r="9760" spans="1:7" x14ac:dyDescent="0.25">
      <c r="A9760">
        <v>90228</v>
      </c>
      <c r="B9760" t="s">
        <v>4</v>
      </c>
      <c r="C9760">
        <v>3</v>
      </c>
      <c r="D9760" t="s">
        <v>5</v>
      </c>
      <c r="F9760" t="str" cm="1">
        <f t="array" ref="F9760">CategorizeComment(E9760)</f>
        <v>Other</v>
      </c>
      <c r="G9760" t="str" cm="1">
        <f t="array" ref="G9760">SubCategorizeComment(E9760)</f>
        <v>Other</v>
      </c>
    </row>
    <row r="9761" spans="1:7" x14ac:dyDescent="0.25">
      <c r="A9761">
        <v>90244</v>
      </c>
      <c r="B9761" t="s">
        <v>4</v>
      </c>
      <c r="C9761">
        <v>3</v>
      </c>
      <c r="D9761" t="s">
        <v>5</v>
      </c>
      <c r="F9761" t="str" cm="1">
        <f t="array" ref="F9761">CategorizeComment(E9761)</f>
        <v>Other</v>
      </c>
      <c r="G9761" t="str" cm="1">
        <f t="array" ref="G9761">SubCategorizeComment(E9761)</f>
        <v>Other</v>
      </c>
    </row>
    <row r="9762" spans="1:7" x14ac:dyDescent="0.25">
      <c r="A9762">
        <v>90248</v>
      </c>
      <c r="B9762" t="s">
        <v>4</v>
      </c>
      <c r="C9762">
        <v>4</v>
      </c>
      <c r="D9762" t="s">
        <v>5</v>
      </c>
      <c r="F9762" t="str" cm="1">
        <f t="array" ref="F9762">CategorizeComment(E9762)</f>
        <v>Other</v>
      </c>
      <c r="G9762" t="str" cm="1">
        <f t="array" ref="G9762">SubCategorizeComment(E9762)</f>
        <v>Other</v>
      </c>
    </row>
    <row r="9763" spans="1:7" x14ac:dyDescent="0.25">
      <c r="A9763">
        <v>90279</v>
      </c>
      <c r="B9763" t="s">
        <v>4</v>
      </c>
      <c r="C9763">
        <v>4</v>
      </c>
      <c r="D9763" t="s">
        <v>5</v>
      </c>
      <c r="F9763" t="str" cm="1">
        <f t="array" ref="F9763">CategorizeComment(E9763)</f>
        <v>Other</v>
      </c>
      <c r="G9763" t="str" cm="1">
        <f t="array" ref="G9763">SubCategorizeComment(E9763)</f>
        <v>Other</v>
      </c>
    </row>
    <row r="9764" spans="1:7" x14ac:dyDescent="0.25">
      <c r="A9764">
        <v>90281</v>
      </c>
      <c r="B9764" t="s">
        <v>4</v>
      </c>
      <c r="C9764">
        <v>4</v>
      </c>
      <c r="D9764" t="s">
        <v>5</v>
      </c>
      <c r="F9764" t="str" cm="1">
        <f t="array" ref="F9764">CategorizeComment(E9764)</f>
        <v>Other</v>
      </c>
      <c r="G9764" t="str" cm="1">
        <f t="array" ref="G9764">SubCategorizeComment(E9764)</f>
        <v>Other</v>
      </c>
    </row>
    <row r="9765" spans="1:7" x14ac:dyDescent="0.25">
      <c r="A9765">
        <v>90293</v>
      </c>
      <c r="B9765" t="s">
        <v>4</v>
      </c>
      <c r="C9765">
        <v>4</v>
      </c>
      <c r="D9765" t="s">
        <v>5</v>
      </c>
      <c r="F9765" t="str" cm="1">
        <f t="array" ref="F9765">CategorizeComment(E9765)</f>
        <v>Other</v>
      </c>
      <c r="G9765" t="str" cm="1">
        <f t="array" ref="G9765">SubCategorizeComment(E9765)</f>
        <v>Other</v>
      </c>
    </row>
    <row r="9766" spans="1:7" x14ac:dyDescent="0.25">
      <c r="A9766">
        <v>90297</v>
      </c>
      <c r="B9766" t="s">
        <v>4</v>
      </c>
      <c r="C9766">
        <v>4</v>
      </c>
      <c r="D9766" t="s">
        <v>5</v>
      </c>
      <c r="F9766" t="str" cm="1">
        <f t="array" ref="F9766">CategorizeComment(E9766)</f>
        <v>Other</v>
      </c>
      <c r="G9766" t="str" cm="1">
        <f t="array" ref="G9766">SubCategorizeComment(E9766)</f>
        <v>Other</v>
      </c>
    </row>
    <row r="9767" spans="1:7" x14ac:dyDescent="0.25">
      <c r="A9767">
        <v>90307</v>
      </c>
      <c r="B9767" t="s">
        <v>4</v>
      </c>
      <c r="C9767">
        <v>4</v>
      </c>
      <c r="D9767" t="s">
        <v>5</v>
      </c>
      <c r="F9767" t="str" cm="1">
        <f t="array" ref="F9767">CategorizeComment(E9767)</f>
        <v>Other</v>
      </c>
      <c r="G9767" t="str" cm="1">
        <f t="array" ref="G9767">SubCategorizeComment(E9767)</f>
        <v>Other</v>
      </c>
    </row>
    <row r="9768" spans="1:7" x14ac:dyDescent="0.25">
      <c r="A9768">
        <v>90355</v>
      </c>
      <c r="B9768" t="s">
        <v>4</v>
      </c>
      <c r="C9768">
        <v>4</v>
      </c>
      <c r="D9768" t="s">
        <v>5</v>
      </c>
      <c r="F9768" t="str" cm="1">
        <f t="array" ref="F9768">CategorizeComment(E9768)</f>
        <v>Other</v>
      </c>
      <c r="G9768" t="str" cm="1">
        <f t="array" ref="G9768">SubCategorizeComment(E9768)</f>
        <v>Other</v>
      </c>
    </row>
    <row r="9769" spans="1:7" x14ac:dyDescent="0.25">
      <c r="A9769">
        <v>90360</v>
      </c>
      <c r="B9769" t="s">
        <v>4</v>
      </c>
      <c r="C9769">
        <v>3</v>
      </c>
      <c r="D9769" t="s">
        <v>5</v>
      </c>
      <c r="F9769" t="str" cm="1">
        <f t="array" ref="F9769">CategorizeComment(E9769)</f>
        <v>Other</v>
      </c>
      <c r="G9769" t="str" cm="1">
        <f t="array" ref="G9769">SubCategorizeComment(E9769)</f>
        <v>Other</v>
      </c>
    </row>
    <row r="9770" spans="1:7" x14ac:dyDescent="0.25">
      <c r="A9770">
        <v>90377</v>
      </c>
      <c r="B9770" t="s">
        <v>4</v>
      </c>
      <c r="C9770">
        <v>3</v>
      </c>
      <c r="D9770" t="s">
        <v>5</v>
      </c>
      <c r="F9770" t="str" cm="1">
        <f t="array" ref="F9770">CategorizeComment(E9770)</f>
        <v>Other</v>
      </c>
      <c r="G9770" t="str" cm="1">
        <f t="array" ref="G9770">SubCategorizeComment(E9770)</f>
        <v>Other</v>
      </c>
    </row>
    <row r="9771" spans="1:7" x14ac:dyDescent="0.25">
      <c r="A9771">
        <v>90381</v>
      </c>
      <c r="B9771" t="s">
        <v>4</v>
      </c>
      <c r="C9771">
        <v>4</v>
      </c>
      <c r="D9771" t="s">
        <v>5</v>
      </c>
      <c r="F9771" t="str" cm="1">
        <f t="array" ref="F9771">CategorizeComment(E9771)</f>
        <v>Other</v>
      </c>
      <c r="G9771" t="str" cm="1">
        <f t="array" ref="G9771">SubCategorizeComment(E9771)</f>
        <v>Other</v>
      </c>
    </row>
    <row r="9772" spans="1:7" x14ac:dyDescent="0.25">
      <c r="A9772">
        <v>90388</v>
      </c>
      <c r="B9772" t="s">
        <v>4</v>
      </c>
      <c r="C9772">
        <v>4</v>
      </c>
      <c r="D9772" t="s">
        <v>5</v>
      </c>
      <c r="F9772" t="str" cm="1">
        <f t="array" ref="F9772">CategorizeComment(E9772)</f>
        <v>Other</v>
      </c>
      <c r="G9772" t="str" cm="1">
        <f t="array" ref="G9772">SubCategorizeComment(E9772)</f>
        <v>Other</v>
      </c>
    </row>
    <row r="9773" spans="1:7" x14ac:dyDescent="0.25">
      <c r="A9773">
        <v>90392</v>
      </c>
      <c r="B9773" t="s">
        <v>4</v>
      </c>
      <c r="C9773">
        <v>4</v>
      </c>
      <c r="D9773" t="s">
        <v>5</v>
      </c>
      <c r="F9773" t="str" cm="1">
        <f t="array" ref="F9773">CategorizeComment(E9773)</f>
        <v>Other</v>
      </c>
      <c r="G9773" t="str" cm="1">
        <f t="array" ref="G9773">SubCategorizeComment(E9773)</f>
        <v>Other</v>
      </c>
    </row>
    <row r="9774" spans="1:7" x14ac:dyDescent="0.25">
      <c r="A9774">
        <v>90395</v>
      </c>
      <c r="B9774" t="s">
        <v>4</v>
      </c>
      <c r="C9774">
        <v>4</v>
      </c>
      <c r="D9774" t="s">
        <v>5</v>
      </c>
      <c r="F9774" t="str" cm="1">
        <f t="array" ref="F9774">CategorizeComment(E9774)</f>
        <v>Other</v>
      </c>
      <c r="G9774" t="str" cm="1">
        <f t="array" ref="G9774">SubCategorizeComment(E9774)</f>
        <v>Other</v>
      </c>
    </row>
    <row r="9775" spans="1:7" x14ac:dyDescent="0.25">
      <c r="A9775">
        <v>90396</v>
      </c>
      <c r="B9775" t="s">
        <v>4</v>
      </c>
      <c r="C9775">
        <v>4</v>
      </c>
      <c r="D9775" t="s">
        <v>5</v>
      </c>
      <c r="F9775" t="str" cm="1">
        <f t="array" ref="F9775">CategorizeComment(E9775)</f>
        <v>Other</v>
      </c>
      <c r="G9775" t="str" cm="1">
        <f t="array" ref="G9775">SubCategorizeComment(E9775)</f>
        <v>Other</v>
      </c>
    </row>
    <row r="9776" spans="1:7" x14ac:dyDescent="0.25">
      <c r="A9776">
        <v>90420</v>
      </c>
      <c r="B9776" t="s">
        <v>4</v>
      </c>
      <c r="C9776">
        <v>3</v>
      </c>
      <c r="D9776" t="s">
        <v>5</v>
      </c>
      <c r="F9776" t="str" cm="1">
        <f t="array" ref="F9776">CategorizeComment(E9776)</f>
        <v>Other</v>
      </c>
      <c r="G9776" t="str" cm="1">
        <f t="array" ref="G9776">SubCategorizeComment(E9776)</f>
        <v>Other</v>
      </c>
    </row>
    <row r="9777" spans="1:7" x14ac:dyDescent="0.25">
      <c r="A9777">
        <v>90428</v>
      </c>
      <c r="B9777" t="s">
        <v>4</v>
      </c>
      <c r="C9777">
        <v>3</v>
      </c>
      <c r="D9777" t="s">
        <v>5</v>
      </c>
      <c r="F9777" t="str" cm="1">
        <f t="array" ref="F9777">CategorizeComment(E9777)</f>
        <v>Other</v>
      </c>
      <c r="G9777" t="str" cm="1">
        <f t="array" ref="G9777">SubCategorizeComment(E9777)</f>
        <v>Other</v>
      </c>
    </row>
    <row r="9778" spans="1:7" x14ac:dyDescent="0.25">
      <c r="A9778">
        <v>90447</v>
      </c>
      <c r="B9778" t="s">
        <v>4</v>
      </c>
      <c r="C9778">
        <v>3</v>
      </c>
      <c r="D9778" t="s">
        <v>5</v>
      </c>
      <c r="F9778" t="str" cm="1">
        <f t="array" ref="F9778">CategorizeComment(E9778)</f>
        <v>Other</v>
      </c>
      <c r="G9778" t="str" cm="1">
        <f t="array" ref="G9778">SubCategorizeComment(E9778)</f>
        <v>Other</v>
      </c>
    </row>
    <row r="9779" spans="1:7" x14ac:dyDescent="0.25">
      <c r="A9779">
        <v>90559</v>
      </c>
      <c r="B9779" t="s">
        <v>4</v>
      </c>
      <c r="C9779">
        <v>4</v>
      </c>
      <c r="D9779" t="s">
        <v>5</v>
      </c>
      <c r="F9779" t="str" cm="1">
        <f t="array" ref="F9779">CategorizeComment(E9779)</f>
        <v>Other</v>
      </c>
      <c r="G9779" t="str" cm="1">
        <f t="array" ref="G9779">SubCategorizeComment(E9779)</f>
        <v>Other</v>
      </c>
    </row>
    <row r="9780" spans="1:7" x14ac:dyDescent="0.25">
      <c r="A9780">
        <v>90573</v>
      </c>
      <c r="B9780" t="s">
        <v>4</v>
      </c>
      <c r="C9780">
        <v>4</v>
      </c>
      <c r="D9780" t="s">
        <v>5</v>
      </c>
      <c r="F9780" t="str" cm="1">
        <f t="array" ref="F9780">CategorizeComment(E9780)</f>
        <v>Other</v>
      </c>
      <c r="G9780" t="str" cm="1">
        <f t="array" ref="G9780">SubCategorizeComment(E9780)</f>
        <v>Other</v>
      </c>
    </row>
    <row r="9781" spans="1:7" x14ac:dyDescent="0.25">
      <c r="A9781">
        <v>90613</v>
      </c>
      <c r="B9781" t="s">
        <v>4</v>
      </c>
      <c r="C9781">
        <v>4</v>
      </c>
      <c r="D9781" t="s">
        <v>5</v>
      </c>
      <c r="F9781" t="str" cm="1">
        <f t="array" ref="F9781">CategorizeComment(E9781)</f>
        <v>Other</v>
      </c>
      <c r="G9781" t="str" cm="1">
        <f t="array" ref="G9781">SubCategorizeComment(E9781)</f>
        <v>Other</v>
      </c>
    </row>
    <row r="9782" spans="1:7" x14ac:dyDescent="0.25">
      <c r="A9782">
        <v>90619</v>
      </c>
      <c r="B9782" t="s">
        <v>4</v>
      </c>
      <c r="C9782">
        <v>4</v>
      </c>
      <c r="D9782" t="s">
        <v>5</v>
      </c>
      <c r="F9782" t="str" cm="1">
        <f t="array" ref="F9782">CategorizeComment(E9782)</f>
        <v>Other</v>
      </c>
      <c r="G9782" t="str" cm="1">
        <f t="array" ref="G9782">SubCategorizeComment(E9782)</f>
        <v>Other</v>
      </c>
    </row>
    <row r="9783" spans="1:7" x14ac:dyDescent="0.25">
      <c r="A9783">
        <v>90669</v>
      </c>
      <c r="B9783" t="s">
        <v>4</v>
      </c>
      <c r="C9783">
        <v>3</v>
      </c>
      <c r="D9783" t="s">
        <v>5</v>
      </c>
      <c r="F9783" t="str" cm="1">
        <f t="array" ref="F9783">CategorizeComment(E9783)</f>
        <v>Other</v>
      </c>
      <c r="G9783" t="str" cm="1">
        <f t="array" ref="G9783">SubCategorizeComment(E9783)</f>
        <v>Other</v>
      </c>
    </row>
    <row r="9784" spans="1:7" x14ac:dyDescent="0.25">
      <c r="A9784">
        <v>90686</v>
      </c>
      <c r="B9784" t="s">
        <v>4</v>
      </c>
      <c r="C9784">
        <v>4</v>
      </c>
      <c r="D9784" t="s">
        <v>5</v>
      </c>
      <c r="F9784" t="str" cm="1">
        <f t="array" ref="F9784">CategorizeComment(E9784)</f>
        <v>Other</v>
      </c>
      <c r="G9784" t="str" cm="1">
        <f t="array" ref="G9784">SubCategorizeComment(E9784)</f>
        <v>Other</v>
      </c>
    </row>
    <row r="9785" spans="1:7" x14ac:dyDescent="0.25">
      <c r="A9785">
        <v>90712</v>
      </c>
      <c r="B9785" t="s">
        <v>4</v>
      </c>
      <c r="C9785">
        <v>3</v>
      </c>
      <c r="D9785" t="s">
        <v>5</v>
      </c>
      <c r="F9785" t="str" cm="1">
        <f t="array" ref="F9785">CategorizeComment(E9785)</f>
        <v>Other</v>
      </c>
      <c r="G9785" t="str" cm="1">
        <f t="array" ref="G9785">SubCategorizeComment(E9785)</f>
        <v>Other</v>
      </c>
    </row>
    <row r="9786" spans="1:7" x14ac:dyDescent="0.25">
      <c r="A9786">
        <v>90738</v>
      </c>
      <c r="B9786" t="s">
        <v>4</v>
      </c>
      <c r="C9786">
        <v>3</v>
      </c>
      <c r="D9786" t="s">
        <v>5</v>
      </c>
      <c r="F9786" t="str" cm="1">
        <f t="array" ref="F9786">CategorizeComment(E9786)</f>
        <v>Other</v>
      </c>
      <c r="G9786" t="str" cm="1">
        <f t="array" ref="G9786">SubCategorizeComment(E9786)</f>
        <v>Other</v>
      </c>
    </row>
    <row r="9787" spans="1:7" x14ac:dyDescent="0.25">
      <c r="A9787">
        <v>90747</v>
      </c>
      <c r="B9787" t="s">
        <v>4</v>
      </c>
      <c r="C9787">
        <v>3</v>
      </c>
      <c r="D9787" t="s">
        <v>5</v>
      </c>
      <c r="F9787" t="str" cm="1">
        <f t="array" ref="F9787">CategorizeComment(E9787)</f>
        <v>Other</v>
      </c>
      <c r="G9787" t="str" cm="1">
        <f t="array" ref="G9787">SubCategorizeComment(E9787)</f>
        <v>Other</v>
      </c>
    </row>
    <row r="9788" spans="1:7" x14ac:dyDescent="0.25">
      <c r="A9788">
        <v>90751</v>
      </c>
      <c r="B9788" t="s">
        <v>4</v>
      </c>
      <c r="C9788">
        <v>3</v>
      </c>
      <c r="D9788" t="s">
        <v>5</v>
      </c>
      <c r="F9788" t="str" cm="1">
        <f t="array" ref="F9788">CategorizeComment(E9788)</f>
        <v>Other</v>
      </c>
      <c r="G9788" t="str" cm="1">
        <f t="array" ref="G9788">SubCategorizeComment(E9788)</f>
        <v>Other</v>
      </c>
    </row>
    <row r="9789" spans="1:7" x14ac:dyDescent="0.25">
      <c r="A9789">
        <v>90754</v>
      </c>
      <c r="B9789" t="s">
        <v>4</v>
      </c>
      <c r="C9789">
        <v>4</v>
      </c>
      <c r="D9789" t="s">
        <v>5</v>
      </c>
      <c r="F9789" t="str" cm="1">
        <f t="array" ref="F9789">CategorizeComment(E9789)</f>
        <v>Other</v>
      </c>
      <c r="G9789" t="str" cm="1">
        <f t="array" ref="G9789">SubCategorizeComment(E9789)</f>
        <v>Other</v>
      </c>
    </row>
    <row r="9790" spans="1:7" x14ac:dyDescent="0.25">
      <c r="A9790">
        <v>90759</v>
      </c>
      <c r="B9790" t="s">
        <v>4</v>
      </c>
      <c r="C9790">
        <v>4</v>
      </c>
      <c r="D9790" t="s">
        <v>5</v>
      </c>
      <c r="F9790" t="str" cm="1">
        <f t="array" ref="F9790">CategorizeComment(E9790)</f>
        <v>Other</v>
      </c>
      <c r="G9790" t="str" cm="1">
        <f t="array" ref="G9790">SubCategorizeComment(E9790)</f>
        <v>Other</v>
      </c>
    </row>
    <row r="9791" spans="1:7" x14ac:dyDescent="0.25">
      <c r="A9791">
        <v>90771</v>
      </c>
      <c r="B9791" t="s">
        <v>4</v>
      </c>
      <c r="C9791">
        <v>4</v>
      </c>
      <c r="D9791" t="s">
        <v>5</v>
      </c>
      <c r="F9791" t="str" cm="1">
        <f t="array" ref="F9791">CategorizeComment(E9791)</f>
        <v>Other</v>
      </c>
      <c r="G9791" t="str" cm="1">
        <f t="array" ref="G9791">SubCategorizeComment(E9791)</f>
        <v>Other</v>
      </c>
    </row>
    <row r="9792" spans="1:7" x14ac:dyDescent="0.25">
      <c r="A9792">
        <v>90785</v>
      </c>
      <c r="B9792" t="s">
        <v>4</v>
      </c>
      <c r="C9792">
        <v>3</v>
      </c>
      <c r="D9792" t="s">
        <v>5</v>
      </c>
      <c r="F9792" t="str" cm="1">
        <f t="array" ref="F9792">CategorizeComment(E9792)</f>
        <v>Other</v>
      </c>
      <c r="G9792" t="str" cm="1">
        <f t="array" ref="G9792">SubCategorizeComment(E9792)</f>
        <v>Other</v>
      </c>
    </row>
    <row r="9793" spans="1:7" x14ac:dyDescent="0.25">
      <c r="A9793">
        <v>90787</v>
      </c>
      <c r="B9793" t="s">
        <v>4</v>
      </c>
      <c r="C9793">
        <v>3</v>
      </c>
      <c r="D9793" t="s">
        <v>5</v>
      </c>
      <c r="F9793" t="str" cm="1">
        <f t="array" ref="F9793">CategorizeComment(E9793)</f>
        <v>Other</v>
      </c>
      <c r="G9793" t="str" cm="1">
        <f t="array" ref="G9793">SubCategorizeComment(E9793)</f>
        <v>Other</v>
      </c>
    </row>
    <row r="9794" spans="1:7" x14ac:dyDescent="0.25">
      <c r="A9794">
        <v>90797</v>
      </c>
      <c r="B9794" t="s">
        <v>4</v>
      </c>
      <c r="C9794">
        <v>4</v>
      </c>
      <c r="D9794" t="s">
        <v>5</v>
      </c>
      <c r="F9794" t="str" cm="1">
        <f t="array" ref="F9794">CategorizeComment(E9794)</f>
        <v>Other</v>
      </c>
      <c r="G9794" t="str" cm="1">
        <f t="array" ref="G9794">SubCategorizeComment(E9794)</f>
        <v>Other</v>
      </c>
    </row>
    <row r="9795" spans="1:7" x14ac:dyDescent="0.25">
      <c r="A9795">
        <v>90810</v>
      </c>
      <c r="B9795" t="s">
        <v>4</v>
      </c>
      <c r="C9795">
        <v>4</v>
      </c>
      <c r="D9795" t="s">
        <v>5</v>
      </c>
      <c r="F9795" t="str" cm="1">
        <f t="array" ref="F9795">CategorizeComment(E9795)</f>
        <v>Other</v>
      </c>
      <c r="G9795" t="str" cm="1">
        <f t="array" ref="G9795">SubCategorizeComment(E9795)</f>
        <v>Other</v>
      </c>
    </row>
    <row r="9796" spans="1:7" x14ac:dyDescent="0.25">
      <c r="A9796">
        <v>90811</v>
      </c>
      <c r="B9796" t="s">
        <v>4</v>
      </c>
      <c r="C9796">
        <v>4</v>
      </c>
      <c r="D9796" t="s">
        <v>5</v>
      </c>
      <c r="F9796" t="str" cm="1">
        <f t="array" ref="F9796">CategorizeComment(E9796)</f>
        <v>Other</v>
      </c>
      <c r="G9796" t="str" cm="1">
        <f t="array" ref="G9796">SubCategorizeComment(E9796)</f>
        <v>Other</v>
      </c>
    </row>
    <row r="9797" spans="1:7" x14ac:dyDescent="0.25">
      <c r="A9797">
        <v>90814</v>
      </c>
      <c r="B9797" t="s">
        <v>4</v>
      </c>
      <c r="C9797">
        <v>3</v>
      </c>
      <c r="D9797" t="s">
        <v>5</v>
      </c>
      <c r="F9797" t="str" cm="1">
        <f t="array" ref="F9797">CategorizeComment(E9797)</f>
        <v>Other</v>
      </c>
      <c r="G9797" t="str" cm="1">
        <f t="array" ref="G9797">SubCategorizeComment(E9797)</f>
        <v>Other</v>
      </c>
    </row>
    <row r="9798" spans="1:7" x14ac:dyDescent="0.25">
      <c r="A9798">
        <v>90815</v>
      </c>
      <c r="B9798" t="s">
        <v>4</v>
      </c>
      <c r="C9798">
        <v>4</v>
      </c>
      <c r="D9798" t="s">
        <v>5</v>
      </c>
      <c r="F9798" t="str" cm="1">
        <f t="array" ref="F9798">CategorizeComment(E9798)</f>
        <v>Other</v>
      </c>
      <c r="G9798" t="str" cm="1">
        <f t="array" ref="G9798">SubCategorizeComment(E9798)</f>
        <v>Other</v>
      </c>
    </row>
    <row r="9799" spans="1:7" x14ac:dyDescent="0.25">
      <c r="A9799">
        <v>90838</v>
      </c>
      <c r="B9799" t="s">
        <v>4</v>
      </c>
      <c r="C9799">
        <v>3</v>
      </c>
      <c r="D9799" t="s">
        <v>5</v>
      </c>
      <c r="F9799" t="str" cm="1">
        <f t="array" ref="F9799">CategorizeComment(E9799)</f>
        <v>Other</v>
      </c>
      <c r="G9799" t="str" cm="1">
        <f t="array" ref="G9799">SubCategorizeComment(E9799)</f>
        <v>Other</v>
      </c>
    </row>
    <row r="9800" spans="1:7" x14ac:dyDescent="0.25">
      <c r="A9800">
        <v>90840</v>
      </c>
      <c r="B9800" t="s">
        <v>4</v>
      </c>
      <c r="C9800">
        <v>4</v>
      </c>
      <c r="D9800" t="s">
        <v>5</v>
      </c>
      <c r="F9800" t="str" cm="1">
        <f t="array" ref="F9800">CategorizeComment(E9800)</f>
        <v>Other</v>
      </c>
      <c r="G9800" t="str" cm="1">
        <f t="array" ref="G9800">SubCategorizeComment(E9800)</f>
        <v>Other</v>
      </c>
    </row>
    <row r="9801" spans="1:7" x14ac:dyDescent="0.25">
      <c r="A9801">
        <v>90843</v>
      </c>
      <c r="B9801" t="s">
        <v>4</v>
      </c>
      <c r="C9801">
        <v>3</v>
      </c>
      <c r="D9801" t="s">
        <v>5</v>
      </c>
      <c r="F9801" t="str" cm="1">
        <f t="array" ref="F9801">CategorizeComment(E9801)</f>
        <v>Other</v>
      </c>
      <c r="G9801" t="str" cm="1">
        <f t="array" ref="G9801">SubCategorizeComment(E9801)</f>
        <v>Other</v>
      </c>
    </row>
    <row r="9802" spans="1:7" x14ac:dyDescent="0.25">
      <c r="A9802">
        <v>90850</v>
      </c>
      <c r="B9802" t="s">
        <v>4</v>
      </c>
      <c r="C9802">
        <v>3</v>
      </c>
      <c r="D9802" t="s">
        <v>5</v>
      </c>
      <c r="F9802" t="str" cm="1">
        <f t="array" ref="F9802">CategorizeComment(E9802)</f>
        <v>Other</v>
      </c>
      <c r="G9802" t="str" cm="1">
        <f t="array" ref="G9802">SubCategorizeComment(E9802)</f>
        <v>Other</v>
      </c>
    </row>
    <row r="9803" spans="1:7" x14ac:dyDescent="0.25">
      <c r="A9803">
        <v>90851</v>
      </c>
      <c r="B9803" t="s">
        <v>4</v>
      </c>
      <c r="C9803">
        <v>3</v>
      </c>
      <c r="D9803" t="s">
        <v>5</v>
      </c>
      <c r="F9803" t="str" cm="1">
        <f t="array" ref="F9803">CategorizeComment(E9803)</f>
        <v>Other</v>
      </c>
      <c r="G9803" t="str" cm="1">
        <f t="array" ref="G9803">SubCategorizeComment(E9803)</f>
        <v>Other</v>
      </c>
    </row>
    <row r="9804" spans="1:7" x14ac:dyDescent="0.25">
      <c r="A9804">
        <v>90859</v>
      </c>
      <c r="B9804" t="s">
        <v>4</v>
      </c>
      <c r="C9804">
        <v>3</v>
      </c>
      <c r="D9804" t="s">
        <v>5</v>
      </c>
      <c r="F9804" t="str" cm="1">
        <f t="array" ref="F9804">CategorizeComment(E9804)</f>
        <v>Other</v>
      </c>
      <c r="G9804" t="str" cm="1">
        <f t="array" ref="G9804">SubCategorizeComment(E9804)</f>
        <v>Other</v>
      </c>
    </row>
    <row r="9805" spans="1:7" x14ac:dyDescent="0.25">
      <c r="A9805">
        <v>90867</v>
      </c>
      <c r="B9805" t="s">
        <v>4</v>
      </c>
      <c r="C9805">
        <v>3</v>
      </c>
      <c r="D9805" t="s">
        <v>5</v>
      </c>
      <c r="F9805" t="str" cm="1">
        <f t="array" ref="F9805">CategorizeComment(E9805)</f>
        <v>Other</v>
      </c>
      <c r="G9805" t="str" cm="1">
        <f t="array" ref="G9805">SubCategorizeComment(E9805)</f>
        <v>Other</v>
      </c>
    </row>
    <row r="9806" spans="1:7" x14ac:dyDescent="0.25">
      <c r="A9806">
        <v>90872</v>
      </c>
      <c r="B9806" t="s">
        <v>4</v>
      </c>
      <c r="C9806">
        <v>4</v>
      </c>
      <c r="D9806" t="s">
        <v>5</v>
      </c>
      <c r="F9806" t="str" cm="1">
        <f t="array" ref="F9806">CategorizeComment(E9806)</f>
        <v>Other</v>
      </c>
      <c r="G9806" t="str" cm="1">
        <f t="array" ref="G9806">SubCategorizeComment(E9806)</f>
        <v>Other</v>
      </c>
    </row>
    <row r="9807" spans="1:7" x14ac:dyDescent="0.25">
      <c r="A9807">
        <v>90873</v>
      </c>
      <c r="B9807" t="s">
        <v>4</v>
      </c>
      <c r="C9807">
        <v>4</v>
      </c>
      <c r="D9807" t="s">
        <v>5</v>
      </c>
      <c r="F9807" t="str" cm="1">
        <f t="array" ref="F9807">CategorizeComment(E9807)</f>
        <v>Other</v>
      </c>
      <c r="G9807" t="str" cm="1">
        <f t="array" ref="G9807">SubCategorizeComment(E9807)</f>
        <v>Other</v>
      </c>
    </row>
    <row r="9808" spans="1:7" x14ac:dyDescent="0.25">
      <c r="A9808">
        <v>90874</v>
      </c>
      <c r="B9808" t="s">
        <v>4</v>
      </c>
      <c r="C9808">
        <v>3</v>
      </c>
      <c r="D9808" t="s">
        <v>5</v>
      </c>
      <c r="F9808" t="str" cm="1">
        <f t="array" ref="F9808">CategorizeComment(E9808)</f>
        <v>Other</v>
      </c>
      <c r="G9808" t="str" cm="1">
        <f t="array" ref="G9808">SubCategorizeComment(E9808)</f>
        <v>Other</v>
      </c>
    </row>
    <row r="9809" spans="1:7" x14ac:dyDescent="0.25">
      <c r="A9809">
        <v>90878</v>
      </c>
      <c r="B9809" t="s">
        <v>4</v>
      </c>
      <c r="C9809">
        <v>4</v>
      </c>
      <c r="D9809" t="s">
        <v>5</v>
      </c>
      <c r="F9809" t="str" cm="1">
        <f t="array" ref="F9809">CategorizeComment(E9809)</f>
        <v>Other</v>
      </c>
      <c r="G9809" t="str" cm="1">
        <f t="array" ref="G9809">SubCategorizeComment(E9809)</f>
        <v>Other</v>
      </c>
    </row>
    <row r="9810" spans="1:7" x14ac:dyDescent="0.25">
      <c r="A9810">
        <v>90879</v>
      </c>
      <c r="B9810" t="s">
        <v>4</v>
      </c>
      <c r="C9810">
        <v>4</v>
      </c>
      <c r="D9810" t="s">
        <v>5</v>
      </c>
      <c r="F9810" t="str" cm="1">
        <f t="array" ref="F9810">CategorizeComment(E9810)</f>
        <v>Other</v>
      </c>
      <c r="G9810" t="str" cm="1">
        <f t="array" ref="G9810">SubCategorizeComment(E9810)</f>
        <v>Other</v>
      </c>
    </row>
    <row r="9811" spans="1:7" x14ac:dyDescent="0.25">
      <c r="A9811">
        <v>90893</v>
      </c>
      <c r="B9811" t="s">
        <v>4</v>
      </c>
      <c r="C9811">
        <v>3</v>
      </c>
      <c r="D9811" t="s">
        <v>5</v>
      </c>
      <c r="F9811" t="str" cm="1">
        <f t="array" ref="F9811">CategorizeComment(E9811)</f>
        <v>Other</v>
      </c>
      <c r="G9811" t="str" cm="1">
        <f t="array" ref="G9811">SubCategorizeComment(E9811)</f>
        <v>Other</v>
      </c>
    </row>
    <row r="9812" spans="1:7" x14ac:dyDescent="0.25">
      <c r="A9812">
        <v>90895</v>
      </c>
      <c r="B9812" t="s">
        <v>4</v>
      </c>
      <c r="C9812">
        <v>4</v>
      </c>
      <c r="D9812" t="s">
        <v>5</v>
      </c>
      <c r="F9812" t="str" cm="1">
        <f t="array" ref="F9812">CategorizeComment(E9812)</f>
        <v>Other</v>
      </c>
      <c r="G9812" t="str" cm="1">
        <f t="array" ref="G9812">SubCategorizeComment(E9812)</f>
        <v>Other</v>
      </c>
    </row>
    <row r="9813" spans="1:7" x14ac:dyDescent="0.25">
      <c r="A9813">
        <v>90896</v>
      </c>
      <c r="B9813" t="s">
        <v>4</v>
      </c>
      <c r="C9813">
        <v>3</v>
      </c>
      <c r="D9813" t="s">
        <v>5</v>
      </c>
      <c r="F9813" t="str" cm="1">
        <f t="array" ref="F9813">CategorizeComment(E9813)</f>
        <v>Other</v>
      </c>
      <c r="G9813" t="str" cm="1">
        <f t="array" ref="G9813">SubCategorizeComment(E9813)</f>
        <v>Other</v>
      </c>
    </row>
    <row r="9814" spans="1:7" x14ac:dyDescent="0.25">
      <c r="A9814">
        <v>90902</v>
      </c>
      <c r="B9814" t="s">
        <v>4</v>
      </c>
      <c r="C9814">
        <v>3</v>
      </c>
      <c r="D9814" t="s">
        <v>5</v>
      </c>
      <c r="F9814" t="str" cm="1">
        <f t="array" ref="F9814">CategorizeComment(E9814)</f>
        <v>Other</v>
      </c>
      <c r="G9814" t="str" cm="1">
        <f t="array" ref="G9814">SubCategorizeComment(E9814)</f>
        <v>Other</v>
      </c>
    </row>
    <row r="9815" spans="1:7" x14ac:dyDescent="0.25">
      <c r="A9815">
        <v>90908</v>
      </c>
      <c r="B9815" t="s">
        <v>4</v>
      </c>
      <c r="C9815">
        <v>4</v>
      </c>
      <c r="D9815" t="s">
        <v>5</v>
      </c>
      <c r="F9815" t="str" cm="1">
        <f t="array" ref="F9815">CategorizeComment(E9815)</f>
        <v>Other</v>
      </c>
      <c r="G9815" t="str" cm="1">
        <f t="array" ref="G9815">SubCategorizeComment(E9815)</f>
        <v>Other</v>
      </c>
    </row>
    <row r="9816" spans="1:7" x14ac:dyDescent="0.25">
      <c r="A9816">
        <v>90931</v>
      </c>
      <c r="B9816" t="s">
        <v>4</v>
      </c>
      <c r="C9816">
        <v>4</v>
      </c>
      <c r="D9816" t="s">
        <v>5</v>
      </c>
      <c r="F9816" t="str" cm="1">
        <f t="array" ref="F9816">CategorizeComment(E9816)</f>
        <v>Other</v>
      </c>
      <c r="G9816" t="str" cm="1">
        <f t="array" ref="G9816">SubCategorizeComment(E9816)</f>
        <v>Other</v>
      </c>
    </row>
    <row r="9817" spans="1:7" x14ac:dyDescent="0.25">
      <c r="A9817">
        <v>90945</v>
      </c>
      <c r="B9817" t="s">
        <v>4</v>
      </c>
      <c r="C9817">
        <v>4</v>
      </c>
      <c r="D9817" t="s">
        <v>5</v>
      </c>
      <c r="F9817" t="str" cm="1">
        <f t="array" ref="F9817">CategorizeComment(E9817)</f>
        <v>Other</v>
      </c>
      <c r="G9817" t="str" cm="1">
        <f t="array" ref="G9817">SubCategorizeComment(E9817)</f>
        <v>Other</v>
      </c>
    </row>
    <row r="9818" spans="1:7" x14ac:dyDescent="0.25">
      <c r="A9818">
        <v>90948</v>
      </c>
      <c r="B9818" t="s">
        <v>4</v>
      </c>
      <c r="C9818">
        <v>4</v>
      </c>
      <c r="D9818" t="s">
        <v>5</v>
      </c>
      <c r="F9818" t="str" cm="1">
        <f t="array" ref="F9818">CategorizeComment(E9818)</f>
        <v>Other</v>
      </c>
      <c r="G9818" t="str" cm="1">
        <f t="array" ref="G9818">SubCategorizeComment(E9818)</f>
        <v>Other</v>
      </c>
    </row>
    <row r="9819" spans="1:7" x14ac:dyDescent="0.25">
      <c r="A9819">
        <v>90951</v>
      </c>
      <c r="B9819" t="s">
        <v>4</v>
      </c>
      <c r="C9819">
        <v>3</v>
      </c>
      <c r="D9819" t="s">
        <v>5</v>
      </c>
      <c r="F9819" t="str" cm="1">
        <f t="array" ref="F9819">CategorizeComment(E9819)</f>
        <v>Other</v>
      </c>
      <c r="G9819" t="str" cm="1">
        <f t="array" ref="G9819">SubCategorizeComment(E9819)</f>
        <v>Other</v>
      </c>
    </row>
    <row r="9820" spans="1:7" x14ac:dyDescent="0.25">
      <c r="A9820">
        <v>90967</v>
      </c>
      <c r="B9820" t="s">
        <v>4</v>
      </c>
      <c r="C9820">
        <v>3</v>
      </c>
      <c r="D9820" t="s">
        <v>5</v>
      </c>
      <c r="F9820" t="str" cm="1">
        <f t="array" ref="F9820">CategorizeComment(E9820)</f>
        <v>Other</v>
      </c>
      <c r="G9820" t="str" cm="1">
        <f t="array" ref="G9820">SubCategorizeComment(E9820)</f>
        <v>Other</v>
      </c>
    </row>
    <row r="9821" spans="1:7" x14ac:dyDescent="0.25">
      <c r="A9821">
        <v>90970</v>
      </c>
      <c r="B9821" t="s">
        <v>4</v>
      </c>
      <c r="C9821">
        <v>4</v>
      </c>
      <c r="D9821" t="s">
        <v>5</v>
      </c>
      <c r="F9821" t="str" cm="1">
        <f t="array" ref="F9821">CategorizeComment(E9821)</f>
        <v>Other</v>
      </c>
      <c r="G9821" t="str" cm="1">
        <f t="array" ref="G9821">SubCategorizeComment(E9821)</f>
        <v>Other</v>
      </c>
    </row>
    <row r="9822" spans="1:7" x14ac:dyDescent="0.25">
      <c r="A9822">
        <v>90981</v>
      </c>
      <c r="B9822" t="s">
        <v>4</v>
      </c>
      <c r="C9822">
        <v>4</v>
      </c>
      <c r="D9822" t="s">
        <v>5</v>
      </c>
      <c r="F9822" t="str" cm="1">
        <f t="array" ref="F9822">CategorizeComment(E9822)</f>
        <v>Other</v>
      </c>
      <c r="G9822" t="str" cm="1">
        <f t="array" ref="G9822">SubCategorizeComment(E9822)</f>
        <v>Other</v>
      </c>
    </row>
    <row r="9823" spans="1:7" x14ac:dyDescent="0.25">
      <c r="A9823">
        <v>90988</v>
      </c>
      <c r="B9823" t="s">
        <v>4</v>
      </c>
      <c r="C9823">
        <v>3</v>
      </c>
      <c r="D9823" t="s">
        <v>5</v>
      </c>
      <c r="F9823" t="str" cm="1">
        <f t="array" ref="F9823">CategorizeComment(E9823)</f>
        <v>Other</v>
      </c>
      <c r="G9823" t="str" cm="1">
        <f t="array" ref="G9823">SubCategorizeComment(E9823)</f>
        <v>Other</v>
      </c>
    </row>
    <row r="9824" spans="1:7" x14ac:dyDescent="0.25">
      <c r="A9824">
        <v>90992</v>
      </c>
      <c r="B9824" t="s">
        <v>4</v>
      </c>
      <c r="C9824">
        <v>3</v>
      </c>
      <c r="D9824" t="s">
        <v>5</v>
      </c>
      <c r="F9824" t="str" cm="1">
        <f t="array" ref="F9824">CategorizeComment(E9824)</f>
        <v>Other</v>
      </c>
      <c r="G9824" t="str" cm="1">
        <f t="array" ref="G9824">SubCategorizeComment(E9824)</f>
        <v>Other</v>
      </c>
    </row>
    <row r="9825" spans="1:7" x14ac:dyDescent="0.25">
      <c r="A9825">
        <v>91002</v>
      </c>
      <c r="B9825" t="s">
        <v>4</v>
      </c>
      <c r="C9825">
        <v>3</v>
      </c>
      <c r="D9825" t="s">
        <v>5</v>
      </c>
      <c r="F9825" t="str" cm="1">
        <f t="array" ref="F9825">CategorizeComment(E9825)</f>
        <v>Other</v>
      </c>
      <c r="G9825" t="str" cm="1">
        <f t="array" ref="G9825">SubCategorizeComment(E9825)</f>
        <v>Other</v>
      </c>
    </row>
    <row r="9826" spans="1:7" x14ac:dyDescent="0.25">
      <c r="A9826">
        <v>91006</v>
      </c>
      <c r="B9826" t="s">
        <v>4</v>
      </c>
      <c r="C9826">
        <v>3</v>
      </c>
      <c r="D9826" t="s">
        <v>5</v>
      </c>
      <c r="F9826" t="str" cm="1">
        <f t="array" ref="F9826">CategorizeComment(E9826)</f>
        <v>Other</v>
      </c>
      <c r="G9826" t="str" cm="1">
        <f t="array" ref="G9826">SubCategorizeComment(E9826)</f>
        <v>Other</v>
      </c>
    </row>
    <row r="9827" spans="1:7" x14ac:dyDescent="0.25">
      <c r="A9827">
        <v>91014</v>
      </c>
      <c r="B9827" t="s">
        <v>4</v>
      </c>
      <c r="C9827">
        <v>3</v>
      </c>
      <c r="D9827" t="s">
        <v>5</v>
      </c>
      <c r="F9827" t="str" cm="1">
        <f t="array" ref="F9827">CategorizeComment(E9827)</f>
        <v>Other</v>
      </c>
      <c r="G9827" t="str" cm="1">
        <f t="array" ref="G9827">SubCategorizeComment(E9827)</f>
        <v>Other</v>
      </c>
    </row>
    <row r="9828" spans="1:7" x14ac:dyDescent="0.25">
      <c r="A9828">
        <v>91039</v>
      </c>
      <c r="B9828" t="s">
        <v>4</v>
      </c>
      <c r="C9828">
        <v>3</v>
      </c>
      <c r="D9828" t="s">
        <v>5</v>
      </c>
      <c r="F9828" t="str" cm="1">
        <f t="array" ref="F9828">CategorizeComment(E9828)</f>
        <v>Other</v>
      </c>
      <c r="G9828" t="str" cm="1">
        <f t="array" ref="G9828">SubCategorizeComment(E9828)</f>
        <v>Other</v>
      </c>
    </row>
    <row r="9829" spans="1:7" x14ac:dyDescent="0.25">
      <c r="A9829">
        <v>91048</v>
      </c>
      <c r="B9829" t="s">
        <v>4</v>
      </c>
      <c r="C9829">
        <v>3</v>
      </c>
      <c r="D9829" t="s">
        <v>5</v>
      </c>
      <c r="F9829" t="str" cm="1">
        <f t="array" ref="F9829">CategorizeComment(E9829)</f>
        <v>Other</v>
      </c>
      <c r="G9829" t="str" cm="1">
        <f t="array" ref="G9829">SubCategorizeComment(E9829)</f>
        <v>Other</v>
      </c>
    </row>
    <row r="9830" spans="1:7" x14ac:dyDescent="0.25">
      <c r="A9830">
        <v>91054</v>
      </c>
      <c r="B9830" t="s">
        <v>4</v>
      </c>
      <c r="C9830">
        <v>3</v>
      </c>
      <c r="D9830" t="s">
        <v>5</v>
      </c>
      <c r="F9830" t="str" cm="1">
        <f t="array" ref="F9830">CategorizeComment(E9830)</f>
        <v>Other</v>
      </c>
      <c r="G9830" t="str" cm="1">
        <f t="array" ref="G9830">SubCategorizeComment(E9830)</f>
        <v>Other</v>
      </c>
    </row>
    <row r="9831" spans="1:7" x14ac:dyDescent="0.25">
      <c r="A9831">
        <v>91066</v>
      </c>
      <c r="B9831" t="s">
        <v>4</v>
      </c>
      <c r="C9831">
        <v>3</v>
      </c>
      <c r="D9831" t="s">
        <v>5</v>
      </c>
      <c r="F9831" t="str" cm="1">
        <f t="array" ref="F9831">CategorizeComment(E9831)</f>
        <v>Other</v>
      </c>
      <c r="G9831" t="str" cm="1">
        <f t="array" ref="G9831">SubCategorizeComment(E9831)</f>
        <v>Other</v>
      </c>
    </row>
    <row r="9832" spans="1:7" x14ac:dyDescent="0.25">
      <c r="A9832">
        <v>91072</v>
      </c>
      <c r="B9832" t="s">
        <v>4</v>
      </c>
      <c r="C9832">
        <v>4</v>
      </c>
      <c r="D9832" t="s">
        <v>5</v>
      </c>
      <c r="F9832" t="str" cm="1">
        <f t="array" ref="F9832">CategorizeComment(E9832)</f>
        <v>Other</v>
      </c>
      <c r="G9832" t="str" cm="1">
        <f t="array" ref="G9832">SubCategorizeComment(E9832)</f>
        <v>Other</v>
      </c>
    </row>
    <row r="9833" spans="1:7" x14ac:dyDescent="0.25">
      <c r="A9833">
        <v>91086</v>
      </c>
      <c r="B9833" t="s">
        <v>4</v>
      </c>
      <c r="C9833">
        <v>3</v>
      </c>
      <c r="D9833" t="s">
        <v>5</v>
      </c>
      <c r="F9833" t="str" cm="1">
        <f t="array" ref="F9833">CategorizeComment(E9833)</f>
        <v>Other</v>
      </c>
      <c r="G9833" t="str" cm="1">
        <f t="array" ref="G9833">SubCategorizeComment(E9833)</f>
        <v>Other</v>
      </c>
    </row>
    <row r="9834" spans="1:7" x14ac:dyDescent="0.25">
      <c r="A9834">
        <v>91091</v>
      </c>
      <c r="B9834" t="s">
        <v>4</v>
      </c>
      <c r="C9834">
        <v>4</v>
      </c>
      <c r="D9834" t="s">
        <v>5</v>
      </c>
      <c r="F9834" t="str" cm="1">
        <f t="array" ref="F9834">CategorizeComment(E9834)</f>
        <v>Other</v>
      </c>
      <c r="G9834" t="str" cm="1">
        <f t="array" ref="G9834">SubCategorizeComment(E9834)</f>
        <v>Other</v>
      </c>
    </row>
    <row r="9835" spans="1:7" x14ac:dyDescent="0.25">
      <c r="A9835">
        <v>91095</v>
      </c>
      <c r="B9835" t="s">
        <v>4</v>
      </c>
      <c r="C9835">
        <v>4</v>
      </c>
      <c r="D9835" t="s">
        <v>5</v>
      </c>
      <c r="F9835" t="str" cm="1">
        <f t="array" ref="F9835">CategorizeComment(E9835)</f>
        <v>Other</v>
      </c>
      <c r="G9835" t="str" cm="1">
        <f t="array" ref="G9835">SubCategorizeComment(E9835)</f>
        <v>Other</v>
      </c>
    </row>
    <row r="9836" spans="1:7" x14ac:dyDescent="0.25">
      <c r="A9836">
        <v>91097</v>
      </c>
      <c r="B9836" t="s">
        <v>4</v>
      </c>
      <c r="C9836">
        <v>3</v>
      </c>
      <c r="D9836" t="s">
        <v>5</v>
      </c>
      <c r="F9836" t="str" cm="1">
        <f t="array" ref="F9836">CategorizeComment(E9836)</f>
        <v>Other</v>
      </c>
      <c r="G9836" t="str" cm="1">
        <f t="array" ref="G9836">SubCategorizeComment(E9836)</f>
        <v>Other</v>
      </c>
    </row>
    <row r="9837" spans="1:7" x14ac:dyDescent="0.25">
      <c r="A9837">
        <v>91100</v>
      </c>
      <c r="B9837" t="s">
        <v>4</v>
      </c>
      <c r="C9837">
        <v>4</v>
      </c>
      <c r="D9837" t="s">
        <v>5</v>
      </c>
      <c r="F9837" t="str" cm="1">
        <f t="array" ref="F9837">CategorizeComment(E9837)</f>
        <v>Other</v>
      </c>
      <c r="G9837" t="str" cm="1">
        <f t="array" ref="G9837">SubCategorizeComment(E9837)</f>
        <v>Other</v>
      </c>
    </row>
    <row r="9838" spans="1:7" x14ac:dyDescent="0.25">
      <c r="A9838">
        <v>91118</v>
      </c>
      <c r="B9838" t="s">
        <v>4</v>
      </c>
      <c r="C9838">
        <v>4</v>
      </c>
      <c r="D9838" t="s">
        <v>5</v>
      </c>
      <c r="F9838" t="str" cm="1">
        <f t="array" ref="F9838">CategorizeComment(E9838)</f>
        <v>Other</v>
      </c>
      <c r="G9838" t="str" cm="1">
        <f t="array" ref="G9838">SubCategorizeComment(E9838)</f>
        <v>Other</v>
      </c>
    </row>
    <row r="9839" spans="1:7" x14ac:dyDescent="0.25">
      <c r="A9839">
        <v>91121</v>
      </c>
      <c r="B9839" t="s">
        <v>4</v>
      </c>
      <c r="C9839">
        <v>4</v>
      </c>
      <c r="D9839" t="s">
        <v>5</v>
      </c>
      <c r="F9839" t="str" cm="1">
        <f t="array" ref="F9839">CategorizeComment(E9839)</f>
        <v>Other</v>
      </c>
      <c r="G9839" t="str" cm="1">
        <f t="array" ref="G9839">SubCategorizeComment(E9839)</f>
        <v>Other</v>
      </c>
    </row>
    <row r="9840" spans="1:7" x14ac:dyDescent="0.25">
      <c r="A9840">
        <v>91123</v>
      </c>
      <c r="B9840" t="s">
        <v>4</v>
      </c>
      <c r="C9840">
        <v>3</v>
      </c>
      <c r="D9840" t="s">
        <v>5</v>
      </c>
      <c r="F9840" t="str" cm="1">
        <f t="array" ref="F9840">CategorizeComment(E9840)</f>
        <v>Other</v>
      </c>
      <c r="G9840" t="str" cm="1">
        <f t="array" ref="G9840">SubCategorizeComment(E9840)</f>
        <v>Other</v>
      </c>
    </row>
    <row r="9841" spans="1:7" x14ac:dyDescent="0.25">
      <c r="A9841">
        <v>91132</v>
      </c>
      <c r="B9841" t="s">
        <v>4</v>
      </c>
      <c r="C9841">
        <v>3</v>
      </c>
      <c r="D9841" t="s">
        <v>5</v>
      </c>
      <c r="F9841" t="str" cm="1">
        <f t="array" ref="F9841">CategorizeComment(E9841)</f>
        <v>Other</v>
      </c>
      <c r="G9841" t="str" cm="1">
        <f t="array" ref="G9841">SubCategorizeComment(E9841)</f>
        <v>Other</v>
      </c>
    </row>
    <row r="9842" spans="1:7" x14ac:dyDescent="0.25">
      <c r="A9842">
        <v>91138</v>
      </c>
      <c r="B9842" t="s">
        <v>4</v>
      </c>
      <c r="C9842">
        <v>4</v>
      </c>
      <c r="D9842" t="s">
        <v>5</v>
      </c>
      <c r="F9842" t="str" cm="1">
        <f t="array" ref="F9842">CategorizeComment(E9842)</f>
        <v>Other</v>
      </c>
      <c r="G9842" t="str" cm="1">
        <f t="array" ref="G9842">SubCategorizeComment(E9842)</f>
        <v>Other</v>
      </c>
    </row>
    <row r="9843" spans="1:7" x14ac:dyDescent="0.25">
      <c r="A9843">
        <v>91140</v>
      </c>
      <c r="B9843" t="s">
        <v>4</v>
      </c>
      <c r="C9843">
        <v>4</v>
      </c>
      <c r="D9843" t="s">
        <v>5</v>
      </c>
      <c r="F9843" t="str" cm="1">
        <f t="array" ref="F9843">CategorizeComment(E9843)</f>
        <v>Other</v>
      </c>
      <c r="G9843" t="str" cm="1">
        <f t="array" ref="G9843">SubCategorizeComment(E9843)</f>
        <v>Other</v>
      </c>
    </row>
    <row r="9844" spans="1:7" x14ac:dyDescent="0.25">
      <c r="A9844">
        <v>91151</v>
      </c>
      <c r="B9844" t="s">
        <v>4</v>
      </c>
      <c r="C9844">
        <v>3</v>
      </c>
      <c r="D9844" t="s">
        <v>5</v>
      </c>
      <c r="F9844" t="str" cm="1">
        <f t="array" ref="F9844">CategorizeComment(E9844)</f>
        <v>Other</v>
      </c>
      <c r="G9844" t="str" cm="1">
        <f t="array" ref="G9844">SubCategorizeComment(E9844)</f>
        <v>Other</v>
      </c>
    </row>
    <row r="9845" spans="1:7" x14ac:dyDescent="0.25">
      <c r="A9845">
        <v>91155</v>
      </c>
      <c r="B9845" t="s">
        <v>4</v>
      </c>
      <c r="C9845">
        <v>4</v>
      </c>
      <c r="D9845" t="s">
        <v>5</v>
      </c>
      <c r="F9845" t="str" cm="1">
        <f t="array" ref="F9845">CategorizeComment(E9845)</f>
        <v>Other</v>
      </c>
      <c r="G9845" t="str" cm="1">
        <f t="array" ref="G9845">SubCategorizeComment(E9845)</f>
        <v>Other</v>
      </c>
    </row>
    <row r="9846" spans="1:7" x14ac:dyDescent="0.25">
      <c r="A9846">
        <v>91165</v>
      </c>
      <c r="B9846" t="s">
        <v>4</v>
      </c>
      <c r="C9846">
        <v>3</v>
      </c>
      <c r="D9846" t="s">
        <v>5</v>
      </c>
      <c r="F9846" t="str" cm="1">
        <f t="array" ref="F9846">CategorizeComment(E9846)</f>
        <v>Other</v>
      </c>
      <c r="G9846" t="str" cm="1">
        <f t="array" ref="G9846">SubCategorizeComment(E9846)</f>
        <v>Other</v>
      </c>
    </row>
    <row r="9847" spans="1:7" x14ac:dyDescent="0.25">
      <c r="A9847">
        <v>91167</v>
      </c>
      <c r="B9847" t="s">
        <v>4</v>
      </c>
      <c r="C9847">
        <v>4</v>
      </c>
      <c r="D9847" t="s">
        <v>5</v>
      </c>
      <c r="F9847" t="str" cm="1">
        <f t="array" ref="F9847">CategorizeComment(E9847)</f>
        <v>Other</v>
      </c>
      <c r="G9847" t="str" cm="1">
        <f t="array" ref="G9847">SubCategorizeComment(E9847)</f>
        <v>Other</v>
      </c>
    </row>
    <row r="9848" spans="1:7" x14ac:dyDescent="0.25">
      <c r="A9848">
        <v>91171</v>
      </c>
      <c r="B9848" t="s">
        <v>4</v>
      </c>
      <c r="C9848">
        <v>4</v>
      </c>
      <c r="D9848" t="s">
        <v>5</v>
      </c>
      <c r="F9848" t="str" cm="1">
        <f t="array" ref="F9848">CategorizeComment(E9848)</f>
        <v>Other</v>
      </c>
      <c r="G9848" t="str" cm="1">
        <f t="array" ref="G9848">SubCategorizeComment(E9848)</f>
        <v>Other</v>
      </c>
    </row>
    <row r="9849" spans="1:7" x14ac:dyDescent="0.25">
      <c r="A9849">
        <v>91190</v>
      </c>
      <c r="B9849" t="s">
        <v>4</v>
      </c>
      <c r="C9849">
        <v>3</v>
      </c>
      <c r="D9849" t="s">
        <v>5</v>
      </c>
      <c r="F9849" t="str" cm="1">
        <f t="array" ref="F9849">CategorizeComment(E9849)</f>
        <v>Other</v>
      </c>
      <c r="G9849" t="str" cm="1">
        <f t="array" ref="G9849">SubCategorizeComment(E9849)</f>
        <v>Other</v>
      </c>
    </row>
    <row r="9850" spans="1:7" x14ac:dyDescent="0.25">
      <c r="A9850">
        <v>91219</v>
      </c>
      <c r="B9850" t="s">
        <v>4</v>
      </c>
      <c r="C9850">
        <v>3</v>
      </c>
      <c r="D9850" t="s">
        <v>5</v>
      </c>
      <c r="F9850" t="str" cm="1">
        <f t="array" ref="F9850">CategorizeComment(E9850)</f>
        <v>Other</v>
      </c>
      <c r="G9850" t="str" cm="1">
        <f t="array" ref="G9850">SubCategorizeComment(E9850)</f>
        <v>Other</v>
      </c>
    </row>
    <row r="9851" spans="1:7" x14ac:dyDescent="0.25">
      <c r="A9851">
        <v>91225</v>
      </c>
      <c r="B9851" t="s">
        <v>4</v>
      </c>
      <c r="C9851">
        <v>3</v>
      </c>
      <c r="D9851" t="s">
        <v>5</v>
      </c>
      <c r="F9851" t="str" cm="1">
        <f t="array" ref="F9851">CategorizeComment(E9851)</f>
        <v>Other</v>
      </c>
      <c r="G9851" t="str" cm="1">
        <f t="array" ref="G9851">SubCategorizeComment(E9851)</f>
        <v>Other</v>
      </c>
    </row>
    <row r="9852" spans="1:7" x14ac:dyDescent="0.25">
      <c r="A9852">
        <v>91228</v>
      </c>
      <c r="B9852" t="s">
        <v>4</v>
      </c>
      <c r="C9852">
        <v>4</v>
      </c>
      <c r="D9852" t="s">
        <v>5</v>
      </c>
      <c r="F9852" t="str" cm="1">
        <f t="array" ref="F9852">CategorizeComment(E9852)</f>
        <v>Other</v>
      </c>
      <c r="G9852" t="str" cm="1">
        <f t="array" ref="G9852">SubCategorizeComment(E9852)</f>
        <v>Other</v>
      </c>
    </row>
    <row r="9853" spans="1:7" x14ac:dyDescent="0.25">
      <c r="A9853">
        <v>91234</v>
      </c>
      <c r="B9853" t="s">
        <v>4</v>
      </c>
      <c r="C9853">
        <v>3</v>
      </c>
      <c r="D9853" t="s">
        <v>5</v>
      </c>
      <c r="F9853" t="str" cm="1">
        <f t="array" ref="F9853">CategorizeComment(E9853)</f>
        <v>Other</v>
      </c>
      <c r="G9853" t="str" cm="1">
        <f t="array" ref="G9853">SubCategorizeComment(E9853)</f>
        <v>Other</v>
      </c>
    </row>
    <row r="9854" spans="1:7" x14ac:dyDescent="0.25">
      <c r="A9854">
        <v>91237</v>
      </c>
      <c r="B9854" t="s">
        <v>4</v>
      </c>
      <c r="C9854">
        <v>4</v>
      </c>
      <c r="D9854" t="s">
        <v>5</v>
      </c>
      <c r="F9854" t="str" cm="1">
        <f t="array" ref="F9854">CategorizeComment(E9854)</f>
        <v>Other</v>
      </c>
      <c r="G9854" t="str" cm="1">
        <f t="array" ref="G9854">SubCategorizeComment(E9854)</f>
        <v>Other</v>
      </c>
    </row>
    <row r="9855" spans="1:7" x14ac:dyDescent="0.25">
      <c r="A9855">
        <v>91264</v>
      </c>
      <c r="B9855" t="s">
        <v>4</v>
      </c>
      <c r="C9855">
        <v>3</v>
      </c>
      <c r="D9855" t="s">
        <v>5</v>
      </c>
      <c r="F9855" t="str" cm="1">
        <f t="array" ref="F9855">CategorizeComment(E9855)</f>
        <v>Other</v>
      </c>
      <c r="G9855" t="str" cm="1">
        <f t="array" ref="G9855">SubCategorizeComment(E9855)</f>
        <v>Other</v>
      </c>
    </row>
    <row r="9856" spans="1:7" x14ac:dyDescent="0.25">
      <c r="A9856">
        <v>91269</v>
      </c>
      <c r="B9856" t="s">
        <v>4</v>
      </c>
      <c r="C9856">
        <v>4</v>
      </c>
      <c r="D9856" t="s">
        <v>5</v>
      </c>
      <c r="F9856" t="str" cm="1">
        <f t="array" ref="F9856">CategorizeComment(E9856)</f>
        <v>Other</v>
      </c>
      <c r="G9856" t="str" cm="1">
        <f t="array" ref="G9856">SubCategorizeComment(E9856)</f>
        <v>Other</v>
      </c>
    </row>
    <row r="9857" spans="1:7" x14ac:dyDescent="0.25">
      <c r="A9857">
        <v>91304</v>
      </c>
      <c r="B9857" t="s">
        <v>4</v>
      </c>
      <c r="C9857">
        <v>3</v>
      </c>
      <c r="D9857" t="s">
        <v>5</v>
      </c>
      <c r="F9857" t="str" cm="1">
        <f t="array" ref="F9857">CategorizeComment(E9857)</f>
        <v>Other</v>
      </c>
      <c r="G9857" t="str" cm="1">
        <f t="array" ref="G9857">SubCategorizeComment(E9857)</f>
        <v>Other</v>
      </c>
    </row>
    <row r="9858" spans="1:7" x14ac:dyDescent="0.25">
      <c r="A9858">
        <v>91327</v>
      </c>
      <c r="B9858" t="s">
        <v>4</v>
      </c>
      <c r="C9858">
        <v>4</v>
      </c>
      <c r="D9858" t="s">
        <v>5</v>
      </c>
      <c r="F9858" t="str" cm="1">
        <f t="array" ref="F9858">CategorizeComment(E9858)</f>
        <v>Other</v>
      </c>
      <c r="G9858" t="str" cm="1">
        <f t="array" ref="G9858">SubCategorizeComment(E9858)</f>
        <v>Other</v>
      </c>
    </row>
    <row r="9859" spans="1:7" x14ac:dyDescent="0.25">
      <c r="A9859">
        <v>91329</v>
      </c>
      <c r="B9859" t="s">
        <v>4</v>
      </c>
      <c r="C9859">
        <v>3</v>
      </c>
      <c r="D9859" t="s">
        <v>5</v>
      </c>
      <c r="F9859" t="str" cm="1">
        <f t="array" ref="F9859">CategorizeComment(E9859)</f>
        <v>Other</v>
      </c>
      <c r="G9859" t="str" cm="1">
        <f t="array" ref="G9859">SubCategorizeComment(E9859)</f>
        <v>Other</v>
      </c>
    </row>
    <row r="9860" spans="1:7" x14ac:dyDescent="0.25">
      <c r="A9860">
        <v>91342</v>
      </c>
      <c r="B9860" t="s">
        <v>4</v>
      </c>
      <c r="C9860">
        <v>4</v>
      </c>
      <c r="D9860" t="s">
        <v>5</v>
      </c>
      <c r="F9860" t="str" cm="1">
        <f t="array" ref="F9860">CategorizeComment(E9860)</f>
        <v>Other</v>
      </c>
      <c r="G9860" t="str" cm="1">
        <f t="array" ref="G9860">SubCategorizeComment(E9860)</f>
        <v>Other</v>
      </c>
    </row>
    <row r="9861" spans="1:7" x14ac:dyDescent="0.25">
      <c r="A9861">
        <v>91349</v>
      </c>
      <c r="B9861" t="s">
        <v>4</v>
      </c>
      <c r="C9861">
        <v>4</v>
      </c>
      <c r="D9861" t="s">
        <v>5</v>
      </c>
      <c r="F9861" t="str" cm="1">
        <f t="array" ref="F9861">CategorizeComment(E9861)</f>
        <v>Other</v>
      </c>
      <c r="G9861" t="str" cm="1">
        <f t="array" ref="G9861">SubCategorizeComment(E9861)</f>
        <v>Other</v>
      </c>
    </row>
    <row r="9862" spans="1:7" x14ac:dyDescent="0.25">
      <c r="A9862">
        <v>91360</v>
      </c>
      <c r="B9862" t="s">
        <v>4</v>
      </c>
      <c r="C9862">
        <v>4</v>
      </c>
      <c r="D9862" t="s">
        <v>5</v>
      </c>
      <c r="F9862" t="str" cm="1">
        <f t="array" ref="F9862">CategorizeComment(E9862)</f>
        <v>Other</v>
      </c>
      <c r="G9862" t="str" cm="1">
        <f t="array" ref="G9862">SubCategorizeComment(E9862)</f>
        <v>Other</v>
      </c>
    </row>
    <row r="9863" spans="1:7" x14ac:dyDescent="0.25">
      <c r="A9863">
        <v>91371</v>
      </c>
      <c r="B9863" t="s">
        <v>4</v>
      </c>
      <c r="C9863">
        <v>4</v>
      </c>
      <c r="D9863" t="s">
        <v>5</v>
      </c>
      <c r="F9863" t="str" cm="1">
        <f t="array" ref="F9863">CategorizeComment(E9863)</f>
        <v>Other</v>
      </c>
      <c r="G9863" t="str" cm="1">
        <f t="array" ref="G9863">SubCategorizeComment(E9863)</f>
        <v>Other</v>
      </c>
    </row>
    <row r="9864" spans="1:7" x14ac:dyDescent="0.25">
      <c r="A9864">
        <v>91390</v>
      </c>
      <c r="B9864" t="s">
        <v>4</v>
      </c>
      <c r="C9864">
        <v>3</v>
      </c>
      <c r="D9864" t="s">
        <v>5</v>
      </c>
      <c r="F9864" t="str" cm="1">
        <f t="array" ref="F9864">CategorizeComment(E9864)</f>
        <v>Other</v>
      </c>
      <c r="G9864" t="str" cm="1">
        <f t="array" ref="G9864">SubCategorizeComment(E9864)</f>
        <v>Other</v>
      </c>
    </row>
    <row r="9865" spans="1:7" x14ac:dyDescent="0.25">
      <c r="A9865">
        <v>91396</v>
      </c>
      <c r="B9865" t="s">
        <v>4</v>
      </c>
      <c r="C9865">
        <v>4</v>
      </c>
      <c r="D9865" t="s">
        <v>5</v>
      </c>
      <c r="F9865" t="str" cm="1">
        <f t="array" ref="F9865">CategorizeComment(E9865)</f>
        <v>Other</v>
      </c>
      <c r="G9865" t="str" cm="1">
        <f t="array" ref="G9865">SubCategorizeComment(E9865)</f>
        <v>Other</v>
      </c>
    </row>
    <row r="9866" spans="1:7" x14ac:dyDescent="0.25">
      <c r="A9866">
        <v>91399</v>
      </c>
      <c r="B9866" t="s">
        <v>4</v>
      </c>
      <c r="C9866">
        <v>4</v>
      </c>
      <c r="D9866" t="s">
        <v>5</v>
      </c>
      <c r="F9866" t="str" cm="1">
        <f t="array" ref="F9866">CategorizeComment(E9866)</f>
        <v>Other</v>
      </c>
      <c r="G9866" t="str" cm="1">
        <f t="array" ref="G9866">SubCategorizeComment(E9866)</f>
        <v>Other</v>
      </c>
    </row>
    <row r="9867" spans="1:7" x14ac:dyDescent="0.25">
      <c r="A9867">
        <v>91407</v>
      </c>
      <c r="B9867" t="s">
        <v>4</v>
      </c>
      <c r="C9867">
        <v>4</v>
      </c>
      <c r="D9867" t="s">
        <v>5</v>
      </c>
      <c r="F9867" t="str" cm="1">
        <f t="array" ref="F9867">CategorizeComment(E9867)</f>
        <v>Other</v>
      </c>
      <c r="G9867" t="str" cm="1">
        <f t="array" ref="G9867">SubCategorizeComment(E9867)</f>
        <v>Other</v>
      </c>
    </row>
    <row r="9868" spans="1:7" x14ac:dyDescent="0.25">
      <c r="A9868">
        <v>91426</v>
      </c>
      <c r="B9868" t="s">
        <v>4</v>
      </c>
      <c r="C9868">
        <v>3</v>
      </c>
      <c r="D9868" t="s">
        <v>5</v>
      </c>
      <c r="F9868" t="str" cm="1">
        <f t="array" ref="F9868">CategorizeComment(E9868)</f>
        <v>Other</v>
      </c>
      <c r="G9868" t="str" cm="1">
        <f t="array" ref="G9868">SubCategorizeComment(E9868)</f>
        <v>Other</v>
      </c>
    </row>
    <row r="9869" spans="1:7" x14ac:dyDescent="0.25">
      <c r="A9869">
        <v>91427</v>
      </c>
      <c r="B9869" t="s">
        <v>4</v>
      </c>
      <c r="C9869">
        <v>3</v>
      </c>
      <c r="D9869" t="s">
        <v>5</v>
      </c>
      <c r="F9869" t="str" cm="1">
        <f t="array" ref="F9869">CategorizeComment(E9869)</f>
        <v>Other</v>
      </c>
      <c r="G9869" t="str" cm="1">
        <f t="array" ref="G9869">SubCategorizeComment(E9869)</f>
        <v>Other</v>
      </c>
    </row>
    <row r="9870" spans="1:7" x14ac:dyDescent="0.25">
      <c r="A9870">
        <v>91436</v>
      </c>
      <c r="B9870" t="s">
        <v>4</v>
      </c>
      <c r="C9870">
        <v>3</v>
      </c>
      <c r="D9870" t="s">
        <v>5</v>
      </c>
      <c r="F9870" t="str" cm="1">
        <f t="array" ref="F9870">CategorizeComment(E9870)</f>
        <v>Other</v>
      </c>
      <c r="G9870" t="str" cm="1">
        <f t="array" ref="G9870">SubCategorizeComment(E9870)</f>
        <v>Other</v>
      </c>
    </row>
    <row r="9871" spans="1:7" x14ac:dyDescent="0.25">
      <c r="A9871">
        <v>91442</v>
      </c>
      <c r="B9871" t="s">
        <v>4</v>
      </c>
      <c r="C9871">
        <v>3</v>
      </c>
      <c r="D9871" t="s">
        <v>5</v>
      </c>
      <c r="F9871" t="str" cm="1">
        <f t="array" ref="F9871">CategorizeComment(E9871)</f>
        <v>Other</v>
      </c>
      <c r="G9871" t="str" cm="1">
        <f t="array" ref="G9871">SubCategorizeComment(E9871)</f>
        <v>Other</v>
      </c>
    </row>
    <row r="9872" spans="1:7" x14ac:dyDescent="0.25">
      <c r="A9872">
        <v>91452</v>
      </c>
      <c r="B9872" t="s">
        <v>4</v>
      </c>
      <c r="C9872">
        <v>3</v>
      </c>
      <c r="D9872" t="s">
        <v>5</v>
      </c>
      <c r="F9872" t="str" cm="1">
        <f t="array" ref="F9872">CategorizeComment(E9872)</f>
        <v>Other</v>
      </c>
      <c r="G9872" t="str" cm="1">
        <f t="array" ref="G9872">SubCategorizeComment(E9872)</f>
        <v>Other</v>
      </c>
    </row>
    <row r="9873" spans="1:7" x14ac:dyDescent="0.25">
      <c r="A9873">
        <v>91455</v>
      </c>
      <c r="B9873" t="s">
        <v>4</v>
      </c>
      <c r="C9873">
        <v>4</v>
      </c>
      <c r="D9873" t="s">
        <v>5</v>
      </c>
      <c r="F9873" t="str" cm="1">
        <f t="array" ref="F9873">CategorizeComment(E9873)</f>
        <v>Other</v>
      </c>
      <c r="G9873" t="str" cm="1">
        <f t="array" ref="G9873">SubCategorizeComment(E9873)</f>
        <v>Other</v>
      </c>
    </row>
    <row r="9874" spans="1:7" x14ac:dyDescent="0.25">
      <c r="A9874">
        <v>91489</v>
      </c>
      <c r="B9874" t="s">
        <v>4</v>
      </c>
      <c r="C9874">
        <v>3</v>
      </c>
      <c r="D9874" t="s">
        <v>5</v>
      </c>
      <c r="F9874" t="str" cm="1">
        <f t="array" ref="F9874">CategorizeComment(E9874)</f>
        <v>Other</v>
      </c>
      <c r="G9874" t="str" cm="1">
        <f t="array" ref="G9874">SubCategorizeComment(E9874)</f>
        <v>Other</v>
      </c>
    </row>
    <row r="9875" spans="1:7" x14ac:dyDescent="0.25">
      <c r="A9875">
        <v>91546</v>
      </c>
      <c r="B9875" t="s">
        <v>4</v>
      </c>
      <c r="C9875">
        <v>3</v>
      </c>
      <c r="D9875" t="s">
        <v>5</v>
      </c>
      <c r="F9875" t="str" cm="1">
        <f t="array" ref="F9875">CategorizeComment(E9875)</f>
        <v>Other</v>
      </c>
      <c r="G9875" t="str" cm="1">
        <f t="array" ref="G9875">SubCategorizeComment(E9875)</f>
        <v>Other</v>
      </c>
    </row>
    <row r="9876" spans="1:7" x14ac:dyDescent="0.25">
      <c r="A9876">
        <v>91549</v>
      </c>
      <c r="B9876" t="s">
        <v>4</v>
      </c>
      <c r="C9876">
        <v>3</v>
      </c>
      <c r="D9876" t="s">
        <v>5</v>
      </c>
      <c r="F9876" t="str" cm="1">
        <f t="array" ref="F9876">CategorizeComment(E9876)</f>
        <v>Other</v>
      </c>
      <c r="G9876" t="str" cm="1">
        <f t="array" ref="G9876">SubCategorizeComment(E9876)</f>
        <v>Other</v>
      </c>
    </row>
    <row r="9877" spans="1:7" x14ac:dyDescent="0.25">
      <c r="A9877">
        <v>91554</v>
      </c>
      <c r="B9877" t="s">
        <v>4</v>
      </c>
      <c r="C9877">
        <v>3</v>
      </c>
      <c r="D9877" t="s">
        <v>5</v>
      </c>
      <c r="F9877" t="str" cm="1">
        <f t="array" ref="F9877">CategorizeComment(E9877)</f>
        <v>Other</v>
      </c>
      <c r="G9877" t="str" cm="1">
        <f t="array" ref="G9877">SubCategorizeComment(E9877)</f>
        <v>Other</v>
      </c>
    </row>
    <row r="9878" spans="1:7" x14ac:dyDescent="0.25">
      <c r="A9878">
        <v>91562</v>
      </c>
      <c r="B9878" t="s">
        <v>4</v>
      </c>
      <c r="C9878">
        <v>4</v>
      </c>
      <c r="D9878" t="s">
        <v>5</v>
      </c>
      <c r="F9878" t="str" cm="1">
        <f t="array" ref="F9878">CategorizeComment(E9878)</f>
        <v>Other</v>
      </c>
      <c r="G9878" t="str" cm="1">
        <f t="array" ref="G9878">SubCategorizeComment(E9878)</f>
        <v>Other</v>
      </c>
    </row>
    <row r="9879" spans="1:7" x14ac:dyDescent="0.25">
      <c r="A9879">
        <v>91567</v>
      </c>
      <c r="B9879" t="s">
        <v>4</v>
      </c>
      <c r="C9879">
        <v>4</v>
      </c>
      <c r="D9879" t="s">
        <v>5</v>
      </c>
      <c r="F9879" t="str" cm="1">
        <f t="array" ref="F9879">CategorizeComment(E9879)</f>
        <v>Other</v>
      </c>
      <c r="G9879" t="str" cm="1">
        <f t="array" ref="G9879">SubCategorizeComment(E9879)</f>
        <v>Other</v>
      </c>
    </row>
    <row r="9880" spans="1:7" x14ac:dyDescent="0.25">
      <c r="A9880">
        <v>91579</v>
      </c>
      <c r="B9880" t="s">
        <v>4</v>
      </c>
      <c r="C9880">
        <v>3</v>
      </c>
      <c r="D9880" t="s">
        <v>5</v>
      </c>
      <c r="F9880" t="str" cm="1">
        <f t="array" ref="F9880">CategorizeComment(E9880)</f>
        <v>Other</v>
      </c>
      <c r="G9880" t="str" cm="1">
        <f t="array" ref="G9880">SubCategorizeComment(E9880)</f>
        <v>Other</v>
      </c>
    </row>
    <row r="9881" spans="1:7" x14ac:dyDescent="0.25">
      <c r="A9881">
        <v>91593</v>
      </c>
      <c r="B9881" t="s">
        <v>4</v>
      </c>
      <c r="C9881">
        <v>3</v>
      </c>
      <c r="D9881" t="s">
        <v>5</v>
      </c>
      <c r="F9881" t="str" cm="1">
        <f t="array" ref="F9881">CategorizeComment(E9881)</f>
        <v>Other</v>
      </c>
      <c r="G9881" t="str" cm="1">
        <f t="array" ref="G9881">SubCategorizeComment(E9881)</f>
        <v>Other</v>
      </c>
    </row>
    <row r="9882" spans="1:7" x14ac:dyDescent="0.25">
      <c r="A9882">
        <v>91609</v>
      </c>
      <c r="B9882" t="s">
        <v>4</v>
      </c>
      <c r="C9882">
        <v>4</v>
      </c>
      <c r="D9882" t="s">
        <v>5</v>
      </c>
      <c r="F9882" t="str" cm="1">
        <f t="array" ref="F9882">CategorizeComment(E9882)</f>
        <v>Other</v>
      </c>
      <c r="G9882" t="str" cm="1">
        <f t="array" ref="G9882">SubCategorizeComment(E9882)</f>
        <v>Other</v>
      </c>
    </row>
    <row r="9883" spans="1:7" x14ac:dyDescent="0.25">
      <c r="A9883">
        <v>91621</v>
      </c>
      <c r="B9883" t="s">
        <v>4</v>
      </c>
      <c r="C9883">
        <v>4</v>
      </c>
      <c r="D9883" t="s">
        <v>5</v>
      </c>
      <c r="F9883" t="str" cm="1">
        <f t="array" ref="F9883">CategorizeComment(E9883)</f>
        <v>Other</v>
      </c>
      <c r="G9883" t="str" cm="1">
        <f t="array" ref="G9883">SubCategorizeComment(E9883)</f>
        <v>Other</v>
      </c>
    </row>
    <row r="9884" spans="1:7" x14ac:dyDescent="0.25">
      <c r="A9884">
        <v>91630</v>
      </c>
      <c r="B9884" t="s">
        <v>4</v>
      </c>
      <c r="C9884">
        <v>4</v>
      </c>
      <c r="D9884" t="s">
        <v>5</v>
      </c>
      <c r="F9884" t="str" cm="1">
        <f t="array" ref="F9884">CategorizeComment(E9884)</f>
        <v>Other</v>
      </c>
      <c r="G9884" t="str" cm="1">
        <f t="array" ref="G9884">SubCategorizeComment(E9884)</f>
        <v>Other</v>
      </c>
    </row>
    <row r="9885" spans="1:7" x14ac:dyDescent="0.25">
      <c r="A9885">
        <v>91649</v>
      </c>
      <c r="B9885" t="s">
        <v>4</v>
      </c>
      <c r="C9885">
        <v>3</v>
      </c>
      <c r="D9885" t="s">
        <v>5</v>
      </c>
      <c r="F9885" t="str" cm="1">
        <f t="array" ref="F9885">CategorizeComment(E9885)</f>
        <v>Other</v>
      </c>
      <c r="G9885" t="str" cm="1">
        <f t="array" ref="G9885">SubCategorizeComment(E9885)</f>
        <v>Other</v>
      </c>
    </row>
    <row r="9886" spans="1:7" x14ac:dyDescent="0.25">
      <c r="A9886">
        <v>91651</v>
      </c>
      <c r="B9886" t="s">
        <v>4</v>
      </c>
      <c r="C9886">
        <v>3</v>
      </c>
      <c r="D9886" t="s">
        <v>5</v>
      </c>
      <c r="F9886" t="str" cm="1">
        <f t="array" ref="F9886">CategorizeComment(E9886)</f>
        <v>Other</v>
      </c>
      <c r="G9886" t="str" cm="1">
        <f t="array" ref="G9886">SubCategorizeComment(E9886)</f>
        <v>Other</v>
      </c>
    </row>
    <row r="9887" spans="1:7" x14ac:dyDescent="0.25">
      <c r="A9887">
        <v>91664</v>
      </c>
      <c r="B9887" t="s">
        <v>4</v>
      </c>
      <c r="C9887">
        <v>4</v>
      </c>
      <c r="D9887" t="s">
        <v>5</v>
      </c>
      <c r="F9887" t="str" cm="1">
        <f t="array" ref="F9887">CategorizeComment(E9887)</f>
        <v>Other</v>
      </c>
      <c r="G9887" t="str" cm="1">
        <f t="array" ref="G9887">SubCategorizeComment(E9887)</f>
        <v>Other</v>
      </c>
    </row>
    <row r="9888" spans="1:7" x14ac:dyDescent="0.25">
      <c r="A9888">
        <v>91682</v>
      </c>
      <c r="B9888" t="s">
        <v>4</v>
      </c>
      <c r="C9888">
        <v>3</v>
      </c>
      <c r="D9888" t="s">
        <v>5</v>
      </c>
      <c r="F9888" t="str" cm="1">
        <f t="array" ref="F9888">CategorizeComment(E9888)</f>
        <v>Other</v>
      </c>
      <c r="G9888" t="str" cm="1">
        <f t="array" ref="G9888">SubCategorizeComment(E9888)</f>
        <v>Other</v>
      </c>
    </row>
    <row r="9889" spans="1:7" x14ac:dyDescent="0.25">
      <c r="A9889">
        <v>91684</v>
      </c>
      <c r="B9889" t="s">
        <v>4</v>
      </c>
      <c r="C9889">
        <v>3</v>
      </c>
      <c r="D9889" t="s">
        <v>5</v>
      </c>
      <c r="F9889" t="str" cm="1">
        <f t="array" ref="F9889">CategorizeComment(E9889)</f>
        <v>Other</v>
      </c>
      <c r="G9889" t="str" cm="1">
        <f t="array" ref="G9889">SubCategorizeComment(E9889)</f>
        <v>Other</v>
      </c>
    </row>
    <row r="9890" spans="1:7" x14ac:dyDescent="0.25">
      <c r="A9890">
        <v>91730</v>
      </c>
      <c r="B9890" t="s">
        <v>4</v>
      </c>
      <c r="C9890">
        <v>3</v>
      </c>
      <c r="D9890" t="s">
        <v>5</v>
      </c>
      <c r="F9890" t="str" cm="1">
        <f t="array" ref="F9890">CategorizeComment(E9890)</f>
        <v>Other</v>
      </c>
      <c r="G9890" t="str" cm="1">
        <f t="array" ref="G9890">SubCategorizeComment(E9890)</f>
        <v>Other</v>
      </c>
    </row>
    <row r="9891" spans="1:7" x14ac:dyDescent="0.25">
      <c r="A9891">
        <v>91734</v>
      </c>
      <c r="B9891" t="s">
        <v>4</v>
      </c>
      <c r="C9891">
        <v>4</v>
      </c>
      <c r="D9891" t="s">
        <v>5</v>
      </c>
      <c r="F9891" t="str" cm="1">
        <f t="array" ref="F9891">CategorizeComment(E9891)</f>
        <v>Other</v>
      </c>
      <c r="G9891" t="str" cm="1">
        <f t="array" ref="G9891">SubCategorizeComment(E9891)</f>
        <v>Other</v>
      </c>
    </row>
    <row r="9892" spans="1:7" x14ac:dyDescent="0.25">
      <c r="A9892">
        <v>91749</v>
      </c>
      <c r="B9892" t="s">
        <v>4</v>
      </c>
      <c r="C9892">
        <v>3</v>
      </c>
      <c r="D9892" t="s">
        <v>5</v>
      </c>
      <c r="F9892" t="str" cm="1">
        <f t="array" ref="F9892">CategorizeComment(E9892)</f>
        <v>Other</v>
      </c>
      <c r="G9892" t="str" cm="1">
        <f t="array" ref="G9892">SubCategorizeComment(E9892)</f>
        <v>Other</v>
      </c>
    </row>
    <row r="9893" spans="1:7" x14ac:dyDescent="0.25">
      <c r="A9893">
        <v>91752</v>
      </c>
      <c r="B9893" t="s">
        <v>4</v>
      </c>
      <c r="C9893">
        <v>4</v>
      </c>
      <c r="D9893" t="s">
        <v>5</v>
      </c>
      <c r="F9893" t="str" cm="1">
        <f t="array" ref="F9893">CategorizeComment(E9893)</f>
        <v>Other</v>
      </c>
      <c r="G9893" t="str" cm="1">
        <f t="array" ref="G9893">SubCategorizeComment(E9893)</f>
        <v>Other</v>
      </c>
    </row>
    <row r="9894" spans="1:7" x14ac:dyDescent="0.25">
      <c r="A9894">
        <v>91761</v>
      </c>
      <c r="B9894" t="s">
        <v>4</v>
      </c>
      <c r="C9894">
        <v>4</v>
      </c>
      <c r="D9894" t="s">
        <v>5</v>
      </c>
      <c r="F9894" t="str" cm="1">
        <f t="array" ref="F9894">CategorizeComment(E9894)</f>
        <v>Other</v>
      </c>
      <c r="G9894" t="str" cm="1">
        <f t="array" ref="G9894">SubCategorizeComment(E9894)</f>
        <v>Other</v>
      </c>
    </row>
    <row r="9895" spans="1:7" x14ac:dyDescent="0.25">
      <c r="A9895">
        <v>91778</v>
      </c>
      <c r="B9895" t="s">
        <v>4</v>
      </c>
      <c r="C9895">
        <v>3</v>
      </c>
      <c r="D9895" t="s">
        <v>5</v>
      </c>
      <c r="F9895" t="str" cm="1">
        <f t="array" ref="F9895">CategorizeComment(E9895)</f>
        <v>Other</v>
      </c>
      <c r="G9895" t="str" cm="1">
        <f t="array" ref="G9895">SubCategorizeComment(E9895)</f>
        <v>Other</v>
      </c>
    </row>
    <row r="9896" spans="1:7" x14ac:dyDescent="0.25">
      <c r="A9896">
        <v>91780</v>
      </c>
      <c r="B9896" t="s">
        <v>4</v>
      </c>
      <c r="C9896">
        <v>3</v>
      </c>
      <c r="D9896" t="s">
        <v>5</v>
      </c>
      <c r="F9896" t="str" cm="1">
        <f t="array" ref="F9896">CategorizeComment(E9896)</f>
        <v>Other</v>
      </c>
      <c r="G9896" t="str" cm="1">
        <f t="array" ref="G9896">SubCategorizeComment(E9896)</f>
        <v>Other</v>
      </c>
    </row>
    <row r="9897" spans="1:7" x14ac:dyDescent="0.25">
      <c r="A9897">
        <v>91795</v>
      </c>
      <c r="B9897" t="s">
        <v>4</v>
      </c>
      <c r="C9897">
        <v>4</v>
      </c>
      <c r="D9897" t="s">
        <v>5</v>
      </c>
      <c r="F9897" t="str" cm="1">
        <f t="array" ref="F9897">CategorizeComment(E9897)</f>
        <v>Other</v>
      </c>
      <c r="G9897" t="str" cm="1">
        <f t="array" ref="G9897">SubCategorizeComment(E9897)</f>
        <v>Other</v>
      </c>
    </row>
    <row r="9898" spans="1:7" x14ac:dyDescent="0.25">
      <c r="A9898">
        <v>91803</v>
      </c>
      <c r="B9898" t="s">
        <v>4</v>
      </c>
      <c r="C9898">
        <v>4</v>
      </c>
      <c r="D9898" t="s">
        <v>5</v>
      </c>
      <c r="F9898" t="str" cm="1">
        <f t="array" ref="F9898">CategorizeComment(E9898)</f>
        <v>Other</v>
      </c>
      <c r="G9898" t="str" cm="1">
        <f t="array" ref="G9898">SubCategorizeComment(E9898)</f>
        <v>Other</v>
      </c>
    </row>
    <row r="9899" spans="1:7" x14ac:dyDescent="0.25">
      <c r="A9899">
        <v>91816</v>
      </c>
      <c r="B9899" t="s">
        <v>4</v>
      </c>
      <c r="C9899">
        <v>3</v>
      </c>
      <c r="D9899" t="s">
        <v>5</v>
      </c>
      <c r="F9899" t="str" cm="1">
        <f t="array" ref="F9899">CategorizeComment(E9899)</f>
        <v>Other</v>
      </c>
      <c r="G9899" t="str" cm="1">
        <f t="array" ref="G9899">SubCategorizeComment(E9899)</f>
        <v>Other</v>
      </c>
    </row>
    <row r="9900" spans="1:7" x14ac:dyDescent="0.25">
      <c r="A9900">
        <v>91838</v>
      </c>
      <c r="B9900" t="s">
        <v>4</v>
      </c>
      <c r="C9900">
        <v>3</v>
      </c>
      <c r="D9900" t="s">
        <v>5</v>
      </c>
      <c r="F9900" t="str" cm="1">
        <f t="array" ref="F9900">CategorizeComment(E9900)</f>
        <v>Other</v>
      </c>
      <c r="G9900" t="str" cm="1">
        <f t="array" ref="G9900">SubCategorizeComment(E9900)</f>
        <v>Other</v>
      </c>
    </row>
    <row r="9901" spans="1:7" x14ac:dyDescent="0.25">
      <c r="A9901">
        <v>91848</v>
      </c>
      <c r="B9901" t="s">
        <v>4</v>
      </c>
      <c r="C9901">
        <v>3</v>
      </c>
      <c r="D9901" t="s">
        <v>5</v>
      </c>
      <c r="F9901" t="str" cm="1">
        <f t="array" ref="F9901">CategorizeComment(E9901)</f>
        <v>Other</v>
      </c>
      <c r="G9901" t="str" cm="1">
        <f t="array" ref="G9901">SubCategorizeComment(E9901)</f>
        <v>Other</v>
      </c>
    </row>
    <row r="9902" spans="1:7" x14ac:dyDescent="0.25">
      <c r="A9902">
        <v>91863</v>
      </c>
      <c r="B9902" t="s">
        <v>4</v>
      </c>
      <c r="C9902">
        <v>3</v>
      </c>
      <c r="D9902" t="s">
        <v>5</v>
      </c>
      <c r="F9902" t="str" cm="1">
        <f t="array" ref="F9902">CategorizeComment(E9902)</f>
        <v>Other</v>
      </c>
      <c r="G9902" t="str" cm="1">
        <f t="array" ref="G9902">SubCategorizeComment(E9902)</f>
        <v>Other</v>
      </c>
    </row>
    <row r="9903" spans="1:7" x14ac:dyDescent="0.25">
      <c r="A9903">
        <v>91865</v>
      </c>
      <c r="B9903" t="s">
        <v>4</v>
      </c>
      <c r="C9903">
        <v>4</v>
      </c>
      <c r="D9903" t="s">
        <v>5</v>
      </c>
      <c r="F9903" t="str" cm="1">
        <f t="array" ref="F9903">CategorizeComment(E9903)</f>
        <v>Other</v>
      </c>
      <c r="G9903" t="str" cm="1">
        <f t="array" ref="G9903">SubCategorizeComment(E9903)</f>
        <v>Other</v>
      </c>
    </row>
    <row r="9904" spans="1:7" x14ac:dyDescent="0.25">
      <c r="A9904">
        <v>91892</v>
      </c>
      <c r="B9904" t="s">
        <v>4</v>
      </c>
      <c r="C9904">
        <v>4</v>
      </c>
      <c r="D9904" t="s">
        <v>5</v>
      </c>
      <c r="F9904" t="str" cm="1">
        <f t="array" ref="F9904">CategorizeComment(E9904)</f>
        <v>Other</v>
      </c>
      <c r="G9904" t="str" cm="1">
        <f t="array" ref="G9904">SubCategorizeComment(E9904)</f>
        <v>Other</v>
      </c>
    </row>
    <row r="9905" spans="1:7" x14ac:dyDescent="0.25">
      <c r="A9905">
        <v>91915</v>
      </c>
      <c r="B9905" t="s">
        <v>4</v>
      </c>
      <c r="C9905">
        <v>3</v>
      </c>
      <c r="D9905" t="s">
        <v>5</v>
      </c>
      <c r="F9905" t="str" cm="1">
        <f t="array" ref="F9905">CategorizeComment(E9905)</f>
        <v>Other</v>
      </c>
      <c r="G9905" t="str" cm="1">
        <f t="array" ref="G9905">SubCategorizeComment(E9905)</f>
        <v>Other</v>
      </c>
    </row>
    <row r="9906" spans="1:7" x14ac:dyDescent="0.25">
      <c r="A9906">
        <v>91918</v>
      </c>
      <c r="B9906" t="s">
        <v>4</v>
      </c>
      <c r="C9906">
        <v>3</v>
      </c>
      <c r="D9906" t="s">
        <v>5</v>
      </c>
      <c r="F9906" t="str" cm="1">
        <f t="array" ref="F9906">CategorizeComment(E9906)</f>
        <v>Other</v>
      </c>
      <c r="G9906" t="str" cm="1">
        <f t="array" ref="G9906">SubCategorizeComment(E9906)</f>
        <v>Other</v>
      </c>
    </row>
    <row r="9907" spans="1:7" x14ac:dyDescent="0.25">
      <c r="A9907">
        <v>91930</v>
      </c>
      <c r="B9907" t="s">
        <v>4</v>
      </c>
      <c r="C9907">
        <v>4</v>
      </c>
      <c r="D9907" t="s">
        <v>5</v>
      </c>
      <c r="F9907" t="str" cm="1">
        <f t="array" ref="F9907">CategorizeComment(E9907)</f>
        <v>Other</v>
      </c>
      <c r="G9907" t="str" cm="1">
        <f t="array" ref="G9907">SubCategorizeComment(E9907)</f>
        <v>Other</v>
      </c>
    </row>
    <row r="9908" spans="1:7" x14ac:dyDescent="0.25">
      <c r="A9908">
        <v>91934</v>
      </c>
      <c r="B9908" t="s">
        <v>4</v>
      </c>
      <c r="C9908">
        <v>4</v>
      </c>
      <c r="D9908" t="s">
        <v>5</v>
      </c>
      <c r="F9908" t="str" cm="1">
        <f t="array" ref="F9908">CategorizeComment(E9908)</f>
        <v>Other</v>
      </c>
      <c r="G9908" t="str" cm="1">
        <f t="array" ref="G9908">SubCategorizeComment(E9908)</f>
        <v>Other</v>
      </c>
    </row>
    <row r="9909" spans="1:7" x14ac:dyDescent="0.25">
      <c r="A9909">
        <v>91940</v>
      </c>
      <c r="B9909" t="s">
        <v>4</v>
      </c>
      <c r="C9909">
        <v>4</v>
      </c>
      <c r="D9909" t="s">
        <v>5</v>
      </c>
      <c r="F9909" t="str" cm="1">
        <f t="array" ref="F9909">CategorizeComment(E9909)</f>
        <v>Other</v>
      </c>
      <c r="G9909" t="str" cm="1">
        <f t="array" ref="G9909">SubCategorizeComment(E9909)</f>
        <v>Other</v>
      </c>
    </row>
    <row r="9910" spans="1:7" x14ac:dyDescent="0.25">
      <c r="A9910">
        <v>91950</v>
      </c>
      <c r="B9910" t="s">
        <v>4</v>
      </c>
      <c r="C9910">
        <v>3</v>
      </c>
      <c r="D9910" t="s">
        <v>5</v>
      </c>
      <c r="F9910" t="str" cm="1">
        <f t="array" ref="F9910">CategorizeComment(E9910)</f>
        <v>Other</v>
      </c>
      <c r="G9910" t="str" cm="1">
        <f t="array" ref="G9910">SubCategorizeComment(E9910)</f>
        <v>Other</v>
      </c>
    </row>
    <row r="9911" spans="1:7" x14ac:dyDescent="0.25">
      <c r="A9911">
        <v>91964</v>
      </c>
      <c r="B9911" t="s">
        <v>4</v>
      </c>
      <c r="C9911">
        <v>3</v>
      </c>
      <c r="D9911" t="s">
        <v>5</v>
      </c>
      <c r="F9911" t="str" cm="1">
        <f t="array" ref="F9911">CategorizeComment(E9911)</f>
        <v>Other</v>
      </c>
      <c r="G9911" t="str" cm="1">
        <f t="array" ref="G9911">SubCategorizeComment(E9911)</f>
        <v>Other</v>
      </c>
    </row>
    <row r="9912" spans="1:7" x14ac:dyDescent="0.25">
      <c r="A9912">
        <v>91986</v>
      </c>
      <c r="B9912" t="s">
        <v>4</v>
      </c>
      <c r="C9912">
        <v>4</v>
      </c>
      <c r="D9912" t="s">
        <v>5</v>
      </c>
      <c r="F9912" t="str" cm="1">
        <f t="array" ref="F9912">CategorizeComment(E9912)</f>
        <v>Other</v>
      </c>
      <c r="G9912" t="str" cm="1">
        <f t="array" ref="G9912">SubCategorizeComment(E9912)</f>
        <v>Other</v>
      </c>
    </row>
    <row r="9913" spans="1:7" x14ac:dyDescent="0.25">
      <c r="A9913">
        <v>91991</v>
      </c>
      <c r="B9913" t="s">
        <v>4</v>
      </c>
      <c r="C9913">
        <v>4</v>
      </c>
      <c r="D9913" t="s">
        <v>5</v>
      </c>
      <c r="F9913" t="str" cm="1">
        <f t="array" ref="F9913">CategorizeComment(E9913)</f>
        <v>Other</v>
      </c>
      <c r="G9913" t="str" cm="1">
        <f t="array" ref="G9913">SubCategorizeComment(E9913)</f>
        <v>Other</v>
      </c>
    </row>
    <row r="9914" spans="1:7" x14ac:dyDescent="0.25">
      <c r="A9914">
        <v>91998</v>
      </c>
      <c r="B9914" t="s">
        <v>4</v>
      </c>
      <c r="C9914">
        <v>4</v>
      </c>
      <c r="D9914" t="s">
        <v>5</v>
      </c>
      <c r="F9914" t="str" cm="1">
        <f t="array" ref="F9914">CategorizeComment(E9914)</f>
        <v>Other</v>
      </c>
      <c r="G9914" t="str" cm="1">
        <f t="array" ref="G9914">SubCategorizeComment(E9914)</f>
        <v>Other</v>
      </c>
    </row>
    <row r="9915" spans="1:7" x14ac:dyDescent="0.25">
      <c r="A9915">
        <v>92013</v>
      </c>
      <c r="B9915" t="s">
        <v>4</v>
      </c>
      <c r="C9915">
        <v>4</v>
      </c>
      <c r="D9915" t="s">
        <v>5</v>
      </c>
      <c r="F9915" t="str" cm="1">
        <f t="array" ref="F9915">CategorizeComment(E9915)</f>
        <v>Other</v>
      </c>
      <c r="G9915" t="str" cm="1">
        <f t="array" ref="G9915">SubCategorizeComment(E9915)</f>
        <v>Other</v>
      </c>
    </row>
    <row r="9916" spans="1:7" x14ac:dyDescent="0.25">
      <c r="A9916">
        <v>92038</v>
      </c>
      <c r="B9916" t="s">
        <v>4</v>
      </c>
      <c r="C9916">
        <v>3</v>
      </c>
      <c r="D9916" t="s">
        <v>5</v>
      </c>
      <c r="F9916" t="str" cm="1">
        <f t="array" ref="F9916">CategorizeComment(E9916)</f>
        <v>Other</v>
      </c>
      <c r="G9916" t="str" cm="1">
        <f t="array" ref="G9916">SubCategorizeComment(E9916)</f>
        <v>Other</v>
      </c>
    </row>
    <row r="9917" spans="1:7" x14ac:dyDescent="0.25">
      <c r="A9917">
        <v>92068</v>
      </c>
      <c r="B9917" t="s">
        <v>4</v>
      </c>
      <c r="C9917">
        <v>3</v>
      </c>
      <c r="D9917" t="s">
        <v>5</v>
      </c>
      <c r="F9917" t="str" cm="1">
        <f t="array" ref="F9917">CategorizeComment(E9917)</f>
        <v>Other</v>
      </c>
      <c r="G9917" t="str" cm="1">
        <f t="array" ref="G9917">SubCategorizeComment(E9917)</f>
        <v>Other</v>
      </c>
    </row>
    <row r="9918" spans="1:7" x14ac:dyDescent="0.25">
      <c r="A9918">
        <v>92079</v>
      </c>
      <c r="B9918" t="s">
        <v>4</v>
      </c>
      <c r="C9918">
        <v>4</v>
      </c>
      <c r="D9918" t="s">
        <v>5</v>
      </c>
      <c r="F9918" t="str" cm="1">
        <f t="array" ref="F9918">CategorizeComment(E9918)</f>
        <v>Other</v>
      </c>
      <c r="G9918" t="str" cm="1">
        <f t="array" ref="G9918">SubCategorizeComment(E9918)</f>
        <v>Other</v>
      </c>
    </row>
    <row r="9919" spans="1:7" x14ac:dyDescent="0.25">
      <c r="A9919">
        <v>92094</v>
      </c>
      <c r="B9919" t="s">
        <v>4</v>
      </c>
      <c r="C9919">
        <v>4</v>
      </c>
      <c r="D9919" t="s">
        <v>5</v>
      </c>
      <c r="F9919" t="str" cm="1">
        <f t="array" ref="F9919">CategorizeComment(E9919)</f>
        <v>Other</v>
      </c>
      <c r="G9919" t="str" cm="1">
        <f t="array" ref="G9919">SubCategorizeComment(E9919)</f>
        <v>Other</v>
      </c>
    </row>
    <row r="9920" spans="1:7" x14ac:dyDescent="0.25">
      <c r="A9920">
        <v>92096</v>
      </c>
      <c r="B9920" t="s">
        <v>4</v>
      </c>
      <c r="C9920">
        <v>4</v>
      </c>
      <c r="D9920" t="s">
        <v>5</v>
      </c>
      <c r="F9920" t="str" cm="1">
        <f t="array" ref="F9920">CategorizeComment(E9920)</f>
        <v>Other</v>
      </c>
      <c r="G9920" t="str" cm="1">
        <f t="array" ref="G9920">SubCategorizeComment(E9920)</f>
        <v>Other</v>
      </c>
    </row>
    <row r="9921" spans="1:7" x14ac:dyDescent="0.25">
      <c r="A9921">
        <v>92118</v>
      </c>
      <c r="B9921" t="s">
        <v>4</v>
      </c>
      <c r="C9921">
        <v>3</v>
      </c>
      <c r="D9921" t="s">
        <v>5</v>
      </c>
      <c r="F9921" t="str" cm="1">
        <f t="array" ref="F9921">CategorizeComment(E9921)</f>
        <v>Other</v>
      </c>
      <c r="G9921" t="str" cm="1">
        <f t="array" ref="G9921">SubCategorizeComment(E9921)</f>
        <v>Other</v>
      </c>
    </row>
    <row r="9922" spans="1:7" x14ac:dyDescent="0.25">
      <c r="A9922">
        <v>92136</v>
      </c>
      <c r="B9922" t="s">
        <v>4</v>
      </c>
      <c r="C9922">
        <v>4</v>
      </c>
      <c r="D9922" t="s">
        <v>5</v>
      </c>
      <c r="F9922" t="str" cm="1">
        <f t="array" ref="F9922">CategorizeComment(E9922)</f>
        <v>Other</v>
      </c>
      <c r="G9922" t="str" cm="1">
        <f t="array" ref="G9922">SubCategorizeComment(E9922)</f>
        <v>Other</v>
      </c>
    </row>
    <row r="9923" spans="1:7" x14ac:dyDescent="0.25">
      <c r="A9923">
        <v>92161</v>
      </c>
      <c r="B9923" t="s">
        <v>4</v>
      </c>
      <c r="C9923">
        <v>3</v>
      </c>
      <c r="D9923" t="s">
        <v>5</v>
      </c>
      <c r="F9923" t="str" cm="1">
        <f t="array" ref="F9923">CategorizeComment(E9923)</f>
        <v>Other</v>
      </c>
      <c r="G9923" t="str" cm="1">
        <f t="array" ref="G9923">SubCategorizeComment(E9923)</f>
        <v>Other</v>
      </c>
    </row>
    <row r="9924" spans="1:7" x14ac:dyDescent="0.25">
      <c r="A9924">
        <v>92163</v>
      </c>
      <c r="B9924" t="s">
        <v>4</v>
      </c>
      <c r="C9924">
        <v>4</v>
      </c>
      <c r="D9924" t="s">
        <v>5</v>
      </c>
      <c r="F9924" t="str" cm="1">
        <f t="array" ref="F9924">CategorizeComment(E9924)</f>
        <v>Other</v>
      </c>
      <c r="G9924" t="str" cm="1">
        <f t="array" ref="G9924">SubCategorizeComment(E9924)</f>
        <v>Other</v>
      </c>
    </row>
    <row r="9925" spans="1:7" x14ac:dyDescent="0.25">
      <c r="A9925">
        <v>92170</v>
      </c>
      <c r="B9925" t="s">
        <v>4</v>
      </c>
      <c r="C9925">
        <v>3</v>
      </c>
      <c r="D9925" t="s">
        <v>5</v>
      </c>
      <c r="F9925" t="str" cm="1">
        <f t="array" ref="F9925">CategorizeComment(E9925)</f>
        <v>Other</v>
      </c>
      <c r="G9925" t="str" cm="1">
        <f t="array" ref="G9925">SubCategorizeComment(E9925)</f>
        <v>Other</v>
      </c>
    </row>
    <row r="9926" spans="1:7" x14ac:dyDescent="0.25">
      <c r="A9926">
        <v>92184</v>
      </c>
      <c r="B9926" t="s">
        <v>4</v>
      </c>
      <c r="C9926">
        <v>3</v>
      </c>
      <c r="D9926" t="s">
        <v>5</v>
      </c>
      <c r="F9926" t="str" cm="1">
        <f t="array" ref="F9926">CategorizeComment(E9926)</f>
        <v>Other</v>
      </c>
      <c r="G9926" t="str" cm="1">
        <f t="array" ref="G9926">SubCategorizeComment(E9926)</f>
        <v>Other</v>
      </c>
    </row>
    <row r="9927" spans="1:7" x14ac:dyDescent="0.25">
      <c r="A9927">
        <v>92194</v>
      </c>
      <c r="B9927" t="s">
        <v>4</v>
      </c>
      <c r="C9927">
        <v>3</v>
      </c>
      <c r="D9927" t="s">
        <v>5</v>
      </c>
      <c r="F9927" t="str" cm="1">
        <f t="array" ref="F9927">CategorizeComment(E9927)</f>
        <v>Other</v>
      </c>
      <c r="G9927" t="str" cm="1">
        <f t="array" ref="G9927">SubCategorizeComment(E9927)</f>
        <v>Other</v>
      </c>
    </row>
    <row r="9928" spans="1:7" x14ac:dyDescent="0.25">
      <c r="A9928">
        <v>92196</v>
      </c>
      <c r="B9928" t="s">
        <v>4</v>
      </c>
      <c r="C9928">
        <v>4</v>
      </c>
      <c r="D9928" t="s">
        <v>5</v>
      </c>
      <c r="F9928" t="str" cm="1">
        <f t="array" ref="F9928">CategorizeComment(E9928)</f>
        <v>Other</v>
      </c>
      <c r="G9928" t="str" cm="1">
        <f t="array" ref="G9928">SubCategorizeComment(E9928)</f>
        <v>Other</v>
      </c>
    </row>
    <row r="9929" spans="1:7" x14ac:dyDescent="0.25">
      <c r="A9929">
        <v>92198</v>
      </c>
      <c r="B9929" t="s">
        <v>4</v>
      </c>
      <c r="C9929">
        <v>4</v>
      </c>
      <c r="D9929" t="s">
        <v>5</v>
      </c>
      <c r="F9929" t="str" cm="1">
        <f t="array" ref="F9929">CategorizeComment(E9929)</f>
        <v>Other</v>
      </c>
      <c r="G9929" t="str" cm="1">
        <f t="array" ref="G9929">SubCategorizeComment(E9929)</f>
        <v>Other</v>
      </c>
    </row>
    <row r="9930" spans="1:7" x14ac:dyDescent="0.25">
      <c r="A9930">
        <v>92203</v>
      </c>
      <c r="B9930" t="s">
        <v>4</v>
      </c>
      <c r="C9930">
        <v>4</v>
      </c>
      <c r="D9930" t="s">
        <v>5</v>
      </c>
      <c r="F9930" t="str" cm="1">
        <f t="array" ref="F9930">CategorizeComment(E9930)</f>
        <v>Other</v>
      </c>
      <c r="G9930" t="str" cm="1">
        <f t="array" ref="G9930">SubCategorizeComment(E9930)</f>
        <v>Other</v>
      </c>
    </row>
    <row r="9931" spans="1:7" x14ac:dyDescent="0.25">
      <c r="A9931">
        <v>92204</v>
      </c>
      <c r="B9931" t="s">
        <v>4</v>
      </c>
      <c r="C9931">
        <v>3</v>
      </c>
      <c r="D9931" t="s">
        <v>5</v>
      </c>
      <c r="F9931" t="str" cm="1">
        <f t="array" ref="F9931">CategorizeComment(E9931)</f>
        <v>Other</v>
      </c>
      <c r="G9931" t="str" cm="1">
        <f t="array" ref="G9931">SubCategorizeComment(E9931)</f>
        <v>Other</v>
      </c>
    </row>
    <row r="9932" spans="1:7" x14ac:dyDescent="0.25">
      <c r="A9932">
        <v>92205</v>
      </c>
      <c r="B9932" t="s">
        <v>4</v>
      </c>
      <c r="C9932">
        <v>3</v>
      </c>
      <c r="D9932" t="s">
        <v>5</v>
      </c>
      <c r="F9932" t="str" cm="1">
        <f t="array" ref="F9932">CategorizeComment(E9932)</f>
        <v>Other</v>
      </c>
      <c r="G9932" t="str" cm="1">
        <f t="array" ref="G9932">SubCategorizeComment(E9932)</f>
        <v>Other</v>
      </c>
    </row>
    <row r="9933" spans="1:7" x14ac:dyDescent="0.25">
      <c r="A9933">
        <v>92208</v>
      </c>
      <c r="B9933" t="s">
        <v>4</v>
      </c>
      <c r="C9933">
        <v>4</v>
      </c>
      <c r="D9933" t="s">
        <v>5</v>
      </c>
      <c r="F9933" t="str" cm="1">
        <f t="array" ref="F9933">CategorizeComment(E9933)</f>
        <v>Other</v>
      </c>
      <c r="G9933" t="str" cm="1">
        <f t="array" ref="G9933">SubCategorizeComment(E9933)</f>
        <v>Other</v>
      </c>
    </row>
    <row r="9934" spans="1:7" x14ac:dyDescent="0.25">
      <c r="A9934">
        <v>92226</v>
      </c>
      <c r="B9934" t="s">
        <v>4</v>
      </c>
      <c r="C9934">
        <v>3</v>
      </c>
      <c r="D9934" t="s">
        <v>5</v>
      </c>
      <c r="F9934" t="str" cm="1">
        <f t="array" ref="F9934">CategorizeComment(E9934)</f>
        <v>Other</v>
      </c>
      <c r="G9934" t="str" cm="1">
        <f t="array" ref="G9934">SubCategorizeComment(E9934)</f>
        <v>Other</v>
      </c>
    </row>
    <row r="9935" spans="1:7" x14ac:dyDescent="0.25">
      <c r="A9935">
        <v>92229</v>
      </c>
      <c r="B9935" t="s">
        <v>4</v>
      </c>
      <c r="C9935">
        <v>3</v>
      </c>
      <c r="D9935" t="s">
        <v>5</v>
      </c>
      <c r="F9935" t="str" cm="1">
        <f t="array" ref="F9935">CategorizeComment(E9935)</f>
        <v>Other</v>
      </c>
      <c r="G9935" t="str" cm="1">
        <f t="array" ref="G9935">SubCategorizeComment(E9935)</f>
        <v>Other</v>
      </c>
    </row>
    <row r="9936" spans="1:7" x14ac:dyDescent="0.25">
      <c r="A9936">
        <v>92245</v>
      </c>
      <c r="B9936" t="s">
        <v>4</v>
      </c>
      <c r="C9936">
        <v>3</v>
      </c>
      <c r="D9936" t="s">
        <v>5</v>
      </c>
      <c r="F9936" t="str" cm="1">
        <f t="array" ref="F9936">CategorizeComment(E9936)</f>
        <v>Other</v>
      </c>
      <c r="G9936" t="str" cm="1">
        <f t="array" ref="G9936">SubCategorizeComment(E9936)</f>
        <v>Other</v>
      </c>
    </row>
    <row r="9937" spans="1:7" x14ac:dyDescent="0.25">
      <c r="A9937">
        <v>92248</v>
      </c>
      <c r="B9937" t="s">
        <v>4</v>
      </c>
      <c r="C9937">
        <v>4</v>
      </c>
      <c r="D9937" t="s">
        <v>5</v>
      </c>
      <c r="F9937" t="str" cm="1">
        <f t="array" ref="F9937">CategorizeComment(E9937)</f>
        <v>Other</v>
      </c>
      <c r="G9937" t="str" cm="1">
        <f t="array" ref="G9937">SubCategorizeComment(E9937)</f>
        <v>Other</v>
      </c>
    </row>
    <row r="9938" spans="1:7" x14ac:dyDescent="0.25">
      <c r="A9938">
        <v>92249</v>
      </c>
      <c r="B9938" t="s">
        <v>4</v>
      </c>
      <c r="C9938">
        <v>3</v>
      </c>
      <c r="D9938" t="s">
        <v>5</v>
      </c>
      <c r="F9938" t="str" cm="1">
        <f t="array" ref="F9938">CategorizeComment(E9938)</f>
        <v>Other</v>
      </c>
      <c r="G9938" t="str" cm="1">
        <f t="array" ref="G9938">SubCategorizeComment(E9938)</f>
        <v>Other</v>
      </c>
    </row>
    <row r="9939" spans="1:7" x14ac:dyDescent="0.25">
      <c r="A9939">
        <v>92253</v>
      </c>
      <c r="B9939" t="s">
        <v>4</v>
      </c>
      <c r="C9939">
        <v>3</v>
      </c>
      <c r="D9939" t="s">
        <v>5</v>
      </c>
      <c r="F9939" t="str" cm="1">
        <f t="array" ref="F9939">CategorizeComment(E9939)</f>
        <v>Other</v>
      </c>
      <c r="G9939" t="str" cm="1">
        <f t="array" ref="G9939">SubCategorizeComment(E9939)</f>
        <v>Other</v>
      </c>
    </row>
    <row r="9940" spans="1:7" x14ac:dyDescent="0.25">
      <c r="A9940">
        <v>92258</v>
      </c>
      <c r="B9940" t="s">
        <v>4</v>
      </c>
      <c r="C9940">
        <v>4</v>
      </c>
      <c r="D9940" t="s">
        <v>5</v>
      </c>
      <c r="F9940" t="str" cm="1">
        <f t="array" ref="F9940">CategorizeComment(E9940)</f>
        <v>Other</v>
      </c>
      <c r="G9940" t="str" cm="1">
        <f t="array" ref="G9940">SubCategorizeComment(E9940)</f>
        <v>Other</v>
      </c>
    </row>
    <row r="9941" spans="1:7" x14ac:dyDescent="0.25">
      <c r="A9941">
        <v>92260</v>
      </c>
      <c r="B9941" t="s">
        <v>4</v>
      </c>
      <c r="C9941">
        <v>3</v>
      </c>
      <c r="D9941" t="s">
        <v>5</v>
      </c>
      <c r="F9941" t="str" cm="1">
        <f t="array" ref="F9941">CategorizeComment(E9941)</f>
        <v>Other</v>
      </c>
      <c r="G9941" t="str" cm="1">
        <f t="array" ref="G9941">SubCategorizeComment(E9941)</f>
        <v>Other</v>
      </c>
    </row>
    <row r="9942" spans="1:7" x14ac:dyDescent="0.25">
      <c r="A9942">
        <v>92261</v>
      </c>
      <c r="B9942" t="s">
        <v>4</v>
      </c>
      <c r="C9942">
        <v>4</v>
      </c>
      <c r="D9942" t="s">
        <v>5</v>
      </c>
      <c r="F9942" t="str" cm="1">
        <f t="array" ref="F9942">CategorizeComment(E9942)</f>
        <v>Other</v>
      </c>
      <c r="G9942" t="str" cm="1">
        <f t="array" ref="G9942">SubCategorizeComment(E9942)</f>
        <v>Other</v>
      </c>
    </row>
    <row r="9943" spans="1:7" x14ac:dyDescent="0.25">
      <c r="A9943">
        <v>92274</v>
      </c>
      <c r="B9943" t="s">
        <v>4</v>
      </c>
      <c r="C9943">
        <v>4</v>
      </c>
      <c r="D9943" t="s">
        <v>5</v>
      </c>
      <c r="F9943" t="str" cm="1">
        <f t="array" ref="F9943">CategorizeComment(E9943)</f>
        <v>Other</v>
      </c>
      <c r="G9943" t="str" cm="1">
        <f t="array" ref="G9943">SubCategorizeComment(E9943)</f>
        <v>Other</v>
      </c>
    </row>
    <row r="9944" spans="1:7" x14ac:dyDescent="0.25">
      <c r="A9944">
        <v>92295</v>
      </c>
      <c r="B9944" t="s">
        <v>4</v>
      </c>
      <c r="C9944">
        <v>4</v>
      </c>
      <c r="D9944" t="s">
        <v>5</v>
      </c>
      <c r="F9944" t="str" cm="1">
        <f t="array" ref="F9944">CategorizeComment(E9944)</f>
        <v>Other</v>
      </c>
      <c r="G9944" t="str" cm="1">
        <f t="array" ref="G9944">SubCategorizeComment(E9944)</f>
        <v>Other</v>
      </c>
    </row>
    <row r="9945" spans="1:7" x14ac:dyDescent="0.25">
      <c r="A9945">
        <v>92306</v>
      </c>
      <c r="B9945" t="s">
        <v>4</v>
      </c>
      <c r="C9945">
        <v>3</v>
      </c>
      <c r="D9945" t="s">
        <v>5</v>
      </c>
      <c r="F9945" t="str" cm="1">
        <f t="array" ref="F9945">CategorizeComment(E9945)</f>
        <v>Other</v>
      </c>
      <c r="G9945" t="str" cm="1">
        <f t="array" ref="G9945">SubCategorizeComment(E9945)</f>
        <v>Other</v>
      </c>
    </row>
    <row r="9946" spans="1:7" x14ac:dyDescent="0.25">
      <c r="A9946">
        <v>92336</v>
      </c>
      <c r="B9946" t="s">
        <v>4</v>
      </c>
      <c r="C9946">
        <v>4</v>
      </c>
      <c r="D9946" t="s">
        <v>5</v>
      </c>
      <c r="F9946" t="str" cm="1">
        <f t="array" ref="F9946">CategorizeComment(E9946)</f>
        <v>Other</v>
      </c>
      <c r="G9946" t="str" cm="1">
        <f t="array" ref="G9946">SubCategorizeComment(E9946)</f>
        <v>Other</v>
      </c>
    </row>
    <row r="9947" spans="1:7" x14ac:dyDescent="0.25">
      <c r="A9947">
        <v>92347</v>
      </c>
      <c r="B9947" t="s">
        <v>4</v>
      </c>
      <c r="C9947">
        <v>4</v>
      </c>
      <c r="D9947" t="s">
        <v>5</v>
      </c>
      <c r="F9947" t="str" cm="1">
        <f t="array" ref="F9947">CategorizeComment(E9947)</f>
        <v>Other</v>
      </c>
      <c r="G9947" t="str" cm="1">
        <f t="array" ref="G9947">SubCategorizeComment(E9947)</f>
        <v>Other</v>
      </c>
    </row>
    <row r="9948" spans="1:7" x14ac:dyDescent="0.25">
      <c r="A9948">
        <v>92348</v>
      </c>
      <c r="B9948" t="s">
        <v>4</v>
      </c>
      <c r="C9948">
        <v>4</v>
      </c>
      <c r="D9948" t="s">
        <v>5</v>
      </c>
      <c r="F9948" t="str" cm="1">
        <f t="array" ref="F9948">CategorizeComment(E9948)</f>
        <v>Other</v>
      </c>
      <c r="G9948" t="str" cm="1">
        <f t="array" ref="G9948">SubCategorizeComment(E9948)</f>
        <v>Other</v>
      </c>
    </row>
    <row r="9949" spans="1:7" x14ac:dyDescent="0.25">
      <c r="A9949">
        <v>92369</v>
      </c>
      <c r="B9949" t="s">
        <v>4</v>
      </c>
      <c r="C9949">
        <v>4</v>
      </c>
      <c r="D9949" t="s">
        <v>5</v>
      </c>
      <c r="F9949" t="str" cm="1">
        <f t="array" ref="F9949">CategorizeComment(E9949)</f>
        <v>Other</v>
      </c>
      <c r="G9949" t="str" cm="1">
        <f t="array" ref="G9949">SubCategorizeComment(E9949)</f>
        <v>Other</v>
      </c>
    </row>
    <row r="9950" spans="1:7" x14ac:dyDescent="0.25">
      <c r="A9950">
        <v>92371</v>
      </c>
      <c r="B9950" t="s">
        <v>4</v>
      </c>
      <c r="C9950">
        <v>3</v>
      </c>
      <c r="D9950" t="s">
        <v>5</v>
      </c>
      <c r="F9950" t="str" cm="1">
        <f t="array" ref="F9950">CategorizeComment(E9950)</f>
        <v>Other</v>
      </c>
      <c r="G9950" t="str" cm="1">
        <f t="array" ref="G9950">SubCategorizeComment(E9950)</f>
        <v>Other</v>
      </c>
    </row>
    <row r="9951" spans="1:7" x14ac:dyDescent="0.25">
      <c r="A9951">
        <v>92375</v>
      </c>
      <c r="B9951" t="s">
        <v>4</v>
      </c>
      <c r="C9951">
        <v>4</v>
      </c>
      <c r="D9951" t="s">
        <v>5</v>
      </c>
      <c r="F9951" t="str" cm="1">
        <f t="array" ref="F9951">CategorizeComment(E9951)</f>
        <v>Other</v>
      </c>
      <c r="G9951" t="str" cm="1">
        <f t="array" ref="G9951">SubCategorizeComment(E9951)</f>
        <v>Other</v>
      </c>
    </row>
    <row r="9952" spans="1:7" x14ac:dyDescent="0.25">
      <c r="A9952">
        <v>92378</v>
      </c>
      <c r="B9952" t="s">
        <v>4</v>
      </c>
      <c r="C9952">
        <v>3</v>
      </c>
      <c r="D9952" t="s">
        <v>5</v>
      </c>
      <c r="F9952" t="str" cm="1">
        <f t="array" ref="F9952">CategorizeComment(E9952)</f>
        <v>Other</v>
      </c>
      <c r="G9952" t="str" cm="1">
        <f t="array" ref="G9952">SubCategorizeComment(E9952)</f>
        <v>Other</v>
      </c>
    </row>
    <row r="9953" spans="1:7" x14ac:dyDescent="0.25">
      <c r="A9953">
        <v>92404</v>
      </c>
      <c r="B9953" t="s">
        <v>4</v>
      </c>
      <c r="C9953">
        <v>4</v>
      </c>
      <c r="D9953" t="s">
        <v>5</v>
      </c>
      <c r="F9953" t="str" cm="1">
        <f t="array" ref="F9953">CategorizeComment(E9953)</f>
        <v>Other</v>
      </c>
      <c r="G9953" t="str" cm="1">
        <f t="array" ref="G9953">SubCategorizeComment(E9953)</f>
        <v>Other</v>
      </c>
    </row>
    <row r="9954" spans="1:7" x14ac:dyDescent="0.25">
      <c r="A9954">
        <v>92420</v>
      </c>
      <c r="B9954" t="s">
        <v>4</v>
      </c>
      <c r="C9954">
        <v>4</v>
      </c>
      <c r="D9954" t="s">
        <v>5</v>
      </c>
      <c r="F9954" t="str" cm="1">
        <f t="array" ref="F9954">CategorizeComment(E9954)</f>
        <v>Other</v>
      </c>
      <c r="G9954" t="str" cm="1">
        <f t="array" ref="G9954">SubCategorizeComment(E9954)</f>
        <v>Other</v>
      </c>
    </row>
    <row r="9955" spans="1:7" x14ac:dyDescent="0.25">
      <c r="A9955">
        <v>92430</v>
      </c>
      <c r="B9955" t="s">
        <v>4</v>
      </c>
      <c r="C9955">
        <v>4</v>
      </c>
      <c r="D9955" t="s">
        <v>5</v>
      </c>
      <c r="F9955" t="str" cm="1">
        <f t="array" ref="F9955">CategorizeComment(E9955)</f>
        <v>Other</v>
      </c>
      <c r="G9955" t="str" cm="1">
        <f t="array" ref="G9955">SubCategorizeComment(E9955)</f>
        <v>Other</v>
      </c>
    </row>
    <row r="9956" spans="1:7" x14ac:dyDescent="0.25">
      <c r="A9956">
        <v>92433</v>
      </c>
      <c r="B9956" t="s">
        <v>4</v>
      </c>
      <c r="C9956">
        <v>4</v>
      </c>
      <c r="D9956" t="s">
        <v>5</v>
      </c>
      <c r="F9956" t="str" cm="1">
        <f t="array" ref="F9956">CategorizeComment(E9956)</f>
        <v>Other</v>
      </c>
      <c r="G9956" t="str" cm="1">
        <f t="array" ref="G9956">SubCategorizeComment(E9956)</f>
        <v>Other</v>
      </c>
    </row>
    <row r="9957" spans="1:7" x14ac:dyDescent="0.25">
      <c r="A9957">
        <v>92455</v>
      </c>
      <c r="B9957" t="s">
        <v>4</v>
      </c>
      <c r="C9957">
        <v>3</v>
      </c>
      <c r="D9957" t="s">
        <v>5</v>
      </c>
      <c r="F9957" t="str" cm="1">
        <f t="array" ref="F9957">CategorizeComment(E9957)</f>
        <v>Other</v>
      </c>
      <c r="G9957" t="str" cm="1">
        <f t="array" ref="G9957">SubCategorizeComment(E9957)</f>
        <v>Other</v>
      </c>
    </row>
    <row r="9958" spans="1:7" x14ac:dyDescent="0.25">
      <c r="A9958">
        <v>92461</v>
      </c>
      <c r="B9958" t="s">
        <v>4</v>
      </c>
      <c r="C9958">
        <v>3</v>
      </c>
      <c r="D9958" t="s">
        <v>5</v>
      </c>
      <c r="F9958" t="str" cm="1">
        <f t="array" ref="F9958">CategorizeComment(E9958)</f>
        <v>Other</v>
      </c>
      <c r="G9958" t="str" cm="1">
        <f t="array" ref="G9958">SubCategorizeComment(E9958)</f>
        <v>Other</v>
      </c>
    </row>
    <row r="9959" spans="1:7" x14ac:dyDescent="0.25">
      <c r="A9959">
        <v>92466</v>
      </c>
      <c r="B9959" t="s">
        <v>4</v>
      </c>
      <c r="C9959">
        <v>3</v>
      </c>
      <c r="D9959" t="s">
        <v>5</v>
      </c>
      <c r="F9959" t="str" cm="1">
        <f t="array" ref="F9959">CategorizeComment(E9959)</f>
        <v>Other</v>
      </c>
      <c r="G9959" t="str" cm="1">
        <f t="array" ref="G9959">SubCategorizeComment(E9959)</f>
        <v>Other</v>
      </c>
    </row>
    <row r="9960" spans="1:7" x14ac:dyDescent="0.25">
      <c r="A9960">
        <v>92467</v>
      </c>
      <c r="B9960" t="s">
        <v>4</v>
      </c>
      <c r="C9960">
        <v>4</v>
      </c>
      <c r="D9960" t="s">
        <v>5</v>
      </c>
      <c r="F9960" t="str" cm="1">
        <f t="array" ref="F9960">CategorizeComment(E9960)</f>
        <v>Other</v>
      </c>
      <c r="G9960" t="str" cm="1">
        <f t="array" ref="G9960">SubCategorizeComment(E9960)</f>
        <v>Other</v>
      </c>
    </row>
    <row r="9961" spans="1:7" x14ac:dyDescent="0.25">
      <c r="A9961">
        <v>92468</v>
      </c>
      <c r="B9961" t="s">
        <v>4</v>
      </c>
      <c r="C9961">
        <v>3</v>
      </c>
      <c r="D9961" t="s">
        <v>5</v>
      </c>
      <c r="F9961" t="str" cm="1">
        <f t="array" ref="F9961">CategorizeComment(E9961)</f>
        <v>Other</v>
      </c>
      <c r="G9961" t="str" cm="1">
        <f t="array" ref="G9961">SubCategorizeComment(E9961)</f>
        <v>Other</v>
      </c>
    </row>
    <row r="9962" spans="1:7" x14ac:dyDescent="0.25">
      <c r="A9962">
        <v>92479</v>
      </c>
      <c r="B9962" t="s">
        <v>4</v>
      </c>
      <c r="C9962">
        <v>4</v>
      </c>
      <c r="D9962" t="s">
        <v>5</v>
      </c>
      <c r="F9962" t="str" cm="1">
        <f t="array" ref="F9962">CategorizeComment(E9962)</f>
        <v>Other</v>
      </c>
      <c r="G9962" t="str" cm="1">
        <f t="array" ref="G9962">SubCategorizeComment(E9962)</f>
        <v>Other</v>
      </c>
    </row>
    <row r="9963" spans="1:7" x14ac:dyDescent="0.25">
      <c r="A9963">
        <v>92480</v>
      </c>
      <c r="B9963" t="s">
        <v>4</v>
      </c>
      <c r="C9963">
        <v>3</v>
      </c>
      <c r="D9963" t="s">
        <v>5</v>
      </c>
      <c r="F9963" t="str" cm="1">
        <f t="array" ref="F9963">CategorizeComment(E9963)</f>
        <v>Other</v>
      </c>
      <c r="G9963" t="str" cm="1">
        <f t="array" ref="G9963">SubCategorizeComment(E9963)</f>
        <v>Other</v>
      </c>
    </row>
    <row r="9964" spans="1:7" x14ac:dyDescent="0.25">
      <c r="A9964">
        <v>92481</v>
      </c>
      <c r="B9964" t="s">
        <v>4</v>
      </c>
      <c r="C9964">
        <v>3</v>
      </c>
      <c r="D9964" t="s">
        <v>5</v>
      </c>
      <c r="F9964" t="str" cm="1">
        <f t="array" ref="F9964">CategorizeComment(E9964)</f>
        <v>Other</v>
      </c>
      <c r="G9964" t="str" cm="1">
        <f t="array" ref="G9964">SubCategorizeComment(E9964)</f>
        <v>Other</v>
      </c>
    </row>
    <row r="9965" spans="1:7" x14ac:dyDescent="0.25">
      <c r="A9965">
        <v>92486</v>
      </c>
      <c r="B9965" t="s">
        <v>4</v>
      </c>
      <c r="C9965">
        <v>4</v>
      </c>
      <c r="D9965" t="s">
        <v>5</v>
      </c>
      <c r="F9965" t="str" cm="1">
        <f t="array" ref="F9965">CategorizeComment(E9965)</f>
        <v>Other</v>
      </c>
      <c r="G9965" t="str" cm="1">
        <f t="array" ref="G9965">SubCategorizeComment(E9965)</f>
        <v>Other</v>
      </c>
    </row>
    <row r="9966" spans="1:7" x14ac:dyDescent="0.25">
      <c r="A9966">
        <v>92489</v>
      </c>
      <c r="B9966" t="s">
        <v>4</v>
      </c>
      <c r="C9966">
        <v>4</v>
      </c>
      <c r="D9966" t="s">
        <v>5</v>
      </c>
      <c r="F9966" t="str" cm="1">
        <f t="array" ref="F9966">CategorizeComment(E9966)</f>
        <v>Other</v>
      </c>
      <c r="G9966" t="str" cm="1">
        <f t="array" ref="G9966">SubCategorizeComment(E9966)</f>
        <v>Other</v>
      </c>
    </row>
    <row r="9967" spans="1:7" x14ac:dyDescent="0.25">
      <c r="A9967">
        <v>92492</v>
      </c>
      <c r="B9967" t="s">
        <v>4</v>
      </c>
      <c r="C9967">
        <v>3</v>
      </c>
      <c r="D9967" t="s">
        <v>5</v>
      </c>
      <c r="F9967" t="str" cm="1">
        <f t="array" ref="F9967">CategorizeComment(E9967)</f>
        <v>Other</v>
      </c>
      <c r="G9967" t="str" cm="1">
        <f t="array" ref="G9967">SubCategorizeComment(E9967)</f>
        <v>Other</v>
      </c>
    </row>
    <row r="9968" spans="1:7" x14ac:dyDescent="0.25">
      <c r="A9968">
        <v>92500</v>
      </c>
      <c r="B9968" t="s">
        <v>4</v>
      </c>
      <c r="C9968">
        <v>3</v>
      </c>
      <c r="D9968" t="s">
        <v>5</v>
      </c>
      <c r="F9968" t="str" cm="1">
        <f t="array" ref="F9968">CategorizeComment(E9968)</f>
        <v>Other</v>
      </c>
      <c r="G9968" t="str" cm="1">
        <f t="array" ref="G9968">SubCategorizeComment(E9968)</f>
        <v>Other</v>
      </c>
    </row>
    <row r="9969" spans="1:7" x14ac:dyDescent="0.25">
      <c r="A9969">
        <v>92504</v>
      </c>
      <c r="B9969" t="s">
        <v>4</v>
      </c>
      <c r="C9969">
        <v>4</v>
      </c>
      <c r="D9969" t="s">
        <v>5</v>
      </c>
      <c r="F9969" t="str" cm="1">
        <f t="array" ref="F9969">CategorizeComment(E9969)</f>
        <v>Other</v>
      </c>
      <c r="G9969" t="str" cm="1">
        <f t="array" ref="G9969">SubCategorizeComment(E9969)</f>
        <v>Other</v>
      </c>
    </row>
    <row r="9970" spans="1:7" x14ac:dyDescent="0.25">
      <c r="A9970">
        <v>92505</v>
      </c>
      <c r="B9970" t="s">
        <v>4</v>
      </c>
      <c r="C9970">
        <v>3</v>
      </c>
      <c r="D9970" t="s">
        <v>5</v>
      </c>
      <c r="F9970" t="str" cm="1">
        <f t="array" ref="F9970">CategorizeComment(E9970)</f>
        <v>Other</v>
      </c>
      <c r="G9970" t="str" cm="1">
        <f t="array" ref="G9970">SubCategorizeComment(E9970)</f>
        <v>Other</v>
      </c>
    </row>
    <row r="9971" spans="1:7" x14ac:dyDescent="0.25">
      <c r="A9971">
        <v>92508</v>
      </c>
      <c r="B9971" t="s">
        <v>4</v>
      </c>
      <c r="C9971">
        <v>3</v>
      </c>
      <c r="D9971" t="s">
        <v>5</v>
      </c>
      <c r="F9971" t="str" cm="1">
        <f t="array" ref="F9971">CategorizeComment(E9971)</f>
        <v>Other</v>
      </c>
      <c r="G9971" t="str" cm="1">
        <f t="array" ref="G9971">SubCategorizeComment(E9971)</f>
        <v>Other</v>
      </c>
    </row>
    <row r="9972" spans="1:7" x14ac:dyDescent="0.25">
      <c r="A9972">
        <v>92510</v>
      </c>
      <c r="B9972" t="s">
        <v>4</v>
      </c>
      <c r="C9972">
        <v>3</v>
      </c>
      <c r="D9972" t="s">
        <v>5</v>
      </c>
      <c r="F9972" t="str" cm="1">
        <f t="array" ref="F9972">CategorizeComment(E9972)</f>
        <v>Other</v>
      </c>
      <c r="G9972" t="str" cm="1">
        <f t="array" ref="G9972">SubCategorizeComment(E9972)</f>
        <v>Other</v>
      </c>
    </row>
    <row r="9973" spans="1:7" x14ac:dyDescent="0.25">
      <c r="A9973">
        <v>92524</v>
      </c>
      <c r="B9973" t="s">
        <v>4</v>
      </c>
      <c r="C9973">
        <v>3</v>
      </c>
      <c r="D9973" t="s">
        <v>5</v>
      </c>
      <c r="F9973" t="str" cm="1">
        <f t="array" ref="F9973">CategorizeComment(E9973)</f>
        <v>Other</v>
      </c>
      <c r="G9973" t="str" cm="1">
        <f t="array" ref="G9973">SubCategorizeComment(E9973)</f>
        <v>Other</v>
      </c>
    </row>
    <row r="9974" spans="1:7" x14ac:dyDescent="0.25">
      <c r="A9974">
        <v>92525</v>
      </c>
      <c r="B9974" t="s">
        <v>4</v>
      </c>
      <c r="C9974">
        <v>3</v>
      </c>
      <c r="D9974" t="s">
        <v>5</v>
      </c>
      <c r="F9974" t="str" cm="1">
        <f t="array" ref="F9974">CategorizeComment(E9974)</f>
        <v>Other</v>
      </c>
      <c r="G9974" t="str" cm="1">
        <f t="array" ref="G9974">SubCategorizeComment(E9974)</f>
        <v>Other</v>
      </c>
    </row>
    <row r="9975" spans="1:7" x14ac:dyDescent="0.25">
      <c r="A9975">
        <v>92549</v>
      </c>
      <c r="B9975" t="s">
        <v>4</v>
      </c>
      <c r="C9975">
        <v>3</v>
      </c>
      <c r="D9975" t="s">
        <v>5</v>
      </c>
      <c r="F9975" t="str" cm="1">
        <f t="array" ref="F9975">CategorizeComment(E9975)</f>
        <v>Other</v>
      </c>
      <c r="G9975" t="str" cm="1">
        <f t="array" ref="G9975">SubCategorizeComment(E9975)</f>
        <v>Other</v>
      </c>
    </row>
    <row r="9976" spans="1:7" x14ac:dyDescent="0.25">
      <c r="A9976">
        <v>92552</v>
      </c>
      <c r="B9976" t="s">
        <v>4</v>
      </c>
      <c r="C9976">
        <v>3</v>
      </c>
      <c r="D9976" t="s">
        <v>5</v>
      </c>
      <c r="F9976" t="str" cm="1">
        <f t="array" ref="F9976">CategorizeComment(E9976)</f>
        <v>Other</v>
      </c>
      <c r="G9976" t="str" cm="1">
        <f t="array" ref="G9976">SubCategorizeComment(E9976)</f>
        <v>Other</v>
      </c>
    </row>
    <row r="9977" spans="1:7" x14ac:dyDescent="0.25">
      <c r="A9977">
        <v>92565</v>
      </c>
      <c r="B9977" t="s">
        <v>4</v>
      </c>
      <c r="C9977">
        <v>3</v>
      </c>
      <c r="D9977" t="s">
        <v>5</v>
      </c>
      <c r="F9977" t="str" cm="1">
        <f t="array" ref="F9977">CategorizeComment(E9977)</f>
        <v>Other</v>
      </c>
      <c r="G9977" t="str" cm="1">
        <f t="array" ref="G9977">SubCategorizeComment(E9977)</f>
        <v>Other</v>
      </c>
    </row>
    <row r="9978" spans="1:7" x14ac:dyDescent="0.25">
      <c r="A9978">
        <v>92570</v>
      </c>
      <c r="B9978" t="s">
        <v>4</v>
      </c>
      <c r="C9978">
        <v>4</v>
      </c>
      <c r="D9978" t="s">
        <v>5</v>
      </c>
      <c r="F9978" t="str" cm="1">
        <f t="array" ref="F9978">CategorizeComment(E9978)</f>
        <v>Other</v>
      </c>
      <c r="G9978" t="str" cm="1">
        <f t="array" ref="G9978">SubCategorizeComment(E9978)</f>
        <v>Other</v>
      </c>
    </row>
    <row r="9979" spans="1:7" x14ac:dyDescent="0.25">
      <c r="A9979">
        <v>92575</v>
      </c>
      <c r="B9979" t="s">
        <v>4</v>
      </c>
      <c r="C9979">
        <v>4</v>
      </c>
      <c r="D9979" t="s">
        <v>5</v>
      </c>
      <c r="F9979" t="str" cm="1">
        <f t="array" ref="F9979">CategorizeComment(E9979)</f>
        <v>Other</v>
      </c>
      <c r="G9979" t="str" cm="1">
        <f t="array" ref="G9979">SubCategorizeComment(E9979)</f>
        <v>Other</v>
      </c>
    </row>
    <row r="9980" spans="1:7" x14ac:dyDescent="0.25">
      <c r="A9980">
        <v>92578</v>
      </c>
      <c r="B9980" t="s">
        <v>4</v>
      </c>
      <c r="C9980">
        <v>3</v>
      </c>
      <c r="D9980" t="s">
        <v>5</v>
      </c>
      <c r="F9980" t="str" cm="1">
        <f t="array" ref="F9980">CategorizeComment(E9980)</f>
        <v>Other</v>
      </c>
      <c r="G9980" t="str" cm="1">
        <f t="array" ref="G9980">SubCategorizeComment(E9980)</f>
        <v>Other</v>
      </c>
    </row>
    <row r="9981" spans="1:7" x14ac:dyDescent="0.25">
      <c r="A9981">
        <v>92581</v>
      </c>
      <c r="B9981" t="s">
        <v>4</v>
      </c>
      <c r="C9981">
        <v>3</v>
      </c>
      <c r="D9981" t="s">
        <v>5</v>
      </c>
      <c r="F9981" t="str" cm="1">
        <f t="array" ref="F9981">CategorizeComment(E9981)</f>
        <v>Other</v>
      </c>
      <c r="G9981" t="str" cm="1">
        <f t="array" ref="G9981">SubCategorizeComment(E9981)</f>
        <v>Other</v>
      </c>
    </row>
    <row r="9982" spans="1:7" x14ac:dyDescent="0.25">
      <c r="A9982">
        <v>92602</v>
      </c>
      <c r="B9982" t="s">
        <v>4</v>
      </c>
      <c r="C9982">
        <v>3</v>
      </c>
      <c r="D9982" t="s">
        <v>5</v>
      </c>
      <c r="F9982" t="str" cm="1">
        <f t="array" ref="F9982">CategorizeComment(E9982)</f>
        <v>Other</v>
      </c>
      <c r="G9982" t="str" cm="1">
        <f t="array" ref="G9982">SubCategorizeComment(E9982)</f>
        <v>Other</v>
      </c>
    </row>
    <row r="9983" spans="1:7" x14ac:dyDescent="0.25">
      <c r="A9983">
        <v>92631</v>
      </c>
      <c r="B9983" t="s">
        <v>4</v>
      </c>
      <c r="C9983">
        <v>4</v>
      </c>
      <c r="D9983" t="s">
        <v>5</v>
      </c>
      <c r="F9983" t="str" cm="1">
        <f t="array" ref="F9983">CategorizeComment(E9983)</f>
        <v>Other</v>
      </c>
      <c r="G9983" t="str" cm="1">
        <f t="array" ref="G9983">SubCategorizeComment(E9983)</f>
        <v>Other</v>
      </c>
    </row>
    <row r="9984" spans="1:7" x14ac:dyDescent="0.25">
      <c r="A9984">
        <v>92632</v>
      </c>
      <c r="B9984" t="s">
        <v>4</v>
      </c>
      <c r="C9984">
        <v>4</v>
      </c>
      <c r="D9984" t="s">
        <v>5</v>
      </c>
      <c r="F9984" t="str" cm="1">
        <f t="array" ref="F9984">CategorizeComment(E9984)</f>
        <v>Other</v>
      </c>
      <c r="G9984" t="str" cm="1">
        <f t="array" ref="G9984">SubCategorizeComment(E9984)</f>
        <v>Other</v>
      </c>
    </row>
    <row r="9985" spans="1:7" x14ac:dyDescent="0.25">
      <c r="A9985">
        <v>92636</v>
      </c>
      <c r="B9985" t="s">
        <v>4</v>
      </c>
      <c r="C9985">
        <v>4</v>
      </c>
      <c r="D9985" t="s">
        <v>5</v>
      </c>
      <c r="F9985" t="str" cm="1">
        <f t="array" ref="F9985">CategorizeComment(E9985)</f>
        <v>Other</v>
      </c>
      <c r="G9985" t="str" cm="1">
        <f t="array" ref="G9985">SubCategorizeComment(E9985)</f>
        <v>Other</v>
      </c>
    </row>
    <row r="9986" spans="1:7" x14ac:dyDescent="0.25">
      <c r="A9986">
        <v>92640</v>
      </c>
      <c r="B9986" t="s">
        <v>4</v>
      </c>
      <c r="C9986">
        <v>4</v>
      </c>
      <c r="D9986" t="s">
        <v>5</v>
      </c>
      <c r="F9986" t="str" cm="1">
        <f t="array" ref="F9986">CategorizeComment(E9986)</f>
        <v>Other</v>
      </c>
      <c r="G9986" t="str" cm="1">
        <f t="array" ref="G9986">SubCategorizeComment(E9986)</f>
        <v>Other</v>
      </c>
    </row>
    <row r="9987" spans="1:7" x14ac:dyDescent="0.25">
      <c r="A9987">
        <v>92648</v>
      </c>
      <c r="B9987" t="s">
        <v>4</v>
      </c>
      <c r="C9987">
        <v>3</v>
      </c>
      <c r="D9987" t="s">
        <v>5</v>
      </c>
      <c r="F9987" t="str" cm="1">
        <f t="array" ref="F9987">CategorizeComment(E9987)</f>
        <v>Other</v>
      </c>
      <c r="G9987" t="str" cm="1">
        <f t="array" ref="G9987">SubCategorizeComment(E9987)</f>
        <v>Other</v>
      </c>
    </row>
    <row r="9988" spans="1:7" x14ac:dyDescent="0.25">
      <c r="A9988">
        <v>92651</v>
      </c>
      <c r="B9988" t="s">
        <v>4</v>
      </c>
      <c r="C9988">
        <v>4</v>
      </c>
      <c r="D9988" t="s">
        <v>5</v>
      </c>
      <c r="F9988" t="str" cm="1">
        <f t="array" ref="F9988">CategorizeComment(E9988)</f>
        <v>Other</v>
      </c>
      <c r="G9988" t="str" cm="1">
        <f t="array" ref="G9988">SubCategorizeComment(E9988)</f>
        <v>Other</v>
      </c>
    </row>
    <row r="9989" spans="1:7" x14ac:dyDescent="0.25">
      <c r="A9989">
        <v>92655</v>
      </c>
      <c r="B9989" t="s">
        <v>4</v>
      </c>
      <c r="C9989">
        <v>3</v>
      </c>
      <c r="D9989" t="s">
        <v>5</v>
      </c>
      <c r="F9989" t="str" cm="1">
        <f t="array" ref="F9989">CategorizeComment(E9989)</f>
        <v>Other</v>
      </c>
      <c r="G9989" t="str" cm="1">
        <f t="array" ref="G9989">SubCategorizeComment(E9989)</f>
        <v>Other</v>
      </c>
    </row>
    <row r="9990" spans="1:7" x14ac:dyDescent="0.25">
      <c r="A9990">
        <v>92659</v>
      </c>
      <c r="B9990" t="s">
        <v>4</v>
      </c>
      <c r="C9990">
        <v>3</v>
      </c>
      <c r="D9990" t="s">
        <v>5</v>
      </c>
      <c r="F9990" t="str" cm="1">
        <f t="array" ref="F9990">CategorizeComment(E9990)</f>
        <v>Other</v>
      </c>
      <c r="G9990" t="str" cm="1">
        <f t="array" ref="G9990">SubCategorizeComment(E9990)</f>
        <v>Other</v>
      </c>
    </row>
    <row r="9991" spans="1:7" x14ac:dyDescent="0.25">
      <c r="A9991">
        <v>92681</v>
      </c>
      <c r="B9991" t="s">
        <v>4</v>
      </c>
      <c r="C9991">
        <v>4</v>
      </c>
      <c r="D9991" t="s">
        <v>5</v>
      </c>
      <c r="F9991" t="str" cm="1">
        <f t="array" ref="F9991">CategorizeComment(E9991)</f>
        <v>Other</v>
      </c>
      <c r="G9991" t="str" cm="1">
        <f t="array" ref="G9991">SubCategorizeComment(E9991)</f>
        <v>Other</v>
      </c>
    </row>
    <row r="9992" spans="1:7" x14ac:dyDescent="0.25">
      <c r="A9992">
        <v>92693</v>
      </c>
      <c r="B9992" t="s">
        <v>4</v>
      </c>
      <c r="C9992">
        <v>3</v>
      </c>
      <c r="D9992" t="s">
        <v>5</v>
      </c>
      <c r="F9992" t="str" cm="1">
        <f t="array" ref="F9992">CategorizeComment(E9992)</f>
        <v>Other</v>
      </c>
      <c r="G9992" t="str" cm="1">
        <f t="array" ref="G9992">SubCategorizeComment(E9992)</f>
        <v>Other</v>
      </c>
    </row>
    <row r="9993" spans="1:7" x14ac:dyDescent="0.25">
      <c r="A9993">
        <v>92697</v>
      </c>
      <c r="B9993" t="s">
        <v>4</v>
      </c>
      <c r="C9993">
        <v>4</v>
      </c>
      <c r="D9993" t="s">
        <v>5</v>
      </c>
      <c r="F9993" t="str" cm="1">
        <f t="array" ref="F9993">CategorizeComment(E9993)</f>
        <v>Other</v>
      </c>
      <c r="G9993" t="str" cm="1">
        <f t="array" ref="G9993">SubCategorizeComment(E9993)</f>
        <v>Other</v>
      </c>
    </row>
    <row r="9994" spans="1:7" x14ac:dyDescent="0.25">
      <c r="A9994">
        <v>92698</v>
      </c>
      <c r="B9994" t="s">
        <v>4</v>
      </c>
      <c r="C9994">
        <v>3</v>
      </c>
      <c r="D9994" t="s">
        <v>5</v>
      </c>
      <c r="F9994" t="str" cm="1">
        <f t="array" ref="F9994">CategorizeComment(E9994)</f>
        <v>Other</v>
      </c>
      <c r="G9994" t="str" cm="1">
        <f t="array" ref="G9994">SubCategorizeComment(E9994)</f>
        <v>Other</v>
      </c>
    </row>
    <row r="9995" spans="1:7" x14ac:dyDescent="0.25">
      <c r="A9995">
        <v>92702</v>
      </c>
      <c r="B9995" t="s">
        <v>4</v>
      </c>
      <c r="C9995">
        <v>3</v>
      </c>
      <c r="D9995" t="s">
        <v>5</v>
      </c>
      <c r="F9995" t="str" cm="1">
        <f t="array" ref="F9995">CategorizeComment(E9995)</f>
        <v>Other</v>
      </c>
      <c r="G9995" t="str" cm="1">
        <f t="array" ref="G9995">SubCategorizeComment(E9995)</f>
        <v>Other</v>
      </c>
    </row>
    <row r="9996" spans="1:7" x14ac:dyDescent="0.25">
      <c r="A9996">
        <v>92711</v>
      </c>
      <c r="B9996" t="s">
        <v>4</v>
      </c>
      <c r="C9996">
        <v>4</v>
      </c>
      <c r="D9996" t="s">
        <v>5</v>
      </c>
      <c r="F9996" t="str" cm="1">
        <f t="array" ref="F9996">CategorizeComment(E9996)</f>
        <v>Other</v>
      </c>
      <c r="G9996" t="str" cm="1">
        <f t="array" ref="G9996">SubCategorizeComment(E9996)</f>
        <v>Other</v>
      </c>
    </row>
    <row r="9997" spans="1:7" x14ac:dyDescent="0.25">
      <c r="A9997">
        <v>92737</v>
      </c>
      <c r="B9997" t="s">
        <v>4</v>
      </c>
      <c r="C9997">
        <v>4</v>
      </c>
      <c r="D9997" t="s">
        <v>5</v>
      </c>
      <c r="F9997" t="str" cm="1">
        <f t="array" ref="F9997">CategorizeComment(E9997)</f>
        <v>Other</v>
      </c>
      <c r="G9997" t="str" cm="1">
        <f t="array" ref="G9997">SubCategorizeComment(E9997)</f>
        <v>Other</v>
      </c>
    </row>
    <row r="9998" spans="1:7" x14ac:dyDescent="0.25">
      <c r="A9998">
        <v>92762</v>
      </c>
      <c r="B9998" t="s">
        <v>4</v>
      </c>
      <c r="C9998">
        <v>4</v>
      </c>
      <c r="D9998" t="s">
        <v>5</v>
      </c>
      <c r="F9998" t="str" cm="1">
        <f t="array" ref="F9998">CategorizeComment(E9998)</f>
        <v>Other</v>
      </c>
      <c r="G9998" t="str" cm="1">
        <f t="array" ref="G9998">SubCategorizeComment(E9998)</f>
        <v>Other</v>
      </c>
    </row>
    <row r="9999" spans="1:7" x14ac:dyDescent="0.25">
      <c r="A9999">
        <v>92763</v>
      </c>
      <c r="B9999" t="s">
        <v>4</v>
      </c>
      <c r="C9999">
        <v>3</v>
      </c>
      <c r="D9999" t="s">
        <v>5</v>
      </c>
      <c r="F9999" t="str" cm="1">
        <f t="array" ref="F9999">CategorizeComment(E9999)</f>
        <v>Other</v>
      </c>
      <c r="G9999" t="str" cm="1">
        <f t="array" ref="G9999">SubCategorizeComment(E9999)</f>
        <v>Other</v>
      </c>
    </row>
    <row r="10000" spans="1:7" x14ac:dyDescent="0.25">
      <c r="A10000">
        <v>92771</v>
      </c>
      <c r="B10000" t="s">
        <v>4</v>
      </c>
      <c r="C10000">
        <v>3</v>
      </c>
      <c r="D10000" t="s">
        <v>5</v>
      </c>
      <c r="F10000" t="str" cm="1">
        <f t="array" ref="F10000">CategorizeComment(E10000)</f>
        <v>Other</v>
      </c>
      <c r="G10000" t="str" cm="1">
        <f t="array" ref="G10000">SubCategorizeComment(E10000)</f>
        <v>Other</v>
      </c>
    </row>
    <row r="10001" spans="1:7" x14ac:dyDescent="0.25">
      <c r="A10001">
        <v>92776</v>
      </c>
      <c r="B10001" t="s">
        <v>4</v>
      </c>
      <c r="C10001">
        <v>3</v>
      </c>
      <c r="D10001" t="s">
        <v>5</v>
      </c>
      <c r="F10001" t="str" cm="1">
        <f t="array" ref="F10001">CategorizeComment(E10001)</f>
        <v>Other</v>
      </c>
      <c r="G10001" t="str" cm="1">
        <f t="array" ref="G10001">SubCategorizeComment(E10001)</f>
        <v>Other</v>
      </c>
    </row>
    <row r="10002" spans="1:7" x14ac:dyDescent="0.25">
      <c r="A10002">
        <v>92782</v>
      </c>
      <c r="B10002" t="s">
        <v>4</v>
      </c>
      <c r="C10002">
        <v>4</v>
      </c>
      <c r="D10002" t="s">
        <v>5</v>
      </c>
      <c r="F10002" t="str" cm="1">
        <f t="array" ref="F10002">CategorizeComment(E10002)</f>
        <v>Other</v>
      </c>
      <c r="G10002" t="str" cm="1">
        <f t="array" ref="G10002">SubCategorizeComment(E10002)</f>
        <v>Other</v>
      </c>
    </row>
    <row r="10003" spans="1:7" x14ac:dyDescent="0.25">
      <c r="A10003">
        <v>92792</v>
      </c>
      <c r="B10003" t="s">
        <v>4</v>
      </c>
      <c r="C10003">
        <v>4</v>
      </c>
      <c r="D10003" t="s">
        <v>5</v>
      </c>
      <c r="F10003" t="str" cm="1">
        <f t="array" ref="F10003">CategorizeComment(E10003)</f>
        <v>Other</v>
      </c>
      <c r="G10003" t="str" cm="1">
        <f t="array" ref="G10003">SubCategorizeComment(E10003)</f>
        <v>Other</v>
      </c>
    </row>
    <row r="10004" spans="1:7" x14ac:dyDescent="0.25">
      <c r="A10004">
        <v>92815</v>
      </c>
      <c r="B10004" t="s">
        <v>4</v>
      </c>
      <c r="C10004">
        <v>4</v>
      </c>
      <c r="D10004" t="s">
        <v>5</v>
      </c>
      <c r="F10004" t="str" cm="1">
        <f t="array" ref="F10004">CategorizeComment(E10004)</f>
        <v>Other</v>
      </c>
      <c r="G10004" t="str" cm="1">
        <f t="array" ref="G10004">SubCategorizeComment(E10004)</f>
        <v>Other</v>
      </c>
    </row>
    <row r="10005" spans="1:7" x14ac:dyDescent="0.25">
      <c r="A10005">
        <v>92820</v>
      </c>
      <c r="B10005" t="s">
        <v>4</v>
      </c>
      <c r="C10005">
        <v>4</v>
      </c>
      <c r="D10005" t="s">
        <v>5</v>
      </c>
      <c r="F10005" t="str" cm="1">
        <f t="array" ref="F10005">CategorizeComment(E10005)</f>
        <v>Other</v>
      </c>
      <c r="G10005" t="str" cm="1">
        <f t="array" ref="G10005">SubCategorizeComment(E10005)</f>
        <v>Other</v>
      </c>
    </row>
    <row r="10006" spans="1:7" x14ac:dyDescent="0.25">
      <c r="A10006">
        <v>92827</v>
      </c>
      <c r="B10006" t="s">
        <v>4</v>
      </c>
      <c r="C10006">
        <v>4</v>
      </c>
      <c r="D10006" t="s">
        <v>5</v>
      </c>
      <c r="F10006" t="str" cm="1">
        <f t="array" ref="F10006">CategorizeComment(E10006)</f>
        <v>Other</v>
      </c>
      <c r="G10006" t="str" cm="1">
        <f t="array" ref="G10006">SubCategorizeComment(E10006)</f>
        <v>Other</v>
      </c>
    </row>
    <row r="10007" spans="1:7" x14ac:dyDescent="0.25">
      <c r="A10007">
        <v>92834</v>
      </c>
      <c r="B10007" t="s">
        <v>4</v>
      </c>
      <c r="C10007">
        <v>3</v>
      </c>
      <c r="D10007" t="s">
        <v>5</v>
      </c>
      <c r="F10007" t="str" cm="1">
        <f t="array" ref="F10007">CategorizeComment(E10007)</f>
        <v>Other</v>
      </c>
      <c r="G10007" t="str" cm="1">
        <f t="array" ref="G10007">SubCategorizeComment(E10007)</f>
        <v>Other</v>
      </c>
    </row>
    <row r="10008" spans="1:7" x14ac:dyDescent="0.25">
      <c r="A10008">
        <v>92848</v>
      </c>
      <c r="B10008" t="s">
        <v>4</v>
      </c>
      <c r="C10008">
        <v>4</v>
      </c>
      <c r="D10008" t="s">
        <v>5</v>
      </c>
      <c r="F10008" t="str" cm="1">
        <f t="array" ref="F10008">CategorizeComment(E10008)</f>
        <v>Other</v>
      </c>
      <c r="G10008" t="str" cm="1">
        <f t="array" ref="G10008">SubCategorizeComment(E10008)</f>
        <v>Other</v>
      </c>
    </row>
    <row r="10009" spans="1:7" x14ac:dyDescent="0.25">
      <c r="A10009">
        <v>92865</v>
      </c>
      <c r="B10009" t="s">
        <v>4</v>
      </c>
      <c r="C10009">
        <v>4</v>
      </c>
      <c r="D10009" t="s">
        <v>5</v>
      </c>
      <c r="F10009" t="str" cm="1">
        <f t="array" ref="F10009">CategorizeComment(E10009)</f>
        <v>Other</v>
      </c>
      <c r="G10009" t="str" cm="1">
        <f t="array" ref="G10009">SubCategorizeComment(E10009)</f>
        <v>Other</v>
      </c>
    </row>
    <row r="10010" spans="1:7" x14ac:dyDescent="0.25">
      <c r="A10010">
        <v>92867</v>
      </c>
      <c r="B10010" t="s">
        <v>4</v>
      </c>
      <c r="C10010">
        <v>3</v>
      </c>
      <c r="D10010" t="s">
        <v>5</v>
      </c>
      <c r="F10010" t="str" cm="1">
        <f t="array" ref="F10010">CategorizeComment(E10010)</f>
        <v>Other</v>
      </c>
      <c r="G10010" t="str" cm="1">
        <f t="array" ref="G10010">SubCategorizeComment(E10010)</f>
        <v>Other</v>
      </c>
    </row>
    <row r="10011" spans="1:7" x14ac:dyDescent="0.25">
      <c r="A10011">
        <v>92869</v>
      </c>
      <c r="B10011" t="s">
        <v>4</v>
      </c>
      <c r="C10011">
        <v>4</v>
      </c>
      <c r="D10011" t="s">
        <v>5</v>
      </c>
      <c r="F10011" t="str" cm="1">
        <f t="array" ref="F10011">CategorizeComment(E10011)</f>
        <v>Other</v>
      </c>
      <c r="G10011" t="str" cm="1">
        <f t="array" ref="G10011">SubCategorizeComment(E10011)</f>
        <v>Other</v>
      </c>
    </row>
    <row r="10012" spans="1:7" x14ac:dyDescent="0.25">
      <c r="A10012">
        <v>92876</v>
      </c>
      <c r="B10012" t="s">
        <v>4</v>
      </c>
      <c r="C10012">
        <v>3</v>
      </c>
      <c r="D10012" t="s">
        <v>5</v>
      </c>
      <c r="F10012" t="str" cm="1">
        <f t="array" ref="F10012">CategorizeComment(E10012)</f>
        <v>Other</v>
      </c>
      <c r="G10012" t="str" cm="1">
        <f t="array" ref="G10012">SubCategorizeComment(E10012)</f>
        <v>Other</v>
      </c>
    </row>
    <row r="10013" spans="1:7" x14ac:dyDescent="0.25">
      <c r="A10013">
        <v>92896</v>
      </c>
      <c r="B10013" t="s">
        <v>4</v>
      </c>
      <c r="C10013">
        <v>4</v>
      </c>
      <c r="D10013" t="s">
        <v>5</v>
      </c>
      <c r="F10013" t="str" cm="1">
        <f t="array" ref="F10013">CategorizeComment(E10013)</f>
        <v>Other</v>
      </c>
      <c r="G10013" t="str" cm="1">
        <f t="array" ref="G10013">SubCategorizeComment(E10013)</f>
        <v>Other</v>
      </c>
    </row>
    <row r="10014" spans="1:7" x14ac:dyDescent="0.25">
      <c r="A10014">
        <v>92908</v>
      </c>
      <c r="B10014" t="s">
        <v>4</v>
      </c>
      <c r="C10014">
        <v>4</v>
      </c>
      <c r="D10014" t="s">
        <v>5</v>
      </c>
      <c r="F10014" t="str" cm="1">
        <f t="array" ref="F10014">CategorizeComment(E10014)</f>
        <v>Other</v>
      </c>
      <c r="G10014" t="str" cm="1">
        <f t="array" ref="G10014">SubCategorizeComment(E10014)</f>
        <v>Other</v>
      </c>
    </row>
    <row r="10015" spans="1:7" x14ac:dyDescent="0.25">
      <c r="A10015">
        <v>92909</v>
      </c>
      <c r="B10015" t="s">
        <v>4</v>
      </c>
      <c r="C10015">
        <v>3</v>
      </c>
      <c r="D10015" t="s">
        <v>5</v>
      </c>
      <c r="F10015" t="str" cm="1">
        <f t="array" ref="F10015">CategorizeComment(E10015)</f>
        <v>Other</v>
      </c>
      <c r="G10015" t="str" cm="1">
        <f t="array" ref="G10015">SubCategorizeComment(E10015)</f>
        <v>Other</v>
      </c>
    </row>
    <row r="10016" spans="1:7" x14ac:dyDescent="0.25">
      <c r="A10016">
        <v>92913</v>
      </c>
      <c r="B10016" t="s">
        <v>4</v>
      </c>
      <c r="C10016">
        <v>3</v>
      </c>
      <c r="D10016" t="s">
        <v>5</v>
      </c>
      <c r="F10016" t="str" cm="1">
        <f t="array" ref="F10016">CategorizeComment(E10016)</f>
        <v>Other</v>
      </c>
      <c r="G10016" t="str" cm="1">
        <f t="array" ref="G10016">SubCategorizeComment(E10016)</f>
        <v>Other</v>
      </c>
    </row>
    <row r="10017" spans="1:7" x14ac:dyDescent="0.25">
      <c r="A10017">
        <v>92914</v>
      </c>
      <c r="B10017" t="s">
        <v>4</v>
      </c>
      <c r="C10017">
        <v>4</v>
      </c>
      <c r="D10017" t="s">
        <v>5</v>
      </c>
      <c r="F10017" t="str" cm="1">
        <f t="array" ref="F10017">CategorizeComment(E10017)</f>
        <v>Other</v>
      </c>
      <c r="G10017" t="str" cm="1">
        <f t="array" ref="G10017">SubCategorizeComment(E10017)</f>
        <v>Other</v>
      </c>
    </row>
    <row r="10018" spans="1:7" x14ac:dyDescent="0.25">
      <c r="A10018">
        <v>92927</v>
      </c>
      <c r="B10018" t="s">
        <v>4</v>
      </c>
      <c r="C10018">
        <v>3</v>
      </c>
      <c r="D10018" t="s">
        <v>5</v>
      </c>
      <c r="F10018" t="str" cm="1">
        <f t="array" ref="F10018">CategorizeComment(E10018)</f>
        <v>Other</v>
      </c>
      <c r="G10018" t="str" cm="1">
        <f t="array" ref="G10018">SubCategorizeComment(E10018)</f>
        <v>Other</v>
      </c>
    </row>
    <row r="10019" spans="1:7" x14ac:dyDescent="0.25">
      <c r="A10019">
        <v>92934</v>
      </c>
      <c r="B10019" t="s">
        <v>4</v>
      </c>
      <c r="C10019">
        <v>3</v>
      </c>
      <c r="D10019" t="s">
        <v>5</v>
      </c>
      <c r="F10019" t="str" cm="1">
        <f t="array" ref="F10019">CategorizeComment(E10019)</f>
        <v>Other</v>
      </c>
      <c r="G10019" t="str" cm="1">
        <f t="array" ref="G10019">SubCategorizeComment(E10019)</f>
        <v>Other</v>
      </c>
    </row>
    <row r="10020" spans="1:7" x14ac:dyDescent="0.25">
      <c r="A10020">
        <v>92938</v>
      </c>
      <c r="B10020" t="s">
        <v>4</v>
      </c>
      <c r="C10020">
        <v>3</v>
      </c>
      <c r="D10020" t="s">
        <v>5</v>
      </c>
      <c r="F10020" t="str" cm="1">
        <f t="array" ref="F10020">CategorizeComment(E10020)</f>
        <v>Other</v>
      </c>
      <c r="G10020" t="str" cm="1">
        <f t="array" ref="G10020">SubCategorizeComment(E10020)</f>
        <v>Other</v>
      </c>
    </row>
    <row r="10021" spans="1:7" x14ac:dyDescent="0.25">
      <c r="A10021">
        <v>92949</v>
      </c>
      <c r="B10021" t="s">
        <v>4</v>
      </c>
      <c r="C10021">
        <v>4</v>
      </c>
      <c r="D10021" t="s">
        <v>5</v>
      </c>
      <c r="F10021" t="str" cm="1">
        <f t="array" ref="F10021">CategorizeComment(E10021)</f>
        <v>Other</v>
      </c>
      <c r="G10021" t="str" cm="1">
        <f t="array" ref="G10021">SubCategorizeComment(E10021)</f>
        <v>Other</v>
      </c>
    </row>
    <row r="10022" spans="1:7" x14ac:dyDescent="0.25">
      <c r="A10022">
        <v>92956</v>
      </c>
      <c r="B10022" t="s">
        <v>4</v>
      </c>
      <c r="C10022">
        <v>4</v>
      </c>
      <c r="D10022" t="s">
        <v>5</v>
      </c>
      <c r="F10022" t="str" cm="1">
        <f t="array" ref="F10022">CategorizeComment(E10022)</f>
        <v>Other</v>
      </c>
      <c r="G10022" t="str" cm="1">
        <f t="array" ref="G10022">SubCategorizeComment(E10022)</f>
        <v>Other</v>
      </c>
    </row>
    <row r="10023" spans="1:7" x14ac:dyDescent="0.25">
      <c r="A10023">
        <v>92966</v>
      </c>
      <c r="B10023" t="s">
        <v>4</v>
      </c>
      <c r="C10023">
        <v>3</v>
      </c>
      <c r="D10023" t="s">
        <v>5</v>
      </c>
      <c r="F10023" t="str" cm="1">
        <f t="array" ref="F10023">CategorizeComment(E10023)</f>
        <v>Other</v>
      </c>
      <c r="G10023" t="str" cm="1">
        <f t="array" ref="G10023">SubCategorizeComment(E10023)</f>
        <v>Other</v>
      </c>
    </row>
    <row r="10024" spans="1:7" x14ac:dyDescent="0.25">
      <c r="A10024">
        <v>92989</v>
      </c>
      <c r="B10024" t="s">
        <v>4</v>
      </c>
      <c r="C10024">
        <v>3</v>
      </c>
      <c r="D10024" t="s">
        <v>5</v>
      </c>
      <c r="F10024" t="str" cm="1">
        <f t="array" ref="F10024">CategorizeComment(E10024)</f>
        <v>Other</v>
      </c>
      <c r="G10024" t="str" cm="1">
        <f t="array" ref="G10024">SubCategorizeComment(E10024)</f>
        <v>Other</v>
      </c>
    </row>
    <row r="10025" spans="1:7" x14ac:dyDescent="0.25">
      <c r="A10025">
        <v>93007</v>
      </c>
      <c r="B10025" t="s">
        <v>4</v>
      </c>
      <c r="C10025">
        <v>3</v>
      </c>
      <c r="D10025" t="s">
        <v>5</v>
      </c>
      <c r="F10025" t="str" cm="1">
        <f t="array" ref="F10025">CategorizeComment(E10025)</f>
        <v>Other</v>
      </c>
      <c r="G10025" t="str" cm="1">
        <f t="array" ref="G10025">SubCategorizeComment(E10025)</f>
        <v>Other</v>
      </c>
    </row>
    <row r="10026" spans="1:7" x14ac:dyDescent="0.25">
      <c r="A10026">
        <v>93023</v>
      </c>
      <c r="B10026" t="s">
        <v>4</v>
      </c>
      <c r="C10026">
        <v>4</v>
      </c>
      <c r="D10026" t="s">
        <v>5</v>
      </c>
      <c r="F10026" t="str" cm="1">
        <f t="array" ref="F10026">CategorizeComment(E10026)</f>
        <v>Other</v>
      </c>
      <c r="G10026" t="str" cm="1">
        <f t="array" ref="G10026">SubCategorizeComment(E10026)</f>
        <v>Other</v>
      </c>
    </row>
    <row r="10027" spans="1:7" x14ac:dyDescent="0.25">
      <c r="A10027">
        <v>93028</v>
      </c>
      <c r="B10027" t="s">
        <v>4</v>
      </c>
      <c r="C10027">
        <v>3</v>
      </c>
      <c r="D10027" t="s">
        <v>5</v>
      </c>
      <c r="F10027" t="str" cm="1">
        <f t="array" ref="F10027">CategorizeComment(E10027)</f>
        <v>Other</v>
      </c>
      <c r="G10027" t="str" cm="1">
        <f t="array" ref="G10027">SubCategorizeComment(E10027)</f>
        <v>Other</v>
      </c>
    </row>
    <row r="10028" spans="1:7" x14ac:dyDescent="0.25">
      <c r="A10028">
        <v>93049</v>
      </c>
      <c r="B10028" t="s">
        <v>4</v>
      </c>
      <c r="C10028">
        <v>4</v>
      </c>
      <c r="D10028" t="s">
        <v>5</v>
      </c>
      <c r="F10028" t="str" cm="1">
        <f t="array" ref="F10028">CategorizeComment(E10028)</f>
        <v>Other</v>
      </c>
      <c r="G10028" t="str" cm="1">
        <f t="array" ref="G10028">SubCategorizeComment(E10028)</f>
        <v>Other</v>
      </c>
    </row>
    <row r="10029" spans="1:7" x14ac:dyDescent="0.25">
      <c r="A10029">
        <v>93050</v>
      </c>
      <c r="B10029" t="s">
        <v>4</v>
      </c>
      <c r="C10029">
        <v>3</v>
      </c>
      <c r="D10029" t="s">
        <v>5</v>
      </c>
      <c r="F10029" t="str" cm="1">
        <f t="array" ref="F10029">CategorizeComment(E10029)</f>
        <v>Other</v>
      </c>
      <c r="G10029" t="str" cm="1">
        <f t="array" ref="G10029">SubCategorizeComment(E10029)</f>
        <v>Other</v>
      </c>
    </row>
    <row r="10030" spans="1:7" x14ac:dyDescent="0.25">
      <c r="A10030">
        <v>93063</v>
      </c>
      <c r="B10030" t="s">
        <v>4</v>
      </c>
      <c r="C10030">
        <v>3</v>
      </c>
      <c r="D10030" t="s">
        <v>5</v>
      </c>
      <c r="F10030" t="str" cm="1">
        <f t="array" ref="F10030">CategorizeComment(E10030)</f>
        <v>Other</v>
      </c>
      <c r="G10030" t="str" cm="1">
        <f t="array" ref="G10030">SubCategorizeComment(E10030)</f>
        <v>Other</v>
      </c>
    </row>
    <row r="10031" spans="1:7" x14ac:dyDescent="0.25">
      <c r="A10031">
        <v>93066</v>
      </c>
      <c r="B10031" t="s">
        <v>4</v>
      </c>
      <c r="C10031">
        <v>3</v>
      </c>
      <c r="D10031" t="s">
        <v>5</v>
      </c>
      <c r="F10031" t="str" cm="1">
        <f t="array" ref="F10031">CategorizeComment(E10031)</f>
        <v>Other</v>
      </c>
      <c r="G10031" t="str" cm="1">
        <f t="array" ref="G10031">SubCategorizeComment(E10031)</f>
        <v>Other</v>
      </c>
    </row>
    <row r="10032" spans="1:7" x14ac:dyDescent="0.25">
      <c r="A10032">
        <v>93082</v>
      </c>
      <c r="B10032" t="s">
        <v>4</v>
      </c>
      <c r="C10032">
        <v>0</v>
      </c>
      <c r="D10032" t="s">
        <v>5</v>
      </c>
      <c r="F10032" t="str" cm="1">
        <f t="array" ref="F10032">CategorizeComment(E10032)</f>
        <v>Other</v>
      </c>
      <c r="G10032" t="str" cm="1">
        <f t="array" ref="G10032">SubCategorizeComment(E10032)</f>
        <v>Other</v>
      </c>
    </row>
    <row r="10033" spans="1:7" x14ac:dyDescent="0.25">
      <c r="A10033">
        <v>93083</v>
      </c>
      <c r="B10033" t="s">
        <v>4</v>
      </c>
      <c r="C10033">
        <v>3</v>
      </c>
      <c r="D10033" t="s">
        <v>5</v>
      </c>
      <c r="F10033" t="str" cm="1">
        <f t="array" ref="F10033">CategorizeComment(E10033)</f>
        <v>Other</v>
      </c>
      <c r="G10033" t="str" cm="1">
        <f t="array" ref="G10033">SubCategorizeComment(E10033)</f>
        <v>Other</v>
      </c>
    </row>
    <row r="10034" spans="1:7" x14ac:dyDescent="0.25">
      <c r="A10034">
        <v>93091</v>
      </c>
      <c r="B10034" t="s">
        <v>4</v>
      </c>
      <c r="C10034">
        <v>3</v>
      </c>
      <c r="D10034" t="s">
        <v>5</v>
      </c>
      <c r="F10034" t="str" cm="1">
        <f t="array" ref="F10034">CategorizeComment(E10034)</f>
        <v>Other</v>
      </c>
      <c r="G10034" t="str" cm="1">
        <f t="array" ref="G10034">SubCategorizeComment(E10034)</f>
        <v>Other</v>
      </c>
    </row>
    <row r="10035" spans="1:7" x14ac:dyDescent="0.25">
      <c r="A10035">
        <v>93099</v>
      </c>
      <c r="B10035" t="s">
        <v>4</v>
      </c>
      <c r="C10035">
        <v>4</v>
      </c>
      <c r="D10035" t="s">
        <v>5</v>
      </c>
      <c r="F10035" t="str" cm="1">
        <f t="array" ref="F10035">CategorizeComment(E10035)</f>
        <v>Other</v>
      </c>
      <c r="G10035" t="str" cm="1">
        <f t="array" ref="G10035">SubCategorizeComment(E10035)</f>
        <v>Other</v>
      </c>
    </row>
    <row r="10036" spans="1:7" x14ac:dyDescent="0.25">
      <c r="A10036">
        <v>93101</v>
      </c>
      <c r="B10036" t="s">
        <v>4</v>
      </c>
      <c r="C10036">
        <v>4</v>
      </c>
      <c r="D10036" t="s">
        <v>5</v>
      </c>
      <c r="F10036" t="str" cm="1">
        <f t="array" ref="F10036">CategorizeComment(E10036)</f>
        <v>Other</v>
      </c>
      <c r="G10036" t="str" cm="1">
        <f t="array" ref="G10036">SubCategorizeComment(E10036)</f>
        <v>Other</v>
      </c>
    </row>
    <row r="10037" spans="1:7" x14ac:dyDescent="0.25">
      <c r="A10037">
        <v>93118</v>
      </c>
      <c r="B10037" t="s">
        <v>4</v>
      </c>
      <c r="C10037">
        <v>3</v>
      </c>
      <c r="D10037" t="s">
        <v>5</v>
      </c>
      <c r="F10037" t="str" cm="1">
        <f t="array" ref="F10037">CategorizeComment(E10037)</f>
        <v>Other</v>
      </c>
      <c r="G10037" t="str" cm="1">
        <f t="array" ref="G10037">SubCategorizeComment(E10037)</f>
        <v>Other</v>
      </c>
    </row>
    <row r="10038" spans="1:7" x14ac:dyDescent="0.25">
      <c r="A10038">
        <v>93134</v>
      </c>
      <c r="B10038" t="s">
        <v>4</v>
      </c>
      <c r="C10038">
        <v>4</v>
      </c>
      <c r="D10038" t="s">
        <v>5</v>
      </c>
      <c r="F10038" t="str" cm="1">
        <f t="array" ref="F10038">CategorizeComment(E10038)</f>
        <v>Other</v>
      </c>
      <c r="G10038" t="str" cm="1">
        <f t="array" ref="G10038">SubCategorizeComment(E10038)</f>
        <v>Other</v>
      </c>
    </row>
    <row r="10039" spans="1:7" x14ac:dyDescent="0.25">
      <c r="A10039">
        <v>93136</v>
      </c>
      <c r="B10039" t="s">
        <v>4</v>
      </c>
      <c r="C10039">
        <v>3</v>
      </c>
      <c r="D10039" t="s">
        <v>5</v>
      </c>
      <c r="F10039" t="str" cm="1">
        <f t="array" ref="F10039">CategorizeComment(E10039)</f>
        <v>Other</v>
      </c>
      <c r="G10039" t="str" cm="1">
        <f t="array" ref="G10039">SubCategorizeComment(E10039)</f>
        <v>Other</v>
      </c>
    </row>
    <row r="10040" spans="1:7" x14ac:dyDescent="0.25">
      <c r="A10040">
        <v>93138</v>
      </c>
      <c r="B10040" t="s">
        <v>4</v>
      </c>
      <c r="C10040">
        <v>3</v>
      </c>
      <c r="D10040" t="s">
        <v>5</v>
      </c>
      <c r="F10040" t="str" cm="1">
        <f t="array" ref="F10040">CategorizeComment(E10040)</f>
        <v>Other</v>
      </c>
      <c r="G10040" t="str" cm="1">
        <f t="array" ref="G10040">SubCategorizeComment(E10040)</f>
        <v>Other</v>
      </c>
    </row>
    <row r="10041" spans="1:7" x14ac:dyDescent="0.25">
      <c r="A10041">
        <v>93142</v>
      </c>
      <c r="B10041" t="s">
        <v>4</v>
      </c>
      <c r="C10041">
        <v>3</v>
      </c>
      <c r="D10041" t="s">
        <v>5</v>
      </c>
      <c r="F10041" t="str" cm="1">
        <f t="array" ref="F10041">CategorizeComment(E10041)</f>
        <v>Other</v>
      </c>
      <c r="G10041" t="str" cm="1">
        <f t="array" ref="G10041">SubCategorizeComment(E10041)</f>
        <v>Other</v>
      </c>
    </row>
    <row r="10042" spans="1:7" x14ac:dyDescent="0.25">
      <c r="A10042">
        <v>93147</v>
      </c>
      <c r="B10042" t="s">
        <v>4</v>
      </c>
      <c r="C10042">
        <v>4</v>
      </c>
      <c r="D10042" t="s">
        <v>5</v>
      </c>
      <c r="F10042" t="str" cm="1">
        <f t="array" ref="F10042">CategorizeComment(E10042)</f>
        <v>Other</v>
      </c>
      <c r="G10042" t="str" cm="1">
        <f t="array" ref="G10042">SubCategorizeComment(E10042)</f>
        <v>Other</v>
      </c>
    </row>
    <row r="10043" spans="1:7" x14ac:dyDescent="0.25">
      <c r="A10043">
        <v>93177</v>
      </c>
      <c r="B10043" t="s">
        <v>4</v>
      </c>
      <c r="C10043">
        <v>3</v>
      </c>
      <c r="D10043" t="s">
        <v>5</v>
      </c>
      <c r="F10043" t="str" cm="1">
        <f t="array" ref="F10043">CategorizeComment(E10043)</f>
        <v>Other</v>
      </c>
      <c r="G10043" t="str" cm="1">
        <f t="array" ref="G10043">SubCategorizeComment(E10043)</f>
        <v>Other</v>
      </c>
    </row>
    <row r="10044" spans="1:7" x14ac:dyDescent="0.25">
      <c r="A10044">
        <v>93208</v>
      </c>
      <c r="B10044" t="s">
        <v>4</v>
      </c>
      <c r="C10044">
        <v>3</v>
      </c>
      <c r="D10044" t="s">
        <v>5</v>
      </c>
      <c r="F10044" t="str" cm="1">
        <f t="array" ref="F10044">CategorizeComment(E10044)</f>
        <v>Other</v>
      </c>
      <c r="G10044" t="str" cm="1">
        <f t="array" ref="G10044">SubCategorizeComment(E10044)</f>
        <v>Other</v>
      </c>
    </row>
    <row r="10045" spans="1:7" x14ac:dyDescent="0.25">
      <c r="A10045">
        <v>93221</v>
      </c>
      <c r="B10045" t="s">
        <v>4</v>
      </c>
      <c r="C10045">
        <v>4</v>
      </c>
      <c r="D10045" t="s">
        <v>5</v>
      </c>
      <c r="F10045" t="str" cm="1">
        <f t="array" ref="F10045">CategorizeComment(E10045)</f>
        <v>Other</v>
      </c>
      <c r="G10045" t="str" cm="1">
        <f t="array" ref="G10045">SubCategorizeComment(E10045)</f>
        <v>Other</v>
      </c>
    </row>
    <row r="10046" spans="1:7" x14ac:dyDescent="0.25">
      <c r="A10046">
        <v>93240</v>
      </c>
      <c r="B10046" t="s">
        <v>4</v>
      </c>
      <c r="C10046">
        <v>3</v>
      </c>
      <c r="D10046" t="s">
        <v>5</v>
      </c>
      <c r="F10046" t="str" cm="1">
        <f t="array" ref="F10046">CategorizeComment(E10046)</f>
        <v>Other</v>
      </c>
      <c r="G10046" t="str" cm="1">
        <f t="array" ref="G10046">SubCategorizeComment(E10046)</f>
        <v>Other</v>
      </c>
    </row>
    <row r="10047" spans="1:7" x14ac:dyDescent="0.25">
      <c r="A10047">
        <v>93251</v>
      </c>
      <c r="B10047" t="s">
        <v>4</v>
      </c>
      <c r="C10047">
        <v>3</v>
      </c>
      <c r="D10047" t="s">
        <v>5</v>
      </c>
      <c r="F10047" t="str" cm="1">
        <f t="array" ref="F10047">CategorizeComment(E10047)</f>
        <v>Other</v>
      </c>
      <c r="G10047" t="str" cm="1">
        <f t="array" ref="G10047">SubCategorizeComment(E10047)</f>
        <v>Other</v>
      </c>
    </row>
    <row r="10048" spans="1:7" x14ac:dyDescent="0.25">
      <c r="A10048">
        <v>93264</v>
      </c>
      <c r="B10048" t="s">
        <v>4</v>
      </c>
      <c r="C10048">
        <v>4</v>
      </c>
      <c r="D10048" t="s">
        <v>5</v>
      </c>
      <c r="F10048" t="str" cm="1">
        <f t="array" ref="F10048">CategorizeComment(E10048)</f>
        <v>Other</v>
      </c>
      <c r="G10048" t="str" cm="1">
        <f t="array" ref="G10048">SubCategorizeComment(E10048)</f>
        <v>Other</v>
      </c>
    </row>
    <row r="10049" spans="1:7" x14ac:dyDescent="0.25">
      <c r="A10049">
        <v>93272</v>
      </c>
      <c r="B10049" t="s">
        <v>4</v>
      </c>
      <c r="C10049">
        <v>3</v>
      </c>
      <c r="D10049" t="s">
        <v>5</v>
      </c>
      <c r="F10049" t="str" cm="1">
        <f t="array" ref="F10049">CategorizeComment(E10049)</f>
        <v>Other</v>
      </c>
      <c r="G10049" t="str" cm="1">
        <f t="array" ref="G10049">SubCategorizeComment(E10049)</f>
        <v>Other</v>
      </c>
    </row>
    <row r="10050" spans="1:7" x14ac:dyDescent="0.25">
      <c r="A10050">
        <v>93274</v>
      </c>
      <c r="B10050" t="s">
        <v>4</v>
      </c>
      <c r="C10050">
        <v>4</v>
      </c>
      <c r="D10050" t="s">
        <v>5</v>
      </c>
      <c r="F10050" t="str" cm="1">
        <f t="array" ref="F10050">CategorizeComment(E10050)</f>
        <v>Other</v>
      </c>
      <c r="G10050" t="str" cm="1">
        <f t="array" ref="G10050">SubCategorizeComment(E10050)</f>
        <v>Other</v>
      </c>
    </row>
    <row r="10051" spans="1:7" x14ac:dyDescent="0.25">
      <c r="A10051">
        <v>93275</v>
      </c>
      <c r="B10051" t="s">
        <v>4</v>
      </c>
      <c r="C10051">
        <v>3</v>
      </c>
      <c r="D10051" t="s">
        <v>5</v>
      </c>
      <c r="F10051" t="str" cm="1">
        <f t="array" ref="F10051">CategorizeComment(E10051)</f>
        <v>Other</v>
      </c>
      <c r="G10051" t="str" cm="1">
        <f t="array" ref="G10051">SubCategorizeComment(E10051)</f>
        <v>Other</v>
      </c>
    </row>
    <row r="10052" spans="1:7" x14ac:dyDescent="0.25">
      <c r="A10052">
        <v>93299</v>
      </c>
      <c r="B10052" t="s">
        <v>4</v>
      </c>
      <c r="C10052">
        <v>3</v>
      </c>
      <c r="D10052" t="s">
        <v>5</v>
      </c>
      <c r="F10052" t="str" cm="1">
        <f t="array" ref="F10052">CategorizeComment(E10052)</f>
        <v>Other</v>
      </c>
      <c r="G10052" t="str" cm="1">
        <f t="array" ref="G10052">SubCategorizeComment(E10052)</f>
        <v>Other</v>
      </c>
    </row>
    <row r="10053" spans="1:7" x14ac:dyDescent="0.25">
      <c r="A10053">
        <v>93324</v>
      </c>
      <c r="B10053" t="s">
        <v>4</v>
      </c>
      <c r="C10053">
        <v>4</v>
      </c>
      <c r="D10053" t="s">
        <v>5</v>
      </c>
      <c r="F10053" t="str" cm="1">
        <f t="array" ref="F10053">CategorizeComment(E10053)</f>
        <v>Other</v>
      </c>
      <c r="G10053" t="str" cm="1">
        <f t="array" ref="G10053">SubCategorizeComment(E10053)</f>
        <v>Other</v>
      </c>
    </row>
    <row r="10054" spans="1:7" x14ac:dyDescent="0.25">
      <c r="A10054">
        <v>93333</v>
      </c>
      <c r="B10054" t="s">
        <v>4</v>
      </c>
      <c r="C10054">
        <v>4</v>
      </c>
      <c r="D10054" t="s">
        <v>5</v>
      </c>
      <c r="F10054" t="str" cm="1">
        <f t="array" ref="F10054">CategorizeComment(E10054)</f>
        <v>Other</v>
      </c>
      <c r="G10054" t="str" cm="1">
        <f t="array" ref="G10054">SubCategorizeComment(E10054)</f>
        <v>Other</v>
      </c>
    </row>
    <row r="10055" spans="1:7" x14ac:dyDescent="0.25">
      <c r="A10055">
        <v>93341</v>
      </c>
      <c r="B10055" t="s">
        <v>4</v>
      </c>
      <c r="C10055">
        <v>4</v>
      </c>
      <c r="D10055" t="s">
        <v>5</v>
      </c>
      <c r="F10055" t="str" cm="1">
        <f t="array" ref="F10055">CategorizeComment(E10055)</f>
        <v>Other</v>
      </c>
      <c r="G10055" t="str" cm="1">
        <f t="array" ref="G10055">SubCategorizeComment(E10055)</f>
        <v>Other</v>
      </c>
    </row>
    <row r="10056" spans="1:7" x14ac:dyDescent="0.25">
      <c r="A10056">
        <v>93360</v>
      </c>
      <c r="B10056" t="s">
        <v>4</v>
      </c>
      <c r="C10056">
        <v>3</v>
      </c>
      <c r="D10056" t="s">
        <v>5</v>
      </c>
      <c r="F10056" t="str" cm="1">
        <f t="array" ref="F10056">CategorizeComment(E10056)</f>
        <v>Other</v>
      </c>
      <c r="G10056" t="str" cm="1">
        <f t="array" ref="G10056">SubCategorizeComment(E10056)</f>
        <v>Other</v>
      </c>
    </row>
    <row r="10057" spans="1:7" x14ac:dyDescent="0.25">
      <c r="A10057">
        <v>93366</v>
      </c>
      <c r="B10057" t="s">
        <v>4</v>
      </c>
      <c r="C10057">
        <v>4</v>
      </c>
      <c r="D10057" t="s">
        <v>5</v>
      </c>
      <c r="F10057" t="str" cm="1">
        <f t="array" ref="F10057">CategorizeComment(E10057)</f>
        <v>Other</v>
      </c>
      <c r="G10057" t="str" cm="1">
        <f t="array" ref="G10057">SubCategorizeComment(E10057)</f>
        <v>Other</v>
      </c>
    </row>
    <row r="10058" spans="1:7" x14ac:dyDescent="0.25">
      <c r="A10058">
        <v>93411</v>
      </c>
      <c r="B10058" t="s">
        <v>4</v>
      </c>
      <c r="C10058">
        <v>3</v>
      </c>
      <c r="D10058" t="s">
        <v>5</v>
      </c>
      <c r="F10058" t="str" cm="1">
        <f t="array" ref="F10058">CategorizeComment(E10058)</f>
        <v>Other</v>
      </c>
      <c r="G10058" t="str" cm="1">
        <f t="array" ref="G10058">SubCategorizeComment(E10058)</f>
        <v>Other</v>
      </c>
    </row>
    <row r="10059" spans="1:7" x14ac:dyDescent="0.25">
      <c r="A10059">
        <v>93412</v>
      </c>
      <c r="B10059" t="s">
        <v>4</v>
      </c>
      <c r="C10059">
        <v>4</v>
      </c>
      <c r="D10059" t="s">
        <v>5</v>
      </c>
      <c r="F10059" t="str" cm="1">
        <f t="array" ref="F10059">CategorizeComment(E10059)</f>
        <v>Other</v>
      </c>
      <c r="G10059" t="str" cm="1">
        <f t="array" ref="G10059">SubCategorizeComment(E10059)</f>
        <v>Other</v>
      </c>
    </row>
    <row r="10060" spans="1:7" x14ac:dyDescent="0.25">
      <c r="A10060">
        <v>93424</v>
      </c>
      <c r="B10060" t="s">
        <v>4</v>
      </c>
      <c r="C10060">
        <v>3</v>
      </c>
      <c r="D10060" t="s">
        <v>5</v>
      </c>
      <c r="F10060" t="str" cm="1">
        <f t="array" ref="F10060">CategorizeComment(E10060)</f>
        <v>Other</v>
      </c>
      <c r="G10060" t="str" cm="1">
        <f t="array" ref="G10060">SubCategorizeComment(E10060)</f>
        <v>Other</v>
      </c>
    </row>
    <row r="10061" spans="1:7" x14ac:dyDescent="0.25">
      <c r="A10061">
        <v>93448</v>
      </c>
      <c r="B10061" t="s">
        <v>4</v>
      </c>
      <c r="C10061">
        <v>4</v>
      </c>
      <c r="D10061" t="s">
        <v>5</v>
      </c>
      <c r="F10061" t="str" cm="1">
        <f t="array" ref="F10061">CategorizeComment(E10061)</f>
        <v>Other</v>
      </c>
      <c r="G10061" t="str" cm="1">
        <f t="array" ref="G10061">SubCategorizeComment(E10061)</f>
        <v>Other</v>
      </c>
    </row>
    <row r="10062" spans="1:7" x14ac:dyDescent="0.25">
      <c r="A10062">
        <v>93450</v>
      </c>
      <c r="B10062" t="s">
        <v>4</v>
      </c>
      <c r="C10062">
        <v>4</v>
      </c>
      <c r="D10062" t="s">
        <v>5</v>
      </c>
      <c r="F10062" t="str" cm="1">
        <f t="array" ref="F10062">CategorizeComment(E10062)</f>
        <v>Other</v>
      </c>
      <c r="G10062" t="str" cm="1">
        <f t="array" ref="G10062">SubCategorizeComment(E10062)</f>
        <v>Other</v>
      </c>
    </row>
    <row r="10063" spans="1:7" x14ac:dyDescent="0.25">
      <c r="A10063">
        <v>93455</v>
      </c>
      <c r="B10063" t="s">
        <v>4</v>
      </c>
      <c r="C10063">
        <v>3</v>
      </c>
      <c r="D10063" t="s">
        <v>5</v>
      </c>
      <c r="F10063" t="str" cm="1">
        <f t="array" ref="F10063">CategorizeComment(E10063)</f>
        <v>Other</v>
      </c>
      <c r="G10063" t="str" cm="1">
        <f t="array" ref="G10063">SubCategorizeComment(E10063)</f>
        <v>Other</v>
      </c>
    </row>
    <row r="10064" spans="1:7" x14ac:dyDescent="0.25">
      <c r="A10064">
        <v>93473</v>
      </c>
      <c r="B10064" t="s">
        <v>4</v>
      </c>
      <c r="C10064">
        <v>3</v>
      </c>
      <c r="D10064" t="s">
        <v>5</v>
      </c>
      <c r="F10064" t="str" cm="1">
        <f t="array" ref="F10064">CategorizeComment(E10064)</f>
        <v>Other</v>
      </c>
      <c r="G10064" t="str" cm="1">
        <f t="array" ref="G10064">SubCategorizeComment(E10064)</f>
        <v>Other</v>
      </c>
    </row>
    <row r="10065" spans="1:7" x14ac:dyDescent="0.25">
      <c r="A10065">
        <v>93476</v>
      </c>
      <c r="B10065" t="s">
        <v>4</v>
      </c>
      <c r="C10065">
        <v>3</v>
      </c>
      <c r="D10065" t="s">
        <v>5</v>
      </c>
      <c r="F10065" t="str" cm="1">
        <f t="array" ref="F10065">CategorizeComment(E10065)</f>
        <v>Other</v>
      </c>
      <c r="G10065" t="str" cm="1">
        <f t="array" ref="G10065">SubCategorizeComment(E10065)</f>
        <v>Other</v>
      </c>
    </row>
    <row r="10066" spans="1:7" x14ac:dyDescent="0.25">
      <c r="A10066">
        <v>93492</v>
      </c>
      <c r="B10066" t="s">
        <v>4</v>
      </c>
      <c r="C10066">
        <v>3</v>
      </c>
      <c r="D10066" t="s">
        <v>5</v>
      </c>
      <c r="F10066" t="str" cm="1">
        <f t="array" ref="F10066">CategorizeComment(E10066)</f>
        <v>Other</v>
      </c>
      <c r="G10066" t="str" cm="1">
        <f t="array" ref="G10066">SubCategorizeComment(E10066)</f>
        <v>Other</v>
      </c>
    </row>
    <row r="10067" spans="1:7" x14ac:dyDescent="0.25">
      <c r="A10067">
        <v>93500</v>
      </c>
      <c r="B10067" t="s">
        <v>4</v>
      </c>
      <c r="C10067">
        <v>3</v>
      </c>
      <c r="D10067" t="s">
        <v>5</v>
      </c>
      <c r="F10067" t="str" cm="1">
        <f t="array" ref="F10067">CategorizeComment(E10067)</f>
        <v>Other</v>
      </c>
      <c r="G10067" t="str" cm="1">
        <f t="array" ref="G10067">SubCategorizeComment(E10067)</f>
        <v>Other</v>
      </c>
    </row>
    <row r="10068" spans="1:7" x14ac:dyDescent="0.25">
      <c r="A10068">
        <v>93517</v>
      </c>
      <c r="B10068" t="s">
        <v>4</v>
      </c>
      <c r="C10068">
        <v>3</v>
      </c>
      <c r="D10068" t="s">
        <v>5</v>
      </c>
      <c r="F10068" t="str" cm="1">
        <f t="array" ref="F10068">CategorizeComment(E10068)</f>
        <v>Other</v>
      </c>
      <c r="G10068" t="str" cm="1">
        <f t="array" ref="G10068">SubCategorizeComment(E10068)</f>
        <v>Other</v>
      </c>
    </row>
    <row r="10069" spans="1:7" x14ac:dyDescent="0.25">
      <c r="A10069">
        <v>93523</v>
      </c>
      <c r="B10069" t="s">
        <v>4</v>
      </c>
      <c r="C10069">
        <v>3</v>
      </c>
      <c r="D10069" t="s">
        <v>5</v>
      </c>
      <c r="F10069" t="str" cm="1">
        <f t="array" ref="F10069">CategorizeComment(E10069)</f>
        <v>Other</v>
      </c>
      <c r="G10069" t="str" cm="1">
        <f t="array" ref="G10069">SubCategorizeComment(E10069)</f>
        <v>Other</v>
      </c>
    </row>
    <row r="10070" spans="1:7" x14ac:dyDescent="0.25">
      <c r="A10070">
        <v>93525</v>
      </c>
      <c r="B10070" t="s">
        <v>4</v>
      </c>
      <c r="C10070">
        <v>3</v>
      </c>
      <c r="D10070" t="s">
        <v>5</v>
      </c>
      <c r="F10070" t="str" cm="1">
        <f t="array" ref="F10070">CategorizeComment(E10070)</f>
        <v>Other</v>
      </c>
      <c r="G10070" t="str" cm="1">
        <f t="array" ref="G10070">SubCategorizeComment(E10070)</f>
        <v>Other</v>
      </c>
    </row>
    <row r="10071" spans="1:7" x14ac:dyDescent="0.25">
      <c r="A10071">
        <v>93557</v>
      </c>
      <c r="B10071" t="s">
        <v>4</v>
      </c>
      <c r="C10071">
        <v>4</v>
      </c>
      <c r="D10071" t="s">
        <v>5</v>
      </c>
      <c r="F10071" t="str" cm="1">
        <f t="array" ref="F10071">CategorizeComment(E10071)</f>
        <v>Other</v>
      </c>
      <c r="G10071" t="str" cm="1">
        <f t="array" ref="G10071">SubCategorizeComment(E10071)</f>
        <v>Other</v>
      </c>
    </row>
    <row r="10072" spans="1:7" x14ac:dyDescent="0.25">
      <c r="A10072">
        <v>93590</v>
      </c>
      <c r="B10072" t="s">
        <v>4</v>
      </c>
      <c r="C10072">
        <v>4</v>
      </c>
      <c r="D10072" t="s">
        <v>5</v>
      </c>
      <c r="F10072" t="str" cm="1">
        <f t="array" ref="F10072">CategorizeComment(E10072)</f>
        <v>Other</v>
      </c>
      <c r="G10072" t="str" cm="1">
        <f t="array" ref="G10072">SubCategorizeComment(E10072)</f>
        <v>Other</v>
      </c>
    </row>
    <row r="10073" spans="1:7" x14ac:dyDescent="0.25">
      <c r="A10073">
        <v>93603</v>
      </c>
      <c r="B10073" t="s">
        <v>4</v>
      </c>
      <c r="C10073">
        <v>4</v>
      </c>
      <c r="D10073" t="s">
        <v>5</v>
      </c>
      <c r="F10073" t="str" cm="1">
        <f t="array" ref="F10073">CategorizeComment(E10073)</f>
        <v>Other</v>
      </c>
      <c r="G10073" t="str" cm="1">
        <f t="array" ref="G10073">SubCategorizeComment(E10073)</f>
        <v>Other</v>
      </c>
    </row>
    <row r="10074" spans="1:7" x14ac:dyDescent="0.25">
      <c r="A10074">
        <v>93605</v>
      </c>
      <c r="B10074" t="s">
        <v>4</v>
      </c>
      <c r="C10074">
        <v>3</v>
      </c>
      <c r="D10074" t="s">
        <v>5</v>
      </c>
      <c r="F10074" t="str" cm="1">
        <f t="array" ref="F10074">CategorizeComment(E10074)</f>
        <v>Other</v>
      </c>
      <c r="G10074" t="str" cm="1">
        <f t="array" ref="G10074">SubCategorizeComment(E10074)</f>
        <v>Other</v>
      </c>
    </row>
    <row r="10075" spans="1:7" x14ac:dyDescent="0.25">
      <c r="A10075">
        <v>93619</v>
      </c>
      <c r="B10075" t="s">
        <v>4</v>
      </c>
      <c r="C10075">
        <v>3</v>
      </c>
      <c r="D10075" t="s">
        <v>5</v>
      </c>
      <c r="F10075" t="str" cm="1">
        <f t="array" ref="F10075">CategorizeComment(E10075)</f>
        <v>Other</v>
      </c>
      <c r="G10075" t="str" cm="1">
        <f t="array" ref="G10075">SubCategorizeComment(E10075)</f>
        <v>Other</v>
      </c>
    </row>
    <row r="10076" spans="1:7" x14ac:dyDescent="0.25">
      <c r="A10076">
        <v>93621</v>
      </c>
      <c r="B10076" t="s">
        <v>4</v>
      </c>
      <c r="C10076">
        <v>4</v>
      </c>
      <c r="D10076" t="s">
        <v>5</v>
      </c>
      <c r="F10076" t="str" cm="1">
        <f t="array" ref="F10076">CategorizeComment(E10076)</f>
        <v>Other</v>
      </c>
      <c r="G10076" t="str" cm="1">
        <f t="array" ref="G10076">SubCategorizeComment(E10076)</f>
        <v>Other</v>
      </c>
    </row>
    <row r="10077" spans="1:7" x14ac:dyDescent="0.25">
      <c r="A10077">
        <v>93623</v>
      </c>
      <c r="B10077" t="s">
        <v>4</v>
      </c>
      <c r="C10077">
        <v>4</v>
      </c>
      <c r="D10077" t="s">
        <v>5</v>
      </c>
      <c r="F10077" t="str" cm="1">
        <f t="array" ref="F10077">CategorizeComment(E10077)</f>
        <v>Other</v>
      </c>
      <c r="G10077" t="str" cm="1">
        <f t="array" ref="G10077">SubCategorizeComment(E10077)</f>
        <v>Other</v>
      </c>
    </row>
    <row r="10078" spans="1:7" x14ac:dyDescent="0.25">
      <c r="A10078">
        <v>93625</v>
      </c>
      <c r="B10078" t="s">
        <v>4</v>
      </c>
      <c r="C10078">
        <v>3</v>
      </c>
      <c r="D10078" t="s">
        <v>5</v>
      </c>
      <c r="F10078" t="str" cm="1">
        <f t="array" ref="F10078">CategorizeComment(E10078)</f>
        <v>Other</v>
      </c>
      <c r="G10078" t="str" cm="1">
        <f t="array" ref="G10078">SubCategorizeComment(E10078)</f>
        <v>Other</v>
      </c>
    </row>
    <row r="10079" spans="1:7" x14ac:dyDescent="0.25">
      <c r="A10079">
        <v>93627</v>
      </c>
      <c r="B10079" t="s">
        <v>4</v>
      </c>
      <c r="C10079">
        <v>4</v>
      </c>
      <c r="D10079" t="s">
        <v>5</v>
      </c>
      <c r="F10079" t="str" cm="1">
        <f t="array" ref="F10079">CategorizeComment(E10079)</f>
        <v>Other</v>
      </c>
      <c r="G10079" t="str" cm="1">
        <f t="array" ref="G10079">SubCategorizeComment(E10079)</f>
        <v>Other</v>
      </c>
    </row>
    <row r="10080" spans="1:7" x14ac:dyDescent="0.25">
      <c r="A10080">
        <v>93643</v>
      </c>
      <c r="B10080" t="s">
        <v>4</v>
      </c>
      <c r="C10080">
        <v>4</v>
      </c>
      <c r="D10080" t="s">
        <v>5</v>
      </c>
      <c r="F10080" t="str" cm="1">
        <f t="array" ref="F10080">CategorizeComment(E10080)</f>
        <v>Other</v>
      </c>
      <c r="G10080" t="str" cm="1">
        <f t="array" ref="G10080">SubCategorizeComment(E10080)</f>
        <v>Other</v>
      </c>
    </row>
    <row r="10081" spans="1:7" x14ac:dyDescent="0.25">
      <c r="A10081">
        <v>93653</v>
      </c>
      <c r="B10081" t="s">
        <v>4</v>
      </c>
      <c r="C10081">
        <v>3</v>
      </c>
      <c r="D10081" t="s">
        <v>5</v>
      </c>
      <c r="F10081" t="str" cm="1">
        <f t="array" ref="F10081">CategorizeComment(E10081)</f>
        <v>Other</v>
      </c>
      <c r="G10081" t="str" cm="1">
        <f t="array" ref="G10081">SubCategorizeComment(E10081)</f>
        <v>Other</v>
      </c>
    </row>
    <row r="10082" spans="1:7" x14ac:dyDescent="0.25">
      <c r="A10082">
        <v>93655</v>
      </c>
      <c r="B10082" t="s">
        <v>4</v>
      </c>
      <c r="C10082">
        <v>4</v>
      </c>
      <c r="D10082" t="s">
        <v>5</v>
      </c>
      <c r="F10082" t="str" cm="1">
        <f t="array" ref="F10082">CategorizeComment(E10082)</f>
        <v>Other</v>
      </c>
      <c r="G10082" t="str" cm="1">
        <f t="array" ref="G10082">SubCategorizeComment(E10082)</f>
        <v>Other</v>
      </c>
    </row>
    <row r="10083" spans="1:7" x14ac:dyDescent="0.25">
      <c r="A10083">
        <v>93667</v>
      </c>
      <c r="B10083" t="s">
        <v>4</v>
      </c>
      <c r="C10083">
        <v>4</v>
      </c>
      <c r="D10083" t="s">
        <v>5</v>
      </c>
      <c r="F10083" t="str" cm="1">
        <f t="array" ref="F10083">CategorizeComment(E10083)</f>
        <v>Other</v>
      </c>
      <c r="G10083" t="str" cm="1">
        <f t="array" ref="G10083">SubCategorizeComment(E10083)</f>
        <v>Other</v>
      </c>
    </row>
    <row r="10084" spans="1:7" x14ac:dyDescent="0.25">
      <c r="A10084">
        <v>93677</v>
      </c>
      <c r="B10084" t="s">
        <v>4</v>
      </c>
      <c r="C10084">
        <v>3</v>
      </c>
      <c r="D10084" t="s">
        <v>5</v>
      </c>
      <c r="F10084" t="str" cm="1">
        <f t="array" ref="F10084">CategorizeComment(E10084)</f>
        <v>Other</v>
      </c>
      <c r="G10084" t="str" cm="1">
        <f t="array" ref="G10084">SubCategorizeComment(E10084)</f>
        <v>Other</v>
      </c>
    </row>
    <row r="10085" spans="1:7" x14ac:dyDescent="0.25">
      <c r="A10085">
        <v>93681</v>
      </c>
      <c r="B10085" t="s">
        <v>4</v>
      </c>
      <c r="C10085">
        <v>3</v>
      </c>
      <c r="D10085" t="s">
        <v>5</v>
      </c>
      <c r="F10085" t="str" cm="1">
        <f t="array" ref="F10085">CategorizeComment(E10085)</f>
        <v>Other</v>
      </c>
      <c r="G10085" t="str" cm="1">
        <f t="array" ref="G10085">SubCategorizeComment(E10085)</f>
        <v>Other</v>
      </c>
    </row>
    <row r="10086" spans="1:7" x14ac:dyDescent="0.25">
      <c r="A10086">
        <v>93684</v>
      </c>
      <c r="B10086" t="s">
        <v>4</v>
      </c>
      <c r="C10086">
        <v>4</v>
      </c>
      <c r="D10086" t="s">
        <v>5</v>
      </c>
      <c r="F10086" t="str" cm="1">
        <f t="array" ref="F10086">CategorizeComment(E10086)</f>
        <v>Other</v>
      </c>
      <c r="G10086" t="str" cm="1">
        <f t="array" ref="G10086">SubCategorizeComment(E10086)</f>
        <v>Other</v>
      </c>
    </row>
    <row r="10087" spans="1:7" x14ac:dyDescent="0.25">
      <c r="A10087">
        <v>93692</v>
      </c>
      <c r="B10087" t="s">
        <v>4</v>
      </c>
      <c r="C10087">
        <v>4</v>
      </c>
      <c r="D10087" t="s">
        <v>5</v>
      </c>
      <c r="F10087" t="str" cm="1">
        <f t="array" ref="F10087">CategorizeComment(E10087)</f>
        <v>Other</v>
      </c>
      <c r="G10087" t="str" cm="1">
        <f t="array" ref="G10087">SubCategorizeComment(E10087)</f>
        <v>Other</v>
      </c>
    </row>
    <row r="10088" spans="1:7" x14ac:dyDescent="0.25">
      <c r="A10088">
        <v>93695</v>
      </c>
      <c r="B10088" t="s">
        <v>4</v>
      </c>
      <c r="C10088">
        <v>3</v>
      </c>
      <c r="D10088" t="s">
        <v>5</v>
      </c>
      <c r="F10088" t="str" cm="1">
        <f t="array" ref="F10088">CategorizeComment(E10088)</f>
        <v>Other</v>
      </c>
      <c r="G10088" t="str" cm="1">
        <f t="array" ref="G10088">SubCategorizeComment(E10088)</f>
        <v>Other</v>
      </c>
    </row>
    <row r="10089" spans="1:7" x14ac:dyDescent="0.25">
      <c r="A10089">
        <v>93709</v>
      </c>
      <c r="B10089" t="s">
        <v>4</v>
      </c>
      <c r="C10089">
        <v>3</v>
      </c>
      <c r="D10089" t="s">
        <v>5</v>
      </c>
      <c r="F10089" t="str" cm="1">
        <f t="array" ref="F10089">CategorizeComment(E10089)</f>
        <v>Other</v>
      </c>
      <c r="G10089" t="str" cm="1">
        <f t="array" ref="G10089">SubCategorizeComment(E10089)</f>
        <v>Other</v>
      </c>
    </row>
    <row r="10090" spans="1:7" x14ac:dyDescent="0.25">
      <c r="A10090">
        <v>93714</v>
      </c>
      <c r="B10090" t="s">
        <v>4</v>
      </c>
      <c r="C10090">
        <v>3</v>
      </c>
      <c r="D10090" t="s">
        <v>5</v>
      </c>
      <c r="F10090" t="str" cm="1">
        <f t="array" ref="F10090">CategorizeComment(E10090)</f>
        <v>Other</v>
      </c>
      <c r="G10090" t="str" cm="1">
        <f t="array" ref="G10090">SubCategorizeComment(E10090)</f>
        <v>Other</v>
      </c>
    </row>
    <row r="10091" spans="1:7" x14ac:dyDescent="0.25">
      <c r="A10091">
        <v>93722</v>
      </c>
      <c r="B10091" t="s">
        <v>4</v>
      </c>
      <c r="C10091">
        <v>4</v>
      </c>
      <c r="D10091" t="s">
        <v>5</v>
      </c>
      <c r="F10091" t="str" cm="1">
        <f t="array" ref="F10091">CategorizeComment(E10091)</f>
        <v>Other</v>
      </c>
      <c r="G10091" t="str" cm="1">
        <f t="array" ref="G10091">SubCategorizeComment(E10091)</f>
        <v>Other</v>
      </c>
    </row>
    <row r="10092" spans="1:7" x14ac:dyDescent="0.25">
      <c r="A10092">
        <v>93723</v>
      </c>
      <c r="B10092" t="s">
        <v>4</v>
      </c>
      <c r="C10092">
        <v>4</v>
      </c>
      <c r="D10092" t="s">
        <v>5</v>
      </c>
      <c r="F10092" t="str" cm="1">
        <f t="array" ref="F10092">CategorizeComment(E10092)</f>
        <v>Other</v>
      </c>
      <c r="G10092" t="str" cm="1">
        <f t="array" ref="G10092">SubCategorizeComment(E10092)</f>
        <v>Other</v>
      </c>
    </row>
    <row r="10093" spans="1:7" x14ac:dyDescent="0.25">
      <c r="A10093">
        <v>93736</v>
      </c>
      <c r="B10093" t="s">
        <v>4</v>
      </c>
      <c r="C10093">
        <v>3</v>
      </c>
      <c r="D10093" t="s">
        <v>5</v>
      </c>
      <c r="F10093" t="str" cm="1">
        <f t="array" ref="F10093">CategorizeComment(E10093)</f>
        <v>Other</v>
      </c>
      <c r="G10093" t="str" cm="1">
        <f t="array" ref="G10093">SubCategorizeComment(E10093)</f>
        <v>Other</v>
      </c>
    </row>
    <row r="10094" spans="1:7" x14ac:dyDescent="0.25">
      <c r="A10094">
        <v>93751</v>
      </c>
      <c r="B10094" t="s">
        <v>4</v>
      </c>
      <c r="C10094">
        <v>3</v>
      </c>
      <c r="D10094" t="s">
        <v>5</v>
      </c>
      <c r="F10094" t="str" cm="1">
        <f t="array" ref="F10094">CategorizeComment(E10094)</f>
        <v>Other</v>
      </c>
      <c r="G10094" t="str" cm="1">
        <f t="array" ref="G10094">SubCategorizeComment(E10094)</f>
        <v>Other</v>
      </c>
    </row>
    <row r="10095" spans="1:7" x14ac:dyDescent="0.25">
      <c r="A10095">
        <v>93756</v>
      </c>
      <c r="B10095" t="s">
        <v>4</v>
      </c>
      <c r="C10095">
        <v>4</v>
      </c>
      <c r="D10095" t="s">
        <v>5</v>
      </c>
      <c r="F10095" t="str" cm="1">
        <f t="array" ref="F10095">CategorizeComment(E10095)</f>
        <v>Other</v>
      </c>
      <c r="G10095" t="str" cm="1">
        <f t="array" ref="G10095">SubCategorizeComment(E10095)</f>
        <v>Other</v>
      </c>
    </row>
    <row r="10096" spans="1:7" x14ac:dyDescent="0.25">
      <c r="A10096">
        <v>93766</v>
      </c>
      <c r="B10096" t="s">
        <v>4</v>
      </c>
      <c r="C10096">
        <v>3</v>
      </c>
      <c r="D10096" t="s">
        <v>5</v>
      </c>
      <c r="F10096" t="str" cm="1">
        <f t="array" ref="F10096">CategorizeComment(E10096)</f>
        <v>Other</v>
      </c>
      <c r="G10096" t="str" cm="1">
        <f t="array" ref="G10096">SubCategorizeComment(E10096)</f>
        <v>Other</v>
      </c>
    </row>
    <row r="10097" spans="1:7" x14ac:dyDescent="0.25">
      <c r="A10097">
        <v>93769</v>
      </c>
      <c r="B10097" t="s">
        <v>4</v>
      </c>
      <c r="C10097">
        <v>4</v>
      </c>
      <c r="D10097" t="s">
        <v>5</v>
      </c>
      <c r="F10097" t="str" cm="1">
        <f t="array" ref="F10097">CategorizeComment(E10097)</f>
        <v>Other</v>
      </c>
      <c r="G10097" t="str" cm="1">
        <f t="array" ref="G10097">SubCategorizeComment(E10097)</f>
        <v>Other</v>
      </c>
    </row>
    <row r="10098" spans="1:7" x14ac:dyDescent="0.25">
      <c r="A10098">
        <v>93770</v>
      </c>
      <c r="B10098" t="s">
        <v>4</v>
      </c>
      <c r="C10098">
        <v>3</v>
      </c>
      <c r="D10098" t="s">
        <v>5</v>
      </c>
      <c r="F10098" t="str" cm="1">
        <f t="array" ref="F10098">CategorizeComment(E10098)</f>
        <v>Other</v>
      </c>
      <c r="G10098" t="str" cm="1">
        <f t="array" ref="G10098">SubCategorizeComment(E10098)</f>
        <v>Other</v>
      </c>
    </row>
    <row r="10099" spans="1:7" x14ac:dyDescent="0.25">
      <c r="A10099">
        <v>93777</v>
      </c>
      <c r="B10099" t="s">
        <v>4</v>
      </c>
      <c r="C10099">
        <v>3</v>
      </c>
      <c r="D10099" t="s">
        <v>5</v>
      </c>
      <c r="F10099" t="str" cm="1">
        <f t="array" ref="F10099">CategorizeComment(E10099)</f>
        <v>Other</v>
      </c>
      <c r="G10099" t="str" cm="1">
        <f t="array" ref="G10099">SubCategorizeComment(E10099)</f>
        <v>Other</v>
      </c>
    </row>
    <row r="10100" spans="1:7" x14ac:dyDescent="0.25">
      <c r="A10100">
        <v>93801</v>
      </c>
      <c r="B10100" t="s">
        <v>4</v>
      </c>
      <c r="C10100">
        <v>3</v>
      </c>
      <c r="D10100" t="s">
        <v>5</v>
      </c>
      <c r="F10100" t="str" cm="1">
        <f t="array" ref="F10100">CategorizeComment(E10100)</f>
        <v>Other</v>
      </c>
      <c r="G10100" t="str" cm="1">
        <f t="array" ref="G10100">SubCategorizeComment(E10100)</f>
        <v>Other</v>
      </c>
    </row>
    <row r="10101" spans="1:7" x14ac:dyDescent="0.25">
      <c r="A10101">
        <v>93824</v>
      </c>
      <c r="B10101" t="s">
        <v>4</v>
      </c>
      <c r="C10101">
        <v>1</v>
      </c>
      <c r="D10101" t="s">
        <v>5</v>
      </c>
      <c r="F10101" t="str" cm="1">
        <f t="array" ref="F10101">CategorizeComment(E10101)</f>
        <v>Other</v>
      </c>
      <c r="G10101" t="str" cm="1">
        <f t="array" ref="G10101">SubCategorizeComment(E10101)</f>
        <v>Other</v>
      </c>
    </row>
    <row r="10102" spans="1:7" x14ac:dyDescent="0.25">
      <c r="A10102">
        <v>93842</v>
      </c>
      <c r="B10102" t="s">
        <v>4</v>
      </c>
      <c r="C10102">
        <v>3</v>
      </c>
      <c r="D10102" t="s">
        <v>5</v>
      </c>
      <c r="F10102" t="str" cm="1">
        <f t="array" ref="F10102">CategorizeComment(E10102)</f>
        <v>Other</v>
      </c>
      <c r="G10102" t="str" cm="1">
        <f t="array" ref="G10102">SubCategorizeComment(E10102)</f>
        <v>Other</v>
      </c>
    </row>
    <row r="10103" spans="1:7" x14ac:dyDescent="0.25">
      <c r="A10103">
        <v>93846</v>
      </c>
      <c r="B10103" t="s">
        <v>4</v>
      </c>
      <c r="C10103">
        <v>3</v>
      </c>
      <c r="D10103" t="s">
        <v>5</v>
      </c>
      <c r="F10103" t="str" cm="1">
        <f t="array" ref="F10103">CategorizeComment(E10103)</f>
        <v>Other</v>
      </c>
      <c r="G10103" t="str" cm="1">
        <f t="array" ref="G10103">SubCategorizeComment(E10103)</f>
        <v>Other</v>
      </c>
    </row>
    <row r="10104" spans="1:7" x14ac:dyDescent="0.25">
      <c r="A10104">
        <v>93853</v>
      </c>
      <c r="B10104" t="s">
        <v>4</v>
      </c>
      <c r="C10104">
        <v>4</v>
      </c>
      <c r="D10104" t="s">
        <v>5</v>
      </c>
      <c r="F10104" t="str" cm="1">
        <f t="array" ref="F10104">CategorizeComment(E10104)</f>
        <v>Other</v>
      </c>
      <c r="G10104" t="str" cm="1">
        <f t="array" ref="G10104">SubCategorizeComment(E10104)</f>
        <v>Other</v>
      </c>
    </row>
    <row r="10105" spans="1:7" x14ac:dyDescent="0.25">
      <c r="A10105">
        <v>93866</v>
      </c>
      <c r="B10105" t="s">
        <v>4</v>
      </c>
      <c r="C10105">
        <v>3</v>
      </c>
      <c r="D10105" t="s">
        <v>5</v>
      </c>
      <c r="F10105" t="str" cm="1">
        <f t="array" ref="F10105">CategorizeComment(E10105)</f>
        <v>Other</v>
      </c>
      <c r="G10105" t="str" cm="1">
        <f t="array" ref="G10105">SubCategorizeComment(E10105)</f>
        <v>Other</v>
      </c>
    </row>
    <row r="10106" spans="1:7" x14ac:dyDescent="0.25">
      <c r="A10106">
        <v>93868</v>
      </c>
      <c r="B10106" t="s">
        <v>4</v>
      </c>
      <c r="C10106">
        <v>3</v>
      </c>
      <c r="D10106" t="s">
        <v>5</v>
      </c>
      <c r="F10106" t="str" cm="1">
        <f t="array" ref="F10106">CategorizeComment(E10106)</f>
        <v>Other</v>
      </c>
      <c r="G10106" t="str" cm="1">
        <f t="array" ref="G10106">SubCategorizeComment(E10106)</f>
        <v>Other</v>
      </c>
    </row>
    <row r="10107" spans="1:7" x14ac:dyDescent="0.25">
      <c r="A10107">
        <v>93879</v>
      </c>
      <c r="B10107" t="s">
        <v>4</v>
      </c>
      <c r="C10107">
        <v>3</v>
      </c>
      <c r="D10107" t="s">
        <v>5</v>
      </c>
      <c r="F10107" t="str" cm="1">
        <f t="array" ref="F10107">CategorizeComment(E10107)</f>
        <v>Other</v>
      </c>
      <c r="G10107" t="str" cm="1">
        <f t="array" ref="G10107">SubCategorizeComment(E10107)</f>
        <v>Other</v>
      </c>
    </row>
    <row r="10108" spans="1:7" x14ac:dyDescent="0.25">
      <c r="A10108">
        <v>93884</v>
      </c>
      <c r="B10108" t="s">
        <v>4</v>
      </c>
      <c r="C10108">
        <v>3</v>
      </c>
      <c r="D10108" t="s">
        <v>5</v>
      </c>
      <c r="F10108" t="str" cm="1">
        <f t="array" ref="F10108">CategorizeComment(E10108)</f>
        <v>Other</v>
      </c>
      <c r="G10108" t="str" cm="1">
        <f t="array" ref="G10108">SubCategorizeComment(E10108)</f>
        <v>Other</v>
      </c>
    </row>
    <row r="10109" spans="1:7" x14ac:dyDescent="0.25">
      <c r="A10109">
        <v>93885</v>
      </c>
      <c r="B10109" t="s">
        <v>4</v>
      </c>
      <c r="C10109">
        <v>4</v>
      </c>
      <c r="D10109" t="s">
        <v>5</v>
      </c>
      <c r="F10109" t="str" cm="1">
        <f t="array" ref="F10109">CategorizeComment(E10109)</f>
        <v>Other</v>
      </c>
      <c r="G10109" t="str" cm="1">
        <f t="array" ref="G10109">SubCategorizeComment(E10109)</f>
        <v>Other</v>
      </c>
    </row>
    <row r="10110" spans="1:7" x14ac:dyDescent="0.25">
      <c r="A10110">
        <v>93891</v>
      </c>
      <c r="B10110" t="s">
        <v>4</v>
      </c>
      <c r="C10110">
        <v>4</v>
      </c>
      <c r="D10110" t="s">
        <v>5</v>
      </c>
      <c r="F10110" t="str" cm="1">
        <f t="array" ref="F10110">CategorizeComment(E10110)</f>
        <v>Other</v>
      </c>
      <c r="G10110" t="str" cm="1">
        <f t="array" ref="G10110">SubCategorizeComment(E10110)</f>
        <v>Other</v>
      </c>
    </row>
    <row r="10111" spans="1:7" x14ac:dyDescent="0.25">
      <c r="A10111">
        <v>93892</v>
      </c>
      <c r="B10111" t="s">
        <v>4</v>
      </c>
      <c r="C10111">
        <v>4</v>
      </c>
      <c r="D10111" t="s">
        <v>5</v>
      </c>
      <c r="F10111" t="str" cm="1">
        <f t="array" ref="F10111">CategorizeComment(E10111)</f>
        <v>Other</v>
      </c>
      <c r="G10111" t="str" cm="1">
        <f t="array" ref="G10111">SubCategorizeComment(E10111)</f>
        <v>Other</v>
      </c>
    </row>
    <row r="10112" spans="1:7" x14ac:dyDescent="0.25">
      <c r="A10112">
        <v>93900</v>
      </c>
      <c r="B10112" t="s">
        <v>4</v>
      </c>
      <c r="C10112">
        <v>3</v>
      </c>
      <c r="D10112" t="s">
        <v>5</v>
      </c>
      <c r="F10112" t="str" cm="1">
        <f t="array" ref="F10112">CategorizeComment(E10112)</f>
        <v>Other</v>
      </c>
      <c r="G10112" t="str" cm="1">
        <f t="array" ref="G10112">SubCategorizeComment(E10112)</f>
        <v>Other</v>
      </c>
    </row>
    <row r="10113" spans="1:7" x14ac:dyDescent="0.25">
      <c r="A10113">
        <v>93904</v>
      </c>
      <c r="B10113" t="s">
        <v>4</v>
      </c>
      <c r="C10113">
        <v>4</v>
      </c>
      <c r="D10113" t="s">
        <v>5</v>
      </c>
      <c r="F10113" t="str" cm="1">
        <f t="array" ref="F10113">CategorizeComment(E10113)</f>
        <v>Other</v>
      </c>
      <c r="G10113" t="str" cm="1">
        <f t="array" ref="G10113">SubCategorizeComment(E10113)</f>
        <v>Other</v>
      </c>
    </row>
    <row r="10114" spans="1:7" x14ac:dyDescent="0.25">
      <c r="A10114">
        <v>93928</v>
      </c>
      <c r="B10114" t="s">
        <v>4</v>
      </c>
      <c r="C10114">
        <v>4</v>
      </c>
      <c r="D10114" t="s">
        <v>5</v>
      </c>
      <c r="F10114" t="str" cm="1">
        <f t="array" ref="F10114">CategorizeComment(E10114)</f>
        <v>Other</v>
      </c>
      <c r="G10114" t="str" cm="1">
        <f t="array" ref="G10114">SubCategorizeComment(E10114)</f>
        <v>Other</v>
      </c>
    </row>
    <row r="10115" spans="1:7" x14ac:dyDescent="0.25">
      <c r="A10115">
        <v>93929</v>
      </c>
      <c r="B10115" t="s">
        <v>4</v>
      </c>
      <c r="C10115">
        <v>4</v>
      </c>
      <c r="D10115" t="s">
        <v>5</v>
      </c>
      <c r="F10115" t="str" cm="1">
        <f t="array" ref="F10115">CategorizeComment(E10115)</f>
        <v>Other</v>
      </c>
      <c r="G10115" t="str" cm="1">
        <f t="array" ref="G10115">SubCategorizeComment(E10115)</f>
        <v>Other</v>
      </c>
    </row>
    <row r="10116" spans="1:7" x14ac:dyDescent="0.25">
      <c r="A10116">
        <v>93950</v>
      </c>
      <c r="B10116" t="s">
        <v>4</v>
      </c>
      <c r="C10116">
        <v>3</v>
      </c>
      <c r="D10116" t="s">
        <v>5</v>
      </c>
      <c r="F10116" t="str" cm="1">
        <f t="array" ref="F10116">CategorizeComment(E10116)</f>
        <v>Other</v>
      </c>
      <c r="G10116" t="str" cm="1">
        <f t="array" ref="G10116">SubCategorizeComment(E10116)</f>
        <v>Other</v>
      </c>
    </row>
    <row r="10117" spans="1:7" x14ac:dyDescent="0.25">
      <c r="A10117">
        <v>93953</v>
      </c>
      <c r="B10117" t="s">
        <v>4</v>
      </c>
      <c r="C10117">
        <v>3</v>
      </c>
      <c r="D10117" t="s">
        <v>5</v>
      </c>
      <c r="F10117" t="str" cm="1">
        <f t="array" ref="F10117">CategorizeComment(E10117)</f>
        <v>Other</v>
      </c>
      <c r="G10117" t="str" cm="1">
        <f t="array" ref="G10117">SubCategorizeComment(E10117)</f>
        <v>Other</v>
      </c>
    </row>
    <row r="10118" spans="1:7" x14ac:dyDescent="0.25">
      <c r="A10118">
        <v>94060</v>
      </c>
      <c r="B10118" t="s">
        <v>4</v>
      </c>
      <c r="C10118">
        <v>4</v>
      </c>
      <c r="D10118" t="s">
        <v>5</v>
      </c>
      <c r="F10118" t="str" cm="1">
        <f t="array" ref="F10118">CategorizeComment(E10118)</f>
        <v>Other</v>
      </c>
      <c r="G10118" t="str" cm="1">
        <f t="array" ref="G10118">SubCategorizeComment(E10118)</f>
        <v>Other</v>
      </c>
    </row>
    <row r="10119" spans="1:7" x14ac:dyDescent="0.25">
      <c r="A10119">
        <v>94062</v>
      </c>
      <c r="B10119" t="s">
        <v>4</v>
      </c>
      <c r="C10119">
        <v>3</v>
      </c>
      <c r="D10119" t="s">
        <v>5</v>
      </c>
      <c r="F10119" t="str" cm="1">
        <f t="array" ref="F10119">CategorizeComment(E10119)</f>
        <v>Other</v>
      </c>
      <c r="G10119" t="str" cm="1">
        <f t="array" ref="G10119">SubCategorizeComment(E10119)</f>
        <v>Other</v>
      </c>
    </row>
    <row r="10120" spans="1:7" x14ac:dyDescent="0.25">
      <c r="A10120">
        <v>94073</v>
      </c>
      <c r="B10120" t="s">
        <v>4</v>
      </c>
      <c r="C10120">
        <v>4</v>
      </c>
      <c r="D10120" t="s">
        <v>5</v>
      </c>
      <c r="F10120" t="str" cm="1">
        <f t="array" ref="F10120">CategorizeComment(E10120)</f>
        <v>Other</v>
      </c>
      <c r="G10120" t="str" cm="1">
        <f t="array" ref="G10120">SubCategorizeComment(E10120)</f>
        <v>Other</v>
      </c>
    </row>
    <row r="10121" spans="1:7" x14ac:dyDescent="0.25">
      <c r="A10121">
        <v>94077</v>
      </c>
      <c r="B10121" t="s">
        <v>4</v>
      </c>
      <c r="C10121">
        <v>4</v>
      </c>
      <c r="D10121" t="s">
        <v>5</v>
      </c>
      <c r="F10121" t="str" cm="1">
        <f t="array" ref="F10121">CategorizeComment(E10121)</f>
        <v>Other</v>
      </c>
      <c r="G10121" t="str" cm="1">
        <f t="array" ref="G10121">SubCategorizeComment(E10121)</f>
        <v>Other</v>
      </c>
    </row>
    <row r="10122" spans="1:7" x14ac:dyDescent="0.25">
      <c r="A10122">
        <v>94091</v>
      </c>
      <c r="B10122" t="s">
        <v>4</v>
      </c>
      <c r="C10122">
        <v>4</v>
      </c>
      <c r="D10122" t="s">
        <v>5</v>
      </c>
      <c r="F10122" t="str" cm="1">
        <f t="array" ref="F10122">CategorizeComment(E10122)</f>
        <v>Other</v>
      </c>
      <c r="G10122" t="str" cm="1">
        <f t="array" ref="G10122">SubCategorizeComment(E10122)</f>
        <v>Other</v>
      </c>
    </row>
    <row r="10123" spans="1:7" x14ac:dyDescent="0.25">
      <c r="A10123">
        <v>94101</v>
      </c>
      <c r="B10123" t="s">
        <v>4</v>
      </c>
      <c r="C10123">
        <v>3</v>
      </c>
      <c r="D10123" t="s">
        <v>5</v>
      </c>
      <c r="F10123" t="str" cm="1">
        <f t="array" ref="F10123">CategorizeComment(E10123)</f>
        <v>Other</v>
      </c>
      <c r="G10123" t="str" cm="1">
        <f t="array" ref="G10123">SubCategorizeComment(E10123)</f>
        <v>Other</v>
      </c>
    </row>
    <row r="10124" spans="1:7" x14ac:dyDescent="0.25">
      <c r="A10124">
        <v>94104</v>
      </c>
      <c r="B10124" t="s">
        <v>4</v>
      </c>
      <c r="C10124">
        <v>3</v>
      </c>
      <c r="D10124" t="s">
        <v>5</v>
      </c>
      <c r="F10124" t="str" cm="1">
        <f t="array" ref="F10124">CategorizeComment(E10124)</f>
        <v>Other</v>
      </c>
      <c r="G10124" t="str" cm="1">
        <f t="array" ref="G10124">SubCategorizeComment(E10124)</f>
        <v>Other</v>
      </c>
    </row>
    <row r="10125" spans="1:7" x14ac:dyDescent="0.25">
      <c r="A10125">
        <v>94140</v>
      </c>
      <c r="B10125" t="s">
        <v>4</v>
      </c>
      <c r="C10125">
        <v>4</v>
      </c>
      <c r="D10125" t="s">
        <v>5</v>
      </c>
      <c r="F10125" t="str" cm="1">
        <f t="array" ref="F10125">CategorizeComment(E10125)</f>
        <v>Other</v>
      </c>
      <c r="G10125" t="str" cm="1">
        <f t="array" ref="G10125">SubCategorizeComment(E10125)</f>
        <v>Other</v>
      </c>
    </row>
    <row r="10126" spans="1:7" x14ac:dyDescent="0.25">
      <c r="A10126">
        <v>94171</v>
      </c>
      <c r="B10126" t="s">
        <v>4</v>
      </c>
      <c r="C10126">
        <v>4</v>
      </c>
      <c r="D10126" t="s">
        <v>5</v>
      </c>
      <c r="F10126" t="str" cm="1">
        <f t="array" ref="F10126">CategorizeComment(E10126)</f>
        <v>Other</v>
      </c>
      <c r="G10126" t="str" cm="1">
        <f t="array" ref="G10126">SubCategorizeComment(E10126)</f>
        <v>Other</v>
      </c>
    </row>
    <row r="10127" spans="1:7" x14ac:dyDescent="0.25">
      <c r="A10127">
        <v>94194</v>
      </c>
      <c r="B10127" t="s">
        <v>4</v>
      </c>
      <c r="C10127">
        <v>4</v>
      </c>
      <c r="D10127" t="s">
        <v>5</v>
      </c>
      <c r="F10127" t="str" cm="1">
        <f t="array" ref="F10127">CategorizeComment(E10127)</f>
        <v>Other</v>
      </c>
      <c r="G10127" t="str" cm="1">
        <f t="array" ref="G10127">SubCategorizeComment(E10127)</f>
        <v>Other</v>
      </c>
    </row>
    <row r="10128" spans="1:7" x14ac:dyDescent="0.25">
      <c r="A10128">
        <v>94293</v>
      </c>
      <c r="B10128" t="s">
        <v>4</v>
      </c>
      <c r="C10128">
        <v>4</v>
      </c>
      <c r="D10128" t="s">
        <v>5</v>
      </c>
      <c r="F10128" t="str" cm="1">
        <f t="array" ref="F10128">CategorizeComment(E10128)</f>
        <v>Other</v>
      </c>
      <c r="G10128" t="str" cm="1">
        <f t="array" ref="G10128">SubCategorizeComment(E10128)</f>
        <v>Other</v>
      </c>
    </row>
    <row r="10129" spans="1:7" x14ac:dyDescent="0.25">
      <c r="A10129">
        <v>94405</v>
      </c>
      <c r="B10129" t="s">
        <v>4</v>
      </c>
      <c r="C10129">
        <v>3</v>
      </c>
      <c r="D10129" t="s">
        <v>5</v>
      </c>
      <c r="F10129" t="str" cm="1">
        <f t="array" ref="F10129">CategorizeComment(E10129)</f>
        <v>Other</v>
      </c>
      <c r="G10129" t="str" cm="1">
        <f t="array" ref="G10129">SubCategorizeComment(E10129)</f>
        <v>Other</v>
      </c>
    </row>
    <row r="10130" spans="1:7" x14ac:dyDescent="0.25">
      <c r="A10130">
        <v>94419</v>
      </c>
      <c r="B10130" t="s">
        <v>4</v>
      </c>
      <c r="C10130">
        <v>4</v>
      </c>
      <c r="D10130" t="s">
        <v>5</v>
      </c>
      <c r="F10130" t="str" cm="1">
        <f t="array" ref="F10130">CategorizeComment(E10130)</f>
        <v>Other</v>
      </c>
      <c r="G10130" t="str" cm="1">
        <f t="array" ref="G10130">SubCategorizeComment(E10130)</f>
        <v>Other</v>
      </c>
    </row>
    <row r="10131" spans="1:7" x14ac:dyDescent="0.25">
      <c r="A10131">
        <v>94426</v>
      </c>
      <c r="B10131" t="s">
        <v>4</v>
      </c>
      <c r="C10131">
        <v>3</v>
      </c>
      <c r="D10131" t="s">
        <v>5</v>
      </c>
      <c r="F10131" t="str" cm="1">
        <f t="array" ref="F10131">CategorizeComment(E10131)</f>
        <v>Other</v>
      </c>
      <c r="G10131" t="str" cm="1">
        <f t="array" ref="G10131">SubCategorizeComment(E10131)</f>
        <v>Other</v>
      </c>
    </row>
    <row r="10132" spans="1:7" x14ac:dyDescent="0.25">
      <c r="A10132">
        <v>94468</v>
      </c>
      <c r="B10132" t="s">
        <v>4</v>
      </c>
      <c r="C10132">
        <v>4</v>
      </c>
      <c r="D10132" t="s">
        <v>5</v>
      </c>
      <c r="F10132" t="str" cm="1">
        <f t="array" ref="F10132">CategorizeComment(E10132)</f>
        <v>Other</v>
      </c>
      <c r="G10132" t="str" cm="1">
        <f t="array" ref="G10132">SubCategorizeComment(E10132)</f>
        <v>Other</v>
      </c>
    </row>
    <row r="10133" spans="1:7" x14ac:dyDescent="0.25">
      <c r="A10133">
        <v>94470</v>
      </c>
      <c r="B10133" t="s">
        <v>4</v>
      </c>
      <c r="C10133">
        <v>3</v>
      </c>
      <c r="D10133" t="s">
        <v>5</v>
      </c>
      <c r="F10133" t="str" cm="1">
        <f t="array" ref="F10133">CategorizeComment(E10133)</f>
        <v>Other</v>
      </c>
      <c r="G10133" t="str" cm="1">
        <f t="array" ref="G10133">SubCategorizeComment(E10133)</f>
        <v>Other</v>
      </c>
    </row>
    <row r="10134" spans="1:7" x14ac:dyDescent="0.25">
      <c r="A10134">
        <v>94474</v>
      </c>
      <c r="B10134" t="s">
        <v>4</v>
      </c>
      <c r="C10134">
        <v>3</v>
      </c>
      <c r="D10134" t="s">
        <v>5</v>
      </c>
      <c r="F10134" t="str" cm="1">
        <f t="array" ref="F10134">CategorizeComment(E10134)</f>
        <v>Other</v>
      </c>
      <c r="G10134" t="str" cm="1">
        <f t="array" ref="G10134">SubCategorizeComment(E10134)</f>
        <v>Other</v>
      </c>
    </row>
    <row r="10135" spans="1:7" x14ac:dyDescent="0.25">
      <c r="A10135">
        <v>94497</v>
      </c>
      <c r="B10135" t="s">
        <v>4</v>
      </c>
      <c r="C10135">
        <v>4</v>
      </c>
      <c r="D10135" t="s">
        <v>5</v>
      </c>
      <c r="F10135" t="str" cm="1">
        <f t="array" ref="F10135">CategorizeComment(E10135)</f>
        <v>Other</v>
      </c>
      <c r="G10135" t="str" cm="1">
        <f t="array" ref="G10135">SubCategorizeComment(E10135)</f>
        <v>Other</v>
      </c>
    </row>
    <row r="10136" spans="1:7" x14ac:dyDescent="0.25">
      <c r="A10136">
        <v>94532</v>
      </c>
      <c r="B10136" t="s">
        <v>4</v>
      </c>
      <c r="C10136">
        <v>4</v>
      </c>
      <c r="D10136" t="s">
        <v>5</v>
      </c>
      <c r="F10136" t="str" cm="1">
        <f t="array" ref="F10136">CategorizeComment(E10136)</f>
        <v>Other</v>
      </c>
      <c r="G10136" t="str" cm="1">
        <f t="array" ref="G10136">SubCategorizeComment(E10136)</f>
        <v>Other</v>
      </c>
    </row>
    <row r="10137" spans="1:7" x14ac:dyDescent="0.25">
      <c r="A10137">
        <v>94548</v>
      </c>
      <c r="B10137" t="s">
        <v>4</v>
      </c>
      <c r="C10137">
        <v>4</v>
      </c>
      <c r="D10137" t="s">
        <v>5</v>
      </c>
      <c r="F10137" t="str" cm="1">
        <f t="array" ref="F10137">CategorizeComment(E10137)</f>
        <v>Other</v>
      </c>
      <c r="G10137" t="str" cm="1">
        <f t="array" ref="G10137">SubCategorizeComment(E10137)</f>
        <v>Other</v>
      </c>
    </row>
    <row r="10138" spans="1:7" x14ac:dyDescent="0.25">
      <c r="A10138">
        <v>94554</v>
      </c>
      <c r="B10138" t="s">
        <v>4</v>
      </c>
      <c r="C10138">
        <v>3</v>
      </c>
      <c r="D10138" t="s">
        <v>5</v>
      </c>
      <c r="F10138" t="str" cm="1">
        <f t="array" ref="F10138">CategorizeComment(E10138)</f>
        <v>Other</v>
      </c>
      <c r="G10138" t="str" cm="1">
        <f t="array" ref="G10138">SubCategorizeComment(E10138)</f>
        <v>Other</v>
      </c>
    </row>
    <row r="10139" spans="1:7" x14ac:dyDescent="0.25">
      <c r="A10139">
        <v>94565</v>
      </c>
      <c r="B10139" t="s">
        <v>4</v>
      </c>
      <c r="C10139">
        <v>3</v>
      </c>
      <c r="D10139" t="s">
        <v>5</v>
      </c>
      <c r="F10139" t="str" cm="1">
        <f t="array" ref="F10139">CategorizeComment(E10139)</f>
        <v>Other</v>
      </c>
      <c r="G10139" t="str" cm="1">
        <f t="array" ref="G10139">SubCategorizeComment(E10139)</f>
        <v>Other</v>
      </c>
    </row>
    <row r="10140" spans="1:7" x14ac:dyDescent="0.25">
      <c r="A10140">
        <v>94571</v>
      </c>
      <c r="B10140" t="s">
        <v>4</v>
      </c>
      <c r="C10140">
        <v>4</v>
      </c>
      <c r="D10140" t="s">
        <v>5</v>
      </c>
      <c r="F10140" t="str" cm="1">
        <f t="array" ref="F10140">CategorizeComment(E10140)</f>
        <v>Other</v>
      </c>
      <c r="G10140" t="str" cm="1">
        <f t="array" ref="G10140">SubCategorizeComment(E10140)</f>
        <v>Other</v>
      </c>
    </row>
    <row r="10141" spans="1:7" x14ac:dyDescent="0.25">
      <c r="A10141">
        <v>94578</v>
      </c>
      <c r="B10141" t="s">
        <v>4</v>
      </c>
      <c r="C10141">
        <v>3</v>
      </c>
      <c r="D10141" t="s">
        <v>5</v>
      </c>
      <c r="F10141" t="str" cm="1">
        <f t="array" ref="F10141">CategorizeComment(E10141)</f>
        <v>Other</v>
      </c>
      <c r="G10141" t="str" cm="1">
        <f t="array" ref="G10141">SubCategorizeComment(E10141)</f>
        <v>Other</v>
      </c>
    </row>
    <row r="10142" spans="1:7" x14ac:dyDescent="0.25">
      <c r="A10142">
        <v>94595</v>
      </c>
      <c r="B10142" t="s">
        <v>4</v>
      </c>
      <c r="C10142">
        <v>4</v>
      </c>
      <c r="D10142" t="s">
        <v>5</v>
      </c>
      <c r="F10142" t="str" cm="1">
        <f t="array" ref="F10142">CategorizeComment(E10142)</f>
        <v>Other</v>
      </c>
      <c r="G10142" t="str" cm="1">
        <f t="array" ref="G10142">SubCategorizeComment(E10142)</f>
        <v>Other</v>
      </c>
    </row>
    <row r="10143" spans="1:7" x14ac:dyDescent="0.25">
      <c r="A10143">
        <v>94606</v>
      </c>
      <c r="B10143" t="s">
        <v>4</v>
      </c>
      <c r="C10143">
        <v>4</v>
      </c>
      <c r="D10143" t="s">
        <v>5</v>
      </c>
      <c r="F10143" t="str" cm="1">
        <f t="array" ref="F10143">CategorizeComment(E10143)</f>
        <v>Other</v>
      </c>
      <c r="G10143" t="str" cm="1">
        <f t="array" ref="G10143">SubCategorizeComment(E10143)</f>
        <v>Other</v>
      </c>
    </row>
    <row r="10144" spans="1:7" x14ac:dyDescent="0.25">
      <c r="A10144">
        <v>94616</v>
      </c>
      <c r="B10144" t="s">
        <v>4</v>
      </c>
      <c r="C10144">
        <v>3</v>
      </c>
      <c r="D10144" t="s">
        <v>5</v>
      </c>
      <c r="F10144" t="str" cm="1">
        <f t="array" ref="F10144">CategorizeComment(E10144)</f>
        <v>Other</v>
      </c>
      <c r="G10144" t="str" cm="1">
        <f t="array" ref="G10144">SubCategorizeComment(E10144)</f>
        <v>Other</v>
      </c>
    </row>
    <row r="10145" spans="1:7" x14ac:dyDescent="0.25">
      <c r="A10145">
        <v>94623</v>
      </c>
      <c r="B10145" t="s">
        <v>4</v>
      </c>
      <c r="C10145">
        <v>3</v>
      </c>
      <c r="D10145" t="s">
        <v>5</v>
      </c>
      <c r="F10145" t="str" cm="1">
        <f t="array" ref="F10145">CategorizeComment(E10145)</f>
        <v>Other</v>
      </c>
      <c r="G10145" t="str" cm="1">
        <f t="array" ref="G10145">SubCategorizeComment(E10145)</f>
        <v>Other</v>
      </c>
    </row>
    <row r="10146" spans="1:7" x14ac:dyDescent="0.25">
      <c r="A10146">
        <v>94640</v>
      </c>
      <c r="B10146" t="s">
        <v>4</v>
      </c>
      <c r="C10146">
        <v>4</v>
      </c>
      <c r="D10146" t="s">
        <v>5</v>
      </c>
      <c r="F10146" t="str" cm="1">
        <f t="array" ref="F10146">CategorizeComment(E10146)</f>
        <v>Other</v>
      </c>
      <c r="G10146" t="str" cm="1">
        <f t="array" ref="G10146">SubCategorizeComment(E10146)</f>
        <v>Other</v>
      </c>
    </row>
    <row r="10147" spans="1:7" x14ac:dyDescent="0.25">
      <c r="A10147">
        <v>94642</v>
      </c>
      <c r="B10147" t="s">
        <v>4</v>
      </c>
      <c r="C10147">
        <v>3</v>
      </c>
      <c r="D10147" t="s">
        <v>5</v>
      </c>
      <c r="F10147" t="str" cm="1">
        <f t="array" ref="F10147">CategorizeComment(E10147)</f>
        <v>Other</v>
      </c>
      <c r="G10147" t="str" cm="1">
        <f t="array" ref="G10147">SubCategorizeComment(E10147)</f>
        <v>Other</v>
      </c>
    </row>
    <row r="10148" spans="1:7" x14ac:dyDescent="0.25">
      <c r="A10148">
        <v>94643</v>
      </c>
      <c r="B10148" t="s">
        <v>4</v>
      </c>
      <c r="C10148">
        <v>4</v>
      </c>
      <c r="D10148" t="s">
        <v>5</v>
      </c>
      <c r="F10148" t="str" cm="1">
        <f t="array" ref="F10148">CategorizeComment(E10148)</f>
        <v>Other</v>
      </c>
      <c r="G10148" t="str" cm="1">
        <f t="array" ref="G10148">SubCategorizeComment(E10148)</f>
        <v>Other</v>
      </c>
    </row>
    <row r="10149" spans="1:7" x14ac:dyDescent="0.25">
      <c r="A10149">
        <v>94650</v>
      </c>
      <c r="B10149" t="s">
        <v>4</v>
      </c>
      <c r="C10149">
        <v>4</v>
      </c>
      <c r="D10149" t="s">
        <v>5</v>
      </c>
      <c r="F10149" t="str" cm="1">
        <f t="array" ref="F10149">CategorizeComment(E10149)</f>
        <v>Other</v>
      </c>
      <c r="G10149" t="str" cm="1">
        <f t="array" ref="G10149">SubCategorizeComment(E10149)</f>
        <v>Other</v>
      </c>
    </row>
    <row r="10150" spans="1:7" x14ac:dyDescent="0.25">
      <c r="A10150">
        <v>94652</v>
      </c>
      <c r="B10150" t="s">
        <v>4</v>
      </c>
      <c r="C10150">
        <v>4</v>
      </c>
      <c r="D10150" t="s">
        <v>5</v>
      </c>
      <c r="F10150" t="str" cm="1">
        <f t="array" ref="F10150">CategorizeComment(E10150)</f>
        <v>Other</v>
      </c>
      <c r="G10150" t="str" cm="1">
        <f t="array" ref="G10150">SubCategorizeComment(E10150)</f>
        <v>Other</v>
      </c>
    </row>
    <row r="10151" spans="1:7" x14ac:dyDescent="0.25">
      <c r="A10151">
        <v>94653</v>
      </c>
      <c r="B10151" t="s">
        <v>4</v>
      </c>
      <c r="C10151">
        <v>3</v>
      </c>
      <c r="D10151" t="s">
        <v>5</v>
      </c>
      <c r="F10151" t="str" cm="1">
        <f t="array" ref="F10151">CategorizeComment(E10151)</f>
        <v>Other</v>
      </c>
      <c r="G10151" t="str" cm="1">
        <f t="array" ref="G10151">SubCategorizeComment(E10151)</f>
        <v>Other</v>
      </c>
    </row>
    <row r="10152" spans="1:7" x14ac:dyDescent="0.25">
      <c r="A10152">
        <v>94655</v>
      </c>
      <c r="B10152" t="s">
        <v>4</v>
      </c>
      <c r="C10152">
        <v>3</v>
      </c>
      <c r="D10152" t="s">
        <v>5</v>
      </c>
      <c r="F10152" t="str" cm="1">
        <f t="array" ref="F10152">CategorizeComment(E10152)</f>
        <v>Other</v>
      </c>
      <c r="G10152" t="str" cm="1">
        <f t="array" ref="G10152">SubCategorizeComment(E10152)</f>
        <v>Other</v>
      </c>
    </row>
    <row r="10153" spans="1:7" x14ac:dyDescent="0.25">
      <c r="A10153">
        <v>94663</v>
      </c>
      <c r="B10153" t="s">
        <v>4</v>
      </c>
      <c r="C10153">
        <v>4</v>
      </c>
      <c r="D10153" t="s">
        <v>5</v>
      </c>
      <c r="F10153" t="str" cm="1">
        <f t="array" ref="F10153">CategorizeComment(E10153)</f>
        <v>Other</v>
      </c>
      <c r="G10153" t="str" cm="1">
        <f t="array" ref="G10153">SubCategorizeComment(E10153)</f>
        <v>Other</v>
      </c>
    </row>
    <row r="10154" spans="1:7" x14ac:dyDescent="0.25">
      <c r="A10154">
        <v>94676</v>
      </c>
      <c r="B10154" t="s">
        <v>4</v>
      </c>
      <c r="C10154">
        <v>3</v>
      </c>
      <c r="D10154" t="s">
        <v>5</v>
      </c>
      <c r="F10154" t="str" cm="1">
        <f t="array" ref="F10154">CategorizeComment(E10154)</f>
        <v>Other</v>
      </c>
      <c r="G10154" t="str" cm="1">
        <f t="array" ref="G10154">SubCategorizeComment(E10154)</f>
        <v>Other</v>
      </c>
    </row>
    <row r="10155" spans="1:7" x14ac:dyDescent="0.25">
      <c r="A10155">
        <v>94690</v>
      </c>
      <c r="B10155" t="s">
        <v>4</v>
      </c>
      <c r="C10155">
        <v>4</v>
      </c>
      <c r="D10155" t="s">
        <v>5</v>
      </c>
      <c r="F10155" t="str" cm="1">
        <f t="array" ref="F10155">CategorizeComment(E10155)</f>
        <v>Other</v>
      </c>
      <c r="G10155" t="str" cm="1">
        <f t="array" ref="G10155">SubCategorizeComment(E10155)</f>
        <v>Other</v>
      </c>
    </row>
    <row r="10156" spans="1:7" x14ac:dyDescent="0.25">
      <c r="A10156">
        <v>94696</v>
      </c>
      <c r="B10156" t="s">
        <v>4</v>
      </c>
      <c r="C10156">
        <v>3</v>
      </c>
      <c r="D10156" t="s">
        <v>5</v>
      </c>
      <c r="F10156" t="str" cm="1">
        <f t="array" ref="F10156">CategorizeComment(E10156)</f>
        <v>Other</v>
      </c>
      <c r="G10156" t="str" cm="1">
        <f t="array" ref="G10156">SubCategorizeComment(E10156)</f>
        <v>Other</v>
      </c>
    </row>
    <row r="10157" spans="1:7" x14ac:dyDescent="0.25">
      <c r="A10157">
        <v>94699</v>
      </c>
      <c r="B10157" t="s">
        <v>4</v>
      </c>
      <c r="C10157">
        <v>4</v>
      </c>
      <c r="D10157" t="s">
        <v>5</v>
      </c>
      <c r="F10157" t="str" cm="1">
        <f t="array" ref="F10157">CategorizeComment(E10157)</f>
        <v>Other</v>
      </c>
      <c r="G10157" t="str" cm="1">
        <f t="array" ref="G10157">SubCategorizeComment(E10157)</f>
        <v>Other</v>
      </c>
    </row>
    <row r="10158" spans="1:7" x14ac:dyDescent="0.25">
      <c r="A10158">
        <v>94702</v>
      </c>
      <c r="B10158" t="s">
        <v>4</v>
      </c>
      <c r="C10158">
        <v>3</v>
      </c>
      <c r="D10158" t="s">
        <v>5</v>
      </c>
      <c r="F10158" t="str" cm="1">
        <f t="array" ref="F10158">CategorizeComment(E10158)</f>
        <v>Other</v>
      </c>
      <c r="G10158" t="str" cm="1">
        <f t="array" ref="G10158">SubCategorizeComment(E10158)</f>
        <v>Other</v>
      </c>
    </row>
    <row r="10159" spans="1:7" x14ac:dyDescent="0.25">
      <c r="A10159">
        <v>94718</v>
      </c>
      <c r="B10159" t="s">
        <v>4</v>
      </c>
      <c r="C10159">
        <v>3</v>
      </c>
      <c r="D10159" t="s">
        <v>5</v>
      </c>
      <c r="F10159" t="str" cm="1">
        <f t="array" ref="F10159">CategorizeComment(E10159)</f>
        <v>Other</v>
      </c>
      <c r="G10159" t="str" cm="1">
        <f t="array" ref="G10159">SubCategorizeComment(E10159)</f>
        <v>Other</v>
      </c>
    </row>
    <row r="10160" spans="1:7" x14ac:dyDescent="0.25">
      <c r="A10160">
        <v>94723</v>
      </c>
      <c r="B10160" t="s">
        <v>4</v>
      </c>
      <c r="C10160">
        <v>4</v>
      </c>
      <c r="D10160" t="s">
        <v>5</v>
      </c>
      <c r="F10160" t="str" cm="1">
        <f t="array" ref="F10160">CategorizeComment(E10160)</f>
        <v>Other</v>
      </c>
      <c r="G10160" t="str" cm="1">
        <f t="array" ref="G10160">SubCategorizeComment(E10160)</f>
        <v>Other</v>
      </c>
    </row>
    <row r="10161" spans="1:7" x14ac:dyDescent="0.25">
      <c r="A10161">
        <v>94725</v>
      </c>
      <c r="B10161" t="s">
        <v>4</v>
      </c>
      <c r="C10161">
        <v>4</v>
      </c>
      <c r="D10161" t="s">
        <v>5</v>
      </c>
      <c r="F10161" t="str" cm="1">
        <f t="array" ref="F10161">CategorizeComment(E10161)</f>
        <v>Other</v>
      </c>
      <c r="G10161" t="str" cm="1">
        <f t="array" ref="G10161">SubCategorizeComment(E10161)</f>
        <v>Other</v>
      </c>
    </row>
    <row r="10162" spans="1:7" x14ac:dyDescent="0.25">
      <c r="A10162">
        <v>94743</v>
      </c>
      <c r="B10162" t="s">
        <v>4</v>
      </c>
      <c r="C10162">
        <v>4</v>
      </c>
      <c r="D10162" t="s">
        <v>5</v>
      </c>
      <c r="F10162" t="str" cm="1">
        <f t="array" ref="F10162">CategorizeComment(E10162)</f>
        <v>Other</v>
      </c>
      <c r="G10162" t="str" cm="1">
        <f t="array" ref="G10162">SubCategorizeComment(E10162)</f>
        <v>Other</v>
      </c>
    </row>
    <row r="10163" spans="1:7" x14ac:dyDescent="0.25">
      <c r="A10163">
        <v>94748</v>
      </c>
      <c r="B10163" t="s">
        <v>4</v>
      </c>
      <c r="C10163">
        <v>3</v>
      </c>
      <c r="D10163" t="s">
        <v>5</v>
      </c>
      <c r="F10163" t="str" cm="1">
        <f t="array" ref="F10163">CategorizeComment(E10163)</f>
        <v>Other</v>
      </c>
      <c r="G10163" t="str" cm="1">
        <f t="array" ref="G10163">SubCategorizeComment(E10163)</f>
        <v>Other</v>
      </c>
    </row>
    <row r="10164" spans="1:7" x14ac:dyDescent="0.25">
      <c r="A10164">
        <v>94751</v>
      </c>
      <c r="B10164" t="s">
        <v>4</v>
      </c>
      <c r="C10164">
        <v>4</v>
      </c>
      <c r="D10164" t="s">
        <v>5</v>
      </c>
      <c r="F10164" t="str" cm="1">
        <f t="array" ref="F10164">CategorizeComment(E10164)</f>
        <v>Other</v>
      </c>
      <c r="G10164" t="str" cm="1">
        <f t="array" ref="G10164">SubCategorizeComment(E10164)</f>
        <v>Other</v>
      </c>
    </row>
    <row r="10165" spans="1:7" x14ac:dyDescent="0.25">
      <c r="A10165">
        <v>94752</v>
      </c>
      <c r="B10165" t="s">
        <v>4</v>
      </c>
      <c r="C10165">
        <v>4</v>
      </c>
      <c r="D10165" t="s">
        <v>5</v>
      </c>
      <c r="F10165" t="str" cm="1">
        <f t="array" ref="F10165">CategorizeComment(E10165)</f>
        <v>Other</v>
      </c>
      <c r="G10165" t="str" cm="1">
        <f t="array" ref="G10165">SubCategorizeComment(E10165)</f>
        <v>Other</v>
      </c>
    </row>
    <row r="10166" spans="1:7" x14ac:dyDescent="0.25">
      <c r="A10166">
        <v>94758</v>
      </c>
      <c r="B10166" t="s">
        <v>4</v>
      </c>
      <c r="C10166">
        <v>3</v>
      </c>
      <c r="D10166" t="s">
        <v>5</v>
      </c>
      <c r="F10166" t="str" cm="1">
        <f t="array" ref="F10166">CategorizeComment(E10166)</f>
        <v>Other</v>
      </c>
      <c r="G10166" t="str" cm="1">
        <f t="array" ref="G10166">SubCategorizeComment(E10166)</f>
        <v>Other</v>
      </c>
    </row>
    <row r="10167" spans="1:7" x14ac:dyDescent="0.25">
      <c r="A10167">
        <v>94763</v>
      </c>
      <c r="B10167" t="s">
        <v>4</v>
      </c>
      <c r="C10167">
        <v>3</v>
      </c>
      <c r="D10167" t="s">
        <v>5</v>
      </c>
      <c r="F10167" t="str" cm="1">
        <f t="array" ref="F10167">CategorizeComment(E10167)</f>
        <v>Other</v>
      </c>
      <c r="G10167" t="str" cm="1">
        <f t="array" ref="G10167">SubCategorizeComment(E10167)</f>
        <v>Other</v>
      </c>
    </row>
    <row r="10168" spans="1:7" x14ac:dyDescent="0.25">
      <c r="A10168">
        <v>94766</v>
      </c>
      <c r="B10168" t="s">
        <v>4</v>
      </c>
      <c r="C10168">
        <v>3</v>
      </c>
      <c r="D10168" t="s">
        <v>5</v>
      </c>
      <c r="F10168" t="str" cm="1">
        <f t="array" ref="F10168">CategorizeComment(E10168)</f>
        <v>Other</v>
      </c>
      <c r="G10168" t="str" cm="1">
        <f t="array" ref="G10168">SubCategorizeComment(E10168)</f>
        <v>Other</v>
      </c>
    </row>
    <row r="10169" spans="1:7" x14ac:dyDescent="0.25">
      <c r="A10169">
        <v>94780</v>
      </c>
      <c r="B10169" t="s">
        <v>4</v>
      </c>
      <c r="C10169">
        <v>4</v>
      </c>
      <c r="D10169" t="s">
        <v>5</v>
      </c>
      <c r="F10169" t="str" cm="1">
        <f t="array" ref="F10169">CategorizeComment(E10169)</f>
        <v>Other</v>
      </c>
      <c r="G10169" t="str" cm="1">
        <f t="array" ref="G10169">SubCategorizeComment(E10169)</f>
        <v>Other</v>
      </c>
    </row>
    <row r="10170" spans="1:7" x14ac:dyDescent="0.25">
      <c r="A10170">
        <v>94784</v>
      </c>
      <c r="B10170" t="s">
        <v>4</v>
      </c>
      <c r="C10170">
        <v>3</v>
      </c>
      <c r="D10170" t="s">
        <v>5</v>
      </c>
      <c r="F10170" t="str" cm="1">
        <f t="array" ref="F10170">CategorizeComment(E10170)</f>
        <v>Other</v>
      </c>
      <c r="G10170" t="str" cm="1">
        <f t="array" ref="G10170">SubCategorizeComment(E10170)</f>
        <v>Other</v>
      </c>
    </row>
    <row r="10171" spans="1:7" x14ac:dyDescent="0.25">
      <c r="A10171">
        <v>94803</v>
      </c>
      <c r="B10171" t="s">
        <v>4</v>
      </c>
      <c r="C10171">
        <v>4</v>
      </c>
      <c r="D10171" t="s">
        <v>5</v>
      </c>
      <c r="F10171" t="str" cm="1">
        <f t="array" ref="F10171">CategorizeComment(E10171)</f>
        <v>Other</v>
      </c>
      <c r="G10171" t="str" cm="1">
        <f t="array" ref="G10171">SubCategorizeComment(E10171)</f>
        <v>Other</v>
      </c>
    </row>
    <row r="10172" spans="1:7" x14ac:dyDescent="0.25">
      <c r="A10172">
        <v>94808</v>
      </c>
      <c r="B10172" t="s">
        <v>4</v>
      </c>
      <c r="C10172">
        <v>4</v>
      </c>
      <c r="D10172" t="s">
        <v>5</v>
      </c>
      <c r="F10172" t="str" cm="1">
        <f t="array" ref="F10172">CategorizeComment(E10172)</f>
        <v>Other</v>
      </c>
      <c r="G10172" t="str" cm="1">
        <f t="array" ref="G10172">SubCategorizeComment(E10172)</f>
        <v>Other</v>
      </c>
    </row>
    <row r="10173" spans="1:7" x14ac:dyDescent="0.25">
      <c r="A10173">
        <v>94813</v>
      </c>
      <c r="B10173" t="s">
        <v>4</v>
      </c>
      <c r="C10173">
        <v>3</v>
      </c>
      <c r="D10173" t="s">
        <v>5</v>
      </c>
      <c r="F10173" t="str" cm="1">
        <f t="array" ref="F10173">CategorizeComment(E10173)</f>
        <v>Other</v>
      </c>
      <c r="G10173" t="str" cm="1">
        <f t="array" ref="G10173">SubCategorizeComment(E10173)</f>
        <v>Other</v>
      </c>
    </row>
    <row r="10174" spans="1:7" x14ac:dyDescent="0.25">
      <c r="A10174">
        <v>94814</v>
      </c>
      <c r="B10174" t="s">
        <v>4</v>
      </c>
      <c r="C10174">
        <v>4</v>
      </c>
      <c r="D10174" t="s">
        <v>5</v>
      </c>
      <c r="F10174" t="str" cm="1">
        <f t="array" ref="F10174">CategorizeComment(E10174)</f>
        <v>Other</v>
      </c>
      <c r="G10174" t="str" cm="1">
        <f t="array" ref="G10174">SubCategorizeComment(E10174)</f>
        <v>Other</v>
      </c>
    </row>
    <row r="10175" spans="1:7" x14ac:dyDescent="0.25">
      <c r="A10175">
        <v>94815</v>
      </c>
      <c r="B10175" t="s">
        <v>4</v>
      </c>
      <c r="C10175">
        <v>3</v>
      </c>
      <c r="D10175" t="s">
        <v>5</v>
      </c>
      <c r="F10175" t="str" cm="1">
        <f t="array" ref="F10175">CategorizeComment(E10175)</f>
        <v>Other</v>
      </c>
      <c r="G10175" t="str" cm="1">
        <f t="array" ref="G10175">SubCategorizeComment(E10175)</f>
        <v>Other</v>
      </c>
    </row>
    <row r="10176" spans="1:7" x14ac:dyDescent="0.25">
      <c r="A10176">
        <v>94830</v>
      </c>
      <c r="B10176" t="s">
        <v>4</v>
      </c>
      <c r="C10176">
        <v>4</v>
      </c>
      <c r="D10176" t="s">
        <v>5</v>
      </c>
      <c r="F10176" t="str" cm="1">
        <f t="array" ref="F10176">CategorizeComment(E10176)</f>
        <v>Other</v>
      </c>
      <c r="G10176" t="str" cm="1">
        <f t="array" ref="G10176">SubCategorizeComment(E10176)</f>
        <v>Other</v>
      </c>
    </row>
    <row r="10177" spans="1:7" x14ac:dyDescent="0.25">
      <c r="A10177">
        <v>94857</v>
      </c>
      <c r="B10177" t="s">
        <v>4</v>
      </c>
      <c r="C10177">
        <v>4</v>
      </c>
      <c r="D10177" t="s">
        <v>5</v>
      </c>
      <c r="F10177" t="str" cm="1">
        <f t="array" ref="F10177">CategorizeComment(E10177)</f>
        <v>Other</v>
      </c>
      <c r="G10177" t="str" cm="1">
        <f t="array" ref="G10177">SubCategorizeComment(E10177)</f>
        <v>Other</v>
      </c>
    </row>
    <row r="10178" spans="1:7" x14ac:dyDescent="0.25">
      <c r="A10178">
        <v>94864</v>
      </c>
      <c r="B10178" t="s">
        <v>4</v>
      </c>
      <c r="C10178">
        <v>4</v>
      </c>
      <c r="D10178" t="s">
        <v>5</v>
      </c>
      <c r="F10178" t="str" cm="1">
        <f t="array" ref="F10178">CategorizeComment(E10178)</f>
        <v>Other</v>
      </c>
      <c r="G10178" t="str" cm="1">
        <f t="array" ref="G10178">SubCategorizeComment(E10178)</f>
        <v>Other</v>
      </c>
    </row>
    <row r="10179" spans="1:7" x14ac:dyDescent="0.25">
      <c r="A10179">
        <v>94877</v>
      </c>
      <c r="B10179" t="s">
        <v>4</v>
      </c>
      <c r="C10179">
        <v>4</v>
      </c>
      <c r="D10179" t="s">
        <v>5</v>
      </c>
      <c r="F10179" t="str" cm="1">
        <f t="array" ref="F10179">CategorizeComment(E10179)</f>
        <v>Other</v>
      </c>
      <c r="G10179" t="str" cm="1">
        <f t="array" ref="G10179">SubCategorizeComment(E10179)</f>
        <v>Other</v>
      </c>
    </row>
    <row r="10180" spans="1:7" x14ac:dyDescent="0.25">
      <c r="A10180">
        <v>94882</v>
      </c>
      <c r="B10180" t="s">
        <v>4</v>
      </c>
      <c r="C10180">
        <v>4</v>
      </c>
      <c r="D10180" t="s">
        <v>5</v>
      </c>
      <c r="F10180" t="str" cm="1">
        <f t="array" ref="F10180">CategorizeComment(E10180)</f>
        <v>Other</v>
      </c>
      <c r="G10180" t="str" cm="1">
        <f t="array" ref="G10180">SubCategorizeComment(E10180)</f>
        <v>Other</v>
      </c>
    </row>
    <row r="10181" spans="1:7" x14ac:dyDescent="0.25">
      <c r="A10181">
        <v>94887</v>
      </c>
      <c r="B10181" t="s">
        <v>4</v>
      </c>
      <c r="C10181">
        <v>4</v>
      </c>
      <c r="D10181" t="s">
        <v>5</v>
      </c>
      <c r="F10181" t="str" cm="1">
        <f t="array" ref="F10181">CategorizeComment(E10181)</f>
        <v>Other</v>
      </c>
      <c r="G10181" t="str" cm="1">
        <f t="array" ref="G10181">SubCategorizeComment(E10181)</f>
        <v>Other</v>
      </c>
    </row>
    <row r="10182" spans="1:7" x14ac:dyDescent="0.25">
      <c r="A10182">
        <v>94891</v>
      </c>
      <c r="B10182" t="s">
        <v>4</v>
      </c>
      <c r="C10182">
        <v>4</v>
      </c>
      <c r="D10182" t="s">
        <v>5</v>
      </c>
      <c r="F10182" t="str" cm="1">
        <f t="array" ref="F10182">CategorizeComment(E10182)</f>
        <v>Other</v>
      </c>
      <c r="G10182" t="str" cm="1">
        <f t="array" ref="G10182">SubCategorizeComment(E10182)</f>
        <v>Other</v>
      </c>
    </row>
    <row r="10183" spans="1:7" x14ac:dyDescent="0.25">
      <c r="A10183">
        <v>94896</v>
      </c>
      <c r="B10183" t="s">
        <v>4</v>
      </c>
      <c r="C10183">
        <v>4</v>
      </c>
      <c r="D10183" t="s">
        <v>5</v>
      </c>
      <c r="F10183" t="str" cm="1">
        <f t="array" ref="F10183">CategorizeComment(E10183)</f>
        <v>Other</v>
      </c>
      <c r="G10183" t="str" cm="1">
        <f t="array" ref="G10183">SubCategorizeComment(E10183)</f>
        <v>Other</v>
      </c>
    </row>
    <row r="10184" spans="1:7" x14ac:dyDescent="0.25">
      <c r="A10184">
        <v>94897</v>
      </c>
      <c r="B10184" t="s">
        <v>4</v>
      </c>
      <c r="C10184">
        <v>3</v>
      </c>
      <c r="D10184" t="s">
        <v>5</v>
      </c>
      <c r="F10184" t="str" cm="1">
        <f t="array" ref="F10184">CategorizeComment(E10184)</f>
        <v>Other</v>
      </c>
      <c r="G10184" t="str" cm="1">
        <f t="array" ref="G10184">SubCategorizeComment(E10184)</f>
        <v>Other</v>
      </c>
    </row>
    <row r="10185" spans="1:7" x14ac:dyDescent="0.25">
      <c r="A10185">
        <v>94903</v>
      </c>
      <c r="B10185" t="s">
        <v>4</v>
      </c>
      <c r="C10185">
        <v>3</v>
      </c>
      <c r="D10185" t="s">
        <v>5</v>
      </c>
      <c r="F10185" t="str" cm="1">
        <f t="array" ref="F10185">CategorizeComment(E10185)</f>
        <v>Other</v>
      </c>
      <c r="G10185" t="str" cm="1">
        <f t="array" ref="G10185">SubCategorizeComment(E10185)</f>
        <v>Other</v>
      </c>
    </row>
    <row r="10186" spans="1:7" x14ac:dyDescent="0.25">
      <c r="A10186">
        <v>94919</v>
      </c>
      <c r="B10186" t="s">
        <v>4</v>
      </c>
      <c r="C10186">
        <v>3</v>
      </c>
      <c r="D10186" t="s">
        <v>5</v>
      </c>
      <c r="F10186" t="str" cm="1">
        <f t="array" ref="F10186">CategorizeComment(E10186)</f>
        <v>Other</v>
      </c>
      <c r="G10186" t="str" cm="1">
        <f t="array" ref="G10186">SubCategorizeComment(E10186)</f>
        <v>Other</v>
      </c>
    </row>
    <row r="10187" spans="1:7" x14ac:dyDescent="0.25">
      <c r="A10187">
        <v>94933</v>
      </c>
      <c r="B10187" t="s">
        <v>4</v>
      </c>
      <c r="C10187">
        <v>3</v>
      </c>
      <c r="D10187" t="s">
        <v>5</v>
      </c>
      <c r="F10187" t="str" cm="1">
        <f t="array" ref="F10187">CategorizeComment(E10187)</f>
        <v>Other</v>
      </c>
      <c r="G10187" t="str" cm="1">
        <f t="array" ref="G10187">SubCategorizeComment(E10187)</f>
        <v>Other</v>
      </c>
    </row>
    <row r="10188" spans="1:7" x14ac:dyDescent="0.25">
      <c r="A10188">
        <v>94937</v>
      </c>
      <c r="B10188" t="s">
        <v>4</v>
      </c>
      <c r="C10188">
        <v>3</v>
      </c>
      <c r="D10188" t="s">
        <v>5</v>
      </c>
      <c r="F10188" t="str" cm="1">
        <f t="array" ref="F10188">CategorizeComment(E10188)</f>
        <v>Other</v>
      </c>
      <c r="G10188" t="str" cm="1">
        <f t="array" ref="G10188">SubCategorizeComment(E10188)</f>
        <v>Other</v>
      </c>
    </row>
    <row r="10189" spans="1:7" x14ac:dyDescent="0.25">
      <c r="A10189">
        <v>94945</v>
      </c>
      <c r="B10189" t="s">
        <v>4</v>
      </c>
      <c r="C10189">
        <v>4</v>
      </c>
      <c r="D10189" t="s">
        <v>5</v>
      </c>
      <c r="F10189" t="str" cm="1">
        <f t="array" ref="F10189">CategorizeComment(E10189)</f>
        <v>Other</v>
      </c>
      <c r="G10189" t="str" cm="1">
        <f t="array" ref="G10189">SubCategorizeComment(E10189)</f>
        <v>Other</v>
      </c>
    </row>
    <row r="10190" spans="1:7" x14ac:dyDescent="0.25">
      <c r="A10190">
        <v>94966</v>
      </c>
      <c r="B10190" t="s">
        <v>4</v>
      </c>
      <c r="C10190">
        <v>3</v>
      </c>
      <c r="D10190" t="s">
        <v>5</v>
      </c>
      <c r="F10190" t="str" cm="1">
        <f t="array" ref="F10190">CategorizeComment(E10190)</f>
        <v>Other</v>
      </c>
      <c r="G10190" t="str" cm="1">
        <f t="array" ref="G10190">SubCategorizeComment(E10190)</f>
        <v>Other</v>
      </c>
    </row>
    <row r="10191" spans="1:7" x14ac:dyDescent="0.25">
      <c r="A10191">
        <v>94968</v>
      </c>
      <c r="B10191" t="s">
        <v>4</v>
      </c>
      <c r="C10191">
        <v>4</v>
      </c>
      <c r="D10191" t="s">
        <v>5</v>
      </c>
      <c r="F10191" t="str" cm="1">
        <f t="array" ref="F10191">CategorizeComment(E10191)</f>
        <v>Other</v>
      </c>
      <c r="G10191" t="str" cm="1">
        <f t="array" ref="G10191">SubCategorizeComment(E10191)</f>
        <v>Other</v>
      </c>
    </row>
    <row r="10192" spans="1:7" x14ac:dyDescent="0.25">
      <c r="A10192">
        <v>94973</v>
      </c>
      <c r="B10192" t="s">
        <v>4</v>
      </c>
      <c r="C10192">
        <v>4</v>
      </c>
      <c r="D10192" t="s">
        <v>5</v>
      </c>
      <c r="F10192" t="str" cm="1">
        <f t="array" ref="F10192">CategorizeComment(E10192)</f>
        <v>Other</v>
      </c>
      <c r="G10192" t="str" cm="1">
        <f t="array" ref="G10192">SubCategorizeComment(E10192)</f>
        <v>Other</v>
      </c>
    </row>
    <row r="10193" spans="1:7" x14ac:dyDescent="0.25">
      <c r="A10193">
        <v>94980</v>
      </c>
      <c r="B10193" t="s">
        <v>4</v>
      </c>
      <c r="C10193">
        <v>3</v>
      </c>
      <c r="D10193" t="s">
        <v>5</v>
      </c>
      <c r="F10193" t="str" cm="1">
        <f t="array" ref="F10193">CategorizeComment(E10193)</f>
        <v>Other</v>
      </c>
      <c r="G10193" t="str" cm="1">
        <f t="array" ref="G10193">SubCategorizeComment(E10193)</f>
        <v>Other</v>
      </c>
    </row>
    <row r="10194" spans="1:7" x14ac:dyDescent="0.25">
      <c r="A10194">
        <v>94984</v>
      </c>
      <c r="B10194" t="s">
        <v>4</v>
      </c>
      <c r="C10194">
        <v>3</v>
      </c>
      <c r="D10194" t="s">
        <v>5</v>
      </c>
      <c r="F10194" t="str" cm="1">
        <f t="array" ref="F10194">CategorizeComment(E10194)</f>
        <v>Other</v>
      </c>
      <c r="G10194" t="str" cm="1">
        <f t="array" ref="G10194">SubCategorizeComment(E10194)</f>
        <v>Other</v>
      </c>
    </row>
    <row r="10195" spans="1:7" x14ac:dyDescent="0.25">
      <c r="A10195">
        <v>95008</v>
      </c>
      <c r="B10195" t="s">
        <v>4</v>
      </c>
      <c r="C10195">
        <v>4</v>
      </c>
      <c r="D10195" t="s">
        <v>5</v>
      </c>
      <c r="F10195" t="str" cm="1">
        <f t="array" ref="F10195">CategorizeComment(E10195)</f>
        <v>Other</v>
      </c>
      <c r="G10195" t="str" cm="1">
        <f t="array" ref="G10195">SubCategorizeComment(E10195)</f>
        <v>Other</v>
      </c>
    </row>
    <row r="10196" spans="1:7" x14ac:dyDescent="0.25">
      <c r="A10196">
        <v>95013</v>
      </c>
      <c r="B10196" t="s">
        <v>4</v>
      </c>
      <c r="C10196">
        <v>4</v>
      </c>
      <c r="D10196" t="s">
        <v>5</v>
      </c>
      <c r="F10196" t="str" cm="1">
        <f t="array" ref="F10196">CategorizeComment(E10196)</f>
        <v>Other</v>
      </c>
      <c r="G10196" t="str" cm="1">
        <f t="array" ref="G10196">SubCategorizeComment(E10196)</f>
        <v>Other</v>
      </c>
    </row>
    <row r="10197" spans="1:7" x14ac:dyDescent="0.25">
      <c r="A10197">
        <v>95033</v>
      </c>
      <c r="B10197" t="s">
        <v>4</v>
      </c>
      <c r="C10197">
        <v>3</v>
      </c>
      <c r="D10197" t="s">
        <v>5</v>
      </c>
      <c r="F10197" t="str" cm="1">
        <f t="array" ref="F10197">CategorizeComment(E10197)</f>
        <v>Other</v>
      </c>
      <c r="G10197" t="str" cm="1">
        <f t="array" ref="G10197">SubCategorizeComment(E10197)</f>
        <v>Other</v>
      </c>
    </row>
    <row r="10198" spans="1:7" x14ac:dyDescent="0.25">
      <c r="A10198">
        <v>95036</v>
      </c>
      <c r="B10198" t="s">
        <v>4</v>
      </c>
      <c r="C10198">
        <v>3</v>
      </c>
      <c r="D10198" t="s">
        <v>5</v>
      </c>
      <c r="F10198" t="str" cm="1">
        <f t="array" ref="F10198">CategorizeComment(E10198)</f>
        <v>Other</v>
      </c>
      <c r="G10198" t="str" cm="1">
        <f t="array" ref="G10198">SubCategorizeComment(E10198)</f>
        <v>Other</v>
      </c>
    </row>
    <row r="10199" spans="1:7" x14ac:dyDescent="0.25">
      <c r="A10199">
        <v>95053</v>
      </c>
      <c r="B10199" t="s">
        <v>4</v>
      </c>
      <c r="C10199">
        <v>3</v>
      </c>
      <c r="D10199" t="s">
        <v>5</v>
      </c>
      <c r="F10199" t="str" cm="1">
        <f t="array" ref="F10199">CategorizeComment(E10199)</f>
        <v>Other</v>
      </c>
      <c r="G10199" t="str" cm="1">
        <f t="array" ref="G10199">SubCategorizeComment(E10199)</f>
        <v>Other</v>
      </c>
    </row>
    <row r="10200" spans="1:7" x14ac:dyDescent="0.25">
      <c r="A10200">
        <v>95056</v>
      </c>
      <c r="B10200" t="s">
        <v>4</v>
      </c>
      <c r="C10200">
        <v>4</v>
      </c>
      <c r="D10200" t="s">
        <v>5</v>
      </c>
      <c r="F10200" t="str" cm="1">
        <f t="array" ref="F10200">CategorizeComment(E10200)</f>
        <v>Other</v>
      </c>
      <c r="G10200" t="str" cm="1">
        <f t="array" ref="G10200">SubCategorizeComment(E10200)</f>
        <v>Other</v>
      </c>
    </row>
    <row r="10201" spans="1:7" x14ac:dyDescent="0.25">
      <c r="A10201">
        <v>95059</v>
      </c>
      <c r="B10201" t="s">
        <v>4</v>
      </c>
      <c r="C10201">
        <v>3</v>
      </c>
      <c r="D10201" t="s">
        <v>5</v>
      </c>
      <c r="F10201" t="str" cm="1">
        <f t="array" ref="F10201">CategorizeComment(E10201)</f>
        <v>Other</v>
      </c>
      <c r="G10201" t="str" cm="1">
        <f t="array" ref="G10201">SubCategorizeComment(E10201)</f>
        <v>Other</v>
      </c>
    </row>
    <row r="10202" spans="1:7" x14ac:dyDescent="0.25">
      <c r="A10202">
        <v>95069</v>
      </c>
      <c r="B10202" t="s">
        <v>4</v>
      </c>
      <c r="C10202">
        <v>3</v>
      </c>
      <c r="D10202" t="s">
        <v>5</v>
      </c>
      <c r="F10202" t="str" cm="1">
        <f t="array" ref="F10202">CategorizeComment(E10202)</f>
        <v>Other</v>
      </c>
      <c r="G10202" t="str" cm="1">
        <f t="array" ref="G10202">SubCategorizeComment(E10202)</f>
        <v>Other</v>
      </c>
    </row>
    <row r="10203" spans="1:7" x14ac:dyDescent="0.25">
      <c r="A10203">
        <v>95086</v>
      </c>
      <c r="B10203" t="s">
        <v>4</v>
      </c>
      <c r="C10203">
        <v>4</v>
      </c>
      <c r="D10203" t="s">
        <v>5</v>
      </c>
      <c r="F10203" t="str" cm="1">
        <f t="array" ref="F10203">CategorizeComment(E10203)</f>
        <v>Other</v>
      </c>
      <c r="G10203" t="str" cm="1">
        <f t="array" ref="G10203">SubCategorizeComment(E10203)</f>
        <v>Other</v>
      </c>
    </row>
    <row r="10204" spans="1:7" x14ac:dyDescent="0.25">
      <c r="A10204">
        <v>95114</v>
      </c>
      <c r="B10204" t="s">
        <v>4</v>
      </c>
      <c r="C10204">
        <v>4</v>
      </c>
      <c r="D10204" t="s">
        <v>5</v>
      </c>
      <c r="F10204" t="str" cm="1">
        <f t="array" ref="F10204">CategorizeComment(E10204)</f>
        <v>Other</v>
      </c>
      <c r="G10204" t="str" cm="1">
        <f t="array" ref="G10204">SubCategorizeComment(E10204)</f>
        <v>Other</v>
      </c>
    </row>
    <row r="10205" spans="1:7" x14ac:dyDescent="0.25">
      <c r="A10205">
        <v>95116</v>
      </c>
      <c r="B10205" t="s">
        <v>4</v>
      </c>
      <c r="C10205">
        <v>3</v>
      </c>
      <c r="D10205" t="s">
        <v>5</v>
      </c>
      <c r="F10205" t="str" cm="1">
        <f t="array" ref="F10205">CategorizeComment(E10205)</f>
        <v>Other</v>
      </c>
      <c r="G10205" t="str" cm="1">
        <f t="array" ref="G10205">SubCategorizeComment(E10205)</f>
        <v>Other</v>
      </c>
    </row>
    <row r="10206" spans="1:7" x14ac:dyDescent="0.25">
      <c r="A10206">
        <v>95122</v>
      </c>
      <c r="B10206" t="s">
        <v>4</v>
      </c>
      <c r="C10206">
        <v>4</v>
      </c>
      <c r="D10206" t="s">
        <v>5</v>
      </c>
      <c r="F10206" t="str" cm="1">
        <f t="array" ref="F10206">CategorizeComment(E10206)</f>
        <v>Other</v>
      </c>
      <c r="G10206" t="str" cm="1">
        <f t="array" ref="G10206">SubCategorizeComment(E10206)</f>
        <v>Other</v>
      </c>
    </row>
    <row r="10207" spans="1:7" x14ac:dyDescent="0.25">
      <c r="A10207">
        <v>95132</v>
      </c>
      <c r="B10207" t="s">
        <v>4</v>
      </c>
      <c r="C10207">
        <v>3</v>
      </c>
      <c r="D10207" t="s">
        <v>5</v>
      </c>
      <c r="F10207" t="str" cm="1">
        <f t="array" ref="F10207">CategorizeComment(E10207)</f>
        <v>Other</v>
      </c>
      <c r="G10207" t="str" cm="1">
        <f t="array" ref="G10207">SubCategorizeComment(E10207)</f>
        <v>Other</v>
      </c>
    </row>
    <row r="10208" spans="1:7" x14ac:dyDescent="0.25">
      <c r="A10208">
        <v>95152</v>
      </c>
      <c r="B10208" t="s">
        <v>4</v>
      </c>
      <c r="C10208">
        <v>3</v>
      </c>
      <c r="D10208" t="s">
        <v>5</v>
      </c>
      <c r="F10208" t="str" cm="1">
        <f t="array" ref="F10208">CategorizeComment(E10208)</f>
        <v>Other</v>
      </c>
      <c r="G10208" t="str" cm="1">
        <f t="array" ref="G10208">SubCategorizeComment(E10208)</f>
        <v>Other</v>
      </c>
    </row>
    <row r="10209" spans="1:7" x14ac:dyDescent="0.25">
      <c r="A10209">
        <v>95178</v>
      </c>
      <c r="B10209" t="s">
        <v>4</v>
      </c>
      <c r="C10209">
        <v>4</v>
      </c>
      <c r="D10209" t="s">
        <v>5</v>
      </c>
      <c r="F10209" t="str" cm="1">
        <f t="array" ref="F10209">CategorizeComment(E10209)</f>
        <v>Other</v>
      </c>
      <c r="G10209" t="str" cm="1">
        <f t="array" ref="G10209">SubCategorizeComment(E10209)</f>
        <v>Other</v>
      </c>
    </row>
    <row r="10210" spans="1:7" x14ac:dyDescent="0.25">
      <c r="A10210">
        <v>95180</v>
      </c>
      <c r="B10210" t="s">
        <v>4</v>
      </c>
      <c r="C10210">
        <v>3</v>
      </c>
      <c r="D10210" t="s">
        <v>5</v>
      </c>
      <c r="F10210" t="str" cm="1">
        <f t="array" ref="F10210">CategorizeComment(E10210)</f>
        <v>Other</v>
      </c>
      <c r="G10210" t="str" cm="1">
        <f t="array" ref="G10210">SubCategorizeComment(E10210)</f>
        <v>Other</v>
      </c>
    </row>
    <row r="10211" spans="1:7" x14ac:dyDescent="0.25">
      <c r="A10211">
        <v>95198</v>
      </c>
      <c r="B10211" t="s">
        <v>4</v>
      </c>
      <c r="C10211">
        <v>4</v>
      </c>
      <c r="D10211" t="s">
        <v>5</v>
      </c>
      <c r="F10211" t="str" cm="1">
        <f t="array" ref="F10211">CategorizeComment(E10211)</f>
        <v>Other</v>
      </c>
      <c r="G10211" t="str" cm="1">
        <f t="array" ref="G10211">SubCategorizeComment(E10211)</f>
        <v>Other</v>
      </c>
    </row>
    <row r="10212" spans="1:7" x14ac:dyDescent="0.25">
      <c r="A10212">
        <v>95201</v>
      </c>
      <c r="B10212" t="s">
        <v>4</v>
      </c>
      <c r="C10212">
        <v>4</v>
      </c>
      <c r="D10212" t="s">
        <v>5</v>
      </c>
      <c r="F10212" t="str" cm="1">
        <f t="array" ref="F10212">CategorizeComment(E10212)</f>
        <v>Other</v>
      </c>
      <c r="G10212" t="str" cm="1">
        <f t="array" ref="G10212">SubCategorizeComment(E10212)</f>
        <v>Other</v>
      </c>
    </row>
    <row r="10213" spans="1:7" x14ac:dyDescent="0.25">
      <c r="A10213">
        <v>95203</v>
      </c>
      <c r="B10213" t="s">
        <v>4</v>
      </c>
      <c r="C10213">
        <v>4</v>
      </c>
      <c r="D10213" t="s">
        <v>5</v>
      </c>
      <c r="F10213" t="str" cm="1">
        <f t="array" ref="F10213">CategorizeComment(E10213)</f>
        <v>Other</v>
      </c>
      <c r="G10213" t="str" cm="1">
        <f t="array" ref="G10213">SubCategorizeComment(E10213)</f>
        <v>Other</v>
      </c>
    </row>
    <row r="10214" spans="1:7" x14ac:dyDescent="0.25">
      <c r="A10214">
        <v>95238</v>
      </c>
      <c r="B10214" t="s">
        <v>4</v>
      </c>
      <c r="C10214">
        <v>3</v>
      </c>
      <c r="D10214" t="s">
        <v>5</v>
      </c>
      <c r="F10214" t="str" cm="1">
        <f t="array" ref="F10214">CategorizeComment(E10214)</f>
        <v>Other</v>
      </c>
      <c r="G10214" t="str" cm="1">
        <f t="array" ref="G10214">SubCategorizeComment(E10214)</f>
        <v>Other</v>
      </c>
    </row>
    <row r="10215" spans="1:7" x14ac:dyDescent="0.25">
      <c r="A10215">
        <v>95240</v>
      </c>
      <c r="B10215" t="s">
        <v>4</v>
      </c>
      <c r="C10215">
        <v>3</v>
      </c>
      <c r="D10215" t="s">
        <v>5</v>
      </c>
      <c r="F10215" t="str" cm="1">
        <f t="array" ref="F10215">CategorizeComment(E10215)</f>
        <v>Other</v>
      </c>
      <c r="G10215" t="str" cm="1">
        <f t="array" ref="G10215">SubCategorizeComment(E10215)</f>
        <v>Other</v>
      </c>
    </row>
    <row r="10216" spans="1:7" x14ac:dyDescent="0.25">
      <c r="A10216">
        <v>95245</v>
      </c>
      <c r="B10216" t="s">
        <v>4</v>
      </c>
      <c r="C10216">
        <v>3</v>
      </c>
      <c r="D10216" t="s">
        <v>5</v>
      </c>
      <c r="F10216" t="str" cm="1">
        <f t="array" ref="F10216">CategorizeComment(E10216)</f>
        <v>Other</v>
      </c>
      <c r="G10216" t="str" cm="1">
        <f t="array" ref="G10216">SubCategorizeComment(E10216)</f>
        <v>Other</v>
      </c>
    </row>
    <row r="10217" spans="1:7" x14ac:dyDescent="0.25">
      <c r="A10217">
        <v>95246</v>
      </c>
      <c r="B10217" t="s">
        <v>4</v>
      </c>
      <c r="C10217">
        <v>4</v>
      </c>
      <c r="D10217" t="s">
        <v>5</v>
      </c>
      <c r="F10217" t="str" cm="1">
        <f t="array" ref="F10217">CategorizeComment(E10217)</f>
        <v>Other</v>
      </c>
      <c r="G10217" t="str" cm="1">
        <f t="array" ref="G10217">SubCategorizeComment(E10217)</f>
        <v>Other</v>
      </c>
    </row>
    <row r="10218" spans="1:7" x14ac:dyDescent="0.25">
      <c r="A10218">
        <v>95254</v>
      </c>
      <c r="B10218" t="s">
        <v>4</v>
      </c>
      <c r="C10218">
        <v>4</v>
      </c>
      <c r="D10218" t="s">
        <v>5</v>
      </c>
      <c r="F10218" t="str" cm="1">
        <f t="array" ref="F10218">CategorizeComment(E10218)</f>
        <v>Other</v>
      </c>
      <c r="G10218" t="str" cm="1">
        <f t="array" ref="G10218">SubCategorizeComment(E10218)</f>
        <v>Other</v>
      </c>
    </row>
    <row r="10219" spans="1:7" x14ac:dyDescent="0.25">
      <c r="A10219">
        <v>95257</v>
      </c>
      <c r="B10219" t="s">
        <v>4</v>
      </c>
      <c r="C10219">
        <v>3</v>
      </c>
      <c r="D10219" t="s">
        <v>5</v>
      </c>
      <c r="F10219" t="str" cm="1">
        <f t="array" ref="F10219">CategorizeComment(E10219)</f>
        <v>Other</v>
      </c>
      <c r="G10219" t="str" cm="1">
        <f t="array" ref="G10219">SubCategorizeComment(E10219)</f>
        <v>Other</v>
      </c>
    </row>
    <row r="10220" spans="1:7" x14ac:dyDescent="0.25">
      <c r="A10220">
        <v>95266</v>
      </c>
      <c r="B10220" t="s">
        <v>4</v>
      </c>
      <c r="C10220">
        <v>3</v>
      </c>
      <c r="D10220" t="s">
        <v>5</v>
      </c>
      <c r="F10220" t="str" cm="1">
        <f t="array" ref="F10220">CategorizeComment(E10220)</f>
        <v>Other</v>
      </c>
      <c r="G10220" t="str" cm="1">
        <f t="array" ref="G10220">SubCategorizeComment(E10220)</f>
        <v>Other</v>
      </c>
    </row>
    <row r="10221" spans="1:7" x14ac:dyDescent="0.25">
      <c r="A10221">
        <v>95269</v>
      </c>
      <c r="B10221" t="s">
        <v>4</v>
      </c>
      <c r="C10221">
        <v>3</v>
      </c>
      <c r="D10221" t="s">
        <v>5</v>
      </c>
      <c r="F10221" t="str" cm="1">
        <f t="array" ref="F10221">CategorizeComment(E10221)</f>
        <v>Other</v>
      </c>
      <c r="G10221" t="str" cm="1">
        <f t="array" ref="G10221">SubCategorizeComment(E10221)</f>
        <v>Other</v>
      </c>
    </row>
    <row r="10222" spans="1:7" x14ac:dyDescent="0.25">
      <c r="A10222">
        <v>95281</v>
      </c>
      <c r="B10222" t="s">
        <v>4</v>
      </c>
      <c r="C10222">
        <v>4</v>
      </c>
      <c r="D10222" t="s">
        <v>5</v>
      </c>
      <c r="F10222" t="str" cm="1">
        <f t="array" ref="F10222">CategorizeComment(E10222)</f>
        <v>Other</v>
      </c>
      <c r="G10222" t="str" cm="1">
        <f t="array" ref="G10222">SubCategorizeComment(E10222)</f>
        <v>Other</v>
      </c>
    </row>
    <row r="10223" spans="1:7" x14ac:dyDescent="0.25">
      <c r="A10223">
        <v>95291</v>
      </c>
      <c r="B10223" t="s">
        <v>4</v>
      </c>
      <c r="C10223">
        <v>3</v>
      </c>
      <c r="D10223" t="s">
        <v>5</v>
      </c>
      <c r="F10223" t="str" cm="1">
        <f t="array" ref="F10223">CategorizeComment(E10223)</f>
        <v>Other</v>
      </c>
      <c r="G10223" t="str" cm="1">
        <f t="array" ref="G10223">SubCategorizeComment(E10223)</f>
        <v>Other</v>
      </c>
    </row>
    <row r="10224" spans="1:7" x14ac:dyDescent="0.25">
      <c r="A10224">
        <v>95303</v>
      </c>
      <c r="B10224" t="s">
        <v>4</v>
      </c>
      <c r="C10224">
        <v>3</v>
      </c>
      <c r="D10224" t="s">
        <v>5</v>
      </c>
      <c r="F10224" t="str" cm="1">
        <f t="array" ref="F10224">CategorizeComment(E10224)</f>
        <v>Other</v>
      </c>
      <c r="G10224" t="str" cm="1">
        <f t="array" ref="G10224">SubCategorizeComment(E10224)</f>
        <v>Other</v>
      </c>
    </row>
    <row r="10225" spans="1:7" x14ac:dyDescent="0.25">
      <c r="A10225">
        <v>95308</v>
      </c>
      <c r="B10225" t="s">
        <v>4</v>
      </c>
      <c r="C10225">
        <v>3</v>
      </c>
      <c r="D10225" t="s">
        <v>5</v>
      </c>
      <c r="F10225" t="str" cm="1">
        <f t="array" ref="F10225">CategorizeComment(E10225)</f>
        <v>Other</v>
      </c>
      <c r="G10225" t="str" cm="1">
        <f t="array" ref="G10225">SubCategorizeComment(E10225)</f>
        <v>Other</v>
      </c>
    </row>
    <row r="10226" spans="1:7" x14ac:dyDescent="0.25">
      <c r="A10226">
        <v>95313</v>
      </c>
      <c r="B10226" t="s">
        <v>4</v>
      </c>
      <c r="C10226">
        <v>3</v>
      </c>
      <c r="D10226" t="s">
        <v>5</v>
      </c>
      <c r="F10226" t="str" cm="1">
        <f t="array" ref="F10226">CategorizeComment(E10226)</f>
        <v>Other</v>
      </c>
      <c r="G10226" t="str" cm="1">
        <f t="array" ref="G10226">SubCategorizeComment(E10226)</f>
        <v>Other</v>
      </c>
    </row>
    <row r="10227" spans="1:7" x14ac:dyDescent="0.25">
      <c r="A10227">
        <v>95316</v>
      </c>
      <c r="B10227" t="s">
        <v>4</v>
      </c>
      <c r="C10227">
        <v>3</v>
      </c>
      <c r="D10227" t="s">
        <v>5</v>
      </c>
      <c r="F10227" t="str" cm="1">
        <f t="array" ref="F10227">CategorizeComment(E10227)</f>
        <v>Other</v>
      </c>
      <c r="G10227" t="str" cm="1">
        <f t="array" ref="G10227">SubCategorizeComment(E10227)</f>
        <v>Other</v>
      </c>
    </row>
    <row r="10228" spans="1:7" x14ac:dyDescent="0.25">
      <c r="A10228">
        <v>95329</v>
      </c>
      <c r="B10228" t="s">
        <v>4</v>
      </c>
      <c r="C10228">
        <v>3</v>
      </c>
      <c r="D10228" t="s">
        <v>5</v>
      </c>
      <c r="F10228" t="str" cm="1">
        <f t="array" ref="F10228">CategorizeComment(E10228)</f>
        <v>Other</v>
      </c>
      <c r="G10228" t="str" cm="1">
        <f t="array" ref="G10228">SubCategorizeComment(E10228)</f>
        <v>Other</v>
      </c>
    </row>
    <row r="10229" spans="1:7" x14ac:dyDescent="0.25">
      <c r="A10229">
        <v>95332</v>
      </c>
      <c r="B10229" t="s">
        <v>4</v>
      </c>
      <c r="C10229">
        <v>3</v>
      </c>
      <c r="D10229" t="s">
        <v>5</v>
      </c>
      <c r="F10229" t="str" cm="1">
        <f t="array" ref="F10229">CategorizeComment(E10229)</f>
        <v>Other</v>
      </c>
      <c r="G10229" t="str" cm="1">
        <f t="array" ref="G10229">SubCategorizeComment(E10229)</f>
        <v>Other</v>
      </c>
    </row>
    <row r="10230" spans="1:7" x14ac:dyDescent="0.25">
      <c r="A10230">
        <v>95361</v>
      </c>
      <c r="B10230" t="s">
        <v>4</v>
      </c>
      <c r="C10230">
        <v>4</v>
      </c>
      <c r="D10230" t="s">
        <v>5</v>
      </c>
      <c r="F10230" t="str" cm="1">
        <f t="array" ref="F10230">CategorizeComment(E10230)</f>
        <v>Other</v>
      </c>
      <c r="G10230" t="str" cm="1">
        <f t="array" ref="G10230">SubCategorizeComment(E10230)</f>
        <v>Other</v>
      </c>
    </row>
    <row r="10231" spans="1:7" x14ac:dyDescent="0.25">
      <c r="A10231">
        <v>95363</v>
      </c>
      <c r="B10231" t="s">
        <v>4</v>
      </c>
      <c r="C10231">
        <v>3</v>
      </c>
      <c r="D10231" t="s">
        <v>5</v>
      </c>
      <c r="F10231" t="str" cm="1">
        <f t="array" ref="F10231">CategorizeComment(E10231)</f>
        <v>Other</v>
      </c>
      <c r="G10231" t="str" cm="1">
        <f t="array" ref="G10231">SubCategorizeComment(E10231)</f>
        <v>Other</v>
      </c>
    </row>
    <row r="10232" spans="1:7" x14ac:dyDescent="0.25">
      <c r="A10232">
        <v>95372</v>
      </c>
      <c r="B10232" t="s">
        <v>4</v>
      </c>
      <c r="C10232">
        <v>4</v>
      </c>
      <c r="D10232" t="s">
        <v>5</v>
      </c>
      <c r="F10232" t="str" cm="1">
        <f t="array" ref="F10232">CategorizeComment(E10232)</f>
        <v>Other</v>
      </c>
      <c r="G10232" t="str" cm="1">
        <f t="array" ref="G10232">SubCategorizeComment(E10232)</f>
        <v>Other</v>
      </c>
    </row>
    <row r="10233" spans="1:7" x14ac:dyDescent="0.25">
      <c r="A10233">
        <v>95379</v>
      </c>
      <c r="B10233" t="s">
        <v>4</v>
      </c>
      <c r="C10233">
        <v>3</v>
      </c>
      <c r="D10233" t="s">
        <v>5</v>
      </c>
      <c r="F10233" t="str" cm="1">
        <f t="array" ref="F10233">CategorizeComment(E10233)</f>
        <v>Other</v>
      </c>
      <c r="G10233" t="str" cm="1">
        <f t="array" ref="G10233">SubCategorizeComment(E10233)</f>
        <v>Other</v>
      </c>
    </row>
    <row r="10234" spans="1:7" x14ac:dyDescent="0.25">
      <c r="A10234">
        <v>95399</v>
      </c>
      <c r="B10234" t="s">
        <v>4</v>
      </c>
      <c r="C10234">
        <v>3</v>
      </c>
      <c r="D10234" t="s">
        <v>5</v>
      </c>
      <c r="F10234" t="str" cm="1">
        <f t="array" ref="F10234">CategorizeComment(E10234)</f>
        <v>Other</v>
      </c>
      <c r="G10234" t="str" cm="1">
        <f t="array" ref="G10234">SubCategorizeComment(E10234)</f>
        <v>Other</v>
      </c>
    </row>
    <row r="10235" spans="1:7" x14ac:dyDescent="0.25">
      <c r="A10235">
        <v>95400</v>
      </c>
      <c r="B10235" t="s">
        <v>4</v>
      </c>
      <c r="C10235">
        <v>4</v>
      </c>
      <c r="D10235" t="s">
        <v>5</v>
      </c>
      <c r="F10235" t="str" cm="1">
        <f t="array" ref="F10235">CategorizeComment(E10235)</f>
        <v>Other</v>
      </c>
      <c r="G10235" t="str" cm="1">
        <f t="array" ref="G10235">SubCategorizeComment(E10235)</f>
        <v>Other</v>
      </c>
    </row>
    <row r="10236" spans="1:7" x14ac:dyDescent="0.25">
      <c r="A10236">
        <v>95433</v>
      </c>
      <c r="B10236" t="s">
        <v>4</v>
      </c>
      <c r="C10236">
        <v>3</v>
      </c>
      <c r="D10236" t="s">
        <v>5</v>
      </c>
      <c r="F10236" t="str" cm="1">
        <f t="array" ref="F10236">CategorizeComment(E10236)</f>
        <v>Other</v>
      </c>
      <c r="G10236" t="str" cm="1">
        <f t="array" ref="G10236">SubCategorizeComment(E10236)</f>
        <v>Other</v>
      </c>
    </row>
    <row r="10237" spans="1:7" x14ac:dyDescent="0.25">
      <c r="A10237">
        <v>95438</v>
      </c>
      <c r="B10237" t="s">
        <v>4</v>
      </c>
      <c r="C10237">
        <v>4</v>
      </c>
      <c r="D10237" t="s">
        <v>5</v>
      </c>
      <c r="F10237" t="str" cm="1">
        <f t="array" ref="F10237">CategorizeComment(E10237)</f>
        <v>Other</v>
      </c>
      <c r="G10237" t="str" cm="1">
        <f t="array" ref="G10237">SubCategorizeComment(E10237)</f>
        <v>Other</v>
      </c>
    </row>
    <row r="10238" spans="1:7" x14ac:dyDescent="0.25">
      <c r="A10238">
        <v>95448</v>
      </c>
      <c r="B10238" t="s">
        <v>4</v>
      </c>
      <c r="C10238">
        <v>4</v>
      </c>
      <c r="D10238" t="s">
        <v>5</v>
      </c>
      <c r="F10238" t="str" cm="1">
        <f t="array" ref="F10238">CategorizeComment(E10238)</f>
        <v>Other</v>
      </c>
      <c r="G10238" t="str" cm="1">
        <f t="array" ref="G10238">SubCategorizeComment(E10238)</f>
        <v>Other</v>
      </c>
    </row>
    <row r="10239" spans="1:7" x14ac:dyDescent="0.25">
      <c r="A10239">
        <v>95496</v>
      </c>
      <c r="B10239" t="s">
        <v>4</v>
      </c>
      <c r="C10239">
        <v>3</v>
      </c>
      <c r="D10239" t="s">
        <v>5</v>
      </c>
      <c r="F10239" t="str" cm="1">
        <f t="array" ref="F10239">CategorizeComment(E10239)</f>
        <v>Other</v>
      </c>
      <c r="G10239" t="str" cm="1">
        <f t="array" ref="G10239">SubCategorizeComment(E10239)</f>
        <v>Other</v>
      </c>
    </row>
    <row r="10240" spans="1:7" x14ac:dyDescent="0.25">
      <c r="A10240">
        <v>95501</v>
      </c>
      <c r="B10240" t="s">
        <v>4</v>
      </c>
      <c r="C10240">
        <v>4</v>
      </c>
      <c r="D10240" t="s">
        <v>5</v>
      </c>
      <c r="F10240" t="str" cm="1">
        <f t="array" ref="F10240">CategorizeComment(E10240)</f>
        <v>Other</v>
      </c>
      <c r="G10240" t="str" cm="1">
        <f t="array" ref="G10240">SubCategorizeComment(E10240)</f>
        <v>Other</v>
      </c>
    </row>
    <row r="10241" spans="1:7" x14ac:dyDescent="0.25">
      <c r="A10241">
        <v>95507</v>
      </c>
      <c r="B10241" t="s">
        <v>4</v>
      </c>
      <c r="C10241">
        <v>3</v>
      </c>
      <c r="D10241" t="s">
        <v>5</v>
      </c>
      <c r="F10241" t="str" cm="1">
        <f t="array" ref="F10241">CategorizeComment(E10241)</f>
        <v>Other</v>
      </c>
      <c r="G10241" t="str" cm="1">
        <f t="array" ref="G10241">SubCategorizeComment(E10241)</f>
        <v>Other</v>
      </c>
    </row>
    <row r="10242" spans="1:7" x14ac:dyDescent="0.25">
      <c r="A10242">
        <v>95508</v>
      </c>
      <c r="B10242" t="s">
        <v>4</v>
      </c>
      <c r="C10242">
        <v>3</v>
      </c>
      <c r="D10242" t="s">
        <v>5</v>
      </c>
      <c r="F10242" t="str" cm="1">
        <f t="array" ref="F10242">CategorizeComment(E10242)</f>
        <v>Other</v>
      </c>
      <c r="G10242" t="str" cm="1">
        <f t="array" ref="G10242">SubCategorizeComment(E10242)</f>
        <v>Other</v>
      </c>
    </row>
    <row r="10243" spans="1:7" x14ac:dyDescent="0.25">
      <c r="A10243">
        <v>95509</v>
      </c>
      <c r="B10243" t="s">
        <v>4</v>
      </c>
      <c r="C10243">
        <v>3</v>
      </c>
      <c r="D10243" t="s">
        <v>5</v>
      </c>
      <c r="F10243" t="str" cm="1">
        <f t="array" ref="F10243">CategorizeComment(E10243)</f>
        <v>Other</v>
      </c>
      <c r="G10243" t="str" cm="1">
        <f t="array" ref="G10243">SubCategorizeComment(E10243)</f>
        <v>Other</v>
      </c>
    </row>
    <row r="10244" spans="1:7" x14ac:dyDescent="0.25">
      <c r="A10244">
        <v>95513</v>
      </c>
      <c r="B10244" t="s">
        <v>4</v>
      </c>
      <c r="C10244">
        <v>4</v>
      </c>
      <c r="D10244" t="s">
        <v>5</v>
      </c>
      <c r="F10244" t="str" cm="1">
        <f t="array" ref="F10244">CategorizeComment(E10244)</f>
        <v>Other</v>
      </c>
      <c r="G10244" t="str" cm="1">
        <f t="array" ref="G10244">SubCategorizeComment(E10244)</f>
        <v>Other</v>
      </c>
    </row>
    <row r="10245" spans="1:7" x14ac:dyDescent="0.25">
      <c r="A10245">
        <v>95516</v>
      </c>
      <c r="B10245" t="s">
        <v>4</v>
      </c>
      <c r="C10245">
        <v>3</v>
      </c>
      <c r="D10245" t="s">
        <v>5</v>
      </c>
      <c r="F10245" t="str" cm="1">
        <f t="array" ref="F10245">CategorizeComment(E10245)</f>
        <v>Other</v>
      </c>
      <c r="G10245" t="str" cm="1">
        <f t="array" ref="G10245">SubCategorizeComment(E10245)</f>
        <v>Other</v>
      </c>
    </row>
    <row r="10246" spans="1:7" x14ac:dyDescent="0.25">
      <c r="A10246">
        <v>95518</v>
      </c>
      <c r="B10246" t="s">
        <v>4</v>
      </c>
      <c r="C10246">
        <v>3</v>
      </c>
      <c r="D10246" t="s">
        <v>5</v>
      </c>
      <c r="F10246" t="str" cm="1">
        <f t="array" ref="F10246">CategorizeComment(E10246)</f>
        <v>Other</v>
      </c>
      <c r="G10246" t="str" cm="1">
        <f t="array" ref="G10246">SubCategorizeComment(E10246)</f>
        <v>Other</v>
      </c>
    </row>
    <row r="10247" spans="1:7" x14ac:dyDescent="0.25">
      <c r="A10247">
        <v>95520</v>
      </c>
      <c r="B10247" t="s">
        <v>4</v>
      </c>
      <c r="C10247">
        <v>3</v>
      </c>
      <c r="D10247" t="s">
        <v>5</v>
      </c>
      <c r="F10247" t="str" cm="1">
        <f t="array" ref="F10247">CategorizeComment(E10247)</f>
        <v>Other</v>
      </c>
      <c r="G10247" t="str" cm="1">
        <f t="array" ref="G10247">SubCategorizeComment(E10247)</f>
        <v>Other</v>
      </c>
    </row>
    <row r="10248" spans="1:7" x14ac:dyDescent="0.25">
      <c r="A10248">
        <v>95528</v>
      </c>
      <c r="B10248" t="s">
        <v>4</v>
      </c>
      <c r="C10248">
        <v>3</v>
      </c>
      <c r="D10248" t="s">
        <v>5</v>
      </c>
      <c r="F10248" t="str" cm="1">
        <f t="array" ref="F10248">CategorizeComment(E10248)</f>
        <v>Other</v>
      </c>
      <c r="G10248" t="str" cm="1">
        <f t="array" ref="G10248">SubCategorizeComment(E10248)</f>
        <v>Other</v>
      </c>
    </row>
    <row r="10249" spans="1:7" x14ac:dyDescent="0.25">
      <c r="A10249">
        <v>95530</v>
      </c>
      <c r="B10249" t="s">
        <v>4</v>
      </c>
      <c r="C10249">
        <v>3</v>
      </c>
      <c r="D10249" t="s">
        <v>5</v>
      </c>
      <c r="F10249" t="str" cm="1">
        <f t="array" ref="F10249">CategorizeComment(E10249)</f>
        <v>Other</v>
      </c>
      <c r="G10249" t="str" cm="1">
        <f t="array" ref="G10249">SubCategorizeComment(E10249)</f>
        <v>Other</v>
      </c>
    </row>
    <row r="10250" spans="1:7" x14ac:dyDescent="0.25">
      <c r="A10250">
        <v>95533</v>
      </c>
      <c r="B10250" t="s">
        <v>4</v>
      </c>
      <c r="C10250">
        <v>4</v>
      </c>
      <c r="D10250" t="s">
        <v>5</v>
      </c>
      <c r="F10250" t="str" cm="1">
        <f t="array" ref="F10250">CategorizeComment(E10250)</f>
        <v>Other</v>
      </c>
      <c r="G10250" t="str" cm="1">
        <f t="array" ref="G10250">SubCategorizeComment(E10250)</f>
        <v>Other</v>
      </c>
    </row>
    <row r="10251" spans="1:7" x14ac:dyDescent="0.25">
      <c r="A10251">
        <v>95540</v>
      </c>
      <c r="B10251" t="s">
        <v>4</v>
      </c>
      <c r="C10251">
        <v>4</v>
      </c>
      <c r="D10251" t="s">
        <v>5</v>
      </c>
      <c r="F10251" t="str" cm="1">
        <f t="array" ref="F10251">CategorizeComment(E10251)</f>
        <v>Other</v>
      </c>
      <c r="G10251" t="str" cm="1">
        <f t="array" ref="G10251">SubCategorizeComment(E10251)</f>
        <v>Other</v>
      </c>
    </row>
    <row r="10252" spans="1:7" x14ac:dyDescent="0.25">
      <c r="A10252">
        <v>95559</v>
      </c>
      <c r="B10252" t="s">
        <v>4</v>
      </c>
      <c r="C10252">
        <v>4</v>
      </c>
      <c r="D10252" t="s">
        <v>5</v>
      </c>
      <c r="F10252" t="str" cm="1">
        <f t="array" ref="F10252">CategorizeComment(E10252)</f>
        <v>Other</v>
      </c>
      <c r="G10252" t="str" cm="1">
        <f t="array" ref="G10252">SubCategorizeComment(E10252)</f>
        <v>Other</v>
      </c>
    </row>
    <row r="10253" spans="1:7" x14ac:dyDescent="0.25">
      <c r="A10253">
        <v>95560</v>
      </c>
      <c r="B10253" t="s">
        <v>4</v>
      </c>
      <c r="C10253">
        <v>3</v>
      </c>
      <c r="D10253" t="s">
        <v>5</v>
      </c>
      <c r="F10253" t="str" cm="1">
        <f t="array" ref="F10253">CategorizeComment(E10253)</f>
        <v>Other</v>
      </c>
      <c r="G10253" t="str" cm="1">
        <f t="array" ref="G10253">SubCategorizeComment(E10253)</f>
        <v>Other</v>
      </c>
    </row>
    <row r="10254" spans="1:7" x14ac:dyDescent="0.25">
      <c r="A10254">
        <v>95573</v>
      </c>
      <c r="B10254" t="s">
        <v>4</v>
      </c>
      <c r="C10254">
        <v>4</v>
      </c>
      <c r="D10254" t="s">
        <v>5</v>
      </c>
      <c r="F10254" t="str" cm="1">
        <f t="array" ref="F10254">CategorizeComment(E10254)</f>
        <v>Other</v>
      </c>
      <c r="G10254" t="str" cm="1">
        <f t="array" ref="G10254">SubCategorizeComment(E10254)</f>
        <v>Other</v>
      </c>
    </row>
    <row r="10255" spans="1:7" x14ac:dyDescent="0.25">
      <c r="A10255">
        <v>95588</v>
      </c>
      <c r="B10255" t="s">
        <v>4</v>
      </c>
      <c r="C10255">
        <v>4</v>
      </c>
      <c r="D10255" t="s">
        <v>5</v>
      </c>
      <c r="F10255" t="str" cm="1">
        <f t="array" ref="F10255">CategorizeComment(E10255)</f>
        <v>Other</v>
      </c>
      <c r="G10255" t="str" cm="1">
        <f t="array" ref="G10255">SubCategorizeComment(E10255)</f>
        <v>Other</v>
      </c>
    </row>
    <row r="10256" spans="1:7" x14ac:dyDescent="0.25">
      <c r="A10256">
        <v>95598</v>
      </c>
      <c r="B10256" t="s">
        <v>4</v>
      </c>
      <c r="C10256">
        <v>3</v>
      </c>
      <c r="D10256" t="s">
        <v>5</v>
      </c>
      <c r="F10256" t="str" cm="1">
        <f t="array" ref="F10256">CategorizeComment(E10256)</f>
        <v>Other</v>
      </c>
      <c r="G10256" t="str" cm="1">
        <f t="array" ref="G10256">SubCategorizeComment(E10256)</f>
        <v>Other</v>
      </c>
    </row>
    <row r="10257" spans="1:7" x14ac:dyDescent="0.25">
      <c r="A10257">
        <v>95600</v>
      </c>
      <c r="B10257" t="s">
        <v>4</v>
      </c>
      <c r="C10257">
        <v>3</v>
      </c>
      <c r="D10257" t="s">
        <v>5</v>
      </c>
      <c r="F10257" t="str" cm="1">
        <f t="array" ref="F10257">CategorizeComment(E10257)</f>
        <v>Other</v>
      </c>
      <c r="G10257" t="str" cm="1">
        <f t="array" ref="G10257">SubCategorizeComment(E10257)</f>
        <v>Other</v>
      </c>
    </row>
    <row r="10258" spans="1:7" x14ac:dyDescent="0.25">
      <c r="A10258">
        <v>95607</v>
      </c>
      <c r="B10258" t="s">
        <v>4</v>
      </c>
      <c r="C10258">
        <v>4</v>
      </c>
      <c r="D10258" t="s">
        <v>5</v>
      </c>
      <c r="F10258" t="str" cm="1">
        <f t="array" ref="F10258">CategorizeComment(E10258)</f>
        <v>Other</v>
      </c>
      <c r="G10258" t="str" cm="1">
        <f t="array" ref="G10258">SubCategorizeComment(E10258)</f>
        <v>Other</v>
      </c>
    </row>
    <row r="10259" spans="1:7" x14ac:dyDescent="0.25">
      <c r="A10259">
        <v>95611</v>
      </c>
      <c r="B10259" t="s">
        <v>4</v>
      </c>
      <c r="C10259">
        <v>4</v>
      </c>
      <c r="D10259" t="s">
        <v>5</v>
      </c>
      <c r="F10259" t="str" cm="1">
        <f t="array" ref="F10259">CategorizeComment(E10259)</f>
        <v>Other</v>
      </c>
      <c r="G10259" t="str" cm="1">
        <f t="array" ref="G10259">SubCategorizeComment(E10259)</f>
        <v>Other</v>
      </c>
    </row>
    <row r="10260" spans="1:7" x14ac:dyDescent="0.25">
      <c r="A10260">
        <v>95613</v>
      </c>
      <c r="B10260" t="s">
        <v>4</v>
      </c>
      <c r="C10260">
        <v>4</v>
      </c>
      <c r="D10260" t="s">
        <v>5</v>
      </c>
      <c r="F10260" t="str" cm="1">
        <f t="array" ref="F10260">CategorizeComment(E10260)</f>
        <v>Other</v>
      </c>
      <c r="G10260" t="str" cm="1">
        <f t="array" ref="G10260">SubCategorizeComment(E10260)</f>
        <v>Other</v>
      </c>
    </row>
    <row r="10261" spans="1:7" x14ac:dyDescent="0.25">
      <c r="A10261">
        <v>95622</v>
      </c>
      <c r="B10261" t="s">
        <v>4</v>
      </c>
      <c r="C10261">
        <v>3</v>
      </c>
      <c r="D10261" t="s">
        <v>5</v>
      </c>
      <c r="F10261" t="str" cm="1">
        <f t="array" ref="F10261">CategorizeComment(E10261)</f>
        <v>Other</v>
      </c>
      <c r="G10261" t="str" cm="1">
        <f t="array" ref="G10261">SubCategorizeComment(E10261)</f>
        <v>Other</v>
      </c>
    </row>
    <row r="10262" spans="1:7" x14ac:dyDescent="0.25">
      <c r="A10262">
        <v>95624</v>
      </c>
      <c r="B10262" t="s">
        <v>4</v>
      </c>
      <c r="C10262">
        <v>3</v>
      </c>
      <c r="D10262" t="s">
        <v>5</v>
      </c>
      <c r="F10262" t="str" cm="1">
        <f t="array" ref="F10262">CategorizeComment(E10262)</f>
        <v>Other</v>
      </c>
      <c r="G10262" t="str" cm="1">
        <f t="array" ref="G10262">SubCategorizeComment(E10262)</f>
        <v>Other</v>
      </c>
    </row>
    <row r="10263" spans="1:7" x14ac:dyDescent="0.25">
      <c r="A10263">
        <v>95630</v>
      </c>
      <c r="B10263" t="s">
        <v>4</v>
      </c>
      <c r="C10263">
        <v>4</v>
      </c>
      <c r="D10263" t="s">
        <v>5</v>
      </c>
      <c r="F10263" t="str" cm="1">
        <f t="array" ref="F10263">CategorizeComment(E10263)</f>
        <v>Other</v>
      </c>
      <c r="G10263" t="str" cm="1">
        <f t="array" ref="G10263">SubCategorizeComment(E10263)</f>
        <v>Other</v>
      </c>
    </row>
    <row r="10264" spans="1:7" x14ac:dyDescent="0.25">
      <c r="A10264">
        <v>95635</v>
      </c>
      <c r="B10264" t="s">
        <v>4</v>
      </c>
      <c r="C10264">
        <v>3</v>
      </c>
      <c r="D10264" t="s">
        <v>5</v>
      </c>
      <c r="F10264" t="str" cm="1">
        <f t="array" ref="F10264">CategorizeComment(E10264)</f>
        <v>Other</v>
      </c>
      <c r="G10264" t="str" cm="1">
        <f t="array" ref="G10264">SubCategorizeComment(E10264)</f>
        <v>Other</v>
      </c>
    </row>
    <row r="10265" spans="1:7" x14ac:dyDescent="0.25">
      <c r="A10265">
        <v>95664</v>
      </c>
      <c r="B10265" t="s">
        <v>4</v>
      </c>
      <c r="C10265">
        <v>3</v>
      </c>
      <c r="D10265" t="s">
        <v>5</v>
      </c>
      <c r="F10265" t="str" cm="1">
        <f t="array" ref="F10265">CategorizeComment(E10265)</f>
        <v>Other</v>
      </c>
      <c r="G10265" t="str" cm="1">
        <f t="array" ref="G10265">SubCategorizeComment(E10265)</f>
        <v>Other</v>
      </c>
    </row>
    <row r="10266" spans="1:7" x14ac:dyDescent="0.25">
      <c r="A10266">
        <v>95673</v>
      </c>
      <c r="B10266" t="s">
        <v>4</v>
      </c>
      <c r="C10266">
        <v>3</v>
      </c>
      <c r="D10266" t="s">
        <v>5</v>
      </c>
      <c r="F10266" t="str" cm="1">
        <f t="array" ref="F10266">CategorizeComment(E10266)</f>
        <v>Other</v>
      </c>
      <c r="G10266" t="str" cm="1">
        <f t="array" ref="G10266">SubCategorizeComment(E10266)</f>
        <v>Other</v>
      </c>
    </row>
    <row r="10267" spans="1:7" x14ac:dyDescent="0.25">
      <c r="A10267">
        <v>95682</v>
      </c>
      <c r="B10267" t="s">
        <v>4</v>
      </c>
      <c r="C10267">
        <v>3</v>
      </c>
      <c r="D10267" t="s">
        <v>5</v>
      </c>
      <c r="F10267" t="str" cm="1">
        <f t="array" ref="F10267">CategorizeComment(E10267)</f>
        <v>Other</v>
      </c>
      <c r="G10267" t="str" cm="1">
        <f t="array" ref="G10267">SubCategorizeComment(E10267)</f>
        <v>Other</v>
      </c>
    </row>
    <row r="10268" spans="1:7" x14ac:dyDescent="0.25">
      <c r="A10268">
        <v>95683</v>
      </c>
      <c r="B10268" t="s">
        <v>4</v>
      </c>
      <c r="C10268">
        <v>4</v>
      </c>
      <c r="D10268" t="s">
        <v>5</v>
      </c>
      <c r="F10268" t="str" cm="1">
        <f t="array" ref="F10268">CategorizeComment(E10268)</f>
        <v>Other</v>
      </c>
      <c r="G10268" t="str" cm="1">
        <f t="array" ref="G10268">SubCategorizeComment(E10268)</f>
        <v>Other</v>
      </c>
    </row>
    <row r="10269" spans="1:7" x14ac:dyDescent="0.25">
      <c r="A10269">
        <v>95685</v>
      </c>
      <c r="B10269" t="s">
        <v>4</v>
      </c>
      <c r="C10269">
        <v>3</v>
      </c>
      <c r="D10269" t="s">
        <v>5</v>
      </c>
      <c r="F10269" t="str" cm="1">
        <f t="array" ref="F10269">CategorizeComment(E10269)</f>
        <v>Other</v>
      </c>
      <c r="G10269" t="str" cm="1">
        <f t="array" ref="G10269">SubCategorizeComment(E10269)</f>
        <v>Other</v>
      </c>
    </row>
    <row r="10270" spans="1:7" x14ac:dyDescent="0.25">
      <c r="A10270">
        <v>95691</v>
      </c>
      <c r="B10270" t="s">
        <v>4</v>
      </c>
      <c r="C10270">
        <v>3</v>
      </c>
      <c r="D10270" t="s">
        <v>5</v>
      </c>
      <c r="F10270" t="str" cm="1">
        <f t="array" ref="F10270">CategorizeComment(E10270)</f>
        <v>Other</v>
      </c>
      <c r="G10270" t="str" cm="1">
        <f t="array" ref="G10270">SubCategorizeComment(E10270)</f>
        <v>Other</v>
      </c>
    </row>
    <row r="10271" spans="1:7" x14ac:dyDescent="0.25">
      <c r="A10271">
        <v>95716</v>
      </c>
      <c r="B10271" t="s">
        <v>4</v>
      </c>
      <c r="C10271">
        <v>3</v>
      </c>
      <c r="D10271" t="s">
        <v>5</v>
      </c>
      <c r="F10271" t="str" cm="1">
        <f t="array" ref="F10271">CategorizeComment(E10271)</f>
        <v>Other</v>
      </c>
      <c r="G10271" t="str" cm="1">
        <f t="array" ref="G10271">SubCategorizeComment(E10271)</f>
        <v>Other</v>
      </c>
    </row>
    <row r="10272" spans="1:7" x14ac:dyDescent="0.25">
      <c r="A10272">
        <v>95729</v>
      </c>
      <c r="B10272" t="s">
        <v>4</v>
      </c>
      <c r="C10272">
        <v>4</v>
      </c>
      <c r="D10272" t="s">
        <v>5</v>
      </c>
      <c r="F10272" t="str" cm="1">
        <f t="array" ref="F10272">CategorizeComment(E10272)</f>
        <v>Other</v>
      </c>
      <c r="G10272" t="str" cm="1">
        <f t="array" ref="G10272">SubCategorizeComment(E10272)</f>
        <v>Other</v>
      </c>
    </row>
    <row r="10273" spans="1:7" x14ac:dyDescent="0.25">
      <c r="A10273">
        <v>95737</v>
      </c>
      <c r="B10273" t="s">
        <v>4</v>
      </c>
      <c r="C10273">
        <v>3</v>
      </c>
      <c r="D10273" t="s">
        <v>5</v>
      </c>
      <c r="F10273" t="str" cm="1">
        <f t="array" ref="F10273">CategorizeComment(E10273)</f>
        <v>Other</v>
      </c>
      <c r="G10273" t="str" cm="1">
        <f t="array" ref="G10273">SubCategorizeComment(E10273)</f>
        <v>Other</v>
      </c>
    </row>
    <row r="10274" spans="1:7" x14ac:dyDescent="0.25">
      <c r="A10274">
        <v>95743</v>
      </c>
      <c r="B10274" t="s">
        <v>4</v>
      </c>
      <c r="C10274">
        <v>3</v>
      </c>
      <c r="D10274" t="s">
        <v>5</v>
      </c>
      <c r="F10274" t="str" cm="1">
        <f t="array" ref="F10274">CategorizeComment(E10274)</f>
        <v>Other</v>
      </c>
      <c r="G10274" t="str" cm="1">
        <f t="array" ref="G10274">SubCategorizeComment(E10274)</f>
        <v>Other</v>
      </c>
    </row>
    <row r="10275" spans="1:7" x14ac:dyDescent="0.25">
      <c r="A10275">
        <v>95755</v>
      </c>
      <c r="B10275" t="s">
        <v>4</v>
      </c>
      <c r="C10275">
        <v>3</v>
      </c>
      <c r="D10275" t="s">
        <v>5</v>
      </c>
      <c r="F10275" t="str" cm="1">
        <f t="array" ref="F10275">CategorizeComment(E10275)</f>
        <v>Other</v>
      </c>
      <c r="G10275" t="str" cm="1">
        <f t="array" ref="G10275">SubCategorizeComment(E10275)</f>
        <v>Other</v>
      </c>
    </row>
    <row r="10276" spans="1:7" x14ac:dyDescent="0.25">
      <c r="A10276">
        <v>95764</v>
      </c>
      <c r="B10276" t="s">
        <v>4</v>
      </c>
      <c r="C10276">
        <v>4</v>
      </c>
      <c r="D10276" t="s">
        <v>5</v>
      </c>
      <c r="F10276" t="str" cm="1">
        <f t="array" ref="F10276">CategorizeComment(E10276)</f>
        <v>Other</v>
      </c>
      <c r="G10276" t="str" cm="1">
        <f t="array" ref="G10276">SubCategorizeComment(E10276)</f>
        <v>Other</v>
      </c>
    </row>
    <row r="10277" spans="1:7" x14ac:dyDescent="0.25">
      <c r="A10277">
        <v>95765</v>
      </c>
      <c r="B10277" t="s">
        <v>4</v>
      </c>
      <c r="C10277">
        <v>3</v>
      </c>
      <c r="D10277" t="s">
        <v>5</v>
      </c>
      <c r="F10277" t="str" cm="1">
        <f t="array" ref="F10277">CategorizeComment(E10277)</f>
        <v>Other</v>
      </c>
      <c r="G10277" t="str" cm="1">
        <f t="array" ref="G10277">SubCategorizeComment(E10277)</f>
        <v>Other</v>
      </c>
    </row>
    <row r="10278" spans="1:7" x14ac:dyDescent="0.25">
      <c r="A10278">
        <v>95780</v>
      </c>
      <c r="B10278" t="s">
        <v>4</v>
      </c>
      <c r="C10278">
        <v>3</v>
      </c>
      <c r="D10278" t="s">
        <v>5</v>
      </c>
      <c r="F10278" t="str" cm="1">
        <f t="array" ref="F10278">CategorizeComment(E10278)</f>
        <v>Other</v>
      </c>
      <c r="G10278" t="str" cm="1">
        <f t="array" ref="G10278">SubCategorizeComment(E10278)</f>
        <v>Other</v>
      </c>
    </row>
    <row r="10279" spans="1:7" x14ac:dyDescent="0.25">
      <c r="A10279">
        <v>95782</v>
      </c>
      <c r="B10279" t="s">
        <v>4</v>
      </c>
      <c r="C10279">
        <v>3</v>
      </c>
      <c r="D10279" t="s">
        <v>5</v>
      </c>
      <c r="F10279" t="str" cm="1">
        <f t="array" ref="F10279">CategorizeComment(E10279)</f>
        <v>Other</v>
      </c>
      <c r="G10279" t="str" cm="1">
        <f t="array" ref="G10279">SubCategorizeComment(E10279)</f>
        <v>Other</v>
      </c>
    </row>
    <row r="10280" spans="1:7" x14ac:dyDescent="0.25">
      <c r="A10280">
        <v>95785</v>
      </c>
      <c r="B10280" t="s">
        <v>4</v>
      </c>
      <c r="C10280">
        <v>3</v>
      </c>
      <c r="D10280" t="s">
        <v>5</v>
      </c>
      <c r="F10280" t="str" cm="1">
        <f t="array" ref="F10280">CategorizeComment(E10280)</f>
        <v>Other</v>
      </c>
      <c r="G10280" t="str" cm="1">
        <f t="array" ref="G10280">SubCategorizeComment(E10280)</f>
        <v>Other</v>
      </c>
    </row>
    <row r="10281" spans="1:7" x14ac:dyDescent="0.25">
      <c r="A10281">
        <v>95789</v>
      </c>
      <c r="B10281" t="s">
        <v>4</v>
      </c>
      <c r="C10281">
        <v>3</v>
      </c>
      <c r="D10281" t="s">
        <v>5</v>
      </c>
      <c r="F10281" t="str" cm="1">
        <f t="array" ref="F10281">CategorizeComment(E10281)</f>
        <v>Other</v>
      </c>
      <c r="G10281" t="str" cm="1">
        <f t="array" ref="G10281">SubCategorizeComment(E10281)</f>
        <v>Other</v>
      </c>
    </row>
    <row r="10282" spans="1:7" x14ac:dyDescent="0.25">
      <c r="A10282">
        <v>95798</v>
      </c>
      <c r="B10282" t="s">
        <v>4</v>
      </c>
      <c r="C10282">
        <v>4</v>
      </c>
      <c r="D10282" t="s">
        <v>5</v>
      </c>
      <c r="F10282" t="str" cm="1">
        <f t="array" ref="F10282">CategorizeComment(E10282)</f>
        <v>Other</v>
      </c>
      <c r="G10282" t="str" cm="1">
        <f t="array" ref="G10282">SubCategorizeComment(E10282)</f>
        <v>Other</v>
      </c>
    </row>
    <row r="10283" spans="1:7" x14ac:dyDescent="0.25">
      <c r="A10283">
        <v>95804</v>
      </c>
      <c r="B10283" t="s">
        <v>4</v>
      </c>
      <c r="C10283">
        <v>3</v>
      </c>
      <c r="D10283" t="s">
        <v>5</v>
      </c>
      <c r="F10283" t="str" cm="1">
        <f t="array" ref="F10283">CategorizeComment(E10283)</f>
        <v>Other</v>
      </c>
      <c r="G10283" t="str" cm="1">
        <f t="array" ref="G10283">SubCategorizeComment(E10283)</f>
        <v>Other</v>
      </c>
    </row>
    <row r="10284" spans="1:7" x14ac:dyDescent="0.25">
      <c r="A10284">
        <v>95805</v>
      </c>
      <c r="B10284" t="s">
        <v>4</v>
      </c>
      <c r="C10284">
        <v>4</v>
      </c>
      <c r="D10284" t="s">
        <v>5</v>
      </c>
      <c r="F10284" t="str" cm="1">
        <f t="array" ref="F10284">CategorizeComment(E10284)</f>
        <v>Other</v>
      </c>
      <c r="G10284" t="str" cm="1">
        <f t="array" ref="G10284">SubCategorizeComment(E10284)</f>
        <v>Other</v>
      </c>
    </row>
    <row r="10285" spans="1:7" x14ac:dyDescent="0.25">
      <c r="A10285">
        <v>95808</v>
      </c>
      <c r="B10285" t="s">
        <v>4</v>
      </c>
      <c r="C10285">
        <v>4</v>
      </c>
      <c r="D10285" t="s">
        <v>5</v>
      </c>
      <c r="F10285" t="str" cm="1">
        <f t="array" ref="F10285">CategorizeComment(E10285)</f>
        <v>Other</v>
      </c>
      <c r="G10285" t="str" cm="1">
        <f t="array" ref="G10285">SubCategorizeComment(E10285)</f>
        <v>Other</v>
      </c>
    </row>
    <row r="10286" spans="1:7" x14ac:dyDescent="0.25">
      <c r="A10286">
        <v>95812</v>
      </c>
      <c r="B10286" t="s">
        <v>4</v>
      </c>
      <c r="C10286">
        <v>4</v>
      </c>
      <c r="D10286" t="s">
        <v>5</v>
      </c>
      <c r="F10286" t="str" cm="1">
        <f t="array" ref="F10286">CategorizeComment(E10286)</f>
        <v>Other</v>
      </c>
      <c r="G10286" t="str" cm="1">
        <f t="array" ref="G10286">SubCategorizeComment(E10286)</f>
        <v>Other</v>
      </c>
    </row>
    <row r="10287" spans="1:7" x14ac:dyDescent="0.25">
      <c r="A10287">
        <v>95813</v>
      </c>
      <c r="B10287" t="s">
        <v>4</v>
      </c>
      <c r="C10287">
        <v>3</v>
      </c>
      <c r="D10287" t="s">
        <v>5</v>
      </c>
      <c r="F10287" t="str" cm="1">
        <f t="array" ref="F10287">CategorizeComment(E10287)</f>
        <v>Other</v>
      </c>
      <c r="G10287" t="str" cm="1">
        <f t="array" ref="G10287">SubCategorizeComment(E10287)</f>
        <v>Other</v>
      </c>
    </row>
    <row r="10288" spans="1:7" x14ac:dyDescent="0.25">
      <c r="A10288">
        <v>95828</v>
      </c>
      <c r="B10288" t="s">
        <v>4</v>
      </c>
      <c r="C10288">
        <v>3</v>
      </c>
      <c r="D10288" t="s">
        <v>5</v>
      </c>
      <c r="F10288" t="str" cm="1">
        <f t="array" ref="F10288">CategorizeComment(E10288)</f>
        <v>Other</v>
      </c>
      <c r="G10288" t="str" cm="1">
        <f t="array" ref="G10288">SubCategorizeComment(E10288)</f>
        <v>Other</v>
      </c>
    </row>
    <row r="10289" spans="1:7" x14ac:dyDescent="0.25">
      <c r="A10289">
        <v>95839</v>
      </c>
      <c r="B10289" t="s">
        <v>4</v>
      </c>
      <c r="C10289">
        <v>4</v>
      </c>
      <c r="D10289" t="s">
        <v>5</v>
      </c>
      <c r="F10289" t="str" cm="1">
        <f t="array" ref="F10289">CategorizeComment(E10289)</f>
        <v>Other</v>
      </c>
      <c r="G10289" t="str" cm="1">
        <f t="array" ref="G10289">SubCategorizeComment(E10289)</f>
        <v>Other</v>
      </c>
    </row>
    <row r="10290" spans="1:7" x14ac:dyDescent="0.25">
      <c r="A10290">
        <v>95871</v>
      </c>
      <c r="B10290" t="s">
        <v>4</v>
      </c>
      <c r="C10290">
        <v>4</v>
      </c>
      <c r="D10290" t="s">
        <v>5</v>
      </c>
      <c r="F10290" t="str" cm="1">
        <f t="array" ref="F10290">CategorizeComment(E10290)</f>
        <v>Other</v>
      </c>
      <c r="G10290" t="str" cm="1">
        <f t="array" ref="G10290">SubCategorizeComment(E10290)</f>
        <v>Other</v>
      </c>
    </row>
    <row r="10291" spans="1:7" x14ac:dyDescent="0.25">
      <c r="A10291">
        <v>95872</v>
      </c>
      <c r="B10291" t="s">
        <v>4</v>
      </c>
      <c r="C10291">
        <v>4</v>
      </c>
      <c r="D10291" t="s">
        <v>5</v>
      </c>
      <c r="F10291" t="str" cm="1">
        <f t="array" ref="F10291">CategorizeComment(E10291)</f>
        <v>Other</v>
      </c>
      <c r="G10291" t="str" cm="1">
        <f t="array" ref="G10291">SubCategorizeComment(E10291)</f>
        <v>Other</v>
      </c>
    </row>
    <row r="10292" spans="1:7" x14ac:dyDescent="0.25">
      <c r="A10292">
        <v>95899</v>
      </c>
      <c r="B10292" t="s">
        <v>4</v>
      </c>
      <c r="C10292">
        <v>3</v>
      </c>
      <c r="D10292" t="s">
        <v>5</v>
      </c>
      <c r="F10292" t="str" cm="1">
        <f t="array" ref="F10292">CategorizeComment(E10292)</f>
        <v>Other</v>
      </c>
      <c r="G10292" t="str" cm="1">
        <f t="array" ref="G10292">SubCategorizeComment(E10292)</f>
        <v>Other</v>
      </c>
    </row>
    <row r="10293" spans="1:7" x14ac:dyDescent="0.25">
      <c r="A10293">
        <v>95903</v>
      </c>
      <c r="B10293" t="s">
        <v>4</v>
      </c>
      <c r="C10293">
        <v>4</v>
      </c>
      <c r="D10293" t="s">
        <v>5</v>
      </c>
      <c r="F10293" t="str" cm="1">
        <f t="array" ref="F10293">CategorizeComment(E10293)</f>
        <v>Other</v>
      </c>
      <c r="G10293" t="str" cm="1">
        <f t="array" ref="G10293">SubCategorizeComment(E10293)</f>
        <v>Other</v>
      </c>
    </row>
    <row r="10294" spans="1:7" x14ac:dyDescent="0.25">
      <c r="A10294">
        <v>95914</v>
      </c>
      <c r="B10294" t="s">
        <v>4</v>
      </c>
      <c r="C10294">
        <v>4</v>
      </c>
      <c r="D10294" t="s">
        <v>5</v>
      </c>
      <c r="F10294" t="str" cm="1">
        <f t="array" ref="F10294">CategorizeComment(E10294)</f>
        <v>Other</v>
      </c>
      <c r="G10294" t="str" cm="1">
        <f t="array" ref="G10294">SubCategorizeComment(E10294)</f>
        <v>Other</v>
      </c>
    </row>
    <row r="10295" spans="1:7" x14ac:dyDescent="0.25">
      <c r="A10295">
        <v>95915</v>
      </c>
      <c r="B10295" t="s">
        <v>4</v>
      </c>
      <c r="C10295">
        <v>4</v>
      </c>
      <c r="D10295" t="s">
        <v>5</v>
      </c>
      <c r="F10295" t="str" cm="1">
        <f t="array" ref="F10295">CategorizeComment(E10295)</f>
        <v>Other</v>
      </c>
      <c r="G10295" t="str" cm="1">
        <f t="array" ref="G10295">SubCategorizeComment(E10295)</f>
        <v>Other</v>
      </c>
    </row>
    <row r="10296" spans="1:7" x14ac:dyDescent="0.25">
      <c r="A10296">
        <v>95925</v>
      </c>
      <c r="B10296" t="s">
        <v>4</v>
      </c>
      <c r="C10296">
        <v>3</v>
      </c>
      <c r="D10296" t="s">
        <v>5</v>
      </c>
      <c r="F10296" t="str" cm="1">
        <f t="array" ref="F10296">CategorizeComment(E10296)</f>
        <v>Other</v>
      </c>
      <c r="G10296" t="str" cm="1">
        <f t="array" ref="G10296">SubCategorizeComment(E10296)</f>
        <v>Other</v>
      </c>
    </row>
    <row r="10297" spans="1:7" x14ac:dyDescent="0.25">
      <c r="A10297">
        <v>95931</v>
      </c>
      <c r="B10297" t="s">
        <v>4</v>
      </c>
      <c r="C10297">
        <v>3</v>
      </c>
      <c r="D10297" t="s">
        <v>5</v>
      </c>
      <c r="F10297" t="str" cm="1">
        <f t="array" ref="F10297">CategorizeComment(E10297)</f>
        <v>Other</v>
      </c>
      <c r="G10297" t="str" cm="1">
        <f t="array" ref="G10297">SubCategorizeComment(E10297)</f>
        <v>Other</v>
      </c>
    </row>
    <row r="10298" spans="1:7" x14ac:dyDescent="0.25">
      <c r="A10298">
        <v>95954</v>
      </c>
      <c r="B10298" t="s">
        <v>4</v>
      </c>
      <c r="C10298">
        <v>3</v>
      </c>
      <c r="D10298" t="s">
        <v>5</v>
      </c>
      <c r="F10298" t="str" cm="1">
        <f t="array" ref="F10298">CategorizeComment(E10298)</f>
        <v>Other</v>
      </c>
      <c r="G10298" t="str" cm="1">
        <f t="array" ref="G10298">SubCategorizeComment(E10298)</f>
        <v>Other</v>
      </c>
    </row>
    <row r="10299" spans="1:7" x14ac:dyDescent="0.25">
      <c r="A10299">
        <v>95976</v>
      </c>
      <c r="B10299" t="s">
        <v>4</v>
      </c>
      <c r="C10299">
        <v>4</v>
      </c>
      <c r="D10299" t="s">
        <v>5</v>
      </c>
      <c r="F10299" t="str" cm="1">
        <f t="array" ref="F10299">CategorizeComment(E10299)</f>
        <v>Other</v>
      </c>
      <c r="G10299" t="str" cm="1">
        <f t="array" ref="G10299">SubCategorizeComment(E10299)</f>
        <v>Other</v>
      </c>
    </row>
    <row r="10300" spans="1:7" x14ac:dyDescent="0.25">
      <c r="A10300">
        <v>96008</v>
      </c>
      <c r="B10300" t="s">
        <v>4</v>
      </c>
      <c r="C10300">
        <v>4</v>
      </c>
      <c r="D10300" t="s">
        <v>5</v>
      </c>
      <c r="F10300" t="str" cm="1">
        <f t="array" ref="F10300">CategorizeComment(E10300)</f>
        <v>Other</v>
      </c>
      <c r="G10300" t="str" cm="1">
        <f t="array" ref="G10300">SubCategorizeComment(E10300)</f>
        <v>Other</v>
      </c>
    </row>
    <row r="10301" spans="1:7" x14ac:dyDescent="0.25">
      <c r="A10301">
        <v>96022</v>
      </c>
      <c r="B10301" t="s">
        <v>4</v>
      </c>
      <c r="C10301">
        <v>3</v>
      </c>
      <c r="D10301" t="s">
        <v>5</v>
      </c>
      <c r="F10301" t="str" cm="1">
        <f t="array" ref="F10301">CategorizeComment(E10301)</f>
        <v>Other</v>
      </c>
      <c r="G10301" t="str" cm="1">
        <f t="array" ref="G10301">SubCategorizeComment(E10301)</f>
        <v>Other</v>
      </c>
    </row>
    <row r="10302" spans="1:7" x14ac:dyDescent="0.25">
      <c r="A10302">
        <v>96024</v>
      </c>
      <c r="B10302" t="s">
        <v>4</v>
      </c>
      <c r="C10302">
        <v>4</v>
      </c>
      <c r="D10302" t="s">
        <v>5</v>
      </c>
      <c r="F10302" t="str" cm="1">
        <f t="array" ref="F10302">CategorizeComment(E10302)</f>
        <v>Other</v>
      </c>
      <c r="G10302" t="str" cm="1">
        <f t="array" ref="G10302">SubCategorizeComment(E10302)</f>
        <v>Other</v>
      </c>
    </row>
    <row r="10303" spans="1:7" x14ac:dyDescent="0.25">
      <c r="A10303">
        <v>96032</v>
      </c>
      <c r="B10303" t="s">
        <v>4</v>
      </c>
      <c r="C10303">
        <v>3</v>
      </c>
      <c r="D10303" t="s">
        <v>5</v>
      </c>
      <c r="F10303" t="str" cm="1">
        <f t="array" ref="F10303">CategorizeComment(E10303)</f>
        <v>Other</v>
      </c>
      <c r="G10303" t="str" cm="1">
        <f t="array" ref="G10303">SubCategorizeComment(E10303)</f>
        <v>Other</v>
      </c>
    </row>
    <row r="10304" spans="1:7" x14ac:dyDescent="0.25">
      <c r="A10304">
        <v>96036</v>
      </c>
      <c r="B10304" t="s">
        <v>4</v>
      </c>
      <c r="C10304">
        <v>3</v>
      </c>
      <c r="D10304" t="s">
        <v>5</v>
      </c>
      <c r="F10304" t="str" cm="1">
        <f t="array" ref="F10304">CategorizeComment(E10304)</f>
        <v>Other</v>
      </c>
      <c r="G10304" t="str" cm="1">
        <f t="array" ref="G10304">SubCategorizeComment(E10304)</f>
        <v>Other</v>
      </c>
    </row>
    <row r="10305" spans="1:7" x14ac:dyDescent="0.25">
      <c r="A10305">
        <v>96039</v>
      </c>
      <c r="B10305" t="s">
        <v>4</v>
      </c>
      <c r="C10305">
        <v>3</v>
      </c>
      <c r="D10305" t="s">
        <v>5</v>
      </c>
      <c r="F10305" t="str" cm="1">
        <f t="array" ref="F10305">CategorizeComment(E10305)</f>
        <v>Other</v>
      </c>
      <c r="G10305" t="str" cm="1">
        <f t="array" ref="G10305">SubCategorizeComment(E10305)</f>
        <v>Other</v>
      </c>
    </row>
    <row r="10306" spans="1:7" x14ac:dyDescent="0.25">
      <c r="A10306">
        <v>96053</v>
      </c>
      <c r="B10306" t="s">
        <v>4</v>
      </c>
      <c r="C10306">
        <v>3</v>
      </c>
      <c r="D10306" t="s">
        <v>5</v>
      </c>
      <c r="F10306" t="str" cm="1">
        <f t="array" ref="F10306">CategorizeComment(E10306)</f>
        <v>Other</v>
      </c>
      <c r="G10306" t="str" cm="1">
        <f t="array" ref="G10306">SubCategorizeComment(E10306)</f>
        <v>Other</v>
      </c>
    </row>
    <row r="10307" spans="1:7" x14ac:dyDescent="0.25">
      <c r="A10307">
        <v>96054</v>
      </c>
      <c r="B10307" t="s">
        <v>4</v>
      </c>
      <c r="C10307">
        <v>4</v>
      </c>
      <c r="D10307" t="s">
        <v>5</v>
      </c>
      <c r="F10307" t="str" cm="1">
        <f t="array" ref="F10307">CategorizeComment(E10307)</f>
        <v>Other</v>
      </c>
      <c r="G10307" t="str" cm="1">
        <f t="array" ref="G10307">SubCategorizeComment(E10307)</f>
        <v>Other</v>
      </c>
    </row>
    <row r="10308" spans="1:7" x14ac:dyDescent="0.25">
      <c r="A10308">
        <v>96068</v>
      </c>
      <c r="B10308" t="s">
        <v>4</v>
      </c>
      <c r="C10308">
        <v>3</v>
      </c>
      <c r="D10308" t="s">
        <v>5</v>
      </c>
      <c r="F10308" t="str" cm="1">
        <f t="array" ref="F10308">CategorizeComment(E10308)</f>
        <v>Other</v>
      </c>
      <c r="G10308" t="str" cm="1">
        <f t="array" ref="G10308">SubCategorizeComment(E10308)</f>
        <v>Other</v>
      </c>
    </row>
    <row r="10309" spans="1:7" x14ac:dyDescent="0.25">
      <c r="A10309">
        <v>96074</v>
      </c>
      <c r="B10309" t="s">
        <v>4</v>
      </c>
      <c r="C10309">
        <v>4</v>
      </c>
      <c r="D10309" t="s">
        <v>5</v>
      </c>
      <c r="F10309" t="str" cm="1">
        <f t="array" ref="F10309">CategorizeComment(E10309)</f>
        <v>Other</v>
      </c>
      <c r="G10309" t="str" cm="1">
        <f t="array" ref="G10309">SubCategorizeComment(E10309)</f>
        <v>Other</v>
      </c>
    </row>
    <row r="10310" spans="1:7" x14ac:dyDescent="0.25">
      <c r="A10310">
        <v>96085</v>
      </c>
      <c r="B10310" t="s">
        <v>4</v>
      </c>
      <c r="C10310">
        <v>4</v>
      </c>
      <c r="D10310" t="s">
        <v>5</v>
      </c>
      <c r="F10310" t="str" cm="1">
        <f t="array" ref="F10310">CategorizeComment(E10310)</f>
        <v>Other</v>
      </c>
      <c r="G10310" t="str" cm="1">
        <f t="array" ref="G10310">SubCategorizeComment(E10310)</f>
        <v>Other</v>
      </c>
    </row>
    <row r="10311" spans="1:7" x14ac:dyDescent="0.25">
      <c r="A10311">
        <v>96089</v>
      </c>
      <c r="B10311" t="s">
        <v>4</v>
      </c>
      <c r="C10311">
        <v>3</v>
      </c>
      <c r="D10311" t="s">
        <v>5</v>
      </c>
      <c r="F10311" t="str" cm="1">
        <f t="array" ref="F10311">CategorizeComment(E10311)</f>
        <v>Other</v>
      </c>
      <c r="G10311" t="str" cm="1">
        <f t="array" ref="G10311">SubCategorizeComment(E10311)</f>
        <v>Other</v>
      </c>
    </row>
    <row r="10312" spans="1:7" x14ac:dyDescent="0.25">
      <c r="A10312">
        <v>96105</v>
      </c>
      <c r="B10312" t="s">
        <v>4</v>
      </c>
      <c r="C10312">
        <v>3</v>
      </c>
      <c r="D10312" t="s">
        <v>5</v>
      </c>
      <c r="F10312" t="str" cm="1">
        <f t="array" ref="F10312">CategorizeComment(E10312)</f>
        <v>Other</v>
      </c>
      <c r="G10312" t="str" cm="1">
        <f t="array" ref="G10312">SubCategorizeComment(E10312)</f>
        <v>Other</v>
      </c>
    </row>
    <row r="10313" spans="1:7" x14ac:dyDescent="0.25">
      <c r="A10313">
        <v>96108</v>
      </c>
      <c r="B10313" t="s">
        <v>4</v>
      </c>
      <c r="C10313">
        <v>4</v>
      </c>
      <c r="D10313" t="s">
        <v>5</v>
      </c>
      <c r="F10313" t="str" cm="1">
        <f t="array" ref="F10313">CategorizeComment(E10313)</f>
        <v>Other</v>
      </c>
      <c r="G10313" t="str" cm="1">
        <f t="array" ref="G10313">SubCategorizeComment(E10313)</f>
        <v>Other</v>
      </c>
    </row>
    <row r="10314" spans="1:7" x14ac:dyDescent="0.25">
      <c r="A10314">
        <v>96135</v>
      </c>
      <c r="B10314" t="s">
        <v>4</v>
      </c>
      <c r="C10314">
        <v>4</v>
      </c>
      <c r="D10314" t="s">
        <v>5</v>
      </c>
      <c r="F10314" t="str" cm="1">
        <f t="array" ref="F10314">CategorizeComment(E10314)</f>
        <v>Other</v>
      </c>
      <c r="G10314" t="str" cm="1">
        <f t="array" ref="G10314">SubCategorizeComment(E10314)</f>
        <v>Other</v>
      </c>
    </row>
    <row r="10315" spans="1:7" x14ac:dyDescent="0.25">
      <c r="A10315">
        <v>96147</v>
      </c>
      <c r="B10315" t="s">
        <v>4</v>
      </c>
      <c r="C10315">
        <v>4</v>
      </c>
      <c r="D10315" t="s">
        <v>5</v>
      </c>
      <c r="F10315" t="str" cm="1">
        <f t="array" ref="F10315">CategorizeComment(E10315)</f>
        <v>Other</v>
      </c>
      <c r="G10315" t="str" cm="1">
        <f t="array" ref="G10315">SubCategorizeComment(E10315)</f>
        <v>Other</v>
      </c>
    </row>
    <row r="10316" spans="1:7" x14ac:dyDescent="0.25">
      <c r="A10316">
        <v>96180</v>
      </c>
      <c r="B10316" t="s">
        <v>4</v>
      </c>
      <c r="C10316">
        <v>3</v>
      </c>
      <c r="D10316" t="s">
        <v>5</v>
      </c>
      <c r="F10316" t="str" cm="1">
        <f t="array" ref="F10316">CategorizeComment(E10316)</f>
        <v>Other</v>
      </c>
      <c r="G10316" t="str" cm="1">
        <f t="array" ref="G10316">SubCategorizeComment(E10316)</f>
        <v>Other</v>
      </c>
    </row>
    <row r="10317" spans="1:7" x14ac:dyDescent="0.25">
      <c r="A10317">
        <v>96206</v>
      </c>
      <c r="B10317" t="s">
        <v>4</v>
      </c>
      <c r="C10317">
        <v>4</v>
      </c>
      <c r="D10317" t="s">
        <v>5</v>
      </c>
      <c r="F10317" t="str" cm="1">
        <f t="array" ref="F10317">CategorizeComment(E10317)</f>
        <v>Other</v>
      </c>
      <c r="G10317" t="str" cm="1">
        <f t="array" ref="G10317">SubCategorizeComment(E10317)</f>
        <v>Other</v>
      </c>
    </row>
    <row r="10318" spans="1:7" x14ac:dyDescent="0.25">
      <c r="A10318">
        <v>96211</v>
      </c>
      <c r="B10318" t="s">
        <v>4</v>
      </c>
      <c r="C10318">
        <v>4</v>
      </c>
      <c r="D10318" t="s">
        <v>5</v>
      </c>
      <c r="F10318" t="str" cm="1">
        <f t="array" ref="F10318">CategorizeComment(E10318)</f>
        <v>Other</v>
      </c>
      <c r="G10318" t="str" cm="1">
        <f t="array" ref="G10318">SubCategorizeComment(E10318)</f>
        <v>Other</v>
      </c>
    </row>
    <row r="10319" spans="1:7" x14ac:dyDescent="0.25">
      <c r="A10319">
        <v>96215</v>
      </c>
      <c r="B10319" t="s">
        <v>4</v>
      </c>
      <c r="C10319">
        <v>3</v>
      </c>
      <c r="D10319" t="s">
        <v>5</v>
      </c>
      <c r="F10319" t="str" cm="1">
        <f t="array" ref="F10319">CategorizeComment(E10319)</f>
        <v>Other</v>
      </c>
      <c r="G10319" t="str" cm="1">
        <f t="array" ref="G10319">SubCategorizeComment(E10319)</f>
        <v>Other</v>
      </c>
    </row>
    <row r="10320" spans="1:7" x14ac:dyDescent="0.25">
      <c r="A10320">
        <v>96225</v>
      </c>
      <c r="B10320" t="s">
        <v>4</v>
      </c>
      <c r="C10320">
        <v>4</v>
      </c>
      <c r="D10320" t="s">
        <v>5</v>
      </c>
      <c r="F10320" t="str" cm="1">
        <f t="array" ref="F10320">CategorizeComment(E10320)</f>
        <v>Other</v>
      </c>
      <c r="G10320" t="str" cm="1">
        <f t="array" ref="G10320">SubCategorizeComment(E10320)</f>
        <v>Other</v>
      </c>
    </row>
    <row r="10321" spans="1:7" x14ac:dyDescent="0.25">
      <c r="A10321">
        <v>96233</v>
      </c>
      <c r="B10321" t="s">
        <v>4</v>
      </c>
      <c r="C10321">
        <v>4</v>
      </c>
      <c r="D10321" t="s">
        <v>5</v>
      </c>
      <c r="F10321" t="str" cm="1">
        <f t="array" ref="F10321">CategorizeComment(E10321)</f>
        <v>Other</v>
      </c>
      <c r="G10321" t="str" cm="1">
        <f t="array" ref="G10321">SubCategorizeComment(E10321)</f>
        <v>Other</v>
      </c>
    </row>
    <row r="10322" spans="1:7" x14ac:dyDescent="0.25">
      <c r="A10322">
        <v>96236</v>
      </c>
      <c r="B10322" t="s">
        <v>4</v>
      </c>
      <c r="C10322">
        <v>4</v>
      </c>
      <c r="D10322" t="s">
        <v>5</v>
      </c>
      <c r="F10322" t="str" cm="1">
        <f t="array" ref="F10322">CategorizeComment(E10322)</f>
        <v>Other</v>
      </c>
      <c r="G10322" t="str" cm="1">
        <f t="array" ref="G10322">SubCategorizeComment(E10322)</f>
        <v>Other</v>
      </c>
    </row>
    <row r="10323" spans="1:7" x14ac:dyDescent="0.25">
      <c r="A10323">
        <v>96243</v>
      </c>
      <c r="B10323" t="s">
        <v>4</v>
      </c>
      <c r="C10323">
        <v>3</v>
      </c>
      <c r="D10323" t="s">
        <v>5</v>
      </c>
      <c r="F10323" t="str" cm="1">
        <f t="array" ref="F10323">CategorizeComment(E10323)</f>
        <v>Other</v>
      </c>
      <c r="G10323" t="str" cm="1">
        <f t="array" ref="G10323">SubCategorizeComment(E10323)</f>
        <v>Other</v>
      </c>
    </row>
    <row r="10324" spans="1:7" x14ac:dyDescent="0.25">
      <c r="A10324">
        <v>96247</v>
      </c>
      <c r="B10324" t="s">
        <v>4</v>
      </c>
      <c r="C10324">
        <v>3</v>
      </c>
      <c r="D10324" t="s">
        <v>5</v>
      </c>
      <c r="F10324" t="str" cm="1">
        <f t="array" ref="F10324">CategorizeComment(E10324)</f>
        <v>Other</v>
      </c>
      <c r="G10324" t="str" cm="1">
        <f t="array" ref="G10324">SubCategorizeComment(E10324)</f>
        <v>Other</v>
      </c>
    </row>
    <row r="10325" spans="1:7" x14ac:dyDescent="0.25">
      <c r="A10325">
        <v>96255</v>
      </c>
      <c r="B10325" t="s">
        <v>4</v>
      </c>
      <c r="C10325">
        <v>4</v>
      </c>
      <c r="D10325" t="s">
        <v>5</v>
      </c>
      <c r="F10325" t="str" cm="1">
        <f t="array" ref="F10325">CategorizeComment(E10325)</f>
        <v>Other</v>
      </c>
      <c r="G10325" t="str" cm="1">
        <f t="array" ref="G10325">SubCategorizeComment(E10325)</f>
        <v>Other</v>
      </c>
    </row>
    <row r="10326" spans="1:7" x14ac:dyDescent="0.25">
      <c r="A10326">
        <v>96256</v>
      </c>
      <c r="B10326" t="s">
        <v>4</v>
      </c>
      <c r="C10326">
        <v>3</v>
      </c>
      <c r="D10326" t="s">
        <v>5</v>
      </c>
      <c r="F10326" t="str" cm="1">
        <f t="array" ref="F10326">CategorizeComment(E10326)</f>
        <v>Other</v>
      </c>
      <c r="G10326" t="str" cm="1">
        <f t="array" ref="G10326">SubCategorizeComment(E10326)</f>
        <v>Other</v>
      </c>
    </row>
    <row r="10327" spans="1:7" x14ac:dyDescent="0.25">
      <c r="A10327">
        <v>96268</v>
      </c>
      <c r="B10327" t="s">
        <v>4</v>
      </c>
      <c r="C10327">
        <v>3</v>
      </c>
      <c r="D10327" t="s">
        <v>5</v>
      </c>
      <c r="F10327" t="str" cm="1">
        <f t="array" ref="F10327">CategorizeComment(E10327)</f>
        <v>Other</v>
      </c>
      <c r="G10327" t="str" cm="1">
        <f t="array" ref="G10327">SubCategorizeComment(E10327)</f>
        <v>Other</v>
      </c>
    </row>
    <row r="10328" spans="1:7" x14ac:dyDescent="0.25">
      <c r="A10328">
        <v>96282</v>
      </c>
      <c r="B10328" t="s">
        <v>4</v>
      </c>
      <c r="C10328">
        <v>4</v>
      </c>
      <c r="D10328" t="s">
        <v>5</v>
      </c>
      <c r="F10328" t="str" cm="1">
        <f t="array" ref="F10328">CategorizeComment(E10328)</f>
        <v>Other</v>
      </c>
      <c r="G10328" t="str" cm="1">
        <f t="array" ref="G10328">SubCategorizeComment(E10328)</f>
        <v>Other</v>
      </c>
    </row>
    <row r="10329" spans="1:7" x14ac:dyDescent="0.25">
      <c r="A10329">
        <v>96288</v>
      </c>
      <c r="B10329" t="s">
        <v>4</v>
      </c>
      <c r="C10329">
        <v>4</v>
      </c>
      <c r="D10329" t="s">
        <v>5</v>
      </c>
      <c r="F10329" t="str" cm="1">
        <f t="array" ref="F10329">CategorizeComment(E10329)</f>
        <v>Other</v>
      </c>
      <c r="G10329" t="str" cm="1">
        <f t="array" ref="G10329">SubCategorizeComment(E10329)</f>
        <v>Other</v>
      </c>
    </row>
    <row r="10330" spans="1:7" x14ac:dyDescent="0.25">
      <c r="A10330">
        <v>96309</v>
      </c>
      <c r="B10330" t="s">
        <v>4</v>
      </c>
      <c r="C10330">
        <v>3</v>
      </c>
      <c r="D10330" t="s">
        <v>5</v>
      </c>
      <c r="F10330" t="str" cm="1">
        <f t="array" ref="F10330">CategorizeComment(E10330)</f>
        <v>Other</v>
      </c>
      <c r="G10330" t="str" cm="1">
        <f t="array" ref="G10330">SubCategorizeComment(E10330)</f>
        <v>Other</v>
      </c>
    </row>
    <row r="10331" spans="1:7" x14ac:dyDescent="0.25">
      <c r="A10331">
        <v>96311</v>
      </c>
      <c r="B10331" t="s">
        <v>4</v>
      </c>
      <c r="C10331">
        <v>3</v>
      </c>
      <c r="D10331" t="s">
        <v>5</v>
      </c>
      <c r="F10331" t="str" cm="1">
        <f t="array" ref="F10331">CategorizeComment(E10331)</f>
        <v>Other</v>
      </c>
      <c r="G10331" t="str" cm="1">
        <f t="array" ref="G10331">SubCategorizeComment(E10331)</f>
        <v>Other</v>
      </c>
    </row>
    <row r="10332" spans="1:7" x14ac:dyDescent="0.25">
      <c r="A10332">
        <v>96318</v>
      </c>
      <c r="B10332" t="s">
        <v>4</v>
      </c>
      <c r="C10332">
        <v>3</v>
      </c>
      <c r="D10332" t="s">
        <v>5</v>
      </c>
      <c r="F10332" t="str" cm="1">
        <f t="array" ref="F10332">CategorizeComment(E10332)</f>
        <v>Other</v>
      </c>
      <c r="G10332" t="str" cm="1">
        <f t="array" ref="G10332">SubCategorizeComment(E10332)</f>
        <v>Other</v>
      </c>
    </row>
    <row r="10333" spans="1:7" x14ac:dyDescent="0.25">
      <c r="A10333">
        <v>96333</v>
      </c>
      <c r="B10333" t="s">
        <v>4</v>
      </c>
      <c r="C10333">
        <v>4</v>
      </c>
      <c r="D10333" t="s">
        <v>5</v>
      </c>
      <c r="F10333" t="str" cm="1">
        <f t="array" ref="F10333">CategorizeComment(E10333)</f>
        <v>Other</v>
      </c>
      <c r="G10333" t="str" cm="1">
        <f t="array" ref="G10333">SubCategorizeComment(E10333)</f>
        <v>Other</v>
      </c>
    </row>
    <row r="10334" spans="1:7" x14ac:dyDescent="0.25">
      <c r="A10334">
        <v>96335</v>
      </c>
      <c r="B10334" t="s">
        <v>4</v>
      </c>
      <c r="C10334">
        <v>4</v>
      </c>
      <c r="D10334" t="s">
        <v>5</v>
      </c>
      <c r="F10334" t="str" cm="1">
        <f t="array" ref="F10334">CategorizeComment(E10334)</f>
        <v>Other</v>
      </c>
      <c r="G10334" t="str" cm="1">
        <f t="array" ref="G10334">SubCategorizeComment(E10334)</f>
        <v>Other</v>
      </c>
    </row>
    <row r="10335" spans="1:7" x14ac:dyDescent="0.25">
      <c r="A10335">
        <v>96344</v>
      </c>
      <c r="B10335" t="s">
        <v>4</v>
      </c>
      <c r="C10335">
        <v>4</v>
      </c>
      <c r="D10335" t="s">
        <v>5</v>
      </c>
      <c r="F10335" t="str" cm="1">
        <f t="array" ref="F10335">CategorizeComment(E10335)</f>
        <v>Other</v>
      </c>
      <c r="G10335" t="str" cm="1">
        <f t="array" ref="G10335">SubCategorizeComment(E10335)</f>
        <v>Other</v>
      </c>
    </row>
    <row r="10336" spans="1:7" x14ac:dyDescent="0.25">
      <c r="A10336">
        <v>96346</v>
      </c>
      <c r="B10336" t="s">
        <v>4</v>
      </c>
      <c r="C10336">
        <v>3</v>
      </c>
      <c r="D10336" t="s">
        <v>5</v>
      </c>
      <c r="F10336" t="str" cm="1">
        <f t="array" ref="F10336">CategorizeComment(E10336)</f>
        <v>Other</v>
      </c>
      <c r="G10336" t="str" cm="1">
        <f t="array" ref="G10336">SubCategorizeComment(E10336)</f>
        <v>Other</v>
      </c>
    </row>
    <row r="10337" spans="1:7" x14ac:dyDescent="0.25">
      <c r="A10337">
        <v>96375</v>
      </c>
      <c r="B10337" t="s">
        <v>4</v>
      </c>
      <c r="C10337">
        <v>3</v>
      </c>
      <c r="D10337" t="s">
        <v>5</v>
      </c>
      <c r="F10337" t="str" cm="1">
        <f t="array" ref="F10337">CategorizeComment(E10337)</f>
        <v>Other</v>
      </c>
      <c r="G10337" t="str" cm="1">
        <f t="array" ref="G10337">SubCategorizeComment(E10337)</f>
        <v>Other</v>
      </c>
    </row>
    <row r="10338" spans="1:7" x14ac:dyDescent="0.25">
      <c r="A10338">
        <v>96391</v>
      </c>
      <c r="B10338" t="s">
        <v>4</v>
      </c>
      <c r="C10338">
        <v>3</v>
      </c>
      <c r="D10338" t="s">
        <v>5</v>
      </c>
      <c r="F10338" t="str" cm="1">
        <f t="array" ref="F10338">CategorizeComment(E10338)</f>
        <v>Other</v>
      </c>
      <c r="G10338" t="str" cm="1">
        <f t="array" ref="G10338">SubCategorizeComment(E10338)</f>
        <v>Other</v>
      </c>
    </row>
    <row r="10339" spans="1:7" x14ac:dyDescent="0.25">
      <c r="A10339">
        <v>96399</v>
      </c>
      <c r="B10339" t="s">
        <v>4</v>
      </c>
      <c r="C10339">
        <v>4</v>
      </c>
      <c r="D10339" t="s">
        <v>5</v>
      </c>
      <c r="F10339" t="str" cm="1">
        <f t="array" ref="F10339">CategorizeComment(E10339)</f>
        <v>Other</v>
      </c>
      <c r="G10339" t="str" cm="1">
        <f t="array" ref="G10339">SubCategorizeComment(E10339)</f>
        <v>Other</v>
      </c>
    </row>
    <row r="10340" spans="1:7" x14ac:dyDescent="0.25">
      <c r="A10340">
        <v>96403</v>
      </c>
      <c r="B10340" t="s">
        <v>4</v>
      </c>
      <c r="C10340">
        <v>3</v>
      </c>
      <c r="D10340" t="s">
        <v>5</v>
      </c>
      <c r="F10340" t="str" cm="1">
        <f t="array" ref="F10340">CategorizeComment(E10340)</f>
        <v>Other</v>
      </c>
      <c r="G10340" t="str" cm="1">
        <f t="array" ref="G10340">SubCategorizeComment(E10340)</f>
        <v>Other</v>
      </c>
    </row>
    <row r="10341" spans="1:7" x14ac:dyDescent="0.25">
      <c r="A10341">
        <v>96422</v>
      </c>
      <c r="B10341" t="s">
        <v>4</v>
      </c>
      <c r="C10341">
        <v>3</v>
      </c>
      <c r="D10341" t="s">
        <v>5</v>
      </c>
      <c r="F10341" t="str" cm="1">
        <f t="array" ref="F10341">CategorizeComment(E10341)</f>
        <v>Other</v>
      </c>
      <c r="G10341" t="str" cm="1">
        <f t="array" ref="G10341">SubCategorizeComment(E10341)</f>
        <v>Other</v>
      </c>
    </row>
    <row r="10342" spans="1:7" x14ac:dyDescent="0.25">
      <c r="A10342">
        <v>96473</v>
      </c>
      <c r="B10342" t="s">
        <v>4</v>
      </c>
      <c r="C10342">
        <v>4</v>
      </c>
      <c r="D10342" t="s">
        <v>5</v>
      </c>
      <c r="F10342" t="str" cm="1">
        <f t="array" ref="F10342">CategorizeComment(E10342)</f>
        <v>Other</v>
      </c>
      <c r="G10342" t="str" cm="1">
        <f t="array" ref="G10342">SubCategorizeComment(E10342)</f>
        <v>Other</v>
      </c>
    </row>
    <row r="10343" spans="1:7" x14ac:dyDescent="0.25">
      <c r="A10343">
        <v>96478</v>
      </c>
      <c r="B10343" t="s">
        <v>4</v>
      </c>
      <c r="C10343">
        <v>3</v>
      </c>
      <c r="D10343" t="s">
        <v>5</v>
      </c>
      <c r="F10343" t="str" cm="1">
        <f t="array" ref="F10343">CategorizeComment(E10343)</f>
        <v>Other</v>
      </c>
      <c r="G10343" t="str" cm="1">
        <f t="array" ref="G10343">SubCategorizeComment(E10343)</f>
        <v>Other</v>
      </c>
    </row>
    <row r="10344" spans="1:7" x14ac:dyDescent="0.25">
      <c r="A10344">
        <v>96491</v>
      </c>
      <c r="B10344" t="s">
        <v>4</v>
      </c>
      <c r="C10344">
        <v>4</v>
      </c>
      <c r="D10344" t="s">
        <v>5</v>
      </c>
      <c r="F10344" t="str" cm="1">
        <f t="array" ref="F10344">CategorizeComment(E10344)</f>
        <v>Other</v>
      </c>
      <c r="G10344" t="str" cm="1">
        <f t="array" ref="G10344">SubCategorizeComment(E10344)</f>
        <v>Other</v>
      </c>
    </row>
    <row r="10345" spans="1:7" x14ac:dyDescent="0.25">
      <c r="A10345">
        <v>96495</v>
      </c>
      <c r="B10345" t="s">
        <v>4</v>
      </c>
      <c r="C10345">
        <v>4</v>
      </c>
      <c r="D10345" t="s">
        <v>5</v>
      </c>
      <c r="F10345" t="str" cm="1">
        <f t="array" ref="F10345">CategorizeComment(E10345)</f>
        <v>Other</v>
      </c>
      <c r="G10345" t="str" cm="1">
        <f t="array" ref="G10345">SubCategorizeComment(E10345)</f>
        <v>Other</v>
      </c>
    </row>
    <row r="10346" spans="1:7" x14ac:dyDescent="0.25">
      <c r="A10346">
        <v>96498</v>
      </c>
      <c r="B10346" t="s">
        <v>4</v>
      </c>
      <c r="C10346">
        <v>3</v>
      </c>
      <c r="D10346" t="s">
        <v>5</v>
      </c>
      <c r="F10346" t="str" cm="1">
        <f t="array" ref="F10346">CategorizeComment(E10346)</f>
        <v>Other</v>
      </c>
      <c r="G10346" t="str" cm="1">
        <f t="array" ref="G10346">SubCategorizeComment(E10346)</f>
        <v>Other</v>
      </c>
    </row>
    <row r="10347" spans="1:7" x14ac:dyDescent="0.25">
      <c r="A10347">
        <v>96505</v>
      </c>
      <c r="B10347" t="s">
        <v>4</v>
      </c>
      <c r="C10347">
        <v>4</v>
      </c>
      <c r="D10347" t="s">
        <v>5</v>
      </c>
      <c r="F10347" t="str" cm="1">
        <f t="array" ref="F10347">CategorizeComment(E10347)</f>
        <v>Other</v>
      </c>
      <c r="G10347" t="str" cm="1">
        <f t="array" ref="G10347">SubCategorizeComment(E10347)</f>
        <v>Other</v>
      </c>
    </row>
    <row r="10348" spans="1:7" x14ac:dyDescent="0.25">
      <c r="A10348">
        <v>96525</v>
      </c>
      <c r="B10348" t="s">
        <v>4</v>
      </c>
      <c r="C10348">
        <v>4</v>
      </c>
      <c r="D10348" t="s">
        <v>5</v>
      </c>
      <c r="F10348" t="str" cm="1">
        <f t="array" ref="F10348">CategorizeComment(E10348)</f>
        <v>Other</v>
      </c>
      <c r="G10348" t="str" cm="1">
        <f t="array" ref="G10348">SubCategorizeComment(E10348)</f>
        <v>Other</v>
      </c>
    </row>
    <row r="10349" spans="1:7" x14ac:dyDescent="0.25">
      <c r="A10349">
        <v>96535</v>
      </c>
      <c r="B10349" t="s">
        <v>4</v>
      </c>
      <c r="C10349">
        <v>3</v>
      </c>
      <c r="D10349" t="s">
        <v>5</v>
      </c>
      <c r="F10349" t="str" cm="1">
        <f t="array" ref="F10349">CategorizeComment(E10349)</f>
        <v>Other</v>
      </c>
      <c r="G10349" t="str" cm="1">
        <f t="array" ref="G10349">SubCategorizeComment(E10349)</f>
        <v>Other</v>
      </c>
    </row>
    <row r="10350" spans="1:7" x14ac:dyDescent="0.25">
      <c r="A10350">
        <v>96541</v>
      </c>
      <c r="B10350" t="s">
        <v>4</v>
      </c>
      <c r="C10350">
        <v>3</v>
      </c>
      <c r="D10350" t="s">
        <v>5</v>
      </c>
      <c r="F10350" t="str" cm="1">
        <f t="array" ref="F10350">CategorizeComment(E10350)</f>
        <v>Other</v>
      </c>
      <c r="G10350" t="str" cm="1">
        <f t="array" ref="G10350">SubCategorizeComment(E10350)</f>
        <v>Other</v>
      </c>
    </row>
    <row r="10351" spans="1:7" x14ac:dyDescent="0.25">
      <c r="A10351">
        <v>96588</v>
      </c>
      <c r="B10351" t="s">
        <v>4</v>
      </c>
      <c r="C10351">
        <v>4</v>
      </c>
      <c r="D10351" t="s">
        <v>5</v>
      </c>
      <c r="F10351" t="str" cm="1">
        <f t="array" ref="F10351">CategorizeComment(E10351)</f>
        <v>Other</v>
      </c>
      <c r="G10351" t="str" cm="1">
        <f t="array" ref="G10351">SubCategorizeComment(E10351)</f>
        <v>Other</v>
      </c>
    </row>
    <row r="10352" spans="1:7" x14ac:dyDescent="0.25">
      <c r="A10352">
        <v>96620</v>
      </c>
      <c r="B10352" t="s">
        <v>4</v>
      </c>
      <c r="C10352">
        <v>4</v>
      </c>
      <c r="D10352" t="s">
        <v>5</v>
      </c>
      <c r="F10352" t="str" cm="1">
        <f t="array" ref="F10352">CategorizeComment(E10352)</f>
        <v>Other</v>
      </c>
      <c r="G10352" t="str" cm="1">
        <f t="array" ref="G10352">SubCategorizeComment(E10352)</f>
        <v>Other</v>
      </c>
    </row>
    <row r="10353" spans="1:7" x14ac:dyDescent="0.25">
      <c r="A10353">
        <v>96627</v>
      </c>
      <c r="B10353" t="s">
        <v>4</v>
      </c>
      <c r="C10353">
        <v>4</v>
      </c>
      <c r="D10353" t="s">
        <v>5</v>
      </c>
      <c r="F10353" t="str" cm="1">
        <f t="array" ref="F10353">CategorizeComment(E10353)</f>
        <v>Other</v>
      </c>
      <c r="G10353" t="str" cm="1">
        <f t="array" ref="G10353">SubCategorizeComment(E10353)</f>
        <v>Other</v>
      </c>
    </row>
    <row r="10354" spans="1:7" x14ac:dyDescent="0.25">
      <c r="A10354">
        <v>96629</v>
      </c>
      <c r="B10354" t="s">
        <v>4</v>
      </c>
      <c r="C10354">
        <v>3</v>
      </c>
      <c r="D10354" t="s">
        <v>5</v>
      </c>
      <c r="F10354" t="str" cm="1">
        <f t="array" ref="F10354">CategorizeComment(E10354)</f>
        <v>Other</v>
      </c>
      <c r="G10354" t="str" cm="1">
        <f t="array" ref="G10354">SubCategorizeComment(E10354)</f>
        <v>Other</v>
      </c>
    </row>
    <row r="10355" spans="1:7" x14ac:dyDescent="0.25">
      <c r="A10355">
        <v>96642</v>
      </c>
      <c r="B10355" t="s">
        <v>4</v>
      </c>
      <c r="C10355">
        <v>3</v>
      </c>
      <c r="D10355" t="s">
        <v>5</v>
      </c>
      <c r="F10355" t="str" cm="1">
        <f t="array" ref="F10355">CategorizeComment(E10355)</f>
        <v>Other</v>
      </c>
      <c r="G10355" t="str" cm="1">
        <f t="array" ref="G10355">SubCategorizeComment(E10355)</f>
        <v>Other</v>
      </c>
    </row>
    <row r="10356" spans="1:7" x14ac:dyDescent="0.25">
      <c r="A10356">
        <v>96674</v>
      </c>
      <c r="B10356" t="s">
        <v>4</v>
      </c>
      <c r="C10356">
        <v>4</v>
      </c>
      <c r="D10356" t="s">
        <v>5</v>
      </c>
      <c r="F10356" t="str" cm="1">
        <f t="array" ref="F10356">CategorizeComment(E10356)</f>
        <v>Other</v>
      </c>
      <c r="G10356" t="str" cm="1">
        <f t="array" ref="G10356">SubCategorizeComment(E10356)</f>
        <v>Other</v>
      </c>
    </row>
    <row r="10357" spans="1:7" x14ac:dyDescent="0.25">
      <c r="A10357">
        <v>96677</v>
      </c>
      <c r="B10357" t="s">
        <v>4</v>
      </c>
      <c r="C10357">
        <v>3</v>
      </c>
      <c r="D10357" t="s">
        <v>5</v>
      </c>
      <c r="F10357" t="str" cm="1">
        <f t="array" ref="F10357">CategorizeComment(E10357)</f>
        <v>Other</v>
      </c>
      <c r="G10357" t="str" cm="1">
        <f t="array" ref="G10357">SubCategorizeComment(E10357)</f>
        <v>Other</v>
      </c>
    </row>
    <row r="10358" spans="1:7" x14ac:dyDescent="0.25">
      <c r="A10358">
        <v>96680</v>
      </c>
      <c r="B10358" t="s">
        <v>4</v>
      </c>
      <c r="C10358">
        <v>3</v>
      </c>
      <c r="D10358" t="s">
        <v>5</v>
      </c>
      <c r="F10358" t="str" cm="1">
        <f t="array" ref="F10358">CategorizeComment(E10358)</f>
        <v>Other</v>
      </c>
      <c r="G10358" t="str" cm="1">
        <f t="array" ref="G10358">SubCategorizeComment(E10358)</f>
        <v>Other</v>
      </c>
    </row>
    <row r="10359" spans="1:7" x14ac:dyDescent="0.25">
      <c r="A10359">
        <v>96693</v>
      </c>
      <c r="B10359" t="s">
        <v>4</v>
      </c>
      <c r="C10359">
        <v>3</v>
      </c>
      <c r="D10359" t="s">
        <v>5</v>
      </c>
      <c r="F10359" t="str" cm="1">
        <f t="array" ref="F10359">CategorizeComment(E10359)</f>
        <v>Other</v>
      </c>
      <c r="G10359" t="str" cm="1">
        <f t="array" ref="G10359">SubCategorizeComment(E10359)</f>
        <v>Other</v>
      </c>
    </row>
    <row r="10360" spans="1:7" x14ac:dyDescent="0.25">
      <c r="A10360">
        <v>96702</v>
      </c>
      <c r="B10360" t="s">
        <v>4</v>
      </c>
      <c r="C10360">
        <v>4</v>
      </c>
      <c r="D10360" t="s">
        <v>5</v>
      </c>
      <c r="F10360" t="str" cm="1">
        <f t="array" ref="F10360">CategorizeComment(E10360)</f>
        <v>Other</v>
      </c>
      <c r="G10360" t="str" cm="1">
        <f t="array" ref="G10360">SubCategorizeComment(E10360)</f>
        <v>Other</v>
      </c>
    </row>
    <row r="10361" spans="1:7" x14ac:dyDescent="0.25">
      <c r="A10361">
        <v>96704</v>
      </c>
      <c r="B10361" t="s">
        <v>4</v>
      </c>
      <c r="C10361">
        <v>4</v>
      </c>
      <c r="D10361" t="s">
        <v>5</v>
      </c>
      <c r="F10361" t="str" cm="1">
        <f t="array" ref="F10361">CategorizeComment(E10361)</f>
        <v>Other</v>
      </c>
      <c r="G10361" t="str" cm="1">
        <f t="array" ref="G10361">SubCategorizeComment(E10361)</f>
        <v>Other</v>
      </c>
    </row>
    <row r="10362" spans="1:7" x14ac:dyDescent="0.25">
      <c r="A10362">
        <v>96705</v>
      </c>
      <c r="B10362" t="s">
        <v>4</v>
      </c>
      <c r="C10362">
        <v>4</v>
      </c>
      <c r="D10362" t="s">
        <v>5</v>
      </c>
      <c r="F10362" t="str" cm="1">
        <f t="array" ref="F10362">CategorizeComment(E10362)</f>
        <v>Other</v>
      </c>
      <c r="G10362" t="str" cm="1">
        <f t="array" ref="G10362">SubCategorizeComment(E10362)</f>
        <v>Other</v>
      </c>
    </row>
    <row r="10363" spans="1:7" x14ac:dyDescent="0.25">
      <c r="A10363">
        <v>96716</v>
      </c>
      <c r="B10363" t="s">
        <v>4</v>
      </c>
      <c r="C10363">
        <v>3</v>
      </c>
      <c r="D10363" t="s">
        <v>5</v>
      </c>
      <c r="F10363" t="str" cm="1">
        <f t="array" ref="F10363">CategorizeComment(E10363)</f>
        <v>Other</v>
      </c>
      <c r="G10363" t="str" cm="1">
        <f t="array" ref="G10363">SubCategorizeComment(E10363)</f>
        <v>Other</v>
      </c>
    </row>
    <row r="10364" spans="1:7" x14ac:dyDescent="0.25">
      <c r="A10364">
        <v>96720</v>
      </c>
      <c r="B10364" t="s">
        <v>4</v>
      </c>
      <c r="C10364">
        <v>3</v>
      </c>
      <c r="D10364" t="s">
        <v>5</v>
      </c>
      <c r="F10364" t="str" cm="1">
        <f t="array" ref="F10364">CategorizeComment(E10364)</f>
        <v>Other</v>
      </c>
      <c r="G10364" t="str" cm="1">
        <f t="array" ref="G10364">SubCategorizeComment(E10364)</f>
        <v>Other</v>
      </c>
    </row>
    <row r="10365" spans="1:7" x14ac:dyDescent="0.25">
      <c r="A10365">
        <v>96727</v>
      </c>
      <c r="B10365" t="s">
        <v>4</v>
      </c>
      <c r="C10365">
        <v>3</v>
      </c>
      <c r="D10365" t="s">
        <v>5</v>
      </c>
      <c r="F10365" t="str" cm="1">
        <f t="array" ref="F10365">CategorizeComment(E10365)</f>
        <v>Other</v>
      </c>
      <c r="G10365" t="str" cm="1">
        <f t="array" ref="G10365">SubCategorizeComment(E10365)</f>
        <v>Other</v>
      </c>
    </row>
    <row r="10366" spans="1:7" x14ac:dyDescent="0.25">
      <c r="A10366">
        <v>96758</v>
      </c>
      <c r="B10366" t="s">
        <v>4</v>
      </c>
      <c r="C10366">
        <v>4</v>
      </c>
      <c r="D10366" t="s">
        <v>5</v>
      </c>
      <c r="F10366" t="str" cm="1">
        <f t="array" ref="F10366">CategorizeComment(E10366)</f>
        <v>Other</v>
      </c>
      <c r="G10366" t="str" cm="1">
        <f t="array" ref="G10366">SubCategorizeComment(E10366)</f>
        <v>Other</v>
      </c>
    </row>
    <row r="10367" spans="1:7" x14ac:dyDescent="0.25">
      <c r="A10367">
        <v>96760</v>
      </c>
      <c r="B10367" t="s">
        <v>4</v>
      </c>
      <c r="C10367">
        <v>4</v>
      </c>
      <c r="D10367" t="s">
        <v>5</v>
      </c>
      <c r="F10367" t="str" cm="1">
        <f t="array" ref="F10367">CategorizeComment(E10367)</f>
        <v>Other</v>
      </c>
      <c r="G10367" t="str" cm="1">
        <f t="array" ref="G10367">SubCategorizeComment(E10367)</f>
        <v>Other</v>
      </c>
    </row>
    <row r="10368" spans="1:7" x14ac:dyDescent="0.25">
      <c r="A10368">
        <v>96782</v>
      </c>
      <c r="B10368" t="s">
        <v>4</v>
      </c>
      <c r="C10368">
        <v>3</v>
      </c>
      <c r="D10368" t="s">
        <v>5</v>
      </c>
      <c r="F10368" t="str" cm="1">
        <f t="array" ref="F10368">CategorizeComment(E10368)</f>
        <v>Other</v>
      </c>
      <c r="G10368" t="str" cm="1">
        <f t="array" ref="G10368">SubCategorizeComment(E10368)</f>
        <v>Other</v>
      </c>
    </row>
    <row r="10369" spans="1:7" x14ac:dyDescent="0.25">
      <c r="A10369">
        <v>96787</v>
      </c>
      <c r="B10369" t="s">
        <v>4</v>
      </c>
      <c r="C10369">
        <v>3</v>
      </c>
      <c r="D10369" t="s">
        <v>5</v>
      </c>
      <c r="F10369" t="str" cm="1">
        <f t="array" ref="F10369">CategorizeComment(E10369)</f>
        <v>Other</v>
      </c>
      <c r="G10369" t="str" cm="1">
        <f t="array" ref="G10369">SubCategorizeComment(E10369)</f>
        <v>Other</v>
      </c>
    </row>
    <row r="10370" spans="1:7" x14ac:dyDescent="0.25">
      <c r="A10370">
        <v>96797</v>
      </c>
      <c r="B10370" t="s">
        <v>4</v>
      </c>
      <c r="C10370">
        <v>4</v>
      </c>
      <c r="D10370" t="s">
        <v>5</v>
      </c>
      <c r="F10370" t="str" cm="1">
        <f t="array" ref="F10370">CategorizeComment(E10370)</f>
        <v>Other</v>
      </c>
      <c r="G10370" t="str" cm="1">
        <f t="array" ref="G10370">SubCategorizeComment(E10370)</f>
        <v>Other</v>
      </c>
    </row>
    <row r="10371" spans="1:7" x14ac:dyDescent="0.25">
      <c r="A10371">
        <v>96800</v>
      </c>
      <c r="B10371" t="s">
        <v>4</v>
      </c>
      <c r="C10371">
        <v>3</v>
      </c>
      <c r="D10371" t="s">
        <v>5</v>
      </c>
      <c r="F10371" t="str" cm="1">
        <f t="array" ref="F10371">CategorizeComment(E10371)</f>
        <v>Other</v>
      </c>
      <c r="G10371" t="str" cm="1">
        <f t="array" ref="G10371">SubCategorizeComment(E10371)</f>
        <v>Other</v>
      </c>
    </row>
    <row r="10372" spans="1:7" x14ac:dyDescent="0.25">
      <c r="A10372">
        <v>96803</v>
      </c>
      <c r="B10372" t="s">
        <v>4</v>
      </c>
      <c r="C10372">
        <v>3</v>
      </c>
      <c r="D10372" t="s">
        <v>5</v>
      </c>
      <c r="F10372" t="str" cm="1">
        <f t="array" ref="F10372">CategorizeComment(E10372)</f>
        <v>Other</v>
      </c>
      <c r="G10372" t="str" cm="1">
        <f t="array" ref="G10372">SubCategorizeComment(E10372)</f>
        <v>Other</v>
      </c>
    </row>
    <row r="10373" spans="1:7" x14ac:dyDescent="0.25">
      <c r="A10373">
        <v>96808</v>
      </c>
      <c r="B10373" t="s">
        <v>4</v>
      </c>
      <c r="C10373">
        <v>3</v>
      </c>
      <c r="D10373" t="s">
        <v>5</v>
      </c>
      <c r="F10373" t="str" cm="1">
        <f t="array" ref="F10373">CategorizeComment(E10373)</f>
        <v>Other</v>
      </c>
      <c r="G10373" t="str" cm="1">
        <f t="array" ref="G10373">SubCategorizeComment(E10373)</f>
        <v>Other</v>
      </c>
    </row>
    <row r="10374" spans="1:7" x14ac:dyDescent="0.25">
      <c r="A10374">
        <v>96831</v>
      </c>
      <c r="B10374" t="s">
        <v>4</v>
      </c>
      <c r="C10374">
        <v>3</v>
      </c>
      <c r="D10374" t="s">
        <v>5</v>
      </c>
      <c r="F10374" t="str" cm="1">
        <f t="array" ref="F10374">CategorizeComment(E10374)</f>
        <v>Other</v>
      </c>
      <c r="G10374" t="str" cm="1">
        <f t="array" ref="G10374">SubCategorizeComment(E10374)</f>
        <v>Other</v>
      </c>
    </row>
    <row r="10375" spans="1:7" x14ac:dyDescent="0.25">
      <c r="A10375">
        <v>96832</v>
      </c>
      <c r="B10375" t="s">
        <v>4</v>
      </c>
      <c r="C10375">
        <v>4</v>
      </c>
      <c r="D10375" t="s">
        <v>5</v>
      </c>
      <c r="F10375" t="str" cm="1">
        <f t="array" ref="F10375">CategorizeComment(E10375)</f>
        <v>Other</v>
      </c>
      <c r="G10375" t="str" cm="1">
        <f t="array" ref="G10375">SubCategorizeComment(E10375)</f>
        <v>Other</v>
      </c>
    </row>
    <row r="10376" spans="1:7" x14ac:dyDescent="0.25">
      <c r="A10376">
        <v>96834</v>
      </c>
      <c r="B10376" t="s">
        <v>4</v>
      </c>
      <c r="C10376">
        <v>3</v>
      </c>
      <c r="D10376" t="s">
        <v>5</v>
      </c>
      <c r="F10376" t="str" cm="1">
        <f t="array" ref="F10376">CategorizeComment(E10376)</f>
        <v>Other</v>
      </c>
      <c r="G10376" t="str" cm="1">
        <f t="array" ref="G10376">SubCategorizeComment(E10376)</f>
        <v>Other</v>
      </c>
    </row>
    <row r="10377" spans="1:7" x14ac:dyDescent="0.25">
      <c r="A10377">
        <v>96835</v>
      </c>
      <c r="B10377" t="s">
        <v>4</v>
      </c>
      <c r="C10377">
        <v>3</v>
      </c>
      <c r="D10377" t="s">
        <v>5</v>
      </c>
      <c r="F10377" t="str" cm="1">
        <f t="array" ref="F10377">CategorizeComment(E10377)</f>
        <v>Other</v>
      </c>
      <c r="G10377" t="str" cm="1">
        <f t="array" ref="G10377">SubCategorizeComment(E10377)</f>
        <v>Other</v>
      </c>
    </row>
    <row r="10378" spans="1:7" x14ac:dyDescent="0.25">
      <c r="A10378">
        <v>96841</v>
      </c>
      <c r="B10378" t="s">
        <v>4</v>
      </c>
      <c r="C10378">
        <v>3</v>
      </c>
      <c r="D10378" t="s">
        <v>5</v>
      </c>
      <c r="F10378" t="str" cm="1">
        <f t="array" ref="F10378">CategorizeComment(E10378)</f>
        <v>Other</v>
      </c>
      <c r="G10378" t="str" cm="1">
        <f t="array" ref="G10378">SubCategorizeComment(E10378)</f>
        <v>Other</v>
      </c>
    </row>
    <row r="10379" spans="1:7" x14ac:dyDescent="0.25">
      <c r="A10379">
        <v>96851</v>
      </c>
      <c r="B10379" t="s">
        <v>4</v>
      </c>
      <c r="C10379">
        <v>4</v>
      </c>
      <c r="D10379" t="s">
        <v>5</v>
      </c>
      <c r="F10379" t="str" cm="1">
        <f t="array" ref="F10379">CategorizeComment(E10379)</f>
        <v>Other</v>
      </c>
      <c r="G10379" t="str" cm="1">
        <f t="array" ref="G10379">SubCategorizeComment(E10379)</f>
        <v>Other</v>
      </c>
    </row>
    <row r="10380" spans="1:7" x14ac:dyDescent="0.25">
      <c r="A10380">
        <v>96865</v>
      </c>
      <c r="B10380" t="s">
        <v>4</v>
      </c>
      <c r="C10380">
        <v>4</v>
      </c>
      <c r="D10380" t="s">
        <v>5</v>
      </c>
      <c r="F10380" t="str" cm="1">
        <f t="array" ref="F10380">CategorizeComment(E10380)</f>
        <v>Other</v>
      </c>
      <c r="G10380" t="str" cm="1">
        <f t="array" ref="G10380">SubCategorizeComment(E10380)</f>
        <v>Other</v>
      </c>
    </row>
    <row r="10381" spans="1:7" x14ac:dyDescent="0.25">
      <c r="A10381">
        <v>96874</v>
      </c>
      <c r="B10381" t="s">
        <v>4</v>
      </c>
      <c r="C10381">
        <v>4</v>
      </c>
      <c r="D10381" t="s">
        <v>5</v>
      </c>
      <c r="F10381" t="str" cm="1">
        <f t="array" ref="F10381">CategorizeComment(E10381)</f>
        <v>Other</v>
      </c>
      <c r="G10381" t="str" cm="1">
        <f t="array" ref="G10381">SubCategorizeComment(E10381)</f>
        <v>Other</v>
      </c>
    </row>
    <row r="10382" spans="1:7" x14ac:dyDescent="0.25">
      <c r="A10382">
        <v>96877</v>
      </c>
      <c r="B10382" t="s">
        <v>4</v>
      </c>
      <c r="C10382">
        <v>4</v>
      </c>
      <c r="D10382" t="s">
        <v>5</v>
      </c>
      <c r="F10382" t="str" cm="1">
        <f t="array" ref="F10382">CategorizeComment(E10382)</f>
        <v>Other</v>
      </c>
      <c r="G10382" t="str" cm="1">
        <f t="array" ref="G10382">SubCategorizeComment(E10382)</f>
        <v>Other</v>
      </c>
    </row>
    <row r="10383" spans="1:7" x14ac:dyDescent="0.25">
      <c r="A10383">
        <v>96891</v>
      </c>
      <c r="B10383" t="s">
        <v>4</v>
      </c>
      <c r="C10383">
        <v>3</v>
      </c>
      <c r="D10383" t="s">
        <v>5</v>
      </c>
      <c r="F10383" t="str" cm="1">
        <f t="array" ref="F10383">CategorizeComment(E10383)</f>
        <v>Other</v>
      </c>
      <c r="G10383" t="str" cm="1">
        <f t="array" ref="G10383">SubCategorizeComment(E10383)</f>
        <v>Other</v>
      </c>
    </row>
    <row r="10384" spans="1:7" x14ac:dyDescent="0.25">
      <c r="A10384">
        <v>96900</v>
      </c>
      <c r="B10384" t="s">
        <v>4</v>
      </c>
      <c r="C10384">
        <v>3</v>
      </c>
      <c r="D10384" t="s">
        <v>5</v>
      </c>
      <c r="F10384" t="str" cm="1">
        <f t="array" ref="F10384">CategorizeComment(E10384)</f>
        <v>Other</v>
      </c>
      <c r="G10384" t="str" cm="1">
        <f t="array" ref="G10384">SubCategorizeComment(E10384)</f>
        <v>Other</v>
      </c>
    </row>
    <row r="10385" spans="1:7" x14ac:dyDescent="0.25">
      <c r="A10385">
        <v>96913</v>
      </c>
      <c r="B10385" t="s">
        <v>4</v>
      </c>
      <c r="C10385">
        <v>3</v>
      </c>
      <c r="D10385" t="s">
        <v>5</v>
      </c>
      <c r="F10385" t="str" cm="1">
        <f t="array" ref="F10385">CategorizeComment(E10385)</f>
        <v>Other</v>
      </c>
      <c r="G10385" t="str" cm="1">
        <f t="array" ref="G10385">SubCategorizeComment(E10385)</f>
        <v>Other</v>
      </c>
    </row>
    <row r="10386" spans="1:7" x14ac:dyDescent="0.25">
      <c r="A10386">
        <v>96957</v>
      </c>
      <c r="B10386" t="s">
        <v>4</v>
      </c>
      <c r="C10386">
        <v>3</v>
      </c>
      <c r="D10386" t="s">
        <v>5</v>
      </c>
      <c r="F10386" t="str" cm="1">
        <f t="array" ref="F10386">CategorizeComment(E10386)</f>
        <v>Other</v>
      </c>
      <c r="G10386" t="str" cm="1">
        <f t="array" ref="G10386">SubCategorizeComment(E10386)</f>
        <v>Other</v>
      </c>
    </row>
    <row r="10387" spans="1:7" x14ac:dyDescent="0.25">
      <c r="A10387">
        <v>96982</v>
      </c>
      <c r="B10387" t="s">
        <v>4</v>
      </c>
      <c r="C10387">
        <v>4</v>
      </c>
      <c r="D10387" t="s">
        <v>5</v>
      </c>
      <c r="F10387" t="str" cm="1">
        <f t="array" ref="F10387">CategorizeComment(E10387)</f>
        <v>Other</v>
      </c>
      <c r="G10387" t="str" cm="1">
        <f t="array" ref="G10387">SubCategorizeComment(E10387)</f>
        <v>Other</v>
      </c>
    </row>
    <row r="10388" spans="1:7" x14ac:dyDescent="0.25">
      <c r="A10388">
        <v>96992</v>
      </c>
      <c r="B10388" t="s">
        <v>4</v>
      </c>
      <c r="C10388">
        <v>3</v>
      </c>
      <c r="D10388" t="s">
        <v>5</v>
      </c>
      <c r="F10388" t="str" cm="1">
        <f t="array" ref="F10388">CategorizeComment(E10388)</f>
        <v>Other</v>
      </c>
      <c r="G10388" t="str" cm="1">
        <f t="array" ref="G10388">SubCategorizeComment(E10388)</f>
        <v>Other</v>
      </c>
    </row>
    <row r="10389" spans="1:7" x14ac:dyDescent="0.25">
      <c r="A10389">
        <v>96996</v>
      </c>
      <c r="B10389" t="s">
        <v>4</v>
      </c>
      <c r="C10389">
        <v>4</v>
      </c>
      <c r="D10389" t="s">
        <v>5</v>
      </c>
      <c r="F10389" t="str" cm="1">
        <f t="array" ref="F10389">CategorizeComment(E10389)</f>
        <v>Other</v>
      </c>
      <c r="G10389" t="str" cm="1">
        <f t="array" ref="G10389">SubCategorizeComment(E10389)</f>
        <v>Other</v>
      </c>
    </row>
    <row r="10390" spans="1:7" x14ac:dyDescent="0.25">
      <c r="A10390">
        <v>97018</v>
      </c>
      <c r="B10390" t="s">
        <v>4</v>
      </c>
      <c r="C10390">
        <v>3</v>
      </c>
      <c r="D10390" t="s">
        <v>5</v>
      </c>
      <c r="F10390" t="str" cm="1">
        <f t="array" ref="F10390">CategorizeComment(E10390)</f>
        <v>Other</v>
      </c>
      <c r="G10390" t="str" cm="1">
        <f t="array" ref="G10390">SubCategorizeComment(E10390)</f>
        <v>Other</v>
      </c>
    </row>
    <row r="10391" spans="1:7" x14ac:dyDescent="0.25">
      <c r="A10391">
        <v>97030</v>
      </c>
      <c r="B10391" t="s">
        <v>4</v>
      </c>
      <c r="C10391">
        <v>4</v>
      </c>
      <c r="D10391" t="s">
        <v>5</v>
      </c>
      <c r="F10391" t="str" cm="1">
        <f t="array" ref="F10391">CategorizeComment(E10391)</f>
        <v>Other</v>
      </c>
      <c r="G10391" t="str" cm="1">
        <f t="array" ref="G10391">SubCategorizeComment(E10391)</f>
        <v>Other</v>
      </c>
    </row>
    <row r="10392" spans="1:7" x14ac:dyDescent="0.25">
      <c r="A10392">
        <v>97032</v>
      </c>
      <c r="B10392" t="s">
        <v>4</v>
      </c>
      <c r="C10392">
        <v>4</v>
      </c>
      <c r="D10392" t="s">
        <v>5</v>
      </c>
      <c r="F10392" t="str" cm="1">
        <f t="array" ref="F10392">CategorizeComment(E10392)</f>
        <v>Other</v>
      </c>
      <c r="G10392" t="str" cm="1">
        <f t="array" ref="G10392">SubCategorizeComment(E10392)</f>
        <v>Other</v>
      </c>
    </row>
    <row r="10393" spans="1:7" x14ac:dyDescent="0.25">
      <c r="A10393">
        <v>97099</v>
      </c>
      <c r="B10393" t="s">
        <v>4</v>
      </c>
      <c r="C10393">
        <v>3</v>
      </c>
      <c r="D10393" t="s">
        <v>5</v>
      </c>
      <c r="F10393" t="str" cm="1">
        <f t="array" ref="F10393">CategorizeComment(E10393)</f>
        <v>Other</v>
      </c>
      <c r="G10393" t="str" cm="1">
        <f t="array" ref="G10393">SubCategorizeComment(E10393)</f>
        <v>Other</v>
      </c>
    </row>
    <row r="10394" spans="1:7" x14ac:dyDescent="0.25">
      <c r="A10394">
        <v>97127</v>
      </c>
      <c r="B10394" t="s">
        <v>4</v>
      </c>
      <c r="C10394">
        <v>3</v>
      </c>
      <c r="D10394" t="s">
        <v>5</v>
      </c>
      <c r="F10394" t="str" cm="1">
        <f t="array" ref="F10394">CategorizeComment(E10394)</f>
        <v>Other</v>
      </c>
      <c r="G10394" t="str" cm="1">
        <f t="array" ref="G10394">SubCategorizeComment(E10394)</f>
        <v>Other</v>
      </c>
    </row>
    <row r="10395" spans="1:7" x14ac:dyDescent="0.25">
      <c r="A10395">
        <v>97129</v>
      </c>
      <c r="B10395" t="s">
        <v>4</v>
      </c>
      <c r="C10395">
        <v>3</v>
      </c>
      <c r="D10395" t="s">
        <v>5</v>
      </c>
      <c r="F10395" t="str" cm="1">
        <f t="array" ref="F10395">CategorizeComment(E10395)</f>
        <v>Other</v>
      </c>
      <c r="G10395" t="str" cm="1">
        <f t="array" ref="G10395">SubCategorizeComment(E10395)</f>
        <v>Other</v>
      </c>
    </row>
    <row r="10396" spans="1:7" x14ac:dyDescent="0.25">
      <c r="A10396">
        <v>97132</v>
      </c>
      <c r="B10396" t="s">
        <v>4</v>
      </c>
      <c r="C10396">
        <v>4</v>
      </c>
      <c r="D10396" t="s">
        <v>5</v>
      </c>
      <c r="F10396" t="str" cm="1">
        <f t="array" ref="F10396">CategorizeComment(E10396)</f>
        <v>Other</v>
      </c>
      <c r="G10396" t="str" cm="1">
        <f t="array" ref="G10396">SubCategorizeComment(E10396)</f>
        <v>Other</v>
      </c>
    </row>
    <row r="10397" spans="1:7" x14ac:dyDescent="0.25">
      <c r="A10397">
        <v>97134</v>
      </c>
      <c r="B10397" t="s">
        <v>4</v>
      </c>
      <c r="C10397">
        <v>3</v>
      </c>
      <c r="D10397" t="s">
        <v>5</v>
      </c>
      <c r="F10397" t="str" cm="1">
        <f t="array" ref="F10397">CategorizeComment(E10397)</f>
        <v>Other</v>
      </c>
      <c r="G10397" t="str" cm="1">
        <f t="array" ref="G10397">SubCategorizeComment(E10397)</f>
        <v>Other</v>
      </c>
    </row>
    <row r="10398" spans="1:7" x14ac:dyDescent="0.25">
      <c r="A10398">
        <v>97142</v>
      </c>
      <c r="B10398" t="s">
        <v>4</v>
      </c>
      <c r="C10398">
        <v>3</v>
      </c>
      <c r="D10398" t="s">
        <v>5</v>
      </c>
      <c r="F10398" t="str" cm="1">
        <f t="array" ref="F10398">CategorizeComment(E10398)</f>
        <v>Other</v>
      </c>
      <c r="G10398" t="str" cm="1">
        <f t="array" ref="G10398">SubCategorizeComment(E10398)</f>
        <v>Other</v>
      </c>
    </row>
    <row r="10399" spans="1:7" x14ac:dyDescent="0.25">
      <c r="A10399">
        <v>97145</v>
      </c>
      <c r="B10399" t="s">
        <v>4</v>
      </c>
      <c r="C10399">
        <v>3</v>
      </c>
      <c r="D10399" t="s">
        <v>5</v>
      </c>
      <c r="F10399" t="str" cm="1">
        <f t="array" ref="F10399">CategorizeComment(E10399)</f>
        <v>Other</v>
      </c>
      <c r="G10399" t="str" cm="1">
        <f t="array" ref="G10399">SubCategorizeComment(E10399)</f>
        <v>Other</v>
      </c>
    </row>
    <row r="10400" spans="1:7" x14ac:dyDescent="0.25">
      <c r="A10400">
        <v>97148</v>
      </c>
      <c r="B10400" t="s">
        <v>4</v>
      </c>
      <c r="C10400">
        <v>3</v>
      </c>
      <c r="D10400" t="s">
        <v>5</v>
      </c>
      <c r="F10400" t="str" cm="1">
        <f t="array" ref="F10400">CategorizeComment(E10400)</f>
        <v>Other</v>
      </c>
      <c r="G10400" t="str" cm="1">
        <f t="array" ref="G10400">SubCategorizeComment(E10400)</f>
        <v>Other</v>
      </c>
    </row>
    <row r="10401" spans="1:7" x14ac:dyDescent="0.25">
      <c r="A10401">
        <v>97150</v>
      </c>
      <c r="B10401" t="s">
        <v>4</v>
      </c>
      <c r="C10401">
        <v>4</v>
      </c>
      <c r="D10401" t="s">
        <v>5</v>
      </c>
      <c r="F10401" t="str" cm="1">
        <f t="array" ref="F10401">CategorizeComment(E10401)</f>
        <v>Other</v>
      </c>
      <c r="G10401" t="str" cm="1">
        <f t="array" ref="G10401">SubCategorizeComment(E10401)</f>
        <v>Other</v>
      </c>
    </row>
    <row r="10402" spans="1:7" x14ac:dyDescent="0.25">
      <c r="A10402">
        <v>97152</v>
      </c>
      <c r="B10402" t="s">
        <v>4</v>
      </c>
      <c r="C10402">
        <v>3</v>
      </c>
      <c r="D10402" t="s">
        <v>5</v>
      </c>
      <c r="F10402" t="str" cm="1">
        <f t="array" ref="F10402">CategorizeComment(E10402)</f>
        <v>Other</v>
      </c>
      <c r="G10402" t="str" cm="1">
        <f t="array" ref="G10402">SubCategorizeComment(E10402)</f>
        <v>Other</v>
      </c>
    </row>
    <row r="10403" spans="1:7" x14ac:dyDescent="0.25">
      <c r="A10403">
        <v>97153</v>
      </c>
      <c r="B10403" t="s">
        <v>4</v>
      </c>
      <c r="C10403">
        <v>4</v>
      </c>
      <c r="D10403" t="s">
        <v>5</v>
      </c>
      <c r="F10403" t="str" cm="1">
        <f t="array" ref="F10403">CategorizeComment(E10403)</f>
        <v>Other</v>
      </c>
      <c r="G10403" t="str" cm="1">
        <f t="array" ref="G10403">SubCategorizeComment(E10403)</f>
        <v>Other</v>
      </c>
    </row>
    <row r="10404" spans="1:7" x14ac:dyDescent="0.25">
      <c r="A10404">
        <v>97154</v>
      </c>
      <c r="B10404" t="s">
        <v>4</v>
      </c>
      <c r="C10404">
        <v>3</v>
      </c>
      <c r="D10404" t="s">
        <v>5</v>
      </c>
      <c r="F10404" t="str" cm="1">
        <f t="array" ref="F10404">CategorizeComment(E10404)</f>
        <v>Other</v>
      </c>
      <c r="G10404" t="str" cm="1">
        <f t="array" ref="G10404">SubCategorizeComment(E10404)</f>
        <v>Other</v>
      </c>
    </row>
    <row r="10405" spans="1:7" x14ac:dyDescent="0.25">
      <c r="A10405">
        <v>97170</v>
      </c>
      <c r="B10405" t="s">
        <v>4</v>
      </c>
      <c r="C10405">
        <v>3</v>
      </c>
      <c r="D10405" t="s">
        <v>5</v>
      </c>
      <c r="F10405" t="str" cm="1">
        <f t="array" ref="F10405">CategorizeComment(E10405)</f>
        <v>Other</v>
      </c>
      <c r="G10405" t="str" cm="1">
        <f t="array" ref="G10405">SubCategorizeComment(E10405)</f>
        <v>Other</v>
      </c>
    </row>
    <row r="10406" spans="1:7" x14ac:dyDescent="0.25">
      <c r="A10406">
        <v>97176</v>
      </c>
      <c r="B10406" t="s">
        <v>4</v>
      </c>
      <c r="C10406">
        <v>4</v>
      </c>
      <c r="D10406" t="s">
        <v>5</v>
      </c>
      <c r="F10406" t="str" cm="1">
        <f t="array" ref="F10406">CategorizeComment(E10406)</f>
        <v>Other</v>
      </c>
      <c r="G10406" t="str" cm="1">
        <f t="array" ref="G10406">SubCategorizeComment(E10406)</f>
        <v>Other</v>
      </c>
    </row>
    <row r="10407" spans="1:7" x14ac:dyDescent="0.25">
      <c r="A10407">
        <v>97205</v>
      </c>
      <c r="B10407" t="s">
        <v>4</v>
      </c>
      <c r="C10407">
        <v>4</v>
      </c>
      <c r="D10407" t="s">
        <v>5</v>
      </c>
      <c r="F10407" t="str" cm="1">
        <f t="array" ref="F10407">CategorizeComment(E10407)</f>
        <v>Other</v>
      </c>
      <c r="G10407" t="str" cm="1">
        <f t="array" ref="G10407">SubCategorizeComment(E10407)</f>
        <v>Other</v>
      </c>
    </row>
    <row r="10408" spans="1:7" x14ac:dyDescent="0.25">
      <c r="A10408">
        <v>97214</v>
      </c>
      <c r="B10408" t="s">
        <v>4</v>
      </c>
      <c r="C10408">
        <v>2</v>
      </c>
      <c r="D10408" t="s">
        <v>5</v>
      </c>
      <c r="F10408" t="str" cm="1">
        <f t="array" ref="F10408">CategorizeComment(E10408)</f>
        <v>Other</v>
      </c>
      <c r="G10408" t="str" cm="1">
        <f t="array" ref="G10408">SubCategorizeComment(E10408)</f>
        <v>Other</v>
      </c>
    </row>
    <row r="10409" spans="1:7" x14ac:dyDescent="0.25">
      <c r="A10409">
        <v>97215</v>
      </c>
      <c r="B10409" t="s">
        <v>4</v>
      </c>
      <c r="C10409">
        <v>3</v>
      </c>
      <c r="D10409" t="s">
        <v>5</v>
      </c>
      <c r="F10409" t="str" cm="1">
        <f t="array" ref="F10409">CategorizeComment(E10409)</f>
        <v>Other</v>
      </c>
      <c r="G10409" t="str" cm="1">
        <f t="array" ref="G10409">SubCategorizeComment(E10409)</f>
        <v>Other</v>
      </c>
    </row>
    <row r="10410" spans="1:7" x14ac:dyDescent="0.25">
      <c r="A10410">
        <v>97216</v>
      </c>
      <c r="B10410" t="s">
        <v>4</v>
      </c>
      <c r="C10410">
        <v>3</v>
      </c>
      <c r="D10410" t="s">
        <v>5</v>
      </c>
      <c r="F10410" t="str" cm="1">
        <f t="array" ref="F10410">CategorizeComment(E10410)</f>
        <v>Other</v>
      </c>
      <c r="G10410" t="str" cm="1">
        <f t="array" ref="G10410">SubCategorizeComment(E10410)</f>
        <v>Other</v>
      </c>
    </row>
    <row r="10411" spans="1:7" x14ac:dyDescent="0.25">
      <c r="A10411">
        <v>97219</v>
      </c>
      <c r="B10411" t="s">
        <v>4</v>
      </c>
      <c r="C10411">
        <v>4</v>
      </c>
      <c r="D10411" t="s">
        <v>5</v>
      </c>
      <c r="F10411" t="str" cm="1">
        <f t="array" ref="F10411">CategorizeComment(E10411)</f>
        <v>Other</v>
      </c>
      <c r="G10411" t="str" cm="1">
        <f t="array" ref="G10411">SubCategorizeComment(E10411)</f>
        <v>Other</v>
      </c>
    </row>
    <row r="10412" spans="1:7" x14ac:dyDescent="0.25">
      <c r="A10412">
        <v>97239</v>
      </c>
      <c r="B10412" t="s">
        <v>4</v>
      </c>
      <c r="C10412">
        <v>4</v>
      </c>
      <c r="D10412" t="s">
        <v>5</v>
      </c>
      <c r="F10412" t="str" cm="1">
        <f t="array" ref="F10412">CategorizeComment(E10412)</f>
        <v>Other</v>
      </c>
      <c r="G10412" t="str" cm="1">
        <f t="array" ref="G10412">SubCategorizeComment(E10412)</f>
        <v>Other</v>
      </c>
    </row>
    <row r="10413" spans="1:7" x14ac:dyDescent="0.25">
      <c r="A10413">
        <v>97248</v>
      </c>
      <c r="B10413" t="s">
        <v>4</v>
      </c>
      <c r="C10413">
        <v>3</v>
      </c>
      <c r="D10413" t="s">
        <v>5</v>
      </c>
      <c r="F10413" t="str" cm="1">
        <f t="array" ref="F10413">CategorizeComment(E10413)</f>
        <v>Other</v>
      </c>
      <c r="G10413" t="str" cm="1">
        <f t="array" ref="G10413">SubCategorizeComment(E10413)</f>
        <v>Other</v>
      </c>
    </row>
    <row r="10414" spans="1:7" x14ac:dyDescent="0.25">
      <c r="A10414">
        <v>97282</v>
      </c>
      <c r="B10414" t="s">
        <v>4</v>
      </c>
      <c r="C10414">
        <v>3</v>
      </c>
      <c r="D10414" t="s">
        <v>5</v>
      </c>
      <c r="F10414" t="str" cm="1">
        <f t="array" ref="F10414">CategorizeComment(E10414)</f>
        <v>Other</v>
      </c>
      <c r="G10414" t="str" cm="1">
        <f t="array" ref="G10414">SubCategorizeComment(E10414)</f>
        <v>Other</v>
      </c>
    </row>
    <row r="10415" spans="1:7" x14ac:dyDescent="0.25">
      <c r="A10415">
        <v>97336</v>
      </c>
      <c r="B10415" t="s">
        <v>4</v>
      </c>
      <c r="C10415">
        <v>4</v>
      </c>
      <c r="D10415" t="s">
        <v>5</v>
      </c>
      <c r="F10415" t="str" cm="1">
        <f t="array" ref="F10415">CategorizeComment(E10415)</f>
        <v>Other</v>
      </c>
      <c r="G10415" t="str" cm="1">
        <f t="array" ref="G10415">SubCategorizeComment(E10415)</f>
        <v>Other</v>
      </c>
    </row>
    <row r="10416" spans="1:7" x14ac:dyDescent="0.25">
      <c r="A10416">
        <v>97342</v>
      </c>
      <c r="B10416" t="s">
        <v>4</v>
      </c>
      <c r="C10416">
        <v>4</v>
      </c>
      <c r="D10416" t="s">
        <v>5</v>
      </c>
      <c r="F10416" t="str" cm="1">
        <f t="array" ref="F10416">CategorizeComment(E10416)</f>
        <v>Other</v>
      </c>
      <c r="G10416" t="str" cm="1">
        <f t="array" ref="G10416">SubCategorizeComment(E10416)</f>
        <v>Other</v>
      </c>
    </row>
    <row r="10417" spans="1:7" x14ac:dyDescent="0.25">
      <c r="A10417">
        <v>97346</v>
      </c>
      <c r="B10417" t="s">
        <v>4</v>
      </c>
      <c r="C10417">
        <v>4</v>
      </c>
      <c r="D10417" t="s">
        <v>5</v>
      </c>
      <c r="F10417" t="str" cm="1">
        <f t="array" ref="F10417">CategorizeComment(E10417)</f>
        <v>Other</v>
      </c>
      <c r="G10417" t="str" cm="1">
        <f t="array" ref="G10417">SubCategorizeComment(E10417)</f>
        <v>Other</v>
      </c>
    </row>
    <row r="10418" spans="1:7" x14ac:dyDescent="0.25">
      <c r="A10418">
        <v>97358</v>
      </c>
      <c r="B10418" t="s">
        <v>4</v>
      </c>
      <c r="C10418">
        <v>4</v>
      </c>
      <c r="D10418" t="s">
        <v>5</v>
      </c>
      <c r="F10418" t="str" cm="1">
        <f t="array" ref="F10418">CategorizeComment(E10418)</f>
        <v>Other</v>
      </c>
      <c r="G10418" t="str" cm="1">
        <f t="array" ref="G10418">SubCategorizeComment(E10418)</f>
        <v>Other</v>
      </c>
    </row>
    <row r="10419" spans="1:7" x14ac:dyDescent="0.25">
      <c r="A10419">
        <v>97371</v>
      </c>
      <c r="B10419" t="s">
        <v>4</v>
      </c>
      <c r="C10419">
        <v>4</v>
      </c>
      <c r="D10419" t="s">
        <v>5</v>
      </c>
      <c r="F10419" t="str" cm="1">
        <f t="array" ref="F10419">CategorizeComment(E10419)</f>
        <v>Other</v>
      </c>
      <c r="G10419" t="str" cm="1">
        <f t="array" ref="G10419">SubCategorizeComment(E10419)</f>
        <v>Other</v>
      </c>
    </row>
    <row r="10420" spans="1:7" x14ac:dyDescent="0.25">
      <c r="A10420">
        <v>97384</v>
      </c>
      <c r="B10420" t="s">
        <v>4</v>
      </c>
      <c r="C10420">
        <v>4</v>
      </c>
      <c r="D10420" t="s">
        <v>5</v>
      </c>
      <c r="F10420" t="str" cm="1">
        <f t="array" ref="F10420">CategorizeComment(E10420)</f>
        <v>Other</v>
      </c>
      <c r="G10420" t="str" cm="1">
        <f t="array" ref="G10420">SubCategorizeComment(E10420)</f>
        <v>Other</v>
      </c>
    </row>
    <row r="10421" spans="1:7" x14ac:dyDescent="0.25">
      <c r="A10421">
        <v>97392</v>
      </c>
      <c r="B10421" t="s">
        <v>4</v>
      </c>
      <c r="C10421">
        <v>4</v>
      </c>
      <c r="D10421" t="s">
        <v>5</v>
      </c>
      <c r="F10421" t="str" cm="1">
        <f t="array" ref="F10421">CategorizeComment(E10421)</f>
        <v>Other</v>
      </c>
      <c r="G10421" t="str" cm="1">
        <f t="array" ref="G10421">SubCategorizeComment(E10421)</f>
        <v>Other</v>
      </c>
    </row>
    <row r="10422" spans="1:7" x14ac:dyDescent="0.25">
      <c r="A10422">
        <v>97417</v>
      </c>
      <c r="B10422" t="s">
        <v>4</v>
      </c>
      <c r="C10422">
        <v>4</v>
      </c>
      <c r="D10422" t="s">
        <v>5</v>
      </c>
      <c r="F10422" t="str" cm="1">
        <f t="array" ref="F10422">CategorizeComment(E10422)</f>
        <v>Other</v>
      </c>
      <c r="G10422" t="str" cm="1">
        <f t="array" ref="G10422">SubCategorizeComment(E10422)</f>
        <v>Other</v>
      </c>
    </row>
    <row r="10423" spans="1:7" x14ac:dyDescent="0.25">
      <c r="A10423">
        <v>97425</v>
      </c>
      <c r="B10423" t="s">
        <v>4</v>
      </c>
      <c r="C10423">
        <v>4</v>
      </c>
      <c r="D10423" t="s">
        <v>5</v>
      </c>
      <c r="F10423" t="str" cm="1">
        <f t="array" ref="F10423">CategorizeComment(E10423)</f>
        <v>Other</v>
      </c>
      <c r="G10423" t="str" cm="1">
        <f t="array" ref="G10423">SubCategorizeComment(E10423)</f>
        <v>Other</v>
      </c>
    </row>
    <row r="10424" spans="1:7" x14ac:dyDescent="0.25">
      <c r="A10424">
        <v>97434</v>
      </c>
      <c r="B10424" t="s">
        <v>4</v>
      </c>
      <c r="C10424">
        <v>4</v>
      </c>
      <c r="D10424" t="s">
        <v>5</v>
      </c>
      <c r="F10424" t="str" cm="1">
        <f t="array" ref="F10424">CategorizeComment(E10424)</f>
        <v>Other</v>
      </c>
      <c r="G10424" t="str" cm="1">
        <f t="array" ref="G10424">SubCategorizeComment(E10424)</f>
        <v>Other</v>
      </c>
    </row>
    <row r="10425" spans="1:7" x14ac:dyDescent="0.25">
      <c r="A10425">
        <v>97435</v>
      </c>
      <c r="B10425" t="s">
        <v>4</v>
      </c>
      <c r="C10425">
        <v>3</v>
      </c>
      <c r="D10425" t="s">
        <v>5</v>
      </c>
      <c r="F10425" t="str" cm="1">
        <f t="array" ref="F10425">CategorizeComment(E10425)</f>
        <v>Other</v>
      </c>
      <c r="G10425" t="str" cm="1">
        <f t="array" ref="G10425">SubCategorizeComment(E10425)</f>
        <v>Other</v>
      </c>
    </row>
    <row r="10426" spans="1:7" x14ac:dyDescent="0.25">
      <c r="A10426">
        <v>97439</v>
      </c>
      <c r="B10426" t="s">
        <v>4</v>
      </c>
      <c r="C10426">
        <v>3</v>
      </c>
      <c r="D10426" t="s">
        <v>5</v>
      </c>
      <c r="F10426" t="str" cm="1">
        <f t="array" ref="F10426">CategorizeComment(E10426)</f>
        <v>Other</v>
      </c>
      <c r="G10426" t="str" cm="1">
        <f t="array" ref="G10426">SubCategorizeComment(E10426)</f>
        <v>Other</v>
      </c>
    </row>
    <row r="10427" spans="1:7" x14ac:dyDescent="0.25">
      <c r="A10427">
        <v>97440</v>
      </c>
      <c r="B10427" t="s">
        <v>4</v>
      </c>
      <c r="C10427">
        <v>4</v>
      </c>
      <c r="D10427" t="s">
        <v>5</v>
      </c>
      <c r="F10427" t="str" cm="1">
        <f t="array" ref="F10427">CategorizeComment(E10427)</f>
        <v>Other</v>
      </c>
      <c r="G10427" t="str" cm="1">
        <f t="array" ref="G10427">SubCategorizeComment(E10427)</f>
        <v>Other</v>
      </c>
    </row>
    <row r="10428" spans="1:7" x14ac:dyDescent="0.25">
      <c r="A10428">
        <v>97448</v>
      </c>
      <c r="B10428" t="s">
        <v>4</v>
      </c>
      <c r="C10428">
        <v>4</v>
      </c>
      <c r="D10428" t="s">
        <v>5</v>
      </c>
      <c r="F10428" t="str" cm="1">
        <f t="array" ref="F10428">CategorizeComment(E10428)</f>
        <v>Other</v>
      </c>
      <c r="G10428" t="str" cm="1">
        <f t="array" ref="G10428">SubCategorizeComment(E10428)</f>
        <v>Other</v>
      </c>
    </row>
    <row r="10429" spans="1:7" x14ac:dyDescent="0.25">
      <c r="A10429">
        <v>97468</v>
      </c>
      <c r="B10429" t="s">
        <v>4</v>
      </c>
      <c r="C10429">
        <v>3</v>
      </c>
      <c r="D10429" t="s">
        <v>5</v>
      </c>
      <c r="F10429" t="str" cm="1">
        <f t="array" ref="F10429">CategorizeComment(E10429)</f>
        <v>Other</v>
      </c>
      <c r="G10429" t="str" cm="1">
        <f t="array" ref="G10429">SubCategorizeComment(E10429)</f>
        <v>Other</v>
      </c>
    </row>
    <row r="10430" spans="1:7" x14ac:dyDescent="0.25">
      <c r="A10430">
        <v>97498</v>
      </c>
      <c r="B10430" t="s">
        <v>4</v>
      </c>
      <c r="C10430">
        <v>4</v>
      </c>
      <c r="D10430" t="s">
        <v>5</v>
      </c>
      <c r="F10430" t="str" cm="1">
        <f t="array" ref="F10430">CategorizeComment(E10430)</f>
        <v>Other</v>
      </c>
      <c r="G10430" t="str" cm="1">
        <f t="array" ref="G10430">SubCategorizeComment(E10430)</f>
        <v>Other</v>
      </c>
    </row>
    <row r="10431" spans="1:7" x14ac:dyDescent="0.25">
      <c r="A10431">
        <v>97508</v>
      </c>
      <c r="B10431" t="s">
        <v>4</v>
      </c>
      <c r="C10431">
        <v>3</v>
      </c>
      <c r="D10431" t="s">
        <v>5</v>
      </c>
      <c r="F10431" t="str" cm="1">
        <f t="array" ref="F10431">CategorizeComment(E10431)</f>
        <v>Other</v>
      </c>
      <c r="G10431" t="str" cm="1">
        <f t="array" ref="G10431">SubCategorizeComment(E10431)</f>
        <v>Other</v>
      </c>
    </row>
    <row r="10432" spans="1:7" x14ac:dyDescent="0.25">
      <c r="A10432">
        <v>97509</v>
      </c>
      <c r="B10432" t="s">
        <v>4</v>
      </c>
      <c r="C10432">
        <v>4</v>
      </c>
      <c r="D10432" t="s">
        <v>5</v>
      </c>
      <c r="F10432" t="str" cm="1">
        <f t="array" ref="F10432">CategorizeComment(E10432)</f>
        <v>Other</v>
      </c>
      <c r="G10432" t="str" cm="1">
        <f t="array" ref="G10432">SubCategorizeComment(E10432)</f>
        <v>Other</v>
      </c>
    </row>
    <row r="10433" spans="1:7" x14ac:dyDescent="0.25">
      <c r="A10433">
        <v>97514</v>
      </c>
      <c r="B10433" t="s">
        <v>4</v>
      </c>
      <c r="C10433">
        <v>4</v>
      </c>
      <c r="D10433" t="s">
        <v>5</v>
      </c>
      <c r="F10433" t="str" cm="1">
        <f t="array" ref="F10433">CategorizeComment(E10433)</f>
        <v>Other</v>
      </c>
      <c r="G10433" t="str" cm="1">
        <f t="array" ref="G10433">SubCategorizeComment(E10433)</f>
        <v>Other</v>
      </c>
    </row>
    <row r="10434" spans="1:7" x14ac:dyDescent="0.25">
      <c r="A10434">
        <v>97531</v>
      </c>
      <c r="B10434" t="s">
        <v>4</v>
      </c>
      <c r="C10434">
        <v>3</v>
      </c>
      <c r="D10434" t="s">
        <v>5</v>
      </c>
      <c r="F10434" t="str" cm="1">
        <f t="array" ref="F10434">CategorizeComment(E10434)</f>
        <v>Other</v>
      </c>
      <c r="G10434" t="str" cm="1">
        <f t="array" ref="G10434">SubCategorizeComment(E10434)</f>
        <v>Other</v>
      </c>
    </row>
    <row r="10435" spans="1:7" x14ac:dyDescent="0.25">
      <c r="A10435">
        <v>97532</v>
      </c>
      <c r="B10435" t="s">
        <v>4</v>
      </c>
      <c r="C10435">
        <v>3</v>
      </c>
      <c r="D10435" t="s">
        <v>5</v>
      </c>
      <c r="F10435" t="str" cm="1">
        <f t="array" ref="F10435">CategorizeComment(E10435)</f>
        <v>Other</v>
      </c>
      <c r="G10435" t="str" cm="1">
        <f t="array" ref="G10435">SubCategorizeComment(E10435)</f>
        <v>Other</v>
      </c>
    </row>
    <row r="10436" spans="1:7" x14ac:dyDescent="0.25">
      <c r="A10436">
        <v>97536</v>
      </c>
      <c r="B10436" t="s">
        <v>4</v>
      </c>
      <c r="C10436">
        <v>4</v>
      </c>
      <c r="D10436" t="s">
        <v>5</v>
      </c>
      <c r="F10436" t="str" cm="1">
        <f t="array" ref="F10436">CategorizeComment(E10436)</f>
        <v>Other</v>
      </c>
      <c r="G10436" t="str" cm="1">
        <f t="array" ref="G10436">SubCategorizeComment(E10436)</f>
        <v>Other</v>
      </c>
    </row>
    <row r="10437" spans="1:7" x14ac:dyDescent="0.25">
      <c r="A10437">
        <v>97541</v>
      </c>
      <c r="B10437" t="s">
        <v>4</v>
      </c>
      <c r="C10437">
        <v>4</v>
      </c>
      <c r="D10437" t="s">
        <v>5</v>
      </c>
      <c r="F10437" t="str" cm="1">
        <f t="array" ref="F10437">CategorizeComment(E10437)</f>
        <v>Other</v>
      </c>
      <c r="G10437" t="str" cm="1">
        <f t="array" ref="G10437">SubCategorizeComment(E10437)</f>
        <v>Other</v>
      </c>
    </row>
    <row r="10438" spans="1:7" x14ac:dyDescent="0.25">
      <c r="A10438">
        <v>97543</v>
      </c>
      <c r="B10438" t="s">
        <v>4</v>
      </c>
      <c r="C10438">
        <v>4</v>
      </c>
      <c r="D10438" t="s">
        <v>5</v>
      </c>
      <c r="F10438" t="str" cm="1">
        <f t="array" ref="F10438">CategorizeComment(E10438)</f>
        <v>Other</v>
      </c>
      <c r="G10438" t="str" cm="1">
        <f t="array" ref="G10438">SubCategorizeComment(E10438)</f>
        <v>Other</v>
      </c>
    </row>
    <row r="10439" spans="1:7" x14ac:dyDescent="0.25">
      <c r="A10439">
        <v>97550</v>
      </c>
      <c r="B10439" t="s">
        <v>4</v>
      </c>
      <c r="C10439">
        <v>4</v>
      </c>
      <c r="D10439" t="s">
        <v>5</v>
      </c>
      <c r="F10439" t="str" cm="1">
        <f t="array" ref="F10439">CategorizeComment(E10439)</f>
        <v>Other</v>
      </c>
      <c r="G10439" t="str" cm="1">
        <f t="array" ref="G10439">SubCategorizeComment(E10439)</f>
        <v>Other</v>
      </c>
    </row>
    <row r="10440" spans="1:7" x14ac:dyDescent="0.25">
      <c r="A10440">
        <v>97551</v>
      </c>
      <c r="B10440" t="s">
        <v>4</v>
      </c>
      <c r="C10440">
        <v>3</v>
      </c>
      <c r="D10440" t="s">
        <v>5</v>
      </c>
      <c r="F10440" t="str" cm="1">
        <f t="array" ref="F10440">CategorizeComment(E10440)</f>
        <v>Other</v>
      </c>
      <c r="G10440" t="str" cm="1">
        <f t="array" ref="G10440">SubCategorizeComment(E10440)</f>
        <v>Other</v>
      </c>
    </row>
    <row r="10441" spans="1:7" x14ac:dyDescent="0.25">
      <c r="A10441">
        <v>97576</v>
      </c>
      <c r="B10441" t="s">
        <v>4</v>
      </c>
      <c r="C10441">
        <v>3</v>
      </c>
      <c r="D10441" t="s">
        <v>5</v>
      </c>
      <c r="F10441" t="str" cm="1">
        <f t="array" ref="F10441">CategorizeComment(E10441)</f>
        <v>Other</v>
      </c>
      <c r="G10441" t="str" cm="1">
        <f t="array" ref="G10441">SubCategorizeComment(E10441)</f>
        <v>Other</v>
      </c>
    </row>
    <row r="10442" spans="1:7" x14ac:dyDescent="0.25">
      <c r="A10442">
        <v>97580</v>
      </c>
      <c r="B10442" t="s">
        <v>4</v>
      </c>
      <c r="C10442">
        <v>3</v>
      </c>
      <c r="D10442" t="s">
        <v>5</v>
      </c>
      <c r="F10442" t="str" cm="1">
        <f t="array" ref="F10442">CategorizeComment(E10442)</f>
        <v>Other</v>
      </c>
      <c r="G10442" t="str" cm="1">
        <f t="array" ref="G10442">SubCategorizeComment(E10442)</f>
        <v>Other</v>
      </c>
    </row>
    <row r="10443" spans="1:7" x14ac:dyDescent="0.25">
      <c r="A10443">
        <v>97589</v>
      </c>
      <c r="B10443" t="s">
        <v>4</v>
      </c>
      <c r="C10443">
        <v>3</v>
      </c>
      <c r="D10443" t="s">
        <v>5</v>
      </c>
      <c r="F10443" t="str" cm="1">
        <f t="array" ref="F10443">CategorizeComment(E10443)</f>
        <v>Other</v>
      </c>
      <c r="G10443" t="str" cm="1">
        <f t="array" ref="G10443">SubCategorizeComment(E10443)</f>
        <v>Other</v>
      </c>
    </row>
    <row r="10444" spans="1:7" x14ac:dyDescent="0.25">
      <c r="A10444">
        <v>97595</v>
      </c>
      <c r="B10444" t="s">
        <v>4</v>
      </c>
      <c r="C10444">
        <v>4</v>
      </c>
      <c r="D10444" t="s">
        <v>5</v>
      </c>
      <c r="F10444" t="str" cm="1">
        <f t="array" ref="F10444">CategorizeComment(E10444)</f>
        <v>Other</v>
      </c>
      <c r="G10444" t="str" cm="1">
        <f t="array" ref="G10444">SubCategorizeComment(E10444)</f>
        <v>Other</v>
      </c>
    </row>
    <row r="10445" spans="1:7" x14ac:dyDescent="0.25">
      <c r="A10445">
        <v>97599</v>
      </c>
      <c r="B10445" t="s">
        <v>4</v>
      </c>
      <c r="C10445">
        <v>4</v>
      </c>
      <c r="D10445" t="s">
        <v>5</v>
      </c>
      <c r="F10445" t="str" cm="1">
        <f t="array" ref="F10445">CategorizeComment(E10445)</f>
        <v>Other</v>
      </c>
      <c r="G10445" t="str" cm="1">
        <f t="array" ref="G10445">SubCategorizeComment(E10445)</f>
        <v>Other</v>
      </c>
    </row>
    <row r="10446" spans="1:7" x14ac:dyDescent="0.25">
      <c r="A10446">
        <v>97603</v>
      </c>
      <c r="B10446" t="s">
        <v>4</v>
      </c>
      <c r="C10446">
        <v>3</v>
      </c>
      <c r="D10446" t="s">
        <v>5</v>
      </c>
      <c r="F10446" t="str" cm="1">
        <f t="array" ref="F10446">CategorizeComment(E10446)</f>
        <v>Other</v>
      </c>
      <c r="G10446" t="str" cm="1">
        <f t="array" ref="G10446">SubCategorizeComment(E10446)</f>
        <v>Other</v>
      </c>
    </row>
    <row r="10447" spans="1:7" x14ac:dyDescent="0.25">
      <c r="A10447">
        <v>97604</v>
      </c>
      <c r="B10447" t="s">
        <v>4</v>
      </c>
      <c r="C10447">
        <v>4</v>
      </c>
      <c r="D10447" t="s">
        <v>5</v>
      </c>
      <c r="F10447" t="str" cm="1">
        <f t="array" ref="F10447">CategorizeComment(E10447)</f>
        <v>Other</v>
      </c>
      <c r="G10447" t="str" cm="1">
        <f t="array" ref="G10447">SubCategorizeComment(E10447)</f>
        <v>Other</v>
      </c>
    </row>
    <row r="10448" spans="1:7" x14ac:dyDescent="0.25">
      <c r="A10448">
        <v>97607</v>
      </c>
      <c r="B10448" t="s">
        <v>4</v>
      </c>
      <c r="C10448">
        <v>3</v>
      </c>
      <c r="D10448" t="s">
        <v>5</v>
      </c>
      <c r="F10448" t="str" cm="1">
        <f t="array" ref="F10448">CategorizeComment(E10448)</f>
        <v>Other</v>
      </c>
      <c r="G10448" t="str" cm="1">
        <f t="array" ref="G10448">SubCategorizeComment(E10448)</f>
        <v>Other</v>
      </c>
    </row>
    <row r="10449" spans="1:7" x14ac:dyDescent="0.25">
      <c r="A10449">
        <v>97628</v>
      </c>
      <c r="B10449" t="s">
        <v>4</v>
      </c>
      <c r="C10449">
        <v>3</v>
      </c>
      <c r="D10449" t="s">
        <v>5</v>
      </c>
      <c r="F10449" t="str" cm="1">
        <f t="array" ref="F10449">CategorizeComment(E10449)</f>
        <v>Other</v>
      </c>
      <c r="G10449" t="str" cm="1">
        <f t="array" ref="G10449">SubCategorizeComment(E10449)</f>
        <v>Other</v>
      </c>
    </row>
    <row r="10450" spans="1:7" x14ac:dyDescent="0.25">
      <c r="A10450">
        <v>97631</v>
      </c>
      <c r="B10450" t="s">
        <v>4</v>
      </c>
      <c r="C10450">
        <v>4</v>
      </c>
      <c r="D10450" t="s">
        <v>5</v>
      </c>
      <c r="F10450" t="str" cm="1">
        <f t="array" ref="F10450">CategorizeComment(E10450)</f>
        <v>Other</v>
      </c>
      <c r="G10450" t="str" cm="1">
        <f t="array" ref="G10450">SubCategorizeComment(E10450)</f>
        <v>Other</v>
      </c>
    </row>
    <row r="10451" spans="1:7" x14ac:dyDescent="0.25">
      <c r="A10451">
        <v>97634</v>
      </c>
      <c r="B10451" t="s">
        <v>4</v>
      </c>
      <c r="C10451">
        <v>3</v>
      </c>
      <c r="D10451" t="s">
        <v>5</v>
      </c>
      <c r="F10451" t="str" cm="1">
        <f t="array" ref="F10451">CategorizeComment(E10451)</f>
        <v>Other</v>
      </c>
      <c r="G10451" t="str" cm="1">
        <f t="array" ref="G10451">SubCategorizeComment(E10451)</f>
        <v>Other</v>
      </c>
    </row>
    <row r="10452" spans="1:7" x14ac:dyDescent="0.25">
      <c r="A10452">
        <v>97635</v>
      </c>
      <c r="B10452" t="s">
        <v>4</v>
      </c>
      <c r="C10452">
        <v>4</v>
      </c>
      <c r="D10452" t="s">
        <v>5</v>
      </c>
      <c r="F10452" t="str" cm="1">
        <f t="array" ref="F10452">CategorizeComment(E10452)</f>
        <v>Other</v>
      </c>
      <c r="G10452" t="str" cm="1">
        <f t="array" ref="G10452">SubCategorizeComment(E10452)</f>
        <v>Other</v>
      </c>
    </row>
    <row r="10453" spans="1:7" x14ac:dyDescent="0.25">
      <c r="A10453">
        <v>97669</v>
      </c>
      <c r="B10453" t="s">
        <v>4</v>
      </c>
      <c r="C10453">
        <v>4</v>
      </c>
      <c r="D10453" t="s">
        <v>5</v>
      </c>
      <c r="F10453" t="str" cm="1">
        <f t="array" ref="F10453">CategorizeComment(E10453)</f>
        <v>Other</v>
      </c>
      <c r="G10453" t="str" cm="1">
        <f t="array" ref="G10453">SubCategorizeComment(E10453)</f>
        <v>Other</v>
      </c>
    </row>
    <row r="10454" spans="1:7" x14ac:dyDescent="0.25">
      <c r="A10454">
        <v>97673</v>
      </c>
      <c r="B10454" t="s">
        <v>4</v>
      </c>
      <c r="C10454">
        <v>4</v>
      </c>
      <c r="D10454" t="s">
        <v>5</v>
      </c>
      <c r="F10454" t="str" cm="1">
        <f t="array" ref="F10454">CategorizeComment(E10454)</f>
        <v>Other</v>
      </c>
      <c r="G10454" t="str" cm="1">
        <f t="array" ref="G10454">SubCategorizeComment(E10454)</f>
        <v>Other</v>
      </c>
    </row>
    <row r="10455" spans="1:7" x14ac:dyDescent="0.25">
      <c r="A10455">
        <v>97699</v>
      </c>
      <c r="B10455" t="s">
        <v>4</v>
      </c>
      <c r="C10455">
        <v>3</v>
      </c>
      <c r="D10455" t="s">
        <v>5</v>
      </c>
      <c r="F10455" t="str" cm="1">
        <f t="array" ref="F10455">CategorizeComment(E10455)</f>
        <v>Other</v>
      </c>
      <c r="G10455" t="str" cm="1">
        <f t="array" ref="G10455">SubCategorizeComment(E10455)</f>
        <v>Other</v>
      </c>
    </row>
    <row r="10456" spans="1:7" x14ac:dyDescent="0.25">
      <c r="A10456">
        <v>97703</v>
      </c>
      <c r="B10456" t="s">
        <v>4</v>
      </c>
      <c r="C10456">
        <v>4</v>
      </c>
      <c r="D10456" t="s">
        <v>5</v>
      </c>
      <c r="F10456" t="str" cm="1">
        <f t="array" ref="F10456">CategorizeComment(E10456)</f>
        <v>Other</v>
      </c>
      <c r="G10456" t="str" cm="1">
        <f t="array" ref="G10456">SubCategorizeComment(E10456)</f>
        <v>Other</v>
      </c>
    </row>
    <row r="10457" spans="1:7" x14ac:dyDescent="0.25">
      <c r="A10457">
        <v>97712</v>
      </c>
      <c r="B10457" t="s">
        <v>4</v>
      </c>
      <c r="C10457">
        <v>3</v>
      </c>
      <c r="D10457" t="s">
        <v>5</v>
      </c>
      <c r="F10457" t="str" cm="1">
        <f t="array" ref="F10457">CategorizeComment(E10457)</f>
        <v>Other</v>
      </c>
      <c r="G10457" t="str" cm="1">
        <f t="array" ref="G10457">SubCategorizeComment(E10457)</f>
        <v>Other</v>
      </c>
    </row>
    <row r="10458" spans="1:7" x14ac:dyDescent="0.25">
      <c r="A10458">
        <v>97713</v>
      </c>
      <c r="B10458" t="s">
        <v>4</v>
      </c>
      <c r="C10458">
        <v>3</v>
      </c>
      <c r="D10458" t="s">
        <v>5</v>
      </c>
      <c r="F10458" t="str" cm="1">
        <f t="array" ref="F10458">CategorizeComment(E10458)</f>
        <v>Other</v>
      </c>
      <c r="G10458" t="str" cm="1">
        <f t="array" ref="G10458">SubCategorizeComment(E10458)</f>
        <v>Other</v>
      </c>
    </row>
    <row r="10459" spans="1:7" x14ac:dyDescent="0.25">
      <c r="A10459">
        <v>97739</v>
      </c>
      <c r="B10459" t="s">
        <v>4</v>
      </c>
      <c r="C10459">
        <v>4</v>
      </c>
      <c r="D10459" t="s">
        <v>5</v>
      </c>
      <c r="F10459" t="str" cm="1">
        <f t="array" ref="F10459">CategorizeComment(E10459)</f>
        <v>Other</v>
      </c>
      <c r="G10459" t="str" cm="1">
        <f t="array" ref="G10459">SubCategorizeComment(E10459)</f>
        <v>Other</v>
      </c>
    </row>
    <row r="10460" spans="1:7" x14ac:dyDescent="0.25">
      <c r="A10460">
        <v>97750</v>
      </c>
      <c r="B10460" t="s">
        <v>4</v>
      </c>
      <c r="C10460">
        <v>3</v>
      </c>
      <c r="D10460" t="s">
        <v>5</v>
      </c>
      <c r="F10460" t="str" cm="1">
        <f t="array" ref="F10460">CategorizeComment(E10460)</f>
        <v>Other</v>
      </c>
      <c r="G10460" t="str" cm="1">
        <f t="array" ref="G10460">SubCategorizeComment(E10460)</f>
        <v>Other</v>
      </c>
    </row>
    <row r="10461" spans="1:7" x14ac:dyDescent="0.25">
      <c r="A10461">
        <v>97754</v>
      </c>
      <c r="B10461" t="s">
        <v>4</v>
      </c>
      <c r="C10461">
        <v>3</v>
      </c>
      <c r="D10461" t="s">
        <v>5</v>
      </c>
      <c r="F10461" t="str" cm="1">
        <f t="array" ref="F10461">CategorizeComment(E10461)</f>
        <v>Other</v>
      </c>
      <c r="G10461" t="str" cm="1">
        <f t="array" ref="G10461">SubCategorizeComment(E10461)</f>
        <v>Other</v>
      </c>
    </row>
    <row r="10462" spans="1:7" x14ac:dyDescent="0.25">
      <c r="A10462">
        <v>97799</v>
      </c>
      <c r="B10462" t="s">
        <v>4</v>
      </c>
      <c r="C10462">
        <v>3</v>
      </c>
      <c r="D10462" t="s">
        <v>5</v>
      </c>
      <c r="F10462" t="str" cm="1">
        <f t="array" ref="F10462">CategorizeComment(E10462)</f>
        <v>Other</v>
      </c>
      <c r="G10462" t="str" cm="1">
        <f t="array" ref="G10462">SubCategorizeComment(E10462)</f>
        <v>Other</v>
      </c>
    </row>
    <row r="10463" spans="1:7" x14ac:dyDescent="0.25">
      <c r="A10463">
        <v>97806</v>
      </c>
      <c r="B10463" t="s">
        <v>4</v>
      </c>
      <c r="C10463">
        <v>4</v>
      </c>
      <c r="D10463" t="s">
        <v>5</v>
      </c>
      <c r="F10463" t="str" cm="1">
        <f t="array" ref="F10463">CategorizeComment(E10463)</f>
        <v>Other</v>
      </c>
      <c r="G10463" t="str" cm="1">
        <f t="array" ref="G10463">SubCategorizeComment(E10463)</f>
        <v>Other</v>
      </c>
    </row>
    <row r="10464" spans="1:7" x14ac:dyDescent="0.25">
      <c r="A10464">
        <v>97831</v>
      </c>
      <c r="B10464" t="s">
        <v>4</v>
      </c>
      <c r="C10464">
        <v>3</v>
      </c>
      <c r="D10464" t="s">
        <v>5</v>
      </c>
      <c r="F10464" t="str" cm="1">
        <f t="array" ref="F10464">CategorizeComment(E10464)</f>
        <v>Other</v>
      </c>
      <c r="G10464" t="str" cm="1">
        <f t="array" ref="G10464">SubCategorizeComment(E10464)</f>
        <v>Other</v>
      </c>
    </row>
    <row r="10465" spans="1:7" x14ac:dyDescent="0.25">
      <c r="A10465">
        <v>97854</v>
      </c>
      <c r="B10465" t="s">
        <v>4</v>
      </c>
      <c r="C10465">
        <v>3</v>
      </c>
      <c r="D10465" t="s">
        <v>5</v>
      </c>
      <c r="F10465" t="str" cm="1">
        <f t="array" ref="F10465">CategorizeComment(E10465)</f>
        <v>Other</v>
      </c>
      <c r="G10465" t="str" cm="1">
        <f t="array" ref="G10465">SubCategorizeComment(E10465)</f>
        <v>Other</v>
      </c>
    </row>
    <row r="10466" spans="1:7" x14ac:dyDescent="0.25">
      <c r="A10466">
        <v>97857</v>
      </c>
      <c r="B10466" t="s">
        <v>4</v>
      </c>
      <c r="C10466">
        <v>4</v>
      </c>
      <c r="D10466" t="s">
        <v>5</v>
      </c>
      <c r="F10466" t="str" cm="1">
        <f t="array" ref="F10466">CategorizeComment(E10466)</f>
        <v>Other</v>
      </c>
      <c r="G10466" t="str" cm="1">
        <f t="array" ref="G10466">SubCategorizeComment(E10466)</f>
        <v>Other</v>
      </c>
    </row>
    <row r="10467" spans="1:7" x14ac:dyDescent="0.25">
      <c r="A10467">
        <v>97897</v>
      </c>
      <c r="B10467" t="s">
        <v>4</v>
      </c>
      <c r="C10467">
        <v>3</v>
      </c>
      <c r="D10467" t="s">
        <v>5</v>
      </c>
      <c r="F10467" t="str" cm="1">
        <f t="array" ref="F10467">CategorizeComment(E10467)</f>
        <v>Other</v>
      </c>
      <c r="G10467" t="str" cm="1">
        <f t="array" ref="G10467">SubCategorizeComment(E10467)</f>
        <v>Other</v>
      </c>
    </row>
    <row r="10468" spans="1:7" x14ac:dyDescent="0.25">
      <c r="A10468">
        <v>97910</v>
      </c>
      <c r="B10468" t="s">
        <v>4</v>
      </c>
      <c r="C10468">
        <v>3</v>
      </c>
      <c r="D10468" t="s">
        <v>5</v>
      </c>
      <c r="F10468" t="str" cm="1">
        <f t="array" ref="F10468">CategorizeComment(E10468)</f>
        <v>Other</v>
      </c>
      <c r="G10468" t="str" cm="1">
        <f t="array" ref="G10468">SubCategorizeComment(E10468)</f>
        <v>Other</v>
      </c>
    </row>
    <row r="10469" spans="1:7" x14ac:dyDescent="0.25">
      <c r="A10469">
        <v>97912</v>
      </c>
      <c r="B10469" t="s">
        <v>4</v>
      </c>
      <c r="C10469">
        <v>3</v>
      </c>
      <c r="D10469" t="s">
        <v>5</v>
      </c>
      <c r="F10469" t="str" cm="1">
        <f t="array" ref="F10469">CategorizeComment(E10469)</f>
        <v>Other</v>
      </c>
      <c r="G10469" t="str" cm="1">
        <f t="array" ref="G10469">SubCategorizeComment(E10469)</f>
        <v>Other</v>
      </c>
    </row>
    <row r="10470" spans="1:7" x14ac:dyDescent="0.25">
      <c r="A10470">
        <v>97925</v>
      </c>
      <c r="B10470" t="s">
        <v>4</v>
      </c>
      <c r="C10470">
        <v>3</v>
      </c>
      <c r="D10470" t="s">
        <v>5</v>
      </c>
      <c r="F10470" t="str" cm="1">
        <f t="array" ref="F10470">CategorizeComment(E10470)</f>
        <v>Other</v>
      </c>
      <c r="G10470" t="str" cm="1">
        <f t="array" ref="G10470">SubCategorizeComment(E10470)</f>
        <v>Other</v>
      </c>
    </row>
    <row r="10471" spans="1:7" x14ac:dyDescent="0.25">
      <c r="A10471">
        <v>97946</v>
      </c>
      <c r="B10471" t="s">
        <v>4</v>
      </c>
      <c r="C10471">
        <v>4</v>
      </c>
      <c r="D10471" t="s">
        <v>5</v>
      </c>
      <c r="F10471" t="str" cm="1">
        <f t="array" ref="F10471">CategorizeComment(E10471)</f>
        <v>Other</v>
      </c>
      <c r="G10471" t="str" cm="1">
        <f t="array" ref="G10471">SubCategorizeComment(E10471)</f>
        <v>Other</v>
      </c>
    </row>
    <row r="10472" spans="1:7" x14ac:dyDescent="0.25">
      <c r="A10472">
        <v>97947</v>
      </c>
      <c r="B10472" t="s">
        <v>4</v>
      </c>
      <c r="C10472">
        <v>4</v>
      </c>
      <c r="D10472" t="s">
        <v>5</v>
      </c>
      <c r="F10472" t="str" cm="1">
        <f t="array" ref="F10472">CategorizeComment(E10472)</f>
        <v>Other</v>
      </c>
      <c r="G10472" t="str" cm="1">
        <f t="array" ref="G10472">SubCategorizeComment(E10472)</f>
        <v>Other</v>
      </c>
    </row>
    <row r="10473" spans="1:7" x14ac:dyDescent="0.25">
      <c r="A10473">
        <v>97954</v>
      </c>
      <c r="B10473" t="s">
        <v>4</v>
      </c>
      <c r="C10473">
        <v>4</v>
      </c>
      <c r="D10473" t="s">
        <v>5</v>
      </c>
      <c r="F10473" t="str" cm="1">
        <f t="array" ref="F10473">CategorizeComment(E10473)</f>
        <v>Other</v>
      </c>
      <c r="G10473" t="str" cm="1">
        <f t="array" ref="G10473">SubCategorizeComment(E10473)</f>
        <v>Other</v>
      </c>
    </row>
    <row r="10474" spans="1:7" x14ac:dyDescent="0.25">
      <c r="A10474">
        <v>97982</v>
      </c>
      <c r="B10474" t="s">
        <v>4</v>
      </c>
      <c r="C10474">
        <v>3</v>
      </c>
      <c r="D10474" t="s">
        <v>5</v>
      </c>
      <c r="F10474" t="str" cm="1">
        <f t="array" ref="F10474">CategorizeComment(E10474)</f>
        <v>Other</v>
      </c>
      <c r="G10474" t="str" cm="1">
        <f t="array" ref="G10474">SubCategorizeComment(E10474)</f>
        <v>Other</v>
      </c>
    </row>
    <row r="10475" spans="1:7" x14ac:dyDescent="0.25">
      <c r="A10475">
        <v>97985</v>
      </c>
      <c r="B10475" t="s">
        <v>4</v>
      </c>
      <c r="C10475">
        <v>4</v>
      </c>
      <c r="D10475" t="s">
        <v>5</v>
      </c>
      <c r="F10475" t="str" cm="1">
        <f t="array" ref="F10475">CategorizeComment(E10475)</f>
        <v>Other</v>
      </c>
      <c r="G10475" t="str" cm="1">
        <f t="array" ref="G10475">SubCategorizeComment(E10475)</f>
        <v>Other</v>
      </c>
    </row>
    <row r="10476" spans="1:7" x14ac:dyDescent="0.25">
      <c r="A10476">
        <v>98003</v>
      </c>
      <c r="B10476" t="s">
        <v>4</v>
      </c>
      <c r="C10476">
        <v>4</v>
      </c>
      <c r="D10476" t="s">
        <v>5</v>
      </c>
      <c r="F10476" t="str" cm="1">
        <f t="array" ref="F10476">CategorizeComment(E10476)</f>
        <v>Other</v>
      </c>
      <c r="G10476" t="str" cm="1">
        <f t="array" ref="G10476">SubCategorizeComment(E10476)</f>
        <v>Other</v>
      </c>
    </row>
    <row r="10477" spans="1:7" x14ac:dyDescent="0.25">
      <c r="A10477">
        <v>98028</v>
      </c>
      <c r="B10477" t="s">
        <v>4</v>
      </c>
      <c r="C10477">
        <v>4</v>
      </c>
      <c r="D10477" t="s">
        <v>5</v>
      </c>
      <c r="F10477" t="str" cm="1">
        <f t="array" ref="F10477">CategorizeComment(E10477)</f>
        <v>Other</v>
      </c>
      <c r="G10477" t="str" cm="1">
        <f t="array" ref="G10477">SubCategorizeComment(E10477)</f>
        <v>Other</v>
      </c>
    </row>
    <row r="10478" spans="1:7" x14ac:dyDescent="0.25">
      <c r="A10478">
        <v>98029</v>
      </c>
      <c r="B10478" t="s">
        <v>4</v>
      </c>
      <c r="C10478">
        <v>3</v>
      </c>
      <c r="D10478" t="s">
        <v>5</v>
      </c>
      <c r="F10478" t="str" cm="1">
        <f t="array" ref="F10478">CategorizeComment(E10478)</f>
        <v>Other</v>
      </c>
      <c r="G10478" t="str" cm="1">
        <f t="array" ref="G10478">SubCategorizeComment(E10478)</f>
        <v>Other</v>
      </c>
    </row>
    <row r="10479" spans="1:7" x14ac:dyDescent="0.25">
      <c r="A10479">
        <v>98034</v>
      </c>
      <c r="B10479" t="s">
        <v>4</v>
      </c>
      <c r="C10479">
        <v>4</v>
      </c>
      <c r="D10479" t="s">
        <v>5</v>
      </c>
      <c r="F10479" t="str" cm="1">
        <f t="array" ref="F10479">CategorizeComment(E10479)</f>
        <v>Other</v>
      </c>
      <c r="G10479" t="str" cm="1">
        <f t="array" ref="G10479">SubCategorizeComment(E10479)</f>
        <v>Other</v>
      </c>
    </row>
    <row r="10480" spans="1:7" x14ac:dyDescent="0.25">
      <c r="A10480">
        <v>98035</v>
      </c>
      <c r="B10480" t="s">
        <v>4</v>
      </c>
      <c r="C10480">
        <v>3</v>
      </c>
      <c r="D10480" t="s">
        <v>5</v>
      </c>
      <c r="F10480" t="str" cm="1">
        <f t="array" ref="F10480">CategorizeComment(E10480)</f>
        <v>Other</v>
      </c>
      <c r="G10480" t="str" cm="1">
        <f t="array" ref="G10480">SubCategorizeComment(E10480)</f>
        <v>Other</v>
      </c>
    </row>
    <row r="10481" spans="1:7" x14ac:dyDescent="0.25">
      <c r="A10481">
        <v>98050</v>
      </c>
      <c r="B10481" t="s">
        <v>4</v>
      </c>
      <c r="C10481">
        <v>4</v>
      </c>
      <c r="D10481" t="s">
        <v>5</v>
      </c>
      <c r="F10481" t="str" cm="1">
        <f t="array" ref="F10481">CategorizeComment(E10481)</f>
        <v>Other</v>
      </c>
      <c r="G10481" t="str" cm="1">
        <f t="array" ref="G10481">SubCategorizeComment(E10481)</f>
        <v>Other</v>
      </c>
    </row>
    <row r="10482" spans="1:7" x14ac:dyDescent="0.25">
      <c r="A10482">
        <v>98052</v>
      </c>
      <c r="B10482" t="s">
        <v>4</v>
      </c>
      <c r="C10482">
        <v>4</v>
      </c>
      <c r="D10482" t="s">
        <v>5</v>
      </c>
      <c r="F10482" t="str" cm="1">
        <f t="array" ref="F10482">CategorizeComment(E10482)</f>
        <v>Other</v>
      </c>
      <c r="G10482" t="str" cm="1">
        <f t="array" ref="G10482">SubCategorizeComment(E10482)</f>
        <v>Other</v>
      </c>
    </row>
    <row r="10483" spans="1:7" x14ac:dyDescent="0.25">
      <c r="A10483">
        <v>98056</v>
      </c>
      <c r="B10483" t="s">
        <v>4</v>
      </c>
      <c r="C10483">
        <v>4</v>
      </c>
      <c r="D10483" t="s">
        <v>5</v>
      </c>
      <c r="F10483" t="str" cm="1">
        <f t="array" ref="F10483">CategorizeComment(E10483)</f>
        <v>Other</v>
      </c>
      <c r="G10483" t="str" cm="1">
        <f t="array" ref="G10483">SubCategorizeComment(E10483)</f>
        <v>Other</v>
      </c>
    </row>
    <row r="10484" spans="1:7" x14ac:dyDescent="0.25">
      <c r="A10484">
        <v>98061</v>
      </c>
      <c r="B10484" t="s">
        <v>4</v>
      </c>
      <c r="C10484">
        <v>3</v>
      </c>
      <c r="D10484" t="s">
        <v>5</v>
      </c>
      <c r="F10484" t="str" cm="1">
        <f t="array" ref="F10484">CategorizeComment(E10484)</f>
        <v>Other</v>
      </c>
      <c r="G10484" t="str" cm="1">
        <f t="array" ref="G10484">SubCategorizeComment(E10484)</f>
        <v>Other</v>
      </c>
    </row>
    <row r="10485" spans="1:7" x14ac:dyDescent="0.25">
      <c r="A10485">
        <v>98062</v>
      </c>
      <c r="B10485" t="s">
        <v>4</v>
      </c>
      <c r="C10485">
        <v>4</v>
      </c>
      <c r="D10485" t="s">
        <v>5</v>
      </c>
      <c r="F10485" t="str" cm="1">
        <f t="array" ref="F10485">CategorizeComment(E10485)</f>
        <v>Other</v>
      </c>
      <c r="G10485" t="str" cm="1">
        <f t="array" ref="G10485">SubCategorizeComment(E10485)</f>
        <v>Other</v>
      </c>
    </row>
    <row r="10486" spans="1:7" x14ac:dyDescent="0.25">
      <c r="A10486">
        <v>98069</v>
      </c>
      <c r="B10486" t="s">
        <v>4</v>
      </c>
      <c r="C10486">
        <v>4</v>
      </c>
      <c r="D10486" t="s">
        <v>5</v>
      </c>
      <c r="F10486" t="str" cm="1">
        <f t="array" ref="F10486">CategorizeComment(E10486)</f>
        <v>Other</v>
      </c>
      <c r="G10486" t="str" cm="1">
        <f t="array" ref="G10486">SubCategorizeComment(E10486)</f>
        <v>Other</v>
      </c>
    </row>
    <row r="10487" spans="1:7" x14ac:dyDescent="0.25">
      <c r="A10487">
        <v>98076</v>
      </c>
      <c r="B10487" t="s">
        <v>4</v>
      </c>
      <c r="C10487">
        <v>4</v>
      </c>
      <c r="D10487" t="s">
        <v>5</v>
      </c>
      <c r="F10487" t="str" cm="1">
        <f t="array" ref="F10487">CategorizeComment(E10487)</f>
        <v>Other</v>
      </c>
      <c r="G10487" t="str" cm="1">
        <f t="array" ref="G10487">SubCategorizeComment(E10487)</f>
        <v>Other</v>
      </c>
    </row>
    <row r="10488" spans="1:7" x14ac:dyDescent="0.25">
      <c r="A10488">
        <v>98078</v>
      </c>
      <c r="B10488" t="s">
        <v>4</v>
      </c>
      <c r="C10488">
        <v>3</v>
      </c>
      <c r="D10488" t="s">
        <v>5</v>
      </c>
      <c r="F10488" t="str" cm="1">
        <f t="array" ref="F10488">CategorizeComment(E10488)</f>
        <v>Other</v>
      </c>
      <c r="G10488" t="str" cm="1">
        <f t="array" ref="G10488">SubCategorizeComment(E10488)</f>
        <v>Other</v>
      </c>
    </row>
    <row r="10489" spans="1:7" x14ac:dyDescent="0.25">
      <c r="A10489">
        <v>98102</v>
      </c>
      <c r="B10489" t="s">
        <v>4</v>
      </c>
      <c r="C10489">
        <v>4</v>
      </c>
      <c r="D10489" t="s">
        <v>5</v>
      </c>
      <c r="F10489" t="str" cm="1">
        <f t="array" ref="F10489">CategorizeComment(E10489)</f>
        <v>Other</v>
      </c>
      <c r="G10489" t="str" cm="1">
        <f t="array" ref="G10489">SubCategorizeComment(E10489)</f>
        <v>Other</v>
      </c>
    </row>
    <row r="10490" spans="1:7" x14ac:dyDescent="0.25">
      <c r="A10490">
        <v>98120</v>
      </c>
      <c r="B10490" t="s">
        <v>4</v>
      </c>
      <c r="C10490">
        <v>4</v>
      </c>
      <c r="D10490" t="s">
        <v>5</v>
      </c>
      <c r="F10490" t="str" cm="1">
        <f t="array" ref="F10490">CategorizeComment(E10490)</f>
        <v>Other</v>
      </c>
      <c r="G10490" t="str" cm="1">
        <f t="array" ref="G10490">SubCategorizeComment(E10490)</f>
        <v>Other</v>
      </c>
    </row>
    <row r="10491" spans="1:7" x14ac:dyDescent="0.25">
      <c r="A10491">
        <v>98121</v>
      </c>
      <c r="B10491" t="s">
        <v>4</v>
      </c>
      <c r="C10491">
        <v>4</v>
      </c>
      <c r="D10491" t="s">
        <v>5</v>
      </c>
      <c r="F10491" t="str" cm="1">
        <f t="array" ref="F10491">CategorizeComment(E10491)</f>
        <v>Other</v>
      </c>
      <c r="G10491" t="str" cm="1">
        <f t="array" ref="G10491">SubCategorizeComment(E10491)</f>
        <v>Other</v>
      </c>
    </row>
    <row r="10492" spans="1:7" x14ac:dyDescent="0.25">
      <c r="A10492">
        <v>98123</v>
      </c>
      <c r="B10492" t="s">
        <v>4</v>
      </c>
      <c r="C10492">
        <v>4</v>
      </c>
      <c r="D10492" t="s">
        <v>5</v>
      </c>
      <c r="F10492" t="str" cm="1">
        <f t="array" ref="F10492">CategorizeComment(E10492)</f>
        <v>Other</v>
      </c>
      <c r="G10492" t="str" cm="1">
        <f t="array" ref="G10492">SubCategorizeComment(E10492)</f>
        <v>Other</v>
      </c>
    </row>
    <row r="10493" spans="1:7" x14ac:dyDescent="0.25">
      <c r="A10493">
        <v>98125</v>
      </c>
      <c r="B10493" t="s">
        <v>4</v>
      </c>
      <c r="C10493">
        <v>3</v>
      </c>
      <c r="D10493" t="s">
        <v>5</v>
      </c>
      <c r="F10493" t="str" cm="1">
        <f t="array" ref="F10493">CategorizeComment(E10493)</f>
        <v>Other</v>
      </c>
      <c r="G10493" t="str" cm="1">
        <f t="array" ref="G10493">SubCategorizeComment(E10493)</f>
        <v>Other</v>
      </c>
    </row>
    <row r="10494" spans="1:7" x14ac:dyDescent="0.25">
      <c r="A10494">
        <v>98126</v>
      </c>
      <c r="B10494" t="s">
        <v>4</v>
      </c>
      <c r="C10494">
        <v>3</v>
      </c>
      <c r="D10494" t="s">
        <v>5</v>
      </c>
      <c r="F10494" t="str" cm="1">
        <f t="array" ref="F10494">CategorizeComment(E10494)</f>
        <v>Other</v>
      </c>
      <c r="G10494" t="str" cm="1">
        <f t="array" ref="G10494">SubCategorizeComment(E10494)</f>
        <v>Other</v>
      </c>
    </row>
    <row r="10495" spans="1:7" x14ac:dyDescent="0.25">
      <c r="A10495">
        <v>98127</v>
      </c>
      <c r="B10495" t="s">
        <v>4</v>
      </c>
      <c r="C10495">
        <v>3</v>
      </c>
      <c r="D10495" t="s">
        <v>5</v>
      </c>
      <c r="F10495" t="str" cm="1">
        <f t="array" ref="F10495">CategorizeComment(E10495)</f>
        <v>Other</v>
      </c>
      <c r="G10495" t="str" cm="1">
        <f t="array" ref="G10495">SubCategorizeComment(E10495)</f>
        <v>Other</v>
      </c>
    </row>
    <row r="10496" spans="1:7" x14ac:dyDescent="0.25">
      <c r="A10496">
        <v>98136</v>
      </c>
      <c r="B10496" t="s">
        <v>4</v>
      </c>
      <c r="C10496">
        <v>4</v>
      </c>
      <c r="D10496" t="s">
        <v>5</v>
      </c>
      <c r="F10496" t="str" cm="1">
        <f t="array" ref="F10496">CategorizeComment(E10496)</f>
        <v>Other</v>
      </c>
      <c r="G10496" t="str" cm="1">
        <f t="array" ref="G10496">SubCategorizeComment(E10496)</f>
        <v>Other</v>
      </c>
    </row>
    <row r="10497" spans="1:7" x14ac:dyDescent="0.25">
      <c r="A10497">
        <v>98141</v>
      </c>
      <c r="B10497" t="s">
        <v>4</v>
      </c>
      <c r="C10497">
        <v>4</v>
      </c>
      <c r="D10497" t="s">
        <v>5</v>
      </c>
      <c r="F10497" t="str" cm="1">
        <f t="array" ref="F10497">CategorizeComment(E10497)</f>
        <v>Other</v>
      </c>
      <c r="G10497" t="str" cm="1">
        <f t="array" ref="G10497">SubCategorizeComment(E10497)</f>
        <v>Other</v>
      </c>
    </row>
    <row r="10498" spans="1:7" x14ac:dyDescent="0.25">
      <c r="A10498">
        <v>98159</v>
      </c>
      <c r="B10498" t="s">
        <v>4</v>
      </c>
      <c r="C10498">
        <v>4</v>
      </c>
      <c r="D10498" t="s">
        <v>5</v>
      </c>
      <c r="F10498" t="str" cm="1">
        <f t="array" ref="F10498">CategorizeComment(E10498)</f>
        <v>Other</v>
      </c>
      <c r="G10498" t="str" cm="1">
        <f t="array" ref="G10498">SubCategorizeComment(E10498)</f>
        <v>Other</v>
      </c>
    </row>
    <row r="10499" spans="1:7" x14ac:dyDescent="0.25">
      <c r="A10499">
        <v>98164</v>
      </c>
      <c r="B10499" t="s">
        <v>4</v>
      </c>
      <c r="C10499">
        <v>4</v>
      </c>
      <c r="D10499" t="s">
        <v>5</v>
      </c>
      <c r="F10499" t="str" cm="1">
        <f t="array" ref="F10499">CategorizeComment(E10499)</f>
        <v>Other</v>
      </c>
      <c r="G10499" t="str" cm="1">
        <f t="array" ref="G10499">SubCategorizeComment(E10499)</f>
        <v>Other</v>
      </c>
    </row>
    <row r="10500" spans="1:7" x14ac:dyDescent="0.25">
      <c r="A10500">
        <v>98182</v>
      </c>
      <c r="B10500" t="s">
        <v>4</v>
      </c>
      <c r="C10500">
        <v>3</v>
      </c>
      <c r="D10500" t="s">
        <v>5</v>
      </c>
      <c r="F10500" t="str" cm="1">
        <f t="array" ref="F10500">CategorizeComment(E10500)</f>
        <v>Other</v>
      </c>
      <c r="G10500" t="str" cm="1">
        <f t="array" ref="G10500">SubCategorizeComment(E10500)</f>
        <v>Other</v>
      </c>
    </row>
    <row r="10501" spans="1:7" x14ac:dyDescent="0.25">
      <c r="A10501">
        <v>98184</v>
      </c>
      <c r="B10501" t="s">
        <v>4</v>
      </c>
      <c r="C10501">
        <v>3</v>
      </c>
      <c r="D10501" t="s">
        <v>5</v>
      </c>
      <c r="F10501" t="str" cm="1">
        <f t="array" ref="F10501">CategorizeComment(E10501)</f>
        <v>Other</v>
      </c>
      <c r="G10501" t="str" cm="1">
        <f t="array" ref="G10501">SubCategorizeComment(E10501)</f>
        <v>Other</v>
      </c>
    </row>
    <row r="10502" spans="1:7" x14ac:dyDescent="0.25">
      <c r="A10502">
        <v>98190</v>
      </c>
      <c r="B10502" t="s">
        <v>4</v>
      </c>
      <c r="C10502">
        <v>4</v>
      </c>
      <c r="D10502" t="s">
        <v>5</v>
      </c>
      <c r="F10502" t="str" cm="1">
        <f t="array" ref="F10502">CategorizeComment(E10502)</f>
        <v>Other</v>
      </c>
      <c r="G10502" t="str" cm="1">
        <f t="array" ref="G10502">SubCategorizeComment(E10502)</f>
        <v>Other</v>
      </c>
    </row>
    <row r="10503" spans="1:7" x14ac:dyDescent="0.25">
      <c r="A10503">
        <v>98211</v>
      </c>
      <c r="B10503" t="s">
        <v>4</v>
      </c>
      <c r="C10503">
        <v>4</v>
      </c>
      <c r="D10503" t="s">
        <v>5</v>
      </c>
      <c r="F10503" t="str" cm="1">
        <f t="array" ref="F10503">CategorizeComment(E10503)</f>
        <v>Other</v>
      </c>
      <c r="G10503" t="str" cm="1">
        <f t="array" ref="G10503">SubCategorizeComment(E10503)</f>
        <v>Other</v>
      </c>
    </row>
    <row r="10504" spans="1:7" x14ac:dyDescent="0.25">
      <c r="A10504">
        <v>98220</v>
      </c>
      <c r="B10504" t="s">
        <v>4</v>
      </c>
      <c r="C10504">
        <v>4</v>
      </c>
      <c r="D10504" t="s">
        <v>5</v>
      </c>
      <c r="F10504" t="str" cm="1">
        <f t="array" ref="F10504">CategorizeComment(E10504)</f>
        <v>Other</v>
      </c>
      <c r="G10504" t="str" cm="1">
        <f t="array" ref="G10504">SubCategorizeComment(E10504)</f>
        <v>Other</v>
      </c>
    </row>
    <row r="10505" spans="1:7" x14ac:dyDescent="0.25">
      <c r="A10505">
        <v>98231</v>
      </c>
      <c r="B10505" t="s">
        <v>4</v>
      </c>
      <c r="C10505">
        <v>4</v>
      </c>
      <c r="D10505" t="s">
        <v>5</v>
      </c>
      <c r="F10505" t="str" cm="1">
        <f t="array" ref="F10505">CategorizeComment(E10505)</f>
        <v>Other</v>
      </c>
      <c r="G10505" t="str" cm="1">
        <f t="array" ref="G10505">SubCategorizeComment(E10505)</f>
        <v>Other</v>
      </c>
    </row>
    <row r="10506" spans="1:7" x14ac:dyDescent="0.25">
      <c r="A10506">
        <v>98257</v>
      </c>
      <c r="B10506" t="s">
        <v>4</v>
      </c>
      <c r="C10506">
        <v>4</v>
      </c>
      <c r="D10506" t="s">
        <v>5</v>
      </c>
      <c r="F10506" t="str" cm="1">
        <f t="array" ref="F10506">CategorizeComment(E10506)</f>
        <v>Other</v>
      </c>
      <c r="G10506" t="str" cm="1">
        <f t="array" ref="G10506">SubCategorizeComment(E10506)</f>
        <v>Other</v>
      </c>
    </row>
    <row r="10507" spans="1:7" x14ac:dyDescent="0.25">
      <c r="A10507">
        <v>98273</v>
      </c>
      <c r="B10507" t="s">
        <v>4</v>
      </c>
      <c r="C10507">
        <v>4</v>
      </c>
      <c r="D10507" t="s">
        <v>5</v>
      </c>
      <c r="F10507" t="str" cm="1">
        <f t="array" ref="F10507">CategorizeComment(E10507)</f>
        <v>Other</v>
      </c>
      <c r="G10507" t="str" cm="1">
        <f t="array" ref="G10507">SubCategorizeComment(E10507)</f>
        <v>Other</v>
      </c>
    </row>
    <row r="10508" spans="1:7" x14ac:dyDescent="0.25">
      <c r="A10508">
        <v>98277</v>
      </c>
      <c r="B10508" t="s">
        <v>4</v>
      </c>
      <c r="C10508">
        <v>3</v>
      </c>
      <c r="D10508" t="s">
        <v>5</v>
      </c>
      <c r="F10508" t="str" cm="1">
        <f t="array" ref="F10508">CategorizeComment(E10508)</f>
        <v>Other</v>
      </c>
      <c r="G10508" t="str" cm="1">
        <f t="array" ref="G10508">SubCategorizeComment(E10508)</f>
        <v>Other</v>
      </c>
    </row>
    <row r="10509" spans="1:7" x14ac:dyDescent="0.25">
      <c r="A10509">
        <v>98278</v>
      </c>
      <c r="B10509" t="s">
        <v>4</v>
      </c>
      <c r="C10509">
        <v>3</v>
      </c>
      <c r="D10509" t="s">
        <v>5</v>
      </c>
      <c r="F10509" t="str" cm="1">
        <f t="array" ref="F10509">CategorizeComment(E10509)</f>
        <v>Other</v>
      </c>
      <c r="G10509" t="str" cm="1">
        <f t="array" ref="G10509">SubCategorizeComment(E10509)</f>
        <v>Other</v>
      </c>
    </row>
    <row r="10510" spans="1:7" x14ac:dyDescent="0.25">
      <c r="A10510">
        <v>98280</v>
      </c>
      <c r="B10510" t="s">
        <v>4</v>
      </c>
      <c r="C10510">
        <v>3</v>
      </c>
      <c r="D10510" t="s">
        <v>5</v>
      </c>
      <c r="F10510" t="str" cm="1">
        <f t="array" ref="F10510">CategorizeComment(E10510)</f>
        <v>Other</v>
      </c>
      <c r="G10510" t="str" cm="1">
        <f t="array" ref="G10510">SubCategorizeComment(E10510)</f>
        <v>Other</v>
      </c>
    </row>
    <row r="10511" spans="1:7" x14ac:dyDescent="0.25">
      <c r="A10511">
        <v>98299</v>
      </c>
      <c r="B10511" t="s">
        <v>4</v>
      </c>
      <c r="C10511">
        <v>4</v>
      </c>
      <c r="D10511" t="s">
        <v>5</v>
      </c>
      <c r="F10511" t="str" cm="1">
        <f t="array" ref="F10511">CategorizeComment(E10511)</f>
        <v>Other</v>
      </c>
      <c r="G10511" t="str" cm="1">
        <f t="array" ref="G10511">SubCategorizeComment(E10511)</f>
        <v>Other</v>
      </c>
    </row>
    <row r="10512" spans="1:7" x14ac:dyDescent="0.25">
      <c r="A10512">
        <v>98329</v>
      </c>
      <c r="B10512" t="s">
        <v>4</v>
      </c>
      <c r="C10512">
        <v>3</v>
      </c>
      <c r="D10512" t="s">
        <v>5</v>
      </c>
      <c r="F10512" t="str" cm="1">
        <f t="array" ref="F10512">CategorizeComment(E10512)</f>
        <v>Other</v>
      </c>
      <c r="G10512" t="str" cm="1">
        <f t="array" ref="G10512">SubCategorizeComment(E10512)</f>
        <v>Other</v>
      </c>
    </row>
    <row r="10513" spans="1:7" x14ac:dyDescent="0.25">
      <c r="A10513">
        <v>98351</v>
      </c>
      <c r="B10513" t="s">
        <v>4</v>
      </c>
      <c r="C10513">
        <v>3</v>
      </c>
      <c r="D10513" t="s">
        <v>5</v>
      </c>
      <c r="F10513" t="str" cm="1">
        <f t="array" ref="F10513">CategorizeComment(E10513)</f>
        <v>Other</v>
      </c>
      <c r="G10513" t="str" cm="1">
        <f t="array" ref="G10513">SubCategorizeComment(E10513)</f>
        <v>Other</v>
      </c>
    </row>
    <row r="10514" spans="1:7" x14ac:dyDescent="0.25">
      <c r="A10514">
        <v>98352</v>
      </c>
      <c r="B10514" t="s">
        <v>4</v>
      </c>
      <c r="C10514">
        <v>3</v>
      </c>
      <c r="D10514" t="s">
        <v>5</v>
      </c>
      <c r="F10514" t="str" cm="1">
        <f t="array" ref="F10514">CategorizeComment(E10514)</f>
        <v>Other</v>
      </c>
      <c r="G10514" t="str" cm="1">
        <f t="array" ref="G10514">SubCategorizeComment(E10514)</f>
        <v>Other</v>
      </c>
    </row>
    <row r="10515" spans="1:7" x14ac:dyDescent="0.25">
      <c r="A10515">
        <v>98355</v>
      </c>
      <c r="B10515" t="s">
        <v>4</v>
      </c>
      <c r="C10515">
        <v>4</v>
      </c>
      <c r="D10515" t="s">
        <v>5</v>
      </c>
      <c r="F10515" t="str" cm="1">
        <f t="array" ref="F10515">CategorizeComment(E10515)</f>
        <v>Other</v>
      </c>
      <c r="G10515" t="str" cm="1">
        <f t="array" ref="G10515">SubCategorizeComment(E10515)</f>
        <v>Other</v>
      </c>
    </row>
    <row r="10516" spans="1:7" x14ac:dyDescent="0.25">
      <c r="A10516">
        <v>98386</v>
      </c>
      <c r="B10516" t="s">
        <v>4</v>
      </c>
      <c r="C10516">
        <v>3</v>
      </c>
      <c r="D10516" t="s">
        <v>5</v>
      </c>
      <c r="F10516" t="str" cm="1">
        <f t="array" ref="F10516">CategorizeComment(E10516)</f>
        <v>Other</v>
      </c>
      <c r="G10516" t="str" cm="1">
        <f t="array" ref="G10516">SubCategorizeComment(E10516)</f>
        <v>Other</v>
      </c>
    </row>
    <row r="10517" spans="1:7" x14ac:dyDescent="0.25">
      <c r="A10517">
        <v>98390</v>
      </c>
      <c r="B10517" t="s">
        <v>4</v>
      </c>
      <c r="C10517">
        <v>4</v>
      </c>
      <c r="D10517" t="s">
        <v>5</v>
      </c>
      <c r="F10517" t="str" cm="1">
        <f t="array" ref="F10517">CategorizeComment(E10517)</f>
        <v>Other</v>
      </c>
      <c r="G10517" t="str" cm="1">
        <f t="array" ref="G10517">SubCategorizeComment(E10517)</f>
        <v>Other</v>
      </c>
    </row>
    <row r="10518" spans="1:7" x14ac:dyDescent="0.25">
      <c r="A10518">
        <v>98397</v>
      </c>
      <c r="B10518" t="s">
        <v>4</v>
      </c>
      <c r="C10518">
        <v>4</v>
      </c>
      <c r="D10518" t="s">
        <v>5</v>
      </c>
      <c r="F10518" t="str" cm="1">
        <f t="array" ref="F10518">CategorizeComment(E10518)</f>
        <v>Other</v>
      </c>
      <c r="G10518" t="str" cm="1">
        <f t="array" ref="G10518">SubCategorizeComment(E10518)</f>
        <v>Other</v>
      </c>
    </row>
    <row r="10519" spans="1:7" x14ac:dyDescent="0.25">
      <c r="A10519">
        <v>98400</v>
      </c>
      <c r="B10519" t="s">
        <v>4</v>
      </c>
      <c r="C10519">
        <v>4</v>
      </c>
      <c r="D10519" t="s">
        <v>5</v>
      </c>
      <c r="F10519" t="str" cm="1">
        <f t="array" ref="F10519">CategorizeComment(E10519)</f>
        <v>Other</v>
      </c>
      <c r="G10519" t="str" cm="1">
        <f t="array" ref="G10519">SubCategorizeComment(E10519)</f>
        <v>Other</v>
      </c>
    </row>
    <row r="10520" spans="1:7" x14ac:dyDescent="0.25">
      <c r="A10520">
        <v>98402</v>
      </c>
      <c r="B10520" t="s">
        <v>4</v>
      </c>
      <c r="C10520">
        <v>4</v>
      </c>
      <c r="D10520" t="s">
        <v>5</v>
      </c>
      <c r="F10520" t="str" cm="1">
        <f t="array" ref="F10520">CategorizeComment(E10520)</f>
        <v>Other</v>
      </c>
      <c r="G10520" t="str" cm="1">
        <f t="array" ref="G10520">SubCategorizeComment(E10520)</f>
        <v>Other</v>
      </c>
    </row>
    <row r="10521" spans="1:7" x14ac:dyDescent="0.25">
      <c r="A10521">
        <v>98405</v>
      </c>
      <c r="B10521" t="s">
        <v>4</v>
      </c>
      <c r="C10521">
        <v>3</v>
      </c>
      <c r="D10521" t="s">
        <v>5</v>
      </c>
      <c r="F10521" t="str" cm="1">
        <f t="array" ref="F10521">CategorizeComment(E10521)</f>
        <v>Other</v>
      </c>
      <c r="G10521" t="str" cm="1">
        <f t="array" ref="G10521">SubCategorizeComment(E10521)</f>
        <v>Other</v>
      </c>
    </row>
    <row r="10522" spans="1:7" x14ac:dyDescent="0.25">
      <c r="A10522">
        <v>98417</v>
      </c>
      <c r="B10522" t="s">
        <v>4</v>
      </c>
      <c r="C10522">
        <v>3</v>
      </c>
      <c r="D10522" t="s">
        <v>5</v>
      </c>
      <c r="F10522" t="str" cm="1">
        <f t="array" ref="F10522">CategorizeComment(E10522)</f>
        <v>Other</v>
      </c>
      <c r="G10522" t="str" cm="1">
        <f t="array" ref="G10522">SubCategorizeComment(E10522)</f>
        <v>Other</v>
      </c>
    </row>
    <row r="10523" spans="1:7" x14ac:dyDescent="0.25">
      <c r="A10523">
        <v>98458</v>
      </c>
      <c r="B10523" t="s">
        <v>4</v>
      </c>
      <c r="C10523">
        <v>4</v>
      </c>
      <c r="D10523" t="s">
        <v>5</v>
      </c>
      <c r="F10523" t="str" cm="1">
        <f t="array" ref="F10523">CategorizeComment(E10523)</f>
        <v>Other</v>
      </c>
      <c r="G10523" t="str" cm="1">
        <f t="array" ref="G10523">SubCategorizeComment(E10523)</f>
        <v>Other</v>
      </c>
    </row>
    <row r="10524" spans="1:7" x14ac:dyDescent="0.25">
      <c r="A10524">
        <v>98468</v>
      </c>
      <c r="B10524" t="s">
        <v>4</v>
      </c>
      <c r="C10524">
        <v>4</v>
      </c>
      <c r="D10524" t="s">
        <v>5</v>
      </c>
      <c r="F10524" t="str" cm="1">
        <f t="array" ref="F10524">CategorizeComment(E10524)</f>
        <v>Other</v>
      </c>
      <c r="G10524" t="str" cm="1">
        <f t="array" ref="G10524">SubCategorizeComment(E10524)</f>
        <v>Other</v>
      </c>
    </row>
    <row r="10525" spans="1:7" x14ac:dyDescent="0.25">
      <c r="A10525">
        <v>98480</v>
      </c>
      <c r="B10525" t="s">
        <v>4</v>
      </c>
      <c r="C10525">
        <v>3</v>
      </c>
      <c r="D10525" t="s">
        <v>5</v>
      </c>
      <c r="F10525" t="str" cm="1">
        <f t="array" ref="F10525">CategorizeComment(E10525)</f>
        <v>Other</v>
      </c>
      <c r="G10525" t="str" cm="1">
        <f t="array" ref="G10525">SubCategorizeComment(E10525)</f>
        <v>Other</v>
      </c>
    </row>
    <row r="10526" spans="1:7" x14ac:dyDescent="0.25">
      <c r="A10526">
        <v>98493</v>
      </c>
      <c r="B10526" t="s">
        <v>4</v>
      </c>
      <c r="C10526">
        <v>4</v>
      </c>
      <c r="D10526" t="s">
        <v>5</v>
      </c>
      <c r="F10526" t="str" cm="1">
        <f t="array" ref="F10526">CategorizeComment(E10526)</f>
        <v>Other</v>
      </c>
      <c r="G10526" t="str" cm="1">
        <f t="array" ref="G10526">SubCategorizeComment(E10526)</f>
        <v>Other</v>
      </c>
    </row>
    <row r="10527" spans="1:7" x14ac:dyDescent="0.25">
      <c r="A10527">
        <v>98509</v>
      </c>
      <c r="B10527" t="s">
        <v>4</v>
      </c>
      <c r="C10527">
        <v>3</v>
      </c>
      <c r="D10527" t="s">
        <v>5</v>
      </c>
      <c r="F10527" t="str" cm="1">
        <f t="array" ref="F10527">CategorizeComment(E10527)</f>
        <v>Other</v>
      </c>
      <c r="G10527" t="str" cm="1">
        <f t="array" ref="G10527">SubCategorizeComment(E10527)</f>
        <v>Other</v>
      </c>
    </row>
    <row r="10528" spans="1:7" x14ac:dyDescent="0.25">
      <c r="A10528">
        <v>98515</v>
      </c>
      <c r="B10528" t="s">
        <v>4</v>
      </c>
      <c r="C10528">
        <v>3</v>
      </c>
      <c r="D10528" t="s">
        <v>5</v>
      </c>
      <c r="F10528" t="str" cm="1">
        <f t="array" ref="F10528">CategorizeComment(E10528)</f>
        <v>Other</v>
      </c>
      <c r="G10528" t="str" cm="1">
        <f t="array" ref="G10528">SubCategorizeComment(E10528)</f>
        <v>Other</v>
      </c>
    </row>
    <row r="10529" spans="1:7" x14ac:dyDescent="0.25">
      <c r="A10529">
        <v>98518</v>
      </c>
      <c r="B10529" t="s">
        <v>4</v>
      </c>
      <c r="C10529">
        <v>3</v>
      </c>
      <c r="D10529" t="s">
        <v>5</v>
      </c>
      <c r="F10529" t="str" cm="1">
        <f t="array" ref="F10529">CategorizeComment(E10529)</f>
        <v>Other</v>
      </c>
      <c r="G10529" t="str" cm="1">
        <f t="array" ref="G10529">SubCategorizeComment(E10529)</f>
        <v>Other</v>
      </c>
    </row>
    <row r="10530" spans="1:7" x14ac:dyDescent="0.25">
      <c r="A10530">
        <v>98561</v>
      </c>
      <c r="B10530" t="s">
        <v>4</v>
      </c>
      <c r="C10530">
        <v>4</v>
      </c>
      <c r="D10530" t="s">
        <v>5</v>
      </c>
      <c r="F10530" t="str" cm="1">
        <f t="array" ref="F10530">CategorizeComment(E10530)</f>
        <v>Other</v>
      </c>
      <c r="G10530" t="str" cm="1">
        <f t="array" ref="G10530">SubCategorizeComment(E10530)</f>
        <v>Other</v>
      </c>
    </row>
    <row r="10531" spans="1:7" x14ac:dyDescent="0.25">
      <c r="A10531">
        <v>98566</v>
      </c>
      <c r="B10531" t="s">
        <v>4</v>
      </c>
      <c r="C10531">
        <v>4</v>
      </c>
      <c r="D10531" t="s">
        <v>5</v>
      </c>
      <c r="F10531" t="str" cm="1">
        <f t="array" ref="F10531">CategorizeComment(E10531)</f>
        <v>Other</v>
      </c>
      <c r="G10531" t="str" cm="1">
        <f t="array" ref="G10531">SubCategorizeComment(E10531)</f>
        <v>Other</v>
      </c>
    </row>
    <row r="10532" spans="1:7" x14ac:dyDescent="0.25">
      <c r="A10532">
        <v>98602</v>
      </c>
      <c r="B10532" t="s">
        <v>4</v>
      </c>
      <c r="C10532">
        <v>4</v>
      </c>
      <c r="D10532" t="s">
        <v>5</v>
      </c>
      <c r="F10532" t="str" cm="1">
        <f t="array" ref="F10532">CategorizeComment(E10532)</f>
        <v>Other</v>
      </c>
      <c r="G10532" t="str" cm="1">
        <f t="array" ref="G10532">SubCategorizeComment(E10532)</f>
        <v>Other</v>
      </c>
    </row>
    <row r="10533" spans="1:7" x14ac:dyDescent="0.25">
      <c r="A10533">
        <v>98610</v>
      </c>
      <c r="B10533" t="s">
        <v>4</v>
      </c>
      <c r="C10533">
        <v>3</v>
      </c>
      <c r="D10533" t="s">
        <v>5</v>
      </c>
      <c r="F10533" t="str" cm="1">
        <f t="array" ref="F10533">CategorizeComment(E10533)</f>
        <v>Other</v>
      </c>
      <c r="G10533" t="str" cm="1">
        <f t="array" ref="G10533">SubCategorizeComment(E10533)</f>
        <v>Other</v>
      </c>
    </row>
    <row r="10534" spans="1:7" x14ac:dyDescent="0.25">
      <c r="A10534">
        <v>98618</v>
      </c>
      <c r="B10534" t="s">
        <v>4</v>
      </c>
      <c r="C10534">
        <v>3</v>
      </c>
      <c r="D10534" t="s">
        <v>5</v>
      </c>
      <c r="F10534" t="str" cm="1">
        <f t="array" ref="F10534">CategorizeComment(E10534)</f>
        <v>Other</v>
      </c>
      <c r="G10534" t="str" cm="1">
        <f t="array" ref="G10534">SubCategorizeComment(E10534)</f>
        <v>Other</v>
      </c>
    </row>
    <row r="10535" spans="1:7" x14ac:dyDescent="0.25">
      <c r="A10535">
        <v>98623</v>
      </c>
      <c r="B10535" t="s">
        <v>4</v>
      </c>
      <c r="C10535">
        <v>4</v>
      </c>
      <c r="D10535" t="s">
        <v>5</v>
      </c>
      <c r="F10535" t="str" cm="1">
        <f t="array" ref="F10535">CategorizeComment(E10535)</f>
        <v>Other</v>
      </c>
      <c r="G10535" t="str" cm="1">
        <f t="array" ref="G10535">SubCategorizeComment(E10535)</f>
        <v>Other</v>
      </c>
    </row>
    <row r="10536" spans="1:7" x14ac:dyDescent="0.25">
      <c r="A10536">
        <v>98626</v>
      </c>
      <c r="B10536" t="s">
        <v>4</v>
      </c>
      <c r="C10536">
        <v>4</v>
      </c>
      <c r="D10536" t="s">
        <v>5</v>
      </c>
      <c r="F10536" t="str" cm="1">
        <f t="array" ref="F10536">CategorizeComment(E10536)</f>
        <v>Other</v>
      </c>
      <c r="G10536" t="str" cm="1">
        <f t="array" ref="G10536">SubCategorizeComment(E10536)</f>
        <v>Other</v>
      </c>
    </row>
    <row r="10537" spans="1:7" x14ac:dyDescent="0.25">
      <c r="A10537">
        <v>98627</v>
      </c>
      <c r="B10537" t="s">
        <v>4</v>
      </c>
      <c r="C10537">
        <v>3</v>
      </c>
      <c r="D10537" t="s">
        <v>5</v>
      </c>
      <c r="F10537" t="str" cm="1">
        <f t="array" ref="F10537">CategorizeComment(E10537)</f>
        <v>Other</v>
      </c>
      <c r="G10537" t="str" cm="1">
        <f t="array" ref="G10537">SubCategorizeComment(E10537)</f>
        <v>Other</v>
      </c>
    </row>
    <row r="10538" spans="1:7" x14ac:dyDescent="0.25">
      <c r="A10538">
        <v>98628</v>
      </c>
      <c r="B10538" t="s">
        <v>4</v>
      </c>
      <c r="C10538">
        <v>4</v>
      </c>
      <c r="D10538" t="s">
        <v>5</v>
      </c>
      <c r="F10538" t="str" cm="1">
        <f t="array" ref="F10538">CategorizeComment(E10538)</f>
        <v>Other</v>
      </c>
      <c r="G10538" t="str" cm="1">
        <f t="array" ref="G10538">SubCategorizeComment(E10538)</f>
        <v>Other</v>
      </c>
    </row>
    <row r="10539" spans="1:7" x14ac:dyDescent="0.25">
      <c r="A10539">
        <v>98631</v>
      </c>
      <c r="B10539" t="s">
        <v>4</v>
      </c>
      <c r="C10539">
        <v>3</v>
      </c>
      <c r="D10539" t="s">
        <v>5</v>
      </c>
      <c r="F10539" t="str" cm="1">
        <f t="array" ref="F10539">CategorizeComment(E10539)</f>
        <v>Other</v>
      </c>
      <c r="G10539" t="str" cm="1">
        <f t="array" ref="G10539">SubCategorizeComment(E10539)</f>
        <v>Other</v>
      </c>
    </row>
    <row r="10540" spans="1:7" x14ac:dyDescent="0.25">
      <c r="A10540">
        <v>98634</v>
      </c>
      <c r="B10540" t="s">
        <v>4</v>
      </c>
      <c r="C10540">
        <v>4</v>
      </c>
      <c r="D10540" t="s">
        <v>5</v>
      </c>
      <c r="F10540" t="str" cm="1">
        <f t="array" ref="F10540">CategorizeComment(E10540)</f>
        <v>Other</v>
      </c>
      <c r="G10540" t="str" cm="1">
        <f t="array" ref="G10540">SubCategorizeComment(E10540)</f>
        <v>Other</v>
      </c>
    </row>
    <row r="10541" spans="1:7" x14ac:dyDescent="0.25">
      <c r="A10541">
        <v>98646</v>
      </c>
      <c r="B10541" t="s">
        <v>4</v>
      </c>
      <c r="C10541">
        <v>4</v>
      </c>
      <c r="D10541" t="s">
        <v>5</v>
      </c>
      <c r="F10541" t="str" cm="1">
        <f t="array" ref="F10541">CategorizeComment(E10541)</f>
        <v>Other</v>
      </c>
      <c r="G10541" t="str" cm="1">
        <f t="array" ref="G10541">SubCategorizeComment(E10541)</f>
        <v>Other</v>
      </c>
    </row>
    <row r="10542" spans="1:7" x14ac:dyDescent="0.25">
      <c r="A10542">
        <v>98652</v>
      </c>
      <c r="B10542" t="s">
        <v>4</v>
      </c>
      <c r="C10542">
        <v>3</v>
      </c>
      <c r="D10542" t="s">
        <v>5</v>
      </c>
      <c r="F10542" t="str" cm="1">
        <f t="array" ref="F10542">CategorizeComment(E10542)</f>
        <v>Other</v>
      </c>
      <c r="G10542" t="str" cm="1">
        <f t="array" ref="G10542">SubCategorizeComment(E10542)</f>
        <v>Other</v>
      </c>
    </row>
    <row r="10543" spans="1:7" x14ac:dyDescent="0.25">
      <c r="A10543">
        <v>98663</v>
      </c>
      <c r="B10543" t="s">
        <v>4</v>
      </c>
      <c r="C10543">
        <v>4</v>
      </c>
      <c r="D10543" t="s">
        <v>5</v>
      </c>
      <c r="F10543" t="str" cm="1">
        <f t="array" ref="F10543">CategorizeComment(E10543)</f>
        <v>Other</v>
      </c>
      <c r="G10543" t="str" cm="1">
        <f t="array" ref="G10543">SubCategorizeComment(E10543)</f>
        <v>Other</v>
      </c>
    </row>
    <row r="10544" spans="1:7" x14ac:dyDescent="0.25">
      <c r="A10544">
        <v>98668</v>
      </c>
      <c r="B10544" t="s">
        <v>4</v>
      </c>
      <c r="C10544">
        <v>3</v>
      </c>
      <c r="D10544" t="s">
        <v>5</v>
      </c>
      <c r="F10544" t="str" cm="1">
        <f t="array" ref="F10544">CategorizeComment(E10544)</f>
        <v>Other</v>
      </c>
      <c r="G10544" t="str" cm="1">
        <f t="array" ref="G10544">SubCategorizeComment(E10544)</f>
        <v>Other</v>
      </c>
    </row>
    <row r="10545" spans="1:7" x14ac:dyDescent="0.25">
      <c r="A10545">
        <v>98672</v>
      </c>
      <c r="B10545" t="s">
        <v>4</v>
      </c>
      <c r="C10545">
        <v>4</v>
      </c>
      <c r="D10545" t="s">
        <v>5</v>
      </c>
      <c r="F10545" t="str" cm="1">
        <f t="array" ref="F10545">CategorizeComment(E10545)</f>
        <v>Other</v>
      </c>
      <c r="G10545" t="str" cm="1">
        <f t="array" ref="G10545">SubCategorizeComment(E10545)</f>
        <v>Other</v>
      </c>
    </row>
    <row r="10546" spans="1:7" x14ac:dyDescent="0.25">
      <c r="A10546">
        <v>98682</v>
      </c>
      <c r="B10546" t="s">
        <v>4</v>
      </c>
      <c r="C10546">
        <v>3</v>
      </c>
      <c r="D10546" t="s">
        <v>5</v>
      </c>
      <c r="F10546" t="str" cm="1">
        <f t="array" ref="F10546">CategorizeComment(E10546)</f>
        <v>Other</v>
      </c>
      <c r="G10546" t="str" cm="1">
        <f t="array" ref="G10546">SubCategorizeComment(E10546)</f>
        <v>Other</v>
      </c>
    </row>
    <row r="10547" spans="1:7" x14ac:dyDescent="0.25">
      <c r="A10547">
        <v>98686</v>
      </c>
      <c r="B10547" t="s">
        <v>4</v>
      </c>
      <c r="C10547">
        <v>4</v>
      </c>
      <c r="D10547" t="s">
        <v>5</v>
      </c>
      <c r="F10547" t="str" cm="1">
        <f t="array" ref="F10547">CategorizeComment(E10547)</f>
        <v>Other</v>
      </c>
      <c r="G10547" t="str" cm="1">
        <f t="array" ref="G10547">SubCategorizeComment(E10547)</f>
        <v>Other</v>
      </c>
    </row>
    <row r="10548" spans="1:7" x14ac:dyDescent="0.25">
      <c r="A10548">
        <v>98710</v>
      </c>
      <c r="B10548" t="s">
        <v>4</v>
      </c>
      <c r="C10548">
        <v>3</v>
      </c>
      <c r="D10548" t="s">
        <v>5</v>
      </c>
      <c r="F10548" t="str" cm="1">
        <f t="array" ref="F10548">CategorizeComment(E10548)</f>
        <v>Other</v>
      </c>
      <c r="G10548" t="str" cm="1">
        <f t="array" ref="G10548">SubCategorizeComment(E10548)</f>
        <v>Other</v>
      </c>
    </row>
    <row r="10549" spans="1:7" x14ac:dyDescent="0.25">
      <c r="A10549">
        <v>98718</v>
      </c>
      <c r="B10549" t="s">
        <v>4</v>
      </c>
      <c r="C10549">
        <v>3</v>
      </c>
      <c r="D10549" t="s">
        <v>5</v>
      </c>
      <c r="F10549" t="str" cm="1">
        <f t="array" ref="F10549">CategorizeComment(E10549)</f>
        <v>Other</v>
      </c>
      <c r="G10549" t="str" cm="1">
        <f t="array" ref="G10549">SubCategorizeComment(E10549)</f>
        <v>Other</v>
      </c>
    </row>
    <row r="10550" spans="1:7" x14ac:dyDescent="0.25">
      <c r="A10550">
        <v>98757</v>
      </c>
      <c r="B10550" t="s">
        <v>4</v>
      </c>
      <c r="C10550">
        <v>4</v>
      </c>
      <c r="D10550" t="s">
        <v>5</v>
      </c>
      <c r="F10550" t="str" cm="1">
        <f t="array" ref="F10550">CategorizeComment(E10550)</f>
        <v>Other</v>
      </c>
      <c r="G10550" t="str" cm="1">
        <f t="array" ref="G10550">SubCategorizeComment(E10550)</f>
        <v>Other</v>
      </c>
    </row>
    <row r="10551" spans="1:7" x14ac:dyDescent="0.25">
      <c r="A10551">
        <v>98790</v>
      </c>
      <c r="B10551" t="s">
        <v>4</v>
      </c>
      <c r="C10551">
        <v>3</v>
      </c>
      <c r="D10551" t="s">
        <v>5</v>
      </c>
      <c r="F10551" t="str" cm="1">
        <f t="array" ref="F10551">CategorizeComment(E10551)</f>
        <v>Other</v>
      </c>
      <c r="G10551" t="str" cm="1">
        <f t="array" ref="G10551">SubCategorizeComment(E10551)</f>
        <v>Other</v>
      </c>
    </row>
    <row r="10552" spans="1:7" x14ac:dyDescent="0.25">
      <c r="A10552">
        <v>98808</v>
      </c>
      <c r="B10552" t="s">
        <v>4</v>
      </c>
      <c r="C10552">
        <v>3</v>
      </c>
      <c r="D10552" t="s">
        <v>5</v>
      </c>
      <c r="F10552" t="str" cm="1">
        <f t="array" ref="F10552">CategorizeComment(E10552)</f>
        <v>Other</v>
      </c>
      <c r="G10552" t="str" cm="1">
        <f t="array" ref="G10552">SubCategorizeComment(E10552)</f>
        <v>Other</v>
      </c>
    </row>
    <row r="10553" spans="1:7" x14ac:dyDescent="0.25">
      <c r="A10553">
        <v>98820</v>
      </c>
      <c r="B10553" t="s">
        <v>4</v>
      </c>
      <c r="C10553">
        <v>3</v>
      </c>
      <c r="D10553" t="s">
        <v>5</v>
      </c>
      <c r="F10553" t="str" cm="1">
        <f t="array" ref="F10553">CategorizeComment(E10553)</f>
        <v>Other</v>
      </c>
      <c r="G10553" t="str" cm="1">
        <f t="array" ref="G10553">SubCategorizeComment(E10553)</f>
        <v>Other</v>
      </c>
    </row>
    <row r="10554" spans="1:7" x14ac:dyDescent="0.25">
      <c r="A10554">
        <v>98833</v>
      </c>
      <c r="B10554" t="s">
        <v>4</v>
      </c>
      <c r="C10554">
        <v>4</v>
      </c>
      <c r="D10554" t="s">
        <v>5</v>
      </c>
      <c r="F10554" t="str" cm="1">
        <f t="array" ref="F10554">CategorizeComment(E10554)</f>
        <v>Other</v>
      </c>
      <c r="G10554" t="str" cm="1">
        <f t="array" ref="G10554">SubCategorizeComment(E10554)</f>
        <v>Other</v>
      </c>
    </row>
    <row r="10555" spans="1:7" x14ac:dyDescent="0.25">
      <c r="A10555">
        <v>98850</v>
      </c>
      <c r="B10555" t="s">
        <v>4</v>
      </c>
      <c r="C10555">
        <v>4</v>
      </c>
      <c r="D10555" t="s">
        <v>5</v>
      </c>
      <c r="F10555" t="str" cm="1">
        <f t="array" ref="F10555">CategorizeComment(E10555)</f>
        <v>Other</v>
      </c>
      <c r="G10555" t="str" cm="1">
        <f t="array" ref="G10555">SubCategorizeComment(E10555)</f>
        <v>Other</v>
      </c>
    </row>
    <row r="10556" spans="1:7" x14ac:dyDescent="0.25">
      <c r="A10556">
        <v>98851</v>
      </c>
      <c r="B10556" t="s">
        <v>4</v>
      </c>
      <c r="C10556">
        <v>3</v>
      </c>
      <c r="D10556" t="s">
        <v>5</v>
      </c>
      <c r="F10556" t="str" cm="1">
        <f t="array" ref="F10556">CategorizeComment(E10556)</f>
        <v>Other</v>
      </c>
      <c r="G10556" t="str" cm="1">
        <f t="array" ref="G10556">SubCategorizeComment(E10556)</f>
        <v>Other</v>
      </c>
    </row>
    <row r="10557" spans="1:7" x14ac:dyDescent="0.25">
      <c r="A10557">
        <v>98854</v>
      </c>
      <c r="B10557" t="s">
        <v>4</v>
      </c>
      <c r="C10557">
        <v>3</v>
      </c>
      <c r="D10557" t="s">
        <v>5</v>
      </c>
      <c r="F10557" t="str" cm="1">
        <f t="array" ref="F10557">CategorizeComment(E10557)</f>
        <v>Other</v>
      </c>
      <c r="G10557" t="str" cm="1">
        <f t="array" ref="G10557">SubCategorizeComment(E10557)</f>
        <v>Other</v>
      </c>
    </row>
    <row r="10558" spans="1:7" x14ac:dyDescent="0.25">
      <c r="A10558">
        <v>98855</v>
      </c>
      <c r="B10558" t="s">
        <v>4</v>
      </c>
      <c r="C10558">
        <v>4</v>
      </c>
      <c r="D10558" t="s">
        <v>5</v>
      </c>
      <c r="F10558" t="str" cm="1">
        <f t="array" ref="F10558">CategorizeComment(E10558)</f>
        <v>Other</v>
      </c>
      <c r="G10558" t="str" cm="1">
        <f t="array" ref="G10558">SubCategorizeComment(E10558)</f>
        <v>Other</v>
      </c>
    </row>
    <row r="10559" spans="1:7" x14ac:dyDescent="0.25">
      <c r="A10559">
        <v>98876</v>
      </c>
      <c r="B10559" t="s">
        <v>4</v>
      </c>
      <c r="C10559">
        <v>3</v>
      </c>
      <c r="D10559" t="s">
        <v>5</v>
      </c>
      <c r="F10559" t="str" cm="1">
        <f t="array" ref="F10559">CategorizeComment(E10559)</f>
        <v>Other</v>
      </c>
      <c r="G10559" t="str" cm="1">
        <f t="array" ref="G10559">SubCategorizeComment(E10559)</f>
        <v>Other</v>
      </c>
    </row>
    <row r="10560" spans="1:7" x14ac:dyDescent="0.25">
      <c r="A10560">
        <v>98880</v>
      </c>
      <c r="B10560" t="s">
        <v>4</v>
      </c>
      <c r="C10560">
        <v>3</v>
      </c>
      <c r="D10560" t="s">
        <v>5</v>
      </c>
      <c r="F10560" t="str" cm="1">
        <f t="array" ref="F10560">CategorizeComment(E10560)</f>
        <v>Other</v>
      </c>
      <c r="G10560" t="str" cm="1">
        <f t="array" ref="G10560">SubCategorizeComment(E10560)</f>
        <v>Other</v>
      </c>
    </row>
    <row r="10561" spans="1:7" x14ac:dyDescent="0.25">
      <c r="A10561">
        <v>98891</v>
      </c>
      <c r="B10561" t="s">
        <v>4</v>
      </c>
      <c r="C10561">
        <v>4</v>
      </c>
      <c r="D10561" t="s">
        <v>5</v>
      </c>
      <c r="F10561" t="str" cm="1">
        <f t="array" ref="F10561">CategorizeComment(E10561)</f>
        <v>Other</v>
      </c>
      <c r="G10561" t="str" cm="1">
        <f t="array" ref="G10561">SubCategorizeComment(E10561)</f>
        <v>Other</v>
      </c>
    </row>
    <row r="10562" spans="1:7" x14ac:dyDescent="0.25">
      <c r="A10562">
        <v>98894</v>
      </c>
      <c r="B10562" t="s">
        <v>4</v>
      </c>
      <c r="C10562">
        <v>3</v>
      </c>
      <c r="D10562" t="s">
        <v>5</v>
      </c>
      <c r="F10562" t="str" cm="1">
        <f t="array" ref="F10562">CategorizeComment(E10562)</f>
        <v>Other</v>
      </c>
      <c r="G10562" t="str" cm="1">
        <f t="array" ref="G10562">SubCategorizeComment(E10562)</f>
        <v>Other</v>
      </c>
    </row>
    <row r="10563" spans="1:7" x14ac:dyDescent="0.25">
      <c r="A10563">
        <v>98903</v>
      </c>
      <c r="B10563" t="s">
        <v>4</v>
      </c>
      <c r="C10563">
        <v>3</v>
      </c>
      <c r="D10563" t="s">
        <v>5</v>
      </c>
      <c r="F10563" t="str" cm="1">
        <f t="array" ref="F10563">CategorizeComment(E10563)</f>
        <v>Other</v>
      </c>
      <c r="G10563" t="str" cm="1">
        <f t="array" ref="G10563">SubCategorizeComment(E10563)</f>
        <v>Other</v>
      </c>
    </row>
    <row r="10564" spans="1:7" x14ac:dyDescent="0.25">
      <c r="A10564">
        <v>98918</v>
      </c>
      <c r="B10564" t="s">
        <v>4</v>
      </c>
      <c r="C10564">
        <v>4</v>
      </c>
      <c r="D10564" t="s">
        <v>5</v>
      </c>
      <c r="F10564" t="str" cm="1">
        <f t="array" ref="F10564">CategorizeComment(E10564)</f>
        <v>Other</v>
      </c>
      <c r="G10564" t="str" cm="1">
        <f t="array" ref="G10564">SubCategorizeComment(E10564)</f>
        <v>Other</v>
      </c>
    </row>
    <row r="10565" spans="1:7" x14ac:dyDescent="0.25">
      <c r="A10565">
        <v>98922</v>
      </c>
      <c r="B10565" t="s">
        <v>4</v>
      </c>
      <c r="C10565">
        <v>4</v>
      </c>
      <c r="D10565" t="s">
        <v>5</v>
      </c>
      <c r="F10565" t="str" cm="1">
        <f t="array" ref="F10565">CategorizeComment(E10565)</f>
        <v>Other</v>
      </c>
      <c r="G10565" t="str" cm="1">
        <f t="array" ref="G10565">SubCategorizeComment(E10565)</f>
        <v>Other</v>
      </c>
    </row>
    <row r="10566" spans="1:7" x14ac:dyDescent="0.25">
      <c r="A10566">
        <v>98948</v>
      </c>
      <c r="B10566" t="s">
        <v>4</v>
      </c>
      <c r="C10566">
        <v>4</v>
      </c>
      <c r="D10566" t="s">
        <v>5</v>
      </c>
      <c r="F10566" t="str" cm="1">
        <f t="array" ref="F10566">CategorizeComment(E10566)</f>
        <v>Other</v>
      </c>
      <c r="G10566" t="str" cm="1">
        <f t="array" ref="G10566">SubCategorizeComment(E10566)</f>
        <v>Other</v>
      </c>
    </row>
    <row r="10567" spans="1:7" x14ac:dyDescent="0.25">
      <c r="A10567">
        <v>98960</v>
      </c>
      <c r="B10567" t="s">
        <v>4</v>
      </c>
      <c r="C10567">
        <v>4</v>
      </c>
      <c r="D10567" t="s">
        <v>5</v>
      </c>
      <c r="F10567" t="str" cm="1">
        <f t="array" ref="F10567">CategorizeComment(E10567)</f>
        <v>Other</v>
      </c>
      <c r="G10567" t="str" cm="1">
        <f t="array" ref="G10567">SubCategorizeComment(E10567)</f>
        <v>Other</v>
      </c>
    </row>
    <row r="10568" spans="1:7" x14ac:dyDescent="0.25">
      <c r="A10568">
        <v>98972</v>
      </c>
      <c r="B10568" t="s">
        <v>4</v>
      </c>
      <c r="C10568">
        <v>3</v>
      </c>
      <c r="D10568" t="s">
        <v>5</v>
      </c>
      <c r="F10568" t="str" cm="1">
        <f t="array" ref="F10568">CategorizeComment(E10568)</f>
        <v>Other</v>
      </c>
      <c r="G10568" t="str" cm="1">
        <f t="array" ref="G10568">SubCategorizeComment(E10568)</f>
        <v>Other</v>
      </c>
    </row>
    <row r="10569" spans="1:7" x14ac:dyDescent="0.25">
      <c r="A10569">
        <v>98977</v>
      </c>
      <c r="B10569" t="s">
        <v>4</v>
      </c>
      <c r="C10569">
        <v>4</v>
      </c>
      <c r="D10569" t="s">
        <v>5</v>
      </c>
      <c r="F10569" t="str" cm="1">
        <f t="array" ref="F10569">CategorizeComment(E10569)</f>
        <v>Other</v>
      </c>
      <c r="G10569" t="str" cm="1">
        <f t="array" ref="G10569">SubCategorizeComment(E10569)</f>
        <v>Other</v>
      </c>
    </row>
    <row r="10570" spans="1:7" x14ac:dyDescent="0.25">
      <c r="A10570">
        <v>98981</v>
      </c>
      <c r="B10570" t="s">
        <v>4</v>
      </c>
      <c r="C10570">
        <v>4</v>
      </c>
      <c r="D10570" t="s">
        <v>5</v>
      </c>
      <c r="F10570" t="str" cm="1">
        <f t="array" ref="F10570">CategorizeComment(E10570)</f>
        <v>Other</v>
      </c>
      <c r="G10570" t="str" cm="1">
        <f t="array" ref="G10570">SubCategorizeComment(E10570)</f>
        <v>Other</v>
      </c>
    </row>
    <row r="10571" spans="1:7" x14ac:dyDescent="0.25">
      <c r="A10571">
        <v>98982</v>
      </c>
      <c r="B10571" t="s">
        <v>4</v>
      </c>
      <c r="C10571">
        <v>3</v>
      </c>
      <c r="D10571" t="s">
        <v>5</v>
      </c>
      <c r="F10571" t="str" cm="1">
        <f t="array" ref="F10571">CategorizeComment(E10571)</f>
        <v>Other</v>
      </c>
      <c r="G10571" t="str" cm="1">
        <f t="array" ref="G10571">SubCategorizeComment(E10571)</f>
        <v>Other</v>
      </c>
    </row>
    <row r="10572" spans="1:7" x14ac:dyDescent="0.25">
      <c r="A10572">
        <v>98998</v>
      </c>
      <c r="B10572" t="s">
        <v>4</v>
      </c>
      <c r="C10572">
        <v>4</v>
      </c>
      <c r="D10572" t="s">
        <v>5</v>
      </c>
      <c r="F10572" t="str" cm="1">
        <f t="array" ref="F10572">CategorizeComment(E10572)</f>
        <v>Other</v>
      </c>
      <c r="G10572" t="str" cm="1">
        <f t="array" ref="G10572">SubCategorizeComment(E10572)</f>
        <v>Other</v>
      </c>
    </row>
    <row r="10573" spans="1:7" x14ac:dyDescent="0.25">
      <c r="A10573">
        <v>99004</v>
      </c>
      <c r="B10573" t="s">
        <v>4</v>
      </c>
      <c r="C10573">
        <v>3</v>
      </c>
      <c r="D10573" t="s">
        <v>5</v>
      </c>
      <c r="F10573" t="str" cm="1">
        <f t="array" ref="F10573">CategorizeComment(E10573)</f>
        <v>Other</v>
      </c>
      <c r="G10573" t="str" cm="1">
        <f t="array" ref="G10573">SubCategorizeComment(E10573)</f>
        <v>Other</v>
      </c>
    </row>
    <row r="10574" spans="1:7" x14ac:dyDescent="0.25">
      <c r="A10574">
        <v>99022</v>
      </c>
      <c r="B10574" t="s">
        <v>4</v>
      </c>
      <c r="C10574">
        <v>4</v>
      </c>
      <c r="D10574" t="s">
        <v>5</v>
      </c>
      <c r="F10574" t="str" cm="1">
        <f t="array" ref="F10574">CategorizeComment(E10574)</f>
        <v>Other</v>
      </c>
      <c r="G10574" t="str" cm="1">
        <f t="array" ref="G10574">SubCategorizeComment(E10574)</f>
        <v>Other</v>
      </c>
    </row>
    <row r="10575" spans="1:7" x14ac:dyDescent="0.25">
      <c r="A10575">
        <v>99046</v>
      </c>
      <c r="B10575" t="s">
        <v>4</v>
      </c>
      <c r="C10575">
        <v>3</v>
      </c>
      <c r="D10575" t="s">
        <v>5</v>
      </c>
      <c r="F10575" t="str" cm="1">
        <f t="array" ref="F10575">CategorizeComment(E10575)</f>
        <v>Other</v>
      </c>
      <c r="G10575" t="str" cm="1">
        <f t="array" ref="G10575">SubCategorizeComment(E10575)</f>
        <v>Other</v>
      </c>
    </row>
    <row r="10576" spans="1:7" x14ac:dyDescent="0.25">
      <c r="A10576">
        <v>99058</v>
      </c>
      <c r="B10576" t="s">
        <v>4</v>
      </c>
      <c r="C10576">
        <v>4</v>
      </c>
      <c r="D10576" t="s">
        <v>5</v>
      </c>
      <c r="F10576" t="str" cm="1">
        <f t="array" ref="F10576">CategorizeComment(E10576)</f>
        <v>Other</v>
      </c>
      <c r="G10576" t="str" cm="1">
        <f t="array" ref="G10576">SubCategorizeComment(E10576)</f>
        <v>Other</v>
      </c>
    </row>
    <row r="10577" spans="1:7" x14ac:dyDescent="0.25">
      <c r="A10577">
        <v>99069</v>
      </c>
      <c r="B10577" t="s">
        <v>4</v>
      </c>
      <c r="C10577">
        <v>4</v>
      </c>
      <c r="D10577" t="s">
        <v>5</v>
      </c>
      <c r="F10577" t="str" cm="1">
        <f t="array" ref="F10577">CategorizeComment(E10577)</f>
        <v>Other</v>
      </c>
      <c r="G10577" t="str" cm="1">
        <f t="array" ref="G10577">SubCategorizeComment(E10577)</f>
        <v>Other</v>
      </c>
    </row>
    <row r="10578" spans="1:7" x14ac:dyDescent="0.25">
      <c r="A10578">
        <v>99082</v>
      </c>
      <c r="B10578" t="s">
        <v>4</v>
      </c>
      <c r="C10578">
        <v>3</v>
      </c>
      <c r="D10578" t="s">
        <v>5</v>
      </c>
      <c r="F10578" t="str" cm="1">
        <f t="array" ref="F10578">CategorizeComment(E10578)</f>
        <v>Other</v>
      </c>
      <c r="G10578" t="str" cm="1">
        <f t="array" ref="G10578">SubCategorizeComment(E10578)</f>
        <v>Other</v>
      </c>
    </row>
    <row r="10579" spans="1:7" x14ac:dyDescent="0.25">
      <c r="A10579">
        <v>99102</v>
      </c>
      <c r="B10579" t="s">
        <v>4</v>
      </c>
      <c r="C10579">
        <v>4</v>
      </c>
      <c r="D10579" t="s">
        <v>5</v>
      </c>
      <c r="F10579" t="str" cm="1">
        <f t="array" ref="F10579">CategorizeComment(E10579)</f>
        <v>Other</v>
      </c>
      <c r="G10579" t="str" cm="1">
        <f t="array" ref="G10579">SubCategorizeComment(E10579)</f>
        <v>Other</v>
      </c>
    </row>
    <row r="10580" spans="1:7" x14ac:dyDescent="0.25">
      <c r="A10580">
        <v>99106</v>
      </c>
      <c r="B10580" t="s">
        <v>4</v>
      </c>
      <c r="C10580">
        <v>4</v>
      </c>
      <c r="D10580" t="s">
        <v>5</v>
      </c>
      <c r="F10580" t="str" cm="1">
        <f t="array" ref="F10580">CategorizeComment(E10580)</f>
        <v>Other</v>
      </c>
      <c r="G10580" t="str" cm="1">
        <f t="array" ref="G10580">SubCategorizeComment(E10580)</f>
        <v>Other</v>
      </c>
    </row>
    <row r="10581" spans="1:7" x14ac:dyDescent="0.25">
      <c r="A10581">
        <v>99112</v>
      </c>
      <c r="B10581" t="s">
        <v>4</v>
      </c>
      <c r="C10581">
        <v>3</v>
      </c>
      <c r="D10581" t="s">
        <v>5</v>
      </c>
      <c r="F10581" t="str" cm="1">
        <f t="array" ref="F10581">CategorizeComment(E10581)</f>
        <v>Other</v>
      </c>
      <c r="G10581" t="str" cm="1">
        <f t="array" ref="G10581">SubCategorizeComment(E10581)</f>
        <v>Other</v>
      </c>
    </row>
    <row r="10582" spans="1:7" x14ac:dyDescent="0.25">
      <c r="A10582">
        <v>99139</v>
      </c>
      <c r="B10582" t="s">
        <v>4</v>
      </c>
      <c r="C10582">
        <v>4</v>
      </c>
      <c r="D10582" t="s">
        <v>5</v>
      </c>
      <c r="F10582" t="str" cm="1">
        <f t="array" ref="F10582">CategorizeComment(E10582)</f>
        <v>Other</v>
      </c>
      <c r="G10582" t="str" cm="1">
        <f t="array" ref="G10582">SubCategorizeComment(E10582)</f>
        <v>Other</v>
      </c>
    </row>
    <row r="10583" spans="1:7" x14ac:dyDescent="0.25">
      <c r="A10583">
        <v>99144</v>
      </c>
      <c r="B10583" t="s">
        <v>4</v>
      </c>
      <c r="C10583">
        <v>3</v>
      </c>
      <c r="D10583" t="s">
        <v>5</v>
      </c>
      <c r="F10583" t="str" cm="1">
        <f t="array" ref="F10583">CategorizeComment(E10583)</f>
        <v>Other</v>
      </c>
      <c r="G10583" t="str" cm="1">
        <f t="array" ref="G10583">SubCategorizeComment(E10583)</f>
        <v>Other</v>
      </c>
    </row>
    <row r="10584" spans="1:7" x14ac:dyDescent="0.25">
      <c r="A10584">
        <v>99146</v>
      </c>
      <c r="B10584" t="s">
        <v>4</v>
      </c>
      <c r="C10584">
        <v>4</v>
      </c>
      <c r="D10584" t="s">
        <v>5</v>
      </c>
      <c r="F10584" t="str" cm="1">
        <f t="array" ref="F10584">CategorizeComment(E10584)</f>
        <v>Other</v>
      </c>
      <c r="G10584" t="str" cm="1">
        <f t="array" ref="G10584">SubCategorizeComment(E10584)</f>
        <v>Other</v>
      </c>
    </row>
    <row r="10585" spans="1:7" x14ac:dyDescent="0.25">
      <c r="A10585">
        <v>99148</v>
      </c>
      <c r="B10585" t="s">
        <v>4</v>
      </c>
      <c r="C10585">
        <v>4</v>
      </c>
      <c r="D10585" t="s">
        <v>5</v>
      </c>
      <c r="F10585" t="str" cm="1">
        <f t="array" ref="F10585">CategorizeComment(E10585)</f>
        <v>Other</v>
      </c>
      <c r="G10585" t="str" cm="1">
        <f t="array" ref="G10585">SubCategorizeComment(E10585)</f>
        <v>Other</v>
      </c>
    </row>
    <row r="10586" spans="1:7" x14ac:dyDescent="0.25">
      <c r="A10586">
        <v>99158</v>
      </c>
      <c r="B10586" t="s">
        <v>4</v>
      </c>
      <c r="C10586">
        <v>3</v>
      </c>
      <c r="D10586" t="s">
        <v>5</v>
      </c>
      <c r="F10586" t="str" cm="1">
        <f t="array" ref="F10586">CategorizeComment(E10586)</f>
        <v>Other</v>
      </c>
      <c r="G10586" t="str" cm="1">
        <f t="array" ref="G10586">SubCategorizeComment(E10586)</f>
        <v>Other</v>
      </c>
    </row>
    <row r="10587" spans="1:7" x14ac:dyDescent="0.25">
      <c r="A10587">
        <v>99171</v>
      </c>
      <c r="B10587" t="s">
        <v>4</v>
      </c>
      <c r="C10587">
        <v>3</v>
      </c>
      <c r="D10587" t="s">
        <v>5</v>
      </c>
      <c r="F10587" t="str" cm="1">
        <f t="array" ref="F10587">CategorizeComment(E10587)</f>
        <v>Other</v>
      </c>
      <c r="G10587" t="str" cm="1">
        <f t="array" ref="G10587">SubCategorizeComment(E10587)</f>
        <v>Other</v>
      </c>
    </row>
    <row r="10588" spans="1:7" x14ac:dyDescent="0.25">
      <c r="A10588">
        <v>99185</v>
      </c>
      <c r="B10588" t="s">
        <v>4</v>
      </c>
      <c r="C10588">
        <v>4</v>
      </c>
      <c r="D10588" t="s">
        <v>5</v>
      </c>
      <c r="F10588" t="str" cm="1">
        <f t="array" ref="F10588">CategorizeComment(E10588)</f>
        <v>Other</v>
      </c>
      <c r="G10588" t="str" cm="1">
        <f t="array" ref="G10588">SubCategorizeComment(E10588)</f>
        <v>Other</v>
      </c>
    </row>
    <row r="10589" spans="1:7" x14ac:dyDescent="0.25">
      <c r="A10589">
        <v>99194</v>
      </c>
      <c r="B10589" t="s">
        <v>4</v>
      </c>
      <c r="C10589">
        <v>3</v>
      </c>
      <c r="D10589" t="s">
        <v>5</v>
      </c>
      <c r="F10589" t="str" cm="1">
        <f t="array" ref="F10589">CategorizeComment(E10589)</f>
        <v>Other</v>
      </c>
      <c r="G10589" t="str" cm="1">
        <f t="array" ref="G10589">SubCategorizeComment(E10589)</f>
        <v>Other</v>
      </c>
    </row>
    <row r="10590" spans="1:7" x14ac:dyDescent="0.25">
      <c r="A10590">
        <v>99201</v>
      </c>
      <c r="B10590" t="s">
        <v>4</v>
      </c>
      <c r="C10590">
        <v>3</v>
      </c>
      <c r="D10590" t="s">
        <v>5</v>
      </c>
      <c r="F10590" t="str" cm="1">
        <f t="array" ref="F10590">CategorizeComment(E10590)</f>
        <v>Other</v>
      </c>
      <c r="G10590" t="str" cm="1">
        <f t="array" ref="G10590">SubCategorizeComment(E10590)</f>
        <v>Other</v>
      </c>
    </row>
    <row r="10591" spans="1:7" x14ac:dyDescent="0.25">
      <c r="A10591">
        <v>99221</v>
      </c>
      <c r="B10591" t="s">
        <v>4</v>
      </c>
      <c r="C10591">
        <v>4</v>
      </c>
      <c r="D10591" t="s">
        <v>5</v>
      </c>
      <c r="F10591" t="str" cm="1">
        <f t="array" ref="F10591">CategorizeComment(E10591)</f>
        <v>Other</v>
      </c>
      <c r="G10591" t="str" cm="1">
        <f t="array" ref="G10591">SubCategorizeComment(E10591)</f>
        <v>Other</v>
      </c>
    </row>
    <row r="10592" spans="1:7" x14ac:dyDescent="0.25">
      <c r="A10592">
        <v>99222</v>
      </c>
      <c r="B10592" t="s">
        <v>4</v>
      </c>
      <c r="C10592">
        <v>3</v>
      </c>
      <c r="D10592" t="s">
        <v>5</v>
      </c>
      <c r="F10592" t="str" cm="1">
        <f t="array" ref="F10592">CategorizeComment(E10592)</f>
        <v>Other</v>
      </c>
      <c r="G10592" t="str" cm="1">
        <f t="array" ref="G10592">SubCategorizeComment(E10592)</f>
        <v>Other</v>
      </c>
    </row>
    <row r="10593" spans="1:7" x14ac:dyDescent="0.25">
      <c r="A10593">
        <v>99249</v>
      </c>
      <c r="B10593" t="s">
        <v>4</v>
      </c>
      <c r="C10593">
        <v>3</v>
      </c>
      <c r="D10593" t="s">
        <v>5</v>
      </c>
      <c r="F10593" t="str" cm="1">
        <f t="array" ref="F10593">CategorizeComment(E10593)</f>
        <v>Other</v>
      </c>
      <c r="G10593" t="str" cm="1">
        <f t="array" ref="G10593">SubCategorizeComment(E10593)</f>
        <v>Other</v>
      </c>
    </row>
    <row r="10594" spans="1:7" x14ac:dyDescent="0.25">
      <c r="A10594">
        <v>99250</v>
      </c>
      <c r="B10594" t="s">
        <v>4</v>
      </c>
      <c r="C10594">
        <v>4</v>
      </c>
      <c r="D10594" t="s">
        <v>5</v>
      </c>
      <c r="F10594" t="str" cm="1">
        <f t="array" ref="F10594">CategorizeComment(E10594)</f>
        <v>Other</v>
      </c>
      <c r="G10594" t="str" cm="1">
        <f t="array" ref="G10594">SubCategorizeComment(E10594)</f>
        <v>Other</v>
      </c>
    </row>
    <row r="10595" spans="1:7" x14ac:dyDescent="0.25">
      <c r="A10595">
        <v>99295</v>
      </c>
      <c r="B10595" t="s">
        <v>4</v>
      </c>
      <c r="C10595">
        <v>3</v>
      </c>
      <c r="D10595" t="s">
        <v>5</v>
      </c>
      <c r="F10595" t="str" cm="1">
        <f t="array" ref="F10595">CategorizeComment(E10595)</f>
        <v>Other</v>
      </c>
      <c r="G10595" t="str" cm="1">
        <f t="array" ref="G10595">SubCategorizeComment(E10595)</f>
        <v>Other</v>
      </c>
    </row>
    <row r="10596" spans="1:7" x14ac:dyDescent="0.25">
      <c r="A10596">
        <v>99297</v>
      </c>
      <c r="B10596" t="s">
        <v>4</v>
      </c>
      <c r="C10596">
        <v>3</v>
      </c>
      <c r="D10596" t="s">
        <v>5</v>
      </c>
      <c r="F10596" t="str" cm="1">
        <f t="array" ref="F10596">CategorizeComment(E10596)</f>
        <v>Other</v>
      </c>
      <c r="G10596" t="str" cm="1">
        <f t="array" ref="G10596">SubCategorizeComment(E10596)</f>
        <v>Other</v>
      </c>
    </row>
    <row r="10597" spans="1:7" x14ac:dyDescent="0.25">
      <c r="A10597">
        <v>99307</v>
      </c>
      <c r="B10597" t="s">
        <v>4</v>
      </c>
      <c r="C10597">
        <v>3</v>
      </c>
      <c r="D10597" t="s">
        <v>5</v>
      </c>
      <c r="F10597" t="str" cm="1">
        <f t="array" ref="F10597">CategorizeComment(E10597)</f>
        <v>Other</v>
      </c>
      <c r="G10597" t="str" cm="1">
        <f t="array" ref="G10597">SubCategorizeComment(E10597)</f>
        <v>Other</v>
      </c>
    </row>
    <row r="10598" spans="1:7" x14ac:dyDescent="0.25">
      <c r="A10598">
        <v>99310</v>
      </c>
      <c r="B10598" t="s">
        <v>4</v>
      </c>
      <c r="C10598">
        <v>4</v>
      </c>
      <c r="D10598" t="s">
        <v>5</v>
      </c>
      <c r="F10598" t="str" cm="1">
        <f t="array" ref="F10598">CategorizeComment(E10598)</f>
        <v>Other</v>
      </c>
      <c r="G10598" t="str" cm="1">
        <f t="array" ref="G10598">SubCategorizeComment(E10598)</f>
        <v>Other</v>
      </c>
    </row>
    <row r="10599" spans="1:7" x14ac:dyDescent="0.25">
      <c r="A10599">
        <v>99312</v>
      </c>
      <c r="B10599" t="s">
        <v>4</v>
      </c>
      <c r="C10599">
        <v>3</v>
      </c>
      <c r="D10599" t="s">
        <v>5</v>
      </c>
      <c r="F10599" t="str" cm="1">
        <f t="array" ref="F10599">CategorizeComment(E10599)</f>
        <v>Other</v>
      </c>
      <c r="G10599" t="str" cm="1">
        <f t="array" ref="G10599">SubCategorizeComment(E10599)</f>
        <v>Other</v>
      </c>
    </row>
    <row r="10600" spans="1:7" x14ac:dyDescent="0.25">
      <c r="A10600">
        <v>99319</v>
      </c>
      <c r="B10600" t="s">
        <v>4</v>
      </c>
      <c r="C10600">
        <v>4</v>
      </c>
      <c r="D10600" t="s">
        <v>5</v>
      </c>
      <c r="F10600" t="str" cm="1">
        <f t="array" ref="F10600">CategorizeComment(E10600)</f>
        <v>Other</v>
      </c>
      <c r="G10600" t="str" cm="1">
        <f t="array" ref="G10600">SubCategorizeComment(E10600)</f>
        <v>Other</v>
      </c>
    </row>
    <row r="10601" spans="1:7" x14ac:dyDescent="0.25">
      <c r="A10601">
        <v>99336</v>
      </c>
      <c r="B10601" t="s">
        <v>4</v>
      </c>
      <c r="C10601">
        <v>3</v>
      </c>
      <c r="D10601" t="s">
        <v>5</v>
      </c>
      <c r="F10601" t="str" cm="1">
        <f t="array" ref="F10601">CategorizeComment(E10601)</f>
        <v>Other</v>
      </c>
      <c r="G10601" t="str" cm="1">
        <f t="array" ref="G10601">SubCategorizeComment(E10601)</f>
        <v>Other</v>
      </c>
    </row>
    <row r="10602" spans="1:7" x14ac:dyDescent="0.25">
      <c r="A10602">
        <v>99344</v>
      </c>
      <c r="B10602" t="s">
        <v>4</v>
      </c>
      <c r="C10602">
        <v>3</v>
      </c>
      <c r="D10602" t="s">
        <v>5</v>
      </c>
      <c r="F10602" t="str" cm="1">
        <f t="array" ref="F10602">CategorizeComment(E10602)</f>
        <v>Other</v>
      </c>
      <c r="G10602" t="str" cm="1">
        <f t="array" ref="G10602">SubCategorizeComment(E10602)</f>
        <v>Other</v>
      </c>
    </row>
    <row r="10603" spans="1:7" x14ac:dyDescent="0.25">
      <c r="A10603">
        <v>99347</v>
      </c>
      <c r="B10603" t="s">
        <v>4</v>
      </c>
      <c r="C10603">
        <v>4</v>
      </c>
      <c r="D10603" t="s">
        <v>5</v>
      </c>
      <c r="F10603" t="str" cm="1">
        <f t="array" ref="F10603">CategorizeComment(E10603)</f>
        <v>Other</v>
      </c>
      <c r="G10603" t="str" cm="1">
        <f t="array" ref="G10603">SubCategorizeComment(E10603)</f>
        <v>Other</v>
      </c>
    </row>
    <row r="10604" spans="1:7" x14ac:dyDescent="0.25">
      <c r="A10604">
        <v>99350</v>
      </c>
      <c r="B10604" t="s">
        <v>4</v>
      </c>
      <c r="C10604">
        <v>4</v>
      </c>
      <c r="D10604" t="s">
        <v>5</v>
      </c>
      <c r="F10604" t="str" cm="1">
        <f t="array" ref="F10604">CategorizeComment(E10604)</f>
        <v>Other</v>
      </c>
      <c r="G10604" t="str" cm="1">
        <f t="array" ref="G10604">SubCategorizeComment(E10604)</f>
        <v>Other</v>
      </c>
    </row>
    <row r="10605" spans="1:7" x14ac:dyDescent="0.25">
      <c r="A10605">
        <v>99356</v>
      </c>
      <c r="B10605" t="s">
        <v>4</v>
      </c>
      <c r="C10605">
        <v>3</v>
      </c>
      <c r="D10605" t="s">
        <v>5</v>
      </c>
      <c r="F10605" t="str" cm="1">
        <f t="array" ref="F10605">CategorizeComment(E10605)</f>
        <v>Other</v>
      </c>
      <c r="G10605" t="str" cm="1">
        <f t="array" ref="G10605">SubCategorizeComment(E10605)</f>
        <v>Other</v>
      </c>
    </row>
    <row r="10606" spans="1:7" x14ac:dyDescent="0.25">
      <c r="A10606">
        <v>99359</v>
      </c>
      <c r="B10606" t="s">
        <v>4</v>
      </c>
      <c r="C10606">
        <v>4</v>
      </c>
      <c r="D10606" t="s">
        <v>5</v>
      </c>
      <c r="F10606" t="str" cm="1">
        <f t="array" ref="F10606">CategorizeComment(E10606)</f>
        <v>Other</v>
      </c>
      <c r="G10606" t="str" cm="1">
        <f t="array" ref="G10606">SubCategorizeComment(E10606)</f>
        <v>Other</v>
      </c>
    </row>
    <row r="10607" spans="1:7" x14ac:dyDescent="0.25">
      <c r="A10607">
        <v>99407</v>
      </c>
      <c r="B10607" t="s">
        <v>4</v>
      </c>
      <c r="C10607">
        <v>4</v>
      </c>
      <c r="D10607" t="s">
        <v>5</v>
      </c>
      <c r="F10607" t="str" cm="1">
        <f t="array" ref="F10607">CategorizeComment(E10607)</f>
        <v>Other</v>
      </c>
      <c r="G10607" t="str" cm="1">
        <f t="array" ref="G10607">SubCategorizeComment(E10607)</f>
        <v>Other</v>
      </c>
    </row>
    <row r="10608" spans="1:7" x14ac:dyDescent="0.25">
      <c r="A10608">
        <v>99416</v>
      </c>
      <c r="B10608" t="s">
        <v>4</v>
      </c>
      <c r="C10608">
        <v>4</v>
      </c>
      <c r="D10608" t="s">
        <v>5</v>
      </c>
      <c r="F10608" t="str" cm="1">
        <f t="array" ref="F10608">CategorizeComment(E10608)</f>
        <v>Other</v>
      </c>
      <c r="G10608" t="str" cm="1">
        <f t="array" ref="G10608">SubCategorizeComment(E10608)</f>
        <v>Other</v>
      </c>
    </row>
    <row r="10609" spans="1:7" x14ac:dyDescent="0.25">
      <c r="A10609">
        <v>99431</v>
      </c>
      <c r="B10609" t="s">
        <v>4</v>
      </c>
      <c r="C10609">
        <v>4</v>
      </c>
      <c r="D10609" t="s">
        <v>5</v>
      </c>
      <c r="F10609" t="str" cm="1">
        <f t="array" ref="F10609">CategorizeComment(E10609)</f>
        <v>Other</v>
      </c>
      <c r="G10609" t="str" cm="1">
        <f t="array" ref="G10609">SubCategorizeComment(E10609)</f>
        <v>Other</v>
      </c>
    </row>
    <row r="10610" spans="1:7" x14ac:dyDescent="0.25">
      <c r="A10610">
        <v>99435</v>
      </c>
      <c r="B10610" t="s">
        <v>4</v>
      </c>
      <c r="C10610">
        <v>3</v>
      </c>
      <c r="D10610" t="s">
        <v>5</v>
      </c>
      <c r="F10610" t="str" cm="1">
        <f t="array" ref="F10610">CategorizeComment(E10610)</f>
        <v>Other</v>
      </c>
      <c r="G10610" t="str" cm="1">
        <f t="array" ref="G10610">SubCategorizeComment(E10610)</f>
        <v>Other</v>
      </c>
    </row>
    <row r="10611" spans="1:7" x14ac:dyDescent="0.25">
      <c r="A10611">
        <v>99438</v>
      </c>
      <c r="B10611" t="s">
        <v>4</v>
      </c>
      <c r="C10611">
        <v>4</v>
      </c>
      <c r="D10611" t="s">
        <v>5</v>
      </c>
      <c r="F10611" t="str" cm="1">
        <f t="array" ref="F10611">CategorizeComment(E10611)</f>
        <v>Other</v>
      </c>
      <c r="G10611" t="str" cm="1">
        <f t="array" ref="G10611">SubCategorizeComment(E10611)</f>
        <v>Other</v>
      </c>
    </row>
    <row r="10612" spans="1:7" x14ac:dyDescent="0.25">
      <c r="A10612">
        <v>99440</v>
      </c>
      <c r="B10612" t="s">
        <v>4</v>
      </c>
      <c r="C10612">
        <v>3</v>
      </c>
      <c r="D10612" t="s">
        <v>5</v>
      </c>
      <c r="F10612" t="str" cm="1">
        <f t="array" ref="F10612">CategorizeComment(E10612)</f>
        <v>Other</v>
      </c>
      <c r="G10612" t="str" cm="1">
        <f t="array" ref="G10612">SubCategorizeComment(E10612)</f>
        <v>Other</v>
      </c>
    </row>
    <row r="10613" spans="1:7" x14ac:dyDescent="0.25">
      <c r="A10613">
        <v>99464</v>
      </c>
      <c r="B10613" t="s">
        <v>4</v>
      </c>
      <c r="C10613">
        <v>4</v>
      </c>
      <c r="D10613" t="s">
        <v>5</v>
      </c>
      <c r="F10613" t="str" cm="1">
        <f t="array" ref="F10613">CategorizeComment(E10613)</f>
        <v>Other</v>
      </c>
      <c r="G10613" t="str" cm="1">
        <f t="array" ref="G10613">SubCategorizeComment(E10613)</f>
        <v>Other</v>
      </c>
    </row>
    <row r="10614" spans="1:7" x14ac:dyDescent="0.25">
      <c r="A10614">
        <v>99476</v>
      </c>
      <c r="B10614" t="s">
        <v>4</v>
      </c>
      <c r="C10614">
        <v>3</v>
      </c>
      <c r="D10614" t="s">
        <v>5</v>
      </c>
      <c r="F10614" t="str" cm="1">
        <f t="array" ref="F10614">CategorizeComment(E10614)</f>
        <v>Other</v>
      </c>
      <c r="G10614" t="str" cm="1">
        <f t="array" ref="G10614">SubCategorizeComment(E10614)</f>
        <v>Other</v>
      </c>
    </row>
    <row r="10615" spans="1:7" x14ac:dyDescent="0.25">
      <c r="A10615">
        <v>99477</v>
      </c>
      <c r="B10615" t="s">
        <v>4</v>
      </c>
      <c r="C10615">
        <v>4</v>
      </c>
      <c r="D10615" t="s">
        <v>5</v>
      </c>
      <c r="F10615" t="str" cm="1">
        <f t="array" ref="F10615">CategorizeComment(E10615)</f>
        <v>Other</v>
      </c>
      <c r="G10615" t="str" cm="1">
        <f t="array" ref="G10615">SubCategorizeComment(E10615)</f>
        <v>Other</v>
      </c>
    </row>
    <row r="10616" spans="1:7" x14ac:dyDescent="0.25">
      <c r="A10616">
        <v>99482</v>
      </c>
      <c r="B10616" t="s">
        <v>4</v>
      </c>
      <c r="C10616">
        <v>4</v>
      </c>
      <c r="D10616" t="s">
        <v>5</v>
      </c>
      <c r="F10616" t="str" cm="1">
        <f t="array" ref="F10616">CategorizeComment(E10616)</f>
        <v>Other</v>
      </c>
      <c r="G10616" t="str" cm="1">
        <f t="array" ref="G10616">SubCategorizeComment(E10616)</f>
        <v>Other</v>
      </c>
    </row>
    <row r="10617" spans="1:7" x14ac:dyDescent="0.25">
      <c r="A10617">
        <v>99487</v>
      </c>
      <c r="B10617" t="s">
        <v>4</v>
      </c>
      <c r="C10617">
        <v>3</v>
      </c>
      <c r="D10617" t="s">
        <v>5</v>
      </c>
      <c r="F10617" t="str" cm="1">
        <f t="array" ref="F10617">CategorizeComment(E10617)</f>
        <v>Other</v>
      </c>
      <c r="G10617" t="str" cm="1">
        <f t="array" ref="G10617">SubCategorizeComment(E10617)</f>
        <v>Other</v>
      </c>
    </row>
    <row r="10618" spans="1:7" x14ac:dyDescent="0.25">
      <c r="A10618">
        <v>99516</v>
      </c>
      <c r="B10618" t="s">
        <v>4</v>
      </c>
      <c r="C10618">
        <v>3</v>
      </c>
      <c r="D10618" t="s">
        <v>5</v>
      </c>
      <c r="F10618" t="str" cm="1">
        <f t="array" ref="F10618">CategorizeComment(E10618)</f>
        <v>Other</v>
      </c>
      <c r="G10618" t="str" cm="1">
        <f t="array" ref="G10618">SubCategorizeComment(E10618)</f>
        <v>Other</v>
      </c>
    </row>
    <row r="10619" spans="1:7" x14ac:dyDescent="0.25">
      <c r="A10619">
        <v>99520</v>
      </c>
      <c r="B10619" t="s">
        <v>4</v>
      </c>
      <c r="C10619">
        <v>3</v>
      </c>
      <c r="D10619" t="s">
        <v>5</v>
      </c>
      <c r="F10619" t="str" cm="1">
        <f t="array" ref="F10619">CategorizeComment(E10619)</f>
        <v>Other</v>
      </c>
      <c r="G10619" t="str" cm="1">
        <f t="array" ref="G10619">SubCategorizeComment(E10619)</f>
        <v>Other</v>
      </c>
    </row>
    <row r="10620" spans="1:7" x14ac:dyDescent="0.25">
      <c r="A10620">
        <v>99521</v>
      </c>
      <c r="B10620" t="s">
        <v>4</v>
      </c>
      <c r="C10620">
        <v>4</v>
      </c>
      <c r="D10620" t="s">
        <v>5</v>
      </c>
      <c r="F10620" t="str" cm="1">
        <f t="array" ref="F10620">CategorizeComment(E10620)</f>
        <v>Other</v>
      </c>
      <c r="G10620" t="str" cm="1">
        <f t="array" ref="G10620">SubCategorizeComment(E10620)</f>
        <v>Other</v>
      </c>
    </row>
    <row r="10621" spans="1:7" x14ac:dyDescent="0.25">
      <c r="A10621">
        <v>99530</v>
      </c>
      <c r="B10621" t="s">
        <v>4</v>
      </c>
      <c r="C10621">
        <v>4</v>
      </c>
      <c r="D10621" t="s">
        <v>5</v>
      </c>
      <c r="F10621" t="str" cm="1">
        <f t="array" ref="F10621">CategorizeComment(E10621)</f>
        <v>Other</v>
      </c>
      <c r="G10621" t="str" cm="1">
        <f t="array" ref="G10621">SubCategorizeComment(E10621)</f>
        <v>Other</v>
      </c>
    </row>
    <row r="10622" spans="1:7" x14ac:dyDescent="0.25">
      <c r="A10622">
        <v>99531</v>
      </c>
      <c r="B10622" t="s">
        <v>4</v>
      </c>
      <c r="C10622">
        <v>3</v>
      </c>
      <c r="D10622" t="s">
        <v>5</v>
      </c>
      <c r="F10622" t="str" cm="1">
        <f t="array" ref="F10622">CategorizeComment(E10622)</f>
        <v>Other</v>
      </c>
      <c r="G10622" t="str" cm="1">
        <f t="array" ref="G10622">SubCategorizeComment(E10622)</f>
        <v>Other</v>
      </c>
    </row>
    <row r="10623" spans="1:7" x14ac:dyDescent="0.25">
      <c r="A10623">
        <v>99568</v>
      </c>
      <c r="B10623" t="s">
        <v>4</v>
      </c>
      <c r="C10623">
        <v>4</v>
      </c>
      <c r="D10623" t="s">
        <v>5</v>
      </c>
      <c r="F10623" t="str" cm="1">
        <f t="array" ref="F10623">CategorizeComment(E10623)</f>
        <v>Other</v>
      </c>
      <c r="G10623" t="str" cm="1">
        <f t="array" ref="G10623">SubCategorizeComment(E10623)</f>
        <v>Other</v>
      </c>
    </row>
    <row r="10624" spans="1:7" x14ac:dyDescent="0.25">
      <c r="A10624">
        <v>99569</v>
      </c>
      <c r="B10624" t="s">
        <v>4</v>
      </c>
      <c r="C10624">
        <v>3</v>
      </c>
      <c r="D10624" t="s">
        <v>5</v>
      </c>
      <c r="F10624" t="str" cm="1">
        <f t="array" ref="F10624">CategorizeComment(E10624)</f>
        <v>Other</v>
      </c>
      <c r="G10624" t="str" cm="1">
        <f t="array" ref="G10624">SubCategorizeComment(E10624)</f>
        <v>Other</v>
      </c>
    </row>
    <row r="10625" spans="1:7" x14ac:dyDescent="0.25">
      <c r="A10625">
        <v>99570</v>
      </c>
      <c r="B10625" t="s">
        <v>4</v>
      </c>
      <c r="C10625">
        <v>4</v>
      </c>
      <c r="D10625" t="s">
        <v>5</v>
      </c>
      <c r="F10625" t="str" cm="1">
        <f t="array" ref="F10625">CategorizeComment(E10625)</f>
        <v>Other</v>
      </c>
      <c r="G10625" t="str" cm="1">
        <f t="array" ref="G10625">SubCategorizeComment(E10625)</f>
        <v>Other</v>
      </c>
    </row>
    <row r="10626" spans="1:7" x14ac:dyDescent="0.25">
      <c r="A10626">
        <v>99574</v>
      </c>
      <c r="B10626" t="s">
        <v>4</v>
      </c>
      <c r="C10626">
        <v>4</v>
      </c>
      <c r="D10626" t="s">
        <v>5</v>
      </c>
      <c r="F10626" t="str" cm="1">
        <f t="array" ref="F10626">CategorizeComment(E10626)</f>
        <v>Other</v>
      </c>
      <c r="G10626" t="str" cm="1">
        <f t="array" ref="G10626">SubCategorizeComment(E10626)</f>
        <v>Other</v>
      </c>
    </row>
    <row r="10627" spans="1:7" x14ac:dyDescent="0.25">
      <c r="A10627">
        <v>99575</v>
      </c>
      <c r="B10627" t="s">
        <v>4</v>
      </c>
      <c r="C10627">
        <v>4</v>
      </c>
      <c r="D10627" t="s">
        <v>5</v>
      </c>
      <c r="F10627" t="str" cm="1">
        <f t="array" ref="F10627">CategorizeComment(E10627)</f>
        <v>Other</v>
      </c>
      <c r="G10627" t="str" cm="1">
        <f t="array" ref="G10627">SubCategorizeComment(E10627)</f>
        <v>Other</v>
      </c>
    </row>
    <row r="10628" spans="1:7" x14ac:dyDescent="0.25">
      <c r="A10628">
        <v>99577</v>
      </c>
      <c r="B10628" t="s">
        <v>4</v>
      </c>
      <c r="C10628">
        <v>3</v>
      </c>
      <c r="D10628" t="s">
        <v>5</v>
      </c>
      <c r="F10628" t="str" cm="1">
        <f t="array" ref="F10628">CategorizeComment(E10628)</f>
        <v>Other</v>
      </c>
      <c r="G10628" t="str" cm="1">
        <f t="array" ref="G10628">SubCategorizeComment(E10628)</f>
        <v>Other</v>
      </c>
    </row>
    <row r="10629" spans="1:7" x14ac:dyDescent="0.25">
      <c r="A10629">
        <v>99584</v>
      </c>
      <c r="B10629" t="s">
        <v>4</v>
      </c>
      <c r="C10629">
        <v>4</v>
      </c>
      <c r="D10629" t="s">
        <v>5</v>
      </c>
      <c r="F10629" t="str" cm="1">
        <f t="array" ref="F10629">CategorizeComment(E10629)</f>
        <v>Other</v>
      </c>
      <c r="G10629" t="str" cm="1">
        <f t="array" ref="G10629">SubCategorizeComment(E10629)</f>
        <v>Other</v>
      </c>
    </row>
    <row r="10630" spans="1:7" x14ac:dyDescent="0.25">
      <c r="A10630">
        <v>99609</v>
      </c>
      <c r="B10630" t="s">
        <v>4</v>
      </c>
      <c r="C10630">
        <v>4</v>
      </c>
      <c r="D10630" t="s">
        <v>5</v>
      </c>
      <c r="F10630" t="str" cm="1">
        <f t="array" ref="F10630">CategorizeComment(E10630)</f>
        <v>Other</v>
      </c>
      <c r="G10630" t="str" cm="1">
        <f t="array" ref="G10630">SubCategorizeComment(E10630)</f>
        <v>Other</v>
      </c>
    </row>
    <row r="10631" spans="1:7" x14ac:dyDescent="0.25">
      <c r="A10631">
        <v>99611</v>
      </c>
      <c r="B10631" t="s">
        <v>4</v>
      </c>
      <c r="C10631">
        <v>3</v>
      </c>
      <c r="D10631" t="s">
        <v>5</v>
      </c>
      <c r="F10631" t="str" cm="1">
        <f t="array" ref="F10631">CategorizeComment(E10631)</f>
        <v>Other</v>
      </c>
      <c r="G10631" t="str" cm="1">
        <f t="array" ref="G10631">SubCategorizeComment(E10631)</f>
        <v>Other</v>
      </c>
    </row>
    <row r="10632" spans="1:7" x14ac:dyDescent="0.25">
      <c r="A10632">
        <v>99636</v>
      </c>
      <c r="B10632" t="s">
        <v>4</v>
      </c>
      <c r="C10632">
        <v>4</v>
      </c>
      <c r="D10632" t="s">
        <v>5</v>
      </c>
      <c r="F10632" t="str" cm="1">
        <f t="array" ref="F10632">CategorizeComment(E10632)</f>
        <v>Other</v>
      </c>
      <c r="G10632" t="str" cm="1">
        <f t="array" ref="G10632">SubCategorizeComment(E10632)</f>
        <v>Other</v>
      </c>
    </row>
    <row r="10633" spans="1:7" x14ac:dyDescent="0.25">
      <c r="A10633">
        <v>99638</v>
      </c>
      <c r="B10633" t="s">
        <v>4</v>
      </c>
      <c r="C10633">
        <v>4</v>
      </c>
      <c r="D10633" t="s">
        <v>5</v>
      </c>
      <c r="F10633" t="str" cm="1">
        <f t="array" ref="F10633">CategorizeComment(E10633)</f>
        <v>Other</v>
      </c>
      <c r="G10633" t="str" cm="1">
        <f t="array" ref="G10633">SubCategorizeComment(E10633)</f>
        <v>Other</v>
      </c>
    </row>
    <row r="10634" spans="1:7" x14ac:dyDescent="0.25">
      <c r="A10634">
        <v>99688</v>
      </c>
      <c r="B10634" t="s">
        <v>4</v>
      </c>
      <c r="C10634">
        <v>4</v>
      </c>
      <c r="D10634" t="s">
        <v>5</v>
      </c>
      <c r="F10634" t="str" cm="1">
        <f t="array" ref="F10634">CategorizeComment(E10634)</f>
        <v>Other</v>
      </c>
      <c r="G10634" t="str" cm="1">
        <f t="array" ref="G10634">SubCategorizeComment(E10634)</f>
        <v>Other</v>
      </c>
    </row>
    <row r="10635" spans="1:7" x14ac:dyDescent="0.25">
      <c r="A10635">
        <v>99690</v>
      </c>
      <c r="B10635" t="s">
        <v>4</v>
      </c>
      <c r="C10635">
        <v>4</v>
      </c>
      <c r="D10635" t="s">
        <v>5</v>
      </c>
      <c r="F10635" t="str" cm="1">
        <f t="array" ref="F10635">CategorizeComment(E10635)</f>
        <v>Other</v>
      </c>
      <c r="G10635" t="str" cm="1">
        <f t="array" ref="G10635">SubCategorizeComment(E10635)</f>
        <v>Other</v>
      </c>
    </row>
    <row r="10636" spans="1:7" x14ac:dyDescent="0.25">
      <c r="A10636">
        <v>99692</v>
      </c>
      <c r="B10636" t="s">
        <v>4</v>
      </c>
      <c r="C10636">
        <v>3</v>
      </c>
      <c r="D10636" t="s">
        <v>5</v>
      </c>
      <c r="F10636" t="str" cm="1">
        <f t="array" ref="F10636">CategorizeComment(E10636)</f>
        <v>Other</v>
      </c>
      <c r="G10636" t="str" cm="1">
        <f t="array" ref="G10636">SubCategorizeComment(E10636)</f>
        <v>Other</v>
      </c>
    </row>
    <row r="10637" spans="1:7" x14ac:dyDescent="0.25">
      <c r="A10637">
        <v>99699</v>
      </c>
      <c r="B10637" t="s">
        <v>4</v>
      </c>
      <c r="C10637">
        <v>3</v>
      </c>
      <c r="D10637" t="s">
        <v>5</v>
      </c>
      <c r="F10637" t="str" cm="1">
        <f t="array" ref="F10637">CategorizeComment(E10637)</f>
        <v>Other</v>
      </c>
      <c r="G10637" t="str" cm="1">
        <f t="array" ref="G10637">SubCategorizeComment(E10637)</f>
        <v>Other</v>
      </c>
    </row>
    <row r="10638" spans="1:7" x14ac:dyDescent="0.25">
      <c r="A10638">
        <v>99704</v>
      </c>
      <c r="B10638" t="s">
        <v>4</v>
      </c>
      <c r="C10638">
        <v>4</v>
      </c>
      <c r="D10638" t="s">
        <v>5</v>
      </c>
      <c r="F10638" t="str" cm="1">
        <f t="array" ref="F10638">CategorizeComment(E10638)</f>
        <v>Other</v>
      </c>
      <c r="G10638" t="str" cm="1">
        <f t="array" ref="G10638">SubCategorizeComment(E10638)</f>
        <v>Other</v>
      </c>
    </row>
    <row r="10639" spans="1:7" x14ac:dyDescent="0.25">
      <c r="A10639">
        <v>99705</v>
      </c>
      <c r="B10639" t="s">
        <v>4</v>
      </c>
      <c r="C10639">
        <v>4</v>
      </c>
      <c r="D10639" t="s">
        <v>5</v>
      </c>
      <c r="F10639" t="str" cm="1">
        <f t="array" ref="F10639">CategorizeComment(E10639)</f>
        <v>Other</v>
      </c>
      <c r="G10639" t="str" cm="1">
        <f t="array" ref="G10639">SubCategorizeComment(E10639)</f>
        <v>Other</v>
      </c>
    </row>
    <row r="10640" spans="1:7" x14ac:dyDescent="0.25">
      <c r="A10640">
        <v>99720</v>
      </c>
      <c r="B10640" t="s">
        <v>4</v>
      </c>
      <c r="C10640">
        <v>4</v>
      </c>
      <c r="D10640" t="s">
        <v>5</v>
      </c>
      <c r="F10640" t="str" cm="1">
        <f t="array" ref="F10640">CategorizeComment(E10640)</f>
        <v>Other</v>
      </c>
      <c r="G10640" t="str" cm="1">
        <f t="array" ref="G10640">SubCategorizeComment(E10640)</f>
        <v>Other</v>
      </c>
    </row>
    <row r="10641" spans="1:7" x14ac:dyDescent="0.25">
      <c r="A10641">
        <v>99750</v>
      </c>
      <c r="B10641" t="s">
        <v>4</v>
      </c>
      <c r="C10641">
        <v>3</v>
      </c>
      <c r="D10641" t="s">
        <v>5</v>
      </c>
      <c r="F10641" t="str" cm="1">
        <f t="array" ref="F10641">CategorizeComment(E10641)</f>
        <v>Other</v>
      </c>
      <c r="G10641" t="str" cm="1">
        <f t="array" ref="G10641">SubCategorizeComment(E10641)</f>
        <v>Other</v>
      </c>
    </row>
    <row r="10642" spans="1:7" x14ac:dyDescent="0.25">
      <c r="A10642">
        <v>99763</v>
      </c>
      <c r="B10642" t="s">
        <v>4</v>
      </c>
      <c r="C10642">
        <v>4</v>
      </c>
      <c r="D10642" t="s">
        <v>5</v>
      </c>
      <c r="F10642" t="str" cm="1">
        <f t="array" ref="F10642">CategorizeComment(E10642)</f>
        <v>Other</v>
      </c>
      <c r="G10642" t="str" cm="1">
        <f t="array" ref="G10642">SubCategorizeComment(E10642)</f>
        <v>Other</v>
      </c>
    </row>
    <row r="10643" spans="1:7" x14ac:dyDescent="0.25">
      <c r="A10643">
        <v>99771</v>
      </c>
      <c r="B10643" t="s">
        <v>4</v>
      </c>
      <c r="C10643">
        <v>4</v>
      </c>
      <c r="D10643" t="s">
        <v>5</v>
      </c>
      <c r="F10643" t="str" cm="1">
        <f t="array" ref="F10643">CategorizeComment(E10643)</f>
        <v>Other</v>
      </c>
      <c r="G10643" t="str" cm="1">
        <f t="array" ref="G10643">SubCategorizeComment(E10643)</f>
        <v>Other</v>
      </c>
    </row>
    <row r="10644" spans="1:7" x14ac:dyDescent="0.25">
      <c r="A10644">
        <v>99796</v>
      </c>
      <c r="B10644" t="s">
        <v>4</v>
      </c>
      <c r="C10644">
        <v>3</v>
      </c>
      <c r="D10644" t="s">
        <v>5</v>
      </c>
      <c r="F10644" t="str" cm="1">
        <f t="array" ref="F10644">CategorizeComment(E10644)</f>
        <v>Other</v>
      </c>
      <c r="G10644" t="str" cm="1">
        <f t="array" ref="G10644">SubCategorizeComment(E10644)</f>
        <v>Other</v>
      </c>
    </row>
    <row r="10645" spans="1:7" x14ac:dyDescent="0.25">
      <c r="A10645">
        <v>99798</v>
      </c>
      <c r="B10645" t="s">
        <v>4</v>
      </c>
      <c r="C10645">
        <v>4</v>
      </c>
      <c r="D10645" t="s">
        <v>5</v>
      </c>
      <c r="F10645" t="str" cm="1">
        <f t="array" ref="F10645">CategorizeComment(E10645)</f>
        <v>Other</v>
      </c>
      <c r="G10645" t="str" cm="1">
        <f t="array" ref="G10645">SubCategorizeComment(E10645)</f>
        <v>Other</v>
      </c>
    </row>
    <row r="10646" spans="1:7" x14ac:dyDescent="0.25">
      <c r="A10646">
        <v>99800</v>
      </c>
      <c r="B10646" t="s">
        <v>4</v>
      </c>
      <c r="C10646">
        <v>3</v>
      </c>
      <c r="D10646" t="s">
        <v>5</v>
      </c>
      <c r="F10646" t="str" cm="1">
        <f t="array" ref="F10646">CategorizeComment(E10646)</f>
        <v>Other</v>
      </c>
      <c r="G10646" t="str" cm="1">
        <f t="array" ref="G10646">SubCategorizeComment(E10646)</f>
        <v>Other</v>
      </c>
    </row>
    <row r="10647" spans="1:7" x14ac:dyDescent="0.25">
      <c r="A10647">
        <v>99802</v>
      </c>
      <c r="B10647" t="s">
        <v>4</v>
      </c>
      <c r="C10647">
        <v>3</v>
      </c>
      <c r="D10647" t="s">
        <v>5</v>
      </c>
      <c r="F10647" t="str" cm="1">
        <f t="array" ref="F10647">CategorizeComment(E10647)</f>
        <v>Other</v>
      </c>
      <c r="G10647" t="str" cm="1">
        <f t="array" ref="G10647">SubCategorizeComment(E10647)</f>
        <v>Other</v>
      </c>
    </row>
    <row r="10648" spans="1:7" x14ac:dyDescent="0.25">
      <c r="A10648">
        <v>99828</v>
      </c>
      <c r="B10648" t="s">
        <v>4</v>
      </c>
      <c r="C10648">
        <v>3</v>
      </c>
      <c r="D10648" t="s">
        <v>5</v>
      </c>
      <c r="F10648" t="str" cm="1">
        <f t="array" ref="F10648">CategorizeComment(E10648)</f>
        <v>Other</v>
      </c>
      <c r="G10648" t="str" cm="1">
        <f t="array" ref="G10648">SubCategorizeComment(E10648)</f>
        <v>Other</v>
      </c>
    </row>
    <row r="10649" spans="1:7" x14ac:dyDescent="0.25">
      <c r="A10649">
        <v>99864</v>
      </c>
      <c r="B10649" t="s">
        <v>4</v>
      </c>
      <c r="C10649">
        <v>4</v>
      </c>
      <c r="D10649" t="s">
        <v>5</v>
      </c>
      <c r="F10649" t="str" cm="1">
        <f t="array" ref="F10649">CategorizeComment(E10649)</f>
        <v>Other</v>
      </c>
      <c r="G10649" t="str" cm="1">
        <f t="array" ref="G10649">SubCategorizeComment(E10649)</f>
        <v>Other</v>
      </c>
    </row>
    <row r="10650" spans="1:7" x14ac:dyDescent="0.25">
      <c r="A10650">
        <v>99880</v>
      </c>
      <c r="B10650" t="s">
        <v>4</v>
      </c>
      <c r="C10650">
        <v>3</v>
      </c>
      <c r="D10650" t="s">
        <v>5</v>
      </c>
      <c r="F10650" t="str" cm="1">
        <f t="array" ref="F10650">CategorizeComment(E10650)</f>
        <v>Other</v>
      </c>
      <c r="G10650" t="str" cm="1">
        <f t="array" ref="G10650">SubCategorizeComment(E10650)</f>
        <v>Other</v>
      </c>
    </row>
    <row r="10651" spans="1:7" x14ac:dyDescent="0.25">
      <c r="A10651">
        <v>99911</v>
      </c>
      <c r="B10651" t="s">
        <v>4</v>
      </c>
      <c r="C10651">
        <v>4</v>
      </c>
      <c r="D10651" t="s">
        <v>5</v>
      </c>
      <c r="F10651" t="str" cm="1">
        <f t="array" ref="F10651">CategorizeComment(E10651)</f>
        <v>Other</v>
      </c>
      <c r="G10651" t="str" cm="1">
        <f t="array" ref="G10651">SubCategorizeComment(E10651)</f>
        <v>Other</v>
      </c>
    </row>
    <row r="10652" spans="1:7" x14ac:dyDescent="0.25">
      <c r="A10652">
        <v>99929</v>
      </c>
      <c r="B10652" t="s">
        <v>4</v>
      </c>
      <c r="C10652">
        <v>3</v>
      </c>
      <c r="D10652" t="s">
        <v>5</v>
      </c>
      <c r="F10652" t="str" cm="1">
        <f t="array" ref="F10652">CategorizeComment(E10652)</f>
        <v>Other</v>
      </c>
      <c r="G10652" t="str" cm="1">
        <f t="array" ref="G10652">SubCategorizeComment(E10652)</f>
        <v>Other</v>
      </c>
    </row>
    <row r="10653" spans="1:7" x14ac:dyDescent="0.25">
      <c r="A10653">
        <v>99937</v>
      </c>
      <c r="B10653" t="s">
        <v>4</v>
      </c>
      <c r="C10653">
        <v>3</v>
      </c>
      <c r="D10653" t="s">
        <v>5</v>
      </c>
      <c r="F10653" t="str" cm="1">
        <f t="array" ref="F10653">CategorizeComment(E10653)</f>
        <v>Other</v>
      </c>
      <c r="G10653" t="str" cm="1">
        <f t="array" ref="G10653">SubCategorizeComment(E10653)</f>
        <v>Other</v>
      </c>
    </row>
    <row r="10654" spans="1:7" x14ac:dyDescent="0.25">
      <c r="A10654">
        <v>99953</v>
      </c>
      <c r="B10654" t="s">
        <v>4</v>
      </c>
      <c r="C10654">
        <v>4</v>
      </c>
      <c r="D10654" t="s">
        <v>5</v>
      </c>
      <c r="F10654" t="str" cm="1">
        <f t="array" ref="F10654">CategorizeComment(E10654)</f>
        <v>Other</v>
      </c>
      <c r="G10654" t="str" cm="1">
        <f t="array" ref="G10654">SubCategorizeComment(E10654)</f>
        <v>Other</v>
      </c>
    </row>
    <row r="10655" spans="1:7" x14ac:dyDescent="0.25">
      <c r="A10655">
        <v>99958</v>
      </c>
      <c r="B10655" t="s">
        <v>4</v>
      </c>
      <c r="C10655">
        <v>4</v>
      </c>
      <c r="D10655" t="s">
        <v>5</v>
      </c>
      <c r="F10655" t="str" cm="1">
        <f t="array" ref="F10655">CategorizeComment(E10655)</f>
        <v>Other</v>
      </c>
      <c r="G10655" t="str" cm="1">
        <f t="array" ref="G10655">SubCategorizeComment(E10655)</f>
        <v>Other</v>
      </c>
    </row>
    <row r="10656" spans="1:7" x14ac:dyDescent="0.25">
      <c r="A10656">
        <v>99967</v>
      </c>
      <c r="B10656" t="s">
        <v>4</v>
      </c>
      <c r="C10656">
        <v>3</v>
      </c>
      <c r="D10656" t="s">
        <v>5</v>
      </c>
      <c r="F10656" t="str" cm="1">
        <f t="array" ref="F10656">CategorizeComment(E10656)</f>
        <v>Other</v>
      </c>
      <c r="G10656" t="str" cm="1">
        <f t="array" ref="G10656">SubCategorizeComment(E10656)</f>
        <v>Other</v>
      </c>
    </row>
    <row r="10657" spans="1:7" x14ac:dyDescent="0.25">
      <c r="A10657">
        <v>99974</v>
      </c>
      <c r="B10657" t="s">
        <v>4</v>
      </c>
      <c r="C10657">
        <v>4</v>
      </c>
      <c r="D10657" t="s">
        <v>5</v>
      </c>
      <c r="F10657" t="str" cm="1">
        <f t="array" ref="F10657">CategorizeComment(E10657)</f>
        <v>Other</v>
      </c>
      <c r="G10657" t="str" cm="1">
        <f t="array" ref="G10657">SubCategorizeComment(E10657)</f>
        <v>Other</v>
      </c>
    </row>
    <row r="10658" spans="1:7" x14ac:dyDescent="0.25">
      <c r="A10658">
        <v>99982</v>
      </c>
      <c r="B10658" t="s">
        <v>4</v>
      </c>
      <c r="C10658">
        <v>3</v>
      </c>
      <c r="D10658" t="s">
        <v>5</v>
      </c>
      <c r="F10658" t="str" cm="1">
        <f t="array" ref="F10658">CategorizeComment(E10658)</f>
        <v>Other</v>
      </c>
      <c r="G10658" t="str" cm="1">
        <f t="array" ref="G10658">SubCategorizeComment(E10658)</f>
        <v>Other</v>
      </c>
    </row>
    <row r="10659" spans="1:7" x14ac:dyDescent="0.25">
      <c r="A10659">
        <v>100024</v>
      </c>
      <c r="B10659" t="s">
        <v>4</v>
      </c>
      <c r="C10659">
        <v>4</v>
      </c>
      <c r="D10659" t="s">
        <v>5</v>
      </c>
      <c r="F10659" t="str" cm="1">
        <f t="array" ref="F10659">CategorizeComment(E10659)</f>
        <v>Other</v>
      </c>
      <c r="G10659" t="str" cm="1">
        <f t="array" ref="G10659">SubCategorizeComment(E10659)</f>
        <v>Other</v>
      </c>
    </row>
    <row r="10660" spans="1:7" x14ac:dyDescent="0.25">
      <c r="A10660">
        <v>100025</v>
      </c>
      <c r="B10660" t="s">
        <v>4</v>
      </c>
      <c r="C10660">
        <v>4</v>
      </c>
      <c r="D10660" t="s">
        <v>5</v>
      </c>
      <c r="F10660" t="str" cm="1">
        <f t="array" ref="F10660">CategorizeComment(E10660)</f>
        <v>Other</v>
      </c>
      <c r="G10660" t="str" cm="1">
        <f t="array" ref="G10660">SubCategorizeComment(E10660)</f>
        <v>Other</v>
      </c>
    </row>
    <row r="10661" spans="1:7" x14ac:dyDescent="0.25">
      <c r="A10661">
        <v>100029</v>
      </c>
      <c r="B10661" t="s">
        <v>4</v>
      </c>
      <c r="C10661">
        <v>4</v>
      </c>
      <c r="D10661" t="s">
        <v>5</v>
      </c>
      <c r="F10661" t="str" cm="1">
        <f t="array" ref="F10661">CategorizeComment(E10661)</f>
        <v>Other</v>
      </c>
      <c r="G10661" t="str" cm="1">
        <f t="array" ref="G10661">SubCategorizeComment(E10661)</f>
        <v>Other</v>
      </c>
    </row>
    <row r="10662" spans="1:7" x14ac:dyDescent="0.25">
      <c r="A10662">
        <v>100039</v>
      </c>
      <c r="B10662" t="s">
        <v>4</v>
      </c>
      <c r="C10662">
        <v>4</v>
      </c>
      <c r="D10662" t="s">
        <v>5</v>
      </c>
      <c r="F10662" t="str" cm="1">
        <f t="array" ref="F10662">CategorizeComment(E10662)</f>
        <v>Other</v>
      </c>
      <c r="G10662" t="str" cm="1">
        <f t="array" ref="G10662">SubCategorizeComment(E10662)</f>
        <v>Other</v>
      </c>
    </row>
    <row r="10663" spans="1:7" x14ac:dyDescent="0.25">
      <c r="A10663">
        <v>100045</v>
      </c>
      <c r="B10663" t="s">
        <v>4</v>
      </c>
      <c r="C10663">
        <v>3</v>
      </c>
      <c r="D10663" t="s">
        <v>5</v>
      </c>
      <c r="F10663" t="str" cm="1">
        <f t="array" ref="F10663">CategorizeComment(E10663)</f>
        <v>Other</v>
      </c>
      <c r="G10663" t="str" cm="1">
        <f t="array" ref="G10663">SubCategorizeComment(E10663)</f>
        <v>Other</v>
      </c>
    </row>
    <row r="10664" spans="1:7" x14ac:dyDescent="0.25">
      <c r="A10664">
        <v>100057</v>
      </c>
      <c r="B10664" t="s">
        <v>4</v>
      </c>
      <c r="C10664">
        <v>4</v>
      </c>
      <c r="D10664" t="s">
        <v>5</v>
      </c>
      <c r="F10664" t="str" cm="1">
        <f t="array" ref="F10664">CategorizeComment(E10664)</f>
        <v>Other</v>
      </c>
      <c r="G10664" t="str" cm="1">
        <f t="array" ref="G10664">SubCategorizeComment(E10664)</f>
        <v>Other</v>
      </c>
    </row>
    <row r="10665" spans="1:7" x14ac:dyDescent="0.25">
      <c r="A10665">
        <v>100062</v>
      </c>
      <c r="B10665" t="s">
        <v>4</v>
      </c>
      <c r="C10665">
        <v>3</v>
      </c>
      <c r="D10665" t="s">
        <v>5</v>
      </c>
      <c r="F10665" t="str" cm="1">
        <f t="array" ref="F10665">CategorizeComment(E10665)</f>
        <v>Other</v>
      </c>
      <c r="G10665" t="str" cm="1">
        <f t="array" ref="G10665">SubCategorizeComment(E10665)</f>
        <v>Other</v>
      </c>
    </row>
    <row r="10666" spans="1:7" x14ac:dyDescent="0.25">
      <c r="A10666">
        <v>100063</v>
      </c>
      <c r="B10666" t="s">
        <v>4</v>
      </c>
      <c r="C10666">
        <v>3</v>
      </c>
      <c r="D10666" t="s">
        <v>5</v>
      </c>
      <c r="F10666" t="str" cm="1">
        <f t="array" ref="F10666">CategorizeComment(E10666)</f>
        <v>Other</v>
      </c>
      <c r="G10666" t="str" cm="1">
        <f t="array" ref="G10666">SubCategorizeComment(E10666)</f>
        <v>Other</v>
      </c>
    </row>
    <row r="10667" spans="1:7" x14ac:dyDescent="0.25">
      <c r="A10667">
        <v>100079</v>
      </c>
      <c r="B10667" t="s">
        <v>4</v>
      </c>
      <c r="C10667">
        <v>4</v>
      </c>
      <c r="D10667" t="s">
        <v>5</v>
      </c>
      <c r="F10667" t="str" cm="1">
        <f t="array" ref="F10667">CategorizeComment(E10667)</f>
        <v>Other</v>
      </c>
      <c r="G10667" t="str" cm="1">
        <f t="array" ref="G10667">SubCategorizeComment(E10667)</f>
        <v>Other</v>
      </c>
    </row>
    <row r="10668" spans="1:7" x14ac:dyDescent="0.25">
      <c r="A10668">
        <v>100082</v>
      </c>
      <c r="B10668" t="s">
        <v>4</v>
      </c>
      <c r="C10668">
        <v>4</v>
      </c>
      <c r="D10668" t="s">
        <v>5</v>
      </c>
      <c r="F10668" t="str" cm="1">
        <f t="array" ref="F10668">CategorizeComment(E10668)</f>
        <v>Other</v>
      </c>
      <c r="G10668" t="str" cm="1">
        <f t="array" ref="G10668">SubCategorizeComment(E10668)</f>
        <v>Other</v>
      </c>
    </row>
    <row r="10669" spans="1:7" x14ac:dyDescent="0.25">
      <c r="A10669">
        <v>100093</v>
      </c>
      <c r="B10669" t="s">
        <v>4</v>
      </c>
      <c r="C10669">
        <v>3</v>
      </c>
      <c r="D10669" t="s">
        <v>5</v>
      </c>
      <c r="F10669" t="str" cm="1">
        <f t="array" ref="F10669">CategorizeComment(E10669)</f>
        <v>Other</v>
      </c>
      <c r="G10669" t="str" cm="1">
        <f t="array" ref="G10669">SubCategorizeComment(E10669)</f>
        <v>Other</v>
      </c>
    </row>
    <row r="10670" spans="1:7" x14ac:dyDescent="0.25">
      <c r="A10670">
        <v>100095</v>
      </c>
      <c r="B10670" t="s">
        <v>4</v>
      </c>
      <c r="C10670">
        <v>3</v>
      </c>
      <c r="D10670" t="s">
        <v>5</v>
      </c>
      <c r="F10670" t="str" cm="1">
        <f t="array" ref="F10670">CategorizeComment(E10670)</f>
        <v>Other</v>
      </c>
      <c r="G10670" t="str" cm="1">
        <f t="array" ref="G10670">SubCategorizeComment(E10670)</f>
        <v>Other</v>
      </c>
    </row>
    <row r="10671" spans="1:7" x14ac:dyDescent="0.25">
      <c r="A10671">
        <v>100107</v>
      </c>
      <c r="B10671" t="s">
        <v>4</v>
      </c>
      <c r="C10671">
        <v>4</v>
      </c>
      <c r="D10671" t="s">
        <v>5</v>
      </c>
      <c r="F10671" t="str" cm="1">
        <f t="array" ref="F10671">CategorizeComment(E10671)</f>
        <v>Other</v>
      </c>
      <c r="G10671" t="str" cm="1">
        <f t="array" ref="G10671">SubCategorizeComment(E10671)</f>
        <v>Other</v>
      </c>
    </row>
    <row r="10672" spans="1:7" x14ac:dyDescent="0.25">
      <c r="A10672">
        <v>100141</v>
      </c>
      <c r="B10672" t="s">
        <v>4</v>
      </c>
      <c r="C10672">
        <v>3</v>
      </c>
      <c r="D10672" t="s">
        <v>5</v>
      </c>
      <c r="F10672" t="str" cm="1">
        <f t="array" ref="F10672">CategorizeComment(E10672)</f>
        <v>Other</v>
      </c>
      <c r="G10672" t="str" cm="1">
        <f t="array" ref="G10672">SubCategorizeComment(E10672)</f>
        <v>Other</v>
      </c>
    </row>
    <row r="10673" spans="1:7" x14ac:dyDescent="0.25">
      <c r="A10673">
        <v>100155</v>
      </c>
      <c r="B10673" t="s">
        <v>4</v>
      </c>
      <c r="C10673">
        <v>4</v>
      </c>
      <c r="D10673" t="s">
        <v>5</v>
      </c>
      <c r="F10673" t="str" cm="1">
        <f t="array" ref="F10673">CategorizeComment(E10673)</f>
        <v>Other</v>
      </c>
      <c r="G10673" t="str" cm="1">
        <f t="array" ref="G10673">SubCategorizeComment(E10673)</f>
        <v>Other</v>
      </c>
    </row>
    <row r="10674" spans="1:7" x14ac:dyDescent="0.25">
      <c r="A10674">
        <v>100163</v>
      </c>
      <c r="B10674" t="s">
        <v>4</v>
      </c>
      <c r="C10674">
        <v>3</v>
      </c>
      <c r="D10674" t="s">
        <v>5</v>
      </c>
      <c r="F10674" t="str" cm="1">
        <f t="array" ref="F10674">CategorizeComment(E10674)</f>
        <v>Other</v>
      </c>
      <c r="G10674" t="str" cm="1">
        <f t="array" ref="G10674">SubCategorizeComment(E10674)</f>
        <v>Other</v>
      </c>
    </row>
    <row r="10675" spans="1:7" x14ac:dyDescent="0.25">
      <c r="A10675">
        <v>100179</v>
      </c>
      <c r="B10675" t="s">
        <v>4</v>
      </c>
      <c r="C10675">
        <v>3</v>
      </c>
      <c r="D10675" t="s">
        <v>5</v>
      </c>
      <c r="F10675" t="str" cm="1">
        <f t="array" ref="F10675">CategorizeComment(E10675)</f>
        <v>Other</v>
      </c>
      <c r="G10675" t="str" cm="1">
        <f t="array" ref="G10675">SubCategorizeComment(E10675)</f>
        <v>Other</v>
      </c>
    </row>
    <row r="10676" spans="1:7" x14ac:dyDescent="0.25">
      <c r="A10676">
        <v>100193</v>
      </c>
      <c r="B10676" t="s">
        <v>4</v>
      </c>
      <c r="C10676">
        <v>3</v>
      </c>
      <c r="D10676" t="s">
        <v>5</v>
      </c>
      <c r="F10676" t="str" cm="1">
        <f t="array" ref="F10676">CategorizeComment(E10676)</f>
        <v>Other</v>
      </c>
      <c r="G10676" t="str" cm="1">
        <f t="array" ref="G10676">SubCategorizeComment(E10676)</f>
        <v>Other</v>
      </c>
    </row>
    <row r="10677" spans="1:7" x14ac:dyDescent="0.25">
      <c r="A10677">
        <v>100206</v>
      </c>
      <c r="B10677" t="s">
        <v>4</v>
      </c>
      <c r="C10677">
        <v>4</v>
      </c>
      <c r="D10677" t="s">
        <v>5</v>
      </c>
      <c r="F10677" t="str" cm="1">
        <f t="array" ref="F10677">CategorizeComment(E10677)</f>
        <v>Other</v>
      </c>
      <c r="G10677" t="str" cm="1">
        <f t="array" ref="G10677">SubCategorizeComment(E10677)</f>
        <v>Other</v>
      </c>
    </row>
    <row r="10678" spans="1:7" x14ac:dyDescent="0.25">
      <c r="A10678">
        <v>100212</v>
      </c>
      <c r="B10678" t="s">
        <v>4</v>
      </c>
      <c r="C10678">
        <v>3</v>
      </c>
      <c r="D10678" t="s">
        <v>5</v>
      </c>
      <c r="F10678" t="str" cm="1">
        <f t="array" ref="F10678">CategorizeComment(E10678)</f>
        <v>Other</v>
      </c>
      <c r="G10678" t="str" cm="1">
        <f t="array" ref="G10678">SubCategorizeComment(E10678)</f>
        <v>Other</v>
      </c>
    </row>
    <row r="10679" spans="1:7" x14ac:dyDescent="0.25">
      <c r="A10679">
        <v>100223</v>
      </c>
      <c r="B10679" t="s">
        <v>4</v>
      </c>
      <c r="C10679">
        <v>4</v>
      </c>
      <c r="D10679" t="s">
        <v>5</v>
      </c>
      <c r="F10679" t="str" cm="1">
        <f t="array" ref="F10679">CategorizeComment(E10679)</f>
        <v>Other</v>
      </c>
      <c r="G10679" t="str" cm="1">
        <f t="array" ref="G10679">SubCategorizeComment(E10679)</f>
        <v>Other</v>
      </c>
    </row>
    <row r="10680" spans="1:7" x14ac:dyDescent="0.25">
      <c r="A10680">
        <v>100229</v>
      </c>
      <c r="B10680" t="s">
        <v>4</v>
      </c>
      <c r="C10680">
        <v>3</v>
      </c>
      <c r="D10680" t="s">
        <v>5</v>
      </c>
      <c r="F10680" t="str" cm="1">
        <f t="array" ref="F10680">CategorizeComment(E10680)</f>
        <v>Other</v>
      </c>
      <c r="G10680" t="str" cm="1">
        <f t="array" ref="G10680">SubCategorizeComment(E10680)</f>
        <v>Other</v>
      </c>
    </row>
    <row r="10681" spans="1:7" x14ac:dyDescent="0.25">
      <c r="A10681">
        <v>100233</v>
      </c>
      <c r="B10681" t="s">
        <v>4</v>
      </c>
      <c r="C10681">
        <v>4</v>
      </c>
      <c r="D10681" t="s">
        <v>5</v>
      </c>
      <c r="F10681" t="str" cm="1">
        <f t="array" ref="F10681">CategorizeComment(E10681)</f>
        <v>Other</v>
      </c>
      <c r="G10681" t="str" cm="1">
        <f t="array" ref="G10681">SubCategorizeComment(E10681)</f>
        <v>Other</v>
      </c>
    </row>
    <row r="10682" spans="1:7" x14ac:dyDescent="0.25">
      <c r="A10682">
        <v>100234</v>
      </c>
      <c r="B10682" t="s">
        <v>4</v>
      </c>
      <c r="C10682">
        <v>3</v>
      </c>
      <c r="D10682" t="s">
        <v>5</v>
      </c>
      <c r="F10682" t="str" cm="1">
        <f t="array" ref="F10682">CategorizeComment(E10682)</f>
        <v>Other</v>
      </c>
      <c r="G10682" t="str" cm="1">
        <f t="array" ref="G10682">SubCategorizeComment(E10682)</f>
        <v>Other</v>
      </c>
    </row>
    <row r="10683" spans="1:7" x14ac:dyDescent="0.25">
      <c r="A10683">
        <v>100247</v>
      </c>
      <c r="B10683" t="s">
        <v>4</v>
      </c>
      <c r="C10683">
        <v>3</v>
      </c>
      <c r="D10683" t="s">
        <v>5</v>
      </c>
      <c r="F10683" t="str" cm="1">
        <f t="array" ref="F10683">CategorizeComment(E10683)</f>
        <v>Other</v>
      </c>
      <c r="G10683" t="str" cm="1">
        <f t="array" ref="G10683">SubCategorizeComment(E10683)</f>
        <v>Other</v>
      </c>
    </row>
    <row r="10684" spans="1:7" x14ac:dyDescent="0.25">
      <c r="A10684">
        <v>100281</v>
      </c>
      <c r="B10684" t="s">
        <v>4</v>
      </c>
      <c r="C10684">
        <v>4</v>
      </c>
      <c r="D10684" t="s">
        <v>5</v>
      </c>
      <c r="F10684" t="str" cm="1">
        <f t="array" ref="F10684">CategorizeComment(E10684)</f>
        <v>Other</v>
      </c>
      <c r="G10684" t="str" cm="1">
        <f t="array" ref="G10684">SubCategorizeComment(E10684)</f>
        <v>Other</v>
      </c>
    </row>
    <row r="10685" spans="1:7" x14ac:dyDescent="0.25">
      <c r="A10685">
        <v>100298</v>
      </c>
      <c r="B10685" t="s">
        <v>4</v>
      </c>
      <c r="C10685">
        <v>3</v>
      </c>
      <c r="D10685" t="s">
        <v>5</v>
      </c>
      <c r="F10685" t="str" cm="1">
        <f t="array" ref="F10685">CategorizeComment(E10685)</f>
        <v>Other</v>
      </c>
      <c r="G10685" t="str" cm="1">
        <f t="array" ref="G10685">SubCategorizeComment(E10685)</f>
        <v>Other</v>
      </c>
    </row>
    <row r="10686" spans="1:7" x14ac:dyDescent="0.25">
      <c r="A10686">
        <v>100305</v>
      </c>
      <c r="B10686" t="s">
        <v>4</v>
      </c>
      <c r="C10686">
        <v>4</v>
      </c>
      <c r="D10686" t="s">
        <v>5</v>
      </c>
      <c r="F10686" t="str" cm="1">
        <f t="array" ref="F10686">CategorizeComment(E10686)</f>
        <v>Other</v>
      </c>
      <c r="G10686" t="str" cm="1">
        <f t="array" ref="G10686">SubCategorizeComment(E10686)</f>
        <v>Other</v>
      </c>
    </row>
    <row r="10687" spans="1:7" x14ac:dyDescent="0.25">
      <c r="A10687">
        <v>100309</v>
      </c>
      <c r="B10687" t="s">
        <v>4</v>
      </c>
      <c r="C10687">
        <v>4</v>
      </c>
      <c r="D10687" t="s">
        <v>5</v>
      </c>
      <c r="F10687" t="str" cm="1">
        <f t="array" ref="F10687">CategorizeComment(E10687)</f>
        <v>Other</v>
      </c>
      <c r="G10687" t="str" cm="1">
        <f t="array" ref="G10687">SubCategorizeComment(E10687)</f>
        <v>Other</v>
      </c>
    </row>
    <row r="10688" spans="1:7" x14ac:dyDescent="0.25">
      <c r="A10688">
        <v>100310</v>
      </c>
      <c r="B10688" t="s">
        <v>4</v>
      </c>
      <c r="C10688">
        <v>4</v>
      </c>
      <c r="D10688" t="s">
        <v>5</v>
      </c>
      <c r="F10688" t="str" cm="1">
        <f t="array" ref="F10688">CategorizeComment(E10688)</f>
        <v>Other</v>
      </c>
      <c r="G10688" t="str" cm="1">
        <f t="array" ref="G10688">SubCategorizeComment(E10688)</f>
        <v>Other</v>
      </c>
    </row>
    <row r="10689" spans="1:7" x14ac:dyDescent="0.25">
      <c r="A10689">
        <v>100314</v>
      </c>
      <c r="B10689" t="s">
        <v>4</v>
      </c>
      <c r="C10689">
        <v>4</v>
      </c>
      <c r="D10689" t="s">
        <v>5</v>
      </c>
      <c r="F10689" t="str" cm="1">
        <f t="array" ref="F10689">CategorizeComment(E10689)</f>
        <v>Other</v>
      </c>
      <c r="G10689" t="str" cm="1">
        <f t="array" ref="G10689">SubCategorizeComment(E10689)</f>
        <v>Other</v>
      </c>
    </row>
    <row r="10690" spans="1:7" x14ac:dyDescent="0.25">
      <c r="A10690">
        <v>100317</v>
      </c>
      <c r="B10690" t="s">
        <v>4</v>
      </c>
      <c r="C10690">
        <v>4</v>
      </c>
      <c r="D10690" t="s">
        <v>5</v>
      </c>
      <c r="F10690" t="str" cm="1">
        <f t="array" ref="F10690">CategorizeComment(E10690)</f>
        <v>Other</v>
      </c>
      <c r="G10690" t="str" cm="1">
        <f t="array" ref="G10690">SubCategorizeComment(E10690)</f>
        <v>Other</v>
      </c>
    </row>
    <row r="10691" spans="1:7" x14ac:dyDescent="0.25">
      <c r="A10691">
        <v>100322</v>
      </c>
      <c r="B10691" t="s">
        <v>4</v>
      </c>
      <c r="C10691">
        <v>3</v>
      </c>
      <c r="D10691" t="s">
        <v>5</v>
      </c>
      <c r="F10691" t="str" cm="1">
        <f t="array" ref="F10691">CategorizeComment(E10691)</f>
        <v>Other</v>
      </c>
      <c r="G10691" t="str" cm="1">
        <f t="array" ref="G10691">SubCategorizeComment(E10691)</f>
        <v>Other</v>
      </c>
    </row>
    <row r="10692" spans="1:7" x14ac:dyDescent="0.25">
      <c r="A10692">
        <v>100327</v>
      </c>
      <c r="B10692" t="s">
        <v>4</v>
      </c>
      <c r="C10692">
        <v>4</v>
      </c>
      <c r="D10692" t="s">
        <v>5</v>
      </c>
      <c r="F10692" t="str" cm="1">
        <f t="array" ref="F10692">CategorizeComment(E10692)</f>
        <v>Other</v>
      </c>
      <c r="G10692" t="str" cm="1">
        <f t="array" ref="G10692">SubCategorizeComment(E10692)</f>
        <v>Other</v>
      </c>
    </row>
    <row r="10693" spans="1:7" x14ac:dyDescent="0.25">
      <c r="A10693">
        <v>100329</v>
      </c>
      <c r="B10693" t="s">
        <v>4</v>
      </c>
      <c r="C10693">
        <v>4</v>
      </c>
      <c r="D10693" t="s">
        <v>5</v>
      </c>
      <c r="F10693" t="str" cm="1">
        <f t="array" ref="F10693">CategorizeComment(E10693)</f>
        <v>Other</v>
      </c>
      <c r="G10693" t="str" cm="1">
        <f t="array" ref="G10693">SubCategorizeComment(E10693)</f>
        <v>Other</v>
      </c>
    </row>
    <row r="10694" spans="1:7" x14ac:dyDescent="0.25">
      <c r="A10694">
        <v>100332</v>
      </c>
      <c r="B10694" t="s">
        <v>4</v>
      </c>
      <c r="C10694">
        <v>3</v>
      </c>
      <c r="D10694" t="s">
        <v>5</v>
      </c>
      <c r="F10694" t="str" cm="1">
        <f t="array" ref="F10694">CategorizeComment(E10694)</f>
        <v>Other</v>
      </c>
      <c r="G10694" t="str" cm="1">
        <f t="array" ref="G10694">SubCategorizeComment(E10694)</f>
        <v>Other</v>
      </c>
    </row>
    <row r="10695" spans="1:7" x14ac:dyDescent="0.25">
      <c r="A10695">
        <v>100339</v>
      </c>
      <c r="B10695" t="s">
        <v>4</v>
      </c>
      <c r="C10695">
        <v>3</v>
      </c>
      <c r="D10695" t="s">
        <v>5</v>
      </c>
      <c r="F10695" t="str" cm="1">
        <f t="array" ref="F10695">CategorizeComment(E10695)</f>
        <v>Other</v>
      </c>
      <c r="G10695" t="str" cm="1">
        <f t="array" ref="G10695">SubCategorizeComment(E10695)</f>
        <v>Other</v>
      </c>
    </row>
    <row r="10696" spans="1:7" x14ac:dyDescent="0.25">
      <c r="A10696">
        <v>100341</v>
      </c>
      <c r="B10696" t="s">
        <v>4</v>
      </c>
      <c r="C10696">
        <v>4</v>
      </c>
      <c r="D10696" t="s">
        <v>5</v>
      </c>
      <c r="F10696" t="str" cm="1">
        <f t="array" ref="F10696">CategorizeComment(E10696)</f>
        <v>Other</v>
      </c>
      <c r="G10696" t="str" cm="1">
        <f t="array" ref="G10696">SubCategorizeComment(E10696)</f>
        <v>Other</v>
      </c>
    </row>
    <row r="10697" spans="1:7" x14ac:dyDescent="0.25">
      <c r="A10697">
        <v>100365</v>
      </c>
      <c r="B10697" t="s">
        <v>4</v>
      </c>
      <c r="C10697">
        <v>4</v>
      </c>
      <c r="D10697" t="s">
        <v>5</v>
      </c>
      <c r="F10697" t="str" cm="1">
        <f t="array" ref="F10697">CategorizeComment(E10697)</f>
        <v>Other</v>
      </c>
      <c r="G10697" t="str" cm="1">
        <f t="array" ref="G10697">SubCategorizeComment(E10697)</f>
        <v>Other</v>
      </c>
    </row>
    <row r="10698" spans="1:7" x14ac:dyDescent="0.25">
      <c r="A10698">
        <v>100380</v>
      </c>
      <c r="B10698" t="s">
        <v>4</v>
      </c>
      <c r="C10698">
        <v>4</v>
      </c>
      <c r="D10698" t="s">
        <v>5</v>
      </c>
      <c r="F10698" t="str" cm="1">
        <f t="array" ref="F10698">CategorizeComment(E10698)</f>
        <v>Other</v>
      </c>
      <c r="G10698" t="str" cm="1">
        <f t="array" ref="G10698">SubCategorizeComment(E10698)</f>
        <v>Other</v>
      </c>
    </row>
    <row r="10699" spans="1:7" x14ac:dyDescent="0.25">
      <c r="A10699">
        <v>100411</v>
      </c>
      <c r="B10699" t="s">
        <v>4</v>
      </c>
      <c r="C10699">
        <v>4</v>
      </c>
      <c r="D10699" t="s">
        <v>5</v>
      </c>
      <c r="F10699" t="str" cm="1">
        <f t="array" ref="F10699">CategorizeComment(E10699)</f>
        <v>Other</v>
      </c>
      <c r="G10699" t="str" cm="1">
        <f t="array" ref="G10699">SubCategorizeComment(E10699)</f>
        <v>Other</v>
      </c>
    </row>
    <row r="10700" spans="1:7" x14ac:dyDescent="0.25">
      <c r="A10700">
        <v>100430</v>
      </c>
      <c r="B10700" t="s">
        <v>4</v>
      </c>
      <c r="C10700">
        <v>3</v>
      </c>
      <c r="D10700" t="s">
        <v>5</v>
      </c>
      <c r="F10700" t="str" cm="1">
        <f t="array" ref="F10700">CategorizeComment(E10700)</f>
        <v>Other</v>
      </c>
      <c r="G10700" t="str" cm="1">
        <f t="array" ref="G10700">SubCategorizeComment(E10700)</f>
        <v>Other</v>
      </c>
    </row>
    <row r="10701" spans="1:7" x14ac:dyDescent="0.25">
      <c r="A10701">
        <v>100435</v>
      </c>
      <c r="B10701" t="s">
        <v>4</v>
      </c>
      <c r="C10701">
        <v>3</v>
      </c>
      <c r="D10701" t="s">
        <v>5</v>
      </c>
      <c r="F10701" t="str" cm="1">
        <f t="array" ref="F10701">CategorizeComment(E10701)</f>
        <v>Other</v>
      </c>
      <c r="G10701" t="str" cm="1">
        <f t="array" ref="G10701">SubCategorizeComment(E10701)</f>
        <v>Other</v>
      </c>
    </row>
    <row r="10702" spans="1:7" x14ac:dyDescent="0.25">
      <c r="A10702">
        <v>100439</v>
      </c>
      <c r="B10702" t="s">
        <v>4</v>
      </c>
      <c r="C10702">
        <v>3</v>
      </c>
      <c r="D10702" t="s">
        <v>5</v>
      </c>
      <c r="F10702" t="str" cm="1">
        <f t="array" ref="F10702">CategorizeComment(E10702)</f>
        <v>Other</v>
      </c>
      <c r="G10702" t="str" cm="1">
        <f t="array" ref="G10702">SubCategorizeComment(E10702)</f>
        <v>Other</v>
      </c>
    </row>
    <row r="10703" spans="1:7" x14ac:dyDescent="0.25">
      <c r="A10703">
        <v>100447</v>
      </c>
      <c r="B10703" t="s">
        <v>4</v>
      </c>
      <c r="C10703">
        <v>4</v>
      </c>
      <c r="D10703" t="s">
        <v>5</v>
      </c>
      <c r="F10703" t="str" cm="1">
        <f t="array" ref="F10703">CategorizeComment(E10703)</f>
        <v>Other</v>
      </c>
      <c r="G10703" t="str" cm="1">
        <f t="array" ref="G10703">SubCategorizeComment(E10703)</f>
        <v>Other</v>
      </c>
    </row>
    <row r="10704" spans="1:7" x14ac:dyDescent="0.25">
      <c r="A10704">
        <v>100450</v>
      </c>
      <c r="B10704" t="s">
        <v>4</v>
      </c>
      <c r="C10704">
        <v>4</v>
      </c>
      <c r="D10704" t="s">
        <v>5</v>
      </c>
      <c r="F10704" t="str" cm="1">
        <f t="array" ref="F10704">CategorizeComment(E10704)</f>
        <v>Other</v>
      </c>
      <c r="G10704" t="str" cm="1">
        <f t="array" ref="G10704">SubCategorizeComment(E10704)</f>
        <v>Other</v>
      </c>
    </row>
    <row r="10705" spans="1:7" x14ac:dyDescent="0.25">
      <c r="A10705">
        <v>100473</v>
      </c>
      <c r="B10705" t="s">
        <v>4</v>
      </c>
      <c r="C10705">
        <v>3</v>
      </c>
      <c r="D10705" t="s">
        <v>5</v>
      </c>
      <c r="F10705" t="str" cm="1">
        <f t="array" ref="F10705">CategorizeComment(E10705)</f>
        <v>Other</v>
      </c>
      <c r="G10705" t="str" cm="1">
        <f t="array" ref="G10705">SubCategorizeComment(E10705)</f>
        <v>Other</v>
      </c>
    </row>
    <row r="10706" spans="1:7" x14ac:dyDescent="0.25">
      <c r="A10706">
        <v>100484</v>
      </c>
      <c r="B10706" t="s">
        <v>4</v>
      </c>
      <c r="C10706">
        <v>4</v>
      </c>
      <c r="D10706" t="s">
        <v>5</v>
      </c>
      <c r="F10706" t="str" cm="1">
        <f t="array" ref="F10706">CategorizeComment(E10706)</f>
        <v>Other</v>
      </c>
      <c r="G10706" t="str" cm="1">
        <f t="array" ref="G10706">SubCategorizeComment(E10706)</f>
        <v>Other</v>
      </c>
    </row>
    <row r="10707" spans="1:7" x14ac:dyDescent="0.25">
      <c r="A10707">
        <v>100532</v>
      </c>
      <c r="B10707" t="s">
        <v>4</v>
      </c>
      <c r="C10707">
        <v>4</v>
      </c>
      <c r="D10707" t="s">
        <v>5</v>
      </c>
      <c r="F10707" t="str" cm="1">
        <f t="array" ref="F10707">CategorizeComment(E10707)</f>
        <v>Other</v>
      </c>
      <c r="G10707" t="str" cm="1">
        <f t="array" ref="G10707">SubCategorizeComment(E10707)</f>
        <v>Other</v>
      </c>
    </row>
    <row r="10708" spans="1:7" x14ac:dyDescent="0.25">
      <c r="A10708">
        <v>100565</v>
      </c>
      <c r="B10708" t="s">
        <v>4</v>
      </c>
      <c r="C10708">
        <v>3</v>
      </c>
      <c r="D10708" t="s">
        <v>5</v>
      </c>
      <c r="F10708" t="str" cm="1">
        <f t="array" ref="F10708">CategorizeComment(E10708)</f>
        <v>Other</v>
      </c>
      <c r="G10708" t="str" cm="1">
        <f t="array" ref="G10708">SubCategorizeComment(E10708)</f>
        <v>Other</v>
      </c>
    </row>
    <row r="10709" spans="1:7" x14ac:dyDescent="0.25">
      <c r="A10709">
        <v>100580</v>
      </c>
      <c r="B10709" t="s">
        <v>4</v>
      </c>
      <c r="C10709">
        <v>4</v>
      </c>
      <c r="D10709" t="s">
        <v>5</v>
      </c>
      <c r="F10709" t="str" cm="1">
        <f t="array" ref="F10709">CategorizeComment(E10709)</f>
        <v>Other</v>
      </c>
      <c r="G10709" t="str" cm="1">
        <f t="array" ref="G10709">SubCategorizeComment(E10709)</f>
        <v>Other</v>
      </c>
    </row>
    <row r="10710" spans="1:7" x14ac:dyDescent="0.25">
      <c r="A10710">
        <v>100603</v>
      </c>
      <c r="B10710" t="s">
        <v>4</v>
      </c>
      <c r="C10710">
        <v>4</v>
      </c>
      <c r="D10710" t="s">
        <v>5</v>
      </c>
      <c r="F10710" t="str" cm="1">
        <f t="array" ref="F10710">CategorizeComment(E10710)</f>
        <v>Other</v>
      </c>
      <c r="G10710" t="str" cm="1">
        <f t="array" ref="G10710">SubCategorizeComment(E10710)</f>
        <v>Other</v>
      </c>
    </row>
    <row r="10711" spans="1:7" x14ac:dyDescent="0.25">
      <c r="A10711">
        <v>100612</v>
      </c>
      <c r="B10711" t="s">
        <v>4</v>
      </c>
      <c r="C10711">
        <v>4</v>
      </c>
      <c r="D10711" t="s">
        <v>5</v>
      </c>
      <c r="F10711" t="str" cm="1">
        <f t="array" ref="F10711">CategorizeComment(E10711)</f>
        <v>Other</v>
      </c>
      <c r="G10711" t="str" cm="1">
        <f t="array" ref="G10711">SubCategorizeComment(E10711)</f>
        <v>Other</v>
      </c>
    </row>
    <row r="10712" spans="1:7" x14ac:dyDescent="0.25">
      <c r="A10712">
        <v>100625</v>
      </c>
      <c r="B10712" t="s">
        <v>4</v>
      </c>
      <c r="C10712">
        <v>4</v>
      </c>
      <c r="D10712" t="s">
        <v>5</v>
      </c>
      <c r="F10712" t="str" cm="1">
        <f t="array" ref="F10712">CategorizeComment(E10712)</f>
        <v>Other</v>
      </c>
      <c r="G10712" t="str" cm="1">
        <f t="array" ref="G10712">SubCategorizeComment(E10712)</f>
        <v>Other</v>
      </c>
    </row>
    <row r="10713" spans="1:7" x14ac:dyDescent="0.25">
      <c r="A10713">
        <v>100640</v>
      </c>
      <c r="B10713" t="s">
        <v>4</v>
      </c>
      <c r="C10713">
        <v>4</v>
      </c>
      <c r="D10713" t="s">
        <v>5</v>
      </c>
      <c r="F10713" t="str" cm="1">
        <f t="array" ref="F10713">CategorizeComment(E10713)</f>
        <v>Other</v>
      </c>
      <c r="G10713" t="str" cm="1">
        <f t="array" ref="G10713">SubCategorizeComment(E10713)</f>
        <v>Other</v>
      </c>
    </row>
    <row r="10714" spans="1:7" x14ac:dyDescent="0.25">
      <c r="A10714">
        <v>100645</v>
      </c>
      <c r="B10714" t="s">
        <v>4</v>
      </c>
      <c r="C10714">
        <v>3</v>
      </c>
      <c r="D10714" t="s">
        <v>5</v>
      </c>
      <c r="F10714" t="str" cm="1">
        <f t="array" ref="F10714">CategorizeComment(E10714)</f>
        <v>Other</v>
      </c>
      <c r="G10714" t="str" cm="1">
        <f t="array" ref="G10714">SubCategorizeComment(E10714)</f>
        <v>Other</v>
      </c>
    </row>
    <row r="10715" spans="1:7" x14ac:dyDescent="0.25">
      <c r="A10715">
        <v>100650</v>
      </c>
      <c r="B10715" t="s">
        <v>4</v>
      </c>
      <c r="C10715">
        <v>4</v>
      </c>
      <c r="D10715" t="s">
        <v>5</v>
      </c>
      <c r="F10715" t="str" cm="1">
        <f t="array" ref="F10715">CategorizeComment(E10715)</f>
        <v>Other</v>
      </c>
      <c r="G10715" t="str" cm="1">
        <f t="array" ref="G10715">SubCategorizeComment(E10715)</f>
        <v>Other</v>
      </c>
    </row>
    <row r="10716" spans="1:7" x14ac:dyDescent="0.25">
      <c r="A10716">
        <v>100665</v>
      </c>
      <c r="B10716" t="s">
        <v>4</v>
      </c>
      <c r="C10716">
        <v>4</v>
      </c>
      <c r="D10716" t="s">
        <v>5</v>
      </c>
      <c r="F10716" t="str" cm="1">
        <f t="array" ref="F10716">CategorizeComment(E10716)</f>
        <v>Other</v>
      </c>
      <c r="G10716" t="str" cm="1">
        <f t="array" ref="G10716">SubCategorizeComment(E10716)</f>
        <v>Other</v>
      </c>
    </row>
    <row r="10717" spans="1:7" x14ac:dyDescent="0.25">
      <c r="A10717">
        <v>100667</v>
      </c>
      <c r="B10717" t="s">
        <v>4</v>
      </c>
      <c r="C10717">
        <v>4</v>
      </c>
      <c r="D10717" t="s">
        <v>5</v>
      </c>
      <c r="F10717" t="str" cm="1">
        <f t="array" ref="F10717">CategorizeComment(E10717)</f>
        <v>Other</v>
      </c>
      <c r="G10717" t="str" cm="1">
        <f t="array" ref="G10717">SubCategorizeComment(E10717)</f>
        <v>Other</v>
      </c>
    </row>
    <row r="10718" spans="1:7" x14ac:dyDescent="0.25">
      <c r="A10718">
        <v>100696</v>
      </c>
      <c r="B10718" t="s">
        <v>4</v>
      </c>
      <c r="C10718">
        <v>4</v>
      </c>
      <c r="D10718" t="s">
        <v>5</v>
      </c>
      <c r="F10718" t="str" cm="1">
        <f t="array" ref="F10718">CategorizeComment(E10718)</f>
        <v>Other</v>
      </c>
      <c r="G10718" t="str" cm="1">
        <f t="array" ref="G10718">SubCategorizeComment(E10718)</f>
        <v>Other</v>
      </c>
    </row>
    <row r="10719" spans="1:7" x14ac:dyDescent="0.25">
      <c r="A10719">
        <v>100698</v>
      </c>
      <c r="B10719" t="s">
        <v>4</v>
      </c>
      <c r="C10719">
        <v>4</v>
      </c>
      <c r="D10719" t="s">
        <v>5</v>
      </c>
      <c r="F10719" t="str" cm="1">
        <f t="array" ref="F10719">CategorizeComment(E10719)</f>
        <v>Other</v>
      </c>
      <c r="G10719" t="str" cm="1">
        <f t="array" ref="G10719">SubCategorizeComment(E10719)</f>
        <v>Other</v>
      </c>
    </row>
    <row r="10720" spans="1:7" x14ac:dyDescent="0.25">
      <c r="A10720">
        <v>100699</v>
      </c>
      <c r="B10720" t="s">
        <v>4</v>
      </c>
      <c r="C10720">
        <v>3</v>
      </c>
      <c r="D10720" t="s">
        <v>5</v>
      </c>
      <c r="F10720" t="str" cm="1">
        <f t="array" ref="F10720">CategorizeComment(E10720)</f>
        <v>Other</v>
      </c>
      <c r="G10720" t="str" cm="1">
        <f t="array" ref="G10720">SubCategorizeComment(E10720)</f>
        <v>Other</v>
      </c>
    </row>
    <row r="10721" spans="1:7" x14ac:dyDescent="0.25">
      <c r="A10721">
        <v>100731</v>
      </c>
      <c r="B10721" t="s">
        <v>4</v>
      </c>
      <c r="C10721">
        <v>4</v>
      </c>
      <c r="D10721" t="s">
        <v>5</v>
      </c>
      <c r="F10721" t="str" cm="1">
        <f t="array" ref="F10721">CategorizeComment(E10721)</f>
        <v>Other</v>
      </c>
      <c r="G10721" t="str" cm="1">
        <f t="array" ref="G10721">SubCategorizeComment(E10721)</f>
        <v>Other</v>
      </c>
    </row>
    <row r="10722" spans="1:7" x14ac:dyDescent="0.25">
      <c r="A10722">
        <v>100739</v>
      </c>
      <c r="B10722" t="s">
        <v>4</v>
      </c>
      <c r="C10722">
        <v>3</v>
      </c>
      <c r="D10722" t="s">
        <v>5</v>
      </c>
      <c r="F10722" t="str" cm="1">
        <f t="array" ref="F10722">CategorizeComment(E10722)</f>
        <v>Other</v>
      </c>
      <c r="G10722" t="str" cm="1">
        <f t="array" ref="G10722">SubCategorizeComment(E10722)</f>
        <v>Other</v>
      </c>
    </row>
    <row r="10723" spans="1:7" x14ac:dyDescent="0.25">
      <c r="A10723">
        <v>100740</v>
      </c>
      <c r="B10723" t="s">
        <v>4</v>
      </c>
      <c r="C10723">
        <v>4</v>
      </c>
      <c r="D10723" t="s">
        <v>5</v>
      </c>
      <c r="F10723" t="str" cm="1">
        <f t="array" ref="F10723">CategorizeComment(E10723)</f>
        <v>Other</v>
      </c>
      <c r="G10723" t="str" cm="1">
        <f t="array" ref="G10723">SubCategorizeComment(E10723)</f>
        <v>Other</v>
      </c>
    </row>
    <row r="10724" spans="1:7" x14ac:dyDescent="0.25">
      <c r="A10724">
        <v>100747</v>
      </c>
      <c r="B10724" t="s">
        <v>4</v>
      </c>
      <c r="C10724">
        <v>4</v>
      </c>
      <c r="D10724" t="s">
        <v>5</v>
      </c>
      <c r="F10724" t="str" cm="1">
        <f t="array" ref="F10724">CategorizeComment(E10724)</f>
        <v>Other</v>
      </c>
      <c r="G10724" t="str" cm="1">
        <f t="array" ref="G10724">SubCategorizeComment(E10724)</f>
        <v>Other</v>
      </c>
    </row>
    <row r="10725" spans="1:7" x14ac:dyDescent="0.25">
      <c r="A10725">
        <v>100755</v>
      </c>
      <c r="B10725" t="s">
        <v>4</v>
      </c>
      <c r="C10725">
        <v>3</v>
      </c>
      <c r="D10725" t="s">
        <v>5</v>
      </c>
      <c r="F10725" t="str" cm="1">
        <f t="array" ref="F10725">CategorizeComment(E10725)</f>
        <v>Other</v>
      </c>
      <c r="G10725" t="str" cm="1">
        <f t="array" ref="G10725">SubCategorizeComment(E10725)</f>
        <v>Other</v>
      </c>
    </row>
    <row r="10726" spans="1:7" x14ac:dyDescent="0.25">
      <c r="A10726">
        <v>100768</v>
      </c>
      <c r="B10726" t="s">
        <v>4</v>
      </c>
      <c r="C10726">
        <v>3</v>
      </c>
      <c r="D10726" t="s">
        <v>5</v>
      </c>
      <c r="F10726" t="str" cm="1">
        <f t="array" ref="F10726">CategorizeComment(E10726)</f>
        <v>Other</v>
      </c>
      <c r="G10726" t="str" cm="1">
        <f t="array" ref="G10726">SubCategorizeComment(E10726)</f>
        <v>Other</v>
      </c>
    </row>
    <row r="10727" spans="1:7" x14ac:dyDescent="0.25">
      <c r="A10727">
        <v>100771</v>
      </c>
      <c r="B10727" t="s">
        <v>4</v>
      </c>
      <c r="C10727">
        <v>4</v>
      </c>
      <c r="D10727" t="s">
        <v>5</v>
      </c>
      <c r="F10727" t="str" cm="1">
        <f t="array" ref="F10727">CategorizeComment(E10727)</f>
        <v>Other</v>
      </c>
      <c r="G10727" t="str" cm="1">
        <f t="array" ref="G10727">SubCategorizeComment(E10727)</f>
        <v>Other</v>
      </c>
    </row>
    <row r="10728" spans="1:7" x14ac:dyDescent="0.25">
      <c r="A10728">
        <v>100782</v>
      </c>
      <c r="B10728" t="s">
        <v>4</v>
      </c>
      <c r="C10728">
        <v>3</v>
      </c>
      <c r="D10728" t="s">
        <v>5</v>
      </c>
      <c r="F10728" t="str" cm="1">
        <f t="array" ref="F10728">CategorizeComment(E10728)</f>
        <v>Other</v>
      </c>
      <c r="G10728" t="str" cm="1">
        <f t="array" ref="G10728">SubCategorizeComment(E10728)</f>
        <v>Other</v>
      </c>
    </row>
    <row r="10729" spans="1:7" x14ac:dyDescent="0.25">
      <c r="A10729">
        <v>100784</v>
      </c>
      <c r="B10729" t="s">
        <v>4</v>
      </c>
      <c r="C10729">
        <v>3</v>
      </c>
      <c r="D10729" t="s">
        <v>5</v>
      </c>
      <c r="F10729" t="str" cm="1">
        <f t="array" ref="F10729">CategorizeComment(E10729)</f>
        <v>Other</v>
      </c>
      <c r="G10729" t="str" cm="1">
        <f t="array" ref="G10729">SubCategorizeComment(E10729)</f>
        <v>Other</v>
      </c>
    </row>
    <row r="10730" spans="1:7" x14ac:dyDescent="0.25">
      <c r="A10730">
        <v>100807</v>
      </c>
      <c r="B10730" t="s">
        <v>4</v>
      </c>
      <c r="C10730">
        <v>3</v>
      </c>
      <c r="D10730" t="s">
        <v>5</v>
      </c>
      <c r="F10730" t="str" cm="1">
        <f t="array" ref="F10730">CategorizeComment(E10730)</f>
        <v>Other</v>
      </c>
      <c r="G10730" t="str" cm="1">
        <f t="array" ref="G10730">SubCategorizeComment(E10730)</f>
        <v>Other</v>
      </c>
    </row>
    <row r="10731" spans="1:7" x14ac:dyDescent="0.25">
      <c r="A10731">
        <v>100812</v>
      </c>
      <c r="B10731" t="s">
        <v>4</v>
      </c>
      <c r="C10731">
        <v>3</v>
      </c>
      <c r="D10731" t="s">
        <v>5</v>
      </c>
      <c r="F10731" t="str" cm="1">
        <f t="array" ref="F10731">CategorizeComment(E10731)</f>
        <v>Other</v>
      </c>
      <c r="G10731" t="str" cm="1">
        <f t="array" ref="G10731">SubCategorizeComment(E10731)</f>
        <v>Other</v>
      </c>
    </row>
    <row r="10732" spans="1:7" x14ac:dyDescent="0.25">
      <c r="A10732">
        <v>100813</v>
      </c>
      <c r="B10732" t="s">
        <v>4</v>
      </c>
      <c r="C10732">
        <v>4</v>
      </c>
      <c r="D10732" t="s">
        <v>5</v>
      </c>
      <c r="F10732" t="str" cm="1">
        <f t="array" ref="F10732">CategorizeComment(E10732)</f>
        <v>Other</v>
      </c>
      <c r="G10732" t="str" cm="1">
        <f t="array" ref="G10732">SubCategorizeComment(E10732)</f>
        <v>Other</v>
      </c>
    </row>
    <row r="10733" spans="1:7" x14ac:dyDescent="0.25">
      <c r="A10733">
        <v>100833</v>
      </c>
      <c r="B10733" t="s">
        <v>4</v>
      </c>
      <c r="C10733">
        <v>3</v>
      </c>
      <c r="D10733" t="s">
        <v>5</v>
      </c>
      <c r="F10733" t="str" cm="1">
        <f t="array" ref="F10733">CategorizeComment(E10733)</f>
        <v>Other</v>
      </c>
      <c r="G10733" t="str" cm="1">
        <f t="array" ref="G10733">SubCategorizeComment(E10733)</f>
        <v>Other</v>
      </c>
    </row>
    <row r="10734" spans="1:7" x14ac:dyDescent="0.25">
      <c r="A10734">
        <v>100842</v>
      </c>
      <c r="B10734" t="s">
        <v>4</v>
      </c>
      <c r="C10734">
        <v>3</v>
      </c>
      <c r="D10734" t="s">
        <v>5</v>
      </c>
      <c r="F10734" t="str" cm="1">
        <f t="array" ref="F10734">CategorizeComment(E10734)</f>
        <v>Other</v>
      </c>
      <c r="G10734" t="str" cm="1">
        <f t="array" ref="G10734">SubCategorizeComment(E10734)</f>
        <v>Other</v>
      </c>
    </row>
    <row r="10735" spans="1:7" x14ac:dyDescent="0.25">
      <c r="A10735">
        <v>100855</v>
      </c>
      <c r="B10735" t="s">
        <v>4</v>
      </c>
      <c r="C10735">
        <v>4</v>
      </c>
      <c r="D10735" t="s">
        <v>5</v>
      </c>
      <c r="F10735" t="str" cm="1">
        <f t="array" ref="F10735">CategorizeComment(E10735)</f>
        <v>Other</v>
      </c>
      <c r="G10735" t="str" cm="1">
        <f t="array" ref="G10735">SubCategorizeComment(E10735)</f>
        <v>Other</v>
      </c>
    </row>
    <row r="10736" spans="1:7" x14ac:dyDescent="0.25">
      <c r="A10736">
        <v>100857</v>
      </c>
      <c r="B10736" t="s">
        <v>4</v>
      </c>
      <c r="C10736">
        <v>4</v>
      </c>
      <c r="D10736" t="s">
        <v>5</v>
      </c>
      <c r="F10736" t="str" cm="1">
        <f t="array" ref="F10736">CategorizeComment(E10736)</f>
        <v>Other</v>
      </c>
      <c r="G10736" t="str" cm="1">
        <f t="array" ref="G10736">SubCategorizeComment(E10736)</f>
        <v>Other</v>
      </c>
    </row>
    <row r="10737" spans="1:7" x14ac:dyDescent="0.25">
      <c r="A10737">
        <v>100858</v>
      </c>
      <c r="B10737" t="s">
        <v>4</v>
      </c>
      <c r="C10737">
        <v>3</v>
      </c>
      <c r="D10737" t="s">
        <v>5</v>
      </c>
      <c r="F10737" t="str" cm="1">
        <f t="array" ref="F10737">CategorizeComment(E10737)</f>
        <v>Other</v>
      </c>
      <c r="G10737" t="str" cm="1">
        <f t="array" ref="G10737">SubCategorizeComment(E10737)</f>
        <v>Other</v>
      </c>
    </row>
    <row r="10738" spans="1:7" x14ac:dyDescent="0.25">
      <c r="A10738">
        <v>100879</v>
      </c>
      <c r="B10738" t="s">
        <v>4</v>
      </c>
      <c r="C10738">
        <v>3</v>
      </c>
      <c r="D10738" t="s">
        <v>5</v>
      </c>
      <c r="F10738" t="str" cm="1">
        <f t="array" ref="F10738">CategorizeComment(E10738)</f>
        <v>Other</v>
      </c>
      <c r="G10738" t="str" cm="1">
        <f t="array" ref="G10738">SubCategorizeComment(E10738)</f>
        <v>Other</v>
      </c>
    </row>
    <row r="10739" spans="1:7" x14ac:dyDescent="0.25">
      <c r="A10739">
        <v>100881</v>
      </c>
      <c r="B10739" t="s">
        <v>4</v>
      </c>
      <c r="C10739">
        <v>4</v>
      </c>
      <c r="D10739" t="s">
        <v>5</v>
      </c>
      <c r="F10739" t="str" cm="1">
        <f t="array" ref="F10739">CategorizeComment(E10739)</f>
        <v>Other</v>
      </c>
      <c r="G10739" t="str" cm="1">
        <f t="array" ref="G10739">SubCategorizeComment(E10739)</f>
        <v>Other</v>
      </c>
    </row>
    <row r="10740" spans="1:7" x14ac:dyDescent="0.25">
      <c r="A10740">
        <v>100903</v>
      </c>
      <c r="B10740" t="s">
        <v>4</v>
      </c>
      <c r="C10740">
        <v>3</v>
      </c>
      <c r="D10740" t="s">
        <v>5</v>
      </c>
      <c r="F10740" t="str" cm="1">
        <f t="array" ref="F10740">CategorizeComment(E10740)</f>
        <v>Other</v>
      </c>
      <c r="G10740" t="str" cm="1">
        <f t="array" ref="G10740">SubCategorizeComment(E10740)</f>
        <v>Other</v>
      </c>
    </row>
    <row r="10741" spans="1:7" x14ac:dyDescent="0.25">
      <c r="A10741">
        <v>100908</v>
      </c>
      <c r="B10741" t="s">
        <v>4</v>
      </c>
      <c r="C10741">
        <v>3</v>
      </c>
      <c r="D10741" t="s">
        <v>5</v>
      </c>
      <c r="F10741" t="str" cm="1">
        <f t="array" ref="F10741">CategorizeComment(E10741)</f>
        <v>Other</v>
      </c>
      <c r="G10741" t="str" cm="1">
        <f t="array" ref="G10741">SubCategorizeComment(E10741)</f>
        <v>Other</v>
      </c>
    </row>
    <row r="10742" spans="1:7" x14ac:dyDescent="0.25">
      <c r="A10742">
        <v>100919</v>
      </c>
      <c r="B10742" t="s">
        <v>4</v>
      </c>
      <c r="C10742">
        <v>4</v>
      </c>
      <c r="D10742" t="s">
        <v>5</v>
      </c>
      <c r="F10742" t="str" cm="1">
        <f t="array" ref="F10742">CategorizeComment(E10742)</f>
        <v>Other</v>
      </c>
      <c r="G10742" t="str" cm="1">
        <f t="array" ref="G10742">SubCategorizeComment(E10742)</f>
        <v>Other</v>
      </c>
    </row>
    <row r="10743" spans="1:7" x14ac:dyDescent="0.25">
      <c r="A10743">
        <v>100954</v>
      </c>
      <c r="B10743" t="s">
        <v>4</v>
      </c>
      <c r="C10743">
        <v>4</v>
      </c>
      <c r="D10743" t="s">
        <v>5</v>
      </c>
      <c r="F10743" t="str" cm="1">
        <f t="array" ref="F10743">CategorizeComment(E10743)</f>
        <v>Other</v>
      </c>
      <c r="G10743" t="str" cm="1">
        <f t="array" ref="G10743">SubCategorizeComment(E10743)</f>
        <v>Other</v>
      </c>
    </row>
    <row r="10744" spans="1:7" x14ac:dyDescent="0.25">
      <c r="A10744">
        <v>100984</v>
      </c>
      <c r="B10744" t="s">
        <v>4</v>
      </c>
      <c r="C10744">
        <v>4</v>
      </c>
      <c r="D10744" t="s">
        <v>5</v>
      </c>
      <c r="F10744" t="str" cm="1">
        <f t="array" ref="F10744">CategorizeComment(E10744)</f>
        <v>Other</v>
      </c>
      <c r="G10744" t="str" cm="1">
        <f t="array" ref="G10744">SubCategorizeComment(E10744)</f>
        <v>Other</v>
      </c>
    </row>
    <row r="10745" spans="1:7" x14ac:dyDescent="0.25">
      <c r="A10745">
        <v>101012</v>
      </c>
      <c r="B10745" t="s">
        <v>4</v>
      </c>
      <c r="C10745">
        <v>4</v>
      </c>
      <c r="D10745" t="s">
        <v>5</v>
      </c>
      <c r="F10745" t="str" cm="1">
        <f t="array" ref="F10745">CategorizeComment(E10745)</f>
        <v>Other</v>
      </c>
      <c r="G10745" t="str" cm="1">
        <f t="array" ref="G10745">SubCategorizeComment(E10745)</f>
        <v>Other</v>
      </c>
    </row>
    <row r="10746" spans="1:7" x14ac:dyDescent="0.25">
      <c r="A10746">
        <v>101014</v>
      </c>
      <c r="B10746" t="s">
        <v>4</v>
      </c>
      <c r="C10746">
        <v>3</v>
      </c>
      <c r="D10746" t="s">
        <v>5</v>
      </c>
      <c r="F10746" t="str" cm="1">
        <f t="array" ref="F10746">CategorizeComment(E10746)</f>
        <v>Other</v>
      </c>
      <c r="G10746" t="str" cm="1">
        <f t="array" ref="G10746">SubCategorizeComment(E10746)</f>
        <v>Other</v>
      </c>
    </row>
    <row r="10747" spans="1:7" x14ac:dyDescent="0.25">
      <c r="A10747">
        <v>101022</v>
      </c>
      <c r="B10747" t="s">
        <v>4</v>
      </c>
      <c r="C10747">
        <v>3</v>
      </c>
      <c r="D10747" t="s">
        <v>5</v>
      </c>
      <c r="F10747" t="str" cm="1">
        <f t="array" ref="F10747">CategorizeComment(E10747)</f>
        <v>Other</v>
      </c>
      <c r="G10747" t="str" cm="1">
        <f t="array" ref="G10747">SubCategorizeComment(E10747)</f>
        <v>Other</v>
      </c>
    </row>
    <row r="10748" spans="1:7" x14ac:dyDescent="0.25">
      <c r="A10748">
        <v>101028</v>
      </c>
      <c r="B10748" t="s">
        <v>4</v>
      </c>
      <c r="C10748">
        <v>4</v>
      </c>
      <c r="D10748" t="s">
        <v>5</v>
      </c>
      <c r="F10748" t="str" cm="1">
        <f t="array" ref="F10748">CategorizeComment(E10748)</f>
        <v>Other</v>
      </c>
      <c r="G10748" t="str" cm="1">
        <f t="array" ref="G10748">SubCategorizeComment(E10748)</f>
        <v>Other</v>
      </c>
    </row>
    <row r="10749" spans="1:7" x14ac:dyDescent="0.25">
      <c r="A10749">
        <v>101038</v>
      </c>
      <c r="B10749" t="s">
        <v>4</v>
      </c>
      <c r="C10749">
        <v>4</v>
      </c>
      <c r="D10749" t="s">
        <v>5</v>
      </c>
      <c r="F10749" t="str" cm="1">
        <f t="array" ref="F10749">CategorizeComment(E10749)</f>
        <v>Other</v>
      </c>
      <c r="G10749" t="str" cm="1">
        <f t="array" ref="G10749">SubCategorizeComment(E10749)</f>
        <v>Other</v>
      </c>
    </row>
    <row r="10750" spans="1:7" x14ac:dyDescent="0.25">
      <c r="A10750">
        <v>101048</v>
      </c>
      <c r="B10750" t="s">
        <v>4</v>
      </c>
      <c r="C10750">
        <v>3</v>
      </c>
      <c r="D10750" t="s">
        <v>5</v>
      </c>
      <c r="F10750" t="str" cm="1">
        <f t="array" ref="F10750">CategorizeComment(E10750)</f>
        <v>Other</v>
      </c>
      <c r="G10750" t="str" cm="1">
        <f t="array" ref="G10750">SubCategorizeComment(E10750)</f>
        <v>Other</v>
      </c>
    </row>
    <row r="10751" spans="1:7" x14ac:dyDescent="0.25">
      <c r="A10751">
        <v>101057</v>
      </c>
      <c r="B10751" t="s">
        <v>4</v>
      </c>
      <c r="C10751">
        <v>4</v>
      </c>
      <c r="D10751" t="s">
        <v>5</v>
      </c>
      <c r="F10751" t="str" cm="1">
        <f t="array" ref="F10751">CategorizeComment(E10751)</f>
        <v>Other</v>
      </c>
      <c r="G10751" t="str" cm="1">
        <f t="array" ref="G10751">SubCategorizeComment(E10751)</f>
        <v>Other</v>
      </c>
    </row>
    <row r="10752" spans="1:7" x14ac:dyDescent="0.25">
      <c r="A10752">
        <v>101063</v>
      </c>
      <c r="B10752" t="s">
        <v>4</v>
      </c>
      <c r="C10752">
        <v>3</v>
      </c>
      <c r="D10752" t="s">
        <v>5</v>
      </c>
      <c r="F10752" t="str" cm="1">
        <f t="array" ref="F10752">CategorizeComment(E10752)</f>
        <v>Other</v>
      </c>
      <c r="G10752" t="str" cm="1">
        <f t="array" ref="G10752">SubCategorizeComment(E10752)</f>
        <v>Other</v>
      </c>
    </row>
    <row r="10753" spans="1:7" x14ac:dyDescent="0.25">
      <c r="A10753">
        <v>101080</v>
      </c>
      <c r="B10753" t="s">
        <v>4</v>
      </c>
      <c r="C10753">
        <v>4</v>
      </c>
      <c r="D10753" t="s">
        <v>5</v>
      </c>
      <c r="F10753" t="str" cm="1">
        <f t="array" ref="F10753">CategorizeComment(E10753)</f>
        <v>Other</v>
      </c>
      <c r="G10753" t="str" cm="1">
        <f t="array" ref="G10753">SubCategorizeComment(E10753)</f>
        <v>Other</v>
      </c>
    </row>
    <row r="10754" spans="1:7" x14ac:dyDescent="0.25">
      <c r="A10754">
        <v>101082</v>
      </c>
      <c r="B10754" t="s">
        <v>4</v>
      </c>
      <c r="C10754">
        <v>4</v>
      </c>
      <c r="D10754" t="s">
        <v>5</v>
      </c>
      <c r="F10754" t="str" cm="1">
        <f t="array" ref="F10754">CategorizeComment(E10754)</f>
        <v>Other</v>
      </c>
      <c r="G10754" t="str" cm="1">
        <f t="array" ref="G10754">SubCategorizeComment(E10754)</f>
        <v>Other</v>
      </c>
    </row>
    <row r="10755" spans="1:7" x14ac:dyDescent="0.25">
      <c r="A10755">
        <v>101119</v>
      </c>
      <c r="B10755" t="s">
        <v>4</v>
      </c>
      <c r="C10755">
        <v>4</v>
      </c>
      <c r="D10755" t="s">
        <v>5</v>
      </c>
      <c r="F10755" t="str" cm="1">
        <f t="array" ref="F10755">CategorizeComment(E10755)</f>
        <v>Other</v>
      </c>
      <c r="G10755" t="str" cm="1">
        <f t="array" ref="G10755">SubCategorizeComment(E10755)</f>
        <v>Other</v>
      </c>
    </row>
    <row r="10756" spans="1:7" x14ac:dyDescent="0.25">
      <c r="A10756">
        <v>101145</v>
      </c>
      <c r="B10756" t="s">
        <v>4</v>
      </c>
      <c r="C10756">
        <v>4</v>
      </c>
      <c r="D10756" t="s">
        <v>5</v>
      </c>
      <c r="F10756" t="str" cm="1">
        <f t="array" ref="F10756">CategorizeComment(E10756)</f>
        <v>Other</v>
      </c>
      <c r="G10756" t="str" cm="1">
        <f t="array" ref="G10756">SubCategorizeComment(E10756)</f>
        <v>Other</v>
      </c>
    </row>
    <row r="10757" spans="1:7" x14ac:dyDescent="0.25">
      <c r="A10757">
        <v>101153</v>
      </c>
      <c r="B10757" t="s">
        <v>4</v>
      </c>
      <c r="C10757">
        <v>3</v>
      </c>
      <c r="D10757" t="s">
        <v>5</v>
      </c>
      <c r="F10757" t="str" cm="1">
        <f t="array" ref="F10757">CategorizeComment(E10757)</f>
        <v>Other</v>
      </c>
      <c r="G10757" t="str" cm="1">
        <f t="array" ref="G10757">SubCategorizeComment(E10757)</f>
        <v>Other</v>
      </c>
    </row>
    <row r="10758" spans="1:7" x14ac:dyDescent="0.25">
      <c r="A10758">
        <v>101156</v>
      </c>
      <c r="B10758" t="s">
        <v>4</v>
      </c>
      <c r="C10758">
        <v>4</v>
      </c>
      <c r="D10758" t="s">
        <v>5</v>
      </c>
      <c r="F10758" t="str" cm="1">
        <f t="array" ref="F10758">CategorizeComment(E10758)</f>
        <v>Other</v>
      </c>
      <c r="G10758" t="str" cm="1">
        <f t="array" ref="G10758">SubCategorizeComment(E10758)</f>
        <v>Other</v>
      </c>
    </row>
    <row r="10759" spans="1:7" x14ac:dyDescent="0.25">
      <c r="A10759">
        <v>101159</v>
      </c>
      <c r="B10759" t="s">
        <v>4</v>
      </c>
      <c r="C10759">
        <v>3</v>
      </c>
      <c r="D10759" t="s">
        <v>5</v>
      </c>
      <c r="F10759" t="str" cm="1">
        <f t="array" ref="F10759">CategorizeComment(E10759)</f>
        <v>Other</v>
      </c>
      <c r="G10759" t="str" cm="1">
        <f t="array" ref="G10759">SubCategorizeComment(E10759)</f>
        <v>Other</v>
      </c>
    </row>
    <row r="10760" spans="1:7" x14ac:dyDescent="0.25">
      <c r="A10760">
        <v>101160</v>
      </c>
      <c r="B10760" t="s">
        <v>4</v>
      </c>
      <c r="C10760">
        <v>4</v>
      </c>
      <c r="D10760" t="s">
        <v>5</v>
      </c>
      <c r="F10760" t="str" cm="1">
        <f t="array" ref="F10760">CategorizeComment(E10760)</f>
        <v>Other</v>
      </c>
      <c r="G10760" t="str" cm="1">
        <f t="array" ref="G10760">SubCategorizeComment(E10760)</f>
        <v>Other</v>
      </c>
    </row>
    <row r="10761" spans="1:7" x14ac:dyDescent="0.25">
      <c r="A10761">
        <v>101165</v>
      </c>
      <c r="B10761" t="s">
        <v>4</v>
      </c>
      <c r="C10761">
        <v>3</v>
      </c>
      <c r="D10761" t="s">
        <v>5</v>
      </c>
      <c r="F10761" t="str" cm="1">
        <f t="array" ref="F10761">CategorizeComment(E10761)</f>
        <v>Other</v>
      </c>
      <c r="G10761" t="str" cm="1">
        <f t="array" ref="G10761">SubCategorizeComment(E10761)</f>
        <v>Other</v>
      </c>
    </row>
    <row r="10762" spans="1:7" x14ac:dyDescent="0.25">
      <c r="A10762">
        <v>101169</v>
      </c>
      <c r="B10762" t="s">
        <v>4</v>
      </c>
      <c r="C10762">
        <v>3</v>
      </c>
      <c r="D10762" t="s">
        <v>5</v>
      </c>
      <c r="F10762" t="str" cm="1">
        <f t="array" ref="F10762">CategorizeComment(E10762)</f>
        <v>Other</v>
      </c>
      <c r="G10762" t="str" cm="1">
        <f t="array" ref="G10762">SubCategorizeComment(E10762)</f>
        <v>Other</v>
      </c>
    </row>
    <row r="10763" spans="1:7" x14ac:dyDescent="0.25">
      <c r="A10763">
        <v>101204</v>
      </c>
      <c r="B10763" t="s">
        <v>4</v>
      </c>
      <c r="C10763">
        <v>3</v>
      </c>
      <c r="D10763" t="s">
        <v>5</v>
      </c>
      <c r="F10763" t="str" cm="1">
        <f t="array" ref="F10763">CategorizeComment(E10763)</f>
        <v>Other</v>
      </c>
      <c r="G10763" t="str" cm="1">
        <f t="array" ref="G10763">SubCategorizeComment(E10763)</f>
        <v>Other</v>
      </c>
    </row>
    <row r="10764" spans="1:7" x14ac:dyDescent="0.25">
      <c r="A10764">
        <v>101238</v>
      </c>
      <c r="B10764" t="s">
        <v>4</v>
      </c>
      <c r="C10764">
        <v>4</v>
      </c>
      <c r="D10764" t="s">
        <v>5</v>
      </c>
      <c r="F10764" t="str" cm="1">
        <f t="array" ref="F10764">CategorizeComment(E10764)</f>
        <v>Other</v>
      </c>
      <c r="G10764" t="str" cm="1">
        <f t="array" ref="G10764">SubCategorizeComment(E10764)</f>
        <v>Other</v>
      </c>
    </row>
    <row r="10765" spans="1:7" x14ac:dyDescent="0.25">
      <c r="A10765">
        <v>101265</v>
      </c>
      <c r="B10765" t="s">
        <v>4</v>
      </c>
      <c r="C10765">
        <v>4</v>
      </c>
      <c r="D10765" t="s">
        <v>5</v>
      </c>
      <c r="F10765" t="str" cm="1">
        <f t="array" ref="F10765">CategorizeComment(E10765)</f>
        <v>Other</v>
      </c>
      <c r="G10765" t="str" cm="1">
        <f t="array" ref="G10765">SubCategorizeComment(E10765)</f>
        <v>Other</v>
      </c>
    </row>
    <row r="10766" spans="1:7" x14ac:dyDescent="0.25">
      <c r="A10766">
        <v>101269</v>
      </c>
      <c r="B10766" t="s">
        <v>4</v>
      </c>
      <c r="C10766">
        <v>3</v>
      </c>
      <c r="D10766" t="s">
        <v>5</v>
      </c>
      <c r="F10766" t="str" cm="1">
        <f t="array" ref="F10766">CategorizeComment(E10766)</f>
        <v>Other</v>
      </c>
      <c r="G10766" t="str" cm="1">
        <f t="array" ref="G10766">SubCategorizeComment(E10766)</f>
        <v>Other</v>
      </c>
    </row>
    <row r="10767" spans="1:7" x14ac:dyDescent="0.25">
      <c r="A10767">
        <v>101283</v>
      </c>
      <c r="B10767" t="s">
        <v>4</v>
      </c>
      <c r="C10767">
        <v>4</v>
      </c>
      <c r="D10767" t="s">
        <v>5</v>
      </c>
      <c r="F10767" t="str" cm="1">
        <f t="array" ref="F10767">CategorizeComment(E10767)</f>
        <v>Other</v>
      </c>
      <c r="G10767" t="str" cm="1">
        <f t="array" ref="G10767">SubCategorizeComment(E10767)</f>
        <v>Other</v>
      </c>
    </row>
    <row r="10768" spans="1:7" x14ac:dyDescent="0.25">
      <c r="A10768">
        <v>101299</v>
      </c>
      <c r="B10768" t="s">
        <v>4</v>
      </c>
      <c r="C10768">
        <v>4</v>
      </c>
      <c r="D10768" t="s">
        <v>5</v>
      </c>
      <c r="F10768" t="str" cm="1">
        <f t="array" ref="F10768">CategorizeComment(E10768)</f>
        <v>Other</v>
      </c>
      <c r="G10768" t="str" cm="1">
        <f t="array" ref="G10768">SubCategorizeComment(E10768)</f>
        <v>Other</v>
      </c>
    </row>
    <row r="10769" spans="1:7" x14ac:dyDescent="0.25">
      <c r="A10769">
        <v>101338</v>
      </c>
      <c r="B10769" t="s">
        <v>4</v>
      </c>
      <c r="C10769">
        <v>3</v>
      </c>
      <c r="D10769" t="s">
        <v>5</v>
      </c>
      <c r="F10769" t="str" cm="1">
        <f t="array" ref="F10769">CategorizeComment(E10769)</f>
        <v>Other</v>
      </c>
      <c r="G10769" t="str" cm="1">
        <f t="array" ref="G10769">SubCategorizeComment(E10769)</f>
        <v>Other</v>
      </c>
    </row>
    <row r="10770" spans="1:7" x14ac:dyDescent="0.25">
      <c r="A10770">
        <v>101339</v>
      </c>
      <c r="B10770" t="s">
        <v>4</v>
      </c>
      <c r="C10770">
        <v>4</v>
      </c>
      <c r="D10770" t="s">
        <v>5</v>
      </c>
      <c r="F10770" t="str" cm="1">
        <f t="array" ref="F10770">CategorizeComment(E10770)</f>
        <v>Other</v>
      </c>
      <c r="G10770" t="str" cm="1">
        <f t="array" ref="G10770">SubCategorizeComment(E10770)</f>
        <v>Other</v>
      </c>
    </row>
    <row r="10771" spans="1:7" x14ac:dyDescent="0.25">
      <c r="A10771">
        <v>101343</v>
      </c>
      <c r="B10771" t="s">
        <v>4</v>
      </c>
      <c r="C10771">
        <v>3</v>
      </c>
      <c r="D10771" t="s">
        <v>5</v>
      </c>
      <c r="F10771" t="str" cm="1">
        <f t="array" ref="F10771">CategorizeComment(E10771)</f>
        <v>Other</v>
      </c>
      <c r="G10771" t="str" cm="1">
        <f t="array" ref="G10771">SubCategorizeComment(E10771)</f>
        <v>Other</v>
      </c>
    </row>
    <row r="10772" spans="1:7" x14ac:dyDescent="0.25">
      <c r="A10772">
        <v>101370</v>
      </c>
      <c r="B10772" t="s">
        <v>4</v>
      </c>
      <c r="C10772">
        <v>4</v>
      </c>
      <c r="D10772" t="s">
        <v>5</v>
      </c>
      <c r="F10772" t="str" cm="1">
        <f t="array" ref="F10772">CategorizeComment(E10772)</f>
        <v>Other</v>
      </c>
      <c r="G10772" t="str" cm="1">
        <f t="array" ref="G10772">SubCategorizeComment(E10772)</f>
        <v>Other</v>
      </c>
    </row>
    <row r="10773" spans="1:7" x14ac:dyDescent="0.25">
      <c r="A10773">
        <v>101371</v>
      </c>
      <c r="B10773" t="s">
        <v>4</v>
      </c>
      <c r="C10773">
        <v>3</v>
      </c>
      <c r="D10773" t="s">
        <v>5</v>
      </c>
      <c r="F10773" t="str" cm="1">
        <f t="array" ref="F10773">CategorizeComment(E10773)</f>
        <v>Other</v>
      </c>
      <c r="G10773" t="str" cm="1">
        <f t="array" ref="G10773">SubCategorizeComment(E10773)</f>
        <v>Other</v>
      </c>
    </row>
    <row r="10774" spans="1:7" x14ac:dyDescent="0.25">
      <c r="A10774">
        <v>101386</v>
      </c>
      <c r="B10774" t="s">
        <v>4</v>
      </c>
      <c r="C10774">
        <v>3</v>
      </c>
      <c r="D10774" t="s">
        <v>5</v>
      </c>
      <c r="F10774" t="str" cm="1">
        <f t="array" ref="F10774">CategorizeComment(E10774)</f>
        <v>Other</v>
      </c>
      <c r="G10774" t="str" cm="1">
        <f t="array" ref="G10774">SubCategorizeComment(E10774)</f>
        <v>Other</v>
      </c>
    </row>
    <row r="10775" spans="1:7" x14ac:dyDescent="0.25">
      <c r="A10775">
        <v>101397</v>
      </c>
      <c r="B10775" t="s">
        <v>4</v>
      </c>
      <c r="C10775">
        <v>4</v>
      </c>
      <c r="D10775" t="s">
        <v>5</v>
      </c>
      <c r="F10775" t="str" cm="1">
        <f t="array" ref="F10775">CategorizeComment(E10775)</f>
        <v>Other</v>
      </c>
      <c r="G10775" t="str" cm="1">
        <f t="array" ref="G10775">SubCategorizeComment(E10775)</f>
        <v>Other</v>
      </c>
    </row>
    <row r="10776" spans="1:7" x14ac:dyDescent="0.25">
      <c r="A10776">
        <v>101402</v>
      </c>
      <c r="B10776" t="s">
        <v>4</v>
      </c>
      <c r="C10776">
        <v>3</v>
      </c>
      <c r="D10776" t="s">
        <v>5</v>
      </c>
      <c r="F10776" t="str" cm="1">
        <f t="array" ref="F10776">CategorizeComment(E10776)</f>
        <v>Other</v>
      </c>
      <c r="G10776" t="str" cm="1">
        <f t="array" ref="G10776">SubCategorizeComment(E10776)</f>
        <v>Other</v>
      </c>
    </row>
    <row r="10777" spans="1:7" x14ac:dyDescent="0.25">
      <c r="A10777">
        <v>101428</v>
      </c>
      <c r="B10777" t="s">
        <v>4</v>
      </c>
      <c r="C10777">
        <v>3</v>
      </c>
      <c r="D10777" t="s">
        <v>5</v>
      </c>
      <c r="F10777" t="str" cm="1">
        <f t="array" ref="F10777">CategorizeComment(E10777)</f>
        <v>Other</v>
      </c>
      <c r="G10777" t="str" cm="1">
        <f t="array" ref="G10777">SubCategorizeComment(E10777)</f>
        <v>Other</v>
      </c>
    </row>
    <row r="10778" spans="1:7" x14ac:dyDescent="0.25">
      <c r="A10778">
        <v>101432</v>
      </c>
      <c r="B10778" t="s">
        <v>4</v>
      </c>
      <c r="C10778">
        <v>4</v>
      </c>
      <c r="D10778" t="s">
        <v>5</v>
      </c>
      <c r="F10778" t="str" cm="1">
        <f t="array" ref="F10778">CategorizeComment(E10778)</f>
        <v>Other</v>
      </c>
      <c r="G10778" t="str" cm="1">
        <f t="array" ref="G10778">SubCategorizeComment(E10778)</f>
        <v>Other</v>
      </c>
    </row>
    <row r="10779" spans="1:7" x14ac:dyDescent="0.25">
      <c r="A10779">
        <v>101474</v>
      </c>
      <c r="B10779" t="s">
        <v>4</v>
      </c>
      <c r="C10779">
        <v>3</v>
      </c>
      <c r="D10779" t="s">
        <v>5</v>
      </c>
      <c r="F10779" t="str" cm="1">
        <f t="array" ref="F10779">CategorizeComment(E10779)</f>
        <v>Other</v>
      </c>
      <c r="G10779" t="str" cm="1">
        <f t="array" ref="G10779">SubCategorizeComment(E10779)</f>
        <v>Other</v>
      </c>
    </row>
    <row r="10780" spans="1:7" x14ac:dyDescent="0.25">
      <c r="A10780">
        <v>101483</v>
      </c>
      <c r="B10780" t="s">
        <v>4</v>
      </c>
      <c r="C10780">
        <v>4</v>
      </c>
      <c r="D10780" t="s">
        <v>5</v>
      </c>
      <c r="F10780" t="str" cm="1">
        <f t="array" ref="F10780">CategorizeComment(E10780)</f>
        <v>Other</v>
      </c>
      <c r="G10780" t="str" cm="1">
        <f t="array" ref="G10780">SubCategorizeComment(E10780)</f>
        <v>Other</v>
      </c>
    </row>
    <row r="10781" spans="1:7" x14ac:dyDescent="0.25">
      <c r="A10781">
        <v>101489</v>
      </c>
      <c r="B10781" t="s">
        <v>4</v>
      </c>
      <c r="C10781">
        <v>4</v>
      </c>
      <c r="D10781" t="s">
        <v>5</v>
      </c>
      <c r="F10781" t="str" cm="1">
        <f t="array" ref="F10781">CategorizeComment(E10781)</f>
        <v>Other</v>
      </c>
      <c r="G10781" t="str" cm="1">
        <f t="array" ref="G10781">SubCategorizeComment(E10781)</f>
        <v>Other</v>
      </c>
    </row>
    <row r="10782" spans="1:7" x14ac:dyDescent="0.25">
      <c r="A10782">
        <v>101497</v>
      </c>
      <c r="B10782" t="s">
        <v>4</v>
      </c>
      <c r="C10782">
        <v>3</v>
      </c>
      <c r="D10782" t="s">
        <v>5</v>
      </c>
      <c r="F10782" t="str" cm="1">
        <f t="array" ref="F10782">CategorizeComment(E10782)</f>
        <v>Other</v>
      </c>
      <c r="G10782" t="str" cm="1">
        <f t="array" ref="G10782">SubCategorizeComment(E10782)</f>
        <v>Other</v>
      </c>
    </row>
    <row r="10783" spans="1:7" x14ac:dyDescent="0.25">
      <c r="A10783">
        <v>101502</v>
      </c>
      <c r="B10783" t="s">
        <v>4</v>
      </c>
      <c r="C10783">
        <v>4</v>
      </c>
      <c r="D10783" t="s">
        <v>5</v>
      </c>
      <c r="F10783" t="str" cm="1">
        <f t="array" ref="F10783">CategorizeComment(E10783)</f>
        <v>Other</v>
      </c>
      <c r="G10783" t="str" cm="1">
        <f t="array" ref="G10783">SubCategorizeComment(E10783)</f>
        <v>Other</v>
      </c>
    </row>
    <row r="10784" spans="1:7" x14ac:dyDescent="0.25">
      <c r="A10784">
        <v>101504</v>
      </c>
      <c r="B10784" t="s">
        <v>4</v>
      </c>
      <c r="C10784">
        <v>4</v>
      </c>
      <c r="D10784" t="s">
        <v>5</v>
      </c>
      <c r="F10784" t="str" cm="1">
        <f t="array" ref="F10784">CategorizeComment(E10784)</f>
        <v>Other</v>
      </c>
      <c r="G10784" t="str" cm="1">
        <f t="array" ref="G10784">SubCategorizeComment(E10784)</f>
        <v>Other</v>
      </c>
    </row>
    <row r="10785" spans="1:7" x14ac:dyDescent="0.25">
      <c r="A10785">
        <v>101508</v>
      </c>
      <c r="B10785" t="s">
        <v>4</v>
      </c>
      <c r="C10785">
        <v>3</v>
      </c>
      <c r="D10785" t="s">
        <v>5</v>
      </c>
      <c r="F10785" t="str" cm="1">
        <f t="array" ref="F10785">CategorizeComment(E10785)</f>
        <v>Other</v>
      </c>
      <c r="G10785" t="str" cm="1">
        <f t="array" ref="G10785">SubCategorizeComment(E10785)</f>
        <v>Other</v>
      </c>
    </row>
    <row r="10786" spans="1:7" x14ac:dyDescent="0.25">
      <c r="A10786">
        <v>101510</v>
      </c>
      <c r="B10786" t="s">
        <v>4</v>
      </c>
      <c r="C10786">
        <v>3</v>
      </c>
      <c r="D10786" t="s">
        <v>5</v>
      </c>
      <c r="F10786" t="str" cm="1">
        <f t="array" ref="F10786">CategorizeComment(E10786)</f>
        <v>Other</v>
      </c>
      <c r="G10786" t="str" cm="1">
        <f t="array" ref="G10786">SubCategorizeComment(E10786)</f>
        <v>Other</v>
      </c>
    </row>
    <row r="10787" spans="1:7" x14ac:dyDescent="0.25">
      <c r="A10787">
        <v>101520</v>
      </c>
      <c r="B10787" t="s">
        <v>4</v>
      </c>
      <c r="C10787">
        <v>3</v>
      </c>
      <c r="D10787" t="s">
        <v>5</v>
      </c>
      <c r="F10787" t="str" cm="1">
        <f t="array" ref="F10787">CategorizeComment(E10787)</f>
        <v>Other</v>
      </c>
      <c r="G10787" t="str" cm="1">
        <f t="array" ref="G10787">SubCategorizeComment(E10787)</f>
        <v>Other</v>
      </c>
    </row>
    <row r="10788" spans="1:7" x14ac:dyDescent="0.25">
      <c r="A10788">
        <v>101528</v>
      </c>
      <c r="B10788" t="s">
        <v>4</v>
      </c>
      <c r="C10788">
        <v>3</v>
      </c>
      <c r="D10788" t="s">
        <v>5</v>
      </c>
      <c r="F10788" t="str" cm="1">
        <f t="array" ref="F10788">CategorizeComment(E10788)</f>
        <v>Other</v>
      </c>
      <c r="G10788" t="str" cm="1">
        <f t="array" ref="G10788">SubCategorizeComment(E10788)</f>
        <v>Other</v>
      </c>
    </row>
    <row r="10789" spans="1:7" x14ac:dyDescent="0.25">
      <c r="A10789">
        <v>101529</v>
      </c>
      <c r="B10789" t="s">
        <v>4</v>
      </c>
      <c r="C10789">
        <v>4</v>
      </c>
      <c r="D10789" t="s">
        <v>5</v>
      </c>
      <c r="F10789" t="str" cm="1">
        <f t="array" ref="F10789">CategorizeComment(E10789)</f>
        <v>Other</v>
      </c>
      <c r="G10789" t="str" cm="1">
        <f t="array" ref="G10789">SubCategorizeComment(E10789)</f>
        <v>Other</v>
      </c>
    </row>
    <row r="10790" spans="1:7" x14ac:dyDescent="0.25">
      <c r="A10790">
        <v>101530</v>
      </c>
      <c r="B10790" t="s">
        <v>4</v>
      </c>
      <c r="C10790">
        <v>4</v>
      </c>
      <c r="D10790" t="s">
        <v>5</v>
      </c>
      <c r="F10790" t="str" cm="1">
        <f t="array" ref="F10790">CategorizeComment(E10790)</f>
        <v>Other</v>
      </c>
      <c r="G10790" t="str" cm="1">
        <f t="array" ref="G10790">SubCategorizeComment(E10790)</f>
        <v>Other</v>
      </c>
    </row>
    <row r="10791" spans="1:7" x14ac:dyDescent="0.25">
      <c r="A10791">
        <v>101535</v>
      </c>
      <c r="B10791" t="s">
        <v>4</v>
      </c>
      <c r="C10791">
        <v>3</v>
      </c>
      <c r="D10791" t="s">
        <v>5</v>
      </c>
      <c r="F10791" t="str" cm="1">
        <f t="array" ref="F10791">CategorizeComment(E10791)</f>
        <v>Other</v>
      </c>
      <c r="G10791" t="str" cm="1">
        <f t="array" ref="G10791">SubCategorizeComment(E10791)</f>
        <v>Other</v>
      </c>
    </row>
    <row r="10792" spans="1:7" x14ac:dyDescent="0.25">
      <c r="A10792">
        <v>101540</v>
      </c>
      <c r="B10792" t="s">
        <v>4</v>
      </c>
      <c r="C10792">
        <v>3</v>
      </c>
      <c r="D10792" t="s">
        <v>5</v>
      </c>
      <c r="F10792" t="str" cm="1">
        <f t="array" ref="F10792">CategorizeComment(E10792)</f>
        <v>Other</v>
      </c>
      <c r="G10792" t="str" cm="1">
        <f t="array" ref="G10792">SubCategorizeComment(E10792)</f>
        <v>Other</v>
      </c>
    </row>
    <row r="10793" spans="1:7" x14ac:dyDescent="0.25">
      <c r="A10793">
        <v>101542</v>
      </c>
      <c r="B10793" t="s">
        <v>4</v>
      </c>
      <c r="C10793">
        <v>4</v>
      </c>
      <c r="D10793" t="s">
        <v>5</v>
      </c>
      <c r="F10793" t="str" cm="1">
        <f t="array" ref="F10793">CategorizeComment(E10793)</f>
        <v>Other</v>
      </c>
      <c r="G10793" t="str" cm="1">
        <f t="array" ref="G10793">SubCategorizeComment(E10793)</f>
        <v>Other</v>
      </c>
    </row>
    <row r="10794" spans="1:7" x14ac:dyDescent="0.25">
      <c r="A10794">
        <v>101543</v>
      </c>
      <c r="B10794" t="s">
        <v>4</v>
      </c>
      <c r="C10794">
        <v>4</v>
      </c>
      <c r="D10794" t="s">
        <v>5</v>
      </c>
      <c r="F10794" t="str" cm="1">
        <f t="array" ref="F10794">CategorizeComment(E10794)</f>
        <v>Other</v>
      </c>
      <c r="G10794" t="str" cm="1">
        <f t="array" ref="G10794">SubCategorizeComment(E10794)</f>
        <v>Other</v>
      </c>
    </row>
    <row r="10795" spans="1:7" x14ac:dyDescent="0.25">
      <c r="A10795">
        <v>101550</v>
      </c>
      <c r="B10795" t="s">
        <v>4</v>
      </c>
      <c r="C10795">
        <v>4</v>
      </c>
      <c r="D10795" t="s">
        <v>5</v>
      </c>
      <c r="F10795" t="str" cm="1">
        <f t="array" ref="F10795">CategorizeComment(E10795)</f>
        <v>Other</v>
      </c>
      <c r="G10795" t="str" cm="1">
        <f t="array" ref="G10795">SubCategorizeComment(E10795)</f>
        <v>Other</v>
      </c>
    </row>
    <row r="10796" spans="1:7" x14ac:dyDescent="0.25">
      <c r="A10796">
        <v>101553</v>
      </c>
      <c r="B10796" t="s">
        <v>4</v>
      </c>
      <c r="C10796">
        <v>4</v>
      </c>
      <c r="D10796" t="s">
        <v>5</v>
      </c>
      <c r="F10796" t="str" cm="1">
        <f t="array" ref="F10796">CategorizeComment(E10796)</f>
        <v>Other</v>
      </c>
      <c r="G10796" t="str" cm="1">
        <f t="array" ref="G10796">SubCategorizeComment(E10796)</f>
        <v>Other</v>
      </c>
    </row>
    <row r="10797" spans="1:7" x14ac:dyDescent="0.25">
      <c r="A10797">
        <v>101563</v>
      </c>
      <c r="B10797" t="s">
        <v>4</v>
      </c>
      <c r="C10797">
        <v>4</v>
      </c>
      <c r="D10797" t="s">
        <v>5</v>
      </c>
      <c r="F10797" t="str" cm="1">
        <f t="array" ref="F10797">CategorizeComment(E10797)</f>
        <v>Other</v>
      </c>
      <c r="G10797" t="str" cm="1">
        <f t="array" ref="G10797">SubCategorizeComment(E10797)</f>
        <v>Other</v>
      </c>
    </row>
    <row r="10798" spans="1:7" x14ac:dyDescent="0.25">
      <c r="A10798">
        <v>101584</v>
      </c>
      <c r="B10798" t="s">
        <v>4</v>
      </c>
      <c r="C10798">
        <v>4</v>
      </c>
      <c r="D10798" t="s">
        <v>5</v>
      </c>
      <c r="F10798" t="str" cm="1">
        <f t="array" ref="F10798">CategorizeComment(E10798)</f>
        <v>Other</v>
      </c>
      <c r="G10798" t="str" cm="1">
        <f t="array" ref="G10798">SubCategorizeComment(E10798)</f>
        <v>Other</v>
      </c>
    </row>
    <row r="10799" spans="1:7" x14ac:dyDescent="0.25">
      <c r="A10799">
        <v>101589</v>
      </c>
      <c r="B10799" t="s">
        <v>4</v>
      </c>
      <c r="C10799">
        <v>3</v>
      </c>
      <c r="D10799" t="s">
        <v>5</v>
      </c>
      <c r="F10799" t="str" cm="1">
        <f t="array" ref="F10799">CategorizeComment(E10799)</f>
        <v>Other</v>
      </c>
      <c r="G10799" t="str" cm="1">
        <f t="array" ref="G10799">SubCategorizeComment(E10799)</f>
        <v>Other</v>
      </c>
    </row>
    <row r="10800" spans="1:7" x14ac:dyDescent="0.25">
      <c r="A10800">
        <v>101612</v>
      </c>
      <c r="B10800" t="s">
        <v>4</v>
      </c>
      <c r="C10800">
        <v>3</v>
      </c>
      <c r="D10800" t="s">
        <v>5</v>
      </c>
      <c r="F10800" t="str" cm="1">
        <f t="array" ref="F10800">CategorizeComment(E10800)</f>
        <v>Other</v>
      </c>
      <c r="G10800" t="str" cm="1">
        <f t="array" ref="G10800">SubCategorizeComment(E10800)</f>
        <v>Other</v>
      </c>
    </row>
    <row r="10801" spans="1:7" x14ac:dyDescent="0.25">
      <c r="A10801">
        <v>101616</v>
      </c>
      <c r="B10801" t="s">
        <v>4</v>
      </c>
      <c r="C10801">
        <v>3</v>
      </c>
      <c r="D10801" t="s">
        <v>5</v>
      </c>
      <c r="F10801" t="str" cm="1">
        <f t="array" ref="F10801">CategorizeComment(E10801)</f>
        <v>Other</v>
      </c>
      <c r="G10801" t="str" cm="1">
        <f t="array" ref="G10801">SubCategorizeComment(E10801)</f>
        <v>Other</v>
      </c>
    </row>
    <row r="10802" spans="1:7" x14ac:dyDescent="0.25">
      <c r="A10802">
        <v>101626</v>
      </c>
      <c r="B10802" t="s">
        <v>4</v>
      </c>
      <c r="C10802">
        <v>4</v>
      </c>
      <c r="D10802" t="s">
        <v>5</v>
      </c>
      <c r="F10802" t="str" cm="1">
        <f t="array" ref="F10802">CategorizeComment(E10802)</f>
        <v>Other</v>
      </c>
      <c r="G10802" t="str" cm="1">
        <f t="array" ref="G10802">SubCategorizeComment(E10802)</f>
        <v>Other</v>
      </c>
    </row>
    <row r="10803" spans="1:7" x14ac:dyDescent="0.25">
      <c r="A10803">
        <v>101644</v>
      </c>
      <c r="B10803" t="s">
        <v>4</v>
      </c>
      <c r="C10803">
        <v>3</v>
      </c>
      <c r="D10803" t="s">
        <v>5</v>
      </c>
      <c r="F10803" t="str" cm="1">
        <f t="array" ref="F10803">CategorizeComment(E10803)</f>
        <v>Other</v>
      </c>
      <c r="G10803" t="str" cm="1">
        <f t="array" ref="G10803">SubCategorizeComment(E10803)</f>
        <v>Other</v>
      </c>
    </row>
    <row r="10804" spans="1:7" x14ac:dyDescent="0.25">
      <c r="A10804">
        <v>101645</v>
      </c>
      <c r="B10804" t="s">
        <v>4</v>
      </c>
      <c r="C10804">
        <v>4</v>
      </c>
      <c r="D10804" t="s">
        <v>5</v>
      </c>
      <c r="F10804" t="str" cm="1">
        <f t="array" ref="F10804">CategorizeComment(E10804)</f>
        <v>Other</v>
      </c>
      <c r="G10804" t="str" cm="1">
        <f t="array" ref="G10804">SubCategorizeComment(E10804)</f>
        <v>Other</v>
      </c>
    </row>
    <row r="10805" spans="1:7" x14ac:dyDescent="0.25">
      <c r="A10805">
        <v>101646</v>
      </c>
      <c r="B10805" t="s">
        <v>4</v>
      </c>
      <c r="C10805">
        <v>4</v>
      </c>
      <c r="D10805" t="s">
        <v>5</v>
      </c>
      <c r="F10805" t="str" cm="1">
        <f t="array" ref="F10805">CategorizeComment(E10805)</f>
        <v>Other</v>
      </c>
      <c r="G10805" t="str" cm="1">
        <f t="array" ref="G10805">SubCategorizeComment(E10805)</f>
        <v>Other</v>
      </c>
    </row>
    <row r="10806" spans="1:7" x14ac:dyDescent="0.25">
      <c r="A10806">
        <v>101665</v>
      </c>
      <c r="B10806" t="s">
        <v>4</v>
      </c>
      <c r="C10806">
        <v>3</v>
      </c>
      <c r="D10806" t="s">
        <v>5</v>
      </c>
      <c r="F10806" t="str" cm="1">
        <f t="array" ref="F10806">CategorizeComment(E10806)</f>
        <v>Other</v>
      </c>
      <c r="G10806" t="str" cm="1">
        <f t="array" ref="G10806">SubCategorizeComment(E10806)</f>
        <v>Other</v>
      </c>
    </row>
    <row r="10807" spans="1:7" x14ac:dyDescent="0.25">
      <c r="A10807">
        <v>101686</v>
      </c>
      <c r="B10807" t="s">
        <v>4</v>
      </c>
      <c r="C10807">
        <v>3</v>
      </c>
      <c r="D10807" t="s">
        <v>5</v>
      </c>
      <c r="F10807" t="str" cm="1">
        <f t="array" ref="F10807">CategorizeComment(E10807)</f>
        <v>Other</v>
      </c>
      <c r="G10807" t="str" cm="1">
        <f t="array" ref="G10807">SubCategorizeComment(E10807)</f>
        <v>Other</v>
      </c>
    </row>
    <row r="10808" spans="1:7" x14ac:dyDescent="0.25">
      <c r="A10808">
        <v>101693</v>
      </c>
      <c r="B10808" t="s">
        <v>4</v>
      </c>
      <c r="C10808">
        <v>4</v>
      </c>
      <c r="D10808" t="s">
        <v>5</v>
      </c>
      <c r="F10808" t="str" cm="1">
        <f t="array" ref="F10808">CategorizeComment(E10808)</f>
        <v>Other</v>
      </c>
      <c r="G10808" t="str" cm="1">
        <f t="array" ref="G10808">SubCategorizeComment(E10808)</f>
        <v>Other</v>
      </c>
    </row>
    <row r="10809" spans="1:7" x14ac:dyDescent="0.25">
      <c r="A10809">
        <v>101697</v>
      </c>
      <c r="B10809" t="s">
        <v>4</v>
      </c>
      <c r="C10809">
        <v>4</v>
      </c>
      <c r="D10809" t="s">
        <v>5</v>
      </c>
      <c r="F10809" t="str" cm="1">
        <f t="array" ref="F10809">CategorizeComment(E10809)</f>
        <v>Other</v>
      </c>
      <c r="G10809" t="str" cm="1">
        <f t="array" ref="G10809">SubCategorizeComment(E10809)</f>
        <v>Other</v>
      </c>
    </row>
    <row r="10810" spans="1:7" x14ac:dyDescent="0.25">
      <c r="A10810">
        <v>101698</v>
      </c>
      <c r="B10810" t="s">
        <v>4</v>
      </c>
      <c r="C10810">
        <v>4</v>
      </c>
      <c r="D10810" t="s">
        <v>5</v>
      </c>
      <c r="F10810" t="str" cm="1">
        <f t="array" ref="F10810">CategorizeComment(E10810)</f>
        <v>Other</v>
      </c>
      <c r="G10810" t="str" cm="1">
        <f t="array" ref="G10810">SubCategorizeComment(E10810)</f>
        <v>Other</v>
      </c>
    </row>
    <row r="10811" spans="1:7" x14ac:dyDescent="0.25">
      <c r="A10811">
        <v>101708</v>
      </c>
      <c r="B10811" t="s">
        <v>4</v>
      </c>
      <c r="C10811">
        <v>4</v>
      </c>
      <c r="D10811" t="s">
        <v>5</v>
      </c>
      <c r="F10811" t="str" cm="1">
        <f t="array" ref="F10811">CategorizeComment(E10811)</f>
        <v>Other</v>
      </c>
      <c r="G10811" t="str" cm="1">
        <f t="array" ref="G10811">SubCategorizeComment(E10811)</f>
        <v>Other</v>
      </c>
    </row>
    <row r="10812" spans="1:7" x14ac:dyDescent="0.25">
      <c r="A10812">
        <v>101709</v>
      </c>
      <c r="B10812" t="s">
        <v>4</v>
      </c>
      <c r="C10812">
        <v>4</v>
      </c>
      <c r="D10812" t="s">
        <v>5</v>
      </c>
      <c r="F10812" t="str" cm="1">
        <f t="array" ref="F10812">CategorizeComment(E10812)</f>
        <v>Other</v>
      </c>
      <c r="G10812" t="str" cm="1">
        <f t="array" ref="G10812">SubCategorizeComment(E10812)</f>
        <v>Other</v>
      </c>
    </row>
    <row r="10813" spans="1:7" x14ac:dyDescent="0.25">
      <c r="A10813">
        <v>101713</v>
      </c>
      <c r="B10813" t="s">
        <v>4</v>
      </c>
      <c r="C10813">
        <v>3</v>
      </c>
      <c r="D10813" t="s">
        <v>5</v>
      </c>
      <c r="F10813" t="str" cm="1">
        <f t="array" ref="F10813">CategorizeComment(E10813)</f>
        <v>Other</v>
      </c>
      <c r="G10813" t="str" cm="1">
        <f t="array" ref="G10813">SubCategorizeComment(E10813)</f>
        <v>Other</v>
      </c>
    </row>
    <row r="10814" spans="1:7" x14ac:dyDescent="0.25">
      <c r="A10814">
        <v>101715</v>
      </c>
      <c r="B10814" t="s">
        <v>4</v>
      </c>
      <c r="C10814">
        <v>4</v>
      </c>
      <c r="D10814" t="s">
        <v>5</v>
      </c>
      <c r="F10814" t="str" cm="1">
        <f t="array" ref="F10814">CategorizeComment(E10814)</f>
        <v>Other</v>
      </c>
      <c r="G10814" t="str" cm="1">
        <f t="array" ref="G10814">SubCategorizeComment(E10814)</f>
        <v>Other</v>
      </c>
    </row>
    <row r="10815" spans="1:7" x14ac:dyDescent="0.25">
      <c r="A10815">
        <v>101718</v>
      </c>
      <c r="B10815" t="s">
        <v>4</v>
      </c>
      <c r="C10815">
        <v>4</v>
      </c>
      <c r="D10815" t="s">
        <v>5</v>
      </c>
      <c r="F10815" t="str" cm="1">
        <f t="array" ref="F10815">CategorizeComment(E10815)</f>
        <v>Other</v>
      </c>
      <c r="G10815" t="str" cm="1">
        <f t="array" ref="G10815">SubCategorizeComment(E10815)</f>
        <v>Other</v>
      </c>
    </row>
    <row r="10816" spans="1:7" x14ac:dyDescent="0.25">
      <c r="A10816">
        <v>101737</v>
      </c>
      <c r="B10816" t="s">
        <v>4</v>
      </c>
      <c r="C10816">
        <v>4</v>
      </c>
      <c r="D10816" t="s">
        <v>5</v>
      </c>
      <c r="F10816" t="str" cm="1">
        <f t="array" ref="F10816">CategorizeComment(E10816)</f>
        <v>Other</v>
      </c>
      <c r="G10816" t="str" cm="1">
        <f t="array" ref="G10816">SubCategorizeComment(E10816)</f>
        <v>Other</v>
      </c>
    </row>
    <row r="10817" spans="1:7" x14ac:dyDescent="0.25">
      <c r="A10817">
        <v>101738</v>
      </c>
      <c r="B10817" t="s">
        <v>4</v>
      </c>
      <c r="C10817">
        <v>4</v>
      </c>
      <c r="D10817" t="s">
        <v>5</v>
      </c>
      <c r="F10817" t="str" cm="1">
        <f t="array" ref="F10817">CategorizeComment(E10817)</f>
        <v>Other</v>
      </c>
      <c r="G10817" t="str" cm="1">
        <f t="array" ref="G10817">SubCategorizeComment(E10817)</f>
        <v>Other</v>
      </c>
    </row>
    <row r="10818" spans="1:7" x14ac:dyDescent="0.25">
      <c r="A10818">
        <v>101753</v>
      </c>
      <c r="B10818" t="s">
        <v>4</v>
      </c>
      <c r="C10818">
        <v>4</v>
      </c>
      <c r="D10818" t="s">
        <v>5</v>
      </c>
      <c r="F10818" t="str" cm="1">
        <f t="array" ref="F10818">CategorizeComment(E10818)</f>
        <v>Other</v>
      </c>
      <c r="G10818" t="str" cm="1">
        <f t="array" ref="G10818">SubCategorizeComment(E10818)</f>
        <v>Other</v>
      </c>
    </row>
    <row r="10819" spans="1:7" x14ac:dyDescent="0.25">
      <c r="A10819">
        <v>101784</v>
      </c>
      <c r="B10819" t="s">
        <v>4</v>
      </c>
      <c r="C10819">
        <v>3</v>
      </c>
      <c r="D10819" t="s">
        <v>5</v>
      </c>
      <c r="F10819" t="str" cm="1">
        <f t="array" ref="F10819">CategorizeComment(E10819)</f>
        <v>Other</v>
      </c>
      <c r="G10819" t="str" cm="1">
        <f t="array" ref="G10819">SubCategorizeComment(E10819)</f>
        <v>Other</v>
      </c>
    </row>
    <row r="10820" spans="1:7" x14ac:dyDescent="0.25">
      <c r="A10820">
        <v>101792</v>
      </c>
      <c r="B10820" t="s">
        <v>4</v>
      </c>
      <c r="C10820">
        <v>4</v>
      </c>
      <c r="D10820" t="s">
        <v>5</v>
      </c>
      <c r="F10820" t="str" cm="1">
        <f t="array" ref="F10820">CategorizeComment(E10820)</f>
        <v>Other</v>
      </c>
      <c r="G10820" t="str" cm="1">
        <f t="array" ref="G10820">SubCategorizeComment(E10820)</f>
        <v>Other</v>
      </c>
    </row>
    <row r="10821" spans="1:7" x14ac:dyDescent="0.25">
      <c r="A10821">
        <v>101832</v>
      </c>
      <c r="B10821" t="s">
        <v>4</v>
      </c>
      <c r="C10821">
        <v>4</v>
      </c>
      <c r="D10821" t="s">
        <v>5</v>
      </c>
      <c r="F10821" t="str" cm="1">
        <f t="array" ref="F10821">CategorizeComment(E10821)</f>
        <v>Other</v>
      </c>
      <c r="G10821" t="str" cm="1">
        <f t="array" ref="G10821">SubCategorizeComment(E10821)</f>
        <v>Other</v>
      </c>
    </row>
    <row r="10822" spans="1:7" x14ac:dyDescent="0.25">
      <c r="A10822">
        <v>101854</v>
      </c>
      <c r="B10822" t="s">
        <v>4</v>
      </c>
      <c r="C10822">
        <v>3</v>
      </c>
      <c r="D10822" t="s">
        <v>5</v>
      </c>
      <c r="F10822" t="str" cm="1">
        <f t="array" ref="F10822">CategorizeComment(E10822)</f>
        <v>Other</v>
      </c>
      <c r="G10822" t="str" cm="1">
        <f t="array" ref="G10822">SubCategorizeComment(E10822)</f>
        <v>Other</v>
      </c>
    </row>
    <row r="10823" spans="1:7" x14ac:dyDescent="0.25">
      <c r="A10823">
        <v>101857</v>
      </c>
      <c r="B10823" t="s">
        <v>4</v>
      </c>
      <c r="C10823">
        <v>3</v>
      </c>
      <c r="D10823" t="s">
        <v>5</v>
      </c>
      <c r="F10823" t="str" cm="1">
        <f t="array" ref="F10823">CategorizeComment(E10823)</f>
        <v>Other</v>
      </c>
      <c r="G10823" t="str" cm="1">
        <f t="array" ref="G10823">SubCategorizeComment(E10823)</f>
        <v>Other</v>
      </c>
    </row>
    <row r="10824" spans="1:7" x14ac:dyDescent="0.25">
      <c r="A10824">
        <v>101869</v>
      </c>
      <c r="B10824" t="s">
        <v>4</v>
      </c>
      <c r="C10824">
        <v>4</v>
      </c>
      <c r="D10824" t="s">
        <v>5</v>
      </c>
      <c r="F10824" t="str" cm="1">
        <f t="array" ref="F10824">CategorizeComment(E10824)</f>
        <v>Other</v>
      </c>
      <c r="G10824" t="str" cm="1">
        <f t="array" ref="G10824">SubCategorizeComment(E10824)</f>
        <v>Other</v>
      </c>
    </row>
    <row r="10825" spans="1:7" x14ac:dyDescent="0.25">
      <c r="A10825">
        <v>101898</v>
      </c>
      <c r="B10825" t="s">
        <v>4</v>
      </c>
      <c r="C10825">
        <v>4</v>
      </c>
      <c r="D10825" t="s">
        <v>5</v>
      </c>
      <c r="F10825" t="str" cm="1">
        <f t="array" ref="F10825">CategorizeComment(E10825)</f>
        <v>Other</v>
      </c>
      <c r="G10825" t="str" cm="1">
        <f t="array" ref="G10825">SubCategorizeComment(E10825)</f>
        <v>Other</v>
      </c>
    </row>
    <row r="10826" spans="1:7" x14ac:dyDescent="0.25">
      <c r="A10826">
        <v>101899</v>
      </c>
      <c r="B10826" t="s">
        <v>4</v>
      </c>
      <c r="C10826">
        <v>3</v>
      </c>
      <c r="D10826" t="s">
        <v>5</v>
      </c>
      <c r="F10826" t="str" cm="1">
        <f t="array" ref="F10826">CategorizeComment(E10826)</f>
        <v>Other</v>
      </c>
      <c r="G10826" t="str" cm="1">
        <f t="array" ref="G10826">SubCategorizeComment(E10826)</f>
        <v>Other</v>
      </c>
    </row>
    <row r="10827" spans="1:7" x14ac:dyDescent="0.25">
      <c r="A10827">
        <v>101900</v>
      </c>
      <c r="B10827" t="s">
        <v>4</v>
      </c>
      <c r="C10827">
        <v>3</v>
      </c>
      <c r="D10827" t="s">
        <v>5</v>
      </c>
      <c r="F10827" t="str" cm="1">
        <f t="array" ref="F10827">CategorizeComment(E10827)</f>
        <v>Other</v>
      </c>
      <c r="G10827" t="str" cm="1">
        <f t="array" ref="G10827">SubCategorizeComment(E10827)</f>
        <v>Other</v>
      </c>
    </row>
    <row r="10828" spans="1:7" x14ac:dyDescent="0.25">
      <c r="A10828">
        <v>101903</v>
      </c>
      <c r="B10828" t="s">
        <v>4</v>
      </c>
      <c r="C10828">
        <v>3</v>
      </c>
      <c r="D10828" t="s">
        <v>5</v>
      </c>
      <c r="F10828" t="str" cm="1">
        <f t="array" ref="F10828">CategorizeComment(E10828)</f>
        <v>Other</v>
      </c>
      <c r="G10828" t="str" cm="1">
        <f t="array" ref="G10828">SubCategorizeComment(E10828)</f>
        <v>Other</v>
      </c>
    </row>
    <row r="10829" spans="1:7" x14ac:dyDescent="0.25">
      <c r="A10829">
        <v>101911</v>
      </c>
      <c r="B10829" t="s">
        <v>4</v>
      </c>
      <c r="C10829">
        <v>4</v>
      </c>
      <c r="D10829" t="s">
        <v>5</v>
      </c>
      <c r="F10829" t="str" cm="1">
        <f t="array" ref="F10829">CategorizeComment(E10829)</f>
        <v>Other</v>
      </c>
      <c r="G10829" t="str" cm="1">
        <f t="array" ref="G10829">SubCategorizeComment(E10829)</f>
        <v>Other</v>
      </c>
    </row>
    <row r="10830" spans="1:7" x14ac:dyDescent="0.25">
      <c r="A10830">
        <v>101912</v>
      </c>
      <c r="B10830" t="s">
        <v>4</v>
      </c>
      <c r="C10830">
        <v>3</v>
      </c>
      <c r="D10830" t="s">
        <v>5</v>
      </c>
      <c r="F10830" t="str" cm="1">
        <f t="array" ref="F10830">CategorizeComment(E10830)</f>
        <v>Other</v>
      </c>
      <c r="G10830" t="str" cm="1">
        <f t="array" ref="G10830">SubCategorizeComment(E10830)</f>
        <v>Other</v>
      </c>
    </row>
    <row r="10831" spans="1:7" x14ac:dyDescent="0.25">
      <c r="A10831">
        <v>101920</v>
      </c>
      <c r="B10831" t="s">
        <v>4</v>
      </c>
      <c r="C10831">
        <v>3</v>
      </c>
      <c r="D10831" t="s">
        <v>5</v>
      </c>
      <c r="F10831" t="str" cm="1">
        <f t="array" ref="F10831">CategorizeComment(E10831)</f>
        <v>Other</v>
      </c>
      <c r="G10831" t="str" cm="1">
        <f t="array" ref="G10831">SubCategorizeComment(E10831)</f>
        <v>Other</v>
      </c>
    </row>
    <row r="10832" spans="1:7" x14ac:dyDescent="0.25">
      <c r="A10832">
        <v>101921</v>
      </c>
      <c r="B10832" t="s">
        <v>4</v>
      </c>
      <c r="C10832">
        <v>3</v>
      </c>
      <c r="D10832" t="s">
        <v>5</v>
      </c>
      <c r="F10832" t="str" cm="1">
        <f t="array" ref="F10832">CategorizeComment(E10832)</f>
        <v>Other</v>
      </c>
      <c r="G10832" t="str" cm="1">
        <f t="array" ref="G10832">SubCategorizeComment(E10832)</f>
        <v>Other</v>
      </c>
    </row>
    <row r="10833" spans="1:7" x14ac:dyDescent="0.25">
      <c r="A10833">
        <v>101922</v>
      </c>
      <c r="B10833" t="s">
        <v>4</v>
      </c>
      <c r="C10833">
        <v>4</v>
      </c>
      <c r="D10833" t="s">
        <v>5</v>
      </c>
      <c r="F10833" t="str" cm="1">
        <f t="array" ref="F10833">CategorizeComment(E10833)</f>
        <v>Other</v>
      </c>
      <c r="G10833" t="str" cm="1">
        <f t="array" ref="G10833">SubCategorizeComment(E10833)</f>
        <v>Other</v>
      </c>
    </row>
    <row r="10834" spans="1:7" x14ac:dyDescent="0.25">
      <c r="A10834">
        <v>101932</v>
      </c>
      <c r="B10834" t="s">
        <v>4</v>
      </c>
      <c r="C10834">
        <v>4</v>
      </c>
      <c r="D10834" t="s">
        <v>5</v>
      </c>
      <c r="F10834" t="str" cm="1">
        <f t="array" ref="F10834">CategorizeComment(E10834)</f>
        <v>Other</v>
      </c>
      <c r="G10834" t="str" cm="1">
        <f t="array" ref="G10834">SubCategorizeComment(E10834)</f>
        <v>Other</v>
      </c>
    </row>
    <row r="10835" spans="1:7" x14ac:dyDescent="0.25">
      <c r="A10835">
        <v>101955</v>
      </c>
      <c r="B10835" t="s">
        <v>4</v>
      </c>
      <c r="C10835">
        <v>4</v>
      </c>
      <c r="D10835" t="s">
        <v>5</v>
      </c>
      <c r="F10835" t="str" cm="1">
        <f t="array" ref="F10835">CategorizeComment(E10835)</f>
        <v>Other</v>
      </c>
      <c r="G10835" t="str" cm="1">
        <f t="array" ref="G10835">SubCategorizeComment(E10835)</f>
        <v>Other</v>
      </c>
    </row>
    <row r="10836" spans="1:7" x14ac:dyDescent="0.25">
      <c r="A10836">
        <v>101964</v>
      </c>
      <c r="B10836" t="s">
        <v>4</v>
      </c>
      <c r="C10836">
        <v>4</v>
      </c>
      <c r="D10836" t="s">
        <v>5</v>
      </c>
      <c r="F10836" t="str" cm="1">
        <f t="array" ref="F10836">CategorizeComment(E10836)</f>
        <v>Other</v>
      </c>
      <c r="G10836" t="str" cm="1">
        <f t="array" ref="G10836">SubCategorizeComment(E10836)</f>
        <v>Other</v>
      </c>
    </row>
    <row r="10837" spans="1:7" x14ac:dyDescent="0.25">
      <c r="A10837">
        <v>101969</v>
      </c>
      <c r="B10837" t="s">
        <v>4</v>
      </c>
      <c r="C10837">
        <v>3</v>
      </c>
      <c r="D10837" t="s">
        <v>5</v>
      </c>
      <c r="F10837" t="str" cm="1">
        <f t="array" ref="F10837">CategorizeComment(E10837)</f>
        <v>Other</v>
      </c>
      <c r="G10837" t="str" cm="1">
        <f t="array" ref="G10837">SubCategorizeComment(E10837)</f>
        <v>Other</v>
      </c>
    </row>
    <row r="10838" spans="1:7" x14ac:dyDescent="0.25">
      <c r="A10838">
        <v>101970</v>
      </c>
      <c r="B10838" t="s">
        <v>4</v>
      </c>
      <c r="C10838">
        <v>3</v>
      </c>
      <c r="D10838" t="s">
        <v>5</v>
      </c>
      <c r="F10838" t="str" cm="1">
        <f t="array" ref="F10838">CategorizeComment(E10838)</f>
        <v>Other</v>
      </c>
      <c r="G10838" t="str" cm="1">
        <f t="array" ref="G10838">SubCategorizeComment(E10838)</f>
        <v>Other</v>
      </c>
    </row>
    <row r="10839" spans="1:7" x14ac:dyDescent="0.25">
      <c r="A10839">
        <v>101977</v>
      </c>
      <c r="B10839" t="s">
        <v>4</v>
      </c>
      <c r="C10839">
        <v>4</v>
      </c>
      <c r="D10839" t="s">
        <v>5</v>
      </c>
      <c r="F10839" t="str" cm="1">
        <f t="array" ref="F10839">CategorizeComment(E10839)</f>
        <v>Other</v>
      </c>
      <c r="G10839" t="str" cm="1">
        <f t="array" ref="G10839">SubCategorizeComment(E10839)</f>
        <v>Other</v>
      </c>
    </row>
    <row r="10840" spans="1:7" x14ac:dyDescent="0.25">
      <c r="A10840">
        <v>101998</v>
      </c>
      <c r="B10840" t="s">
        <v>4</v>
      </c>
      <c r="C10840">
        <v>3</v>
      </c>
      <c r="D10840" t="s">
        <v>5</v>
      </c>
      <c r="F10840" t="str" cm="1">
        <f t="array" ref="F10840">CategorizeComment(E10840)</f>
        <v>Other</v>
      </c>
      <c r="G10840" t="str" cm="1">
        <f t="array" ref="G10840">SubCategorizeComment(E10840)</f>
        <v>Other</v>
      </c>
    </row>
    <row r="10841" spans="1:7" x14ac:dyDescent="0.25">
      <c r="A10841">
        <v>102004</v>
      </c>
      <c r="B10841" t="s">
        <v>4</v>
      </c>
      <c r="C10841">
        <v>4</v>
      </c>
      <c r="D10841" t="s">
        <v>5</v>
      </c>
      <c r="F10841" t="str" cm="1">
        <f t="array" ref="F10841">CategorizeComment(E10841)</f>
        <v>Other</v>
      </c>
      <c r="G10841" t="str" cm="1">
        <f t="array" ref="G10841">SubCategorizeComment(E10841)</f>
        <v>Other</v>
      </c>
    </row>
    <row r="10842" spans="1:7" x14ac:dyDescent="0.25">
      <c r="A10842">
        <v>102033</v>
      </c>
      <c r="B10842" t="s">
        <v>4</v>
      </c>
      <c r="C10842">
        <v>3</v>
      </c>
      <c r="D10842" t="s">
        <v>5</v>
      </c>
      <c r="F10842" t="str" cm="1">
        <f t="array" ref="F10842">CategorizeComment(E10842)</f>
        <v>Other</v>
      </c>
      <c r="G10842" t="str" cm="1">
        <f t="array" ref="G10842">SubCategorizeComment(E10842)</f>
        <v>Other</v>
      </c>
    </row>
    <row r="10843" spans="1:7" x14ac:dyDescent="0.25">
      <c r="A10843">
        <v>102041</v>
      </c>
      <c r="B10843" t="s">
        <v>4</v>
      </c>
      <c r="C10843">
        <v>3</v>
      </c>
      <c r="D10843" t="s">
        <v>5</v>
      </c>
      <c r="F10843" t="str" cm="1">
        <f t="array" ref="F10843">CategorizeComment(E10843)</f>
        <v>Other</v>
      </c>
      <c r="G10843" t="str" cm="1">
        <f t="array" ref="G10843">SubCategorizeComment(E10843)</f>
        <v>Other</v>
      </c>
    </row>
    <row r="10844" spans="1:7" x14ac:dyDescent="0.25">
      <c r="A10844">
        <v>102042</v>
      </c>
      <c r="B10844" t="s">
        <v>4</v>
      </c>
      <c r="C10844">
        <v>4</v>
      </c>
      <c r="D10844" t="s">
        <v>5</v>
      </c>
      <c r="F10844" t="str" cm="1">
        <f t="array" ref="F10844">CategorizeComment(E10844)</f>
        <v>Other</v>
      </c>
      <c r="G10844" t="str" cm="1">
        <f t="array" ref="G10844">SubCategorizeComment(E10844)</f>
        <v>Other</v>
      </c>
    </row>
    <row r="10845" spans="1:7" x14ac:dyDescent="0.25">
      <c r="A10845">
        <v>102045</v>
      </c>
      <c r="B10845" t="s">
        <v>4</v>
      </c>
      <c r="C10845">
        <v>3</v>
      </c>
      <c r="D10845" t="s">
        <v>5</v>
      </c>
      <c r="F10845" t="str" cm="1">
        <f t="array" ref="F10845">CategorizeComment(E10845)</f>
        <v>Other</v>
      </c>
      <c r="G10845" t="str" cm="1">
        <f t="array" ref="G10845">SubCategorizeComment(E10845)</f>
        <v>Other</v>
      </c>
    </row>
    <row r="10846" spans="1:7" x14ac:dyDescent="0.25">
      <c r="A10846">
        <v>102047</v>
      </c>
      <c r="B10846" t="s">
        <v>4</v>
      </c>
      <c r="C10846">
        <v>4</v>
      </c>
      <c r="D10846" t="s">
        <v>5</v>
      </c>
      <c r="F10846" t="str" cm="1">
        <f t="array" ref="F10846">CategorizeComment(E10846)</f>
        <v>Other</v>
      </c>
      <c r="G10846" t="str" cm="1">
        <f t="array" ref="G10846">SubCategorizeComment(E10846)</f>
        <v>Other</v>
      </c>
    </row>
    <row r="10847" spans="1:7" x14ac:dyDescent="0.25">
      <c r="A10847">
        <v>102052</v>
      </c>
      <c r="B10847" t="s">
        <v>4</v>
      </c>
      <c r="C10847">
        <v>3</v>
      </c>
      <c r="D10847" t="s">
        <v>5</v>
      </c>
      <c r="F10847" t="str" cm="1">
        <f t="array" ref="F10847">CategorizeComment(E10847)</f>
        <v>Other</v>
      </c>
      <c r="G10847" t="str" cm="1">
        <f t="array" ref="G10847">SubCategorizeComment(E10847)</f>
        <v>Other</v>
      </c>
    </row>
    <row r="10848" spans="1:7" x14ac:dyDescent="0.25">
      <c r="A10848">
        <v>102057</v>
      </c>
      <c r="B10848" t="s">
        <v>4</v>
      </c>
      <c r="C10848">
        <v>3</v>
      </c>
      <c r="D10848" t="s">
        <v>5</v>
      </c>
      <c r="F10848" t="str" cm="1">
        <f t="array" ref="F10848">CategorizeComment(E10848)</f>
        <v>Other</v>
      </c>
      <c r="G10848" t="str" cm="1">
        <f t="array" ref="G10848">SubCategorizeComment(E10848)</f>
        <v>Other</v>
      </c>
    </row>
    <row r="10849" spans="1:7" x14ac:dyDescent="0.25">
      <c r="A10849">
        <v>102064</v>
      </c>
      <c r="B10849" t="s">
        <v>4</v>
      </c>
      <c r="C10849">
        <v>4</v>
      </c>
      <c r="D10849" t="s">
        <v>5</v>
      </c>
      <c r="F10849" t="str" cm="1">
        <f t="array" ref="F10849">CategorizeComment(E10849)</f>
        <v>Other</v>
      </c>
      <c r="G10849" t="str" cm="1">
        <f t="array" ref="G10849">SubCategorizeComment(E10849)</f>
        <v>Other</v>
      </c>
    </row>
    <row r="10850" spans="1:7" x14ac:dyDescent="0.25">
      <c r="A10850">
        <v>102102</v>
      </c>
      <c r="B10850" t="s">
        <v>4</v>
      </c>
      <c r="C10850">
        <v>3</v>
      </c>
      <c r="D10850" t="s">
        <v>5</v>
      </c>
      <c r="F10850" t="str" cm="1">
        <f t="array" ref="F10850">CategorizeComment(E10850)</f>
        <v>Other</v>
      </c>
      <c r="G10850" t="str" cm="1">
        <f t="array" ref="G10850">SubCategorizeComment(E10850)</f>
        <v>Other</v>
      </c>
    </row>
    <row r="10851" spans="1:7" x14ac:dyDescent="0.25">
      <c r="A10851">
        <v>102193</v>
      </c>
      <c r="B10851" t="s">
        <v>4</v>
      </c>
      <c r="C10851">
        <v>4</v>
      </c>
      <c r="D10851" t="s">
        <v>5</v>
      </c>
      <c r="F10851" t="str" cm="1">
        <f t="array" ref="F10851">CategorizeComment(E10851)</f>
        <v>Other</v>
      </c>
      <c r="G10851" t="str" cm="1">
        <f t="array" ref="G10851">SubCategorizeComment(E10851)</f>
        <v>Other</v>
      </c>
    </row>
    <row r="10852" spans="1:7" x14ac:dyDescent="0.25">
      <c r="A10852">
        <v>102211</v>
      </c>
      <c r="B10852" t="s">
        <v>4</v>
      </c>
      <c r="C10852">
        <v>3</v>
      </c>
      <c r="D10852" t="s">
        <v>5</v>
      </c>
      <c r="F10852" t="str" cm="1">
        <f t="array" ref="F10852">CategorizeComment(E10852)</f>
        <v>Other</v>
      </c>
      <c r="G10852" t="str" cm="1">
        <f t="array" ref="G10852">SubCategorizeComment(E10852)</f>
        <v>Other</v>
      </c>
    </row>
    <row r="10853" spans="1:7" x14ac:dyDescent="0.25">
      <c r="A10853">
        <v>102213</v>
      </c>
      <c r="B10853" t="s">
        <v>4</v>
      </c>
      <c r="C10853">
        <v>3</v>
      </c>
      <c r="D10853" t="s">
        <v>5</v>
      </c>
      <c r="F10853" t="str" cm="1">
        <f t="array" ref="F10853">CategorizeComment(E10853)</f>
        <v>Other</v>
      </c>
      <c r="G10853" t="str" cm="1">
        <f t="array" ref="G10853">SubCategorizeComment(E10853)</f>
        <v>Other</v>
      </c>
    </row>
    <row r="10854" spans="1:7" x14ac:dyDescent="0.25">
      <c r="A10854">
        <v>102217</v>
      </c>
      <c r="B10854" t="s">
        <v>4</v>
      </c>
      <c r="C10854">
        <v>4</v>
      </c>
      <c r="D10854" t="s">
        <v>5</v>
      </c>
      <c r="F10854" t="str" cm="1">
        <f t="array" ref="F10854">CategorizeComment(E10854)</f>
        <v>Other</v>
      </c>
      <c r="G10854" t="str" cm="1">
        <f t="array" ref="G10854">SubCategorizeComment(E10854)</f>
        <v>Other</v>
      </c>
    </row>
    <row r="10855" spans="1:7" x14ac:dyDescent="0.25">
      <c r="A10855">
        <v>102218</v>
      </c>
      <c r="B10855" t="s">
        <v>4</v>
      </c>
      <c r="C10855">
        <v>4</v>
      </c>
      <c r="D10855" t="s">
        <v>5</v>
      </c>
      <c r="F10855" t="str" cm="1">
        <f t="array" ref="F10855">CategorizeComment(E10855)</f>
        <v>Other</v>
      </c>
      <c r="G10855" t="str" cm="1">
        <f t="array" ref="G10855">SubCategorizeComment(E10855)</f>
        <v>Other</v>
      </c>
    </row>
    <row r="10856" spans="1:7" x14ac:dyDescent="0.25">
      <c r="A10856">
        <v>102224</v>
      </c>
      <c r="B10856" t="s">
        <v>4</v>
      </c>
      <c r="C10856">
        <v>3</v>
      </c>
      <c r="D10856" t="s">
        <v>5</v>
      </c>
      <c r="F10856" t="str" cm="1">
        <f t="array" ref="F10856">CategorizeComment(E10856)</f>
        <v>Other</v>
      </c>
      <c r="G10856" t="str" cm="1">
        <f t="array" ref="G10856">SubCategorizeComment(E10856)</f>
        <v>Other</v>
      </c>
    </row>
    <row r="10857" spans="1:7" x14ac:dyDescent="0.25">
      <c r="A10857">
        <v>102234</v>
      </c>
      <c r="B10857" t="s">
        <v>4</v>
      </c>
      <c r="C10857">
        <v>3</v>
      </c>
      <c r="D10857" t="s">
        <v>5</v>
      </c>
      <c r="F10857" t="str" cm="1">
        <f t="array" ref="F10857">CategorizeComment(E10857)</f>
        <v>Other</v>
      </c>
      <c r="G10857" t="str" cm="1">
        <f t="array" ref="G10857">SubCategorizeComment(E10857)</f>
        <v>Other</v>
      </c>
    </row>
    <row r="10858" spans="1:7" x14ac:dyDescent="0.25">
      <c r="A10858">
        <v>102238</v>
      </c>
      <c r="B10858" t="s">
        <v>4</v>
      </c>
      <c r="C10858">
        <v>3</v>
      </c>
      <c r="D10858" t="s">
        <v>5</v>
      </c>
      <c r="F10858" t="str" cm="1">
        <f t="array" ref="F10858">CategorizeComment(E10858)</f>
        <v>Other</v>
      </c>
      <c r="G10858" t="str" cm="1">
        <f t="array" ref="G10858">SubCategorizeComment(E10858)</f>
        <v>Other</v>
      </c>
    </row>
    <row r="10859" spans="1:7" x14ac:dyDescent="0.25">
      <c r="A10859">
        <v>102266</v>
      </c>
      <c r="B10859" t="s">
        <v>4</v>
      </c>
      <c r="C10859">
        <v>4</v>
      </c>
      <c r="D10859" t="s">
        <v>5</v>
      </c>
      <c r="F10859" t="str" cm="1">
        <f t="array" ref="F10859">CategorizeComment(E10859)</f>
        <v>Other</v>
      </c>
      <c r="G10859" t="str" cm="1">
        <f t="array" ref="G10859">SubCategorizeComment(E10859)</f>
        <v>Other</v>
      </c>
    </row>
    <row r="10860" spans="1:7" x14ac:dyDescent="0.25">
      <c r="A10860">
        <v>102276</v>
      </c>
      <c r="B10860" t="s">
        <v>4</v>
      </c>
      <c r="C10860">
        <v>3</v>
      </c>
      <c r="D10860" t="s">
        <v>5</v>
      </c>
      <c r="F10860" t="str" cm="1">
        <f t="array" ref="F10860">CategorizeComment(E10860)</f>
        <v>Other</v>
      </c>
      <c r="G10860" t="str" cm="1">
        <f t="array" ref="G10860">SubCategorizeComment(E10860)</f>
        <v>Other</v>
      </c>
    </row>
    <row r="10861" spans="1:7" x14ac:dyDescent="0.25">
      <c r="A10861">
        <v>102278</v>
      </c>
      <c r="B10861" t="s">
        <v>4</v>
      </c>
      <c r="C10861">
        <v>4</v>
      </c>
      <c r="D10861" t="s">
        <v>5</v>
      </c>
      <c r="F10861" t="str" cm="1">
        <f t="array" ref="F10861">CategorizeComment(E10861)</f>
        <v>Other</v>
      </c>
      <c r="G10861" t="str" cm="1">
        <f t="array" ref="G10861">SubCategorizeComment(E10861)</f>
        <v>Other</v>
      </c>
    </row>
    <row r="10862" spans="1:7" x14ac:dyDescent="0.25">
      <c r="A10862">
        <v>102283</v>
      </c>
      <c r="B10862" t="s">
        <v>4</v>
      </c>
      <c r="C10862">
        <v>3</v>
      </c>
      <c r="D10862" t="s">
        <v>5</v>
      </c>
      <c r="F10862" t="str" cm="1">
        <f t="array" ref="F10862">CategorizeComment(E10862)</f>
        <v>Other</v>
      </c>
      <c r="G10862" t="str" cm="1">
        <f t="array" ref="G10862">SubCategorizeComment(E10862)</f>
        <v>Other</v>
      </c>
    </row>
    <row r="10863" spans="1:7" x14ac:dyDescent="0.25">
      <c r="A10863">
        <v>102288</v>
      </c>
      <c r="B10863" t="s">
        <v>4</v>
      </c>
      <c r="C10863">
        <v>4</v>
      </c>
      <c r="D10863" t="s">
        <v>5</v>
      </c>
      <c r="F10863" t="str" cm="1">
        <f t="array" ref="F10863">CategorizeComment(E10863)</f>
        <v>Other</v>
      </c>
      <c r="G10863" t="str" cm="1">
        <f t="array" ref="G10863">SubCategorizeComment(E10863)</f>
        <v>Other</v>
      </c>
    </row>
    <row r="10864" spans="1:7" x14ac:dyDescent="0.25">
      <c r="A10864">
        <v>102291</v>
      </c>
      <c r="B10864" t="s">
        <v>4</v>
      </c>
      <c r="C10864">
        <v>4</v>
      </c>
      <c r="D10864" t="s">
        <v>5</v>
      </c>
      <c r="F10864" t="str" cm="1">
        <f t="array" ref="F10864">CategorizeComment(E10864)</f>
        <v>Other</v>
      </c>
      <c r="G10864" t="str" cm="1">
        <f t="array" ref="G10864">SubCategorizeComment(E10864)</f>
        <v>Other</v>
      </c>
    </row>
    <row r="10865" spans="1:7" x14ac:dyDescent="0.25">
      <c r="A10865">
        <v>102296</v>
      </c>
      <c r="B10865" t="s">
        <v>4</v>
      </c>
      <c r="C10865">
        <v>3</v>
      </c>
      <c r="D10865" t="s">
        <v>5</v>
      </c>
      <c r="F10865" t="str" cm="1">
        <f t="array" ref="F10865">CategorizeComment(E10865)</f>
        <v>Other</v>
      </c>
      <c r="G10865" t="str" cm="1">
        <f t="array" ref="G10865">SubCategorizeComment(E10865)</f>
        <v>Other</v>
      </c>
    </row>
    <row r="10866" spans="1:7" x14ac:dyDescent="0.25">
      <c r="A10866">
        <v>102315</v>
      </c>
      <c r="B10866" t="s">
        <v>4</v>
      </c>
      <c r="C10866">
        <v>3</v>
      </c>
      <c r="D10866" t="s">
        <v>5</v>
      </c>
      <c r="F10866" t="str" cm="1">
        <f t="array" ref="F10866">CategorizeComment(E10866)</f>
        <v>Other</v>
      </c>
      <c r="G10866" t="str" cm="1">
        <f t="array" ref="G10866">SubCategorizeComment(E10866)</f>
        <v>Other</v>
      </c>
    </row>
    <row r="10867" spans="1:7" x14ac:dyDescent="0.25">
      <c r="A10867">
        <v>102326</v>
      </c>
      <c r="B10867" t="s">
        <v>4</v>
      </c>
      <c r="C10867">
        <v>4</v>
      </c>
      <c r="D10867" t="s">
        <v>5</v>
      </c>
      <c r="F10867" t="str" cm="1">
        <f t="array" ref="F10867">CategorizeComment(E10867)</f>
        <v>Other</v>
      </c>
      <c r="G10867" t="str" cm="1">
        <f t="array" ref="G10867">SubCategorizeComment(E10867)</f>
        <v>Other</v>
      </c>
    </row>
    <row r="10868" spans="1:7" x14ac:dyDescent="0.25">
      <c r="A10868">
        <v>102327</v>
      </c>
      <c r="B10868" t="s">
        <v>4</v>
      </c>
      <c r="C10868">
        <v>3</v>
      </c>
      <c r="D10868" t="s">
        <v>5</v>
      </c>
      <c r="F10868" t="str" cm="1">
        <f t="array" ref="F10868">CategorizeComment(E10868)</f>
        <v>Other</v>
      </c>
      <c r="G10868" t="str" cm="1">
        <f t="array" ref="G10868">SubCategorizeComment(E10868)</f>
        <v>Other</v>
      </c>
    </row>
    <row r="10869" spans="1:7" x14ac:dyDescent="0.25">
      <c r="A10869">
        <v>102330</v>
      </c>
      <c r="B10869" t="s">
        <v>4</v>
      </c>
      <c r="C10869">
        <v>3</v>
      </c>
      <c r="D10869" t="s">
        <v>5</v>
      </c>
      <c r="F10869" t="str" cm="1">
        <f t="array" ref="F10869">CategorizeComment(E10869)</f>
        <v>Other</v>
      </c>
      <c r="G10869" t="str" cm="1">
        <f t="array" ref="G10869">SubCategorizeComment(E10869)</f>
        <v>Other</v>
      </c>
    </row>
    <row r="10870" spans="1:7" x14ac:dyDescent="0.25">
      <c r="A10870">
        <v>102334</v>
      </c>
      <c r="B10870" t="s">
        <v>4</v>
      </c>
      <c r="C10870">
        <v>4</v>
      </c>
      <c r="D10870" t="s">
        <v>5</v>
      </c>
      <c r="F10870" t="str" cm="1">
        <f t="array" ref="F10870">CategorizeComment(E10870)</f>
        <v>Other</v>
      </c>
      <c r="G10870" t="str" cm="1">
        <f t="array" ref="G10870">SubCategorizeComment(E10870)</f>
        <v>Other</v>
      </c>
    </row>
    <row r="10871" spans="1:7" x14ac:dyDescent="0.25">
      <c r="A10871">
        <v>102345</v>
      </c>
      <c r="B10871" t="s">
        <v>4</v>
      </c>
      <c r="C10871">
        <v>3</v>
      </c>
      <c r="D10871" t="s">
        <v>5</v>
      </c>
      <c r="F10871" t="str" cm="1">
        <f t="array" ref="F10871">CategorizeComment(E10871)</f>
        <v>Other</v>
      </c>
      <c r="G10871" t="str" cm="1">
        <f t="array" ref="G10871">SubCategorizeComment(E10871)</f>
        <v>Other</v>
      </c>
    </row>
    <row r="10872" spans="1:7" x14ac:dyDescent="0.25">
      <c r="A10872">
        <v>102348</v>
      </c>
      <c r="B10872" t="s">
        <v>4</v>
      </c>
      <c r="C10872">
        <v>4</v>
      </c>
      <c r="D10872" t="s">
        <v>5</v>
      </c>
      <c r="F10872" t="str" cm="1">
        <f t="array" ref="F10872">CategorizeComment(E10872)</f>
        <v>Other</v>
      </c>
      <c r="G10872" t="str" cm="1">
        <f t="array" ref="G10872">SubCategorizeComment(E10872)</f>
        <v>Other</v>
      </c>
    </row>
    <row r="10873" spans="1:7" x14ac:dyDescent="0.25">
      <c r="A10873">
        <v>102349</v>
      </c>
      <c r="B10873" t="s">
        <v>4</v>
      </c>
      <c r="C10873">
        <v>4</v>
      </c>
      <c r="D10873" t="s">
        <v>5</v>
      </c>
      <c r="F10873" t="str" cm="1">
        <f t="array" ref="F10873">CategorizeComment(E10873)</f>
        <v>Other</v>
      </c>
      <c r="G10873" t="str" cm="1">
        <f t="array" ref="G10873">SubCategorizeComment(E10873)</f>
        <v>Other</v>
      </c>
    </row>
    <row r="10874" spans="1:7" x14ac:dyDescent="0.25">
      <c r="A10874">
        <v>102361</v>
      </c>
      <c r="B10874" t="s">
        <v>4</v>
      </c>
      <c r="C10874">
        <v>3</v>
      </c>
      <c r="D10874" t="s">
        <v>5</v>
      </c>
      <c r="F10874" t="str" cm="1">
        <f t="array" ref="F10874">CategorizeComment(E10874)</f>
        <v>Other</v>
      </c>
      <c r="G10874" t="str" cm="1">
        <f t="array" ref="G10874">SubCategorizeComment(E10874)</f>
        <v>Other</v>
      </c>
    </row>
    <row r="10875" spans="1:7" x14ac:dyDescent="0.25">
      <c r="A10875">
        <v>102362</v>
      </c>
      <c r="B10875" t="s">
        <v>4</v>
      </c>
      <c r="C10875">
        <v>4</v>
      </c>
      <c r="D10875" t="s">
        <v>5</v>
      </c>
      <c r="F10875" t="str" cm="1">
        <f t="array" ref="F10875">CategorizeComment(E10875)</f>
        <v>Other</v>
      </c>
      <c r="G10875" t="str" cm="1">
        <f t="array" ref="G10875">SubCategorizeComment(E10875)</f>
        <v>Other</v>
      </c>
    </row>
    <row r="10876" spans="1:7" x14ac:dyDescent="0.25">
      <c r="A10876">
        <v>102379</v>
      </c>
      <c r="B10876" t="s">
        <v>4</v>
      </c>
      <c r="C10876">
        <v>3</v>
      </c>
      <c r="D10876" t="s">
        <v>5</v>
      </c>
      <c r="F10876" t="str" cm="1">
        <f t="array" ref="F10876">CategorizeComment(E10876)</f>
        <v>Other</v>
      </c>
      <c r="G10876" t="str" cm="1">
        <f t="array" ref="G10876">SubCategorizeComment(E10876)</f>
        <v>Other</v>
      </c>
    </row>
    <row r="10877" spans="1:7" x14ac:dyDescent="0.25">
      <c r="A10877">
        <v>102381</v>
      </c>
      <c r="B10877" t="s">
        <v>4</v>
      </c>
      <c r="C10877">
        <v>3</v>
      </c>
      <c r="D10877" t="s">
        <v>5</v>
      </c>
      <c r="F10877" t="str" cm="1">
        <f t="array" ref="F10877">CategorizeComment(E10877)</f>
        <v>Other</v>
      </c>
      <c r="G10877" t="str" cm="1">
        <f t="array" ref="G10877">SubCategorizeComment(E10877)</f>
        <v>Other</v>
      </c>
    </row>
    <row r="10878" spans="1:7" x14ac:dyDescent="0.25">
      <c r="A10878">
        <v>102386</v>
      </c>
      <c r="B10878" t="s">
        <v>4</v>
      </c>
      <c r="C10878">
        <v>4</v>
      </c>
      <c r="D10878" t="s">
        <v>5</v>
      </c>
      <c r="F10878" t="str" cm="1">
        <f t="array" ref="F10878">CategorizeComment(E10878)</f>
        <v>Other</v>
      </c>
      <c r="G10878" t="str" cm="1">
        <f t="array" ref="G10878">SubCategorizeComment(E10878)</f>
        <v>Other</v>
      </c>
    </row>
    <row r="10879" spans="1:7" x14ac:dyDescent="0.25">
      <c r="A10879">
        <v>102391</v>
      </c>
      <c r="B10879" t="s">
        <v>4</v>
      </c>
      <c r="C10879">
        <v>4</v>
      </c>
      <c r="D10879" t="s">
        <v>5</v>
      </c>
      <c r="F10879" t="str" cm="1">
        <f t="array" ref="F10879">CategorizeComment(E10879)</f>
        <v>Other</v>
      </c>
      <c r="G10879" t="str" cm="1">
        <f t="array" ref="G10879">SubCategorizeComment(E10879)</f>
        <v>Other</v>
      </c>
    </row>
    <row r="10880" spans="1:7" x14ac:dyDescent="0.25">
      <c r="A10880">
        <v>102421</v>
      </c>
      <c r="B10880" t="s">
        <v>4</v>
      </c>
      <c r="C10880">
        <v>4</v>
      </c>
      <c r="D10880" t="s">
        <v>5</v>
      </c>
      <c r="F10880" t="str" cm="1">
        <f t="array" ref="F10880">CategorizeComment(E10880)</f>
        <v>Other</v>
      </c>
      <c r="G10880" t="str" cm="1">
        <f t="array" ref="G10880">SubCategorizeComment(E10880)</f>
        <v>Other</v>
      </c>
    </row>
    <row r="10881" spans="1:7" x14ac:dyDescent="0.25">
      <c r="A10881">
        <v>102427</v>
      </c>
      <c r="B10881" t="s">
        <v>4</v>
      </c>
      <c r="C10881">
        <v>3</v>
      </c>
      <c r="D10881" t="s">
        <v>5</v>
      </c>
      <c r="F10881" t="str" cm="1">
        <f t="array" ref="F10881">CategorizeComment(E10881)</f>
        <v>Other</v>
      </c>
      <c r="G10881" t="str" cm="1">
        <f t="array" ref="G10881">SubCategorizeComment(E10881)</f>
        <v>Other</v>
      </c>
    </row>
    <row r="10882" spans="1:7" x14ac:dyDescent="0.25">
      <c r="A10882">
        <v>102429</v>
      </c>
      <c r="B10882" t="s">
        <v>4</v>
      </c>
      <c r="C10882">
        <v>4</v>
      </c>
      <c r="D10882" t="s">
        <v>5</v>
      </c>
      <c r="F10882" t="str" cm="1">
        <f t="array" ref="F10882">CategorizeComment(E10882)</f>
        <v>Other</v>
      </c>
      <c r="G10882" t="str" cm="1">
        <f t="array" ref="G10882">SubCategorizeComment(E10882)</f>
        <v>Other</v>
      </c>
    </row>
    <row r="10883" spans="1:7" x14ac:dyDescent="0.25">
      <c r="A10883">
        <v>102434</v>
      </c>
      <c r="B10883" t="s">
        <v>4</v>
      </c>
      <c r="C10883">
        <v>4</v>
      </c>
      <c r="D10883" t="s">
        <v>5</v>
      </c>
      <c r="F10883" t="str" cm="1">
        <f t="array" ref="F10883">CategorizeComment(E10883)</f>
        <v>Other</v>
      </c>
      <c r="G10883" t="str" cm="1">
        <f t="array" ref="G10883">SubCategorizeComment(E10883)</f>
        <v>Other</v>
      </c>
    </row>
    <row r="10884" spans="1:7" x14ac:dyDescent="0.25">
      <c r="A10884">
        <v>102438</v>
      </c>
      <c r="B10884" t="s">
        <v>4</v>
      </c>
      <c r="C10884">
        <v>4</v>
      </c>
      <c r="D10884" t="s">
        <v>5</v>
      </c>
      <c r="F10884" t="str" cm="1">
        <f t="array" ref="F10884">CategorizeComment(E10884)</f>
        <v>Other</v>
      </c>
      <c r="G10884" t="str" cm="1">
        <f t="array" ref="G10884">SubCategorizeComment(E10884)</f>
        <v>Other</v>
      </c>
    </row>
    <row r="10885" spans="1:7" x14ac:dyDescent="0.25">
      <c r="A10885">
        <v>102469</v>
      </c>
      <c r="B10885" t="s">
        <v>4</v>
      </c>
      <c r="C10885">
        <v>4</v>
      </c>
      <c r="D10885" t="s">
        <v>5</v>
      </c>
      <c r="F10885" t="str" cm="1">
        <f t="array" ref="F10885">CategorizeComment(E10885)</f>
        <v>Other</v>
      </c>
      <c r="G10885" t="str" cm="1">
        <f t="array" ref="G10885">SubCategorizeComment(E10885)</f>
        <v>Other</v>
      </c>
    </row>
    <row r="10886" spans="1:7" x14ac:dyDescent="0.25">
      <c r="A10886">
        <v>102483</v>
      </c>
      <c r="B10886" t="s">
        <v>4</v>
      </c>
      <c r="C10886">
        <v>3</v>
      </c>
      <c r="D10886" t="s">
        <v>5</v>
      </c>
      <c r="F10886" t="str" cm="1">
        <f t="array" ref="F10886">CategorizeComment(E10886)</f>
        <v>Other</v>
      </c>
      <c r="G10886" t="str" cm="1">
        <f t="array" ref="G10886">SubCategorizeComment(E10886)</f>
        <v>Other</v>
      </c>
    </row>
    <row r="10887" spans="1:7" x14ac:dyDescent="0.25">
      <c r="A10887">
        <v>102491</v>
      </c>
      <c r="B10887" t="s">
        <v>4</v>
      </c>
      <c r="C10887">
        <v>4</v>
      </c>
      <c r="D10887" t="s">
        <v>5</v>
      </c>
      <c r="F10887" t="str" cm="1">
        <f t="array" ref="F10887">CategorizeComment(E10887)</f>
        <v>Other</v>
      </c>
      <c r="G10887" t="str" cm="1">
        <f t="array" ref="G10887">SubCategorizeComment(E10887)</f>
        <v>Other</v>
      </c>
    </row>
    <row r="10888" spans="1:7" x14ac:dyDescent="0.25">
      <c r="A10888">
        <v>102500</v>
      </c>
      <c r="B10888" t="s">
        <v>4</v>
      </c>
      <c r="C10888">
        <v>4</v>
      </c>
      <c r="D10888" t="s">
        <v>5</v>
      </c>
      <c r="F10888" t="str" cm="1">
        <f t="array" ref="F10888">CategorizeComment(E10888)</f>
        <v>Other</v>
      </c>
      <c r="G10888" t="str" cm="1">
        <f t="array" ref="G10888">SubCategorizeComment(E10888)</f>
        <v>Other</v>
      </c>
    </row>
    <row r="10889" spans="1:7" x14ac:dyDescent="0.25">
      <c r="A10889">
        <v>102501</v>
      </c>
      <c r="B10889" t="s">
        <v>4</v>
      </c>
      <c r="C10889">
        <v>4</v>
      </c>
      <c r="D10889" t="s">
        <v>5</v>
      </c>
      <c r="F10889" t="str" cm="1">
        <f t="array" ref="F10889">CategorizeComment(E10889)</f>
        <v>Other</v>
      </c>
      <c r="G10889" t="str" cm="1">
        <f t="array" ref="G10889">SubCategorizeComment(E10889)</f>
        <v>Other</v>
      </c>
    </row>
    <row r="10890" spans="1:7" x14ac:dyDescent="0.25">
      <c r="A10890">
        <v>102510</v>
      </c>
      <c r="B10890" t="s">
        <v>4</v>
      </c>
      <c r="C10890">
        <v>4</v>
      </c>
      <c r="D10890" t="s">
        <v>5</v>
      </c>
      <c r="F10890" t="str" cm="1">
        <f t="array" ref="F10890">CategorizeComment(E10890)</f>
        <v>Other</v>
      </c>
      <c r="G10890" t="str" cm="1">
        <f t="array" ref="G10890">SubCategorizeComment(E10890)</f>
        <v>Other</v>
      </c>
    </row>
    <row r="10891" spans="1:7" x14ac:dyDescent="0.25">
      <c r="A10891">
        <v>102511</v>
      </c>
      <c r="B10891" t="s">
        <v>4</v>
      </c>
      <c r="C10891">
        <v>4</v>
      </c>
      <c r="D10891" t="s">
        <v>5</v>
      </c>
      <c r="F10891" t="str" cm="1">
        <f t="array" ref="F10891">CategorizeComment(E10891)</f>
        <v>Other</v>
      </c>
      <c r="G10891" t="str" cm="1">
        <f t="array" ref="G10891">SubCategorizeComment(E10891)</f>
        <v>Other</v>
      </c>
    </row>
    <row r="10892" spans="1:7" x14ac:dyDescent="0.25">
      <c r="A10892">
        <v>102523</v>
      </c>
      <c r="B10892" t="s">
        <v>4</v>
      </c>
      <c r="C10892">
        <v>4</v>
      </c>
      <c r="D10892" t="s">
        <v>5</v>
      </c>
      <c r="F10892" t="str" cm="1">
        <f t="array" ref="F10892">CategorizeComment(E10892)</f>
        <v>Other</v>
      </c>
      <c r="G10892" t="str" cm="1">
        <f t="array" ref="G10892">SubCategorizeComment(E10892)</f>
        <v>Other</v>
      </c>
    </row>
    <row r="10893" spans="1:7" x14ac:dyDescent="0.25">
      <c r="A10893">
        <v>102526</v>
      </c>
      <c r="B10893" t="s">
        <v>4</v>
      </c>
      <c r="C10893">
        <v>3</v>
      </c>
      <c r="D10893" t="s">
        <v>5</v>
      </c>
      <c r="F10893" t="str" cm="1">
        <f t="array" ref="F10893">CategorizeComment(E10893)</f>
        <v>Other</v>
      </c>
      <c r="G10893" t="str" cm="1">
        <f t="array" ref="G10893">SubCategorizeComment(E10893)</f>
        <v>Other</v>
      </c>
    </row>
    <row r="10894" spans="1:7" x14ac:dyDescent="0.25">
      <c r="A10894">
        <v>102527</v>
      </c>
      <c r="B10894" t="s">
        <v>4</v>
      </c>
      <c r="C10894">
        <v>4</v>
      </c>
      <c r="D10894" t="s">
        <v>5</v>
      </c>
      <c r="F10894" t="str" cm="1">
        <f t="array" ref="F10894">CategorizeComment(E10894)</f>
        <v>Other</v>
      </c>
      <c r="G10894" t="str" cm="1">
        <f t="array" ref="G10894">SubCategorizeComment(E10894)</f>
        <v>Other</v>
      </c>
    </row>
    <row r="10895" spans="1:7" x14ac:dyDescent="0.25">
      <c r="A10895">
        <v>102535</v>
      </c>
      <c r="B10895" t="s">
        <v>4</v>
      </c>
      <c r="C10895">
        <v>4</v>
      </c>
      <c r="D10895" t="s">
        <v>5</v>
      </c>
      <c r="F10895" t="str" cm="1">
        <f t="array" ref="F10895">CategorizeComment(E10895)</f>
        <v>Other</v>
      </c>
      <c r="G10895" t="str" cm="1">
        <f t="array" ref="G10895">SubCategorizeComment(E10895)</f>
        <v>Other</v>
      </c>
    </row>
    <row r="10896" spans="1:7" x14ac:dyDescent="0.25">
      <c r="A10896">
        <v>102536</v>
      </c>
      <c r="B10896" t="s">
        <v>4</v>
      </c>
      <c r="C10896">
        <v>3</v>
      </c>
      <c r="D10896" t="s">
        <v>5</v>
      </c>
      <c r="F10896" t="str" cm="1">
        <f t="array" ref="F10896">CategorizeComment(E10896)</f>
        <v>Other</v>
      </c>
      <c r="G10896" t="str" cm="1">
        <f t="array" ref="G10896">SubCategorizeComment(E10896)</f>
        <v>Other</v>
      </c>
    </row>
    <row r="10897" spans="1:7" x14ac:dyDescent="0.25">
      <c r="A10897">
        <v>102538</v>
      </c>
      <c r="B10897" t="s">
        <v>4</v>
      </c>
      <c r="C10897">
        <v>4</v>
      </c>
      <c r="D10897" t="s">
        <v>5</v>
      </c>
      <c r="F10897" t="str" cm="1">
        <f t="array" ref="F10897">CategorizeComment(E10897)</f>
        <v>Other</v>
      </c>
      <c r="G10897" t="str" cm="1">
        <f t="array" ref="G10897">SubCategorizeComment(E10897)</f>
        <v>Other</v>
      </c>
    </row>
    <row r="10898" spans="1:7" x14ac:dyDescent="0.25">
      <c r="A10898">
        <v>102547</v>
      </c>
      <c r="B10898" t="s">
        <v>4</v>
      </c>
      <c r="C10898">
        <v>4</v>
      </c>
      <c r="D10898" t="s">
        <v>5</v>
      </c>
      <c r="F10898" t="str" cm="1">
        <f t="array" ref="F10898">CategorizeComment(E10898)</f>
        <v>Other</v>
      </c>
      <c r="G10898" t="str" cm="1">
        <f t="array" ref="G10898">SubCategorizeComment(E10898)</f>
        <v>Other</v>
      </c>
    </row>
    <row r="10899" spans="1:7" x14ac:dyDescent="0.25">
      <c r="A10899">
        <v>102569</v>
      </c>
      <c r="B10899" t="s">
        <v>4</v>
      </c>
      <c r="C10899">
        <v>4</v>
      </c>
      <c r="D10899" t="s">
        <v>5</v>
      </c>
      <c r="F10899" t="str" cm="1">
        <f t="array" ref="F10899">CategorizeComment(E10899)</f>
        <v>Other</v>
      </c>
      <c r="G10899" t="str" cm="1">
        <f t="array" ref="G10899">SubCategorizeComment(E10899)</f>
        <v>Other</v>
      </c>
    </row>
    <row r="10900" spans="1:7" x14ac:dyDescent="0.25">
      <c r="A10900">
        <v>102573</v>
      </c>
      <c r="B10900" t="s">
        <v>4</v>
      </c>
      <c r="C10900">
        <v>3</v>
      </c>
      <c r="D10900" t="s">
        <v>5</v>
      </c>
      <c r="F10900" t="str" cm="1">
        <f t="array" ref="F10900">CategorizeComment(E10900)</f>
        <v>Other</v>
      </c>
      <c r="G10900" t="str" cm="1">
        <f t="array" ref="G10900">SubCategorizeComment(E10900)</f>
        <v>Other</v>
      </c>
    </row>
    <row r="10901" spans="1:7" x14ac:dyDescent="0.25">
      <c r="A10901">
        <v>102580</v>
      </c>
      <c r="B10901" t="s">
        <v>4</v>
      </c>
      <c r="C10901">
        <v>4</v>
      </c>
      <c r="D10901" t="s">
        <v>5</v>
      </c>
      <c r="F10901" t="str" cm="1">
        <f t="array" ref="F10901">CategorizeComment(E10901)</f>
        <v>Other</v>
      </c>
      <c r="G10901" t="str" cm="1">
        <f t="array" ref="G10901">SubCategorizeComment(E10901)</f>
        <v>Other</v>
      </c>
    </row>
    <row r="10902" spans="1:7" x14ac:dyDescent="0.25">
      <c r="A10902">
        <v>102582</v>
      </c>
      <c r="B10902" t="s">
        <v>4</v>
      </c>
      <c r="C10902">
        <v>4</v>
      </c>
      <c r="D10902" t="s">
        <v>5</v>
      </c>
      <c r="F10902" t="str" cm="1">
        <f t="array" ref="F10902">CategorizeComment(E10902)</f>
        <v>Other</v>
      </c>
      <c r="G10902" t="str" cm="1">
        <f t="array" ref="G10902">SubCategorizeComment(E10902)</f>
        <v>Other</v>
      </c>
    </row>
    <row r="10903" spans="1:7" x14ac:dyDescent="0.25">
      <c r="A10903">
        <v>102586</v>
      </c>
      <c r="B10903" t="s">
        <v>4</v>
      </c>
      <c r="C10903">
        <v>3</v>
      </c>
      <c r="D10903" t="s">
        <v>5</v>
      </c>
      <c r="F10903" t="str" cm="1">
        <f t="array" ref="F10903">CategorizeComment(E10903)</f>
        <v>Other</v>
      </c>
      <c r="G10903" t="str" cm="1">
        <f t="array" ref="G10903">SubCategorizeComment(E10903)</f>
        <v>Other</v>
      </c>
    </row>
    <row r="10904" spans="1:7" x14ac:dyDescent="0.25">
      <c r="A10904">
        <v>102588</v>
      </c>
      <c r="B10904" t="s">
        <v>4</v>
      </c>
      <c r="C10904">
        <v>3</v>
      </c>
      <c r="D10904" t="s">
        <v>5</v>
      </c>
      <c r="F10904" t="str" cm="1">
        <f t="array" ref="F10904">CategorizeComment(E10904)</f>
        <v>Other</v>
      </c>
      <c r="G10904" t="str" cm="1">
        <f t="array" ref="G10904">SubCategorizeComment(E10904)</f>
        <v>Other</v>
      </c>
    </row>
    <row r="10905" spans="1:7" x14ac:dyDescent="0.25">
      <c r="A10905">
        <v>102593</v>
      </c>
      <c r="B10905" t="s">
        <v>4</v>
      </c>
      <c r="C10905">
        <v>4</v>
      </c>
      <c r="D10905" t="s">
        <v>5</v>
      </c>
      <c r="F10905" t="str" cm="1">
        <f t="array" ref="F10905">CategorizeComment(E10905)</f>
        <v>Other</v>
      </c>
      <c r="G10905" t="str" cm="1">
        <f t="array" ref="G10905">SubCategorizeComment(E10905)</f>
        <v>Other</v>
      </c>
    </row>
    <row r="10906" spans="1:7" x14ac:dyDescent="0.25">
      <c r="A10906">
        <v>102595</v>
      </c>
      <c r="B10906" t="s">
        <v>4</v>
      </c>
      <c r="C10906">
        <v>4</v>
      </c>
      <c r="D10906" t="s">
        <v>5</v>
      </c>
      <c r="F10906" t="str" cm="1">
        <f t="array" ref="F10906">CategorizeComment(E10906)</f>
        <v>Other</v>
      </c>
      <c r="G10906" t="str" cm="1">
        <f t="array" ref="G10906">SubCategorizeComment(E10906)</f>
        <v>Other</v>
      </c>
    </row>
    <row r="10907" spans="1:7" x14ac:dyDescent="0.25">
      <c r="A10907">
        <v>102599</v>
      </c>
      <c r="B10907" t="s">
        <v>4</v>
      </c>
      <c r="C10907">
        <v>3</v>
      </c>
      <c r="D10907" t="s">
        <v>5</v>
      </c>
      <c r="F10907" t="str" cm="1">
        <f t="array" ref="F10907">CategorizeComment(E10907)</f>
        <v>Other</v>
      </c>
      <c r="G10907" t="str" cm="1">
        <f t="array" ref="G10907">SubCategorizeComment(E10907)</f>
        <v>Other</v>
      </c>
    </row>
    <row r="10908" spans="1:7" x14ac:dyDescent="0.25">
      <c r="A10908">
        <v>102602</v>
      </c>
      <c r="B10908" t="s">
        <v>4</v>
      </c>
      <c r="C10908">
        <v>4</v>
      </c>
      <c r="D10908" t="s">
        <v>5</v>
      </c>
      <c r="F10908" t="str" cm="1">
        <f t="array" ref="F10908">CategorizeComment(E10908)</f>
        <v>Other</v>
      </c>
      <c r="G10908" t="str" cm="1">
        <f t="array" ref="G10908">SubCategorizeComment(E10908)</f>
        <v>Other</v>
      </c>
    </row>
    <row r="10909" spans="1:7" x14ac:dyDescent="0.25">
      <c r="A10909">
        <v>102611</v>
      </c>
      <c r="B10909" t="s">
        <v>4</v>
      </c>
      <c r="C10909">
        <v>4</v>
      </c>
      <c r="D10909" t="s">
        <v>5</v>
      </c>
      <c r="F10909" t="str" cm="1">
        <f t="array" ref="F10909">CategorizeComment(E10909)</f>
        <v>Other</v>
      </c>
      <c r="G10909" t="str" cm="1">
        <f t="array" ref="G10909">SubCategorizeComment(E10909)</f>
        <v>Other</v>
      </c>
    </row>
    <row r="10910" spans="1:7" x14ac:dyDescent="0.25">
      <c r="A10910">
        <v>102618</v>
      </c>
      <c r="B10910" t="s">
        <v>4</v>
      </c>
      <c r="C10910">
        <v>3</v>
      </c>
      <c r="D10910" t="s">
        <v>5</v>
      </c>
      <c r="F10910" t="str" cm="1">
        <f t="array" ref="F10910">CategorizeComment(E10910)</f>
        <v>Other</v>
      </c>
      <c r="G10910" t="str" cm="1">
        <f t="array" ref="G10910">SubCategorizeComment(E10910)</f>
        <v>Other</v>
      </c>
    </row>
    <row r="10911" spans="1:7" x14ac:dyDescent="0.25">
      <c r="A10911">
        <v>102627</v>
      </c>
      <c r="B10911" t="s">
        <v>4</v>
      </c>
      <c r="C10911">
        <v>3</v>
      </c>
      <c r="D10911" t="s">
        <v>5</v>
      </c>
      <c r="F10911" t="str" cm="1">
        <f t="array" ref="F10911">CategorizeComment(E10911)</f>
        <v>Other</v>
      </c>
      <c r="G10911" t="str" cm="1">
        <f t="array" ref="G10911">SubCategorizeComment(E10911)</f>
        <v>Other</v>
      </c>
    </row>
    <row r="10912" spans="1:7" x14ac:dyDescent="0.25">
      <c r="A10912">
        <v>102628</v>
      </c>
      <c r="B10912" t="s">
        <v>4</v>
      </c>
      <c r="C10912">
        <v>3</v>
      </c>
      <c r="D10912" t="s">
        <v>5</v>
      </c>
      <c r="F10912" t="str" cm="1">
        <f t="array" ref="F10912">CategorizeComment(E10912)</f>
        <v>Other</v>
      </c>
      <c r="G10912" t="str" cm="1">
        <f t="array" ref="G10912">SubCategorizeComment(E10912)</f>
        <v>Other</v>
      </c>
    </row>
    <row r="10913" spans="1:7" x14ac:dyDescent="0.25">
      <c r="A10913">
        <v>102638</v>
      </c>
      <c r="B10913" t="s">
        <v>4</v>
      </c>
      <c r="C10913">
        <v>4</v>
      </c>
      <c r="D10913" t="s">
        <v>5</v>
      </c>
      <c r="F10913" t="str" cm="1">
        <f t="array" ref="F10913">CategorizeComment(E10913)</f>
        <v>Other</v>
      </c>
      <c r="G10913" t="str" cm="1">
        <f t="array" ref="G10913">SubCategorizeComment(E10913)</f>
        <v>Other</v>
      </c>
    </row>
    <row r="10914" spans="1:7" x14ac:dyDescent="0.25">
      <c r="A10914">
        <v>102654</v>
      </c>
      <c r="B10914" t="s">
        <v>4</v>
      </c>
      <c r="C10914">
        <v>3</v>
      </c>
      <c r="D10914" t="s">
        <v>5</v>
      </c>
      <c r="F10914" t="str" cm="1">
        <f t="array" ref="F10914">CategorizeComment(E10914)</f>
        <v>Other</v>
      </c>
      <c r="G10914" t="str" cm="1">
        <f t="array" ref="G10914">SubCategorizeComment(E10914)</f>
        <v>Other</v>
      </c>
    </row>
    <row r="10915" spans="1:7" x14ac:dyDescent="0.25">
      <c r="A10915">
        <v>102673</v>
      </c>
      <c r="B10915" t="s">
        <v>4</v>
      </c>
      <c r="C10915">
        <v>4</v>
      </c>
      <c r="D10915" t="s">
        <v>5</v>
      </c>
      <c r="F10915" t="str" cm="1">
        <f t="array" ref="F10915">CategorizeComment(E10915)</f>
        <v>Other</v>
      </c>
      <c r="G10915" t="str" cm="1">
        <f t="array" ref="G10915">SubCategorizeComment(E10915)</f>
        <v>Other</v>
      </c>
    </row>
    <row r="10916" spans="1:7" x14ac:dyDescent="0.25">
      <c r="A10916">
        <v>102681</v>
      </c>
      <c r="B10916" t="s">
        <v>4</v>
      </c>
      <c r="C10916">
        <v>4</v>
      </c>
      <c r="D10916" t="s">
        <v>5</v>
      </c>
      <c r="F10916" t="str" cm="1">
        <f t="array" ref="F10916">CategorizeComment(E10916)</f>
        <v>Other</v>
      </c>
      <c r="G10916" t="str" cm="1">
        <f t="array" ref="G10916">SubCategorizeComment(E10916)</f>
        <v>Other</v>
      </c>
    </row>
    <row r="10917" spans="1:7" x14ac:dyDescent="0.25">
      <c r="A10917">
        <v>102688</v>
      </c>
      <c r="B10917" t="s">
        <v>4</v>
      </c>
      <c r="C10917">
        <v>3</v>
      </c>
      <c r="D10917" t="s">
        <v>5</v>
      </c>
      <c r="F10917" t="str" cm="1">
        <f t="array" ref="F10917">CategorizeComment(E10917)</f>
        <v>Other</v>
      </c>
      <c r="G10917" t="str" cm="1">
        <f t="array" ref="G10917">SubCategorizeComment(E10917)</f>
        <v>Other</v>
      </c>
    </row>
    <row r="10918" spans="1:7" x14ac:dyDescent="0.25">
      <c r="A10918">
        <v>102690</v>
      </c>
      <c r="B10918" t="s">
        <v>4</v>
      </c>
      <c r="C10918">
        <v>3</v>
      </c>
      <c r="D10918" t="s">
        <v>5</v>
      </c>
      <c r="F10918" t="str" cm="1">
        <f t="array" ref="F10918">CategorizeComment(E10918)</f>
        <v>Other</v>
      </c>
      <c r="G10918" t="str" cm="1">
        <f t="array" ref="G10918">SubCategorizeComment(E10918)</f>
        <v>Other</v>
      </c>
    </row>
    <row r="10919" spans="1:7" x14ac:dyDescent="0.25">
      <c r="A10919">
        <v>102692</v>
      </c>
      <c r="B10919" t="s">
        <v>4</v>
      </c>
      <c r="C10919">
        <v>4</v>
      </c>
      <c r="D10919" t="s">
        <v>5</v>
      </c>
      <c r="F10919" t="str" cm="1">
        <f t="array" ref="F10919">CategorizeComment(E10919)</f>
        <v>Other</v>
      </c>
      <c r="G10919" t="str" cm="1">
        <f t="array" ref="G10919">SubCategorizeComment(E10919)</f>
        <v>Other</v>
      </c>
    </row>
    <row r="10920" spans="1:7" x14ac:dyDescent="0.25">
      <c r="A10920">
        <v>102693</v>
      </c>
      <c r="B10920" t="s">
        <v>4</v>
      </c>
      <c r="C10920">
        <v>3</v>
      </c>
      <c r="D10920" t="s">
        <v>5</v>
      </c>
      <c r="F10920" t="str" cm="1">
        <f t="array" ref="F10920">CategorizeComment(E10920)</f>
        <v>Other</v>
      </c>
      <c r="G10920" t="str" cm="1">
        <f t="array" ref="G10920">SubCategorizeComment(E10920)</f>
        <v>Other</v>
      </c>
    </row>
    <row r="10921" spans="1:7" x14ac:dyDescent="0.25">
      <c r="A10921">
        <v>102696</v>
      </c>
      <c r="B10921" t="s">
        <v>4</v>
      </c>
      <c r="C10921">
        <v>4</v>
      </c>
      <c r="D10921" t="s">
        <v>5</v>
      </c>
      <c r="F10921" t="str" cm="1">
        <f t="array" ref="F10921">CategorizeComment(E10921)</f>
        <v>Other</v>
      </c>
      <c r="G10921" t="str" cm="1">
        <f t="array" ref="G10921">SubCategorizeComment(E10921)</f>
        <v>Other</v>
      </c>
    </row>
    <row r="10922" spans="1:7" x14ac:dyDescent="0.25">
      <c r="A10922">
        <v>102707</v>
      </c>
      <c r="B10922" t="s">
        <v>4</v>
      </c>
      <c r="C10922">
        <v>3</v>
      </c>
      <c r="D10922" t="s">
        <v>5</v>
      </c>
      <c r="F10922" t="str" cm="1">
        <f t="array" ref="F10922">CategorizeComment(E10922)</f>
        <v>Other</v>
      </c>
      <c r="G10922" t="str" cm="1">
        <f t="array" ref="G10922">SubCategorizeComment(E10922)</f>
        <v>Other</v>
      </c>
    </row>
    <row r="10923" spans="1:7" x14ac:dyDescent="0.25">
      <c r="A10923">
        <v>102716</v>
      </c>
      <c r="B10923" t="s">
        <v>4</v>
      </c>
      <c r="C10923">
        <v>4</v>
      </c>
      <c r="D10923" t="s">
        <v>5</v>
      </c>
      <c r="F10923" t="str" cm="1">
        <f t="array" ref="F10923">CategorizeComment(E10923)</f>
        <v>Other</v>
      </c>
      <c r="G10923" t="str" cm="1">
        <f t="array" ref="G10923">SubCategorizeComment(E10923)</f>
        <v>Other</v>
      </c>
    </row>
    <row r="10924" spans="1:7" x14ac:dyDescent="0.25">
      <c r="A10924">
        <v>102738</v>
      </c>
      <c r="B10924" t="s">
        <v>4</v>
      </c>
      <c r="C10924">
        <v>3</v>
      </c>
      <c r="D10924" t="s">
        <v>5</v>
      </c>
      <c r="F10924" t="str" cm="1">
        <f t="array" ref="F10924">CategorizeComment(E10924)</f>
        <v>Other</v>
      </c>
      <c r="G10924" t="str" cm="1">
        <f t="array" ref="G10924">SubCategorizeComment(E10924)</f>
        <v>Other</v>
      </c>
    </row>
    <row r="10925" spans="1:7" x14ac:dyDescent="0.25">
      <c r="A10925">
        <v>102766</v>
      </c>
      <c r="B10925" t="s">
        <v>4</v>
      </c>
      <c r="C10925">
        <v>4</v>
      </c>
      <c r="D10925" t="s">
        <v>5</v>
      </c>
      <c r="F10925" t="str" cm="1">
        <f t="array" ref="F10925">CategorizeComment(E10925)</f>
        <v>Other</v>
      </c>
      <c r="G10925" t="str" cm="1">
        <f t="array" ref="G10925">SubCategorizeComment(E10925)</f>
        <v>Other</v>
      </c>
    </row>
    <row r="10926" spans="1:7" x14ac:dyDescent="0.25">
      <c r="A10926">
        <v>102777</v>
      </c>
      <c r="B10926" t="s">
        <v>4</v>
      </c>
      <c r="C10926">
        <v>3</v>
      </c>
      <c r="D10926" t="s">
        <v>5</v>
      </c>
      <c r="F10926" t="str" cm="1">
        <f t="array" ref="F10926">CategorizeComment(E10926)</f>
        <v>Other</v>
      </c>
      <c r="G10926" t="str" cm="1">
        <f t="array" ref="G10926">SubCategorizeComment(E10926)</f>
        <v>Other</v>
      </c>
    </row>
    <row r="10927" spans="1:7" x14ac:dyDescent="0.25">
      <c r="A10927">
        <v>102794</v>
      </c>
      <c r="B10927" t="s">
        <v>4</v>
      </c>
      <c r="C10927">
        <v>4</v>
      </c>
      <c r="D10927" t="s">
        <v>5</v>
      </c>
      <c r="F10927" t="str" cm="1">
        <f t="array" ref="F10927">CategorizeComment(E10927)</f>
        <v>Other</v>
      </c>
      <c r="G10927" t="str" cm="1">
        <f t="array" ref="G10927">SubCategorizeComment(E10927)</f>
        <v>Other</v>
      </c>
    </row>
    <row r="10928" spans="1:7" x14ac:dyDescent="0.25">
      <c r="A10928">
        <v>102808</v>
      </c>
      <c r="B10928" t="s">
        <v>4</v>
      </c>
      <c r="C10928">
        <v>4</v>
      </c>
      <c r="D10928" t="s">
        <v>5</v>
      </c>
      <c r="F10928" t="str" cm="1">
        <f t="array" ref="F10928">CategorizeComment(E10928)</f>
        <v>Other</v>
      </c>
      <c r="G10928" t="str" cm="1">
        <f t="array" ref="G10928">SubCategorizeComment(E10928)</f>
        <v>Other</v>
      </c>
    </row>
    <row r="10929" spans="1:7" x14ac:dyDescent="0.25">
      <c r="A10929">
        <v>102842</v>
      </c>
      <c r="B10929" t="s">
        <v>4</v>
      </c>
      <c r="C10929">
        <v>3</v>
      </c>
      <c r="D10929" t="s">
        <v>5</v>
      </c>
      <c r="F10929" t="str" cm="1">
        <f t="array" ref="F10929">CategorizeComment(E10929)</f>
        <v>Other</v>
      </c>
      <c r="G10929" t="str" cm="1">
        <f t="array" ref="G10929">SubCategorizeComment(E10929)</f>
        <v>Other</v>
      </c>
    </row>
    <row r="10930" spans="1:7" x14ac:dyDescent="0.25">
      <c r="A10930">
        <v>102849</v>
      </c>
      <c r="B10930" t="s">
        <v>4</v>
      </c>
      <c r="C10930">
        <v>4</v>
      </c>
      <c r="D10930" t="s">
        <v>5</v>
      </c>
      <c r="F10930" t="str" cm="1">
        <f t="array" ref="F10930">CategorizeComment(E10930)</f>
        <v>Other</v>
      </c>
      <c r="G10930" t="str" cm="1">
        <f t="array" ref="G10930">SubCategorizeComment(E10930)</f>
        <v>Other</v>
      </c>
    </row>
    <row r="10931" spans="1:7" x14ac:dyDescent="0.25">
      <c r="A10931">
        <v>102861</v>
      </c>
      <c r="B10931" t="s">
        <v>4</v>
      </c>
      <c r="C10931">
        <v>4</v>
      </c>
      <c r="D10931" t="s">
        <v>5</v>
      </c>
      <c r="F10931" t="str" cm="1">
        <f t="array" ref="F10931">CategorizeComment(E10931)</f>
        <v>Other</v>
      </c>
      <c r="G10931" t="str" cm="1">
        <f t="array" ref="G10931">SubCategorizeComment(E10931)</f>
        <v>Other</v>
      </c>
    </row>
    <row r="10932" spans="1:7" x14ac:dyDescent="0.25">
      <c r="A10932">
        <v>102876</v>
      </c>
      <c r="B10932" t="s">
        <v>4</v>
      </c>
      <c r="C10932">
        <v>3</v>
      </c>
      <c r="D10932" t="s">
        <v>5</v>
      </c>
      <c r="F10932" t="str" cm="1">
        <f t="array" ref="F10932">CategorizeComment(E10932)</f>
        <v>Other</v>
      </c>
      <c r="G10932" t="str" cm="1">
        <f t="array" ref="G10932">SubCategorizeComment(E10932)</f>
        <v>Other</v>
      </c>
    </row>
    <row r="10933" spans="1:7" x14ac:dyDescent="0.25">
      <c r="A10933">
        <v>102877</v>
      </c>
      <c r="B10933" t="s">
        <v>4</v>
      </c>
      <c r="C10933">
        <v>4</v>
      </c>
      <c r="D10933" t="s">
        <v>5</v>
      </c>
      <c r="F10933" t="str" cm="1">
        <f t="array" ref="F10933">CategorizeComment(E10933)</f>
        <v>Other</v>
      </c>
      <c r="G10933" t="str" cm="1">
        <f t="array" ref="G10933">SubCategorizeComment(E10933)</f>
        <v>Other</v>
      </c>
    </row>
    <row r="10934" spans="1:7" x14ac:dyDescent="0.25">
      <c r="A10934">
        <v>102878</v>
      </c>
      <c r="B10934" t="s">
        <v>4</v>
      </c>
      <c r="C10934">
        <v>3</v>
      </c>
      <c r="D10934" t="s">
        <v>5</v>
      </c>
      <c r="F10934" t="str" cm="1">
        <f t="array" ref="F10934">CategorizeComment(E10934)</f>
        <v>Other</v>
      </c>
      <c r="G10934" t="str" cm="1">
        <f t="array" ref="G10934">SubCategorizeComment(E10934)</f>
        <v>Other</v>
      </c>
    </row>
    <row r="10935" spans="1:7" x14ac:dyDescent="0.25">
      <c r="A10935">
        <v>102891</v>
      </c>
      <c r="B10935" t="s">
        <v>4</v>
      </c>
      <c r="C10935">
        <v>3</v>
      </c>
      <c r="D10935" t="s">
        <v>5</v>
      </c>
      <c r="F10935" t="str" cm="1">
        <f t="array" ref="F10935">CategorizeComment(E10935)</f>
        <v>Other</v>
      </c>
      <c r="G10935" t="str" cm="1">
        <f t="array" ref="G10935">SubCategorizeComment(E10935)</f>
        <v>Other</v>
      </c>
    </row>
    <row r="10936" spans="1:7" x14ac:dyDescent="0.25">
      <c r="A10936">
        <v>102921</v>
      </c>
      <c r="B10936" t="s">
        <v>4</v>
      </c>
      <c r="C10936">
        <v>3</v>
      </c>
      <c r="D10936" t="s">
        <v>5</v>
      </c>
      <c r="F10936" t="str" cm="1">
        <f t="array" ref="F10936">CategorizeComment(E10936)</f>
        <v>Other</v>
      </c>
      <c r="G10936" t="str" cm="1">
        <f t="array" ref="G10936">SubCategorizeComment(E10936)</f>
        <v>Other</v>
      </c>
    </row>
    <row r="10937" spans="1:7" x14ac:dyDescent="0.25">
      <c r="A10937">
        <v>102936</v>
      </c>
      <c r="B10937" t="s">
        <v>4</v>
      </c>
      <c r="C10937">
        <v>3</v>
      </c>
      <c r="D10937" t="s">
        <v>5</v>
      </c>
      <c r="F10937" t="str" cm="1">
        <f t="array" ref="F10937">CategorizeComment(E10937)</f>
        <v>Other</v>
      </c>
      <c r="G10937" t="str" cm="1">
        <f t="array" ref="G10937">SubCategorizeComment(E10937)</f>
        <v>Other</v>
      </c>
    </row>
    <row r="10938" spans="1:7" x14ac:dyDescent="0.25">
      <c r="A10938">
        <v>102966</v>
      </c>
      <c r="B10938" t="s">
        <v>4</v>
      </c>
      <c r="C10938">
        <v>3</v>
      </c>
      <c r="D10938" t="s">
        <v>5</v>
      </c>
      <c r="F10938" t="str" cm="1">
        <f t="array" ref="F10938">CategorizeComment(E10938)</f>
        <v>Other</v>
      </c>
      <c r="G10938" t="str" cm="1">
        <f t="array" ref="G10938">SubCategorizeComment(E10938)</f>
        <v>Other</v>
      </c>
    </row>
    <row r="10939" spans="1:7" x14ac:dyDescent="0.25">
      <c r="A10939">
        <v>102969</v>
      </c>
      <c r="B10939" t="s">
        <v>4</v>
      </c>
      <c r="C10939">
        <v>4</v>
      </c>
      <c r="D10939" t="s">
        <v>5</v>
      </c>
      <c r="F10939" t="str" cm="1">
        <f t="array" ref="F10939">CategorizeComment(E10939)</f>
        <v>Other</v>
      </c>
      <c r="G10939" t="str" cm="1">
        <f t="array" ref="G10939">SubCategorizeComment(E10939)</f>
        <v>Other</v>
      </c>
    </row>
    <row r="10940" spans="1:7" x14ac:dyDescent="0.25">
      <c r="A10940">
        <v>102993</v>
      </c>
      <c r="B10940" t="s">
        <v>4</v>
      </c>
      <c r="C10940">
        <v>3</v>
      </c>
      <c r="D10940" t="s">
        <v>5</v>
      </c>
      <c r="F10940" t="str" cm="1">
        <f t="array" ref="F10940">CategorizeComment(E10940)</f>
        <v>Other</v>
      </c>
      <c r="G10940" t="str" cm="1">
        <f t="array" ref="G10940">SubCategorizeComment(E10940)</f>
        <v>Other</v>
      </c>
    </row>
    <row r="10941" spans="1:7" x14ac:dyDescent="0.25">
      <c r="A10941">
        <v>103010</v>
      </c>
      <c r="B10941" t="s">
        <v>4</v>
      </c>
      <c r="C10941">
        <v>4</v>
      </c>
      <c r="D10941" t="s">
        <v>5</v>
      </c>
      <c r="F10941" t="str" cm="1">
        <f t="array" ref="F10941">CategorizeComment(E10941)</f>
        <v>Other</v>
      </c>
      <c r="G10941" t="str" cm="1">
        <f t="array" ref="G10941">SubCategorizeComment(E10941)</f>
        <v>Other</v>
      </c>
    </row>
    <row r="10942" spans="1:7" x14ac:dyDescent="0.25">
      <c r="A10942">
        <v>103024</v>
      </c>
      <c r="B10942" t="s">
        <v>4</v>
      </c>
      <c r="C10942">
        <v>4</v>
      </c>
      <c r="D10942" t="s">
        <v>5</v>
      </c>
      <c r="F10942" t="str" cm="1">
        <f t="array" ref="F10942">CategorizeComment(E10942)</f>
        <v>Other</v>
      </c>
      <c r="G10942" t="str" cm="1">
        <f t="array" ref="G10942">SubCategorizeComment(E10942)</f>
        <v>Other</v>
      </c>
    </row>
    <row r="10943" spans="1:7" x14ac:dyDescent="0.25">
      <c r="A10943">
        <v>103029</v>
      </c>
      <c r="B10943" t="s">
        <v>4</v>
      </c>
      <c r="C10943">
        <v>4</v>
      </c>
      <c r="D10943" t="s">
        <v>5</v>
      </c>
      <c r="F10943" t="str" cm="1">
        <f t="array" ref="F10943">CategorizeComment(E10943)</f>
        <v>Other</v>
      </c>
      <c r="G10943" t="str" cm="1">
        <f t="array" ref="G10943">SubCategorizeComment(E10943)</f>
        <v>Other</v>
      </c>
    </row>
    <row r="10944" spans="1:7" x14ac:dyDescent="0.25">
      <c r="A10944">
        <v>103033</v>
      </c>
      <c r="B10944" t="s">
        <v>4</v>
      </c>
      <c r="C10944">
        <v>4</v>
      </c>
      <c r="D10944" t="s">
        <v>5</v>
      </c>
      <c r="F10944" t="str" cm="1">
        <f t="array" ref="F10944">CategorizeComment(E10944)</f>
        <v>Other</v>
      </c>
      <c r="G10944" t="str" cm="1">
        <f t="array" ref="G10944">SubCategorizeComment(E10944)</f>
        <v>Other</v>
      </c>
    </row>
    <row r="10945" spans="1:7" x14ac:dyDescent="0.25">
      <c r="A10945">
        <v>103036</v>
      </c>
      <c r="B10945" t="s">
        <v>4</v>
      </c>
      <c r="C10945">
        <v>4</v>
      </c>
      <c r="D10945" t="s">
        <v>5</v>
      </c>
      <c r="F10945" t="str" cm="1">
        <f t="array" ref="F10945">CategorizeComment(E10945)</f>
        <v>Other</v>
      </c>
      <c r="G10945" t="str" cm="1">
        <f t="array" ref="G10945">SubCategorizeComment(E10945)</f>
        <v>Other</v>
      </c>
    </row>
    <row r="10946" spans="1:7" x14ac:dyDescent="0.25">
      <c r="A10946">
        <v>103037</v>
      </c>
      <c r="B10946" t="s">
        <v>4</v>
      </c>
      <c r="C10946">
        <v>3</v>
      </c>
      <c r="D10946" t="s">
        <v>5</v>
      </c>
      <c r="F10946" t="str" cm="1">
        <f t="array" ref="F10946">CategorizeComment(E10946)</f>
        <v>Other</v>
      </c>
      <c r="G10946" t="str" cm="1">
        <f t="array" ref="G10946">SubCategorizeComment(E10946)</f>
        <v>Other</v>
      </c>
    </row>
    <row r="10947" spans="1:7" x14ac:dyDescent="0.25">
      <c r="A10947">
        <v>103038</v>
      </c>
      <c r="B10947" t="s">
        <v>4</v>
      </c>
      <c r="C10947">
        <v>3</v>
      </c>
      <c r="D10947" t="s">
        <v>5</v>
      </c>
      <c r="F10947" t="str" cm="1">
        <f t="array" ref="F10947">CategorizeComment(E10947)</f>
        <v>Other</v>
      </c>
      <c r="G10947" t="str" cm="1">
        <f t="array" ref="G10947">SubCategorizeComment(E10947)</f>
        <v>Other</v>
      </c>
    </row>
    <row r="10948" spans="1:7" x14ac:dyDescent="0.25">
      <c r="A10948">
        <v>103039</v>
      </c>
      <c r="B10948" t="s">
        <v>4</v>
      </c>
      <c r="C10948">
        <v>3</v>
      </c>
      <c r="D10948" t="s">
        <v>5</v>
      </c>
      <c r="F10948" t="str" cm="1">
        <f t="array" ref="F10948">CategorizeComment(E10948)</f>
        <v>Other</v>
      </c>
      <c r="G10948" t="str" cm="1">
        <f t="array" ref="G10948">SubCategorizeComment(E10948)</f>
        <v>Other</v>
      </c>
    </row>
    <row r="10949" spans="1:7" x14ac:dyDescent="0.25">
      <c r="A10949">
        <v>103046</v>
      </c>
      <c r="B10949" t="s">
        <v>4</v>
      </c>
      <c r="C10949">
        <v>3</v>
      </c>
      <c r="D10949" t="s">
        <v>5</v>
      </c>
      <c r="F10949" t="str" cm="1">
        <f t="array" ref="F10949">CategorizeComment(E10949)</f>
        <v>Other</v>
      </c>
      <c r="G10949" t="str" cm="1">
        <f t="array" ref="G10949">SubCategorizeComment(E10949)</f>
        <v>Other</v>
      </c>
    </row>
    <row r="10950" spans="1:7" x14ac:dyDescent="0.25">
      <c r="A10950">
        <v>103049</v>
      </c>
      <c r="B10950" t="s">
        <v>4</v>
      </c>
      <c r="C10950">
        <v>4</v>
      </c>
      <c r="D10950" t="s">
        <v>5</v>
      </c>
      <c r="F10950" t="str" cm="1">
        <f t="array" ref="F10950">CategorizeComment(E10950)</f>
        <v>Other</v>
      </c>
      <c r="G10950" t="str" cm="1">
        <f t="array" ref="G10950">SubCategorizeComment(E10950)</f>
        <v>Other</v>
      </c>
    </row>
    <row r="10951" spans="1:7" x14ac:dyDescent="0.25">
      <c r="A10951">
        <v>103053</v>
      </c>
      <c r="B10951" t="s">
        <v>4</v>
      </c>
      <c r="C10951">
        <v>4</v>
      </c>
      <c r="D10951" t="s">
        <v>5</v>
      </c>
      <c r="F10951" t="str" cm="1">
        <f t="array" ref="F10951">CategorizeComment(E10951)</f>
        <v>Other</v>
      </c>
      <c r="G10951" t="str" cm="1">
        <f t="array" ref="G10951">SubCategorizeComment(E10951)</f>
        <v>Other</v>
      </c>
    </row>
    <row r="10952" spans="1:7" x14ac:dyDescent="0.25">
      <c r="A10952">
        <v>103056</v>
      </c>
      <c r="B10952" t="s">
        <v>4</v>
      </c>
      <c r="C10952">
        <v>4</v>
      </c>
      <c r="D10952" t="s">
        <v>5</v>
      </c>
      <c r="F10952" t="str" cm="1">
        <f t="array" ref="F10952">CategorizeComment(E10952)</f>
        <v>Other</v>
      </c>
      <c r="G10952" t="str" cm="1">
        <f t="array" ref="G10952">SubCategorizeComment(E10952)</f>
        <v>Other</v>
      </c>
    </row>
    <row r="10953" spans="1:7" x14ac:dyDescent="0.25">
      <c r="A10953">
        <v>103059</v>
      </c>
      <c r="B10953" t="s">
        <v>4</v>
      </c>
      <c r="C10953">
        <v>3</v>
      </c>
      <c r="D10953" t="s">
        <v>5</v>
      </c>
      <c r="F10953" t="str" cm="1">
        <f t="array" ref="F10953">CategorizeComment(E10953)</f>
        <v>Other</v>
      </c>
      <c r="G10953" t="str" cm="1">
        <f t="array" ref="G10953">SubCategorizeComment(E10953)</f>
        <v>Other</v>
      </c>
    </row>
    <row r="10954" spans="1:7" x14ac:dyDescent="0.25">
      <c r="A10954">
        <v>103066</v>
      </c>
      <c r="B10954" t="s">
        <v>4</v>
      </c>
      <c r="C10954">
        <v>3</v>
      </c>
      <c r="D10954" t="s">
        <v>5</v>
      </c>
      <c r="F10954" t="str" cm="1">
        <f t="array" ref="F10954">CategorizeComment(E10954)</f>
        <v>Other</v>
      </c>
      <c r="G10954" t="str" cm="1">
        <f t="array" ref="G10954">SubCategorizeComment(E10954)</f>
        <v>Other</v>
      </c>
    </row>
    <row r="10955" spans="1:7" x14ac:dyDescent="0.25">
      <c r="A10955">
        <v>103068</v>
      </c>
      <c r="B10955" t="s">
        <v>4</v>
      </c>
      <c r="C10955">
        <v>3</v>
      </c>
      <c r="D10955" t="s">
        <v>5</v>
      </c>
      <c r="F10955" t="str" cm="1">
        <f t="array" ref="F10955">CategorizeComment(E10955)</f>
        <v>Other</v>
      </c>
      <c r="G10955" t="str" cm="1">
        <f t="array" ref="G10955">SubCategorizeComment(E10955)</f>
        <v>Other</v>
      </c>
    </row>
    <row r="10956" spans="1:7" x14ac:dyDescent="0.25">
      <c r="A10956">
        <v>103070</v>
      </c>
      <c r="B10956" t="s">
        <v>4</v>
      </c>
      <c r="C10956">
        <v>4</v>
      </c>
      <c r="D10956" t="s">
        <v>5</v>
      </c>
      <c r="F10956" t="str" cm="1">
        <f t="array" ref="F10956">CategorizeComment(E10956)</f>
        <v>Other</v>
      </c>
      <c r="G10956" t="str" cm="1">
        <f t="array" ref="G10956">SubCategorizeComment(E10956)</f>
        <v>Other</v>
      </c>
    </row>
    <row r="10957" spans="1:7" x14ac:dyDescent="0.25">
      <c r="A10957">
        <v>103077</v>
      </c>
      <c r="B10957" t="s">
        <v>4</v>
      </c>
      <c r="C10957">
        <v>4</v>
      </c>
      <c r="D10957" t="s">
        <v>5</v>
      </c>
      <c r="F10957" t="str" cm="1">
        <f t="array" ref="F10957">CategorizeComment(E10957)</f>
        <v>Other</v>
      </c>
      <c r="G10957" t="str" cm="1">
        <f t="array" ref="G10957">SubCategorizeComment(E10957)</f>
        <v>Other</v>
      </c>
    </row>
    <row r="10958" spans="1:7" x14ac:dyDescent="0.25">
      <c r="A10958">
        <v>103078</v>
      </c>
      <c r="B10958" t="s">
        <v>4</v>
      </c>
      <c r="C10958">
        <v>4</v>
      </c>
      <c r="D10958" t="s">
        <v>5</v>
      </c>
      <c r="F10958" t="str" cm="1">
        <f t="array" ref="F10958">CategorizeComment(E10958)</f>
        <v>Other</v>
      </c>
      <c r="G10958" t="str" cm="1">
        <f t="array" ref="G10958">SubCategorizeComment(E10958)</f>
        <v>Other</v>
      </c>
    </row>
    <row r="10959" spans="1:7" x14ac:dyDescent="0.25">
      <c r="A10959">
        <v>103104</v>
      </c>
      <c r="B10959" t="s">
        <v>4</v>
      </c>
      <c r="C10959">
        <v>4</v>
      </c>
      <c r="D10959" t="s">
        <v>5</v>
      </c>
      <c r="F10959" t="str" cm="1">
        <f t="array" ref="F10959">CategorizeComment(E10959)</f>
        <v>Other</v>
      </c>
      <c r="G10959" t="str" cm="1">
        <f t="array" ref="G10959">SubCategorizeComment(E10959)</f>
        <v>Other</v>
      </c>
    </row>
    <row r="10960" spans="1:7" x14ac:dyDescent="0.25">
      <c r="A10960">
        <v>103108</v>
      </c>
      <c r="B10960" t="s">
        <v>4</v>
      </c>
      <c r="C10960">
        <v>3</v>
      </c>
      <c r="D10960" t="s">
        <v>5</v>
      </c>
      <c r="F10960" t="str" cm="1">
        <f t="array" ref="F10960">CategorizeComment(E10960)</f>
        <v>Other</v>
      </c>
      <c r="G10960" t="str" cm="1">
        <f t="array" ref="G10960">SubCategorizeComment(E10960)</f>
        <v>Other</v>
      </c>
    </row>
    <row r="10961" spans="1:7" x14ac:dyDescent="0.25">
      <c r="A10961">
        <v>103112</v>
      </c>
      <c r="B10961" t="s">
        <v>4</v>
      </c>
      <c r="C10961">
        <v>3</v>
      </c>
      <c r="D10961" t="s">
        <v>5</v>
      </c>
      <c r="F10961" t="str" cm="1">
        <f t="array" ref="F10961">CategorizeComment(E10961)</f>
        <v>Other</v>
      </c>
      <c r="G10961" t="str" cm="1">
        <f t="array" ref="G10961">SubCategorizeComment(E10961)</f>
        <v>Other</v>
      </c>
    </row>
    <row r="10962" spans="1:7" x14ac:dyDescent="0.25">
      <c r="A10962">
        <v>103120</v>
      </c>
      <c r="B10962" t="s">
        <v>4</v>
      </c>
      <c r="C10962">
        <v>4</v>
      </c>
      <c r="D10962" t="s">
        <v>5</v>
      </c>
      <c r="F10962" t="str" cm="1">
        <f t="array" ref="F10962">CategorizeComment(E10962)</f>
        <v>Other</v>
      </c>
      <c r="G10962" t="str" cm="1">
        <f t="array" ref="G10962">SubCategorizeComment(E10962)</f>
        <v>Other</v>
      </c>
    </row>
    <row r="10963" spans="1:7" x14ac:dyDescent="0.25">
      <c r="A10963">
        <v>103129</v>
      </c>
      <c r="B10963" t="s">
        <v>4</v>
      </c>
      <c r="C10963">
        <v>4</v>
      </c>
      <c r="D10963" t="s">
        <v>5</v>
      </c>
      <c r="F10963" t="str" cm="1">
        <f t="array" ref="F10963">CategorizeComment(E10963)</f>
        <v>Other</v>
      </c>
      <c r="G10963" t="str" cm="1">
        <f t="array" ref="G10963">SubCategorizeComment(E10963)</f>
        <v>Other</v>
      </c>
    </row>
    <row r="10964" spans="1:7" x14ac:dyDescent="0.25">
      <c r="A10964">
        <v>103143</v>
      </c>
      <c r="B10964" t="s">
        <v>4</v>
      </c>
      <c r="C10964">
        <v>4</v>
      </c>
      <c r="D10964" t="s">
        <v>5</v>
      </c>
      <c r="F10964" t="str" cm="1">
        <f t="array" ref="F10964">CategorizeComment(E10964)</f>
        <v>Other</v>
      </c>
      <c r="G10964" t="str" cm="1">
        <f t="array" ref="G10964">SubCategorizeComment(E10964)</f>
        <v>Other</v>
      </c>
    </row>
    <row r="10965" spans="1:7" x14ac:dyDescent="0.25">
      <c r="A10965">
        <v>103149</v>
      </c>
      <c r="B10965" t="s">
        <v>4</v>
      </c>
      <c r="C10965">
        <v>4</v>
      </c>
      <c r="D10965" t="s">
        <v>5</v>
      </c>
      <c r="F10965" t="str" cm="1">
        <f t="array" ref="F10965">CategorizeComment(E10965)</f>
        <v>Other</v>
      </c>
      <c r="G10965" t="str" cm="1">
        <f t="array" ref="G10965">SubCategorizeComment(E10965)</f>
        <v>Other</v>
      </c>
    </row>
    <row r="10966" spans="1:7" x14ac:dyDescent="0.25">
      <c r="A10966">
        <v>103156</v>
      </c>
      <c r="B10966" t="s">
        <v>4</v>
      </c>
      <c r="C10966">
        <v>3</v>
      </c>
      <c r="D10966" t="s">
        <v>5</v>
      </c>
      <c r="F10966" t="str" cm="1">
        <f t="array" ref="F10966">CategorizeComment(E10966)</f>
        <v>Other</v>
      </c>
      <c r="G10966" t="str" cm="1">
        <f t="array" ref="G10966">SubCategorizeComment(E10966)</f>
        <v>Other</v>
      </c>
    </row>
    <row r="10967" spans="1:7" x14ac:dyDescent="0.25">
      <c r="A10967">
        <v>103180</v>
      </c>
      <c r="B10967" t="s">
        <v>4</v>
      </c>
      <c r="C10967">
        <v>4</v>
      </c>
      <c r="D10967" t="s">
        <v>5</v>
      </c>
      <c r="F10967" t="str" cm="1">
        <f t="array" ref="F10967">CategorizeComment(E10967)</f>
        <v>Other</v>
      </c>
      <c r="G10967" t="str" cm="1">
        <f t="array" ref="G10967">SubCategorizeComment(E10967)</f>
        <v>Other</v>
      </c>
    </row>
    <row r="10968" spans="1:7" x14ac:dyDescent="0.25">
      <c r="A10968">
        <v>103193</v>
      </c>
      <c r="B10968" t="s">
        <v>4</v>
      </c>
      <c r="C10968">
        <v>3</v>
      </c>
      <c r="D10968" t="s">
        <v>5</v>
      </c>
      <c r="F10968" t="str" cm="1">
        <f t="array" ref="F10968">CategorizeComment(E10968)</f>
        <v>Other</v>
      </c>
      <c r="G10968" t="str" cm="1">
        <f t="array" ref="G10968">SubCategorizeComment(E10968)</f>
        <v>Other</v>
      </c>
    </row>
    <row r="10969" spans="1:7" x14ac:dyDescent="0.25">
      <c r="A10969">
        <v>103221</v>
      </c>
      <c r="B10969" t="s">
        <v>4</v>
      </c>
      <c r="C10969">
        <v>4</v>
      </c>
      <c r="D10969" t="s">
        <v>5</v>
      </c>
      <c r="F10969" t="str" cm="1">
        <f t="array" ref="F10969">CategorizeComment(E10969)</f>
        <v>Other</v>
      </c>
      <c r="G10969" t="str" cm="1">
        <f t="array" ref="G10969">SubCategorizeComment(E10969)</f>
        <v>Other</v>
      </c>
    </row>
    <row r="10970" spans="1:7" x14ac:dyDescent="0.25">
      <c r="A10970">
        <v>103228</v>
      </c>
      <c r="B10970" t="s">
        <v>4</v>
      </c>
      <c r="C10970">
        <v>3</v>
      </c>
      <c r="D10970" t="s">
        <v>5</v>
      </c>
      <c r="F10970" t="str" cm="1">
        <f t="array" ref="F10970">CategorizeComment(E10970)</f>
        <v>Other</v>
      </c>
      <c r="G10970" t="str" cm="1">
        <f t="array" ref="G10970">SubCategorizeComment(E10970)</f>
        <v>Other</v>
      </c>
    </row>
    <row r="10971" spans="1:7" x14ac:dyDescent="0.25">
      <c r="A10971">
        <v>103270</v>
      </c>
      <c r="B10971" t="s">
        <v>4</v>
      </c>
      <c r="C10971">
        <v>4</v>
      </c>
      <c r="D10971" t="s">
        <v>5</v>
      </c>
      <c r="F10971" t="str" cm="1">
        <f t="array" ref="F10971">CategorizeComment(E10971)</f>
        <v>Other</v>
      </c>
      <c r="G10971" t="str" cm="1">
        <f t="array" ref="G10971">SubCategorizeComment(E10971)</f>
        <v>Other</v>
      </c>
    </row>
    <row r="10972" spans="1:7" x14ac:dyDescent="0.25">
      <c r="A10972">
        <v>103279</v>
      </c>
      <c r="B10972" t="s">
        <v>4</v>
      </c>
      <c r="C10972">
        <v>3</v>
      </c>
      <c r="D10972" t="s">
        <v>5</v>
      </c>
      <c r="F10972" t="str" cm="1">
        <f t="array" ref="F10972">CategorizeComment(E10972)</f>
        <v>Other</v>
      </c>
      <c r="G10972" t="str" cm="1">
        <f t="array" ref="G10972">SubCategorizeComment(E10972)</f>
        <v>Other</v>
      </c>
    </row>
    <row r="10973" spans="1:7" x14ac:dyDescent="0.25">
      <c r="A10973">
        <v>103296</v>
      </c>
      <c r="B10973" t="s">
        <v>4</v>
      </c>
      <c r="C10973">
        <v>4</v>
      </c>
      <c r="D10973" t="s">
        <v>5</v>
      </c>
      <c r="F10973" t="str" cm="1">
        <f t="array" ref="F10973">CategorizeComment(E10973)</f>
        <v>Other</v>
      </c>
      <c r="G10973" t="str" cm="1">
        <f t="array" ref="G10973">SubCategorizeComment(E10973)</f>
        <v>Other</v>
      </c>
    </row>
    <row r="10974" spans="1:7" x14ac:dyDescent="0.25">
      <c r="A10974">
        <v>103322</v>
      </c>
      <c r="B10974" t="s">
        <v>4</v>
      </c>
      <c r="C10974">
        <v>3</v>
      </c>
      <c r="D10974" t="s">
        <v>5</v>
      </c>
      <c r="F10974" t="str" cm="1">
        <f t="array" ref="F10974">CategorizeComment(E10974)</f>
        <v>Other</v>
      </c>
      <c r="G10974" t="str" cm="1">
        <f t="array" ref="G10974">SubCategorizeComment(E10974)</f>
        <v>Other</v>
      </c>
    </row>
    <row r="10975" spans="1:7" x14ac:dyDescent="0.25">
      <c r="A10975">
        <v>103335</v>
      </c>
      <c r="B10975" t="s">
        <v>4</v>
      </c>
      <c r="C10975">
        <v>4</v>
      </c>
      <c r="D10975" t="s">
        <v>5</v>
      </c>
      <c r="F10975" t="str" cm="1">
        <f t="array" ref="F10975">CategorizeComment(E10975)</f>
        <v>Other</v>
      </c>
      <c r="G10975" t="str" cm="1">
        <f t="array" ref="G10975">SubCategorizeComment(E10975)</f>
        <v>Other</v>
      </c>
    </row>
    <row r="10976" spans="1:7" x14ac:dyDescent="0.25">
      <c r="A10976">
        <v>103342</v>
      </c>
      <c r="B10976" t="s">
        <v>4</v>
      </c>
      <c r="C10976">
        <v>3</v>
      </c>
      <c r="D10976" t="s">
        <v>5</v>
      </c>
      <c r="F10976" t="str" cm="1">
        <f t="array" ref="F10976">CategorizeComment(E10976)</f>
        <v>Other</v>
      </c>
      <c r="G10976" t="str" cm="1">
        <f t="array" ref="G10976">SubCategorizeComment(E10976)</f>
        <v>Other</v>
      </c>
    </row>
    <row r="10977" spans="1:7" x14ac:dyDescent="0.25">
      <c r="A10977">
        <v>103349</v>
      </c>
      <c r="B10977" t="s">
        <v>4</v>
      </c>
      <c r="C10977">
        <v>3</v>
      </c>
      <c r="D10977" t="s">
        <v>5</v>
      </c>
      <c r="F10977" t="str" cm="1">
        <f t="array" ref="F10977">CategorizeComment(E10977)</f>
        <v>Other</v>
      </c>
      <c r="G10977" t="str" cm="1">
        <f t="array" ref="G10977">SubCategorizeComment(E10977)</f>
        <v>Other</v>
      </c>
    </row>
    <row r="10978" spans="1:7" x14ac:dyDescent="0.25">
      <c r="A10978">
        <v>103364</v>
      </c>
      <c r="B10978" t="s">
        <v>4</v>
      </c>
      <c r="C10978">
        <v>3</v>
      </c>
      <c r="D10978" t="s">
        <v>5</v>
      </c>
      <c r="F10978" t="str" cm="1">
        <f t="array" ref="F10978">CategorizeComment(E10978)</f>
        <v>Other</v>
      </c>
      <c r="G10978" t="str" cm="1">
        <f t="array" ref="G10978">SubCategorizeComment(E10978)</f>
        <v>Other</v>
      </c>
    </row>
    <row r="10979" spans="1:7" x14ac:dyDescent="0.25">
      <c r="A10979">
        <v>103365</v>
      </c>
      <c r="B10979" t="s">
        <v>4</v>
      </c>
      <c r="C10979">
        <v>3</v>
      </c>
      <c r="D10979" t="s">
        <v>5</v>
      </c>
      <c r="F10979" t="str" cm="1">
        <f t="array" ref="F10979">CategorizeComment(E10979)</f>
        <v>Other</v>
      </c>
      <c r="G10979" t="str" cm="1">
        <f t="array" ref="G10979">SubCategorizeComment(E10979)</f>
        <v>Other</v>
      </c>
    </row>
    <row r="10980" spans="1:7" x14ac:dyDescent="0.25">
      <c r="A10980">
        <v>103369</v>
      </c>
      <c r="B10980" t="s">
        <v>4</v>
      </c>
      <c r="C10980">
        <v>4</v>
      </c>
      <c r="D10980" t="s">
        <v>5</v>
      </c>
      <c r="F10980" t="str" cm="1">
        <f t="array" ref="F10980">CategorizeComment(E10980)</f>
        <v>Other</v>
      </c>
      <c r="G10980" t="str" cm="1">
        <f t="array" ref="G10980">SubCategorizeComment(E10980)</f>
        <v>Other</v>
      </c>
    </row>
    <row r="10981" spans="1:7" x14ac:dyDescent="0.25">
      <c r="A10981">
        <v>103399</v>
      </c>
      <c r="B10981" t="s">
        <v>4</v>
      </c>
      <c r="C10981">
        <v>3</v>
      </c>
      <c r="D10981" t="s">
        <v>5</v>
      </c>
      <c r="F10981" t="str" cm="1">
        <f t="array" ref="F10981">CategorizeComment(E10981)</f>
        <v>Other</v>
      </c>
      <c r="G10981" t="str" cm="1">
        <f t="array" ref="G10981">SubCategorizeComment(E10981)</f>
        <v>Other</v>
      </c>
    </row>
    <row r="10982" spans="1:7" x14ac:dyDescent="0.25">
      <c r="A10982">
        <v>103401</v>
      </c>
      <c r="B10982" t="s">
        <v>4</v>
      </c>
      <c r="C10982">
        <v>3</v>
      </c>
      <c r="D10982" t="s">
        <v>5</v>
      </c>
      <c r="F10982" t="str" cm="1">
        <f t="array" ref="F10982">CategorizeComment(E10982)</f>
        <v>Other</v>
      </c>
      <c r="G10982" t="str" cm="1">
        <f t="array" ref="G10982">SubCategorizeComment(E10982)</f>
        <v>Other</v>
      </c>
    </row>
    <row r="10983" spans="1:7" x14ac:dyDescent="0.25">
      <c r="A10983">
        <v>103403</v>
      </c>
      <c r="B10983" t="s">
        <v>4</v>
      </c>
      <c r="C10983">
        <v>3</v>
      </c>
      <c r="D10983" t="s">
        <v>5</v>
      </c>
      <c r="F10983" t="str" cm="1">
        <f t="array" ref="F10983">CategorizeComment(E10983)</f>
        <v>Other</v>
      </c>
      <c r="G10983" t="str" cm="1">
        <f t="array" ref="G10983">SubCategorizeComment(E10983)</f>
        <v>Other</v>
      </c>
    </row>
    <row r="10984" spans="1:7" x14ac:dyDescent="0.25">
      <c r="A10984">
        <v>103412</v>
      </c>
      <c r="B10984" t="s">
        <v>4</v>
      </c>
      <c r="C10984">
        <v>4</v>
      </c>
      <c r="D10984" t="s">
        <v>5</v>
      </c>
      <c r="F10984" t="str" cm="1">
        <f t="array" ref="F10984">CategorizeComment(E10984)</f>
        <v>Other</v>
      </c>
      <c r="G10984" t="str" cm="1">
        <f t="array" ref="G10984">SubCategorizeComment(E10984)</f>
        <v>Other</v>
      </c>
    </row>
    <row r="10985" spans="1:7" x14ac:dyDescent="0.25">
      <c r="A10985">
        <v>103415</v>
      </c>
      <c r="B10985" t="s">
        <v>4</v>
      </c>
      <c r="C10985">
        <v>3</v>
      </c>
      <c r="D10985" t="s">
        <v>5</v>
      </c>
      <c r="F10985" t="str" cm="1">
        <f t="array" ref="F10985">CategorizeComment(E10985)</f>
        <v>Other</v>
      </c>
      <c r="G10985" t="str" cm="1">
        <f t="array" ref="G10985">SubCategorizeComment(E10985)</f>
        <v>Other</v>
      </c>
    </row>
    <row r="10986" spans="1:7" x14ac:dyDescent="0.25">
      <c r="A10986">
        <v>103417</v>
      </c>
      <c r="B10986" t="s">
        <v>4</v>
      </c>
      <c r="C10986">
        <v>3</v>
      </c>
      <c r="D10986" t="s">
        <v>5</v>
      </c>
      <c r="F10986" t="str" cm="1">
        <f t="array" ref="F10986">CategorizeComment(E10986)</f>
        <v>Other</v>
      </c>
      <c r="G10986" t="str" cm="1">
        <f t="array" ref="G10986">SubCategorizeComment(E10986)</f>
        <v>Other</v>
      </c>
    </row>
    <row r="10987" spans="1:7" x14ac:dyDescent="0.25">
      <c r="A10987">
        <v>103437</v>
      </c>
      <c r="B10987" t="s">
        <v>4</v>
      </c>
      <c r="C10987">
        <v>3</v>
      </c>
      <c r="D10987" t="s">
        <v>5</v>
      </c>
      <c r="F10987" t="str" cm="1">
        <f t="array" ref="F10987">CategorizeComment(E10987)</f>
        <v>Other</v>
      </c>
      <c r="G10987" t="str" cm="1">
        <f t="array" ref="G10987">SubCategorizeComment(E10987)</f>
        <v>Other</v>
      </c>
    </row>
    <row r="10988" spans="1:7" x14ac:dyDescent="0.25">
      <c r="A10988">
        <v>103440</v>
      </c>
      <c r="B10988" t="s">
        <v>4</v>
      </c>
      <c r="C10988">
        <v>4</v>
      </c>
      <c r="D10988" t="s">
        <v>5</v>
      </c>
      <c r="F10988" t="str" cm="1">
        <f t="array" ref="F10988">CategorizeComment(E10988)</f>
        <v>Other</v>
      </c>
      <c r="G10988" t="str" cm="1">
        <f t="array" ref="G10988">SubCategorizeComment(E10988)</f>
        <v>Other</v>
      </c>
    </row>
    <row r="10989" spans="1:7" x14ac:dyDescent="0.25">
      <c r="A10989">
        <v>103451</v>
      </c>
      <c r="B10989" t="s">
        <v>4</v>
      </c>
      <c r="C10989">
        <v>4</v>
      </c>
      <c r="D10989" t="s">
        <v>5</v>
      </c>
      <c r="F10989" t="str" cm="1">
        <f t="array" ref="F10989">CategorizeComment(E10989)</f>
        <v>Other</v>
      </c>
      <c r="G10989" t="str" cm="1">
        <f t="array" ref="G10989">SubCategorizeComment(E10989)</f>
        <v>Other</v>
      </c>
    </row>
    <row r="10990" spans="1:7" x14ac:dyDescent="0.25">
      <c r="A10990">
        <v>103456</v>
      </c>
      <c r="B10990" t="s">
        <v>4</v>
      </c>
      <c r="C10990">
        <v>4</v>
      </c>
      <c r="D10990" t="s">
        <v>5</v>
      </c>
      <c r="F10990" t="str" cm="1">
        <f t="array" ref="F10990">CategorizeComment(E10990)</f>
        <v>Other</v>
      </c>
      <c r="G10990" t="str" cm="1">
        <f t="array" ref="G10990">SubCategorizeComment(E10990)</f>
        <v>Other</v>
      </c>
    </row>
    <row r="10991" spans="1:7" x14ac:dyDescent="0.25">
      <c r="A10991">
        <v>103460</v>
      </c>
      <c r="B10991" t="s">
        <v>4</v>
      </c>
      <c r="C10991">
        <v>4</v>
      </c>
      <c r="D10991" t="s">
        <v>5</v>
      </c>
      <c r="F10991" t="str" cm="1">
        <f t="array" ref="F10991">CategorizeComment(E10991)</f>
        <v>Other</v>
      </c>
      <c r="G10991" t="str" cm="1">
        <f t="array" ref="G10991">SubCategorizeComment(E10991)</f>
        <v>Other</v>
      </c>
    </row>
    <row r="10992" spans="1:7" x14ac:dyDescent="0.25">
      <c r="A10992">
        <v>103490</v>
      </c>
      <c r="B10992" t="s">
        <v>4</v>
      </c>
      <c r="C10992">
        <v>4</v>
      </c>
      <c r="D10992" t="s">
        <v>5</v>
      </c>
      <c r="F10992" t="str" cm="1">
        <f t="array" ref="F10992">CategorizeComment(E10992)</f>
        <v>Other</v>
      </c>
      <c r="G10992" t="str" cm="1">
        <f t="array" ref="G10992">SubCategorizeComment(E10992)</f>
        <v>Other</v>
      </c>
    </row>
    <row r="10993" spans="1:7" x14ac:dyDescent="0.25">
      <c r="A10993">
        <v>103495</v>
      </c>
      <c r="B10993" t="s">
        <v>4</v>
      </c>
      <c r="C10993">
        <v>3</v>
      </c>
      <c r="D10993" t="s">
        <v>5</v>
      </c>
      <c r="F10993" t="str" cm="1">
        <f t="array" ref="F10993">CategorizeComment(E10993)</f>
        <v>Other</v>
      </c>
      <c r="G10993" t="str" cm="1">
        <f t="array" ref="G10993">SubCategorizeComment(E10993)</f>
        <v>Other</v>
      </c>
    </row>
    <row r="10994" spans="1:7" x14ac:dyDescent="0.25">
      <c r="A10994">
        <v>103511</v>
      </c>
      <c r="B10994" t="s">
        <v>4</v>
      </c>
      <c r="C10994">
        <v>4</v>
      </c>
      <c r="D10994" t="s">
        <v>5</v>
      </c>
      <c r="F10994" t="str" cm="1">
        <f t="array" ref="F10994">CategorizeComment(E10994)</f>
        <v>Other</v>
      </c>
      <c r="G10994" t="str" cm="1">
        <f t="array" ref="G10994">SubCategorizeComment(E10994)</f>
        <v>Other</v>
      </c>
    </row>
    <row r="10995" spans="1:7" x14ac:dyDescent="0.25">
      <c r="A10995">
        <v>103540</v>
      </c>
      <c r="B10995" t="s">
        <v>4</v>
      </c>
      <c r="C10995">
        <v>3</v>
      </c>
      <c r="D10995" t="s">
        <v>5</v>
      </c>
      <c r="F10995" t="str" cm="1">
        <f t="array" ref="F10995">CategorizeComment(E10995)</f>
        <v>Other</v>
      </c>
      <c r="G10995" t="str" cm="1">
        <f t="array" ref="G10995">SubCategorizeComment(E10995)</f>
        <v>Other</v>
      </c>
    </row>
    <row r="10996" spans="1:7" x14ac:dyDescent="0.25">
      <c r="A10996">
        <v>103577</v>
      </c>
      <c r="B10996" t="s">
        <v>4</v>
      </c>
      <c r="C10996">
        <v>3</v>
      </c>
      <c r="D10996" t="s">
        <v>5</v>
      </c>
      <c r="F10996" t="str" cm="1">
        <f t="array" ref="F10996">CategorizeComment(E10996)</f>
        <v>Other</v>
      </c>
      <c r="G10996" t="str" cm="1">
        <f t="array" ref="G10996">SubCategorizeComment(E10996)</f>
        <v>Other</v>
      </c>
    </row>
    <row r="10997" spans="1:7" x14ac:dyDescent="0.25">
      <c r="A10997">
        <v>103591</v>
      </c>
      <c r="B10997" t="s">
        <v>4</v>
      </c>
      <c r="C10997">
        <v>3</v>
      </c>
      <c r="D10997" t="s">
        <v>5</v>
      </c>
      <c r="F10997" t="str" cm="1">
        <f t="array" ref="F10997">CategorizeComment(E10997)</f>
        <v>Other</v>
      </c>
      <c r="G10997" t="str" cm="1">
        <f t="array" ref="G10997">SubCategorizeComment(E10997)</f>
        <v>Other</v>
      </c>
    </row>
    <row r="10998" spans="1:7" x14ac:dyDescent="0.25">
      <c r="A10998">
        <v>103600</v>
      </c>
      <c r="B10998" t="s">
        <v>4</v>
      </c>
      <c r="C10998">
        <v>4</v>
      </c>
      <c r="D10998" t="s">
        <v>5</v>
      </c>
      <c r="F10998" t="str" cm="1">
        <f t="array" ref="F10998">CategorizeComment(E10998)</f>
        <v>Other</v>
      </c>
      <c r="G10998" t="str" cm="1">
        <f t="array" ref="G10998">SubCategorizeComment(E10998)</f>
        <v>Other</v>
      </c>
    </row>
    <row r="10999" spans="1:7" x14ac:dyDescent="0.25">
      <c r="A10999">
        <v>103605</v>
      </c>
      <c r="B10999" t="s">
        <v>4</v>
      </c>
      <c r="C10999">
        <v>3</v>
      </c>
      <c r="D10999" t="s">
        <v>5</v>
      </c>
      <c r="F10999" t="str" cm="1">
        <f t="array" ref="F10999">CategorizeComment(E10999)</f>
        <v>Other</v>
      </c>
      <c r="G10999" t="str" cm="1">
        <f t="array" ref="G10999">SubCategorizeComment(E10999)</f>
        <v>Other</v>
      </c>
    </row>
    <row r="11000" spans="1:7" x14ac:dyDescent="0.25">
      <c r="A11000">
        <v>103611</v>
      </c>
      <c r="B11000" t="s">
        <v>4</v>
      </c>
      <c r="C11000">
        <v>3</v>
      </c>
      <c r="D11000" t="s">
        <v>5</v>
      </c>
      <c r="F11000" t="str" cm="1">
        <f t="array" ref="F11000">CategorizeComment(E11000)</f>
        <v>Other</v>
      </c>
      <c r="G11000" t="str" cm="1">
        <f t="array" ref="G11000">SubCategorizeComment(E11000)</f>
        <v>Other</v>
      </c>
    </row>
    <row r="11001" spans="1:7" x14ac:dyDescent="0.25">
      <c r="A11001">
        <v>103629</v>
      </c>
      <c r="B11001" t="s">
        <v>4</v>
      </c>
      <c r="C11001">
        <v>4</v>
      </c>
      <c r="D11001" t="s">
        <v>5</v>
      </c>
      <c r="F11001" t="str" cm="1">
        <f t="array" ref="F11001">CategorizeComment(E11001)</f>
        <v>Other</v>
      </c>
      <c r="G11001" t="str" cm="1">
        <f t="array" ref="G11001">SubCategorizeComment(E11001)</f>
        <v>Other</v>
      </c>
    </row>
    <row r="11002" spans="1:7" x14ac:dyDescent="0.25">
      <c r="A11002">
        <v>103652</v>
      </c>
      <c r="B11002" t="s">
        <v>4</v>
      </c>
      <c r="C11002">
        <v>4</v>
      </c>
      <c r="D11002" t="s">
        <v>5</v>
      </c>
      <c r="F11002" t="str" cm="1">
        <f t="array" ref="F11002">CategorizeComment(E11002)</f>
        <v>Other</v>
      </c>
      <c r="G11002" t="str" cm="1">
        <f t="array" ref="G11002">SubCategorizeComment(E11002)</f>
        <v>Other</v>
      </c>
    </row>
    <row r="11003" spans="1:7" x14ac:dyDescent="0.25">
      <c r="A11003">
        <v>103667</v>
      </c>
      <c r="B11003" t="s">
        <v>4</v>
      </c>
      <c r="C11003">
        <v>4</v>
      </c>
      <c r="D11003" t="s">
        <v>5</v>
      </c>
      <c r="F11003" t="str" cm="1">
        <f t="array" ref="F11003">CategorizeComment(E11003)</f>
        <v>Other</v>
      </c>
      <c r="G11003" t="str" cm="1">
        <f t="array" ref="G11003">SubCategorizeComment(E11003)</f>
        <v>Other</v>
      </c>
    </row>
    <row r="11004" spans="1:7" x14ac:dyDescent="0.25">
      <c r="A11004">
        <v>103674</v>
      </c>
      <c r="B11004" t="s">
        <v>4</v>
      </c>
      <c r="C11004">
        <v>3</v>
      </c>
      <c r="D11004" t="s">
        <v>5</v>
      </c>
      <c r="F11004" t="str" cm="1">
        <f t="array" ref="F11004">CategorizeComment(E11004)</f>
        <v>Other</v>
      </c>
      <c r="G11004" t="str" cm="1">
        <f t="array" ref="G11004">SubCategorizeComment(E11004)</f>
        <v>Other</v>
      </c>
    </row>
    <row r="11005" spans="1:7" x14ac:dyDescent="0.25">
      <c r="A11005">
        <v>103693</v>
      </c>
      <c r="B11005" t="s">
        <v>4</v>
      </c>
      <c r="C11005">
        <v>4</v>
      </c>
      <c r="D11005" t="s">
        <v>5</v>
      </c>
      <c r="F11005" t="str" cm="1">
        <f t="array" ref="F11005">CategorizeComment(E11005)</f>
        <v>Other</v>
      </c>
      <c r="G11005" t="str" cm="1">
        <f t="array" ref="G11005">SubCategorizeComment(E11005)</f>
        <v>Other</v>
      </c>
    </row>
    <row r="11006" spans="1:7" x14ac:dyDescent="0.25">
      <c r="A11006">
        <v>103694</v>
      </c>
      <c r="B11006" t="s">
        <v>4</v>
      </c>
      <c r="C11006">
        <v>3</v>
      </c>
      <c r="D11006" t="s">
        <v>5</v>
      </c>
      <c r="F11006" t="str" cm="1">
        <f t="array" ref="F11006">CategorizeComment(E11006)</f>
        <v>Other</v>
      </c>
      <c r="G11006" t="str" cm="1">
        <f t="array" ref="G11006">SubCategorizeComment(E11006)</f>
        <v>Other</v>
      </c>
    </row>
    <row r="11007" spans="1:7" x14ac:dyDescent="0.25">
      <c r="A11007">
        <v>103702</v>
      </c>
      <c r="B11007" t="s">
        <v>4</v>
      </c>
      <c r="C11007">
        <v>4</v>
      </c>
      <c r="D11007" t="s">
        <v>5</v>
      </c>
      <c r="F11007" t="str" cm="1">
        <f t="array" ref="F11007">CategorizeComment(E11007)</f>
        <v>Other</v>
      </c>
      <c r="G11007" t="str" cm="1">
        <f t="array" ref="G11007">SubCategorizeComment(E11007)</f>
        <v>Other</v>
      </c>
    </row>
    <row r="11008" spans="1:7" x14ac:dyDescent="0.25">
      <c r="A11008">
        <v>103714</v>
      </c>
      <c r="B11008" t="s">
        <v>4</v>
      </c>
      <c r="C11008">
        <v>3</v>
      </c>
      <c r="D11008" t="s">
        <v>5</v>
      </c>
      <c r="F11008" t="str" cm="1">
        <f t="array" ref="F11008">CategorizeComment(E11008)</f>
        <v>Other</v>
      </c>
      <c r="G11008" t="str" cm="1">
        <f t="array" ref="G11008">SubCategorizeComment(E11008)</f>
        <v>Other</v>
      </c>
    </row>
    <row r="11009" spans="1:7" x14ac:dyDescent="0.25">
      <c r="A11009">
        <v>103736</v>
      </c>
      <c r="B11009" t="s">
        <v>4</v>
      </c>
      <c r="C11009">
        <v>4</v>
      </c>
      <c r="D11009" t="s">
        <v>5</v>
      </c>
      <c r="F11009" t="str" cm="1">
        <f t="array" ref="F11009">CategorizeComment(E11009)</f>
        <v>Other</v>
      </c>
      <c r="G11009" t="str" cm="1">
        <f t="array" ref="G11009">SubCategorizeComment(E11009)</f>
        <v>Other</v>
      </c>
    </row>
    <row r="11010" spans="1:7" x14ac:dyDescent="0.25">
      <c r="A11010">
        <v>103753</v>
      </c>
      <c r="B11010" t="s">
        <v>4</v>
      </c>
      <c r="C11010">
        <v>4</v>
      </c>
      <c r="D11010" t="s">
        <v>5</v>
      </c>
      <c r="F11010" t="str" cm="1">
        <f t="array" ref="F11010">CategorizeComment(E11010)</f>
        <v>Other</v>
      </c>
      <c r="G11010" t="str" cm="1">
        <f t="array" ref="G11010">SubCategorizeComment(E11010)</f>
        <v>Other</v>
      </c>
    </row>
    <row r="11011" spans="1:7" x14ac:dyDescent="0.25">
      <c r="A11011">
        <v>103776</v>
      </c>
      <c r="B11011" t="s">
        <v>4</v>
      </c>
      <c r="C11011">
        <v>3</v>
      </c>
      <c r="D11011" t="s">
        <v>5</v>
      </c>
      <c r="F11011" t="str" cm="1">
        <f t="array" ref="F11011">CategorizeComment(E11011)</f>
        <v>Other</v>
      </c>
      <c r="G11011" t="str" cm="1">
        <f t="array" ref="G11011">SubCategorizeComment(E11011)</f>
        <v>Other</v>
      </c>
    </row>
    <row r="11012" spans="1:7" x14ac:dyDescent="0.25">
      <c r="A11012">
        <v>103817</v>
      </c>
      <c r="B11012" t="s">
        <v>4</v>
      </c>
      <c r="C11012">
        <v>3</v>
      </c>
      <c r="D11012" t="s">
        <v>5</v>
      </c>
      <c r="F11012" t="str" cm="1">
        <f t="array" ref="F11012">CategorizeComment(E11012)</f>
        <v>Other</v>
      </c>
      <c r="G11012" t="str" cm="1">
        <f t="array" ref="G11012">SubCategorizeComment(E11012)</f>
        <v>Other</v>
      </c>
    </row>
    <row r="11013" spans="1:7" x14ac:dyDescent="0.25">
      <c r="A11013">
        <v>103824</v>
      </c>
      <c r="B11013" t="s">
        <v>4</v>
      </c>
      <c r="C11013">
        <v>3</v>
      </c>
      <c r="D11013" t="s">
        <v>5</v>
      </c>
      <c r="F11013" t="str" cm="1">
        <f t="array" ref="F11013">CategorizeComment(E11013)</f>
        <v>Other</v>
      </c>
      <c r="G11013" t="str" cm="1">
        <f t="array" ref="G11013">SubCategorizeComment(E11013)</f>
        <v>Other</v>
      </c>
    </row>
    <row r="11014" spans="1:7" x14ac:dyDescent="0.25">
      <c r="A11014">
        <v>103826</v>
      </c>
      <c r="B11014" t="s">
        <v>4</v>
      </c>
      <c r="C11014">
        <v>4</v>
      </c>
      <c r="D11014" t="s">
        <v>5</v>
      </c>
      <c r="F11014" t="str" cm="1">
        <f t="array" ref="F11014">CategorizeComment(E11014)</f>
        <v>Other</v>
      </c>
      <c r="G11014" t="str" cm="1">
        <f t="array" ref="G11014">SubCategorizeComment(E11014)</f>
        <v>Other</v>
      </c>
    </row>
    <row r="11015" spans="1:7" x14ac:dyDescent="0.25">
      <c r="A11015">
        <v>103846</v>
      </c>
      <c r="B11015" t="s">
        <v>4</v>
      </c>
      <c r="C11015">
        <v>4</v>
      </c>
      <c r="D11015" t="s">
        <v>5</v>
      </c>
      <c r="F11015" t="str" cm="1">
        <f t="array" ref="F11015">CategorizeComment(E11015)</f>
        <v>Other</v>
      </c>
      <c r="G11015" t="str" cm="1">
        <f t="array" ref="G11015">SubCategorizeComment(E11015)</f>
        <v>Other</v>
      </c>
    </row>
    <row r="11016" spans="1:7" x14ac:dyDescent="0.25">
      <c r="A11016">
        <v>103849</v>
      </c>
      <c r="B11016" t="s">
        <v>4</v>
      </c>
      <c r="C11016">
        <v>3</v>
      </c>
      <c r="D11016" t="s">
        <v>5</v>
      </c>
      <c r="F11016" t="str" cm="1">
        <f t="array" ref="F11016">CategorizeComment(E11016)</f>
        <v>Other</v>
      </c>
      <c r="G11016" t="str" cm="1">
        <f t="array" ref="G11016">SubCategorizeComment(E11016)</f>
        <v>Other</v>
      </c>
    </row>
    <row r="11017" spans="1:7" x14ac:dyDescent="0.25">
      <c r="A11017">
        <v>103864</v>
      </c>
      <c r="B11017" t="s">
        <v>4</v>
      </c>
      <c r="C11017">
        <v>3</v>
      </c>
      <c r="D11017" t="s">
        <v>5</v>
      </c>
      <c r="F11017" t="str" cm="1">
        <f t="array" ref="F11017">CategorizeComment(E11017)</f>
        <v>Other</v>
      </c>
      <c r="G11017" t="str" cm="1">
        <f t="array" ref="G11017">SubCategorizeComment(E11017)</f>
        <v>Other</v>
      </c>
    </row>
    <row r="11018" spans="1:7" x14ac:dyDescent="0.25">
      <c r="A11018">
        <v>103868</v>
      </c>
      <c r="B11018" t="s">
        <v>4</v>
      </c>
      <c r="C11018">
        <v>3</v>
      </c>
      <c r="D11018" t="s">
        <v>5</v>
      </c>
      <c r="F11018" t="str" cm="1">
        <f t="array" ref="F11018">CategorizeComment(E11018)</f>
        <v>Other</v>
      </c>
      <c r="G11018" t="str" cm="1">
        <f t="array" ref="G11018">SubCategorizeComment(E11018)</f>
        <v>Other</v>
      </c>
    </row>
    <row r="11019" spans="1:7" x14ac:dyDescent="0.25">
      <c r="A11019">
        <v>103870</v>
      </c>
      <c r="B11019" t="s">
        <v>4</v>
      </c>
      <c r="C11019">
        <v>3</v>
      </c>
      <c r="D11019" t="s">
        <v>5</v>
      </c>
      <c r="F11019" t="str" cm="1">
        <f t="array" ref="F11019">CategorizeComment(E11019)</f>
        <v>Other</v>
      </c>
      <c r="G11019" t="str" cm="1">
        <f t="array" ref="G11019">SubCategorizeComment(E11019)</f>
        <v>Other</v>
      </c>
    </row>
    <row r="11020" spans="1:7" x14ac:dyDescent="0.25">
      <c r="A11020">
        <v>103884</v>
      </c>
      <c r="B11020" t="s">
        <v>4</v>
      </c>
      <c r="C11020">
        <v>3</v>
      </c>
      <c r="D11020" t="s">
        <v>5</v>
      </c>
      <c r="F11020" t="str" cm="1">
        <f t="array" ref="F11020">CategorizeComment(E11020)</f>
        <v>Other</v>
      </c>
      <c r="G11020" t="str" cm="1">
        <f t="array" ref="G11020">SubCategorizeComment(E11020)</f>
        <v>Other</v>
      </c>
    </row>
    <row r="11021" spans="1:7" x14ac:dyDescent="0.25">
      <c r="A11021">
        <v>103915</v>
      </c>
      <c r="B11021" t="s">
        <v>4</v>
      </c>
      <c r="C11021">
        <v>4</v>
      </c>
      <c r="D11021" t="s">
        <v>5</v>
      </c>
      <c r="F11021" t="str" cm="1">
        <f t="array" ref="F11021">CategorizeComment(E11021)</f>
        <v>Other</v>
      </c>
      <c r="G11021" t="str" cm="1">
        <f t="array" ref="G11021">SubCategorizeComment(E11021)</f>
        <v>Other</v>
      </c>
    </row>
    <row r="11022" spans="1:7" x14ac:dyDescent="0.25">
      <c r="A11022">
        <v>103944</v>
      </c>
      <c r="B11022" t="s">
        <v>4</v>
      </c>
      <c r="C11022">
        <v>3</v>
      </c>
      <c r="D11022" t="s">
        <v>5</v>
      </c>
      <c r="F11022" t="str" cm="1">
        <f t="array" ref="F11022">CategorizeComment(E11022)</f>
        <v>Other</v>
      </c>
      <c r="G11022" t="str" cm="1">
        <f t="array" ref="G11022">SubCategorizeComment(E11022)</f>
        <v>Other</v>
      </c>
    </row>
    <row r="11023" spans="1:7" x14ac:dyDescent="0.25">
      <c r="A11023">
        <v>103997</v>
      </c>
      <c r="B11023" t="s">
        <v>4</v>
      </c>
      <c r="C11023">
        <v>3</v>
      </c>
      <c r="D11023" t="s">
        <v>5</v>
      </c>
      <c r="F11023" t="str" cm="1">
        <f t="array" ref="F11023">CategorizeComment(E11023)</f>
        <v>Other</v>
      </c>
      <c r="G11023" t="str" cm="1">
        <f t="array" ref="G11023">SubCategorizeComment(E11023)</f>
        <v>Other</v>
      </c>
    </row>
    <row r="11024" spans="1:7" x14ac:dyDescent="0.25">
      <c r="A11024">
        <v>104011</v>
      </c>
      <c r="B11024" t="s">
        <v>4</v>
      </c>
      <c r="C11024">
        <v>3</v>
      </c>
      <c r="D11024" t="s">
        <v>5</v>
      </c>
      <c r="F11024" t="str" cm="1">
        <f t="array" ref="F11024">CategorizeComment(E11024)</f>
        <v>Other</v>
      </c>
      <c r="G11024" t="str" cm="1">
        <f t="array" ref="G11024">SubCategorizeComment(E11024)</f>
        <v>Other</v>
      </c>
    </row>
    <row r="11025" spans="1:7" x14ac:dyDescent="0.25">
      <c r="A11025">
        <v>104044</v>
      </c>
      <c r="B11025" t="s">
        <v>4</v>
      </c>
      <c r="C11025">
        <v>3</v>
      </c>
      <c r="D11025" t="s">
        <v>5</v>
      </c>
      <c r="F11025" t="str" cm="1">
        <f t="array" ref="F11025">CategorizeComment(E11025)</f>
        <v>Other</v>
      </c>
      <c r="G11025" t="str" cm="1">
        <f t="array" ref="G11025">SubCategorizeComment(E11025)</f>
        <v>Other</v>
      </c>
    </row>
    <row r="11026" spans="1:7" x14ac:dyDescent="0.25">
      <c r="A11026">
        <v>104047</v>
      </c>
      <c r="B11026" t="s">
        <v>4</v>
      </c>
      <c r="C11026">
        <v>4</v>
      </c>
      <c r="D11026" t="s">
        <v>5</v>
      </c>
      <c r="F11026" t="str" cm="1">
        <f t="array" ref="F11026">CategorizeComment(E11026)</f>
        <v>Other</v>
      </c>
      <c r="G11026" t="str" cm="1">
        <f t="array" ref="G11026">SubCategorizeComment(E11026)</f>
        <v>Other</v>
      </c>
    </row>
    <row r="11027" spans="1:7" x14ac:dyDescent="0.25">
      <c r="A11027">
        <v>104050</v>
      </c>
      <c r="B11027" t="s">
        <v>4</v>
      </c>
      <c r="C11027">
        <v>4</v>
      </c>
      <c r="D11027" t="s">
        <v>5</v>
      </c>
      <c r="F11027" t="str" cm="1">
        <f t="array" ref="F11027">CategorizeComment(E11027)</f>
        <v>Other</v>
      </c>
      <c r="G11027" t="str" cm="1">
        <f t="array" ref="G11027">SubCategorizeComment(E11027)</f>
        <v>Other</v>
      </c>
    </row>
    <row r="11028" spans="1:7" x14ac:dyDescent="0.25">
      <c r="A11028">
        <v>104056</v>
      </c>
      <c r="B11028" t="s">
        <v>4</v>
      </c>
      <c r="C11028">
        <v>3</v>
      </c>
      <c r="D11028" t="s">
        <v>5</v>
      </c>
      <c r="F11028" t="str" cm="1">
        <f t="array" ref="F11028">CategorizeComment(E11028)</f>
        <v>Other</v>
      </c>
      <c r="G11028" t="str" cm="1">
        <f t="array" ref="G11028">SubCategorizeComment(E11028)</f>
        <v>Other</v>
      </c>
    </row>
    <row r="11029" spans="1:7" x14ac:dyDescent="0.25">
      <c r="A11029">
        <v>104074</v>
      </c>
      <c r="B11029" t="s">
        <v>4</v>
      </c>
      <c r="C11029">
        <v>4</v>
      </c>
      <c r="D11029" t="s">
        <v>5</v>
      </c>
      <c r="F11029" t="str" cm="1">
        <f t="array" ref="F11029">CategorizeComment(E11029)</f>
        <v>Other</v>
      </c>
      <c r="G11029" t="str" cm="1">
        <f t="array" ref="G11029">SubCategorizeComment(E11029)</f>
        <v>Other</v>
      </c>
    </row>
    <row r="11030" spans="1:7" x14ac:dyDescent="0.25">
      <c r="A11030">
        <v>104076</v>
      </c>
      <c r="B11030" t="s">
        <v>4</v>
      </c>
      <c r="C11030">
        <v>4</v>
      </c>
      <c r="D11030" t="s">
        <v>5</v>
      </c>
      <c r="F11030" t="str" cm="1">
        <f t="array" ref="F11030">CategorizeComment(E11030)</f>
        <v>Other</v>
      </c>
      <c r="G11030" t="str" cm="1">
        <f t="array" ref="G11030">SubCategorizeComment(E11030)</f>
        <v>Other</v>
      </c>
    </row>
    <row r="11031" spans="1:7" x14ac:dyDescent="0.25">
      <c r="A11031">
        <v>104078</v>
      </c>
      <c r="B11031" t="s">
        <v>4</v>
      </c>
      <c r="C11031">
        <v>3</v>
      </c>
      <c r="D11031" t="s">
        <v>5</v>
      </c>
      <c r="F11031" t="str" cm="1">
        <f t="array" ref="F11031">CategorizeComment(E11031)</f>
        <v>Other</v>
      </c>
      <c r="G11031" t="str" cm="1">
        <f t="array" ref="G11031">SubCategorizeComment(E11031)</f>
        <v>Other</v>
      </c>
    </row>
    <row r="11032" spans="1:7" x14ac:dyDescent="0.25">
      <c r="A11032">
        <v>104105</v>
      </c>
      <c r="B11032" t="s">
        <v>4</v>
      </c>
      <c r="C11032">
        <v>3</v>
      </c>
      <c r="D11032" t="s">
        <v>5</v>
      </c>
      <c r="F11032" t="str" cm="1">
        <f t="array" ref="F11032">CategorizeComment(E11032)</f>
        <v>Other</v>
      </c>
      <c r="G11032" t="str" cm="1">
        <f t="array" ref="G11032">SubCategorizeComment(E11032)</f>
        <v>Other</v>
      </c>
    </row>
    <row r="11033" spans="1:7" x14ac:dyDescent="0.25">
      <c r="A11033">
        <v>104154</v>
      </c>
      <c r="B11033" t="s">
        <v>4</v>
      </c>
      <c r="C11033">
        <v>3</v>
      </c>
      <c r="D11033" t="s">
        <v>5</v>
      </c>
      <c r="F11033" t="str" cm="1">
        <f t="array" ref="F11033">CategorizeComment(E11033)</f>
        <v>Other</v>
      </c>
      <c r="G11033" t="str" cm="1">
        <f t="array" ref="G11033">SubCategorizeComment(E11033)</f>
        <v>Other</v>
      </c>
    </row>
    <row r="11034" spans="1:7" x14ac:dyDescent="0.25">
      <c r="A11034">
        <v>104161</v>
      </c>
      <c r="B11034" t="s">
        <v>4</v>
      </c>
      <c r="C11034">
        <v>4</v>
      </c>
      <c r="D11034" t="s">
        <v>5</v>
      </c>
      <c r="F11034" t="str" cm="1">
        <f t="array" ref="F11034">CategorizeComment(E11034)</f>
        <v>Other</v>
      </c>
      <c r="G11034" t="str" cm="1">
        <f t="array" ref="G11034">SubCategorizeComment(E11034)</f>
        <v>Other</v>
      </c>
    </row>
    <row r="11035" spans="1:7" x14ac:dyDescent="0.25">
      <c r="A11035">
        <v>104176</v>
      </c>
      <c r="B11035" t="s">
        <v>4</v>
      </c>
      <c r="C11035">
        <v>4</v>
      </c>
      <c r="D11035" t="s">
        <v>5</v>
      </c>
      <c r="F11035" t="str" cm="1">
        <f t="array" ref="F11035">CategorizeComment(E11035)</f>
        <v>Other</v>
      </c>
      <c r="G11035" t="str" cm="1">
        <f t="array" ref="G11035">SubCategorizeComment(E11035)</f>
        <v>Other</v>
      </c>
    </row>
    <row r="11036" spans="1:7" x14ac:dyDescent="0.25">
      <c r="A11036">
        <v>104192</v>
      </c>
      <c r="B11036" t="s">
        <v>4</v>
      </c>
      <c r="C11036">
        <v>4</v>
      </c>
      <c r="D11036" t="s">
        <v>5</v>
      </c>
      <c r="F11036" t="str" cm="1">
        <f t="array" ref="F11036">CategorizeComment(E11036)</f>
        <v>Other</v>
      </c>
      <c r="G11036" t="str" cm="1">
        <f t="array" ref="G11036">SubCategorizeComment(E11036)</f>
        <v>Other</v>
      </c>
    </row>
    <row r="11037" spans="1:7" x14ac:dyDescent="0.25">
      <c r="A11037">
        <v>104196</v>
      </c>
      <c r="B11037" t="s">
        <v>4</v>
      </c>
      <c r="C11037">
        <v>3</v>
      </c>
      <c r="D11037" t="s">
        <v>5</v>
      </c>
      <c r="F11037" t="str" cm="1">
        <f t="array" ref="F11037">CategorizeComment(E11037)</f>
        <v>Other</v>
      </c>
      <c r="G11037" t="str" cm="1">
        <f t="array" ref="G11037">SubCategorizeComment(E11037)</f>
        <v>Other</v>
      </c>
    </row>
    <row r="11038" spans="1:7" x14ac:dyDescent="0.25">
      <c r="A11038">
        <v>104198</v>
      </c>
      <c r="B11038" t="s">
        <v>4</v>
      </c>
      <c r="C11038">
        <v>4</v>
      </c>
      <c r="D11038" t="s">
        <v>5</v>
      </c>
      <c r="F11038" t="str" cm="1">
        <f t="array" ref="F11038">CategorizeComment(E11038)</f>
        <v>Other</v>
      </c>
      <c r="G11038" t="str" cm="1">
        <f t="array" ref="G11038">SubCategorizeComment(E11038)</f>
        <v>Other</v>
      </c>
    </row>
    <row r="11039" spans="1:7" x14ac:dyDescent="0.25">
      <c r="A11039">
        <v>104222</v>
      </c>
      <c r="B11039" t="s">
        <v>4</v>
      </c>
      <c r="C11039">
        <v>4</v>
      </c>
      <c r="D11039" t="s">
        <v>5</v>
      </c>
      <c r="F11039" t="str" cm="1">
        <f t="array" ref="F11039">CategorizeComment(E11039)</f>
        <v>Other</v>
      </c>
      <c r="G11039" t="str" cm="1">
        <f t="array" ref="G11039">SubCategorizeComment(E11039)</f>
        <v>Other</v>
      </c>
    </row>
    <row r="11040" spans="1:7" x14ac:dyDescent="0.25">
      <c r="A11040">
        <v>104269</v>
      </c>
      <c r="B11040" t="s">
        <v>4</v>
      </c>
      <c r="C11040">
        <v>3</v>
      </c>
      <c r="D11040" t="s">
        <v>5</v>
      </c>
      <c r="F11040" t="str" cm="1">
        <f t="array" ref="F11040">CategorizeComment(E11040)</f>
        <v>Other</v>
      </c>
      <c r="G11040" t="str" cm="1">
        <f t="array" ref="G11040">SubCategorizeComment(E11040)</f>
        <v>Other</v>
      </c>
    </row>
    <row r="11041" spans="1:7" x14ac:dyDescent="0.25">
      <c r="A11041">
        <v>104282</v>
      </c>
      <c r="B11041" t="s">
        <v>4</v>
      </c>
      <c r="C11041">
        <v>3</v>
      </c>
      <c r="D11041" t="s">
        <v>5</v>
      </c>
      <c r="F11041" t="str" cm="1">
        <f t="array" ref="F11041">CategorizeComment(E11041)</f>
        <v>Other</v>
      </c>
      <c r="G11041" t="str" cm="1">
        <f t="array" ref="G11041">SubCategorizeComment(E11041)</f>
        <v>Other</v>
      </c>
    </row>
    <row r="11042" spans="1:7" x14ac:dyDescent="0.25">
      <c r="A11042">
        <v>104311</v>
      </c>
      <c r="B11042" t="s">
        <v>4</v>
      </c>
      <c r="C11042">
        <v>4</v>
      </c>
      <c r="D11042" t="s">
        <v>5</v>
      </c>
      <c r="F11042" t="str" cm="1">
        <f t="array" ref="F11042">CategorizeComment(E11042)</f>
        <v>Other</v>
      </c>
      <c r="G11042" t="str" cm="1">
        <f t="array" ref="G11042">SubCategorizeComment(E11042)</f>
        <v>Other</v>
      </c>
    </row>
    <row r="11043" spans="1:7" x14ac:dyDescent="0.25">
      <c r="A11043">
        <v>104314</v>
      </c>
      <c r="B11043" t="s">
        <v>4</v>
      </c>
      <c r="C11043">
        <v>3</v>
      </c>
      <c r="D11043" t="s">
        <v>5</v>
      </c>
      <c r="F11043" t="str" cm="1">
        <f t="array" ref="F11043">CategorizeComment(E11043)</f>
        <v>Other</v>
      </c>
      <c r="G11043" t="str" cm="1">
        <f t="array" ref="G11043">SubCategorizeComment(E11043)</f>
        <v>Other</v>
      </c>
    </row>
    <row r="11044" spans="1:7" x14ac:dyDescent="0.25">
      <c r="A11044">
        <v>104325</v>
      </c>
      <c r="B11044" t="s">
        <v>4</v>
      </c>
      <c r="C11044">
        <v>3</v>
      </c>
      <c r="D11044" t="s">
        <v>5</v>
      </c>
      <c r="F11044" t="str" cm="1">
        <f t="array" ref="F11044">CategorizeComment(E11044)</f>
        <v>Other</v>
      </c>
      <c r="G11044" t="str" cm="1">
        <f t="array" ref="G11044">SubCategorizeComment(E11044)</f>
        <v>Other</v>
      </c>
    </row>
    <row r="11045" spans="1:7" x14ac:dyDescent="0.25">
      <c r="A11045">
        <v>104326</v>
      </c>
      <c r="B11045" t="s">
        <v>4</v>
      </c>
      <c r="C11045">
        <v>4</v>
      </c>
      <c r="D11045" t="s">
        <v>5</v>
      </c>
      <c r="F11045" t="str" cm="1">
        <f t="array" ref="F11045">CategorizeComment(E11045)</f>
        <v>Other</v>
      </c>
      <c r="G11045" t="str" cm="1">
        <f t="array" ref="G11045">SubCategorizeComment(E11045)</f>
        <v>Other</v>
      </c>
    </row>
    <row r="11046" spans="1:7" x14ac:dyDescent="0.25">
      <c r="A11046">
        <v>104327</v>
      </c>
      <c r="B11046" t="s">
        <v>4</v>
      </c>
      <c r="C11046">
        <v>3</v>
      </c>
      <c r="D11046" t="s">
        <v>5</v>
      </c>
      <c r="F11046" t="str" cm="1">
        <f t="array" ref="F11046">CategorizeComment(E11046)</f>
        <v>Other</v>
      </c>
      <c r="G11046" t="str" cm="1">
        <f t="array" ref="G11046">SubCategorizeComment(E11046)</f>
        <v>Other</v>
      </c>
    </row>
    <row r="11047" spans="1:7" x14ac:dyDescent="0.25">
      <c r="A11047">
        <v>104329</v>
      </c>
      <c r="B11047" t="s">
        <v>4</v>
      </c>
      <c r="C11047">
        <v>3</v>
      </c>
      <c r="D11047" t="s">
        <v>5</v>
      </c>
      <c r="F11047" t="str" cm="1">
        <f t="array" ref="F11047">CategorizeComment(E11047)</f>
        <v>Other</v>
      </c>
      <c r="G11047" t="str" cm="1">
        <f t="array" ref="G11047">SubCategorizeComment(E11047)</f>
        <v>Other</v>
      </c>
    </row>
    <row r="11048" spans="1:7" x14ac:dyDescent="0.25">
      <c r="A11048">
        <v>104334</v>
      </c>
      <c r="B11048" t="s">
        <v>4</v>
      </c>
      <c r="C11048">
        <v>4</v>
      </c>
      <c r="D11048" t="s">
        <v>5</v>
      </c>
      <c r="F11048" t="str" cm="1">
        <f t="array" ref="F11048">CategorizeComment(E11048)</f>
        <v>Other</v>
      </c>
      <c r="G11048" t="str" cm="1">
        <f t="array" ref="G11048">SubCategorizeComment(E11048)</f>
        <v>Other</v>
      </c>
    </row>
    <row r="11049" spans="1:7" x14ac:dyDescent="0.25">
      <c r="A11049">
        <v>104336</v>
      </c>
      <c r="B11049" t="s">
        <v>4</v>
      </c>
      <c r="C11049">
        <v>4</v>
      </c>
      <c r="D11049" t="s">
        <v>5</v>
      </c>
      <c r="F11049" t="str" cm="1">
        <f t="array" ref="F11049">CategorizeComment(E11049)</f>
        <v>Other</v>
      </c>
      <c r="G11049" t="str" cm="1">
        <f t="array" ref="G11049">SubCategorizeComment(E11049)</f>
        <v>Other</v>
      </c>
    </row>
    <row r="11050" spans="1:7" x14ac:dyDescent="0.25">
      <c r="A11050">
        <v>104359</v>
      </c>
      <c r="B11050" t="s">
        <v>4</v>
      </c>
      <c r="C11050">
        <v>4</v>
      </c>
      <c r="D11050" t="s">
        <v>5</v>
      </c>
      <c r="F11050" t="str" cm="1">
        <f t="array" ref="F11050">CategorizeComment(E11050)</f>
        <v>Other</v>
      </c>
      <c r="G11050" t="str" cm="1">
        <f t="array" ref="G11050">SubCategorizeComment(E11050)</f>
        <v>Other</v>
      </c>
    </row>
    <row r="11051" spans="1:7" x14ac:dyDescent="0.25">
      <c r="A11051">
        <v>104377</v>
      </c>
      <c r="B11051" t="s">
        <v>4</v>
      </c>
      <c r="C11051">
        <v>3</v>
      </c>
      <c r="D11051" t="s">
        <v>5</v>
      </c>
      <c r="F11051" t="str" cm="1">
        <f t="array" ref="F11051">CategorizeComment(E11051)</f>
        <v>Other</v>
      </c>
      <c r="G11051" t="str" cm="1">
        <f t="array" ref="G11051">SubCategorizeComment(E11051)</f>
        <v>Other</v>
      </c>
    </row>
    <row r="11052" spans="1:7" x14ac:dyDescent="0.25">
      <c r="A11052">
        <v>104382</v>
      </c>
      <c r="B11052" t="s">
        <v>4</v>
      </c>
      <c r="C11052">
        <v>3</v>
      </c>
      <c r="D11052" t="s">
        <v>5</v>
      </c>
      <c r="F11052" t="str" cm="1">
        <f t="array" ref="F11052">CategorizeComment(E11052)</f>
        <v>Other</v>
      </c>
      <c r="G11052" t="str" cm="1">
        <f t="array" ref="G11052">SubCategorizeComment(E11052)</f>
        <v>Other</v>
      </c>
    </row>
    <row r="11053" spans="1:7" x14ac:dyDescent="0.25">
      <c r="A11053">
        <v>104395</v>
      </c>
      <c r="B11053" t="s">
        <v>4</v>
      </c>
      <c r="C11053">
        <v>4</v>
      </c>
      <c r="D11053" t="s">
        <v>5</v>
      </c>
      <c r="F11053" t="str" cm="1">
        <f t="array" ref="F11053">CategorizeComment(E11053)</f>
        <v>Other</v>
      </c>
      <c r="G11053" t="str" cm="1">
        <f t="array" ref="G11053">SubCategorizeComment(E11053)</f>
        <v>Other</v>
      </c>
    </row>
    <row r="11054" spans="1:7" x14ac:dyDescent="0.25">
      <c r="A11054">
        <v>104397</v>
      </c>
      <c r="B11054" t="s">
        <v>4</v>
      </c>
      <c r="C11054">
        <v>3</v>
      </c>
      <c r="D11054" t="s">
        <v>5</v>
      </c>
      <c r="F11054" t="str" cm="1">
        <f t="array" ref="F11054">CategorizeComment(E11054)</f>
        <v>Other</v>
      </c>
      <c r="G11054" t="str" cm="1">
        <f t="array" ref="G11054">SubCategorizeComment(E11054)</f>
        <v>Other</v>
      </c>
    </row>
    <row r="11055" spans="1:7" x14ac:dyDescent="0.25">
      <c r="A11055">
        <v>104416</v>
      </c>
      <c r="B11055" t="s">
        <v>4</v>
      </c>
      <c r="C11055">
        <v>3</v>
      </c>
      <c r="D11055" t="s">
        <v>5</v>
      </c>
      <c r="F11055" t="str" cm="1">
        <f t="array" ref="F11055">CategorizeComment(E11055)</f>
        <v>Other</v>
      </c>
      <c r="G11055" t="str" cm="1">
        <f t="array" ref="G11055">SubCategorizeComment(E11055)</f>
        <v>Other</v>
      </c>
    </row>
    <row r="11056" spans="1:7" x14ac:dyDescent="0.25">
      <c r="A11056">
        <v>104430</v>
      </c>
      <c r="B11056" t="s">
        <v>4</v>
      </c>
      <c r="C11056">
        <v>3</v>
      </c>
      <c r="D11056" t="s">
        <v>5</v>
      </c>
      <c r="F11056" t="str" cm="1">
        <f t="array" ref="F11056">CategorizeComment(E11056)</f>
        <v>Other</v>
      </c>
      <c r="G11056" t="str" cm="1">
        <f t="array" ref="G11056">SubCategorizeComment(E11056)</f>
        <v>Other</v>
      </c>
    </row>
    <row r="11057" spans="1:7" x14ac:dyDescent="0.25">
      <c r="A11057">
        <v>104431</v>
      </c>
      <c r="B11057" t="s">
        <v>4</v>
      </c>
      <c r="C11057">
        <v>3</v>
      </c>
      <c r="D11057" t="s">
        <v>5</v>
      </c>
      <c r="F11057" t="str" cm="1">
        <f t="array" ref="F11057">CategorizeComment(E11057)</f>
        <v>Other</v>
      </c>
      <c r="G11057" t="str" cm="1">
        <f t="array" ref="G11057">SubCategorizeComment(E11057)</f>
        <v>Other</v>
      </c>
    </row>
    <row r="11058" spans="1:7" x14ac:dyDescent="0.25">
      <c r="A11058">
        <v>104437</v>
      </c>
      <c r="B11058" t="s">
        <v>4</v>
      </c>
      <c r="C11058">
        <v>4</v>
      </c>
      <c r="D11058" t="s">
        <v>5</v>
      </c>
      <c r="F11058" t="str" cm="1">
        <f t="array" ref="F11058">CategorizeComment(E11058)</f>
        <v>Other</v>
      </c>
      <c r="G11058" t="str" cm="1">
        <f t="array" ref="G11058">SubCategorizeComment(E11058)</f>
        <v>Other</v>
      </c>
    </row>
    <row r="11059" spans="1:7" x14ac:dyDescent="0.25">
      <c r="A11059">
        <v>104449</v>
      </c>
      <c r="B11059" t="s">
        <v>4</v>
      </c>
      <c r="C11059">
        <v>3</v>
      </c>
      <c r="D11059" t="s">
        <v>5</v>
      </c>
      <c r="F11059" t="str" cm="1">
        <f t="array" ref="F11059">CategorizeComment(E11059)</f>
        <v>Other</v>
      </c>
      <c r="G11059" t="str" cm="1">
        <f t="array" ref="G11059">SubCategorizeComment(E11059)</f>
        <v>Other</v>
      </c>
    </row>
    <row r="11060" spans="1:7" x14ac:dyDescent="0.25">
      <c r="A11060">
        <v>104451</v>
      </c>
      <c r="B11060" t="s">
        <v>4</v>
      </c>
      <c r="C11060">
        <v>4</v>
      </c>
      <c r="D11060" t="s">
        <v>5</v>
      </c>
      <c r="F11060" t="str" cm="1">
        <f t="array" ref="F11060">CategorizeComment(E11060)</f>
        <v>Other</v>
      </c>
      <c r="G11060" t="str" cm="1">
        <f t="array" ref="G11060">SubCategorizeComment(E11060)</f>
        <v>Other</v>
      </c>
    </row>
    <row r="11061" spans="1:7" x14ac:dyDescent="0.25">
      <c r="A11061">
        <v>104453</v>
      </c>
      <c r="B11061" t="s">
        <v>4</v>
      </c>
      <c r="C11061">
        <v>3</v>
      </c>
      <c r="D11061" t="s">
        <v>5</v>
      </c>
      <c r="F11061" t="str" cm="1">
        <f t="array" ref="F11061">CategorizeComment(E11061)</f>
        <v>Other</v>
      </c>
      <c r="G11061" t="str" cm="1">
        <f t="array" ref="G11061">SubCategorizeComment(E11061)</f>
        <v>Other</v>
      </c>
    </row>
    <row r="11062" spans="1:7" x14ac:dyDescent="0.25">
      <c r="A11062">
        <v>104462</v>
      </c>
      <c r="B11062" t="s">
        <v>4</v>
      </c>
      <c r="C11062">
        <v>3</v>
      </c>
      <c r="D11062" t="s">
        <v>5</v>
      </c>
      <c r="F11062" t="str" cm="1">
        <f t="array" ref="F11062">CategorizeComment(E11062)</f>
        <v>Other</v>
      </c>
      <c r="G11062" t="str" cm="1">
        <f t="array" ref="G11062">SubCategorizeComment(E11062)</f>
        <v>Other</v>
      </c>
    </row>
    <row r="11063" spans="1:7" x14ac:dyDescent="0.25">
      <c r="A11063">
        <v>104466</v>
      </c>
      <c r="B11063" t="s">
        <v>4</v>
      </c>
      <c r="C11063">
        <v>4</v>
      </c>
      <c r="D11063" t="s">
        <v>5</v>
      </c>
      <c r="F11063" t="str" cm="1">
        <f t="array" ref="F11063">CategorizeComment(E11063)</f>
        <v>Other</v>
      </c>
      <c r="G11063" t="str" cm="1">
        <f t="array" ref="G11063">SubCategorizeComment(E11063)</f>
        <v>Other</v>
      </c>
    </row>
    <row r="11064" spans="1:7" x14ac:dyDescent="0.25">
      <c r="A11064">
        <v>104468</v>
      </c>
      <c r="B11064" t="s">
        <v>4</v>
      </c>
      <c r="C11064">
        <v>4</v>
      </c>
      <c r="D11064" t="s">
        <v>5</v>
      </c>
      <c r="F11064" t="str" cm="1">
        <f t="array" ref="F11064">CategorizeComment(E11064)</f>
        <v>Other</v>
      </c>
      <c r="G11064" t="str" cm="1">
        <f t="array" ref="G11064">SubCategorizeComment(E11064)</f>
        <v>Other</v>
      </c>
    </row>
    <row r="11065" spans="1:7" x14ac:dyDescent="0.25">
      <c r="A11065">
        <v>104470</v>
      </c>
      <c r="B11065" t="s">
        <v>4</v>
      </c>
      <c r="C11065">
        <v>3</v>
      </c>
      <c r="D11065" t="s">
        <v>5</v>
      </c>
      <c r="F11065" t="str" cm="1">
        <f t="array" ref="F11065">CategorizeComment(E11065)</f>
        <v>Other</v>
      </c>
      <c r="G11065" t="str" cm="1">
        <f t="array" ref="G11065">SubCategorizeComment(E11065)</f>
        <v>Other</v>
      </c>
    </row>
    <row r="11066" spans="1:7" x14ac:dyDescent="0.25">
      <c r="A11066">
        <v>104481</v>
      </c>
      <c r="B11066" t="s">
        <v>4</v>
      </c>
      <c r="C11066">
        <v>3</v>
      </c>
      <c r="D11066" t="s">
        <v>5</v>
      </c>
      <c r="F11066" t="str" cm="1">
        <f t="array" ref="F11066">CategorizeComment(E11066)</f>
        <v>Other</v>
      </c>
      <c r="G11066" t="str" cm="1">
        <f t="array" ref="G11066">SubCategorizeComment(E11066)</f>
        <v>Other</v>
      </c>
    </row>
    <row r="11067" spans="1:7" x14ac:dyDescent="0.25">
      <c r="A11067">
        <v>104489</v>
      </c>
      <c r="B11067" t="s">
        <v>4</v>
      </c>
      <c r="C11067">
        <v>4</v>
      </c>
      <c r="D11067" t="s">
        <v>5</v>
      </c>
      <c r="F11067" t="str" cm="1">
        <f t="array" ref="F11067">CategorizeComment(E11067)</f>
        <v>Other</v>
      </c>
      <c r="G11067" t="str" cm="1">
        <f t="array" ref="G11067">SubCategorizeComment(E11067)</f>
        <v>Other</v>
      </c>
    </row>
    <row r="11068" spans="1:7" x14ac:dyDescent="0.25">
      <c r="A11068">
        <v>104492</v>
      </c>
      <c r="B11068" t="s">
        <v>4</v>
      </c>
      <c r="C11068">
        <v>3</v>
      </c>
      <c r="D11068" t="s">
        <v>5</v>
      </c>
      <c r="F11068" t="str" cm="1">
        <f t="array" ref="F11068">CategorizeComment(E11068)</f>
        <v>Other</v>
      </c>
      <c r="G11068" t="str" cm="1">
        <f t="array" ref="G11068">SubCategorizeComment(E11068)</f>
        <v>Other</v>
      </c>
    </row>
    <row r="11069" spans="1:7" x14ac:dyDescent="0.25">
      <c r="A11069">
        <v>104516</v>
      </c>
      <c r="B11069" t="s">
        <v>4</v>
      </c>
      <c r="C11069">
        <v>3</v>
      </c>
      <c r="D11069" t="s">
        <v>5</v>
      </c>
      <c r="F11069" t="str" cm="1">
        <f t="array" ref="F11069">CategorizeComment(E11069)</f>
        <v>Other</v>
      </c>
      <c r="G11069" t="str" cm="1">
        <f t="array" ref="G11069">SubCategorizeComment(E11069)</f>
        <v>Other</v>
      </c>
    </row>
    <row r="11070" spans="1:7" x14ac:dyDescent="0.25">
      <c r="A11070">
        <v>104547</v>
      </c>
      <c r="B11070" t="s">
        <v>4</v>
      </c>
      <c r="C11070">
        <v>4</v>
      </c>
      <c r="D11070" t="s">
        <v>5</v>
      </c>
      <c r="F11070" t="str" cm="1">
        <f t="array" ref="F11070">CategorizeComment(E11070)</f>
        <v>Other</v>
      </c>
      <c r="G11070" t="str" cm="1">
        <f t="array" ref="G11070">SubCategorizeComment(E11070)</f>
        <v>Other</v>
      </c>
    </row>
    <row r="11071" spans="1:7" x14ac:dyDescent="0.25">
      <c r="A11071">
        <v>104582</v>
      </c>
      <c r="B11071" t="s">
        <v>4</v>
      </c>
      <c r="C11071">
        <v>3</v>
      </c>
      <c r="D11071" t="s">
        <v>5</v>
      </c>
      <c r="F11071" t="str" cm="1">
        <f t="array" ref="F11071">CategorizeComment(E11071)</f>
        <v>Other</v>
      </c>
      <c r="G11071" t="str" cm="1">
        <f t="array" ref="G11071">SubCategorizeComment(E11071)</f>
        <v>Other</v>
      </c>
    </row>
    <row r="11072" spans="1:7" x14ac:dyDescent="0.25">
      <c r="A11072">
        <v>104590</v>
      </c>
      <c r="B11072" t="s">
        <v>4</v>
      </c>
      <c r="C11072">
        <v>3</v>
      </c>
      <c r="D11072" t="s">
        <v>5</v>
      </c>
      <c r="F11072" t="str" cm="1">
        <f t="array" ref="F11072">CategorizeComment(E11072)</f>
        <v>Other</v>
      </c>
      <c r="G11072" t="str" cm="1">
        <f t="array" ref="G11072">SubCategorizeComment(E11072)</f>
        <v>Other</v>
      </c>
    </row>
    <row r="11073" spans="1:7" x14ac:dyDescent="0.25">
      <c r="A11073">
        <v>104598</v>
      </c>
      <c r="B11073" t="s">
        <v>4</v>
      </c>
      <c r="C11073">
        <v>3</v>
      </c>
      <c r="D11073" t="s">
        <v>5</v>
      </c>
      <c r="F11073" t="str" cm="1">
        <f t="array" ref="F11073">CategorizeComment(E11073)</f>
        <v>Other</v>
      </c>
      <c r="G11073" t="str" cm="1">
        <f t="array" ref="G11073">SubCategorizeComment(E11073)</f>
        <v>Other</v>
      </c>
    </row>
    <row r="11074" spans="1:7" x14ac:dyDescent="0.25">
      <c r="A11074">
        <v>104603</v>
      </c>
      <c r="B11074" t="s">
        <v>4</v>
      </c>
      <c r="C11074">
        <v>4</v>
      </c>
      <c r="D11074" t="s">
        <v>5</v>
      </c>
      <c r="F11074" t="str" cm="1">
        <f t="array" ref="F11074">CategorizeComment(E11074)</f>
        <v>Other</v>
      </c>
      <c r="G11074" t="str" cm="1">
        <f t="array" ref="G11074">SubCategorizeComment(E11074)</f>
        <v>Other</v>
      </c>
    </row>
    <row r="11075" spans="1:7" x14ac:dyDescent="0.25">
      <c r="A11075">
        <v>104627</v>
      </c>
      <c r="B11075" t="s">
        <v>4</v>
      </c>
      <c r="C11075">
        <v>3</v>
      </c>
      <c r="D11075" t="s">
        <v>5</v>
      </c>
      <c r="F11075" t="str" cm="1">
        <f t="array" ref="F11075">CategorizeComment(E11075)</f>
        <v>Other</v>
      </c>
      <c r="G11075" t="str" cm="1">
        <f t="array" ref="G11075">SubCategorizeComment(E11075)</f>
        <v>Other</v>
      </c>
    </row>
    <row r="11076" spans="1:7" x14ac:dyDescent="0.25">
      <c r="A11076">
        <v>104629</v>
      </c>
      <c r="B11076" t="s">
        <v>4</v>
      </c>
      <c r="C11076">
        <v>3</v>
      </c>
      <c r="D11076" t="s">
        <v>5</v>
      </c>
      <c r="F11076" t="str" cm="1">
        <f t="array" ref="F11076">CategorizeComment(E11076)</f>
        <v>Other</v>
      </c>
      <c r="G11076" t="str" cm="1">
        <f t="array" ref="G11076">SubCategorizeComment(E11076)</f>
        <v>Other</v>
      </c>
    </row>
    <row r="11077" spans="1:7" x14ac:dyDescent="0.25">
      <c r="A11077">
        <v>104637</v>
      </c>
      <c r="B11077" t="s">
        <v>4</v>
      </c>
      <c r="C11077">
        <v>4</v>
      </c>
      <c r="D11077" t="s">
        <v>5</v>
      </c>
      <c r="F11077" t="str" cm="1">
        <f t="array" ref="F11077">CategorizeComment(E11077)</f>
        <v>Other</v>
      </c>
      <c r="G11077" t="str" cm="1">
        <f t="array" ref="G11077">SubCategorizeComment(E11077)</f>
        <v>Other</v>
      </c>
    </row>
    <row r="11078" spans="1:7" x14ac:dyDescent="0.25">
      <c r="A11078">
        <v>104643</v>
      </c>
      <c r="B11078" t="s">
        <v>4</v>
      </c>
      <c r="C11078">
        <v>4</v>
      </c>
      <c r="D11078" t="s">
        <v>5</v>
      </c>
      <c r="F11078" t="str" cm="1">
        <f t="array" ref="F11078">CategorizeComment(E11078)</f>
        <v>Other</v>
      </c>
      <c r="G11078" t="str" cm="1">
        <f t="array" ref="G11078">SubCategorizeComment(E11078)</f>
        <v>Other</v>
      </c>
    </row>
    <row r="11079" spans="1:7" x14ac:dyDescent="0.25">
      <c r="A11079">
        <v>104648</v>
      </c>
      <c r="B11079" t="s">
        <v>4</v>
      </c>
      <c r="C11079">
        <v>4</v>
      </c>
      <c r="D11079" t="s">
        <v>5</v>
      </c>
      <c r="F11079" t="str" cm="1">
        <f t="array" ref="F11079">CategorizeComment(E11079)</f>
        <v>Other</v>
      </c>
      <c r="G11079" t="str" cm="1">
        <f t="array" ref="G11079">SubCategorizeComment(E11079)</f>
        <v>Other</v>
      </c>
    </row>
    <row r="11080" spans="1:7" x14ac:dyDescent="0.25">
      <c r="A11080">
        <v>104649</v>
      </c>
      <c r="B11080" t="s">
        <v>4</v>
      </c>
      <c r="C11080">
        <v>3</v>
      </c>
      <c r="D11080" t="s">
        <v>5</v>
      </c>
      <c r="F11080" t="str" cm="1">
        <f t="array" ref="F11080">CategorizeComment(E11080)</f>
        <v>Other</v>
      </c>
      <c r="G11080" t="str" cm="1">
        <f t="array" ref="G11080">SubCategorizeComment(E11080)</f>
        <v>Other</v>
      </c>
    </row>
    <row r="11081" spans="1:7" x14ac:dyDescent="0.25">
      <c r="A11081">
        <v>104664</v>
      </c>
      <c r="B11081" t="s">
        <v>4</v>
      </c>
      <c r="C11081">
        <v>4</v>
      </c>
      <c r="D11081" t="s">
        <v>5</v>
      </c>
      <c r="F11081" t="str" cm="1">
        <f t="array" ref="F11081">CategorizeComment(E11081)</f>
        <v>Other</v>
      </c>
      <c r="G11081" t="str" cm="1">
        <f t="array" ref="G11081">SubCategorizeComment(E11081)</f>
        <v>Other</v>
      </c>
    </row>
    <row r="11082" spans="1:7" x14ac:dyDescent="0.25">
      <c r="A11082">
        <v>104670</v>
      </c>
      <c r="B11082" t="s">
        <v>4</v>
      </c>
      <c r="C11082">
        <v>3</v>
      </c>
      <c r="D11082" t="s">
        <v>5</v>
      </c>
      <c r="F11082" t="str" cm="1">
        <f t="array" ref="F11082">CategorizeComment(E11082)</f>
        <v>Other</v>
      </c>
      <c r="G11082" t="str" cm="1">
        <f t="array" ref="G11082">SubCategorizeComment(E11082)</f>
        <v>Other</v>
      </c>
    </row>
    <row r="11083" spans="1:7" x14ac:dyDescent="0.25">
      <c r="A11083">
        <v>104682</v>
      </c>
      <c r="B11083" t="s">
        <v>4</v>
      </c>
      <c r="C11083">
        <v>3</v>
      </c>
      <c r="D11083" t="s">
        <v>5</v>
      </c>
      <c r="F11083" t="str" cm="1">
        <f t="array" ref="F11083">CategorizeComment(E11083)</f>
        <v>Other</v>
      </c>
      <c r="G11083" t="str" cm="1">
        <f t="array" ref="G11083">SubCategorizeComment(E11083)</f>
        <v>Other</v>
      </c>
    </row>
    <row r="11084" spans="1:7" x14ac:dyDescent="0.25">
      <c r="A11084">
        <v>104689</v>
      </c>
      <c r="B11084" t="s">
        <v>4</v>
      </c>
      <c r="C11084">
        <v>4</v>
      </c>
      <c r="D11084" t="s">
        <v>5</v>
      </c>
      <c r="F11084" t="str" cm="1">
        <f t="array" ref="F11084">CategorizeComment(E11084)</f>
        <v>Other</v>
      </c>
      <c r="G11084" t="str" cm="1">
        <f t="array" ref="G11084">SubCategorizeComment(E11084)</f>
        <v>Other</v>
      </c>
    </row>
    <row r="11085" spans="1:7" x14ac:dyDescent="0.25">
      <c r="A11085">
        <v>104708</v>
      </c>
      <c r="B11085" t="s">
        <v>4</v>
      </c>
      <c r="C11085">
        <v>4</v>
      </c>
      <c r="D11085" t="s">
        <v>5</v>
      </c>
      <c r="F11085" t="str" cm="1">
        <f t="array" ref="F11085">CategorizeComment(E11085)</f>
        <v>Other</v>
      </c>
      <c r="G11085" t="str" cm="1">
        <f t="array" ref="G11085">SubCategorizeComment(E11085)</f>
        <v>Other</v>
      </c>
    </row>
    <row r="11086" spans="1:7" x14ac:dyDescent="0.25">
      <c r="A11086">
        <v>104709</v>
      </c>
      <c r="B11086" t="s">
        <v>4</v>
      </c>
      <c r="C11086">
        <v>3</v>
      </c>
      <c r="D11086" t="s">
        <v>5</v>
      </c>
      <c r="F11086" t="str" cm="1">
        <f t="array" ref="F11086">CategorizeComment(E11086)</f>
        <v>Other</v>
      </c>
      <c r="G11086" t="str" cm="1">
        <f t="array" ref="G11086">SubCategorizeComment(E11086)</f>
        <v>Other</v>
      </c>
    </row>
    <row r="11087" spans="1:7" x14ac:dyDescent="0.25">
      <c r="A11087">
        <v>104715</v>
      </c>
      <c r="B11087" t="s">
        <v>4</v>
      </c>
      <c r="C11087">
        <v>3</v>
      </c>
      <c r="D11087" t="s">
        <v>5</v>
      </c>
      <c r="F11087" t="str" cm="1">
        <f t="array" ref="F11087">CategorizeComment(E11087)</f>
        <v>Other</v>
      </c>
      <c r="G11087" t="str" cm="1">
        <f t="array" ref="G11087">SubCategorizeComment(E11087)</f>
        <v>Other</v>
      </c>
    </row>
    <row r="11088" spans="1:7" x14ac:dyDescent="0.25">
      <c r="A11088">
        <v>104736</v>
      </c>
      <c r="B11088" t="s">
        <v>4</v>
      </c>
      <c r="C11088">
        <v>4</v>
      </c>
      <c r="D11088" t="s">
        <v>5</v>
      </c>
      <c r="F11088" t="str" cm="1">
        <f t="array" ref="F11088">CategorizeComment(E11088)</f>
        <v>Other</v>
      </c>
      <c r="G11088" t="str" cm="1">
        <f t="array" ref="G11088">SubCategorizeComment(E11088)</f>
        <v>Other</v>
      </c>
    </row>
    <row r="11089" spans="1:7" x14ac:dyDescent="0.25">
      <c r="A11089">
        <v>104740</v>
      </c>
      <c r="B11089" t="s">
        <v>4</v>
      </c>
      <c r="C11089">
        <v>3</v>
      </c>
      <c r="D11089" t="s">
        <v>5</v>
      </c>
      <c r="F11089" t="str" cm="1">
        <f t="array" ref="F11089">CategorizeComment(E11089)</f>
        <v>Other</v>
      </c>
      <c r="G11089" t="str" cm="1">
        <f t="array" ref="G11089">SubCategorizeComment(E11089)</f>
        <v>Other</v>
      </c>
    </row>
    <row r="11090" spans="1:7" x14ac:dyDescent="0.25">
      <c r="A11090">
        <v>104764</v>
      </c>
      <c r="B11090" t="s">
        <v>4</v>
      </c>
      <c r="C11090">
        <v>4</v>
      </c>
      <c r="D11090" t="s">
        <v>5</v>
      </c>
      <c r="F11090" t="str" cm="1">
        <f t="array" ref="F11090">CategorizeComment(E11090)</f>
        <v>Other</v>
      </c>
      <c r="G11090" t="str" cm="1">
        <f t="array" ref="G11090">SubCategorizeComment(E11090)</f>
        <v>Other</v>
      </c>
    </row>
    <row r="11091" spans="1:7" x14ac:dyDescent="0.25">
      <c r="A11091">
        <v>104768</v>
      </c>
      <c r="B11091" t="s">
        <v>4</v>
      </c>
      <c r="C11091">
        <v>3</v>
      </c>
      <c r="D11091" t="s">
        <v>5</v>
      </c>
      <c r="F11091" t="str" cm="1">
        <f t="array" ref="F11091">CategorizeComment(E11091)</f>
        <v>Other</v>
      </c>
      <c r="G11091" t="str" cm="1">
        <f t="array" ref="G11091">SubCategorizeComment(E11091)</f>
        <v>Other</v>
      </c>
    </row>
    <row r="11092" spans="1:7" x14ac:dyDescent="0.25">
      <c r="A11092">
        <v>104772</v>
      </c>
      <c r="B11092" t="s">
        <v>4</v>
      </c>
      <c r="C11092">
        <v>4</v>
      </c>
      <c r="D11092" t="s">
        <v>5</v>
      </c>
      <c r="F11092" t="str" cm="1">
        <f t="array" ref="F11092">CategorizeComment(E11092)</f>
        <v>Other</v>
      </c>
      <c r="G11092" t="str" cm="1">
        <f t="array" ref="G11092">SubCategorizeComment(E11092)</f>
        <v>Other</v>
      </c>
    </row>
    <row r="11093" spans="1:7" x14ac:dyDescent="0.25">
      <c r="A11093">
        <v>104800</v>
      </c>
      <c r="B11093" t="s">
        <v>4</v>
      </c>
      <c r="C11093">
        <v>4</v>
      </c>
      <c r="D11093" t="s">
        <v>5</v>
      </c>
      <c r="F11093" t="str" cm="1">
        <f t="array" ref="F11093">CategorizeComment(E11093)</f>
        <v>Other</v>
      </c>
      <c r="G11093" t="str" cm="1">
        <f t="array" ref="G11093">SubCategorizeComment(E11093)</f>
        <v>Other</v>
      </c>
    </row>
    <row r="11094" spans="1:7" x14ac:dyDescent="0.25">
      <c r="A11094">
        <v>104828</v>
      </c>
      <c r="B11094" t="s">
        <v>4</v>
      </c>
      <c r="C11094">
        <v>4</v>
      </c>
      <c r="D11094" t="s">
        <v>5</v>
      </c>
      <c r="F11094" t="str" cm="1">
        <f t="array" ref="F11094">CategorizeComment(E11094)</f>
        <v>Other</v>
      </c>
      <c r="G11094" t="str" cm="1">
        <f t="array" ref="G11094">SubCategorizeComment(E11094)</f>
        <v>Other</v>
      </c>
    </row>
    <row r="11095" spans="1:7" x14ac:dyDescent="0.25">
      <c r="A11095">
        <v>104841</v>
      </c>
      <c r="B11095" t="s">
        <v>4</v>
      </c>
      <c r="C11095">
        <v>3</v>
      </c>
      <c r="D11095" t="s">
        <v>5</v>
      </c>
      <c r="F11095" t="str" cm="1">
        <f t="array" ref="F11095">CategorizeComment(E11095)</f>
        <v>Other</v>
      </c>
      <c r="G11095" t="str" cm="1">
        <f t="array" ref="G11095">SubCategorizeComment(E11095)</f>
        <v>Other</v>
      </c>
    </row>
    <row r="11096" spans="1:7" x14ac:dyDescent="0.25">
      <c r="A11096">
        <v>104847</v>
      </c>
      <c r="B11096" t="s">
        <v>4</v>
      </c>
      <c r="C11096">
        <v>4</v>
      </c>
      <c r="D11096" t="s">
        <v>5</v>
      </c>
      <c r="F11096" t="str" cm="1">
        <f t="array" ref="F11096">CategorizeComment(E11096)</f>
        <v>Other</v>
      </c>
      <c r="G11096" t="str" cm="1">
        <f t="array" ref="G11096">SubCategorizeComment(E11096)</f>
        <v>Other</v>
      </c>
    </row>
    <row r="11097" spans="1:7" x14ac:dyDescent="0.25">
      <c r="A11097">
        <v>104865</v>
      </c>
      <c r="B11097" t="s">
        <v>4</v>
      </c>
      <c r="C11097">
        <v>4</v>
      </c>
      <c r="D11097" t="s">
        <v>5</v>
      </c>
      <c r="F11097" t="str" cm="1">
        <f t="array" ref="F11097">CategorizeComment(E11097)</f>
        <v>Other</v>
      </c>
      <c r="G11097" t="str" cm="1">
        <f t="array" ref="G11097">SubCategorizeComment(E11097)</f>
        <v>Other</v>
      </c>
    </row>
    <row r="11098" spans="1:7" x14ac:dyDescent="0.25">
      <c r="A11098">
        <v>104877</v>
      </c>
      <c r="B11098" t="s">
        <v>4</v>
      </c>
      <c r="C11098">
        <v>3</v>
      </c>
      <c r="D11098" t="s">
        <v>5</v>
      </c>
      <c r="F11098" t="str" cm="1">
        <f t="array" ref="F11098">CategorizeComment(E11098)</f>
        <v>Other</v>
      </c>
      <c r="G11098" t="str" cm="1">
        <f t="array" ref="G11098">SubCategorizeComment(E11098)</f>
        <v>Other</v>
      </c>
    </row>
    <row r="11099" spans="1:7" x14ac:dyDescent="0.25">
      <c r="A11099">
        <v>104903</v>
      </c>
      <c r="B11099" t="s">
        <v>4</v>
      </c>
      <c r="C11099">
        <v>4</v>
      </c>
      <c r="D11099" t="s">
        <v>5</v>
      </c>
      <c r="F11099" t="str" cm="1">
        <f t="array" ref="F11099">CategorizeComment(E11099)</f>
        <v>Other</v>
      </c>
      <c r="G11099" t="str" cm="1">
        <f t="array" ref="G11099">SubCategorizeComment(E11099)</f>
        <v>Other</v>
      </c>
    </row>
    <row r="11100" spans="1:7" x14ac:dyDescent="0.25">
      <c r="A11100">
        <v>104913</v>
      </c>
      <c r="B11100" t="s">
        <v>4</v>
      </c>
      <c r="C11100">
        <v>3</v>
      </c>
      <c r="D11100" t="s">
        <v>5</v>
      </c>
      <c r="F11100" t="str" cm="1">
        <f t="array" ref="F11100">CategorizeComment(E11100)</f>
        <v>Other</v>
      </c>
      <c r="G11100" t="str" cm="1">
        <f t="array" ref="G11100">SubCategorizeComment(E11100)</f>
        <v>Other</v>
      </c>
    </row>
    <row r="11101" spans="1:7" x14ac:dyDescent="0.25">
      <c r="A11101">
        <v>104929</v>
      </c>
      <c r="B11101" t="s">
        <v>4</v>
      </c>
      <c r="C11101">
        <v>4</v>
      </c>
      <c r="D11101" t="s">
        <v>5</v>
      </c>
      <c r="F11101" t="str" cm="1">
        <f t="array" ref="F11101">CategorizeComment(E11101)</f>
        <v>Other</v>
      </c>
      <c r="G11101" t="str" cm="1">
        <f t="array" ref="G11101">SubCategorizeComment(E11101)</f>
        <v>Other</v>
      </c>
    </row>
    <row r="11102" spans="1:7" x14ac:dyDescent="0.25">
      <c r="A11102">
        <v>104955</v>
      </c>
      <c r="B11102" t="s">
        <v>4</v>
      </c>
      <c r="C11102">
        <v>4</v>
      </c>
      <c r="D11102" t="s">
        <v>5</v>
      </c>
      <c r="F11102" t="str" cm="1">
        <f t="array" ref="F11102">CategorizeComment(E11102)</f>
        <v>Other</v>
      </c>
      <c r="G11102" t="str" cm="1">
        <f t="array" ref="G11102">SubCategorizeComment(E11102)</f>
        <v>Other</v>
      </c>
    </row>
    <row r="11103" spans="1:7" x14ac:dyDescent="0.25">
      <c r="A11103">
        <v>104987</v>
      </c>
      <c r="B11103" t="s">
        <v>4</v>
      </c>
      <c r="C11103">
        <v>4</v>
      </c>
      <c r="D11103" t="s">
        <v>5</v>
      </c>
      <c r="F11103" t="str" cm="1">
        <f t="array" ref="F11103">CategorizeComment(E11103)</f>
        <v>Other</v>
      </c>
      <c r="G11103" t="str" cm="1">
        <f t="array" ref="G11103">SubCategorizeComment(E11103)</f>
        <v>Other</v>
      </c>
    </row>
    <row r="11104" spans="1:7" x14ac:dyDescent="0.25">
      <c r="A11104">
        <v>104989</v>
      </c>
      <c r="B11104" t="s">
        <v>4</v>
      </c>
      <c r="C11104">
        <v>4</v>
      </c>
      <c r="D11104" t="s">
        <v>5</v>
      </c>
      <c r="F11104" t="str" cm="1">
        <f t="array" ref="F11104">CategorizeComment(E11104)</f>
        <v>Other</v>
      </c>
      <c r="G11104" t="str" cm="1">
        <f t="array" ref="G11104">SubCategorizeComment(E11104)</f>
        <v>Other</v>
      </c>
    </row>
    <row r="11105" spans="1:7" x14ac:dyDescent="0.25">
      <c r="A11105">
        <v>104990</v>
      </c>
      <c r="B11105" t="s">
        <v>4</v>
      </c>
      <c r="C11105">
        <v>3</v>
      </c>
      <c r="D11105" t="s">
        <v>5</v>
      </c>
      <c r="F11105" t="str" cm="1">
        <f t="array" ref="F11105">CategorizeComment(E11105)</f>
        <v>Other</v>
      </c>
      <c r="G11105" t="str" cm="1">
        <f t="array" ref="G11105">SubCategorizeComment(E11105)</f>
        <v>Other</v>
      </c>
    </row>
    <row r="11106" spans="1:7" x14ac:dyDescent="0.25">
      <c r="A11106">
        <v>105025</v>
      </c>
      <c r="B11106" t="s">
        <v>4</v>
      </c>
      <c r="C11106">
        <v>4</v>
      </c>
      <c r="D11106" t="s">
        <v>5</v>
      </c>
      <c r="F11106" t="str" cm="1">
        <f t="array" ref="F11106">CategorizeComment(E11106)</f>
        <v>Other</v>
      </c>
      <c r="G11106" t="str" cm="1">
        <f t="array" ref="G11106">SubCategorizeComment(E11106)</f>
        <v>Other</v>
      </c>
    </row>
    <row r="11107" spans="1:7" x14ac:dyDescent="0.25">
      <c r="A11107">
        <v>105032</v>
      </c>
      <c r="B11107" t="s">
        <v>4</v>
      </c>
      <c r="C11107">
        <v>4</v>
      </c>
      <c r="D11107" t="s">
        <v>5</v>
      </c>
      <c r="F11107" t="str" cm="1">
        <f t="array" ref="F11107">CategorizeComment(E11107)</f>
        <v>Other</v>
      </c>
      <c r="G11107" t="str" cm="1">
        <f t="array" ref="G11107">SubCategorizeComment(E11107)</f>
        <v>Other</v>
      </c>
    </row>
    <row r="11108" spans="1:7" x14ac:dyDescent="0.25">
      <c r="A11108">
        <v>105033</v>
      </c>
      <c r="B11108" t="s">
        <v>4</v>
      </c>
      <c r="C11108">
        <v>3</v>
      </c>
      <c r="D11108" t="s">
        <v>5</v>
      </c>
      <c r="F11108" t="str" cm="1">
        <f t="array" ref="F11108">CategorizeComment(E11108)</f>
        <v>Other</v>
      </c>
      <c r="G11108" t="str" cm="1">
        <f t="array" ref="G11108">SubCategorizeComment(E11108)</f>
        <v>Other</v>
      </c>
    </row>
    <row r="11109" spans="1:7" x14ac:dyDescent="0.25">
      <c r="A11109">
        <v>105049</v>
      </c>
      <c r="B11109" t="s">
        <v>4</v>
      </c>
      <c r="C11109">
        <v>3</v>
      </c>
      <c r="D11109" t="s">
        <v>5</v>
      </c>
      <c r="F11109" t="str" cm="1">
        <f t="array" ref="F11109">CategorizeComment(E11109)</f>
        <v>Other</v>
      </c>
      <c r="G11109" t="str" cm="1">
        <f t="array" ref="G11109">SubCategorizeComment(E11109)</f>
        <v>Other</v>
      </c>
    </row>
    <row r="11110" spans="1:7" x14ac:dyDescent="0.25">
      <c r="A11110">
        <v>105050</v>
      </c>
      <c r="B11110" t="s">
        <v>4</v>
      </c>
      <c r="C11110">
        <v>4</v>
      </c>
      <c r="D11110" t="s">
        <v>5</v>
      </c>
      <c r="F11110" t="str" cm="1">
        <f t="array" ref="F11110">CategorizeComment(E11110)</f>
        <v>Other</v>
      </c>
      <c r="G11110" t="str" cm="1">
        <f t="array" ref="G11110">SubCategorizeComment(E11110)</f>
        <v>Other</v>
      </c>
    </row>
    <row r="11111" spans="1:7" x14ac:dyDescent="0.25">
      <c r="A11111">
        <v>105059</v>
      </c>
      <c r="B11111" t="s">
        <v>4</v>
      </c>
      <c r="C11111">
        <v>4</v>
      </c>
      <c r="D11111" t="s">
        <v>5</v>
      </c>
      <c r="F11111" t="str" cm="1">
        <f t="array" ref="F11111">CategorizeComment(E11111)</f>
        <v>Other</v>
      </c>
      <c r="G11111" t="str" cm="1">
        <f t="array" ref="G11111">SubCategorizeComment(E11111)</f>
        <v>Other</v>
      </c>
    </row>
    <row r="11112" spans="1:7" x14ac:dyDescent="0.25">
      <c r="A11112">
        <v>105119</v>
      </c>
      <c r="B11112" t="s">
        <v>4</v>
      </c>
      <c r="C11112">
        <v>4</v>
      </c>
      <c r="D11112" t="s">
        <v>5</v>
      </c>
      <c r="F11112" t="str" cm="1">
        <f t="array" ref="F11112">CategorizeComment(E11112)</f>
        <v>Other</v>
      </c>
      <c r="G11112" t="str" cm="1">
        <f t="array" ref="G11112">SubCategorizeComment(E11112)</f>
        <v>Other</v>
      </c>
    </row>
    <row r="11113" spans="1:7" x14ac:dyDescent="0.25">
      <c r="A11113">
        <v>105125</v>
      </c>
      <c r="B11113" t="s">
        <v>4</v>
      </c>
      <c r="C11113">
        <v>4</v>
      </c>
      <c r="D11113" t="s">
        <v>5</v>
      </c>
      <c r="F11113" t="str" cm="1">
        <f t="array" ref="F11113">CategorizeComment(E11113)</f>
        <v>Other</v>
      </c>
      <c r="G11113" t="str" cm="1">
        <f t="array" ref="G11113">SubCategorizeComment(E11113)</f>
        <v>Other</v>
      </c>
    </row>
    <row r="11114" spans="1:7" x14ac:dyDescent="0.25">
      <c r="A11114">
        <v>105127</v>
      </c>
      <c r="B11114" t="s">
        <v>4</v>
      </c>
      <c r="C11114">
        <v>4</v>
      </c>
      <c r="D11114" t="s">
        <v>5</v>
      </c>
      <c r="F11114" t="str" cm="1">
        <f t="array" ref="F11114">CategorizeComment(E11114)</f>
        <v>Other</v>
      </c>
      <c r="G11114" t="str" cm="1">
        <f t="array" ref="G11114">SubCategorizeComment(E11114)</f>
        <v>Other</v>
      </c>
    </row>
    <row r="11115" spans="1:7" x14ac:dyDescent="0.25">
      <c r="A11115">
        <v>105139</v>
      </c>
      <c r="B11115" t="s">
        <v>4</v>
      </c>
      <c r="C11115">
        <v>4</v>
      </c>
      <c r="D11115" t="s">
        <v>5</v>
      </c>
      <c r="F11115" t="str" cm="1">
        <f t="array" ref="F11115">CategorizeComment(E11115)</f>
        <v>Other</v>
      </c>
      <c r="G11115" t="str" cm="1">
        <f t="array" ref="G11115">SubCategorizeComment(E11115)</f>
        <v>Other</v>
      </c>
    </row>
    <row r="11116" spans="1:7" x14ac:dyDescent="0.25">
      <c r="A11116">
        <v>105140</v>
      </c>
      <c r="B11116" t="s">
        <v>4</v>
      </c>
      <c r="C11116">
        <v>4</v>
      </c>
      <c r="D11116" t="s">
        <v>5</v>
      </c>
      <c r="F11116" t="str" cm="1">
        <f t="array" ref="F11116">CategorizeComment(E11116)</f>
        <v>Other</v>
      </c>
      <c r="G11116" t="str" cm="1">
        <f t="array" ref="G11116">SubCategorizeComment(E11116)</f>
        <v>Other</v>
      </c>
    </row>
    <row r="11117" spans="1:7" x14ac:dyDescent="0.25">
      <c r="A11117">
        <v>105143</v>
      </c>
      <c r="B11117" t="s">
        <v>4</v>
      </c>
      <c r="C11117">
        <v>3</v>
      </c>
      <c r="D11117" t="s">
        <v>5</v>
      </c>
      <c r="F11117" t="str" cm="1">
        <f t="array" ref="F11117">CategorizeComment(E11117)</f>
        <v>Other</v>
      </c>
      <c r="G11117" t="str" cm="1">
        <f t="array" ref="G11117">SubCategorizeComment(E11117)</f>
        <v>Other</v>
      </c>
    </row>
    <row r="11118" spans="1:7" x14ac:dyDescent="0.25">
      <c r="A11118">
        <v>105162</v>
      </c>
      <c r="B11118" t="s">
        <v>4</v>
      </c>
      <c r="C11118">
        <v>4</v>
      </c>
      <c r="D11118" t="s">
        <v>5</v>
      </c>
      <c r="F11118" t="str" cm="1">
        <f t="array" ref="F11118">CategorizeComment(E11118)</f>
        <v>Other</v>
      </c>
      <c r="G11118" t="str" cm="1">
        <f t="array" ref="G11118">SubCategorizeComment(E11118)</f>
        <v>Other</v>
      </c>
    </row>
    <row r="11119" spans="1:7" x14ac:dyDescent="0.25">
      <c r="A11119">
        <v>105168</v>
      </c>
      <c r="B11119" t="s">
        <v>4</v>
      </c>
      <c r="C11119">
        <v>4</v>
      </c>
      <c r="D11119" t="s">
        <v>5</v>
      </c>
      <c r="F11119" t="str" cm="1">
        <f t="array" ref="F11119">CategorizeComment(E11119)</f>
        <v>Other</v>
      </c>
      <c r="G11119" t="str" cm="1">
        <f t="array" ref="G11119">SubCategorizeComment(E11119)</f>
        <v>Other</v>
      </c>
    </row>
    <row r="11120" spans="1:7" x14ac:dyDescent="0.25">
      <c r="A11120">
        <v>105169</v>
      </c>
      <c r="B11120" t="s">
        <v>4</v>
      </c>
      <c r="C11120">
        <v>4</v>
      </c>
      <c r="D11120" t="s">
        <v>5</v>
      </c>
      <c r="F11120" t="str" cm="1">
        <f t="array" ref="F11120">CategorizeComment(E11120)</f>
        <v>Other</v>
      </c>
      <c r="G11120" t="str" cm="1">
        <f t="array" ref="G11120">SubCategorizeComment(E11120)</f>
        <v>Other</v>
      </c>
    </row>
    <row r="11121" spans="1:7" x14ac:dyDescent="0.25">
      <c r="A11121">
        <v>105172</v>
      </c>
      <c r="B11121" t="s">
        <v>4</v>
      </c>
      <c r="C11121">
        <v>4</v>
      </c>
      <c r="D11121" t="s">
        <v>5</v>
      </c>
      <c r="F11121" t="str" cm="1">
        <f t="array" ref="F11121">CategorizeComment(E11121)</f>
        <v>Other</v>
      </c>
      <c r="G11121" t="str" cm="1">
        <f t="array" ref="G11121">SubCategorizeComment(E11121)</f>
        <v>Other</v>
      </c>
    </row>
    <row r="11122" spans="1:7" x14ac:dyDescent="0.25">
      <c r="A11122">
        <v>105181</v>
      </c>
      <c r="B11122" t="s">
        <v>4</v>
      </c>
      <c r="C11122">
        <v>3</v>
      </c>
      <c r="D11122" t="s">
        <v>5</v>
      </c>
      <c r="F11122" t="str" cm="1">
        <f t="array" ref="F11122">CategorizeComment(E11122)</f>
        <v>Other</v>
      </c>
      <c r="G11122" t="str" cm="1">
        <f t="array" ref="G11122">SubCategorizeComment(E11122)</f>
        <v>Other</v>
      </c>
    </row>
    <row r="11123" spans="1:7" x14ac:dyDescent="0.25">
      <c r="A11123">
        <v>105182</v>
      </c>
      <c r="B11123" t="s">
        <v>4</v>
      </c>
      <c r="C11123">
        <v>4</v>
      </c>
      <c r="D11123" t="s">
        <v>5</v>
      </c>
      <c r="F11123" t="str" cm="1">
        <f t="array" ref="F11123">CategorizeComment(E11123)</f>
        <v>Other</v>
      </c>
      <c r="G11123" t="str" cm="1">
        <f t="array" ref="G11123">SubCategorizeComment(E11123)</f>
        <v>Other</v>
      </c>
    </row>
    <row r="11124" spans="1:7" x14ac:dyDescent="0.25">
      <c r="A11124">
        <v>105186</v>
      </c>
      <c r="B11124" t="s">
        <v>4</v>
      </c>
      <c r="C11124">
        <v>4</v>
      </c>
      <c r="D11124" t="s">
        <v>5</v>
      </c>
      <c r="F11124" t="str" cm="1">
        <f t="array" ref="F11124">CategorizeComment(E11124)</f>
        <v>Other</v>
      </c>
      <c r="G11124" t="str" cm="1">
        <f t="array" ref="G11124">SubCategorizeComment(E11124)</f>
        <v>Other</v>
      </c>
    </row>
    <row r="11125" spans="1:7" x14ac:dyDescent="0.25">
      <c r="A11125">
        <v>105216</v>
      </c>
      <c r="B11125" t="s">
        <v>4</v>
      </c>
      <c r="C11125">
        <v>4</v>
      </c>
      <c r="D11125" t="s">
        <v>5</v>
      </c>
      <c r="F11125" t="str" cm="1">
        <f t="array" ref="F11125">CategorizeComment(E11125)</f>
        <v>Other</v>
      </c>
      <c r="G11125" t="str" cm="1">
        <f t="array" ref="G11125">SubCategorizeComment(E11125)</f>
        <v>Other</v>
      </c>
    </row>
    <row r="11126" spans="1:7" x14ac:dyDescent="0.25">
      <c r="A11126">
        <v>105228</v>
      </c>
      <c r="B11126" t="s">
        <v>4</v>
      </c>
      <c r="C11126">
        <v>0</v>
      </c>
      <c r="D11126" t="s">
        <v>5</v>
      </c>
      <c r="F11126" t="str" cm="1">
        <f t="array" ref="F11126">CategorizeComment(E11126)</f>
        <v>Other</v>
      </c>
      <c r="G11126" t="str" cm="1">
        <f t="array" ref="G11126">SubCategorizeComment(E11126)</f>
        <v>Other</v>
      </c>
    </row>
    <row r="11127" spans="1:7" x14ac:dyDescent="0.25">
      <c r="A11127">
        <v>105232</v>
      </c>
      <c r="B11127" t="s">
        <v>4</v>
      </c>
      <c r="C11127">
        <v>3</v>
      </c>
      <c r="D11127" t="s">
        <v>5</v>
      </c>
      <c r="F11127" t="str" cm="1">
        <f t="array" ref="F11127">CategorizeComment(E11127)</f>
        <v>Other</v>
      </c>
      <c r="G11127" t="str" cm="1">
        <f t="array" ref="G11127">SubCategorizeComment(E11127)</f>
        <v>Other</v>
      </c>
    </row>
    <row r="11128" spans="1:7" x14ac:dyDescent="0.25">
      <c r="A11128">
        <v>105233</v>
      </c>
      <c r="B11128" t="s">
        <v>4</v>
      </c>
      <c r="C11128">
        <v>3</v>
      </c>
      <c r="D11128" t="s">
        <v>5</v>
      </c>
      <c r="F11128" t="str" cm="1">
        <f t="array" ref="F11128">CategorizeComment(E11128)</f>
        <v>Other</v>
      </c>
      <c r="G11128" t="str" cm="1">
        <f t="array" ref="G11128">SubCategorizeComment(E11128)</f>
        <v>Other</v>
      </c>
    </row>
    <row r="11129" spans="1:7" x14ac:dyDescent="0.25">
      <c r="A11129">
        <v>105258</v>
      </c>
      <c r="B11129" t="s">
        <v>4</v>
      </c>
      <c r="C11129">
        <v>4</v>
      </c>
      <c r="D11129" t="s">
        <v>5</v>
      </c>
      <c r="F11129" t="str" cm="1">
        <f t="array" ref="F11129">CategorizeComment(E11129)</f>
        <v>Other</v>
      </c>
      <c r="G11129" t="str" cm="1">
        <f t="array" ref="G11129">SubCategorizeComment(E11129)</f>
        <v>Other</v>
      </c>
    </row>
    <row r="11130" spans="1:7" x14ac:dyDescent="0.25">
      <c r="A11130">
        <v>105269</v>
      </c>
      <c r="B11130" t="s">
        <v>4</v>
      </c>
      <c r="C11130">
        <v>3</v>
      </c>
      <c r="D11130" t="s">
        <v>5</v>
      </c>
      <c r="F11130" t="str" cm="1">
        <f t="array" ref="F11130">CategorizeComment(E11130)</f>
        <v>Other</v>
      </c>
      <c r="G11130" t="str" cm="1">
        <f t="array" ref="G11130">SubCategorizeComment(E11130)</f>
        <v>Other</v>
      </c>
    </row>
    <row r="11131" spans="1:7" x14ac:dyDescent="0.25">
      <c r="A11131">
        <v>105338</v>
      </c>
      <c r="B11131" t="s">
        <v>4</v>
      </c>
      <c r="C11131">
        <v>4</v>
      </c>
      <c r="D11131" t="s">
        <v>5</v>
      </c>
      <c r="F11131" t="str" cm="1">
        <f t="array" ref="F11131">CategorizeComment(E11131)</f>
        <v>Other</v>
      </c>
      <c r="G11131" t="str" cm="1">
        <f t="array" ref="G11131">SubCategorizeComment(E11131)</f>
        <v>Other</v>
      </c>
    </row>
    <row r="11132" spans="1:7" x14ac:dyDescent="0.25">
      <c r="A11132">
        <v>105341</v>
      </c>
      <c r="B11132" t="s">
        <v>4</v>
      </c>
      <c r="C11132">
        <v>3</v>
      </c>
      <c r="D11132" t="s">
        <v>5</v>
      </c>
      <c r="F11132" t="str" cm="1">
        <f t="array" ref="F11132">CategorizeComment(E11132)</f>
        <v>Other</v>
      </c>
      <c r="G11132" t="str" cm="1">
        <f t="array" ref="G11132">SubCategorizeComment(E11132)</f>
        <v>Other</v>
      </c>
    </row>
    <row r="11133" spans="1:7" x14ac:dyDescent="0.25">
      <c r="A11133">
        <v>105347</v>
      </c>
      <c r="B11133" t="s">
        <v>4</v>
      </c>
      <c r="C11133">
        <v>4</v>
      </c>
      <c r="D11133" t="s">
        <v>5</v>
      </c>
      <c r="F11133" t="str" cm="1">
        <f t="array" ref="F11133">CategorizeComment(E11133)</f>
        <v>Other</v>
      </c>
      <c r="G11133" t="str" cm="1">
        <f t="array" ref="G11133">SubCategorizeComment(E11133)</f>
        <v>Other</v>
      </c>
    </row>
    <row r="11134" spans="1:7" x14ac:dyDescent="0.25">
      <c r="A11134">
        <v>105352</v>
      </c>
      <c r="B11134" t="s">
        <v>4</v>
      </c>
      <c r="C11134">
        <v>4</v>
      </c>
      <c r="D11134" t="s">
        <v>5</v>
      </c>
      <c r="F11134" t="str" cm="1">
        <f t="array" ref="F11134">CategorizeComment(E11134)</f>
        <v>Other</v>
      </c>
      <c r="G11134" t="str" cm="1">
        <f t="array" ref="G11134">SubCategorizeComment(E11134)</f>
        <v>Other</v>
      </c>
    </row>
    <row r="11135" spans="1:7" x14ac:dyDescent="0.25">
      <c r="A11135">
        <v>105353</v>
      </c>
      <c r="B11135" t="s">
        <v>4</v>
      </c>
      <c r="C11135">
        <v>3</v>
      </c>
      <c r="D11135" t="s">
        <v>5</v>
      </c>
      <c r="F11135" t="str" cm="1">
        <f t="array" ref="F11135">CategorizeComment(E11135)</f>
        <v>Other</v>
      </c>
      <c r="G11135" t="str" cm="1">
        <f t="array" ref="G11135">SubCategorizeComment(E11135)</f>
        <v>Other</v>
      </c>
    </row>
    <row r="11136" spans="1:7" x14ac:dyDescent="0.25">
      <c r="A11136">
        <v>105354</v>
      </c>
      <c r="B11136" t="s">
        <v>4</v>
      </c>
      <c r="C11136">
        <v>3</v>
      </c>
      <c r="D11136" t="s">
        <v>5</v>
      </c>
      <c r="F11136" t="str" cm="1">
        <f t="array" ref="F11136">CategorizeComment(E11136)</f>
        <v>Other</v>
      </c>
      <c r="G11136" t="str" cm="1">
        <f t="array" ref="G11136">SubCategorizeComment(E11136)</f>
        <v>Other</v>
      </c>
    </row>
    <row r="11137" spans="1:7" x14ac:dyDescent="0.25">
      <c r="A11137">
        <v>105356</v>
      </c>
      <c r="B11137" t="s">
        <v>4</v>
      </c>
      <c r="C11137">
        <v>3</v>
      </c>
      <c r="D11137" t="s">
        <v>5</v>
      </c>
      <c r="F11137" t="str" cm="1">
        <f t="array" ref="F11137">CategorizeComment(E11137)</f>
        <v>Other</v>
      </c>
      <c r="G11137" t="str" cm="1">
        <f t="array" ref="G11137">SubCategorizeComment(E11137)</f>
        <v>Other</v>
      </c>
    </row>
    <row r="11138" spans="1:7" x14ac:dyDescent="0.25">
      <c r="A11138">
        <v>105384</v>
      </c>
      <c r="B11138" t="s">
        <v>4</v>
      </c>
      <c r="C11138">
        <v>4</v>
      </c>
      <c r="D11138" t="s">
        <v>5</v>
      </c>
      <c r="F11138" t="str" cm="1">
        <f t="array" ref="F11138">CategorizeComment(E11138)</f>
        <v>Other</v>
      </c>
      <c r="G11138" t="str" cm="1">
        <f t="array" ref="G11138">SubCategorizeComment(E11138)</f>
        <v>Other</v>
      </c>
    </row>
    <row r="11139" spans="1:7" x14ac:dyDescent="0.25">
      <c r="A11139">
        <v>105387</v>
      </c>
      <c r="B11139" t="s">
        <v>4</v>
      </c>
      <c r="C11139">
        <v>4</v>
      </c>
      <c r="D11139" t="s">
        <v>5</v>
      </c>
      <c r="F11139" t="str" cm="1">
        <f t="array" ref="F11139">CategorizeComment(E11139)</f>
        <v>Other</v>
      </c>
      <c r="G11139" t="str" cm="1">
        <f t="array" ref="G11139">SubCategorizeComment(E11139)</f>
        <v>Other</v>
      </c>
    </row>
    <row r="11140" spans="1:7" x14ac:dyDescent="0.25">
      <c r="A11140">
        <v>105390</v>
      </c>
      <c r="B11140" t="s">
        <v>4</v>
      </c>
      <c r="C11140">
        <v>3</v>
      </c>
      <c r="D11140" t="s">
        <v>5</v>
      </c>
      <c r="F11140" t="str" cm="1">
        <f t="array" ref="F11140">CategorizeComment(E11140)</f>
        <v>Other</v>
      </c>
      <c r="G11140" t="str" cm="1">
        <f t="array" ref="G11140">SubCategorizeComment(E11140)</f>
        <v>Other</v>
      </c>
    </row>
    <row r="11141" spans="1:7" x14ac:dyDescent="0.25">
      <c r="A11141">
        <v>105397</v>
      </c>
      <c r="B11141" t="s">
        <v>4</v>
      </c>
      <c r="C11141">
        <v>4</v>
      </c>
      <c r="D11141" t="s">
        <v>5</v>
      </c>
      <c r="F11141" t="str" cm="1">
        <f t="array" ref="F11141">CategorizeComment(E11141)</f>
        <v>Other</v>
      </c>
      <c r="G11141" t="str" cm="1">
        <f t="array" ref="G11141">SubCategorizeComment(E11141)</f>
        <v>Other</v>
      </c>
    </row>
    <row r="11142" spans="1:7" x14ac:dyDescent="0.25">
      <c r="A11142">
        <v>105426</v>
      </c>
      <c r="B11142" t="s">
        <v>4</v>
      </c>
      <c r="C11142">
        <v>4</v>
      </c>
      <c r="D11142" t="s">
        <v>5</v>
      </c>
      <c r="F11142" t="str" cm="1">
        <f t="array" ref="F11142">CategorizeComment(E11142)</f>
        <v>Other</v>
      </c>
      <c r="G11142" t="str" cm="1">
        <f t="array" ref="G11142">SubCategorizeComment(E11142)</f>
        <v>Other</v>
      </c>
    </row>
    <row r="11143" spans="1:7" x14ac:dyDescent="0.25">
      <c r="A11143">
        <v>105438</v>
      </c>
      <c r="B11143" t="s">
        <v>4</v>
      </c>
      <c r="C11143">
        <v>4</v>
      </c>
      <c r="D11143" t="s">
        <v>5</v>
      </c>
      <c r="F11143" t="str" cm="1">
        <f t="array" ref="F11143">CategorizeComment(E11143)</f>
        <v>Other</v>
      </c>
      <c r="G11143" t="str" cm="1">
        <f t="array" ref="G11143">SubCategorizeComment(E11143)</f>
        <v>Other</v>
      </c>
    </row>
    <row r="11144" spans="1:7" x14ac:dyDescent="0.25">
      <c r="A11144">
        <v>105460</v>
      </c>
      <c r="B11144" t="s">
        <v>4</v>
      </c>
      <c r="C11144">
        <v>4</v>
      </c>
      <c r="D11144" t="s">
        <v>5</v>
      </c>
      <c r="F11144" t="str" cm="1">
        <f t="array" ref="F11144">CategorizeComment(E11144)</f>
        <v>Other</v>
      </c>
      <c r="G11144" t="str" cm="1">
        <f t="array" ref="G11144">SubCategorizeComment(E11144)</f>
        <v>Other</v>
      </c>
    </row>
    <row r="11145" spans="1:7" x14ac:dyDescent="0.25">
      <c r="A11145">
        <v>105462</v>
      </c>
      <c r="B11145" t="s">
        <v>4</v>
      </c>
      <c r="C11145">
        <v>3</v>
      </c>
      <c r="D11145" t="s">
        <v>5</v>
      </c>
      <c r="F11145" t="str" cm="1">
        <f t="array" ref="F11145">CategorizeComment(E11145)</f>
        <v>Other</v>
      </c>
      <c r="G11145" t="str" cm="1">
        <f t="array" ref="G11145">SubCategorizeComment(E11145)</f>
        <v>Other</v>
      </c>
    </row>
    <row r="11146" spans="1:7" x14ac:dyDescent="0.25">
      <c r="A11146">
        <v>105496</v>
      </c>
      <c r="B11146" t="s">
        <v>4</v>
      </c>
      <c r="C11146">
        <v>3</v>
      </c>
      <c r="D11146" t="s">
        <v>5</v>
      </c>
      <c r="F11146" t="str" cm="1">
        <f t="array" ref="F11146">CategorizeComment(E11146)</f>
        <v>Other</v>
      </c>
      <c r="G11146" t="str" cm="1">
        <f t="array" ref="G11146">SubCategorizeComment(E11146)</f>
        <v>Other</v>
      </c>
    </row>
    <row r="11147" spans="1:7" x14ac:dyDescent="0.25">
      <c r="A11147">
        <v>105498</v>
      </c>
      <c r="B11147" t="s">
        <v>4</v>
      </c>
      <c r="C11147">
        <v>4</v>
      </c>
      <c r="D11147" t="s">
        <v>5</v>
      </c>
      <c r="F11147" t="str" cm="1">
        <f t="array" ref="F11147">CategorizeComment(E11147)</f>
        <v>Other</v>
      </c>
      <c r="G11147" t="str" cm="1">
        <f t="array" ref="G11147">SubCategorizeComment(E11147)</f>
        <v>Other</v>
      </c>
    </row>
    <row r="11148" spans="1:7" x14ac:dyDescent="0.25">
      <c r="A11148">
        <v>105504</v>
      </c>
      <c r="B11148" t="s">
        <v>4</v>
      </c>
      <c r="C11148">
        <v>3</v>
      </c>
      <c r="D11148" t="s">
        <v>5</v>
      </c>
      <c r="F11148" t="str" cm="1">
        <f t="array" ref="F11148">CategorizeComment(E11148)</f>
        <v>Other</v>
      </c>
      <c r="G11148" t="str" cm="1">
        <f t="array" ref="G11148">SubCategorizeComment(E11148)</f>
        <v>Other</v>
      </c>
    </row>
    <row r="11149" spans="1:7" x14ac:dyDescent="0.25">
      <c r="A11149">
        <v>105506</v>
      </c>
      <c r="B11149" t="s">
        <v>4</v>
      </c>
      <c r="C11149">
        <v>3</v>
      </c>
      <c r="D11149" t="s">
        <v>5</v>
      </c>
      <c r="F11149" t="str" cm="1">
        <f t="array" ref="F11149">CategorizeComment(E11149)</f>
        <v>Other</v>
      </c>
      <c r="G11149" t="str" cm="1">
        <f t="array" ref="G11149">SubCategorizeComment(E11149)</f>
        <v>Other</v>
      </c>
    </row>
    <row r="11150" spans="1:7" x14ac:dyDescent="0.25">
      <c r="A11150">
        <v>105534</v>
      </c>
      <c r="B11150" t="s">
        <v>4</v>
      </c>
      <c r="C11150">
        <v>4</v>
      </c>
      <c r="D11150" t="s">
        <v>5</v>
      </c>
      <c r="F11150" t="str" cm="1">
        <f t="array" ref="F11150">CategorizeComment(E11150)</f>
        <v>Other</v>
      </c>
      <c r="G11150" t="str" cm="1">
        <f t="array" ref="G11150">SubCategorizeComment(E11150)</f>
        <v>Other</v>
      </c>
    </row>
    <row r="11151" spans="1:7" x14ac:dyDescent="0.25">
      <c r="A11151">
        <v>105548</v>
      </c>
      <c r="B11151" t="s">
        <v>4</v>
      </c>
      <c r="C11151">
        <v>4</v>
      </c>
      <c r="D11151" t="s">
        <v>5</v>
      </c>
      <c r="F11151" t="str" cm="1">
        <f t="array" ref="F11151">CategorizeComment(E11151)</f>
        <v>Other</v>
      </c>
      <c r="G11151" t="str" cm="1">
        <f t="array" ref="G11151">SubCategorizeComment(E11151)</f>
        <v>Other</v>
      </c>
    </row>
    <row r="11152" spans="1:7" x14ac:dyDescent="0.25">
      <c r="A11152">
        <v>105550</v>
      </c>
      <c r="B11152" t="s">
        <v>4</v>
      </c>
      <c r="C11152">
        <v>3</v>
      </c>
      <c r="D11152" t="s">
        <v>5</v>
      </c>
      <c r="F11152" t="str" cm="1">
        <f t="array" ref="F11152">CategorizeComment(E11152)</f>
        <v>Other</v>
      </c>
      <c r="G11152" t="str" cm="1">
        <f t="array" ref="G11152">SubCategorizeComment(E11152)</f>
        <v>Other</v>
      </c>
    </row>
    <row r="11153" spans="1:7" x14ac:dyDescent="0.25">
      <c r="A11153">
        <v>105551</v>
      </c>
      <c r="B11153" t="s">
        <v>4</v>
      </c>
      <c r="C11153">
        <v>3</v>
      </c>
      <c r="D11153" t="s">
        <v>5</v>
      </c>
      <c r="F11153" t="str" cm="1">
        <f t="array" ref="F11153">CategorizeComment(E11153)</f>
        <v>Other</v>
      </c>
      <c r="G11153" t="str" cm="1">
        <f t="array" ref="G11153">SubCategorizeComment(E11153)</f>
        <v>Other</v>
      </c>
    </row>
    <row r="11154" spans="1:7" x14ac:dyDescent="0.25">
      <c r="A11154">
        <v>105557</v>
      </c>
      <c r="B11154" t="s">
        <v>4</v>
      </c>
      <c r="C11154">
        <v>4</v>
      </c>
      <c r="D11154" t="s">
        <v>5</v>
      </c>
      <c r="F11154" t="str" cm="1">
        <f t="array" ref="F11154">CategorizeComment(E11154)</f>
        <v>Other</v>
      </c>
      <c r="G11154" t="str" cm="1">
        <f t="array" ref="G11154">SubCategorizeComment(E11154)</f>
        <v>Other</v>
      </c>
    </row>
    <row r="11155" spans="1:7" x14ac:dyDescent="0.25">
      <c r="A11155">
        <v>105575</v>
      </c>
      <c r="B11155" t="s">
        <v>4</v>
      </c>
      <c r="C11155">
        <v>3</v>
      </c>
      <c r="D11155" t="s">
        <v>5</v>
      </c>
      <c r="F11155" t="str" cm="1">
        <f t="array" ref="F11155">CategorizeComment(E11155)</f>
        <v>Other</v>
      </c>
      <c r="G11155" t="str" cm="1">
        <f t="array" ref="G11155">SubCategorizeComment(E11155)</f>
        <v>Other</v>
      </c>
    </row>
    <row r="11156" spans="1:7" x14ac:dyDescent="0.25">
      <c r="A11156">
        <v>105577</v>
      </c>
      <c r="B11156" t="s">
        <v>4</v>
      </c>
      <c r="C11156">
        <v>3</v>
      </c>
      <c r="D11156" t="s">
        <v>5</v>
      </c>
      <c r="F11156" t="str" cm="1">
        <f t="array" ref="F11156">CategorizeComment(E11156)</f>
        <v>Other</v>
      </c>
      <c r="G11156" t="str" cm="1">
        <f t="array" ref="G11156">SubCategorizeComment(E11156)</f>
        <v>Other</v>
      </c>
    </row>
    <row r="11157" spans="1:7" x14ac:dyDescent="0.25">
      <c r="A11157">
        <v>105580</v>
      </c>
      <c r="B11157" t="s">
        <v>4</v>
      </c>
      <c r="C11157">
        <v>4</v>
      </c>
      <c r="D11157" t="s">
        <v>5</v>
      </c>
      <c r="F11157" t="str" cm="1">
        <f t="array" ref="F11157">CategorizeComment(E11157)</f>
        <v>Other</v>
      </c>
      <c r="G11157" t="str" cm="1">
        <f t="array" ref="G11157">SubCategorizeComment(E11157)</f>
        <v>Other</v>
      </c>
    </row>
    <row r="11158" spans="1:7" x14ac:dyDescent="0.25">
      <c r="A11158">
        <v>105585</v>
      </c>
      <c r="B11158" t="s">
        <v>4</v>
      </c>
      <c r="C11158">
        <v>4</v>
      </c>
      <c r="D11158" t="s">
        <v>5</v>
      </c>
      <c r="F11158" t="str" cm="1">
        <f t="array" ref="F11158">CategorizeComment(E11158)</f>
        <v>Other</v>
      </c>
      <c r="G11158" t="str" cm="1">
        <f t="array" ref="G11158">SubCategorizeComment(E11158)</f>
        <v>Other</v>
      </c>
    </row>
    <row r="11159" spans="1:7" x14ac:dyDescent="0.25">
      <c r="A11159">
        <v>105598</v>
      </c>
      <c r="B11159" t="s">
        <v>4</v>
      </c>
      <c r="C11159">
        <v>4</v>
      </c>
      <c r="D11159" t="s">
        <v>5</v>
      </c>
      <c r="F11159" t="str" cm="1">
        <f t="array" ref="F11159">CategorizeComment(E11159)</f>
        <v>Other</v>
      </c>
      <c r="G11159" t="str" cm="1">
        <f t="array" ref="G11159">SubCategorizeComment(E11159)</f>
        <v>Other</v>
      </c>
    </row>
    <row r="11160" spans="1:7" x14ac:dyDescent="0.25">
      <c r="A11160">
        <v>105606</v>
      </c>
      <c r="B11160" t="s">
        <v>4</v>
      </c>
      <c r="C11160">
        <v>3</v>
      </c>
      <c r="D11160" t="s">
        <v>5</v>
      </c>
      <c r="F11160" t="str" cm="1">
        <f t="array" ref="F11160">CategorizeComment(E11160)</f>
        <v>Other</v>
      </c>
      <c r="G11160" t="str" cm="1">
        <f t="array" ref="G11160">SubCategorizeComment(E11160)</f>
        <v>Other</v>
      </c>
    </row>
    <row r="11161" spans="1:7" x14ac:dyDescent="0.25">
      <c r="A11161">
        <v>105637</v>
      </c>
      <c r="B11161" t="s">
        <v>4</v>
      </c>
      <c r="C11161">
        <v>3</v>
      </c>
      <c r="D11161" t="s">
        <v>5</v>
      </c>
      <c r="F11161" t="str" cm="1">
        <f t="array" ref="F11161">CategorizeComment(E11161)</f>
        <v>Other</v>
      </c>
      <c r="G11161" t="str" cm="1">
        <f t="array" ref="G11161">SubCategorizeComment(E11161)</f>
        <v>Other</v>
      </c>
    </row>
    <row r="11162" spans="1:7" x14ac:dyDescent="0.25">
      <c r="A11162">
        <v>105655</v>
      </c>
      <c r="B11162" t="s">
        <v>4</v>
      </c>
      <c r="C11162">
        <v>3</v>
      </c>
      <c r="D11162" t="s">
        <v>5</v>
      </c>
      <c r="F11162" t="str" cm="1">
        <f t="array" ref="F11162">CategorizeComment(E11162)</f>
        <v>Other</v>
      </c>
      <c r="G11162" t="str" cm="1">
        <f t="array" ref="G11162">SubCategorizeComment(E11162)</f>
        <v>Other</v>
      </c>
    </row>
    <row r="11163" spans="1:7" x14ac:dyDescent="0.25">
      <c r="A11163">
        <v>105668</v>
      </c>
      <c r="B11163" t="s">
        <v>4</v>
      </c>
      <c r="C11163">
        <v>3</v>
      </c>
      <c r="D11163" t="s">
        <v>5</v>
      </c>
      <c r="F11163" t="str" cm="1">
        <f t="array" ref="F11163">CategorizeComment(E11163)</f>
        <v>Other</v>
      </c>
      <c r="G11163" t="str" cm="1">
        <f t="array" ref="G11163">SubCategorizeComment(E11163)</f>
        <v>Other</v>
      </c>
    </row>
    <row r="11164" spans="1:7" x14ac:dyDescent="0.25">
      <c r="A11164">
        <v>105695</v>
      </c>
      <c r="B11164" t="s">
        <v>4</v>
      </c>
      <c r="C11164">
        <v>4</v>
      </c>
      <c r="D11164" t="s">
        <v>5</v>
      </c>
      <c r="F11164" t="str" cm="1">
        <f t="array" ref="F11164">CategorizeComment(E11164)</f>
        <v>Other</v>
      </c>
      <c r="G11164" t="str" cm="1">
        <f t="array" ref="G11164">SubCategorizeComment(E11164)</f>
        <v>Other</v>
      </c>
    </row>
    <row r="11165" spans="1:7" x14ac:dyDescent="0.25">
      <c r="A11165">
        <v>105699</v>
      </c>
      <c r="B11165" t="s">
        <v>4</v>
      </c>
      <c r="C11165">
        <v>4</v>
      </c>
      <c r="D11165" t="s">
        <v>5</v>
      </c>
      <c r="F11165" t="str" cm="1">
        <f t="array" ref="F11165">CategorizeComment(E11165)</f>
        <v>Other</v>
      </c>
      <c r="G11165" t="str" cm="1">
        <f t="array" ref="G11165">SubCategorizeComment(E11165)</f>
        <v>Other</v>
      </c>
    </row>
    <row r="11166" spans="1:7" x14ac:dyDescent="0.25">
      <c r="A11166">
        <v>105703</v>
      </c>
      <c r="B11166" t="s">
        <v>4</v>
      </c>
      <c r="C11166">
        <v>4</v>
      </c>
      <c r="D11166" t="s">
        <v>5</v>
      </c>
      <c r="F11166" t="str" cm="1">
        <f t="array" ref="F11166">CategorizeComment(E11166)</f>
        <v>Other</v>
      </c>
      <c r="G11166" t="str" cm="1">
        <f t="array" ref="G11166">SubCategorizeComment(E11166)</f>
        <v>Other</v>
      </c>
    </row>
    <row r="11167" spans="1:7" x14ac:dyDescent="0.25">
      <c r="A11167">
        <v>105717</v>
      </c>
      <c r="B11167" t="s">
        <v>4</v>
      </c>
      <c r="C11167">
        <v>4</v>
      </c>
      <c r="D11167" t="s">
        <v>5</v>
      </c>
      <c r="F11167" t="str" cm="1">
        <f t="array" ref="F11167">CategorizeComment(E11167)</f>
        <v>Other</v>
      </c>
      <c r="G11167" t="str" cm="1">
        <f t="array" ref="G11167">SubCategorizeComment(E11167)</f>
        <v>Other</v>
      </c>
    </row>
    <row r="11168" spans="1:7" x14ac:dyDescent="0.25">
      <c r="A11168">
        <v>105721</v>
      </c>
      <c r="B11168" t="s">
        <v>4</v>
      </c>
      <c r="C11168">
        <v>4</v>
      </c>
      <c r="D11168" t="s">
        <v>5</v>
      </c>
      <c r="F11168" t="str" cm="1">
        <f t="array" ref="F11168">CategorizeComment(E11168)</f>
        <v>Other</v>
      </c>
      <c r="G11168" t="str" cm="1">
        <f t="array" ref="G11168">SubCategorizeComment(E11168)</f>
        <v>Other</v>
      </c>
    </row>
    <row r="11169" spans="1:7" x14ac:dyDescent="0.25">
      <c r="A11169">
        <v>105738</v>
      </c>
      <c r="B11169" t="s">
        <v>4</v>
      </c>
      <c r="C11169">
        <v>3</v>
      </c>
      <c r="D11169" t="s">
        <v>5</v>
      </c>
      <c r="F11169" t="str" cm="1">
        <f t="array" ref="F11169">CategorizeComment(E11169)</f>
        <v>Other</v>
      </c>
      <c r="G11169" t="str" cm="1">
        <f t="array" ref="G11169">SubCategorizeComment(E11169)</f>
        <v>Other</v>
      </c>
    </row>
    <row r="11170" spans="1:7" x14ac:dyDescent="0.25">
      <c r="A11170">
        <v>105741</v>
      </c>
      <c r="B11170" t="s">
        <v>4</v>
      </c>
      <c r="C11170">
        <v>3</v>
      </c>
      <c r="D11170" t="s">
        <v>5</v>
      </c>
      <c r="F11170" t="str" cm="1">
        <f t="array" ref="F11170">CategorizeComment(E11170)</f>
        <v>Other</v>
      </c>
      <c r="G11170" t="str" cm="1">
        <f t="array" ref="G11170">SubCategorizeComment(E11170)</f>
        <v>Other</v>
      </c>
    </row>
    <row r="11171" spans="1:7" x14ac:dyDescent="0.25">
      <c r="A11171">
        <v>105745</v>
      </c>
      <c r="B11171" t="s">
        <v>4</v>
      </c>
      <c r="C11171">
        <v>4</v>
      </c>
      <c r="D11171" t="s">
        <v>5</v>
      </c>
      <c r="F11171" t="str" cm="1">
        <f t="array" ref="F11171">CategorizeComment(E11171)</f>
        <v>Other</v>
      </c>
      <c r="G11171" t="str" cm="1">
        <f t="array" ref="G11171">SubCategorizeComment(E11171)</f>
        <v>Other</v>
      </c>
    </row>
    <row r="11172" spans="1:7" x14ac:dyDescent="0.25">
      <c r="A11172">
        <v>105763</v>
      </c>
      <c r="B11172" t="s">
        <v>4</v>
      </c>
      <c r="C11172">
        <v>4</v>
      </c>
      <c r="D11172" t="s">
        <v>5</v>
      </c>
      <c r="F11172" t="str" cm="1">
        <f t="array" ref="F11172">CategorizeComment(E11172)</f>
        <v>Other</v>
      </c>
      <c r="G11172" t="str" cm="1">
        <f t="array" ref="G11172">SubCategorizeComment(E11172)</f>
        <v>Other</v>
      </c>
    </row>
    <row r="11173" spans="1:7" x14ac:dyDescent="0.25">
      <c r="A11173">
        <v>105772</v>
      </c>
      <c r="B11173" t="s">
        <v>4</v>
      </c>
      <c r="C11173">
        <v>4</v>
      </c>
      <c r="D11173" t="s">
        <v>5</v>
      </c>
      <c r="F11173" t="str" cm="1">
        <f t="array" ref="F11173">CategorizeComment(E11173)</f>
        <v>Other</v>
      </c>
      <c r="G11173" t="str" cm="1">
        <f t="array" ref="G11173">SubCategorizeComment(E11173)</f>
        <v>Other</v>
      </c>
    </row>
    <row r="11174" spans="1:7" x14ac:dyDescent="0.25">
      <c r="A11174">
        <v>105776</v>
      </c>
      <c r="B11174" t="s">
        <v>4</v>
      </c>
      <c r="C11174">
        <v>3</v>
      </c>
      <c r="D11174" t="s">
        <v>5</v>
      </c>
      <c r="F11174" t="str" cm="1">
        <f t="array" ref="F11174">CategorizeComment(E11174)</f>
        <v>Other</v>
      </c>
      <c r="G11174" t="str" cm="1">
        <f t="array" ref="G11174">SubCategorizeComment(E11174)</f>
        <v>Other</v>
      </c>
    </row>
    <row r="11175" spans="1:7" x14ac:dyDescent="0.25">
      <c r="A11175">
        <v>105787</v>
      </c>
      <c r="B11175" t="s">
        <v>4</v>
      </c>
      <c r="C11175">
        <v>4</v>
      </c>
      <c r="D11175" t="s">
        <v>5</v>
      </c>
      <c r="F11175" t="str" cm="1">
        <f t="array" ref="F11175">CategorizeComment(E11175)</f>
        <v>Other</v>
      </c>
      <c r="G11175" t="str" cm="1">
        <f t="array" ref="G11175">SubCategorizeComment(E11175)</f>
        <v>Other</v>
      </c>
    </row>
    <row r="11176" spans="1:7" x14ac:dyDescent="0.25">
      <c r="A11176">
        <v>105790</v>
      </c>
      <c r="B11176" t="s">
        <v>4</v>
      </c>
      <c r="C11176">
        <v>3</v>
      </c>
      <c r="D11176" t="s">
        <v>5</v>
      </c>
      <c r="F11176" t="str" cm="1">
        <f t="array" ref="F11176">CategorizeComment(E11176)</f>
        <v>Other</v>
      </c>
      <c r="G11176" t="str" cm="1">
        <f t="array" ref="G11176">SubCategorizeComment(E11176)</f>
        <v>Other</v>
      </c>
    </row>
    <row r="11177" spans="1:7" x14ac:dyDescent="0.25">
      <c r="A11177">
        <v>105798</v>
      </c>
      <c r="B11177" t="s">
        <v>4</v>
      </c>
      <c r="C11177">
        <v>4</v>
      </c>
      <c r="D11177" t="s">
        <v>5</v>
      </c>
      <c r="F11177" t="str" cm="1">
        <f t="array" ref="F11177">CategorizeComment(E11177)</f>
        <v>Other</v>
      </c>
      <c r="G11177" t="str" cm="1">
        <f t="array" ref="G11177">SubCategorizeComment(E11177)</f>
        <v>Other</v>
      </c>
    </row>
    <row r="11178" spans="1:7" x14ac:dyDescent="0.25">
      <c r="A11178">
        <v>105803</v>
      </c>
      <c r="B11178" t="s">
        <v>4</v>
      </c>
      <c r="C11178">
        <v>3</v>
      </c>
      <c r="D11178" t="s">
        <v>5</v>
      </c>
      <c r="F11178" t="str" cm="1">
        <f t="array" ref="F11178">CategorizeComment(E11178)</f>
        <v>Other</v>
      </c>
      <c r="G11178" t="str" cm="1">
        <f t="array" ref="G11178">SubCategorizeComment(E11178)</f>
        <v>Other</v>
      </c>
    </row>
    <row r="11179" spans="1:7" x14ac:dyDescent="0.25">
      <c r="A11179">
        <v>105818</v>
      </c>
      <c r="B11179" t="s">
        <v>4</v>
      </c>
      <c r="C11179">
        <v>4</v>
      </c>
      <c r="D11179" t="s">
        <v>5</v>
      </c>
      <c r="F11179" t="str" cm="1">
        <f t="array" ref="F11179">CategorizeComment(E11179)</f>
        <v>Other</v>
      </c>
      <c r="G11179" t="str" cm="1">
        <f t="array" ref="G11179">SubCategorizeComment(E11179)</f>
        <v>Other</v>
      </c>
    </row>
    <row r="11180" spans="1:7" x14ac:dyDescent="0.25">
      <c r="A11180">
        <v>105819</v>
      </c>
      <c r="B11180" t="s">
        <v>4</v>
      </c>
      <c r="C11180">
        <v>3</v>
      </c>
      <c r="D11180" t="s">
        <v>5</v>
      </c>
      <c r="F11180" t="str" cm="1">
        <f t="array" ref="F11180">CategorizeComment(E11180)</f>
        <v>Other</v>
      </c>
      <c r="G11180" t="str" cm="1">
        <f t="array" ref="G11180">SubCategorizeComment(E11180)</f>
        <v>Other</v>
      </c>
    </row>
    <row r="11181" spans="1:7" x14ac:dyDescent="0.25">
      <c r="A11181">
        <v>105830</v>
      </c>
      <c r="B11181" t="s">
        <v>4</v>
      </c>
      <c r="C11181">
        <v>3</v>
      </c>
      <c r="D11181" t="s">
        <v>5</v>
      </c>
      <c r="F11181" t="str" cm="1">
        <f t="array" ref="F11181">CategorizeComment(E11181)</f>
        <v>Other</v>
      </c>
      <c r="G11181" t="str" cm="1">
        <f t="array" ref="G11181">SubCategorizeComment(E11181)</f>
        <v>Other</v>
      </c>
    </row>
    <row r="11182" spans="1:7" x14ac:dyDescent="0.25">
      <c r="A11182">
        <v>105834</v>
      </c>
      <c r="B11182" t="s">
        <v>4</v>
      </c>
      <c r="C11182">
        <v>3</v>
      </c>
      <c r="D11182" t="s">
        <v>5</v>
      </c>
      <c r="F11182" t="str" cm="1">
        <f t="array" ref="F11182">CategorizeComment(E11182)</f>
        <v>Other</v>
      </c>
      <c r="G11182" t="str" cm="1">
        <f t="array" ref="G11182">SubCategorizeComment(E11182)</f>
        <v>Other</v>
      </c>
    </row>
    <row r="11183" spans="1:7" x14ac:dyDescent="0.25">
      <c r="A11183">
        <v>105858</v>
      </c>
      <c r="B11183" t="s">
        <v>4</v>
      </c>
      <c r="C11183">
        <v>3</v>
      </c>
      <c r="D11183" t="s">
        <v>5</v>
      </c>
      <c r="F11183" t="str" cm="1">
        <f t="array" ref="F11183">CategorizeComment(E11183)</f>
        <v>Other</v>
      </c>
      <c r="G11183" t="str" cm="1">
        <f t="array" ref="G11183">SubCategorizeComment(E11183)</f>
        <v>Other</v>
      </c>
    </row>
    <row r="11184" spans="1:7" x14ac:dyDescent="0.25">
      <c r="A11184">
        <v>105862</v>
      </c>
      <c r="B11184" t="s">
        <v>4</v>
      </c>
      <c r="C11184">
        <v>4</v>
      </c>
      <c r="D11184" t="s">
        <v>5</v>
      </c>
      <c r="F11184" t="str" cm="1">
        <f t="array" ref="F11184">CategorizeComment(E11184)</f>
        <v>Other</v>
      </c>
      <c r="G11184" t="str" cm="1">
        <f t="array" ref="G11184">SubCategorizeComment(E11184)</f>
        <v>Other</v>
      </c>
    </row>
    <row r="11185" spans="1:7" x14ac:dyDescent="0.25">
      <c r="A11185">
        <v>105869</v>
      </c>
      <c r="B11185" t="s">
        <v>4</v>
      </c>
      <c r="C11185">
        <v>3</v>
      </c>
      <c r="D11185" t="s">
        <v>5</v>
      </c>
      <c r="F11185" t="str" cm="1">
        <f t="array" ref="F11185">CategorizeComment(E11185)</f>
        <v>Other</v>
      </c>
      <c r="G11185" t="str" cm="1">
        <f t="array" ref="G11185">SubCategorizeComment(E11185)</f>
        <v>Other</v>
      </c>
    </row>
    <row r="11186" spans="1:7" x14ac:dyDescent="0.25">
      <c r="A11186">
        <v>105893</v>
      </c>
      <c r="B11186" t="s">
        <v>4</v>
      </c>
      <c r="C11186">
        <v>4</v>
      </c>
      <c r="D11186" t="s">
        <v>5</v>
      </c>
      <c r="F11186" t="str" cm="1">
        <f t="array" ref="F11186">CategorizeComment(E11186)</f>
        <v>Other</v>
      </c>
      <c r="G11186" t="str" cm="1">
        <f t="array" ref="G11186">SubCategorizeComment(E11186)</f>
        <v>Other</v>
      </c>
    </row>
    <row r="11187" spans="1:7" x14ac:dyDescent="0.25">
      <c r="A11187">
        <v>105897</v>
      </c>
      <c r="B11187" t="s">
        <v>4</v>
      </c>
      <c r="C11187">
        <v>3</v>
      </c>
      <c r="D11187" t="s">
        <v>5</v>
      </c>
      <c r="F11187" t="str" cm="1">
        <f t="array" ref="F11187">CategorizeComment(E11187)</f>
        <v>Other</v>
      </c>
      <c r="G11187" t="str" cm="1">
        <f t="array" ref="G11187">SubCategorizeComment(E11187)</f>
        <v>Other</v>
      </c>
    </row>
    <row r="11188" spans="1:7" x14ac:dyDescent="0.25">
      <c r="A11188">
        <v>105910</v>
      </c>
      <c r="B11188" t="s">
        <v>4</v>
      </c>
      <c r="C11188">
        <v>3</v>
      </c>
      <c r="D11188" t="s">
        <v>5</v>
      </c>
      <c r="F11188" t="str" cm="1">
        <f t="array" ref="F11188">CategorizeComment(E11188)</f>
        <v>Other</v>
      </c>
      <c r="G11188" t="str" cm="1">
        <f t="array" ref="G11188">SubCategorizeComment(E11188)</f>
        <v>Other</v>
      </c>
    </row>
    <row r="11189" spans="1:7" x14ac:dyDescent="0.25">
      <c r="A11189">
        <v>105912</v>
      </c>
      <c r="B11189" t="s">
        <v>4</v>
      </c>
      <c r="C11189">
        <v>3</v>
      </c>
      <c r="D11189" t="s">
        <v>5</v>
      </c>
      <c r="F11189" t="str" cm="1">
        <f t="array" ref="F11189">CategorizeComment(E11189)</f>
        <v>Other</v>
      </c>
      <c r="G11189" t="str" cm="1">
        <f t="array" ref="G11189">SubCategorizeComment(E11189)</f>
        <v>Other</v>
      </c>
    </row>
    <row r="11190" spans="1:7" x14ac:dyDescent="0.25">
      <c r="A11190">
        <v>105914</v>
      </c>
      <c r="B11190" t="s">
        <v>4</v>
      </c>
      <c r="C11190">
        <v>4</v>
      </c>
      <c r="D11190" t="s">
        <v>5</v>
      </c>
      <c r="F11190" t="str" cm="1">
        <f t="array" ref="F11190">CategorizeComment(E11190)</f>
        <v>Other</v>
      </c>
      <c r="G11190" t="str" cm="1">
        <f t="array" ref="G11190">SubCategorizeComment(E11190)</f>
        <v>Other</v>
      </c>
    </row>
    <row r="11191" spans="1:7" x14ac:dyDescent="0.25">
      <c r="A11191">
        <v>105916</v>
      </c>
      <c r="B11191" t="s">
        <v>4</v>
      </c>
      <c r="C11191">
        <v>4</v>
      </c>
      <c r="D11191" t="s">
        <v>5</v>
      </c>
      <c r="F11191" t="str" cm="1">
        <f t="array" ref="F11191">CategorizeComment(E11191)</f>
        <v>Other</v>
      </c>
      <c r="G11191" t="str" cm="1">
        <f t="array" ref="G11191">SubCategorizeComment(E11191)</f>
        <v>Other</v>
      </c>
    </row>
    <row r="11192" spans="1:7" x14ac:dyDescent="0.25">
      <c r="A11192">
        <v>105928</v>
      </c>
      <c r="B11192" t="s">
        <v>4</v>
      </c>
      <c r="C11192">
        <v>3</v>
      </c>
      <c r="D11192" t="s">
        <v>5</v>
      </c>
      <c r="F11192" t="str" cm="1">
        <f t="array" ref="F11192">CategorizeComment(E11192)</f>
        <v>Other</v>
      </c>
      <c r="G11192" t="str" cm="1">
        <f t="array" ref="G11192">SubCategorizeComment(E11192)</f>
        <v>Other</v>
      </c>
    </row>
    <row r="11193" spans="1:7" x14ac:dyDescent="0.25">
      <c r="A11193">
        <v>105933</v>
      </c>
      <c r="B11193" t="s">
        <v>4</v>
      </c>
      <c r="C11193">
        <v>3</v>
      </c>
      <c r="D11193" t="s">
        <v>5</v>
      </c>
      <c r="F11193" t="str" cm="1">
        <f t="array" ref="F11193">CategorizeComment(E11193)</f>
        <v>Other</v>
      </c>
      <c r="G11193" t="str" cm="1">
        <f t="array" ref="G11193">SubCategorizeComment(E11193)</f>
        <v>Other</v>
      </c>
    </row>
    <row r="11194" spans="1:7" x14ac:dyDescent="0.25">
      <c r="A11194">
        <v>105936</v>
      </c>
      <c r="B11194" t="s">
        <v>4</v>
      </c>
      <c r="C11194">
        <v>3</v>
      </c>
      <c r="D11194" t="s">
        <v>5</v>
      </c>
      <c r="F11194" t="str" cm="1">
        <f t="array" ref="F11194">CategorizeComment(E11194)</f>
        <v>Other</v>
      </c>
      <c r="G11194" t="str" cm="1">
        <f t="array" ref="G11194">SubCategorizeComment(E11194)</f>
        <v>Other</v>
      </c>
    </row>
    <row r="11195" spans="1:7" x14ac:dyDescent="0.25">
      <c r="A11195">
        <v>105937</v>
      </c>
      <c r="B11195" t="s">
        <v>4</v>
      </c>
      <c r="C11195">
        <v>3</v>
      </c>
      <c r="D11195" t="s">
        <v>5</v>
      </c>
      <c r="F11195" t="str" cm="1">
        <f t="array" ref="F11195">CategorizeComment(E11195)</f>
        <v>Other</v>
      </c>
      <c r="G11195" t="str" cm="1">
        <f t="array" ref="G11195">SubCategorizeComment(E11195)</f>
        <v>Other</v>
      </c>
    </row>
    <row r="11196" spans="1:7" x14ac:dyDescent="0.25">
      <c r="A11196">
        <v>105938</v>
      </c>
      <c r="B11196" t="s">
        <v>4</v>
      </c>
      <c r="C11196">
        <v>4</v>
      </c>
      <c r="D11196" t="s">
        <v>5</v>
      </c>
      <c r="F11196" t="str" cm="1">
        <f t="array" ref="F11196">CategorizeComment(E11196)</f>
        <v>Other</v>
      </c>
      <c r="G11196" t="str" cm="1">
        <f t="array" ref="G11196">SubCategorizeComment(E11196)</f>
        <v>Other</v>
      </c>
    </row>
    <row r="11197" spans="1:7" x14ac:dyDescent="0.25">
      <c r="A11197">
        <v>105944</v>
      </c>
      <c r="B11197" t="s">
        <v>4</v>
      </c>
      <c r="C11197">
        <v>4</v>
      </c>
      <c r="D11197" t="s">
        <v>5</v>
      </c>
      <c r="F11197" t="str" cm="1">
        <f t="array" ref="F11197">CategorizeComment(E11197)</f>
        <v>Other</v>
      </c>
      <c r="G11197" t="str" cm="1">
        <f t="array" ref="G11197">SubCategorizeComment(E11197)</f>
        <v>Other</v>
      </c>
    </row>
    <row r="11198" spans="1:7" x14ac:dyDescent="0.25">
      <c r="A11198">
        <v>105968</v>
      </c>
      <c r="B11198" t="s">
        <v>4</v>
      </c>
      <c r="C11198">
        <v>3</v>
      </c>
      <c r="D11198" t="s">
        <v>5</v>
      </c>
      <c r="F11198" t="str" cm="1">
        <f t="array" ref="F11198">CategorizeComment(E11198)</f>
        <v>Other</v>
      </c>
      <c r="G11198" t="str" cm="1">
        <f t="array" ref="G11198">SubCategorizeComment(E11198)</f>
        <v>Other</v>
      </c>
    </row>
    <row r="11199" spans="1:7" x14ac:dyDescent="0.25">
      <c r="A11199">
        <v>105970</v>
      </c>
      <c r="B11199" t="s">
        <v>4</v>
      </c>
      <c r="C11199">
        <v>4</v>
      </c>
      <c r="D11199" t="s">
        <v>5</v>
      </c>
      <c r="F11199" t="str" cm="1">
        <f t="array" ref="F11199">CategorizeComment(E11199)</f>
        <v>Other</v>
      </c>
      <c r="G11199" t="str" cm="1">
        <f t="array" ref="G11199">SubCategorizeComment(E11199)</f>
        <v>Other</v>
      </c>
    </row>
    <row r="11200" spans="1:7" x14ac:dyDescent="0.25">
      <c r="A11200">
        <v>105979</v>
      </c>
      <c r="B11200" t="s">
        <v>4</v>
      </c>
      <c r="C11200">
        <v>4</v>
      </c>
      <c r="D11200" t="s">
        <v>5</v>
      </c>
      <c r="F11200" t="str" cm="1">
        <f t="array" ref="F11200">CategorizeComment(E11200)</f>
        <v>Other</v>
      </c>
      <c r="G11200" t="str" cm="1">
        <f t="array" ref="G11200">SubCategorizeComment(E11200)</f>
        <v>Other</v>
      </c>
    </row>
    <row r="11201" spans="1:7" x14ac:dyDescent="0.25">
      <c r="A11201">
        <v>105982</v>
      </c>
      <c r="B11201" t="s">
        <v>4</v>
      </c>
      <c r="C11201">
        <v>3</v>
      </c>
      <c r="D11201" t="s">
        <v>5</v>
      </c>
      <c r="F11201" t="str" cm="1">
        <f t="array" ref="F11201">CategorizeComment(E11201)</f>
        <v>Other</v>
      </c>
      <c r="G11201" t="str" cm="1">
        <f t="array" ref="G11201">SubCategorizeComment(E11201)</f>
        <v>Other</v>
      </c>
    </row>
    <row r="11202" spans="1:7" x14ac:dyDescent="0.25">
      <c r="A11202">
        <v>105989</v>
      </c>
      <c r="B11202" t="s">
        <v>4</v>
      </c>
      <c r="C11202">
        <v>4</v>
      </c>
      <c r="D11202" t="s">
        <v>5</v>
      </c>
      <c r="F11202" t="str" cm="1">
        <f t="array" ref="F11202">CategorizeComment(E11202)</f>
        <v>Other</v>
      </c>
      <c r="G11202" t="str" cm="1">
        <f t="array" ref="G11202">SubCategorizeComment(E11202)</f>
        <v>Other</v>
      </c>
    </row>
    <row r="11203" spans="1:7" x14ac:dyDescent="0.25">
      <c r="A11203">
        <v>106000</v>
      </c>
      <c r="B11203" t="s">
        <v>4</v>
      </c>
      <c r="C11203">
        <v>3</v>
      </c>
      <c r="D11203" t="s">
        <v>5</v>
      </c>
      <c r="F11203" t="str" cm="1">
        <f t="array" ref="F11203">CategorizeComment(E11203)</f>
        <v>Other</v>
      </c>
      <c r="G11203" t="str" cm="1">
        <f t="array" ref="G11203">SubCategorizeComment(E11203)</f>
        <v>Other</v>
      </c>
    </row>
    <row r="11204" spans="1:7" x14ac:dyDescent="0.25">
      <c r="A11204">
        <v>106002</v>
      </c>
      <c r="B11204" t="s">
        <v>4</v>
      </c>
      <c r="C11204">
        <v>3</v>
      </c>
      <c r="D11204" t="s">
        <v>5</v>
      </c>
      <c r="F11204" t="str" cm="1">
        <f t="array" ref="F11204">CategorizeComment(E11204)</f>
        <v>Other</v>
      </c>
      <c r="G11204" t="str" cm="1">
        <f t="array" ref="G11204">SubCategorizeComment(E11204)</f>
        <v>Other</v>
      </c>
    </row>
    <row r="11205" spans="1:7" x14ac:dyDescent="0.25">
      <c r="A11205">
        <v>106003</v>
      </c>
      <c r="B11205" t="s">
        <v>4</v>
      </c>
      <c r="C11205">
        <v>4</v>
      </c>
      <c r="D11205" t="s">
        <v>5</v>
      </c>
      <c r="F11205" t="str" cm="1">
        <f t="array" ref="F11205">CategorizeComment(E11205)</f>
        <v>Other</v>
      </c>
      <c r="G11205" t="str" cm="1">
        <f t="array" ref="G11205">SubCategorizeComment(E11205)</f>
        <v>Other</v>
      </c>
    </row>
    <row r="11206" spans="1:7" x14ac:dyDescent="0.25">
      <c r="A11206">
        <v>106008</v>
      </c>
      <c r="B11206" t="s">
        <v>4</v>
      </c>
      <c r="C11206">
        <v>3</v>
      </c>
      <c r="D11206" t="s">
        <v>5</v>
      </c>
      <c r="F11206" t="str" cm="1">
        <f t="array" ref="F11206">CategorizeComment(E11206)</f>
        <v>Other</v>
      </c>
      <c r="G11206" t="str" cm="1">
        <f t="array" ref="G11206">SubCategorizeComment(E11206)</f>
        <v>Other</v>
      </c>
    </row>
    <row r="11207" spans="1:7" x14ac:dyDescent="0.25">
      <c r="A11207">
        <v>106010</v>
      </c>
      <c r="B11207" t="s">
        <v>4</v>
      </c>
      <c r="C11207">
        <v>4</v>
      </c>
      <c r="D11207" t="s">
        <v>5</v>
      </c>
      <c r="F11207" t="str" cm="1">
        <f t="array" ref="F11207">CategorizeComment(E11207)</f>
        <v>Other</v>
      </c>
      <c r="G11207" t="str" cm="1">
        <f t="array" ref="G11207">SubCategorizeComment(E11207)</f>
        <v>Other</v>
      </c>
    </row>
    <row r="11208" spans="1:7" x14ac:dyDescent="0.25">
      <c r="A11208">
        <v>106011</v>
      </c>
      <c r="B11208" t="s">
        <v>4</v>
      </c>
      <c r="C11208">
        <v>4</v>
      </c>
      <c r="D11208" t="s">
        <v>5</v>
      </c>
      <c r="F11208" t="str" cm="1">
        <f t="array" ref="F11208">CategorizeComment(E11208)</f>
        <v>Other</v>
      </c>
      <c r="G11208" t="str" cm="1">
        <f t="array" ref="G11208">SubCategorizeComment(E11208)</f>
        <v>Other</v>
      </c>
    </row>
    <row r="11209" spans="1:7" x14ac:dyDescent="0.25">
      <c r="A11209">
        <v>106027</v>
      </c>
      <c r="B11209" t="s">
        <v>4</v>
      </c>
      <c r="C11209">
        <v>3</v>
      </c>
      <c r="D11209" t="s">
        <v>5</v>
      </c>
      <c r="F11209" t="str" cm="1">
        <f t="array" ref="F11209">CategorizeComment(E11209)</f>
        <v>Other</v>
      </c>
      <c r="G11209" t="str" cm="1">
        <f t="array" ref="G11209">SubCategorizeComment(E11209)</f>
        <v>Other</v>
      </c>
    </row>
    <row r="11210" spans="1:7" x14ac:dyDescent="0.25">
      <c r="A11210">
        <v>106036</v>
      </c>
      <c r="B11210" t="s">
        <v>4</v>
      </c>
      <c r="C11210">
        <v>4</v>
      </c>
      <c r="D11210" t="s">
        <v>5</v>
      </c>
      <c r="F11210" t="str" cm="1">
        <f t="array" ref="F11210">CategorizeComment(E11210)</f>
        <v>Other</v>
      </c>
      <c r="G11210" t="str" cm="1">
        <f t="array" ref="G11210">SubCategorizeComment(E11210)</f>
        <v>Other</v>
      </c>
    </row>
    <row r="11211" spans="1:7" x14ac:dyDescent="0.25">
      <c r="A11211">
        <v>106047</v>
      </c>
      <c r="B11211" t="s">
        <v>4</v>
      </c>
      <c r="C11211">
        <v>3</v>
      </c>
      <c r="D11211" t="s">
        <v>5</v>
      </c>
      <c r="F11211" t="str" cm="1">
        <f t="array" ref="F11211">CategorizeComment(E11211)</f>
        <v>Other</v>
      </c>
      <c r="G11211" t="str" cm="1">
        <f t="array" ref="G11211">SubCategorizeComment(E11211)</f>
        <v>Other</v>
      </c>
    </row>
    <row r="11212" spans="1:7" x14ac:dyDescent="0.25">
      <c r="A11212">
        <v>106055</v>
      </c>
      <c r="B11212" t="s">
        <v>4</v>
      </c>
      <c r="C11212">
        <v>3</v>
      </c>
      <c r="D11212" t="s">
        <v>5</v>
      </c>
      <c r="F11212" t="str" cm="1">
        <f t="array" ref="F11212">CategorizeComment(E11212)</f>
        <v>Other</v>
      </c>
      <c r="G11212" t="str" cm="1">
        <f t="array" ref="G11212">SubCategorizeComment(E11212)</f>
        <v>Other</v>
      </c>
    </row>
    <row r="11213" spans="1:7" x14ac:dyDescent="0.25">
      <c r="A11213">
        <v>106103</v>
      </c>
      <c r="B11213" t="s">
        <v>4</v>
      </c>
      <c r="C11213">
        <v>4</v>
      </c>
      <c r="D11213" t="s">
        <v>5</v>
      </c>
      <c r="F11213" t="str" cm="1">
        <f t="array" ref="F11213">CategorizeComment(E11213)</f>
        <v>Other</v>
      </c>
      <c r="G11213" t="str" cm="1">
        <f t="array" ref="G11213">SubCategorizeComment(E11213)</f>
        <v>Other</v>
      </c>
    </row>
    <row r="11214" spans="1:7" x14ac:dyDescent="0.25">
      <c r="A11214">
        <v>106109</v>
      </c>
      <c r="B11214" t="s">
        <v>4</v>
      </c>
      <c r="C11214">
        <v>4</v>
      </c>
      <c r="D11214" t="s">
        <v>5</v>
      </c>
      <c r="F11214" t="str" cm="1">
        <f t="array" ref="F11214">CategorizeComment(E11214)</f>
        <v>Other</v>
      </c>
      <c r="G11214" t="str" cm="1">
        <f t="array" ref="G11214">SubCategorizeComment(E11214)</f>
        <v>Other</v>
      </c>
    </row>
    <row r="11215" spans="1:7" x14ac:dyDescent="0.25">
      <c r="A11215">
        <v>106135</v>
      </c>
      <c r="B11215" t="s">
        <v>4</v>
      </c>
      <c r="C11215">
        <v>4</v>
      </c>
      <c r="D11215" t="s">
        <v>5</v>
      </c>
      <c r="F11215" t="str" cm="1">
        <f t="array" ref="F11215">CategorizeComment(E11215)</f>
        <v>Other</v>
      </c>
      <c r="G11215" t="str" cm="1">
        <f t="array" ref="G11215">SubCategorizeComment(E11215)</f>
        <v>Other</v>
      </c>
    </row>
    <row r="11216" spans="1:7" x14ac:dyDescent="0.25">
      <c r="A11216">
        <v>106141</v>
      </c>
      <c r="B11216" t="s">
        <v>4</v>
      </c>
      <c r="C11216">
        <v>3</v>
      </c>
      <c r="D11216" t="s">
        <v>5</v>
      </c>
      <c r="F11216" t="str" cm="1">
        <f t="array" ref="F11216">CategorizeComment(E11216)</f>
        <v>Other</v>
      </c>
      <c r="G11216" t="str" cm="1">
        <f t="array" ref="G11216">SubCategorizeComment(E11216)</f>
        <v>Other</v>
      </c>
    </row>
    <row r="11217" spans="1:7" x14ac:dyDescent="0.25">
      <c r="A11217">
        <v>106142</v>
      </c>
      <c r="B11217" t="s">
        <v>4</v>
      </c>
      <c r="C11217">
        <v>3</v>
      </c>
      <c r="D11217" t="s">
        <v>5</v>
      </c>
      <c r="F11217" t="str" cm="1">
        <f t="array" ref="F11217">CategorizeComment(E11217)</f>
        <v>Other</v>
      </c>
      <c r="G11217" t="str" cm="1">
        <f t="array" ref="G11217">SubCategorizeComment(E11217)</f>
        <v>Other</v>
      </c>
    </row>
    <row r="11218" spans="1:7" x14ac:dyDescent="0.25">
      <c r="A11218">
        <v>106144</v>
      </c>
      <c r="B11218" t="s">
        <v>4</v>
      </c>
      <c r="C11218">
        <v>3</v>
      </c>
      <c r="D11218" t="s">
        <v>5</v>
      </c>
      <c r="F11218" t="str" cm="1">
        <f t="array" ref="F11218">CategorizeComment(E11218)</f>
        <v>Other</v>
      </c>
      <c r="G11218" t="str" cm="1">
        <f t="array" ref="G11218">SubCategorizeComment(E11218)</f>
        <v>Other</v>
      </c>
    </row>
    <row r="11219" spans="1:7" x14ac:dyDescent="0.25">
      <c r="A11219">
        <v>106149</v>
      </c>
      <c r="B11219" t="s">
        <v>4</v>
      </c>
      <c r="C11219">
        <v>3</v>
      </c>
      <c r="D11219" t="s">
        <v>5</v>
      </c>
      <c r="F11219" t="str" cm="1">
        <f t="array" ref="F11219">CategorizeComment(E11219)</f>
        <v>Other</v>
      </c>
      <c r="G11219" t="str" cm="1">
        <f t="array" ref="G11219">SubCategorizeComment(E11219)</f>
        <v>Other</v>
      </c>
    </row>
    <row r="11220" spans="1:7" x14ac:dyDescent="0.25">
      <c r="A11220">
        <v>106152</v>
      </c>
      <c r="B11220" t="s">
        <v>4</v>
      </c>
      <c r="C11220">
        <v>4</v>
      </c>
      <c r="D11220" t="s">
        <v>5</v>
      </c>
      <c r="F11220" t="str" cm="1">
        <f t="array" ref="F11220">CategorizeComment(E11220)</f>
        <v>Other</v>
      </c>
      <c r="G11220" t="str" cm="1">
        <f t="array" ref="G11220">SubCategorizeComment(E11220)</f>
        <v>Other</v>
      </c>
    </row>
    <row r="11221" spans="1:7" x14ac:dyDescent="0.25">
      <c r="A11221">
        <v>106183</v>
      </c>
      <c r="B11221" t="s">
        <v>4</v>
      </c>
      <c r="C11221">
        <v>4</v>
      </c>
      <c r="D11221" t="s">
        <v>5</v>
      </c>
      <c r="F11221" t="str" cm="1">
        <f t="array" ref="F11221">CategorizeComment(E11221)</f>
        <v>Other</v>
      </c>
      <c r="G11221" t="str" cm="1">
        <f t="array" ref="G11221">SubCategorizeComment(E11221)</f>
        <v>Other</v>
      </c>
    </row>
    <row r="11222" spans="1:7" x14ac:dyDescent="0.25">
      <c r="A11222">
        <v>106185</v>
      </c>
      <c r="B11222" t="s">
        <v>4</v>
      </c>
      <c r="C11222">
        <v>4</v>
      </c>
      <c r="D11222" t="s">
        <v>5</v>
      </c>
      <c r="F11222" t="str" cm="1">
        <f t="array" ref="F11222">CategorizeComment(E11222)</f>
        <v>Other</v>
      </c>
      <c r="G11222" t="str" cm="1">
        <f t="array" ref="G11222">SubCategorizeComment(E11222)</f>
        <v>Other</v>
      </c>
    </row>
    <row r="11223" spans="1:7" x14ac:dyDescent="0.25">
      <c r="A11223">
        <v>106192</v>
      </c>
      <c r="B11223" t="s">
        <v>4</v>
      </c>
      <c r="C11223">
        <v>4</v>
      </c>
      <c r="D11223" t="s">
        <v>5</v>
      </c>
      <c r="F11223" t="str" cm="1">
        <f t="array" ref="F11223">CategorizeComment(E11223)</f>
        <v>Other</v>
      </c>
      <c r="G11223" t="str" cm="1">
        <f t="array" ref="G11223">SubCategorizeComment(E11223)</f>
        <v>Other</v>
      </c>
    </row>
    <row r="11224" spans="1:7" x14ac:dyDescent="0.25">
      <c r="A11224">
        <v>106200</v>
      </c>
      <c r="B11224" t="s">
        <v>4</v>
      </c>
      <c r="C11224">
        <v>4</v>
      </c>
      <c r="D11224" t="s">
        <v>5</v>
      </c>
      <c r="F11224" t="str" cm="1">
        <f t="array" ref="F11224">CategorizeComment(E11224)</f>
        <v>Other</v>
      </c>
      <c r="G11224" t="str" cm="1">
        <f t="array" ref="G11224">SubCategorizeComment(E11224)</f>
        <v>Other</v>
      </c>
    </row>
    <row r="11225" spans="1:7" x14ac:dyDescent="0.25">
      <c r="A11225">
        <v>106223</v>
      </c>
      <c r="B11225" t="s">
        <v>4</v>
      </c>
      <c r="C11225">
        <v>3</v>
      </c>
      <c r="D11225" t="s">
        <v>5</v>
      </c>
      <c r="F11225" t="str" cm="1">
        <f t="array" ref="F11225">CategorizeComment(E11225)</f>
        <v>Other</v>
      </c>
      <c r="G11225" t="str" cm="1">
        <f t="array" ref="G11225">SubCategorizeComment(E11225)</f>
        <v>Other</v>
      </c>
    </row>
    <row r="11226" spans="1:7" x14ac:dyDescent="0.25">
      <c r="A11226">
        <v>106229</v>
      </c>
      <c r="B11226" t="s">
        <v>4</v>
      </c>
      <c r="C11226">
        <v>3</v>
      </c>
      <c r="D11226" t="s">
        <v>5</v>
      </c>
      <c r="F11226" t="str" cm="1">
        <f t="array" ref="F11226">CategorizeComment(E11226)</f>
        <v>Other</v>
      </c>
      <c r="G11226" t="str" cm="1">
        <f t="array" ref="G11226">SubCategorizeComment(E11226)</f>
        <v>Other</v>
      </c>
    </row>
    <row r="11227" spans="1:7" x14ac:dyDescent="0.25">
      <c r="A11227">
        <v>106273</v>
      </c>
      <c r="B11227" t="s">
        <v>4</v>
      </c>
      <c r="C11227">
        <v>3</v>
      </c>
      <c r="D11227" t="s">
        <v>5</v>
      </c>
      <c r="F11227" t="str" cm="1">
        <f t="array" ref="F11227">CategorizeComment(E11227)</f>
        <v>Other</v>
      </c>
      <c r="G11227" t="str" cm="1">
        <f t="array" ref="G11227">SubCategorizeComment(E11227)</f>
        <v>Other</v>
      </c>
    </row>
    <row r="11228" spans="1:7" x14ac:dyDescent="0.25">
      <c r="A11228">
        <v>106274</v>
      </c>
      <c r="B11228" t="s">
        <v>4</v>
      </c>
      <c r="C11228">
        <v>4</v>
      </c>
      <c r="D11228" t="s">
        <v>5</v>
      </c>
      <c r="F11228" t="str" cm="1">
        <f t="array" ref="F11228">CategorizeComment(E11228)</f>
        <v>Other</v>
      </c>
      <c r="G11228" t="str" cm="1">
        <f t="array" ref="G11228">SubCategorizeComment(E11228)</f>
        <v>Other</v>
      </c>
    </row>
    <row r="11229" spans="1:7" x14ac:dyDescent="0.25">
      <c r="A11229">
        <v>106276</v>
      </c>
      <c r="B11229" t="s">
        <v>4</v>
      </c>
      <c r="C11229">
        <v>3</v>
      </c>
      <c r="D11229" t="s">
        <v>5</v>
      </c>
      <c r="F11229" t="str" cm="1">
        <f t="array" ref="F11229">CategorizeComment(E11229)</f>
        <v>Other</v>
      </c>
      <c r="G11229" t="str" cm="1">
        <f t="array" ref="G11229">SubCategorizeComment(E11229)</f>
        <v>Other</v>
      </c>
    </row>
    <row r="11230" spans="1:7" x14ac:dyDescent="0.25">
      <c r="A11230">
        <v>106291</v>
      </c>
      <c r="B11230" t="s">
        <v>4</v>
      </c>
      <c r="C11230">
        <v>3</v>
      </c>
      <c r="D11230" t="s">
        <v>5</v>
      </c>
      <c r="F11230" t="str" cm="1">
        <f t="array" ref="F11230">CategorizeComment(E11230)</f>
        <v>Other</v>
      </c>
      <c r="G11230" t="str" cm="1">
        <f t="array" ref="G11230">SubCategorizeComment(E11230)</f>
        <v>Other</v>
      </c>
    </row>
    <row r="11231" spans="1:7" x14ac:dyDescent="0.25">
      <c r="A11231">
        <v>106312</v>
      </c>
      <c r="B11231" t="s">
        <v>4</v>
      </c>
      <c r="C11231">
        <v>4</v>
      </c>
      <c r="D11231" t="s">
        <v>5</v>
      </c>
      <c r="F11231" t="str" cm="1">
        <f t="array" ref="F11231">CategorizeComment(E11231)</f>
        <v>Other</v>
      </c>
      <c r="G11231" t="str" cm="1">
        <f t="array" ref="G11231">SubCategorizeComment(E11231)</f>
        <v>Other</v>
      </c>
    </row>
    <row r="11232" spans="1:7" x14ac:dyDescent="0.25">
      <c r="A11232">
        <v>106314</v>
      </c>
      <c r="B11232" t="s">
        <v>4</v>
      </c>
      <c r="C11232">
        <v>3</v>
      </c>
      <c r="D11232" t="s">
        <v>5</v>
      </c>
      <c r="F11232" t="str" cm="1">
        <f t="array" ref="F11232">CategorizeComment(E11232)</f>
        <v>Other</v>
      </c>
      <c r="G11232" t="str" cm="1">
        <f t="array" ref="G11232">SubCategorizeComment(E11232)</f>
        <v>Other</v>
      </c>
    </row>
    <row r="11233" spans="1:7" x14ac:dyDescent="0.25">
      <c r="A11233">
        <v>106329</v>
      </c>
      <c r="B11233" t="s">
        <v>4</v>
      </c>
      <c r="C11233">
        <v>3</v>
      </c>
      <c r="D11233" t="s">
        <v>5</v>
      </c>
      <c r="F11233" t="str" cm="1">
        <f t="array" ref="F11233">CategorizeComment(E11233)</f>
        <v>Other</v>
      </c>
      <c r="G11233" t="str" cm="1">
        <f t="array" ref="G11233">SubCategorizeComment(E11233)</f>
        <v>Other</v>
      </c>
    </row>
    <row r="11234" spans="1:7" x14ac:dyDescent="0.25">
      <c r="A11234">
        <v>106394</v>
      </c>
      <c r="B11234" t="s">
        <v>4</v>
      </c>
      <c r="C11234">
        <v>4</v>
      </c>
      <c r="D11234" t="s">
        <v>5</v>
      </c>
      <c r="F11234" t="str" cm="1">
        <f t="array" ref="F11234">CategorizeComment(E11234)</f>
        <v>Other</v>
      </c>
      <c r="G11234" t="str" cm="1">
        <f t="array" ref="G11234">SubCategorizeComment(E11234)</f>
        <v>Other</v>
      </c>
    </row>
    <row r="11235" spans="1:7" x14ac:dyDescent="0.25">
      <c r="A11235">
        <v>106395</v>
      </c>
      <c r="B11235" t="s">
        <v>4</v>
      </c>
      <c r="C11235">
        <v>3</v>
      </c>
      <c r="D11235" t="s">
        <v>5</v>
      </c>
      <c r="F11235" t="str" cm="1">
        <f t="array" ref="F11235">CategorizeComment(E11235)</f>
        <v>Other</v>
      </c>
      <c r="G11235" t="str" cm="1">
        <f t="array" ref="G11235">SubCategorizeComment(E11235)</f>
        <v>Other</v>
      </c>
    </row>
    <row r="11236" spans="1:7" x14ac:dyDescent="0.25">
      <c r="A11236">
        <v>106397</v>
      </c>
      <c r="B11236" t="s">
        <v>4</v>
      </c>
      <c r="C11236">
        <v>3</v>
      </c>
      <c r="D11236" t="s">
        <v>5</v>
      </c>
      <c r="F11236" t="str" cm="1">
        <f t="array" ref="F11236">CategorizeComment(E11236)</f>
        <v>Other</v>
      </c>
      <c r="G11236" t="str" cm="1">
        <f t="array" ref="G11236">SubCategorizeComment(E11236)</f>
        <v>Other</v>
      </c>
    </row>
    <row r="11237" spans="1:7" x14ac:dyDescent="0.25">
      <c r="A11237">
        <v>106398</v>
      </c>
      <c r="B11237" t="s">
        <v>4</v>
      </c>
      <c r="C11237">
        <v>4</v>
      </c>
      <c r="D11237" t="s">
        <v>5</v>
      </c>
      <c r="F11237" t="str" cm="1">
        <f t="array" ref="F11237">CategorizeComment(E11237)</f>
        <v>Other</v>
      </c>
      <c r="G11237" t="str" cm="1">
        <f t="array" ref="G11237">SubCategorizeComment(E11237)</f>
        <v>Other</v>
      </c>
    </row>
    <row r="11238" spans="1:7" x14ac:dyDescent="0.25">
      <c r="A11238">
        <v>106410</v>
      </c>
      <c r="B11238" t="s">
        <v>4</v>
      </c>
      <c r="C11238">
        <v>4</v>
      </c>
      <c r="D11238" t="s">
        <v>5</v>
      </c>
      <c r="F11238" t="str" cm="1">
        <f t="array" ref="F11238">CategorizeComment(E11238)</f>
        <v>Other</v>
      </c>
      <c r="G11238" t="str" cm="1">
        <f t="array" ref="G11238">SubCategorizeComment(E11238)</f>
        <v>Other</v>
      </c>
    </row>
    <row r="11239" spans="1:7" x14ac:dyDescent="0.25">
      <c r="A11239">
        <v>106424</v>
      </c>
      <c r="B11239" t="s">
        <v>4</v>
      </c>
      <c r="C11239">
        <v>4</v>
      </c>
      <c r="D11239" t="s">
        <v>5</v>
      </c>
      <c r="F11239" t="str" cm="1">
        <f t="array" ref="F11239">CategorizeComment(E11239)</f>
        <v>Other</v>
      </c>
      <c r="G11239" t="str" cm="1">
        <f t="array" ref="G11239">SubCategorizeComment(E11239)</f>
        <v>Other</v>
      </c>
    </row>
    <row r="11240" spans="1:7" x14ac:dyDescent="0.25">
      <c r="A11240">
        <v>106425</v>
      </c>
      <c r="B11240" t="s">
        <v>4</v>
      </c>
      <c r="C11240">
        <v>4</v>
      </c>
      <c r="D11240" t="s">
        <v>5</v>
      </c>
      <c r="F11240" t="str" cm="1">
        <f t="array" ref="F11240">CategorizeComment(E11240)</f>
        <v>Other</v>
      </c>
      <c r="G11240" t="str" cm="1">
        <f t="array" ref="G11240">SubCategorizeComment(E11240)</f>
        <v>Other</v>
      </c>
    </row>
    <row r="11241" spans="1:7" x14ac:dyDescent="0.25">
      <c r="A11241">
        <v>106427</v>
      </c>
      <c r="B11241" t="s">
        <v>4</v>
      </c>
      <c r="C11241">
        <v>4</v>
      </c>
      <c r="D11241" t="s">
        <v>5</v>
      </c>
      <c r="F11241" t="str" cm="1">
        <f t="array" ref="F11241">CategorizeComment(E11241)</f>
        <v>Other</v>
      </c>
      <c r="G11241" t="str" cm="1">
        <f t="array" ref="G11241">SubCategorizeComment(E11241)</f>
        <v>Other</v>
      </c>
    </row>
    <row r="11242" spans="1:7" x14ac:dyDescent="0.25">
      <c r="A11242">
        <v>106442</v>
      </c>
      <c r="B11242" t="s">
        <v>4</v>
      </c>
      <c r="C11242">
        <v>4</v>
      </c>
      <c r="D11242" t="s">
        <v>5</v>
      </c>
      <c r="F11242" t="str" cm="1">
        <f t="array" ref="F11242">CategorizeComment(E11242)</f>
        <v>Other</v>
      </c>
      <c r="G11242" t="str" cm="1">
        <f t="array" ref="G11242">SubCategorizeComment(E11242)</f>
        <v>Other</v>
      </c>
    </row>
    <row r="11243" spans="1:7" x14ac:dyDescent="0.25">
      <c r="A11243">
        <v>106449</v>
      </c>
      <c r="B11243" t="s">
        <v>4</v>
      </c>
      <c r="C11243">
        <v>4</v>
      </c>
      <c r="D11243" t="s">
        <v>5</v>
      </c>
      <c r="F11243" t="str" cm="1">
        <f t="array" ref="F11243">CategorizeComment(E11243)</f>
        <v>Other</v>
      </c>
      <c r="G11243" t="str" cm="1">
        <f t="array" ref="G11243">SubCategorizeComment(E11243)</f>
        <v>Other</v>
      </c>
    </row>
    <row r="11244" spans="1:7" x14ac:dyDescent="0.25">
      <c r="A11244">
        <v>106456</v>
      </c>
      <c r="B11244" t="s">
        <v>4</v>
      </c>
      <c r="C11244">
        <v>3</v>
      </c>
      <c r="D11244" t="s">
        <v>5</v>
      </c>
      <c r="F11244" t="str" cm="1">
        <f t="array" ref="F11244">CategorizeComment(E11244)</f>
        <v>Other</v>
      </c>
      <c r="G11244" t="str" cm="1">
        <f t="array" ref="G11244">SubCategorizeComment(E11244)</f>
        <v>Other</v>
      </c>
    </row>
    <row r="11245" spans="1:7" x14ac:dyDescent="0.25">
      <c r="A11245">
        <v>106460</v>
      </c>
      <c r="B11245" t="s">
        <v>4</v>
      </c>
      <c r="C11245">
        <v>4</v>
      </c>
      <c r="D11245" t="s">
        <v>5</v>
      </c>
      <c r="F11245" t="str" cm="1">
        <f t="array" ref="F11245">CategorizeComment(E11245)</f>
        <v>Other</v>
      </c>
      <c r="G11245" t="str" cm="1">
        <f t="array" ref="G11245">SubCategorizeComment(E11245)</f>
        <v>Other</v>
      </c>
    </row>
    <row r="11246" spans="1:7" x14ac:dyDescent="0.25">
      <c r="A11246">
        <v>106500</v>
      </c>
      <c r="B11246" t="s">
        <v>4</v>
      </c>
      <c r="C11246">
        <v>4</v>
      </c>
      <c r="D11246" t="s">
        <v>5</v>
      </c>
      <c r="F11246" t="str" cm="1">
        <f t="array" ref="F11246">CategorizeComment(E11246)</f>
        <v>Other</v>
      </c>
      <c r="G11246" t="str" cm="1">
        <f t="array" ref="G11246">SubCategorizeComment(E11246)</f>
        <v>Other</v>
      </c>
    </row>
    <row r="11247" spans="1:7" x14ac:dyDescent="0.25">
      <c r="A11247">
        <v>106515</v>
      </c>
      <c r="B11247" t="s">
        <v>4</v>
      </c>
      <c r="C11247">
        <v>4</v>
      </c>
      <c r="D11247" t="s">
        <v>5</v>
      </c>
      <c r="F11247" t="str" cm="1">
        <f t="array" ref="F11247">CategorizeComment(E11247)</f>
        <v>Other</v>
      </c>
      <c r="G11247" t="str" cm="1">
        <f t="array" ref="G11247">SubCategorizeComment(E11247)</f>
        <v>Other</v>
      </c>
    </row>
    <row r="11248" spans="1:7" x14ac:dyDescent="0.25">
      <c r="A11248">
        <v>106534</v>
      </c>
      <c r="B11248" t="s">
        <v>4</v>
      </c>
      <c r="C11248">
        <v>3</v>
      </c>
      <c r="D11248" t="s">
        <v>5</v>
      </c>
      <c r="F11248" t="str" cm="1">
        <f t="array" ref="F11248">CategorizeComment(E11248)</f>
        <v>Other</v>
      </c>
      <c r="G11248" t="str" cm="1">
        <f t="array" ref="G11248">SubCategorizeComment(E11248)</f>
        <v>Other</v>
      </c>
    </row>
    <row r="11249" spans="1:7" x14ac:dyDescent="0.25">
      <c r="A11249">
        <v>106583</v>
      </c>
      <c r="B11249" t="s">
        <v>4</v>
      </c>
      <c r="C11249">
        <v>3</v>
      </c>
      <c r="D11249" t="s">
        <v>5</v>
      </c>
      <c r="F11249" t="str" cm="1">
        <f t="array" ref="F11249">CategorizeComment(E11249)</f>
        <v>Other</v>
      </c>
      <c r="G11249" t="str" cm="1">
        <f t="array" ref="G11249">SubCategorizeComment(E11249)</f>
        <v>Other</v>
      </c>
    </row>
    <row r="11250" spans="1:7" x14ac:dyDescent="0.25">
      <c r="A11250">
        <v>106605</v>
      </c>
      <c r="B11250" t="s">
        <v>4</v>
      </c>
      <c r="C11250">
        <v>3</v>
      </c>
      <c r="D11250" t="s">
        <v>5</v>
      </c>
      <c r="F11250" t="str" cm="1">
        <f t="array" ref="F11250">CategorizeComment(E11250)</f>
        <v>Other</v>
      </c>
      <c r="G11250" t="str" cm="1">
        <f t="array" ref="G11250">SubCategorizeComment(E11250)</f>
        <v>Other</v>
      </c>
    </row>
    <row r="11251" spans="1:7" x14ac:dyDescent="0.25">
      <c r="A11251">
        <v>106612</v>
      </c>
      <c r="B11251" t="s">
        <v>4</v>
      </c>
      <c r="C11251">
        <v>3</v>
      </c>
      <c r="D11251" t="s">
        <v>5</v>
      </c>
      <c r="F11251" t="str" cm="1">
        <f t="array" ref="F11251">CategorizeComment(E11251)</f>
        <v>Other</v>
      </c>
      <c r="G11251" t="str" cm="1">
        <f t="array" ref="G11251">SubCategorizeComment(E11251)</f>
        <v>Other</v>
      </c>
    </row>
    <row r="11252" spans="1:7" x14ac:dyDescent="0.25">
      <c r="A11252">
        <v>106617</v>
      </c>
      <c r="B11252" t="s">
        <v>4</v>
      </c>
      <c r="C11252">
        <v>3</v>
      </c>
      <c r="D11252" t="s">
        <v>5</v>
      </c>
      <c r="F11252" t="str" cm="1">
        <f t="array" ref="F11252">CategorizeComment(E11252)</f>
        <v>Other</v>
      </c>
      <c r="G11252" t="str" cm="1">
        <f t="array" ref="G11252">SubCategorizeComment(E11252)</f>
        <v>Other</v>
      </c>
    </row>
    <row r="11253" spans="1:7" x14ac:dyDescent="0.25">
      <c r="A11253">
        <v>106631</v>
      </c>
      <c r="B11253" t="s">
        <v>4</v>
      </c>
      <c r="C11253">
        <v>4</v>
      </c>
      <c r="D11253" t="s">
        <v>5</v>
      </c>
      <c r="F11253" t="str" cm="1">
        <f t="array" ref="F11253">CategorizeComment(E11253)</f>
        <v>Other</v>
      </c>
      <c r="G11253" t="str" cm="1">
        <f t="array" ref="G11253">SubCategorizeComment(E11253)</f>
        <v>Other</v>
      </c>
    </row>
    <row r="11254" spans="1:7" x14ac:dyDescent="0.25">
      <c r="A11254">
        <v>106640</v>
      </c>
      <c r="B11254" t="s">
        <v>4</v>
      </c>
      <c r="C11254">
        <v>4</v>
      </c>
      <c r="D11254" t="s">
        <v>5</v>
      </c>
      <c r="F11254" t="str" cm="1">
        <f t="array" ref="F11254">CategorizeComment(E11254)</f>
        <v>Other</v>
      </c>
      <c r="G11254" t="str" cm="1">
        <f t="array" ref="G11254">SubCategorizeComment(E11254)</f>
        <v>Other</v>
      </c>
    </row>
    <row r="11255" spans="1:7" x14ac:dyDescent="0.25">
      <c r="A11255">
        <v>106651</v>
      </c>
      <c r="B11255" t="s">
        <v>4</v>
      </c>
      <c r="C11255">
        <v>3</v>
      </c>
      <c r="D11255" t="s">
        <v>5</v>
      </c>
      <c r="F11255" t="str" cm="1">
        <f t="array" ref="F11255">CategorizeComment(E11255)</f>
        <v>Other</v>
      </c>
      <c r="G11255" t="str" cm="1">
        <f t="array" ref="G11255">SubCategorizeComment(E11255)</f>
        <v>Other</v>
      </c>
    </row>
    <row r="11256" spans="1:7" x14ac:dyDescent="0.25">
      <c r="A11256">
        <v>106660</v>
      </c>
      <c r="B11256" t="s">
        <v>4</v>
      </c>
      <c r="C11256">
        <v>4</v>
      </c>
      <c r="D11256" t="s">
        <v>5</v>
      </c>
      <c r="F11256" t="str" cm="1">
        <f t="array" ref="F11256">CategorizeComment(E11256)</f>
        <v>Other</v>
      </c>
      <c r="G11256" t="str" cm="1">
        <f t="array" ref="G11256">SubCategorizeComment(E11256)</f>
        <v>Other</v>
      </c>
    </row>
    <row r="11257" spans="1:7" x14ac:dyDescent="0.25">
      <c r="A11257">
        <v>106669</v>
      </c>
      <c r="B11257" t="s">
        <v>4</v>
      </c>
      <c r="C11257">
        <v>4</v>
      </c>
      <c r="D11257" t="s">
        <v>5</v>
      </c>
      <c r="F11257" t="str" cm="1">
        <f t="array" ref="F11257">CategorizeComment(E11257)</f>
        <v>Other</v>
      </c>
      <c r="G11257" t="str" cm="1">
        <f t="array" ref="G11257">SubCategorizeComment(E11257)</f>
        <v>Other</v>
      </c>
    </row>
    <row r="11258" spans="1:7" x14ac:dyDescent="0.25">
      <c r="A11258">
        <v>106679</v>
      </c>
      <c r="B11258" t="s">
        <v>4</v>
      </c>
      <c r="C11258">
        <v>3</v>
      </c>
      <c r="D11258" t="s">
        <v>5</v>
      </c>
      <c r="F11258" t="str" cm="1">
        <f t="array" ref="F11258">CategorizeComment(E11258)</f>
        <v>Other</v>
      </c>
      <c r="G11258" t="str" cm="1">
        <f t="array" ref="G11258">SubCategorizeComment(E11258)</f>
        <v>Other</v>
      </c>
    </row>
    <row r="11259" spans="1:7" x14ac:dyDescent="0.25">
      <c r="A11259">
        <v>106680</v>
      </c>
      <c r="B11259" t="s">
        <v>4</v>
      </c>
      <c r="C11259">
        <v>3</v>
      </c>
      <c r="D11259" t="s">
        <v>5</v>
      </c>
      <c r="F11259" t="str" cm="1">
        <f t="array" ref="F11259">CategorizeComment(E11259)</f>
        <v>Other</v>
      </c>
      <c r="G11259" t="str" cm="1">
        <f t="array" ref="G11259">SubCategorizeComment(E11259)</f>
        <v>Other</v>
      </c>
    </row>
    <row r="11260" spans="1:7" x14ac:dyDescent="0.25">
      <c r="A11260">
        <v>106683</v>
      </c>
      <c r="B11260" t="s">
        <v>4</v>
      </c>
      <c r="C11260">
        <v>4</v>
      </c>
      <c r="D11260" t="s">
        <v>5</v>
      </c>
      <c r="F11260" t="str" cm="1">
        <f t="array" ref="F11260">CategorizeComment(E11260)</f>
        <v>Other</v>
      </c>
      <c r="G11260" t="str" cm="1">
        <f t="array" ref="G11260">SubCategorizeComment(E11260)</f>
        <v>Other</v>
      </c>
    </row>
    <row r="11261" spans="1:7" x14ac:dyDescent="0.25">
      <c r="A11261">
        <v>106685</v>
      </c>
      <c r="B11261" t="s">
        <v>4</v>
      </c>
      <c r="C11261">
        <v>3</v>
      </c>
      <c r="D11261" t="s">
        <v>5</v>
      </c>
      <c r="F11261" t="str" cm="1">
        <f t="array" ref="F11261">CategorizeComment(E11261)</f>
        <v>Other</v>
      </c>
      <c r="G11261" t="str" cm="1">
        <f t="array" ref="G11261">SubCategorizeComment(E11261)</f>
        <v>Other</v>
      </c>
    </row>
    <row r="11262" spans="1:7" x14ac:dyDescent="0.25">
      <c r="A11262">
        <v>106699</v>
      </c>
      <c r="B11262" t="s">
        <v>4</v>
      </c>
      <c r="C11262">
        <v>4</v>
      </c>
      <c r="D11262" t="s">
        <v>5</v>
      </c>
      <c r="F11262" t="str" cm="1">
        <f t="array" ref="F11262">CategorizeComment(E11262)</f>
        <v>Other</v>
      </c>
      <c r="G11262" t="str" cm="1">
        <f t="array" ref="G11262">SubCategorizeComment(E11262)</f>
        <v>Other</v>
      </c>
    </row>
    <row r="11263" spans="1:7" x14ac:dyDescent="0.25">
      <c r="A11263">
        <v>106705</v>
      </c>
      <c r="B11263" t="s">
        <v>4</v>
      </c>
      <c r="C11263">
        <v>3</v>
      </c>
      <c r="D11263" t="s">
        <v>5</v>
      </c>
      <c r="F11263" t="str" cm="1">
        <f t="array" ref="F11263">CategorizeComment(E11263)</f>
        <v>Other</v>
      </c>
      <c r="G11263" t="str" cm="1">
        <f t="array" ref="G11263">SubCategorizeComment(E11263)</f>
        <v>Other</v>
      </c>
    </row>
    <row r="11264" spans="1:7" x14ac:dyDescent="0.25">
      <c r="A11264">
        <v>106709</v>
      </c>
      <c r="B11264" t="s">
        <v>4</v>
      </c>
      <c r="C11264">
        <v>4</v>
      </c>
      <c r="D11264" t="s">
        <v>5</v>
      </c>
      <c r="F11264" t="str" cm="1">
        <f t="array" ref="F11264">CategorizeComment(E11264)</f>
        <v>Other</v>
      </c>
      <c r="G11264" t="str" cm="1">
        <f t="array" ref="G11264">SubCategorizeComment(E11264)</f>
        <v>Other</v>
      </c>
    </row>
    <row r="11265" spans="1:7" x14ac:dyDescent="0.25">
      <c r="A11265">
        <v>106735</v>
      </c>
      <c r="B11265" t="s">
        <v>4</v>
      </c>
      <c r="C11265">
        <v>4</v>
      </c>
      <c r="D11265" t="s">
        <v>5</v>
      </c>
      <c r="F11265" t="str" cm="1">
        <f t="array" ref="F11265">CategorizeComment(E11265)</f>
        <v>Other</v>
      </c>
      <c r="G11265" t="str" cm="1">
        <f t="array" ref="G11265">SubCategorizeComment(E11265)</f>
        <v>Other</v>
      </c>
    </row>
    <row r="11266" spans="1:7" x14ac:dyDescent="0.25">
      <c r="A11266">
        <v>106739</v>
      </c>
      <c r="B11266" t="s">
        <v>4</v>
      </c>
      <c r="C11266">
        <v>4</v>
      </c>
      <c r="D11266" t="s">
        <v>5</v>
      </c>
      <c r="F11266" t="str" cm="1">
        <f t="array" ref="F11266">CategorizeComment(E11266)</f>
        <v>Other</v>
      </c>
      <c r="G11266" t="str" cm="1">
        <f t="array" ref="G11266">SubCategorizeComment(E11266)</f>
        <v>Other</v>
      </c>
    </row>
    <row r="11267" spans="1:7" x14ac:dyDescent="0.25">
      <c r="A11267">
        <v>106740</v>
      </c>
      <c r="B11267" t="s">
        <v>4</v>
      </c>
      <c r="C11267">
        <v>4</v>
      </c>
      <c r="D11267" t="s">
        <v>5</v>
      </c>
      <c r="F11267" t="str" cm="1">
        <f t="array" ref="F11267">CategorizeComment(E11267)</f>
        <v>Other</v>
      </c>
      <c r="G11267" t="str" cm="1">
        <f t="array" ref="G11267">SubCategorizeComment(E11267)</f>
        <v>Other</v>
      </c>
    </row>
    <row r="11268" spans="1:7" x14ac:dyDescent="0.25">
      <c r="A11268">
        <v>106741</v>
      </c>
      <c r="B11268" t="s">
        <v>4</v>
      </c>
      <c r="C11268">
        <v>4</v>
      </c>
      <c r="D11268" t="s">
        <v>5</v>
      </c>
      <c r="F11268" t="str" cm="1">
        <f t="array" ref="F11268">CategorizeComment(E11268)</f>
        <v>Other</v>
      </c>
      <c r="G11268" t="str" cm="1">
        <f t="array" ref="G11268">SubCategorizeComment(E11268)</f>
        <v>Other</v>
      </c>
    </row>
    <row r="11269" spans="1:7" x14ac:dyDescent="0.25">
      <c r="A11269">
        <v>106746</v>
      </c>
      <c r="B11269" t="s">
        <v>4</v>
      </c>
      <c r="C11269">
        <v>3</v>
      </c>
      <c r="D11269" t="s">
        <v>5</v>
      </c>
      <c r="F11269" t="str" cm="1">
        <f t="array" ref="F11269">CategorizeComment(E11269)</f>
        <v>Other</v>
      </c>
      <c r="G11269" t="str" cm="1">
        <f t="array" ref="G11269">SubCategorizeComment(E11269)</f>
        <v>Other</v>
      </c>
    </row>
    <row r="11270" spans="1:7" x14ac:dyDescent="0.25">
      <c r="A11270">
        <v>106747</v>
      </c>
      <c r="B11270" t="s">
        <v>4</v>
      </c>
      <c r="C11270">
        <v>3</v>
      </c>
      <c r="D11270" t="s">
        <v>5</v>
      </c>
      <c r="F11270" t="str" cm="1">
        <f t="array" ref="F11270">CategorizeComment(E11270)</f>
        <v>Other</v>
      </c>
      <c r="G11270" t="str" cm="1">
        <f t="array" ref="G11270">SubCategorizeComment(E11270)</f>
        <v>Other</v>
      </c>
    </row>
    <row r="11271" spans="1:7" x14ac:dyDescent="0.25">
      <c r="A11271">
        <v>106748</v>
      </c>
      <c r="B11271" t="s">
        <v>4</v>
      </c>
      <c r="C11271">
        <v>4</v>
      </c>
      <c r="D11271" t="s">
        <v>5</v>
      </c>
      <c r="F11271" t="str" cm="1">
        <f t="array" ref="F11271">CategorizeComment(E11271)</f>
        <v>Other</v>
      </c>
      <c r="G11271" t="str" cm="1">
        <f t="array" ref="G11271">SubCategorizeComment(E11271)</f>
        <v>Other</v>
      </c>
    </row>
    <row r="11272" spans="1:7" x14ac:dyDescent="0.25">
      <c r="A11272">
        <v>106765</v>
      </c>
      <c r="B11272" t="s">
        <v>4</v>
      </c>
      <c r="C11272">
        <v>3</v>
      </c>
      <c r="D11272" t="s">
        <v>5</v>
      </c>
      <c r="F11272" t="str" cm="1">
        <f t="array" ref="F11272">CategorizeComment(E11272)</f>
        <v>Other</v>
      </c>
      <c r="G11272" t="str" cm="1">
        <f t="array" ref="G11272">SubCategorizeComment(E11272)</f>
        <v>Other</v>
      </c>
    </row>
    <row r="11273" spans="1:7" x14ac:dyDescent="0.25">
      <c r="A11273">
        <v>106771</v>
      </c>
      <c r="B11273" t="s">
        <v>4</v>
      </c>
      <c r="C11273">
        <v>3</v>
      </c>
      <c r="D11273" t="s">
        <v>5</v>
      </c>
      <c r="F11273" t="str" cm="1">
        <f t="array" ref="F11273">CategorizeComment(E11273)</f>
        <v>Other</v>
      </c>
      <c r="G11273" t="str" cm="1">
        <f t="array" ref="G11273">SubCategorizeComment(E11273)</f>
        <v>Other</v>
      </c>
    </row>
    <row r="11274" spans="1:7" x14ac:dyDescent="0.25">
      <c r="A11274">
        <v>106773</v>
      </c>
      <c r="B11274" t="s">
        <v>4</v>
      </c>
      <c r="C11274">
        <v>3</v>
      </c>
      <c r="D11274" t="s">
        <v>5</v>
      </c>
      <c r="F11274" t="str" cm="1">
        <f t="array" ref="F11274">CategorizeComment(E11274)</f>
        <v>Other</v>
      </c>
      <c r="G11274" t="str" cm="1">
        <f t="array" ref="G11274">SubCategorizeComment(E11274)</f>
        <v>Other</v>
      </c>
    </row>
    <row r="11275" spans="1:7" x14ac:dyDescent="0.25">
      <c r="A11275">
        <v>106787</v>
      </c>
      <c r="B11275" t="s">
        <v>4</v>
      </c>
      <c r="C11275">
        <v>4</v>
      </c>
      <c r="D11275" t="s">
        <v>5</v>
      </c>
      <c r="F11275" t="str" cm="1">
        <f t="array" ref="F11275">CategorizeComment(E11275)</f>
        <v>Other</v>
      </c>
      <c r="G11275" t="str" cm="1">
        <f t="array" ref="G11275">SubCategorizeComment(E11275)</f>
        <v>Other</v>
      </c>
    </row>
    <row r="11276" spans="1:7" x14ac:dyDescent="0.25">
      <c r="A11276">
        <v>106798</v>
      </c>
      <c r="B11276" t="s">
        <v>4</v>
      </c>
      <c r="C11276">
        <v>3</v>
      </c>
      <c r="D11276" t="s">
        <v>5</v>
      </c>
      <c r="F11276" t="str" cm="1">
        <f t="array" ref="F11276">CategorizeComment(E11276)</f>
        <v>Other</v>
      </c>
      <c r="G11276" t="str" cm="1">
        <f t="array" ref="G11276">SubCategorizeComment(E11276)</f>
        <v>Other</v>
      </c>
    </row>
    <row r="11277" spans="1:7" x14ac:dyDescent="0.25">
      <c r="A11277">
        <v>106800</v>
      </c>
      <c r="B11277" t="s">
        <v>4</v>
      </c>
      <c r="C11277">
        <v>3</v>
      </c>
      <c r="D11277" t="s">
        <v>5</v>
      </c>
      <c r="F11277" t="str" cm="1">
        <f t="array" ref="F11277">CategorizeComment(E11277)</f>
        <v>Other</v>
      </c>
      <c r="G11277" t="str" cm="1">
        <f t="array" ref="G11277">SubCategorizeComment(E11277)</f>
        <v>Other</v>
      </c>
    </row>
    <row r="11278" spans="1:7" x14ac:dyDescent="0.25">
      <c r="A11278">
        <v>106823</v>
      </c>
      <c r="B11278" t="s">
        <v>4</v>
      </c>
      <c r="C11278">
        <v>3</v>
      </c>
      <c r="D11278" t="s">
        <v>5</v>
      </c>
      <c r="F11278" t="str" cm="1">
        <f t="array" ref="F11278">CategorizeComment(E11278)</f>
        <v>Other</v>
      </c>
      <c r="G11278" t="str" cm="1">
        <f t="array" ref="G11278">SubCategorizeComment(E11278)</f>
        <v>Other</v>
      </c>
    </row>
    <row r="11279" spans="1:7" x14ac:dyDescent="0.25">
      <c r="A11279">
        <v>106828</v>
      </c>
      <c r="B11279" t="s">
        <v>4</v>
      </c>
      <c r="C11279">
        <v>4</v>
      </c>
      <c r="D11279" t="s">
        <v>5</v>
      </c>
      <c r="F11279" t="str" cm="1">
        <f t="array" ref="F11279">CategorizeComment(E11279)</f>
        <v>Other</v>
      </c>
      <c r="G11279" t="str" cm="1">
        <f t="array" ref="G11279">SubCategorizeComment(E11279)</f>
        <v>Other</v>
      </c>
    </row>
    <row r="11280" spans="1:7" x14ac:dyDescent="0.25">
      <c r="A11280">
        <v>106832</v>
      </c>
      <c r="B11280" t="s">
        <v>4</v>
      </c>
      <c r="C11280">
        <v>3</v>
      </c>
      <c r="D11280" t="s">
        <v>5</v>
      </c>
      <c r="F11280" t="str" cm="1">
        <f t="array" ref="F11280">CategorizeComment(E11280)</f>
        <v>Other</v>
      </c>
      <c r="G11280" t="str" cm="1">
        <f t="array" ref="G11280">SubCategorizeComment(E11280)</f>
        <v>Other</v>
      </c>
    </row>
    <row r="11281" spans="1:7" x14ac:dyDescent="0.25">
      <c r="A11281">
        <v>106838</v>
      </c>
      <c r="B11281" t="s">
        <v>4</v>
      </c>
      <c r="C11281">
        <v>4</v>
      </c>
      <c r="D11281" t="s">
        <v>5</v>
      </c>
      <c r="F11281" t="str" cm="1">
        <f t="array" ref="F11281">CategorizeComment(E11281)</f>
        <v>Other</v>
      </c>
      <c r="G11281" t="str" cm="1">
        <f t="array" ref="G11281">SubCategorizeComment(E11281)</f>
        <v>Other</v>
      </c>
    </row>
    <row r="11282" spans="1:7" x14ac:dyDescent="0.25">
      <c r="A11282">
        <v>106850</v>
      </c>
      <c r="B11282" t="s">
        <v>4</v>
      </c>
      <c r="C11282">
        <v>3</v>
      </c>
      <c r="D11282" t="s">
        <v>5</v>
      </c>
      <c r="F11282" t="str" cm="1">
        <f t="array" ref="F11282">CategorizeComment(E11282)</f>
        <v>Other</v>
      </c>
      <c r="G11282" t="str" cm="1">
        <f t="array" ref="G11282">SubCategorizeComment(E11282)</f>
        <v>Other</v>
      </c>
    </row>
    <row r="11283" spans="1:7" x14ac:dyDescent="0.25">
      <c r="A11283">
        <v>106856</v>
      </c>
      <c r="B11283" t="s">
        <v>4</v>
      </c>
      <c r="C11283">
        <v>3</v>
      </c>
      <c r="D11283" t="s">
        <v>5</v>
      </c>
      <c r="F11283" t="str" cm="1">
        <f t="array" ref="F11283">CategorizeComment(E11283)</f>
        <v>Other</v>
      </c>
      <c r="G11283" t="str" cm="1">
        <f t="array" ref="G11283">SubCategorizeComment(E11283)</f>
        <v>Other</v>
      </c>
    </row>
    <row r="11284" spans="1:7" x14ac:dyDescent="0.25">
      <c r="A11284">
        <v>106869</v>
      </c>
      <c r="B11284" t="s">
        <v>4</v>
      </c>
      <c r="C11284">
        <v>4</v>
      </c>
      <c r="D11284" t="s">
        <v>5</v>
      </c>
      <c r="F11284" t="str" cm="1">
        <f t="array" ref="F11284">CategorizeComment(E11284)</f>
        <v>Other</v>
      </c>
      <c r="G11284" t="str" cm="1">
        <f t="array" ref="G11284">SubCategorizeComment(E11284)</f>
        <v>Other</v>
      </c>
    </row>
    <row r="11285" spans="1:7" x14ac:dyDescent="0.25">
      <c r="A11285">
        <v>106885</v>
      </c>
      <c r="B11285" t="s">
        <v>4</v>
      </c>
      <c r="C11285">
        <v>4</v>
      </c>
      <c r="D11285" t="s">
        <v>5</v>
      </c>
      <c r="F11285" t="str" cm="1">
        <f t="array" ref="F11285">CategorizeComment(E11285)</f>
        <v>Other</v>
      </c>
      <c r="G11285" t="str" cm="1">
        <f t="array" ref="G11285">SubCategorizeComment(E11285)</f>
        <v>Other</v>
      </c>
    </row>
    <row r="11286" spans="1:7" x14ac:dyDescent="0.25">
      <c r="A11286">
        <v>106886</v>
      </c>
      <c r="B11286" t="s">
        <v>4</v>
      </c>
      <c r="C11286">
        <v>4</v>
      </c>
      <c r="D11286" t="s">
        <v>5</v>
      </c>
      <c r="F11286" t="str" cm="1">
        <f t="array" ref="F11286">CategorizeComment(E11286)</f>
        <v>Other</v>
      </c>
      <c r="G11286" t="str" cm="1">
        <f t="array" ref="G11286">SubCategorizeComment(E11286)</f>
        <v>Other</v>
      </c>
    </row>
    <row r="11287" spans="1:7" x14ac:dyDescent="0.25">
      <c r="A11287">
        <v>106888</v>
      </c>
      <c r="B11287" t="s">
        <v>4</v>
      </c>
      <c r="C11287">
        <v>3</v>
      </c>
      <c r="D11287" t="s">
        <v>5</v>
      </c>
      <c r="F11287" t="str" cm="1">
        <f t="array" ref="F11287">CategorizeComment(E11287)</f>
        <v>Other</v>
      </c>
      <c r="G11287" t="str" cm="1">
        <f t="array" ref="G11287">SubCategorizeComment(E11287)</f>
        <v>Other</v>
      </c>
    </row>
    <row r="11288" spans="1:7" x14ac:dyDescent="0.25">
      <c r="A11288">
        <v>106903</v>
      </c>
      <c r="B11288" t="s">
        <v>4</v>
      </c>
      <c r="C11288">
        <v>3</v>
      </c>
      <c r="D11288" t="s">
        <v>5</v>
      </c>
      <c r="F11288" t="str" cm="1">
        <f t="array" ref="F11288">CategorizeComment(E11288)</f>
        <v>Other</v>
      </c>
      <c r="G11288" t="str" cm="1">
        <f t="array" ref="G11288">SubCategorizeComment(E11288)</f>
        <v>Other</v>
      </c>
    </row>
    <row r="11289" spans="1:7" x14ac:dyDescent="0.25">
      <c r="A11289">
        <v>106918</v>
      </c>
      <c r="B11289" t="s">
        <v>4</v>
      </c>
      <c r="C11289">
        <v>3</v>
      </c>
      <c r="D11289" t="s">
        <v>5</v>
      </c>
      <c r="F11289" t="str" cm="1">
        <f t="array" ref="F11289">CategorizeComment(E11289)</f>
        <v>Other</v>
      </c>
      <c r="G11289" t="str" cm="1">
        <f t="array" ref="G11289">SubCategorizeComment(E11289)</f>
        <v>Other</v>
      </c>
    </row>
    <row r="11290" spans="1:7" x14ac:dyDescent="0.25">
      <c r="A11290">
        <v>106961</v>
      </c>
      <c r="B11290" t="s">
        <v>4</v>
      </c>
      <c r="C11290">
        <v>4</v>
      </c>
      <c r="D11290" t="s">
        <v>5</v>
      </c>
      <c r="F11290" t="str" cm="1">
        <f t="array" ref="F11290">CategorizeComment(E11290)</f>
        <v>Other</v>
      </c>
      <c r="G11290" t="str" cm="1">
        <f t="array" ref="G11290">SubCategorizeComment(E11290)</f>
        <v>Other</v>
      </c>
    </row>
    <row r="11291" spans="1:7" x14ac:dyDescent="0.25">
      <c r="A11291">
        <v>106970</v>
      </c>
      <c r="B11291" t="s">
        <v>4</v>
      </c>
      <c r="C11291">
        <v>4</v>
      </c>
      <c r="D11291" t="s">
        <v>5</v>
      </c>
      <c r="F11291" t="str" cm="1">
        <f t="array" ref="F11291">CategorizeComment(E11291)</f>
        <v>Other</v>
      </c>
      <c r="G11291" t="str" cm="1">
        <f t="array" ref="G11291">SubCategorizeComment(E11291)</f>
        <v>Other</v>
      </c>
    </row>
    <row r="11292" spans="1:7" x14ac:dyDescent="0.25">
      <c r="A11292">
        <v>106982</v>
      </c>
      <c r="B11292" t="s">
        <v>4</v>
      </c>
      <c r="C11292">
        <v>4</v>
      </c>
      <c r="D11292" t="s">
        <v>5</v>
      </c>
      <c r="F11292" t="str" cm="1">
        <f t="array" ref="F11292">CategorizeComment(E11292)</f>
        <v>Other</v>
      </c>
      <c r="G11292" t="str" cm="1">
        <f t="array" ref="G11292">SubCategorizeComment(E11292)</f>
        <v>Other</v>
      </c>
    </row>
    <row r="11293" spans="1:7" x14ac:dyDescent="0.25">
      <c r="A11293">
        <v>106989</v>
      </c>
      <c r="B11293" t="s">
        <v>4</v>
      </c>
      <c r="C11293">
        <v>4</v>
      </c>
      <c r="D11293" t="s">
        <v>5</v>
      </c>
      <c r="F11293" t="str" cm="1">
        <f t="array" ref="F11293">CategorizeComment(E11293)</f>
        <v>Other</v>
      </c>
      <c r="G11293" t="str" cm="1">
        <f t="array" ref="G11293">SubCategorizeComment(E11293)</f>
        <v>Other</v>
      </c>
    </row>
    <row r="11294" spans="1:7" x14ac:dyDescent="0.25">
      <c r="A11294">
        <v>106991</v>
      </c>
      <c r="B11294" t="s">
        <v>4</v>
      </c>
      <c r="C11294">
        <v>4</v>
      </c>
      <c r="D11294" t="s">
        <v>5</v>
      </c>
      <c r="F11294" t="str" cm="1">
        <f t="array" ref="F11294">CategorizeComment(E11294)</f>
        <v>Other</v>
      </c>
      <c r="G11294" t="str" cm="1">
        <f t="array" ref="G11294">SubCategorizeComment(E11294)</f>
        <v>Other</v>
      </c>
    </row>
    <row r="11295" spans="1:7" x14ac:dyDescent="0.25">
      <c r="A11295">
        <v>106998</v>
      </c>
      <c r="B11295" t="s">
        <v>4</v>
      </c>
      <c r="C11295">
        <v>4</v>
      </c>
      <c r="D11295" t="s">
        <v>5</v>
      </c>
      <c r="F11295" t="str" cm="1">
        <f t="array" ref="F11295">CategorizeComment(E11295)</f>
        <v>Other</v>
      </c>
      <c r="G11295" t="str" cm="1">
        <f t="array" ref="G11295">SubCategorizeComment(E11295)</f>
        <v>Other</v>
      </c>
    </row>
    <row r="11296" spans="1:7" x14ac:dyDescent="0.25">
      <c r="A11296">
        <v>107020</v>
      </c>
      <c r="B11296" t="s">
        <v>4</v>
      </c>
      <c r="C11296">
        <v>3</v>
      </c>
      <c r="D11296" t="s">
        <v>5</v>
      </c>
      <c r="F11296" t="str" cm="1">
        <f t="array" ref="F11296">CategorizeComment(E11296)</f>
        <v>Other</v>
      </c>
      <c r="G11296" t="str" cm="1">
        <f t="array" ref="G11296">SubCategorizeComment(E11296)</f>
        <v>Other</v>
      </c>
    </row>
    <row r="11297" spans="1:7" x14ac:dyDescent="0.25">
      <c r="A11297">
        <v>107060</v>
      </c>
      <c r="B11297" t="s">
        <v>4</v>
      </c>
      <c r="C11297">
        <v>4</v>
      </c>
      <c r="D11297" t="s">
        <v>5</v>
      </c>
      <c r="F11297" t="str" cm="1">
        <f t="array" ref="F11297">CategorizeComment(E11297)</f>
        <v>Other</v>
      </c>
      <c r="G11297" t="str" cm="1">
        <f t="array" ref="G11297">SubCategorizeComment(E11297)</f>
        <v>Other</v>
      </c>
    </row>
    <row r="11298" spans="1:7" x14ac:dyDescent="0.25">
      <c r="A11298">
        <v>107074</v>
      </c>
      <c r="B11298" t="s">
        <v>4</v>
      </c>
      <c r="C11298">
        <v>4</v>
      </c>
      <c r="D11298" t="s">
        <v>5</v>
      </c>
      <c r="F11298" t="str" cm="1">
        <f t="array" ref="F11298">CategorizeComment(E11298)</f>
        <v>Other</v>
      </c>
      <c r="G11298" t="str" cm="1">
        <f t="array" ref="G11298">SubCategorizeComment(E11298)</f>
        <v>Other</v>
      </c>
    </row>
    <row r="11299" spans="1:7" x14ac:dyDescent="0.25">
      <c r="A11299">
        <v>107078</v>
      </c>
      <c r="B11299" t="s">
        <v>4</v>
      </c>
      <c r="C11299">
        <v>4</v>
      </c>
      <c r="D11299" t="s">
        <v>5</v>
      </c>
      <c r="F11299" t="str" cm="1">
        <f t="array" ref="F11299">CategorizeComment(E11299)</f>
        <v>Other</v>
      </c>
      <c r="G11299" t="str" cm="1">
        <f t="array" ref="G11299">SubCategorizeComment(E11299)</f>
        <v>Other</v>
      </c>
    </row>
    <row r="11300" spans="1:7" x14ac:dyDescent="0.25">
      <c r="A11300">
        <v>107092</v>
      </c>
      <c r="B11300" t="s">
        <v>4</v>
      </c>
      <c r="C11300">
        <v>3</v>
      </c>
      <c r="D11300" t="s">
        <v>5</v>
      </c>
      <c r="F11300" t="str" cm="1">
        <f t="array" ref="F11300">CategorizeComment(E11300)</f>
        <v>Other</v>
      </c>
      <c r="G11300" t="str" cm="1">
        <f t="array" ref="G11300">SubCategorizeComment(E11300)</f>
        <v>Other</v>
      </c>
    </row>
    <row r="11301" spans="1:7" x14ac:dyDescent="0.25">
      <c r="A11301">
        <v>107150</v>
      </c>
      <c r="B11301" t="s">
        <v>4</v>
      </c>
      <c r="C11301">
        <v>4</v>
      </c>
      <c r="D11301" t="s">
        <v>5</v>
      </c>
      <c r="F11301" t="str" cm="1">
        <f t="array" ref="F11301">CategorizeComment(E11301)</f>
        <v>Other</v>
      </c>
      <c r="G11301" t="str" cm="1">
        <f t="array" ref="G11301">SubCategorizeComment(E11301)</f>
        <v>Other</v>
      </c>
    </row>
    <row r="11302" spans="1:7" x14ac:dyDescent="0.25">
      <c r="A11302">
        <v>107165</v>
      </c>
      <c r="B11302" t="s">
        <v>4</v>
      </c>
      <c r="C11302">
        <v>3</v>
      </c>
      <c r="D11302" t="s">
        <v>5</v>
      </c>
      <c r="F11302" t="str" cm="1">
        <f t="array" ref="F11302">CategorizeComment(E11302)</f>
        <v>Other</v>
      </c>
      <c r="G11302" t="str" cm="1">
        <f t="array" ref="G11302">SubCategorizeComment(E11302)</f>
        <v>Other</v>
      </c>
    </row>
    <row r="11303" spans="1:7" x14ac:dyDescent="0.25">
      <c r="A11303">
        <v>107172</v>
      </c>
      <c r="B11303" t="s">
        <v>4</v>
      </c>
      <c r="C11303">
        <v>3</v>
      </c>
      <c r="D11303" t="s">
        <v>5</v>
      </c>
      <c r="F11303" t="str" cm="1">
        <f t="array" ref="F11303">CategorizeComment(E11303)</f>
        <v>Other</v>
      </c>
      <c r="G11303" t="str" cm="1">
        <f t="array" ref="G11303">SubCategorizeComment(E11303)</f>
        <v>Other</v>
      </c>
    </row>
    <row r="11304" spans="1:7" x14ac:dyDescent="0.25">
      <c r="A11304">
        <v>107175</v>
      </c>
      <c r="B11304" t="s">
        <v>4</v>
      </c>
      <c r="C11304">
        <v>3</v>
      </c>
      <c r="D11304" t="s">
        <v>5</v>
      </c>
      <c r="F11304" t="str" cm="1">
        <f t="array" ref="F11304">CategorizeComment(E11304)</f>
        <v>Other</v>
      </c>
      <c r="G11304" t="str" cm="1">
        <f t="array" ref="G11304">SubCategorizeComment(E11304)</f>
        <v>Other</v>
      </c>
    </row>
    <row r="11305" spans="1:7" x14ac:dyDescent="0.25">
      <c r="A11305">
        <v>107181</v>
      </c>
      <c r="B11305" t="s">
        <v>4</v>
      </c>
      <c r="C11305">
        <v>3</v>
      </c>
      <c r="D11305" t="s">
        <v>5</v>
      </c>
      <c r="F11305" t="str" cm="1">
        <f t="array" ref="F11305">CategorizeComment(E11305)</f>
        <v>Other</v>
      </c>
      <c r="G11305" t="str" cm="1">
        <f t="array" ref="G11305">SubCategorizeComment(E11305)</f>
        <v>Other</v>
      </c>
    </row>
    <row r="11306" spans="1:7" x14ac:dyDescent="0.25">
      <c r="A11306">
        <v>107190</v>
      </c>
      <c r="B11306" t="s">
        <v>4</v>
      </c>
      <c r="C11306">
        <v>4</v>
      </c>
      <c r="D11306" t="s">
        <v>5</v>
      </c>
      <c r="F11306" t="str" cm="1">
        <f t="array" ref="F11306">CategorizeComment(E11306)</f>
        <v>Other</v>
      </c>
      <c r="G11306" t="str" cm="1">
        <f t="array" ref="G11306">SubCategorizeComment(E11306)</f>
        <v>Other</v>
      </c>
    </row>
    <row r="11307" spans="1:7" x14ac:dyDescent="0.25">
      <c r="A11307">
        <v>107194</v>
      </c>
      <c r="B11307" t="s">
        <v>4</v>
      </c>
      <c r="C11307">
        <v>4</v>
      </c>
      <c r="D11307" t="s">
        <v>5</v>
      </c>
      <c r="F11307" t="str" cm="1">
        <f t="array" ref="F11307">CategorizeComment(E11307)</f>
        <v>Other</v>
      </c>
      <c r="G11307" t="str" cm="1">
        <f t="array" ref="G11307">SubCategorizeComment(E11307)</f>
        <v>Other</v>
      </c>
    </row>
    <row r="11308" spans="1:7" x14ac:dyDescent="0.25">
      <c r="A11308">
        <v>107203</v>
      </c>
      <c r="B11308" t="s">
        <v>4</v>
      </c>
      <c r="C11308">
        <v>3</v>
      </c>
      <c r="D11308" t="s">
        <v>5</v>
      </c>
      <c r="F11308" t="str" cm="1">
        <f t="array" ref="F11308">CategorizeComment(E11308)</f>
        <v>Other</v>
      </c>
      <c r="G11308" t="str" cm="1">
        <f t="array" ref="G11308">SubCategorizeComment(E11308)</f>
        <v>Other</v>
      </c>
    </row>
    <row r="11309" spans="1:7" x14ac:dyDescent="0.25">
      <c r="A11309">
        <v>107215</v>
      </c>
      <c r="B11309" t="s">
        <v>4</v>
      </c>
      <c r="C11309">
        <v>3</v>
      </c>
      <c r="D11309" t="s">
        <v>5</v>
      </c>
      <c r="F11309" t="str" cm="1">
        <f t="array" ref="F11309">CategorizeComment(E11309)</f>
        <v>Other</v>
      </c>
      <c r="G11309" t="str" cm="1">
        <f t="array" ref="G11309">SubCategorizeComment(E11309)</f>
        <v>Other</v>
      </c>
    </row>
    <row r="11310" spans="1:7" x14ac:dyDescent="0.25">
      <c r="A11310">
        <v>107223</v>
      </c>
      <c r="B11310" t="s">
        <v>4</v>
      </c>
      <c r="C11310">
        <v>4</v>
      </c>
      <c r="D11310" t="s">
        <v>5</v>
      </c>
      <c r="F11310" t="str" cm="1">
        <f t="array" ref="F11310">CategorizeComment(E11310)</f>
        <v>Other</v>
      </c>
      <c r="G11310" t="str" cm="1">
        <f t="array" ref="G11310">SubCategorizeComment(E11310)</f>
        <v>Other</v>
      </c>
    </row>
    <row r="11311" spans="1:7" x14ac:dyDescent="0.25">
      <c r="A11311">
        <v>107225</v>
      </c>
      <c r="B11311" t="s">
        <v>4</v>
      </c>
      <c r="C11311">
        <v>4</v>
      </c>
      <c r="D11311" t="s">
        <v>5</v>
      </c>
      <c r="F11311" t="str" cm="1">
        <f t="array" ref="F11311">CategorizeComment(E11311)</f>
        <v>Other</v>
      </c>
      <c r="G11311" t="str" cm="1">
        <f t="array" ref="G11311">SubCategorizeComment(E11311)</f>
        <v>Other</v>
      </c>
    </row>
    <row r="11312" spans="1:7" x14ac:dyDescent="0.25">
      <c r="A11312">
        <v>107227</v>
      </c>
      <c r="B11312" t="s">
        <v>4</v>
      </c>
      <c r="C11312">
        <v>3</v>
      </c>
      <c r="D11312" t="s">
        <v>5</v>
      </c>
      <c r="F11312" t="str" cm="1">
        <f t="array" ref="F11312">CategorizeComment(E11312)</f>
        <v>Other</v>
      </c>
      <c r="G11312" t="str" cm="1">
        <f t="array" ref="G11312">SubCategorizeComment(E11312)</f>
        <v>Other</v>
      </c>
    </row>
    <row r="11313" spans="1:7" x14ac:dyDescent="0.25">
      <c r="A11313">
        <v>107236</v>
      </c>
      <c r="B11313" t="s">
        <v>4</v>
      </c>
      <c r="C11313">
        <v>4</v>
      </c>
      <c r="D11313" t="s">
        <v>5</v>
      </c>
      <c r="F11313" t="str" cm="1">
        <f t="array" ref="F11313">CategorizeComment(E11313)</f>
        <v>Other</v>
      </c>
      <c r="G11313" t="str" cm="1">
        <f t="array" ref="G11313">SubCategorizeComment(E11313)</f>
        <v>Other</v>
      </c>
    </row>
    <row r="11314" spans="1:7" x14ac:dyDescent="0.25">
      <c r="A11314">
        <v>107239</v>
      </c>
      <c r="B11314" t="s">
        <v>4</v>
      </c>
      <c r="C11314">
        <v>4</v>
      </c>
      <c r="D11314" t="s">
        <v>5</v>
      </c>
      <c r="F11314" t="str" cm="1">
        <f t="array" ref="F11314">CategorizeComment(E11314)</f>
        <v>Other</v>
      </c>
      <c r="G11314" t="str" cm="1">
        <f t="array" ref="G11314">SubCategorizeComment(E11314)</f>
        <v>Other</v>
      </c>
    </row>
    <row r="11315" spans="1:7" x14ac:dyDescent="0.25">
      <c r="A11315">
        <v>107263</v>
      </c>
      <c r="B11315" t="s">
        <v>4</v>
      </c>
      <c r="C11315">
        <v>3</v>
      </c>
      <c r="D11315" t="s">
        <v>5</v>
      </c>
      <c r="F11315" t="str" cm="1">
        <f t="array" ref="F11315">CategorizeComment(E11315)</f>
        <v>Other</v>
      </c>
      <c r="G11315" t="str" cm="1">
        <f t="array" ref="G11315">SubCategorizeComment(E11315)</f>
        <v>Other</v>
      </c>
    </row>
    <row r="11316" spans="1:7" x14ac:dyDescent="0.25">
      <c r="A11316">
        <v>107271</v>
      </c>
      <c r="B11316" t="s">
        <v>4</v>
      </c>
      <c r="C11316">
        <v>4</v>
      </c>
      <c r="D11316" t="s">
        <v>5</v>
      </c>
      <c r="F11316" t="str" cm="1">
        <f t="array" ref="F11316">CategorizeComment(E11316)</f>
        <v>Other</v>
      </c>
      <c r="G11316" t="str" cm="1">
        <f t="array" ref="G11316">SubCategorizeComment(E11316)</f>
        <v>Other</v>
      </c>
    </row>
    <row r="11317" spans="1:7" x14ac:dyDescent="0.25">
      <c r="A11317">
        <v>107277</v>
      </c>
      <c r="B11317" t="s">
        <v>4</v>
      </c>
      <c r="C11317">
        <v>3</v>
      </c>
      <c r="D11317" t="s">
        <v>5</v>
      </c>
      <c r="F11317" t="str" cm="1">
        <f t="array" ref="F11317">CategorizeComment(E11317)</f>
        <v>Other</v>
      </c>
      <c r="G11317" t="str" cm="1">
        <f t="array" ref="G11317">SubCategorizeComment(E11317)</f>
        <v>Other</v>
      </c>
    </row>
    <row r="11318" spans="1:7" x14ac:dyDescent="0.25">
      <c r="A11318">
        <v>107288</v>
      </c>
      <c r="B11318" t="s">
        <v>4</v>
      </c>
      <c r="C11318">
        <v>4</v>
      </c>
      <c r="D11318" t="s">
        <v>5</v>
      </c>
      <c r="F11318" t="str" cm="1">
        <f t="array" ref="F11318">CategorizeComment(E11318)</f>
        <v>Other</v>
      </c>
      <c r="G11318" t="str" cm="1">
        <f t="array" ref="G11318">SubCategorizeComment(E11318)</f>
        <v>Other</v>
      </c>
    </row>
    <row r="11319" spans="1:7" x14ac:dyDescent="0.25">
      <c r="A11319">
        <v>107293</v>
      </c>
      <c r="B11319" t="s">
        <v>4</v>
      </c>
      <c r="C11319">
        <v>4</v>
      </c>
      <c r="D11319" t="s">
        <v>5</v>
      </c>
      <c r="F11319" t="str" cm="1">
        <f t="array" ref="F11319">CategorizeComment(E11319)</f>
        <v>Other</v>
      </c>
      <c r="G11319" t="str" cm="1">
        <f t="array" ref="G11319">SubCategorizeComment(E11319)</f>
        <v>Other</v>
      </c>
    </row>
    <row r="11320" spans="1:7" x14ac:dyDescent="0.25">
      <c r="A11320">
        <v>107297</v>
      </c>
      <c r="B11320" t="s">
        <v>4</v>
      </c>
      <c r="C11320">
        <v>3</v>
      </c>
      <c r="D11320" t="s">
        <v>5</v>
      </c>
      <c r="F11320" t="str" cm="1">
        <f t="array" ref="F11320">CategorizeComment(E11320)</f>
        <v>Other</v>
      </c>
      <c r="G11320" t="str" cm="1">
        <f t="array" ref="G11320">SubCategorizeComment(E11320)</f>
        <v>Other</v>
      </c>
    </row>
    <row r="11321" spans="1:7" x14ac:dyDescent="0.25">
      <c r="A11321">
        <v>107350</v>
      </c>
      <c r="B11321" t="s">
        <v>4</v>
      </c>
      <c r="C11321">
        <v>4</v>
      </c>
      <c r="D11321" t="s">
        <v>5</v>
      </c>
      <c r="F11321" t="str" cm="1">
        <f t="array" ref="F11321">CategorizeComment(E11321)</f>
        <v>Other</v>
      </c>
      <c r="G11321" t="str" cm="1">
        <f t="array" ref="G11321">SubCategorizeComment(E11321)</f>
        <v>Other</v>
      </c>
    </row>
    <row r="11322" spans="1:7" x14ac:dyDescent="0.25">
      <c r="A11322">
        <v>107353</v>
      </c>
      <c r="B11322" t="s">
        <v>4</v>
      </c>
      <c r="C11322">
        <v>3</v>
      </c>
      <c r="D11322" t="s">
        <v>5</v>
      </c>
      <c r="F11322" t="str" cm="1">
        <f t="array" ref="F11322">CategorizeComment(E11322)</f>
        <v>Other</v>
      </c>
      <c r="G11322" t="str" cm="1">
        <f t="array" ref="G11322">SubCategorizeComment(E11322)</f>
        <v>Other</v>
      </c>
    </row>
    <row r="11323" spans="1:7" x14ac:dyDescent="0.25">
      <c r="A11323">
        <v>107358</v>
      </c>
      <c r="B11323" t="s">
        <v>4</v>
      </c>
      <c r="C11323">
        <v>4</v>
      </c>
      <c r="D11323" t="s">
        <v>5</v>
      </c>
      <c r="F11323" t="str" cm="1">
        <f t="array" ref="F11323">CategorizeComment(E11323)</f>
        <v>Other</v>
      </c>
      <c r="G11323" t="str" cm="1">
        <f t="array" ref="G11323">SubCategorizeComment(E11323)</f>
        <v>Other</v>
      </c>
    </row>
    <row r="11324" spans="1:7" x14ac:dyDescent="0.25">
      <c r="A11324">
        <v>107370</v>
      </c>
      <c r="B11324" t="s">
        <v>4</v>
      </c>
      <c r="C11324">
        <v>4</v>
      </c>
      <c r="D11324" t="s">
        <v>5</v>
      </c>
      <c r="F11324" t="str" cm="1">
        <f t="array" ref="F11324">CategorizeComment(E11324)</f>
        <v>Other</v>
      </c>
      <c r="G11324" t="str" cm="1">
        <f t="array" ref="G11324">SubCategorizeComment(E11324)</f>
        <v>Other</v>
      </c>
    </row>
    <row r="11325" spans="1:7" x14ac:dyDescent="0.25">
      <c r="A11325">
        <v>107371</v>
      </c>
      <c r="B11325" t="s">
        <v>4</v>
      </c>
      <c r="C11325">
        <v>4</v>
      </c>
      <c r="D11325" t="s">
        <v>5</v>
      </c>
      <c r="F11325" t="str" cm="1">
        <f t="array" ref="F11325">CategorizeComment(E11325)</f>
        <v>Other</v>
      </c>
      <c r="G11325" t="str" cm="1">
        <f t="array" ref="G11325">SubCategorizeComment(E11325)</f>
        <v>Other</v>
      </c>
    </row>
    <row r="11326" spans="1:7" x14ac:dyDescent="0.25">
      <c r="A11326">
        <v>107377</v>
      </c>
      <c r="B11326" t="s">
        <v>4</v>
      </c>
      <c r="C11326">
        <v>3</v>
      </c>
      <c r="D11326" t="s">
        <v>5</v>
      </c>
      <c r="F11326" t="str" cm="1">
        <f t="array" ref="F11326">CategorizeComment(E11326)</f>
        <v>Other</v>
      </c>
      <c r="G11326" t="str" cm="1">
        <f t="array" ref="G11326">SubCategorizeComment(E11326)</f>
        <v>Other</v>
      </c>
    </row>
    <row r="11327" spans="1:7" x14ac:dyDescent="0.25">
      <c r="A11327">
        <v>107407</v>
      </c>
      <c r="B11327" t="s">
        <v>4</v>
      </c>
      <c r="C11327">
        <v>3</v>
      </c>
      <c r="D11327" t="s">
        <v>5</v>
      </c>
      <c r="F11327" t="str" cm="1">
        <f t="array" ref="F11327">CategorizeComment(E11327)</f>
        <v>Other</v>
      </c>
      <c r="G11327" t="str" cm="1">
        <f t="array" ref="G11327">SubCategorizeComment(E11327)</f>
        <v>Other</v>
      </c>
    </row>
    <row r="11328" spans="1:7" x14ac:dyDescent="0.25">
      <c r="A11328">
        <v>107416</v>
      </c>
      <c r="B11328" t="s">
        <v>4</v>
      </c>
      <c r="C11328">
        <v>3</v>
      </c>
      <c r="D11328" t="s">
        <v>5</v>
      </c>
      <c r="F11328" t="str" cm="1">
        <f t="array" ref="F11328">CategorizeComment(E11328)</f>
        <v>Other</v>
      </c>
      <c r="G11328" t="str" cm="1">
        <f t="array" ref="G11328">SubCategorizeComment(E11328)</f>
        <v>Other</v>
      </c>
    </row>
    <row r="11329" spans="1:7" x14ac:dyDescent="0.25">
      <c r="A11329">
        <v>107417</v>
      </c>
      <c r="B11329" t="s">
        <v>4</v>
      </c>
      <c r="C11329">
        <v>4</v>
      </c>
      <c r="D11329" t="s">
        <v>5</v>
      </c>
      <c r="F11329" t="str" cm="1">
        <f t="array" ref="F11329">CategorizeComment(E11329)</f>
        <v>Other</v>
      </c>
      <c r="G11329" t="str" cm="1">
        <f t="array" ref="G11329">SubCategorizeComment(E11329)</f>
        <v>Other</v>
      </c>
    </row>
    <row r="11330" spans="1:7" x14ac:dyDescent="0.25">
      <c r="A11330">
        <v>107421</v>
      </c>
      <c r="B11330" t="s">
        <v>4</v>
      </c>
      <c r="C11330">
        <v>4</v>
      </c>
      <c r="D11330" t="s">
        <v>5</v>
      </c>
      <c r="F11330" t="str" cm="1">
        <f t="array" ref="F11330">CategorizeComment(E11330)</f>
        <v>Other</v>
      </c>
      <c r="G11330" t="str" cm="1">
        <f t="array" ref="G11330">SubCategorizeComment(E11330)</f>
        <v>Other</v>
      </c>
    </row>
    <row r="11331" spans="1:7" x14ac:dyDescent="0.25">
      <c r="A11331">
        <v>107430</v>
      </c>
      <c r="B11331" t="s">
        <v>4</v>
      </c>
      <c r="C11331">
        <v>4</v>
      </c>
      <c r="D11331" t="s">
        <v>5</v>
      </c>
      <c r="F11331" t="str" cm="1">
        <f t="array" ref="F11331">CategorizeComment(E11331)</f>
        <v>Other</v>
      </c>
      <c r="G11331" t="str" cm="1">
        <f t="array" ref="G11331">SubCategorizeComment(E11331)</f>
        <v>Other</v>
      </c>
    </row>
    <row r="11332" spans="1:7" x14ac:dyDescent="0.25">
      <c r="A11332">
        <v>107452</v>
      </c>
      <c r="B11332" t="s">
        <v>4</v>
      </c>
      <c r="C11332">
        <v>3</v>
      </c>
      <c r="D11332" t="s">
        <v>5</v>
      </c>
      <c r="F11332" t="str" cm="1">
        <f t="array" ref="F11332">CategorizeComment(E11332)</f>
        <v>Other</v>
      </c>
      <c r="G11332" t="str" cm="1">
        <f t="array" ref="G11332">SubCategorizeComment(E11332)</f>
        <v>Other</v>
      </c>
    </row>
    <row r="11333" spans="1:7" x14ac:dyDescent="0.25">
      <c r="A11333">
        <v>107481</v>
      </c>
      <c r="B11333" t="s">
        <v>4</v>
      </c>
      <c r="C11333">
        <v>4</v>
      </c>
      <c r="D11333" t="s">
        <v>5</v>
      </c>
      <c r="F11333" t="str" cm="1">
        <f t="array" ref="F11333">CategorizeComment(E11333)</f>
        <v>Other</v>
      </c>
      <c r="G11333" t="str" cm="1">
        <f t="array" ref="G11333">SubCategorizeComment(E11333)</f>
        <v>Other</v>
      </c>
    </row>
    <row r="11334" spans="1:7" x14ac:dyDescent="0.25">
      <c r="A11334">
        <v>107491</v>
      </c>
      <c r="B11334" t="s">
        <v>4</v>
      </c>
      <c r="C11334">
        <v>4</v>
      </c>
      <c r="D11334" t="s">
        <v>5</v>
      </c>
      <c r="F11334" t="str" cm="1">
        <f t="array" ref="F11334">CategorizeComment(E11334)</f>
        <v>Other</v>
      </c>
      <c r="G11334" t="str" cm="1">
        <f t="array" ref="G11334">SubCategorizeComment(E11334)</f>
        <v>Other</v>
      </c>
    </row>
    <row r="11335" spans="1:7" x14ac:dyDescent="0.25">
      <c r="A11335">
        <v>107502</v>
      </c>
      <c r="B11335" t="s">
        <v>4</v>
      </c>
      <c r="C11335">
        <v>3</v>
      </c>
      <c r="D11335" t="s">
        <v>5</v>
      </c>
      <c r="F11335" t="str" cm="1">
        <f t="array" ref="F11335">CategorizeComment(E11335)</f>
        <v>Other</v>
      </c>
      <c r="G11335" t="str" cm="1">
        <f t="array" ref="G11335">SubCategorizeComment(E11335)</f>
        <v>Other</v>
      </c>
    </row>
    <row r="11336" spans="1:7" x14ac:dyDescent="0.25">
      <c r="A11336">
        <v>107504</v>
      </c>
      <c r="B11336" t="s">
        <v>4</v>
      </c>
      <c r="C11336">
        <v>3</v>
      </c>
      <c r="D11336" t="s">
        <v>5</v>
      </c>
      <c r="F11336" t="str" cm="1">
        <f t="array" ref="F11336">CategorizeComment(E11336)</f>
        <v>Other</v>
      </c>
      <c r="G11336" t="str" cm="1">
        <f t="array" ref="G11336">SubCategorizeComment(E11336)</f>
        <v>Other</v>
      </c>
    </row>
    <row r="11337" spans="1:7" x14ac:dyDescent="0.25">
      <c r="A11337">
        <v>107507</v>
      </c>
      <c r="B11337" t="s">
        <v>4</v>
      </c>
      <c r="C11337">
        <v>4</v>
      </c>
      <c r="D11337" t="s">
        <v>5</v>
      </c>
      <c r="F11337" t="str" cm="1">
        <f t="array" ref="F11337">CategorizeComment(E11337)</f>
        <v>Other</v>
      </c>
      <c r="G11337" t="str" cm="1">
        <f t="array" ref="G11337">SubCategorizeComment(E11337)</f>
        <v>Other</v>
      </c>
    </row>
    <row r="11338" spans="1:7" x14ac:dyDescent="0.25">
      <c r="A11338">
        <v>107510</v>
      </c>
      <c r="B11338" t="s">
        <v>4</v>
      </c>
      <c r="C11338">
        <v>3</v>
      </c>
      <c r="D11338" t="s">
        <v>5</v>
      </c>
      <c r="F11338" t="str" cm="1">
        <f t="array" ref="F11338">CategorizeComment(E11338)</f>
        <v>Other</v>
      </c>
      <c r="G11338" t="str" cm="1">
        <f t="array" ref="G11338">SubCategorizeComment(E11338)</f>
        <v>Other</v>
      </c>
    </row>
    <row r="11339" spans="1:7" x14ac:dyDescent="0.25">
      <c r="A11339">
        <v>107518</v>
      </c>
      <c r="B11339" t="s">
        <v>4</v>
      </c>
      <c r="C11339">
        <v>4</v>
      </c>
      <c r="D11339" t="s">
        <v>5</v>
      </c>
      <c r="F11339" t="str" cm="1">
        <f t="array" ref="F11339">CategorizeComment(E11339)</f>
        <v>Other</v>
      </c>
      <c r="G11339" t="str" cm="1">
        <f t="array" ref="G11339">SubCategorizeComment(E11339)</f>
        <v>Other</v>
      </c>
    </row>
    <row r="11340" spans="1:7" x14ac:dyDescent="0.25">
      <c r="A11340">
        <v>107519</v>
      </c>
      <c r="B11340" t="s">
        <v>4</v>
      </c>
      <c r="C11340">
        <v>4</v>
      </c>
      <c r="D11340" t="s">
        <v>5</v>
      </c>
      <c r="F11340" t="str" cm="1">
        <f t="array" ref="F11340">CategorizeComment(E11340)</f>
        <v>Other</v>
      </c>
      <c r="G11340" t="str" cm="1">
        <f t="array" ref="G11340">SubCategorizeComment(E11340)</f>
        <v>Other</v>
      </c>
    </row>
    <row r="11341" spans="1:7" x14ac:dyDescent="0.25">
      <c r="A11341">
        <v>107545</v>
      </c>
      <c r="B11341" t="s">
        <v>4</v>
      </c>
      <c r="C11341">
        <v>3</v>
      </c>
      <c r="D11341" t="s">
        <v>5</v>
      </c>
      <c r="F11341" t="str" cm="1">
        <f t="array" ref="F11341">CategorizeComment(E11341)</f>
        <v>Other</v>
      </c>
      <c r="G11341" t="str" cm="1">
        <f t="array" ref="G11341">SubCategorizeComment(E11341)</f>
        <v>Other</v>
      </c>
    </row>
    <row r="11342" spans="1:7" x14ac:dyDescent="0.25">
      <c r="A11342">
        <v>107551</v>
      </c>
      <c r="B11342" t="s">
        <v>4</v>
      </c>
      <c r="C11342">
        <v>4</v>
      </c>
      <c r="D11342" t="s">
        <v>5</v>
      </c>
      <c r="F11342" t="str" cm="1">
        <f t="array" ref="F11342">CategorizeComment(E11342)</f>
        <v>Other</v>
      </c>
      <c r="G11342" t="str" cm="1">
        <f t="array" ref="G11342">SubCategorizeComment(E11342)</f>
        <v>Other</v>
      </c>
    </row>
    <row r="11343" spans="1:7" x14ac:dyDescent="0.25">
      <c r="A11343">
        <v>107552</v>
      </c>
      <c r="B11343" t="s">
        <v>4</v>
      </c>
      <c r="C11343">
        <v>4</v>
      </c>
      <c r="D11343" t="s">
        <v>5</v>
      </c>
      <c r="F11343" t="str" cm="1">
        <f t="array" ref="F11343">CategorizeComment(E11343)</f>
        <v>Other</v>
      </c>
      <c r="G11343" t="str" cm="1">
        <f t="array" ref="G11343">SubCategorizeComment(E11343)</f>
        <v>Other</v>
      </c>
    </row>
    <row r="11344" spans="1:7" x14ac:dyDescent="0.25">
      <c r="A11344">
        <v>107559</v>
      </c>
      <c r="B11344" t="s">
        <v>4</v>
      </c>
      <c r="C11344">
        <v>4</v>
      </c>
      <c r="D11344" t="s">
        <v>5</v>
      </c>
      <c r="F11344" t="str" cm="1">
        <f t="array" ref="F11344">CategorizeComment(E11344)</f>
        <v>Other</v>
      </c>
      <c r="G11344" t="str" cm="1">
        <f t="array" ref="G11344">SubCategorizeComment(E11344)</f>
        <v>Other</v>
      </c>
    </row>
    <row r="11345" spans="1:7" x14ac:dyDescent="0.25">
      <c r="A11345">
        <v>107604</v>
      </c>
      <c r="B11345" t="s">
        <v>4</v>
      </c>
      <c r="C11345">
        <v>4</v>
      </c>
      <c r="D11345" t="s">
        <v>5</v>
      </c>
      <c r="F11345" t="str" cm="1">
        <f t="array" ref="F11345">CategorizeComment(E11345)</f>
        <v>Other</v>
      </c>
      <c r="G11345" t="str" cm="1">
        <f t="array" ref="G11345">SubCategorizeComment(E11345)</f>
        <v>Other</v>
      </c>
    </row>
    <row r="11346" spans="1:7" x14ac:dyDescent="0.25">
      <c r="A11346">
        <v>107608</v>
      </c>
      <c r="B11346" t="s">
        <v>4</v>
      </c>
      <c r="C11346">
        <v>4</v>
      </c>
      <c r="D11346" t="s">
        <v>5</v>
      </c>
      <c r="F11346" t="str" cm="1">
        <f t="array" ref="F11346">CategorizeComment(E11346)</f>
        <v>Other</v>
      </c>
      <c r="G11346" t="str" cm="1">
        <f t="array" ref="G11346">SubCategorizeComment(E11346)</f>
        <v>Other</v>
      </c>
    </row>
    <row r="11347" spans="1:7" x14ac:dyDescent="0.25">
      <c r="A11347">
        <v>107611</v>
      </c>
      <c r="B11347" t="s">
        <v>4</v>
      </c>
      <c r="C11347">
        <v>4</v>
      </c>
      <c r="D11347" t="s">
        <v>5</v>
      </c>
      <c r="F11347" t="str" cm="1">
        <f t="array" ref="F11347">CategorizeComment(E11347)</f>
        <v>Other</v>
      </c>
      <c r="G11347" t="str" cm="1">
        <f t="array" ref="G11347">SubCategorizeComment(E11347)</f>
        <v>Other</v>
      </c>
    </row>
    <row r="11348" spans="1:7" x14ac:dyDescent="0.25">
      <c r="A11348">
        <v>107613</v>
      </c>
      <c r="B11348" t="s">
        <v>4</v>
      </c>
      <c r="C11348">
        <v>4</v>
      </c>
      <c r="D11348" t="s">
        <v>5</v>
      </c>
      <c r="F11348" t="str" cm="1">
        <f t="array" ref="F11348">CategorizeComment(E11348)</f>
        <v>Other</v>
      </c>
      <c r="G11348" t="str" cm="1">
        <f t="array" ref="G11348">SubCategorizeComment(E11348)</f>
        <v>Other</v>
      </c>
    </row>
    <row r="11349" spans="1:7" x14ac:dyDescent="0.25">
      <c r="A11349">
        <v>107621</v>
      </c>
      <c r="B11349" t="s">
        <v>4</v>
      </c>
      <c r="C11349">
        <v>3</v>
      </c>
      <c r="D11349" t="s">
        <v>5</v>
      </c>
      <c r="F11349" t="str" cm="1">
        <f t="array" ref="F11349">CategorizeComment(E11349)</f>
        <v>Other</v>
      </c>
      <c r="G11349" t="str" cm="1">
        <f t="array" ref="G11349">SubCategorizeComment(E11349)</f>
        <v>Other</v>
      </c>
    </row>
    <row r="11350" spans="1:7" x14ac:dyDescent="0.25">
      <c r="A11350">
        <v>107644</v>
      </c>
      <c r="B11350" t="s">
        <v>4</v>
      </c>
      <c r="C11350">
        <v>3</v>
      </c>
      <c r="D11350" t="s">
        <v>5</v>
      </c>
      <c r="F11350" t="str" cm="1">
        <f t="array" ref="F11350">CategorizeComment(E11350)</f>
        <v>Other</v>
      </c>
      <c r="G11350" t="str" cm="1">
        <f t="array" ref="G11350">SubCategorizeComment(E11350)</f>
        <v>Other</v>
      </c>
    </row>
    <row r="11351" spans="1:7" x14ac:dyDescent="0.25">
      <c r="A11351">
        <v>107646</v>
      </c>
      <c r="B11351" t="s">
        <v>4</v>
      </c>
      <c r="C11351">
        <v>3</v>
      </c>
      <c r="D11351" t="s">
        <v>5</v>
      </c>
      <c r="F11351" t="str" cm="1">
        <f t="array" ref="F11351">CategorizeComment(E11351)</f>
        <v>Other</v>
      </c>
      <c r="G11351" t="str" cm="1">
        <f t="array" ref="G11351">SubCategorizeComment(E11351)</f>
        <v>Other</v>
      </c>
    </row>
    <row r="11352" spans="1:7" x14ac:dyDescent="0.25">
      <c r="A11352">
        <v>107681</v>
      </c>
      <c r="B11352" t="s">
        <v>4</v>
      </c>
      <c r="C11352">
        <v>4</v>
      </c>
      <c r="D11352" t="s">
        <v>5</v>
      </c>
      <c r="F11352" t="str" cm="1">
        <f t="array" ref="F11352">CategorizeComment(E11352)</f>
        <v>Other</v>
      </c>
      <c r="G11352" t="str" cm="1">
        <f t="array" ref="G11352">SubCategorizeComment(E11352)</f>
        <v>Other</v>
      </c>
    </row>
    <row r="11353" spans="1:7" x14ac:dyDescent="0.25">
      <c r="A11353">
        <v>107688</v>
      </c>
      <c r="B11353" t="s">
        <v>4</v>
      </c>
      <c r="C11353">
        <v>3</v>
      </c>
      <c r="D11353" t="s">
        <v>5</v>
      </c>
      <c r="F11353" t="str" cm="1">
        <f t="array" ref="F11353">CategorizeComment(E11353)</f>
        <v>Other</v>
      </c>
      <c r="G11353" t="str" cm="1">
        <f t="array" ref="G11353">SubCategorizeComment(E11353)</f>
        <v>Other</v>
      </c>
    </row>
    <row r="11354" spans="1:7" x14ac:dyDescent="0.25">
      <c r="A11354">
        <v>107690</v>
      </c>
      <c r="B11354" t="s">
        <v>4</v>
      </c>
      <c r="C11354">
        <v>4</v>
      </c>
      <c r="D11354" t="s">
        <v>5</v>
      </c>
      <c r="F11354" t="str" cm="1">
        <f t="array" ref="F11354">CategorizeComment(E11354)</f>
        <v>Other</v>
      </c>
      <c r="G11354" t="str" cm="1">
        <f t="array" ref="G11354">SubCategorizeComment(E11354)</f>
        <v>Other</v>
      </c>
    </row>
    <row r="11355" spans="1:7" x14ac:dyDescent="0.25">
      <c r="A11355">
        <v>107698</v>
      </c>
      <c r="B11355" t="s">
        <v>4</v>
      </c>
      <c r="C11355">
        <v>3</v>
      </c>
      <c r="D11355" t="s">
        <v>5</v>
      </c>
      <c r="F11355" t="str" cm="1">
        <f t="array" ref="F11355">CategorizeComment(E11355)</f>
        <v>Other</v>
      </c>
      <c r="G11355" t="str" cm="1">
        <f t="array" ref="G11355">SubCategorizeComment(E11355)</f>
        <v>Other</v>
      </c>
    </row>
    <row r="11356" spans="1:7" x14ac:dyDescent="0.25">
      <c r="A11356">
        <v>107699</v>
      </c>
      <c r="B11356" t="s">
        <v>4</v>
      </c>
      <c r="C11356">
        <v>3</v>
      </c>
      <c r="D11356" t="s">
        <v>5</v>
      </c>
      <c r="F11356" t="str" cm="1">
        <f t="array" ref="F11356">CategorizeComment(E11356)</f>
        <v>Other</v>
      </c>
      <c r="G11356" t="str" cm="1">
        <f t="array" ref="G11356">SubCategorizeComment(E11356)</f>
        <v>Other</v>
      </c>
    </row>
    <row r="11357" spans="1:7" x14ac:dyDescent="0.25">
      <c r="A11357">
        <v>107708</v>
      </c>
      <c r="B11357" t="s">
        <v>4</v>
      </c>
      <c r="C11357">
        <v>3</v>
      </c>
      <c r="D11357" t="s">
        <v>5</v>
      </c>
      <c r="F11357" t="str" cm="1">
        <f t="array" ref="F11357">CategorizeComment(E11357)</f>
        <v>Other</v>
      </c>
      <c r="G11357" t="str" cm="1">
        <f t="array" ref="G11357">SubCategorizeComment(E11357)</f>
        <v>Other</v>
      </c>
    </row>
    <row r="11358" spans="1:7" x14ac:dyDescent="0.25">
      <c r="A11358">
        <v>107712</v>
      </c>
      <c r="B11358" t="s">
        <v>4</v>
      </c>
      <c r="C11358">
        <v>4</v>
      </c>
      <c r="D11358" t="s">
        <v>5</v>
      </c>
      <c r="F11358" t="str" cm="1">
        <f t="array" ref="F11358">CategorizeComment(E11358)</f>
        <v>Other</v>
      </c>
      <c r="G11358" t="str" cm="1">
        <f t="array" ref="G11358">SubCategorizeComment(E11358)</f>
        <v>Other</v>
      </c>
    </row>
    <row r="11359" spans="1:7" x14ac:dyDescent="0.25">
      <c r="A11359">
        <v>107715</v>
      </c>
      <c r="B11359" t="s">
        <v>4</v>
      </c>
      <c r="C11359">
        <v>3</v>
      </c>
      <c r="D11359" t="s">
        <v>5</v>
      </c>
      <c r="F11359" t="str" cm="1">
        <f t="array" ref="F11359">CategorizeComment(E11359)</f>
        <v>Other</v>
      </c>
      <c r="G11359" t="str" cm="1">
        <f t="array" ref="G11359">SubCategorizeComment(E11359)</f>
        <v>Other</v>
      </c>
    </row>
    <row r="11360" spans="1:7" x14ac:dyDescent="0.25">
      <c r="A11360">
        <v>107717</v>
      </c>
      <c r="B11360" t="s">
        <v>4</v>
      </c>
      <c r="C11360">
        <v>4</v>
      </c>
      <c r="D11360" t="s">
        <v>5</v>
      </c>
      <c r="F11360" t="str" cm="1">
        <f t="array" ref="F11360">CategorizeComment(E11360)</f>
        <v>Other</v>
      </c>
      <c r="G11360" t="str" cm="1">
        <f t="array" ref="G11360">SubCategorizeComment(E11360)</f>
        <v>Other</v>
      </c>
    </row>
    <row r="11361" spans="1:7" x14ac:dyDescent="0.25">
      <c r="A11361">
        <v>107720</v>
      </c>
      <c r="B11361" t="s">
        <v>4</v>
      </c>
      <c r="C11361">
        <v>4</v>
      </c>
      <c r="D11361" t="s">
        <v>5</v>
      </c>
      <c r="F11361" t="str" cm="1">
        <f t="array" ref="F11361">CategorizeComment(E11361)</f>
        <v>Other</v>
      </c>
      <c r="G11361" t="str" cm="1">
        <f t="array" ref="G11361">SubCategorizeComment(E11361)</f>
        <v>Other</v>
      </c>
    </row>
    <row r="11362" spans="1:7" x14ac:dyDescent="0.25">
      <c r="A11362">
        <v>107721</v>
      </c>
      <c r="B11362" t="s">
        <v>4</v>
      </c>
      <c r="C11362">
        <v>4</v>
      </c>
      <c r="D11362" t="s">
        <v>5</v>
      </c>
      <c r="F11362" t="str" cm="1">
        <f t="array" ref="F11362">CategorizeComment(E11362)</f>
        <v>Other</v>
      </c>
      <c r="G11362" t="str" cm="1">
        <f t="array" ref="G11362">SubCategorizeComment(E11362)</f>
        <v>Other</v>
      </c>
    </row>
    <row r="11363" spans="1:7" x14ac:dyDescent="0.25">
      <c r="A11363">
        <v>107726</v>
      </c>
      <c r="B11363" t="s">
        <v>4</v>
      </c>
      <c r="C11363">
        <v>3</v>
      </c>
      <c r="D11363" t="s">
        <v>5</v>
      </c>
      <c r="F11363" t="str" cm="1">
        <f t="array" ref="F11363">CategorizeComment(E11363)</f>
        <v>Other</v>
      </c>
      <c r="G11363" t="str" cm="1">
        <f t="array" ref="G11363">SubCategorizeComment(E11363)</f>
        <v>Other</v>
      </c>
    </row>
    <row r="11364" spans="1:7" x14ac:dyDescent="0.25">
      <c r="A11364">
        <v>107738</v>
      </c>
      <c r="B11364" t="s">
        <v>4</v>
      </c>
      <c r="C11364">
        <v>3</v>
      </c>
      <c r="D11364" t="s">
        <v>5</v>
      </c>
      <c r="F11364" t="str" cm="1">
        <f t="array" ref="F11364">CategorizeComment(E11364)</f>
        <v>Other</v>
      </c>
      <c r="G11364" t="str" cm="1">
        <f t="array" ref="G11364">SubCategorizeComment(E11364)</f>
        <v>Other</v>
      </c>
    </row>
    <row r="11365" spans="1:7" x14ac:dyDescent="0.25">
      <c r="A11365">
        <v>107751</v>
      </c>
      <c r="B11365" t="s">
        <v>4</v>
      </c>
      <c r="C11365">
        <v>4</v>
      </c>
      <c r="D11365" t="s">
        <v>5</v>
      </c>
      <c r="F11365" t="str" cm="1">
        <f t="array" ref="F11365">CategorizeComment(E11365)</f>
        <v>Other</v>
      </c>
      <c r="G11365" t="str" cm="1">
        <f t="array" ref="G11365">SubCategorizeComment(E11365)</f>
        <v>Other</v>
      </c>
    </row>
    <row r="11366" spans="1:7" x14ac:dyDescent="0.25">
      <c r="A11366">
        <v>107775</v>
      </c>
      <c r="B11366" t="s">
        <v>4</v>
      </c>
      <c r="C11366">
        <v>4</v>
      </c>
      <c r="D11366" t="s">
        <v>5</v>
      </c>
      <c r="F11366" t="str" cm="1">
        <f t="array" ref="F11366">CategorizeComment(E11366)</f>
        <v>Other</v>
      </c>
      <c r="G11366" t="str" cm="1">
        <f t="array" ref="G11366">SubCategorizeComment(E11366)</f>
        <v>Other</v>
      </c>
    </row>
    <row r="11367" spans="1:7" x14ac:dyDescent="0.25">
      <c r="A11367">
        <v>107784</v>
      </c>
      <c r="B11367" t="s">
        <v>4</v>
      </c>
      <c r="C11367">
        <v>3</v>
      </c>
      <c r="D11367" t="s">
        <v>5</v>
      </c>
      <c r="F11367" t="str" cm="1">
        <f t="array" ref="F11367">CategorizeComment(E11367)</f>
        <v>Other</v>
      </c>
      <c r="G11367" t="str" cm="1">
        <f t="array" ref="G11367">SubCategorizeComment(E11367)</f>
        <v>Other</v>
      </c>
    </row>
    <row r="11368" spans="1:7" x14ac:dyDescent="0.25">
      <c r="A11368">
        <v>107787</v>
      </c>
      <c r="B11368" t="s">
        <v>4</v>
      </c>
      <c r="C11368">
        <v>3</v>
      </c>
      <c r="D11368" t="s">
        <v>5</v>
      </c>
      <c r="F11368" t="str" cm="1">
        <f t="array" ref="F11368">CategorizeComment(E11368)</f>
        <v>Other</v>
      </c>
      <c r="G11368" t="str" cm="1">
        <f t="array" ref="G11368">SubCategorizeComment(E11368)</f>
        <v>Other</v>
      </c>
    </row>
    <row r="11369" spans="1:7" x14ac:dyDescent="0.25">
      <c r="A11369">
        <v>107793</v>
      </c>
      <c r="B11369" t="s">
        <v>4</v>
      </c>
      <c r="C11369">
        <v>4</v>
      </c>
      <c r="D11369" t="s">
        <v>5</v>
      </c>
      <c r="F11369" t="str" cm="1">
        <f t="array" ref="F11369">CategorizeComment(E11369)</f>
        <v>Other</v>
      </c>
      <c r="G11369" t="str" cm="1">
        <f t="array" ref="G11369">SubCategorizeComment(E11369)</f>
        <v>Other</v>
      </c>
    </row>
    <row r="11370" spans="1:7" x14ac:dyDescent="0.25">
      <c r="A11370">
        <v>107815</v>
      </c>
      <c r="B11370" t="s">
        <v>4</v>
      </c>
      <c r="C11370">
        <v>4</v>
      </c>
      <c r="D11370" t="s">
        <v>5</v>
      </c>
      <c r="F11370" t="str" cm="1">
        <f t="array" ref="F11370">CategorizeComment(E11370)</f>
        <v>Other</v>
      </c>
      <c r="G11370" t="str" cm="1">
        <f t="array" ref="G11370">SubCategorizeComment(E11370)</f>
        <v>Other</v>
      </c>
    </row>
    <row r="11371" spans="1:7" x14ac:dyDescent="0.25">
      <c r="A11371">
        <v>107818</v>
      </c>
      <c r="B11371" t="s">
        <v>4</v>
      </c>
      <c r="C11371">
        <v>4</v>
      </c>
      <c r="D11371" t="s">
        <v>5</v>
      </c>
      <c r="F11371" t="str" cm="1">
        <f t="array" ref="F11371">CategorizeComment(E11371)</f>
        <v>Other</v>
      </c>
      <c r="G11371" t="str" cm="1">
        <f t="array" ref="G11371">SubCategorizeComment(E11371)</f>
        <v>Other</v>
      </c>
    </row>
    <row r="11372" spans="1:7" x14ac:dyDescent="0.25">
      <c r="A11372">
        <v>107839</v>
      </c>
      <c r="B11372" t="s">
        <v>4</v>
      </c>
      <c r="C11372">
        <v>3</v>
      </c>
      <c r="D11372" t="s">
        <v>5</v>
      </c>
      <c r="F11372" t="str" cm="1">
        <f t="array" ref="F11372">CategorizeComment(E11372)</f>
        <v>Other</v>
      </c>
      <c r="G11372" t="str" cm="1">
        <f t="array" ref="G11372">SubCategorizeComment(E11372)</f>
        <v>Other</v>
      </c>
    </row>
    <row r="11373" spans="1:7" x14ac:dyDescent="0.25">
      <c r="A11373">
        <v>107846</v>
      </c>
      <c r="B11373" t="s">
        <v>4</v>
      </c>
      <c r="C11373">
        <v>3</v>
      </c>
      <c r="D11373" t="s">
        <v>5</v>
      </c>
      <c r="F11373" t="str" cm="1">
        <f t="array" ref="F11373">CategorizeComment(E11373)</f>
        <v>Other</v>
      </c>
      <c r="G11373" t="str" cm="1">
        <f t="array" ref="G11373">SubCategorizeComment(E11373)</f>
        <v>Other</v>
      </c>
    </row>
    <row r="11374" spans="1:7" x14ac:dyDescent="0.25">
      <c r="A11374">
        <v>107847</v>
      </c>
      <c r="B11374" t="s">
        <v>4</v>
      </c>
      <c r="C11374">
        <v>4</v>
      </c>
      <c r="D11374" t="s">
        <v>5</v>
      </c>
      <c r="F11374" t="str" cm="1">
        <f t="array" ref="F11374">CategorizeComment(E11374)</f>
        <v>Other</v>
      </c>
      <c r="G11374" t="str" cm="1">
        <f t="array" ref="G11374">SubCategorizeComment(E11374)</f>
        <v>Other</v>
      </c>
    </row>
    <row r="11375" spans="1:7" x14ac:dyDescent="0.25">
      <c r="A11375">
        <v>107851</v>
      </c>
      <c r="B11375" t="s">
        <v>4</v>
      </c>
      <c r="C11375">
        <v>3</v>
      </c>
      <c r="D11375" t="s">
        <v>5</v>
      </c>
      <c r="F11375" t="str" cm="1">
        <f t="array" ref="F11375">CategorizeComment(E11375)</f>
        <v>Other</v>
      </c>
      <c r="G11375" t="str" cm="1">
        <f t="array" ref="G11375">SubCategorizeComment(E11375)</f>
        <v>Other</v>
      </c>
    </row>
    <row r="11376" spans="1:7" x14ac:dyDescent="0.25">
      <c r="A11376">
        <v>107860</v>
      </c>
      <c r="B11376" t="s">
        <v>4</v>
      </c>
      <c r="C11376">
        <v>4</v>
      </c>
      <c r="D11376" t="s">
        <v>5</v>
      </c>
      <c r="F11376" t="str" cm="1">
        <f t="array" ref="F11376">CategorizeComment(E11376)</f>
        <v>Other</v>
      </c>
      <c r="G11376" t="str" cm="1">
        <f t="array" ref="G11376">SubCategorizeComment(E11376)</f>
        <v>Other</v>
      </c>
    </row>
    <row r="11377" spans="1:7" x14ac:dyDescent="0.25">
      <c r="A11377">
        <v>107868</v>
      </c>
      <c r="B11377" t="s">
        <v>4</v>
      </c>
      <c r="C11377">
        <v>4</v>
      </c>
      <c r="D11377" t="s">
        <v>5</v>
      </c>
      <c r="F11377" t="str" cm="1">
        <f t="array" ref="F11377">CategorizeComment(E11377)</f>
        <v>Other</v>
      </c>
      <c r="G11377" t="str" cm="1">
        <f t="array" ref="G11377">SubCategorizeComment(E11377)</f>
        <v>Other</v>
      </c>
    </row>
    <row r="11378" spans="1:7" x14ac:dyDescent="0.25">
      <c r="A11378">
        <v>107880</v>
      </c>
      <c r="B11378" t="s">
        <v>4</v>
      </c>
      <c r="C11378">
        <v>4</v>
      </c>
      <c r="D11378" t="s">
        <v>5</v>
      </c>
      <c r="F11378" t="str" cm="1">
        <f t="array" ref="F11378">CategorizeComment(E11378)</f>
        <v>Other</v>
      </c>
      <c r="G11378" t="str" cm="1">
        <f t="array" ref="G11378">SubCategorizeComment(E11378)</f>
        <v>Other</v>
      </c>
    </row>
    <row r="11379" spans="1:7" x14ac:dyDescent="0.25">
      <c r="A11379">
        <v>107881</v>
      </c>
      <c r="B11379" t="s">
        <v>4</v>
      </c>
      <c r="C11379">
        <v>3</v>
      </c>
      <c r="D11379" t="s">
        <v>5</v>
      </c>
      <c r="F11379" t="str" cm="1">
        <f t="array" ref="F11379">CategorizeComment(E11379)</f>
        <v>Other</v>
      </c>
      <c r="G11379" t="str" cm="1">
        <f t="array" ref="G11379">SubCategorizeComment(E11379)</f>
        <v>Other</v>
      </c>
    </row>
    <row r="11380" spans="1:7" x14ac:dyDescent="0.25">
      <c r="A11380">
        <v>107903</v>
      </c>
      <c r="B11380" t="s">
        <v>4</v>
      </c>
      <c r="C11380">
        <v>4</v>
      </c>
      <c r="D11380" t="s">
        <v>5</v>
      </c>
      <c r="F11380" t="str" cm="1">
        <f t="array" ref="F11380">CategorizeComment(E11380)</f>
        <v>Other</v>
      </c>
      <c r="G11380" t="str" cm="1">
        <f t="array" ref="G11380">SubCategorizeComment(E11380)</f>
        <v>Other</v>
      </c>
    </row>
    <row r="11381" spans="1:7" x14ac:dyDescent="0.25">
      <c r="A11381">
        <v>107915</v>
      </c>
      <c r="B11381" t="s">
        <v>4</v>
      </c>
      <c r="C11381">
        <v>4</v>
      </c>
      <c r="D11381" t="s">
        <v>5</v>
      </c>
      <c r="F11381" t="str" cm="1">
        <f t="array" ref="F11381">CategorizeComment(E11381)</f>
        <v>Other</v>
      </c>
      <c r="G11381" t="str" cm="1">
        <f t="array" ref="G11381">SubCategorizeComment(E11381)</f>
        <v>Other</v>
      </c>
    </row>
    <row r="11382" spans="1:7" x14ac:dyDescent="0.25">
      <c r="A11382">
        <v>107916</v>
      </c>
      <c r="B11382" t="s">
        <v>4</v>
      </c>
      <c r="C11382">
        <v>4</v>
      </c>
      <c r="D11382" t="s">
        <v>5</v>
      </c>
      <c r="F11382" t="str" cm="1">
        <f t="array" ref="F11382">CategorizeComment(E11382)</f>
        <v>Other</v>
      </c>
      <c r="G11382" t="str" cm="1">
        <f t="array" ref="G11382">SubCategorizeComment(E11382)</f>
        <v>Other</v>
      </c>
    </row>
    <row r="11383" spans="1:7" x14ac:dyDescent="0.25">
      <c r="A11383">
        <v>107928</v>
      </c>
      <c r="B11383" t="s">
        <v>4</v>
      </c>
      <c r="C11383">
        <v>3</v>
      </c>
      <c r="D11383" t="s">
        <v>5</v>
      </c>
      <c r="F11383" t="str" cm="1">
        <f t="array" ref="F11383">CategorizeComment(E11383)</f>
        <v>Other</v>
      </c>
      <c r="G11383" t="str" cm="1">
        <f t="array" ref="G11383">SubCategorizeComment(E11383)</f>
        <v>Other</v>
      </c>
    </row>
    <row r="11384" spans="1:7" x14ac:dyDescent="0.25">
      <c r="A11384">
        <v>107931</v>
      </c>
      <c r="B11384" t="s">
        <v>4</v>
      </c>
      <c r="C11384">
        <v>4</v>
      </c>
      <c r="D11384" t="s">
        <v>5</v>
      </c>
      <c r="F11384" t="str" cm="1">
        <f t="array" ref="F11384">CategorizeComment(E11384)</f>
        <v>Other</v>
      </c>
      <c r="G11384" t="str" cm="1">
        <f t="array" ref="G11384">SubCategorizeComment(E11384)</f>
        <v>Other</v>
      </c>
    </row>
    <row r="11385" spans="1:7" x14ac:dyDescent="0.25">
      <c r="A11385">
        <v>107934</v>
      </c>
      <c r="B11385" t="s">
        <v>4</v>
      </c>
      <c r="C11385">
        <v>4</v>
      </c>
      <c r="D11385" t="s">
        <v>5</v>
      </c>
      <c r="F11385" t="str" cm="1">
        <f t="array" ref="F11385">CategorizeComment(E11385)</f>
        <v>Other</v>
      </c>
      <c r="G11385" t="str" cm="1">
        <f t="array" ref="G11385">SubCategorizeComment(E11385)</f>
        <v>Other</v>
      </c>
    </row>
    <row r="11386" spans="1:7" x14ac:dyDescent="0.25">
      <c r="A11386">
        <v>107943</v>
      </c>
      <c r="B11386" t="s">
        <v>4</v>
      </c>
      <c r="C11386">
        <v>3</v>
      </c>
      <c r="D11386" t="s">
        <v>5</v>
      </c>
      <c r="F11386" t="str" cm="1">
        <f t="array" ref="F11386">CategorizeComment(E11386)</f>
        <v>Other</v>
      </c>
      <c r="G11386" t="str" cm="1">
        <f t="array" ref="G11386">SubCategorizeComment(E11386)</f>
        <v>Other</v>
      </c>
    </row>
    <row r="11387" spans="1:7" x14ac:dyDescent="0.25">
      <c r="A11387">
        <v>107952</v>
      </c>
      <c r="B11387" t="s">
        <v>4</v>
      </c>
      <c r="C11387">
        <v>4</v>
      </c>
      <c r="D11387" t="s">
        <v>5</v>
      </c>
      <c r="F11387" t="str" cm="1">
        <f t="array" ref="F11387">CategorizeComment(E11387)</f>
        <v>Other</v>
      </c>
      <c r="G11387" t="str" cm="1">
        <f t="array" ref="G11387">SubCategorizeComment(E11387)</f>
        <v>Other</v>
      </c>
    </row>
    <row r="11388" spans="1:7" x14ac:dyDescent="0.25">
      <c r="A11388">
        <v>107969</v>
      </c>
      <c r="B11388" t="s">
        <v>4</v>
      </c>
      <c r="C11388">
        <v>4</v>
      </c>
      <c r="D11388" t="s">
        <v>5</v>
      </c>
      <c r="F11388" t="str" cm="1">
        <f t="array" ref="F11388">CategorizeComment(E11388)</f>
        <v>Other</v>
      </c>
      <c r="G11388" t="str" cm="1">
        <f t="array" ref="G11388">SubCategorizeComment(E11388)</f>
        <v>Other</v>
      </c>
    </row>
    <row r="11389" spans="1:7" x14ac:dyDescent="0.25">
      <c r="A11389">
        <v>107974</v>
      </c>
      <c r="B11389" t="s">
        <v>4</v>
      </c>
      <c r="C11389">
        <v>3</v>
      </c>
      <c r="D11389" t="s">
        <v>5</v>
      </c>
      <c r="F11389" t="str" cm="1">
        <f t="array" ref="F11389">CategorizeComment(E11389)</f>
        <v>Other</v>
      </c>
      <c r="G11389" t="str" cm="1">
        <f t="array" ref="G11389">SubCategorizeComment(E11389)</f>
        <v>Other</v>
      </c>
    </row>
    <row r="11390" spans="1:7" x14ac:dyDescent="0.25">
      <c r="A11390">
        <v>107983</v>
      </c>
      <c r="B11390" t="s">
        <v>4</v>
      </c>
      <c r="C11390">
        <v>4</v>
      </c>
      <c r="D11390" t="s">
        <v>5</v>
      </c>
      <c r="F11390" t="str" cm="1">
        <f t="array" ref="F11390">CategorizeComment(E11390)</f>
        <v>Other</v>
      </c>
      <c r="G11390" t="str" cm="1">
        <f t="array" ref="G11390">SubCategorizeComment(E11390)</f>
        <v>Other</v>
      </c>
    </row>
    <row r="11391" spans="1:7" x14ac:dyDescent="0.25">
      <c r="A11391">
        <v>107990</v>
      </c>
      <c r="B11391" t="s">
        <v>4</v>
      </c>
      <c r="C11391">
        <v>3</v>
      </c>
      <c r="D11391" t="s">
        <v>5</v>
      </c>
      <c r="F11391" t="str" cm="1">
        <f t="array" ref="F11391">CategorizeComment(E11391)</f>
        <v>Other</v>
      </c>
      <c r="G11391" t="str" cm="1">
        <f t="array" ref="G11391">SubCategorizeComment(E11391)</f>
        <v>Other</v>
      </c>
    </row>
    <row r="11392" spans="1:7" x14ac:dyDescent="0.25">
      <c r="A11392">
        <v>108000</v>
      </c>
      <c r="B11392" t="s">
        <v>4</v>
      </c>
      <c r="C11392">
        <v>3</v>
      </c>
      <c r="D11392" t="s">
        <v>5</v>
      </c>
      <c r="F11392" t="str" cm="1">
        <f t="array" ref="F11392">CategorizeComment(E11392)</f>
        <v>Other</v>
      </c>
      <c r="G11392" t="str" cm="1">
        <f t="array" ref="G11392">SubCategorizeComment(E11392)</f>
        <v>Other</v>
      </c>
    </row>
    <row r="11393" spans="1:7" x14ac:dyDescent="0.25">
      <c r="A11393">
        <v>108008</v>
      </c>
      <c r="B11393" t="s">
        <v>4</v>
      </c>
      <c r="C11393">
        <v>3</v>
      </c>
      <c r="D11393" t="s">
        <v>5</v>
      </c>
      <c r="F11393" t="str" cm="1">
        <f t="array" ref="F11393">CategorizeComment(E11393)</f>
        <v>Other</v>
      </c>
      <c r="G11393" t="str" cm="1">
        <f t="array" ref="G11393">SubCategorizeComment(E11393)</f>
        <v>Other</v>
      </c>
    </row>
    <row r="11394" spans="1:7" x14ac:dyDescent="0.25">
      <c r="A11394">
        <v>108028</v>
      </c>
      <c r="B11394" t="s">
        <v>4</v>
      </c>
      <c r="C11394">
        <v>3</v>
      </c>
      <c r="D11394" t="s">
        <v>5</v>
      </c>
      <c r="F11394" t="str" cm="1">
        <f t="array" ref="F11394">CategorizeComment(E11394)</f>
        <v>Other</v>
      </c>
      <c r="G11394" t="str" cm="1">
        <f t="array" ref="G11394">SubCategorizeComment(E11394)</f>
        <v>Other</v>
      </c>
    </row>
    <row r="11395" spans="1:7" x14ac:dyDescent="0.25">
      <c r="A11395">
        <v>108038</v>
      </c>
      <c r="B11395" t="s">
        <v>4</v>
      </c>
      <c r="C11395">
        <v>3</v>
      </c>
      <c r="D11395" t="s">
        <v>5</v>
      </c>
      <c r="F11395" t="str" cm="1">
        <f t="array" ref="F11395">CategorizeComment(E11395)</f>
        <v>Other</v>
      </c>
      <c r="G11395" t="str" cm="1">
        <f t="array" ref="G11395">SubCategorizeComment(E11395)</f>
        <v>Other</v>
      </c>
    </row>
    <row r="11396" spans="1:7" x14ac:dyDescent="0.25">
      <c r="A11396">
        <v>108042</v>
      </c>
      <c r="B11396" t="s">
        <v>4</v>
      </c>
      <c r="C11396">
        <v>4</v>
      </c>
      <c r="D11396" t="s">
        <v>5</v>
      </c>
      <c r="F11396" t="str" cm="1">
        <f t="array" ref="F11396">CategorizeComment(E11396)</f>
        <v>Other</v>
      </c>
      <c r="G11396" t="str" cm="1">
        <f t="array" ref="G11396">SubCategorizeComment(E11396)</f>
        <v>Other</v>
      </c>
    </row>
    <row r="11397" spans="1:7" x14ac:dyDescent="0.25">
      <c r="A11397">
        <v>108047</v>
      </c>
      <c r="B11397" t="s">
        <v>4</v>
      </c>
      <c r="C11397">
        <v>4</v>
      </c>
      <c r="D11397" t="s">
        <v>5</v>
      </c>
      <c r="F11397" t="str" cm="1">
        <f t="array" ref="F11397">CategorizeComment(E11397)</f>
        <v>Other</v>
      </c>
      <c r="G11397" t="str" cm="1">
        <f t="array" ref="G11397">SubCategorizeComment(E11397)</f>
        <v>Other</v>
      </c>
    </row>
    <row r="11398" spans="1:7" x14ac:dyDescent="0.25">
      <c r="A11398">
        <v>108066</v>
      </c>
      <c r="B11398" t="s">
        <v>4</v>
      </c>
      <c r="C11398">
        <v>3</v>
      </c>
      <c r="D11398" t="s">
        <v>5</v>
      </c>
      <c r="F11398" t="str" cm="1">
        <f t="array" ref="F11398">CategorizeComment(E11398)</f>
        <v>Other</v>
      </c>
      <c r="G11398" t="str" cm="1">
        <f t="array" ref="G11398">SubCategorizeComment(E11398)</f>
        <v>Other</v>
      </c>
    </row>
    <row r="11399" spans="1:7" x14ac:dyDescent="0.25">
      <c r="A11399">
        <v>108082</v>
      </c>
      <c r="B11399" t="s">
        <v>4</v>
      </c>
      <c r="C11399">
        <v>3</v>
      </c>
      <c r="D11399" t="s">
        <v>5</v>
      </c>
      <c r="F11399" t="str" cm="1">
        <f t="array" ref="F11399">CategorizeComment(E11399)</f>
        <v>Other</v>
      </c>
      <c r="G11399" t="str" cm="1">
        <f t="array" ref="G11399">SubCategorizeComment(E11399)</f>
        <v>Other</v>
      </c>
    </row>
    <row r="11400" spans="1:7" x14ac:dyDescent="0.25">
      <c r="A11400">
        <v>108095</v>
      </c>
      <c r="B11400" t="s">
        <v>4</v>
      </c>
      <c r="C11400">
        <v>3</v>
      </c>
      <c r="D11400" t="s">
        <v>5</v>
      </c>
      <c r="F11400" t="str" cm="1">
        <f t="array" ref="F11400">CategorizeComment(E11400)</f>
        <v>Other</v>
      </c>
      <c r="G11400" t="str" cm="1">
        <f t="array" ref="G11400">SubCategorizeComment(E11400)</f>
        <v>Other</v>
      </c>
    </row>
    <row r="11401" spans="1:7" x14ac:dyDescent="0.25">
      <c r="A11401">
        <v>108097</v>
      </c>
      <c r="B11401" t="s">
        <v>4</v>
      </c>
      <c r="C11401">
        <v>3</v>
      </c>
      <c r="D11401" t="s">
        <v>5</v>
      </c>
      <c r="F11401" t="str" cm="1">
        <f t="array" ref="F11401">CategorizeComment(E11401)</f>
        <v>Other</v>
      </c>
      <c r="G11401" t="str" cm="1">
        <f t="array" ref="G11401">SubCategorizeComment(E11401)</f>
        <v>Other</v>
      </c>
    </row>
    <row r="11402" spans="1:7" x14ac:dyDescent="0.25">
      <c r="A11402">
        <v>108119</v>
      </c>
      <c r="B11402" t="s">
        <v>4</v>
      </c>
      <c r="C11402">
        <v>3</v>
      </c>
      <c r="D11402" t="s">
        <v>5</v>
      </c>
      <c r="F11402" t="str" cm="1">
        <f t="array" ref="F11402">CategorizeComment(E11402)</f>
        <v>Other</v>
      </c>
      <c r="G11402" t="str" cm="1">
        <f t="array" ref="G11402">SubCategorizeComment(E11402)</f>
        <v>Other</v>
      </c>
    </row>
    <row r="11403" spans="1:7" x14ac:dyDescent="0.25">
      <c r="A11403">
        <v>108126</v>
      </c>
      <c r="B11403" t="s">
        <v>4</v>
      </c>
      <c r="C11403">
        <v>4</v>
      </c>
      <c r="D11403" t="s">
        <v>5</v>
      </c>
      <c r="F11403" t="str" cm="1">
        <f t="array" ref="F11403">CategorizeComment(E11403)</f>
        <v>Other</v>
      </c>
      <c r="G11403" t="str" cm="1">
        <f t="array" ref="G11403">SubCategorizeComment(E11403)</f>
        <v>Other</v>
      </c>
    </row>
    <row r="11404" spans="1:7" x14ac:dyDescent="0.25">
      <c r="A11404">
        <v>108140</v>
      </c>
      <c r="B11404" t="s">
        <v>4</v>
      </c>
      <c r="C11404">
        <v>3</v>
      </c>
      <c r="D11404" t="s">
        <v>5</v>
      </c>
      <c r="F11404" t="str" cm="1">
        <f t="array" ref="F11404">CategorizeComment(E11404)</f>
        <v>Other</v>
      </c>
      <c r="G11404" t="str" cm="1">
        <f t="array" ref="G11404">SubCategorizeComment(E11404)</f>
        <v>Other</v>
      </c>
    </row>
    <row r="11405" spans="1:7" x14ac:dyDescent="0.25">
      <c r="A11405">
        <v>108152</v>
      </c>
      <c r="B11405" t="s">
        <v>4</v>
      </c>
      <c r="C11405">
        <v>4</v>
      </c>
      <c r="D11405" t="s">
        <v>5</v>
      </c>
      <c r="F11405" t="str" cm="1">
        <f t="array" ref="F11405">CategorizeComment(E11405)</f>
        <v>Other</v>
      </c>
      <c r="G11405" t="str" cm="1">
        <f t="array" ref="G11405">SubCategorizeComment(E11405)</f>
        <v>Other</v>
      </c>
    </row>
    <row r="11406" spans="1:7" x14ac:dyDescent="0.25">
      <c r="A11406">
        <v>108159</v>
      </c>
      <c r="B11406" t="s">
        <v>4</v>
      </c>
      <c r="C11406">
        <v>4</v>
      </c>
      <c r="D11406" t="s">
        <v>5</v>
      </c>
      <c r="F11406" t="str" cm="1">
        <f t="array" ref="F11406">CategorizeComment(E11406)</f>
        <v>Other</v>
      </c>
      <c r="G11406" t="str" cm="1">
        <f t="array" ref="G11406">SubCategorizeComment(E11406)</f>
        <v>Other</v>
      </c>
    </row>
    <row r="11407" spans="1:7" x14ac:dyDescent="0.25">
      <c r="A11407">
        <v>108163</v>
      </c>
      <c r="B11407" t="s">
        <v>4</v>
      </c>
      <c r="C11407">
        <v>4</v>
      </c>
      <c r="D11407" t="s">
        <v>5</v>
      </c>
      <c r="F11407" t="str" cm="1">
        <f t="array" ref="F11407">CategorizeComment(E11407)</f>
        <v>Other</v>
      </c>
      <c r="G11407" t="str" cm="1">
        <f t="array" ref="G11407">SubCategorizeComment(E11407)</f>
        <v>Other</v>
      </c>
    </row>
    <row r="11408" spans="1:7" x14ac:dyDescent="0.25">
      <c r="A11408">
        <v>108176</v>
      </c>
      <c r="B11408" t="s">
        <v>4</v>
      </c>
      <c r="C11408">
        <v>4</v>
      </c>
      <c r="D11408" t="s">
        <v>5</v>
      </c>
      <c r="F11408" t="str" cm="1">
        <f t="array" ref="F11408">CategorizeComment(E11408)</f>
        <v>Other</v>
      </c>
      <c r="G11408" t="str" cm="1">
        <f t="array" ref="G11408">SubCategorizeComment(E11408)</f>
        <v>Other</v>
      </c>
    </row>
    <row r="11409" spans="1:7" x14ac:dyDescent="0.25">
      <c r="A11409">
        <v>108202</v>
      </c>
      <c r="B11409" t="s">
        <v>4</v>
      </c>
      <c r="C11409">
        <v>4</v>
      </c>
      <c r="D11409" t="s">
        <v>5</v>
      </c>
      <c r="F11409" t="str" cm="1">
        <f t="array" ref="F11409">CategorizeComment(E11409)</f>
        <v>Other</v>
      </c>
      <c r="G11409" t="str" cm="1">
        <f t="array" ref="G11409">SubCategorizeComment(E11409)</f>
        <v>Other</v>
      </c>
    </row>
    <row r="11410" spans="1:7" x14ac:dyDescent="0.25">
      <c r="A11410">
        <v>108208</v>
      </c>
      <c r="B11410" t="s">
        <v>4</v>
      </c>
      <c r="C11410">
        <v>4</v>
      </c>
      <c r="D11410" t="s">
        <v>5</v>
      </c>
      <c r="F11410" t="str" cm="1">
        <f t="array" ref="F11410">CategorizeComment(E11410)</f>
        <v>Other</v>
      </c>
      <c r="G11410" t="str" cm="1">
        <f t="array" ref="G11410">SubCategorizeComment(E11410)</f>
        <v>Other</v>
      </c>
    </row>
    <row r="11411" spans="1:7" x14ac:dyDescent="0.25">
      <c r="A11411">
        <v>108214</v>
      </c>
      <c r="B11411" t="s">
        <v>4</v>
      </c>
      <c r="C11411">
        <v>4</v>
      </c>
      <c r="D11411" t="s">
        <v>5</v>
      </c>
      <c r="F11411" t="str" cm="1">
        <f t="array" ref="F11411">CategorizeComment(E11411)</f>
        <v>Other</v>
      </c>
      <c r="G11411" t="str" cm="1">
        <f t="array" ref="G11411">SubCategorizeComment(E11411)</f>
        <v>Other</v>
      </c>
    </row>
    <row r="11412" spans="1:7" x14ac:dyDescent="0.25">
      <c r="A11412">
        <v>108243</v>
      </c>
      <c r="B11412" t="s">
        <v>4</v>
      </c>
      <c r="C11412">
        <v>4</v>
      </c>
      <c r="D11412" t="s">
        <v>5</v>
      </c>
      <c r="F11412" t="str" cm="1">
        <f t="array" ref="F11412">CategorizeComment(E11412)</f>
        <v>Other</v>
      </c>
      <c r="G11412" t="str" cm="1">
        <f t="array" ref="G11412">SubCategorizeComment(E11412)</f>
        <v>Other</v>
      </c>
    </row>
    <row r="11413" spans="1:7" x14ac:dyDescent="0.25">
      <c r="A11413">
        <v>108244</v>
      </c>
      <c r="B11413" t="s">
        <v>4</v>
      </c>
      <c r="C11413">
        <v>3</v>
      </c>
      <c r="D11413" t="s">
        <v>5</v>
      </c>
      <c r="F11413" t="str" cm="1">
        <f t="array" ref="F11413">CategorizeComment(E11413)</f>
        <v>Other</v>
      </c>
      <c r="G11413" t="str" cm="1">
        <f t="array" ref="G11413">SubCategorizeComment(E11413)</f>
        <v>Other</v>
      </c>
    </row>
    <row r="11414" spans="1:7" x14ac:dyDescent="0.25">
      <c r="A11414">
        <v>108251</v>
      </c>
      <c r="B11414" t="s">
        <v>4</v>
      </c>
      <c r="C11414">
        <v>3</v>
      </c>
      <c r="D11414" t="s">
        <v>5</v>
      </c>
      <c r="F11414" t="str" cm="1">
        <f t="array" ref="F11414">CategorizeComment(E11414)</f>
        <v>Other</v>
      </c>
      <c r="G11414" t="str" cm="1">
        <f t="array" ref="G11414">SubCategorizeComment(E11414)</f>
        <v>Other</v>
      </c>
    </row>
    <row r="11415" spans="1:7" x14ac:dyDescent="0.25">
      <c r="A11415">
        <v>108255</v>
      </c>
      <c r="B11415" t="s">
        <v>4</v>
      </c>
      <c r="C11415">
        <v>4</v>
      </c>
      <c r="D11415" t="s">
        <v>5</v>
      </c>
      <c r="F11415" t="str" cm="1">
        <f t="array" ref="F11415">CategorizeComment(E11415)</f>
        <v>Other</v>
      </c>
      <c r="G11415" t="str" cm="1">
        <f t="array" ref="G11415">SubCategorizeComment(E11415)</f>
        <v>Other</v>
      </c>
    </row>
    <row r="11416" spans="1:7" x14ac:dyDescent="0.25">
      <c r="A11416">
        <v>108263</v>
      </c>
      <c r="B11416" t="s">
        <v>4</v>
      </c>
      <c r="C11416">
        <v>4</v>
      </c>
      <c r="D11416" t="s">
        <v>5</v>
      </c>
      <c r="F11416" t="str" cm="1">
        <f t="array" ref="F11416">CategorizeComment(E11416)</f>
        <v>Other</v>
      </c>
      <c r="G11416" t="str" cm="1">
        <f t="array" ref="G11416">SubCategorizeComment(E11416)</f>
        <v>Other</v>
      </c>
    </row>
    <row r="11417" spans="1:7" x14ac:dyDescent="0.25">
      <c r="A11417">
        <v>108273</v>
      </c>
      <c r="B11417" t="s">
        <v>4</v>
      </c>
      <c r="C11417">
        <v>3</v>
      </c>
      <c r="D11417" t="s">
        <v>5</v>
      </c>
      <c r="F11417" t="str" cm="1">
        <f t="array" ref="F11417">CategorizeComment(E11417)</f>
        <v>Other</v>
      </c>
      <c r="G11417" t="str" cm="1">
        <f t="array" ref="G11417">SubCategorizeComment(E11417)</f>
        <v>Other</v>
      </c>
    </row>
    <row r="11418" spans="1:7" x14ac:dyDescent="0.25">
      <c r="A11418">
        <v>108274</v>
      </c>
      <c r="B11418" t="s">
        <v>4</v>
      </c>
      <c r="C11418">
        <v>4</v>
      </c>
      <c r="D11418" t="s">
        <v>5</v>
      </c>
      <c r="F11418" t="str" cm="1">
        <f t="array" ref="F11418">CategorizeComment(E11418)</f>
        <v>Other</v>
      </c>
      <c r="G11418" t="str" cm="1">
        <f t="array" ref="G11418">SubCategorizeComment(E11418)</f>
        <v>Other</v>
      </c>
    </row>
    <row r="11419" spans="1:7" x14ac:dyDescent="0.25">
      <c r="A11419">
        <v>108278</v>
      </c>
      <c r="B11419" t="s">
        <v>4</v>
      </c>
      <c r="C11419">
        <v>3</v>
      </c>
      <c r="D11419" t="s">
        <v>5</v>
      </c>
      <c r="F11419" t="str" cm="1">
        <f t="array" ref="F11419">CategorizeComment(E11419)</f>
        <v>Other</v>
      </c>
      <c r="G11419" t="str" cm="1">
        <f t="array" ref="G11419">SubCategorizeComment(E11419)</f>
        <v>Other</v>
      </c>
    </row>
    <row r="11420" spans="1:7" x14ac:dyDescent="0.25">
      <c r="A11420">
        <v>108293</v>
      </c>
      <c r="B11420" t="s">
        <v>4</v>
      </c>
      <c r="C11420">
        <v>4</v>
      </c>
      <c r="D11420" t="s">
        <v>5</v>
      </c>
      <c r="F11420" t="str" cm="1">
        <f t="array" ref="F11420">CategorizeComment(E11420)</f>
        <v>Other</v>
      </c>
      <c r="G11420" t="str" cm="1">
        <f t="array" ref="G11420">SubCategorizeComment(E11420)</f>
        <v>Other</v>
      </c>
    </row>
    <row r="11421" spans="1:7" x14ac:dyDescent="0.25">
      <c r="A11421">
        <v>108310</v>
      </c>
      <c r="B11421" t="s">
        <v>4</v>
      </c>
      <c r="C11421">
        <v>4</v>
      </c>
      <c r="D11421" t="s">
        <v>5</v>
      </c>
      <c r="F11421" t="str" cm="1">
        <f t="array" ref="F11421">CategorizeComment(E11421)</f>
        <v>Other</v>
      </c>
      <c r="G11421" t="str" cm="1">
        <f t="array" ref="G11421">SubCategorizeComment(E11421)</f>
        <v>Other</v>
      </c>
    </row>
    <row r="11422" spans="1:7" x14ac:dyDescent="0.25">
      <c r="A11422">
        <v>108323</v>
      </c>
      <c r="B11422" t="s">
        <v>4</v>
      </c>
      <c r="C11422">
        <v>4</v>
      </c>
      <c r="D11422" t="s">
        <v>5</v>
      </c>
      <c r="F11422" t="str" cm="1">
        <f t="array" ref="F11422">CategorizeComment(E11422)</f>
        <v>Other</v>
      </c>
      <c r="G11422" t="str" cm="1">
        <f t="array" ref="G11422">SubCategorizeComment(E11422)</f>
        <v>Other</v>
      </c>
    </row>
    <row r="11423" spans="1:7" x14ac:dyDescent="0.25">
      <c r="A11423">
        <v>108324</v>
      </c>
      <c r="B11423" t="s">
        <v>4</v>
      </c>
      <c r="C11423">
        <v>3</v>
      </c>
      <c r="D11423" t="s">
        <v>5</v>
      </c>
      <c r="F11423" t="str" cm="1">
        <f t="array" ref="F11423">CategorizeComment(E11423)</f>
        <v>Other</v>
      </c>
      <c r="G11423" t="str" cm="1">
        <f t="array" ref="G11423">SubCategorizeComment(E11423)</f>
        <v>Other</v>
      </c>
    </row>
    <row r="11424" spans="1:7" x14ac:dyDescent="0.25">
      <c r="A11424">
        <v>108333</v>
      </c>
      <c r="B11424" t="s">
        <v>4</v>
      </c>
      <c r="C11424">
        <v>4</v>
      </c>
      <c r="D11424" t="s">
        <v>5</v>
      </c>
      <c r="F11424" t="str" cm="1">
        <f t="array" ref="F11424">CategorizeComment(E11424)</f>
        <v>Other</v>
      </c>
      <c r="G11424" t="str" cm="1">
        <f t="array" ref="G11424">SubCategorizeComment(E11424)</f>
        <v>Other</v>
      </c>
    </row>
    <row r="11425" spans="1:7" x14ac:dyDescent="0.25">
      <c r="A11425">
        <v>108334</v>
      </c>
      <c r="B11425" t="s">
        <v>4</v>
      </c>
      <c r="C11425">
        <v>3</v>
      </c>
      <c r="D11425" t="s">
        <v>5</v>
      </c>
      <c r="F11425" t="str" cm="1">
        <f t="array" ref="F11425">CategorizeComment(E11425)</f>
        <v>Other</v>
      </c>
      <c r="G11425" t="str" cm="1">
        <f t="array" ref="G11425">SubCategorizeComment(E11425)</f>
        <v>Other</v>
      </c>
    </row>
    <row r="11426" spans="1:7" x14ac:dyDescent="0.25">
      <c r="A11426">
        <v>108344</v>
      </c>
      <c r="B11426" t="s">
        <v>4</v>
      </c>
      <c r="C11426">
        <v>3</v>
      </c>
      <c r="D11426" t="s">
        <v>5</v>
      </c>
      <c r="F11426" t="str" cm="1">
        <f t="array" ref="F11426">CategorizeComment(E11426)</f>
        <v>Other</v>
      </c>
      <c r="G11426" t="str" cm="1">
        <f t="array" ref="G11426">SubCategorizeComment(E11426)</f>
        <v>Other</v>
      </c>
    </row>
    <row r="11427" spans="1:7" x14ac:dyDescent="0.25">
      <c r="A11427">
        <v>108347</v>
      </c>
      <c r="B11427" t="s">
        <v>4</v>
      </c>
      <c r="C11427">
        <v>3</v>
      </c>
      <c r="D11427" t="s">
        <v>5</v>
      </c>
      <c r="F11427" t="str" cm="1">
        <f t="array" ref="F11427">CategorizeComment(E11427)</f>
        <v>Other</v>
      </c>
      <c r="G11427" t="str" cm="1">
        <f t="array" ref="G11427">SubCategorizeComment(E11427)</f>
        <v>Other</v>
      </c>
    </row>
    <row r="11428" spans="1:7" x14ac:dyDescent="0.25">
      <c r="A11428">
        <v>108349</v>
      </c>
      <c r="B11428" t="s">
        <v>4</v>
      </c>
      <c r="C11428">
        <v>3</v>
      </c>
      <c r="D11428" t="s">
        <v>5</v>
      </c>
      <c r="F11428" t="str" cm="1">
        <f t="array" ref="F11428">CategorizeComment(E11428)</f>
        <v>Other</v>
      </c>
      <c r="G11428" t="str" cm="1">
        <f t="array" ref="G11428">SubCategorizeComment(E11428)</f>
        <v>Other</v>
      </c>
    </row>
    <row r="11429" spans="1:7" x14ac:dyDescent="0.25">
      <c r="A11429">
        <v>108350</v>
      </c>
      <c r="B11429" t="s">
        <v>4</v>
      </c>
      <c r="C11429">
        <v>4</v>
      </c>
      <c r="D11429" t="s">
        <v>5</v>
      </c>
      <c r="F11429" t="str" cm="1">
        <f t="array" ref="F11429">CategorizeComment(E11429)</f>
        <v>Other</v>
      </c>
      <c r="G11429" t="str" cm="1">
        <f t="array" ref="G11429">SubCategorizeComment(E11429)</f>
        <v>Other</v>
      </c>
    </row>
    <row r="11430" spans="1:7" x14ac:dyDescent="0.25">
      <c r="A11430">
        <v>108352</v>
      </c>
      <c r="B11430" t="s">
        <v>4</v>
      </c>
      <c r="C11430">
        <v>3</v>
      </c>
      <c r="D11430" t="s">
        <v>5</v>
      </c>
      <c r="F11430" t="str" cm="1">
        <f t="array" ref="F11430">CategorizeComment(E11430)</f>
        <v>Other</v>
      </c>
      <c r="G11430" t="str" cm="1">
        <f t="array" ref="G11430">SubCategorizeComment(E11430)</f>
        <v>Other</v>
      </c>
    </row>
    <row r="11431" spans="1:7" x14ac:dyDescent="0.25">
      <c r="A11431">
        <v>108359</v>
      </c>
      <c r="B11431" t="s">
        <v>4</v>
      </c>
      <c r="C11431">
        <v>4</v>
      </c>
      <c r="D11431" t="s">
        <v>5</v>
      </c>
      <c r="F11431" t="str" cm="1">
        <f t="array" ref="F11431">CategorizeComment(E11431)</f>
        <v>Other</v>
      </c>
      <c r="G11431" t="str" cm="1">
        <f t="array" ref="G11431">SubCategorizeComment(E11431)</f>
        <v>Other</v>
      </c>
    </row>
    <row r="11432" spans="1:7" x14ac:dyDescent="0.25">
      <c r="A11432">
        <v>108362</v>
      </c>
      <c r="B11432" t="s">
        <v>4</v>
      </c>
      <c r="C11432">
        <v>3</v>
      </c>
      <c r="D11432" t="s">
        <v>5</v>
      </c>
      <c r="F11432" t="str" cm="1">
        <f t="array" ref="F11432">CategorizeComment(E11432)</f>
        <v>Other</v>
      </c>
      <c r="G11432" t="str" cm="1">
        <f t="array" ref="G11432">SubCategorizeComment(E11432)</f>
        <v>Other</v>
      </c>
    </row>
    <row r="11433" spans="1:7" x14ac:dyDescent="0.25">
      <c r="A11433">
        <v>108368</v>
      </c>
      <c r="B11433" t="s">
        <v>4</v>
      </c>
      <c r="C11433">
        <v>4</v>
      </c>
      <c r="D11433" t="s">
        <v>5</v>
      </c>
      <c r="F11433" t="str" cm="1">
        <f t="array" ref="F11433">CategorizeComment(E11433)</f>
        <v>Other</v>
      </c>
      <c r="G11433" t="str" cm="1">
        <f t="array" ref="G11433">SubCategorizeComment(E11433)</f>
        <v>Other</v>
      </c>
    </row>
    <row r="11434" spans="1:7" x14ac:dyDescent="0.25">
      <c r="A11434">
        <v>108370</v>
      </c>
      <c r="B11434" t="s">
        <v>4</v>
      </c>
      <c r="C11434">
        <v>4</v>
      </c>
      <c r="D11434" t="s">
        <v>5</v>
      </c>
      <c r="F11434" t="str" cm="1">
        <f t="array" ref="F11434">CategorizeComment(E11434)</f>
        <v>Other</v>
      </c>
      <c r="G11434" t="str" cm="1">
        <f t="array" ref="G11434">SubCategorizeComment(E11434)</f>
        <v>Other</v>
      </c>
    </row>
    <row r="11435" spans="1:7" x14ac:dyDescent="0.25">
      <c r="A11435">
        <v>108382</v>
      </c>
      <c r="B11435" t="s">
        <v>4</v>
      </c>
      <c r="C11435">
        <v>4</v>
      </c>
      <c r="D11435" t="s">
        <v>5</v>
      </c>
      <c r="F11435" t="str" cm="1">
        <f t="array" ref="F11435">CategorizeComment(E11435)</f>
        <v>Other</v>
      </c>
      <c r="G11435" t="str" cm="1">
        <f t="array" ref="G11435">SubCategorizeComment(E11435)</f>
        <v>Other</v>
      </c>
    </row>
    <row r="11436" spans="1:7" x14ac:dyDescent="0.25">
      <c r="A11436">
        <v>108384</v>
      </c>
      <c r="B11436" t="s">
        <v>4</v>
      </c>
      <c r="C11436">
        <v>4</v>
      </c>
      <c r="D11436" t="s">
        <v>5</v>
      </c>
      <c r="F11436" t="str" cm="1">
        <f t="array" ref="F11436">CategorizeComment(E11436)</f>
        <v>Other</v>
      </c>
      <c r="G11436" t="str" cm="1">
        <f t="array" ref="G11436">SubCategorizeComment(E11436)</f>
        <v>Other</v>
      </c>
    </row>
    <row r="11437" spans="1:7" x14ac:dyDescent="0.25">
      <c r="A11437">
        <v>108389</v>
      </c>
      <c r="B11437" t="s">
        <v>4</v>
      </c>
      <c r="C11437">
        <v>3</v>
      </c>
      <c r="D11437" t="s">
        <v>5</v>
      </c>
      <c r="F11437" t="str" cm="1">
        <f t="array" ref="F11437">CategorizeComment(E11437)</f>
        <v>Other</v>
      </c>
      <c r="G11437" t="str" cm="1">
        <f t="array" ref="G11437">SubCategorizeComment(E11437)</f>
        <v>Other</v>
      </c>
    </row>
    <row r="11438" spans="1:7" x14ac:dyDescent="0.25">
      <c r="A11438">
        <v>108397</v>
      </c>
      <c r="B11438" t="s">
        <v>4</v>
      </c>
      <c r="C11438">
        <v>4</v>
      </c>
      <c r="D11438" t="s">
        <v>5</v>
      </c>
      <c r="F11438" t="str" cm="1">
        <f t="array" ref="F11438">CategorizeComment(E11438)</f>
        <v>Other</v>
      </c>
      <c r="G11438" t="str" cm="1">
        <f t="array" ref="G11438">SubCategorizeComment(E11438)</f>
        <v>Other</v>
      </c>
    </row>
    <row r="11439" spans="1:7" x14ac:dyDescent="0.25">
      <c r="A11439">
        <v>108399</v>
      </c>
      <c r="B11439" t="s">
        <v>4</v>
      </c>
      <c r="C11439">
        <v>4</v>
      </c>
      <c r="D11439" t="s">
        <v>5</v>
      </c>
      <c r="F11439" t="str" cm="1">
        <f t="array" ref="F11439">CategorizeComment(E11439)</f>
        <v>Other</v>
      </c>
      <c r="G11439" t="str" cm="1">
        <f t="array" ref="G11439">SubCategorizeComment(E11439)</f>
        <v>Other</v>
      </c>
    </row>
    <row r="11440" spans="1:7" x14ac:dyDescent="0.25">
      <c r="A11440">
        <v>108400</v>
      </c>
      <c r="B11440" t="s">
        <v>4</v>
      </c>
      <c r="C11440">
        <v>3</v>
      </c>
      <c r="D11440" t="s">
        <v>5</v>
      </c>
      <c r="F11440" t="str" cm="1">
        <f t="array" ref="F11440">CategorizeComment(E11440)</f>
        <v>Other</v>
      </c>
      <c r="G11440" t="str" cm="1">
        <f t="array" ref="G11440">SubCategorizeComment(E11440)</f>
        <v>Other</v>
      </c>
    </row>
    <row r="11441" spans="1:7" x14ac:dyDescent="0.25">
      <c r="A11441">
        <v>108407</v>
      </c>
      <c r="B11441" t="s">
        <v>4</v>
      </c>
      <c r="C11441">
        <v>3</v>
      </c>
      <c r="D11441" t="s">
        <v>5</v>
      </c>
      <c r="F11441" t="str" cm="1">
        <f t="array" ref="F11441">CategorizeComment(E11441)</f>
        <v>Other</v>
      </c>
      <c r="G11441" t="str" cm="1">
        <f t="array" ref="G11441">SubCategorizeComment(E11441)</f>
        <v>Other</v>
      </c>
    </row>
    <row r="11442" spans="1:7" x14ac:dyDescent="0.25">
      <c r="A11442">
        <v>108417</v>
      </c>
      <c r="B11442" t="s">
        <v>4</v>
      </c>
      <c r="C11442">
        <v>3</v>
      </c>
      <c r="D11442" t="s">
        <v>5</v>
      </c>
      <c r="F11442" t="str" cm="1">
        <f t="array" ref="F11442">CategorizeComment(E11442)</f>
        <v>Other</v>
      </c>
      <c r="G11442" t="str" cm="1">
        <f t="array" ref="G11442">SubCategorizeComment(E11442)</f>
        <v>Other</v>
      </c>
    </row>
    <row r="11443" spans="1:7" x14ac:dyDescent="0.25">
      <c r="A11443">
        <v>108438</v>
      </c>
      <c r="B11443" t="s">
        <v>4</v>
      </c>
      <c r="C11443">
        <v>3</v>
      </c>
      <c r="D11443" t="s">
        <v>5</v>
      </c>
      <c r="F11443" t="str" cm="1">
        <f t="array" ref="F11443">CategorizeComment(E11443)</f>
        <v>Other</v>
      </c>
      <c r="G11443" t="str" cm="1">
        <f t="array" ref="G11443">SubCategorizeComment(E11443)</f>
        <v>Other</v>
      </c>
    </row>
    <row r="11444" spans="1:7" x14ac:dyDescent="0.25">
      <c r="A11444">
        <v>108440</v>
      </c>
      <c r="B11444" t="s">
        <v>4</v>
      </c>
      <c r="C11444">
        <v>4</v>
      </c>
      <c r="D11444" t="s">
        <v>5</v>
      </c>
      <c r="F11444" t="str" cm="1">
        <f t="array" ref="F11444">CategorizeComment(E11444)</f>
        <v>Other</v>
      </c>
      <c r="G11444" t="str" cm="1">
        <f t="array" ref="G11444">SubCategorizeComment(E11444)</f>
        <v>Other</v>
      </c>
    </row>
    <row r="11445" spans="1:7" x14ac:dyDescent="0.25">
      <c r="A11445">
        <v>108441</v>
      </c>
      <c r="B11445" t="s">
        <v>4</v>
      </c>
      <c r="C11445">
        <v>4</v>
      </c>
      <c r="D11445" t="s">
        <v>5</v>
      </c>
      <c r="F11445" t="str" cm="1">
        <f t="array" ref="F11445">CategorizeComment(E11445)</f>
        <v>Other</v>
      </c>
      <c r="G11445" t="str" cm="1">
        <f t="array" ref="G11445">SubCategorizeComment(E11445)</f>
        <v>Other</v>
      </c>
    </row>
    <row r="11446" spans="1:7" x14ac:dyDescent="0.25">
      <c r="A11446">
        <v>108442</v>
      </c>
      <c r="B11446" t="s">
        <v>4</v>
      </c>
      <c r="C11446">
        <v>4</v>
      </c>
      <c r="D11446" t="s">
        <v>5</v>
      </c>
      <c r="F11446" t="str" cm="1">
        <f t="array" ref="F11446">CategorizeComment(E11446)</f>
        <v>Other</v>
      </c>
      <c r="G11446" t="str" cm="1">
        <f t="array" ref="G11446">SubCategorizeComment(E11446)</f>
        <v>Other</v>
      </c>
    </row>
    <row r="11447" spans="1:7" x14ac:dyDescent="0.25">
      <c r="A11447">
        <v>108444</v>
      </c>
      <c r="B11447" t="s">
        <v>4</v>
      </c>
      <c r="C11447">
        <v>3</v>
      </c>
      <c r="D11447" t="s">
        <v>5</v>
      </c>
      <c r="F11447" t="str" cm="1">
        <f t="array" ref="F11447">CategorizeComment(E11447)</f>
        <v>Other</v>
      </c>
      <c r="G11447" t="str" cm="1">
        <f t="array" ref="G11447">SubCategorizeComment(E11447)</f>
        <v>Other</v>
      </c>
    </row>
    <row r="11448" spans="1:7" x14ac:dyDescent="0.25">
      <c r="A11448">
        <v>108449</v>
      </c>
      <c r="B11448" t="s">
        <v>4</v>
      </c>
      <c r="C11448">
        <v>3</v>
      </c>
      <c r="D11448" t="s">
        <v>5</v>
      </c>
      <c r="F11448" t="str" cm="1">
        <f t="array" ref="F11448">CategorizeComment(E11448)</f>
        <v>Other</v>
      </c>
      <c r="G11448" t="str" cm="1">
        <f t="array" ref="G11448">SubCategorizeComment(E11448)</f>
        <v>Other</v>
      </c>
    </row>
    <row r="11449" spans="1:7" x14ac:dyDescent="0.25">
      <c r="A11449">
        <v>108453</v>
      </c>
      <c r="B11449" t="s">
        <v>4</v>
      </c>
      <c r="C11449">
        <v>4</v>
      </c>
      <c r="D11449" t="s">
        <v>5</v>
      </c>
      <c r="F11449" t="str" cm="1">
        <f t="array" ref="F11449">CategorizeComment(E11449)</f>
        <v>Other</v>
      </c>
      <c r="G11449" t="str" cm="1">
        <f t="array" ref="G11449">SubCategorizeComment(E11449)</f>
        <v>Other</v>
      </c>
    </row>
    <row r="11450" spans="1:7" x14ac:dyDescent="0.25">
      <c r="A11450">
        <v>108454</v>
      </c>
      <c r="B11450" t="s">
        <v>4</v>
      </c>
      <c r="C11450">
        <v>4</v>
      </c>
      <c r="D11450" t="s">
        <v>5</v>
      </c>
      <c r="F11450" t="str" cm="1">
        <f t="array" ref="F11450">CategorizeComment(E11450)</f>
        <v>Other</v>
      </c>
      <c r="G11450" t="str" cm="1">
        <f t="array" ref="G11450">SubCategorizeComment(E11450)</f>
        <v>Other</v>
      </c>
    </row>
    <row r="11451" spans="1:7" x14ac:dyDescent="0.25">
      <c r="A11451">
        <v>108485</v>
      </c>
      <c r="B11451" t="s">
        <v>4</v>
      </c>
      <c r="C11451">
        <v>3</v>
      </c>
      <c r="D11451" t="s">
        <v>5</v>
      </c>
      <c r="F11451" t="str" cm="1">
        <f t="array" ref="F11451">CategorizeComment(E11451)</f>
        <v>Other</v>
      </c>
      <c r="G11451" t="str" cm="1">
        <f t="array" ref="G11451">SubCategorizeComment(E11451)</f>
        <v>Other</v>
      </c>
    </row>
    <row r="11452" spans="1:7" x14ac:dyDescent="0.25">
      <c r="A11452">
        <v>108487</v>
      </c>
      <c r="B11452" t="s">
        <v>4</v>
      </c>
      <c r="C11452">
        <v>3</v>
      </c>
      <c r="D11452" t="s">
        <v>5</v>
      </c>
      <c r="F11452" t="str" cm="1">
        <f t="array" ref="F11452">CategorizeComment(E11452)</f>
        <v>Other</v>
      </c>
      <c r="G11452" t="str" cm="1">
        <f t="array" ref="G11452">SubCategorizeComment(E11452)</f>
        <v>Other</v>
      </c>
    </row>
    <row r="11453" spans="1:7" x14ac:dyDescent="0.25">
      <c r="A11453">
        <v>108489</v>
      </c>
      <c r="B11453" t="s">
        <v>4</v>
      </c>
      <c r="C11453">
        <v>4</v>
      </c>
      <c r="D11453" t="s">
        <v>5</v>
      </c>
      <c r="F11453" t="str" cm="1">
        <f t="array" ref="F11453">CategorizeComment(E11453)</f>
        <v>Other</v>
      </c>
      <c r="G11453" t="str" cm="1">
        <f t="array" ref="G11453">SubCategorizeComment(E11453)</f>
        <v>Other</v>
      </c>
    </row>
    <row r="11454" spans="1:7" x14ac:dyDescent="0.25">
      <c r="A11454">
        <v>108509</v>
      </c>
      <c r="B11454" t="s">
        <v>4</v>
      </c>
      <c r="C11454">
        <v>4</v>
      </c>
      <c r="D11454" t="s">
        <v>5</v>
      </c>
      <c r="F11454" t="str" cm="1">
        <f t="array" ref="F11454">CategorizeComment(E11454)</f>
        <v>Other</v>
      </c>
      <c r="G11454" t="str" cm="1">
        <f t="array" ref="G11454">SubCategorizeComment(E11454)</f>
        <v>Other</v>
      </c>
    </row>
    <row r="11455" spans="1:7" x14ac:dyDescent="0.25">
      <c r="A11455">
        <v>108543</v>
      </c>
      <c r="B11455" t="s">
        <v>4</v>
      </c>
      <c r="C11455">
        <v>3</v>
      </c>
      <c r="D11455" t="s">
        <v>5</v>
      </c>
      <c r="F11455" t="str" cm="1">
        <f t="array" ref="F11455">CategorizeComment(E11455)</f>
        <v>Other</v>
      </c>
      <c r="G11455" t="str" cm="1">
        <f t="array" ref="G11455">SubCategorizeComment(E11455)</f>
        <v>Other</v>
      </c>
    </row>
    <row r="11456" spans="1:7" x14ac:dyDescent="0.25">
      <c r="A11456">
        <v>108557</v>
      </c>
      <c r="B11456" t="s">
        <v>4</v>
      </c>
      <c r="C11456">
        <v>3</v>
      </c>
      <c r="D11456" t="s">
        <v>5</v>
      </c>
      <c r="F11456" t="str" cm="1">
        <f t="array" ref="F11456">CategorizeComment(E11456)</f>
        <v>Other</v>
      </c>
      <c r="G11456" t="str" cm="1">
        <f t="array" ref="G11456">SubCategorizeComment(E11456)</f>
        <v>Other</v>
      </c>
    </row>
    <row r="11457" spans="1:7" x14ac:dyDescent="0.25">
      <c r="A11457">
        <v>108560</v>
      </c>
      <c r="B11457" t="s">
        <v>4</v>
      </c>
      <c r="C11457">
        <v>3</v>
      </c>
      <c r="D11457" t="s">
        <v>5</v>
      </c>
      <c r="F11457" t="str" cm="1">
        <f t="array" ref="F11457">CategorizeComment(E11457)</f>
        <v>Other</v>
      </c>
      <c r="G11457" t="str" cm="1">
        <f t="array" ref="G11457">SubCategorizeComment(E11457)</f>
        <v>Other</v>
      </c>
    </row>
    <row r="11458" spans="1:7" x14ac:dyDescent="0.25">
      <c r="A11458">
        <v>108589</v>
      </c>
      <c r="B11458" t="s">
        <v>4</v>
      </c>
      <c r="C11458">
        <v>4</v>
      </c>
      <c r="D11458" t="s">
        <v>5</v>
      </c>
      <c r="F11458" t="str" cm="1">
        <f t="array" ref="F11458">CategorizeComment(E11458)</f>
        <v>Other</v>
      </c>
      <c r="G11458" t="str" cm="1">
        <f t="array" ref="G11458">SubCategorizeComment(E11458)</f>
        <v>Other</v>
      </c>
    </row>
    <row r="11459" spans="1:7" x14ac:dyDescent="0.25">
      <c r="A11459">
        <v>108592</v>
      </c>
      <c r="B11459" t="s">
        <v>4</v>
      </c>
      <c r="C11459">
        <v>3</v>
      </c>
      <c r="D11459" t="s">
        <v>5</v>
      </c>
      <c r="F11459" t="str" cm="1">
        <f t="array" ref="F11459">CategorizeComment(E11459)</f>
        <v>Other</v>
      </c>
      <c r="G11459" t="str" cm="1">
        <f t="array" ref="G11459">SubCategorizeComment(E11459)</f>
        <v>Other</v>
      </c>
    </row>
    <row r="11460" spans="1:7" x14ac:dyDescent="0.25">
      <c r="A11460">
        <v>108600</v>
      </c>
      <c r="B11460" t="s">
        <v>4</v>
      </c>
      <c r="C11460">
        <v>4</v>
      </c>
      <c r="D11460" t="s">
        <v>5</v>
      </c>
      <c r="F11460" t="str" cm="1">
        <f t="array" ref="F11460">CategorizeComment(E11460)</f>
        <v>Other</v>
      </c>
      <c r="G11460" t="str" cm="1">
        <f t="array" ref="G11460">SubCategorizeComment(E11460)</f>
        <v>Other</v>
      </c>
    </row>
    <row r="11461" spans="1:7" x14ac:dyDescent="0.25">
      <c r="A11461">
        <v>108603</v>
      </c>
      <c r="B11461" t="s">
        <v>4</v>
      </c>
      <c r="C11461">
        <v>3</v>
      </c>
      <c r="D11461" t="s">
        <v>5</v>
      </c>
      <c r="F11461" t="str" cm="1">
        <f t="array" ref="F11461">CategorizeComment(E11461)</f>
        <v>Other</v>
      </c>
      <c r="G11461" t="str" cm="1">
        <f t="array" ref="G11461">SubCategorizeComment(E11461)</f>
        <v>Other</v>
      </c>
    </row>
    <row r="11462" spans="1:7" x14ac:dyDescent="0.25">
      <c r="A11462">
        <v>108614</v>
      </c>
      <c r="B11462" t="s">
        <v>4</v>
      </c>
      <c r="C11462">
        <v>3</v>
      </c>
      <c r="D11462" t="s">
        <v>5</v>
      </c>
      <c r="F11462" t="str" cm="1">
        <f t="array" ref="F11462">CategorizeComment(E11462)</f>
        <v>Other</v>
      </c>
      <c r="G11462" t="str" cm="1">
        <f t="array" ref="G11462">SubCategorizeComment(E11462)</f>
        <v>Other</v>
      </c>
    </row>
    <row r="11463" spans="1:7" x14ac:dyDescent="0.25">
      <c r="A11463">
        <v>108615</v>
      </c>
      <c r="B11463" t="s">
        <v>4</v>
      </c>
      <c r="C11463">
        <v>3</v>
      </c>
      <c r="D11463" t="s">
        <v>5</v>
      </c>
      <c r="F11463" t="str" cm="1">
        <f t="array" ref="F11463">CategorizeComment(E11463)</f>
        <v>Other</v>
      </c>
      <c r="G11463" t="str" cm="1">
        <f t="array" ref="G11463">SubCategorizeComment(E11463)</f>
        <v>Other</v>
      </c>
    </row>
    <row r="11464" spans="1:7" x14ac:dyDescent="0.25">
      <c r="A11464">
        <v>108621</v>
      </c>
      <c r="B11464" t="s">
        <v>4</v>
      </c>
      <c r="C11464">
        <v>3</v>
      </c>
      <c r="D11464" t="s">
        <v>5</v>
      </c>
      <c r="F11464" t="str" cm="1">
        <f t="array" ref="F11464">CategorizeComment(E11464)</f>
        <v>Other</v>
      </c>
      <c r="G11464" t="str" cm="1">
        <f t="array" ref="G11464">SubCategorizeComment(E11464)</f>
        <v>Other</v>
      </c>
    </row>
    <row r="11465" spans="1:7" x14ac:dyDescent="0.25">
      <c r="A11465">
        <v>108646</v>
      </c>
      <c r="B11465" t="s">
        <v>4</v>
      </c>
      <c r="C11465">
        <v>4</v>
      </c>
      <c r="D11465" t="s">
        <v>5</v>
      </c>
      <c r="F11465" t="str" cm="1">
        <f t="array" ref="F11465">CategorizeComment(E11465)</f>
        <v>Other</v>
      </c>
      <c r="G11465" t="str" cm="1">
        <f t="array" ref="G11465">SubCategorizeComment(E11465)</f>
        <v>Other</v>
      </c>
    </row>
    <row r="11466" spans="1:7" x14ac:dyDescent="0.25">
      <c r="A11466">
        <v>108652</v>
      </c>
      <c r="B11466" t="s">
        <v>4</v>
      </c>
      <c r="C11466">
        <v>3</v>
      </c>
      <c r="D11466" t="s">
        <v>5</v>
      </c>
      <c r="F11466" t="str" cm="1">
        <f t="array" ref="F11466">CategorizeComment(E11466)</f>
        <v>Other</v>
      </c>
      <c r="G11466" t="str" cm="1">
        <f t="array" ref="G11466">SubCategorizeComment(E11466)</f>
        <v>Other</v>
      </c>
    </row>
    <row r="11467" spans="1:7" x14ac:dyDescent="0.25">
      <c r="A11467">
        <v>108660</v>
      </c>
      <c r="B11467" t="s">
        <v>4</v>
      </c>
      <c r="C11467">
        <v>4</v>
      </c>
      <c r="D11467" t="s">
        <v>5</v>
      </c>
      <c r="F11467" t="str" cm="1">
        <f t="array" ref="F11467">CategorizeComment(E11467)</f>
        <v>Other</v>
      </c>
      <c r="G11467" t="str" cm="1">
        <f t="array" ref="G11467">SubCategorizeComment(E11467)</f>
        <v>Other</v>
      </c>
    </row>
    <row r="11468" spans="1:7" x14ac:dyDescent="0.25">
      <c r="A11468">
        <v>108699</v>
      </c>
      <c r="B11468" t="s">
        <v>4</v>
      </c>
      <c r="C11468">
        <v>4</v>
      </c>
      <c r="D11468" t="s">
        <v>5</v>
      </c>
      <c r="F11468" t="str" cm="1">
        <f t="array" ref="F11468">CategorizeComment(E11468)</f>
        <v>Other</v>
      </c>
      <c r="G11468" t="str" cm="1">
        <f t="array" ref="G11468">SubCategorizeComment(E11468)</f>
        <v>Other</v>
      </c>
    </row>
    <row r="11469" spans="1:7" x14ac:dyDescent="0.25">
      <c r="A11469">
        <v>108703</v>
      </c>
      <c r="B11469" t="s">
        <v>4</v>
      </c>
      <c r="C11469">
        <v>4</v>
      </c>
      <c r="D11469" t="s">
        <v>5</v>
      </c>
      <c r="F11469" t="str" cm="1">
        <f t="array" ref="F11469">CategorizeComment(E11469)</f>
        <v>Other</v>
      </c>
      <c r="G11469" t="str" cm="1">
        <f t="array" ref="G11469">SubCategorizeComment(E11469)</f>
        <v>Other</v>
      </c>
    </row>
    <row r="11470" spans="1:7" x14ac:dyDescent="0.25">
      <c r="A11470">
        <v>108718</v>
      </c>
      <c r="B11470" t="s">
        <v>4</v>
      </c>
      <c r="C11470">
        <v>4</v>
      </c>
      <c r="D11470" t="s">
        <v>5</v>
      </c>
      <c r="F11470" t="str" cm="1">
        <f t="array" ref="F11470">CategorizeComment(E11470)</f>
        <v>Other</v>
      </c>
      <c r="G11470" t="str" cm="1">
        <f t="array" ref="G11470">SubCategorizeComment(E11470)</f>
        <v>Other</v>
      </c>
    </row>
    <row r="11471" spans="1:7" x14ac:dyDescent="0.25">
      <c r="A11471">
        <v>108740</v>
      </c>
      <c r="B11471" t="s">
        <v>4</v>
      </c>
      <c r="C11471">
        <v>4</v>
      </c>
      <c r="D11471" t="s">
        <v>5</v>
      </c>
      <c r="F11471" t="str" cm="1">
        <f t="array" ref="F11471">CategorizeComment(E11471)</f>
        <v>Other</v>
      </c>
      <c r="G11471" t="str" cm="1">
        <f t="array" ref="G11471">SubCategorizeComment(E11471)</f>
        <v>Other</v>
      </c>
    </row>
    <row r="11472" spans="1:7" x14ac:dyDescent="0.25">
      <c r="A11472">
        <v>108776</v>
      </c>
      <c r="B11472" t="s">
        <v>4</v>
      </c>
      <c r="C11472">
        <v>4</v>
      </c>
      <c r="D11472" t="s">
        <v>5</v>
      </c>
      <c r="F11472" t="str" cm="1">
        <f t="array" ref="F11472">CategorizeComment(E11472)</f>
        <v>Other</v>
      </c>
      <c r="G11472" t="str" cm="1">
        <f t="array" ref="G11472">SubCategorizeComment(E11472)</f>
        <v>Other</v>
      </c>
    </row>
    <row r="11473" spans="1:7" x14ac:dyDescent="0.25">
      <c r="A11473">
        <v>108781</v>
      </c>
      <c r="B11473" t="s">
        <v>4</v>
      </c>
      <c r="C11473">
        <v>4</v>
      </c>
      <c r="D11473" t="s">
        <v>5</v>
      </c>
      <c r="F11473" t="str" cm="1">
        <f t="array" ref="F11473">CategorizeComment(E11473)</f>
        <v>Other</v>
      </c>
      <c r="G11473" t="str" cm="1">
        <f t="array" ref="G11473">SubCategorizeComment(E11473)</f>
        <v>Other</v>
      </c>
    </row>
    <row r="11474" spans="1:7" x14ac:dyDescent="0.25">
      <c r="A11474">
        <v>108792</v>
      </c>
      <c r="B11474" t="s">
        <v>4</v>
      </c>
      <c r="C11474">
        <v>4</v>
      </c>
      <c r="D11474" t="s">
        <v>5</v>
      </c>
      <c r="F11474" t="str" cm="1">
        <f t="array" ref="F11474">CategorizeComment(E11474)</f>
        <v>Other</v>
      </c>
      <c r="G11474" t="str" cm="1">
        <f t="array" ref="G11474">SubCategorizeComment(E11474)</f>
        <v>Other</v>
      </c>
    </row>
    <row r="11475" spans="1:7" x14ac:dyDescent="0.25">
      <c r="A11475">
        <v>108794</v>
      </c>
      <c r="B11475" t="s">
        <v>4</v>
      </c>
      <c r="C11475">
        <v>3</v>
      </c>
      <c r="D11475" t="s">
        <v>5</v>
      </c>
      <c r="F11475" t="str" cm="1">
        <f t="array" ref="F11475">CategorizeComment(E11475)</f>
        <v>Other</v>
      </c>
      <c r="G11475" t="str" cm="1">
        <f t="array" ref="G11475">SubCategorizeComment(E11475)</f>
        <v>Other</v>
      </c>
    </row>
    <row r="11476" spans="1:7" x14ac:dyDescent="0.25">
      <c r="A11476">
        <v>108799</v>
      </c>
      <c r="B11476" t="s">
        <v>4</v>
      </c>
      <c r="C11476">
        <v>4</v>
      </c>
      <c r="D11476" t="s">
        <v>5</v>
      </c>
      <c r="F11476" t="str" cm="1">
        <f t="array" ref="F11476">CategorizeComment(E11476)</f>
        <v>Other</v>
      </c>
      <c r="G11476" t="str" cm="1">
        <f t="array" ref="G11476">SubCategorizeComment(E11476)</f>
        <v>Other</v>
      </c>
    </row>
    <row r="11477" spans="1:7" x14ac:dyDescent="0.25">
      <c r="A11477">
        <v>108806</v>
      </c>
      <c r="B11477" t="s">
        <v>4</v>
      </c>
      <c r="C11477">
        <v>4</v>
      </c>
      <c r="D11477" t="s">
        <v>5</v>
      </c>
      <c r="F11477" t="str" cm="1">
        <f t="array" ref="F11477">CategorizeComment(E11477)</f>
        <v>Other</v>
      </c>
      <c r="G11477" t="str" cm="1">
        <f t="array" ref="G11477">SubCategorizeComment(E11477)</f>
        <v>Other</v>
      </c>
    </row>
    <row r="11478" spans="1:7" x14ac:dyDescent="0.25">
      <c r="A11478">
        <v>108814</v>
      </c>
      <c r="B11478" t="s">
        <v>4</v>
      </c>
      <c r="C11478">
        <v>3</v>
      </c>
      <c r="D11478" t="s">
        <v>5</v>
      </c>
      <c r="F11478" t="str" cm="1">
        <f t="array" ref="F11478">CategorizeComment(E11478)</f>
        <v>Other</v>
      </c>
      <c r="G11478" t="str" cm="1">
        <f t="array" ref="G11478">SubCategorizeComment(E11478)</f>
        <v>Other</v>
      </c>
    </row>
    <row r="11479" spans="1:7" x14ac:dyDescent="0.25">
      <c r="A11479">
        <v>108821</v>
      </c>
      <c r="B11479" t="s">
        <v>4</v>
      </c>
      <c r="C11479">
        <v>3</v>
      </c>
      <c r="D11479" t="s">
        <v>5</v>
      </c>
      <c r="F11479" t="str" cm="1">
        <f t="array" ref="F11479">CategorizeComment(E11479)</f>
        <v>Other</v>
      </c>
      <c r="G11479" t="str" cm="1">
        <f t="array" ref="G11479">SubCategorizeComment(E11479)</f>
        <v>Other</v>
      </c>
    </row>
    <row r="11480" spans="1:7" x14ac:dyDescent="0.25">
      <c r="A11480">
        <v>108831</v>
      </c>
      <c r="B11480" t="s">
        <v>4</v>
      </c>
      <c r="C11480">
        <v>3</v>
      </c>
      <c r="D11480" t="s">
        <v>5</v>
      </c>
      <c r="F11480" t="str" cm="1">
        <f t="array" ref="F11480">CategorizeComment(E11480)</f>
        <v>Other</v>
      </c>
      <c r="G11480" t="str" cm="1">
        <f t="array" ref="G11480">SubCategorizeComment(E11480)</f>
        <v>Other</v>
      </c>
    </row>
    <row r="11481" spans="1:7" x14ac:dyDescent="0.25">
      <c r="A11481">
        <v>108834</v>
      </c>
      <c r="B11481" t="s">
        <v>4</v>
      </c>
      <c r="C11481">
        <v>4</v>
      </c>
      <c r="D11481" t="s">
        <v>5</v>
      </c>
      <c r="F11481" t="str" cm="1">
        <f t="array" ref="F11481">CategorizeComment(E11481)</f>
        <v>Other</v>
      </c>
      <c r="G11481" t="str" cm="1">
        <f t="array" ref="G11481">SubCategorizeComment(E11481)</f>
        <v>Other</v>
      </c>
    </row>
    <row r="11482" spans="1:7" x14ac:dyDescent="0.25">
      <c r="A11482">
        <v>108838</v>
      </c>
      <c r="B11482" t="s">
        <v>4</v>
      </c>
      <c r="C11482">
        <v>4</v>
      </c>
      <c r="D11482" t="s">
        <v>5</v>
      </c>
      <c r="F11482" t="str" cm="1">
        <f t="array" ref="F11482">CategorizeComment(E11482)</f>
        <v>Other</v>
      </c>
      <c r="G11482" t="str" cm="1">
        <f t="array" ref="G11482">SubCategorizeComment(E11482)</f>
        <v>Other</v>
      </c>
    </row>
    <row r="11483" spans="1:7" x14ac:dyDescent="0.25">
      <c r="A11483">
        <v>108856</v>
      </c>
      <c r="B11483" t="s">
        <v>4</v>
      </c>
      <c r="C11483">
        <v>3</v>
      </c>
      <c r="D11483" t="s">
        <v>5</v>
      </c>
      <c r="F11483" t="str" cm="1">
        <f t="array" ref="F11483">CategorizeComment(E11483)</f>
        <v>Other</v>
      </c>
      <c r="G11483" t="str" cm="1">
        <f t="array" ref="G11483">SubCategorizeComment(E11483)</f>
        <v>Other</v>
      </c>
    </row>
    <row r="11484" spans="1:7" x14ac:dyDescent="0.25">
      <c r="A11484">
        <v>108859</v>
      </c>
      <c r="B11484" t="s">
        <v>4</v>
      </c>
      <c r="C11484">
        <v>3</v>
      </c>
      <c r="D11484" t="s">
        <v>5</v>
      </c>
      <c r="F11484" t="str" cm="1">
        <f t="array" ref="F11484">CategorizeComment(E11484)</f>
        <v>Other</v>
      </c>
      <c r="G11484" t="str" cm="1">
        <f t="array" ref="G11484">SubCategorizeComment(E11484)</f>
        <v>Other</v>
      </c>
    </row>
    <row r="11485" spans="1:7" x14ac:dyDescent="0.25">
      <c r="A11485">
        <v>108867</v>
      </c>
      <c r="B11485" t="s">
        <v>4</v>
      </c>
      <c r="C11485">
        <v>3</v>
      </c>
      <c r="D11485" t="s">
        <v>5</v>
      </c>
      <c r="F11485" t="str" cm="1">
        <f t="array" ref="F11485">CategorizeComment(E11485)</f>
        <v>Other</v>
      </c>
      <c r="G11485" t="str" cm="1">
        <f t="array" ref="G11485">SubCategorizeComment(E11485)</f>
        <v>Other</v>
      </c>
    </row>
    <row r="11486" spans="1:7" x14ac:dyDescent="0.25">
      <c r="A11486">
        <v>108869</v>
      </c>
      <c r="B11486" t="s">
        <v>4</v>
      </c>
      <c r="C11486">
        <v>3</v>
      </c>
      <c r="D11486" t="s">
        <v>5</v>
      </c>
      <c r="F11486" t="str" cm="1">
        <f t="array" ref="F11486">CategorizeComment(E11486)</f>
        <v>Other</v>
      </c>
      <c r="G11486" t="str" cm="1">
        <f t="array" ref="G11486">SubCategorizeComment(E11486)</f>
        <v>Other</v>
      </c>
    </row>
    <row r="11487" spans="1:7" x14ac:dyDescent="0.25">
      <c r="A11487">
        <v>108875</v>
      </c>
      <c r="B11487" t="s">
        <v>4</v>
      </c>
      <c r="C11487">
        <v>3</v>
      </c>
      <c r="D11487" t="s">
        <v>5</v>
      </c>
      <c r="F11487" t="str" cm="1">
        <f t="array" ref="F11487">CategorizeComment(E11487)</f>
        <v>Other</v>
      </c>
      <c r="G11487" t="str" cm="1">
        <f t="array" ref="G11487">SubCategorizeComment(E11487)</f>
        <v>Other</v>
      </c>
    </row>
    <row r="11488" spans="1:7" x14ac:dyDescent="0.25">
      <c r="A11488">
        <v>108876</v>
      </c>
      <c r="B11488" t="s">
        <v>4</v>
      </c>
      <c r="C11488">
        <v>4</v>
      </c>
      <c r="D11488" t="s">
        <v>5</v>
      </c>
      <c r="F11488" t="str" cm="1">
        <f t="array" ref="F11488">CategorizeComment(E11488)</f>
        <v>Other</v>
      </c>
      <c r="G11488" t="str" cm="1">
        <f t="array" ref="G11488">SubCategorizeComment(E11488)</f>
        <v>Other</v>
      </c>
    </row>
    <row r="11489" spans="1:7" x14ac:dyDescent="0.25">
      <c r="A11489">
        <v>108883</v>
      </c>
      <c r="B11489" t="s">
        <v>4</v>
      </c>
      <c r="C11489">
        <v>3</v>
      </c>
      <c r="D11489" t="s">
        <v>5</v>
      </c>
      <c r="F11489" t="str" cm="1">
        <f t="array" ref="F11489">CategorizeComment(E11489)</f>
        <v>Other</v>
      </c>
      <c r="G11489" t="str" cm="1">
        <f t="array" ref="G11489">SubCategorizeComment(E11489)</f>
        <v>Other</v>
      </c>
    </row>
    <row r="11490" spans="1:7" x14ac:dyDescent="0.25">
      <c r="A11490">
        <v>108904</v>
      </c>
      <c r="B11490" t="s">
        <v>4</v>
      </c>
      <c r="C11490">
        <v>4</v>
      </c>
      <c r="D11490" t="s">
        <v>5</v>
      </c>
      <c r="F11490" t="str" cm="1">
        <f t="array" ref="F11490">CategorizeComment(E11490)</f>
        <v>Other</v>
      </c>
      <c r="G11490" t="str" cm="1">
        <f t="array" ref="G11490">SubCategorizeComment(E11490)</f>
        <v>Other</v>
      </c>
    </row>
    <row r="11491" spans="1:7" x14ac:dyDescent="0.25">
      <c r="A11491">
        <v>108906</v>
      </c>
      <c r="B11491" t="s">
        <v>4</v>
      </c>
      <c r="C11491">
        <v>3</v>
      </c>
      <c r="D11491" t="s">
        <v>5</v>
      </c>
      <c r="F11491" t="str" cm="1">
        <f t="array" ref="F11491">CategorizeComment(E11491)</f>
        <v>Other</v>
      </c>
      <c r="G11491" t="str" cm="1">
        <f t="array" ref="G11491">SubCategorizeComment(E11491)</f>
        <v>Other</v>
      </c>
    </row>
    <row r="11492" spans="1:7" x14ac:dyDescent="0.25">
      <c r="A11492">
        <v>108908</v>
      </c>
      <c r="B11492" t="s">
        <v>4</v>
      </c>
      <c r="C11492">
        <v>3</v>
      </c>
      <c r="D11492" t="s">
        <v>5</v>
      </c>
      <c r="F11492" t="str" cm="1">
        <f t="array" ref="F11492">CategorizeComment(E11492)</f>
        <v>Other</v>
      </c>
      <c r="G11492" t="str" cm="1">
        <f t="array" ref="G11492">SubCategorizeComment(E11492)</f>
        <v>Other</v>
      </c>
    </row>
    <row r="11493" spans="1:7" x14ac:dyDescent="0.25">
      <c r="A11493">
        <v>108912</v>
      </c>
      <c r="B11493" t="s">
        <v>4</v>
      </c>
      <c r="C11493">
        <v>4</v>
      </c>
      <c r="D11493" t="s">
        <v>5</v>
      </c>
      <c r="F11493" t="str" cm="1">
        <f t="array" ref="F11493">CategorizeComment(E11493)</f>
        <v>Other</v>
      </c>
      <c r="G11493" t="str" cm="1">
        <f t="array" ref="G11493">SubCategorizeComment(E11493)</f>
        <v>Other</v>
      </c>
    </row>
    <row r="11494" spans="1:7" x14ac:dyDescent="0.25">
      <c r="A11494">
        <v>108913</v>
      </c>
      <c r="B11494" t="s">
        <v>4</v>
      </c>
      <c r="C11494">
        <v>4</v>
      </c>
      <c r="D11494" t="s">
        <v>5</v>
      </c>
      <c r="F11494" t="str" cm="1">
        <f t="array" ref="F11494">CategorizeComment(E11494)</f>
        <v>Other</v>
      </c>
      <c r="G11494" t="str" cm="1">
        <f t="array" ref="G11494">SubCategorizeComment(E11494)</f>
        <v>Other</v>
      </c>
    </row>
    <row r="11495" spans="1:7" x14ac:dyDescent="0.25">
      <c r="A11495">
        <v>108937</v>
      </c>
      <c r="B11495" t="s">
        <v>4</v>
      </c>
      <c r="C11495">
        <v>3</v>
      </c>
      <c r="D11495" t="s">
        <v>5</v>
      </c>
      <c r="F11495" t="str" cm="1">
        <f t="array" ref="F11495">CategorizeComment(E11495)</f>
        <v>Other</v>
      </c>
      <c r="G11495" t="str" cm="1">
        <f t="array" ref="G11495">SubCategorizeComment(E11495)</f>
        <v>Other</v>
      </c>
    </row>
    <row r="11496" spans="1:7" x14ac:dyDescent="0.25">
      <c r="A11496">
        <v>108939</v>
      </c>
      <c r="B11496" t="s">
        <v>4</v>
      </c>
      <c r="C11496">
        <v>3</v>
      </c>
      <c r="D11496" t="s">
        <v>5</v>
      </c>
      <c r="F11496" t="str" cm="1">
        <f t="array" ref="F11496">CategorizeComment(E11496)</f>
        <v>Other</v>
      </c>
      <c r="G11496" t="str" cm="1">
        <f t="array" ref="G11496">SubCategorizeComment(E11496)</f>
        <v>Other</v>
      </c>
    </row>
    <row r="11497" spans="1:7" x14ac:dyDescent="0.25">
      <c r="A11497">
        <v>108964</v>
      </c>
      <c r="B11497" t="s">
        <v>4</v>
      </c>
      <c r="C11497">
        <v>3</v>
      </c>
      <c r="D11497" t="s">
        <v>5</v>
      </c>
      <c r="F11497" t="str" cm="1">
        <f t="array" ref="F11497">CategorizeComment(E11497)</f>
        <v>Other</v>
      </c>
      <c r="G11497" t="str" cm="1">
        <f t="array" ref="G11497">SubCategorizeComment(E11497)</f>
        <v>Other</v>
      </c>
    </row>
    <row r="11498" spans="1:7" x14ac:dyDescent="0.25">
      <c r="A11498">
        <v>108979</v>
      </c>
      <c r="B11498" t="s">
        <v>4</v>
      </c>
      <c r="C11498">
        <v>3</v>
      </c>
      <c r="D11498" t="s">
        <v>5</v>
      </c>
      <c r="F11498" t="str" cm="1">
        <f t="array" ref="F11498">CategorizeComment(E11498)</f>
        <v>Other</v>
      </c>
      <c r="G11498" t="str" cm="1">
        <f t="array" ref="G11498">SubCategorizeComment(E11498)</f>
        <v>Other</v>
      </c>
    </row>
    <row r="11499" spans="1:7" x14ac:dyDescent="0.25">
      <c r="A11499">
        <v>108980</v>
      </c>
      <c r="B11499" t="s">
        <v>4</v>
      </c>
      <c r="C11499">
        <v>3</v>
      </c>
      <c r="D11499" t="s">
        <v>5</v>
      </c>
      <c r="F11499" t="str" cm="1">
        <f t="array" ref="F11499">CategorizeComment(E11499)</f>
        <v>Other</v>
      </c>
      <c r="G11499" t="str" cm="1">
        <f t="array" ref="G11499">SubCategorizeComment(E11499)</f>
        <v>Other</v>
      </c>
    </row>
    <row r="11500" spans="1:7" x14ac:dyDescent="0.25">
      <c r="A11500">
        <v>109044</v>
      </c>
      <c r="B11500" t="s">
        <v>4</v>
      </c>
      <c r="C11500">
        <v>4</v>
      </c>
      <c r="D11500" t="s">
        <v>5</v>
      </c>
      <c r="F11500" t="str" cm="1">
        <f t="array" ref="F11500">CategorizeComment(E11500)</f>
        <v>Other</v>
      </c>
      <c r="G11500" t="str" cm="1">
        <f t="array" ref="G11500">SubCategorizeComment(E11500)</f>
        <v>Other</v>
      </c>
    </row>
    <row r="11501" spans="1:7" x14ac:dyDescent="0.25">
      <c r="A11501">
        <v>109049</v>
      </c>
      <c r="B11501" t="s">
        <v>4</v>
      </c>
      <c r="C11501">
        <v>3</v>
      </c>
      <c r="D11501" t="s">
        <v>5</v>
      </c>
      <c r="F11501" t="str" cm="1">
        <f t="array" ref="F11501">CategorizeComment(E11501)</f>
        <v>Other</v>
      </c>
      <c r="G11501" t="str" cm="1">
        <f t="array" ref="G11501">SubCategorizeComment(E11501)</f>
        <v>Other</v>
      </c>
    </row>
    <row r="11502" spans="1:7" x14ac:dyDescent="0.25">
      <c r="A11502">
        <v>109068</v>
      </c>
      <c r="B11502" t="s">
        <v>4</v>
      </c>
      <c r="C11502">
        <v>4</v>
      </c>
      <c r="D11502" t="s">
        <v>5</v>
      </c>
      <c r="F11502" t="str" cm="1">
        <f t="array" ref="F11502">CategorizeComment(E11502)</f>
        <v>Other</v>
      </c>
      <c r="G11502" t="str" cm="1">
        <f t="array" ref="G11502">SubCategorizeComment(E11502)</f>
        <v>Other</v>
      </c>
    </row>
    <row r="11503" spans="1:7" x14ac:dyDescent="0.25">
      <c r="A11503">
        <v>109080</v>
      </c>
      <c r="B11503" t="s">
        <v>4</v>
      </c>
      <c r="C11503">
        <v>3</v>
      </c>
      <c r="D11503" t="s">
        <v>5</v>
      </c>
      <c r="F11503" t="str" cm="1">
        <f t="array" ref="F11503">CategorizeComment(E11503)</f>
        <v>Other</v>
      </c>
      <c r="G11503" t="str" cm="1">
        <f t="array" ref="G11503">SubCategorizeComment(E11503)</f>
        <v>Other</v>
      </c>
    </row>
    <row r="11504" spans="1:7" x14ac:dyDescent="0.25">
      <c r="A11504">
        <v>109087</v>
      </c>
      <c r="B11504" t="s">
        <v>4</v>
      </c>
      <c r="C11504">
        <v>4</v>
      </c>
      <c r="D11504" t="s">
        <v>5</v>
      </c>
      <c r="F11504" t="str" cm="1">
        <f t="array" ref="F11504">CategorizeComment(E11504)</f>
        <v>Other</v>
      </c>
      <c r="G11504" t="str" cm="1">
        <f t="array" ref="G11504">SubCategorizeComment(E11504)</f>
        <v>Other</v>
      </c>
    </row>
    <row r="11505" spans="1:7" x14ac:dyDescent="0.25">
      <c r="A11505">
        <v>109091</v>
      </c>
      <c r="B11505" t="s">
        <v>4</v>
      </c>
      <c r="C11505">
        <v>4</v>
      </c>
      <c r="D11505" t="s">
        <v>5</v>
      </c>
      <c r="F11505" t="str" cm="1">
        <f t="array" ref="F11505">CategorizeComment(E11505)</f>
        <v>Other</v>
      </c>
      <c r="G11505" t="str" cm="1">
        <f t="array" ref="G11505">SubCategorizeComment(E11505)</f>
        <v>Other</v>
      </c>
    </row>
    <row r="11506" spans="1:7" x14ac:dyDescent="0.25">
      <c r="A11506">
        <v>109102</v>
      </c>
      <c r="B11506" t="s">
        <v>4</v>
      </c>
      <c r="C11506">
        <v>3</v>
      </c>
      <c r="D11506" t="s">
        <v>5</v>
      </c>
      <c r="F11506" t="str" cm="1">
        <f t="array" ref="F11506">CategorizeComment(E11506)</f>
        <v>Other</v>
      </c>
      <c r="G11506" t="str" cm="1">
        <f t="array" ref="G11506">SubCategorizeComment(E11506)</f>
        <v>Other</v>
      </c>
    </row>
    <row r="11507" spans="1:7" x14ac:dyDescent="0.25">
      <c r="A11507">
        <v>109105</v>
      </c>
      <c r="B11507" t="s">
        <v>4</v>
      </c>
      <c r="C11507">
        <v>3</v>
      </c>
      <c r="D11507" t="s">
        <v>5</v>
      </c>
      <c r="F11507" t="str" cm="1">
        <f t="array" ref="F11507">CategorizeComment(E11507)</f>
        <v>Other</v>
      </c>
      <c r="G11507" t="str" cm="1">
        <f t="array" ref="G11507">SubCategorizeComment(E11507)</f>
        <v>Other</v>
      </c>
    </row>
    <row r="11508" spans="1:7" x14ac:dyDescent="0.25">
      <c r="A11508">
        <v>109116</v>
      </c>
      <c r="B11508" t="s">
        <v>4</v>
      </c>
      <c r="C11508">
        <v>4</v>
      </c>
      <c r="D11508" t="s">
        <v>5</v>
      </c>
      <c r="F11508" t="str" cm="1">
        <f t="array" ref="F11508">CategorizeComment(E11508)</f>
        <v>Other</v>
      </c>
      <c r="G11508" t="str" cm="1">
        <f t="array" ref="G11508">SubCategorizeComment(E11508)</f>
        <v>Other</v>
      </c>
    </row>
    <row r="11509" spans="1:7" x14ac:dyDescent="0.25">
      <c r="A11509">
        <v>109120</v>
      </c>
      <c r="B11509" t="s">
        <v>4</v>
      </c>
      <c r="C11509">
        <v>4</v>
      </c>
      <c r="D11509" t="s">
        <v>5</v>
      </c>
      <c r="F11509" t="str" cm="1">
        <f t="array" ref="F11509">CategorizeComment(E11509)</f>
        <v>Other</v>
      </c>
      <c r="G11509" t="str" cm="1">
        <f t="array" ref="G11509">SubCategorizeComment(E11509)</f>
        <v>Other</v>
      </c>
    </row>
    <row r="11510" spans="1:7" x14ac:dyDescent="0.25">
      <c r="A11510">
        <v>109176</v>
      </c>
      <c r="B11510" t="s">
        <v>4</v>
      </c>
      <c r="C11510">
        <v>3</v>
      </c>
      <c r="D11510" t="s">
        <v>5</v>
      </c>
      <c r="F11510" t="str" cm="1">
        <f t="array" ref="F11510">CategorizeComment(E11510)</f>
        <v>Other</v>
      </c>
      <c r="G11510" t="str" cm="1">
        <f t="array" ref="G11510">SubCategorizeComment(E11510)</f>
        <v>Other</v>
      </c>
    </row>
    <row r="11511" spans="1:7" x14ac:dyDescent="0.25">
      <c r="A11511">
        <v>109177</v>
      </c>
      <c r="B11511" t="s">
        <v>4</v>
      </c>
      <c r="C11511">
        <v>4</v>
      </c>
      <c r="D11511" t="s">
        <v>5</v>
      </c>
      <c r="F11511" t="str" cm="1">
        <f t="array" ref="F11511">CategorizeComment(E11511)</f>
        <v>Other</v>
      </c>
      <c r="G11511" t="str" cm="1">
        <f t="array" ref="G11511">SubCategorizeComment(E11511)</f>
        <v>Other</v>
      </c>
    </row>
    <row r="11512" spans="1:7" x14ac:dyDescent="0.25">
      <c r="A11512">
        <v>109179</v>
      </c>
      <c r="B11512" t="s">
        <v>4</v>
      </c>
      <c r="C11512">
        <v>3</v>
      </c>
      <c r="D11512" t="s">
        <v>5</v>
      </c>
      <c r="F11512" t="str" cm="1">
        <f t="array" ref="F11512">CategorizeComment(E11512)</f>
        <v>Other</v>
      </c>
      <c r="G11512" t="str" cm="1">
        <f t="array" ref="G11512">SubCategorizeComment(E11512)</f>
        <v>Other</v>
      </c>
    </row>
    <row r="11513" spans="1:7" x14ac:dyDescent="0.25">
      <c r="A11513">
        <v>109187</v>
      </c>
      <c r="B11513" t="s">
        <v>4</v>
      </c>
      <c r="C11513">
        <v>0</v>
      </c>
      <c r="D11513" t="s">
        <v>5</v>
      </c>
      <c r="F11513" t="str" cm="1">
        <f t="array" ref="F11513">CategorizeComment(E11513)</f>
        <v>Other</v>
      </c>
      <c r="G11513" t="str" cm="1">
        <f t="array" ref="G11513">SubCategorizeComment(E11513)</f>
        <v>Other</v>
      </c>
    </row>
    <row r="11514" spans="1:7" x14ac:dyDescent="0.25">
      <c r="A11514">
        <v>109196</v>
      </c>
      <c r="B11514" t="s">
        <v>4</v>
      </c>
      <c r="C11514">
        <v>4</v>
      </c>
      <c r="D11514" t="s">
        <v>5</v>
      </c>
      <c r="F11514" t="str" cm="1">
        <f t="array" ref="F11514">CategorizeComment(E11514)</f>
        <v>Other</v>
      </c>
      <c r="G11514" t="str" cm="1">
        <f t="array" ref="G11514">SubCategorizeComment(E11514)</f>
        <v>Other</v>
      </c>
    </row>
    <row r="11515" spans="1:7" x14ac:dyDescent="0.25">
      <c r="A11515">
        <v>109198</v>
      </c>
      <c r="B11515" t="s">
        <v>4</v>
      </c>
      <c r="C11515">
        <v>3</v>
      </c>
      <c r="D11515" t="s">
        <v>5</v>
      </c>
      <c r="F11515" t="str" cm="1">
        <f t="array" ref="F11515">CategorizeComment(E11515)</f>
        <v>Other</v>
      </c>
      <c r="G11515" t="str" cm="1">
        <f t="array" ref="G11515">SubCategorizeComment(E11515)</f>
        <v>Other</v>
      </c>
    </row>
    <row r="11516" spans="1:7" x14ac:dyDescent="0.25">
      <c r="A11516">
        <v>109203</v>
      </c>
      <c r="B11516" t="s">
        <v>4</v>
      </c>
      <c r="C11516">
        <v>3</v>
      </c>
      <c r="D11516" t="s">
        <v>5</v>
      </c>
      <c r="F11516" t="str" cm="1">
        <f t="array" ref="F11516">CategorizeComment(E11516)</f>
        <v>Other</v>
      </c>
      <c r="G11516" t="str" cm="1">
        <f t="array" ref="G11516">SubCategorizeComment(E11516)</f>
        <v>Other</v>
      </c>
    </row>
    <row r="11517" spans="1:7" x14ac:dyDescent="0.25">
      <c r="A11517">
        <v>109208</v>
      </c>
      <c r="B11517" t="s">
        <v>4</v>
      </c>
      <c r="C11517">
        <v>4</v>
      </c>
      <c r="D11517" t="s">
        <v>5</v>
      </c>
      <c r="F11517" t="str" cm="1">
        <f t="array" ref="F11517">CategorizeComment(E11517)</f>
        <v>Other</v>
      </c>
      <c r="G11517" t="str" cm="1">
        <f t="array" ref="G11517">SubCategorizeComment(E11517)</f>
        <v>Other</v>
      </c>
    </row>
    <row r="11518" spans="1:7" x14ac:dyDescent="0.25">
      <c r="A11518">
        <v>109219</v>
      </c>
      <c r="B11518" t="s">
        <v>4</v>
      </c>
      <c r="C11518">
        <v>4</v>
      </c>
      <c r="D11518" t="s">
        <v>5</v>
      </c>
      <c r="F11518" t="str" cm="1">
        <f t="array" ref="F11518">CategorizeComment(E11518)</f>
        <v>Other</v>
      </c>
      <c r="G11518" t="str" cm="1">
        <f t="array" ref="G11518">SubCategorizeComment(E11518)</f>
        <v>Other</v>
      </c>
    </row>
    <row r="11519" spans="1:7" x14ac:dyDescent="0.25">
      <c r="A11519">
        <v>109223</v>
      </c>
      <c r="B11519" t="s">
        <v>4</v>
      </c>
      <c r="C11519">
        <v>4</v>
      </c>
      <c r="D11519" t="s">
        <v>5</v>
      </c>
      <c r="F11519" t="str" cm="1">
        <f t="array" ref="F11519">CategorizeComment(E11519)</f>
        <v>Other</v>
      </c>
      <c r="G11519" t="str" cm="1">
        <f t="array" ref="G11519">SubCategorizeComment(E11519)</f>
        <v>Other</v>
      </c>
    </row>
    <row r="11520" spans="1:7" x14ac:dyDescent="0.25">
      <c r="A11520">
        <v>109230</v>
      </c>
      <c r="B11520" t="s">
        <v>4</v>
      </c>
      <c r="C11520">
        <v>3</v>
      </c>
      <c r="D11520" t="s">
        <v>5</v>
      </c>
      <c r="F11520" t="str" cm="1">
        <f t="array" ref="F11520">CategorizeComment(E11520)</f>
        <v>Other</v>
      </c>
      <c r="G11520" t="str" cm="1">
        <f t="array" ref="G11520">SubCategorizeComment(E11520)</f>
        <v>Other</v>
      </c>
    </row>
    <row r="11521" spans="1:7" x14ac:dyDescent="0.25">
      <c r="A11521">
        <v>109238</v>
      </c>
      <c r="B11521" t="s">
        <v>4</v>
      </c>
      <c r="C11521">
        <v>4</v>
      </c>
      <c r="D11521" t="s">
        <v>5</v>
      </c>
      <c r="F11521" t="str" cm="1">
        <f t="array" ref="F11521">CategorizeComment(E11521)</f>
        <v>Other</v>
      </c>
      <c r="G11521" t="str" cm="1">
        <f t="array" ref="G11521">SubCategorizeComment(E11521)</f>
        <v>Other</v>
      </c>
    </row>
    <row r="11522" spans="1:7" x14ac:dyDescent="0.25">
      <c r="A11522">
        <v>109240</v>
      </c>
      <c r="B11522" t="s">
        <v>4</v>
      </c>
      <c r="C11522">
        <v>3</v>
      </c>
      <c r="D11522" t="s">
        <v>5</v>
      </c>
      <c r="F11522" t="str" cm="1">
        <f t="array" ref="F11522">CategorizeComment(E11522)</f>
        <v>Other</v>
      </c>
      <c r="G11522" t="str" cm="1">
        <f t="array" ref="G11522">SubCategorizeComment(E11522)</f>
        <v>Other</v>
      </c>
    </row>
    <row r="11523" spans="1:7" x14ac:dyDescent="0.25">
      <c r="A11523">
        <v>109249</v>
      </c>
      <c r="B11523" t="s">
        <v>4</v>
      </c>
      <c r="C11523">
        <v>3</v>
      </c>
      <c r="D11523" t="s">
        <v>5</v>
      </c>
      <c r="F11523" t="str" cm="1">
        <f t="array" ref="F11523">CategorizeComment(E11523)</f>
        <v>Other</v>
      </c>
      <c r="G11523" t="str" cm="1">
        <f t="array" ref="G11523">SubCategorizeComment(E11523)</f>
        <v>Other</v>
      </c>
    </row>
    <row r="11524" spans="1:7" x14ac:dyDescent="0.25">
      <c r="A11524">
        <v>109251</v>
      </c>
      <c r="B11524" t="s">
        <v>4</v>
      </c>
      <c r="C11524">
        <v>3</v>
      </c>
      <c r="D11524" t="s">
        <v>5</v>
      </c>
      <c r="F11524" t="str" cm="1">
        <f t="array" ref="F11524">CategorizeComment(E11524)</f>
        <v>Other</v>
      </c>
      <c r="G11524" t="str" cm="1">
        <f t="array" ref="G11524">SubCategorizeComment(E11524)</f>
        <v>Other</v>
      </c>
    </row>
    <row r="11525" spans="1:7" x14ac:dyDescent="0.25">
      <c r="A11525">
        <v>109262</v>
      </c>
      <c r="B11525" t="s">
        <v>4</v>
      </c>
      <c r="C11525">
        <v>3</v>
      </c>
      <c r="D11525" t="s">
        <v>5</v>
      </c>
      <c r="F11525" t="str" cm="1">
        <f t="array" ref="F11525">CategorizeComment(E11525)</f>
        <v>Other</v>
      </c>
      <c r="G11525" t="str" cm="1">
        <f t="array" ref="G11525">SubCategorizeComment(E11525)</f>
        <v>Other</v>
      </c>
    </row>
    <row r="11526" spans="1:7" x14ac:dyDescent="0.25">
      <c r="A11526">
        <v>109266</v>
      </c>
      <c r="B11526" t="s">
        <v>4</v>
      </c>
      <c r="C11526">
        <v>3</v>
      </c>
      <c r="D11526" t="s">
        <v>5</v>
      </c>
      <c r="F11526" t="str" cm="1">
        <f t="array" ref="F11526">CategorizeComment(E11526)</f>
        <v>Other</v>
      </c>
      <c r="G11526" t="str" cm="1">
        <f t="array" ref="G11526">SubCategorizeComment(E11526)</f>
        <v>Other</v>
      </c>
    </row>
    <row r="11527" spans="1:7" x14ac:dyDescent="0.25">
      <c r="A11527">
        <v>109278</v>
      </c>
      <c r="B11527" t="s">
        <v>4</v>
      </c>
      <c r="C11527">
        <v>3</v>
      </c>
      <c r="D11527" t="s">
        <v>5</v>
      </c>
      <c r="F11527" t="str" cm="1">
        <f t="array" ref="F11527">CategorizeComment(E11527)</f>
        <v>Other</v>
      </c>
      <c r="G11527" t="str" cm="1">
        <f t="array" ref="G11527">SubCategorizeComment(E11527)</f>
        <v>Other</v>
      </c>
    </row>
    <row r="11528" spans="1:7" x14ac:dyDescent="0.25">
      <c r="A11528">
        <v>109303</v>
      </c>
      <c r="B11528" t="s">
        <v>4</v>
      </c>
      <c r="C11528">
        <v>4</v>
      </c>
      <c r="D11528" t="s">
        <v>5</v>
      </c>
      <c r="F11528" t="str" cm="1">
        <f t="array" ref="F11528">CategorizeComment(E11528)</f>
        <v>Other</v>
      </c>
      <c r="G11528" t="str" cm="1">
        <f t="array" ref="G11528">SubCategorizeComment(E11528)</f>
        <v>Other</v>
      </c>
    </row>
    <row r="11529" spans="1:7" x14ac:dyDescent="0.25">
      <c r="A11529">
        <v>109309</v>
      </c>
      <c r="B11529" t="s">
        <v>4</v>
      </c>
      <c r="C11529">
        <v>3</v>
      </c>
      <c r="D11529" t="s">
        <v>5</v>
      </c>
      <c r="F11529" t="str" cm="1">
        <f t="array" ref="F11529">CategorizeComment(E11529)</f>
        <v>Other</v>
      </c>
      <c r="G11529" t="str" cm="1">
        <f t="array" ref="G11529">SubCategorizeComment(E11529)</f>
        <v>Other</v>
      </c>
    </row>
    <row r="11530" spans="1:7" x14ac:dyDescent="0.25">
      <c r="A11530">
        <v>109314</v>
      </c>
      <c r="B11530" t="s">
        <v>4</v>
      </c>
      <c r="C11530">
        <v>4</v>
      </c>
      <c r="D11530" t="s">
        <v>5</v>
      </c>
      <c r="F11530" t="str" cm="1">
        <f t="array" ref="F11530">CategorizeComment(E11530)</f>
        <v>Other</v>
      </c>
      <c r="G11530" t="str" cm="1">
        <f t="array" ref="G11530">SubCategorizeComment(E11530)</f>
        <v>Other</v>
      </c>
    </row>
    <row r="11531" spans="1:7" x14ac:dyDescent="0.25">
      <c r="A11531">
        <v>109337</v>
      </c>
      <c r="B11531" t="s">
        <v>4</v>
      </c>
      <c r="C11531">
        <v>3</v>
      </c>
      <c r="D11531" t="s">
        <v>5</v>
      </c>
      <c r="F11531" t="str" cm="1">
        <f t="array" ref="F11531">CategorizeComment(E11531)</f>
        <v>Other</v>
      </c>
      <c r="G11531" t="str" cm="1">
        <f t="array" ref="G11531">SubCategorizeComment(E11531)</f>
        <v>Other</v>
      </c>
    </row>
    <row r="11532" spans="1:7" x14ac:dyDescent="0.25">
      <c r="A11532">
        <v>109338</v>
      </c>
      <c r="B11532" t="s">
        <v>4</v>
      </c>
      <c r="C11532">
        <v>4</v>
      </c>
      <c r="D11532" t="s">
        <v>5</v>
      </c>
      <c r="F11532" t="str" cm="1">
        <f t="array" ref="F11532">CategorizeComment(E11532)</f>
        <v>Other</v>
      </c>
      <c r="G11532" t="str" cm="1">
        <f t="array" ref="G11532">SubCategorizeComment(E11532)</f>
        <v>Other</v>
      </c>
    </row>
    <row r="11533" spans="1:7" x14ac:dyDescent="0.25">
      <c r="A11533">
        <v>109341</v>
      </c>
      <c r="B11533" t="s">
        <v>4</v>
      </c>
      <c r="C11533">
        <v>3</v>
      </c>
      <c r="D11533" t="s">
        <v>5</v>
      </c>
      <c r="F11533" t="str" cm="1">
        <f t="array" ref="F11533">CategorizeComment(E11533)</f>
        <v>Other</v>
      </c>
      <c r="G11533" t="str" cm="1">
        <f t="array" ref="G11533">SubCategorizeComment(E11533)</f>
        <v>Other</v>
      </c>
    </row>
    <row r="11534" spans="1:7" x14ac:dyDescent="0.25">
      <c r="A11534">
        <v>109365</v>
      </c>
      <c r="B11534" t="s">
        <v>4</v>
      </c>
      <c r="C11534">
        <v>3</v>
      </c>
      <c r="D11534" t="s">
        <v>5</v>
      </c>
      <c r="F11534" t="str" cm="1">
        <f t="array" ref="F11534">CategorizeComment(E11534)</f>
        <v>Other</v>
      </c>
      <c r="G11534" t="str" cm="1">
        <f t="array" ref="G11534">SubCategorizeComment(E11534)</f>
        <v>Other</v>
      </c>
    </row>
    <row r="11535" spans="1:7" x14ac:dyDescent="0.25">
      <c r="A11535">
        <v>109370</v>
      </c>
      <c r="B11535" t="s">
        <v>4</v>
      </c>
      <c r="C11535">
        <v>3</v>
      </c>
      <c r="D11535" t="s">
        <v>5</v>
      </c>
      <c r="F11535" t="str" cm="1">
        <f t="array" ref="F11535">CategorizeComment(E11535)</f>
        <v>Other</v>
      </c>
      <c r="G11535" t="str" cm="1">
        <f t="array" ref="G11535">SubCategorizeComment(E11535)</f>
        <v>Other</v>
      </c>
    </row>
    <row r="11536" spans="1:7" x14ac:dyDescent="0.25">
      <c r="A11536">
        <v>109376</v>
      </c>
      <c r="B11536" t="s">
        <v>4</v>
      </c>
      <c r="C11536">
        <v>4</v>
      </c>
      <c r="D11536" t="s">
        <v>5</v>
      </c>
      <c r="F11536" t="str" cm="1">
        <f t="array" ref="F11536">CategorizeComment(E11536)</f>
        <v>Other</v>
      </c>
      <c r="G11536" t="str" cm="1">
        <f t="array" ref="G11536">SubCategorizeComment(E11536)</f>
        <v>Other</v>
      </c>
    </row>
    <row r="11537" spans="1:7" x14ac:dyDescent="0.25">
      <c r="A11537">
        <v>109377</v>
      </c>
      <c r="B11537" t="s">
        <v>4</v>
      </c>
      <c r="C11537">
        <v>3</v>
      </c>
      <c r="D11537" t="s">
        <v>5</v>
      </c>
      <c r="F11537" t="str" cm="1">
        <f t="array" ref="F11537">CategorizeComment(E11537)</f>
        <v>Other</v>
      </c>
      <c r="G11537" t="str" cm="1">
        <f t="array" ref="G11537">SubCategorizeComment(E11537)</f>
        <v>Other</v>
      </c>
    </row>
    <row r="11538" spans="1:7" x14ac:dyDescent="0.25">
      <c r="A11538">
        <v>109382</v>
      </c>
      <c r="B11538" t="s">
        <v>4</v>
      </c>
      <c r="C11538">
        <v>3</v>
      </c>
      <c r="D11538" t="s">
        <v>5</v>
      </c>
      <c r="F11538" t="str" cm="1">
        <f t="array" ref="F11538">CategorizeComment(E11538)</f>
        <v>Other</v>
      </c>
      <c r="G11538" t="str" cm="1">
        <f t="array" ref="G11538">SubCategorizeComment(E11538)</f>
        <v>Other</v>
      </c>
    </row>
    <row r="11539" spans="1:7" x14ac:dyDescent="0.25">
      <c r="A11539">
        <v>109401</v>
      </c>
      <c r="B11539" t="s">
        <v>4</v>
      </c>
      <c r="C11539">
        <v>3</v>
      </c>
      <c r="D11539" t="s">
        <v>5</v>
      </c>
      <c r="F11539" t="str" cm="1">
        <f t="array" ref="F11539">CategorizeComment(E11539)</f>
        <v>Other</v>
      </c>
      <c r="G11539" t="str" cm="1">
        <f t="array" ref="G11539">SubCategorizeComment(E11539)</f>
        <v>Other</v>
      </c>
    </row>
    <row r="11540" spans="1:7" x14ac:dyDescent="0.25">
      <c r="A11540">
        <v>109417</v>
      </c>
      <c r="B11540" t="s">
        <v>4</v>
      </c>
      <c r="C11540">
        <v>3</v>
      </c>
      <c r="D11540" t="s">
        <v>5</v>
      </c>
      <c r="F11540" t="str" cm="1">
        <f t="array" ref="F11540">CategorizeComment(E11540)</f>
        <v>Other</v>
      </c>
      <c r="G11540" t="str" cm="1">
        <f t="array" ref="G11540">SubCategorizeComment(E11540)</f>
        <v>Other</v>
      </c>
    </row>
    <row r="11541" spans="1:7" x14ac:dyDescent="0.25">
      <c r="A11541">
        <v>109508</v>
      </c>
      <c r="B11541" t="s">
        <v>4</v>
      </c>
      <c r="C11541">
        <v>4</v>
      </c>
      <c r="D11541" t="s">
        <v>5</v>
      </c>
      <c r="F11541" t="str" cm="1">
        <f t="array" ref="F11541">CategorizeComment(E11541)</f>
        <v>Other</v>
      </c>
      <c r="G11541" t="str" cm="1">
        <f t="array" ref="G11541">SubCategorizeComment(E11541)</f>
        <v>Other</v>
      </c>
    </row>
    <row r="11542" spans="1:7" x14ac:dyDescent="0.25">
      <c r="A11542">
        <v>109512</v>
      </c>
      <c r="B11542" t="s">
        <v>4</v>
      </c>
      <c r="C11542">
        <v>4</v>
      </c>
      <c r="D11542" t="s">
        <v>5</v>
      </c>
      <c r="F11542" t="str" cm="1">
        <f t="array" ref="F11542">CategorizeComment(E11542)</f>
        <v>Other</v>
      </c>
      <c r="G11542" t="str" cm="1">
        <f t="array" ref="G11542">SubCategorizeComment(E11542)</f>
        <v>Other</v>
      </c>
    </row>
    <row r="11543" spans="1:7" x14ac:dyDescent="0.25">
      <c r="A11543">
        <v>109516</v>
      </c>
      <c r="B11543" t="s">
        <v>4</v>
      </c>
      <c r="C11543">
        <v>4</v>
      </c>
      <c r="D11543" t="s">
        <v>5</v>
      </c>
      <c r="F11543" t="str" cm="1">
        <f t="array" ref="F11543">CategorizeComment(E11543)</f>
        <v>Other</v>
      </c>
      <c r="G11543" t="str" cm="1">
        <f t="array" ref="G11543">SubCategorizeComment(E11543)</f>
        <v>Other</v>
      </c>
    </row>
    <row r="11544" spans="1:7" x14ac:dyDescent="0.25">
      <c r="A11544">
        <v>109523</v>
      </c>
      <c r="B11544" t="s">
        <v>4</v>
      </c>
      <c r="C11544">
        <v>3</v>
      </c>
      <c r="D11544" t="s">
        <v>5</v>
      </c>
      <c r="F11544" t="str" cm="1">
        <f t="array" ref="F11544">CategorizeComment(E11544)</f>
        <v>Other</v>
      </c>
      <c r="G11544" t="str" cm="1">
        <f t="array" ref="G11544">SubCategorizeComment(E11544)</f>
        <v>Other</v>
      </c>
    </row>
    <row r="11545" spans="1:7" x14ac:dyDescent="0.25">
      <c r="A11545">
        <v>109563</v>
      </c>
      <c r="B11545" t="s">
        <v>4</v>
      </c>
      <c r="C11545">
        <v>4</v>
      </c>
      <c r="D11545" t="s">
        <v>5</v>
      </c>
      <c r="F11545" t="str" cm="1">
        <f t="array" ref="F11545">CategorizeComment(E11545)</f>
        <v>Other</v>
      </c>
      <c r="G11545" t="str" cm="1">
        <f t="array" ref="G11545">SubCategorizeComment(E11545)</f>
        <v>Other</v>
      </c>
    </row>
    <row r="11546" spans="1:7" x14ac:dyDescent="0.25">
      <c r="A11546">
        <v>109566</v>
      </c>
      <c r="B11546" t="s">
        <v>4</v>
      </c>
      <c r="C11546">
        <v>4</v>
      </c>
      <c r="D11546" t="s">
        <v>5</v>
      </c>
      <c r="F11546" t="str" cm="1">
        <f t="array" ref="F11546">CategorizeComment(E11546)</f>
        <v>Other</v>
      </c>
      <c r="G11546" t="str" cm="1">
        <f t="array" ref="G11546">SubCategorizeComment(E11546)</f>
        <v>Other</v>
      </c>
    </row>
    <row r="11547" spans="1:7" x14ac:dyDescent="0.25">
      <c r="A11547">
        <v>109568</v>
      </c>
      <c r="B11547" t="s">
        <v>4</v>
      </c>
      <c r="C11547">
        <v>3</v>
      </c>
      <c r="D11547" t="s">
        <v>5</v>
      </c>
      <c r="F11547" t="str" cm="1">
        <f t="array" ref="F11547">CategorizeComment(E11547)</f>
        <v>Other</v>
      </c>
      <c r="G11547" t="str" cm="1">
        <f t="array" ref="G11547">SubCategorizeComment(E11547)</f>
        <v>Other</v>
      </c>
    </row>
    <row r="11548" spans="1:7" x14ac:dyDescent="0.25">
      <c r="A11548">
        <v>109570</v>
      </c>
      <c r="B11548" t="s">
        <v>4</v>
      </c>
      <c r="C11548">
        <v>3</v>
      </c>
      <c r="D11548" t="s">
        <v>5</v>
      </c>
      <c r="F11548" t="str" cm="1">
        <f t="array" ref="F11548">CategorizeComment(E11548)</f>
        <v>Other</v>
      </c>
      <c r="G11548" t="str" cm="1">
        <f t="array" ref="G11548">SubCategorizeComment(E11548)</f>
        <v>Other</v>
      </c>
    </row>
    <row r="11549" spans="1:7" x14ac:dyDescent="0.25">
      <c r="A11549">
        <v>109576</v>
      </c>
      <c r="B11549" t="s">
        <v>4</v>
      </c>
      <c r="C11549">
        <v>4</v>
      </c>
      <c r="D11549" t="s">
        <v>5</v>
      </c>
      <c r="F11549" t="str" cm="1">
        <f t="array" ref="F11549">CategorizeComment(E11549)</f>
        <v>Other</v>
      </c>
      <c r="G11549" t="str" cm="1">
        <f t="array" ref="G11549">SubCategorizeComment(E11549)</f>
        <v>Other</v>
      </c>
    </row>
    <row r="11550" spans="1:7" x14ac:dyDescent="0.25">
      <c r="A11550">
        <v>109577</v>
      </c>
      <c r="B11550" t="s">
        <v>4</v>
      </c>
      <c r="C11550">
        <v>3</v>
      </c>
      <c r="D11550" t="s">
        <v>5</v>
      </c>
      <c r="F11550" t="str" cm="1">
        <f t="array" ref="F11550">CategorizeComment(E11550)</f>
        <v>Other</v>
      </c>
      <c r="G11550" t="str" cm="1">
        <f t="array" ref="G11550">SubCategorizeComment(E11550)</f>
        <v>Other</v>
      </c>
    </row>
    <row r="11551" spans="1:7" x14ac:dyDescent="0.25">
      <c r="A11551">
        <v>109629</v>
      </c>
      <c r="B11551" t="s">
        <v>4</v>
      </c>
      <c r="C11551">
        <v>3</v>
      </c>
      <c r="D11551" t="s">
        <v>5</v>
      </c>
      <c r="F11551" t="str" cm="1">
        <f t="array" ref="F11551">CategorizeComment(E11551)</f>
        <v>Other</v>
      </c>
      <c r="G11551" t="str" cm="1">
        <f t="array" ref="G11551">SubCategorizeComment(E11551)</f>
        <v>Other</v>
      </c>
    </row>
    <row r="11552" spans="1:7" x14ac:dyDescent="0.25">
      <c r="A11552">
        <v>109650</v>
      </c>
      <c r="B11552" t="s">
        <v>4</v>
      </c>
      <c r="C11552">
        <v>4</v>
      </c>
      <c r="D11552" t="s">
        <v>5</v>
      </c>
      <c r="F11552" t="str" cm="1">
        <f t="array" ref="F11552">CategorizeComment(E11552)</f>
        <v>Other</v>
      </c>
      <c r="G11552" t="str" cm="1">
        <f t="array" ref="G11552">SubCategorizeComment(E11552)</f>
        <v>Other</v>
      </c>
    </row>
    <row r="11553" spans="1:7" x14ac:dyDescent="0.25">
      <c r="A11553">
        <v>109653</v>
      </c>
      <c r="B11553" t="s">
        <v>4</v>
      </c>
      <c r="C11553">
        <v>4</v>
      </c>
      <c r="D11553" t="s">
        <v>5</v>
      </c>
      <c r="F11553" t="str" cm="1">
        <f t="array" ref="F11553">CategorizeComment(E11553)</f>
        <v>Other</v>
      </c>
      <c r="G11553" t="str" cm="1">
        <f t="array" ref="G11553">SubCategorizeComment(E11553)</f>
        <v>Other</v>
      </c>
    </row>
    <row r="11554" spans="1:7" x14ac:dyDescent="0.25">
      <c r="A11554">
        <v>109663</v>
      </c>
      <c r="B11554" t="s">
        <v>4</v>
      </c>
      <c r="C11554">
        <v>3</v>
      </c>
      <c r="D11554" t="s">
        <v>5</v>
      </c>
      <c r="F11554" t="str" cm="1">
        <f t="array" ref="F11554">CategorizeComment(E11554)</f>
        <v>Other</v>
      </c>
      <c r="G11554" t="str" cm="1">
        <f t="array" ref="G11554">SubCategorizeComment(E11554)</f>
        <v>Other</v>
      </c>
    </row>
    <row r="11555" spans="1:7" x14ac:dyDescent="0.25">
      <c r="A11555">
        <v>109665</v>
      </c>
      <c r="B11555" t="s">
        <v>4</v>
      </c>
      <c r="C11555">
        <v>4</v>
      </c>
      <c r="D11555" t="s">
        <v>5</v>
      </c>
      <c r="F11555" t="str" cm="1">
        <f t="array" ref="F11555">CategorizeComment(E11555)</f>
        <v>Other</v>
      </c>
      <c r="G11555" t="str" cm="1">
        <f t="array" ref="G11555">SubCategorizeComment(E11555)</f>
        <v>Other</v>
      </c>
    </row>
    <row r="11556" spans="1:7" x14ac:dyDescent="0.25">
      <c r="A11556">
        <v>109676</v>
      </c>
      <c r="B11556" t="s">
        <v>4</v>
      </c>
      <c r="C11556">
        <v>4</v>
      </c>
      <c r="D11556" t="s">
        <v>5</v>
      </c>
      <c r="F11556" t="str" cm="1">
        <f t="array" ref="F11556">CategorizeComment(E11556)</f>
        <v>Other</v>
      </c>
      <c r="G11556" t="str" cm="1">
        <f t="array" ref="G11556">SubCategorizeComment(E11556)</f>
        <v>Other</v>
      </c>
    </row>
    <row r="11557" spans="1:7" x14ac:dyDescent="0.25">
      <c r="A11557">
        <v>109677</v>
      </c>
      <c r="B11557" t="s">
        <v>4</v>
      </c>
      <c r="C11557">
        <v>4</v>
      </c>
      <c r="D11557" t="s">
        <v>5</v>
      </c>
      <c r="F11557" t="str" cm="1">
        <f t="array" ref="F11557">CategorizeComment(E11557)</f>
        <v>Other</v>
      </c>
      <c r="G11557" t="str" cm="1">
        <f t="array" ref="G11557">SubCategorizeComment(E11557)</f>
        <v>Other</v>
      </c>
    </row>
    <row r="11558" spans="1:7" x14ac:dyDescent="0.25">
      <c r="A11558">
        <v>109680</v>
      </c>
      <c r="B11558" t="s">
        <v>4</v>
      </c>
      <c r="C11558">
        <v>3</v>
      </c>
      <c r="D11558" t="s">
        <v>5</v>
      </c>
      <c r="F11558" t="str" cm="1">
        <f t="array" ref="F11558">CategorizeComment(E11558)</f>
        <v>Other</v>
      </c>
      <c r="G11558" t="str" cm="1">
        <f t="array" ref="G11558">SubCategorizeComment(E11558)</f>
        <v>Other</v>
      </c>
    </row>
    <row r="11559" spans="1:7" x14ac:dyDescent="0.25">
      <c r="A11559">
        <v>109683</v>
      </c>
      <c r="B11559" t="s">
        <v>4</v>
      </c>
      <c r="C11559">
        <v>4</v>
      </c>
      <c r="D11559" t="s">
        <v>5</v>
      </c>
      <c r="F11559" t="str" cm="1">
        <f t="array" ref="F11559">CategorizeComment(E11559)</f>
        <v>Other</v>
      </c>
      <c r="G11559" t="str" cm="1">
        <f t="array" ref="G11559">SubCategorizeComment(E11559)</f>
        <v>Other</v>
      </c>
    </row>
    <row r="11560" spans="1:7" x14ac:dyDescent="0.25">
      <c r="A11560">
        <v>109699</v>
      </c>
      <c r="B11560" t="s">
        <v>4</v>
      </c>
      <c r="C11560">
        <v>4</v>
      </c>
      <c r="D11560" t="s">
        <v>5</v>
      </c>
      <c r="F11560" t="str" cm="1">
        <f t="array" ref="F11560">CategorizeComment(E11560)</f>
        <v>Other</v>
      </c>
      <c r="G11560" t="str" cm="1">
        <f t="array" ref="G11560">SubCategorizeComment(E11560)</f>
        <v>Other</v>
      </c>
    </row>
    <row r="11561" spans="1:7" x14ac:dyDescent="0.25">
      <c r="A11561">
        <v>109720</v>
      </c>
      <c r="B11561" t="s">
        <v>4</v>
      </c>
      <c r="C11561">
        <v>4</v>
      </c>
      <c r="D11561" t="s">
        <v>5</v>
      </c>
      <c r="F11561" t="str" cm="1">
        <f t="array" ref="F11561">CategorizeComment(E11561)</f>
        <v>Other</v>
      </c>
      <c r="G11561" t="str" cm="1">
        <f t="array" ref="G11561">SubCategorizeComment(E11561)</f>
        <v>Other</v>
      </c>
    </row>
    <row r="11562" spans="1:7" x14ac:dyDescent="0.25">
      <c r="A11562">
        <v>109726</v>
      </c>
      <c r="B11562" t="s">
        <v>4</v>
      </c>
      <c r="C11562">
        <v>3</v>
      </c>
      <c r="D11562" t="s">
        <v>5</v>
      </c>
      <c r="F11562" t="str" cm="1">
        <f t="array" ref="F11562">CategorizeComment(E11562)</f>
        <v>Other</v>
      </c>
      <c r="G11562" t="str" cm="1">
        <f t="array" ref="G11562">SubCategorizeComment(E11562)</f>
        <v>Other</v>
      </c>
    </row>
    <row r="11563" spans="1:7" x14ac:dyDescent="0.25">
      <c r="A11563">
        <v>109728</v>
      </c>
      <c r="B11563" t="s">
        <v>4</v>
      </c>
      <c r="C11563">
        <v>3</v>
      </c>
      <c r="D11563" t="s">
        <v>5</v>
      </c>
      <c r="F11563" t="str" cm="1">
        <f t="array" ref="F11563">CategorizeComment(E11563)</f>
        <v>Other</v>
      </c>
      <c r="G11563" t="str" cm="1">
        <f t="array" ref="G11563">SubCategorizeComment(E11563)</f>
        <v>Other</v>
      </c>
    </row>
    <row r="11564" spans="1:7" x14ac:dyDescent="0.25">
      <c r="A11564">
        <v>109730</v>
      </c>
      <c r="B11564" t="s">
        <v>4</v>
      </c>
      <c r="C11564">
        <v>3</v>
      </c>
      <c r="D11564" t="s">
        <v>5</v>
      </c>
      <c r="F11564" t="str" cm="1">
        <f t="array" ref="F11564">CategorizeComment(E11564)</f>
        <v>Other</v>
      </c>
      <c r="G11564" t="str" cm="1">
        <f t="array" ref="G11564">SubCategorizeComment(E11564)</f>
        <v>Other</v>
      </c>
    </row>
    <row r="11565" spans="1:7" x14ac:dyDescent="0.25">
      <c r="A11565">
        <v>109747</v>
      </c>
      <c r="B11565" t="s">
        <v>4</v>
      </c>
      <c r="C11565">
        <v>4</v>
      </c>
      <c r="D11565" t="s">
        <v>5</v>
      </c>
      <c r="F11565" t="str" cm="1">
        <f t="array" ref="F11565">CategorizeComment(E11565)</f>
        <v>Other</v>
      </c>
      <c r="G11565" t="str" cm="1">
        <f t="array" ref="G11565">SubCategorizeComment(E11565)</f>
        <v>Other</v>
      </c>
    </row>
    <row r="11566" spans="1:7" x14ac:dyDescent="0.25">
      <c r="A11566">
        <v>109775</v>
      </c>
      <c r="B11566" t="s">
        <v>4</v>
      </c>
      <c r="C11566">
        <v>3</v>
      </c>
      <c r="D11566" t="s">
        <v>5</v>
      </c>
      <c r="F11566" t="str" cm="1">
        <f t="array" ref="F11566">CategorizeComment(E11566)</f>
        <v>Other</v>
      </c>
      <c r="G11566" t="str" cm="1">
        <f t="array" ref="G11566">SubCategorizeComment(E11566)</f>
        <v>Other</v>
      </c>
    </row>
    <row r="11567" spans="1:7" x14ac:dyDescent="0.25">
      <c r="A11567">
        <v>109776</v>
      </c>
      <c r="B11567" t="s">
        <v>4</v>
      </c>
      <c r="C11567">
        <v>4</v>
      </c>
      <c r="D11567" t="s">
        <v>5</v>
      </c>
      <c r="F11567" t="str" cm="1">
        <f t="array" ref="F11567">CategorizeComment(E11567)</f>
        <v>Other</v>
      </c>
      <c r="G11567" t="str" cm="1">
        <f t="array" ref="G11567">SubCategorizeComment(E11567)</f>
        <v>Other</v>
      </c>
    </row>
    <row r="11568" spans="1:7" x14ac:dyDescent="0.25">
      <c r="A11568">
        <v>109844</v>
      </c>
      <c r="B11568" t="s">
        <v>4</v>
      </c>
      <c r="C11568">
        <v>3</v>
      </c>
      <c r="D11568" t="s">
        <v>5</v>
      </c>
      <c r="F11568" t="str" cm="1">
        <f t="array" ref="F11568">CategorizeComment(E11568)</f>
        <v>Other</v>
      </c>
      <c r="G11568" t="str" cm="1">
        <f t="array" ref="G11568">SubCategorizeComment(E11568)</f>
        <v>Other</v>
      </c>
    </row>
    <row r="11569" spans="1:7" x14ac:dyDescent="0.25">
      <c r="A11569">
        <v>109846</v>
      </c>
      <c r="B11569" t="s">
        <v>4</v>
      </c>
      <c r="C11569">
        <v>4</v>
      </c>
      <c r="D11569" t="s">
        <v>5</v>
      </c>
      <c r="F11569" t="str" cm="1">
        <f t="array" ref="F11569">CategorizeComment(E11569)</f>
        <v>Other</v>
      </c>
      <c r="G11569" t="str" cm="1">
        <f t="array" ref="G11569">SubCategorizeComment(E11569)</f>
        <v>Other</v>
      </c>
    </row>
    <row r="11570" spans="1:7" x14ac:dyDescent="0.25">
      <c r="A11570">
        <v>109852</v>
      </c>
      <c r="B11570" t="s">
        <v>4</v>
      </c>
      <c r="C11570">
        <v>4</v>
      </c>
      <c r="D11570" t="s">
        <v>5</v>
      </c>
      <c r="F11570" t="str" cm="1">
        <f t="array" ref="F11570">CategorizeComment(E11570)</f>
        <v>Other</v>
      </c>
      <c r="G11570" t="str" cm="1">
        <f t="array" ref="G11570">SubCategorizeComment(E11570)</f>
        <v>Other</v>
      </c>
    </row>
    <row r="11571" spans="1:7" x14ac:dyDescent="0.25">
      <c r="A11571">
        <v>109856</v>
      </c>
      <c r="B11571" t="s">
        <v>4</v>
      </c>
      <c r="C11571">
        <v>4</v>
      </c>
      <c r="D11571" t="s">
        <v>5</v>
      </c>
      <c r="F11571" t="str" cm="1">
        <f t="array" ref="F11571">CategorizeComment(E11571)</f>
        <v>Other</v>
      </c>
      <c r="G11571" t="str" cm="1">
        <f t="array" ref="G11571">SubCategorizeComment(E11571)</f>
        <v>Other</v>
      </c>
    </row>
    <row r="11572" spans="1:7" x14ac:dyDescent="0.25">
      <c r="A11572">
        <v>109859</v>
      </c>
      <c r="B11572" t="s">
        <v>4</v>
      </c>
      <c r="C11572">
        <v>4</v>
      </c>
      <c r="D11572" t="s">
        <v>5</v>
      </c>
      <c r="F11572" t="str" cm="1">
        <f t="array" ref="F11572">CategorizeComment(E11572)</f>
        <v>Other</v>
      </c>
      <c r="G11572" t="str" cm="1">
        <f t="array" ref="G11572">SubCategorizeComment(E11572)</f>
        <v>Other</v>
      </c>
    </row>
    <row r="11573" spans="1:7" x14ac:dyDescent="0.25">
      <c r="A11573">
        <v>109861</v>
      </c>
      <c r="B11573" t="s">
        <v>4</v>
      </c>
      <c r="C11573">
        <v>4</v>
      </c>
      <c r="D11573" t="s">
        <v>5</v>
      </c>
      <c r="F11573" t="str" cm="1">
        <f t="array" ref="F11573">CategorizeComment(E11573)</f>
        <v>Other</v>
      </c>
      <c r="G11573" t="str" cm="1">
        <f t="array" ref="G11573">SubCategorizeComment(E11573)</f>
        <v>Other</v>
      </c>
    </row>
    <row r="11574" spans="1:7" x14ac:dyDescent="0.25">
      <c r="A11574">
        <v>109867</v>
      </c>
      <c r="B11574" t="s">
        <v>4</v>
      </c>
      <c r="C11574">
        <v>3</v>
      </c>
      <c r="D11574" t="s">
        <v>5</v>
      </c>
      <c r="F11574" t="str" cm="1">
        <f t="array" ref="F11574">CategorizeComment(E11574)</f>
        <v>Other</v>
      </c>
      <c r="G11574" t="str" cm="1">
        <f t="array" ref="G11574">SubCategorizeComment(E11574)</f>
        <v>Other</v>
      </c>
    </row>
    <row r="11575" spans="1:7" x14ac:dyDescent="0.25">
      <c r="A11575">
        <v>109878</v>
      </c>
      <c r="B11575" t="s">
        <v>4</v>
      </c>
      <c r="C11575">
        <v>4</v>
      </c>
      <c r="D11575" t="s">
        <v>5</v>
      </c>
      <c r="F11575" t="str" cm="1">
        <f t="array" ref="F11575">CategorizeComment(E11575)</f>
        <v>Other</v>
      </c>
      <c r="G11575" t="str" cm="1">
        <f t="array" ref="G11575">SubCategorizeComment(E11575)</f>
        <v>Other</v>
      </c>
    </row>
    <row r="11576" spans="1:7" x14ac:dyDescent="0.25">
      <c r="A11576">
        <v>109884</v>
      </c>
      <c r="B11576" t="s">
        <v>4</v>
      </c>
      <c r="C11576">
        <v>4</v>
      </c>
      <c r="D11576" t="s">
        <v>5</v>
      </c>
      <c r="F11576" t="str" cm="1">
        <f t="array" ref="F11576">CategorizeComment(E11576)</f>
        <v>Other</v>
      </c>
      <c r="G11576" t="str" cm="1">
        <f t="array" ref="G11576">SubCategorizeComment(E11576)</f>
        <v>Other</v>
      </c>
    </row>
    <row r="11577" spans="1:7" x14ac:dyDescent="0.25">
      <c r="A11577">
        <v>109885</v>
      </c>
      <c r="B11577" t="s">
        <v>4</v>
      </c>
      <c r="C11577">
        <v>4</v>
      </c>
      <c r="D11577" t="s">
        <v>5</v>
      </c>
      <c r="F11577" t="str" cm="1">
        <f t="array" ref="F11577">CategorizeComment(E11577)</f>
        <v>Other</v>
      </c>
      <c r="G11577" t="str" cm="1">
        <f t="array" ref="G11577">SubCategorizeComment(E11577)</f>
        <v>Other</v>
      </c>
    </row>
    <row r="11578" spans="1:7" x14ac:dyDescent="0.25">
      <c r="A11578">
        <v>109890</v>
      </c>
      <c r="B11578" t="s">
        <v>4</v>
      </c>
      <c r="C11578">
        <v>3</v>
      </c>
      <c r="D11578" t="s">
        <v>5</v>
      </c>
      <c r="F11578" t="str" cm="1">
        <f t="array" ref="F11578">CategorizeComment(E11578)</f>
        <v>Other</v>
      </c>
      <c r="G11578" t="str" cm="1">
        <f t="array" ref="G11578">SubCategorizeComment(E11578)</f>
        <v>Other</v>
      </c>
    </row>
    <row r="11579" spans="1:7" x14ac:dyDescent="0.25">
      <c r="A11579">
        <v>109898</v>
      </c>
      <c r="B11579" t="s">
        <v>4</v>
      </c>
      <c r="C11579">
        <v>3</v>
      </c>
      <c r="D11579" t="s">
        <v>5</v>
      </c>
      <c r="F11579" t="str" cm="1">
        <f t="array" ref="F11579">CategorizeComment(E11579)</f>
        <v>Other</v>
      </c>
      <c r="G11579" t="str" cm="1">
        <f t="array" ref="G11579">SubCategorizeComment(E11579)</f>
        <v>Other</v>
      </c>
    </row>
    <row r="11580" spans="1:7" x14ac:dyDescent="0.25">
      <c r="A11580">
        <v>109903</v>
      </c>
      <c r="B11580" t="s">
        <v>4</v>
      </c>
      <c r="C11580">
        <v>4</v>
      </c>
      <c r="D11580" t="s">
        <v>5</v>
      </c>
      <c r="F11580" t="str" cm="1">
        <f t="array" ref="F11580">CategorizeComment(E11580)</f>
        <v>Other</v>
      </c>
      <c r="G11580" t="str" cm="1">
        <f t="array" ref="G11580">SubCategorizeComment(E11580)</f>
        <v>Other</v>
      </c>
    </row>
    <row r="11581" spans="1:7" x14ac:dyDescent="0.25">
      <c r="A11581">
        <v>109904</v>
      </c>
      <c r="B11581" t="s">
        <v>4</v>
      </c>
      <c r="C11581">
        <v>4</v>
      </c>
      <c r="D11581" t="s">
        <v>5</v>
      </c>
      <c r="F11581" t="str" cm="1">
        <f t="array" ref="F11581">CategorizeComment(E11581)</f>
        <v>Other</v>
      </c>
      <c r="G11581" t="str" cm="1">
        <f t="array" ref="G11581">SubCategorizeComment(E11581)</f>
        <v>Other</v>
      </c>
    </row>
    <row r="11582" spans="1:7" x14ac:dyDescent="0.25">
      <c r="A11582">
        <v>109926</v>
      </c>
      <c r="B11582" t="s">
        <v>4</v>
      </c>
      <c r="C11582">
        <v>4</v>
      </c>
      <c r="D11582" t="s">
        <v>5</v>
      </c>
      <c r="F11582" t="str" cm="1">
        <f t="array" ref="F11582">CategorizeComment(E11582)</f>
        <v>Other</v>
      </c>
      <c r="G11582" t="str" cm="1">
        <f t="array" ref="G11582">SubCategorizeComment(E11582)</f>
        <v>Other</v>
      </c>
    </row>
    <row r="11583" spans="1:7" x14ac:dyDescent="0.25">
      <c r="A11583">
        <v>109929</v>
      </c>
      <c r="B11583" t="s">
        <v>4</v>
      </c>
      <c r="C11583">
        <v>3</v>
      </c>
      <c r="D11583" t="s">
        <v>5</v>
      </c>
      <c r="F11583" t="str" cm="1">
        <f t="array" ref="F11583">CategorizeComment(E11583)</f>
        <v>Other</v>
      </c>
      <c r="G11583" t="str" cm="1">
        <f t="array" ref="G11583">SubCategorizeComment(E11583)</f>
        <v>Other</v>
      </c>
    </row>
    <row r="11584" spans="1:7" x14ac:dyDescent="0.25">
      <c r="A11584">
        <v>109936</v>
      </c>
      <c r="B11584" t="s">
        <v>4</v>
      </c>
      <c r="C11584">
        <v>4</v>
      </c>
      <c r="D11584" t="s">
        <v>5</v>
      </c>
      <c r="F11584" t="str" cm="1">
        <f t="array" ref="F11584">CategorizeComment(E11584)</f>
        <v>Other</v>
      </c>
      <c r="G11584" t="str" cm="1">
        <f t="array" ref="G11584">SubCategorizeComment(E11584)</f>
        <v>Other</v>
      </c>
    </row>
    <row r="11585" spans="1:7" x14ac:dyDescent="0.25">
      <c r="A11585">
        <v>109943</v>
      </c>
      <c r="B11585" t="s">
        <v>4</v>
      </c>
      <c r="C11585">
        <v>4</v>
      </c>
      <c r="D11585" t="s">
        <v>5</v>
      </c>
      <c r="F11585" t="str" cm="1">
        <f t="array" ref="F11585">CategorizeComment(E11585)</f>
        <v>Other</v>
      </c>
      <c r="G11585" t="str" cm="1">
        <f t="array" ref="G11585">SubCategorizeComment(E11585)</f>
        <v>Other</v>
      </c>
    </row>
    <row r="11586" spans="1:7" x14ac:dyDescent="0.25">
      <c r="A11586">
        <v>109945</v>
      </c>
      <c r="B11586" t="s">
        <v>4</v>
      </c>
      <c r="C11586">
        <v>4</v>
      </c>
      <c r="D11586" t="s">
        <v>5</v>
      </c>
      <c r="F11586" t="str" cm="1">
        <f t="array" ref="F11586">CategorizeComment(E11586)</f>
        <v>Other</v>
      </c>
      <c r="G11586" t="str" cm="1">
        <f t="array" ref="G11586">SubCategorizeComment(E11586)</f>
        <v>Other</v>
      </c>
    </row>
    <row r="11587" spans="1:7" x14ac:dyDescent="0.25">
      <c r="A11587">
        <v>109992</v>
      </c>
      <c r="B11587" t="s">
        <v>4</v>
      </c>
      <c r="C11587">
        <v>3</v>
      </c>
      <c r="D11587" t="s">
        <v>5</v>
      </c>
      <c r="F11587" t="str" cm="1">
        <f t="array" ref="F11587">CategorizeComment(E11587)</f>
        <v>Other</v>
      </c>
      <c r="G11587" t="str" cm="1">
        <f t="array" ref="G11587">SubCategorizeComment(E11587)</f>
        <v>Other</v>
      </c>
    </row>
    <row r="11588" spans="1:7" x14ac:dyDescent="0.25">
      <c r="A11588">
        <v>109994</v>
      </c>
      <c r="B11588" t="s">
        <v>4</v>
      </c>
      <c r="C11588">
        <v>4</v>
      </c>
      <c r="D11588" t="s">
        <v>5</v>
      </c>
      <c r="F11588" t="str" cm="1">
        <f t="array" ref="F11588">CategorizeComment(E11588)</f>
        <v>Other</v>
      </c>
      <c r="G11588" t="str" cm="1">
        <f t="array" ref="G11588">SubCategorizeComment(E11588)</f>
        <v>Other</v>
      </c>
    </row>
    <row r="11589" spans="1:7" x14ac:dyDescent="0.25">
      <c r="A11589">
        <v>109998</v>
      </c>
      <c r="B11589" t="s">
        <v>4</v>
      </c>
      <c r="C11589">
        <v>4</v>
      </c>
      <c r="D11589" t="s">
        <v>5</v>
      </c>
      <c r="F11589" t="str" cm="1">
        <f t="array" ref="F11589">CategorizeComment(E11589)</f>
        <v>Other</v>
      </c>
      <c r="G11589" t="str" cm="1">
        <f t="array" ref="G11589">SubCategorizeComment(E11589)</f>
        <v>Other</v>
      </c>
    </row>
    <row r="11590" spans="1:7" x14ac:dyDescent="0.25">
      <c r="A11590">
        <v>110001</v>
      </c>
      <c r="B11590" t="s">
        <v>4</v>
      </c>
      <c r="C11590">
        <v>3</v>
      </c>
      <c r="D11590" t="s">
        <v>5</v>
      </c>
      <c r="F11590" t="str" cm="1">
        <f t="array" ref="F11590">CategorizeComment(E11590)</f>
        <v>Other</v>
      </c>
      <c r="G11590" t="str" cm="1">
        <f t="array" ref="G11590">SubCategorizeComment(E11590)</f>
        <v>Other</v>
      </c>
    </row>
    <row r="11591" spans="1:7" x14ac:dyDescent="0.25">
      <c r="A11591">
        <v>110006</v>
      </c>
      <c r="B11591" t="s">
        <v>4</v>
      </c>
      <c r="C11591">
        <v>4</v>
      </c>
      <c r="D11591" t="s">
        <v>5</v>
      </c>
      <c r="F11591" t="str" cm="1">
        <f t="array" ref="F11591">CategorizeComment(E11591)</f>
        <v>Other</v>
      </c>
      <c r="G11591" t="str" cm="1">
        <f t="array" ref="G11591">SubCategorizeComment(E11591)</f>
        <v>Other</v>
      </c>
    </row>
    <row r="11592" spans="1:7" x14ac:dyDescent="0.25">
      <c r="A11592">
        <v>110029</v>
      </c>
      <c r="B11592" t="s">
        <v>4</v>
      </c>
      <c r="C11592">
        <v>3</v>
      </c>
      <c r="D11592" t="s">
        <v>5</v>
      </c>
      <c r="F11592" t="str" cm="1">
        <f t="array" ref="F11592">CategorizeComment(E11592)</f>
        <v>Other</v>
      </c>
      <c r="G11592" t="str" cm="1">
        <f t="array" ref="G11592">SubCategorizeComment(E11592)</f>
        <v>Other</v>
      </c>
    </row>
    <row r="11593" spans="1:7" x14ac:dyDescent="0.25">
      <c r="A11593">
        <v>110035</v>
      </c>
      <c r="B11593" t="s">
        <v>4</v>
      </c>
      <c r="C11593">
        <v>3</v>
      </c>
      <c r="D11593" t="s">
        <v>5</v>
      </c>
      <c r="F11593" t="str" cm="1">
        <f t="array" ref="F11593">CategorizeComment(E11593)</f>
        <v>Other</v>
      </c>
      <c r="G11593" t="str" cm="1">
        <f t="array" ref="G11593">SubCategorizeComment(E11593)</f>
        <v>Other</v>
      </c>
    </row>
    <row r="11594" spans="1:7" x14ac:dyDescent="0.25">
      <c r="A11594">
        <v>110064</v>
      </c>
      <c r="B11594" t="s">
        <v>4</v>
      </c>
      <c r="C11594">
        <v>4</v>
      </c>
      <c r="D11594" t="s">
        <v>5</v>
      </c>
      <c r="F11594" t="str" cm="1">
        <f t="array" ref="F11594">CategorizeComment(E11594)</f>
        <v>Other</v>
      </c>
      <c r="G11594" t="str" cm="1">
        <f t="array" ref="G11594">SubCategorizeComment(E11594)</f>
        <v>Other</v>
      </c>
    </row>
    <row r="11595" spans="1:7" x14ac:dyDescent="0.25">
      <c r="A11595">
        <v>110107</v>
      </c>
      <c r="B11595" t="s">
        <v>4</v>
      </c>
      <c r="C11595">
        <v>4</v>
      </c>
      <c r="D11595" t="s">
        <v>5</v>
      </c>
      <c r="F11595" t="str" cm="1">
        <f t="array" ref="F11595">CategorizeComment(E11595)</f>
        <v>Other</v>
      </c>
      <c r="G11595" t="str" cm="1">
        <f t="array" ref="G11595">SubCategorizeComment(E11595)</f>
        <v>Other</v>
      </c>
    </row>
    <row r="11596" spans="1:7" x14ac:dyDescent="0.25">
      <c r="A11596">
        <v>110110</v>
      </c>
      <c r="B11596" t="s">
        <v>4</v>
      </c>
      <c r="C11596">
        <v>4</v>
      </c>
      <c r="D11596" t="s">
        <v>5</v>
      </c>
      <c r="F11596" t="str" cm="1">
        <f t="array" ref="F11596">CategorizeComment(E11596)</f>
        <v>Other</v>
      </c>
      <c r="G11596" t="str" cm="1">
        <f t="array" ref="G11596">SubCategorizeComment(E11596)</f>
        <v>Other</v>
      </c>
    </row>
    <row r="11597" spans="1:7" x14ac:dyDescent="0.25">
      <c r="A11597">
        <v>110134</v>
      </c>
      <c r="B11597" t="s">
        <v>4</v>
      </c>
      <c r="C11597">
        <v>3</v>
      </c>
      <c r="D11597" t="s">
        <v>5</v>
      </c>
      <c r="F11597" t="str" cm="1">
        <f t="array" ref="F11597">CategorizeComment(E11597)</f>
        <v>Other</v>
      </c>
      <c r="G11597" t="str" cm="1">
        <f t="array" ref="G11597">SubCategorizeComment(E11597)</f>
        <v>Other</v>
      </c>
    </row>
    <row r="11598" spans="1:7" x14ac:dyDescent="0.25">
      <c r="A11598">
        <v>110149</v>
      </c>
      <c r="B11598" t="s">
        <v>4</v>
      </c>
      <c r="C11598">
        <v>4</v>
      </c>
      <c r="D11598" t="s">
        <v>5</v>
      </c>
      <c r="F11598" t="str" cm="1">
        <f t="array" ref="F11598">CategorizeComment(E11598)</f>
        <v>Other</v>
      </c>
      <c r="G11598" t="str" cm="1">
        <f t="array" ref="G11598">SubCategorizeComment(E11598)</f>
        <v>Other</v>
      </c>
    </row>
    <row r="11599" spans="1:7" x14ac:dyDescent="0.25">
      <c r="A11599">
        <v>110151</v>
      </c>
      <c r="B11599" t="s">
        <v>4</v>
      </c>
      <c r="C11599">
        <v>4</v>
      </c>
      <c r="D11599" t="s">
        <v>5</v>
      </c>
      <c r="F11599" t="str" cm="1">
        <f t="array" ref="F11599">CategorizeComment(E11599)</f>
        <v>Other</v>
      </c>
      <c r="G11599" t="str" cm="1">
        <f t="array" ref="G11599">SubCategorizeComment(E11599)</f>
        <v>Other</v>
      </c>
    </row>
    <row r="11600" spans="1:7" x14ac:dyDescent="0.25">
      <c r="A11600">
        <v>110155</v>
      </c>
      <c r="B11600" t="s">
        <v>4</v>
      </c>
      <c r="C11600">
        <v>3</v>
      </c>
      <c r="D11600" t="s">
        <v>5</v>
      </c>
      <c r="F11600" t="str" cm="1">
        <f t="array" ref="F11600">CategorizeComment(E11600)</f>
        <v>Other</v>
      </c>
      <c r="G11600" t="str" cm="1">
        <f t="array" ref="G11600">SubCategorizeComment(E11600)</f>
        <v>Other</v>
      </c>
    </row>
    <row r="11601" spans="1:7" x14ac:dyDescent="0.25">
      <c r="A11601">
        <v>110159</v>
      </c>
      <c r="B11601" t="s">
        <v>4</v>
      </c>
      <c r="C11601">
        <v>4</v>
      </c>
      <c r="D11601" t="s">
        <v>5</v>
      </c>
      <c r="F11601" t="str" cm="1">
        <f t="array" ref="F11601">CategorizeComment(E11601)</f>
        <v>Other</v>
      </c>
      <c r="G11601" t="str" cm="1">
        <f t="array" ref="G11601">SubCategorizeComment(E11601)</f>
        <v>Other</v>
      </c>
    </row>
    <row r="11602" spans="1:7" x14ac:dyDescent="0.25">
      <c r="A11602">
        <v>110175</v>
      </c>
      <c r="B11602" t="s">
        <v>4</v>
      </c>
      <c r="C11602">
        <v>4</v>
      </c>
      <c r="D11602" t="s">
        <v>5</v>
      </c>
      <c r="F11602" t="str" cm="1">
        <f t="array" ref="F11602">CategorizeComment(E11602)</f>
        <v>Other</v>
      </c>
      <c r="G11602" t="str" cm="1">
        <f t="array" ref="G11602">SubCategorizeComment(E11602)</f>
        <v>Other</v>
      </c>
    </row>
    <row r="11603" spans="1:7" x14ac:dyDescent="0.25">
      <c r="A11603">
        <v>110178</v>
      </c>
      <c r="B11603" t="s">
        <v>4</v>
      </c>
      <c r="C11603">
        <v>3</v>
      </c>
      <c r="D11603" t="s">
        <v>5</v>
      </c>
      <c r="F11603" t="str" cm="1">
        <f t="array" ref="F11603">CategorizeComment(E11603)</f>
        <v>Other</v>
      </c>
      <c r="G11603" t="str" cm="1">
        <f t="array" ref="G11603">SubCategorizeComment(E11603)</f>
        <v>Other</v>
      </c>
    </row>
    <row r="11604" spans="1:7" x14ac:dyDescent="0.25">
      <c r="A11604">
        <v>110190</v>
      </c>
      <c r="B11604" t="s">
        <v>4</v>
      </c>
      <c r="C11604">
        <v>4</v>
      </c>
      <c r="D11604" t="s">
        <v>5</v>
      </c>
      <c r="F11604" t="str" cm="1">
        <f t="array" ref="F11604">CategorizeComment(E11604)</f>
        <v>Other</v>
      </c>
      <c r="G11604" t="str" cm="1">
        <f t="array" ref="G11604">SubCategorizeComment(E11604)</f>
        <v>Other</v>
      </c>
    </row>
    <row r="11605" spans="1:7" x14ac:dyDescent="0.25">
      <c r="A11605">
        <v>110193</v>
      </c>
      <c r="B11605" t="s">
        <v>4</v>
      </c>
      <c r="C11605">
        <v>3</v>
      </c>
      <c r="D11605" t="s">
        <v>5</v>
      </c>
      <c r="F11605" t="str" cm="1">
        <f t="array" ref="F11605">CategorizeComment(E11605)</f>
        <v>Other</v>
      </c>
      <c r="G11605" t="str" cm="1">
        <f t="array" ref="G11605">SubCategorizeComment(E11605)</f>
        <v>Other</v>
      </c>
    </row>
    <row r="11606" spans="1:7" x14ac:dyDescent="0.25">
      <c r="A11606">
        <v>110213</v>
      </c>
      <c r="B11606" t="s">
        <v>4</v>
      </c>
      <c r="C11606">
        <v>4</v>
      </c>
      <c r="D11606" t="s">
        <v>5</v>
      </c>
      <c r="F11606" t="str" cm="1">
        <f t="array" ref="F11606">CategorizeComment(E11606)</f>
        <v>Other</v>
      </c>
      <c r="G11606" t="str" cm="1">
        <f t="array" ref="G11606">SubCategorizeComment(E11606)</f>
        <v>Other</v>
      </c>
    </row>
    <row r="11607" spans="1:7" x14ac:dyDescent="0.25">
      <c r="A11607">
        <v>110221</v>
      </c>
      <c r="B11607" t="s">
        <v>4</v>
      </c>
      <c r="C11607">
        <v>4</v>
      </c>
      <c r="D11607" t="s">
        <v>5</v>
      </c>
      <c r="F11607" t="str" cm="1">
        <f t="array" ref="F11607">CategorizeComment(E11607)</f>
        <v>Other</v>
      </c>
      <c r="G11607" t="str" cm="1">
        <f t="array" ref="G11607">SubCategorizeComment(E11607)</f>
        <v>Other</v>
      </c>
    </row>
    <row r="11608" spans="1:7" x14ac:dyDescent="0.25">
      <c r="A11608">
        <v>110244</v>
      </c>
      <c r="B11608" t="s">
        <v>4</v>
      </c>
      <c r="C11608">
        <v>3</v>
      </c>
      <c r="D11608" t="s">
        <v>5</v>
      </c>
      <c r="F11608" t="str" cm="1">
        <f t="array" ref="F11608">CategorizeComment(E11608)</f>
        <v>Other</v>
      </c>
      <c r="G11608" t="str" cm="1">
        <f t="array" ref="G11608">SubCategorizeComment(E11608)</f>
        <v>Other</v>
      </c>
    </row>
    <row r="11609" spans="1:7" x14ac:dyDescent="0.25">
      <c r="A11609">
        <v>110273</v>
      </c>
      <c r="B11609" t="s">
        <v>4</v>
      </c>
      <c r="C11609">
        <v>4</v>
      </c>
      <c r="D11609" t="s">
        <v>5</v>
      </c>
      <c r="F11609" t="str" cm="1">
        <f t="array" ref="F11609">CategorizeComment(E11609)</f>
        <v>Other</v>
      </c>
      <c r="G11609" t="str" cm="1">
        <f t="array" ref="G11609">SubCategorizeComment(E11609)</f>
        <v>Other</v>
      </c>
    </row>
    <row r="11610" spans="1:7" x14ac:dyDescent="0.25">
      <c r="A11610">
        <v>110274</v>
      </c>
      <c r="B11610" t="s">
        <v>4</v>
      </c>
      <c r="C11610">
        <v>3</v>
      </c>
      <c r="D11610" t="s">
        <v>5</v>
      </c>
      <c r="F11610" t="str" cm="1">
        <f t="array" ref="F11610">CategorizeComment(E11610)</f>
        <v>Other</v>
      </c>
      <c r="G11610" t="str" cm="1">
        <f t="array" ref="G11610">SubCategorizeComment(E11610)</f>
        <v>Other</v>
      </c>
    </row>
    <row r="11611" spans="1:7" x14ac:dyDescent="0.25">
      <c r="A11611">
        <v>110325</v>
      </c>
      <c r="B11611" t="s">
        <v>4</v>
      </c>
      <c r="C11611">
        <v>3</v>
      </c>
      <c r="D11611" t="s">
        <v>5</v>
      </c>
      <c r="F11611" t="str" cm="1">
        <f t="array" ref="F11611">CategorizeComment(E11611)</f>
        <v>Other</v>
      </c>
      <c r="G11611" t="str" cm="1">
        <f t="array" ref="G11611">SubCategorizeComment(E11611)</f>
        <v>Other</v>
      </c>
    </row>
    <row r="11612" spans="1:7" x14ac:dyDescent="0.25">
      <c r="A11612">
        <v>110342</v>
      </c>
      <c r="B11612" t="s">
        <v>4</v>
      </c>
      <c r="C11612">
        <v>3</v>
      </c>
      <c r="D11612" t="s">
        <v>5</v>
      </c>
      <c r="F11612" t="str" cm="1">
        <f t="array" ref="F11612">CategorizeComment(E11612)</f>
        <v>Other</v>
      </c>
      <c r="G11612" t="str" cm="1">
        <f t="array" ref="G11612">SubCategorizeComment(E11612)</f>
        <v>Other</v>
      </c>
    </row>
    <row r="11613" spans="1:7" x14ac:dyDescent="0.25">
      <c r="A11613">
        <v>110356</v>
      </c>
      <c r="B11613" t="s">
        <v>4</v>
      </c>
      <c r="C11613">
        <v>4</v>
      </c>
      <c r="D11613" t="s">
        <v>5</v>
      </c>
      <c r="F11613" t="str" cm="1">
        <f t="array" ref="F11613">CategorizeComment(E11613)</f>
        <v>Other</v>
      </c>
      <c r="G11613" t="str" cm="1">
        <f t="array" ref="G11613">SubCategorizeComment(E11613)</f>
        <v>Other</v>
      </c>
    </row>
    <row r="11614" spans="1:7" x14ac:dyDescent="0.25">
      <c r="A11614">
        <v>110357</v>
      </c>
      <c r="B11614" t="s">
        <v>4</v>
      </c>
      <c r="C11614">
        <v>3</v>
      </c>
      <c r="D11614" t="s">
        <v>5</v>
      </c>
      <c r="F11614" t="str" cm="1">
        <f t="array" ref="F11614">CategorizeComment(E11614)</f>
        <v>Other</v>
      </c>
      <c r="G11614" t="str" cm="1">
        <f t="array" ref="G11614">SubCategorizeComment(E11614)</f>
        <v>Other</v>
      </c>
    </row>
    <row r="11615" spans="1:7" x14ac:dyDescent="0.25">
      <c r="A11615">
        <v>110360</v>
      </c>
      <c r="B11615" t="s">
        <v>4</v>
      </c>
      <c r="C11615">
        <v>4</v>
      </c>
      <c r="D11615" t="s">
        <v>5</v>
      </c>
      <c r="F11615" t="str" cm="1">
        <f t="array" ref="F11615">CategorizeComment(E11615)</f>
        <v>Other</v>
      </c>
      <c r="G11615" t="str" cm="1">
        <f t="array" ref="G11615">SubCategorizeComment(E11615)</f>
        <v>Other</v>
      </c>
    </row>
    <row r="11616" spans="1:7" x14ac:dyDescent="0.25">
      <c r="A11616">
        <v>110373</v>
      </c>
      <c r="B11616" t="s">
        <v>4</v>
      </c>
      <c r="C11616">
        <v>3</v>
      </c>
      <c r="D11616" t="s">
        <v>5</v>
      </c>
      <c r="F11616" t="str" cm="1">
        <f t="array" ref="F11616">CategorizeComment(E11616)</f>
        <v>Other</v>
      </c>
      <c r="G11616" t="str" cm="1">
        <f t="array" ref="G11616">SubCategorizeComment(E11616)</f>
        <v>Other</v>
      </c>
    </row>
    <row r="11617" spans="1:7" x14ac:dyDescent="0.25">
      <c r="A11617">
        <v>110378</v>
      </c>
      <c r="B11617" t="s">
        <v>4</v>
      </c>
      <c r="C11617">
        <v>4</v>
      </c>
      <c r="D11617" t="s">
        <v>5</v>
      </c>
      <c r="F11617" t="str" cm="1">
        <f t="array" ref="F11617">CategorizeComment(E11617)</f>
        <v>Other</v>
      </c>
      <c r="G11617" t="str" cm="1">
        <f t="array" ref="G11617">SubCategorizeComment(E11617)</f>
        <v>Other</v>
      </c>
    </row>
    <row r="11618" spans="1:7" x14ac:dyDescent="0.25">
      <c r="A11618">
        <v>110379</v>
      </c>
      <c r="B11618" t="s">
        <v>4</v>
      </c>
      <c r="C11618">
        <v>4</v>
      </c>
      <c r="D11618" t="s">
        <v>5</v>
      </c>
      <c r="F11618" t="str" cm="1">
        <f t="array" ref="F11618">CategorizeComment(E11618)</f>
        <v>Other</v>
      </c>
      <c r="G11618" t="str" cm="1">
        <f t="array" ref="G11618">SubCategorizeComment(E11618)</f>
        <v>Other</v>
      </c>
    </row>
    <row r="11619" spans="1:7" x14ac:dyDescent="0.25">
      <c r="A11619">
        <v>110380</v>
      </c>
      <c r="B11619" t="s">
        <v>4</v>
      </c>
      <c r="C11619">
        <v>4</v>
      </c>
      <c r="D11619" t="s">
        <v>5</v>
      </c>
      <c r="F11619" t="str" cm="1">
        <f t="array" ref="F11619">CategorizeComment(E11619)</f>
        <v>Other</v>
      </c>
      <c r="G11619" t="str" cm="1">
        <f t="array" ref="G11619">SubCategorizeComment(E11619)</f>
        <v>Other</v>
      </c>
    </row>
    <row r="11620" spans="1:7" x14ac:dyDescent="0.25">
      <c r="A11620">
        <v>110386</v>
      </c>
      <c r="B11620" t="s">
        <v>4</v>
      </c>
      <c r="C11620">
        <v>4</v>
      </c>
      <c r="D11620" t="s">
        <v>5</v>
      </c>
      <c r="F11620" t="str" cm="1">
        <f t="array" ref="F11620">CategorizeComment(E11620)</f>
        <v>Other</v>
      </c>
      <c r="G11620" t="str" cm="1">
        <f t="array" ref="G11620">SubCategorizeComment(E11620)</f>
        <v>Other</v>
      </c>
    </row>
    <row r="11621" spans="1:7" x14ac:dyDescent="0.25">
      <c r="A11621">
        <v>110389</v>
      </c>
      <c r="B11621" t="s">
        <v>4</v>
      </c>
      <c r="C11621">
        <v>3</v>
      </c>
      <c r="D11621" t="s">
        <v>5</v>
      </c>
      <c r="F11621" t="str" cm="1">
        <f t="array" ref="F11621">CategorizeComment(E11621)</f>
        <v>Other</v>
      </c>
      <c r="G11621" t="str" cm="1">
        <f t="array" ref="G11621">SubCategorizeComment(E11621)</f>
        <v>Other</v>
      </c>
    </row>
    <row r="11622" spans="1:7" x14ac:dyDescent="0.25">
      <c r="A11622">
        <v>110400</v>
      </c>
      <c r="B11622" t="s">
        <v>4</v>
      </c>
      <c r="C11622">
        <v>3</v>
      </c>
      <c r="D11622" t="s">
        <v>5</v>
      </c>
      <c r="F11622" t="str" cm="1">
        <f t="array" ref="F11622">CategorizeComment(E11622)</f>
        <v>Other</v>
      </c>
      <c r="G11622" t="str" cm="1">
        <f t="array" ref="G11622">SubCategorizeComment(E11622)</f>
        <v>Other</v>
      </c>
    </row>
    <row r="11623" spans="1:7" x14ac:dyDescent="0.25">
      <c r="A11623">
        <v>110402</v>
      </c>
      <c r="B11623" t="s">
        <v>4</v>
      </c>
      <c r="C11623">
        <v>4</v>
      </c>
      <c r="D11623" t="s">
        <v>5</v>
      </c>
      <c r="F11623" t="str" cm="1">
        <f t="array" ref="F11623">CategorizeComment(E11623)</f>
        <v>Other</v>
      </c>
      <c r="G11623" t="str" cm="1">
        <f t="array" ref="G11623">SubCategorizeComment(E11623)</f>
        <v>Other</v>
      </c>
    </row>
    <row r="11624" spans="1:7" x14ac:dyDescent="0.25">
      <c r="A11624">
        <v>110404</v>
      </c>
      <c r="B11624" t="s">
        <v>4</v>
      </c>
      <c r="C11624">
        <v>4</v>
      </c>
      <c r="D11624" t="s">
        <v>5</v>
      </c>
      <c r="F11624" t="str" cm="1">
        <f t="array" ref="F11624">CategorizeComment(E11624)</f>
        <v>Other</v>
      </c>
      <c r="G11624" t="str" cm="1">
        <f t="array" ref="G11624">SubCategorizeComment(E11624)</f>
        <v>Other</v>
      </c>
    </row>
    <row r="11625" spans="1:7" x14ac:dyDescent="0.25">
      <c r="A11625">
        <v>110405</v>
      </c>
      <c r="B11625" t="s">
        <v>4</v>
      </c>
      <c r="C11625">
        <v>3</v>
      </c>
      <c r="D11625" t="s">
        <v>5</v>
      </c>
      <c r="F11625" t="str" cm="1">
        <f t="array" ref="F11625">CategorizeComment(E11625)</f>
        <v>Other</v>
      </c>
      <c r="G11625" t="str" cm="1">
        <f t="array" ref="G11625">SubCategorizeComment(E11625)</f>
        <v>Other</v>
      </c>
    </row>
    <row r="11626" spans="1:7" x14ac:dyDescent="0.25">
      <c r="A11626">
        <v>110406</v>
      </c>
      <c r="B11626" t="s">
        <v>4</v>
      </c>
      <c r="C11626">
        <v>4</v>
      </c>
      <c r="D11626" t="s">
        <v>5</v>
      </c>
      <c r="F11626" t="str" cm="1">
        <f t="array" ref="F11626">CategorizeComment(E11626)</f>
        <v>Other</v>
      </c>
      <c r="G11626" t="str" cm="1">
        <f t="array" ref="G11626">SubCategorizeComment(E11626)</f>
        <v>Other</v>
      </c>
    </row>
    <row r="11627" spans="1:7" x14ac:dyDescent="0.25">
      <c r="A11627">
        <v>110411</v>
      </c>
      <c r="B11627" t="s">
        <v>4</v>
      </c>
      <c r="C11627">
        <v>4</v>
      </c>
      <c r="D11627" t="s">
        <v>5</v>
      </c>
      <c r="F11627" t="str" cm="1">
        <f t="array" ref="F11627">CategorizeComment(E11627)</f>
        <v>Other</v>
      </c>
      <c r="G11627" t="str" cm="1">
        <f t="array" ref="G11627">SubCategorizeComment(E11627)</f>
        <v>Other</v>
      </c>
    </row>
    <row r="11628" spans="1:7" x14ac:dyDescent="0.25">
      <c r="A11628">
        <v>110412</v>
      </c>
      <c r="B11628" t="s">
        <v>4</v>
      </c>
      <c r="C11628">
        <v>4</v>
      </c>
      <c r="D11628" t="s">
        <v>5</v>
      </c>
      <c r="F11628" t="str" cm="1">
        <f t="array" ref="F11628">CategorizeComment(E11628)</f>
        <v>Other</v>
      </c>
      <c r="G11628" t="str" cm="1">
        <f t="array" ref="G11628">SubCategorizeComment(E11628)</f>
        <v>Other</v>
      </c>
    </row>
    <row r="11629" spans="1:7" x14ac:dyDescent="0.25">
      <c r="A11629">
        <v>110414</v>
      </c>
      <c r="B11629" t="s">
        <v>4</v>
      </c>
      <c r="C11629">
        <v>4</v>
      </c>
      <c r="D11629" t="s">
        <v>5</v>
      </c>
      <c r="F11629" t="str" cm="1">
        <f t="array" ref="F11629">CategorizeComment(E11629)</f>
        <v>Other</v>
      </c>
      <c r="G11629" t="str" cm="1">
        <f t="array" ref="G11629">SubCategorizeComment(E11629)</f>
        <v>Other</v>
      </c>
    </row>
    <row r="11630" spans="1:7" x14ac:dyDescent="0.25">
      <c r="A11630">
        <v>110425</v>
      </c>
      <c r="B11630" t="s">
        <v>4</v>
      </c>
      <c r="C11630">
        <v>3</v>
      </c>
      <c r="D11630" t="s">
        <v>5</v>
      </c>
      <c r="F11630" t="str" cm="1">
        <f t="array" ref="F11630">CategorizeComment(E11630)</f>
        <v>Other</v>
      </c>
      <c r="G11630" t="str" cm="1">
        <f t="array" ref="G11630">SubCategorizeComment(E11630)</f>
        <v>Other</v>
      </c>
    </row>
    <row r="11631" spans="1:7" x14ac:dyDescent="0.25">
      <c r="A11631">
        <v>110432</v>
      </c>
      <c r="B11631" t="s">
        <v>4</v>
      </c>
      <c r="C11631">
        <v>4</v>
      </c>
      <c r="D11631" t="s">
        <v>5</v>
      </c>
      <c r="F11631" t="str" cm="1">
        <f t="array" ref="F11631">CategorizeComment(E11631)</f>
        <v>Other</v>
      </c>
      <c r="G11631" t="str" cm="1">
        <f t="array" ref="G11631">SubCategorizeComment(E11631)</f>
        <v>Other</v>
      </c>
    </row>
    <row r="11632" spans="1:7" x14ac:dyDescent="0.25">
      <c r="A11632">
        <v>110436</v>
      </c>
      <c r="B11632" t="s">
        <v>4</v>
      </c>
      <c r="C11632">
        <v>3</v>
      </c>
      <c r="D11632" t="s">
        <v>5</v>
      </c>
      <c r="F11632" t="str" cm="1">
        <f t="array" ref="F11632">CategorizeComment(E11632)</f>
        <v>Other</v>
      </c>
      <c r="G11632" t="str" cm="1">
        <f t="array" ref="G11632">SubCategorizeComment(E11632)</f>
        <v>Other</v>
      </c>
    </row>
    <row r="11633" spans="1:7" x14ac:dyDescent="0.25">
      <c r="A11633">
        <v>110439</v>
      </c>
      <c r="B11633" t="s">
        <v>4</v>
      </c>
      <c r="C11633">
        <v>3</v>
      </c>
      <c r="D11633" t="s">
        <v>5</v>
      </c>
      <c r="F11633" t="str" cm="1">
        <f t="array" ref="F11633">CategorizeComment(E11633)</f>
        <v>Other</v>
      </c>
      <c r="G11633" t="str" cm="1">
        <f t="array" ref="G11633">SubCategorizeComment(E11633)</f>
        <v>Other</v>
      </c>
    </row>
    <row r="11634" spans="1:7" x14ac:dyDescent="0.25">
      <c r="A11634">
        <v>110454</v>
      </c>
      <c r="B11634" t="s">
        <v>4</v>
      </c>
      <c r="C11634">
        <v>3</v>
      </c>
      <c r="D11634" t="s">
        <v>5</v>
      </c>
      <c r="F11634" t="str" cm="1">
        <f t="array" ref="F11634">CategorizeComment(E11634)</f>
        <v>Other</v>
      </c>
      <c r="G11634" t="str" cm="1">
        <f t="array" ref="G11634">SubCategorizeComment(E11634)</f>
        <v>Other</v>
      </c>
    </row>
    <row r="11635" spans="1:7" x14ac:dyDescent="0.25">
      <c r="A11635">
        <v>110455</v>
      </c>
      <c r="B11635" t="s">
        <v>4</v>
      </c>
      <c r="C11635">
        <v>4</v>
      </c>
      <c r="D11635" t="s">
        <v>5</v>
      </c>
      <c r="F11635" t="str" cm="1">
        <f t="array" ref="F11635">CategorizeComment(E11635)</f>
        <v>Other</v>
      </c>
      <c r="G11635" t="str" cm="1">
        <f t="array" ref="G11635">SubCategorizeComment(E11635)</f>
        <v>Other</v>
      </c>
    </row>
    <row r="11636" spans="1:7" x14ac:dyDescent="0.25">
      <c r="A11636">
        <v>110465</v>
      </c>
      <c r="B11636" t="s">
        <v>4</v>
      </c>
      <c r="C11636">
        <v>4</v>
      </c>
      <c r="D11636" t="s">
        <v>5</v>
      </c>
      <c r="F11636" t="str" cm="1">
        <f t="array" ref="F11636">CategorizeComment(E11636)</f>
        <v>Other</v>
      </c>
      <c r="G11636" t="str" cm="1">
        <f t="array" ref="G11636">SubCategorizeComment(E11636)</f>
        <v>Other</v>
      </c>
    </row>
    <row r="11637" spans="1:7" x14ac:dyDescent="0.25">
      <c r="A11637">
        <v>110468</v>
      </c>
      <c r="B11637" t="s">
        <v>4</v>
      </c>
      <c r="C11637">
        <v>3</v>
      </c>
      <c r="D11637" t="s">
        <v>5</v>
      </c>
      <c r="F11637" t="str" cm="1">
        <f t="array" ref="F11637">CategorizeComment(E11637)</f>
        <v>Other</v>
      </c>
      <c r="G11637" t="str" cm="1">
        <f t="array" ref="G11637">SubCategorizeComment(E11637)</f>
        <v>Other</v>
      </c>
    </row>
    <row r="11638" spans="1:7" x14ac:dyDescent="0.25">
      <c r="A11638">
        <v>110469</v>
      </c>
      <c r="B11638" t="s">
        <v>4</v>
      </c>
      <c r="C11638">
        <v>3</v>
      </c>
      <c r="D11638" t="s">
        <v>5</v>
      </c>
      <c r="F11638" t="str" cm="1">
        <f t="array" ref="F11638">CategorizeComment(E11638)</f>
        <v>Other</v>
      </c>
      <c r="G11638" t="str" cm="1">
        <f t="array" ref="G11638">SubCategorizeComment(E11638)</f>
        <v>Other</v>
      </c>
    </row>
    <row r="11639" spans="1:7" x14ac:dyDescent="0.25">
      <c r="A11639">
        <v>110471</v>
      </c>
      <c r="B11639" t="s">
        <v>4</v>
      </c>
      <c r="C11639">
        <v>4</v>
      </c>
      <c r="D11639" t="s">
        <v>5</v>
      </c>
      <c r="F11639" t="str" cm="1">
        <f t="array" ref="F11639">CategorizeComment(E11639)</f>
        <v>Other</v>
      </c>
      <c r="G11639" t="str" cm="1">
        <f t="array" ref="G11639">SubCategorizeComment(E11639)</f>
        <v>Other</v>
      </c>
    </row>
    <row r="11640" spans="1:7" x14ac:dyDescent="0.25">
      <c r="A11640">
        <v>110472</v>
      </c>
      <c r="B11640" t="s">
        <v>4</v>
      </c>
      <c r="C11640">
        <v>4</v>
      </c>
      <c r="D11640" t="s">
        <v>5</v>
      </c>
      <c r="F11640" t="str" cm="1">
        <f t="array" ref="F11640">CategorizeComment(E11640)</f>
        <v>Other</v>
      </c>
      <c r="G11640" t="str" cm="1">
        <f t="array" ref="G11640">SubCategorizeComment(E11640)</f>
        <v>Other</v>
      </c>
    </row>
    <row r="11641" spans="1:7" x14ac:dyDescent="0.25">
      <c r="A11641">
        <v>110474</v>
      </c>
      <c r="B11641" t="s">
        <v>4</v>
      </c>
      <c r="C11641">
        <v>4</v>
      </c>
      <c r="D11641" t="s">
        <v>5</v>
      </c>
      <c r="F11641" t="str" cm="1">
        <f t="array" ref="F11641">CategorizeComment(E11641)</f>
        <v>Other</v>
      </c>
      <c r="G11641" t="str" cm="1">
        <f t="array" ref="G11641">SubCategorizeComment(E11641)</f>
        <v>Other</v>
      </c>
    </row>
    <row r="11642" spans="1:7" x14ac:dyDescent="0.25">
      <c r="A11642">
        <v>110480</v>
      </c>
      <c r="B11642" t="s">
        <v>4</v>
      </c>
      <c r="C11642">
        <v>3</v>
      </c>
      <c r="D11642" t="s">
        <v>5</v>
      </c>
      <c r="F11642" t="str" cm="1">
        <f t="array" ref="F11642">CategorizeComment(E11642)</f>
        <v>Other</v>
      </c>
      <c r="G11642" t="str" cm="1">
        <f t="array" ref="G11642">SubCategorizeComment(E11642)</f>
        <v>Other</v>
      </c>
    </row>
    <row r="11643" spans="1:7" x14ac:dyDescent="0.25">
      <c r="A11643">
        <v>110481</v>
      </c>
      <c r="B11643" t="s">
        <v>4</v>
      </c>
      <c r="C11643">
        <v>3</v>
      </c>
      <c r="D11643" t="s">
        <v>5</v>
      </c>
      <c r="F11643" t="str" cm="1">
        <f t="array" ref="F11643">CategorizeComment(E11643)</f>
        <v>Other</v>
      </c>
      <c r="G11643" t="str" cm="1">
        <f t="array" ref="G11643">SubCategorizeComment(E11643)</f>
        <v>Other</v>
      </c>
    </row>
    <row r="11644" spans="1:7" x14ac:dyDescent="0.25">
      <c r="A11644">
        <v>110486</v>
      </c>
      <c r="B11644" t="s">
        <v>4</v>
      </c>
      <c r="C11644">
        <v>4</v>
      </c>
      <c r="D11644" t="s">
        <v>5</v>
      </c>
      <c r="F11644" t="str" cm="1">
        <f t="array" ref="F11644">CategorizeComment(E11644)</f>
        <v>Other</v>
      </c>
      <c r="G11644" t="str" cm="1">
        <f t="array" ref="G11644">SubCategorizeComment(E11644)</f>
        <v>Other</v>
      </c>
    </row>
    <row r="11645" spans="1:7" x14ac:dyDescent="0.25">
      <c r="A11645">
        <v>110490</v>
      </c>
      <c r="B11645" t="s">
        <v>4</v>
      </c>
      <c r="C11645">
        <v>4</v>
      </c>
      <c r="D11645" t="s">
        <v>5</v>
      </c>
      <c r="F11645" t="str" cm="1">
        <f t="array" ref="F11645">CategorizeComment(E11645)</f>
        <v>Other</v>
      </c>
      <c r="G11645" t="str" cm="1">
        <f t="array" ref="G11645">SubCategorizeComment(E11645)</f>
        <v>Other</v>
      </c>
    </row>
    <row r="11646" spans="1:7" x14ac:dyDescent="0.25">
      <c r="A11646">
        <v>110514</v>
      </c>
      <c r="B11646" t="s">
        <v>4</v>
      </c>
      <c r="C11646">
        <v>3</v>
      </c>
      <c r="D11646" t="s">
        <v>5</v>
      </c>
      <c r="F11646" t="str" cm="1">
        <f t="array" ref="F11646">CategorizeComment(E11646)</f>
        <v>Other</v>
      </c>
      <c r="G11646" t="str" cm="1">
        <f t="array" ref="G11646">SubCategorizeComment(E11646)</f>
        <v>Other</v>
      </c>
    </row>
    <row r="11647" spans="1:7" x14ac:dyDescent="0.25">
      <c r="A11647">
        <v>110559</v>
      </c>
      <c r="B11647" t="s">
        <v>4</v>
      </c>
      <c r="C11647">
        <v>3</v>
      </c>
      <c r="D11647" t="s">
        <v>5</v>
      </c>
      <c r="F11647" t="str" cm="1">
        <f t="array" ref="F11647">CategorizeComment(E11647)</f>
        <v>Other</v>
      </c>
      <c r="G11647" t="str" cm="1">
        <f t="array" ref="G11647">SubCategorizeComment(E11647)</f>
        <v>Other</v>
      </c>
    </row>
    <row r="11648" spans="1:7" x14ac:dyDescent="0.25">
      <c r="A11648">
        <v>110568</v>
      </c>
      <c r="B11648" t="s">
        <v>4</v>
      </c>
      <c r="C11648">
        <v>4</v>
      </c>
      <c r="D11648" t="s">
        <v>5</v>
      </c>
      <c r="F11648" t="str" cm="1">
        <f t="array" ref="F11648">CategorizeComment(E11648)</f>
        <v>Other</v>
      </c>
      <c r="G11648" t="str" cm="1">
        <f t="array" ref="G11648">SubCategorizeComment(E11648)</f>
        <v>Other</v>
      </c>
    </row>
    <row r="11649" spans="1:7" x14ac:dyDescent="0.25">
      <c r="A11649">
        <v>110580</v>
      </c>
      <c r="B11649" t="s">
        <v>4</v>
      </c>
      <c r="C11649">
        <v>3</v>
      </c>
      <c r="D11649" t="s">
        <v>5</v>
      </c>
      <c r="F11649" t="str" cm="1">
        <f t="array" ref="F11649">CategorizeComment(E11649)</f>
        <v>Other</v>
      </c>
      <c r="G11649" t="str" cm="1">
        <f t="array" ref="G11649">SubCategorizeComment(E11649)</f>
        <v>Other</v>
      </c>
    </row>
    <row r="11650" spans="1:7" x14ac:dyDescent="0.25">
      <c r="A11650">
        <v>110593</v>
      </c>
      <c r="B11650" t="s">
        <v>4</v>
      </c>
      <c r="C11650">
        <v>3</v>
      </c>
      <c r="D11650" t="s">
        <v>5</v>
      </c>
      <c r="F11650" t="str" cm="1">
        <f t="array" ref="F11650">CategorizeComment(E11650)</f>
        <v>Other</v>
      </c>
      <c r="G11650" t="str" cm="1">
        <f t="array" ref="G11650">SubCategorizeComment(E11650)</f>
        <v>Other</v>
      </c>
    </row>
    <row r="11651" spans="1:7" x14ac:dyDescent="0.25">
      <c r="A11651">
        <v>110603</v>
      </c>
      <c r="B11651" t="s">
        <v>4</v>
      </c>
      <c r="C11651">
        <v>3</v>
      </c>
      <c r="D11651" t="s">
        <v>5</v>
      </c>
      <c r="F11651" t="str" cm="1">
        <f t="array" ref="F11651">CategorizeComment(E11651)</f>
        <v>Other</v>
      </c>
      <c r="G11651" t="str" cm="1">
        <f t="array" ref="G11651">SubCategorizeComment(E11651)</f>
        <v>Other</v>
      </c>
    </row>
    <row r="11652" spans="1:7" x14ac:dyDescent="0.25">
      <c r="A11652">
        <v>110606</v>
      </c>
      <c r="B11652" t="s">
        <v>4</v>
      </c>
      <c r="C11652">
        <v>4</v>
      </c>
      <c r="D11652" t="s">
        <v>5</v>
      </c>
      <c r="F11652" t="str" cm="1">
        <f t="array" ref="F11652">CategorizeComment(E11652)</f>
        <v>Other</v>
      </c>
      <c r="G11652" t="str" cm="1">
        <f t="array" ref="G11652">SubCategorizeComment(E11652)</f>
        <v>Other</v>
      </c>
    </row>
    <row r="11653" spans="1:7" x14ac:dyDescent="0.25">
      <c r="A11653">
        <v>110609</v>
      </c>
      <c r="B11653" t="s">
        <v>4</v>
      </c>
      <c r="C11653">
        <v>4</v>
      </c>
      <c r="D11653" t="s">
        <v>5</v>
      </c>
      <c r="F11653" t="str" cm="1">
        <f t="array" ref="F11653">CategorizeComment(E11653)</f>
        <v>Other</v>
      </c>
      <c r="G11653" t="str" cm="1">
        <f t="array" ref="G11653">SubCategorizeComment(E11653)</f>
        <v>Other</v>
      </c>
    </row>
    <row r="11654" spans="1:7" x14ac:dyDescent="0.25">
      <c r="A11654">
        <v>110611</v>
      </c>
      <c r="B11654" t="s">
        <v>4</v>
      </c>
      <c r="C11654">
        <v>4</v>
      </c>
      <c r="D11654" t="s">
        <v>5</v>
      </c>
      <c r="F11654" t="str" cm="1">
        <f t="array" ref="F11654">CategorizeComment(E11654)</f>
        <v>Other</v>
      </c>
      <c r="G11654" t="str" cm="1">
        <f t="array" ref="G11654">SubCategorizeComment(E11654)</f>
        <v>Other</v>
      </c>
    </row>
    <row r="11655" spans="1:7" x14ac:dyDescent="0.25">
      <c r="A11655">
        <v>110613</v>
      </c>
      <c r="B11655" t="s">
        <v>4</v>
      </c>
      <c r="C11655">
        <v>4</v>
      </c>
      <c r="D11655" t="s">
        <v>5</v>
      </c>
      <c r="F11655" t="str" cm="1">
        <f t="array" ref="F11655">CategorizeComment(E11655)</f>
        <v>Other</v>
      </c>
      <c r="G11655" t="str" cm="1">
        <f t="array" ref="G11655">SubCategorizeComment(E11655)</f>
        <v>Other</v>
      </c>
    </row>
    <row r="11656" spans="1:7" x14ac:dyDescent="0.25">
      <c r="A11656">
        <v>110621</v>
      </c>
      <c r="B11656" t="s">
        <v>4</v>
      </c>
      <c r="C11656">
        <v>3</v>
      </c>
      <c r="D11656" t="s">
        <v>5</v>
      </c>
      <c r="F11656" t="str" cm="1">
        <f t="array" ref="F11656">CategorizeComment(E11656)</f>
        <v>Other</v>
      </c>
      <c r="G11656" t="str" cm="1">
        <f t="array" ref="G11656">SubCategorizeComment(E11656)</f>
        <v>Other</v>
      </c>
    </row>
    <row r="11657" spans="1:7" x14ac:dyDescent="0.25">
      <c r="A11657">
        <v>110627</v>
      </c>
      <c r="B11657" t="s">
        <v>4</v>
      </c>
      <c r="C11657">
        <v>3</v>
      </c>
      <c r="D11657" t="s">
        <v>5</v>
      </c>
      <c r="F11657" t="str" cm="1">
        <f t="array" ref="F11657">CategorizeComment(E11657)</f>
        <v>Other</v>
      </c>
      <c r="G11657" t="str" cm="1">
        <f t="array" ref="G11657">SubCategorizeComment(E11657)</f>
        <v>Other</v>
      </c>
    </row>
    <row r="11658" spans="1:7" x14ac:dyDescent="0.25">
      <c r="A11658">
        <v>110631</v>
      </c>
      <c r="B11658" t="s">
        <v>4</v>
      </c>
      <c r="C11658">
        <v>4</v>
      </c>
      <c r="D11658" t="s">
        <v>5</v>
      </c>
      <c r="F11658" t="str" cm="1">
        <f t="array" ref="F11658">CategorizeComment(E11658)</f>
        <v>Other</v>
      </c>
      <c r="G11658" t="str" cm="1">
        <f t="array" ref="G11658">SubCategorizeComment(E11658)</f>
        <v>Other</v>
      </c>
    </row>
    <row r="11659" spans="1:7" x14ac:dyDescent="0.25">
      <c r="A11659">
        <v>110638</v>
      </c>
      <c r="B11659" t="s">
        <v>4</v>
      </c>
      <c r="C11659">
        <v>4</v>
      </c>
      <c r="D11659" t="s">
        <v>5</v>
      </c>
      <c r="F11659" t="str" cm="1">
        <f t="array" ref="F11659">CategorizeComment(E11659)</f>
        <v>Other</v>
      </c>
      <c r="G11659" t="str" cm="1">
        <f t="array" ref="G11659">SubCategorizeComment(E11659)</f>
        <v>Other</v>
      </c>
    </row>
    <row r="11660" spans="1:7" x14ac:dyDescent="0.25">
      <c r="A11660">
        <v>110656</v>
      </c>
      <c r="B11660" t="s">
        <v>4</v>
      </c>
      <c r="C11660">
        <v>3</v>
      </c>
      <c r="D11660" t="s">
        <v>5</v>
      </c>
      <c r="F11660" t="str" cm="1">
        <f t="array" ref="F11660">CategorizeComment(E11660)</f>
        <v>Other</v>
      </c>
      <c r="G11660" t="str" cm="1">
        <f t="array" ref="G11660">SubCategorizeComment(E11660)</f>
        <v>Other</v>
      </c>
    </row>
    <row r="11661" spans="1:7" x14ac:dyDescent="0.25">
      <c r="A11661">
        <v>110659</v>
      </c>
      <c r="B11661" t="s">
        <v>4</v>
      </c>
      <c r="C11661">
        <v>3</v>
      </c>
      <c r="D11661" t="s">
        <v>5</v>
      </c>
      <c r="F11661" t="str" cm="1">
        <f t="array" ref="F11661">CategorizeComment(E11661)</f>
        <v>Other</v>
      </c>
      <c r="G11661" t="str" cm="1">
        <f t="array" ref="G11661">SubCategorizeComment(E11661)</f>
        <v>Other</v>
      </c>
    </row>
    <row r="11662" spans="1:7" x14ac:dyDescent="0.25">
      <c r="A11662">
        <v>110663</v>
      </c>
      <c r="B11662" t="s">
        <v>4</v>
      </c>
      <c r="C11662">
        <v>4</v>
      </c>
      <c r="D11662" t="s">
        <v>5</v>
      </c>
      <c r="F11662" t="str" cm="1">
        <f t="array" ref="F11662">CategorizeComment(E11662)</f>
        <v>Other</v>
      </c>
      <c r="G11662" t="str" cm="1">
        <f t="array" ref="G11662">SubCategorizeComment(E11662)</f>
        <v>Other</v>
      </c>
    </row>
    <row r="11663" spans="1:7" x14ac:dyDescent="0.25">
      <c r="A11663">
        <v>110689</v>
      </c>
      <c r="B11663" t="s">
        <v>4</v>
      </c>
      <c r="C11663">
        <v>3</v>
      </c>
      <c r="D11663" t="s">
        <v>5</v>
      </c>
      <c r="F11663" t="str" cm="1">
        <f t="array" ref="F11663">CategorizeComment(E11663)</f>
        <v>Other</v>
      </c>
      <c r="G11663" t="str" cm="1">
        <f t="array" ref="G11663">SubCategorizeComment(E11663)</f>
        <v>Other</v>
      </c>
    </row>
    <row r="11664" spans="1:7" x14ac:dyDescent="0.25">
      <c r="A11664">
        <v>110763</v>
      </c>
      <c r="B11664" t="s">
        <v>4</v>
      </c>
      <c r="C11664">
        <v>3</v>
      </c>
      <c r="D11664" t="s">
        <v>5</v>
      </c>
      <c r="F11664" t="str" cm="1">
        <f t="array" ref="F11664">CategorizeComment(E11664)</f>
        <v>Other</v>
      </c>
      <c r="G11664" t="str" cm="1">
        <f t="array" ref="G11664">SubCategorizeComment(E11664)</f>
        <v>Other</v>
      </c>
    </row>
    <row r="11665" spans="1:7" x14ac:dyDescent="0.25">
      <c r="A11665">
        <v>110765</v>
      </c>
      <c r="B11665" t="s">
        <v>4</v>
      </c>
      <c r="C11665">
        <v>3</v>
      </c>
      <c r="D11665" t="s">
        <v>5</v>
      </c>
      <c r="F11665" t="str" cm="1">
        <f t="array" ref="F11665">CategorizeComment(E11665)</f>
        <v>Other</v>
      </c>
      <c r="G11665" t="str" cm="1">
        <f t="array" ref="G11665">SubCategorizeComment(E11665)</f>
        <v>Other</v>
      </c>
    </row>
    <row r="11666" spans="1:7" x14ac:dyDescent="0.25">
      <c r="A11666">
        <v>110766</v>
      </c>
      <c r="B11666" t="s">
        <v>4</v>
      </c>
      <c r="C11666">
        <v>4</v>
      </c>
      <c r="D11666" t="s">
        <v>5</v>
      </c>
      <c r="F11666" t="str" cm="1">
        <f t="array" ref="F11666">CategorizeComment(E11666)</f>
        <v>Other</v>
      </c>
      <c r="G11666" t="str" cm="1">
        <f t="array" ref="G11666">SubCategorizeComment(E11666)</f>
        <v>Other</v>
      </c>
    </row>
    <row r="11667" spans="1:7" x14ac:dyDescent="0.25">
      <c r="A11667">
        <v>110767</v>
      </c>
      <c r="B11667" t="s">
        <v>4</v>
      </c>
      <c r="C11667">
        <v>4</v>
      </c>
      <c r="D11667" t="s">
        <v>5</v>
      </c>
      <c r="F11667" t="str" cm="1">
        <f t="array" ref="F11667">CategorizeComment(E11667)</f>
        <v>Other</v>
      </c>
      <c r="G11667" t="str" cm="1">
        <f t="array" ref="G11667">SubCategorizeComment(E11667)</f>
        <v>Other</v>
      </c>
    </row>
    <row r="11668" spans="1:7" x14ac:dyDescent="0.25">
      <c r="A11668">
        <v>110789</v>
      </c>
      <c r="B11668" t="s">
        <v>4</v>
      </c>
      <c r="C11668">
        <v>4</v>
      </c>
      <c r="D11668" t="s">
        <v>5</v>
      </c>
      <c r="F11668" t="str" cm="1">
        <f t="array" ref="F11668">CategorizeComment(E11668)</f>
        <v>Other</v>
      </c>
      <c r="G11668" t="str" cm="1">
        <f t="array" ref="G11668">SubCategorizeComment(E11668)</f>
        <v>Other</v>
      </c>
    </row>
    <row r="11669" spans="1:7" x14ac:dyDescent="0.25">
      <c r="A11669">
        <v>110797</v>
      </c>
      <c r="B11669" t="s">
        <v>4</v>
      </c>
      <c r="C11669">
        <v>4</v>
      </c>
      <c r="D11669" t="s">
        <v>5</v>
      </c>
      <c r="F11669" t="str" cm="1">
        <f t="array" ref="F11669">CategorizeComment(E11669)</f>
        <v>Other</v>
      </c>
      <c r="G11669" t="str" cm="1">
        <f t="array" ref="G11669">SubCategorizeComment(E11669)</f>
        <v>Other</v>
      </c>
    </row>
    <row r="11670" spans="1:7" x14ac:dyDescent="0.25">
      <c r="A11670">
        <v>110824</v>
      </c>
      <c r="B11670" t="s">
        <v>4</v>
      </c>
      <c r="C11670">
        <v>4</v>
      </c>
      <c r="D11670" t="s">
        <v>5</v>
      </c>
      <c r="F11670" t="str" cm="1">
        <f t="array" ref="F11670">CategorizeComment(E11670)</f>
        <v>Other</v>
      </c>
      <c r="G11670" t="str" cm="1">
        <f t="array" ref="G11670">SubCategorizeComment(E11670)</f>
        <v>Other</v>
      </c>
    </row>
    <row r="11671" spans="1:7" x14ac:dyDescent="0.25">
      <c r="A11671">
        <v>110831</v>
      </c>
      <c r="B11671" t="s">
        <v>4</v>
      </c>
      <c r="C11671">
        <v>4</v>
      </c>
      <c r="D11671" t="s">
        <v>5</v>
      </c>
      <c r="F11671" t="str" cm="1">
        <f t="array" ref="F11671">CategorizeComment(E11671)</f>
        <v>Other</v>
      </c>
      <c r="G11671" t="str" cm="1">
        <f t="array" ref="G11671">SubCategorizeComment(E11671)</f>
        <v>Other</v>
      </c>
    </row>
    <row r="11672" spans="1:7" x14ac:dyDescent="0.25">
      <c r="A11672">
        <v>110873</v>
      </c>
      <c r="B11672" t="s">
        <v>4</v>
      </c>
      <c r="C11672">
        <v>3</v>
      </c>
      <c r="D11672" t="s">
        <v>5</v>
      </c>
      <c r="F11672" t="str" cm="1">
        <f t="array" ref="F11672">CategorizeComment(E11672)</f>
        <v>Other</v>
      </c>
      <c r="G11672" t="str" cm="1">
        <f t="array" ref="G11672">SubCategorizeComment(E11672)</f>
        <v>Other</v>
      </c>
    </row>
    <row r="11673" spans="1:7" x14ac:dyDescent="0.25">
      <c r="A11673">
        <v>110880</v>
      </c>
      <c r="B11673" t="s">
        <v>4</v>
      </c>
      <c r="C11673">
        <v>3</v>
      </c>
      <c r="D11673" t="s">
        <v>5</v>
      </c>
      <c r="F11673" t="str" cm="1">
        <f t="array" ref="F11673">CategorizeComment(E11673)</f>
        <v>Other</v>
      </c>
      <c r="G11673" t="str" cm="1">
        <f t="array" ref="G11673">SubCategorizeComment(E11673)</f>
        <v>Other</v>
      </c>
    </row>
    <row r="11674" spans="1:7" x14ac:dyDescent="0.25">
      <c r="A11674">
        <v>110891</v>
      </c>
      <c r="B11674" t="s">
        <v>4</v>
      </c>
      <c r="C11674">
        <v>3</v>
      </c>
      <c r="D11674" t="s">
        <v>5</v>
      </c>
      <c r="F11674" t="str" cm="1">
        <f t="array" ref="F11674">CategorizeComment(E11674)</f>
        <v>Other</v>
      </c>
      <c r="G11674" t="str" cm="1">
        <f t="array" ref="G11674">SubCategorizeComment(E11674)</f>
        <v>Other</v>
      </c>
    </row>
    <row r="11675" spans="1:7" x14ac:dyDescent="0.25">
      <c r="A11675">
        <v>110898</v>
      </c>
      <c r="B11675" t="s">
        <v>4</v>
      </c>
      <c r="C11675">
        <v>3</v>
      </c>
      <c r="D11675" t="s">
        <v>5</v>
      </c>
      <c r="F11675" t="str" cm="1">
        <f t="array" ref="F11675">CategorizeComment(E11675)</f>
        <v>Other</v>
      </c>
      <c r="G11675" t="str" cm="1">
        <f t="array" ref="G11675">SubCategorizeComment(E11675)</f>
        <v>Other</v>
      </c>
    </row>
    <row r="11676" spans="1:7" x14ac:dyDescent="0.25">
      <c r="A11676">
        <v>110899</v>
      </c>
      <c r="B11676" t="s">
        <v>4</v>
      </c>
      <c r="C11676">
        <v>4</v>
      </c>
      <c r="D11676" t="s">
        <v>5</v>
      </c>
      <c r="F11676" t="str" cm="1">
        <f t="array" ref="F11676">CategorizeComment(E11676)</f>
        <v>Other</v>
      </c>
      <c r="G11676" t="str" cm="1">
        <f t="array" ref="G11676">SubCategorizeComment(E11676)</f>
        <v>Other</v>
      </c>
    </row>
    <row r="11677" spans="1:7" x14ac:dyDescent="0.25">
      <c r="A11677">
        <v>110902</v>
      </c>
      <c r="B11677" t="s">
        <v>4</v>
      </c>
      <c r="C11677">
        <v>4</v>
      </c>
      <c r="D11677" t="s">
        <v>5</v>
      </c>
      <c r="F11677" t="str" cm="1">
        <f t="array" ref="F11677">CategorizeComment(E11677)</f>
        <v>Other</v>
      </c>
      <c r="G11677" t="str" cm="1">
        <f t="array" ref="G11677">SubCategorizeComment(E11677)</f>
        <v>Other</v>
      </c>
    </row>
    <row r="11678" spans="1:7" x14ac:dyDescent="0.25">
      <c r="A11678">
        <v>110903</v>
      </c>
      <c r="B11678" t="s">
        <v>4</v>
      </c>
      <c r="C11678">
        <v>3</v>
      </c>
      <c r="D11678" t="s">
        <v>5</v>
      </c>
      <c r="F11678" t="str" cm="1">
        <f t="array" ref="F11678">CategorizeComment(E11678)</f>
        <v>Other</v>
      </c>
      <c r="G11678" t="str" cm="1">
        <f t="array" ref="G11678">SubCategorizeComment(E11678)</f>
        <v>Other</v>
      </c>
    </row>
    <row r="11679" spans="1:7" x14ac:dyDescent="0.25">
      <c r="A11679">
        <v>110907</v>
      </c>
      <c r="B11679" t="s">
        <v>4</v>
      </c>
      <c r="C11679">
        <v>4</v>
      </c>
      <c r="D11679" t="s">
        <v>5</v>
      </c>
      <c r="F11679" t="str" cm="1">
        <f t="array" ref="F11679">CategorizeComment(E11679)</f>
        <v>Other</v>
      </c>
      <c r="G11679" t="str" cm="1">
        <f t="array" ref="G11679">SubCategorizeComment(E11679)</f>
        <v>Other</v>
      </c>
    </row>
    <row r="11680" spans="1:7" x14ac:dyDescent="0.25">
      <c r="A11680">
        <v>110910</v>
      </c>
      <c r="B11680" t="s">
        <v>4</v>
      </c>
      <c r="C11680">
        <v>4</v>
      </c>
      <c r="D11680" t="s">
        <v>5</v>
      </c>
      <c r="F11680" t="str" cm="1">
        <f t="array" ref="F11680">CategorizeComment(E11680)</f>
        <v>Other</v>
      </c>
      <c r="G11680" t="str" cm="1">
        <f t="array" ref="G11680">SubCategorizeComment(E11680)</f>
        <v>Other</v>
      </c>
    </row>
    <row r="11681" spans="1:7" x14ac:dyDescent="0.25">
      <c r="A11681">
        <v>110917</v>
      </c>
      <c r="B11681" t="s">
        <v>4</v>
      </c>
      <c r="C11681">
        <v>4</v>
      </c>
      <c r="D11681" t="s">
        <v>5</v>
      </c>
      <c r="F11681" t="str" cm="1">
        <f t="array" ref="F11681">CategorizeComment(E11681)</f>
        <v>Other</v>
      </c>
      <c r="G11681" t="str" cm="1">
        <f t="array" ref="G11681">SubCategorizeComment(E11681)</f>
        <v>Other</v>
      </c>
    </row>
    <row r="11682" spans="1:7" x14ac:dyDescent="0.25">
      <c r="A11682">
        <v>110920</v>
      </c>
      <c r="B11682" t="s">
        <v>4</v>
      </c>
      <c r="C11682">
        <v>3</v>
      </c>
      <c r="D11682" t="s">
        <v>5</v>
      </c>
      <c r="F11682" t="str" cm="1">
        <f t="array" ref="F11682">CategorizeComment(E11682)</f>
        <v>Other</v>
      </c>
      <c r="G11682" t="str" cm="1">
        <f t="array" ref="G11682">SubCategorizeComment(E11682)</f>
        <v>Other</v>
      </c>
    </row>
    <row r="11683" spans="1:7" x14ac:dyDescent="0.25">
      <c r="A11683">
        <v>110921</v>
      </c>
      <c r="B11683" t="s">
        <v>4</v>
      </c>
      <c r="C11683">
        <v>3</v>
      </c>
      <c r="D11683" t="s">
        <v>5</v>
      </c>
      <c r="F11683" t="str" cm="1">
        <f t="array" ref="F11683">CategorizeComment(E11683)</f>
        <v>Other</v>
      </c>
      <c r="G11683" t="str" cm="1">
        <f t="array" ref="G11683">SubCategorizeComment(E11683)</f>
        <v>Other</v>
      </c>
    </row>
    <row r="11684" spans="1:7" x14ac:dyDescent="0.25">
      <c r="A11684">
        <v>110939</v>
      </c>
      <c r="B11684" t="s">
        <v>4</v>
      </c>
      <c r="C11684">
        <v>4</v>
      </c>
      <c r="D11684" t="s">
        <v>5</v>
      </c>
      <c r="F11684" t="str" cm="1">
        <f t="array" ref="F11684">CategorizeComment(E11684)</f>
        <v>Other</v>
      </c>
      <c r="G11684" t="str" cm="1">
        <f t="array" ref="G11684">SubCategorizeComment(E11684)</f>
        <v>Other</v>
      </c>
    </row>
    <row r="11685" spans="1:7" x14ac:dyDescent="0.25">
      <c r="A11685">
        <v>110952</v>
      </c>
      <c r="B11685" t="s">
        <v>4</v>
      </c>
      <c r="C11685">
        <v>3</v>
      </c>
      <c r="D11685" t="s">
        <v>5</v>
      </c>
      <c r="F11685" t="str" cm="1">
        <f t="array" ref="F11685">CategorizeComment(E11685)</f>
        <v>Other</v>
      </c>
      <c r="G11685" t="str" cm="1">
        <f t="array" ref="G11685">SubCategorizeComment(E11685)</f>
        <v>Other</v>
      </c>
    </row>
    <row r="11686" spans="1:7" x14ac:dyDescent="0.25">
      <c r="A11686">
        <v>110966</v>
      </c>
      <c r="B11686" t="s">
        <v>4</v>
      </c>
      <c r="C11686">
        <v>3</v>
      </c>
      <c r="D11686" t="s">
        <v>5</v>
      </c>
      <c r="F11686" t="str" cm="1">
        <f t="array" ref="F11686">CategorizeComment(E11686)</f>
        <v>Other</v>
      </c>
      <c r="G11686" t="str" cm="1">
        <f t="array" ref="G11686">SubCategorizeComment(E11686)</f>
        <v>Other</v>
      </c>
    </row>
    <row r="11687" spans="1:7" x14ac:dyDescent="0.25">
      <c r="A11687">
        <v>110970</v>
      </c>
      <c r="B11687" t="s">
        <v>4</v>
      </c>
      <c r="C11687">
        <v>4</v>
      </c>
      <c r="D11687" t="s">
        <v>5</v>
      </c>
      <c r="F11687" t="str" cm="1">
        <f t="array" ref="F11687">CategorizeComment(E11687)</f>
        <v>Other</v>
      </c>
      <c r="G11687" t="str" cm="1">
        <f t="array" ref="G11687">SubCategorizeComment(E11687)</f>
        <v>Other</v>
      </c>
    </row>
    <row r="11688" spans="1:7" x14ac:dyDescent="0.25">
      <c r="A11688">
        <v>110988</v>
      </c>
      <c r="B11688" t="s">
        <v>4</v>
      </c>
      <c r="C11688">
        <v>4</v>
      </c>
      <c r="D11688" t="s">
        <v>5</v>
      </c>
      <c r="F11688" t="str" cm="1">
        <f t="array" ref="F11688">CategorizeComment(E11688)</f>
        <v>Other</v>
      </c>
      <c r="G11688" t="str" cm="1">
        <f t="array" ref="G11688">SubCategorizeComment(E11688)</f>
        <v>Other</v>
      </c>
    </row>
    <row r="11689" spans="1:7" x14ac:dyDescent="0.25">
      <c r="A11689">
        <v>110998</v>
      </c>
      <c r="B11689" t="s">
        <v>4</v>
      </c>
      <c r="C11689">
        <v>4</v>
      </c>
      <c r="D11689" t="s">
        <v>5</v>
      </c>
      <c r="F11689" t="str" cm="1">
        <f t="array" ref="F11689">CategorizeComment(E11689)</f>
        <v>Other</v>
      </c>
      <c r="G11689" t="str" cm="1">
        <f t="array" ref="G11689">SubCategorizeComment(E11689)</f>
        <v>Other</v>
      </c>
    </row>
    <row r="11690" spans="1:7" x14ac:dyDescent="0.25">
      <c r="A11690">
        <v>110999</v>
      </c>
      <c r="B11690" t="s">
        <v>4</v>
      </c>
      <c r="C11690">
        <v>3</v>
      </c>
      <c r="D11690" t="s">
        <v>5</v>
      </c>
      <c r="F11690" t="str" cm="1">
        <f t="array" ref="F11690">CategorizeComment(E11690)</f>
        <v>Other</v>
      </c>
      <c r="G11690" t="str" cm="1">
        <f t="array" ref="G11690">SubCategorizeComment(E11690)</f>
        <v>Other</v>
      </c>
    </row>
    <row r="11691" spans="1:7" x14ac:dyDescent="0.25">
      <c r="A11691">
        <v>111027</v>
      </c>
      <c r="B11691" t="s">
        <v>4</v>
      </c>
      <c r="C11691">
        <v>4</v>
      </c>
      <c r="D11691" t="s">
        <v>5</v>
      </c>
      <c r="F11691" t="str" cm="1">
        <f t="array" ref="F11691">CategorizeComment(E11691)</f>
        <v>Other</v>
      </c>
      <c r="G11691" t="str" cm="1">
        <f t="array" ref="G11691">SubCategorizeComment(E11691)</f>
        <v>Other</v>
      </c>
    </row>
    <row r="11692" spans="1:7" x14ac:dyDescent="0.25">
      <c r="A11692">
        <v>111035</v>
      </c>
      <c r="B11692" t="s">
        <v>4</v>
      </c>
      <c r="C11692">
        <v>4</v>
      </c>
      <c r="D11692" t="s">
        <v>5</v>
      </c>
      <c r="F11692" t="str" cm="1">
        <f t="array" ref="F11692">CategorizeComment(E11692)</f>
        <v>Other</v>
      </c>
      <c r="G11692" t="str" cm="1">
        <f t="array" ref="G11692">SubCategorizeComment(E11692)</f>
        <v>Other</v>
      </c>
    </row>
    <row r="11693" spans="1:7" x14ac:dyDescent="0.25">
      <c r="A11693">
        <v>111059</v>
      </c>
      <c r="B11693" t="s">
        <v>4</v>
      </c>
      <c r="C11693">
        <v>3</v>
      </c>
      <c r="D11693" t="s">
        <v>5</v>
      </c>
      <c r="F11693" t="str" cm="1">
        <f t="array" ref="F11693">CategorizeComment(E11693)</f>
        <v>Other</v>
      </c>
      <c r="G11693" t="str" cm="1">
        <f t="array" ref="G11693">SubCategorizeComment(E11693)</f>
        <v>Other</v>
      </c>
    </row>
    <row r="11694" spans="1:7" x14ac:dyDescent="0.25">
      <c r="A11694">
        <v>111063</v>
      </c>
      <c r="B11694" t="s">
        <v>4</v>
      </c>
      <c r="C11694">
        <v>3</v>
      </c>
      <c r="D11694" t="s">
        <v>5</v>
      </c>
      <c r="F11694" t="str" cm="1">
        <f t="array" ref="F11694">CategorizeComment(E11694)</f>
        <v>Other</v>
      </c>
      <c r="G11694" t="str" cm="1">
        <f t="array" ref="G11694">SubCategorizeComment(E11694)</f>
        <v>Other</v>
      </c>
    </row>
    <row r="11695" spans="1:7" x14ac:dyDescent="0.25">
      <c r="A11695">
        <v>111066</v>
      </c>
      <c r="B11695" t="s">
        <v>4</v>
      </c>
      <c r="C11695">
        <v>3</v>
      </c>
      <c r="D11695" t="s">
        <v>5</v>
      </c>
      <c r="F11695" t="str" cm="1">
        <f t="array" ref="F11695">CategorizeComment(E11695)</f>
        <v>Other</v>
      </c>
      <c r="G11695" t="str" cm="1">
        <f t="array" ref="G11695">SubCategorizeComment(E11695)</f>
        <v>Other</v>
      </c>
    </row>
    <row r="11696" spans="1:7" x14ac:dyDescent="0.25">
      <c r="A11696">
        <v>111068</v>
      </c>
      <c r="B11696" t="s">
        <v>4</v>
      </c>
      <c r="C11696">
        <v>4</v>
      </c>
      <c r="D11696" t="s">
        <v>5</v>
      </c>
      <c r="F11696" t="str" cm="1">
        <f t="array" ref="F11696">CategorizeComment(E11696)</f>
        <v>Other</v>
      </c>
      <c r="G11696" t="str" cm="1">
        <f t="array" ref="G11696">SubCategorizeComment(E11696)</f>
        <v>Other</v>
      </c>
    </row>
    <row r="11697" spans="1:7" x14ac:dyDescent="0.25">
      <c r="A11697">
        <v>111074</v>
      </c>
      <c r="B11697" t="s">
        <v>4</v>
      </c>
      <c r="C11697">
        <v>4</v>
      </c>
      <c r="D11697" t="s">
        <v>5</v>
      </c>
      <c r="F11697" t="str" cm="1">
        <f t="array" ref="F11697">CategorizeComment(E11697)</f>
        <v>Other</v>
      </c>
      <c r="G11697" t="str" cm="1">
        <f t="array" ref="G11697">SubCategorizeComment(E11697)</f>
        <v>Other</v>
      </c>
    </row>
    <row r="11698" spans="1:7" x14ac:dyDescent="0.25">
      <c r="A11698">
        <v>111076</v>
      </c>
      <c r="B11698" t="s">
        <v>4</v>
      </c>
      <c r="C11698">
        <v>4</v>
      </c>
      <c r="D11698" t="s">
        <v>5</v>
      </c>
      <c r="F11698" t="str" cm="1">
        <f t="array" ref="F11698">CategorizeComment(E11698)</f>
        <v>Other</v>
      </c>
      <c r="G11698" t="str" cm="1">
        <f t="array" ref="G11698">SubCategorizeComment(E11698)</f>
        <v>Other</v>
      </c>
    </row>
    <row r="11699" spans="1:7" x14ac:dyDescent="0.25">
      <c r="A11699">
        <v>111083</v>
      </c>
      <c r="B11699" t="s">
        <v>4</v>
      </c>
      <c r="C11699">
        <v>3</v>
      </c>
      <c r="D11699" t="s">
        <v>5</v>
      </c>
      <c r="F11699" t="str" cm="1">
        <f t="array" ref="F11699">CategorizeComment(E11699)</f>
        <v>Other</v>
      </c>
      <c r="G11699" t="str" cm="1">
        <f t="array" ref="G11699">SubCategorizeComment(E11699)</f>
        <v>Other</v>
      </c>
    </row>
    <row r="11700" spans="1:7" x14ac:dyDescent="0.25">
      <c r="A11700">
        <v>111090</v>
      </c>
      <c r="B11700" t="s">
        <v>4</v>
      </c>
      <c r="C11700">
        <v>3</v>
      </c>
      <c r="D11700" t="s">
        <v>5</v>
      </c>
      <c r="F11700" t="str" cm="1">
        <f t="array" ref="F11700">CategorizeComment(E11700)</f>
        <v>Other</v>
      </c>
      <c r="G11700" t="str" cm="1">
        <f t="array" ref="G11700">SubCategorizeComment(E11700)</f>
        <v>Other</v>
      </c>
    </row>
    <row r="11701" spans="1:7" x14ac:dyDescent="0.25">
      <c r="A11701">
        <v>111103</v>
      </c>
      <c r="B11701" t="s">
        <v>4</v>
      </c>
      <c r="C11701">
        <v>3</v>
      </c>
      <c r="D11701" t="s">
        <v>5</v>
      </c>
      <c r="F11701" t="str" cm="1">
        <f t="array" ref="F11701">CategorizeComment(E11701)</f>
        <v>Other</v>
      </c>
      <c r="G11701" t="str" cm="1">
        <f t="array" ref="G11701">SubCategorizeComment(E11701)</f>
        <v>Other</v>
      </c>
    </row>
    <row r="11702" spans="1:7" x14ac:dyDescent="0.25">
      <c r="A11702">
        <v>111105</v>
      </c>
      <c r="B11702" t="s">
        <v>4</v>
      </c>
      <c r="C11702">
        <v>4</v>
      </c>
      <c r="D11702" t="s">
        <v>5</v>
      </c>
      <c r="F11702" t="str" cm="1">
        <f t="array" ref="F11702">CategorizeComment(E11702)</f>
        <v>Other</v>
      </c>
      <c r="G11702" t="str" cm="1">
        <f t="array" ref="G11702">SubCategorizeComment(E11702)</f>
        <v>Other</v>
      </c>
    </row>
    <row r="11703" spans="1:7" x14ac:dyDescent="0.25">
      <c r="A11703">
        <v>111106</v>
      </c>
      <c r="B11703" t="s">
        <v>4</v>
      </c>
      <c r="C11703">
        <v>4</v>
      </c>
      <c r="D11703" t="s">
        <v>5</v>
      </c>
      <c r="F11703" t="str" cm="1">
        <f t="array" ref="F11703">CategorizeComment(E11703)</f>
        <v>Other</v>
      </c>
      <c r="G11703" t="str" cm="1">
        <f t="array" ref="G11703">SubCategorizeComment(E11703)</f>
        <v>Other</v>
      </c>
    </row>
    <row r="11704" spans="1:7" x14ac:dyDescent="0.25">
      <c r="A11704">
        <v>111109</v>
      </c>
      <c r="B11704" t="s">
        <v>4</v>
      </c>
      <c r="C11704">
        <v>4</v>
      </c>
      <c r="D11704" t="s">
        <v>5</v>
      </c>
      <c r="F11704" t="str" cm="1">
        <f t="array" ref="F11704">CategorizeComment(E11704)</f>
        <v>Other</v>
      </c>
      <c r="G11704" t="str" cm="1">
        <f t="array" ref="G11704">SubCategorizeComment(E11704)</f>
        <v>Other</v>
      </c>
    </row>
    <row r="11705" spans="1:7" x14ac:dyDescent="0.25">
      <c r="A11705">
        <v>111125</v>
      </c>
      <c r="B11705" t="s">
        <v>4</v>
      </c>
      <c r="C11705">
        <v>4</v>
      </c>
      <c r="D11705" t="s">
        <v>5</v>
      </c>
      <c r="F11705" t="str" cm="1">
        <f t="array" ref="F11705">CategorizeComment(E11705)</f>
        <v>Other</v>
      </c>
      <c r="G11705" t="str" cm="1">
        <f t="array" ref="G11705">SubCategorizeComment(E11705)</f>
        <v>Other</v>
      </c>
    </row>
    <row r="11706" spans="1:7" x14ac:dyDescent="0.25">
      <c r="A11706">
        <v>111141</v>
      </c>
      <c r="B11706" t="s">
        <v>4</v>
      </c>
      <c r="C11706">
        <v>3</v>
      </c>
      <c r="D11706" t="s">
        <v>5</v>
      </c>
      <c r="F11706" t="str" cm="1">
        <f t="array" ref="F11706">CategorizeComment(E11706)</f>
        <v>Other</v>
      </c>
      <c r="G11706" t="str" cm="1">
        <f t="array" ref="G11706">SubCategorizeComment(E11706)</f>
        <v>Other</v>
      </c>
    </row>
    <row r="11707" spans="1:7" x14ac:dyDescent="0.25">
      <c r="A11707">
        <v>111174</v>
      </c>
      <c r="B11707" t="s">
        <v>4</v>
      </c>
      <c r="C11707">
        <v>4</v>
      </c>
      <c r="D11707" t="s">
        <v>5</v>
      </c>
      <c r="F11707" t="str" cm="1">
        <f t="array" ref="F11707">CategorizeComment(E11707)</f>
        <v>Other</v>
      </c>
      <c r="G11707" t="str" cm="1">
        <f t="array" ref="G11707">SubCategorizeComment(E11707)</f>
        <v>Other</v>
      </c>
    </row>
    <row r="11708" spans="1:7" x14ac:dyDescent="0.25">
      <c r="A11708">
        <v>111209</v>
      </c>
      <c r="B11708" t="s">
        <v>4</v>
      </c>
      <c r="C11708">
        <v>3</v>
      </c>
      <c r="D11708" t="s">
        <v>5</v>
      </c>
      <c r="F11708" t="str" cm="1">
        <f t="array" ref="F11708">CategorizeComment(E11708)</f>
        <v>Other</v>
      </c>
      <c r="G11708" t="str" cm="1">
        <f t="array" ref="G11708">SubCategorizeComment(E11708)</f>
        <v>Other</v>
      </c>
    </row>
    <row r="11709" spans="1:7" x14ac:dyDescent="0.25">
      <c r="A11709">
        <v>111222</v>
      </c>
      <c r="B11709" t="s">
        <v>4</v>
      </c>
      <c r="C11709">
        <v>4</v>
      </c>
      <c r="D11709" t="s">
        <v>5</v>
      </c>
      <c r="F11709" t="str" cm="1">
        <f t="array" ref="F11709">CategorizeComment(E11709)</f>
        <v>Other</v>
      </c>
      <c r="G11709" t="str" cm="1">
        <f t="array" ref="G11709">SubCategorizeComment(E11709)</f>
        <v>Other</v>
      </c>
    </row>
    <row r="11710" spans="1:7" x14ac:dyDescent="0.25">
      <c r="A11710">
        <v>111227</v>
      </c>
      <c r="B11710" t="s">
        <v>4</v>
      </c>
      <c r="C11710">
        <v>3</v>
      </c>
      <c r="D11710" t="s">
        <v>5</v>
      </c>
      <c r="F11710" t="str" cm="1">
        <f t="array" ref="F11710">CategorizeComment(E11710)</f>
        <v>Other</v>
      </c>
      <c r="G11710" t="str" cm="1">
        <f t="array" ref="G11710">SubCategorizeComment(E11710)</f>
        <v>Other</v>
      </c>
    </row>
    <row r="11711" spans="1:7" x14ac:dyDescent="0.25">
      <c r="A11711">
        <v>111238</v>
      </c>
      <c r="B11711" t="s">
        <v>4</v>
      </c>
      <c r="C11711">
        <v>3</v>
      </c>
      <c r="D11711" t="s">
        <v>5</v>
      </c>
      <c r="F11711" t="str" cm="1">
        <f t="array" ref="F11711">CategorizeComment(E11711)</f>
        <v>Other</v>
      </c>
      <c r="G11711" t="str" cm="1">
        <f t="array" ref="G11711">SubCategorizeComment(E11711)</f>
        <v>Other</v>
      </c>
    </row>
    <row r="11712" spans="1:7" x14ac:dyDescent="0.25">
      <c r="A11712">
        <v>111241</v>
      </c>
      <c r="B11712" t="s">
        <v>4</v>
      </c>
      <c r="C11712">
        <v>4</v>
      </c>
      <c r="D11712" t="s">
        <v>5</v>
      </c>
      <c r="F11712" t="str" cm="1">
        <f t="array" ref="F11712">CategorizeComment(E11712)</f>
        <v>Other</v>
      </c>
      <c r="G11712" t="str" cm="1">
        <f t="array" ref="G11712">SubCategorizeComment(E11712)</f>
        <v>Other</v>
      </c>
    </row>
    <row r="11713" spans="1:7" x14ac:dyDescent="0.25">
      <c r="A11713">
        <v>111247</v>
      </c>
      <c r="B11713" t="s">
        <v>4</v>
      </c>
      <c r="C11713">
        <v>3</v>
      </c>
      <c r="D11713" t="s">
        <v>5</v>
      </c>
      <c r="F11713" t="str" cm="1">
        <f t="array" ref="F11713">CategorizeComment(E11713)</f>
        <v>Other</v>
      </c>
      <c r="G11713" t="str" cm="1">
        <f t="array" ref="G11713">SubCategorizeComment(E11713)</f>
        <v>Other</v>
      </c>
    </row>
    <row r="11714" spans="1:7" x14ac:dyDescent="0.25">
      <c r="A11714">
        <v>111253</v>
      </c>
      <c r="B11714" t="s">
        <v>4</v>
      </c>
      <c r="C11714">
        <v>4</v>
      </c>
      <c r="D11714" t="s">
        <v>5</v>
      </c>
      <c r="F11714" t="str" cm="1">
        <f t="array" ref="F11714">CategorizeComment(E11714)</f>
        <v>Other</v>
      </c>
      <c r="G11714" t="str" cm="1">
        <f t="array" ref="G11714">SubCategorizeComment(E11714)</f>
        <v>Other</v>
      </c>
    </row>
    <row r="11715" spans="1:7" x14ac:dyDescent="0.25">
      <c r="A11715">
        <v>111278</v>
      </c>
      <c r="B11715" t="s">
        <v>4</v>
      </c>
      <c r="C11715">
        <v>3</v>
      </c>
      <c r="D11715" t="s">
        <v>5</v>
      </c>
      <c r="F11715" t="str" cm="1">
        <f t="array" ref="F11715">CategorizeComment(E11715)</f>
        <v>Other</v>
      </c>
      <c r="G11715" t="str" cm="1">
        <f t="array" ref="G11715">SubCategorizeComment(E11715)</f>
        <v>Other</v>
      </c>
    </row>
    <row r="11716" spans="1:7" x14ac:dyDescent="0.25">
      <c r="A11716">
        <v>111283</v>
      </c>
      <c r="B11716" t="s">
        <v>4</v>
      </c>
      <c r="C11716">
        <v>3</v>
      </c>
      <c r="D11716" t="s">
        <v>5</v>
      </c>
      <c r="F11716" t="str" cm="1">
        <f t="array" ref="F11716">CategorizeComment(E11716)</f>
        <v>Other</v>
      </c>
      <c r="G11716" t="str" cm="1">
        <f t="array" ref="G11716">SubCategorizeComment(E11716)</f>
        <v>Other</v>
      </c>
    </row>
    <row r="11717" spans="1:7" x14ac:dyDescent="0.25">
      <c r="A11717">
        <v>111294</v>
      </c>
      <c r="B11717" t="s">
        <v>4</v>
      </c>
      <c r="C11717">
        <v>4</v>
      </c>
      <c r="D11717" t="s">
        <v>5</v>
      </c>
      <c r="F11717" t="str" cm="1">
        <f t="array" ref="F11717">CategorizeComment(E11717)</f>
        <v>Other</v>
      </c>
      <c r="G11717" t="str" cm="1">
        <f t="array" ref="G11717">SubCategorizeComment(E11717)</f>
        <v>Other</v>
      </c>
    </row>
    <row r="11718" spans="1:7" x14ac:dyDescent="0.25">
      <c r="A11718">
        <v>111298</v>
      </c>
      <c r="B11718" t="s">
        <v>4</v>
      </c>
      <c r="C11718">
        <v>3</v>
      </c>
      <c r="D11718" t="s">
        <v>5</v>
      </c>
      <c r="F11718" t="str" cm="1">
        <f t="array" ref="F11718">CategorizeComment(E11718)</f>
        <v>Other</v>
      </c>
      <c r="G11718" t="str" cm="1">
        <f t="array" ref="G11718">SubCategorizeComment(E11718)</f>
        <v>Other</v>
      </c>
    </row>
    <row r="11719" spans="1:7" x14ac:dyDescent="0.25">
      <c r="A11719">
        <v>111303</v>
      </c>
      <c r="B11719" t="s">
        <v>4</v>
      </c>
      <c r="C11719">
        <v>4</v>
      </c>
      <c r="D11719" t="s">
        <v>5</v>
      </c>
      <c r="F11719" t="str" cm="1">
        <f t="array" ref="F11719">CategorizeComment(E11719)</f>
        <v>Other</v>
      </c>
      <c r="G11719" t="str" cm="1">
        <f t="array" ref="G11719">SubCategorizeComment(E11719)</f>
        <v>Other</v>
      </c>
    </row>
    <row r="11720" spans="1:7" x14ac:dyDescent="0.25">
      <c r="A11720">
        <v>111315</v>
      </c>
      <c r="B11720" t="s">
        <v>4</v>
      </c>
      <c r="C11720">
        <v>4</v>
      </c>
      <c r="D11720" t="s">
        <v>5</v>
      </c>
      <c r="F11720" t="str" cm="1">
        <f t="array" ref="F11720">CategorizeComment(E11720)</f>
        <v>Other</v>
      </c>
      <c r="G11720" t="str" cm="1">
        <f t="array" ref="G11720">SubCategorizeComment(E11720)</f>
        <v>Other</v>
      </c>
    </row>
    <row r="11721" spans="1:7" x14ac:dyDescent="0.25">
      <c r="A11721">
        <v>111317</v>
      </c>
      <c r="B11721" t="s">
        <v>4</v>
      </c>
      <c r="C11721">
        <v>3</v>
      </c>
      <c r="D11721" t="s">
        <v>5</v>
      </c>
      <c r="F11721" t="str" cm="1">
        <f t="array" ref="F11721">CategorizeComment(E11721)</f>
        <v>Other</v>
      </c>
      <c r="G11721" t="str" cm="1">
        <f t="array" ref="G11721">SubCategorizeComment(E11721)</f>
        <v>Other</v>
      </c>
    </row>
    <row r="11722" spans="1:7" x14ac:dyDescent="0.25">
      <c r="A11722">
        <v>111321</v>
      </c>
      <c r="B11722" t="s">
        <v>4</v>
      </c>
      <c r="C11722">
        <v>4</v>
      </c>
      <c r="D11722" t="s">
        <v>5</v>
      </c>
      <c r="F11722" t="str" cm="1">
        <f t="array" ref="F11722">CategorizeComment(E11722)</f>
        <v>Other</v>
      </c>
      <c r="G11722" t="str" cm="1">
        <f t="array" ref="G11722">SubCategorizeComment(E11722)</f>
        <v>Other</v>
      </c>
    </row>
    <row r="11723" spans="1:7" x14ac:dyDescent="0.25">
      <c r="A11723">
        <v>111323</v>
      </c>
      <c r="B11723" t="s">
        <v>4</v>
      </c>
      <c r="C11723">
        <v>3</v>
      </c>
      <c r="D11723" t="s">
        <v>5</v>
      </c>
      <c r="F11723" t="str" cm="1">
        <f t="array" ref="F11723">CategorizeComment(E11723)</f>
        <v>Other</v>
      </c>
      <c r="G11723" t="str" cm="1">
        <f t="array" ref="G11723">SubCategorizeComment(E11723)</f>
        <v>Other</v>
      </c>
    </row>
    <row r="11724" spans="1:7" x14ac:dyDescent="0.25">
      <c r="A11724">
        <v>111324</v>
      </c>
      <c r="B11724" t="s">
        <v>4</v>
      </c>
      <c r="C11724">
        <v>3</v>
      </c>
      <c r="D11724" t="s">
        <v>5</v>
      </c>
      <c r="F11724" t="str" cm="1">
        <f t="array" ref="F11724">CategorizeComment(E11724)</f>
        <v>Other</v>
      </c>
      <c r="G11724" t="str" cm="1">
        <f t="array" ref="G11724">SubCategorizeComment(E11724)</f>
        <v>Other</v>
      </c>
    </row>
    <row r="11725" spans="1:7" x14ac:dyDescent="0.25">
      <c r="A11725">
        <v>111329</v>
      </c>
      <c r="B11725" t="s">
        <v>4</v>
      </c>
      <c r="C11725">
        <v>4</v>
      </c>
      <c r="D11725" t="s">
        <v>5</v>
      </c>
      <c r="F11725" t="str" cm="1">
        <f t="array" ref="F11725">CategorizeComment(E11725)</f>
        <v>Other</v>
      </c>
      <c r="G11725" t="str" cm="1">
        <f t="array" ref="G11725">SubCategorizeComment(E11725)</f>
        <v>Other</v>
      </c>
    </row>
    <row r="11726" spans="1:7" x14ac:dyDescent="0.25">
      <c r="A11726">
        <v>111339</v>
      </c>
      <c r="B11726" t="s">
        <v>4</v>
      </c>
      <c r="C11726">
        <v>4</v>
      </c>
      <c r="D11726" t="s">
        <v>5</v>
      </c>
      <c r="F11726" t="str" cm="1">
        <f t="array" ref="F11726">CategorizeComment(E11726)</f>
        <v>Other</v>
      </c>
      <c r="G11726" t="str" cm="1">
        <f t="array" ref="G11726">SubCategorizeComment(E11726)</f>
        <v>Other</v>
      </c>
    </row>
    <row r="11727" spans="1:7" x14ac:dyDescent="0.25">
      <c r="A11727">
        <v>111349</v>
      </c>
      <c r="B11727" t="s">
        <v>4</v>
      </c>
      <c r="C11727">
        <v>3</v>
      </c>
      <c r="D11727" t="s">
        <v>5</v>
      </c>
      <c r="F11727" t="str" cm="1">
        <f t="array" ref="F11727">CategorizeComment(E11727)</f>
        <v>Other</v>
      </c>
      <c r="G11727" t="str" cm="1">
        <f t="array" ref="G11727">SubCategorizeComment(E11727)</f>
        <v>Other</v>
      </c>
    </row>
    <row r="11728" spans="1:7" x14ac:dyDescent="0.25">
      <c r="A11728">
        <v>111351</v>
      </c>
      <c r="B11728" t="s">
        <v>4</v>
      </c>
      <c r="C11728">
        <v>3</v>
      </c>
      <c r="D11728" t="s">
        <v>5</v>
      </c>
      <c r="F11728" t="str" cm="1">
        <f t="array" ref="F11728">CategorizeComment(E11728)</f>
        <v>Other</v>
      </c>
      <c r="G11728" t="str" cm="1">
        <f t="array" ref="G11728">SubCategorizeComment(E11728)</f>
        <v>Other</v>
      </c>
    </row>
    <row r="11729" spans="1:7" x14ac:dyDescent="0.25">
      <c r="A11729">
        <v>111375</v>
      </c>
      <c r="B11729" t="s">
        <v>4</v>
      </c>
      <c r="C11729">
        <v>4</v>
      </c>
      <c r="D11729" t="s">
        <v>5</v>
      </c>
      <c r="F11729" t="str" cm="1">
        <f t="array" ref="F11729">CategorizeComment(E11729)</f>
        <v>Other</v>
      </c>
      <c r="G11729" t="str" cm="1">
        <f t="array" ref="G11729">SubCategorizeComment(E11729)</f>
        <v>Other</v>
      </c>
    </row>
    <row r="11730" spans="1:7" x14ac:dyDescent="0.25">
      <c r="A11730">
        <v>111376</v>
      </c>
      <c r="B11730" t="s">
        <v>4</v>
      </c>
      <c r="C11730">
        <v>3</v>
      </c>
      <c r="D11730" t="s">
        <v>5</v>
      </c>
      <c r="F11730" t="str" cm="1">
        <f t="array" ref="F11730">CategorizeComment(E11730)</f>
        <v>Other</v>
      </c>
      <c r="G11730" t="str" cm="1">
        <f t="array" ref="G11730">SubCategorizeComment(E11730)</f>
        <v>Other</v>
      </c>
    </row>
    <row r="11731" spans="1:7" x14ac:dyDescent="0.25">
      <c r="A11731">
        <v>111384</v>
      </c>
      <c r="B11731" t="s">
        <v>4</v>
      </c>
      <c r="C11731">
        <v>4</v>
      </c>
      <c r="D11731" t="s">
        <v>5</v>
      </c>
      <c r="F11731" t="str" cm="1">
        <f t="array" ref="F11731">CategorizeComment(E11731)</f>
        <v>Other</v>
      </c>
      <c r="G11731" t="str" cm="1">
        <f t="array" ref="G11731">SubCategorizeComment(E11731)</f>
        <v>Other</v>
      </c>
    </row>
    <row r="11732" spans="1:7" x14ac:dyDescent="0.25">
      <c r="A11732">
        <v>111389</v>
      </c>
      <c r="B11732" t="s">
        <v>4</v>
      </c>
      <c r="C11732">
        <v>3</v>
      </c>
      <c r="D11732" t="s">
        <v>5</v>
      </c>
      <c r="F11732" t="str" cm="1">
        <f t="array" ref="F11732">CategorizeComment(E11732)</f>
        <v>Other</v>
      </c>
      <c r="G11732" t="str" cm="1">
        <f t="array" ref="G11732">SubCategorizeComment(E11732)</f>
        <v>Other</v>
      </c>
    </row>
    <row r="11733" spans="1:7" x14ac:dyDescent="0.25">
      <c r="A11733">
        <v>111394</v>
      </c>
      <c r="B11733" t="s">
        <v>4</v>
      </c>
      <c r="C11733">
        <v>4</v>
      </c>
      <c r="D11733" t="s">
        <v>5</v>
      </c>
      <c r="F11733" t="str" cm="1">
        <f t="array" ref="F11733">CategorizeComment(E11733)</f>
        <v>Other</v>
      </c>
      <c r="G11733" t="str" cm="1">
        <f t="array" ref="G11733">SubCategorizeComment(E11733)</f>
        <v>Other</v>
      </c>
    </row>
    <row r="11734" spans="1:7" x14ac:dyDescent="0.25">
      <c r="A11734">
        <v>111407</v>
      </c>
      <c r="B11734" t="s">
        <v>4</v>
      </c>
      <c r="C11734">
        <v>3</v>
      </c>
      <c r="D11734" t="s">
        <v>5</v>
      </c>
      <c r="F11734" t="str" cm="1">
        <f t="array" ref="F11734">CategorizeComment(E11734)</f>
        <v>Other</v>
      </c>
      <c r="G11734" t="str" cm="1">
        <f t="array" ref="G11734">SubCategorizeComment(E11734)</f>
        <v>Other</v>
      </c>
    </row>
    <row r="11735" spans="1:7" x14ac:dyDescent="0.25">
      <c r="A11735">
        <v>111425</v>
      </c>
      <c r="B11735" t="s">
        <v>4</v>
      </c>
      <c r="C11735">
        <v>4</v>
      </c>
      <c r="D11735" t="s">
        <v>5</v>
      </c>
      <c r="F11735" t="str" cm="1">
        <f t="array" ref="F11735">CategorizeComment(E11735)</f>
        <v>Other</v>
      </c>
      <c r="G11735" t="str" cm="1">
        <f t="array" ref="G11735">SubCategorizeComment(E11735)</f>
        <v>Other</v>
      </c>
    </row>
    <row r="11736" spans="1:7" x14ac:dyDescent="0.25">
      <c r="A11736">
        <v>111426</v>
      </c>
      <c r="B11736" t="s">
        <v>4</v>
      </c>
      <c r="C11736">
        <v>4</v>
      </c>
      <c r="D11736" t="s">
        <v>5</v>
      </c>
      <c r="F11736" t="str" cm="1">
        <f t="array" ref="F11736">CategorizeComment(E11736)</f>
        <v>Other</v>
      </c>
      <c r="G11736" t="str" cm="1">
        <f t="array" ref="G11736">SubCategorizeComment(E11736)</f>
        <v>Other</v>
      </c>
    </row>
    <row r="11737" spans="1:7" x14ac:dyDescent="0.25">
      <c r="A11737">
        <v>111431</v>
      </c>
      <c r="B11737" t="s">
        <v>4</v>
      </c>
      <c r="C11737">
        <v>3</v>
      </c>
      <c r="D11737" t="s">
        <v>5</v>
      </c>
      <c r="F11737" t="str" cm="1">
        <f t="array" ref="F11737">CategorizeComment(E11737)</f>
        <v>Other</v>
      </c>
      <c r="G11737" t="str" cm="1">
        <f t="array" ref="G11737">SubCategorizeComment(E11737)</f>
        <v>Other</v>
      </c>
    </row>
    <row r="11738" spans="1:7" x14ac:dyDescent="0.25">
      <c r="A11738">
        <v>111442</v>
      </c>
      <c r="B11738" t="s">
        <v>4</v>
      </c>
      <c r="C11738">
        <v>3</v>
      </c>
      <c r="D11738" t="s">
        <v>5</v>
      </c>
      <c r="F11738" t="str" cm="1">
        <f t="array" ref="F11738">CategorizeComment(E11738)</f>
        <v>Other</v>
      </c>
      <c r="G11738" t="str" cm="1">
        <f t="array" ref="G11738">SubCategorizeComment(E11738)</f>
        <v>Other</v>
      </c>
    </row>
    <row r="11739" spans="1:7" x14ac:dyDescent="0.25">
      <c r="A11739">
        <v>111451</v>
      </c>
      <c r="B11739" t="s">
        <v>4</v>
      </c>
      <c r="C11739">
        <v>3</v>
      </c>
      <c r="D11739" t="s">
        <v>5</v>
      </c>
      <c r="F11739" t="str" cm="1">
        <f t="array" ref="F11739">CategorizeComment(E11739)</f>
        <v>Other</v>
      </c>
      <c r="G11739" t="str" cm="1">
        <f t="array" ref="G11739">SubCategorizeComment(E11739)</f>
        <v>Other</v>
      </c>
    </row>
    <row r="11740" spans="1:7" x14ac:dyDescent="0.25">
      <c r="A11740">
        <v>111471</v>
      </c>
      <c r="B11740" t="s">
        <v>4</v>
      </c>
      <c r="C11740">
        <v>3</v>
      </c>
      <c r="D11740" t="s">
        <v>5</v>
      </c>
      <c r="F11740" t="str" cm="1">
        <f t="array" ref="F11740">CategorizeComment(E11740)</f>
        <v>Other</v>
      </c>
      <c r="G11740" t="str" cm="1">
        <f t="array" ref="G11740">SubCategorizeComment(E11740)</f>
        <v>Other</v>
      </c>
    </row>
    <row r="11741" spans="1:7" x14ac:dyDescent="0.25">
      <c r="A11741">
        <v>111509</v>
      </c>
      <c r="B11741" t="s">
        <v>4</v>
      </c>
      <c r="C11741">
        <v>4</v>
      </c>
      <c r="D11741" t="s">
        <v>5</v>
      </c>
      <c r="F11741" t="str" cm="1">
        <f t="array" ref="F11741">CategorizeComment(E11741)</f>
        <v>Other</v>
      </c>
      <c r="G11741" t="str" cm="1">
        <f t="array" ref="G11741">SubCategorizeComment(E11741)</f>
        <v>Other</v>
      </c>
    </row>
    <row r="11742" spans="1:7" x14ac:dyDescent="0.25">
      <c r="A11742">
        <v>111512</v>
      </c>
      <c r="B11742" t="s">
        <v>4</v>
      </c>
      <c r="C11742">
        <v>3</v>
      </c>
      <c r="D11742" t="s">
        <v>5</v>
      </c>
      <c r="F11742" t="str" cm="1">
        <f t="array" ref="F11742">CategorizeComment(E11742)</f>
        <v>Other</v>
      </c>
      <c r="G11742" t="str" cm="1">
        <f t="array" ref="G11742">SubCategorizeComment(E11742)</f>
        <v>Other</v>
      </c>
    </row>
    <row r="11743" spans="1:7" x14ac:dyDescent="0.25">
      <c r="A11743">
        <v>111517</v>
      </c>
      <c r="B11743" t="s">
        <v>4</v>
      </c>
      <c r="C11743">
        <v>4</v>
      </c>
      <c r="D11743" t="s">
        <v>5</v>
      </c>
      <c r="F11743" t="str" cm="1">
        <f t="array" ref="F11743">CategorizeComment(E11743)</f>
        <v>Other</v>
      </c>
      <c r="G11743" t="str" cm="1">
        <f t="array" ref="G11743">SubCategorizeComment(E11743)</f>
        <v>Other</v>
      </c>
    </row>
    <row r="11744" spans="1:7" x14ac:dyDescent="0.25">
      <c r="A11744">
        <v>111539</v>
      </c>
      <c r="B11744" t="s">
        <v>4</v>
      </c>
      <c r="C11744">
        <v>3</v>
      </c>
      <c r="D11744" t="s">
        <v>5</v>
      </c>
      <c r="F11744" t="str" cm="1">
        <f t="array" ref="F11744">CategorizeComment(E11744)</f>
        <v>Other</v>
      </c>
      <c r="G11744" t="str" cm="1">
        <f t="array" ref="G11744">SubCategorizeComment(E11744)</f>
        <v>Other</v>
      </c>
    </row>
    <row r="11745" spans="1:7" x14ac:dyDescent="0.25">
      <c r="A11745">
        <v>111568</v>
      </c>
      <c r="B11745" t="s">
        <v>4</v>
      </c>
      <c r="C11745">
        <v>3</v>
      </c>
      <c r="D11745" t="s">
        <v>5</v>
      </c>
      <c r="F11745" t="str" cm="1">
        <f t="array" ref="F11745">CategorizeComment(E11745)</f>
        <v>Other</v>
      </c>
      <c r="G11745" t="str" cm="1">
        <f t="array" ref="G11745">SubCategorizeComment(E11745)</f>
        <v>Other</v>
      </c>
    </row>
    <row r="11746" spans="1:7" x14ac:dyDescent="0.25">
      <c r="A11746">
        <v>111569</v>
      </c>
      <c r="B11746" t="s">
        <v>4</v>
      </c>
      <c r="C11746">
        <v>4</v>
      </c>
      <c r="D11746" t="s">
        <v>5</v>
      </c>
      <c r="F11746" t="str" cm="1">
        <f t="array" ref="F11746">CategorizeComment(E11746)</f>
        <v>Other</v>
      </c>
      <c r="G11746" t="str" cm="1">
        <f t="array" ref="G11746">SubCategorizeComment(E11746)</f>
        <v>Other</v>
      </c>
    </row>
    <row r="11747" spans="1:7" x14ac:dyDescent="0.25">
      <c r="A11747">
        <v>111572</v>
      </c>
      <c r="B11747" t="s">
        <v>4</v>
      </c>
      <c r="C11747">
        <v>4</v>
      </c>
      <c r="D11747" t="s">
        <v>5</v>
      </c>
      <c r="F11747" t="str" cm="1">
        <f t="array" ref="F11747">CategorizeComment(E11747)</f>
        <v>Other</v>
      </c>
      <c r="G11747" t="str" cm="1">
        <f t="array" ref="G11747">SubCategorizeComment(E11747)</f>
        <v>Other</v>
      </c>
    </row>
    <row r="11748" spans="1:7" x14ac:dyDescent="0.25">
      <c r="A11748">
        <v>111589</v>
      </c>
      <c r="B11748" t="s">
        <v>4</v>
      </c>
      <c r="C11748">
        <v>3</v>
      </c>
      <c r="D11748" t="s">
        <v>5</v>
      </c>
      <c r="F11748" t="str" cm="1">
        <f t="array" ref="F11748">CategorizeComment(E11748)</f>
        <v>Other</v>
      </c>
      <c r="G11748" t="str" cm="1">
        <f t="array" ref="G11748">SubCategorizeComment(E11748)</f>
        <v>Other</v>
      </c>
    </row>
    <row r="11749" spans="1:7" x14ac:dyDescent="0.25">
      <c r="A11749">
        <v>111596</v>
      </c>
      <c r="B11749" t="s">
        <v>4</v>
      </c>
      <c r="C11749">
        <v>4</v>
      </c>
      <c r="D11749" t="s">
        <v>5</v>
      </c>
      <c r="F11749" t="str" cm="1">
        <f t="array" ref="F11749">CategorizeComment(E11749)</f>
        <v>Other</v>
      </c>
      <c r="G11749" t="str" cm="1">
        <f t="array" ref="G11749">SubCategorizeComment(E11749)</f>
        <v>Other</v>
      </c>
    </row>
    <row r="11750" spans="1:7" x14ac:dyDescent="0.25">
      <c r="A11750">
        <v>111598</v>
      </c>
      <c r="B11750" t="s">
        <v>4</v>
      </c>
      <c r="C11750">
        <v>3</v>
      </c>
      <c r="D11750" t="s">
        <v>5</v>
      </c>
      <c r="F11750" t="str" cm="1">
        <f t="array" ref="F11750">CategorizeComment(E11750)</f>
        <v>Other</v>
      </c>
      <c r="G11750" t="str" cm="1">
        <f t="array" ref="G11750">SubCategorizeComment(E11750)</f>
        <v>Other</v>
      </c>
    </row>
    <row r="11751" spans="1:7" x14ac:dyDescent="0.25">
      <c r="A11751">
        <v>111599</v>
      </c>
      <c r="B11751" t="s">
        <v>4</v>
      </c>
      <c r="C11751">
        <v>4</v>
      </c>
      <c r="D11751" t="s">
        <v>5</v>
      </c>
      <c r="F11751" t="str" cm="1">
        <f t="array" ref="F11751">CategorizeComment(E11751)</f>
        <v>Other</v>
      </c>
      <c r="G11751" t="str" cm="1">
        <f t="array" ref="G11751">SubCategorizeComment(E11751)</f>
        <v>Other</v>
      </c>
    </row>
    <row r="11752" spans="1:7" x14ac:dyDescent="0.25">
      <c r="A11752">
        <v>111603</v>
      </c>
      <c r="B11752" t="s">
        <v>4</v>
      </c>
      <c r="C11752">
        <v>4</v>
      </c>
      <c r="D11752" t="s">
        <v>5</v>
      </c>
      <c r="F11752" t="str" cm="1">
        <f t="array" ref="F11752">CategorizeComment(E11752)</f>
        <v>Other</v>
      </c>
      <c r="G11752" t="str" cm="1">
        <f t="array" ref="G11752">SubCategorizeComment(E11752)</f>
        <v>Other</v>
      </c>
    </row>
    <row r="11753" spans="1:7" x14ac:dyDescent="0.25">
      <c r="A11753">
        <v>111622</v>
      </c>
      <c r="B11753" t="s">
        <v>4</v>
      </c>
      <c r="C11753">
        <v>4</v>
      </c>
      <c r="D11753" t="s">
        <v>5</v>
      </c>
      <c r="F11753" t="str" cm="1">
        <f t="array" ref="F11753">CategorizeComment(E11753)</f>
        <v>Other</v>
      </c>
      <c r="G11753" t="str" cm="1">
        <f t="array" ref="G11753">SubCategorizeComment(E11753)</f>
        <v>Other</v>
      </c>
    </row>
    <row r="11754" spans="1:7" x14ac:dyDescent="0.25">
      <c r="A11754">
        <v>111624</v>
      </c>
      <c r="B11754" t="s">
        <v>4</v>
      </c>
      <c r="C11754">
        <v>4</v>
      </c>
      <c r="D11754" t="s">
        <v>5</v>
      </c>
      <c r="F11754" t="str" cm="1">
        <f t="array" ref="F11754">CategorizeComment(E11754)</f>
        <v>Other</v>
      </c>
      <c r="G11754" t="str" cm="1">
        <f t="array" ref="G11754">SubCategorizeComment(E11754)</f>
        <v>Other</v>
      </c>
    </row>
    <row r="11755" spans="1:7" x14ac:dyDescent="0.25">
      <c r="A11755">
        <v>111630</v>
      </c>
      <c r="B11755" t="s">
        <v>4</v>
      </c>
      <c r="C11755">
        <v>4</v>
      </c>
      <c r="D11755" t="s">
        <v>5</v>
      </c>
      <c r="F11755" t="str" cm="1">
        <f t="array" ref="F11755">CategorizeComment(E11755)</f>
        <v>Other</v>
      </c>
      <c r="G11755" t="str" cm="1">
        <f t="array" ref="G11755">SubCategorizeComment(E11755)</f>
        <v>Other</v>
      </c>
    </row>
    <row r="11756" spans="1:7" x14ac:dyDescent="0.25">
      <c r="A11756">
        <v>111640</v>
      </c>
      <c r="B11756" t="s">
        <v>4</v>
      </c>
      <c r="C11756">
        <v>3</v>
      </c>
      <c r="D11756" t="s">
        <v>5</v>
      </c>
      <c r="F11756" t="str" cm="1">
        <f t="array" ref="F11756">CategorizeComment(E11756)</f>
        <v>Other</v>
      </c>
      <c r="G11756" t="str" cm="1">
        <f t="array" ref="G11756">SubCategorizeComment(E11756)</f>
        <v>Other</v>
      </c>
    </row>
    <row r="11757" spans="1:7" x14ac:dyDescent="0.25">
      <c r="A11757">
        <v>111649</v>
      </c>
      <c r="B11757" t="s">
        <v>4</v>
      </c>
      <c r="C11757">
        <v>4</v>
      </c>
      <c r="D11757" t="s">
        <v>5</v>
      </c>
      <c r="F11757" t="str" cm="1">
        <f t="array" ref="F11757">CategorizeComment(E11757)</f>
        <v>Other</v>
      </c>
      <c r="G11757" t="str" cm="1">
        <f t="array" ref="G11757">SubCategorizeComment(E11757)</f>
        <v>Other</v>
      </c>
    </row>
    <row r="11758" spans="1:7" x14ac:dyDescent="0.25">
      <c r="A11758">
        <v>111668</v>
      </c>
      <c r="B11758" t="s">
        <v>4</v>
      </c>
      <c r="C11758">
        <v>3</v>
      </c>
      <c r="D11758" t="s">
        <v>5</v>
      </c>
      <c r="F11758" t="str" cm="1">
        <f t="array" ref="F11758">CategorizeComment(E11758)</f>
        <v>Other</v>
      </c>
      <c r="G11758" t="str" cm="1">
        <f t="array" ref="G11758">SubCategorizeComment(E11758)</f>
        <v>Other</v>
      </c>
    </row>
    <row r="11759" spans="1:7" x14ac:dyDescent="0.25">
      <c r="A11759">
        <v>111669</v>
      </c>
      <c r="B11759" t="s">
        <v>4</v>
      </c>
      <c r="C11759">
        <v>4</v>
      </c>
      <c r="D11759" t="s">
        <v>5</v>
      </c>
      <c r="F11759" t="str" cm="1">
        <f t="array" ref="F11759">CategorizeComment(E11759)</f>
        <v>Other</v>
      </c>
      <c r="G11759" t="str" cm="1">
        <f t="array" ref="G11759">SubCategorizeComment(E11759)</f>
        <v>Other</v>
      </c>
    </row>
    <row r="11760" spans="1:7" x14ac:dyDescent="0.25">
      <c r="A11760">
        <v>111670</v>
      </c>
      <c r="B11760" t="s">
        <v>4</v>
      </c>
      <c r="C11760">
        <v>3</v>
      </c>
      <c r="D11760" t="s">
        <v>5</v>
      </c>
      <c r="F11760" t="str" cm="1">
        <f t="array" ref="F11760">CategorizeComment(E11760)</f>
        <v>Other</v>
      </c>
      <c r="G11760" t="str" cm="1">
        <f t="array" ref="G11760">SubCategorizeComment(E11760)</f>
        <v>Other</v>
      </c>
    </row>
    <row r="11761" spans="1:7" x14ac:dyDescent="0.25">
      <c r="A11761">
        <v>111681</v>
      </c>
      <c r="B11761" t="s">
        <v>4</v>
      </c>
      <c r="C11761">
        <v>4</v>
      </c>
      <c r="D11761" t="s">
        <v>5</v>
      </c>
      <c r="F11761" t="str" cm="1">
        <f t="array" ref="F11761">CategorizeComment(E11761)</f>
        <v>Other</v>
      </c>
      <c r="G11761" t="str" cm="1">
        <f t="array" ref="G11761">SubCategorizeComment(E11761)</f>
        <v>Other</v>
      </c>
    </row>
    <row r="11762" spans="1:7" x14ac:dyDescent="0.25">
      <c r="A11762">
        <v>111683</v>
      </c>
      <c r="B11762" t="s">
        <v>4</v>
      </c>
      <c r="C11762">
        <v>3</v>
      </c>
      <c r="D11762" t="s">
        <v>5</v>
      </c>
      <c r="F11762" t="str" cm="1">
        <f t="array" ref="F11762">CategorizeComment(E11762)</f>
        <v>Other</v>
      </c>
      <c r="G11762" t="str" cm="1">
        <f t="array" ref="G11762">SubCategorizeComment(E11762)</f>
        <v>Other</v>
      </c>
    </row>
    <row r="11763" spans="1:7" x14ac:dyDescent="0.25">
      <c r="A11763">
        <v>111684</v>
      </c>
      <c r="B11763" t="s">
        <v>4</v>
      </c>
      <c r="C11763">
        <v>4</v>
      </c>
      <c r="D11763" t="s">
        <v>5</v>
      </c>
      <c r="F11763" t="str" cm="1">
        <f t="array" ref="F11763">CategorizeComment(E11763)</f>
        <v>Other</v>
      </c>
      <c r="G11763" t="str" cm="1">
        <f t="array" ref="G11763">SubCategorizeComment(E11763)</f>
        <v>Other</v>
      </c>
    </row>
    <row r="11764" spans="1:7" x14ac:dyDescent="0.25">
      <c r="A11764">
        <v>111688</v>
      </c>
      <c r="B11764" t="s">
        <v>4</v>
      </c>
      <c r="C11764">
        <v>3</v>
      </c>
      <c r="D11764" t="s">
        <v>5</v>
      </c>
      <c r="F11764" t="str" cm="1">
        <f t="array" ref="F11764">CategorizeComment(E11764)</f>
        <v>Other</v>
      </c>
      <c r="G11764" t="str" cm="1">
        <f t="array" ref="G11764">SubCategorizeComment(E11764)</f>
        <v>Other</v>
      </c>
    </row>
    <row r="11765" spans="1:7" x14ac:dyDescent="0.25">
      <c r="A11765">
        <v>111697</v>
      </c>
      <c r="B11765" t="s">
        <v>4</v>
      </c>
      <c r="C11765">
        <v>3</v>
      </c>
      <c r="D11765" t="s">
        <v>5</v>
      </c>
      <c r="F11765" t="str" cm="1">
        <f t="array" ref="F11765">CategorizeComment(E11765)</f>
        <v>Other</v>
      </c>
      <c r="G11765" t="str" cm="1">
        <f t="array" ref="G11765">SubCategorizeComment(E11765)</f>
        <v>Other</v>
      </c>
    </row>
    <row r="11766" spans="1:7" x14ac:dyDescent="0.25">
      <c r="A11766">
        <v>111707</v>
      </c>
      <c r="B11766" t="s">
        <v>4</v>
      </c>
      <c r="C11766">
        <v>3</v>
      </c>
      <c r="D11766" t="s">
        <v>5</v>
      </c>
      <c r="F11766" t="str" cm="1">
        <f t="array" ref="F11766">CategorizeComment(E11766)</f>
        <v>Other</v>
      </c>
      <c r="G11766" t="str" cm="1">
        <f t="array" ref="G11766">SubCategorizeComment(E11766)</f>
        <v>Other</v>
      </c>
    </row>
    <row r="11767" spans="1:7" x14ac:dyDescent="0.25">
      <c r="A11767">
        <v>111714</v>
      </c>
      <c r="B11767" t="s">
        <v>4</v>
      </c>
      <c r="C11767">
        <v>3</v>
      </c>
      <c r="D11767" t="s">
        <v>5</v>
      </c>
      <c r="F11767" t="str" cm="1">
        <f t="array" ref="F11767">CategorizeComment(E11767)</f>
        <v>Other</v>
      </c>
      <c r="G11767" t="str" cm="1">
        <f t="array" ref="G11767">SubCategorizeComment(E11767)</f>
        <v>Other</v>
      </c>
    </row>
    <row r="11768" spans="1:7" x14ac:dyDescent="0.25">
      <c r="A11768">
        <v>111723</v>
      </c>
      <c r="B11768" t="s">
        <v>4</v>
      </c>
      <c r="C11768">
        <v>3</v>
      </c>
      <c r="D11768" t="s">
        <v>5</v>
      </c>
      <c r="F11768" t="str" cm="1">
        <f t="array" ref="F11768">CategorizeComment(E11768)</f>
        <v>Other</v>
      </c>
      <c r="G11768" t="str" cm="1">
        <f t="array" ref="G11768">SubCategorizeComment(E11768)</f>
        <v>Other</v>
      </c>
    </row>
    <row r="11769" spans="1:7" x14ac:dyDescent="0.25">
      <c r="A11769">
        <v>111737</v>
      </c>
      <c r="B11769" t="s">
        <v>4</v>
      </c>
      <c r="C11769">
        <v>3</v>
      </c>
      <c r="D11769" t="s">
        <v>5</v>
      </c>
      <c r="F11769" t="str" cm="1">
        <f t="array" ref="F11769">CategorizeComment(E11769)</f>
        <v>Other</v>
      </c>
      <c r="G11769" t="str" cm="1">
        <f t="array" ref="G11769">SubCategorizeComment(E11769)</f>
        <v>Other</v>
      </c>
    </row>
    <row r="11770" spans="1:7" x14ac:dyDescent="0.25">
      <c r="A11770">
        <v>111756</v>
      </c>
      <c r="B11770" t="s">
        <v>4</v>
      </c>
      <c r="C11770">
        <v>4</v>
      </c>
      <c r="D11770" t="s">
        <v>5</v>
      </c>
      <c r="F11770" t="str" cm="1">
        <f t="array" ref="F11770">CategorizeComment(E11770)</f>
        <v>Other</v>
      </c>
      <c r="G11770" t="str" cm="1">
        <f t="array" ref="G11770">SubCategorizeComment(E11770)</f>
        <v>Other</v>
      </c>
    </row>
    <row r="11771" spans="1:7" x14ac:dyDescent="0.25">
      <c r="A11771">
        <v>111758</v>
      </c>
      <c r="B11771" t="s">
        <v>4</v>
      </c>
      <c r="C11771">
        <v>4</v>
      </c>
      <c r="D11771" t="s">
        <v>5</v>
      </c>
      <c r="F11771" t="str" cm="1">
        <f t="array" ref="F11771">CategorizeComment(E11771)</f>
        <v>Other</v>
      </c>
      <c r="G11771" t="str" cm="1">
        <f t="array" ref="G11771">SubCategorizeComment(E11771)</f>
        <v>Other</v>
      </c>
    </row>
    <row r="11772" spans="1:7" x14ac:dyDescent="0.25">
      <c r="A11772">
        <v>111767</v>
      </c>
      <c r="B11772" t="s">
        <v>4</v>
      </c>
      <c r="C11772">
        <v>3</v>
      </c>
      <c r="D11772" t="s">
        <v>5</v>
      </c>
      <c r="F11772" t="str" cm="1">
        <f t="array" ref="F11772">CategorizeComment(E11772)</f>
        <v>Other</v>
      </c>
      <c r="G11772" t="str" cm="1">
        <f t="array" ref="G11772">SubCategorizeComment(E11772)</f>
        <v>Other</v>
      </c>
    </row>
    <row r="11773" spans="1:7" x14ac:dyDescent="0.25">
      <c r="A11773">
        <v>111777</v>
      </c>
      <c r="B11773" t="s">
        <v>4</v>
      </c>
      <c r="C11773">
        <v>4</v>
      </c>
      <c r="D11773" t="s">
        <v>5</v>
      </c>
      <c r="F11773" t="str" cm="1">
        <f t="array" ref="F11773">CategorizeComment(E11773)</f>
        <v>Other</v>
      </c>
      <c r="G11773" t="str" cm="1">
        <f t="array" ref="G11773">SubCategorizeComment(E11773)</f>
        <v>Other</v>
      </c>
    </row>
    <row r="11774" spans="1:7" x14ac:dyDescent="0.25">
      <c r="A11774">
        <v>111778</v>
      </c>
      <c r="B11774" t="s">
        <v>4</v>
      </c>
      <c r="C11774">
        <v>4</v>
      </c>
      <c r="D11774" t="s">
        <v>5</v>
      </c>
      <c r="F11774" t="str" cm="1">
        <f t="array" ref="F11774">CategorizeComment(E11774)</f>
        <v>Other</v>
      </c>
      <c r="G11774" t="str" cm="1">
        <f t="array" ref="G11774">SubCategorizeComment(E11774)</f>
        <v>Other</v>
      </c>
    </row>
    <row r="11775" spans="1:7" x14ac:dyDescent="0.25">
      <c r="A11775">
        <v>111780</v>
      </c>
      <c r="B11775" t="s">
        <v>4</v>
      </c>
      <c r="C11775">
        <v>3</v>
      </c>
      <c r="D11775" t="s">
        <v>5</v>
      </c>
      <c r="F11775" t="str" cm="1">
        <f t="array" ref="F11775">CategorizeComment(E11775)</f>
        <v>Other</v>
      </c>
      <c r="G11775" t="str" cm="1">
        <f t="array" ref="G11775">SubCategorizeComment(E11775)</f>
        <v>Other</v>
      </c>
    </row>
    <row r="11776" spans="1:7" x14ac:dyDescent="0.25">
      <c r="A11776">
        <v>111783</v>
      </c>
      <c r="B11776" t="s">
        <v>4</v>
      </c>
      <c r="C11776">
        <v>4</v>
      </c>
      <c r="D11776" t="s">
        <v>5</v>
      </c>
      <c r="F11776" t="str" cm="1">
        <f t="array" ref="F11776">CategorizeComment(E11776)</f>
        <v>Other</v>
      </c>
      <c r="G11776" t="str" cm="1">
        <f t="array" ref="G11776">SubCategorizeComment(E11776)</f>
        <v>Other</v>
      </c>
    </row>
    <row r="11777" spans="1:7" x14ac:dyDescent="0.25">
      <c r="A11777">
        <v>111809</v>
      </c>
      <c r="B11777" t="s">
        <v>4</v>
      </c>
      <c r="C11777">
        <v>4</v>
      </c>
      <c r="D11777" t="s">
        <v>5</v>
      </c>
      <c r="F11777" t="str" cm="1">
        <f t="array" ref="F11777">CategorizeComment(E11777)</f>
        <v>Other</v>
      </c>
      <c r="G11777" t="str" cm="1">
        <f t="array" ref="G11777">SubCategorizeComment(E11777)</f>
        <v>Other</v>
      </c>
    </row>
    <row r="11778" spans="1:7" x14ac:dyDescent="0.25">
      <c r="A11778">
        <v>111818</v>
      </c>
      <c r="B11778" t="s">
        <v>4</v>
      </c>
      <c r="C11778">
        <v>3</v>
      </c>
      <c r="D11778" t="s">
        <v>5</v>
      </c>
      <c r="F11778" t="str" cm="1">
        <f t="array" ref="F11778">CategorizeComment(E11778)</f>
        <v>Other</v>
      </c>
      <c r="G11778" t="str" cm="1">
        <f t="array" ref="G11778">SubCategorizeComment(E11778)</f>
        <v>Other</v>
      </c>
    </row>
    <row r="11779" spans="1:7" x14ac:dyDescent="0.25">
      <c r="A11779">
        <v>111833</v>
      </c>
      <c r="B11779" t="s">
        <v>4</v>
      </c>
      <c r="C11779">
        <v>3</v>
      </c>
      <c r="D11779" t="s">
        <v>5</v>
      </c>
      <c r="F11779" t="str" cm="1">
        <f t="array" ref="F11779">CategorizeComment(E11779)</f>
        <v>Other</v>
      </c>
      <c r="G11779" t="str" cm="1">
        <f t="array" ref="G11779">SubCategorizeComment(E11779)</f>
        <v>Other</v>
      </c>
    </row>
    <row r="11780" spans="1:7" x14ac:dyDescent="0.25">
      <c r="A11780">
        <v>111868</v>
      </c>
      <c r="B11780" t="s">
        <v>4</v>
      </c>
      <c r="C11780">
        <v>4</v>
      </c>
      <c r="D11780" t="s">
        <v>5</v>
      </c>
      <c r="F11780" t="str" cm="1">
        <f t="array" ref="F11780">CategorizeComment(E11780)</f>
        <v>Other</v>
      </c>
      <c r="G11780" t="str" cm="1">
        <f t="array" ref="G11780">SubCategorizeComment(E11780)</f>
        <v>Other</v>
      </c>
    </row>
    <row r="11781" spans="1:7" x14ac:dyDescent="0.25">
      <c r="A11781">
        <v>111881</v>
      </c>
      <c r="B11781" t="s">
        <v>4</v>
      </c>
      <c r="C11781">
        <v>3</v>
      </c>
      <c r="D11781" t="s">
        <v>5</v>
      </c>
      <c r="F11781" t="str" cm="1">
        <f t="array" ref="F11781">CategorizeComment(E11781)</f>
        <v>Other</v>
      </c>
      <c r="G11781" t="str" cm="1">
        <f t="array" ref="G11781">SubCategorizeComment(E11781)</f>
        <v>Other</v>
      </c>
    </row>
    <row r="11782" spans="1:7" x14ac:dyDescent="0.25">
      <c r="A11782">
        <v>111882</v>
      </c>
      <c r="B11782" t="s">
        <v>4</v>
      </c>
      <c r="C11782">
        <v>3</v>
      </c>
      <c r="D11782" t="s">
        <v>5</v>
      </c>
      <c r="F11782" t="str" cm="1">
        <f t="array" ref="F11782">CategorizeComment(E11782)</f>
        <v>Other</v>
      </c>
      <c r="G11782" t="str" cm="1">
        <f t="array" ref="G11782">SubCategorizeComment(E11782)</f>
        <v>Other</v>
      </c>
    </row>
    <row r="11783" spans="1:7" x14ac:dyDescent="0.25">
      <c r="A11783">
        <v>111886</v>
      </c>
      <c r="B11783" t="s">
        <v>4</v>
      </c>
      <c r="C11783">
        <v>3</v>
      </c>
      <c r="D11783" t="s">
        <v>5</v>
      </c>
      <c r="F11783" t="str" cm="1">
        <f t="array" ref="F11783">CategorizeComment(E11783)</f>
        <v>Other</v>
      </c>
      <c r="G11783" t="str" cm="1">
        <f t="array" ref="G11783">SubCategorizeComment(E11783)</f>
        <v>Other</v>
      </c>
    </row>
    <row r="11784" spans="1:7" x14ac:dyDescent="0.25">
      <c r="A11784">
        <v>111887</v>
      </c>
      <c r="B11784" t="s">
        <v>4</v>
      </c>
      <c r="C11784">
        <v>3</v>
      </c>
      <c r="D11784" t="s">
        <v>5</v>
      </c>
      <c r="F11784" t="str" cm="1">
        <f t="array" ref="F11784">CategorizeComment(E11784)</f>
        <v>Other</v>
      </c>
      <c r="G11784" t="str" cm="1">
        <f t="array" ref="G11784">SubCategorizeComment(E11784)</f>
        <v>Other</v>
      </c>
    </row>
    <row r="11785" spans="1:7" x14ac:dyDescent="0.25">
      <c r="A11785">
        <v>111889</v>
      </c>
      <c r="B11785" t="s">
        <v>4</v>
      </c>
      <c r="C11785">
        <v>3</v>
      </c>
      <c r="D11785" t="s">
        <v>5</v>
      </c>
      <c r="F11785" t="str" cm="1">
        <f t="array" ref="F11785">CategorizeComment(E11785)</f>
        <v>Other</v>
      </c>
      <c r="G11785" t="str" cm="1">
        <f t="array" ref="G11785">SubCategorizeComment(E11785)</f>
        <v>Other</v>
      </c>
    </row>
    <row r="11786" spans="1:7" x14ac:dyDescent="0.25">
      <c r="A11786">
        <v>111893</v>
      </c>
      <c r="B11786" t="s">
        <v>4</v>
      </c>
      <c r="C11786">
        <v>3</v>
      </c>
      <c r="D11786" t="s">
        <v>5</v>
      </c>
      <c r="F11786" t="str" cm="1">
        <f t="array" ref="F11786">CategorizeComment(E11786)</f>
        <v>Other</v>
      </c>
      <c r="G11786" t="str" cm="1">
        <f t="array" ref="G11786">SubCategorizeComment(E11786)</f>
        <v>Other</v>
      </c>
    </row>
    <row r="11787" spans="1:7" x14ac:dyDescent="0.25">
      <c r="A11787">
        <v>111903</v>
      </c>
      <c r="B11787" t="s">
        <v>4</v>
      </c>
      <c r="C11787">
        <v>4</v>
      </c>
      <c r="D11787" t="s">
        <v>5</v>
      </c>
      <c r="F11787" t="str" cm="1">
        <f t="array" ref="F11787">CategorizeComment(E11787)</f>
        <v>Other</v>
      </c>
      <c r="G11787" t="str" cm="1">
        <f t="array" ref="G11787">SubCategorizeComment(E11787)</f>
        <v>Other</v>
      </c>
    </row>
    <row r="11788" spans="1:7" x14ac:dyDescent="0.25">
      <c r="A11788">
        <v>111909</v>
      </c>
      <c r="B11788" t="s">
        <v>4</v>
      </c>
      <c r="C11788">
        <v>3</v>
      </c>
      <c r="D11788" t="s">
        <v>5</v>
      </c>
      <c r="F11788" t="str" cm="1">
        <f t="array" ref="F11788">CategorizeComment(E11788)</f>
        <v>Other</v>
      </c>
      <c r="G11788" t="str" cm="1">
        <f t="array" ref="G11788">SubCategorizeComment(E11788)</f>
        <v>Other</v>
      </c>
    </row>
    <row r="11789" spans="1:7" x14ac:dyDescent="0.25">
      <c r="A11789">
        <v>111910</v>
      </c>
      <c r="B11789" t="s">
        <v>4</v>
      </c>
      <c r="C11789">
        <v>4</v>
      </c>
      <c r="D11789" t="s">
        <v>5</v>
      </c>
      <c r="F11789" t="str" cm="1">
        <f t="array" ref="F11789">CategorizeComment(E11789)</f>
        <v>Other</v>
      </c>
      <c r="G11789" t="str" cm="1">
        <f t="array" ref="G11789">SubCategorizeComment(E11789)</f>
        <v>Other</v>
      </c>
    </row>
    <row r="11790" spans="1:7" x14ac:dyDescent="0.25">
      <c r="A11790">
        <v>111931</v>
      </c>
      <c r="B11790" t="s">
        <v>4</v>
      </c>
      <c r="C11790">
        <v>3</v>
      </c>
      <c r="D11790" t="s">
        <v>5</v>
      </c>
      <c r="F11790" t="str" cm="1">
        <f t="array" ref="F11790">CategorizeComment(E11790)</f>
        <v>Other</v>
      </c>
      <c r="G11790" t="str" cm="1">
        <f t="array" ref="G11790">SubCategorizeComment(E11790)</f>
        <v>Other</v>
      </c>
    </row>
    <row r="11791" spans="1:7" x14ac:dyDescent="0.25">
      <c r="A11791">
        <v>111932</v>
      </c>
      <c r="B11791" t="s">
        <v>4</v>
      </c>
      <c r="C11791">
        <v>4</v>
      </c>
      <c r="D11791" t="s">
        <v>5</v>
      </c>
      <c r="F11791" t="str" cm="1">
        <f t="array" ref="F11791">CategorizeComment(E11791)</f>
        <v>Other</v>
      </c>
      <c r="G11791" t="str" cm="1">
        <f t="array" ref="G11791">SubCategorizeComment(E11791)</f>
        <v>Other</v>
      </c>
    </row>
    <row r="11792" spans="1:7" x14ac:dyDescent="0.25">
      <c r="A11792">
        <v>111952</v>
      </c>
      <c r="B11792" t="s">
        <v>4</v>
      </c>
      <c r="C11792">
        <v>3</v>
      </c>
      <c r="D11792" t="s">
        <v>5</v>
      </c>
      <c r="F11792" t="str" cm="1">
        <f t="array" ref="F11792">CategorizeComment(E11792)</f>
        <v>Other</v>
      </c>
      <c r="G11792" t="str" cm="1">
        <f t="array" ref="G11792">SubCategorizeComment(E11792)</f>
        <v>Other</v>
      </c>
    </row>
    <row r="11793" spans="1:7" x14ac:dyDescent="0.25">
      <c r="A11793">
        <v>111965</v>
      </c>
      <c r="B11793" t="s">
        <v>4</v>
      </c>
      <c r="C11793">
        <v>3</v>
      </c>
      <c r="D11793" t="s">
        <v>5</v>
      </c>
      <c r="F11793" t="str" cm="1">
        <f t="array" ref="F11793">CategorizeComment(E11793)</f>
        <v>Other</v>
      </c>
      <c r="G11793" t="str" cm="1">
        <f t="array" ref="G11793">SubCategorizeComment(E11793)</f>
        <v>Other</v>
      </c>
    </row>
    <row r="11794" spans="1:7" x14ac:dyDescent="0.25">
      <c r="A11794">
        <v>111967</v>
      </c>
      <c r="B11794" t="s">
        <v>4</v>
      </c>
      <c r="C11794">
        <v>3</v>
      </c>
      <c r="D11794" t="s">
        <v>5</v>
      </c>
      <c r="F11794" t="str" cm="1">
        <f t="array" ref="F11794">CategorizeComment(E11794)</f>
        <v>Other</v>
      </c>
      <c r="G11794" t="str" cm="1">
        <f t="array" ref="G11794">SubCategorizeComment(E11794)</f>
        <v>Other</v>
      </c>
    </row>
    <row r="11795" spans="1:7" x14ac:dyDescent="0.25">
      <c r="A11795">
        <v>111977</v>
      </c>
      <c r="B11795" t="s">
        <v>4</v>
      </c>
      <c r="C11795">
        <v>3</v>
      </c>
      <c r="D11795" t="s">
        <v>5</v>
      </c>
      <c r="F11795" t="str" cm="1">
        <f t="array" ref="F11795">CategorizeComment(E11795)</f>
        <v>Other</v>
      </c>
      <c r="G11795" t="str" cm="1">
        <f t="array" ref="G11795">SubCategorizeComment(E11795)</f>
        <v>Other</v>
      </c>
    </row>
    <row r="11796" spans="1:7" x14ac:dyDescent="0.25">
      <c r="A11796">
        <v>111985</v>
      </c>
      <c r="B11796" t="s">
        <v>4</v>
      </c>
      <c r="C11796">
        <v>3</v>
      </c>
      <c r="D11796" t="s">
        <v>5</v>
      </c>
      <c r="F11796" t="str" cm="1">
        <f t="array" ref="F11796">CategorizeComment(E11796)</f>
        <v>Other</v>
      </c>
      <c r="G11796" t="str" cm="1">
        <f t="array" ref="G11796">SubCategorizeComment(E11796)</f>
        <v>Other</v>
      </c>
    </row>
    <row r="11797" spans="1:7" x14ac:dyDescent="0.25">
      <c r="A11797">
        <v>112000</v>
      </c>
      <c r="B11797" t="s">
        <v>4</v>
      </c>
      <c r="C11797">
        <v>4</v>
      </c>
      <c r="D11797" t="s">
        <v>5</v>
      </c>
      <c r="F11797" t="str" cm="1">
        <f t="array" ref="F11797">CategorizeComment(E11797)</f>
        <v>Other</v>
      </c>
      <c r="G11797" t="str" cm="1">
        <f t="array" ref="G11797">SubCategorizeComment(E11797)</f>
        <v>Other</v>
      </c>
    </row>
    <row r="11798" spans="1:7" x14ac:dyDescent="0.25">
      <c r="A11798">
        <v>112001</v>
      </c>
      <c r="B11798" t="s">
        <v>4</v>
      </c>
      <c r="C11798">
        <v>4</v>
      </c>
      <c r="D11798" t="s">
        <v>5</v>
      </c>
      <c r="F11798" t="str" cm="1">
        <f t="array" ref="F11798">CategorizeComment(E11798)</f>
        <v>Other</v>
      </c>
      <c r="G11798" t="str" cm="1">
        <f t="array" ref="G11798">SubCategorizeComment(E11798)</f>
        <v>Other</v>
      </c>
    </row>
    <row r="11799" spans="1:7" x14ac:dyDescent="0.25">
      <c r="A11799">
        <v>112005</v>
      </c>
      <c r="B11799" t="s">
        <v>4</v>
      </c>
      <c r="C11799">
        <v>4</v>
      </c>
      <c r="D11799" t="s">
        <v>5</v>
      </c>
      <c r="F11799" t="str" cm="1">
        <f t="array" ref="F11799">CategorizeComment(E11799)</f>
        <v>Other</v>
      </c>
      <c r="G11799" t="str" cm="1">
        <f t="array" ref="G11799">SubCategorizeComment(E11799)</f>
        <v>Other</v>
      </c>
    </row>
    <row r="11800" spans="1:7" x14ac:dyDescent="0.25">
      <c r="A11800">
        <v>112008</v>
      </c>
      <c r="B11800" t="s">
        <v>4</v>
      </c>
      <c r="C11800">
        <v>3</v>
      </c>
      <c r="D11800" t="s">
        <v>5</v>
      </c>
      <c r="F11800" t="str" cm="1">
        <f t="array" ref="F11800">CategorizeComment(E11800)</f>
        <v>Other</v>
      </c>
      <c r="G11800" t="str" cm="1">
        <f t="array" ref="G11800">SubCategorizeComment(E11800)</f>
        <v>Other</v>
      </c>
    </row>
    <row r="11801" spans="1:7" x14ac:dyDescent="0.25">
      <c r="A11801">
        <v>112021</v>
      </c>
      <c r="B11801" t="s">
        <v>4</v>
      </c>
      <c r="C11801">
        <v>4</v>
      </c>
      <c r="D11801" t="s">
        <v>5</v>
      </c>
      <c r="F11801" t="str" cm="1">
        <f t="array" ref="F11801">CategorizeComment(E11801)</f>
        <v>Other</v>
      </c>
      <c r="G11801" t="str" cm="1">
        <f t="array" ref="G11801">SubCategorizeComment(E11801)</f>
        <v>Other</v>
      </c>
    </row>
    <row r="11802" spans="1:7" x14ac:dyDescent="0.25">
      <c r="A11802">
        <v>112022</v>
      </c>
      <c r="B11802" t="s">
        <v>4</v>
      </c>
      <c r="C11802">
        <v>4</v>
      </c>
      <c r="D11802" t="s">
        <v>5</v>
      </c>
      <c r="F11802" t="str" cm="1">
        <f t="array" ref="F11802">CategorizeComment(E11802)</f>
        <v>Other</v>
      </c>
      <c r="G11802" t="str" cm="1">
        <f t="array" ref="G11802">SubCategorizeComment(E11802)</f>
        <v>Other</v>
      </c>
    </row>
    <row r="11803" spans="1:7" x14ac:dyDescent="0.25">
      <c r="A11803">
        <v>112046</v>
      </c>
      <c r="B11803" t="s">
        <v>4</v>
      </c>
      <c r="C11803">
        <v>4</v>
      </c>
      <c r="D11803" t="s">
        <v>5</v>
      </c>
      <c r="F11803" t="str" cm="1">
        <f t="array" ref="F11803">CategorizeComment(E11803)</f>
        <v>Other</v>
      </c>
      <c r="G11803" t="str" cm="1">
        <f t="array" ref="G11803">SubCategorizeComment(E11803)</f>
        <v>Other</v>
      </c>
    </row>
    <row r="11804" spans="1:7" x14ac:dyDescent="0.25">
      <c r="A11804">
        <v>112049</v>
      </c>
      <c r="B11804" t="s">
        <v>4</v>
      </c>
      <c r="C11804">
        <v>3</v>
      </c>
      <c r="D11804" t="s">
        <v>5</v>
      </c>
      <c r="F11804" t="str" cm="1">
        <f t="array" ref="F11804">CategorizeComment(E11804)</f>
        <v>Other</v>
      </c>
      <c r="G11804" t="str" cm="1">
        <f t="array" ref="G11804">SubCategorizeComment(E11804)</f>
        <v>Other</v>
      </c>
    </row>
    <row r="11805" spans="1:7" x14ac:dyDescent="0.25">
      <c r="A11805">
        <v>112053</v>
      </c>
      <c r="B11805" t="s">
        <v>4</v>
      </c>
      <c r="C11805">
        <v>3</v>
      </c>
      <c r="D11805" t="s">
        <v>5</v>
      </c>
      <c r="F11805" t="str" cm="1">
        <f t="array" ref="F11805">CategorizeComment(E11805)</f>
        <v>Other</v>
      </c>
      <c r="G11805" t="str" cm="1">
        <f t="array" ref="G11805">SubCategorizeComment(E11805)</f>
        <v>Other</v>
      </c>
    </row>
    <row r="11806" spans="1:7" x14ac:dyDescent="0.25">
      <c r="A11806">
        <v>112054</v>
      </c>
      <c r="B11806" t="s">
        <v>4</v>
      </c>
      <c r="C11806">
        <v>3</v>
      </c>
      <c r="D11806" t="s">
        <v>5</v>
      </c>
      <c r="F11806" t="str" cm="1">
        <f t="array" ref="F11806">CategorizeComment(E11806)</f>
        <v>Other</v>
      </c>
      <c r="G11806" t="str" cm="1">
        <f t="array" ref="G11806">SubCategorizeComment(E11806)</f>
        <v>Other</v>
      </c>
    </row>
    <row r="11807" spans="1:7" x14ac:dyDescent="0.25">
      <c r="A11807">
        <v>112061</v>
      </c>
      <c r="B11807" t="s">
        <v>4</v>
      </c>
      <c r="C11807">
        <v>4</v>
      </c>
      <c r="D11807" t="s">
        <v>5</v>
      </c>
      <c r="F11807" t="str" cm="1">
        <f t="array" ref="F11807">CategorizeComment(E11807)</f>
        <v>Other</v>
      </c>
      <c r="G11807" t="str" cm="1">
        <f t="array" ref="G11807">SubCategorizeComment(E11807)</f>
        <v>Other</v>
      </c>
    </row>
    <row r="11808" spans="1:7" x14ac:dyDescent="0.25">
      <c r="A11808">
        <v>112063</v>
      </c>
      <c r="B11808" t="s">
        <v>4</v>
      </c>
      <c r="C11808">
        <v>4</v>
      </c>
      <c r="D11808" t="s">
        <v>5</v>
      </c>
      <c r="F11808" t="str" cm="1">
        <f t="array" ref="F11808">CategorizeComment(E11808)</f>
        <v>Other</v>
      </c>
      <c r="G11808" t="str" cm="1">
        <f t="array" ref="G11808">SubCategorizeComment(E11808)</f>
        <v>Other</v>
      </c>
    </row>
    <row r="11809" spans="1:7" x14ac:dyDescent="0.25">
      <c r="A11809">
        <v>112065</v>
      </c>
      <c r="B11809" t="s">
        <v>4</v>
      </c>
      <c r="C11809">
        <v>3</v>
      </c>
      <c r="D11809" t="s">
        <v>5</v>
      </c>
      <c r="F11809" t="str" cm="1">
        <f t="array" ref="F11809">CategorizeComment(E11809)</f>
        <v>Other</v>
      </c>
      <c r="G11809" t="str" cm="1">
        <f t="array" ref="G11809">SubCategorizeComment(E11809)</f>
        <v>Other</v>
      </c>
    </row>
    <row r="11810" spans="1:7" x14ac:dyDescent="0.25">
      <c r="A11810">
        <v>112078</v>
      </c>
      <c r="B11810" t="s">
        <v>4</v>
      </c>
      <c r="C11810">
        <v>4</v>
      </c>
      <c r="D11810" t="s">
        <v>5</v>
      </c>
      <c r="F11810" t="str" cm="1">
        <f t="array" ref="F11810">CategorizeComment(E11810)</f>
        <v>Other</v>
      </c>
      <c r="G11810" t="str" cm="1">
        <f t="array" ref="G11810">SubCategorizeComment(E11810)</f>
        <v>Other</v>
      </c>
    </row>
    <row r="11811" spans="1:7" x14ac:dyDescent="0.25">
      <c r="A11811">
        <v>112079</v>
      </c>
      <c r="B11811" t="s">
        <v>4</v>
      </c>
      <c r="C11811">
        <v>3</v>
      </c>
      <c r="D11811" t="s">
        <v>5</v>
      </c>
      <c r="F11811" t="str" cm="1">
        <f t="array" ref="F11811">CategorizeComment(E11811)</f>
        <v>Other</v>
      </c>
      <c r="G11811" t="str" cm="1">
        <f t="array" ref="G11811">SubCategorizeComment(E11811)</f>
        <v>Other</v>
      </c>
    </row>
    <row r="11812" spans="1:7" x14ac:dyDescent="0.25">
      <c r="A11812">
        <v>112084</v>
      </c>
      <c r="B11812" t="s">
        <v>4</v>
      </c>
      <c r="C11812">
        <v>3</v>
      </c>
      <c r="D11812" t="s">
        <v>5</v>
      </c>
      <c r="F11812" t="str" cm="1">
        <f t="array" ref="F11812">CategorizeComment(E11812)</f>
        <v>Other</v>
      </c>
      <c r="G11812" t="str" cm="1">
        <f t="array" ref="G11812">SubCategorizeComment(E11812)</f>
        <v>Other</v>
      </c>
    </row>
    <row r="11813" spans="1:7" x14ac:dyDescent="0.25">
      <c r="A11813">
        <v>112085</v>
      </c>
      <c r="B11813" t="s">
        <v>4</v>
      </c>
      <c r="C11813">
        <v>4</v>
      </c>
      <c r="D11813" t="s">
        <v>5</v>
      </c>
      <c r="F11813" t="str" cm="1">
        <f t="array" ref="F11813">CategorizeComment(E11813)</f>
        <v>Other</v>
      </c>
      <c r="G11813" t="str" cm="1">
        <f t="array" ref="G11813">SubCategorizeComment(E11813)</f>
        <v>Other</v>
      </c>
    </row>
    <row r="11814" spans="1:7" x14ac:dyDescent="0.25">
      <c r="A11814">
        <v>112086</v>
      </c>
      <c r="B11814" t="s">
        <v>4</v>
      </c>
      <c r="C11814">
        <v>3</v>
      </c>
      <c r="D11814" t="s">
        <v>5</v>
      </c>
      <c r="F11814" t="str" cm="1">
        <f t="array" ref="F11814">CategorizeComment(E11814)</f>
        <v>Other</v>
      </c>
      <c r="G11814" t="str" cm="1">
        <f t="array" ref="G11814">SubCategorizeComment(E11814)</f>
        <v>Other</v>
      </c>
    </row>
    <row r="11815" spans="1:7" x14ac:dyDescent="0.25">
      <c r="A11815">
        <v>112087</v>
      </c>
      <c r="B11815" t="s">
        <v>4</v>
      </c>
      <c r="C11815">
        <v>4</v>
      </c>
      <c r="D11815" t="s">
        <v>5</v>
      </c>
      <c r="F11815" t="str" cm="1">
        <f t="array" ref="F11815">CategorizeComment(E11815)</f>
        <v>Other</v>
      </c>
      <c r="G11815" t="str" cm="1">
        <f t="array" ref="G11815">SubCategorizeComment(E11815)</f>
        <v>Other</v>
      </c>
    </row>
    <row r="11816" spans="1:7" x14ac:dyDescent="0.25">
      <c r="A11816">
        <v>112107</v>
      </c>
      <c r="B11816" t="s">
        <v>4</v>
      </c>
      <c r="C11816">
        <v>3</v>
      </c>
      <c r="D11816" t="s">
        <v>5</v>
      </c>
      <c r="F11816" t="str" cm="1">
        <f t="array" ref="F11816">CategorizeComment(E11816)</f>
        <v>Other</v>
      </c>
      <c r="G11816" t="str" cm="1">
        <f t="array" ref="G11816">SubCategorizeComment(E11816)</f>
        <v>Other</v>
      </c>
    </row>
    <row r="11817" spans="1:7" x14ac:dyDescent="0.25">
      <c r="A11817">
        <v>112132</v>
      </c>
      <c r="B11817" t="s">
        <v>4</v>
      </c>
      <c r="C11817">
        <v>3</v>
      </c>
      <c r="D11817" t="s">
        <v>5</v>
      </c>
      <c r="F11817" t="str" cm="1">
        <f t="array" ref="F11817">CategorizeComment(E11817)</f>
        <v>Other</v>
      </c>
      <c r="G11817" t="str" cm="1">
        <f t="array" ref="G11817">SubCategorizeComment(E11817)</f>
        <v>Other</v>
      </c>
    </row>
    <row r="11818" spans="1:7" x14ac:dyDescent="0.25">
      <c r="A11818">
        <v>112137</v>
      </c>
      <c r="B11818" t="s">
        <v>4</v>
      </c>
      <c r="C11818">
        <v>4</v>
      </c>
      <c r="D11818" t="s">
        <v>5</v>
      </c>
      <c r="F11818" t="str" cm="1">
        <f t="array" ref="F11818">CategorizeComment(E11818)</f>
        <v>Other</v>
      </c>
      <c r="G11818" t="str" cm="1">
        <f t="array" ref="G11818">SubCategorizeComment(E11818)</f>
        <v>Other</v>
      </c>
    </row>
    <row r="11819" spans="1:7" x14ac:dyDescent="0.25">
      <c r="A11819">
        <v>112159</v>
      </c>
      <c r="B11819" t="s">
        <v>4</v>
      </c>
      <c r="C11819">
        <v>3</v>
      </c>
      <c r="D11819" t="s">
        <v>5</v>
      </c>
      <c r="F11819" t="str" cm="1">
        <f t="array" ref="F11819">CategorizeComment(E11819)</f>
        <v>Other</v>
      </c>
      <c r="G11819" t="str" cm="1">
        <f t="array" ref="G11819">SubCategorizeComment(E11819)</f>
        <v>Other</v>
      </c>
    </row>
    <row r="11820" spans="1:7" x14ac:dyDescent="0.25">
      <c r="A11820">
        <v>112160</v>
      </c>
      <c r="B11820" t="s">
        <v>4</v>
      </c>
      <c r="C11820">
        <v>3</v>
      </c>
      <c r="D11820" t="s">
        <v>5</v>
      </c>
      <c r="F11820" t="str" cm="1">
        <f t="array" ref="F11820">CategorizeComment(E11820)</f>
        <v>Other</v>
      </c>
      <c r="G11820" t="str" cm="1">
        <f t="array" ref="G11820">SubCategorizeComment(E11820)</f>
        <v>Other</v>
      </c>
    </row>
    <row r="11821" spans="1:7" x14ac:dyDescent="0.25">
      <c r="A11821">
        <v>112184</v>
      </c>
      <c r="B11821" t="s">
        <v>4</v>
      </c>
      <c r="C11821">
        <v>4</v>
      </c>
      <c r="D11821" t="s">
        <v>5</v>
      </c>
      <c r="F11821" t="str" cm="1">
        <f t="array" ref="F11821">CategorizeComment(E11821)</f>
        <v>Other</v>
      </c>
      <c r="G11821" t="str" cm="1">
        <f t="array" ref="G11821">SubCategorizeComment(E11821)</f>
        <v>Other</v>
      </c>
    </row>
    <row r="11822" spans="1:7" x14ac:dyDescent="0.25">
      <c r="A11822">
        <v>112193</v>
      </c>
      <c r="B11822" t="s">
        <v>4</v>
      </c>
      <c r="C11822">
        <v>3</v>
      </c>
      <c r="D11822" t="s">
        <v>5</v>
      </c>
      <c r="F11822" t="str" cm="1">
        <f t="array" ref="F11822">CategorizeComment(E11822)</f>
        <v>Other</v>
      </c>
      <c r="G11822" t="str" cm="1">
        <f t="array" ref="G11822">SubCategorizeComment(E11822)</f>
        <v>Other</v>
      </c>
    </row>
    <row r="11823" spans="1:7" x14ac:dyDescent="0.25">
      <c r="A11823">
        <v>112204</v>
      </c>
      <c r="B11823" t="s">
        <v>4</v>
      </c>
      <c r="C11823">
        <v>4</v>
      </c>
      <c r="D11823" t="s">
        <v>5</v>
      </c>
      <c r="F11823" t="str" cm="1">
        <f t="array" ref="F11823">CategorizeComment(E11823)</f>
        <v>Other</v>
      </c>
      <c r="G11823" t="str" cm="1">
        <f t="array" ref="G11823">SubCategorizeComment(E11823)</f>
        <v>Other</v>
      </c>
    </row>
    <row r="11824" spans="1:7" x14ac:dyDescent="0.25">
      <c r="A11824">
        <v>112217</v>
      </c>
      <c r="B11824" t="s">
        <v>4</v>
      </c>
      <c r="C11824">
        <v>3</v>
      </c>
      <c r="D11824" t="s">
        <v>5</v>
      </c>
      <c r="F11824" t="str" cm="1">
        <f t="array" ref="F11824">CategorizeComment(E11824)</f>
        <v>Other</v>
      </c>
      <c r="G11824" t="str" cm="1">
        <f t="array" ref="G11824">SubCategorizeComment(E11824)</f>
        <v>Other</v>
      </c>
    </row>
    <row r="11825" spans="1:7" x14ac:dyDescent="0.25">
      <c r="A11825">
        <v>112219</v>
      </c>
      <c r="B11825" t="s">
        <v>4</v>
      </c>
      <c r="C11825">
        <v>3</v>
      </c>
      <c r="D11825" t="s">
        <v>5</v>
      </c>
      <c r="F11825" t="str" cm="1">
        <f t="array" ref="F11825">CategorizeComment(E11825)</f>
        <v>Other</v>
      </c>
      <c r="G11825" t="str" cm="1">
        <f t="array" ref="G11825">SubCategorizeComment(E11825)</f>
        <v>Other</v>
      </c>
    </row>
    <row r="11826" spans="1:7" x14ac:dyDescent="0.25">
      <c r="A11826">
        <v>112224</v>
      </c>
      <c r="B11826" t="s">
        <v>4</v>
      </c>
      <c r="C11826">
        <v>4</v>
      </c>
      <c r="D11826" t="s">
        <v>5</v>
      </c>
      <c r="F11826" t="str" cm="1">
        <f t="array" ref="F11826">CategorizeComment(E11826)</f>
        <v>Other</v>
      </c>
      <c r="G11826" t="str" cm="1">
        <f t="array" ref="G11826">SubCategorizeComment(E11826)</f>
        <v>Other</v>
      </c>
    </row>
    <row r="11827" spans="1:7" x14ac:dyDescent="0.25">
      <c r="A11827">
        <v>112228</v>
      </c>
      <c r="B11827" t="s">
        <v>4</v>
      </c>
      <c r="C11827">
        <v>3</v>
      </c>
      <c r="D11827" t="s">
        <v>5</v>
      </c>
      <c r="F11827" t="str" cm="1">
        <f t="array" ref="F11827">CategorizeComment(E11827)</f>
        <v>Other</v>
      </c>
      <c r="G11827" t="str" cm="1">
        <f t="array" ref="G11827">SubCategorizeComment(E11827)</f>
        <v>Other</v>
      </c>
    </row>
    <row r="11828" spans="1:7" x14ac:dyDescent="0.25">
      <c r="A11828">
        <v>112256</v>
      </c>
      <c r="B11828" t="s">
        <v>4</v>
      </c>
      <c r="C11828">
        <v>4</v>
      </c>
      <c r="D11828" t="s">
        <v>5</v>
      </c>
      <c r="F11828" t="str" cm="1">
        <f t="array" ref="F11828">CategorizeComment(E11828)</f>
        <v>Other</v>
      </c>
      <c r="G11828" t="str" cm="1">
        <f t="array" ref="G11828">SubCategorizeComment(E11828)</f>
        <v>Other</v>
      </c>
    </row>
    <row r="11829" spans="1:7" x14ac:dyDescent="0.25">
      <c r="A11829">
        <v>112261</v>
      </c>
      <c r="B11829" t="s">
        <v>4</v>
      </c>
      <c r="C11829">
        <v>3</v>
      </c>
      <c r="D11829" t="s">
        <v>5</v>
      </c>
      <c r="F11829" t="str" cm="1">
        <f t="array" ref="F11829">CategorizeComment(E11829)</f>
        <v>Other</v>
      </c>
      <c r="G11829" t="str" cm="1">
        <f t="array" ref="G11829">SubCategorizeComment(E11829)</f>
        <v>Other</v>
      </c>
    </row>
    <row r="11830" spans="1:7" x14ac:dyDescent="0.25">
      <c r="A11830">
        <v>112267</v>
      </c>
      <c r="B11830" t="s">
        <v>4</v>
      </c>
      <c r="C11830">
        <v>3</v>
      </c>
      <c r="D11830" t="s">
        <v>5</v>
      </c>
      <c r="F11830" t="str" cm="1">
        <f t="array" ref="F11830">CategorizeComment(E11830)</f>
        <v>Other</v>
      </c>
      <c r="G11830" t="str" cm="1">
        <f t="array" ref="G11830">SubCategorizeComment(E11830)</f>
        <v>Other</v>
      </c>
    </row>
    <row r="11831" spans="1:7" x14ac:dyDescent="0.25">
      <c r="A11831">
        <v>112273</v>
      </c>
      <c r="B11831" t="s">
        <v>4</v>
      </c>
      <c r="C11831">
        <v>4</v>
      </c>
      <c r="D11831" t="s">
        <v>5</v>
      </c>
      <c r="F11831" t="str" cm="1">
        <f t="array" ref="F11831">CategorizeComment(E11831)</f>
        <v>Other</v>
      </c>
      <c r="G11831" t="str" cm="1">
        <f t="array" ref="G11831">SubCategorizeComment(E11831)</f>
        <v>Other</v>
      </c>
    </row>
    <row r="11832" spans="1:7" x14ac:dyDescent="0.25">
      <c r="A11832">
        <v>112274</v>
      </c>
      <c r="B11832" t="s">
        <v>4</v>
      </c>
      <c r="C11832">
        <v>3</v>
      </c>
      <c r="D11832" t="s">
        <v>5</v>
      </c>
      <c r="F11832" t="str" cm="1">
        <f t="array" ref="F11832">CategorizeComment(E11832)</f>
        <v>Other</v>
      </c>
      <c r="G11832" t="str" cm="1">
        <f t="array" ref="G11832">SubCategorizeComment(E11832)</f>
        <v>Other</v>
      </c>
    </row>
    <row r="11833" spans="1:7" x14ac:dyDescent="0.25">
      <c r="A11833">
        <v>112304</v>
      </c>
      <c r="B11833" t="s">
        <v>4</v>
      </c>
      <c r="C11833">
        <v>3</v>
      </c>
      <c r="D11833" t="s">
        <v>5</v>
      </c>
      <c r="F11833" t="str" cm="1">
        <f t="array" ref="F11833">CategorizeComment(E11833)</f>
        <v>Other</v>
      </c>
      <c r="G11833" t="str" cm="1">
        <f t="array" ref="G11833">SubCategorizeComment(E11833)</f>
        <v>Other</v>
      </c>
    </row>
    <row r="11834" spans="1:7" x14ac:dyDescent="0.25">
      <c r="A11834">
        <v>112319</v>
      </c>
      <c r="B11834" t="s">
        <v>4</v>
      </c>
      <c r="C11834">
        <v>4</v>
      </c>
      <c r="D11834" t="s">
        <v>5</v>
      </c>
      <c r="F11834" t="str" cm="1">
        <f t="array" ref="F11834">CategorizeComment(E11834)</f>
        <v>Other</v>
      </c>
      <c r="G11834" t="str" cm="1">
        <f t="array" ref="G11834">SubCategorizeComment(E11834)</f>
        <v>Other</v>
      </c>
    </row>
    <row r="11835" spans="1:7" x14ac:dyDescent="0.25">
      <c r="A11835">
        <v>112322</v>
      </c>
      <c r="B11835" t="s">
        <v>4</v>
      </c>
      <c r="C11835">
        <v>4</v>
      </c>
      <c r="D11835" t="s">
        <v>5</v>
      </c>
      <c r="F11835" t="str" cm="1">
        <f t="array" ref="F11835">CategorizeComment(E11835)</f>
        <v>Other</v>
      </c>
      <c r="G11835" t="str" cm="1">
        <f t="array" ref="G11835">SubCategorizeComment(E11835)</f>
        <v>Other</v>
      </c>
    </row>
    <row r="11836" spans="1:7" x14ac:dyDescent="0.25">
      <c r="A11836">
        <v>112324</v>
      </c>
      <c r="B11836" t="s">
        <v>4</v>
      </c>
      <c r="C11836">
        <v>4</v>
      </c>
      <c r="D11836" t="s">
        <v>5</v>
      </c>
      <c r="F11836" t="str" cm="1">
        <f t="array" ref="F11836">CategorizeComment(E11836)</f>
        <v>Other</v>
      </c>
      <c r="G11836" t="str" cm="1">
        <f t="array" ref="G11836">SubCategorizeComment(E11836)</f>
        <v>Other</v>
      </c>
    </row>
    <row r="11837" spans="1:7" x14ac:dyDescent="0.25">
      <c r="A11837">
        <v>112328</v>
      </c>
      <c r="B11837" t="s">
        <v>4</v>
      </c>
      <c r="C11837">
        <v>4</v>
      </c>
      <c r="D11837" t="s">
        <v>5</v>
      </c>
      <c r="F11837" t="str" cm="1">
        <f t="array" ref="F11837">CategorizeComment(E11837)</f>
        <v>Other</v>
      </c>
      <c r="G11837" t="str" cm="1">
        <f t="array" ref="G11837">SubCategorizeComment(E11837)</f>
        <v>Other</v>
      </c>
    </row>
    <row r="11838" spans="1:7" x14ac:dyDescent="0.25">
      <c r="A11838">
        <v>112369</v>
      </c>
      <c r="B11838" t="s">
        <v>4</v>
      </c>
      <c r="C11838">
        <v>4</v>
      </c>
      <c r="D11838" t="s">
        <v>5</v>
      </c>
      <c r="F11838" t="str" cm="1">
        <f t="array" ref="F11838">CategorizeComment(E11838)</f>
        <v>Other</v>
      </c>
      <c r="G11838" t="str" cm="1">
        <f t="array" ref="G11838">SubCategorizeComment(E11838)</f>
        <v>Other</v>
      </c>
    </row>
    <row r="11839" spans="1:7" x14ac:dyDescent="0.25">
      <c r="A11839">
        <v>112375</v>
      </c>
      <c r="B11839" t="s">
        <v>4</v>
      </c>
      <c r="C11839">
        <v>3</v>
      </c>
      <c r="D11839" t="s">
        <v>5</v>
      </c>
      <c r="F11839" t="str" cm="1">
        <f t="array" ref="F11839">CategorizeComment(E11839)</f>
        <v>Other</v>
      </c>
      <c r="G11839" t="str" cm="1">
        <f t="array" ref="G11839">SubCategorizeComment(E11839)</f>
        <v>Other</v>
      </c>
    </row>
    <row r="11840" spans="1:7" x14ac:dyDescent="0.25">
      <c r="A11840">
        <v>112390</v>
      </c>
      <c r="B11840" t="s">
        <v>4</v>
      </c>
      <c r="C11840">
        <v>4</v>
      </c>
      <c r="D11840" t="s">
        <v>5</v>
      </c>
      <c r="F11840" t="str" cm="1">
        <f t="array" ref="F11840">CategorizeComment(E11840)</f>
        <v>Other</v>
      </c>
      <c r="G11840" t="str" cm="1">
        <f t="array" ref="G11840">SubCategorizeComment(E11840)</f>
        <v>Other</v>
      </c>
    </row>
    <row r="11841" spans="1:7" x14ac:dyDescent="0.25">
      <c r="A11841">
        <v>112413</v>
      </c>
      <c r="B11841" t="s">
        <v>4</v>
      </c>
      <c r="C11841">
        <v>3</v>
      </c>
      <c r="D11841" t="s">
        <v>5</v>
      </c>
      <c r="F11841" t="str" cm="1">
        <f t="array" ref="F11841">CategorizeComment(E11841)</f>
        <v>Other</v>
      </c>
      <c r="G11841" t="str" cm="1">
        <f t="array" ref="G11841">SubCategorizeComment(E11841)</f>
        <v>Other</v>
      </c>
    </row>
    <row r="11842" spans="1:7" x14ac:dyDescent="0.25">
      <c r="A11842">
        <v>112420</v>
      </c>
      <c r="B11842" t="s">
        <v>4</v>
      </c>
      <c r="C11842">
        <v>3</v>
      </c>
      <c r="D11842" t="s">
        <v>5</v>
      </c>
      <c r="F11842" t="str" cm="1">
        <f t="array" ref="F11842">CategorizeComment(E11842)</f>
        <v>Other</v>
      </c>
      <c r="G11842" t="str" cm="1">
        <f t="array" ref="G11842">SubCategorizeComment(E11842)</f>
        <v>Other</v>
      </c>
    </row>
    <row r="11843" spans="1:7" x14ac:dyDescent="0.25">
      <c r="A11843">
        <v>112423</v>
      </c>
      <c r="B11843" t="s">
        <v>4</v>
      </c>
      <c r="C11843">
        <v>4</v>
      </c>
      <c r="D11843" t="s">
        <v>5</v>
      </c>
      <c r="F11843" t="str" cm="1">
        <f t="array" ref="F11843">CategorizeComment(E11843)</f>
        <v>Other</v>
      </c>
      <c r="G11843" t="str" cm="1">
        <f t="array" ref="G11843">SubCategorizeComment(E11843)</f>
        <v>Other</v>
      </c>
    </row>
    <row r="11844" spans="1:7" x14ac:dyDescent="0.25">
      <c r="A11844">
        <v>112425</v>
      </c>
      <c r="B11844" t="s">
        <v>4</v>
      </c>
      <c r="C11844">
        <v>3</v>
      </c>
      <c r="D11844" t="s">
        <v>5</v>
      </c>
      <c r="F11844" t="str" cm="1">
        <f t="array" ref="F11844">CategorizeComment(E11844)</f>
        <v>Other</v>
      </c>
      <c r="G11844" t="str" cm="1">
        <f t="array" ref="G11844">SubCategorizeComment(E11844)</f>
        <v>Other</v>
      </c>
    </row>
    <row r="11845" spans="1:7" x14ac:dyDescent="0.25">
      <c r="A11845">
        <v>112428</v>
      </c>
      <c r="B11845" t="s">
        <v>4</v>
      </c>
      <c r="C11845">
        <v>3</v>
      </c>
      <c r="D11845" t="s">
        <v>5</v>
      </c>
      <c r="F11845" t="str" cm="1">
        <f t="array" ref="F11845">CategorizeComment(E11845)</f>
        <v>Other</v>
      </c>
      <c r="G11845" t="str" cm="1">
        <f t="array" ref="G11845">SubCategorizeComment(E11845)</f>
        <v>Other</v>
      </c>
    </row>
    <row r="11846" spans="1:7" x14ac:dyDescent="0.25">
      <c r="A11846">
        <v>112429</v>
      </c>
      <c r="B11846" t="s">
        <v>4</v>
      </c>
      <c r="C11846">
        <v>4</v>
      </c>
      <c r="D11846" t="s">
        <v>5</v>
      </c>
      <c r="F11846" t="str" cm="1">
        <f t="array" ref="F11846">CategorizeComment(E11846)</f>
        <v>Other</v>
      </c>
      <c r="G11846" t="str" cm="1">
        <f t="array" ref="G11846">SubCategorizeComment(E11846)</f>
        <v>Other</v>
      </c>
    </row>
    <row r="11847" spans="1:7" x14ac:dyDescent="0.25">
      <c r="A11847">
        <v>112450</v>
      </c>
      <c r="B11847" t="s">
        <v>4</v>
      </c>
      <c r="C11847">
        <v>3</v>
      </c>
      <c r="D11847" t="s">
        <v>5</v>
      </c>
      <c r="F11847" t="str" cm="1">
        <f t="array" ref="F11847">CategorizeComment(E11847)</f>
        <v>Other</v>
      </c>
      <c r="G11847" t="str" cm="1">
        <f t="array" ref="G11847">SubCategorizeComment(E11847)</f>
        <v>Other</v>
      </c>
    </row>
    <row r="11848" spans="1:7" x14ac:dyDescent="0.25">
      <c r="A11848">
        <v>112452</v>
      </c>
      <c r="B11848" t="s">
        <v>4</v>
      </c>
      <c r="C11848">
        <v>4</v>
      </c>
      <c r="D11848" t="s">
        <v>5</v>
      </c>
      <c r="F11848" t="str" cm="1">
        <f t="array" ref="F11848">CategorizeComment(E11848)</f>
        <v>Other</v>
      </c>
      <c r="G11848" t="str" cm="1">
        <f t="array" ref="G11848">SubCategorizeComment(E11848)</f>
        <v>Other</v>
      </c>
    </row>
    <row r="11849" spans="1:7" x14ac:dyDescent="0.25">
      <c r="A11849">
        <v>112454</v>
      </c>
      <c r="B11849" t="s">
        <v>4</v>
      </c>
      <c r="C11849">
        <v>4</v>
      </c>
      <c r="D11849" t="s">
        <v>5</v>
      </c>
      <c r="F11849" t="str" cm="1">
        <f t="array" ref="F11849">CategorizeComment(E11849)</f>
        <v>Other</v>
      </c>
      <c r="G11849" t="str" cm="1">
        <f t="array" ref="G11849">SubCategorizeComment(E11849)</f>
        <v>Other</v>
      </c>
    </row>
    <row r="11850" spans="1:7" x14ac:dyDescent="0.25">
      <c r="A11850">
        <v>112456</v>
      </c>
      <c r="B11850" t="s">
        <v>4</v>
      </c>
      <c r="C11850">
        <v>3</v>
      </c>
      <c r="D11850" t="s">
        <v>5</v>
      </c>
      <c r="F11850" t="str" cm="1">
        <f t="array" ref="F11850">CategorizeComment(E11850)</f>
        <v>Other</v>
      </c>
      <c r="G11850" t="str" cm="1">
        <f t="array" ref="G11850">SubCategorizeComment(E11850)</f>
        <v>Other</v>
      </c>
    </row>
    <row r="11851" spans="1:7" x14ac:dyDescent="0.25">
      <c r="A11851">
        <v>112467</v>
      </c>
      <c r="B11851" t="s">
        <v>4</v>
      </c>
      <c r="C11851">
        <v>3</v>
      </c>
      <c r="D11851" t="s">
        <v>5</v>
      </c>
      <c r="F11851" t="str" cm="1">
        <f t="array" ref="F11851">CategorizeComment(E11851)</f>
        <v>Other</v>
      </c>
      <c r="G11851" t="str" cm="1">
        <f t="array" ref="G11851">SubCategorizeComment(E11851)</f>
        <v>Other</v>
      </c>
    </row>
    <row r="11852" spans="1:7" x14ac:dyDescent="0.25">
      <c r="A11852">
        <v>112471</v>
      </c>
      <c r="B11852" t="s">
        <v>4</v>
      </c>
      <c r="C11852">
        <v>4</v>
      </c>
      <c r="D11852" t="s">
        <v>5</v>
      </c>
      <c r="F11852" t="str" cm="1">
        <f t="array" ref="F11852">CategorizeComment(E11852)</f>
        <v>Other</v>
      </c>
      <c r="G11852" t="str" cm="1">
        <f t="array" ref="G11852">SubCategorizeComment(E11852)</f>
        <v>Other</v>
      </c>
    </row>
    <row r="11853" spans="1:7" x14ac:dyDescent="0.25">
      <c r="A11853">
        <v>112481</v>
      </c>
      <c r="B11853" t="s">
        <v>4</v>
      </c>
      <c r="C11853">
        <v>3</v>
      </c>
      <c r="D11853" t="s">
        <v>5</v>
      </c>
      <c r="F11853" t="str" cm="1">
        <f t="array" ref="F11853">CategorizeComment(E11853)</f>
        <v>Other</v>
      </c>
      <c r="G11853" t="str" cm="1">
        <f t="array" ref="G11853">SubCategorizeComment(E11853)</f>
        <v>Other</v>
      </c>
    </row>
    <row r="11854" spans="1:7" x14ac:dyDescent="0.25">
      <c r="A11854">
        <v>112491</v>
      </c>
      <c r="B11854" t="s">
        <v>4</v>
      </c>
      <c r="C11854">
        <v>4</v>
      </c>
      <c r="D11854" t="s">
        <v>5</v>
      </c>
      <c r="F11854" t="str" cm="1">
        <f t="array" ref="F11854">CategorizeComment(E11854)</f>
        <v>Other</v>
      </c>
      <c r="G11854" t="str" cm="1">
        <f t="array" ref="G11854">SubCategorizeComment(E11854)</f>
        <v>Other</v>
      </c>
    </row>
    <row r="11855" spans="1:7" x14ac:dyDescent="0.25">
      <c r="A11855">
        <v>112506</v>
      </c>
      <c r="B11855" t="s">
        <v>4</v>
      </c>
      <c r="C11855">
        <v>3</v>
      </c>
      <c r="D11855" t="s">
        <v>5</v>
      </c>
      <c r="F11855" t="str" cm="1">
        <f t="array" ref="F11855">CategorizeComment(E11855)</f>
        <v>Other</v>
      </c>
      <c r="G11855" t="str" cm="1">
        <f t="array" ref="G11855">SubCategorizeComment(E11855)</f>
        <v>Other</v>
      </c>
    </row>
    <row r="11856" spans="1:7" x14ac:dyDescent="0.25">
      <c r="A11856">
        <v>112510</v>
      </c>
      <c r="B11856" t="s">
        <v>4</v>
      </c>
      <c r="C11856">
        <v>3</v>
      </c>
      <c r="D11856" t="s">
        <v>5</v>
      </c>
      <c r="F11856" t="str" cm="1">
        <f t="array" ref="F11856">CategorizeComment(E11856)</f>
        <v>Other</v>
      </c>
      <c r="G11856" t="str" cm="1">
        <f t="array" ref="G11856">SubCategorizeComment(E11856)</f>
        <v>Other</v>
      </c>
    </row>
    <row r="11857" spans="1:7" x14ac:dyDescent="0.25">
      <c r="A11857">
        <v>112514</v>
      </c>
      <c r="B11857" t="s">
        <v>4</v>
      </c>
      <c r="C11857">
        <v>4</v>
      </c>
      <c r="D11857" t="s">
        <v>5</v>
      </c>
      <c r="F11857" t="str" cm="1">
        <f t="array" ref="F11857">CategorizeComment(E11857)</f>
        <v>Other</v>
      </c>
      <c r="G11857" t="str" cm="1">
        <f t="array" ref="G11857">SubCategorizeComment(E11857)</f>
        <v>Other</v>
      </c>
    </row>
    <row r="11858" spans="1:7" x14ac:dyDescent="0.25">
      <c r="A11858">
        <v>112537</v>
      </c>
      <c r="B11858" t="s">
        <v>4</v>
      </c>
      <c r="C11858">
        <v>4</v>
      </c>
      <c r="D11858" t="s">
        <v>5</v>
      </c>
      <c r="F11858" t="str" cm="1">
        <f t="array" ref="F11858">CategorizeComment(E11858)</f>
        <v>Other</v>
      </c>
      <c r="G11858" t="str" cm="1">
        <f t="array" ref="G11858">SubCategorizeComment(E11858)</f>
        <v>Other</v>
      </c>
    </row>
    <row r="11859" spans="1:7" x14ac:dyDescent="0.25">
      <c r="A11859">
        <v>112545</v>
      </c>
      <c r="B11859" t="s">
        <v>4</v>
      </c>
      <c r="C11859">
        <v>4</v>
      </c>
      <c r="D11859" t="s">
        <v>5</v>
      </c>
      <c r="F11859" t="str" cm="1">
        <f t="array" ref="F11859">CategorizeComment(E11859)</f>
        <v>Other</v>
      </c>
      <c r="G11859" t="str" cm="1">
        <f t="array" ref="G11859">SubCategorizeComment(E11859)</f>
        <v>Other</v>
      </c>
    </row>
    <row r="11860" spans="1:7" x14ac:dyDescent="0.25">
      <c r="A11860">
        <v>112548</v>
      </c>
      <c r="B11860" t="s">
        <v>4</v>
      </c>
      <c r="C11860">
        <v>4</v>
      </c>
      <c r="D11860" t="s">
        <v>5</v>
      </c>
      <c r="F11860" t="str" cm="1">
        <f t="array" ref="F11860">CategorizeComment(E11860)</f>
        <v>Other</v>
      </c>
      <c r="G11860" t="str" cm="1">
        <f t="array" ref="G11860">SubCategorizeComment(E11860)</f>
        <v>Other</v>
      </c>
    </row>
    <row r="11861" spans="1:7" x14ac:dyDescent="0.25">
      <c r="A11861">
        <v>112556</v>
      </c>
      <c r="B11861" t="s">
        <v>4</v>
      </c>
      <c r="C11861">
        <v>4</v>
      </c>
      <c r="D11861" t="s">
        <v>5</v>
      </c>
      <c r="F11861" t="str" cm="1">
        <f t="array" ref="F11861">CategorizeComment(E11861)</f>
        <v>Other</v>
      </c>
      <c r="G11861" t="str" cm="1">
        <f t="array" ref="G11861">SubCategorizeComment(E11861)</f>
        <v>Other</v>
      </c>
    </row>
    <row r="11862" spans="1:7" x14ac:dyDescent="0.25">
      <c r="A11862">
        <v>112558</v>
      </c>
      <c r="B11862" t="s">
        <v>4</v>
      </c>
      <c r="C11862">
        <v>4</v>
      </c>
      <c r="D11862" t="s">
        <v>5</v>
      </c>
      <c r="F11862" t="str" cm="1">
        <f t="array" ref="F11862">CategorizeComment(E11862)</f>
        <v>Other</v>
      </c>
      <c r="G11862" t="str" cm="1">
        <f t="array" ref="G11862">SubCategorizeComment(E11862)</f>
        <v>Other</v>
      </c>
    </row>
    <row r="11863" spans="1:7" x14ac:dyDescent="0.25">
      <c r="A11863">
        <v>112592</v>
      </c>
      <c r="B11863" t="s">
        <v>4</v>
      </c>
      <c r="C11863">
        <v>4</v>
      </c>
      <c r="D11863" t="s">
        <v>5</v>
      </c>
      <c r="F11863" t="str" cm="1">
        <f t="array" ref="F11863">CategorizeComment(E11863)</f>
        <v>Other</v>
      </c>
      <c r="G11863" t="str" cm="1">
        <f t="array" ref="G11863">SubCategorizeComment(E11863)</f>
        <v>Other</v>
      </c>
    </row>
    <row r="11864" spans="1:7" x14ac:dyDescent="0.25">
      <c r="A11864">
        <v>112596</v>
      </c>
      <c r="B11864" t="s">
        <v>4</v>
      </c>
      <c r="C11864">
        <v>4</v>
      </c>
      <c r="D11864" t="s">
        <v>5</v>
      </c>
      <c r="F11864" t="str" cm="1">
        <f t="array" ref="F11864">CategorizeComment(E11864)</f>
        <v>Other</v>
      </c>
      <c r="G11864" t="str" cm="1">
        <f t="array" ref="G11864">SubCategorizeComment(E11864)</f>
        <v>Other</v>
      </c>
    </row>
    <row r="11865" spans="1:7" x14ac:dyDescent="0.25">
      <c r="A11865">
        <v>112597</v>
      </c>
      <c r="B11865" t="s">
        <v>4</v>
      </c>
      <c r="C11865">
        <v>3</v>
      </c>
      <c r="D11865" t="s">
        <v>5</v>
      </c>
      <c r="F11865" t="str" cm="1">
        <f t="array" ref="F11865">CategorizeComment(E11865)</f>
        <v>Other</v>
      </c>
      <c r="G11865" t="str" cm="1">
        <f t="array" ref="G11865">SubCategorizeComment(E11865)</f>
        <v>Other</v>
      </c>
    </row>
    <row r="11866" spans="1:7" x14ac:dyDescent="0.25">
      <c r="A11866">
        <v>112604</v>
      </c>
      <c r="B11866" t="s">
        <v>4</v>
      </c>
      <c r="C11866">
        <v>4</v>
      </c>
      <c r="D11866" t="s">
        <v>5</v>
      </c>
      <c r="F11866" t="str" cm="1">
        <f t="array" ref="F11866">CategorizeComment(E11866)</f>
        <v>Other</v>
      </c>
      <c r="G11866" t="str" cm="1">
        <f t="array" ref="G11866">SubCategorizeComment(E11866)</f>
        <v>Other</v>
      </c>
    </row>
    <row r="11867" spans="1:7" x14ac:dyDescent="0.25">
      <c r="A11867">
        <v>112605</v>
      </c>
      <c r="B11867" t="s">
        <v>4</v>
      </c>
      <c r="C11867">
        <v>3</v>
      </c>
      <c r="D11867" t="s">
        <v>5</v>
      </c>
      <c r="F11867" t="str" cm="1">
        <f t="array" ref="F11867">CategorizeComment(E11867)</f>
        <v>Other</v>
      </c>
      <c r="G11867" t="str" cm="1">
        <f t="array" ref="G11867">SubCategorizeComment(E11867)</f>
        <v>Other</v>
      </c>
    </row>
    <row r="11868" spans="1:7" x14ac:dyDescent="0.25">
      <c r="A11868">
        <v>112608</v>
      </c>
      <c r="B11868" t="s">
        <v>4</v>
      </c>
      <c r="C11868">
        <v>3</v>
      </c>
      <c r="D11868" t="s">
        <v>5</v>
      </c>
      <c r="F11868" t="str" cm="1">
        <f t="array" ref="F11868">CategorizeComment(E11868)</f>
        <v>Other</v>
      </c>
      <c r="G11868" t="str" cm="1">
        <f t="array" ref="G11868">SubCategorizeComment(E11868)</f>
        <v>Other</v>
      </c>
    </row>
    <row r="11869" spans="1:7" x14ac:dyDescent="0.25">
      <c r="A11869">
        <v>112613</v>
      </c>
      <c r="B11869" t="s">
        <v>4</v>
      </c>
      <c r="C11869">
        <v>4</v>
      </c>
      <c r="D11869" t="s">
        <v>5</v>
      </c>
      <c r="F11869" t="str" cm="1">
        <f t="array" ref="F11869">CategorizeComment(E11869)</f>
        <v>Other</v>
      </c>
      <c r="G11869" t="str" cm="1">
        <f t="array" ref="G11869">SubCategorizeComment(E11869)</f>
        <v>Other</v>
      </c>
    </row>
    <row r="11870" spans="1:7" x14ac:dyDescent="0.25">
      <c r="A11870">
        <v>112620</v>
      </c>
      <c r="B11870" t="s">
        <v>4</v>
      </c>
      <c r="C11870">
        <v>3</v>
      </c>
      <c r="D11870" t="s">
        <v>5</v>
      </c>
      <c r="F11870" t="str" cm="1">
        <f t="array" ref="F11870">CategorizeComment(E11870)</f>
        <v>Other</v>
      </c>
      <c r="G11870" t="str" cm="1">
        <f t="array" ref="G11870">SubCategorizeComment(E11870)</f>
        <v>Other</v>
      </c>
    </row>
    <row r="11871" spans="1:7" x14ac:dyDescent="0.25">
      <c r="A11871">
        <v>112625</v>
      </c>
      <c r="B11871" t="s">
        <v>4</v>
      </c>
      <c r="C11871">
        <v>3</v>
      </c>
      <c r="D11871" t="s">
        <v>5</v>
      </c>
      <c r="F11871" t="str" cm="1">
        <f t="array" ref="F11871">CategorizeComment(E11871)</f>
        <v>Other</v>
      </c>
      <c r="G11871" t="str" cm="1">
        <f t="array" ref="G11871">SubCategorizeComment(E11871)</f>
        <v>Other</v>
      </c>
    </row>
    <row r="11872" spans="1:7" x14ac:dyDescent="0.25">
      <c r="A11872">
        <v>112638</v>
      </c>
      <c r="B11872" t="s">
        <v>4</v>
      </c>
      <c r="C11872">
        <v>3</v>
      </c>
      <c r="D11872" t="s">
        <v>5</v>
      </c>
      <c r="F11872" t="str" cm="1">
        <f t="array" ref="F11872">CategorizeComment(E11872)</f>
        <v>Other</v>
      </c>
      <c r="G11872" t="str" cm="1">
        <f t="array" ref="G11872">SubCategorizeComment(E11872)</f>
        <v>Other</v>
      </c>
    </row>
    <row r="11873" spans="1:7" x14ac:dyDescent="0.25">
      <c r="A11873">
        <v>112651</v>
      </c>
      <c r="B11873" t="s">
        <v>4</v>
      </c>
      <c r="C11873">
        <v>4</v>
      </c>
      <c r="D11873" t="s">
        <v>5</v>
      </c>
      <c r="F11873" t="str" cm="1">
        <f t="array" ref="F11873">CategorizeComment(E11873)</f>
        <v>Other</v>
      </c>
      <c r="G11873" t="str" cm="1">
        <f t="array" ref="G11873">SubCategorizeComment(E11873)</f>
        <v>Other</v>
      </c>
    </row>
    <row r="11874" spans="1:7" x14ac:dyDescent="0.25">
      <c r="A11874">
        <v>112689</v>
      </c>
      <c r="B11874" t="s">
        <v>4</v>
      </c>
      <c r="C11874">
        <v>3</v>
      </c>
      <c r="D11874" t="s">
        <v>5</v>
      </c>
      <c r="F11874" t="str" cm="1">
        <f t="array" ref="F11874">CategorizeComment(E11874)</f>
        <v>Other</v>
      </c>
      <c r="G11874" t="str" cm="1">
        <f t="array" ref="G11874">SubCategorizeComment(E11874)</f>
        <v>Other</v>
      </c>
    </row>
    <row r="11875" spans="1:7" x14ac:dyDescent="0.25">
      <c r="A11875">
        <v>112692</v>
      </c>
      <c r="B11875" t="s">
        <v>4</v>
      </c>
      <c r="C11875">
        <v>3</v>
      </c>
      <c r="D11875" t="s">
        <v>5</v>
      </c>
      <c r="F11875" t="str" cm="1">
        <f t="array" ref="F11875">CategorizeComment(E11875)</f>
        <v>Other</v>
      </c>
      <c r="G11875" t="str" cm="1">
        <f t="array" ref="G11875">SubCategorizeComment(E11875)</f>
        <v>Other</v>
      </c>
    </row>
    <row r="11876" spans="1:7" x14ac:dyDescent="0.25">
      <c r="A11876">
        <v>112708</v>
      </c>
      <c r="B11876" t="s">
        <v>4</v>
      </c>
      <c r="C11876">
        <v>3</v>
      </c>
      <c r="D11876" t="s">
        <v>5</v>
      </c>
      <c r="F11876" t="str" cm="1">
        <f t="array" ref="F11876">CategorizeComment(E11876)</f>
        <v>Other</v>
      </c>
      <c r="G11876" t="str" cm="1">
        <f t="array" ref="G11876">SubCategorizeComment(E11876)</f>
        <v>Other</v>
      </c>
    </row>
    <row r="11877" spans="1:7" x14ac:dyDescent="0.25">
      <c r="A11877">
        <v>112709</v>
      </c>
      <c r="B11877" t="s">
        <v>4</v>
      </c>
      <c r="C11877">
        <v>4</v>
      </c>
      <c r="D11877" t="s">
        <v>5</v>
      </c>
      <c r="F11877" t="str" cm="1">
        <f t="array" ref="F11877">CategorizeComment(E11877)</f>
        <v>Other</v>
      </c>
      <c r="G11877" t="str" cm="1">
        <f t="array" ref="G11877">SubCategorizeComment(E11877)</f>
        <v>Other</v>
      </c>
    </row>
    <row r="11878" spans="1:7" x14ac:dyDescent="0.25">
      <c r="A11878">
        <v>112712</v>
      </c>
      <c r="B11878" t="s">
        <v>4</v>
      </c>
      <c r="C11878">
        <v>3</v>
      </c>
      <c r="D11878" t="s">
        <v>5</v>
      </c>
      <c r="F11878" t="str" cm="1">
        <f t="array" ref="F11878">CategorizeComment(E11878)</f>
        <v>Other</v>
      </c>
      <c r="G11878" t="str" cm="1">
        <f t="array" ref="G11878">SubCategorizeComment(E11878)</f>
        <v>Other</v>
      </c>
    </row>
    <row r="11879" spans="1:7" x14ac:dyDescent="0.25">
      <c r="A11879">
        <v>112716</v>
      </c>
      <c r="B11879" t="s">
        <v>4</v>
      </c>
      <c r="C11879">
        <v>4</v>
      </c>
      <c r="D11879" t="s">
        <v>5</v>
      </c>
      <c r="F11879" t="str" cm="1">
        <f t="array" ref="F11879">CategorizeComment(E11879)</f>
        <v>Other</v>
      </c>
      <c r="G11879" t="str" cm="1">
        <f t="array" ref="G11879">SubCategorizeComment(E11879)</f>
        <v>Other</v>
      </c>
    </row>
    <row r="11880" spans="1:7" x14ac:dyDescent="0.25">
      <c r="A11880">
        <v>112718</v>
      </c>
      <c r="B11880" t="s">
        <v>4</v>
      </c>
      <c r="C11880">
        <v>4</v>
      </c>
      <c r="D11880" t="s">
        <v>5</v>
      </c>
      <c r="F11880" t="str" cm="1">
        <f t="array" ref="F11880">CategorizeComment(E11880)</f>
        <v>Other</v>
      </c>
      <c r="G11880" t="str" cm="1">
        <f t="array" ref="G11880">SubCategorizeComment(E11880)</f>
        <v>Other</v>
      </c>
    </row>
    <row r="11881" spans="1:7" x14ac:dyDescent="0.25">
      <c r="A11881">
        <v>112724</v>
      </c>
      <c r="B11881" t="s">
        <v>4</v>
      </c>
      <c r="C11881">
        <v>3</v>
      </c>
      <c r="D11881" t="s">
        <v>5</v>
      </c>
      <c r="F11881" t="str" cm="1">
        <f t="array" ref="F11881">CategorizeComment(E11881)</f>
        <v>Other</v>
      </c>
      <c r="G11881" t="str" cm="1">
        <f t="array" ref="G11881">SubCategorizeComment(E11881)</f>
        <v>Other</v>
      </c>
    </row>
    <row r="11882" spans="1:7" x14ac:dyDescent="0.25">
      <c r="A11882">
        <v>112725</v>
      </c>
      <c r="B11882" t="s">
        <v>4</v>
      </c>
      <c r="C11882">
        <v>4</v>
      </c>
      <c r="D11882" t="s">
        <v>5</v>
      </c>
      <c r="F11882" t="str" cm="1">
        <f t="array" ref="F11882">CategorizeComment(E11882)</f>
        <v>Other</v>
      </c>
      <c r="G11882" t="str" cm="1">
        <f t="array" ref="G11882">SubCategorizeComment(E11882)</f>
        <v>Other</v>
      </c>
    </row>
    <row r="11883" spans="1:7" x14ac:dyDescent="0.25">
      <c r="A11883">
        <v>112727</v>
      </c>
      <c r="B11883" t="s">
        <v>4</v>
      </c>
      <c r="C11883">
        <v>3</v>
      </c>
      <c r="D11883" t="s">
        <v>5</v>
      </c>
      <c r="F11883" t="str" cm="1">
        <f t="array" ref="F11883">CategorizeComment(E11883)</f>
        <v>Other</v>
      </c>
      <c r="G11883" t="str" cm="1">
        <f t="array" ref="G11883">SubCategorizeComment(E11883)</f>
        <v>Other</v>
      </c>
    </row>
    <row r="11884" spans="1:7" x14ac:dyDescent="0.25">
      <c r="A11884">
        <v>112742</v>
      </c>
      <c r="B11884" t="s">
        <v>4</v>
      </c>
      <c r="C11884">
        <v>3</v>
      </c>
      <c r="D11884" t="s">
        <v>5</v>
      </c>
      <c r="F11884" t="str" cm="1">
        <f t="array" ref="F11884">CategorizeComment(E11884)</f>
        <v>Other</v>
      </c>
      <c r="G11884" t="str" cm="1">
        <f t="array" ref="G11884">SubCategorizeComment(E11884)</f>
        <v>Other</v>
      </c>
    </row>
    <row r="11885" spans="1:7" x14ac:dyDescent="0.25">
      <c r="A11885">
        <v>112757</v>
      </c>
      <c r="B11885" t="s">
        <v>4</v>
      </c>
      <c r="C11885">
        <v>3</v>
      </c>
      <c r="D11885" t="s">
        <v>5</v>
      </c>
      <c r="F11885" t="str" cm="1">
        <f t="array" ref="F11885">CategorizeComment(E11885)</f>
        <v>Other</v>
      </c>
      <c r="G11885" t="str" cm="1">
        <f t="array" ref="G11885">SubCategorizeComment(E11885)</f>
        <v>Other</v>
      </c>
    </row>
    <row r="11886" spans="1:7" x14ac:dyDescent="0.25">
      <c r="A11886">
        <v>112784</v>
      </c>
      <c r="B11886" t="s">
        <v>4</v>
      </c>
      <c r="C11886">
        <v>3</v>
      </c>
      <c r="D11886" t="s">
        <v>5</v>
      </c>
      <c r="F11886" t="str" cm="1">
        <f t="array" ref="F11886">CategorizeComment(E11886)</f>
        <v>Other</v>
      </c>
      <c r="G11886" t="str" cm="1">
        <f t="array" ref="G11886">SubCategorizeComment(E11886)</f>
        <v>Other</v>
      </c>
    </row>
    <row r="11887" spans="1:7" x14ac:dyDescent="0.25">
      <c r="A11887">
        <v>112802</v>
      </c>
      <c r="B11887" t="s">
        <v>4</v>
      </c>
      <c r="C11887">
        <v>3</v>
      </c>
      <c r="D11887" t="s">
        <v>5</v>
      </c>
      <c r="F11887" t="str" cm="1">
        <f t="array" ref="F11887">CategorizeComment(E11887)</f>
        <v>Other</v>
      </c>
      <c r="G11887" t="str" cm="1">
        <f t="array" ref="G11887">SubCategorizeComment(E11887)</f>
        <v>Other</v>
      </c>
    </row>
    <row r="11888" spans="1:7" x14ac:dyDescent="0.25">
      <c r="A11888">
        <v>112804</v>
      </c>
      <c r="B11888" t="s">
        <v>4</v>
      </c>
      <c r="C11888">
        <v>3</v>
      </c>
      <c r="D11888" t="s">
        <v>5</v>
      </c>
      <c r="F11888" t="str" cm="1">
        <f t="array" ref="F11888">CategorizeComment(E11888)</f>
        <v>Other</v>
      </c>
      <c r="G11888" t="str" cm="1">
        <f t="array" ref="G11888">SubCategorizeComment(E11888)</f>
        <v>Other</v>
      </c>
    </row>
    <row r="11889" spans="1:7" x14ac:dyDescent="0.25">
      <c r="A11889">
        <v>112838</v>
      </c>
      <c r="B11889" t="s">
        <v>4</v>
      </c>
      <c r="C11889">
        <v>4</v>
      </c>
      <c r="D11889" t="s">
        <v>5</v>
      </c>
      <c r="F11889" t="str" cm="1">
        <f t="array" ref="F11889">CategorizeComment(E11889)</f>
        <v>Other</v>
      </c>
      <c r="G11889" t="str" cm="1">
        <f t="array" ref="G11889">SubCategorizeComment(E11889)</f>
        <v>Other</v>
      </c>
    </row>
    <row r="11890" spans="1:7" x14ac:dyDescent="0.25">
      <c r="A11890">
        <v>112878</v>
      </c>
      <c r="B11890" t="s">
        <v>4</v>
      </c>
      <c r="C11890">
        <v>4</v>
      </c>
      <c r="D11890" t="s">
        <v>5</v>
      </c>
      <c r="F11890" t="str" cm="1">
        <f t="array" ref="F11890">CategorizeComment(E11890)</f>
        <v>Other</v>
      </c>
      <c r="G11890" t="str" cm="1">
        <f t="array" ref="G11890">SubCategorizeComment(E11890)</f>
        <v>Other</v>
      </c>
    </row>
    <row r="11891" spans="1:7" x14ac:dyDescent="0.25">
      <c r="A11891">
        <v>112889</v>
      </c>
      <c r="B11891" t="s">
        <v>4</v>
      </c>
      <c r="C11891">
        <v>4</v>
      </c>
      <c r="D11891" t="s">
        <v>5</v>
      </c>
      <c r="F11891" t="str" cm="1">
        <f t="array" ref="F11891">CategorizeComment(E11891)</f>
        <v>Other</v>
      </c>
      <c r="G11891" t="str" cm="1">
        <f t="array" ref="G11891">SubCategorizeComment(E11891)</f>
        <v>Other</v>
      </c>
    </row>
    <row r="11892" spans="1:7" x14ac:dyDescent="0.25">
      <c r="A11892">
        <v>112891</v>
      </c>
      <c r="B11892" t="s">
        <v>4</v>
      </c>
      <c r="C11892">
        <v>3</v>
      </c>
      <c r="D11892" t="s">
        <v>5</v>
      </c>
      <c r="F11892" t="str" cm="1">
        <f t="array" ref="F11892">CategorizeComment(E11892)</f>
        <v>Other</v>
      </c>
      <c r="G11892" t="str" cm="1">
        <f t="array" ref="G11892">SubCategorizeComment(E11892)</f>
        <v>Other</v>
      </c>
    </row>
    <row r="11893" spans="1:7" x14ac:dyDescent="0.25">
      <c r="A11893">
        <v>112892</v>
      </c>
      <c r="B11893" t="s">
        <v>4</v>
      </c>
      <c r="C11893">
        <v>4</v>
      </c>
      <c r="D11893" t="s">
        <v>5</v>
      </c>
      <c r="F11893" t="str" cm="1">
        <f t="array" ref="F11893">CategorizeComment(E11893)</f>
        <v>Other</v>
      </c>
      <c r="G11893" t="str" cm="1">
        <f t="array" ref="G11893">SubCategorizeComment(E11893)</f>
        <v>Other</v>
      </c>
    </row>
    <row r="11894" spans="1:7" x14ac:dyDescent="0.25">
      <c r="A11894">
        <v>112893</v>
      </c>
      <c r="B11894" t="s">
        <v>4</v>
      </c>
      <c r="C11894">
        <v>3</v>
      </c>
      <c r="D11894" t="s">
        <v>5</v>
      </c>
      <c r="F11894" t="str" cm="1">
        <f t="array" ref="F11894">CategorizeComment(E11894)</f>
        <v>Other</v>
      </c>
      <c r="G11894" t="str" cm="1">
        <f t="array" ref="G11894">SubCategorizeComment(E11894)</f>
        <v>Other</v>
      </c>
    </row>
    <row r="11895" spans="1:7" x14ac:dyDescent="0.25">
      <c r="A11895">
        <v>112897</v>
      </c>
      <c r="B11895" t="s">
        <v>4</v>
      </c>
      <c r="C11895">
        <v>4</v>
      </c>
      <c r="D11895" t="s">
        <v>5</v>
      </c>
      <c r="F11895" t="str" cm="1">
        <f t="array" ref="F11895">CategorizeComment(E11895)</f>
        <v>Other</v>
      </c>
      <c r="G11895" t="str" cm="1">
        <f t="array" ref="G11895">SubCategorizeComment(E11895)</f>
        <v>Other</v>
      </c>
    </row>
    <row r="11896" spans="1:7" x14ac:dyDescent="0.25">
      <c r="A11896">
        <v>112898</v>
      </c>
      <c r="B11896" t="s">
        <v>4</v>
      </c>
      <c r="C11896">
        <v>4</v>
      </c>
      <c r="D11896" t="s">
        <v>5</v>
      </c>
      <c r="F11896" t="str" cm="1">
        <f t="array" ref="F11896">CategorizeComment(E11896)</f>
        <v>Other</v>
      </c>
      <c r="G11896" t="str" cm="1">
        <f t="array" ref="G11896">SubCategorizeComment(E11896)</f>
        <v>Other</v>
      </c>
    </row>
    <row r="11897" spans="1:7" x14ac:dyDescent="0.25">
      <c r="A11897">
        <v>112907</v>
      </c>
      <c r="B11897" t="s">
        <v>4</v>
      </c>
      <c r="C11897">
        <v>3</v>
      </c>
      <c r="D11897" t="s">
        <v>5</v>
      </c>
      <c r="F11897" t="str" cm="1">
        <f t="array" ref="F11897">CategorizeComment(E11897)</f>
        <v>Other</v>
      </c>
      <c r="G11897" t="str" cm="1">
        <f t="array" ref="G11897">SubCategorizeComment(E11897)</f>
        <v>Other</v>
      </c>
    </row>
    <row r="11898" spans="1:7" x14ac:dyDescent="0.25">
      <c r="A11898">
        <v>112908</v>
      </c>
      <c r="B11898" t="s">
        <v>4</v>
      </c>
      <c r="C11898">
        <v>3</v>
      </c>
      <c r="D11898" t="s">
        <v>5</v>
      </c>
      <c r="F11898" t="str" cm="1">
        <f t="array" ref="F11898">CategorizeComment(E11898)</f>
        <v>Other</v>
      </c>
      <c r="G11898" t="str" cm="1">
        <f t="array" ref="G11898">SubCategorizeComment(E11898)</f>
        <v>Other</v>
      </c>
    </row>
    <row r="11899" spans="1:7" x14ac:dyDescent="0.25">
      <c r="A11899">
        <v>112916</v>
      </c>
      <c r="B11899" t="s">
        <v>4</v>
      </c>
      <c r="C11899">
        <v>4</v>
      </c>
      <c r="D11899" t="s">
        <v>5</v>
      </c>
      <c r="F11899" t="str" cm="1">
        <f t="array" ref="F11899">CategorizeComment(E11899)</f>
        <v>Other</v>
      </c>
      <c r="G11899" t="str" cm="1">
        <f t="array" ref="G11899">SubCategorizeComment(E11899)</f>
        <v>Other</v>
      </c>
    </row>
    <row r="11900" spans="1:7" x14ac:dyDescent="0.25">
      <c r="A11900">
        <v>112926</v>
      </c>
      <c r="B11900" t="s">
        <v>4</v>
      </c>
      <c r="C11900">
        <v>3</v>
      </c>
      <c r="D11900" t="s">
        <v>5</v>
      </c>
      <c r="F11900" t="str" cm="1">
        <f t="array" ref="F11900">CategorizeComment(E11900)</f>
        <v>Other</v>
      </c>
      <c r="G11900" t="str" cm="1">
        <f t="array" ref="G11900">SubCategorizeComment(E11900)</f>
        <v>Other</v>
      </c>
    </row>
    <row r="11901" spans="1:7" x14ac:dyDescent="0.25">
      <c r="A11901">
        <v>112928</v>
      </c>
      <c r="B11901" t="s">
        <v>4</v>
      </c>
      <c r="C11901">
        <v>4</v>
      </c>
      <c r="D11901" t="s">
        <v>5</v>
      </c>
      <c r="F11901" t="str" cm="1">
        <f t="array" ref="F11901">CategorizeComment(E11901)</f>
        <v>Other</v>
      </c>
      <c r="G11901" t="str" cm="1">
        <f t="array" ref="G11901">SubCategorizeComment(E11901)</f>
        <v>Other</v>
      </c>
    </row>
    <row r="11902" spans="1:7" x14ac:dyDescent="0.25">
      <c r="A11902">
        <v>112935</v>
      </c>
      <c r="B11902" t="s">
        <v>4</v>
      </c>
      <c r="C11902">
        <v>3</v>
      </c>
      <c r="D11902" t="s">
        <v>5</v>
      </c>
      <c r="F11902" t="str" cm="1">
        <f t="array" ref="F11902">CategorizeComment(E11902)</f>
        <v>Other</v>
      </c>
      <c r="G11902" t="str" cm="1">
        <f t="array" ref="G11902">SubCategorizeComment(E11902)</f>
        <v>Other</v>
      </c>
    </row>
    <row r="11903" spans="1:7" x14ac:dyDescent="0.25">
      <c r="A11903">
        <v>112942</v>
      </c>
      <c r="B11903" t="s">
        <v>4</v>
      </c>
      <c r="C11903">
        <v>3</v>
      </c>
      <c r="D11903" t="s">
        <v>5</v>
      </c>
      <c r="F11903" t="str" cm="1">
        <f t="array" ref="F11903">CategorizeComment(E11903)</f>
        <v>Other</v>
      </c>
      <c r="G11903" t="str" cm="1">
        <f t="array" ref="G11903">SubCategorizeComment(E11903)</f>
        <v>Other</v>
      </c>
    </row>
    <row r="11904" spans="1:7" x14ac:dyDescent="0.25">
      <c r="A11904">
        <v>112946</v>
      </c>
      <c r="B11904" t="s">
        <v>4</v>
      </c>
      <c r="C11904">
        <v>4</v>
      </c>
      <c r="D11904" t="s">
        <v>5</v>
      </c>
      <c r="F11904" t="str" cm="1">
        <f t="array" ref="F11904">CategorizeComment(E11904)</f>
        <v>Other</v>
      </c>
      <c r="G11904" t="str" cm="1">
        <f t="array" ref="G11904">SubCategorizeComment(E11904)</f>
        <v>Other</v>
      </c>
    </row>
    <row r="11905" spans="1:7" x14ac:dyDescent="0.25">
      <c r="A11905">
        <v>112995</v>
      </c>
      <c r="B11905" t="s">
        <v>4</v>
      </c>
      <c r="C11905">
        <v>3</v>
      </c>
      <c r="D11905" t="s">
        <v>5</v>
      </c>
      <c r="F11905" t="str" cm="1">
        <f t="array" ref="F11905">CategorizeComment(E11905)</f>
        <v>Other</v>
      </c>
      <c r="G11905" t="str" cm="1">
        <f t="array" ref="G11905">SubCategorizeComment(E11905)</f>
        <v>Other</v>
      </c>
    </row>
    <row r="11906" spans="1:7" x14ac:dyDescent="0.25">
      <c r="A11906">
        <v>113006</v>
      </c>
      <c r="B11906" t="s">
        <v>4</v>
      </c>
      <c r="C11906">
        <v>4</v>
      </c>
      <c r="D11906" t="s">
        <v>5</v>
      </c>
      <c r="F11906" t="str" cm="1">
        <f t="array" ref="F11906">CategorizeComment(E11906)</f>
        <v>Other</v>
      </c>
      <c r="G11906" t="str" cm="1">
        <f t="array" ref="G11906">SubCategorizeComment(E11906)</f>
        <v>Other</v>
      </c>
    </row>
    <row r="11907" spans="1:7" x14ac:dyDescent="0.25">
      <c r="A11907">
        <v>113008</v>
      </c>
      <c r="B11907" t="s">
        <v>4</v>
      </c>
      <c r="C11907">
        <v>3</v>
      </c>
      <c r="D11907" t="s">
        <v>5</v>
      </c>
      <c r="F11907" t="str" cm="1">
        <f t="array" ref="F11907">CategorizeComment(E11907)</f>
        <v>Other</v>
      </c>
      <c r="G11907" t="str" cm="1">
        <f t="array" ref="G11907">SubCategorizeComment(E11907)</f>
        <v>Other</v>
      </c>
    </row>
    <row r="11908" spans="1:7" x14ac:dyDescent="0.25">
      <c r="A11908">
        <v>113016</v>
      </c>
      <c r="B11908" t="s">
        <v>4</v>
      </c>
      <c r="C11908">
        <v>3</v>
      </c>
      <c r="D11908" t="s">
        <v>5</v>
      </c>
      <c r="F11908" t="str" cm="1">
        <f t="array" ref="F11908">CategorizeComment(E11908)</f>
        <v>Other</v>
      </c>
      <c r="G11908" t="str" cm="1">
        <f t="array" ref="G11908">SubCategorizeComment(E11908)</f>
        <v>Other</v>
      </c>
    </row>
    <row r="11909" spans="1:7" x14ac:dyDescent="0.25">
      <c r="A11909">
        <v>113017</v>
      </c>
      <c r="B11909" t="s">
        <v>4</v>
      </c>
      <c r="C11909">
        <v>3</v>
      </c>
      <c r="D11909" t="s">
        <v>5</v>
      </c>
      <c r="F11909" t="str" cm="1">
        <f t="array" ref="F11909">CategorizeComment(E11909)</f>
        <v>Other</v>
      </c>
      <c r="G11909" t="str" cm="1">
        <f t="array" ref="G11909">SubCategorizeComment(E11909)</f>
        <v>Other</v>
      </c>
    </row>
    <row r="11910" spans="1:7" x14ac:dyDescent="0.25">
      <c r="A11910">
        <v>113022</v>
      </c>
      <c r="B11910" t="s">
        <v>4</v>
      </c>
      <c r="C11910">
        <v>4</v>
      </c>
      <c r="D11910" t="s">
        <v>5</v>
      </c>
      <c r="F11910" t="str" cm="1">
        <f t="array" ref="F11910">CategorizeComment(E11910)</f>
        <v>Other</v>
      </c>
      <c r="G11910" t="str" cm="1">
        <f t="array" ref="G11910">SubCategorizeComment(E11910)</f>
        <v>Other</v>
      </c>
    </row>
    <row r="11911" spans="1:7" x14ac:dyDescent="0.25">
      <c r="A11911">
        <v>113048</v>
      </c>
      <c r="B11911" t="s">
        <v>4</v>
      </c>
      <c r="C11911">
        <v>3</v>
      </c>
      <c r="D11911" t="s">
        <v>5</v>
      </c>
      <c r="F11911" t="str" cm="1">
        <f t="array" ref="F11911">CategorizeComment(E11911)</f>
        <v>Other</v>
      </c>
      <c r="G11911" t="str" cm="1">
        <f t="array" ref="G11911">SubCategorizeComment(E11911)</f>
        <v>Other</v>
      </c>
    </row>
    <row r="11912" spans="1:7" x14ac:dyDescent="0.25">
      <c r="A11912">
        <v>113062</v>
      </c>
      <c r="B11912" t="s">
        <v>4</v>
      </c>
      <c r="C11912">
        <v>4</v>
      </c>
      <c r="D11912" t="s">
        <v>5</v>
      </c>
      <c r="F11912" t="str" cm="1">
        <f t="array" ref="F11912">CategorizeComment(E11912)</f>
        <v>Other</v>
      </c>
      <c r="G11912" t="str" cm="1">
        <f t="array" ref="G11912">SubCategorizeComment(E11912)</f>
        <v>Other</v>
      </c>
    </row>
    <row r="11913" spans="1:7" x14ac:dyDescent="0.25">
      <c r="A11913">
        <v>113068</v>
      </c>
      <c r="B11913" t="s">
        <v>4</v>
      </c>
      <c r="C11913">
        <v>4</v>
      </c>
      <c r="D11913" t="s">
        <v>5</v>
      </c>
      <c r="F11913" t="str" cm="1">
        <f t="array" ref="F11913">CategorizeComment(E11913)</f>
        <v>Other</v>
      </c>
      <c r="G11913" t="str" cm="1">
        <f t="array" ref="G11913">SubCategorizeComment(E11913)</f>
        <v>Other</v>
      </c>
    </row>
    <row r="11914" spans="1:7" x14ac:dyDescent="0.25">
      <c r="A11914">
        <v>113070</v>
      </c>
      <c r="B11914" t="s">
        <v>4</v>
      </c>
      <c r="C11914">
        <v>3</v>
      </c>
      <c r="D11914" t="s">
        <v>5</v>
      </c>
      <c r="F11914" t="str" cm="1">
        <f t="array" ref="F11914">CategorizeComment(E11914)</f>
        <v>Other</v>
      </c>
      <c r="G11914" t="str" cm="1">
        <f t="array" ref="G11914">SubCategorizeComment(E11914)</f>
        <v>Other</v>
      </c>
    </row>
    <row r="11915" spans="1:7" x14ac:dyDescent="0.25">
      <c r="A11915">
        <v>113075</v>
      </c>
      <c r="B11915" t="s">
        <v>4</v>
      </c>
      <c r="C11915">
        <v>3</v>
      </c>
      <c r="D11915" t="s">
        <v>5</v>
      </c>
      <c r="F11915" t="str" cm="1">
        <f t="array" ref="F11915">CategorizeComment(E11915)</f>
        <v>Other</v>
      </c>
      <c r="G11915" t="str" cm="1">
        <f t="array" ref="G11915">SubCategorizeComment(E11915)</f>
        <v>Other</v>
      </c>
    </row>
    <row r="11916" spans="1:7" x14ac:dyDescent="0.25">
      <c r="A11916">
        <v>113077</v>
      </c>
      <c r="B11916" t="s">
        <v>4</v>
      </c>
      <c r="C11916">
        <v>3</v>
      </c>
      <c r="D11916" t="s">
        <v>5</v>
      </c>
      <c r="F11916" t="str" cm="1">
        <f t="array" ref="F11916">CategorizeComment(E11916)</f>
        <v>Other</v>
      </c>
      <c r="G11916" t="str" cm="1">
        <f t="array" ref="G11916">SubCategorizeComment(E11916)</f>
        <v>Other</v>
      </c>
    </row>
    <row r="11917" spans="1:7" x14ac:dyDescent="0.25">
      <c r="A11917">
        <v>113079</v>
      </c>
      <c r="B11917" t="s">
        <v>4</v>
      </c>
      <c r="C11917">
        <v>4</v>
      </c>
      <c r="D11917" t="s">
        <v>5</v>
      </c>
      <c r="F11917" t="str" cm="1">
        <f t="array" ref="F11917">CategorizeComment(E11917)</f>
        <v>Other</v>
      </c>
      <c r="G11917" t="str" cm="1">
        <f t="array" ref="G11917">SubCategorizeComment(E11917)</f>
        <v>Other</v>
      </c>
    </row>
    <row r="11918" spans="1:7" x14ac:dyDescent="0.25">
      <c r="A11918">
        <v>113087</v>
      </c>
      <c r="B11918" t="s">
        <v>4</v>
      </c>
      <c r="C11918">
        <v>4</v>
      </c>
      <c r="D11918" t="s">
        <v>5</v>
      </c>
      <c r="F11918" t="str" cm="1">
        <f t="array" ref="F11918">CategorizeComment(E11918)</f>
        <v>Other</v>
      </c>
      <c r="G11918" t="str" cm="1">
        <f t="array" ref="G11918">SubCategorizeComment(E11918)</f>
        <v>Other</v>
      </c>
    </row>
    <row r="11919" spans="1:7" x14ac:dyDescent="0.25">
      <c r="A11919">
        <v>113088</v>
      </c>
      <c r="B11919" t="s">
        <v>4</v>
      </c>
      <c r="C11919">
        <v>3</v>
      </c>
      <c r="D11919" t="s">
        <v>5</v>
      </c>
      <c r="F11919" t="str" cm="1">
        <f t="array" ref="F11919">CategorizeComment(E11919)</f>
        <v>Other</v>
      </c>
      <c r="G11919" t="str" cm="1">
        <f t="array" ref="G11919">SubCategorizeComment(E11919)</f>
        <v>Other</v>
      </c>
    </row>
    <row r="11920" spans="1:7" x14ac:dyDescent="0.25">
      <c r="A11920">
        <v>113089</v>
      </c>
      <c r="B11920" t="s">
        <v>4</v>
      </c>
      <c r="C11920">
        <v>4</v>
      </c>
      <c r="D11920" t="s">
        <v>5</v>
      </c>
      <c r="F11920" t="str" cm="1">
        <f t="array" ref="F11920">CategorizeComment(E11920)</f>
        <v>Other</v>
      </c>
      <c r="G11920" t="str" cm="1">
        <f t="array" ref="G11920">SubCategorizeComment(E11920)</f>
        <v>Other</v>
      </c>
    </row>
    <row r="11921" spans="1:7" x14ac:dyDescent="0.25">
      <c r="A11921">
        <v>113094</v>
      </c>
      <c r="B11921" t="s">
        <v>4</v>
      </c>
      <c r="C11921">
        <v>3</v>
      </c>
      <c r="D11921" t="s">
        <v>5</v>
      </c>
      <c r="F11921" t="str" cm="1">
        <f t="array" ref="F11921">CategorizeComment(E11921)</f>
        <v>Other</v>
      </c>
      <c r="G11921" t="str" cm="1">
        <f t="array" ref="G11921">SubCategorizeComment(E11921)</f>
        <v>Other</v>
      </c>
    </row>
    <row r="11922" spans="1:7" x14ac:dyDescent="0.25">
      <c r="A11922">
        <v>113102</v>
      </c>
      <c r="B11922" t="s">
        <v>4</v>
      </c>
      <c r="C11922">
        <v>3</v>
      </c>
      <c r="D11922" t="s">
        <v>5</v>
      </c>
      <c r="F11922" t="str" cm="1">
        <f t="array" ref="F11922">CategorizeComment(E11922)</f>
        <v>Other</v>
      </c>
      <c r="G11922" t="str" cm="1">
        <f t="array" ref="G11922">SubCategorizeComment(E11922)</f>
        <v>Other</v>
      </c>
    </row>
    <row r="11923" spans="1:7" x14ac:dyDescent="0.25">
      <c r="A11923">
        <v>113103</v>
      </c>
      <c r="B11923" t="s">
        <v>4</v>
      </c>
      <c r="C11923">
        <v>4</v>
      </c>
      <c r="D11923" t="s">
        <v>5</v>
      </c>
      <c r="F11923" t="str" cm="1">
        <f t="array" ref="F11923">CategorizeComment(E11923)</f>
        <v>Other</v>
      </c>
      <c r="G11923" t="str" cm="1">
        <f t="array" ref="G11923">SubCategorizeComment(E11923)</f>
        <v>Other</v>
      </c>
    </row>
    <row r="11924" spans="1:7" x14ac:dyDescent="0.25">
      <c r="A11924">
        <v>113105</v>
      </c>
      <c r="B11924" t="s">
        <v>4</v>
      </c>
      <c r="C11924">
        <v>4</v>
      </c>
      <c r="D11924" t="s">
        <v>5</v>
      </c>
      <c r="F11924" t="str" cm="1">
        <f t="array" ref="F11924">CategorizeComment(E11924)</f>
        <v>Other</v>
      </c>
      <c r="G11924" t="str" cm="1">
        <f t="array" ref="G11924">SubCategorizeComment(E11924)</f>
        <v>Other</v>
      </c>
    </row>
    <row r="11925" spans="1:7" x14ac:dyDescent="0.25">
      <c r="A11925">
        <v>113112</v>
      </c>
      <c r="B11925" t="s">
        <v>4</v>
      </c>
      <c r="C11925">
        <v>3</v>
      </c>
      <c r="D11925" t="s">
        <v>5</v>
      </c>
      <c r="F11925" t="str" cm="1">
        <f t="array" ref="F11925">CategorizeComment(E11925)</f>
        <v>Other</v>
      </c>
      <c r="G11925" t="str" cm="1">
        <f t="array" ref="G11925">SubCategorizeComment(E11925)</f>
        <v>Other</v>
      </c>
    </row>
    <row r="11926" spans="1:7" x14ac:dyDescent="0.25">
      <c r="A11926">
        <v>113114</v>
      </c>
      <c r="B11926" t="s">
        <v>4</v>
      </c>
      <c r="C11926">
        <v>3</v>
      </c>
      <c r="D11926" t="s">
        <v>5</v>
      </c>
      <c r="F11926" t="str" cm="1">
        <f t="array" ref="F11926">CategorizeComment(E11926)</f>
        <v>Other</v>
      </c>
      <c r="G11926" t="str" cm="1">
        <f t="array" ref="G11926">SubCategorizeComment(E11926)</f>
        <v>Other</v>
      </c>
    </row>
    <row r="11927" spans="1:7" x14ac:dyDescent="0.25">
      <c r="A11927">
        <v>113148</v>
      </c>
      <c r="B11927" t="s">
        <v>4</v>
      </c>
      <c r="C11927">
        <v>4</v>
      </c>
      <c r="D11927" t="s">
        <v>5</v>
      </c>
      <c r="F11927" t="str" cm="1">
        <f t="array" ref="F11927">CategorizeComment(E11927)</f>
        <v>Other</v>
      </c>
      <c r="G11927" t="str" cm="1">
        <f t="array" ref="G11927">SubCategorizeComment(E11927)</f>
        <v>Other</v>
      </c>
    </row>
    <row r="11928" spans="1:7" x14ac:dyDescent="0.25">
      <c r="A11928">
        <v>113152</v>
      </c>
      <c r="B11928" t="s">
        <v>4</v>
      </c>
      <c r="C11928">
        <v>3</v>
      </c>
      <c r="D11928" t="s">
        <v>5</v>
      </c>
      <c r="F11928" t="str" cm="1">
        <f t="array" ref="F11928">CategorizeComment(E11928)</f>
        <v>Other</v>
      </c>
      <c r="G11928" t="str" cm="1">
        <f t="array" ref="G11928">SubCategorizeComment(E11928)</f>
        <v>Other</v>
      </c>
    </row>
    <row r="11929" spans="1:7" x14ac:dyDescent="0.25">
      <c r="A11929">
        <v>113154</v>
      </c>
      <c r="B11929" t="s">
        <v>4</v>
      </c>
      <c r="C11929">
        <v>4</v>
      </c>
      <c r="D11929" t="s">
        <v>5</v>
      </c>
      <c r="F11929" t="str" cm="1">
        <f t="array" ref="F11929">CategorizeComment(E11929)</f>
        <v>Other</v>
      </c>
      <c r="G11929" t="str" cm="1">
        <f t="array" ref="G11929">SubCategorizeComment(E11929)</f>
        <v>Other</v>
      </c>
    </row>
    <row r="11930" spans="1:7" x14ac:dyDescent="0.25">
      <c r="A11930">
        <v>113156</v>
      </c>
      <c r="B11930" t="s">
        <v>4</v>
      </c>
      <c r="C11930">
        <v>3</v>
      </c>
      <c r="D11930" t="s">
        <v>5</v>
      </c>
      <c r="F11930" t="str" cm="1">
        <f t="array" ref="F11930">CategorizeComment(E11930)</f>
        <v>Other</v>
      </c>
      <c r="G11930" t="str" cm="1">
        <f t="array" ref="G11930">SubCategorizeComment(E11930)</f>
        <v>Other</v>
      </c>
    </row>
    <row r="11931" spans="1:7" x14ac:dyDescent="0.25">
      <c r="A11931">
        <v>113160</v>
      </c>
      <c r="B11931" t="s">
        <v>4</v>
      </c>
      <c r="C11931">
        <v>4</v>
      </c>
      <c r="D11931" t="s">
        <v>5</v>
      </c>
      <c r="F11931" t="str" cm="1">
        <f t="array" ref="F11931">CategorizeComment(E11931)</f>
        <v>Other</v>
      </c>
      <c r="G11931" t="str" cm="1">
        <f t="array" ref="G11931">SubCategorizeComment(E11931)</f>
        <v>Other</v>
      </c>
    </row>
    <row r="11932" spans="1:7" x14ac:dyDescent="0.25">
      <c r="A11932">
        <v>113169</v>
      </c>
      <c r="B11932" t="s">
        <v>4</v>
      </c>
      <c r="C11932">
        <v>4</v>
      </c>
      <c r="D11932" t="s">
        <v>5</v>
      </c>
      <c r="F11932" t="str" cm="1">
        <f t="array" ref="F11932">CategorizeComment(E11932)</f>
        <v>Other</v>
      </c>
      <c r="G11932" t="str" cm="1">
        <f t="array" ref="G11932">SubCategorizeComment(E11932)</f>
        <v>Other</v>
      </c>
    </row>
    <row r="11933" spans="1:7" x14ac:dyDescent="0.25">
      <c r="A11933">
        <v>113180</v>
      </c>
      <c r="B11933" t="s">
        <v>4</v>
      </c>
      <c r="C11933">
        <v>4</v>
      </c>
      <c r="D11933" t="s">
        <v>5</v>
      </c>
      <c r="F11933" t="str" cm="1">
        <f t="array" ref="F11933">CategorizeComment(E11933)</f>
        <v>Other</v>
      </c>
      <c r="G11933" t="str" cm="1">
        <f t="array" ref="G11933">SubCategorizeComment(E11933)</f>
        <v>Other</v>
      </c>
    </row>
    <row r="11934" spans="1:7" x14ac:dyDescent="0.25">
      <c r="A11934">
        <v>113182</v>
      </c>
      <c r="B11934" t="s">
        <v>4</v>
      </c>
      <c r="C11934">
        <v>4</v>
      </c>
      <c r="D11934" t="s">
        <v>5</v>
      </c>
      <c r="F11934" t="str" cm="1">
        <f t="array" ref="F11934">CategorizeComment(E11934)</f>
        <v>Other</v>
      </c>
      <c r="G11934" t="str" cm="1">
        <f t="array" ref="G11934">SubCategorizeComment(E11934)</f>
        <v>Other</v>
      </c>
    </row>
    <row r="11935" spans="1:7" x14ac:dyDescent="0.25">
      <c r="A11935">
        <v>113183</v>
      </c>
      <c r="B11935" t="s">
        <v>4</v>
      </c>
      <c r="C11935">
        <v>4</v>
      </c>
      <c r="D11935" t="s">
        <v>5</v>
      </c>
      <c r="F11935" t="str" cm="1">
        <f t="array" ref="F11935">CategorizeComment(E11935)</f>
        <v>Other</v>
      </c>
      <c r="G11935" t="str" cm="1">
        <f t="array" ref="G11935">SubCategorizeComment(E11935)</f>
        <v>Other</v>
      </c>
    </row>
    <row r="11936" spans="1:7" x14ac:dyDescent="0.25">
      <c r="A11936">
        <v>113184</v>
      </c>
      <c r="B11936" t="s">
        <v>4</v>
      </c>
      <c r="C11936">
        <v>3</v>
      </c>
      <c r="D11936" t="s">
        <v>5</v>
      </c>
      <c r="F11936" t="str" cm="1">
        <f t="array" ref="F11936">CategorizeComment(E11936)</f>
        <v>Other</v>
      </c>
      <c r="G11936" t="str" cm="1">
        <f t="array" ref="G11936">SubCategorizeComment(E11936)</f>
        <v>Other</v>
      </c>
    </row>
    <row r="11937" spans="1:7" x14ac:dyDescent="0.25">
      <c r="A11937">
        <v>113213</v>
      </c>
      <c r="B11937" t="s">
        <v>4</v>
      </c>
      <c r="C11937">
        <v>3</v>
      </c>
      <c r="D11937" t="s">
        <v>5</v>
      </c>
      <c r="F11937" t="str" cm="1">
        <f t="array" ref="F11937">CategorizeComment(E11937)</f>
        <v>Other</v>
      </c>
      <c r="G11937" t="str" cm="1">
        <f t="array" ref="G11937">SubCategorizeComment(E11937)</f>
        <v>Other</v>
      </c>
    </row>
    <row r="11938" spans="1:7" x14ac:dyDescent="0.25">
      <c r="A11938">
        <v>113222</v>
      </c>
      <c r="B11938" t="s">
        <v>4</v>
      </c>
      <c r="C11938">
        <v>4</v>
      </c>
      <c r="D11938" t="s">
        <v>5</v>
      </c>
      <c r="F11938" t="str" cm="1">
        <f t="array" ref="F11938">CategorizeComment(E11938)</f>
        <v>Other</v>
      </c>
      <c r="G11938" t="str" cm="1">
        <f t="array" ref="G11938">SubCategorizeComment(E11938)</f>
        <v>Other</v>
      </c>
    </row>
    <row r="11939" spans="1:7" x14ac:dyDescent="0.25">
      <c r="A11939">
        <v>113223</v>
      </c>
      <c r="B11939" t="s">
        <v>4</v>
      </c>
      <c r="C11939">
        <v>4</v>
      </c>
      <c r="D11939" t="s">
        <v>5</v>
      </c>
      <c r="F11939" t="str" cm="1">
        <f t="array" ref="F11939">CategorizeComment(E11939)</f>
        <v>Other</v>
      </c>
      <c r="G11939" t="str" cm="1">
        <f t="array" ref="G11939">SubCategorizeComment(E11939)</f>
        <v>Other</v>
      </c>
    </row>
    <row r="11940" spans="1:7" x14ac:dyDescent="0.25">
      <c r="A11940">
        <v>113230</v>
      </c>
      <c r="B11940" t="s">
        <v>4</v>
      </c>
      <c r="C11940">
        <v>3</v>
      </c>
      <c r="D11940" t="s">
        <v>5</v>
      </c>
      <c r="F11940" t="str" cm="1">
        <f t="array" ref="F11940">CategorizeComment(E11940)</f>
        <v>Other</v>
      </c>
      <c r="G11940" t="str" cm="1">
        <f t="array" ref="G11940">SubCategorizeComment(E11940)</f>
        <v>Other</v>
      </c>
    </row>
    <row r="11941" spans="1:7" x14ac:dyDescent="0.25">
      <c r="A11941">
        <v>113232</v>
      </c>
      <c r="B11941" t="s">
        <v>4</v>
      </c>
      <c r="C11941">
        <v>4</v>
      </c>
      <c r="D11941" t="s">
        <v>5</v>
      </c>
      <c r="F11941" t="str" cm="1">
        <f t="array" ref="F11941">CategorizeComment(E11941)</f>
        <v>Other</v>
      </c>
      <c r="G11941" t="str" cm="1">
        <f t="array" ref="G11941">SubCategorizeComment(E11941)</f>
        <v>Other</v>
      </c>
    </row>
    <row r="11942" spans="1:7" x14ac:dyDescent="0.25">
      <c r="A11942">
        <v>113237</v>
      </c>
      <c r="B11942" t="s">
        <v>4</v>
      </c>
      <c r="C11942">
        <v>4</v>
      </c>
      <c r="D11942" t="s">
        <v>5</v>
      </c>
      <c r="F11942" t="str" cm="1">
        <f t="array" ref="F11942">CategorizeComment(E11942)</f>
        <v>Other</v>
      </c>
      <c r="G11942" t="str" cm="1">
        <f t="array" ref="G11942">SubCategorizeComment(E11942)</f>
        <v>Other</v>
      </c>
    </row>
    <row r="11943" spans="1:7" x14ac:dyDescent="0.25">
      <c r="A11943">
        <v>113307</v>
      </c>
      <c r="B11943" t="s">
        <v>4</v>
      </c>
      <c r="C11943">
        <v>3</v>
      </c>
      <c r="D11943" t="s">
        <v>5</v>
      </c>
      <c r="F11943" t="str" cm="1">
        <f t="array" ref="F11943">CategorizeComment(E11943)</f>
        <v>Other</v>
      </c>
      <c r="G11943" t="str" cm="1">
        <f t="array" ref="G11943">SubCategorizeComment(E11943)</f>
        <v>Other</v>
      </c>
    </row>
    <row r="11944" spans="1:7" x14ac:dyDescent="0.25">
      <c r="A11944">
        <v>113312</v>
      </c>
      <c r="B11944" t="s">
        <v>4</v>
      </c>
      <c r="C11944">
        <v>4</v>
      </c>
      <c r="D11944" t="s">
        <v>5</v>
      </c>
      <c r="F11944" t="str" cm="1">
        <f t="array" ref="F11944">CategorizeComment(E11944)</f>
        <v>Other</v>
      </c>
      <c r="G11944" t="str" cm="1">
        <f t="array" ref="G11944">SubCategorizeComment(E11944)</f>
        <v>Other</v>
      </c>
    </row>
    <row r="11945" spans="1:7" x14ac:dyDescent="0.25">
      <c r="A11945">
        <v>113325</v>
      </c>
      <c r="B11945" t="s">
        <v>4</v>
      </c>
      <c r="C11945">
        <v>3</v>
      </c>
      <c r="D11945" t="s">
        <v>5</v>
      </c>
      <c r="F11945" t="str" cm="1">
        <f t="array" ref="F11945">CategorizeComment(E11945)</f>
        <v>Other</v>
      </c>
      <c r="G11945" t="str" cm="1">
        <f t="array" ref="G11945">SubCategorizeComment(E11945)</f>
        <v>Other</v>
      </c>
    </row>
    <row r="11946" spans="1:7" x14ac:dyDescent="0.25">
      <c r="A11946">
        <v>113336</v>
      </c>
      <c r="B11946" t="s">
        <v>4</v>
      </c>
      <c r="C11946">
        <v>3</v>
      </c>
      <c r="D11946" t="s">
        <v>5</v>
      </c>
      <c r="F11946" t="str" cm="1">
        <f t="array" ref="F11946">CategorizeComment(E11946)</f>
        <v>Other</v>
      </c>
      <c r="G11946" t="str" cm="1">
        <f t="array" ref="G11946">SubCategorizeComment(E11946)</f>
        <v>Other</v>
      </c>
    </row>
    <row r="11947" spans="1:7" x14ac:dyDescent="0.25">
      <c r="A11947">
        <v>113404</v>
      </c>
      <c r="B11947" t="s">
        <v>4</v>
      </c>
      <c r="C11947">
        <v>3</v>
      </c>
      <c r="D11947" t="s">
        <v>5</v>
      </c>
      <c r="F11947" t="str" cm="1">
        <f t="array" ref="F11947">CategorizeComment(E11947)</f>
        <v>Other</v>
      </c>
      <c r="G11947" t="str" cm="1">
        <f t="array" ref="G11947">SubCategorizeComment(E11947)</f>
        <v>Other</v>
      </c>
    </row>
    <row r="11948" spans="1:7" x14ac:dyDescent="0.25">
      <c r="A11948">
        <v>113441</v>
      </c>
      <c r="B11948" t="s">
        <v>4</v>
      </c>
      <c r="C11948">
        <v>3</v>
      </c>
      <c r="D11948" t="s">
        <v>5</v>
      </c>
      <c r="F11948" t="str" cm="1">
        <f t="array" ref="F11948">CategorizeComment(E11948)</f>
        <v>Other</v>
      </c>
      <c r="G11948" t="str" cm="1">
        <f t="array" ref="G11948">SubCategorizeComment(E11948)</f>
        <v>Other</v>
      </c>
    </row>
    <row r="11949" spans="1:7" x14ac:dyDescent="0.25">
      <c r="A11949">
        <v>113444</v>
      </c>
      <c r="B11949" t="s">
        <v>4</v>
      </c>
      <c r="C11949">
        <v>4</v>
      </c>
      <c r="D11949" t="s">
        <v>5</v>
      </c>
      <c r="F11949" t="str" cm="1">
        <f t="array" ref="F11949">CategorizeComment(E11949)</f>
        <v>Other</v>
      </c>
      <c r="G11949" t="str" cm="1">
        <f t="array" ref="G11949">SubCategorizeComment(E11949)</f>
        <v>Other</v>
      </c>
    </row>
    <row r="11950" spans="1:7" x14ac:dyDescent="0.25">
      <c r="A11950">
        <v>113464</v>
      </c>
      <c r="B11950" t="s">
        <v>4</v>
      </c>
      <c r="C11950">
        <v>3</v>
      </c>
      <c r="D11950" t="s">
        <v>5</v>
      </c>
      <c r="F11950" t="str" cm="1">
        <f t="array" ref="F11950">CategorizeComment(E11950)</f>
        <v>Other</v>
      </c>
      <c r="G11950" t="str" cm="1">
        <f t="array" ref="G11950">SubCategorizeComment(E11950)</f>
        <v>Other</v>
      </c>
    </row>
    <row r="11951" spans="1:7" x14ac:dyDescent="0.25">
      <c r="A11951">
        <v>113467</v>
      </c>
      <c r="B11951" t="s">
        <v>4</v>
      </c>
      <c r="C11951">
        <v>4</v>
      </c>
      <c r="D11951" t="s">
        <v>5</v>
      </c>
      <c r="F11951" t="str" cm="1">
        <f t="array" ref="F11951">CategorizeComment(E11951)</f>
        <v>Other</v>
      </c>
      <c r="G11951" t="str" cm="1">
        <f t="array" ref="G11951">SubCategorizeComment(E11951)</f>
        <v>Other</v>
      </c>
    </row>
    <row r="11952" spans="1:7" x14ac:dyDescent="0.25">
      <c r="A11952">
        <v>113471</v>
      </c>
      <c r="B11952" t="s">
        <v>4</v>
      </c>
      <c r="C11952">
        <v>3</v>
      </c>
      <c r="D11952" t="s">
        <v>5</v>
      </c>
      <c r="F11952" t="str" cm="1">
        <f t="array" ref="F11952">CategorizeComment(E11952)</f>
        <v>Other</v>
      </c>
      <c r="G11952" t="str" cm="1">
        <f t="array" ref="G11952">SubCategorizeComment(E11952)</f>
        <v>Other</v>
      </c>
    </row>
    <row r="11953" spans="1:7" x14ac:dyDescent="0.25">
      <c r="A11953">
        <v>113479</v>
      </c>
      <c r="B11953" t="s">
        <v>4</v>
      </c>
      <c r="C11953">
        <v>3</v>
      </c>
      <c r="D11953" t="s">
        <v>5</v>
      </c>
      <c r="F11953" t="str" cm="1">
        <f t="array" ref="F11953">CategorizeComment(E11953)</f>
        <v>Other</v>
      </c>
      <c r="G11953" t="str" cm="1">
        <f t="array" ref="G11953">SubCategorizeComment(E11953)</f>
        <v>Other</v>
      </c>
    </row>
    <row r="11954" spans="1:7" x14ac:dyDescent="0.25">
      <c r="A11954">
        <v>113498</v>
      </c>
      <c r="B11954" t="s">
        <v>4</v>
      </c>
      <c r="C11954">
        <v>3</v>
      </c>
      <c r="D11954" t="s">
        <v>5</v>
      </c>
      <c r="F11954" t="str" cm="1">
        <f t="array" ref="F11954">CategorizeComment(E11954)</f>
        <v>Other</v>
      </c>
      <c r="G11954" t="str" cm="1">
        <f t="array" ref="G11954">SubCategorizeComment(E11954)</f>
        <v>Other</v>
      </c>
    </row>
    <row r="11955" spans="1:7" x14ac:dyDescent="0.25">
      <c r="A11955">
        <v>113504</v>
      </c>
      <c r="B11955" t="s">
        <v>4</v>
      </c>
      <c r="C11955">
        <v>3</v>
      </c>
      <c r="D11955" t="s">
        <v>5</v>
      </c>
      <c r="F11955" t="str" cm="1">
        <f t="array" ref="F11955">CategorizeComment(E11955)</f>
        <v>Other</v>
      </c>
      <c r="G11955" t="str" cm="1">
        <f t="array" ref="G11955">SubCategorizeComment(E11955)</f>
        <v>Other</v>
      </c>
    </row>
    <row r="11956" spans="1:7" x14ac:dyDescent="0.25">
      <c r="A11956">
        <v>113532</v>
      </c>
      <c r="B11956" t="s">
        <v>4</v>
      </c>
      <c r="C11956">
        <v>3</v>
      </c>
      <c r="D11956" t="s">
        <v>5</v>
      </c>
      <c r="F11956" t="str" cm="1">
        <f t="array" ref="F11956">CategorizeComment(E11956)</f>
        <v>Other</v>
      </c>
      <c r="G11956" t="str" cm="1">
        <f t="array" ref="G11956">SubCategorizeComment(E11956)</f>
        <v>Other</v>
      </c>
    </row>
    <row r="11957" spans="1:7" x14ac:dyDescent="0.25">
      <c r="A11957">
        <v>113538</v>
      </c>
      <c r="B11957" t="s">
        <v>4</v>
      </c>
      <c r="C11957">
        <v>3</v>
      </c>
      <c r="D11957" t="s">
        <v>5</v>
      </c>
      <c r="F11957" t="str" cm="1">
        <f t="array" ref="F11957">CategorizeComment(E11957)</f>
        <v>Other</v>
      </c>
      <c r="G11957" t="str" cm="1">
        <f t="array" ref="G11957">SubCategorizeComment(E11957)</f>
        <v>Other</v>
      </c>
    </row>
    <row r="11958" spans="1:7" x14ac:dyDescent="0.25">
      <c r="A11958">
        <v>113542</v>
      </c>
      <c r="B11958" t="s">
        <v>4</v>
      </c>
      <c r="C11958">
        <v>3</v>
      </c>
      <c r="D11958" t="s">
        <v>5</v>
      </c>
      <c r="F11958" t="str" cm="1">
        <f t="array" ref="F11958">CategorizeComment(E11958)</f>
        <v>Other</v>
      </c>
      <c r="G11958" t="str" cm="1">
        <f t="array" ref="G11958">SubCategorizeComment(E11958)</f>
        <v>Other</v>
      </c>
    </row>
    <row r="11959" spans="1:7" x14ac:dyDescent="0.25">
      <c r="A11959">
        <v>113547</v>
      </c>
      <c r="B11959" t="s">
        <v>4</v>
      </c>
      <c r="C11959">
        <v>4</v>
      </c>
      <c r="D11959" t="s">
        <v>5</v>
      </c>
      <c r="F11959" t="str" cm="1">
        <f t="array" ref="F11959">CategorizeComment(E11959)</f>
        <v>Other</v>
      </c>
      <c r="G11959" t="str" cm="1">
        <f t="array" ref="G11959">SubCategorizeComment(E11959)</f>
        <v>Other</v>
      </c>
    </row>
    <row r="11960" spans="1:7" x14ac:dyDescent="0.25">
      <c r="A11960">
        <v>113548</v>
      </c>
      <c r="B11960" t="s">
        <v>4</v>
      </c>
      <c r="C11960">
        <v>4</v>
      </c>
      <c r="D11960" t="s">
        <v>5</v>
      </c>
      <c r="F11960" t="str" cm="1">
        <f t="array" ref="F11960">CategorizeComment(E11960)</f>
        <v>Other</v>
      </c>
      <c r="G11960" t="str" cm="1">
        <f t="array" ref="G11960">SubCategorizeComment(E11960)</f>
        <v>Other</v>
      </c>
    </row>
    <row r="11961" spans="1:7" x14ac:dyDescent="0.25">
      <c r="A11961">
        <v>113549</v>
      </c>
      <c r="B11961" t="s">
        <v>4</v>
      </c>
      <c r="C11961">
        <v>4</v>
      </c>
      <c r="D11961" t="s">
        <v>5</v>
      </c>
      <c r="F11961" t="str" cm="1">
        <f t="array" ref="F11961">CategorizeComment(E11961)</f>
        <v>Other</v>
      </c>
      <c r="G11961" t="str" cm="1">
        <f t="array" ref="G11961">SubCategorizeComment(E11961)</f>
        <v>Other</v>
      </c>
    </row>
    <row r="11962" spans="1:7" x14ac:dyDescent="0.25">
      <c r="A11962">
        <v>113554</v>
      </c>
      <c r="B11962" t="s">
        <v>4</v>
      </c>
      <c r="C11962">
        <v>3</v>
      </c>
      <c r="D11962" t="s">
        <v>5</v>
      </c>
      <c r="F11962" t="str" cm="1">
        <f t="array" ref="F11962">CategorizeComment(E11962)</f>
        <v>Other</v>
      </c>
      <c r="G11962" t="str" cm="1">
        <f t="array" ref="G11962">SubCategorizeComment(E11962)</f>
        <v>Other</v>
      </c>
    </row>
    <row r="11963" spans="1:7" x14ac:dyDescent="0.25">
      <c r="A11963">
        <v>113561</v>
      </c>
      <c r="B11963" t="s">
        <v>4</v>
      </c>
      <c r="C11963">
        <v>4</v>
      </c>
      <c r="D11963" t="s">
        <v>5</v>
      </c>
      <c r="F11963" t="str" cm="1">
        <f t="array" ref="F11963">CategorizeComment(E11963)</f>
        <v>Other</v>
      </c>
      <c r="G11963" t="str" cm="1">
        <f t="array" ref="G11963">SubCategorizeComment(E11963)</f>
        <v>Other</v>
      </c>
    </row>
    <row r="11964" spans="1:7" x14ac:dyDescent="0.25">
      <c r="A11964">
        <v>113568</v>
      </c>
      <c r="B11964" t="s">
        <v>4</v>
      </c>
      <c r="C11964">
        <v>3</v>
      </c>
      <c r="D11964" t="s">
        <v>5</v>
      </c>
      <c r="F11964" t="str" cm="1">
        <f t="array" ref="F11964">CategorizeComment(E11964)</f>
        <v>Other</v>
      </c>
      <c r="G11964" t="str" cm="1">
        <f t="array" ref="G11964">SubCategorizeComment(E11964)</f>
        <v>Other</v>
      </c>
    </row>
    <row r="11965" spans="1:7" x14ac:dyDescent="0.25">
      <c r="A11965">
        <v>113583</v>
      </c>
      <c r="B11965" t="s">
        <v>4</v>
      </c>
      <c r="C11965">
        <v>4</v>
      </c>
      <c r="D11965" t="s">
        <v>5</v>
      </c>
      <c r="F11965" t="str" cm="1">
        <f t="array" ref="F11965">CategorizeComment(E11965)</f>
        <v>Other</v>
      </c>
      <c r="G11965" t="str" cm="1">
        <f t="array" ref="G11965">SubCategorizeComment(E11965)</f>
        <v>Other</v>
      </c>
    </row>
    <row r="11966" spans="1:7" x14ac:dyDescent="0.25">
      <c r="A11966">
        <v>113584</v>
      </c>
      <c r="B11966" t="s">
        <v>4</v>
      </c>
      <c r="C11966">
        <v>4</v>
      </c>
      <c r="D11966" t="s">
        <v>5</v>
      </c>
      <c r="F11966" t="str" cm="1">
        <f t="array" ref="F11966">CategorizeComment(E11966)</f>
        <v>Other</v>
      </c>
      <c r="G11966" t="str" cm="1">
        <f t="array" ref="G11966">SubCategorizeComment(E11966)</f>
        <v>Other</v>
      </c>
    </row>
    <row r="11967" spans="1:7" x14ac:dyDescent="0.25">
      <c r="A11967">
        <v>113589</v>
      </c>
      <c r="B11967" t="s">
        <v>4</v>
      </c>
      <c r="C11967">
        <v>3</v>
      </c>
      <c r="D11967" t="s">
        <v>5</v>
      </c>
      <c r="F11967" t="str" cm="1">
        <f t="array" ref="F11967">CategorizeComment(E11967)</f>
        <v>Other</v>
      </c>
      <c r="G11967" t="str" cm="1">
        <f t="array" ref="G11967">SubCategorizeComment(E11967)</f>
        <v>Other</v>
      </c>
    </row>
    <row r="11968" spans="1:7" x14ac:dyDescent="0.25">
      <c r="A11968">
        <v>113595</v>
      </c>
      <c r="B11968" t="s">
        <v>4</v>
      </c>
      <c r="C11968">
        <v>3</v>
      </c>
      <c r="D11968" t="s">
        <v>5</v>
      </c>
      <c r="F11968" t="str" cm="1">
        <f t="array" ref="F11968">CategorizeComment(E11968)</f>
        <v>Other</v>
      </c>
      <c r="G11968" t="str" cm="1">
        <f t="array" ref="G11968">SubCategorizeComment(E11968)</f>
        <v>Other</v>
      </c>
    </row>
    <row r="11969" spans="1:7" x14ac:dyDescent="0.25">
      <c r="A11969">
        <v>113625</v>
      </c>
      <c r="B11969" t="s">
        <v>4</v>
      </c>
      <c r="C11969">
        <v>3</v>
      </c>
      <c r="D11969" t="s">
        <v>5</v>
      </c>
      <c r="F11969" t="str" cm="1">
        <f t="array" ref="F11969">CategorizeComment(E11969)</f>
        <v>Other</v>
      </c>
      <c r="G11969" t="str" cm="1">
        <f t="array" ref="G11969">SubCategorizeComment(E11969)</f>
        <v>Other</v>
      </c>
    </row>
    <row r="11970" spans="1:7" x14ac:dyDescent="0.25">
      <c r="A11970">
        <v>113633</v>
      </c>
      <c r="B11970" t="s">
        <v>4</v>
      </c>
      <c r="C11970">
        <v>3</v>
      </c>
      <c r="D11970" t="s">
        <v>5</v>
      </c>
      <c r="F11970" t="str" cm="1">
        <f t="array" ref="F11970">CategorizeComment(E11970)</f>
        <v>Other</v>
      </c>
      <c r="G11970" t="str" cm="1">
        <f t="array" ref="G11970">SubCategorizeComment(E11970)</f>
        <v>Other</v>
      </c>
    </row>
    <row r="11971" spans="1:7" x14ac:dyDescent="0.25">
      <c r="A11971">
        <v>113638</v>
      </c>
      <c r="B11971" t="s">
        <v>4</v>
      </c>
      <c r="C11971">
        <v>4</v>
      </c>
      <c r="D11971" t="s">
        <v>5</v>
      </c>
      <c r="F11971" t="str" cm="1">
        <f t="array" ref="F11971">CategorizeComment(E11971)</f>
        <v>Other</v>
      </c>
      <c r="G11971" t="str" cm="1">
        <f t="array" ref="G11971">SubCategorizeComment(E11971)</f>
        <v>Other</v>
      </c>
    </row>
    <row r="11972" spans="1:7" x14ac:dyDescent="0.25">
      <c r="A11972">
        <v>113675</v>
      </c>
      <c r="B11972" t="s">
        <v>4</v>
      </c>
      <c r="C11972">
        <v>4</v>
      </c>
      <c r="D11972" t="s">
        <v>5</v>
      </c>
      <c r="F11972" t="str" cm="1">
        <f t="array" ref="F11972">CategorizeComment(E11972)</f>
        <v>Other</v>
      </c>
      <c r="G11972" t="str" cm="1">
        <f t="array" ref="G11972">SubCategorizeComment(E11972)</f>
        <v>Other</v>
      </c>
    </row>
    <row r="11973" spans="1:7" x14ac:dyDescent="0.25">
      <c r="A11973">
        <v>113685</v>
      </c>
      <c r="B11973" t="s">
        <v>4</v>
      </c>
      <c r="C11973">
        <v>4</v>
      </c>
      <c r="D11973" t="s">
        <v>5</v>
      </c>
      <c r="F11973" t="str" cm="1">
        <f t="array" ref="F11973">CategorizeComment(E11973)</f>
        <v>Other</v>
      </c>
      <c r="G11973" t="str" cm="1">
        <f t="array" ref="G11973">SubCategorizeComment(E11973)</f>
        <v>Other</v>
      </c>
    </row>
    <row r="11974" spans="1:7" x14ac:dyDescent="0.25">
      <c r="A11974">
        <v>113690</v>
      </c>
      <c r="B11974" t="s">
        <v>4</v>
      </c>
      <c r="C11974">
        <v>4</v>
      </c>
      <c r="D11974" t="s">
        <v>5</v>
      </c>
      <c r="F11974" t="str" cm="1">
        <f t="array" ref="F11974">CategorizeComment(E11974)</f>
        <v>Other</v>
      </c>
      <c r="G11974" t="str" cm="1">
        <f t="array" ref="G11974">SubCategorizeComment(E11974)</f>
        <v>Other</v>
      </c>
    </row>
    <row r="11975" spans="1:7" x14ac:dyDescent="0.25">
      <c r="A11975">
        <v>113698</v>
      </c>
      <c r="B11975" t="s">
        <v>4</v>
      </c>
      <c r="C11975">
        <v>4</v>
      </c>
      <c r="D11975" t="s">
        <v>5</v>
      </c>
      <c r="F11975" t="str" cm="1">
        <f t="array" ref="F11975">CategorizeComment(E11975)</f>
        <v>Other</v>
      </c>
      <c r="G11975" t="str" cm="1">
        <f t="array" ref="G11975">SubCategorizeComment(E11975)</f>
        <v>Other</v>
      </c>
    </row>
    <row r="11976" spans="1:7" x14ac:dyDescent="0.25">
      <c r="A11976">
        <v>113702</v>
      </c>
      <c r="B11976" t="s">
        <v>4</v>
      </c>
      <c r="C11976">
        <v>3</v>
      </c>
      <c r="D11976" t="s">
        <v>5</v>
      </c>
      <c r="F11976" t="str" cm="1">
        <f t="array" ref="F11976">CategorizeComment(E11976)</f>
        <v>Other</v>
      </c>
      <c r="G11976" t="str" cm="1">
        <f t="array" ref="G11976">SubCategorizeComment(E11976)</f>
        <v>Other</v>
      </c>
    </row>
    <row r="11977" spans="1:7" x14ac:dyDescent="0.25">
      <c r="A11977">
        <v>113705</v>
      </c>
      <c r="B11977" t="s">
        <v>4</v>
      </c>
      <c r="C11977">
        <v>3</v>
      </c>
      <c r="D11977" t="s">
        <v>5</v>
      </c>
      <c r="F11977" t="str" cm="1">
        <f t="array" ref="F11977">CategorizeComment(E11977)</f>
        <v>Other</v>
      </c>
      <c r="G11977" t="str" cm="1">
        <f t="array" ref="G11977">SubCategorizeComment(E11977)</f>
        <v>Other</v>
      </c>
    </row>
    <row r="11978" spans="1:7" x14ac:dyDescent="0.25">
      <c r="A11978">
        <v>113711</v>
      </c>
      <c r="B11978" t="s">
        <v>4</v>
      </c>
      <c r="C11978">
        <v>4</v>
      </c>
      <c r="D11978" t="s">
        <v>5</v>
      </c>
      <c r="F11978" t="str" cm="1">
        <f t="array" ref="F11978">CategorizeComment(E11978)</f>
        <v>Other</v>
      </c>
      <c r="G11978" t="str" cm="1">
        <f t="array" ref="G11978">SubCategorizeComment(E11978)</f>
        <v>Other</v>
      </c>
    </row>
    <row r="11979" spans="1:7" x14ac:dyDescent="0.25">
      <c r="A11979">
        <v>113720</v>
      </c>
      <c r="B11979" t="s">
        <v>4</v>
      </c>
      <c r="C11979">
        <v>4</v>
      </c>
      <c r="D11979" t="s">
        <v>5</v>
      </c>
      <c r="F11979" t="str" cm="1">
        <f t="array" ref="F11979">CategorizeComment(E11979)</f>
        <v>Other</v>
      </c>
      <c r="G11979" t="str" cm="1">
        <f t="array" ref="G11979">SubCategorizeComment(E11979)</f>
        <v>Other</v>
      </c>
    </row>
    <row r="11980" spans="1:7" x14ac:dyDescent="0.25">
      <c r="A11980">
        <v>113759</v>
      </c>
      <c r="B11980" t="s">
        <v>4</v>
      </c>
      <c r="C11980">
        <v>4</v>
      </c>
      <c r="D11980" t="s">
        <v>5</v>
      </c>
      <c r="F11980" t="str" cm="1">
        <f t="array" ref="F11980">CategorizeComment(E11980)</f>
        <v>Other</v>
      </c>
      <c r="G11980" t="str" cm="1">
        <f t="array" ref="G11980">SubCategorizeComment(E11980)</f>
        <v>Other</v>
      </c>
    </row>
    <row r="11981" spans="1:7" x14ac:dyDescent="0.25">
      <c r="A11981">
        <v>113770</v>
      </c>
      <c r="B11981" t="s">
        <v>4</v>
      </c>
      <c r="C11981">
        <v>3</v>
      </c>
      <c r="D11981" t="s">
        <v>5</v>
      </c>
      <c r="F11981" t="str" cm="1">
        <f t="array" ref="F11981">CategorizeComment(E11981)</f>
        <v>Other</v>
      </c>
      <c r="G11981" t="str" cm="1">
        <f t="array" ref="G11981">SubCategorizeComment(E11981)</f>
        <v>Other</v>
      </c>
    </row>
    <row r="11982" spans="1:7" x14ac:dyDescent="0.25">
      <c r="A11982">
        <v>113773</v>
      </c>
      <c r="B11982" t="s">
        <v>4</v>
      </c>
      <c r="C11982">
        <v>3</v>
      </c>
      <c r="D11982" t="s">
        <v>5</v>
      </c>
      <c r="F11982" t="str" cm="1">
        <f t="array" ref="F11982">CategorizeComment(E11982)</f>
        <v>Other</v>
      </c>
      <c r="G11982" t="str" cm="1">
        <f t="array" ref="G11982">SubCategorizeComment(E11982)</f>
        <v>Other</v>
      </c>
    </row>
    <row r="11983" spans="1:7" x14ac:dyDescent="0.25">
      <c r="A11983">
        <v>113792</v>
      </c>
      <c r="B11983" t="s">
        <v>4</v>
      </c>
      <c r="C11983">
        <v>4</v>
      </c>
      <c r="D11983" t="s">
        <v>5</v>
      </c>
      <c r="F11983" t="str" cm="1">
        <f t="array" ref="F11983">CategorizeComment(E11983)</f>
        <v>Other</v>
      </c>
      <c r="G11983" t="str" cm="1">
        <f t="array" ref="G11983">SubCategorizeComment(E11983)</f>
        <v>Other</v>
      </c>
    </row>
    <row r="11984" spans="1:7" x14ac:dyDescent="0.25">
      <c r="A11984">
        <v>113799</v>
      </c>
      <c r="B11984" t="s">
        <v>4</v>
      </c>
      <c r="C11984">
        <v>3</v>
      </c>
      <c r="D11984" t="s">
        <v>5</v>
      </c>
      <c r="F11984" t="str" cm="1">
        <f t="array" ref="F11984">CategorizeComment(E11984)</f>
        <v>Other</v>
      </c>
      <c r="G11984" t="str" cm="1">
        <f t="array" ref="G11984">SubCategorizeComment(E11984)</f>
        <v>Other</v>
      </c>
    </row>
    <row r="11985" spans="1:7" x14ac:dyDescent="0.25">
      <c r="A11985">
        <v>113812</v>
      </c>
      <c r="B11985" t="s">
        <v>4</v>
      </c>
      <c r="C11985">
        <v>4</v>
      </c>
      <c r="D11985" t="s">
        <v>5</v>
      </c>
      <c r="F11985" t="str" cm="1">
        <f t="array" ref="F11985">CategorizeComment(E11985)</f>
        <v>Other</v>
      </c>
      <c r="G11985" t="str" cm="1">
        <f t="array" ref="G11985">SubCategorizeComment(E11985)</f>
        <v>Other</v>
      </c>
    </row>
    <row r="11986" spans="1:7" x14ac:dyDescent="0.25">
      <c r="A11986">
        <v>113816</v>
      </c>
      <c r="B11986" t="s">
        <v>4</v>
      </c>
      <c r="C11986">
        <v>3</v>
      </c>
      <c r="D11986" t="s">
        <v>5</v>
      </c>
      <c r="F11986" t="str" cm="1">
        <f t="array" ref="F11986">CategorizeComment(E11986)</f>
        <v>Other</v>
      </c>
      <c r="G11986" t="str" cm="1">
        <f t="array" ref="G11986">SubCategorizeComment(E11986)</f>
        <v>Other</v>
      </c>
    </row>
    <row r="11987" spans="1:7" x14ac:dyDescent="0.25">
      <c r="A11987">
        <v>113827</v>
      </c>
      <c r="B11987" t="s">
        <v>4</v>
      </c>
      <c r="C11987">
        <v>3</v>
      </c>
      <c r="D11987" t="s">
        <v>5</v>
      </c>
      <c r="F11987" t="str" cm="1">
        <f t="array" ref="F11987">CategorizeComment(E11987)</f>
        <v>Other</v>
      </c>
      <c r="G11987" t="str" cm="1">
        <f t="array" ref="G11987">SubCategorizeComment(E11987)</f>
        <v>Other</v>
      </c>
    </row>
    <row r="11988" spans="1:7" x14ac:dyDescent="0.25">
      <c r="A11988">
        <v>113829</v>
      </c>
      <c r="B11988" t="s">
        <v>4</v>
      </c>
      <c r="C11988">
        <v>3</v>
      </c>
      <c r="D11988" t="s">
        <v>5</v>
      </c>
      <c r="F11988" t="str" cm="1">
        <f t="array" ref="F11988">CategorizeComment(E11988)</f>
        <v>Other</v>
      </c>
      <c r="G11988" t="str" cm="1">
        <f t="array" ref="G11988">SubCategorizeComment(E11988)</f>
        <v>Other</v>
      </c>
    </row>
    <row r="11989" spans="1:7" x14ac:dyDescent="0.25">
      <c r="A11989">
        <v>113831</v>
      </c>
      <c r="B11989" t="s">
        <v>4</v>
      </c>
      <c r="C11989">
        <v>3</v>
      </c>
      <c r="D11989" t="s">
        <v>5</v>
      </c>
      <c r="F11989" t="str" cm="1">
        <f t="array" ref="F11989">CategorizeComment(E11989)</f>
        <v>Other</v>
      </c>
      <c r="G11989" t="str" cm="1">
        <f t="array" ref="G11989">SubCategorizeComment(E11989)</f>
        <v>Other</v>
      </c>
    </row>
    <row r="11990" spans="1:7" x14ac:dyDescent="0.25">
      <c r="A11990">
        <v>113844</v>
      </c>
      <c r="B11990" t="s">
        <v>4</v>
      </c>
      <c r="C11990">
        <v>4</v>
      </c>
      <c r="D11990" t="s">
        <v>5</v>
      </c>
      <c r="F11990" t="str" cm="1">
        <f t="array" ref="F11990">CategorizeComment(E11990)</f>
        <v>Other</v>
      </c>
      <c r="G11990" t="str" cm="1">
        <f t="array" ref="G11990">SubCategorizeComment(E11990)</f>
        <v>Other</v>
      </c>
    </row>
    <row r="11991" spans="1:7" x14ac:dyDescent="0.25">
      <c r="A11991">
        <v>113851</v>
      </c>
      <c r="B11991" t="s">
        <v>4</v>
      </c>
      <c r="C11991">
        <v>4</v>
      </c>
      <c r="D11991" t="s">
        <v>5</v>
      </c>
      <c r="F11991" t="str" cm="1">
        <f t="array" ref="F11991">CategorizeComment(E11991)</f>
        <v>Other</v>
      </c>
      <c r="G11991" t="str" cm="1">
        <f t="array" ref="G11991">SubCategorizeComment(E11991)</f>
        <v>Other</v>
      </c>
    </row>
    <row r="11992" spans="1:7" x14ac:dyDescent="0.25">
      <c r="A11992">
        <v>113859</v>
      </c>
      <c r="B11992" t="s">
        <v>4</v>
      </c>
      <c r="C11992">
        <v>4</v>
      </c>
      <c r="D11992" t="s">
        <v>5</v>
      </c>
      <c r="F11992" t="str" cm="1">
        <f t="array" ref="F11992">CategorizeComment(E11992)</f>
        <v>Other</v>
      </c>
      <c r="G11992" t="str" cm="1">
        <f t="array" ref="G11992">SubCategorizeComment(E11992)</f>
        <v>Other</v>
      </c>
    </row>
    <row r="11993" spans="1:7" x14ac:dyDescent="0.25">
      <c r="A11993">
        <v>113887</v>
      </c>
      <c r="B11993" t="s">
        <v>4</v>
      </c>
      <c r="C11993">
        <v>4</v>
      </c>
      <c r="D11993" t="s">
        <v>5</v>
      </c>
      <c r="F11993" t="str" cm="1">
        <f t="array" ref="F11993">CategorizeComment(E11993)</f>
        <v>Other</v>
      </c>
      <c r="G11993" t="str" cm="1">
        <f t="array" ref="G11993">SubCategorizeComment(E11993)</f>
        <v>Other</v>
      </c>
    </row>
    <row r="11994" spans="1:7" x14ac:dyDescent="0.25">
      <c r="A11994">
        <v>113897</v>
      </c>
      <c r="B11994" t="s">
        <v>4</v>
      </c>
      <c r="C11994">
        <v>4</v>
      </c>
      <c r="D11994" t="s">
        <v>5</v>
      </c>
      <c r="F11994" t="str" cm="1">
        <f t="array" ref="F11994">CategorizeComment(E11994)</f>
        <v>Other</v>
      </c>
      <c r="G11994" t="str" cm="1">
        <f t="array" ref="G11994">SubCategorizeComment(E11994)</f>
        <v>Other</v>
      </c>
    </row>
    <row r="11995" spans="1:7" x14ac:dyDescent="0.25">
      <c r="A11995">
        <v>113898</v>
      </c>
      <c r="B11995" t="s">
        <v>4</v>
      </c>
      <c r="C11995">
        <v>4</v>
      </c>
      <c r="D11995" t="s">
        <v>5</v>
      </c>
      <c r="F11995" t="str" cm="1">
        <f t="array" ref="F11995">CategorizeComment(E11995)</f>
        <v>Other</v>
      </c>
      <c r="G11995" t="str" cm="1">
        <f t="array" ref="G11995">SubCategorizeComment(E11995)</f>
        <v>Other</v>
      </c>
    </row>
    <row r="11996" spans="1:7" x14ac:dyDescent="0.25">
      <c r="A11996">
        <v>113902</v>
      </c>
      <c r="B11996" t="s">
        <v>4</v>
      </c>
      <c r="C11996">
        <v>4</v>
      </c>
      <c r="D11996" t="s">
        <v>5</v>
      </c>
      <c r="F11996" t="str" cm="1">
        <f t="array" ref="F11996">CategorizeComment(E11996)</f>
        <v>Other</v>
      </c>
      <c r="G11996" t="str" cm="1">
        <f t="array" ref="G11996">SubCategorizeComment(E11996)</f>
        <v>Other</v>
      </c>
    </row>
    <row r="11997" spans="1:7" x14ac:dyDescent="0.25">
      <c r="A11997">
        <v>113909</v>
      </c>
      <c r="B11997" t="s">
        <v>4</v>
      </c>
      <c r="C11997">
        <v>4</v>
      </c>
      <c r="D11997" t="s">
        <v>5</v>
      </c>
      <c r="F11997" t="str" cm="1">
        <f t="array" ref="F11997">CategorizeComment(E11997)</f>
        <v>Other</v>
      </c>
      <c r="G11997" t="str" cm="1">
        <f t="array" ref="G11997">SubCategorizeComment(E11997)</f>
        <v>Other</v>
      </c>
    </row>
    <row r="11998" spans="1:7" x14ac:dyDescent="0.25">
      <c r="A11998">
        <v>113915</v>
      </c>
      <c r="B11998" t="s">
        <v>4</v>
      </c>
      <c r="C11998">
        <v>3</v>
      </c>
      <c r="D11998" t="s">
        <v>5</v>
      </c>
      <c r="F11998" t="str" cm="1">
        <f t="array" ref="F11998">CategorizeComment(E11998)</f>
        <v>Other</v>
      </c>
      <c r="G11998" t="str" cm="1">
        <f t="array" ref="G11998">SubCategorizeComment(E11998)</f>
        <v>Other</v>
      </c>
    </row>
    <row r="11999" spans="1:7" x14ac:dyDescent="0.25">
      <c r="A11999">
        <v>113970</v>
      </c>
      <c r="B11999" t="s">
        <v>4</v>
      </c>
      <c r="C11999">
        <v>3</v>
      </c>
      <c r="D11999" t="s">
        <v>5</v>
      </c>
      <c r="F11999" t="str" cm="1">
        <f t="array" ref="F11999">CategorizeComment(E11999)</f>
        <v>Other</v>
      </c>
      <c r="G11999" t="str" cm="1">
        <f t="array" ref="G11999">SubCategorizeComment(E11999)</f>
        <v>Other</v>
      </c>
    </row>
    <row r="12000" spans="1:7" x14ac:dyDescent="0.25">
      <c r="A12000">
        <v>113972</v>
      </c>
      <c r="B12000" t="s">
        <v>4</v>
      </c>
      <c r="C12000">
        <v>3</v>
      </c>
      <c r="D12000" t="s">
        <v>5</v>
      </c>
      <c r="F12000" t="str" cm="1">
        <f t="array" ref="F12000">CategorizeComment(E12000)</f>
        <v>Other</v>
      </c>
      <c r="G12000" t="str" cm="1">
        <f t="array" ref="G12000">SubCategorizeComment(E12000)</f>
        <v>Other</v>
      </c>
    </row>
    <row r="12001" spans="1:7" x14ac:dyDescent="0.25">
      <c r="A12001">
        <v>113990</v>
      </c>
      <c r="B12001" t="s">
        <v>4</v>
      </c>
      <c r="C12001">
        <v>3</v>
      </c>
      <c r="D12001" t="s">
        <v>5</v>
      </c>
      <c r="F12001" t="str" cm="1">
        <f t="array" ref="F12001">CategorizeComment(E12001)</f>
        <v>Other</v>
      </c>
      <c r="G12001" t="str" cm="1">
        <f t="array" ref="G12001">SubCategorizeComment(E12001)</f>
        <v>Other</v>
      </c>
    </row>
    <row r="12002" spans="1:7" x14ac:dyDescent="0.25">
      <c r="A12002">
        <v>113998</v>
      </c>
      <c r="B12002" t="s">
        <v>4</v>
      </c>
      <c r="C12002">
        <v>3</v>
      </c>
      <c r="D12002" t="s">
        <v>5</v>
      </c>
      <c r="F12002" t="str" cm="1">
        <f t="array" ref="F12002">CategorizeComment(E12002)</f>
        <v>Other</v>
      </c>
      <c r="G12002" t="str" cm="1">
        <f t="array" ref="G12002">SubCategorizeComment(E12002)</f>
        <v>Other</v>
      </c>
    </row>
    <row r="12003" spans="1:7" x14ac:dyDescent="0.25">
      <c r="A12003">
        <v>113999</v>
      </c>
      <c r="B12003" t="s">
        <v>4</v>
      </c>
      <c r="C12003">
        <v>3</v>
      </c>
      <c r="D12003" t="s">
        <v>5</v>
      </c>
      <c r="F12003" t="str" cm="1">
        <f t="array" ref="F12003">CategorizeComment(E12003)</f>
        <v>Other</v>
      </c>
      <c r="G12003" t="str" cm="1">
        <f t="array" ref="G12003">SubCategorizeComment(E12003)</f>
        <v>Other</v>
      </c>
    </row>
    <row r="12004" spans="1:7" x14ac:dyDescent="0.25">
      <c r="A12004">
        <v>114001</v>
      </c>
      <c r="B12004" t="s">
        <v>4</v>
      </c>
      <c r="C12004">
        <v>4</v>
      </c>
      <c r="D12004" t="s">
        <v>5</v>
      </c>
      <c r="F12004" t="str" cm="1">
        <f t="array" ref="F12004">CategorizeComment(E12004)</f>
        <v>Other</v>
      </c>
      <c r="G12004" t="str" cm="1">
        <f t="array" ref="G12004">SubCategorizeComment(E12004)</f>
        <v>Other</v>
      </c>
    </row>
    <row r="12005" spans="1:7" x14ac:dyDescent="0.25">
      <c r="A12005">
        <v>114010</v>
      </c>
      <c r="B12005" t="s">
        <v>4</v>
      </c>
      <c r="C12005">
        <v>4</v>
      </c>
      <c r="D12005" t="s">
        <v>5</v>
      </c>
      <c r="F12005" t="str" cm="1">
        <f t="array" ref="F12005">CategorizeComment(E12005)</f>
        <v>Other</v>
      </c>
      <c r="G12005" t="str" cm="1">
        <f t="array" ref="G12005">SubCategorizeComment(E12005)</f>
        <v>Other</v>
      </c>
    </row>
    <row r="12006" spans="1:7" x14ac:dyDescent="0.25">
      <c r="A12006">
        <v>114013</v>
      </c>
      <c r="B12006" t="s">
        <v>4</v>
      </c>
      <c r="C12006">
        <v>4</v>
      </c>
      <c r="D12006" t="s">
        <v>5</v>
      </c>
      <c r="F12006" t="str" cm="1">
        <f t="array" ref="F12006">CategorizeComment(E12006)</f>
        <v>Other</v>
      </c>
      <c r="G12006" t="str" cm="1">
        <f t="array" ref="G12006">SubCategorizeComment(E12006)</f>
        <v>Other</v>
      </c>
    </row>
    <row r="12007" spans="1:7" x14ac:dyDescent="0.25">
      <c r="A12007">
        <v>114026</v>
      </c>
      <c r="B12007" t="s">
        <v>4</v>
      </c>
      <c r="C12007">
        <v>3</v>
      </c>
      <c r="D12007" t="s">
        <v>5</v>
      </c>
      <c r="F12007" t="str" cm="1">
        <f t="array" ref="F12007">CategorizeComment(E12007)</f>
        <v>Other</v>
      </c>
      <c r="G12007" t="str" cm="1">
        <f t="array" ref="G12007">SubCategorizeComment(E12007)</f>
        <v>Other</v>
      </c>
    </row>
    <row r="12008" spans="1:7" x14ac:dyDescent="0.25">
      <c r="A12008">
        <v>114038</v>
      </c>
      <c r="B12008" t="s">
        <v>4</v>
      </c>
      <c r="C12008">
        <v>3</v>
      </c>
      <c r="D12008" t="s">
        <v>5</v>
      </c>
      <c r="F12008" t="str" cm="1">
        <f t="array" ref="F12008">CategorizeComment(E12008)</f>
        <v>Other</v>
      </c>
      <c r="G12008" t="str" cm="1">
        <f t="array" ref="G12008">SubCategorizeComment(E12008)</f>
        <v>Other</v>
      </c>
    </row>
    <row r="12009" spans="1:7" x14ac:dyDescent="0.25">
      <c r="A12009">
        <v>114055</v>
      </c>
      <c r="B12009" t="s">
        <v>4</v>
      </c>
      <c r="C12009">
        <v>4</v>
      </c>
      <c r="D12009" t="s">
        <v>5</v>
      </c>
      <c r="F12009" t="str" cm="1">
        <f t="array" ref="F12009">CategorizeComment(E12009)</f>
        <v>Other</v>
      </c>
      <c r="G12009" t="str" cm="1">
        <f t="array" ref="G12009">SubCategorizeComment(E12009)</f>
        <v>Other</v>
      </c>
    </row>
    <row r="12010" spans="1:7" x14ac:dyDescent="0.25">
      <c r="A12010">
        <v>114067</v>
      </c>
      <c r="B12010" t="s">
        <v>4</v>
      </c>
      <c r="C12010">
        <v>3</v>
      </c>
      <c r="D12010" t="s">
        <v>5</v>
      </c>
      <c r="F12010" t="str" cm="1">
        <f t="array" ref="F12010">CategorizeComment(E12010)</f>
        <v>Other</v>
      </c>
      <c r="G12010" t="str" cm="1">
        <f t="array" ref="G12010">SubCategorizeComment(E12010)</f>
        <v>Other</v>
      </c>
    </row>
    <row r="12011" spans="1:7" x14ac:dyDescent="0.25">
      <c r="A12011">
        <v>114071</v>
      </c>
      <c r="B12011" t="s">
        <v>4</v>
      </c>
      <c r="C12011">
        <v>3</v>
      </c>
      <c r="D12011" t="s">
        <v>5</v>
      </c>
      <c r="F12011" t="str" cm="1">
        <f t="array" ref="F12011">CategorizeComment(E12011)</f>
        <v>Other</v>
      </c>
      <c r="G12011" t="str" cm="1">
        <f t="array" ref="G12011">SubCategorizeComment(E12011)</f>
        <v>Other</v>
      </c>
    </row>
    <row r="12012" spans="1:7" x14ac:dyDescent="0.25">
      <c r="A12012">
        <v>114073</v>
      </c>
      <c r="B12012" t="s">
        <v>4</v>
      </c>
      <c r="C12012">
        <v>3</v>
      </c>
      <c r="D12012" t="s">
        <v>5</v>
      </c>
      <c r="F12012" t="str" cm="1">
        <f t="array" ref="F12012">CategorizeComment(E12012)</f>
        <v>Other</v>
      </c>
      <c r="G12012" t="str" cm="1">
        <f t="array" ref="G12012">SubCategorizeComment(E12012)</f>
        <v>Other</v>
      </c>
    </row>
    <row r="12013" spans="1:7" x14ac:dyDescent="0.25">
      <c r="A12013">
        <v>114074</v>
      </c>
      <c r="B12013" t="s">
        <v>4</v>
      </c>
      <c r="C12013">
        <v>3</v>
      </c>
      <c r="D12013" t="s">
        <v>5</v>
      </c>
      <c r="F12013" t="str" cm="1">
        <f t="array" ref="F12013">CategorizeComment(E12013)</f>
        <v>Other</v>
      </c>
      <c r="G12013" t="str" cm="1">
        <f t="array" ref="G12013">SubCategorizeComment(E12013)</f>
        <v>Other</v>
      </c>
    </row>
    <row r="12014" spans="1:7" x14ac:dyDescent="0.25">
      <c r="A12014">
        <v>114081</v>
      </c>
      <c r="B12014" t="s">
        <v>4</v>
      </c>
      <c r="C12014">
        <v>3</v>
      </c>
      <c r="D12014" t="s">
        <v>5</v>
      </c>
      <c r="F12014" t="str" cm="1">
        <f t="array" ref="F12014">CategorizeComment(E12014)</f>
        <v>Other</v>
      </c>
      <c r="G12014" t="str" cm="1">
        <f t="array" ref="G12014">SubCategorizeComment(E12014)</f>
        <v>Other</v>
      </c>
    </row>
    <row r="12015" spans="1:7" x14ac:dyDescent="0.25">
      <c r="A12015">
        <v>114102</v>
      </c>
      <c r="B12015" t="s">
        <v>4</v>
      </c>
      <c r="C12015">
        <v>4</v>
      </c>
      <c r="D12015" t="s">
        <v>5</v>
      </c>
      <c r="F12015" t="str" cm="1">
        <f t="array" ref="F12015">CategorizeComment(E12015)</f>
        <v>Other</v>
      </c>
      <c r="G12015" t="str" cm="1">
        <f t="array" ref="G12015">SubCategorizeComment(E12015)</f>
        <v>Other</v>
      </c>
    </row>
    <row r="12016" spans="1:7" x14ac:dyDescent="0.25">
      <c r="A12016">
        <v>114118</v>
      </c>
      <c r="B12016" t="s">
        <v>4</v>
      </c>
      <c r="C12016">
        <v>4</v>
      </c>
      <c r="D12016" t="s">
        <v>5</v>
      </c>
      <c r="F12016" t="str" cm="1">
        <f t="array" ref="F12016">CategorizeComment(E12016)</f>
        <v>Other</v>
      </c>
      <c r="G12016" t="str" cm="1">
        <f t="array" ref="G12016">SubCategorizeComment(E12016)</f>
        <v>Other</v>
      </c>
    </row>
    <row r="12017" spans="1:7" x14ac:dyDescent="0.25">
      <c r="A12017">
        <v>114121</v>
      </c>
      <c r="B12017" t="s">
        <v>4</v>
      </c>
      <c r="C12017">
        <v>4</v>
      </c>
      <c r="D12017" t="s">
        <v>5</v>
      </c>
      <c r="F12017" t="str" cm="1">
        <f t="array" ref="F12017">CategorizeComment(E12017)</f>
        <v>Other</v>
      </c>
      <c r="G12017" t="str" cm="1">
        <f t="array" ref="G12017">SubCategorizeComment(E12017)</f>
        <v>Other</v>
      </c>
    </row>
    <row r="12018" spans="1:7" x14ac:dyDescent="0.25">
      <c r="A12018">
        <v>114136</v>
      </c>
      <c r="B12018" t="s">
        <v>4</v>
      </c>
      <c r="C12018">
        <v>4</v>
      </c>
      <c r="D12018" t="s">
        <v>5</v>
      </c>
      <c r="F12018" t="str" cm="1">
        <f t="array" ref="F12018">CategorizeComment(E12018)</f>
        <v>Other</v>
      </c>
      <c r="G12018" t="str" cm="1">
        <f t="array" ref="G12018">SubCategorizeComment(E12018)</f>
        <v>Other</v>
      </c>
    </row>
    <row r="12019" spans="1:7" x14ac:dyDescent="0.25">
      <c r="A12019">
        <v>114189</v>
      </c>
      <c r="B12019" t="s">
        <v>4</v>
      </c>
      <c r="C12019">
        <v>3</v>
      </c>
      <c r="D12019" t="s">
        <v>5</v>
      </c>
      <c r="F12019" t="str" cm="1">
        <f t="array" ref="F12019">CategorizeComment(E12019)</f>
        <v>Other</v>
      </c>
      <c r="G12019" t="str" cm="1">
        <f t="array" ref="G12019">SubCategorizeComment(E12019)</f>
        <v>Other</v>
      </c>
    </row>
    <row r="12020" spans="1:7" x14ac:dyDescent="0.25">
      <c r="A12020">
        <v>114196</v>
      </c>
      <c r="B12020" t="s">
        <v>4</v>
      </c>
      <c r="C12020">
        <v>4</v>
      </c>
      <c r="D12020" t="s">
        <v>5</v>
      </c>
      <c r="F12020" t="str" cm="1">
        <f t="array" ref="F12020">CategorizeComment(E12020)</f>
        <v>Other</v>
      </c>
      <c r="G12020" t="str" cm="1">
        <f t="array" ref="G12020">SubCategorizeComment(E12020)</f>
        <v>Other</v>
      </c>
    </row>
    <row r="12021" spans="1:7" x14ac:dyDescent="0.25">
      <c r="A12021">
        <v>114208</v>
      </c>
      <c r="B12021" t="s">
        <v>4</v>
      </c>
      <c r="C12021">
        <v>3</v>
      </c>
      <c r="D12021" t="s">
        <v>5</v>
      </c>
      <c r="F12021" t="str" cm="1">
        <f t="array" ref="F12021">CategorizeComment(E12021)</f>
        <v>Other</v>
      </c>
      <c r="G12021" t="str" cm="1">
        <f t="array" ref="G12021">SubCategorizeComment(E12021)</f>
        <v>Other</v>
      </c>
    </row>
    <row r="12022" spans="1:7" x14ac:dyDescent="0.25">
      <c r="A12022">
        <v>114216</v>
      </c>
      <c r="B12022" t="s">
        <v>4</v>
      </c>
      <c r="C12022">
        <v>4</v>
      </c>
      <c r="D12022" t="s">
        <v>5</v>
      </c>
      <c r="F12022" t="str" cm="1">
        <f t="array" ref="F12022">CategorizeComment(E12022)</f>
        <v>Other</v>
      </c>
      <c r="G12022" t="str" cm="1">
        <f t="array" ref="G12022">SubCategorizeComment(E12022)</f>
        <v>Other</v>
      </c>
    </row>
    <row r="12023" spans="1:7" x14ac:dyDescent="0.25">
      <c r="A12023">
        <v>114222</v>
      </c>
      <c r="B12023" t="s">
        <v>4</v>
      </c>
      <c r="C12023">
        <v>4</v>
      </c>
      <c r="D12023" t="s">
        <v>5</v>
      </c>
      <c r="F12023" t="str" cm="1">
        <f t="array" ref="F12023">CategorizeComment(E12023)</f>
        <v>Other</v>
      </c>
      <c r="G12023" t="str" cm="1">
        <f t="array" ref="G12023">SubCategorizeComment(E12023)</f>
        <v>Other</v>
      </c>
    </row>
    <row r="12024" spans="1:7" x14ac:dyDescent="0.25">
      <c r="A12024">
        <v>114223</v>
      </c>
      <c r="B12024" t="s">
        <v>4</v>
      </c>
      <c r="C12024">
        <v>4</v>
      </c>
      <c r="D12024" t="s">
        <v>5</v>
      </c>
      <c r="F12024" t="str" cm="1">
        <f t="array" ref="F12024">CategorizeComment(E12024)</f>
        <v>Other</v>
      </c>
      <c r="G12024" t="str" cm="1">
        <f t="array" ref="G12024">SubCategorizeComment(E12024)</f>
        <v>Other</v>
      </c>
    </row>
    <row r="12025" spans="1:7" x14ac:dyDescent="0.25">
      <c r="A12025">
        <v>114224</v>
      </c>
      <c r="B12025" t="s">
        <v>4</v>
      </c>
      <c r="C12025">
        <v>4</v>
      </c>
      <c r="D12025" t="s">
        <v>5</v>
      </c>
      <c r="F12025" t="str" cm="1">
        <f t="array" ref="F12025">CategorizeComment(E12025)</f>
        <v>Other</v>
      </c>
      <c r="G12025" t="str" cm="1">
        <f t="array" ref="G12025">SubCategorizeComment(E12025)</f>
        <v>Other</v>
      </c>
    </row>
    <row r="12026" spans="1:7" x14ac:dyDescent="0.25">
      <c r="A12026">
        <v>114225</v>
      </c>
      <c r="B12026" t="s">
        <v>4</v>
      </c>
      <c r="C12026">
        <v>3</v>
      </c>
      <c r="D12026" t="s">
        <v>5</v>
      </c>
      <c r="F12026" t="str" cm="1">
        <f t="array" ref="F12026">CategorizeComment(E12026)</f>
        <v>Other</v>
      </c>
      <c r="G12026" t="str" cm="1">
        <f t="array" ref="G12026">SubCategorizeComment(E12026)</f>
        <v>Other</v>
      </c>
    </row>
    <row r="12027" spans="1:7" x14ac:dyDescent="0.25">
      <c r="A12027">
        <v>114227</v>
      </c>
      <c r="B12027" t="s">
        <v>4</v>
      </c>
      <c r="C12027">
        <v>3</v>
      </c>
      <c r="D12027" t="s">
        <v>5</v>
      </c>
      <c r="F12027" t="str" cm="1">
        <f t="array" ref="F12027">CategorizeComment(E12027)</f>
        <v>Other</v>
      </c>
      <c r="G12027" t="str" cm="1">
        <f t="array" ref="G12027">SubCategorizeComment(E12027)</f>
        <v>Other</v>
      </c>
    </row>
    <row r="12028" spans="1:7" x14ac:dyDescent="0.25">
      <c r="A12028">
        <v>114248</v>
      </c>
      <c r="B12028" t="s">
        <v>4</v>
      </c>
      <c r="C12028">
        <v>4</v>
      </c>
      <c r="D12028" t="s">
        <v>5</v>
      </c>
      <c r="F12028" t="str" cm="1">
        <f t="array" ref="F12028">CategorizeComment(E12028)</f>
        <v>Other</v>
      </c>
      <c r="G12028" t="str" cm="1">
        <f t="array" ref="G12028">SubCategorizeComment(E12028)</f>
        <v>Other</v>
      </c>
    </row>
    <row r="12029" spans="1:7" x14ac:dyDescent="0.25">
      <c r="A12029">
        <v>114250</v>
      </c>
      <c r="B12029" t="s">
        <v>4</v>
      </c>
      <c r="C12029">
        <v>4</v>
      </c>
      <c r="D12029" t="s">
        <v>5</v>
      </c>
      <c r="F12029" t="str" cm="1">
        <f t="array" ref="F12029">CategorizeComment(E12029)</f>
        <v>Other</v>
      </c>
      <c r="G12029" t="str" cm="1">
        <f t="array" ref="G12029">SubCategorizeComment(E12029)</f>
        <v>Other</v>
      </c>
    </row>
    <row r="12030" spans="1:7" x14ac:dyDescent="0.25">
      <c r="A12030">
        <v>114263</v>
      </c>
      <c r="B12030" t="s">
        <v>4</v>
      </c>
      <c r="C12030">
        <v>3</v>
      </c>
      <c r="D12030" t="s">
        <v>5</v>
      </c>
      <c r="F12030" t="str" cm="1">
        <f t="array" ref="F12030">CategorizeComment(E12030)</f>
        <v>Other</v>
      </c>
      <c r="G12030" t="str" cm="1">
        <f t="array" ref="G12030">SubCategorizeComment(E12030)</f>
        <v>Other</v>
      </c>
    </row>
    <row r="12031" spans="1:7" x14ac:dyDescent="0.25">
      <c r="A12031">
        <v>114268</v>
      </c>
      <c r="B12031" t="s">
        <v>4</v>
      </c>
      <c r="C12031">
        <v>4</v>
      </c>
      <c r="D12031" t="s">
        <v>5</v>
      </c>
      <c r="F12031" t="str" cm="1">
        <f t="array" ref="F12031">CategorizeComment(E12031)</f>
        <v>Other</v>
      </c>
      <c r="G12031" t="str" cm="1">
        <f t="array" ref="G12031">SubCategorizeComment(E12031)</f>
        <v>Other</v>
      </c>
    </row>
    <row r="12032" spans="1:7" x14ac:dyDescent="0.25">
      <c r="A12032">
        <v>114270</v>
      </c>
      <c r="B12032" t="s">
        <v>4</v>
      </c>
      <c r="C12032">
        <v>3</v>
      </c>
      <c r="D12032" t="s">
        <v>5</v>
      </c>
      <c r="F12032" t="str" cm="1">
        <f t="array" ref="F12032">CategorizeComment(E12032)</f>
        <v>Other</v>
      </c>
      <c r="G12032" t="str" cm="1">
        <f t="array" ref="G12032">SubCategorizeComment(E12032)</f>
        <v>Other</v>
      </c>
    </row>
    <row r="12033" spans="1:7" x14ac:dyDescent="0.25">
      <c r="A12033">
        <v>114274</v>
      </c>
      <c r="B12033" t="s">
        <v>4</v>
      </c>
      <c r="C12033">
        <v>3</v>
      </c>
      <c r="D12033" t="s">
        <v>5</v>
      </c>
      <c r="F12033" t="str" cm="1">
        <f t="array" ref="F12033">CategorizeComment(E12033)</f>
        <v>Other</v>
      </c>
      <c r="G12033" t="str" cm="1">
        <f t="array" ref="G12033">SubCategorizeComment(E12033)</f>
        <v>Other</v>
      </c>
    </row>
    <row r="12034" spans="1:7" x14ac:dyDescent="0.25">
      <c r="A12034">
        <v>114283</v>
      </c>
      <c r="B12034" t="s">
        <v>4</v>
      </c>
      <c r="C12034">
        <v>3</v>
      </c>
      <c r="D12034" t="s">
        <v>5</v>
      </c>
      <c r="F12034" t="str" cm="1">
        <f t="array" ref="F12034">CategorizeComment(E12034)</f>
        <v>Other</v>
      </c>
      <c r="G12034" t="str" cm="1">
        <f t="array" ref="G12034">SubCategorizeComment(E12034)</f>
        <v>Other</v>
      </c>
    </row>
    <row r="12035" spans="1:7" x14ac:dyDescent="0.25">
      <c r="A12035">
        <v>114294</v>
      </c>
      <c r="B12035" t="s">
        <v>4</v>
      </c>
      <c r="C12035">
        <v>4</v>
      </c>
      <c r="D12035" t="s">
        <v>5</v>
      </c>
      <c r="F12035" t="str" cm="1">
        <f t="array" ref="F12035">CategorizeComment(E12035)</f>
        <v>Other</v>
      </c>
      <c r="G12035" t="str" cm="1">
        <f t="array" ref="G12035">SubCategorizeComment(E12035)</f>
        <v>Other</v>
      </c>
    </row>
    <row r="12036" spans="1:7" x14ac:dyDescent="0.25">
      <c r="A12036">
        <v>114297</v>
      </c>
      <c r="B12036" t="s">
        <v>4</v>
      </c>
      <c r="C12036">
        <v>3</v>
      </c>
      <c r="D12036" t="s">
        <v>5</v>
      </c>
      <c r="F12036" t="str" cm="1">
        <f t="array" ref="F12036">CategorizeComment(E12036)</f>
        <v>Other</v>
      </c>
      <c r="G12036" t="str" cm="1">
        <f t="array" ref="G12036">SubCategorizeComment(E12036)</f>
        <v>Other</v>
      </c>
    </row>
    <row r="12037" spans="1:7" x14ac:dyDescent="0.25">
      <c r="A12037">
        <v>114301</v>
      </c>
      <c r="B12037" t="s">
        <v>4</v>
      </c>
      <c r="C12037">
        <v>4</v>
      </c>
      <c r="D12037" t="s">
        <v>5</v>
      </c>
      <c r="F12037" t="str" cm="1">
        <f t="array" ref="F12037">CategorizeComment(E12037)</f>
        <v>Other</v>
      </c>
      <c r="G12037" t="str" cm="1">
        <f t="array" ref="G12037">SubCategorizeComment(E12037)</f>
        <v>Other</v>
      </c>
    </row>
    <row r="12038" spans="1:7" x14ac:dyDescent="0.25">
      <c r="A12038">
        <v>114307</v>
      </c>
      <c r="B12038" t="s">
        <v>4</v>
      </c>
      <c r="C12038">
        <v>3</v>
      </c>
      <c r="D12038" t="s">
        <v>5</v>
      </c>
      <c r="F12038" t="str" cm="1">
        <f t="array" ref="F12038">CategorizeComment(E12038)</f>
        <v>Other</v>
      </c>
      <c r="G12038" t="str" cm="1">
        <f t="array" ref="G12038">SubCategorizeComment(E12038)</f>
        <v>Other</v>
      </c>
    </row>
    <row r="12039" spans="1:7" x14ac:dyDescent="0.25">
      <c r="A12039">
        <v>114321</v>
      </c>
      <c r="B12039" t="s">
        <v>4</v>
      </c>
      <c r="C12039">
        <v>4</v>
      </c>
      <c r="D12039" t="s">
        <v>5</v>
      </c>
      <c r="F12039" t="str" cm="1">
        <f t="array" ref="F12039">CategorizeComment(E12039)</f>
        <v>Other</v>
      </c>
      <c r="G12039" t="str" cm="1">
        <f t="array" ref="G12039">SubCategorizeComment(E12039)</f>
        <v>Other</v>
      </c>
    </row>
    <row r="12040" spans="1:7" x14ac:dyDescent="0.25">
      <c r="A12040">
        <v>114356</v>
      </c>
      <c r="B12040" t="s">
        <v>4</v>
      </c>
      <c r="C12040">
        <v>3</v>
      </c>
      <c r="D12040" t="s">
        <v>5</v>
      </c>
      <c r="F12040" t="str" cm="1">
        <f t="array" ref="F12040">CategorizeComment(E12040)</f>
        <v>Other</v>
      </c>
      <c r="G12040" t="str" cm="1">
        <f t="array" ref="G12040">SubCategorizeComment(E12040)</f>
        <v>Other</v>
      </c>
    </row>
    <row r="12041" spans="1:7" x14ac:dyDescent="0.25">
      <c r="A12041">
        <v>114358</v>
      </c>
      <c r="B12041" t="s">
        <v>4</v>
      </c>
      <c r="C12041">
        <v>4</v>
      </c>
      <c r="D12041" t="s">
        <v>5</v>
      </c>
      <c r="F12041" t="str" cm="1">
        <f t="array" ref="F12041">CategorizeComment(E12041)</f>
        <v>Other</v>
      </c>
      <c r="G12041" t="str" cm="1">
        <f t="array" ref="G12041">SubCategorizeComment(E12041)</f>
        <v>Other</v>
      </c>
    </row>
    <row r="12042" spans="1:7" x14ac:dyDescent="0.25">
      <c r="A12042">
        <v>114370</v>
      </c>
      <c r="B12042" t="s">
        <v>4</v>
      </c>
      <c r="C12042">
        <v>3</v>
      </c>
      <c r="D12042" t="s">
        <v>5</v>
      </c>
      <c r="F12042" t="str" cm="1">
        <f t="array" ref="F12042">CategorizeComment(E12042)</f>
        <v>Other</v>
      </c>
      <c r="G12042" t="str" cm="1">
        <f t="array" ref="G12042">SubCategorizeComment(E12042)</f>
        <v>Other</v>
      </c>
    </row>
    <row r="12043" spans="1:7" x14ac:dyDescent="0.25">
      <c r="A12043">
        <v>114374</v>
      </c>
      <c r="B12043" t="s">
        <v>4</v>
      </c>
      <c r="C12043">
        <v>3</v>
      </c>
      <c r="D12043" t="s">
        <v>5</v>
      </c>
      <c r="F12043" t="str" cm="1">
        <f t="array" ref="F12043">CategorizeComment(E12043)</f>
        <v>Other</v>
      </c>
      <c r="G12043" t="str" cm="1">
        <f t="array" ref="G12043">SubCategorizeComment(E12043)</f>
        <v>Other</v>
      </c>
    </row>
    <row r="12044" spans="1:7" x14ac:dyDescent="0.25">
      <c r="A12044">
        <v>114384</v>
      </c>
      <c r="B12044" t="s">
        <v>4</v>
      </c>
      <c r="C12044">
        <v>3</v>
      </c>
      <c r="D12044" t="s">
        <v>5</v>
      </c>
      <c r="F12044" t="str" cm="1">
        <f t="array" ref="F12044">CategorizeComment(E12044)</f>
        <v>Other</v>
      </c>
      <c r="G12044" t="str" cm="1">
        <f t="array" ref="G12044">SubCategorizeComment(E12044)</f>
        <v>Other</v>
      </c>
    </row>
    <row r="12045" spans="1:7" x14ac:dyDescent="0.25">
      <c r="A12045">
        <v>114459</v>
      </c>
      <c r="B12045" t="s">
        <v>4</v>
      </c>
      <c r="C12045">
        <v>3</v>
      </c>
      <c r="D12045" t="s">
        <v>5</v>
      </c>
      <c r="F12045" t="str" cm="1">
        <f t="array" ref="F12045">CategorizeComment(E12045)</f>
        <v>Other</v>
      </c>
      <c r="G12045" t="str" cm="1">
        <f t="array" ref="G12045">SubCategorizeComment(E12045)</f>
        <v>Other</v>
      </c>
    </row>
    <row r="12046" spans="1:7" x14ac:dyDescent="0.25">
      <c r="A12046">
        <v>114467</v>
      </c>
      <c r="B12046" t="s">
        <v>4</v>
      </c>
      <c r="C12046">
        <v>3</v>
      </c>
      <c r="D12046" t="s">
        <v>5</v>
      </c>
      <c r="F12046" t="str" cm="1">
        <f t="array" ref="F12046">CategorizeComment(E12046)</f>
        <v>Other</v>
      </c>
      <c r="G12046" t="str" cm="1">
        <f t="array" ref="G12046">SubCategorizeComment(E12046)</f>
        <v>Other</v>
      </c>
    </row>
    <row r="12047" spans="1:7" x14ac:dyDescent="0.25">
      <c r="A12047">
        <v>114469</v>
      </c>
      <c r="B12047" t="s">
        <v>4</v>
      </c>
      <c r="C12047">
        <v>1</v>
      </c>
      <c r="D12047" t="s">
        <v>5</v>
      </c>
      <c r="F12047" t="str" cm="1">
        <f t="array" ref="F12047">CategorizeComment(E12047)</f>
        <v>Other</v>
      </c>
      <c r="G12047" t="str" cm="1">
        <f t="array" ref="G12047">SubCategorizeComment(E12047)</f>
        <v>Other</v>
      </c>
    </row>
    <row r="12048" spans="1:7" x14ac:dyDescent="0.25">
      <c r="A12048">
        <v>114476</v>
      </c>
      <c r="B12048" t="s">
        <v>4</v>
      </c>
      <c r="C12048">
        <v>3</v>
      </c>
      <c r="D12048" t="s">
        <v>5</v>
      </c>
      <c r="F12048" t="str" cm="1">
        <f t="array" ref="F12048">CategorizeComment(E12048)</f>
        <v>Other</v>
      </c>
      <c r="G12048" t="str" cm="1">
        <f t="array" ref="G12048">SubCategorizeComment(E12048)</f>
        <v>Other</v>
      </c>
    </row>
    <row r="12049" spans="1:7" x14ac:dyDescent="0.25">
      <c r="A12049">
        <v>114479</v>
      </c>
      <c r="B12049" t="s">
        <v>4</v>
      </c>
      <c r="C12049">
        <v>4</v>
      </c>
      <c r="D12049" t="s">
        <v>5</v>
      </c>
      <c r="F12049" t="str" cm="1">
        <f t="array" ref="F12049">CategorizeComment(E12049)</f>
        <v>Other</v>
      </c>
      <c r="G12049" t="str" cm="1">
        <f t="array" ref="G12049">SubCategorizeComment(E12049)</f>
        <v>Other</v>
      </c>
    </row>
    <row r="12050" spans="1:7" x14ac:dyDescent="0.25">
      <c r="A12050">
        <v>114481</v>
      </c>
      <c r="B12050" t="s">
        <v>4</v>
      </c>
      <c r="C12050">
        <v>3</v>
      </c>
      <c r="D12050" t="s">
        <v>5</v>
      </c>
      <c r="F12050" t="str" cm="1">
        <f t="array" ref="F12050">CategorizeComment(E12050)</f>
        <v>Other</v>
      </c>
      <c r="G12050" t="str" cm="1">
        <f t="array" ref="G12050">SubCategorizeComment(E12050)</f>
        <v>Other</v>
      </c>
    </row>
    <row r="12051" spans="1:7" x14ac:dyDescent="0.25">
      <c r="A12051">
        <v>114483</v>
      </c>
      <c r="B12051" t="s">
        <v>4</v>
      </c>
      <c r="C12051">
        <v>4</v>
      </c>
      <c r="D12051" t="s">
        <v>5</v>
      </c>
      <c r="F12051" t="str" cm="1">
        <f t="array" ref="F12051">CategorizeComment(E12051)</f>
        <v>Other</v>
      </c>
      <c r="G12051" t="str" cm="1">
        <f t="array" ref="G12051">SubCategorizeComment(E12051)</f>
        <v>Other</v>
      </c>
    </row>
    <row r="12052" spans="1:7" x14ac:dyDescent="0.25">
      <c r="A12052">
        <v>114491</v>
      </c>
      <c r="B12052" t="s">
        <v>4</v>
      </c>
      <c r="C12052">
        <v>4</v>
      </c>
      <c r="D12052" t="s">
        <v>5</v>
      </c>
      <c r="F12052" t="str" cm="1">
        <f t="array" ref="F12052">CategorizeComment(E12052)</f>
        <v>Other</v>
      </c>
      <c r="G12052" t="str" cm="1">
        <f t="array" ref="G12052">SubCategorizeComment(E12052)</f>
        <v>Other</v>
      </c>
    </row>
    <row r="12053" spans="1:7" x14ac:dyDescent="0.25">
      <c r="A12053">
        <v>114492</v>
      </c>
      <c r="B12053" t="s">
        <v>4</v>
      </c>
      <c r="C12053">
        <v>3</v>
      </c>
      <c r="D12053" t="s">
        <v>5</v>
      </c>
      <c r="F12053" t="str" cm="1">
        <f t="array" ref="F12053">CategorizeComment(E12053)</f>
        <v>Other</v>
      </c>
      <c r="G12053" t="str" cm="1">
        <f t="array" ref="G12053">SubCategorizeComment(E12053)</f>
        <v>Other</v>
      </c>
    </row>
    <row r="12054" spans="1:7" x14ac:dyDescent="0.25">
      <c r="A12054">
        <v>114500</v>
      </c>
      <c r="B12054" t="s">
        <v>4</v>
      </c>
      <c r="C12054">
        <v>3</v>
      </c>
      <c r="D12054" t="s">
        <v>5</v>
      </c>
      <c r="F12054" t="str" cm="1">
        <f t="array" ref="F12054">CategorizeComment(E12054)</f>
        <v>Other</v>
      </c>
      <c r="G12054" t="str" cm="1">
        <f t="array" ref="G12054">SubCategorizeComment(E12054)</f>
        <v>Other</v>
      </c>
    </row>
    <row r="12055" spans="1:7" x14ac:dyDescent="0.25">
      <c r="A12055">
        <v>114502</v>
      </c>
      <c r="B12055" t="s">
        <v>4</v>
      </c>
      <c r="C12055">
        <v>4</v>
      </c>
      <c r="D12055" t="s">
        <v>5</v>
      </c>
      <c r="F12055" t="str" cm="1">
        <f t="array" ref="F12055">CategorizeComment(E12055)</f>
        <v>Other</v>
      </c>
      <c r="G12055" t="str" cm="1">
        <f t="array" ref="G12055">SubCategorizeComment(E12055)</f>
        <v>Other</v>
      </c>
    </row>
    <row r="12056" spans="1:7" x14ac:dyDescent="0.25">
      <c r="A12056">
        <v>114523</v>
      </c>
      <c r="B12056" t="s">
        <v>4</v>
      </c>
      <c r="C12056">
        <v>4</v>
      </c>
      <c r="D12056" t="s">
        <v>5</v>
      </c>
      <c r="F12056" t="str" cm="1">
        <f t="array" ref="F12056">CategorizeComment(E12056)</f>
        <v>Other</v>
      </c>
      <c r="G12056" t="str" cm="1">
        <f t="array" ref="G12056">SubCategorizeComment(E12056)</f>
        <v>Other</v>
      </c>
    </row>
    <row r="12057" spans="1:7" x14ac:dyDescent="0.25">
      <c r="A12057">
        <v>114535</v>
      </c>
      <c r="B12057" t="s">
        <v>4</v>
      </c>
      <c r="C12057">
        <v>4</v>
      </c>
      <c r="D12057" t="s">
        <v>5</v>
      </c>
      <c r="F12057" t="str" cm="1">
        <f t="array" ref="F12057">CategorizeComment(E12057)</f>
        <v>Other</v>
      </c>
      <c r="G12057" t="str" cm="1">
        <f t="array" ref="G12057">SubCategorizeComment(E12057)</f>
        <v>Other</v>
      </c>
    </row>
    <row r="12058" spans="1:7" x14ac:dyDescent="0.25">
      <c r="A12058">
        <v>114537</v>
      </c>
      <c r="B12058" t="s">
        <v>4</v>
      </c>
      <c r="C12058">
        <v>3</v>
      </c>
      <c r="D12058" t="s">
        <v>5</v>
      </c>
      <c r="F12058" t="str" cm="1">
        <f t="array" ref="F12058">CategorizeComment(E12058)</f>
        <v>Other</v>
      </c>
      <c r="G12058" t="str" cm="1">
        <f t="array" ref="G12058">SubCategorizeComment(E12058)</f>
        <v>Other</v>
      </c>
    </row>
    <row r="12059" spans="1:7" x14ac:dyDescent="0.25">
      <c r="A12059">
        <v>114570</v>
      </c>
      <c r="B12059" t="s">
        <v>4</v>
      </c>
      <c r="C12059">
        <v>4</v>
      </c>
      <c r="D12059" t="s">
        <v>5</v>
      </c>
      <c r="F12059" t="str" cm="1">
        <f t="array" ref="F12059">CategorizeComment(E12059)</f>
        <v>Other</v>
      </c>
      <c r="G12059" t="str" cm="1">
        <f t="array" ref="G12059">SubCategorizeComment(E12059)</f>
        <v>Other</v>
      </c>
    </row>
    <row r="12060" spans="1:7" x14ac:dyDescent="0.25">
      <c r="A12060">
        <v>114571</v>
      </c>
      <c r="B12060" t="s">
        <v>4</v>
      </c>
      <c r="C12060">
        <v>3</v>
      </c>
      <c r="D12060" t="s">
        <v>5</v>
      </c>
      <c r="F12060" t="str" cm="1">
        <f t="array" ref="F12060">CategorizeComment(E12060)</f>
        <v>Other</v>
      </c>
      <c r="G12060" t="str" cm="1">
        <f t="array" ref="G12060">SubCategorizeComment(E12060)</f>
        <v>Other</v>
      </c>
    </row>
    <row r="12061" spans="1:7" x14ac:dyDescent="0.25">
      <c r="A12061">
        <v>114583</v>
      </c>
      <c r="B12061" t="s">
        <v>4</v>
      </c>
      <c r="C12061">
        <v>3</v>
      </c>
      <c r="D12061" t="s">
        <v>5</v>
      </c>
      <c r="F12061" t="str" cm="1">
        <f t="array" ref="F12061">CategorizeComment(E12061)</f>
        <v>Other</v>
      </c>
      <c r="G12061" t="str" cm="1">
        <f t="array" ref="G12061">SubCategorizeComment(E12061)</f>
        <v>Other</v>
      </c>
    </row>
    <row r="12062" spans="1:7" x14ac:dyDescent="0.25">
      <c r="A12062">
        <v>114639</v>
      </c>
      <c r="B12062" t="s">
        <v>4</v>
      </c>
      <c r="C12062">
        <v>3</v>
      </c>
      <c r="D12062" t="s">
        <v>5</v>
      </c>
      <c r="F12062" t="str" cm="1">
        <f t="array" ref="F12062">CategorizeComment(E12062)</f>
        <v>Other</v>
      </c>
      <c r="G12062" t="str" cm="1">
        <f t="array" ref="G12062">SubCategorizeComment(E12062)</f>
        <v>Other</v>
      </c>
    </row>
    <row r="12063" spans="1:7" x14ac:dyDescent="0.25">
      <c r="A12063">
        <v>114705</v>
      </c>
      <c r="B12063" t="s">
        <v>4</v>
      </c>
      <c r="C12063">
        <v>4</v>
      </c>
      <c r="D12063" t="s">
        <v>5</v>
      </c>
      <c r="F12063" t="str" cm="1">
        <f t="array" ref="F12063">CategorizeComment(E12063)</f>
        <v>Other</v>
      </c>
      <c r="G12063" t="str" cm="1">
        <f t="array" ref="G12063">SubCategorizeComment(E12063)</f>
        <v>Other</v>
      </c>
    </row>
    <row r="12064" spans="1:7" x14ac:dyDescent="0.25">
      <c r="A12064">
        <v>114778</v>
      </c>
      <c r="B12064" t="s">
        <v>4</v>
      </c>
      <c r="C12064">
        <v>3</v>
      </c>
      <c r="D12064" t="s">
        <v>5</v>
      </c>
      <c r="F12064" t="str" cm="1">
        <f t="array" ref="F12064">CategorizeComment(E12064)</f>
        <v>Other</v>
      </c>
      <c r="G12064" t="str" cm="1">
        <f t="array" ref="G12064">SubCategorizeComment(E12064)</f>
        <v>Other</v>
      </c>
    </row>
    <row r="12065" spans="1:7" x14ac:dyDescent="0.25">
      <c r="A12065">
        <v>114866</v>
      </c>
      <c r="B12065" t="s">
        <v>4</v>
      </c>
      <c r="C12065">
        <v>4</v>
      </c>
      <c r="D12065" t="s">
        <v>5</v>
      </c>
      <c r="F12065" t="str" cm="1">
        <f t="array" ref="F12065">CategorizeComment(E12065)</f>
        <v>Other</v>
      </c>
      <c r="G12065" t="str" cm="1">
        <f t="array" ref="G12065">SubCategorizeComment(E12065)</f>
        <v>Other</v>
      </c>
    </row>
    <row r="12066" spans="1:7" x14ac:dyDescent="0.25">
      <c r="A12066">
        <v>114934</v>
      </c>
      <c r="B12066" t="s">
        <v>4</v>
      </c>
      <c r="C12066">
        <v>4</v>
      </c>
      <c r="D12066" t="s">
        <v>5</v>
      </c>
      <c r="F12066" t="str" cm="1">
        <f t="array" ref="F12066">CategorizeComment(E12066)</f>
        <v>Other</v>
      </c>
      <c r="G12066" t="str" cm="1">
        <f t="array" ref="G12066">SubCategorizeComment(E12066)</f>
        <v>Other</v>
      </c>
    </row>
    <row r="12067" spans="1:7" x14ac:dyDescent="0.25">
      <c r="A12067">
        <v>114945</v>
      </c>
      <c r="B12067" t="s">
        <v>4</v>
      </c>
      <c r="C12067">
        <v>4</v>
      </c>
      <c r="D12067" t="s">
        <v>5</v>
      </c>
      <c r="F12067" t="str" cm="1">
        <f t="array" ref="F12067">CategorizeComment(E12067)</f>
        <v>Other</v>
      </c>
      <c r="G12067" t="str" cm="1">
        <f t="array" ref="G12067">SubCategorizeComment(E12067)</f>
        <v>Other</v>
      </c>
    </row>
    <row r="12068" spans="1:7" x14ac:dyDescent="0.25">
      <c r="A12068">
        <v>114985</v>
      </c>
      <c r="B12068" t="s">
        <v>4</v>
      </c>
      <c r="C12068">
        <v>3</v>
      </c>
      <c r="D12068" t="s">
        <v>5</v>
      </c>
      <c r="F12068" t="str" cm="1">
        <f t="array" ref="F12068">CategorizeComment(E12068)</f>
        <v>Other</v>
      </c>
      <c r="G12068" t="str" cm="1">
        <f t="array" ref="G12068">SubCategorizeComment(E12068)</f>
        <v>Other</v>
      </c>
    </row>
    <row r="12069" spans="1:7" x14ac:dyDescent="0.25">
      <c r="A12069">
        <v>114987</v>
      </c>
      <c r="B12069" t="s">
        <v>4</v>
      </c>
      <c r="C12069">
        <v>4</v>
      </c>
      <c r="D12069" t="s">
        <v>5</v>
      </c>
      <c r="F12069" t="str" cm="1">
        <f t="array" ref="F12069">CategorizeComment(E12069)</f>
        <v>Other</v>
      </c>
      <c r="G12069" t="str" cm="1">
        <f t="array" ref="G12069">SubCategorizeComment(E12069)</f>
        <v>Other</v>
      </c>
    </row>
    <row r="12070" spans="1:7" x14ac:dyDescent="0.25">
      <c r="A12070">
        <v>114993</v>
      </c>
      <c r="B12070" t="s">
        <v>4</v>
      </c>
      <c r="C12070">
        <v>3</v>
      </c>
      <c r="D12070" t="s">
        <v>5</v>
      </c>
      <c r="F12070" t="str" cm="1">
        <f t="array" ref="F12070">CategorizeComment(E12070)</f>
        <v>Other</v>
      </c>
      <c r="G12070" t="str" cm="1">
        <f t="array" ref="G12070">SubCategorizeComment(E12070)</f>
        <v>Other</v>
      </c>
    </row>
    <row r="12071" spans="1:7" x14ac:dyDescent="0.25">
      <c r="A12071">
        <v>115014</v>
      </c>
      <c r="B12071" t="s">
        <v>4</v>
      </c>
      <c r="C12071">
        <v>3</v>
      </c>
      <c r="D12071" t="s">
        <v>5</v>
      </c>
      <c r="F12071" t="str" cm="1">
        <f t="array" ref="F12071">CategorizeComment(E12071)</f>
        <v>Other</v>
      </c>
      <c r="G12071" t="str" cm="1">
        <f t="array" ref="G12071">SubCategorizeComment(E12071)</f>
        <v>Other</v>
      </c>
    </row>
    <row r="12072" spans="1:7" x14ac:dyDescent="0.25">
      <c r="A12072">
        <v>115040</v>
      </c>
      <c r="B12072" t="s">
        <v>4</v>
      </c>
      <c r="C12072">
        <v>3</v>
      </c>
      <c r="D12072" t="s">
        <v>5</v>
      </c>
      <c r="F12072" t="str" cm="1">
        <f t="array" ref="F12072">CategorizeComment(E12072)</f>
        <v>Other</v>
      </c>
      <c r="G12072" t="str" cm="1">
        <f t="array" ref="G12072">SubCategorizeComment(E12072)</f>
        <v>Other</v>
      </c>
    </row>
    <row r="12073" spans="1:7" x14ac:dyDescent="0.25">
      <c r="A12073">
        <v>115068</v>
      </c>
      <c r="B12073" t="s">
        <v>4</v>
      </c>
      <c r="C12073">
        <v>4</v>
      </c>
      <c r="D12073" t="s">
        <v>5</v>
      </c>
      <c r="F12073" t="str" cm="1">
        <f t="array" ref="F12073">CategorizeComment(E12073)</f>
        <v>Other</v>
      </c>
      <c r="G12073" t="str" cm="1">
        <f t="array" ref="G12073">SubCategorizeComment(E12073)</f>
        <v>Other</v>
      </c>
    </row>
    <row r="12074" spans="1:7" x14ac:dyDescent="0.25">
      <c r="A12074">
        <v>115079</v>
      </c>
      <c r="B12074" t="s">
        <v>4</v>
      </c>
      <c r="C12074">
        <v>4</v>
      </c>
      <c r="D12074" t="s">
        <v>5</v>
      </c>
      <c r="F12074" t="str" cm="1">
        <f t="array" ref="F12074">CategorizeComment(E12074)</f>
        <v>Other</v>
      </c>
      <c r="G12074" t="str" cm="1">
        <f t="array" ref="G12074">SubCategorizeComment(E12074)</f>
        <v>Other</v>
      </c>
    </row>
    <row r="12075" spans="1:7" x14ac:dyDescent="0.25">
      <c r="A12075">
        <v>115104</v>
      </c>
      <c r="B12075" t="s">
        <v>4</v>
      </c>
      <c r="C12075">
        <v>4</v>
      </c>
      <c r="D12075" t="s">
        <v>5</v>
      </c>
      <c r="F12075" t="str" cm="1">
        <f t="array" ref="F12075">CategorizeComment(E12075)</f>
        <v>Other</v>
      </c>
      <c r="G12075" t="str" cm="1">
        <f t="array" ref="G12075">SubCategorizeComment(E12075)</f>
        <v>Other</v>
      </c>
    </row>
    <row r="12076" spans="1:7" x14ac:dyDescent="0.25">
      <c r="A12076">
        <v>115122</v>
      </c>
      <c r="B12076" t="s">
        <v>4</v>
      </c>
      <c r="C12076">
        <v>4</v>
      </c>
      <c r="D12076" t="s">
        <v>5</v>
      </c>
      <c r="F12076" t="str" cm="1">
        <f t="array" ref="F12076">CategorizeComment(E12076)</f>
        <v>Other</v>
      </c>
      <c r="G12076" t="str" cm="1">
        <f t="array" ref="G12076">SubCategorizeComment(E12076)</f>
        <v>Other</v>
      </c>
    </row>
    <row r="12077" spans="1:7" x14ac:dyDescent="0.25">
      <c r="A12077">
        <v>115139</v>
      </c>
      <c r="B12077" t="s">
        <v>4</v>
      </c>
      <c r="C12077">
        <v>4</v>
      </c>
      <c r="D12077" t="s">
        <v>5</v>
      </c>
      <c r="F12077" t="str" cm="1">
        <f t="array" ref="F12077">CategorizeComment(E12077)</f>
        <v>Other</v>
      </c>
      <c r="G12077" t="str" cm="1">
        <f t="array" ref="G12077">SubCategorizeComment(E12077)</f>
        <v>Other</v>
      </c>
    </row>
    <row r="12078" spans="1:7" x14ac:dyDescent="0.25">
      <c r="A12078">
        <v>115148</v>
      </c>
      <c r="B12078" t="s">
        <v>4</v>
      </c>
      <c r="C12078">
        <v>4</v>
      </c>
      <c r="D12078" t="s">
        <v>5</v>
      </c>
      <c r="F12078" t="str" cm="1">
        <f t="array" ref="F12078">CategorizeComment(E12078)</f>
        <v>Other</v>
      </c>
      <c r="G12078" t="str" cm="1">
        <f t="array" ref="G12078">SubCategorizeComment(E12078)</f>
        <v>Other</v>
      </c>
    </row>
    <row r="12079" spans="1:7" x14ac:dyDescent="0.25">
      <c r="A12079">
        <v>115160</v>
      </c>
      <c r="B12079" t="s">
        <v>4</v>
      </c>
      <c r="C12079">
        <v>3</v>
      </c>
      <c r="D12079" t="s">
        <v>5</v>
      </c>
      <c r="F12079" t="str" cm="1">
        <f t="array" ref="F12079">CategorizeComment(E12079)</f>
        <v>Other</v>
      </c>
      <c r="G12079" t="str" cm="1">
        <f t="array" ref="G12079">SubCategorizeComment(E12079)</f>
        <v>Other</v>
      </c>
    </row>
    <row r="12080" spans="1:7" x14ac:dyDescent="0.25">
      <c r="A12080">
        <v>115178</v>
      </c>
      <c r="B12080" t="s">
        <v>4</v>
      </c>
      <c r="C12080">
        <v>4</v>
      </c>
      <c r="D12080" t="s">
        <v>5</v>
      </c>
      <c r="F12080" t="str" cm="1">
        <f t="array" ref="F12080">CategorizeComment(E12080)</f>
        <v>Other</v>
      </c>
      <c r="G12080" t="str" cm="1">
        <f t="array" ref="G12080">SubCategorizeComment(E12080)</f>
        <v>Other</v>
      </c>
    </row>
    <row r="12081" spans="1:7" x14ac:dyDescent="0.25">
      <c r="A12081">
        <v>115183</v>
      </c>
      <c r="B12081" t="s">
        <v>4</v>
      </c>
      <c r="C12081">
        <v>4</v>
      </c>
      <c r="D12081" t="s">
        <v>5</v>
      </c>
      <c r="F12081" t="str" cm="1">
        <f t="array" ref="F12081">CategorizeComment(E12081)</f>
        <v>Other</v>
      </c>
      <c r="G12081" t="str" cm="1">
        <f t="array" ref="G12081">SubCategorizeComment(E12081)</f>
        <v>Other</v>
      </c>
    </row>
    <row r="12082" spans="1:7" x14ac:dyDescent="0.25">
      <c r="A12082">
        <v>115186</v>
      </c>
      <c r="B12082" t="s">
        <v>4</v>
      </c>
      <c r="C12082">
        <v>3</v>
      </c>
      <c r="D12082" t="s">
        <v>5</v>
      </c>
      <c r="F12082" t="str" cm="1">
        <f t="array" ref="F12082">CategorizeComment(E12082)</f>
        <v>Other</v>
      </c>
      <c r="G12082" t="str" cm="1">
        <f t="array" ref="G12082">SubCategorizeComment(E12082)</f>
        <v>Other</v>
      </c>
    </row>
    <row r="12083" spans="1:7" x14ac:dyDescent="0.25">
      <c r="A12083">
        <v>115211</v>
      </c>
      <c r="B12083" t="s">
        <v>4</v>
      </c>
      <c r="C12083">
        <v>4</v>
      </c>
      <c r="D12083" t="s">
        <v>5</v>
      </c>
      <c r="F12083" t="str" cm="1">
        <f t="array" ref="F12083">CategorizeComment(E12083)</f>
        <v>Other</v>
      </c>
      <c r="G12083" t="str" cm="1">
        <f t="array" ref="G12083">SubCategorizeComment(E12083)</f>
        <v>Other</v>
      </c>
    </row>
    <row r="12084" spans="1:7" x14ac:dyDescent="0.25">
      <c r="A12084">
        <v>115225</v>
      </c>
      <c r="B12084" t="s">
        <v>4</v>
      </c>
      <c r="C12084">
        <v>3</v>
      </c>
      <c r="D12084" t="s">
        <v>5</v>
      </c>
      <c r="F12084" t="str" cm="1">
        <f t="array" ref="F12084">CategorizeComment(E12084)</f>
        <v>Other</v>
      </c>
      <c r="G12084" t="str" cm="1">
        <f t="array" ref="G12084">SubCategorizeComment(E12084)</f>
        <v>Other</v>
      </c>
    </row>
    <row r="12085" spans="1:7" x14ac:dyDescent="0.25">
      <c r="A12085">
        <v>115231</v>
      </c>
      <c r="B12085" t="s">
        <v>4</v>
      </c>
      <c r="C12085">
        <v>4</v>
      </c>
      <c r="D12085" t="s">
        <v>5</v>
      </c>
      <c r="F12085" t="str" cm="1">
        <f t="array" ref="F12085">CategorizeComment(E12085)</f>
        <v>Other</v>
      </c>
      <c r="G12085" t="str" cm="1">
        <f t="array" ref="G12085">SubCategorizeComment(E12085)</f>
        <v>Other</v>
      </c>
    </row>
    <row r="12086" spans="1:7" x14ac:dyDescent="0.25">
      <c r="A12086">
        <v>115234</v>
      </c>
      <c r="B12086" t="s">
        <v>4</v>
      </c>
      <c r="C12086">
        <v>4</v>
      </c>
      <c r="D12086" t="s">
        <v>5</v>
      </c>
      <c r="F12086" t="str" cm="1">
        <f t="array" ref="F12086">CategorizeComment(E12086)</f>
        <v>Other</v>
      </c>
      <c r="G12086" t="str" cm="1">
        <f t="array" ref="G12086">SubCategorizeComment(E12086)</f>
        <v>Other</v>
      </c>
    </row>
    <row r="12087" spans="1:7" x14ac:dyDescent="0.25">
      <c r="A12087">
        <v>115249</v>
      </c>
      <c r="B12087" t="s">
        <v>4</v>
      </c>
      <c r="C12087">
        <v>3</v>
      </c>
      <c r="D12087" t="s">
        <v>5</v>
      </c>
      <c r="F12087" t="str" cm="1">
        <f t="array" ref="F12087">CategorizeComment(E12087)</f>
        <v>Other</v>
      </c>
      <c r="G12087" t="str" cm="1">
        <f t="array" ref="G12087">SubCategorizeComment(E12087)</f>
        <v>Other</v>
      </c>
    </row>
    <row r="12088" spans="1:7" x14ac:dyDescent="0.25">
      <c r="A12088">
        <v>115251</v>
      </c>
      <c r="B12088" t="s">
        <v>4</v>
      </c>
      <c r="C12088">
        <v>3</v>
      </c>
      <c r="D12088" t="s">
        <v>5</v>
      </c>
      <c r="F12088" t="str" cm="1">
        <f t="array" ref="F12088">CategorizeComment(E12088)</f>
        <v>Other</v>
      </c>
      <c r="G12088" t="str" cm="1">
        <f t="array" ref="G12088">SubCategorizeComment(E12088)</f>
        <v>Other</v>
      </c>
    </row>
    <row r="12089" spans="1:7" x14ac:dyDescent="0.25">
      <c r="A12089">
        <v>115260</v>
      </c>
      <c r="B12089" t="s">
        <v>4</v>
      </c>
      <c r="C12089">
        <v>3</v>
      </c>
      <c r="D12089" t="s">
        <v>5</v>
      </c>
      <c r="F12089" t="str" cm="1">
        <f t="array" ref="F12089">CategorizeComment(E12089)</f>
        <v>Other</v>
      </c>
      <c r="G12089" t="str" cm="1">
        <f t="array" ref="G12089">SubCategorizeComment(E12089)</f>
        <v>Other</v>
      </c>
    </row>
    <row r="12090" spans="1:7" x14ac:dyDescent="0.25">
      <c r="A12090">
        <v>115276</v>
      </c>
      <c r="B12090" t="s">
        <v>4</v>
      </c>
      <c r="C12090">
        <v>3</v>
      </c>
      <c r="D12090" t="s">
        <v>5</v>
      </c>
      <c r="F12090" t="str" cm="1">
        <f t="array" ref="F12090">CategorizeComment(E12090)</f>
        <v>Other</v>
      </c>
      <c r="G12090" t="str" cm="1">
        <f t="array" ref="G12090">SubCategorizeComment(E12090)</f>
        <v>Other</v>
      </c>
    </row>
    <row r="12091" spans="1:7" x14ac:dyDescent="0.25">
      <c r="A12091">
        <v>115280</v>
      </c>
      <c r="B12091" t="s">
        <v>4</v>
      </c>
      <c r="C12091">
        <v>3</v>
      </c>
      <c r="D12091" t="s">
        <v>5</v>
      </c>
      <c r="F12091" t="str" cm="1">
        <f t="array" ref="F12091">CategorizeComment(E12091)</f>
        <v>Other</v>
      </c>
      <c r="G12091" t="str" cm="1">
        <f t="array" ref="G12091">SubCategorizeComment(E12091)</f>
        <v>Other</v>
      </c>
    </row>
    <row r="12092" spans="1:7" x14ac:dyDescent="0.25">
      <c r="A12092">
        <v>115298</v>
      </c>
      <c r="B12092" t="s">
        <v>4</v>
      </c>
      <c r="C12092">
        <v>3</v>
      </c>
      <c r="D12092" t="s">
        <v>5</v>
      </c>
      <c r="F12092" t="str" cm="1">
        <f t="array" ref="F12092">CategorizeComment(E12092)</f>
        <v>Other</v>
      </c>
      <c r="G12092" t="str" cm="1">
        <f t="array" ref="G12092">SubCategorizeComment(E12092)</f>
        <v>Other</v>
      </c>
    </row>
    <row r="12093" spans="1:7" x14ac:dyDescent="0.25">
      <c r="A12093">
        <v>115316</v>
      </c>
      <c r="B12093" t="s">
        <v>4</v>
      </c>
      <c r="C12093">
        <v>4</v>
      </c>
      <c r="D12093" t="s">
        <v>5</v>
      </c>
      <c r="F12093" t="str" cm="1">
        <f t="array" ref="F12093">CategorizeComment(E12093)</f>
        <v>Other</v>
      </c>
      <c r="G12093" t="str" cm="1">
        <f t="array" ref="G12093">SubCategorizeComment(E12093)</f>
        <v>Other</v>
      </c>
    </row>
    <row r="12094" spans="1:7" x14ac:dyDescent="0.25">
      <c r="A12094">
        <v>115325</v>
      </c>
      <c r="B12094" t="s">
        <v>4</v>
      </c>
      <c r="C12094">
        <v>4</v>
      </c>
      <c r="D12094" t="s">
        <v>5</v>
      </c>
      <c r="F12094" t="str" cm="1">
        <f t="array" ref="F12094">CategorizeComment(E12094)</f>
        <v>Other</v>
      </c>
      <c r="G12094" t="str" cm="1">
        <f t="array" ref="G12094">SubCategorizeComment(E12094)</f>
        <v>Other</v>
      </c>
    </row>
    <row r="12095" spans="1:7" x14ac:dyDescent="0.25">
      <c r="A12095">
        <v>115334</v>
      </c>
      <c r="B12095" t="s">
        <v>4</v>
      </c>
      <c r="C12095">
        <v>3</v>
      </c>
      <c r="D12095" t="s">
        <v>5</v>
      </c>
      <c r="F12095" t="str" cm="1">
        <f t="array" ref="F12095">CategorizeComment(E12095)</f>
        <v>Other</v>
      </c>
      <c r="G12095" t="str" cm="1">
        <f t="array" ref="G12095">SubCategorizeComment(E12095)</f>
        <v>Other</v>
      </c>
    </row>
    <row r="12096" spans="1:7" x14ac:dyDescent="0.25">
      <c r="A12096">
        <v>115337</v>
      </c>
      <c r="B12096" t="s">
        <v>4</v>
      </c>
      <c r="C12096">
        <v>3</v>
      </c>
      <c r="D12096" t="s">
        <v>5</v>
      </c>
      <c r="F12096" t="str" cm="1">
        <f t="array" ref="F12096">CategorizeComment(E12096)</f>
        <v>Other</v>
      </c>
      <c r="G12096" t="str" cm="1">
        <f t="array" ref="G12096">SubCategorizeComment(E12096)</f>
        <v>Other</v>
      </c>
    </row>
    <row r="12097" spans="1:7" x14ac:dyDescent="0.25">
      <c r="A12097">
        <v>115339</v>
      </c>
      <c r="B12097" t="s">
        <v>4</v>
      </c>
      <c r="C12097">
        <v>4</v>
      </c>
      <c r="D12097" t="s">
        <v>5</v>
      </c>
      <c r="F12097" t="str" cm="1">
        <f t="array" ref="F12097">CategorizeComment(E12097)</f>
        <v>Other</v>
      </c>
      <c r="G12097" t="str" cm="1">
        <f t="array" ref="G12097">SubCategorizeComment(E12097)</f>
        <v>Other</v>
      </c>
    </row>
    <row r="12098" spans="1:7" x14ac:dyDescent="0.25">
      <c r="A12098">
        <v>115343</v>
      </c>
      <c r="B12098" t="s">
        <v>4</v>
      </c>
      <c r="C12098">
        <v>3</v>
      </c>
      <c r="D12098" t="s">
        <v>5</v>
      </c>
      <c r="F12098" t="str" cm="1">
        <f t="array" ref="F12098">CategorizeComment(E12098)</f>
        <v>Other</v>
      </c>
      <c r="G12098" t="str" cm="1">
        <f t="array" ref="G12098">SubCategorizeComment(E12098)</f>
        <v>Other</v>
      </c>
    </row>
    <row r="12099" spans="1:7" x14ac:dyDescent="0.25">
      <c r="A12099">
        <v>115348</v>
      </c>
      <c r="B12099" t="s">
        <v>4</v>
      </c>
      <c r="C12099">
        <v>4</v>
      </c>
      <c r="D12099" t="s">
        <v>5</v>
      </c>
      <c r="F12099" t="str" cm="1">
        <f t="array" ref="F12099">CategorizeComment(E12099)</f>
        <v>Other</v>
      </c>
      <c r="G12099" t="str" cm="1">
        <f t="array" ref="G12099">SubCategorizeComment(E12099)</f>
        <v>Other</v>
      </c>
    </row>
    <row r="12100" spans="1:7" x14ac:dyDescent="0.25">
      <c r="A12100">
        <v>115358</v>
      </c>
      <c r="B12100" t="s">
        <v>4</v>
      </c>
      <c r="C12100">
        <v>3</v>
      </c>
      <c r="D12100" t="s">
        <v>5</v>
      </c>
      <c r="F12100" t="str" cm="1">
        <f t="array" ref="F12100">CategorizeComment(E12100)</f>
        <v>Other</v>
      </c>
      <c r="G12100" t="str" cm="1">
        <f t="array" ref="G12100">SubCategorizeComment(E12100)</f>
        <v>Other</v>
      </c>
    </row>
    <row r="12101" spans="1:7" x14ac:dyDescent="0.25">
      <c r="A12101">
        <v>115360</v>
      </c>
      <c r="B12101" t="s">
        <v>4</v>
      </c>
      <c r="C12101">
        <v>4</v>
      </c>
      <c r="D12101" t="s">
        <v>5</v>
      </c>
      <c r="F12101" t="str" cm="1">
        <f t="array" ref="F12101">CategorizeComment(E12101)</f>
        <v>Other</v>
      </c>
      <c r="G12101" t="str" cm="1">
        <f t="array" ref="G12101">SubCategorizeComment(E12101)</f>
        <v>Other</v>
      </c>
    </row>
    <row r="12102" spans="1:7" x14ac:dyDescent="0.25">
      <c r="A12102">
        <v>115364</v>
      </c>
      <c r="B12102" t="s">
        <v>4</v>
      </c>
      <c r="C12102">
        <v>4</v>
      </c>
      <c r="D12102" t="s">
        <v>5</v>
      </c>
      <c r="F12102" t="str" cm="1">
        <f t="array" ref="F12102">CategorizeComment(E12102)</f>
        <v>Other</v>
      </c>
      <c r="G12102" t="str" cm="1">
        <f t="array" ref="G12102">SubCategorizeComment(E12102)</f>
        <v>Other</v>
      </c>
    </row>
    <row r="12103" spans="1:7" x14ac:dyDescent="0.25">
      <c r="A12103">
        <v>115372</v>
      </c>
      <c r="B12103" t="s">
        <v>4</v>
      </c>
      <c r="C12103">
        <v>3</v>
      </c>
      <c r="D12103" t="s">
        <v>5</v>
      </c>
      <c r="F12103" t="str" cm="1">
        <f t="array" ref="F12103">CategorizeComment(E12103)</f>
        <v>Other</v>
      </c>
      <c r="G12103" t="str" cm="1">
        <f t="array" ref="G12103">SubCategorizeComment(E12103)</f>
        <v>Other</v>
      </c>
    </row>
    <row r="12104" spans="1:7" x14ac:dyDescent="0.25">
      <c r="A12104">
        <v>115376</v>
      </c>
      <c r="B12104" t="s">
        <v>4</v>
      </c>
      <c r="C12104">
        <v>3</v>
      </c>
      <c r="D12104" t="s">
        <v>5</v>
      </c>
      <c r="F12104" t="str" cm="1">
        <f t="array" ref="F12104">CategorizeComment(E12104)</f>
        <v>Other</v>
      </c>
      <c r="G12104" t="str" cm="1">
        <f t="array" ref="G12104">SubCategorizeComment(E12104)</f>
        <v>Other</v>
      </c>
    </row>
    <row r="12105" spans="1:7" x14ac:dyDescent="0.25">
      <c r="A12105">
        <v>115393</v>
      </c>
      <c r="B12105" t="s">
        <v>4</v>
      </c>
      <c r="C12105">
        <v>4</v>
      </c>
      <c r="D12105" t="s">
        <v>5</v>
      </c>
      <c r="F12105" t="str" cm="1">
        <f t="array" ref="F12105">CategorizeComment(E12105)</f>
        <v>Other</v>
      </c>
      <c r="G12105" t="str" cm="1">
        <f t="array" ref="G12105">SubCategorizeComment(E12105)</f>
        <v>Other</v>
      </c>
    </row>
    <row r="12106" spans="1:7" x14ac:dyDescent="0.25">
      <c r="A12106">
        <v>115396</v>
      </c>
      <c r="B12106" t="s">
        <v>4</v>
      </c>
      <c r="C12106">
        <v>4</v>
      </c>
      <c r="D12106" t="s">
        <v>5</v>
      </c>
      <c r="F12106" t="str" cm="1">
        <f t="array" ref="F12106">CategorizeComment(E12106)</f>
        <v>Other</v>
      </c>
      <c r="G12106" t="str" cm="1">
        <f t="array" ref="G12106">SubCategorizeComment(E12106)</f>
        <v>Other</v>
      </c>
    </row>
    <row r="12107" spans="1:7" x14ac:dyDescent="0.25">
      <c r="A12107">
        <v>115398</v>
      </c>
      <c r="B12107" t="s">
        <v>4</v>
      </c>
      <c r="C12107">
        <v>3</v>
      </c>
      <c r="D12107" t="s">
        <v>5</v>
      </c>
      <c r="F12107" t="str" cm="1">
        <f t="array" ref="F12107">CategorizeComment(E12107)</f>
        <v>Other</v>
      </c>
      <c r="G12107" t="str" cm="1">
        <f t="array" ref="G12107">SubCategorizeComment(E12107)</f>
        <v>Other</v>
      </c>
    </row>
    <row r="12108" spans="1:7" x14ac:dyDescent="0.25">
      <c r="A12108">
        <v>115403</v>
      </c>
      <c r="B12108" t="s">
        <v>4</v>
      </c>
      <c r="C12108">
        <v>4</v>
      </c>
      <c r="D12108" t="s">
        <v>5</v>
      </c>
      <c r="F12108" t="str" cm="1">
        <f t="array" ref="F12108">CategorizeComment(E12108)</f>
        <v>Other</v>
      </c>
      <c r="G12108" t="str" cm="1">
        <f t="array" ref="G12108">SubCategorizeComment(E12108)</f>
        <v>Other</v>
      </c>
    </row>
    <row r="12109" spans="1:7" x14ac:dyDescent="0.25">
      <c r="A12109">
        <v>115431</v>
      </c>
      <c r="B12109" t="s">
        <v>4</v>
      </c>
      <c r="C12109">
        <v>3</v>
      </c>
      <c r="D12109" t="s">
        <v>5</v>
      </c>
      <c r="F12109" t="str" cm="1">
        <f t="array" ref="F12109">CategorizeComment(E12109)</f>
        <v>Other</v>
      </c>
      <c r="G12109" t="str" cm="1">
        <f t="array" ref="G12109">SubCategorizeComment(E12109)</f>
        <v>Other</v>
      </c>
    </row>
    <row r="12110" spans="1:7" x14ac:dyDescent="0.25">
      <c r="A12110">
        <v>115438</v>
      </c>
      <c r="B12110" t="s">
        <v>4</v>
      </c>
      <c r="C12110">
        <v>3</v>
      </c>
      <c r="D12110" t="s">
        <v>5</v>
      </c>
      <c r="F12110" t="str" cm="1">
        <f t="array" ref="F12110">CategorizeComment(E12110)</f>
        <v>Other</v>
      </c>
      <c r="G12110" t="str" cm="1">
        <f t="array" ref="G12110">SubCategorizeComment(E12110)</f>
        <v>Other</v>
      </c>
    </row>
    <row r="12111" spans="1:7" x14ac:dyDescent="0.25">
      <c r="A12111">
        <v>115452</v>
      </c>
      <c r="B12111" t="s">
        <v>4</v>
      </c>
      <c r="C12111">
        <v>2</v>
      </c>
      <c r="D12111" t="s">
        <v>5</v>
      </c>
      <c r="F12111" t="str" cm="1">
        <f t="array" ref="F12111">CategorizeComment(E12111)</f>
        <v>Other</v>
      </c>
      <c r="G12111" t="str" cm="1">
        <f t="array" ref="G12111">SubCategorizeComment(E12111)</f>
        <v>Other</v>
      </c>
    </row>
    <row r="12112" spans="1:7" x14ac:dyDescent="0.25">
      <c r="A12112">
        <v>115460</v>
      </c>
      <c r="B12112" t="s">
        <v>4</v>
      </c>
      <c r="C12112">
        <v>3</v>
      </c>
      <c r="D12112" t="s">
        <v>5</v>
      </c>
      <c r="F12112" t="str" cm="1">
        <f t="array" ref="F12112">CategorizeComment(E12112)</f>
        <v>Other</v>
      </c>
      <c r="G12112" t="str" cm="1">
        <f t="array" ref="G12112">SubCategorizeComment(E12112)</f>
        <v>Other</v>
      </c>
    </row>
    <row r="12113" spans="1:7" x14ac:dyDescent="0.25">
      <c r="A12113">
        <v>115467</v>
      </c>
      <c r="B12113" t="s">
        <v>4</v>
      </c>
      <c r="C12113">
        <v>3</v>
      </c>
      <c r="D12113" t="s">
        <v>5</v>
      </c>
      <c r="F12113" t="str" cm="1">
        <f t="array" ref="F12113">CategorizeComment(E12113)</f>
        <v>Other</v>
      </c>
      <c r="G12113" t="str" cm="1">
        <f t="array" ref="G12113">SubCategorizeComment(E12113)</f>
        <v>Other</v>
      </c>
    </row>
    <row r="12114" spans="1:7" x14ac:dyDescent="0.25">
      <c r="A12114">
        <v>115474</v>
      </c>
      <c r="B12114" t="s">
        <v>4</v>
      </c>
      <c r="C12114">
        <v>3</v>
      </c>
      <c r="D12114" t="s">
        <v>5</v>
      </c>
      <c r="F12114" t="str" cm="1">
        <f t="array" ref="F12114">CategorizeComment(E12114)</f>
        <v>Other</v>
      </c>
      <c r="G12114" t="str" cm="1">
        <f t="array" ref="G12114">SubCategorizeComment(E12114)</f>
        <v>Other</v>
      </c>
    </row>
    <row r="12115" spans="1:7" x14ac:dyDescent="0.25">
      <c r="A12115">
        <v>115476</v>
      </c>
      <c r="B12115" t="s">
        <v>4</v>
      </c>
      <c r="C12115">
        <v>3</v>
      </c>
      <c r="D12115" t="s">
        <v>5</v>
      </c>
      <c r="F12115" t="str" cm="1">
        <f t="array" ref="F12115">CategorizeComment(E12115)</f>
        <v>Other</v>
      </c>
      <c r="G12115" t="str" cm="1">
        <f t="array" ref="G12115">SubCategorizeComment(E12115)</f>
        <v>Other</v>
      </c>
    </row>
    <row r="12116" spans="1:7" x14ac:dyDescent="0.25">
      <c r="A12116">
        <v>115477</v>
      </c>
      <c r="B12116" t="s">
        <v>4</v>
      </c>
      <c r="C12116">
        <v>4</v>
      </c>
      <c r="D12116" t="s">
        <v>5</v>
      </c>
      <c r="F12116" t="str" cm="1">
        <f t="array" ref="F12116">CategorizeComment(E12116)</f>
        <v>Other</v>
      </c>
      <c r="G12116" t="str" cm="1">
        <f t="array" ref="G12116">SubCategorizeComment(E12116)</f>
        <v>Other</v>
      </c>
    </row>
    <row r="12117" spans="1:7" x14ac:dyDescent="0.25">
      <c r="A12117">
        <v>115478</v>
      </c>
      <c r="B12117" t="s">
        <v>4</v>
      </c>
      <c r="C12117">
        <v>4</v>
      </c>
      <c r="D12117" t="s">
        <v>5</v>
      </c>
      <c r="F12117" t="str" cm="1">
        <f t="array" ref="F12117">CategorizeComment(E12117)</f>
        <v>Other</v>
      </c>
      <c r="G12117" t="str" cm="1">
        <f t="array" ref="G12117">SubCategorizeComment(E12117)</f>
        <v>Other</v>
      </c>
    </row>
    <row r="12118" spans="1:7" x14ac:dyDescent="0.25">
      <c r="A12118">
        <v>115484</v>
      </c>
      <c r="B12118" t="s">
        <v>4</v>
      </c>
      <c r="C12118">
        <v>3</v>
      </c>
      <c r="D12118" t="s">
        <v>5</v>
      </c>
      <c r="F12118" t="str" cm="1">
        <f t="array" ref="F12118">CategorizeComment(E12118)</f>
        <v>Other</v>
      </c>
      <c r="G12118" t="str" cm="1">
        <f t="array" ref="G12118">SubCategorizeComment(E12118)</f>
        <v>Other</v>
      </c>
    </row>
    <row r="12119" spans="1:7" x14ac:dyDescent="0.25">
      <c r="A12119">
        <v>115503</v>
      </c>
      <c r="B12119" t="s">
        <v>4</v>
      </c>
      <c r="C12119">
        <v>4</v>
      </c>
      <c r="D12119" t="s">
        <v>5</v>
      </c>
      <c r="F12119" t="str" cm="1">
        <f t="array" ref="F12119">CategorizeComment(E12119)</f>
        <v>Other</v>
      </c>
      <c r="G12119" t="str" cm="1">
        <f t="array" ref="G12119">SubCategorizeComment(E12119)</f>
        <v>Other</v>
      </c>
    </row>
    <row r="12120" spans="1:7" x14ac:dyDescent="0.25">
      <c r="A12120">
        <v>115516</v>
      </c>
      <c r="B12120" t="s">
        <v>4</v>
      </c>
      <c r="C12120">
        <v>4</v>
      </c>
      <c r="D12120" t="s">
        <v>5</v>
      </c>
      <c r="F12120" t="str" cm="1">
        <f t="array" ref="F12120">CategorizeComment(E12120)</f>
        <v>Other</v>
      </c>
      <c r="G12120" t="str" cm="1">
        <f t="array" ref="G12120">SubCategorizeComment(E12120)</f>
        <v>Other</v>
      </c>
    </row>
    <row r="12121" spans="1:7" x14ac:dyDescent="0.25">
      <c r="A12121">
        <v>115518</v>
      </c>
      <c r="B12121" t="s">
        <v>4</v>
      </c>
      <c r="C12121">
        <v>4</v>
      </c>
      <c r="D12121" t="s">
        <v>5</v>
      </c>
      <c r="F12121" t="str" cm="1">
        <f t="array" ref="F12121">CategorizeComment(E12121)</f>
        <v>Other</v>
      </c>
      <c r="G12121" t="str" cm="1">
        <f t="array" ref="G12121">SubCategorizeComment(E12121)</f>
        <v>Other</v>
      </c>
    </row>
    <row r="12122" spans="1:7" x14ac:dyDescent="0.25">
      <c r="A12122">
        <v>115532</v>
      </c>
      <c r="B12122" t="s">
        <v>4</v>
      </c>
      <c r="C12122">
        <v>3</v>
      </c>
      <c r="D12122" t="s">
        <v>5</v>
      </c>
      <c r="F12122" t="str" cm="1">
        <f t="array" ref="F12122">CategorizeComment(E12122)</f>
        <v>Other</v>
      </c>
      <c r="G12122" t="str" cm="1">
        <f t="array" ref="G12122">SubCategorizeComment(E12122)</f>
        <v>Other</v>
      </c>
    </row>
    <row r="12123" spans="1:7" x14ac:dyDescent="0.25">
      <c r="A12123">
        <v>115533</v>
      </c>
      <c r="B12123" t="s">
        <v>4</v>
      </c>
      <c r="C12123">
        <v>4</v>
      </c>
      <c r="D12123" t="s">
        <v>5</v>
      </c>
      <c r="F12123" t="str" cm="1">
        <f t="array" ref="F12123">CategorizeComment(E12123)</f>
        <v>Other</v>
      </c>
      <c r="G12123" t="str" cm="1">
        <f t="array" ref="G12123">SubCategorizeComment(E12123)</f>
        <v>Other</v>
      </c>
    </row>
    <row r="12124" spans="1:7" x14ac:dyDescent="0.25">
      <c r="A12124">
        <v>115539</v>
      </c>
      <c r="B12124" t="s">
        <v>4</v>
      </c>
      <c r="C12124">
        <v>4</v>
      </c>
      <c r="D12124" t="s">
        <v>5</v>
      </c>
      <c r="F12124" t="str" cm="1">
        <f t="array" ref="F12124">CategorizeComment(E12124)</f>
        <v>Other</v>
      </c>
      <c r="G12124" t="str" cm="1">
        <f t="array" ref="G12124">SubCategorizeComment(E12124)</f>
        <v>Other</v>
      </c>
    </row>
    <row r="12125" spans="1:7" x14ac:dyDescent="0.25">
      <c r="A12125">
        <v>115541</v>
      </c>
      <c r="B12125" t="s">
        <v>4</v>
      </c>
      <c r="C12125">
        <v>4</v>
      </c>
      <c r="D12125" t="s">
        <v>5</v>
      </c>
      <c r="F12125" t="str" cm="1">
        <f t="array" ref="F12125">CategorizeComment(E12125)</f>
        <v>Other</v>
      </c>
      <c r="G12125" t="str" cm="1">
        <f t="array" ref="G12125">SubCategorizeComment(E12125)</f>
        <v>Other</v>
      </c>
    </row>
    <row r="12126" spans="1:7" x14ac:dyDescent="0.25">
      <c r="A12126">
        <v>115552</v>
      </c>
      <c r="B12126" t="s">
        <v>4</v>
      </c>
      <c r="C12126">
        <v>3</v>
      </c>
      <c r="D12126" t="s">
        <v>5</v>
      </c>
      <c r="F12126" t="str" cm="1">
        <f t="array" ref="F12126">CategorizeComment(E12126)</f>
        <v>Other</v>
      </c>
      <c r="G12126" t="str" cm="1">
        <f t="array" ref="G12126">SubCategorizeComment(E12126)</f>
        <v>Other</v>
      </c>
    </row>
    <row r="12127" spans="1:7" x14ac:dyDescent="0.25">
      <c r="A12127">
        <v>115556</v>
      </c>
      <c r="B12127" t="s">
        <v>4</v>
      </c>
      <c r="C12127">
        <v>3</v>
      </c>
      <c r="D12127" t="s">
        <v>5</v>
      </c>
      <c r="F12127" t="str" cm="1">
        <f t="array" ref="F12127">CategorizeComment(E12127)</f>
        <v>Other</v>
      </c>
      <c r="G12127" t="str" cm="1">
        <f t="array" ref="G12127">SubCategorizeComment(E12127)</f>
        <v>Other</v>
      </c>
    </row>
    <row r="12128" spans="1:7" x14ac:dyDescent="0.25">
      <c r="A12128">
        <v>115558</v>
      </c>
      <c r="B12128" t="s">
        <v>4</v>
      </c>
      <c r="C12128">
        <v>3</v>
      </c>
      <c r="D12128" t="s">
        <v>5</v>
      </c>
      <c r="F12128" t="str" cm="1">
        <f t="array" ref="F12128">CategorizeComment(E12128)</f>
        <v>Other</v>
      </c>
      <c r="G12128" t="str" cm="1">
        <f t="array" ref="G12128">SubCategorizeComment(E12128)</f>
        <v>Other</v>
      </c>
    </row>
    <row r="12129" spans="1:7" x14ac:dyDescent="0.25">
      <c r="A12129">
        <v>115581</v>
      </c>
      <c r="B12129" t="s">
        <v>4</v>
      </c>
      <c r="C12129">
        <v>4</v>
      </c>
      <c r="D12129" t="s">
        <v>5</v>
      </c>
      <c r="F12129" t="str" cm="1">
        <f t="array" ref="F12129">CategorizeComment(E12129)</f>
        <v>Other</v>
      </c>
      <c r="G12129" t="str" cm="1">
        <f t="array" ref="G12129">SubCategorizeComment(E12129)</f>
        <v>Other</v>
      </c>
    </row>
    <row r="12130" spans="1:7" x14ac:dyDescent="0.25">
      <c r="A12130">
        <v>115584</v>
      </c>
      <c r="B12130" t="s">
        <v>4</v>
      </c>
      <c r="C12130">
        <v>4</v>
      </c>
      <c r="D12130" t="s">
        <v>5</v>
      </c>
      <c r="F12130" t="str" cm="1">
        <f t="array" ref="F12130">CategorizeComment(E12130)</f>
        <v>Other</v>
      </c>
      <c r="G12130" t="str" cm="1">
        <f t="array" ref="G12130">SubCategorizeComment(E12130)</f>
        <v>Other</v>
      </c>
    </row>
    <row r="12131" spans="1:7" x14ac:dyDescent="0.25">
      <c r="A12131">
        <v>115588</v>
      </c>
      <c r="B12131" t="s">
        <v>4</v>
      </c>
      <c r="C12131">
        <v>3</v>
      </c>
      <c r="D12131" t="s">
        <v>5</v>
      </c>
      <c r="F12131" t="str" cm="1">
        <f t="array" ref="F12131">CategorizeComment(E12131)</f>
        <v>Other</v>
      </c>
      <c r="G12131" t="str" cm="1">
        <f t="array" ref="G12131">SubCategorizeComment(E12131)</f>
        <v>Other</v>
      </c>
    </row>
    <row r="12132" spans="1:7" x14ac:dyDescent="0.25">
      <c r="A12132">
        <v>115594</v>
      </c>
      <c r="B12132" t="s">
        <v>4</v>
      </c>
      <c r="C12132">
        <v>4</v>
      </c>
      <c r="D12132" t="s">
        <v>5</v>
      </c>
      <c r="F12132" t="str" cm="1">
        <f t="array" ref="F12132">CategorizeComment(E12132)</f>
        <v>Other</v>
      </c>
      <c r="G12132" t="str" cm="1">
        <f t="array" ref="G12132">SubCategorizeComment(E12132)</f>
        <v>Other</v>
      </c>
    </row>
    <row r="12133" spans="1:7" x14ac:dyDescent="0.25">
      <c r="A12133">
        <v>115596</v>
      </c>
      <c r="B12133" t="s">
        <v>4</v>
      </c>
      <c r="C12133">
        <v>3</v>
      </c>
      <c r="D12133" t="s">
        <v>5</v>
      </c>
      <c r="F12133" t="str" cm="1">
        <f t="array" ref="F12133">CategorizeComment(E12133)</f>
        <v>Other</v>
      </c>
      <c r="G12133" t="str" cm="1">
        <f t="array" ref="G12133">SubCategorizeComment(E12133)</f>
        <v>Other</v>
      </c>
    </row>
    <row r="12134" spans="1:7" x14ac:dyDescent="0.25">
      <c r="A12134">
        <v>115609</v>
      </c>
      <c r="B12134" t="s">
        <v>4</v>
      </c>
      <c r="C12134">
        <v>4</v>
      </c>
      <c r="D12134" t="s">
        <v>5</v>
      </c>
      <c r="F12134" t="str" cm="1">
        <f t="array" ref="F12134">CategorizeComment(E12134)</f>
        <v>Other</v>
      </c>
      <c r="G12134" t="str" cm="1">
        <f t="array" ref="G12134">SubCategorizeComment(E12134)</f>
        <v>Other</v>
      </c>
    </row>
    <row r="12135" spans="1:7" x14ac:dyDescent="0.25">
      <c r="A12135">
        <v>115622</v>
      </c>
      <c r="B12135" t="s">
        <v>4</v>
      </c>
      <c r="C12135">
        <v>4</v>
      </c>
      <c r="D12135" t="s">
        <v>5</v>
      </c>
      <c r="F12135" t="str" cm="1">
        <f t="array" ref="F12135">CategorizeComment(E12135)</f>
        <v>Other</v>
      </c>
      <c r="G12135" t="str" cm="1">
        <f t="array" ref="G12135">SubCategorizeComment(E12135)</f>
        <v>Other</v>
      </c>
    </row>
    <row r="12136" spans="1:7" x14ac:dyDescent="0.25">
      <c r="A12136">
        <v>115626</v>
      </c>
      <c r="B12136" t="s">
        <v>4</v>
      </c>
      <c r="C12136">
        <v>4</v>
      </c>
      <c r="D12136" t="s">
        <v>5</v>
      </c>
      <c r="F12136" t="str" cm="1">
        <f t="array" ref="F12136">CategorizeComment(E12136)</f>
        <v>Other</v>
      </c>
      <c r="G12136" t="str" cm="1">
        <f t="array" ref="G12136">SubCategorizeComment(E12136)</f>
        <v>Other</v>
      </c>
    </row>
    <row r="12137" spans="1:7" x14ac:dyDescent="0.25">
      <c r="A12137">
        <v>115629</v>
      </c>
      <c r="B12137" t="s">
        <v>4</v>
      </c>
      <c r="C12137">
        <v>4</v>
      </c>
      <c r="D12137" t="s">
        <v>5</v>
      </c>
      <c r="F12137" t="str" cm="1">
        <f t="array" ref="F12137">CategorizeComment(E12137)</f>
        <v>Other</v>
      </c>
      <c r="G12137" t="str" cm="1">
        <f t="array" ref="G12137">SubCategorizeComment(E12137)</f>
        <v>Other</v>
      </c>
    </row>
    <row r="12138" spans="1:7" x14ac:dyDescent="0.25">
      <c r="A12138">
        <v>115637</v>
      </c>
      <c r="B12138" t="s">
        <v>4</v>
      </c>
      <c r="C12138">
        <v>3</v>
      </c>
      <c r="D12138" t="s">
        <v>5</v>
      </c>
      <c r="F12138" t="str" cm="1">
        <f t="array" ref="F12138">CategorizeComment(E12138)</f>
        <v>Other</v>
      </c>
      <c r="G12138" t="str" cm="1">
        <f t="array" ref="G12138">SubCategorizeComment(E12138)</f>
        <v>Other</v>
      </c>
    </row>
    <row r="12139" spans="1:7" x14ac:dyDescent="0.25">
      <c r="A12139">
        <v>115641</v>
      </c>
      <c r="B12139" t="s">
        <v>4</v>
      </c>
      <c r="C12139">
        <v>4</v>
      </c>
      <c r="D12139" t="s">
        <v>5</v>
      </c>
      <c r="F12139" t="str" cm="1">
        <f t="array" ref="F12139">CategorizeComment(E12139)</f>
        <v>Other</v>
      </c>
      <c r="G12139" t="str" cm="1">
        <f t="array" ref="G12139">SubCategorizeComment(E12139)</f>
        <v>Other</v>
      </c>
    </row>
    <row r="12140" spans="1:7" x14ac:dyDescent="0.25">
      <c r="A12140">
        <v>115643</v>
      </c>
      <c r="B12140" t="s">
        <v>4</v>
      </c>
      <c r="C12140">
        <v>4</v>
      </c>
      <c r="D12140" t="s">
        <v>5</v>
      </c>
      <c r="F12140" t="str" cm="1">
        <f t="array" ref="F12140">CategorizeComment(E12140)</f>
        <v>Other</v>
      </c>
      <c r="G12140" t="str" cm="1">
        <f t="array" ref="G12140">SubCategorizeComment(E12140)</f>
        <v>Other</v>
      </c>
    </row>
    <row r="12141" spans="1:7" x14ac:dyDescent="0.25">
      <c r="A12141">
        <v>115645</v>
      </c>
      <c r="B12141" t="s">
        <v>4</v>
      </c>
      <c r="C12141">
        <v>3</v>
      </c>
      <c r="D12141" t="s">
        <v>5</v>
      </c>
      <c r="F12141" t="str" cm="1">
        <f t="array" ref="F12141">CategorizeComment(E12141)</f>
        <v>Other</v>
      </c>
      <c r="G12141" t="str" cm="1">
        <f t="array" ref="G12141">SubCategorizeComment(E12141)</f>
        <v>Other</v>
      </c>
    </row>
    <row r="12142" spans="1:7" x14ac:dyDescent="0.25">
      <c r="A12142">
        <v>115647</v>
      </c>
      <c r="B12142" t="s">
        <v>4</v>
      </c>
      <c r="C12142">
        <v>3</v>
      </c>
      <c r="D12142" t="s">
        <v>5</v>
      </c>
      <c r="F12142" t="str" cm="1">
        <f t="array" ref="F12142">CategorizeComment(E12142)</f>
        <v>Other</v>
      </c>
      <c r="G12142" t="str" cm="1">
        <f t="array" ref="G12142">SubCategorizeComment(E12142)</f>
        <v>Other</v>
      </c>
    </row>
    <row r="12143" spans="1:7" x14ac:dyDescent="0.25">
      <c r="A12143">
        <v>115657</v>
      </c>
      <c r="B12143" t="s">
        <v>4</v>
      </c>
      <c r="C12143">
        <v>4</v>
      </c>
      <c r="D12143" t="s">
        <v>5</v>
      </c>
      <c r="F12143" t="str" cm="1">
        <f t="array" ref="F12143">CategorizeComment(E12143)</f>
        <v>Other</v>
      </c>
      <c r="G12143" t="str" cm="1">
        <f t="array" ref="G12143">SubCategorizeComment(E12143)</f>
        <v>Other</v>
      </c>
    </row>
    <row r="12144" spans="1:7" x14ac:dyDescent="0.25">
      <c r="A12144">
        <v>115666</v>
      </c>
      <c r="B12144" t="s">
        <v>4</v>
      </c>
      <c r="C12144">
        <v>3</v>
      </c>
      <c r="D12144" t="s">
        <v>5</v>
      </c>
      <c r="F12144" t="str" cm="1">
        <f t="array" ref="F12144">CategorizeComment(E12144)</f>
        <v>Other</v>
      </c>
      <c r="G12144" t="str" cm="1">
        <f t="array" ref="G12144">SubCategorizeComment(E12144)</f>
        <v>Other</v>
      </c>
    </row>
    <row r="12145" spans="1:7" x14ac:dyDescent="0.25">
      <c r="A12145">
        <v>115674</v>
      </c>
      <c r="B12145" t="s">
        <v>4</v>
      </c>
      <c r="C12145">
        <v>3</v>
      </c>
      <c r="D12145" t="s">
        <v>5</v>
      </c>
      <c r="F12145" t="str" cm="1">
        <f t="array" ref="F12145">CategorizeComment(E12145)</f>
        <v>Other</v>
      </c>
      <c r="G12145" t="str" cm="1">
        <f t="array" ref="G12145">SubCategorizeComment(E12145)</f>
        <v>Other</v>
      </c>
    </row>
    <row r="12146" spans="1:7" x14ac:dyDescent="0.25">
      <c r="A12146">
        <v>115678</v>
      </c>
      <c r="B12146" t="s">
        <v>4</v>
      </c>
      <c r="C12146">
        <v>4</v>
      </c>
      <c r="D12146" t="s">
        <v>5</v>
      </c>
      <c r="F12146" t="str" cm="1">
        <f t="array" ref="F12146">CategorizeComment(E12146)</f>
        <v>Other</v>
      </c>
      <c r="G12146" t="str" cm="1">
        <f t="array" ref="G12146">SubCategorizeComment(E12146)</f>
        <v>Other</v>
      </c>
    </row>
    <row r="12147" spans="1:7" x14ac:dyDescent="0.25">
      <c r="A12147">
        <v>115691</v>
      </c>
      <c r="B12147" t="s">
        <v>4</v>
      </c>
      <c r="C12147">
        <v>3</v>
      </c>
      <c r="D12147" t="s">
        <v>5</v>
      </c>
      <c r="F12147" t="str" cm="1">
        <f t="array" ref="F12147">CategorizeComment(E12147)</f>
        <v>Other</v>
      </c>
      <c r="G12147" t="str" cm="1">
        <f t="array" ref="G12147">SubCategorizeComment(E12147)</f>
        <v>Other</v>
      </c>
    </row>
    <row r="12148" spans="1:7" x14ac:dyDescent="0.25">
      <c r="A12148">
        <v>115697</v>
      </c>
      <c r="B12148" t="s">
        <v>4</v>
      </c>
      <c r="C12148">
        <v>4</v>
      </c>
      <c r="D12148" t="s">
        <v>5</v>
      </c>
      <c r="F12148" t="str" cm="1">
        <f t="array" ref="F12148">CategorizeComment(E12148)</f>
        <v>Other</v>
      </c>
      <c r="G12148" t="str" cm="1">
        <f t="array" ref="G12148">SubCategorizeComment(E12148)</f>
        <v>Other</v>
      </c>
    </row>
    <row r="12149" spans="1:7" x14ac:dyDescent="0.25">
      <c r="A12149">
        <v>115702</v>
      </c>
      <c r="B12149" t="s">
        <v>4</v>
      </c>
      <c r="C12149">
        <v>3</v>
      </c>
      <c r="D12149" t="s">
        <v>5</v>
      </c>
      <c r="F12149" t="str" cm="1">
        <f t="array" ref="F12149">CategorizeComment(E12149)</f>
        <v>Other</v>
      </c>
      <c r="G12149" t="str" cm="1">
        <f t="array" ref="G12149">SubCategorizeComment(E12149)</f>
        <v>Other</v>
      </c>
    </row>
    <row r="12150" spans="1:7" x14ac:dyDescent="0.25">
      <c r="A12150">
        <v>115716</v>
      </c>
      <c r="B12150" t="s">
        <v>4</v>
      </c>
      <c r="C12150">
        <v>3</v>
      </c>
      <c r="D12150" t="s">
        <v>5</v>
      </c>
      <c r="F12150" t="str" cm="1">
        <f t="array" ref="F12150">CategorizeComment(E12150)</f>
        <v>Other</v>
      </c>
      <c r="G12150" t="str" cm="1">
        <f t="array" ref="G12150">SubCategorizeComment(E12150)</f>
        <v>Other</v>
      </c>
    </row>
    <row r="12151" spans="1:7" x14ac:dyDescent="0.25">
      <c r="A12151">
        <v>115730</v>
      </c>
      <c r="B12151" t="s">
        <v>4</v>
      </c>
      <c r="C12151">
        <v>4</v>
      </c>
      <c r="D12151" t="s">
        <v>5</v>
      </c>
      <c r="F12151" t="str" cm="1">
        <f t="array" ref="F12151">CategorizeComment(E12151)</f>
        <v>Other</v>
      </c>
      <c r="G12151" t="str" cm="1">
        <f t="array" ref="G12151">SubCategorizeComment(E12151)</f>
        <v>Other</v>
      </c>
    </row>
    <row r="12152" spans="1:7" x14ac:dyDescent="0.25">
      <c r="A12152">
        <v>115737</v>
      </c>
      <c r="B12152" t="s">
        <v>4</v>
      </c>
      <c r="C12152">
        <v>3</v>
      </c>
      <c r="D12152" t="s">
        <v>5</v>
      </c>
      <c r="F12152" t="str" cm="1">
        <f t="array" ref="F12152">CategorizeComment(E12152)</f>
        <v>Other</v>
      </c>
      <c r="G12152" t="str" cm="1">
        <f t="array" ref="G12152">SubCategorizeComment(E12152)</f>
        <v>Other</v>
      </c>
    </row>
    <row r="12153" spans="1:7" x14ac:dyDescent="0.25">
      <c r="A12153">
        <v>115741</v>
      </c>
      <c r="B12153" t="s">
        <v>4</v>
      </c>
      <c r="C12153">
        <v>3</v>
      </c>
      <c r="D12153" t="s">
        <v>5</v>
      </c>
      <c r="F12153" t="str" cm="1">
        <f t="array" ref="F12153">CategorizeComment(E12153)</f>
        <v>Other</v>
      </c>
      <c r="G12153" t="str" cm="1">
        <f t="array" ref="G12153">SubCategorizeComment(E12153)</f>
        <v>Other</v>
      </c>
    </row>
    <row r="12154" spans="1:7" x14ac:dyDescent="0.25">
      <c r="A12154">
        <v>115745</v>
      </c>
      <c r="B12154" t="s">
        <v>4</v>
      </c>
      <c r="C12154">
        <v>3</v>
      </c>
      <c r="D12154" t="s">
        <v>5</v>
      </c>
      <c r="F12154" t="str" cm="1">
        <f t="array" ref="F12154">CategorizeComment(E12154)</f>
        <v>Other</v>
      </c>
      <c r="G12154" t="str" cm="1">
        <f t="array" ref="G12154">SubCategorizeComment(E12154)</f>
        <v>Other</v>
      </c>
    </row>
    <row r="12155" spans="1:7" x14ac:dyDescent="0.25">
      <c r="A12155">
        <v>115761</v>
      </c>
      <c r="B12155" t="s">
        <v>4</v>
      </c>
      <c r="C12155">
        <v>3</v>
      </c>
      <c r="D12155" t="s">
        <v>5</v>
      </c>
      <c r="F12155" t="str" cm="1">
        <f t="array" ref="F12155">CategorizeComment(E12155)</f>
        <v>Other</v>
      </c>
      <c r="G12155" t="str" cm="1">
        <f t="array" ref="G12155">SubCategorizeComment(E12155)</f>
        <v>Other</v>
      </c>
    </row>
    <row r="12156" spans="1:7" x14ac:dyDescent="0.25">
      <c r="A12156">
        <v>115762</v>
      </c>
      <c r="B12156" t="s">
        <v>4</v>
      </c>
      <c r="C12156">
        <v>3</v>
      </c>
      <c r="D12156" t="s">
        <v>5</v>
      </c>
      <c r="F12156" t="str" cm="1">
        <f t="array" ref="F12156">CategorizeComment(E12156)</f>
        <v>Other</v>
      </c>
      <c r="G12156" t="str" cm="1">
        <f t="array" ref="G12156">SubCategorizeComment(E12156)</f>
        <v>Other</v>
      </c>
    </row>
    <row r="12157" spans="1:7" x14ac:dyDescent="0.25">
      <c r="A12157">
        <v>115767</v>
      </c>
      <c r="B12157" t="s">
        <v>4</v>
      </c>
      <c r="C12157">
        <v>3</v>
      </c>
      <c r="D12157" t="s">
        <v>5</v>
      </c>
      <c r="F12157" t="str" cm="1">
        <f t="array" ref="F12157">CategorizeComment(E12157)</f>
        <v>Other</v>
      </c>
      <c r="G12157" t="str" cm="1">
        <f t="array" ref="G12157">SubCategorizeComment(E12157)</f>
        <v>Other</v>
      </c>
    </row>
    <row r="12158" spans="1:7" x14ac:dyDescent="0.25">
      <c r="A12158">
        <v>115770</v>
      </c>
      <c r="B12158" t="s">
        <v>4</v>
      </c>
      <c r="C12158">
        <v>3</v>
      </c>
      <c r="D12158" t="s">
        <v>5</v>
      </c>
      <c r="F12158" t="str" cm="1">
        <f t="array" ref="F12158">CategorizeComment(E12158)</f>
        <v>Other</v>
      </c>
      <c r="G12158" t="str" cm="1">
        <f t="array" ref="G12158">SubCategorizeComment(E12158)</f>
        <v>Other</v>
      </c>
    </row>
    <row r="12159" spans="1:7" x14ac:dyDescent="0.25">
      <c r="A12159">
        <v>115771</v>
      </c>
      <c r="B12159" t="s">
        <v>4</v>
      </c>
      <c r="C12159">
        <v>3</v>
      </c>
      <c r="D12159" t="s">
        <v>5</v>
      </c>
      <c r="F12159" t="str" cm="1">
        <f t="array" ref="F12159">CategorizeComment(E12159)</f>
        <v>Other</v>
      </c>
      <c r="G12159" t="str" cm="1">
        <f t="array" ref="G12159">SubCategorizeComment(E12159)</f>
        <v>Other</v>
      </c>
    </row>
    <row r="12160" spans="1:7" x14ac:dyDescent="0.25">
      <c r="A12160">
        <v>115776</v>
      </c>
      <c r="B12160" t="s">
        <v>4</v>
      </c>
      <c r="C12160">
        <v>4</v>
      </c>
      <c r="D12160" t="s">
        <v>5</v>
      </c>
      <c r="F12160" t="str" cm="1">
        <f t="array" ref="F12160">CategorizeComment(E12160)</f>
        <v>Other</v>
      </c>
      <c r="G12160" t="str" cm="1">
        <f t="array" ref="G12160">SubCategorizeComment(E12160)</f>
        <v>Other</v>
      </c>
    </row>
    <row r="12161" spans="1:7" x14ac:dyDescent="0.25">
      <c r="A12161">
        <v>115786</v>
      </c>
      <c r="B12161" t="s">
        <v>4</v>
      </c>
      <c r="C12161">
        <v>4</v>
      </c>
      <c r="D12161" t="s">
        <v>5</v>
      </c>
      <c r="F12161" t="str" cm="1">
        <f t="array" ref="F12161">CategorizeComment(E12161)</f>
        <v>Other</v>
      </c>
      <c r="G12161" t="str" cm="1">
        <f t="array" ref="G12161">SubCategorizeComment(E12161)</f>
        <v>Other</v>
      </c>
    </row>
    <row r="12162" spans="1:7" x14ac:dyDescent="0.25">
      <c r="A12162">
        <v>115787</v>
      </c>
      <c r="B12162" t="s">
        <v>4</v>
      </c>
      <c r="C12162">
        <v>3</v>
      </c>
      <c r="D12162" t="s">
        <v>5</v>
      </c>
      <c r="F12162" t="str" cm="1">
        <f t="array" ref="F12162">CategorizeComment(E12162)</f>
        <v>Other</v>
      </c>
      <c r="G12162" t="str" cm="1">
        <f t="array" ref="G12162">SubCategorizeComment(E12162)</f>
        <v>Other</v>
      </c>
    </row>
    <row r="12163" spans="1:7" x14ac:dyDescent="0.25">
      <c r="A12163">
        <v>115790</v>
      </c>
      <c r="B12163" t="s">
        <v>4</v>
      </c>
      <c r="C12163">
        <v>3</v>
      </c>
      <c r="D12163" t="s">
        <v>5</v>
      </c>
      <c r="F12163" t="str" cm="1">
        <f t="array" ref="F12163">CategorizeComment(E12163)</f>
        <v>Other</v>
      </c>
      <c r="G12163" t="str" cm="1">
        <f t="array" ref="G12163">SubCategorizeComment(E12163)</f>
        <v>Other</v>
      </c>
    </row>
    <row r="12164" spans="1:7" x14ac:dyDescent="0.25">
      <c r="A12164">
        <v>115801</v>
      </c>
      <c r="B12164" t="s">
        <v>4</v>
      </c>
      <c r="C12164">
        <v>4</v>
      </c>
      <c r="D12164" t="s">
        <v>5</v>
      </c>
      <c r="F12164" t="str" cm="1">
        <f t="array" ref="F12164">CategorizeComment(E12164)</f>
        <v>Other</v>
      </c>
      <c r="G12164" t="str" cm="1">
        <f t="array" ref="G12164">SubCategorizeComment(E12164)</f>
        <v>Other</v>
      </c>
    </row>
    <row r="12165" spans="1:7" x14ac:dyDescent="0.25">
      <c r="A12165">
        <v>115818</v>
      </c>
      <c r="B12165" t="s">
        <v>4</v>
      </c>
      <c r="C12165">
        <v>4</v>
      </c>
      <c r="D12165" t="s">
        <v>5</v>
      </c>
      <c r="F12165" t="str" cm="1">
        <f t="array" ref="F12165">CategorizeComment(E12165)</f>
        <v>Other</v>
      </c>
      <c r="G12165" t="str" cm="1">
        <f t="array" ref="G12165">SubCategorizeComment(E12165)</f>
        <v>Other</v>
      </c>
    </row>
    <row r="12166" spans="1:7" x14ac:dyDescent="0.25">
      <c r="A12166">
        <v>115822</v>
      </c>
      <c r="B12166" t="s">
        <v>4</v>
      </c>
      <c r="C12166">
        <v>4</v>
      </c>
      <c r="D12166" t="s">
        <v>5</v>
      </c>
      <c r="F12166" t="str" cm="1">
        <f t="array" ref="F12166">CategorizeComment(E12166)</f>
        <v>Other</v>
      </c>
      <c r="G12166" t="str" cm="1">
        <f t="array" ref="G12166">SubCategorizeComment(E12166)</f>
        <v>Other</v>
      </c>
    </row>
    <row r="12167" spans="1:7" x14ac:dyDescent="0.25">
      <c r="A12167">
        <v>115826</v>
      </c>
      <c r="B12167" t="s">
        <v>4</v>
      </c>
      <c r="C12167">
        <v>4</v>
      </c>
      <c r="D12167" t="s">
        <v>5</v>
      </c>
      <c r="F12167" t="str" cm="1">
        <f t="array" ref="F12167">CategorizeComment(E12167)</f>
        <v>Other</v>
      </c>
      <c r="G12167" t="str" cm="1">
        <f t="array" ref="G12167">SubCategorizeComment(E12167)</f>
        <v>Other</v>
      </c>
    </row>
    <row r="12168" spans="1:7" x14ac:dyDescent="0.25">
      <c r="A12168">
        <v>115828</v>
      </c>
      <c r="B12168" t="s">
        <v>4</v>
      </c>
      <c r="C12168">
        <v>3</v>
      </c>
      <c r="D12168" t="s">
        <v>5</v>
      </c>
      <c r="F12168" t="str" cm="1">
        <f t="array" ref="F12168">CategorizeComment(E12168)</f>
        <v>Other</v>
      </c>
      <c r="G12168" t="str" cm="1">
        <f t="array" ref="G12168">SubCategorizeComment(E12168)</f>
        <v>Other</v>
      </c>
    </row>
    <row r="12169" spans="1:7" x14ac:dyDescent="0.25">
      <c r="A12169">
        <v>115842</v>
      </c>
      <c r="B12169" t="s">
        <v>4</v>
      </c>
      <c r="C12169">
        <v>3</v>
      </c>
      <c r="D12169" t="s">
        <v>5</v>
      </c>
      <c r="F12169" t="str" cm="1">
        <f t="array" ref="F12169">CategorizeComment(E12169)</f>
        <v>Other</v>
      </c>
      <c r="G12169" t="str" cm="1">
        <f t="array" ref="G12169">SubCategorizeComment(E12169)</f>
        <v>Other</v>
      </c>
    </row>
    <row r="12170" spans="1:7" x14ac:dyDescent="0.25">
      <c r="A12170">
        <v>115851</v>
      </c>
      <c r="B12170" t="s">
        <v>4</v>
      </c>
      <c r="C12170">
        <v>3</v>
      </c>
      <c r="D12170" t="s">
        <v>5</v>
      </c>
      <c r="F12170" t="str" cm="1">
        <f t="array" ref="F12170">CategorizeComment(E12170)</f>
        <v>Other</v>
      </c>
      <c r="G12170" t="str" cm="1">
        <f t="array" ref="G12170">SubCategorizeComment(E12170)</f>
        <v>Other</v>
      </c>
    </row>
    <row r="12171" spans="1:7" x14ac:dyDescent="0.25">
      <c r="A12171">
        <v>115857</v>
      </c>
      <c r="B12171" t="s">
        <v>4</v>
      </c>
      <c r="C12171">
        <v>4</v>
      </c>
      <c r="D12171" t="s">
        <v>5</v>
      </c>
      <c r="F12171" t="str" cm="1">
        <f t="array" ref="F12171">CategorizeComment(E12171)</f>
        <v>Other</v>
      </c>
      <c r="G12171" t="str" cm="1">
        <f t="array" ref="G12171">SubCategorizeComment(E12171)</f>
        <v>Other</v>
      </c>
    </row>
    <row r="12172" spans="1:7" x14ac:dyDescent="0.25">
      <c r="A12172">
        <v>115859</v>
      </c>
      <c r="B12172" t="s">
        <v>4</v>
      </c>
      <c r="C12172">
        <v>3</v>
      </c>
      <c r="D12172" t="s">
        <v>5</v>
      </c>
      <c r="F12172" t="str" cm="1">
        <f t="array" ref="F12172">CategorizeComment(E12172)</f>
        <v>Other</v>
      </c>
      <c r="G12172" t="str" cm="1">
        <f t="array" ref="G12172">SubCategorizeComment(E12172)</f>
        <v>Other</v>
      </c>
    </row>
    <row r="12173" spans="1:7" x14ac:dyDescent="0.25">
      <c r="A12173">
        <v>115880</v>
      </c>
      <c r="B12173" t="s">
        <v>4</v>
      </c>
      <c r="C12173">
        <v>4</v>
      </c>
      <c r="D12173" t="s">
        <v>5</v>
      </c>
      <c r="F12173" t="str" cm="1">
        <f t="array" ref="F12173">CategorizeComment(E12173)</f>
        <v>Other</v>
      </c>
      <c r="G12173" t="str" cm="1">
        <f t="array" ref="G12173">SubCategorizeComment(E12173)</f>
        <v>Other</v>
      </c>
    </row>
    <row r="12174" spans="1:7" x14ac:dyDescent="0.25">
      <c r="A12174">
        <v>115905</v>
      </c>
      <c r="B12174" t="s">
        <v>4</v>
      </c>
      <c r="C12174">
        <v>4</v>
      </c>
      <c r="D12174" t="s">
        <v>5</v>
      </c>
      <c r="F12174" t="str" cm="1">
        <f t="array" ref="F12174">CategorizeComment(E12174)</f>
        <v>Other</v>
      </c>
      <c r="G12174" t="str" cm="1">
        <f t="array" ref="G12174">SubCategorizeComment(E12174)</f>
        <v>Other</v>
      </c>
    </row>
    <row r="12175" spans="1:7" x14ac:dyDescent="0.25">
      <c r="A12175">
        <v>115907</v>
      </c>
      <c r="B12175" t="s">
        <v>4</v>
      </c>
      <c r="C12175">
        <v>3</v>
      </c>
      <c r="D12175" t="s">
        <v>5</v>
      </c>
      <c r="F12175" t="str" cm="1">
        <f t="array" ref="F12175">CategorizeComment(E12175)</f>
        <v>Other</v>
      </c>
      <c r="G12175" t="str" cm="1">
        <f t="array" ref="G12175">SubCategorizeComment(E12175)</f>
        <v>Other</v>
      </c>
    </row>
    <row r="12176" spans="1:7" x14ac:dyDescent="0.25">
      <c r="A12176">
        <v>115914</v>
      </c>
      <c r="B12176" t="s">
        <v>4</v>
      </c>
      <c r="C12176">
        <v>3</v>
      </c>
      <c r="D12176" t="s">
        <v>5</v>
      </c>
      <c r="F12176" t="str" cm="1">
        <f t="array" ref="F12176">CategorizeComment(E12176)</f>
        <v>Other</v>
      </c>
      <c r="G12176" t="str" cm="1">
        <f t="array" ref="G12176">SubCategorizeComment(E12176)</f>
        <v>Other</v>
      </c>
    </row>
    <row r="12177" spans="1:7" x14ac:dyDescent="0.25">
      <c r="A12177">
        <v>115915</v>
      </c>
      <c r="B12177" t="s">
        <v>4</v>
      </c>
      <c r="C12177">
        <v>3</v>
      </c>
      <c r="D12177" t="s">
        <v>5</v>
      </c>
      <c r="F12177" t="str" cm="1">
        <f t="array" ref="F12177">CategorizeComment(E12177)</f>
        <v>Other</v>
      </c>
      <c r="G12177" t="str" cm="1">
        <f t="array" ref="G12177">SubCategorizeComment(E12177)</f>
        <v>Other</v>
      </c>
    </row>
    <row r="12178" spans="1:7" x14ac:dyDescent="0.25">
      <c r="A12178">
        <v>115917</v>
      </c>
      <c r="B12178" t="s">
        <v>4</v>
      </c>
      <c r="C12178">
        <v>3</v>
      </c>
      <c r="D12178" t="s">
        <v>5</v>
      </c>
      <c r="F12178" t="str" cm="1">
        <f t="array" ref="F12178">CategorizeComment(E12178)</f>
        <v>Other</v>
      </c>
      <c r="G12178" t="str" cm="1">
        <f t="array" ref="G12178">SubCategorizeComment(E12178)</f>
        <v>Other</v>
      </c>
    </row>
    <row r="12179" spans="1:7" x14ac:dyDescent="0.25">
      <c r="A12179">
        <v>115919</v>
      </c>
      <c r="B12179" t="s">
        <v>4</v>
      </c>
      <c r="C12179">
        <v>3</v>
      </c>
      <c r="D12179" t="s">
        <v>5</v>
      </c>
      <c r="F12179" t="str" cm="1">
        <f t="array" ref="F12179">CategorizeComment(E12179)</f>
        <v>Other</v>
      </c>
      <c r="G12179" t="str" cm="1">
        <f t="array" ref="G12179">SubCategorizeComment(E12179)</f>
        <v>Other</v>
      </c>
    </row>
    <row r="12180" spans="1:7" x14ac:dyDescent="0.25">
      <c r="A12180">
        <v>115925</v>
      </c>
      <c r="B12180" t="s">
        <v>4</v>
      </c>
      <c r="C12180">
        <v>3</v>
      </c>
      <c r="D12180" t="s">
        <v>5</v>
      </c>
      <c r="F12180" t="str" cm="1">
        <f t="array" ref="F12180">CategorizeComment(E12180)</f>
        <v>Other</v>
      </c>
      <c r="G12180" t="str" cm="1">
        <f t="array" ref="G12180">SubCategorizeComment(E12180)</f>
        <v>Other</v>
      </c>
    </row>
    <row r="12181" spans="1:7" x14ac:dyDescent="0.25">
      <c r="A12181">
        <v>115930</v>
      </c>
      <c r="B12181" t="s">
        <v>4</v>
      </c>
      <c r="C12181">
        <v>3</v>
      </c>
      <c r="D12181" t="s">
        <v>5</v>
      </c>
      <c r="F12181" t="str" cm="1">
        <f t="array" ref="F12181">CategorizeComment(E12181)</f>
        <v>Other</v>
      </c>
      <c r="G12181" t="str" cm="1">
        <f t="array" ref="G12181">SubCategorizeComment(E12181)</f>
        <v>Other</v>
      </c>
    </row>
    <row r="12182" spans="1:7" x14ac:dyDescent="0.25">
      <c r="A12182">
        <v>115931</v>
      </c>
      <c r="B12182" t="s">
        <v>4</v>
      </c>
      <c r="C12182">
        <v>4</v>
      </c>
      <c r="D12182" t="s">
        <v>5</v>
      </c>
      <c r="F12182" t="str" cm="1">
        <f t="array" ref="F12182">CategorizeComment(E12182)</f>
        <v>Other</v>
      </c>
      <c r="G12182" t="str" cm="1">
        <f t="array" ref="G12182">SubCategorizeComment(E12182)</f>
        <v>Other</v>
      </c>
    </row>
    <row r="12183" spans="1:7" x14ac:dyDescent="0.25">
      <c r="A12183">
        <v>115939</v>
      </c>
      <c r="B12183" t="s">
        <v>4</v>
      </c>
      <c r="C12183">
        <v>4</v>
      </c>
      <c r="D12183" t="s">
        <v>5</v>
      </c>
      <c r="F12183" t="str" cm="1">
        <f t="array" ref="F12183">CategorizeComment(E12183)</f>
        <v>Other</v>
      </c>
      <c r="G12183" t="str" cm="1">
        <f t="array" ref="G12183">SubCategorizeComment(E12183)</f>
        <v>Other</v>
      </c>
    </row>
    <row r="12184" spans="1:7" x14ac:dyDescent="0.25">
      <c r="A12184">
        <v>115940</v>
      </c>
      <c r="B12184" t="s">
        <v>4</v>
      </c>
      <c r="C12184">
        <v>4</v>
      </c>
      <c r="D12184" t="s">
        <v>5</v>
      </c>
      <c r="F12184" t="str" cm="1">
        <f t="array" ref="F12184">CategorizeComment(E12184)</f>
        <v>Other</v>
      </c>
      <c r="G12184" t="str" cm="1">
        <f t="array" ref="G12184">SubCategorizeComment(E12184)</f>
        <v>Other</v>
      </c>
    </row>
    <row r="12185" spans="1:7" x14ac:dyDescent="0.25">
      <c r="A12185">
        <v>115958</v>
      </c>
      <c r="B12185" t="s">
        <v>4</v>
      </c>
      <c r="C12185">
        <v>3</v>
      </c>
      <c r="D12185" t="s">
        <v>5</v>
      </c>
      <c r="F12185" t="str" cm="1">
        <f t="array" ref="F12185">CategorizeComment(E12185)</f>
        <v>Other</v>
      </c>
      <c r="G12185" t="str" cm="1">
        <f t="array" ref="G12185">SubCategorizeComment(E12185)</f>
        <v>Other</v>
      </c>
    </row>
    <row r="12186" spans="1:7" x14ac:dyDescent="0.25">
      <c r="A12186">
        <v>115961</v>
      </c>
      <c r="B12186" t="s">
        <v>4</v>
      </c>
      <c r="C12186">
        <v>3</v>
      </c>
      <c r="D12186" t="s">
        <v>5</v>
      </c>
      <c r="F12186" t="str" cm="1">
        <f t="array" ref="F12186">CategorizeComment(E12186)</f>
        <v>Other</v>
      </c>
      <c r="G12186" t="str" cm="1">
        <f t="array" ref="G12186">SubCategorizeComment(E12186)</f>
        <v>Other</v>
      </c>
    </row>
    <row r="12187" spans="1:7" x14ac:dyDescent="0.25">
      <c r="A12187">
        <v>115983</v>
      </c>
      <c r="B12187" t="s">
        <v>4</v>
      </c>
      <c r="C12187">
        <v>4</v>
      </c>
      <c r="D12187" t="s">
        <v>5</v>
      </c>
      <c r="F12187" t="str" cm="1">
        <f t="array" ref="F12187">CategorizeComment(E12187)</f>
        <v>Other</v>
      </c>
      <c r="G12187" t="str" cm="1">
        <f t="array" ref="G12187">SubCategorizeComment(E12187)</f>
        <v>Other</v>
      </c>
    </row>
    <row r="12188" spans="1:7" x14ac:dyDescent="0.25">
      <c r="A12188">
        <v>115988</v>
      </c>
      <c r="B12188" t="s">
        <v>4</v>
      </c>
      <c r="C12188">
        <v>3</v>
      </c>
      <c r="D12188" t="s">
        <v>5</v>
      </c>
      <c r="F12188" t="str" cm="1">
        <f t="array" ref="F12188">CategorizeComment(E12188)</f>
        <v>Other</v>
      </c>
      <c r="G12188" t="str" cm="1">
        <f t="array" ref="G12188">SubCategorizeComment(E12188)</f>
        <v>Other</v>
      </c>
    </row>
    <row r="12189" spans="1:7" x14ac:dyDescent="0.25">
      <c r="A12189">
        <v>115989</v>
      </c>
      <c r="B12189" t="s">
        <v>4</v>
      </c>
      <c r="C12189">
        <v>4</v>
      </c>
      <c r="D12189" t="s">
        <v>5</v>
      </c>
      <c r="F12189" t="str" cm="1">
        <f t="array" ref="F12189">CategorizeComment(E12189)</f>
        <v>Other</v>
      </c>
      <c r="G12189" t="str" cm="1">
        <f t="array" ref="G12189">SubCategorizeComment(E12189)</f>
        <v>Other</v>
      </c>
    </row>
    <row r="12190" spans="1:7" x14ac:dyDescent="0.25">
      <c r="A12190">
        <v>115993</v>
      </c>
      <c r="B12190" t="s">
        <v>4</v>
      </c>
      <c r="C12190">
        <v>3</v>
      </c>
      <c r="D12190" t="s">
        <v>5</v>
      </c>
      <c r="F12190" t="str" cm="1">
        <f t="array" ref="F12190">CategorizeComment(E12190)</f>
        <v>Other</v>
      </c>
      <c r="G12190" t="str" cm="1">
        <f t="array" ref="G12190">SubCategorizeComment(E12190)</f>
        <v>Other</v>
      </c>
    </row>
    <row r="12191" spans="1:7" x14ac:dyDescent="0.25">
      <c r="A12191">
        <v>116022</v>
      </c>
      <c r="B12191" t="s">
        <v>4</v>
      </c>
      <c r="C12191">
        <v>4</v>
      </c>
      <c r="D12191" t="s">
        <v>5</v>
      </c>
      <c r="F12191" t="str" cm="1">
        <f t="array" ref="F12191">CategorizeComment(E12191)</f>
        <v>Other</v>
      </c>
      <c r="G12191" t="str" cm="1">
        <f t="array" ref="G12191">SubCategorizeComment(E12191)</f>
        <v>Other</v>
      </c>
    </row>
    <row r="12192" spans="1:7" x14ac:dyDescent="0.25">
      <c r="A12192">
        <v>116028</v>
      </c>
      <c r="B12192" t="s">
        <v>4</v>
      </c>
      <c r="C12192">
        <v>3</v>
      </c>
      <c r="D12192" t="s">
        <v>5</v>
      </c>
      <c r="F12192" t="str" cm="1">
        <f t="array" ref="F12192">CategorizeComment(E12192)</f>
        <v>Other</v>
      </c>
      <c r="G12192" t="str" cm="1">
        <f t="array" ref="G12192">SubCategorizeComment(E12192)</f>
        <v>Other</v>
      </c>
    </row>
    <row r="12193" spans="1:7" x14ac:dyDescent="0.25">
      <c r="A12193">
        <v>116030</v>
      </c>
      <c r="B12193" t="s">
        <v>4</v>
      </c>
      <c r="C12193">
        <v>4</v>
      </c>
      <c r="D12193" t="s">
        <v>5</v>
      </c>
      <c r="F12193" t="str" cm="1">
        <f t="array" ref="F12193">CategorizeComment(E12193)</f>
        <v>Other</v>
      </c>
      <c r="G12193" t="str" cm="1">
        <f t="array" ref="G12193">SubCategorizeComment(E12193)</f>
        <v>Other</v>
      </c>
    </row>
    <row r="12194" spans="1:7" x14ac:dyDescent="0.25">
      <c r="A12194">
        <v>116051</v>
      </c>
      <c r="B12194" t="s">
        <v>4</v>
      </c>
      <c r="C12194">
        <v>3</v>
      </c>
      <c r="D12194" t="s">
        <v>5</v>
      </c>
      <c r="F12194" t="str" cm="1">
        <f t="array" ref="F12194">CategorizeComment(E12194)</f>
        <v>Other</v>
      </c>
      <c r="G12194" t="str" cm="1">
        <f t="array" ref="G12194">SubCategorizeComment(E12194)</f>
        <v>Other</v>
      </c>
    </row>
    <row r="12195" spans="1:7" x14ac:dyDescent="0.25">
      <c r="A12195">
        <v>116075</v>
      </c>
      <c r="B12195" t="s">
        <v>4</v>
      </c>
      <c r="C12195">
        <v>3</v>
      </c>
      <c r="D12195" t="s">
        <v>5</v>
      </c>
      <c r="F12195" t="str" cm="1">
        <f t="array" ref="F12195">CategorizeComment(E12195)</f>
        <v>Other</v>
      </c>
      <c r="G12195" t="str" cm="1">
        <f t="array" ref="G12195">SubCategorizeComment(E12195)</f>
        <v>Other</v>
      </c>
    </row>
    <row r="12196" spans="1:7" x14ac:dyDescent="0.25">
      <c r="A12196">
        <v>116081</v>
      </c>
      <c r="B12196" t="s">
        <v>4</v>
      </c>
      <c r="C12196">
        <v>4</v>
      </c>
      <c r="D12196" t="s">
        <v>5</v>
      </c>
      <c r="F12196" t="str" cm="1">
        <f t="array" ref="F12196">CategorizeComment(E12196)</f>
        <v>Other</v>
      </c>
      <c r="G12196" t="str" cm="1">
        <f t="array" ref="G12196">SubCategorizeComment(E12196)</f>
        <v>Other</v>
      </c>
    </row>
    <row r="12197" spans="1:7" x14ac:dyDescent="0.25">
      <c r="A12197">
        <v>116082</v>
      </c>
      <c r="B12197" t="s">
        <v>4</v>
      </c>
      <c r="C12197">
        <v>3</v>
      </c>
      <c r="D12197" t="s">
        <v>5</v>
      </c>
      <c r="F12197" t="str" cm="1">
        <f t="array" ref="F12197">CategorizeComment(E12197)</f>
        <v>Other</v>
      </c>
      <c r="G12197" t="str" cm="1">
        <f t="array" ref="G12197">SubCategorizeComment(E12197)</f>
        <v>Other</v>
      </c>
    </row>
    <row r="12198" spans="1:7" x14ac:dyDescent="0.25">
      <c r="A12198">
        <v>116086</v>
      </c>
      <c r="B12198" t="s">
        <v>4</v>
      </c>
      <c r="C12198">
        <v>4</v>
      </c>
      <c r="D12198" t="s">
        <v>5</v>
      </c>
      <c r="F12198" t="str" cm="1">
        <f t="array" ref="F12198">CategorizeComment(E12198)</f>
        <v>Other</v>
      </c>
      <c r="G12198" t="str" cm="1">
        <f t="array" ref="G12198">SubCategorizeComment(E12198)</f>
        <v>Other</v>
      </c>
    </row>
    <row r="12199" spans="1:7" x14ac:dyDescent="0.25">
      <c r="A12199">
        <v>116092</v>
      </c>
      <c r="B12199" t="s">
        <v>4</v>
      </c>
      <c r="C12199">
        <v>3</v>
      </c>
      <c r="D12199" t="s">
        <v>5</v>
      </c>
      <c r="F12199" t="str" cm="1">
        <f t="array" ref="F12199">CategorizeComment(E12199)</f>
        <v>Other</v>
      </c>
      <c r="G12199" t="str" cm="1">
        <f t="array" ref="G12199">SubCategorizeComment(E12199)</f>
        <v>Other</v>
      </c>
    </row>
    <row r="12200" spans="1:7" x14ac:dyDescent="0.25">
      <c r="A12200">
        <v>116106</v>
      </c>
      <c r="B12200" t="s">
        <v>4</v>
      </c>
      <c r="C12200">
        <v>4</v>
      </c>
      <c r="D12200" t="s">
        <v>5</v>
      </c>
      <c r="F12200" t="str" cm="1">
        <f t="array" ref="F12200">CategorizeComment(E12200)</f>
        <v>Other</v>
      </c>
      <c r="G12200" t="str" cm="1">
        <f t="array" ref="G12200">SubCategorizeComment(E12200)</f>
        <v>Other</v>
      </c>
    </row>
    <row r="12201" spans="1:7" x14ac:dyDescent="0.25">
      <c r="A12201">
        <v>116108</v>
      </c>
      <c r="B12201" t="s">
        <v>4</v>
      </c>
      <c r="C12201">
        <v>4</v>
      </c>
      <c r="D12201" t="s">
        <v>5</v>
      </c>
      <c r="F12201" t="str" cm="1">
        <f t="array" ref="F12201">CategorizeComment(E12201)</f>
        <v>Other</v>
      </c>
      <c r="G12201" t="str" cm="1">
        <f t="array" ref="G12201">SubCategorizeComment(E12201)</f>
        <v>Other</v>
      </c>
    </row>
    <row r="12202" spans="1:7" x14ac:dyDescent="0.25">
      <c r="A12202">
        <v>116117</v>
      </c>
      <c r="B12202" t="s">
        <v>4</v>
      </c>
      <c r="C12202">
        <v>3</v>
      </c>
      <c r="D12202" t="s">
        <v>5</v>
      </c>
      <c r="F12202" t="str" cm="1">
        <f t="array" ref="F12202">CategorizeComment(E12202)</f>
        <v>Other</v>
      </c>
      <c r="G12202" t="str" cm="1">
        <f t="array" ref="G12202">SubCategorizeComment(E12202)</f>
        <v>Other</v>
      </c>
    </row>
    <row r="12203" spans="1:7" x14ac:dyDescent="0.25">
      <c r="A12203">
        <v>116168</v>
      </c>
      <c r="B12203" t="s">
        <v>4</v>
      </c>
      <c r="C12203">
        <v>3</v>
      </c>
      <c r="D12203" t="s">
        <v>5</v>
      </c>
      <c r="F12203" t="str" cm="1">
        <f t="array" ref="F12203">CategorizeComment(E12203)</f>
        <v>Other</v>
      </c>
      <c r="G12203" t="str" cm="1">
        <f t="array" ref="G12203">SubCategorizeComment(E12203)</f>
        <v>Other</v>
      </c>
    </row>
    <row r="12204" spans="1:7" x14ac:dyDescent="0.25">
      <c r="A12204">
        <v>116169</v>
      </c>
      <c r="B12204" t="s">
        <v>4</v>
      </c>
      <c r="C12204">
        <v>4</v>
      </c>
      <c r="D12204" t="s">
        <v>5</v>
      </c>
      <c r="F12204" t="str" cm="1">
        <f t="array" ref="F12204">CategorizeComment(E12204)</f>
        <v>Other</v>
      </c>
      <c r="G12204" t="str" cm="1">
        <f t="array" ref="G12204">SubCategorizeComment(E12204)</f>
        <v>Other</v>
      </c>
    </row>
    <row r="12205" spans="1:7" x14ac:dyDescent="0.25">
      <c r="A12205">
        <v>116176</v>
      </c>
      <c r="B12205" t="s">
        <v>4</v>
      </c>
      <c r="C12205">
        <v>3</v>
      </c>
      <c r="D12205" t="s">
        <v>5</v>
      </c>
      <c r="F12205" t="str" cm="1">
        <f t="array" ref="F12205">CategorizeComment(E12205)</f>
        <v>Other</v>
      </c>
      <c r="G12205" t="str" cm="1">
        <f t="array" ref="G12205">SubCategorizeComment(E12205)</f>
        <v>Other</v>
      </c>
    </row>
    <row r="12206" spans="1:7" x14ac:dyDescent="0.25">
      <c r="A12206">
        <v>116183</v>
      </c>
      <c r="B12206" t="s">
        <v>4</v>
      </c>
      <c r="C12206">
        <v>4</v>
      </c>
      <c r="D12206" t="s">
        <v>5</v>
      </c>
      <c r="F12206" t="str" cm="1">
        <f t="array" ref="F12206">CategorizeComment(E12206)</f>
        <v>Other</v>
      </c>
      <c r="G12206" t="str" cm="1">
        <f t="array" ref="G12206">SubCategorizeComment(E12206)</f>
        <v>Other</v>
      </c>
    </row>
    <row r="12207" spans="1:7" x14ac:dyDescent="0.25">
      <c r="A12207">
        <v>116187</v>
      </c>
      <c r="B12207" t="s">
        <v>4</v>
      </c>
      <c r="C12207">
        <v>3</v>
      </c>
      <c r="D12207" t="s">
        <v>5</v>
      </c>
      <c r="F12207" t="str" cm="1">
        <f t="array" ref="F12207">CategorizeComment(E12207)</f>
        <v>Other</v>
      </c>
      <c r="G12207" t="str" cm="1">
        <f t="array" ref="G12207">SubCategorizeComment(E12207)</f>
        <v>Other</v>
      </c>
    </row>
    <row r="12208" spans="1:7" x14ac:dyDescent="0.25">
      <c r="A12208">
        <v>116191</v>
      </c>
      <c r="B12208" t="s">
        <v>4</v>
      </c>
      <c r="C12208">
        <v>3</v>
      </c>
      <c r="D12208" t="s">
        <v>5</v>
      </c>
      <c r="F12208" t="str" cm="1">
        <f t="array" ref="F12208">CategorizeComment(E12208)</f>
        <v>Other</v>
      </c>
      <c r="G12208" t="str" cm="1">
        <f t="array" ref="G12208">SubCategorizeComment(E12208)</f>
        <v>Other</v>
      </c>
    </row>
    <row r="12209" spans="1:7" x14ac:dyDescent="0.25">
      <c r="A12209">
        <v>116199</v>
      </c>
      <c r="B12209" t="s">
        <v>4</v>
      </c>
      <c r="C12209">
        <v>4</v>
      </c>
      <c r="D12209" t="s">
        <v>5</v>
      </c>
      <c r="F12209" t="str" cm="1">
        <f t="array" ref="F12209">CategorizeComment(E12209)</f>
        <v>Other</v>
      </c>
      <c r="G12209" t="str" cm="1">
        <f t="array" ref="G12209">SubCategorizeComment(E12209)</f>
        <v>Other</v>
      </c>
    </row>
    <row r="12210" spans="1:7" x14ac:dyDescent="0.25">
      <c r="A12210">
        <v>116214</v>
      </c>
      <c r="B12210" t="s">
        <v>4</v>
      </c>
      <c r="C12210">
        <v>3</v>
      </c>
      <c r="D12210" t="s">
        <v>5</v>
      </c>
      <c r="F12210" t="str" cm="1">
        <f t="array" ref="F12210">CategorizeComment(E12210)</f>
        <v>Other</v>
      </c>
      <c r="G12210" t="str" cm="1">
        <f t="array" ref="G12210">SubCategorizeComment(E12210)</f>
        <v>Other</v>
      </c>
    </row>
    <row r="12211" spans="1:7" x14ac:dyDescent="0.25">
      <c r="A12211">
        <v>116219</v>
      </c>
      <c r="B12211" t="s">
        <v>4</v>
      </c>
      <c r="C12211">
        <v>4</v>
      </c>
      <c r="D12211" t="s">
        <v>5</v>
      </c>
      <c r="F12211" t="str" cm="1">
        <f t="array" ref="F12211">CategorizeComment(E12211)</f>
        <v>Other</v>
      </c>
      <c r="G12211" t="str" cm="1">
        <f t="array" ref="G12211">SubCategorizeComment(E12211)</f>
        <v>Other</v>
      </c>
    </row>
    <row r="12212" spans="1:7" x14ac:dyDescent="0.25">
      <c r="A12212">
        <v>116221</v>
      </c>
      <c r="B12212" t="s">
        <v>4</v>
      </c>
      <c r="C12212">
        <v>4</v>
      </c>
      <c r="D12212" t="s">
        <v>5</v>
      </c>
      <c r="F12212" t="str" cm="1">
        <f t="array" ref="F12212">CategorizeComment(E12212)</f>
        <v>Other</v>
      </c>
      <c r="G12212" t="str" cm="1">
        <f t="array" ref="G12212">SubCategorizeComment(E12212)</f>
        <v>Other</v>
      </c>
    </row>
    <row r="12213" spans="1:7" x14ac:dyDescent="0.25">
      <c r="A12213">
        <v>116236</v>
      </c>
      <c r="B12213" t="s">
        <v>4</v>
      </c>
      <c r="C12213">
        <v>4</v>
      </c>
      <c r="D12213" t="s">
        <v>5</v>
      </c>
      <c r="F12213" t="str" cm="1">
        <f t="array" ref="F12213">CategorizeComment(E12213)</f>
        <v>Other</v>
      </c>
      <c r="G12213" t="str" cm="1">
        <f t="array" ref="G12213">SubCategorizeComment(E12213)</f>
        <v>Other</v>
      </c>
    </row>
    <row r="12214" spans="1:7" x14ac:dyDescent="0.25">
      <c r="A12214">
        <v>116248</v>
      </c>
      <c r="B12214" t="s">
        <v>4</v>
      </c>
      <c r="C12214">
        <v>3</v>
      </c>
      <c r="D12214" t="s">
        <v>5</v>
      </c>
      <c r="F12214" t="str" cm="1">
        <f t="array" ref="F12214">CategorizeComment(E12214)</f>
        <v>Other</v>
      </c>
      <c r="G12214" t="str" cm="1">
        <f t="array" ref="G12214">SubCategorizeComment(E12214)</f>
        <v>Other</v>
      </c>
    </row>
    <row r="12215" spans="1:7" x14ac:dyDescent="0.25">
      <c r="A12215">
        <v>116258</v>
      </c>
      <c r="B12215" t="s">
        <v>4</v>
      </c>
      <c r="C12215">
        <v>3</v>
      </c>
      <c r="D12215" t="s">
        <v>5</v>
      </c>
      <c r="F12215" t="str" cm="1">
        <f t="array" ref="F12215">CategorizeComment(E12215)</f>
        <v>Other</v>
      </c>
      <c r="G12215" t="str" cm="1">
        <f t="array" ref="G12215">SubCategorizeComment(E12215)</f>
        <v>Other</v>
      </c>
    </row>
    <row r="12216" spans="1:7" x14ac:dyDescent="0.25">
      <c r="A12216">
        <v>116259</v>
      </c>
      <c r="B12216" t="s">
        <v>4</v>
      </c>
      <c r="C12216">
        <v>3</v>
      </c>
      <c r="D12216" t="s">
        <v>5</v>
      </c>
      <c r="F12216" t="str" cm="1">
        <f t="array" ref="F12216">CategorizeComment(E12216)</f>
        <v>Other</v>
      </c>
      <c r="G12216" t="str" cm="1">
        <f t="array" ref="G12216">SubCategorizeComment(E12216)</f>
        <v>Other</v>
      </c>
    </row>
    <row r="12217" spans="1:7" x14ac:dyDescent="0.25">
      <c r="A12217">
        <v>116282</v>
      </c>
      <c r="B12217" t="s">
        <v>4</v>
      </c>
      <c r="C12217">
        <v>3</v>
      </c>
      <c r="D12217" t="s">
        <v>5</v>
      </c>
      <c r="F12217" t="str" cm="1">
        <f t="array" ref="F12217">CategorizeComment(E12217)</f>
        <v>Other</v>
      </c>
      <c r="G12217" t="str" cm="1">
        <f t="array" ref="G12217">SubCategorizeComment(E12217)</f>
        <v>Other</v>
      </c>
    </row>
    <row r="12218" spans="1:7" x14ac:dyDescent="0.25">
      <c r="A12218">
        <v>116286</v>
      </c>
      <c r="B12218" t="s">
        <v>4</v>
      </c>
      <c r="C12218">
        <v>3</v>
      </c>
      <c r="D12218" t="s">
        <v>5</v>
      </c>
      <c r="F12218" t="str" cm="1">
        <f t="array" ref="F12218">CategorizeComment(E12218)</f>
        <v>Other</v>
      </c>
      <c r="G12218" t="str" cm="1">
        <f t="array" ref="G12218">SubCategorizeComment(E12218)</f>
        <v>Other</v>
      </c>
    </row>
    <row r="12219" spans="1:7" x14ac:dyDescent="0.25">
      <c r="A12219">
        <v>116290</v>
      </c>
      <c r="B12219" t="s">
        <v>4</v>
      </c>
      <c r="C12219">
        <v>3</v>
      </c>
      <c r="D12219" t="s">
        <v>5</v>
      </c>
      <c r="F12219" t="str" cm="1">
        <f t="array" ref="F12219">CategorizeComment(E12219)</f>
        <v>Other</v>
      </c>
      <c r="G12219" t="str" cm="1">
        <f t="array" ref="G12219">SubCategorizeComment(E12219)</f>
        <v>Other</v>
      </c>
    </row>
    <row r="12220" spans="1:7" x14ac:dyDescent="0.25">
      <c r="A12220">
        <v>116293</v>
      </c>
      <c r="B12220" t="s">
        <v>4</v>
      </c>
      <c r="C12220">
        <v>4</v>
      </c>
      <c r="D12220" t="s">
        <v>5</v>
      </c>
      <c r="F12220" t="str" cm="1">
        <f t="array" ref="F12220">CategorizeComment(E12220)</f>
        <v>Other</v>
      </c>
      <c r="G12220" t="str" cm="1">
        <f t="array" ref="G12220">SubCategorizeComment(E12220)</f>
        <v>Other</v>
      </c>
    </row>
    <row r="12221" spans="1:7" x14ac:dyDescent="0.25">
      <c r="A12221">
        <v>116301</v>
      </c>
      <c r="B12221" t="s">
        <v>4</v>
      </c>
      <c r="C12221">
        <v>4</v>
      </c>
      <c r="D12221" t="s">
        <v>5</v>
      </c>
      <c r="F12221" t="str" cm="1">
        <f t="array" ref="F12221">CategorizeComment(E12221)</f>
        <v>Other</v>
      </c>
      <c r="G12221" t="str" cm="1">
        <f t="array" ref="G12221">SubCategorizeComment(E12221)</f>
        <v>Other</v>
      </c>
    </row>
    <row r="12222" spans="1:7" x14ac:dyDescent="0.25">
      <c r="A12222">
        <v>116305</v>
      </c>
      <c r="B12222" t="s">
        <v>4</v>
      </c>
      <c r="C12222">
        <v>3</v>
      </c>
      <c r="D12222" t="s">
        <v>5</v>
      </c>
      <c r="F12222" t="str" cm="1">
        <f t="array" ref="F12222">CategorizeComment(E12222)</f>
        <v>Other</v>
      </c>
      <c r="G12222" t="str" cm="1">
        <f t="array" ref="G12222">SubCategorizeComment(E12222)</f>
        <v>Other</v>
      </c>
    </row>
    <row r="12223" spans="1:7" x14ac:dyDescent="0.25">
      <c r="A12223">
        <v>116331</v>
      </c>
      <c r="B12223" t="s">
        <v>4</v>
      </c>
      <c r="C12223">
        <v>4</v>
      </c>
      <c r="D12223" t="s">
        <v>5</v>
      </c>
      <c r="F12223" t="str" cm="1">
        <f t="array" ref="F12223">CategorizeComment(E12223)</f>
        <v>Other</v>
      </c>
      <c r="G12223" t="str" cm="1">
        <f t="array" ref="G12223">SubCategorizeComment(E12223)</f>
        <v>Other</v>
      </c>
    </row>
    <row r="12224" spans="1:7" x14ac:dyDescent="0.25">
      <c r="A12224">
        <v>116353</v>
      </c>
      <c r="B12224" t="s">
        <v>4</v>
      </c>
      <c r="C12224">
        <v>3</v>
      </c>
      <c r="D12224" t="s">
        <v>5</v>
      </c>
      <c r="F12224" t="str" cm="1">
        <f t="array" ref="F12224">CategorizeComment(E12224)</f>
        <v>Other</v>
      </c>
      <c r="G12224" t="str" cm="1">
        <f t="array" ref="G12224">SubCategorizeComment(E12224)</f>
        <v>Other</v>
      </c>
    </row>
    <row r="12225" spans="1:7" x14ac:dyDescent="0.25">
      <c r="A12225">
        <v>116357</v>
      </c>
      <c r="B12225" t="s">
        <v>4</v>
      </c>
      <c r="C12225">
        <v>3</v>
      </c>
      <c r="D12225" t="s">
        <v>5</v>
      </c>
      <c r="F12225" t="str" cm="1">
        <f t="array" ref="F12225">CategorizeComment(E12225)</f>
        <v>Other</v>
      </c>
      <c r="G12225" t="str" cm="1">
        <f t="array" ref="G12225">SubCategorizeComment(E12225)</f>
        <v>Other</v>
      </c>
    </row>
    <row r="12226" spans="1:7" x14ac:dyDescent="0.25">
      <c r="A12226">
        <v>116376</v>
      </c>
      <c r="B12226" t="s">
        <v>4</v>
      </c>
      <c r="C12226">
        <v>4</v>
      </c>
      <c r="D12226" t="s">
        <v>5</v>
      </c>
      <c r="F12226" t="str" cm="1">
        <f t="array" ref="F12226">CategorizeComment(E12226)</f>
        <v>Other</v>
      </c>
      <c r="G12226" t="str" cm="1">
        <f t="array" ref="G12226">SubCategorizeComment(E12226)</f>
        <v>Other</v>
      </c>
    </row>
    <row r="12227" spans="1:7" x14ac:dyDescent="0.25">
      <c r="A12227">
        <v>116383</v>
      </c>
      <c r="B12227" t="s">
        <v>4</v>
      </c>
      <c r="C12227">
        <v>4</v>
      </c>
      <c r="D12227" t="s">
        <v>5</v>
      </c>
      <c r="F12227" t="str" cm="1">
        <f t="array" ref="F12227">CategorizeComment(E12227)</f>
        <v>Other</v>
      </c>
      <c r="G12227" t="str" cm="1">
        <f t="array" ref="G12227">SubCategorizeComment(E12227)</f>
        <v>Other</v>
      </c>
    </row>
    <row r="12228" spans="1:7" x14ac:dyDescent="0.25">
      <c r="A12228">
        <v>116386</v>
      </c>
      <c r="B12228" t="s">
        <v>4</v>
      </c>
      <c r="C12228">
        <v>4</v>
      </c>
      <c r="D12228" t="s">
        <v>5</v>
      </c>
      <c r="F12228" t="str" cm="1">
        <f t="array" ref="F12228">CategorizeComment(E12228)</f>
        <v>Other</v>
      </c>
      <c r="G12228" t="str" cm="1">
        <f t="array" ref="G12228">SubCategorizeComment(E12228)</f>
        <v>Other</v>
      </c>
    </row>
    <row r="12229" spans="1:7" x14ac:dyDescent="0.25">
      <c r="A12229">
        <v>116387</v>
      </c>
      <c r="B12229" t="s">
        <v>4</v>
      </c>
      <c r="C12229">
        <v>3</v>
      </c>
      <c r="D12229" t="s">
        <v>5</v>
      </c>
      <c r="F12229" t="str" cm="1">
        <f t="array" ref="F12229">CategorizeComment(E12229)</f>
        <v>Other</v>
      </c>
      <c r="G12229" t="str" cm="1">
        <f t="array" ref="G12229">SubCategorizeComment(E12229)</f>
        <v>Other</v>
      </c>
    </row>
    <row r="12230" spans="1:7" x14ac:dyDescent="0.25">
      <c r="A12230">
        <v>116401</v>
      </c>
      <c r="B12230" t="s">
        <v>4</v>
      </c>
      <c r="C12230">
        <v>4</v>
      </c>
      <c r="D12230" t="s">
        <v>5</v>
      </c>
      <c r="F12230" t="str" cm="1">
        <f t="array" ref="F12230">CategorizeComment(E12230)</f>
        <v>Other</v>
      </c>
      <c r="G12230" t="str" cm="1">
        <f t="array" ref="G12230">SubCategorizeComment(E12230)</f>
        <v>Other</v>
      </c>
    </row>
    <row r="12231" spans="1:7" x14ac:dyDescent="0.25">
      <c r="A12231">
        <v>116415</v>
      </c>
      <c r="B12231" t="s">
        <v>4</v>
      </c>
      <c r="C12231">
        <v>3</v>
      </c>
      <c r="D12231" t="s">
        <v>5</v>
      </c>
      <c r="F12231" t="str" cm="1">
        <f t="array" ref="F12231">CategorizeComment(E12231)</f>
        <v>Other</v>
      </c>
      <c r="G12231" t="str" cm="1">
        <f t="array" ref="G12231">SubCategorizeComment(E12231)</f>
        <v>Other</v>
      </c>
    </row>
    <row r="12232" spans="1:7" x14ac:dyDescent="0.25">
      <c r="A12232">
        <v>116416</v>
      </c>
      <c r="B12232" t="s">
        <v>4</v>
      </c>
      <c r="C12232">
        <v>4</v>
      </c>
      <c r="D12232" t="s">
        <v>5</v>
      </c>
      <c r="F12232" t="str" cm="1">
        <f t="array" ref="F12232">CategorizeComment(E12232)</f>
        <v>Other</v>
      </c>
      <c r="G12232" t="str" cm="1">
        <f t="array" ref="G12232">SubCategorizeComment(E12232)</f>
        <v>Other</v>
      </c>
    </row>
    <row r="12233" spans="1:7" x14ac:dyDescent="0.25">
      <c r="A12233">
        <v>116450</v>
      </c>
      <c r="B12233" t="s">
        <v>4</v>
      </c>
      <c r="C12233">
        <v>3</v>
      </c>
      <c r="D12233" t="s">
        <v>5</v>
      </c>
      <c r="F12233" t="str" cm="1">
        <f t="array" ref="F12233">CategorizeComment(E12233)</f>
        <v>Other</v>
      </c>
      <c r="G12233" t="str" cm="1">
        <f t="array" ref="G12233">SubCategorizeComment(E12233)</f>
        <v>Other</v>
      </c>
    </row>
    <row r="12234" spans="1:7" x14ac:dyDescent="0.25">
      <c r="A12234">
        <v>116460</v>
      </c>
      <c r="B12234" t="s">
        <v>4</v>
      </c>
      <c r="C12234">
        <v>4</v>
      </c>
      <c r="D12234" t="s">
        <v>5</v>
      </c>
      <c r="F12234" t="str" cm="1">
        <f t="array" ref="F12234">CategorizeComment(E12234)</f>
        <v>Other</v>
      </c>
      <c r="G12234" t="str" cm="1">
        <f t="array" ref="G12234">SubCategorizeComment(E12234)</f>
        <v>Other</v>
      </c>
    </row>
    <row r="12235" spans="1:7" x14ac:dyDescent="0.25">
      <c r="A12235">
        <v>116468</v>
      </c>
      <c r="B12235" t="s">
        <v>4</v>
      </c>
      <c r="C12235">
        <v>4</v>
      </c>
      <c r="D12235" t="s">
        <v>5</v>
      </c>
      <c r="F12235" t="str" cm="1">
        <f t="array" ref="F12235">CategorizeComment(E12235)</f>
        <v>Other</v>
      </c>
      <c r="G12235" t="str" cm="1">
        <f t="array" ref="G12235">SubCategorizeComment(E12235)</f>
        <v>Other</v>
      </c>
    </row>
    <row r="12236" spans="1:7" x14ac:dyDescent="0.25">
      <c r="A12236">
        <v>116476</v>
      </c>
      <c r="B12236" t="s">
        <v>4</v>
      </c>
      <c r="C12236">
        <v>3</v>
      </c>
      <c r="D12236" t="s">
        <v>5</v>
      </c>
      <c r="F12236" t="str" cm="1">
        <f t="array" ref="F12236">CategorizeComment(E12236)</f>
        <v>Other</v>
      </c>
      <c r="G12236" t="str" cm="1">
        <f t="array" ref="G12236">SubCategorizeComment(E12236)</f>
        <v>Other</v>
      </c>
    </row>
    <row r="12237" spans="1:7" x14ac:dyDescent="0.25">
      <c r="A12237">
        <v>116479</v>
      </c>
      <c r="B12237" t="s">
        <v>4</v>
      </c>
      <c r="C12237">
        <v>3</v>
      </c>
      <c r="D12237" t="s">
        <v>5</v>
      </c>
      <c r="F12237" t="str" cm="1">
        <f t="array" ref="F12237">CategorizeComment(E12237)</f>
        <v>Other</v>
      </c>
      <c r="G12237" t="str" cm="1">
        <f t="array" ref="G12237">SubCategorizeComment(E12237)</f>
        <v>Other</v>
      </c>
    </row>
    <row r="12238" spans="1:7" x14ac:dyDescent="0.25">
      <c r="A12238">
        <v>116483</v>
      </c>
      <c r="B12238" t="s">
        <v>4</v>
      </c>
      <c r="C12238">
        <v>3</v>
      </c>
      <c r="D12238" t="s">
        <v>5</v>
      </c>
      <c r="F12238" t="str" cm="1">
        <f t="array" ref="F12238">CategorizeComment(E12238)</f>
        <v>Other</v>
      </c>
      <c r="G12238" t="str" cm="1">
        <f t="array" ref="G12238">SubCategorizeComment(E12238)</f>
        <v>Other</v>
      </c>
    </row>
    <row r="12239" spans="1:7" x14ac:dyDescent="0.25">
      <c r="A12239">
        <v>116486</v>
      </c>
      <c r="B12239" t="s">
        <v>4</v>
      </c>
      <c r="C12239">
        <v>3</v>
      </c>
      <c r="D12239" t="s">
        <v>5</v>
      </c>
      <c r="F12239" t="str" cm="1">
        <f t="array" ref="F12239">CategorizeComment(E12239)</f>
        <v>Other</v>
      </c>
      <c r="G12239" t="str" cm="1">
        <f t="array" ref="G12239">SubCategorizeComment(E12239)</f>
        <v>Other</v>
      </c>
    </row>
    <row r="12240" spans="1:7" x14ac:dyDescent="0.25">
      <c r="A12240">
        <v>116489</v>
      </c>
      <c r="B12240" t="s">
        <v>4</v>
      </c>
      <c r="C12240">
        <v>4</v>
      </c>
      <c r="D12240" t="s">
        <v>5</v>
      </c>
      <c r="F12240" t="str" cm="1">
        <f t="array" ref="F12240">CategorizeComment(E12240)</f>
        <v>Other</v>
      </c>
      <c r="G12240" t="str" cm="1">
        <f t="array" ref="G12240">SubCategorizeComment(E12240)</f>
        <v>Other</v>
      </c>
    </row>
    <row r="12241" spans="1:7" x14ac:dyDescent="0.25">
      <c r="A12241">
        <v>116491</v>
      </c>
      <c r="B12241" t="s">
        <v>4</v>
      </c>
      <c r="C12241">
        <v>4</v>
      </c>
      <c r="D12241" t="s">
        <v>5</v>
      </c>
      <c r="F12241" t="str" cm="1">
        <f t="array" ref="F12241">CategorizeComment(E12241)</f>
        <v>Other</v>
      </c>
      <c r="G12241" t="str" cm="1">
        <f t="array" ref="G12241">SubCategorizeComment(E12241)</f>
        <v>Other</v>
      </c>
    </row>
    <row r="12242" spans="1:7" x14ac:dyDescent="0.25">
      <c r="A12242">
        <v>116496</v>
      </c>
      <c r="B12242" t="s">
        <v>4</v>
      </c>
      <c r="C12242">
        <v>4</v>
      </c>
      <c r="D12242" t="s">
        <v>5</v>
      </c>
      <c r="F12242" t="str" cm="1">
        <f t="array" ref="F12242">CategorizeComment(E12242)</f>
        <v>Other</v>
      </c>
      <c r="G12242" t="str" cm="1">
        <f t="array" ref="G12242">SubCategorizeComment(E12242)</f>
        <v>Other</v>
      </c>
    </row>
    <row r="12243" spans="1:7" x14ac:dyDescent="0.25">
      <c r="A12243">
        <v>116502</v>
      </c>
      <c r="B12243" t="s">
        <v>4</v>
      </c>
      <c r="C12243">
        <v>3</v>
      </c>
      <c r="D12243" t="s">
        <v>5</v>
      </c>
      <c r="F12243" t="str" cm="1">
        <f t="array" ref="F12243">CategorizeComment(E12243)</f>
        <v>Other</v>
      </c>
      <c r="G12243" t="str" cm="1">
        <f t="array" ref="G12243">SubCategorizeComment(E12243)</f>
        <v>Other</v>
      </c>
    </row>
    <row r="12244" spans="1:7" x14ac:dyDescent="0.25">
      <c r="A12244">
        <v>116504</v>
      </c>
      <c r="B12244" t="s">
        <v>4</v>
      </c>
      <c r="C12244">
        <v>4</v>
      </c>
      <c r="D12244" t="s">
        <v>5</v>
      </c>
      <c r="F12244" t="str" cm="1">
        <f t="array" ref="F12244">CategorizeComment(E12244)</f>
        <v>Other</v>
      </c>
      <c r="G12244" t="str" cm="1">
        <f t="array" ref="G12244">SubCategorizeComment(E12244)</f>
        <v>Other</v>
      </c>
    </row>
    <row r="12245" spans="1:7" x14ac:dyDescent="0.25">
      <c r="A12245">
        <v>116512</v>
      </c>
      <c r="B12245" t="s">
        <v>4</v>
      </c>
      <c r="C12245">
        <v>4</v>
      </c>
      <c r="D12245" t="s">
        <v>5</v>
      </c>
      <c r="F12245" t="str" cm="1">
        <f t="array" ref="F12245">CategorizeComment(E12245)</f>
        <v>Other</v>
      </c>
      <c r="G12245" t="str" cm="1">
        <f t="array" ref="G12245">SubCategorizeComment(E12245)</f>
        <v>Other</v>
      </c>
    </row>
    <row r="12246" spans="1:7" x14ac:dyDescent="0.25">
      <c r="A12246">
        <v>116520</v>
      </c>
      <c r="B12246" t="s">
        <v>4</v>
      </c>
      <c r="C12246">
        <v>3</v>
      </c>
      <c r="D12246" t="s">
        <v>5</v>
      </c>
      <c r="F12246" t="str" cm="1">
        <f t="array" ref="F12246">CategorizeComment(E12246)</f>
        <v>Other</v>
      </c>
      <c r="G12246" t="str" cm="1">
        <f t="array" ref="G12246">SubCategorizeComment(E12246)</f>
        <v>Other</v>
      </c>
    </row>
    <row r="12247" spans="1:7" x14ac:dyDescent="0.25">
      <c r="A12247">
        <v>116534</v>
      </c>
      <c r="B12247" t="s">
        <v>4</v>
      </c>
      <c r="C12247">
        <v>4</v>
      </c>
      <c r="D12247" t="s">
        <v>5</v>
      </c>
      <c r="F12247" t="str" cm="1">
        <f t="array" ref="F12247">CategorizeComment(E12247)</f>
        <v>Other</v>
      </c>
      <c r="G12247" t="str" cm="1">
        <f t="array" ref="G12247">SubCategorizeComment(E12247)</f>
        <v>Other</v>
      </c>
    </row>
    <row r="12248" spans="1:7" x14ac:dyDescent="0.25">
      <c r="A12248">
        <v>116535</v>
      </c>
      <c r="B12248" t="s">
        <v>4</v>
      </c>
      <c r="C12248">
        <v>4</v>
      </c>
      <c r="D12248" t="s">
        <v>5</v>
      </c>
      <c r="F12248" t="str" cm="1">
        <f t="array" ref="F12248">CategorizeComment(E12248)</f>
        <v>Other</v>
      </c>
      <c r="G12248" t="str" cm="1">
        <f t="array" ref="G12248">SubCategorizeComment(E12248)</f>
        <v>Other</v>
      </c>
    </row>
    <row r="12249" spans="1:7" x14ac:dyDescent="0.25">
      <c r="A12249">
        <v>116547</v>
      </c>
      <c r="B12249" t="s">
        <v>4</v>
      </c>
      <c r="C12249">
        <v>4</v>
      </c>
      <c r="D12249" t="s">
        <v>5</v>
      </c>
      <c r="F12249" t="str" cm="1">
        <f t="array" ref="F12249">CategorizeComment(E12249)</f>
        <v>Other</v>
      </c>
      <c r="G12249" t="str" cm="1">
        <f t="array" ref="G12249">SubCategorizeComment(E12249)</f>
        <v>Other</v>
      </c>
    </row>
    <row r="12250" spans="1:7" x14ac:dyDescent="0.25">
      <c r="A12250">
        <v>116550</v>
      </c>
      <c r="B12250" t="s">
        <v>4</v>
      </c>
      <c r="C12250">
        <v>4</v>
      </c>
      <c r="D12250" t="s">
        <v>5</v>
      </c>
      <c r="F12250" t="str" cm="1">
        <f t="array" ref="F12250">CategorizeComment(E12250)</f>
        <v>Other</v>
      </c>
      <c r="G12250" t="str" cm="1">
        <f t="array" ref="G12250">SubCategorizeComment(E12250)</f>
        <v>Other</v>
      </c>
    </row>
    <row r="12251" spans="1:7" x14ac:dyDescent="0.25">
      <c r="A12251">
        <v>116553</v>
      </c>
      <c r="B12251" t="s">
        <v>4</v>
      </c>
      <c r="C12251">
        <v>3</v>
      </c>
      <c r="D12251" t="s">
        <v>5</v>
      </c>
      <c r="F12251" t="str" cm="1">
        <f t="array" ref="F12251">CategorizeComment(E12251)</f>
        <v>Other</v>
      </c>
      <c r="G12251" t="str" cm="1">
        <f t="array" ref="G12251">SubCategorizeComment(E12251)</f>
        <v>Other</v>
      </c>
    </row>
    <row r="12252" spans="1:7" x14ac:dyDescent="0.25">
      <c r="A12252">
        <v>116600</v>
      </c>
      <c r="B12252" t="s">
        <v>4</v>
      </c>
      <c r="C12252">
        <v>3</v>
      </c>
      <c r="D12252" t="s">
        <v>5</v>
      </c>
      <c r="F12252" t="str" cm="1">
        <f t="array" ref="F12252">CategorizeComment(E12252)</f>
        <v>Other</v>
      </c>
      <c r="G12252" t="str" cm="1">
        <f t="array" ref="G12252">SubCategorizeComment(E12252)</f>
        <v>Other</v>
      </c>
    </row>
    <row r="12253" spans="1:7" x14ac:dyDescent="0.25">
      <c r="A12253">
        <v>116618</v>
      </c>
      <c r="B12253" t="s">
        <v>4</v>
      </c>
      <c r="C12253">
        <v>3</v>
      </c>
      <c r="D12253" t="s">
        <v>5</v>
      </c>
      <c r="F12253" t="str" cm="1">
        <f t="array" ref="F12253">CategorizeComment(E12253)</f>
        <v>Other</v>
      </c>
      <c r="G12253" t="str" cm="1">
        <f t="array" ref="G12253">SubCategorizeComment(E12253)</f>
        <v>Other</v>
      </c>
    </row>
    <row r="12254" spans="1:7" x14ac:dyDescent="0.25">
      <c r="A12254">
        <v>116629</v>
      </c>
      <c r="B12254" t="s">
        <v>4</v>
      </c>
      <c r="C12254">
        <v>4</v>
      </c>
      <c r="D12254" t="s">
        <v>5</v>
      </c>
      <c r="F12254" t="str" cm="1">
        <f t="array" ref="F12254">CategorizeComment(E12254)</f>
        <v>Other</v>
      </c>
      <c r="G12254" t="str" cm="1">
        <f t="array" ref="G12254">SubCategorizeComment(E12254)</f>
        <v>Other</v>
      </c>
    </row>
    <row r="12255" spans="1:7" x14ac:dyDescent="0.25">
      <c r="A12255">
        <v>116635</v>
      </c>
      <c r="B12255" t="s">
        <v>4</v>
      </c>
      <c r="C12255">
        <v>4</v>
      </c>
      <c r="D12255" t="s">
        <v>5</v>
      </c>
      <c r="F12255" t="str" cm="1">
        <f t="array" ref="F12255">CategorizeComment(E12255)</f>
        <v>Other</v>
      </c>
      <c r="G12255" t="str" cm="1">
        <f t="array" ref="G12255">SubCategorizeComment(E12255)</f>
        <v>Other</v>
      </c>
    </row>
    <row r="12256" spans="1:7" x14ac:dyDescent="0.25">
      <c r="A12256">
        <v>116637</v>
      </c>
      <c r="B12256" t="s">
        <v>4</v>
      </c>
      <c r="C12256">
        <v>4</v>
      </c>
      <c r="D12256" t="s">
        <v>5</v>
      </c>
      <c r="F12256" t="str" cm="1">
        <f t="array" ref="F12256">CategorizeComment(E12256)</f>
        <v>Other</v>
      </c>
      <c r="G12256" t="str" cm="1">
        <f t="array" ref="G12256">SubCategorizeComment(E12256)</f>
        <v>Other</v>
      </c>
    </row>
    <row r="12257" spans="1:7" x14ac:dyDescent="0.25">
      <c r="A12257">
        <v>116656</v>
      </c>
      <c r="B12257" t="s">
        <v>4</v>
      </c>
      <c r="C12257">
        <v>4</v>
      </c>
      <c r="D12257" t="s">
        <v>5</v>
      </c>
      <c r="F12257" t="str" cm="1">
        <f t="array" ref="F12257">CategorizeComment(E12257)</f>
        <v>Other</v>
      </c>
      <c r="G12257" t="str" cm="1">
        <f t="array" ref="G12257">SubCategorizeComment(E12257)</f>
        <v>Other</v>
      </c>
    </row>
    <row r="12258" spans="1:7" x14ac:dyDescent="0.25">
      <c r="A12258">
        <v>116664</v>
      </c>
      <c r="B12258" t="s">
        <v>4</v>
      </c>
      <c r="C12258">
        <v>3</v>
      </c>
      <c r="D12258" t="s">
        <v>5</v>
      </c>
      <c r="F12258" t="str" cm="1">
        <f t="array" ref="F12258">CategorizeComment(E12258)</f>
        <v>Other</v>
      </c>
      <c r="G12258" t="str" cm="1">
        <f t="array" ref="G12258">SubCategorizeComment(E12258)</f>
        <v>Other</v>
      </c>
    </row>
    <row r="12259" spans="1:7" x14ac:dyDescent="0.25">
      <c r="A12259">
        <v>116668</v>
      </c>
      <c r="B12259" t="s">
        <v>4</v>
      </c>
      <c r="C12259">
        <v>3</v>
      </c>
      <c r="D12259" t="s">
        <v>5</v>
      </c>
      <c r="F12259" t="str" cm="1">
        <f t="array" ref="F12259">CategorizeComment(E12259)</f>
        <v>Other</v>
      </c>
      <c r="G12259" t="str" cm="1">
        <f t="array" ref="G12259">SubCategorizeComment(E12259)</f>
        <v>Other</v>
      </c>
    </row>
    <row r="12260" spans="1:7" x14ac:dyDescent="0.25">
      <c r="A12260">
        <v>116671</v>
      </c>
      <c r="B12260" t="s">
        <v>4</v>
      </c>
      <c r="C12260">
        <v>3</v>
      </c>
      <c r="D12260" t="s">
        <v>5</v>
      </c>
      <c r="F12260" t="str" cm="1">
        <f t="array" ref="F12260">CategorizeComment(E12260)</f>
        <v>Other</v>
      </c>
      <c r="G12260" t="str" cm="1">
        <f t="array" ref="G12260">SubCategorizeComment(E12260)</f>
        <v>Other</v>
      </c>
    </row>
    <row r="12261" spans="1:7" x14ac:dyDescent="0.25">
      <c r="A12261">
        <v>116677</v>
      </c>
      <c r="B12261" t="s">
        <v>4</v>
      </c>
      <c r="C12261">
        <v>3</v>
      </c>
      <c r="D12261" t="s">
        <v>5</v>
      </c>
      <c r="F12261" t="str" cm="1">
        <f t="array" ref="F12261">CategorizeComment(E12261)</f>
        <v>Other</v>
      </c>
      <c r="G12261" t="str" cm="1">
        <f t="array" ref="G12261">SubCategorizeComment(E12261)</f>
        <v>Other</v>
      </c>
    </row>
    <row r="12262" spans="1:7" x14ac:dyDescent="0.25">
      <c r="A12262">
        <v>116688</v>
      </c>
      <c r="B12262" t="s">
        <v>4</v>
      </c>
      <c r="C12262">
        <v>3</v>
      </c>
      <c r="D12262" t="s">
        <v>5</v>
      </c>
      <c r="F12262" t="str" cm="1">
        <f t="array" ref="F12262">CategorizeComment(E12262)</f>
        <v>Other</v>
      </c>
      <c r="G12262" t="str" cm="1">
        <f t="array" ref="G12262">SubCategorizeComment(E12262)</f>
        <v>Other</v>
      </c>
    </row>
    <row r="12263" spans="1:7" x14ac:dyDescent="0.25">
      <c r="A12263">
        <v>116697</v>
      </c>
      <c r="B12263" t="s">
        <v>4</v>
      </c>
      <c r="C12263">
        <v>4</v>
      </c>
      <c r="D12263" t="s">
        <v>5</v>
      </c>
      <c r="F12263" t="str" cm="1">
        <f t="array" ref="F12263">CategorizeComment(E12263)</f>
        <v>Other</v>
      </c>
      <c r="G12263" t="str" cm="1">
        <f t="array" ref="G12263">SubCategorizeComment(E12263)</f>
        <v>Other</v>
      </c>
    </row>
    <row r="12264" spans="1:7" x14ac:dyDescent="0.25">
      <c r="A12264">
        <v>116700</v>
      </c>
      <c r="B12264" t="s">
        <v>4</v>
      </c>
      <c r="C12264">
        <v>3</v>
      </c>
      <c r="D12264" t="s">
        <v>5</v>
      </c>
      <c r="F12264" t="str" cm="1">
        <f t="array" ref="F12264">CategorizeComment(E12264)</f>
        <v>Other</v>
      </c>
      <c r="G12264" t="str" cm="1">
        <f t="array" ref="G12264">SubCategorizeComment(E12264)</f>
        <v>Other</v>
      </c>
    </row>
    <row r="12265" spans="1:7" x14ac:dyDescent="0.25">
      <c r="A12265">
        <v>116704</v>
      </c>
      <c r="B12265" t="s">
        <v>4</v>
      </c>
      <c r="C12265">
        <v>4</v>
      </c>
      <c r="D12265" t="s">
        <v>5</v>
      </c>
      <c r="F12265" t="str" cm="1">
        <f t="array" ref="F12265">CategorizeComment(E12265)</f>
        <v>Other</v>
      </c>
      <c r="G12265" t="str" cm="1">
        <f t="array" ref="G12265">SubCategorizeComment(E12265)</f>
        <v>Other</v>
      </c>
    </row>
    <row r="12266" spans="1:7" x14ac:dyDescent="0.25">
      <c r="A12266">
        <v>116705</v>
      </c>
      <c r="B12266" t="s">
        <v>4</v>
      </c>
      <c r="C12266">
        <v>3</v>
      </c>
      <c r="D12266" t="s">
        <v>5</v>
      </c>
      <c r="F12266" t="str" cm="1">
        <f t="array" ref="F12266">CategorizeComment(E12266)</f>
        <v>Other</v>
      </c>
      <c r="G12266" t="str" cm="1">
        <f t="array" ref="G12266">SubCategorizeComment(E12266)</f>
        <v>Other</v>
      </c>
    </row>
    <row r="12267" spans="1:7" x14ac:dyDescent="0.25">
      <c r="A12267">
        <v>116712</v>
      </c>
      <c r="B12267" t="s">
        <v>4</v>
      </c>
      <c r="C12267">
        <v>3</v>
      </c>
      <c r="D12267" t="s">
        <v>5</v>
      </c>
      <c r="F12267" t="str" cm="1">
        <f t="array" ref="F12267">CategorizeComment(E12267)</f>
        <v>Other</v>
      </c>
      <c r="G12267" t="str" cm="1">
        <f t="array" ref="G12267">SubCategorizeComment(E12267)</f>
        <v>Other</v>
      </c>
    </row>
    <row r="12268" spans="1:7" x14ac:dyDescent="0.25">
      <c r="A12268">
        <v>116713</v>
      </c>
      <c r="B12268" t="s">
        <v>4</v>
      </c>
      <c r="C12268">
        <v>3</v>
      </c>
      <c r="D12268" t="s">
        <v>5</v>
      </c>
      <c r="F12268" t="str" cm="1">
        <f t="array" ref="F12268">CategorizeComment(E12268)</f>
        <v>Other</v>
      </c>
      <c r="G12268" t="str" cm="1">
        <f t="array" ref="G12268">SubCategorizeComment(E12268)</f>
        <v>Other</v>
      </c>
    </row>
    <row r="12269" spans="1:7" x14ac:dyDescent="0.25">
      <c r="A12269">
        <v>116715</v>
      </c>
      <c r="B12269" t="s">
        <v>4</v>
      </c>
      <c r="C12269">
        <v>3</v>
      </c>
      <c r="D12269" t="s">
        <v>5</v>
      </c>
      <c r="F12269" t="str" cm="1">
        <f t="array" ref="F12269">CategorizeComment(E12269)</f>
        <v>Other</v>
      </c>
      <c r="G12269" t="str" cm="1">
        <f t="array" ref="G12269">SubCategorizeComment(E12269)</f>
        <v>Other</v>
      </c>
    </row>
    <row r="12270" spans="1:7" x14ac:dyDescent="0.25">
      <c r="A12270">
        <v>116740</v>
      </c>
      <c r="B12270" t="s">
        <v>4</v>
      </c>
      <c r="C12270">
        <v>3</v>
      </c>
      <c r="D12270" t="s">
        <v>5</v>
      </c>
      <c r="F12270" t="str" cm="1">
        <f t="array" ref="F12270">CategorizeComment(E12270)</f>
        <v>Other</v>
      </c>
      <c r="G12270" t="str" cm="1">
        <f t="array" ref="G12270">SubCategorizeComment(E12270)</f>
        <v>Other</v>
      </c>
    </row>
    <row r="12271" spans="1:7" x14ac:dyDescent="0.25">
      <c r="A12271">
        <v>116748</v>
      </c>
      <c r="B12271" t="s">
        <v>4</v>
      </c>
      <c r="C12271">
        <v>4</v>
      </c>
      <c r="D12271" t="s">
        <v>5</v>
      </c>
      <c r="F12271" t="str" cm="1">
        <f t="array" ref="F12271">CategorizeComment(E12271)</f>
        <v>Other</v>
      </c>
      <c r="G12271" t="str" cm="1">
        <f t="array" ref="G12271">SubCategorizeComment(E12271)</f>
        <v>Other</v>
      </c>
    </row>
    <row r="12272" spans="1:7" x14ac:dyDescent="0.25">
      <c r="A12272">
        <v>116752</v>
      </c>
      <c r="B12272" t="s">
        <v>4</v>
      </c>
      <c r="C12272">
        <v>4</v>
      </c>
      <c r="D12272" t="s">
        <v>5</v>
      </c>
      <c r="F12272" t="str" cm="1">
        <f t="array" ref="F12272">CategorizeComment(E12272)</f>
        <v>Other</v>
      </c>
      <c r="G12272" t="str" cm="1">
        <f t="array" ref="G12272">SubCategorizeComment(E12272)</f>
        <v>Other</v>
      </c>
    </row>
    <row r="12273" spans="1:7" x14ac:dyDescent="0.25">
      <c r="A12273">
        <v>116760</v>
      </c>
      <c r="B12273" t="s">
        <v>4</v>
      </c>
      <c r="C12273">
        <v>4</v>
      </c>
      <c r="D12273" t="s">
        <v>5</v>
      </c>
      <c r="F12273" t="str" cm="1">
        <f t="array" ref="F12273">CategorizeComment(E12273)</f>
        <v>Other</v>
      </c>
      <c r="G12273" t="str" cm="1">
        <f t="array" ref="G12273">SubCategorizeComment(E12273)</f>
        <v>Other</v>
      </c>
    </row>
    <row r="12274" spans="1:7" x14ac:dyDescent="0.25">
      <c r="A12274">
        <v>116773</v>
      </c>
      <c r="B12274" t="s">
        <v>4</v>
      </c>
      <c r="C12274">
        <v>3</v>
      </c>
      <c r="D12274" t="s">
        <v>5</v>
      </c>
      <c r="F12274" t="str" cm="1">
        <f t="array" ref="F12274">CategorizeComment(E12274)</f>
        <v>Other</v>
      </c>
      <c r="G12274" t="str" cm="1">
        <f t="array" ref="G12274">SubCategorizeComment(E12274)</f>
        <v>Other</v>
      </c>
    </row>
    <row r="12275" spans="1:7" x14ac:dyDescent="0.25">
      <c r="A12275">
        <v>116797</v>
      </c>
      <c r="B12275" t="s">
        <v>4</v>
      </c>
      <c r="C12275">
        <v>4</v>
      </c>
      <c r="D12275" t="s">
        <v>5</v>
      </c>
      <c r="F12275" t="str" cm="1">
        <f t="array" ref="F12275">CategorizeComment(E12275)</f>
        <v>Other</v>
      </c>
      <c r="G12275" t="str" cm="1">
        <f t="array" ref="G12275">SubCategorizeComment(E12275)</f>
        <v>Other</v>
      </c>
    </row>
    <row r="12276" spans="1:7" x14ac:dyDescent="0.25">
      <c r="A12276">
        <v>116798</v>
      </c>
      <c r="B12276" t="s">
        <v>4</v>
      </c>
      <c r="C12276">
        <v>3</v>
      </c>
      <c r="D12276" t="s">
        <v>5</v>
      </c>
      <c r="F12276" t="str" cm="1">
        <f t="array" ref="F12276">CategorizeComment(E12276)</f>
        <v>Other</v>
      </c>
      <c r="G12276" t="str" cm="1">
        <f t="array" ref="G12276">SubCategorizeComment(E12276)</f>
        <v>Other</v>
      </c>
    </row>
    <row r="12277" spans="1:7" x14ac:dyDescent="0.25">
      <c r="A12277">
        <v>116801</v>
      </c>
      <c r="B12277" t="s">
        <v>4</v>
      </c>
      <c r="C12277">
        <v>3</v>
      </c>
      <c r="D12277" t="s">
        <v>5</v>
      </c>
      <c r="F12277" t="str" cm="1">
        <f t="array" ref="F12277">CategorizeComment(E12277)</f>
        <v>Other</v>
      </c>
      <c r="G12277" t="str" cm="1">
        <f t="array" ref="G12277">SubCategorizeComment(E12277)</f>
        <v>Other</v>
      </c>
    </row>
    <row r="12278" spans="1:7" x14ac:dyDescent="0.25">
      <c r="A12278">
        <v>116847</v>
      </c>
      <c r="B12278" t="s">
        <v>4</v>
      </c>
      <c r="C12278">
        <v>4</v>
      </c>
      <c r="D12278" t="s">
        <v>5</v>
      </c>
      <c r="F12278" t="str" cm="1">
        <f t="array" ref="F12278">CategorizeComment(E12278)</f>
        <v>Other</v>
      </c>
      <c r="G12278" t="str" cm="1">
        <f t="array" ref="G12278">SubCategorizeComment(E12278)</f>
        <v>Other</v>
      </c>
    </row>
    <row r="12279" spans="1:7" x14ac:dyDescent="0.25">
      <c r="A12279">
        <v>116873</v>
      </c>
      <c r="B12279" t="s">
        <v>4</v>
      </c>
      <c r="C12279">
        <v>4</v>
      </c>
      <c r="D12279" t="s">
        <v>5</v>
      </c>
      <c r="F12279" t="str" cm="1">
        <f t="array" ref="F12279">CategorizeComment(E12279)</f>
        <v>Other</v>
      </c>
      <c r="G12279" t="str" cm="1">
        <f t="array" ref="G12279">SubCategorizeComment(E12279)</f>
        <v>Other</v>
      </c>
    </row>
    <row r="12280" spans="1:7" x14ac:dyDescent="0.25">
      <c r="A12280">
        <v>116926</v>
      </c>
      <c r="B12280" t="s">
        <v>4</v>
      </c>
      <c r="C12280">
        <v>4</v>
      </c>
      <c r="D12280" t="s">
        <v>5</v>
      </c>
      <c r="F12280" t="str" cm="1">
        <f t="array" ref="F12280">CategorizeComment(E12280)</f>
        <v>Other</v>
      </c>
      <c r="G12280" t="str" cm="1">
        <f t="array" ref="G12280">SubCategorizeComment(E12280)</f>
        <v>Other</v>
      </c>
    </row>
    <row r="12281" spans="1:7" x14ac:dyDescent="0.25">
      <c r="A12281">
        <v>116942</v>
      </c>
      <c r="B12281" t="s">
        <v>4</v>
      </c>
      <c r="C12281">
        <v>4</v>
      </c>
      <c r="D12281" t="s">
        <v>5</v>
      </c>
      <c r="F12281" t="str" cm="1">
        <f t="array" ref="F12281">CategorizeComment(E12281)</f>
        <v>Other</v>
      </c>
      <c r="G12281" t="str" cm="1">
        <f t="array" ref="G12281">SubCategorizeComment(E12281)</f>
        <v>Other</v>
      </c>
    </row>
    <row r="12282" spans="1:7" x14ac:dyDescent="0.25">
      <c r="A12282">
        <v>116957</v>
      </c>
      <c r="B12282" t="s">
        <v>4</v>
      </c>
      <c r="C12282">
        <v>4</v>
      </c>
      <c r="D12282" t="s">
        <v>5</v>
      </c>
      <c r="F12282" t="str" cm="1">
        <f t="array" ref="F12282">CategorizeComment(E12282)</f>
        <v>Other</v>
      </c>
      <c r="G12282" t="str" cm="1">
        <f t="array" ref="G12282">SubCategorizeComment(E12282)</f>
        <v>Other</v>
      </c>
    </row>
    <row r="12283" spans="1:7" x14ac:dyDescent="0.25">
      <c r="A12283">
        <v>116974</v>
      </c>
      <c r="B12283" t="s">
        <v>4</v>
      </c>
      <c r="C12283">
        <v>4</v>
      </c>
      <c r="D12283" t="s">
        <v>5</v>
      </c>
      <c r="F12283" t="str" cm="1">
        <f t="array" ref="F12283">CategorizeComment(E12283)</f>
        <v>Other</v>
      </c>
      <c r="G12283" t="str" cm="1">
        <f t="array" ref="G12283">SubCategorizeComment(E12283)</f>
        <v>Other</v>
      </c>
    </row>
    <row r="12284" spans="1:7" x14ac:dyDescent="0.25">
      <c r="A12284">
        <v>117017</v>
      </c>
      <c r="B12284" t="s">
        <v>4</v>
      </c>
      <c r="C12284">
        <v>4</v>
      </c>
      <c r="D12284" t="s">
        <v>5</v>
      </c>
      <c r="F12284" t="str" cm="1">
        <f t="array" ref="F12284">CategorizeComment(E12284)</f>
        <v>Other</v>
      </c>
      <c r="G12284" t="str" cm="1">
        <f t="array" ref="G12284">SubCategorizeComment(E12284)</f>
        <v>Other</v>
      </c>
    </row>
    <row r="12285" spans="1:7" x14ac:dyDescent="0.25">
      <c r="A12285">
        <v>117028</v>
      </c>
      <c r="B12285" t="s">
        <v>4</v>
      </c>
      <c r="C12285">
        <v>3</v>
      </c>
      <c r="D12285" t="s">
        <v>5</v>
      </c>
      <c r="F12285" t="str" cm="1">
        <f t="array" ref="F12285">CategorizeComment(E12285)</f>
        <v>Other</v>
      </c>
      <c r="G12285" t="str" cm="1">
        <f t="array" ref="G12285">SubCategorizeComment(E12285)</f>
        <v>Other</v>
      </c>
    </row>
    <row r="12286" spans="1:7" x14ac:dyDescent="0.25">
      <c r="A12286">
        <v>117030</v>
      </c>
      <c r="B12286" t="s">
        <v>4</v>
      </c>
      <c r="C12286">
        <v>3</v>
      </c>
      <c r="D12286" t="s">
        <v>5</v>
      </c>
      <c r="F12286" t="str" cm="1">
        <f t="array" ref="F12286">CategorizeComment(E12286)</f>
        <v>Other</v>
      </c>
      <c r="G12286" t="str" cm="1">
        <f t="array" ref="G12286">SubCategorizeComment(E12286)</f>
        <v>Other</v>
      </c>
    </row>
    <row r="12287" spans="1:7" x14ac:dyDescent="0.25">
      <c r="A12287">
        <v>117037</v>
      </c>
      <c r="B12287" t="s">
        <v>4</v>
      </c>
      <c r="C12287">
        <v>4</v>
      </c>
      <c r="D12287" t="s">
        <v>5</v>
      </c>
      <c r="F12287" t="str" cm="1">
        <f t="array" ref="F12287">CategorizeComment(E12287)</f>
        <v>Other</v>
      </c>
      <c r="G12287" t="str" cm="1">
        <f t="array" ref="G12287">SubCategorizeComment(E12287)</f>
        <v>Other</v>
      </c>
    </row>
    <row r="12288" spans="1:7" x14ac:dyDescent="0.25">
      <c r="A12288">
        <v>117038</v>
      </c>
      <c r="B12288" t="s">
        <v>4</v>
      </c>
      <c r="C12288">
        <v>4</v>
      </c>
      <c r="D12288" t="s">
        <v>5</v>
      </c>
      <c r="F12288" t="str" cm="1">
        <f t="array" ref="F12288">CategorizeComment(E12288)</f>
        <v>Other</v>
      </c>
      <c r="G12288" t="str" cm="1">
        <f t="array" ref="G12288">SubCategorizeComment(E12288)</f>
        <v>Other</v>
      </c>
    </row>
    <row r="12289" spans="1:7" x14ac:dyDescent="0.25">
      <c r="A12289">
        <v>117046</v>
      </c>
      <c r="B12289" t="s">
        <v>4</v>
      </c>
      <c r="C12289">
        <v>3</v>
      </c>
      <c r="D12289" t="s">
        <v>5</v>
      </c>
      <c r="F12289" t="str" cm="1">
        <f t="array" ref="F12289">CategorizeComment(E12289)</f>
        <v>Other</v>
      </c>
      <c r="G12289" t="str" cm="1">
        <f t="array" ref="G12289">SubCategorizeComment(E12289)</f>
        <v>Other</v>
      </c>
    </row>
    <row r="12290" spans="1:7" x14ac:dyDescent="0.25">
      <c r="A12290">
        <v>117049</v>
      </c>
      <c r="B12290" t="s">
        <v>4</v>
      </c>
      <c r="C12290">
        <v>3</v>
      </c>
      <c r="D12290" t="s">
        <v>5</v>
      </c>
      <c r="F12290" t="str" cm="1">
        <f t="array" ref="F12290">CategorizeComment(E12290)</f>
        <v>Other</v>
      </c>
      <c r="G12290" t="str" cm="1">
        <f t="array" ref="G12290">SubCategorizeComment(E12290)</f>
        <v>Other</v>
      </c>
    </row>
    <row r="12291" spans="1:7" x14ac:dyDescent="0.25">
      <c r="A12291">
        <v>117072</v>
      </c>
      <c r="B12291" t="s">
        <v>4</v>
      </c>
      <c r="C12291">
        <v>4</v>
      </c>
      <c r="D12291" t="s">
        <v>5</v>
      </c>
      <c r="F12291" t="str" cm="1">
        <f t="array" ref="F12291">CategorizeComment(E12291)</f>
        <v>Other</v>
      </c>
      <c r="G12291" t="str" cm="1">
        <f t="array" ref="G12291">SubCategorizeComment(E12291)</f>
        <v>Other</v>
      </c>
    </row>
    <row r="12292" spans="1:7" x14ac:dyDescent="0.25">
      <c r="A12292">
        <v>117073</v>
      </c>
      <c r="B12292" t="s">
        <v>4</v>
      </c>
      <c r="C12292">
        <v>3</v>
      </c>
      <c r="D12292" t="s">
        <v>5</v>
      </c>
      <c r="F12292" t="str" cm="1">
        <f t="array" ref="F12292">CategorizeComment(E12292)</f>
        <v>Other</v>
      </c>
      <c r="G12292" t="str" cm="1">
        <f t="array" ref="G12292">SubCategorizeComment(E12292)</f>
        <v>Other</v>
      </c>
    </row>
    <row r="12293" spans="1:7" x14ac:dyDescent="0.25">
      <c r="A12293">
        <v>117074</v>
      </c>
      <c r="B12293" t="s">
        <v>4</v>
      </c>
      <c r="C12293">
        <v>4</v>
      </c>
      <c r="D12293" t="s">
        <v>5</v>
      </c>
      <c r="F12293" t="str" cm="1">
        <f t="array" ref="F12293">CategorizeComment(E12293)</f>
        <v>Other</v>
      </c>
      <c r="G12293" t="str" cm="1">
        <f t="array" ref="G12293">SubCategorizeComment(E12293)</f>
        <v>Other</v>
      </c>
    </row>
    <row r="12294" spans="1:7" x14ac:dyDescent="0.25">
      <c r="A12294">
        <v>117081</v>
      </c>
      <c r="B12294" t="s">
        <v>4</v>
      </c>
      <c r="C12294">
        <v>4</v>
      </c>
      <c r="D12294" t="s">
        <v>5</v>
      </c>
      <c r="F12294" t="str" cm="1">
        <f t="array" ref="F12294">CategorizeComment(E12294)</f>
        <v>Other</v>
      </c>
      <c r="G12294" t="str" cm="1">
        <f t="array" ref="G12294">SubCategorizeComment(E12294)</f>
        <v>Other</v>
      </c>
    </row>
    <row r="12295" spans="1:7" x14ac:dyDescent="0.25">
      <c r="A12295">
        <v>117089</v>
      </c>
      <c r="B12295" t="s">
        <v>4</v>
      </c>
      <c r="C12295">
        <v>4</v>
      </c>
      <c r="D12295" t="s">
        <v>5</v>
      </c>
      <c r="F12295" t="str" cm="1">
        <f t="array" ref="F12295">CategorizeComment(E12295)</f>
        <v>Other</v>
      </c>
      <c r="G12295" t="str" cm="1">
        <f t="array" ref="G12295">SubCategorizeComment(E12295)</f>
        <v>Other</v>
      </c>
    </row>
    <row r="12296" spans="1:7" x14ac:dyDescent="0.25">
      <c r="A12296">
        <v>117109</v>
      </c>
      <c r="B12296" t="s">
        <v>4</v>
      </c>
      <c r="C12296">
        <v>3</v>
      </c>
      <c r="D12296" t="s">
        <v>5</v>
      </c>
      <c r="F12296" t="str" cm="1">
        <f t="array" ref="F12296">CategorizeComment(E12296)</f>
        <v>Other</v>
      </c>
      <c r="G12296" t="str" cm="1">
        <f t="array" ref="G12296">SubCategorizeComment(E12296)</f>
        <v>Other</v>
      </c>
    </row>
    <row r="12297" spans="1:7" x14ac:dyDescent="0.25">
      <c r="A12297">
        <v>117112</v>
      </c>
      <c r="B12297" t="s">
        <v>4</v>
      </c>
      <c r="C12297">
        <v>4</v>
      </c>
      <c r="D12297" t="s">
        <v>5</v>
      </c>
      <c r="F12297" t="str" cm="1">
        <f t="array" ref="F12297">CategorizeComment(E12297)</f>
        <v>Other</v>
      </c>
      <c r="G12297" t="str" cm="1">
        <f t="array" ref="G12297">SubCategorizeComment(E12297)</f>
        <v>Other</v>
      </c>
    </row>
    <row r="12298" spans="1:7" x14ac:dyDescent="0.25">
      <c r="A12298">
        <v>117114</v>
      </c>
      <c r="B12298" t="s">
        <v>4</v>
      </c>
      <c r="C12298">
        <v>3</v>
      </c>
      <c r="D12298" t="s">
        <v>5</v>
      </c>
      <c r="F12298" t="str" cm="1">
        <f t="array" ref="F12298">CategorizeComment(E12298)</f>
        <v>Other</v>
      </c>
      <c r="G12298" t="str" cm="1">
        <f t="array" ref="G12298">SubCategorizeComment(E12298)</f>
        <v>Other</v>
      </c>
    </row>
    <row r="12299" spans="1:7" x14ac:dyDescent="0.25">
      <c r="A12299">
        <v>117115</v>
      </c>
      <c r="B12299" t="s">
        <v>4</v>
      </c>
      <c r="C12299">
        <v>3</v>
      </c>
      <c r="D12299" t="s">
        <v>5</v>
      </c>
      <c r="F12299" t="str" cm="1">
        <f t="array" ref="F12299">CategorizeComment(E12299)</f>
        <v>Other</v>
      </c>
      <c r="G12299" t="str" cm="1">
        <f t="array" ref="G12299">SubCategorizeComment(E12299)</f>
        <v>Other</v>
      </c>
    </row>
    <row r="12300" spans="1:7" x14ac:dyDescent="0.25">
      <c r="A12300">
        <v>117117</v>
      </c>
      <c r="B12300" t="s">
        <v>4</v>
      </c>
      <c r="C12300">
        <v>3</v>
      </c>
      <c r="D12300" t="s">
        <v>5</v>
      </c>
      <c r="F12300" t="str" cm="1">
        <f t="array" ref="F12300">CategorizeComment(E12300)</f>
        <v>Other</v>
      </c>
      <c r="G12300" t="str" cm="1">
        <f t="array" ref="G12300">SubCategorizeComment(E12300)</f>
        <v>Other</v>
      </c>
    </row>
    <row r="12301" spans="1:7" x14ac:dyDescent="0.25">
      <c r="A12301">
        <v>117118</v>
      </c>
      <c r="B12301" t="s">
        <v>4</v>
      </c>
      <c r="C12301">
        <v>4</v>
      </c>
      <c r="D12301" t="s">
        <v>5</v>
      </c>
      <c r="F12301" t="str" cm="1">
        <f t="array" ref="F12301">CategorizeComment(E12301)</f>
        <v>Other</v>
      </c>
      <c r="G12301" t="str" cm="1">
        <f t="array" ref="G12301">SubCategorizeComment(E12301)</f>
        <v>Other</v>
      </c>
    </row>
    <row r="12302" spans="1:7" x14ac:dyDescent="0.25">
      <c r="A12302">
        <v>117120</v>
      </c>
      <c r="B12302" t="s">
        <v>4</v>
      </c>
      <c r="C12302">
        <v>4</v>
      </c>
      <c r="D12302" t="s">
        <v>5</v>
      </c>
      <c r="F12302" t="str" cm="1">
        <f t="array" ref="F12302">CategorizeComment(E12302)</f>
        <v>Other</v>
      </c>
      <c r="G12302" t="str" cm="1">
        <f t="array" ref="G12302">SubCategorizeComment(E12302)</f>
        <v>Other</v>
      </c>
    </row>
    <row r="12303" spans="1:7" x14ac:dyDescent="0.25">
      <c r="A12303">
        <v>117121</v>
      </c>
      <c r="B12303" t="s">
        <v>4</v>
      </c>
      <c r="C12303">
        <v>3</v>
      </c>
      <c r="D12303" t="s">
        <v>5</v>
      </c>
      <c r="F12303" t="str" cm="1">
        <f t="array" ref="F12303">CategorizeComment(E12303)</f>
        <v>Other</v>
      </c>
      <c r="G12303" t="str" cm="1">
        <f t="array" ref="G12303">SubCategorizeComment(E12303)</f>
        <v>Other</v>
      </c>
    </row>
    <row r="12304" spans="1:7" x14ac:dyDescent="0.25">
      <c r="A12304">
        <v>117138</v>
      </c>
      <c r="B12304" t="s">
        <v>4</v>
      </c>
      <c r="C12304">
        <v>0</v>
      </c>
      <c r="D12304" t="s">
        <v>5</v>
      </c>
      <c r="F12304" t="str" cm="1">
        <f t="array" ref="F12304">CategorizeComment(E12304)</f>
        <v>Other</v>
      </c>
      <c r="G12304" t="str" cm="1">
        <f t="array" ref="G12304">SubCategorizeComment(E12304)</f>
        <v>Other</v>
      </c>
    </row>
    <row r="12305" spans="1:7" x14ac:dyDescent="0.25">
      <c r="A12305">
        <v>117147</v>
      </c>
      <c r="B12305" t="s">
        <v>4</v>
      </c>
      <c r="C12305">
        <v>4</v>
      </c>
      <c r="D12305" t="s">
        <v>5</v>
      </c>
      <c r="F12305" t="str" cm="1">
        <f t="array" ref="F12305">CategorizeComment(E12305)</f>
        <v>Other</v>
      </c>
      <c r="G12305" t="str" cm="1">
        <f t="array" ref="G12305">SubCategorizeComment(E12305)</f>
        <v>Other</v>
      </c>
    </row>
    <row r="12306" spans="1:7" x14ac:dyDescent="0.25">
      <c r="A12306">
        <v>117162</v>
      </c>
      <c r="B12306" t="s">
        <v>4</v>
      </c>
      <c r="C12306">
        <v>3</v>
      </c>
      <c r="D12306" t="s">
        <v>5</v>
      </c>
      <c r="F12306" t="str" cm="1">
        <f t="array" ref="F12306">CategorizeComment(E12306)</f>
        <v>Other</v>
      </c>
      <c r="G12306" t="str" cm="1">
        <f t="array" ref="G12306">SubCategorizeComment(E12306)</f>
        <v>Other</v>
      </c>
    </row>
    <row r="12307" spans="1:7" x14ac:dyDescent="0.25">
      <c r="A12307">
        <v>117169</v>
      </c>
      <c r="B12307" t="s">
        <v>4</v>
      </c>
      <c r="C12307">
        <v>3</v>
      </c>
      <c r="D12307" t="s">
        <v>5</v>
      </c>
      <c r="F12307" t="str" cm="1">
        <f t="array" ref="F12307">CategorizeComment(E12307)</f>
        <v>Other</v>
      </c>
      <c r="G12307" t="str" cm="1">
        <f t="array" ref="G12307">SubCategorizeComment(E12307)</f>
        <v>Other</v>
      </c>
    </row>
    <row r="12308" spans="1:7" x14ac:dyDescent="0.25">
      <c r="A12308">
        <v>117175</v>
      </c>
      <c r="B12308" t="s">
        <v>4</v>
      </c>
      <c r="C12308">
        <v>4</v>
      </c>
      <c r="D12308" t="s">
        <v>5</v>
      </c>
      <c r="F12308" t="str" cm="1">
        <f t="array" ref="F12308">CategorizeComment(E12308)</f>
        <v>Other</v>
      </c>
      <c r="G12308" t="str" cm="1">
        <f t="array" ref="G12308">SubCategorizeComment(E12308)</f>
        <v>Other</v>
      </c>
    </row>
    <row r="12309" spans="1:7" x14ac:dyDescent="0.25">
      <c r="A12309">
        <v>117177</v>
      </c>
      <c r="B12309" t="s">
        <v>4</v>
      </c>
      <c r="C12309">
        <v>3</v>
      </c>
      <c r="D12309" t="s">
        <v>5</v>
      </c>
      <c r="F12309" t="str" cm="1">
        <f t="array" ref="F12309">CategorizeComment(E12309)</f>
        <v>Other</v>
      </c>
      <c r="G12309" t="str" cm="1">
        <f t="array" ref="G12309">SubCategorizeComment(E12309)</f>
        <v>Other</v>
      </c>
    </row>
    <row r="12310" spans="1:7" x14ac:dyDescent="0.25">
      <c r="A12310">
        <v>117186</v>
      </c>
      <c r="B12310" t="s">
        <v>4</v>
      </c>
      <c r="C12310">
        <v>4</v>
      </c>
      <c r="D12310" t="s">
        <v>5</v>
      </c>
      <c r="F12310" t="str" cm="1">
        <f t="array" ref="F12310">CategorizeComment(E12310)</f>
        <v>Other</v>
      </c>
      <c r="G12310" t="str" cm="1">
        <f t="array" ref="G12310">SubCategorizeComment(E12310)</f>
        <v>Other</v>
      </c>
    </row>
    <row r="12311" spans="1:7" x14ac:dyDescent="0.25">
      <c r="A12311">
        <v>117195</v>
      </c>
      <c r="B12311" t="s">
        <v>4</v>
      </c>
      <c r="C12311">
        <v>3</v>
      </c>
      <c r="D12311" t="s">
        <v>5</v>
      </c>
      <c r="F12311" t="str" cm="1">
        <f t="array" ref="F12311">CategorizeComment(E12311)</f>
        <v>Other</v>
      </c>
      <c r="G12311" t="str" cm="1">
        <f t="array" ref="G12311">SubCategorizeComment(E12311)</f>
        <v>Other</v>
      </c>
    </row>
    <row r="12312" spans="1:7" x14ac:dyDescent="0.25">
      <c r="A12312">
        <v>117200</v>
      </c>
      <c r="B12312" t="s">
        <v>4</v>
      </c>
      <c r="C12312">
        <v>3</v>
      </c>
      <c r="D12312" t="s">
        <v>5</v>
      </c>
      <c r="F12312" t="str" cm="1">
        <f t="array" ref="F12312">CategorizeComment(E12312)</f>
        <v>Other</v>
      </c>
      <c r="G12312" t="str" cm="1">
        <f t="array" ref="G12312">SubCategorizeComment(E12312)</f>
        <v>Other</v>
      </c>
    </row>
    <row r="12313" spans="1:7" x14ac:dyDescent="0.25">
      <c r="A12313">
        <v>117202</v>
      </c>
      <c r="B12313" t="s">
        <v>4</v>
      </c>
      <c r="C12313">
        <v>3</v>
      </c>
      <c r="D12313" t="s">
        <v>5</v>
      </c>
      <c r="F12313" t="str" cm="1">
        <f t="array" ref="F12313">CategorizeComment(E12313)</f>
        <v>Other</v>
      </c>
      <c r="G12313" t="str" cm="1">
        <f t="array" ref="G12313">SubCategorizeComment(E12313)</f>
        <v>Other</v>
      </c>
    </row>
    <row r="12314" spans="1:7" x14ac:dyDescent="0.25">
      <c r="A12314">
        <v>117212</v>
      </c>
      <c r="B12314" t="s">
        <v>4</v>
      </c>
      <c r="C12314">
        <v>4</v>
      </c>
      <c r="D12314" t="s">
        <v>5</v>
      </c>
      <c r="F12314" t="str" cm="1">
        <f t="array" ref="F12314">CategorizeComment(E12314)</f>
        <v>Other</v>
      </c>
      <c r="G12314" t="str" cm="1">
        <f t="array" ref="G12314">SubCategorizeComment(E12314)</f>
        <v>Other</v>
      </c>
    </row>
    <row r="12315" spans="1:7" x14ac:dyDescent="0.25">
      <c r="A12315">
        <v>117222</v>
      </c>
      <c r="B12315" t="s">
        <v>4</v>
      </c>
      <c r="C12315">
        <v>3</v>
      </c>
      <c r="D12315" t="s">
        <v>5</v>
      </c>
      <c r="F12315" t="str" cm="1">
        <f t="array" ref="F12315">CategorizeComment(E12315)</f>
        <v>Other</v>
      </c>
      <c r="G12315" t="str" cm="1">
        <f t="array" ref="G12315">SubCategorizeComment(E12315)</f>
        <v>Other</v>
      </c>
    </row>
    <row r="12316" spans="1:7" x14ac:dyDescent="0.25">
      <c r="A12316">
        <v>117236</v>
      </c>
      <c r="B12316" t="s">
        <v>4</v>
      </c>
      <c r="C12316">
        <v>3</v>
      </c>
      <c r="D12316" t="s">
        <v>5</v>
      </c>
      <c r="F12316" t="str" cm="1">
        <f t="array" ref="F12316">CategorizeComment(E12316)</f>
        <v>Other</v>
      </c>
      <c r="G12316" t="str" cm="1">
        <f t="array" ref="G12316">SubCategorizeComment(E12316)</f>
        <v>Other</v>
      </c>
    </row>
    <row r="12317" spans="1:7" x14ac:dyDescent="0.25">
      <c r="A12317">
        <v>117254</v>
      </c>
      <c r="B12317" t="s">
        <v>4</v>
      </c>
      <c r="C12317">
        <v>3</v>
      </c>
      <c r="D12317" t="s">
        <v>5</v>
      </c>
      <c r="F12317" t="str" cm="1">
        <f t="array" ref="F12317">CategorizeComment(E12317)</f>
        <v>Other</v>
      </c>
      <c r="G12317" t="str" cm="1">
        <f t="array" ref="G12317">SubCategorizeComment(E12317)</f>
        <v>Other</v>
      </c>
    </row>
    <row r="12318" spans="1:7" x14ac:dyDescent="0.25">
      <c r="A12318">
        <v>117271</v>
      </c>
      <c r="B12318" t="s">
        <v>4</v>
      </c>
      <c r="C12318">
        <v>4</v>
      </c>
      <c r="D12318" t="s">
        <v>5</v>
      </c>
      <c r="F12318" t="str" cm="1">
        <f t="array" ref="F12318">CategorizeComment(E12318)</f>
        <v>Other</v>
      </c>
      <c r="G12318" t="str" cm="1">
        <f t="array" ref="G12318">SubCategorizeComment(E12318)</f>
        <v>Other</v>
      </c>
    </row>
    <row r="12319" spans="1:7" x14ac:dyDescent="0.25">
      <c r="A12319">
        <v>117272</v>
      </c>
      <c r="B12319" t="s">
        <v>4</v>
      </c>
      <c r="C12319">
        <v>3</v>
      </c>
      <c r="D12319" t="s">
        <v>5</v>
      </c>
      <c r="F12319" t="str" cm="1">
        <f t="array" ref="F12319">CategorizeComment(E12319)</f>
        <v>Other</v>
      </c>
      <c r="G12319" t="str" cm="1">
        <f t="array" ref="G12319">SubCategorizeComment(E12319)</f>
        <v>Other</v>
      </c>
    </row>
    <row r="12320" spans="1:7" x14ac:dyDescent="0.25">
      <c r="A12320">
        <v>117289</v>
      </c>
      <c r="B12320" t="s">
        <v>4</v>
      </c>
      <c r="C12320">
        <v>3</v>
      </c>
      <c r="D12320" t="s">
        <v>5</v>
      </c>
      <c r="F12320" t="str" cm="1">
        <f t="array" ref="F12320">CategorizeComment(E12320)</f>
        <v>Other</v>
      </c>
      <c r="G12320" t="str" cm="1">
        <f t="array" ref="G12320">SubCategorizeComment(E12320)</f>
        <v>Other</v>
      </c>
    </row>
    <row r="12321" spans="1:7" x14ac:dyDescent="0.25">
      <c r="A12321">
        <v>117291</v>
      </c>
      <c r="B12321" t="s">
        <v>4</v>
      </c>
      <c r="C12321">
        <v>4</v>
      </c>
      <c r="D12321" t="s">
        <v>5</v>
      </c>
      <c r="F12321" t="str" cm="1">
        <f t="array" ref="F12321">CategorizeComment(E12321)</f>
        <v>Other</v>
      </c>
      <c r="G12321" t="str" cm="1">
        <f t="array" ref="G12321">SubCategorizeComment(E12321)</f>
        <v>Other</v>
      </c>
    </row>
    <row r="12322" spans="1:7" x14ac:dyDescent="0.25">
      <c r="A12322">
        <v>117303</v>
      </c>
      <c r="B12322" t="s">
        <v>4</v>
      </c>
      <c r="C12322">
        <v>3</v>
      </c>
      <c r="D12322" t="s">
        <v>5</v>
      </c>
      <c r="F12322" t="str" cm="1">
        <f t="array" ref="F12322">CategorizeComment(E12322)</f>
        <v>Other</v>
      </c>
      <c r="G12322" t="str" cm="1">
        <f t="array" ref="G12322">SubCategorizeComment(E12322)</f>
        <v>Other</v>
      </c>
    </row>
    <row r="12323" spans="1:7" x14ac:dyDescent="0.25">
      <c r="A12323">
        <v>117318</v>
      </c>
      <c r="B12323" t="s">
        <v>4</v>
      </c>
      <c r="C12323">
        <v>3</v>
      </c>
      <c r="D12323" t="s">
        <v>5</v>
      </c>
      <c r="F12323" t="str" cm="1">
        <f t="array" ref="F12323">CategorizeComment(E12323)</f>
        <v>Other</v>
      </c>
      <c r="G12323" t="str" cm="1">
        <f t="array" ref="G12323">SubCategorizeComment(E12323)</f>
        <v>Other</v>
      </c>
    </row>
    <row r="12324" spans="1:7" x14ac:dyDescent="0.25">
      <c r="A12324">
        <v>117319</v>
      </c>
      <c r="B12324" t="s">
        <v>4</v>
      </c>
      <c r="C12324">
        <v>3</v>
      </c>
      <c r="D12324" t="s">
        <v>5</v>
      </c>
      <c r="F12324" t="str" cm="1">
        <f t="array" ref="F12324">CategorizeComment(E12324)</f>
        <v>Other</v>
      </c>
      <c r="G12324" t="str" cm="1">
        <f t="array" ref="G12324">SubCategorizeComment(E12324)</f>
        <v>Other</v>
      </c>
    </row>
    <row r="12325" spans="1:7" x14ac:dyDescent="0.25">
      <c r="A12325">
        <v>117320</v>
      </c>
      <c r="B12325" t="s">
        <v>4</v>
      </c>
      <c r="C12325">
        <v>3</v>
      </c>
      <c r="D12325" t="s">
        <v>5</v>
      </c>
      <c r="F12325" t="str" cm="1">
        <f t="array" ref="F12325">CategorizeComment(E12325)</f>
        <v>Other</v>
      </c>
      <c r="G12325" t="str" cm="1">
        <f t="array" ref="G12325">SubCategorizeComment(E12325)</f>
        <v>Other</v>
      </c>
    </row>
    <row r="12326" spans="1:7" x14ac:dyDescent="0.25">
      <c r="A12326">
        <v>117328</v>
      </c>
      <c r="B12326" t="s">
        <v>4</v>
      </c>
      <c r="C12326">
        <v>4</v>
      </c>
      <c r="D12326" t="s">
        <v>5</v>
      </c>
      <c r="F12326" t="str" cm="1">
        <f t="array" ref="F12326">CategorizeComment(E12326)</f>
        <v>Other</v>
      </c>
      <c r="G12326" t="str" cm="1">
        <f t="array" ref="G12326">SubCategorizeComment(E12326)</f>
        <v>Other</v>
      </c>
    </row>
    <row r="12327" spans="1:7" x14ac:dyDescent="0.25">
      <c r="A12327">
        <v>117329</v>
      </c>
      <c r="B12327" t="s">
        <v>4</v>
      </c>
      <c r="C12327">
        <v>3</v>
      </c>
      <c r="D12327" t="s">
        <v>5</v>
      </c>
      <c r="F12327" t="str" cm="1">
        <f t="array" ref="F12327">CategorizeComment(E12327)</f>
        <v>Other</v>
      </c>
      <c r="G12327" t="str" cm="1">
        <f t="array" ref="G12327">SubCategorizeComment(E12327)</f>
        <v>Other</v>
      </c>
    </row>
    <row r="12328" spans="1:7" x14ac:dyDescent="0.25">
      <c r="A12328">
        <v>117331</v>
      </c>
      <c r="B12328" t="s">
        <v>4</v>
      </c>
      <c r="C12328">
        <v>4</v>
      </c>
      <c r="D12328" t="s">
        <v>5</v>
      </c>
      <c r="F12328" t="str" cm="1">
        <f t="array" ref="F12328">CategorizeComment(E12328)</f>
        <v>Other</v>
      </c>
      <c r="G12328" t="str" cm="1">
        <f t="array" ref="G12328">SubCategorizeComment(E12328)</f>
        <v>Other</v>
      </c>
    </row>
    <row r="12329" spans="1:7" x14ac:dyDescent="0.25">
      <c r="A12329">
        <v>117338</v>
      </c>
      <c r="B12329" t="s">
        <v>4</v>
      </c>
      <c r="C12329">
        <v>3</v>
      </c>
      <c r="D12329" t="s">
        <v>5</v>
      </c>
      <c r="F12329" t="str" cm="1">
        <f t="array" ref="F12329">CategorizeComment(E12329)</f>
        <v>Other</v>
      </c>
      <c r="G12329" t="str" cm="1">
        <f t="array" ref="G12329">SubCategorizeComment(E12329)</f>
        <v>Other</v>
      </c>
    </row>
    <row r="12330" spans="1:7" x14ac:dyDescent="0.25">
      <c r="A12330">
        <v>117355</v>
      </c>
      <c r="B12330" t="s">
        <v>4</v>
      </c>
      <c r="C12330">
        <v>3</v>
      </c>
      <c r="D12330" t="s">
        <v>5</v>
      </c>
      <c r="F12330" t="str" cm="1">
        <f t="array" ref="F12330">CategorizeComment(E12330)</f>
        <v>Other</v>
      </c>
      <c r="G12330" t="str" cm="1">
        <f t="array" ref="G12330">SubCategorizeComment(E12330)</f>
        <v>Other</v>
      </c>
    </row>
    <row r="12331" spans="1:7" x14ac:dyDescent="0.25">
      <c r="A12331">
        <v>117366</v>
      </c>
      <c r="B12331" t="s">
        <v>4</v>
      </c>
      <c r="C12331">
        <v>4</v>
      </c>
      <c r="D12331" t="s">
        <v>5</v>
      </c>
      <c r="F12331" t="str" cm="1">
        <f t="array" ref="F12331">CategorizeComment(E12331)</f>
        <v>Other</v>
      </c>
      <c r="G12331" t="str" cm="1">
        <f t="array" ref="G12331">SubCategorizeComment(E12331)</f>
        <v>Other</v>
      </c>
    </row>
    <row r="12332" spans="1:7" x14ac:dyDescent="0.25">
      <c r="A12332">
        <v>117400</v>
      </c>
      <c r="B12332" t="s">
        <v>4</v>
      </c>
      <c r="C12332">
        <v>4</v>
      </c>
      <c r="D12332" t="s">
        <v>5</v>
      </c>
      <c r="F12332" t="str" cm="1">
        <f t="array" ref="F12332">CategorizeComment(E12332)</f>
        <v>Other</v>
      </c>
      <c r="G12332" t="str" cm="1">
        <f t="array" ref="G12332">SubCategorizeComment(E12332)</f>
        <v>Other</v>
      </c>
    </row>
    <row r="12333" spans="1:7" x14ac:dyDescent="0.25">
      <c r="A12333">
        <v>117410</v>
      </c>
      <c r="B12333" t="s">
        <v>4</v>
      </c>
      <c r="C12333">
        <v>3</v>
      </c>
      <c r="D12333" t="s">
        <v>5</v>
      </c>
      <c r="F12333" t="str" cm="1">
        <f t="array" ref="F12333">CategorizeComment(E12333)</f>
        <v>Other</v>
      </c>
      <c r="G12333" t="str" cm="1">
        <f t="array" ref="G12333">SubCategorizeComment(E12333)</f>
        <v>Other</v>
      </c>
    </row>
    <row r="12334" spans="1:7" x14ac:dyDescent="0.25">
      <c r="A12334">
        <v>117421</v>
      </c>
      <c r="B12334" t="s">
        <v>4</v>
      </c>
      <c r="C12334">
        <v>4</v>
      </c>
      <c r="D12334" t="s">
        <v>5</v>
      </c>
      <c r="F12334" t="str" cm="1">
        <f t="array" ref="F12334">CategorizeComment(E12334)</f>
        <v>Other</v>
      </c>
      <c r="G12334" t="str" cm="1">
        <f t="array" ref="G12334">SubCategorizeComment(E12334)</f>
        <v>Other</v>
      </c>
    </row>
    <row r="12335" spans="1:7" x14ac:dyDescent="0.25">
      <c r="A12335">
        <v>117434</v>
      </c>
      <c r="B12335" t="s">
        <v>4</v>
      </c>
      <c r="C12335">
        <v>4</v>
      </c>
      <c r="D12335" t="s">
        <v>5</v>
      </c>
      <c r="F12335" t="str" cm="1">
        <f t="array" ref="F12335">CategorizeComment(E12335)</f>
        <v>Other</v>
      </c>
      <c r="G12335" t="str" cm="1">
        <f t="array" ref="G12335">SubCategorizeComment(E12335)</f>
        <v>Other</v>
      </c>
    </row>
    <row r="12336" spans="1:7" x14ac:dyDescent="0.25">
      <c r="A12336">
        <v>117448</v>
      </c>
      <c r="B12336" t="s">
        <v>4</v>
      </c>
      <c r="C12336">
        <v>4</v>
      </c>
      <c r="D12336" t="s">
        <v>5</v>
      </c>
      <c r="F12336" t="str" cm="1">
        <f t="array" ref="F12336">CategorizeComment(E12336)</f>
        <v>Other</v>
      </c>
      <c r="G12336" t="str" cm="1">
        <f t="array" ref="G12336">SubCategorizeComment(E12336)</f>
        <v>Other</v>
      </c>
    </row>
    <row r="12337" spans="1:7" x14ac:dyDescent="0.25">
      <c r="A12337">
        <v>117449</v>
      </c>
      <c r="B12337" t="s">
        <v>4</v>
      </c>
      <c r="C12337">
        <v>3</v>
      </c>
      <c r="D12337" t="s">
        <v>5</v>
      </c>
      <c r="F12337" t="str" cm="1">
        <f t="array" ref="F12337">CategorizeComment(E12337)</f>
        <v>Other</v>
      </c>
      <c r="G12337" t="str" cm="1">
        <f t="array" ref="G12337">SubCategorizeComment(E12337)</f>
        <v>Other</v>
      </c>
    </row>
    <row r="12338" spans="1:7" x14ac:dyDescent="0.25">
      <c r="A12338">
        <v>117451</v>
      </c>
      <c r="B12338" t="s">
        <v>4</v>
      </c>
      <c r="C12338">
        <v>4</v>
      </c>
      <c r="D12338" t="s">
        <v>5</v>
      </c>
      <c r="F12338" t="str" cm="1">
        <f t="array" ref="F12338">CategorizeComment(E12338)</f>
        <v>Other</v>
      </c>
      <c r="G12338" t="str" cm="1">
        <f t="array" ref="G12338">SubCategorizeComment(E12338)</f>
        <v>Other</v>
      </c>
    </row>
    <row r="12339" spans="1:7" x14ac:dyDescent="0.25">
      <c r="A12339">
        <v>117452</v>
      </c>
      <c r="B12339" t="s">
        <v>4</v>
      </c>
      <c r="C12339">
        <v>4</v>
      </c>
      <c r="D12339" t="s">
        <v>5</v>
      </c>
      <c r="F12339" t="str" cm="1">
        <f t="array" ref="F12339">CategorizeComment(E12339)</f>
        <v>Other</v>
      </c>
      <c r="G12339" t="str" cm="1">
        <f t="array" ref="G12339">SubCategorizeComment(E12339)</f>
        <v>Other</v>
      </c>
    </row>
    <row r="12340" spans="1:7" x14ac:dyDescent="0.25">
      <c r="A12340">
        <v>117455</v>
      </c>
      <c r="B12340" t="s">
        <v>4</v>
      </c>
      <c r="C12340">
        <v>3</v>
      </c>
      <c r="D12340" t="s">
        <v>5</v>
      </c>
      <c r="F12340" t="str" cm="1">
        <f t="array" ref="F12340">CategorizeComment(E12340)</f>
        <v>Other</v>
      </c>
      <c r="G12340" t="str" cm="1">
        <f t="array" ref="G12340">SubCategorizeComment(E12340)</f>
        <v>Other</v>
      </c>
    </row>
    <row r="12341" spans="1:7" x14ac:dyDescent="0.25">
      <c r="A12341">
        <v>117457</v>
      </c>
      <c r="B12341" t="s">
        <v>4</v>
      </c>
      <c r="C12341">
        <v>4</v>
      </c>
      <c r="D12341" t="s">
        <v>5</v>
      </c>
      <c r="F12341" t="str" cm="1">
        <f t="array" ref="F12341">CategorizeComment(E12341)</f>
        <v>Other</v>
      </c>
      <c r="G12341" t="str" cm="1">
        <f t="array" ref="G12341">SubCategorizeComment(E12341)</f>
        <v>Other</v>
      </c>
    </row>
    <row r="12342" spans="1:7" x14ac:dyDescent="0.25">
      <c r="A12342">
        <v>117463</v>
      </c>
      <c r="B12342" t="s">
        <v>4</v>
      </c>
      <c r="C12342">
        <v>4</v>
      </c>
      <c r="D12342" t="s">
        <v>5</v>
      </c>
      <c r="F12342" t="str" cm="1">
        <f t="array" ref="F12342">CategorizeComment(E12342)</f>
        <v>Other</v>
      </c>
      <c r="G12342" t="str" cm="1">
        <f t="array" ref="G12342">SubCategorizeComment(E12342)</f>
        <v>Other</v>
      </c>
    </row>
    <row r="12343" spans="1:7" x14ac:dyDescent="0.25">
      <c r="A12343">
        <v>117464</v>
      </c>
      <c r="B12343" t="s">
        <v>4</v>
      </c>
      <c r="C12343">
        <v>3</v>
      </c>
      <c r="D12343" t="s">
        <v>5</v>
      </c>
      <c r="F12343" t="str" cm="1">
        <f t="array" ref="F12343">CategorizeComment(E12343)</f>
        <v>Other</v>
      </c>
      <c r="G12343" t="str" cm="1">
        <f t="array" ref="G12343">SubCategorizeComment(E12343)</f>
        <v>Other</v>
      </c>
    </row>
    <row r="12344" spans="1:7" x14ac:dyDescent="0.25">
      <c r="A12344">
        <v>117470</v>
      </c>
      <c r="B12344" t="s">
        <v>4</v>
      </c>
      <c r="C12344">
        <v>3</v>
      </c>
      <c r="D12344" t="s">
        <v>5</v>
      </c>
      <c r="F12344" t="str" cm="1">
        <f t="array" ref="F12344">CategorizeComment(E12344)</f>
        <v>Other</v>
      </c>
      <c r="G12344" t="str" cm="1">
        <f t="array" ref="G12344">SubCategorizeComment(E12344)</f>
        <v>Other</v>
      </c>
    </row>
    <row r="12345" spans="1:7" x14ac:dyDescent="0.25">
      <c r="A12345">
        <v>117471</v>
      </c>
      <c r="B12345" t="s">
        <v>4</v>
      </c>
      <c r="C12345">
        <v>4</v>
      </c>
      <c r="D12345" t="s">
        <v>5</v>
      </c>
      <c r="F12345" t="str" cm="1">
        <f t="array" ref="F12345">CategorizeComment(E12345)</f>
        <v>Other</v>
      </c>
      <c r="G12345" t="str" cm="1">
        <f t="array" ref="G12345">SubCategorizeComment(E12345)</f>
        <v>Other</v>
      </c>
    </row>
    <row r="12346" spans="1:7" x14ac:dyDescent="0.25">
      <c r="A12346">
        <v>117491</v>
      </c>
      <c r="B12346" t="s">
        <v>4</v>
      </c>
      <c r="C12346">
        <v>3</v>
      </c>
      <c r="D12346" t="s">
        <v>5</v>
      </c>
      <c r="F12346" t="str" cm="1">
        <f t="array" ref="F12346">CategorizeComment(E12346)</f>
        <v>Other</v>
      </c>
      <c r="G12346" t="str" cm="1">
        <f t="array" ref="G12346">SubCategorizeComment(E12346)</f>
        <v>Other</v>
      </c>
    </row>
    <row r="12347" spans="1:7" x14ac:dyDescent="0.25">
      <c r="A12347">
        <v>117493</v>
      </c>
      <c r="B12347" t="s">
        <v>4</v>
      </c>
      <c r="C12347">
        <v>4</v>
      </c>
      <c r="D12347" t="s">
        <v>5</v>
      </c>
      <c r="F12347" t="str" cm="1">
        <f t="array" ref="F12347">CategorizeComment(E12347)</f>
        <v>Other</v>
      </c>
      <c r="G12347" t="str" cm="1">
        <f t="array" ref="G12347">SubCategorizeComment(E12347)</f>
        <v>Other</v>
      </c>
    </row>
    <row r="12348" spans="1:7" x14ac:dyDescent="0.25">
      <c r="A12348">
        <v>117501</v>
      </c>
      <c r="B12348" t="s">
        <v>4</v>
      </c>
      <c r="C12348">
        <v>3</v>
      </c>
      <c r="D12348" t="s">
        <v>5</v>
      </c>
      <c r="F12348" t="str" cm="1">
        <f t="array" ref="F12348">CategorizeComment(E12348)</f>
        <v>Other</v>
      </c>
      <c r="G12348" t="str" cm="1">
        <f t="array" ref="G12348">SubCategorizeComment(E12348)</f>
        <v>Other</v>
      </c>
    </row>
    <row r="12349" spans="1:7" x14ac:dyDescent="0.25">
      <c r="A12349">
        <v>117513</v>
      </c>
      <c r="B12349" t="s">
        <v>4</v>
      </c>
      <c r="C12349">
        <v>3</v>
      </c>
      <c r="D12349" t="s">
        <v>5</v>
      </c>
      <c r="F12349" t="str" cm="1">
        <f t="array" ref="F12349">CategorizeComment(E12349)</f>
        <v>Other</v>
      </c>
      <c r="G12349" t="str" cm="1">
        <f t="array" ref="G12349">SubCategorizeComment(E12349)</f>
        <v>Other</v>
      </c>
    </row>
    <row r="12350" spans="1:7" x14ac:dyDescent="0.25">
      <c r="A12350">
        <v>117524</v>
      </c>
      <c r="B12350" t="s">
        <v>4</v>
      </c>
      <c r="C12350">
        <v>3</v>
      </c>
      <c r="D12350" t="s">
        <v>5</v>
      </c>
      <c r="F12350" t="str" cm="1">
        <f t="array" ref="F12350">CategorizeComment(E12350)</f>
        <v>Other</v>
      </c>
      <c r="G12350" t="str" cm="1">
        <f t="array" ref="G12350">SubCategorizeComment(E12350)</f>
        <v>Other</v>
      </c>
    </row>
    <row r="12351" spans="1:7" x14ac:dyDescent="0.25">
      <c r="A12351">
        <v>117571</v>
      </c>
      <c r="B12351" t="s">
        <v>4</v>
      </c>
      <c r="C12351">
        <v>4</v>
      </c>
      <c r="D12351" t="s">
        <v>5</v>
      </c>
      <c r="F12351" t="str" cm="1">
        <f t="array" ref="F12351">CategorizeComment(E12351)</f>
        <v>Other</v>
      </c>
      <c r="G12351" t="str" cm="1">
        <f t="array" ref="G12351">SubCategorizeComment(E12351)</f>
        <v>Other</v>
      </c>
    </row>
    <row r="12352" spans="1:7" x14ac:dyDescent="0.25">
      <c r="A12352">
        <v>117574</v>
      </c>
      <c r="B12352" t="s">
        <v>4</v>
      </c>
      <c r="C12352">
        <v>3</v>
      </c>
      <c r="D12352" t="s">
        <v>5</v>
      </c>
      <c r="F12352" t="str" cm="1">
        <f t="array" ref="F12352">CategorizeComment(E12352)</f>
        <v>Other</v>
      </c>
      <c r="G12352" t="str" cm="1">
        <f t="array" ref="G12352">SubCategorizeComment(E12352)</f>
        <v>Other</v>
      </c>
    </row>
    <row r="12353" spans="1:7" x14ac:dyDescent="0.25">
      <c r="A12353">
        <v>117576</v>
      </c>
      <c r="B12353" t="s">
        <v>4</v>
      </c>
      <c r="C12353">
        <v>3</v>
      </c>
      <c r="D12353" t="s">
        <v>5</v>
      </c>
      <c r="F12353" t="str" cm="1">
        <f t="array" ref="F12353">CategorizeComment(E12353)</f>
        <v>Other</v>
      </c>
      <c r="G12353" t="str" cm="1">
        <f t="array" ref="G12353">SubCategorizeComment(E12353)</f>
        <v>Other</v>
      </c>
    </row>
    <row r="12354" spans="1:7" x14ac:dyDescent="0.25">
      <c r="A12354">
        <v>117587</v>
      </c>
      <c r="B12354" t="s">
        <v>4</v>
      </c>
      <c r="C12354">
        <v>3</v>
      </c>
      <c r="D12354" t="s">
        <v>5</v>
      </c>
      <c r="F12354" t="str" cm="1">
        <f t="array" ref="F12354">CategorizeComment(E12354)</f>
        <v>Other</v>
      </c>
      <c r="G12354" t="str" cm="1">
        <f t="array" ref="G12354">SubCategorizeComment(E12354)</f>
        <v>Other</v>
      </c>
    </row>
    <row r="12355" spans="1:7" x14ac:dyDescent="0.25">
      <c r="A12355">
        <v>117598</v>
      </c>
      <c r="B12355" t="s">
        <v>4</v>
      </c>
      <c r="C12355">
        <v>3</v>
      </c>
      <c r="D12355" t="s">
        <v>5</v>
      </c>
      <c r="F12355" t="str" cm="1">
        <f t="array" ref="F12355">CategorizeComment(E12355)</f>
        <v>Other</v>
      </c>
      <c r="G12355" t="str" cm="1">
        <f t="array" ref="G12355">SubCategorizeComment(E12355)</f>
        <v>Other</v>
      </c>
    </row>
    <row r="12356" spans="1:7" x14ac:dyDescent="0.25">
      <c r="A12356">
        <v>117604</v>
      </c>
      <c r="B12356" t="s">
        <v>4</v>
      </c>
      <c r="C12356">
        <v>3</v>
      </c>
      <c r="D12356" t="s">
        <v>5</v>
      </c>
      <c r="F12356" t="str" cm="1">
        <f t="array" ref="F12356">CategorizeComment(E12356)</f>
        <v>Other</v>
      </c>
      <c r="G12356" t="str" cm="1">
        <f t="array" ref="G12356">SubCategorizeComment(E12356)</f>
        <v>Other</v>
      </c>
    </row>
    <row r="12357" spans="1:7" x14ac:dyDescent="0.25">
      <c r="A12357">
        <v>117610</v>
      </c>
      <c r="B12357" t="s">
        <v>4</v>
      </c>
      <c r="C12357">
        <v>4</v>
      </c>
      <c r="D12357" t="s">
        <v>5</v>
      </c>
      <c r="F12357" t="str" cm="1">
        <f t="array" ref="F12357">CategorizeComment(E12357)</f>
        <v>Other</v>
      </c>
      <c r="G12357" t="str" cm="1">
        <f t="array" ref="G12357">SubCategorizeComment(E12357)</f>
        <v>Other</v>
      </c>
    </row>
    <row r="12358" spans="1:7" x14ac:dyDescent="0.25">
      <c r="A12358">
        <v>117613</v>
      </c>
      <c r="B12358" t="s">
        <v>4</v>
      </c>
      <c r="C12358">
        <v>4</v>
      </c>
      <c r="D12358" t="s">
        <v>5</v>
      </c>
      <c r="F12358" t="str" cm="1">
        <f t="array" ref="F12358">CategorizeComment(E12358)</f>
        <v>Other</v>
      </c>
      <c r="G12358" t="str" cm="1">
        <f t="array" ref="G12358">SubCategorizeComment(E12358)</f>
        <v>Other</v>
      </c>
    </row>
    <row r="12359" spans="1:7" x14ac:dyDescent="0.25">
      <c r="A12359">
        <v>117614</v>
      </c>
      <c r="B12359" t="s">
        <v>4</v>
      </c>
      <c r="C12359">
        <v>3</v>
      </c>
      <c r="D12359" t="s">
        <v>5</v>
      </c>
      <c r="F12359" t="str" cm="1">
        <f t="array" ref="F12359">CategorizeComment(E12359)</f>
        <v>Other</v>
      </c>
      <c r="G12359" t="str" cm="1">
        <f t="array" ref="G12359">SubCategorizeComment(E12359)</f>
        <v>Other</v>
      </c>
    </row>
    <row r="12360" spans="1:7" x14ac:dyDescent="0.25">
      <c r="A12360">
        <v>117615</v>
      </c>
      <c r="B12360" t="s">
        <v>4</v>
      </c>
      <c r="C12360">
        <v>3</v>
      </c>
      <c r="D12360" t="s">
        <v>5</v>
      </c>
      <c r="F12360" t="str" cm="1">
        <f t="array" ref="F12360">CategorizeComment(E12360)</f>
        <v>Other</v>
      </c>
      <c r="G12360" t="str" cm="1">
        <f t="array" ref="G12360">SubCategorizeComment(E12360)</f>
        <v>Other</v>
      </c>
    </row>
    <row r="12361" spans="1:7" x14ac:dyDescent="0.25">
      <c r="A12361">
        <v>117631</v>
      </c>
      <c r="B12361" t="s">
        <v>4</v>
      </c>
      <c r="C12361">
        <v>3</v>
      </c>
      <c r="D12361" t="s">
        <v>5</v>
      </c>
      <c r="F12361" t="str" cm="1">
        <f t="array" ref="F12361">CategorizeComment(E12361)</f>
        <v>Other</v>
      </c>
      <c r="G12361" t="str" cm="1">
        <f t="array" ref="G12361">SubCategorizeComment(E12361)</f>
        <v>Other</v>
      </c>
    </row>
    <row r="12362" spans="1:7" x14ac:dyDescent="0.25">
      <c r="A12362">
        <v>117639</v>
      </c>
      <c r="B12362" t="s">
        <v>4</v>
      </c>
      <c r="C12362">
        <v>3</v>
      </c>
      <c r="D12362" t="s">
        <v>5</v>
      </c>
      <c r="F12362" t="str" cm="1">
        <f t="array" ref="F12362">CategorizeComment(E12362)</f>
        <v>Other</v>
      </c>
      <c r="G12362" t="str" cm="1">
        <f t="array" ref="G12362">SubCategorizeComment(E12362)</f>
        <v>Other</v>
      </c>
    </row>
    <row r="12363" spans="1:7" x14ac:dyDescent="0.25">
      <c r="A12363">
        <v>117649</v>
      </c>
      <c r="B12363" t="s">
        <v>4</v>
      </c>
      <c r="C12363">
        <v>4</v>
      </c>
      <c r="D12363" t="s">
        <v>5</v>
      </c>
      <c r="F12363" t="str" cm="1">
        <f t="array" ref="F12363">CategorizeComment(E12363)</f>
        <v>Other</v>
      </c>
      <c r="G12363" t="str" cm="1">
        <f t="array" ref="G12363">SubCategorizeComment(E12363)</f>
        <v>Other</v>
      </c>
    </row>
    <row r="12364" spans="1:7" x14ac:dyDescent="0.25">
      <c r="A12364">
        <v>117654</v>
      </c>
      <c r="B12364" t="s">
        <v>4</v>
      </c>
      <c r="C12364">
        <v>4</v>
      </c>
      <c r="D12364" t="s">
        <v>5</v>
      </c>
      <c r="F12364" t="str" cm="1">
        <f t="array" ref="F12364">CategorizeComment(E12364)</f>
        <v>Other</v>
      </c>
      <c r="G12364" t="str" cm="1">
        <f t="array" ref="G12364">SubCategorizeComment(E12364)</f>
        <v>Other</v>
      </c>
    </row>
    <row r="12365" spans="1:7" x14ac:dyDescent="0.25">
      <c r="A12365">
        <v>117675</v>
      </c>
      <c r="B12365" t="s">
        <v>4</v>
      </c>
      <c r="C12365">
        <v>3</v>
      </c>
      <c r="D12365" t="s">
        <v>5</v>
      </c>
      <c r="F12365" t="str" cm="1">
        <f t="array" ref="F12365">CategorizeComment(E12365)</f>
        <v>Other</v>
      </c>
      <c r="G12365" t="str" cm="1">
        <f t="array" ref="G12365">SubCategorizeComment(E12365)</f>
        <v>Other</v>
      </c>
    </row>
    <row r="12366" spans="1:7" x14ac:dyDescent="0.25">
      <c r="A12366">
        <v>117704</v>
      </c>
      <c r="B12366" t="s">
        <v>4</v>
      </c>
      <c r="C12366">
        <v>4</v>
      </c>
      <c r="D12366" t="s">
        <v>5</v>
      </c>
      <c r="F12366" t="str" cm="1">
        <f t="array" ref="F12366">CategorizeComment(E12366)</f>
        <v>Other</v>
      </c>
      <c r="G12366" t="str" cm="1">
        <f t="array" ref="G12366">SubCategorizeComment(E12366)</f>
        <v>Other</v>
      </c>
    </row>
    <row r="12367" spans="1:7" x14ac:dyDescent="0.25">
      <c r="A12367">
        <v>117718</v>
      </c>
      <c r="B12367" t="s">
        <v>4</v>
      </c>
      <c r="C12367">
        <v>3</v>
      </c>
      <c r="D12367" t="s">
        <v>5</v>
      </c>
      <c r="F12367" t="str" cm="1">
        <f t="array" ref="F12367">CategorizeComment(E12367)</f>
        <v>Other</v>
      </c>
      <c r="G12367" t="str" cm="1">
        <f t="array" ref="G12367">SubCategorizeComment(E12367)</f>
        <v>Other</v>
      </c>
    </row>
    <row r="12368" spans="1:7" x14ac:dyDescent="0.25">
      <c r="A12368">
        <v>117739</v>
      </c>
      <c r="B12368" t="s">
        <v>4</v>
      </c>
      <c r="C12368">
        <v>3</v>
      </c>
      <c r="D12368" t="s">
        <v>5</v>
      </c>
      <c r="F12368" t="str" cm="1">
        <f t="array" ref="F12368">CategorizeComment(E12368)</f>
        <v>Other</v>
      </c>
      <c r="G12368" t="str" cm="1">
        <f t="array" ref="G12368">SubCategorizeComment(E12368)</f>
        <v>Other</v>
      </c>
    </row>
    <row r="12369" spans="1:7" x14ac:dyDescent="0.25">
      <c r="A12369">
        <v>117744</v>
      </c>
      <c r="B12369" t="s">
        <v>4</v>
      </c>
      <c r="C12369">
        <v>4</v>
      </c>
      <c r="D12369" t="s">
        <v>5</v>
      </c>
      <c r="F12369" t="str" cm="1">
        <f t="array" ref="F12369">CategorizeComment(E12369)</f>
        <v>Other</v>
      </c>
      <c r="G12369" t="str" cm="1">
        <f t="array" ref="G12369">SubCategorizeComment(E12369)</f>
        <v>Other</v>
      </c>
    </row>
    <row r="12370" spans="1:7" x14ac:dyDescent="0.25">
      <c r="A12370">
        <v>117753</v>
      </c>
      <c r="B12370" t="s">
        <v>4</v>
      </c>
      <c r="C12370">
        <v>4</v>
      </c>
      <c r="D12370" t="s">
        <v>5</v>
      </c>
      <c r="F12370" t="str" cm="1">
        <f t="array" ref="F12370">CategorizeComment(E12370)</f>
        <v>Other</v>
      </c>
      <c r="G12370" t="str" cm="1">
        <f t="array" ref="G12370">SubCategorizeComment(E12370)</f>
        <v>Other</v>
      </c>
    </row>
    <row r="12371" spans="1:7" x14ac:dyDescent="0.25">
      <c r="A12371">
        <v>117759</v>
      </c>
      <c r="B12371" t="s">
        <v>4</v>
      </c>
      <c r="C12371">
        <v>3</v>
      </c>
      <c r="D12371" t="s">
        <v>5</v>
      </c>
      <c r="F12371" t="str" cm="1">
        <f t="array" ref="F12371">CategorizeComment(E12371)</f>
        <v>Other</v>
      </c>
      <c r="G12371" t="str" cm="1">
        <f t="array" ref="G12371">SubCategorizeComment(E12371)</f>
        <v>Other</v>
      </c>
    </row>
    <row r="12372" spans="1:7" x14ac:dyDescent="0.25">
      <c r="A12372">
        <v>117761</v>
      </c>
      <c r="B12372" t="s">
        <v>4</v>
      </c>
      <c r="C12372">
        <v>4</v>
      </c>
      <c r="D12372" t="s">
        <v>5</v>
      </c>
      <c r="F12372" t="str" cm="1">
        <f t="array" ref="F12372">CategorizeComment(E12372)</f>
        <v>Other</v>
      </c>
      <c r="G12372" t="str" cm="1">
        <f t="array" ref="G12372">SubCategorizeComment(E12372)</f>
        <v>Other</v>
      </c>
    </row>
    <row r="12373" spans="1:7" x14ac:dyDescent="0.25">
      <c r="A12373">
        <v>117762</v>
      </c>
      <c r="B12373" t="s">
        <v>4</v>
      </c>
      <c r="C12373">
        <v>4</v>
      </c>
      <c r="D12373" t="s">
        <v>5</v>
      </c>
      <c r="F12373" t="str" cm="1">
        <f t="array" ref="F12373">CategorizeComment(E12373)</f>
        <v>Other</v>
      </c>
      <c r="G12373" t="str" cm="1">
        <f t="array" ref="G12373">SubCategorizeComment(E12373)</f>
        <v>Other</v>
      </c>
    </row>
    <row r="12374" spans="1:7" x14ac:dyDescent="0.25">
      <c r="A12374">
        <v>117763</v>
      </c>
      <c r="B12374" t="s">
        <v>4</v>
      </c>
      <c r="C12374">
        <v>4</v>
      </c>
      <c r="D12374" t="s">
        <v>5</v>
      </c>
      <c r="F12374" t="str" cm="1">
        <f t="array" ref="F12374">CategorizeComment(E12374)</f>
        <v>Other</v>
      </c>
      <c r="G12374" t="str" cm="1">
        <f t="array" ref="G12374">SubCategorizeComment(E12374)</f>
        <v>Other</v>
      </c>
    </row>
    <row r="12375" spans="1:7" x14ac:dyDescent="0.25">
      <c r="A12375">
        <v>117764</v>
      </c>
      <c r="B12375" t="s">
        <v>4</v>
      </c>
      <c r="C12375">
        <v>4</v>
      </c>
      <c r="D12375" t="s">
        <v>5</v>
      </c>
      <c r="F12375" t="str" cm="1">
        <f t="array" ref="F12375">CategorizeComment(E12375)</f>
        <v>Other</v>
      </c>
      <c r="G12375" t="str" cm="1">
        <f t="array" ref="G12375">SubCategorizeComment(E12375)</f>
        <v>Other</v>
      </c>
    </row>
    <row r="12376" spans="1:7" x14ac:dyDescent="0.25">
      <c r="A12376">
        <v>117765</v>
      </c>
      <c r="B12376" t="s">
        <v>4</v>
      </c>
      <c r="C12376">
        <v>4</v>
      </c>
      <c r="D12376" t="s">
        <v>5</v>
      </c>
      <c r="F12376" t="str" cm="1">
        <f t="array" ref="F12376">CategorizeComment(E12376)</f>
        <v>Other</v>
      </c>
      <c r="G12376" t="str" cm="1">
        <f t="array" ref="G12376">SubCategorizeComment(E12376)</f>
        <v>Other</v>
      </c>
    </row>
    <row r="12377" spans="1:7" x14ac:dyDescent="0.25">
      <c r="A12377">
        <v>117771</v>
      </c>
      <c r="B12377" t="s">
        <v>4</v>
      </c>
      <c r="C12377">
        <v>4</v>
      </c>
      <c r="D12377" t="s">
        <v>5</v>
      </c>
      <c r="F12377" t="str" cm="1">
        <f t="array" ref="F12377">CategorizeComment(E12377)</f>
        <v>Other</v>
      </c>
      <c r="G12377" t="str" cm="1">
        <f t="array" ref="G12377">SubCategorizeComment(E12377)</f>
        <v>Other</v>
      </c>
    </row>
    <row r="12378" spans="1:7" x14ac:dyDescent="0.25">
      <c r="A12378">
        <v>117794</v>
      </c>
      <c r="B12378" t="s">
        <v>4</v>
      </c>
      <c r="C12378">
        <v>4</v>
      </c>
      <c r="D12378" t="s">
        <v>5</v>
      </c>
      <c r="F12378" t="str" cm="1">
        <f t="array" ref="F12378">CategorizeComment(E12378)</f>
        <v>Other</v>
      </c>
      <c r="G12378" t="str" cm="1">
        <f t="array" ref="G12378">SubCategorizeComment(E12378)</f>
        <v>Other</v>
      </c>
    </row>
    <row r="12379" spans="1:7" x14ac:dyDescent="0.25">
      <c r="A12379">
        <v>117811</v>
      </c>
      <c r="B12379" t="s">
        <v>4</v>
      </c>
      <c r="C12379">
        <v>4</v>
      </c>
      <c r="D12379" t="s">
        <v>5</v>
      </c>
      <c r="F12379" t="str" cm="1">
        <f t="array" ref="F12379">CategorizeComment(E12379)</f>
        <v>Other</v>
      </c>
      <c r="G12379" t="str" cm="1">
        <f t="array" ref="G12379">SubCategorizeComment(E12379)</f>
        <v>Other</v>
      </c>
    </row>
    <row r="12380" spans="1:7" x14ac:dyDescent="0.25">
      <c r="A12380">
        <v>117847</v>
      </c>
      <c r="B12380" t="s">
        <v>4</v>
      </c>
      <c r="C12380">
        <v>3</v>
      </c>
      <c r="D12380" t="s">
        <v>5</v>
      </c>
      <c r="F12380" t="str" cm="1">
        <f t="array" ref="F12380">CategorizeComment(E12380)</f>
        <v>Other</v>
      </c>
      <c r="G12380" t="str" cm="1">
        <f t="array" ref="G12380">SubCategorizeComment(E12380)</f>
        <v>Other</v>
      </c>
    </row>
    <row r="12381" spans="1:7" x14ac:dyDescent="0.25">
      <c r="A12381">
        <v>117863</v>
      </c>
      <c r="B12381" t="s">
        <v>4</v>
      </c>
      <c r="C12381">
        <v>4</v>
      </c>
      <c r="D12381" t="s">
        <v>5</v>
      </c>
      <c r="F12381" t="str" cm="1">
        <f t="array" ref="F12381">CategorizeComment(E12381)</f>
        <v>Other</v>
      </c>
      <c r="G12381" t="str" cm="1">
        <f t="array" ref="G12381">SubCategorizeComment(E12381)</f>
        <v>Other</v>
      </c>
    </row>
    <row r="12382" spans="1:7" x14ac:dyDescent="0.25">
      <c r="A12382">
        <v>117895</v>
      </c>
      <c r="B12382" t="s">
        <v>4</v>
      </c>
      <c r="C12382">
        <v>4</v>
      </c>
      <c r="D12382" t="s">
        <v>5</v>
      </c>
      <c r="F12382" t="str" cm="1">
        <f t="array" ref="F12382">CategorizeComment(E12382)</f>
        <v>Other</v>
      </c>
      <c r="G12382" t="str" cm="1">
        <f t="array" ref="G12382">SubCategorizeComment(E12382)</f>
        <v>Other</v>
      </c>
    </row>
    <row r="12383" spans="1:7" x14ac:dyDescent="0.25">
      <c r="A12383">
        <v>117920</v>
      </c>
      <c r="B12383" t="s">
        <v>4</v>
      </c>
      <c r="C12383">
        <v>4</v>
      </c>
      <c r="D12383" t="s">
        <v>5</v>
      </c>
      <c r="F12383" t="str" cm="1">
        <f t="array" ref="F12383">CategorizeComment(E12383)</f>
        <v>Other</v>
      </c>
      <c r="G12383" t="str" cm="1">
        <f t="array" ref="G12383">SubCategorizeComment(E12383)</f>
        <v>Other</v>
      </c>
    </row>
    <row r="12384" spans="1:7" x14ac:dyDescent="0.25">
      <c r="A12384">
        <v>117922</v>
      </c>
      <c r="B12384" t="s">
        <v>4</v>
      </c>
      <c r="C12384">
        <v>4</v>
      </c>
      <c r="D12384" t="s">
        <v>5</v>
      </c>
      <c r="F12384" t="str" cm="1">
        <f t="array" ref="F12384">CategorizeComment(E12384)</f>
        <v>Other</v>
      </c>
      <c r="G12384" t="str" cm="1">
        <f t="array" ref="G12384">SubCategorizeComment(E12384)</f>
        <v>Other</v>
      </c>
    </row>
    <row r="12385" spans="1:7" x14ac:dyDescent="0.25">
      <c r="A12385">
        <v>117936</v>
      </c>
      <c r="B12385" t="s">
        <v>4</v>
      </c>
      <c r="C12385">
        <v>3</v>
      </c>
      <c r="D12385" t="s">
        <v>5</v>
      </c>
      <c r="F12385" t="str" cm="1">
        <f t="array" ref="F12385">CategorizeComment(E12385)</f>
        <v>Other</v>
      </c>
      <c r="G12385" t="str" cm="1">
        <f t="array" ref="G12385">SubCategorizeComment(E12385)</f>
        <v>Other</v>
      </c>
    </row>
    <row r="12386" spans="1:7" x14ac:dyDescent="0.25">
      <c r="A12386">
        <v>117944</v>
      </c>
      <c r="B12386" t="s">
        <v>4</v>
      </c>
      <c r="C12386">
        <v>4</v>
      </c>
      <c r="D12386" t="s">
        <v>5</v>
      </c>
      <c r="F12386" t="str" cm="1">
        <f t="array" ref="F12386">CategorizeComment(E12386)</f>
        <v>Other</v>
      </c>
      <c r="G12386" t="str" cm="1">
        <f t="array" ref="G12386">SubCategorizeComment(E12386)</f>
        <v>Other</v>
      </c>
    </row>
    <row r="12387" spans="1:7" x14ac:dyDescent="0.25">
      <c r="A12387">
        <v>117965</v>
      </c>
      <c r="B12387" t="s">
        <v>4</v>
      </c>
      <c r="C12387">
        <v>4</v>
      </c>
      <c r="D12387" t="s">
        <v>5</v>
      </c>
      <c r="F12387" t="str" cm="1">
        <f t="array" ref="F12387">CategorizeComment(E12387)</f>
        <v>Other</v>
      </c>
      <c r="G12387" t="str" cm="1">
        <f t="array" ref="G12387">SubCategorizeComment(E12387)</f>
        <v>Other</v>
      </c>
    </row>
    <row r="12388" spans="1:7" x14ac:dyDescent="0.25">
      <c r="A12388">
        <v>117970</v>
      </c>
      <c r="B12388" t="s">
        <v>4</v>
      </c>
      <c r="C12388">
        <v>4</v>
      </c>
      <c r="D12388" t="s">
        <v>5</v>
      </c>
      <c r="F12388" t="str" cm="1">
        <f t="array" ref="F12388">CategorizeComment(E12388)</f>
        <v>Other</v>
      </c>
      <c r="G12388" t="str" cm="1">
        <f t="array" ref="G12388">SubCategorizeComment(E12388)</f>
        <v>Other</v>
      </c>
    </row>
    <row r="12389" spans="1:7" x14ac:dyDescent="0.25">
      <c r="A12389">
        <v>117972</v>
      </c>
      <c r="B12389" t="s">
        <v>4</v>
      </c>
      <c r="C12389">
        <v>4</v>
      </c>
      <c r="D12389" t="s">
        <v>5</v>
      </c>
      <c r="F12389" t="str" cm="1">
        <f t="array" ref="F12389">CategorizeComment(E12389)</f>
        <v>Other</v>
      </c>
      <c r="G12389" t="str" cm="1">
        <f t="array" ref="G12389">SubCategorizeComment(E12389)</f>
        <v>Other</v>
      </c>
    </row>
    <row r="12390" spans="1:7" x14ac:dyDescent="0.25">
      <c r="A12390">
        <v>117974</v>
      </c>
      <c r="B12390" t="s">
        <v>4</v>
      </c>
      <c r="C12390">
        <v>4</v>
      </c>
      <c r="D12390" t="s">
        <v>5</v>
      </c>
      <c r="F12390" t="str" cm="1">
        <f t="array" ref="F12390">CategorizeComment(E12390)</f>
        <v>Other</v>
      </c>
      <c r="G12390" t="str" cm="1">
        <f t="array" ref="G12390">SubCategorizeComment(E12390)</f>
        <v>Other</v>
      </c>
    </row>
    <row r="12391" spans="1:7" x14ac:dyDescent="0.25">
      <c r="A12391">
        <v>117982</v>
      </c>
      <c r="B12391" t="s">
        <v>4</v>
      </c>
      <c r="C12391">
        <v>4</v>
      </c>
      <c r="D12391" t="s">
        <v>5</v>
      </c>
      <c r="F12391" t="str" cm="1">
        <f t="array" ref="F12391">CategorizeComment(E12391)</f>
        <v>Other</v>
      </c>
      <c r="G12391" t="str" cm="1">
        <f t="array" ref="G12391">SubCategorizeComment(E12391)</f>
        <v>Other</v>
      </c>
    </row>
    <row r="12392" spans="1:7" x14ac:dyDescent="0.25">
      <c r="A12392">
        <v>117994</v>
      </c>
      <c r="B12392" t="s">
        <v>4</v>
      </c>
      <c r="C12392">
        <v>4</v>
      </c>
      <c r="D12392" t="s">
        <v>5</v>
      </c>
      <c r="F12392" t="str" cm="1">
        <f t="array" ref="F12392">CategorizeComment(E12392)</f>
        <v>Other</v>
      </c>
      <c r="G12392" t="str" cm="1">
        <f t="array" ref="G12392">SubCategorizeComment(E12392)</f>
        <v>Other</v>
      </c>
    </row>
    <row r="12393" spans="1:7" x14ac:dyDescent="0.25">
      <c r="A12393">
        <v>118002</v>
      </c>
      <c r="B12393" t="s">
        <v>4</v>
      </c>
      <c r="C12393">
        <v>4</v>
      </c>
      <c r="D12393" t="s">
        <v>5</v>
      </c>
      <c r="F12393" t="str" cm="1">
        <f t="array" ref="F12393">CategorizeComment(E12393)</f>
        <v>Other</v>
      </c>
      <c r="G12393" t="str" cm="1">
        <f t="array" ref="G12393">SubCategorizeComment(E12393)</f>
        <v>Other</v>
      </c>
    </row>
    <row r="12394" spans="1:7" x14ac:dyDescent="0.25">
      <c r="A12394">
        <v>118012</v>
      </c>
      <c r="B12394" t="s">
        <v>4</v>
      </c>
      <c r="C12394">
        <v>3</v>
      </c>
      <c r="D12394" t="s">
        <v>5</v>
      </c>
      <c r="F12394" t="str" cm="1">
        <f t="array" ref="F12394">CategorizeComment(E12394)</f>
        <v>Other</v>
      </c>
      <c r="G12394" t="str" cm="1">
        <f t="array" ref="G12394">SubCategorizeComment(E12394)</f>
        <v>Other</v>
      </c>
    </row>
    <row r="12395" spans="1:7" x14ac:dyDescent="0.25">
      <c r="A12395">
        <v>118013</v>
      </c>
      <c r="B12395" t="s">
        <v>4</v>
      </c>
      <c r="C12395">
        <v>3</v>
      </c>
      <c r="D12395" t="s">
        <v>5</v>
      </c>
      <c r="F12395" t="str" cm="1">
        <f t="array" ref="F12395">CategorizeComment(E12395)</f>
        <v>Other</v>
      </c>
      <c r="G12395" t="str" cm="1">
        <f t="array" ref="G12395">SubCategorizeComment(E12395)</f>
        <v>Other</v>
      </c>
    </row>
    <row r="12396" spans="1:7" x14ac:dyDescent="0.25">
      <c r="A12396">
        <v>118019</v>
      </c>
      <c r="B12396" t="s">
        <v>4</v>
      </c>
      <c r="C12396">
        <v>3</v>
      </c>
      <c r="D12396" t="s">
        <v>5</v>
      </c>
      <c r="F12396" t="str" cm="1">
        <f t="array" ref="F12396">CategorizeComment(E12396)</f>
        <v>Other</v>
      </c>
      <c r="G12396" t="str" cm="1">
        <f t="array" ref="G12396">SubCategorizeComment(E12396)</f>
        <v>Other</v>
      </c>
    </row>
    <row r="12397" spans="1:7" x14ac:dyDescent="0.25">
      <c r="A12397">
        <v>118048</v>
      </c>
      <c r="B12397" t="s">
        <v>4</v>
      </c>
      <c r="C12397">
        <v>3</v>
      </c>
      <c r="D12397" t="s">
        <v>5</v>
      </c>
      <c r="F12397" t="str" cm="1">
        <f t="array" ref="F12397">CategorizeComment(E12397)</f>
        <v>Other</v>
      </c>
      <c r="G12397" t="str" cm="1">
        <f t="array" ref="G12397">SubCategorizeComment(E12397)</f>
        <v>Other</v>
      </c>
    </row>
    <row r="12398" spans="1:7" x14ac:dyDescent="0.25">
      <c r="A12398">
        <v>118054</v>
      </c>
      <c r="B12398" t="s">
        <v>4</v>
      </c>
      <c r="C12398">
        <v>3</v>
      </c>
      <c r="D12398" t="s">
        <v>5</v>
      </c>
      <c r="F12398" t="str" cm="1">
        <f t="array" ref="F12398">CategorizeComment(E12398)</f>
        <v>Other</v>
      </c>
      <c r="G12398" t="str" cm="1">
        <f t="array" ref="G12398">SubCategorizeComment(E12398)</f>
        <v>Other</v>
      </c>
    </row>
    <row r="12399" spans="1:7" x14ac:dyDescent="0.25">
      <c r="A12399">
        <v>118079</v>
      </c>
      <c r="B12399" t="s">
        <v>4</v>
      </c>
      <c r="C12399">
        <v>3</v>
      </c>
      <c r="D12399" t="s">
        <v>5</v>
      </c>
      <c r="F12399" t="str" cm="1">
        <f t="array" ref="F12399">CategorizeComment(E12399)</f>
        <v>Other</v>
      </c>
      <c r="G12399" t="str" cm="1">
        <f t="array" ref="G12399">SubCategorizeComment(E12399)</f>
        <v>Other</v>
      </c>
    </row>
    <row r="12400" spans="1:7" x14ac:dyDescent="0.25">
      <c r="A12400">
        <v>118088</v>
      </c>
      <c r="B12400" t="s">
        <v>4</v>
      </c>
      <c r="C12400">
        <v>4</v>
      </c>
      <c r="D12400" t="s">
        <v>5</v>
      </c>
      <c r="F12400" t="str" cm="1">
        <f t="array" ref="F12400">CategorizeComment(E12400)</f>
        <v>Other</v>
      </c>
      <c r="G12400" t="str" cm="1">
        <f t="array" ref="G12400">SubCategorizeComment(E12400)</f>
        <v>Other</v>
      </c>
    </row>
    <row r="12401" spans="1:7" x14ac:dyDescent="0.25">
      <c r="A12401">
        <v>118097</v>
      </c>
      <c r="B12401" t="s">
        <v>4</v>
      </c>
      <c r="C12401">
        <v>4</v>
      </c>
      <c r="D12401" t="s">
        <v>5</v>
      </c>
      <c r="F12401" t="str" cm="1">
        <f t="array" ref="F12401">CategorizeComment(E12401)</f>
        <v>Other</v>
      </c>
      <c r="G12401" t="str" cm="1">
        <f t="array" ref="G12401">SubCategorizeComment(E12401)</f>
        <v>Other</v>
      </c>
    </row>
    <row r="12402" spans="1:7" x14ac:dyDescent="0.25">
      <c r="A12402">
        <v>118102</v>
      </c>
      <c r="B12402" t="s">
        <v>4</v>
      </c>
      <c r="C12402">
        <v>4</v>
      </c>
      <c r="D12402" t="s">
        <v>5</v>
      </c>
      <c r="F12402" t="str" cm="1">
        <f t="array" ref="F12402">CategorizeComment(E12402)</f>
        <v>Other</v>
      </c>
      <c r="G12402" t="str" cm="1">
        <f t="array" ref="G12402">SubCategorizeComment(E12402)</f>
        <v>Other</v>
      </c>
    </row>
    <row r="12403" spans="1:7" x14ac:dyDescent="0.25">
      <c r="A12403">
        <v>118116</v>
      </c>
      <c r="B12403" t="s">
        <v>4</v>
      </c>
      <c r="C12403">
        <v>3</v>
      </c>
      <c r="D12403" t="s">
        <v>5</v>
      </c>
      <c r="F12403" t="str" cm="1">
        <f t="array" ref="F12403">CategorizeComment(E12403)</f>
        <v>Other</v>
      </c>
      <c r="G12403" t="str" cm="1">
        <f t="array" ref="G12403">SubCategorizeComment(E12403)</f>
        <v>Other</v>
      </c>
    </row>
    <row r="12404" spans="1:7" x14ac:dyDescent="0.25">
      <c r="A12404">
        <v>118117</v>
      </c>
      <c r="B12404" t="s">
        <v>4</v>
      </c>
      <c r="C12404">
        <v>4</v>
      </c>
      <c r="D12404" t="s">
        <v>5</v>
      </c>
      <c r="F12404" t="str" cm="1">
        <f t="array" ref="F12404">CategorizeComment(E12404)</f>
        <v>Other</v>
      </c>
      <c r="G12404" t="str" cm="1">
        <f t="array" ref="G12404">SubCategorizeComment(E12404)</f>
        <v>Other</v>
      </c>
    </row>
    <row r="12405" spans="1:7" x14ac:dyDescent="0.25">
      <c r="A12405">
        <v>118125</v>
      </c>
      <c r="B12405" t="s">
        <v>4</v>
      </c>
      <c r="C12405">
        <v>4</v>
      </c>
      <c r="D12405" t="s">
        <v>5</v>
      </c>
      <c r="F12405" t="str" cm="1">
        <f t="array" ref="F12405">CategorizeComment(E12405)</f>
        <v>Other</v>
      </c>
      <c r="G12405" t="str" cm="1">
        <f t="array" ref="G12405">SubCategorizeComment(E12405)</f>
        <v>Other</v>
      </c>
    </row>
    <row r="12406" spans="1:7" x14ac:dyDescent="0.25">
      <c r="A12406">
        <v>118126</v>
      </c>
      <c r="B12406" t="s">
        <v>4</v>
      </c>
      <c r="C12406">
        <v>3</v>
      </c>
      <c r="D12406" t="s">
        <v>5</v>
      </c>
      <c r="F12406" t="str" cm="1">
        <f t="array" ref="F12406">CategorizeComment(E12406)</f>
        <v>Other</v>
      </c>
      <c r="G12406" t="str" cm="1">
        <f t="array" ref="G12406">SubCategorizeComment(E12406)</f>
        <v>Other</v>
      </c>
    </row>
    <row r="12407" spans="1:7" x14ac:dyDescent="0.25">
      <c r="A12407">
        <v>118133</v>
      </c>
      <c r="B12407" t="s">
        <v>4</v>
      </c>
      <c r="C12407">
        <v>4</v>
      </c>
      <c r="D12407" t="s">
        <v>5</v>
      </c>
      <c r="F12407" t="str" cm="1">
        <f t="array" ref="F12407">CategorizeComment(E12407)</f>
        <v>Other</v>
      </c>
      <c r="G12407" t="str" cm="1">
        <f t="array" ref="G12407">SubCategorizeComment(E12407)</f>
        <v>Other</v>
      </c>
    </row>
    <row r="12408" spans="1:7" x14ac:dyDescent="0.25">
      <c r="A12408">
        <v>118177</v>
      </c>
      <c r="B12408" t="s">
        <v>4</v>
      </c>
      <c r="C12408">
        <v>3</v>
      </c>
      <c r="D12408" t="s">
        <v>5</v>
      </c>
      <c r="F12408" t="str" cm="1">
        <f t="array" ref="F12408">CategorizeComment(E12408)</f>
        <v>Other</v>
      </c>
      <c r="G12408" t="str" cm="1">
        <f t="array" ref="G12408">SubCategorizeComment(E12408)</f>
        <v>Other</v>
      </c>
    </row>
    <row r="12409" spans="1:7" x14ac:dyDescent="0.25">
      <c r="A12409">
        <v>118181</v>
      </c>
      <c r="B12409" t="s">
        <v>4</v>
      </c>
      <c r="C12409">
        <v>3</v>
      </c>
      <c r="D12409" t="s">
        <v>5</v>
      </c>
      <c r="F12409" t="str" cm="1">
        <f t="array" ref="F12409">CategorizeComment(E12409)</f>
        <v>Other</v>
      </c>
      <c r="G12409" t="str" cm="1">
        <f t="array" ref="G12409">SubCategorizeComment(E12409)</f>
        <v>Other</v>
      </c>
    </row>
    <row r="12410" spans="1:7" x14ac:dyDescent="0.25">
      <c r="A12410">
        <v>118186</v>
      </c>
      <c r="B12410" t="s">
        <v>4</v>
      </c>
      <c r="C12410">
        <v>4</v>
      </c>
      <c r="D12410" t="s">
        <v>5</v>
      </c>
      <c r="F12410" t="str" cm="1">
        <f t="array" ref="F12410">CategorizeComment(E12410)</f>
        <v>Other</v>
      </c>
      <c r="G12410" t="str" cm="1">
        <f t="array" ref="G12410">SubCategorizeComment(E12410)</f>
        <v>Other</v>
      </c>
    </row>
    <row r="12411" spans="1:7" x14ac:dyDescent="0.25">
      <c r="A12411">
        <v>118193</v>
      </c>
      <c r="B12411" t="s">
        <v>4</v>
      </c>
      <c r="C12411">
        <v>3</v>
      </c>
      <c r="D12411" t="s">
        <v>5</v>
      </c>
      <c r="F12411" t="str" cm="1">
        <f t="array" ref="F12411">CategorizeComment(E12411)</f>
        <v>Other</v>
      </c>
      <c r="G12411" t="str" cm="1">
        <f t="array" ref="G12411">SubCategorizeComment(E12411)</f>
        <v>Other</v>
      </c>
    </row>
    <row r="12412" spans="1:7" x14ac:dyDescent="0.25">
      <c r="A12412">
        <v>118198</v>
      </c>
      <c r="B12412" t="s">
        <v>4</v>
      </c>
      <c r="C12412">
        <v>4</v>
      </c>
      <c r="D12412" t="s">
        <v>5</v>
      </c>
      <c r="F12412" t="str" cm="1">
        <f t="array" ref="F12412">CategorizeComment(E12412)</f>
        <v>Other</v>
      </c>
      <c r="G12412" t="str" cm="1">
        <f t="array" ref="G12412">SubCategorizeComment(E12412)</f>
        <v>Other</v>
      </c>
    </row>
    <row r="12413" spans="1:7" x14ac:dyDescent="0.25">
      <c r="A12413">
        <v>118210</v>
      </c>
      <c r="B12413" t="s">
        <v>4</v>
      </c>
      <c r="C12413">
        <v>4</v>
      </c>
      <c r="D12413" t="s">
        <v>5</v>
      </c>
      <c r="F12413" t="str" cm="1">
        <f t="array" ref="F12413">CategorizeComment(E12413)</f>
        <v>Other</v>
      </c>
      <c r="G12413" t="str" cm="1">
        <f t="array" ref="G12413">SubCategorizeComment(E12413)</f>
        <v>Other</v>
      </c>
    </row>
    <row r="12414" spans="1:7" x14ac:dyDescent="0.25">
      <c r="A12414">
        <v>118222</v>
      </c>
      <c r="B12414" t="s">
        <v>4</v>
      </c>
      <c r="C12414">
        <v>3</v>
      </c>
      <c r="D12414" t="s">
        <v>5</v>
      </c>
      <c r="F12414" t="str" cm="1">
        <f t="array" ref="F12414">CategorizeComment(E12414)</f>
        <v>Other</v>
      </c>
      <c r="G12414" t="str" cm="1">
        <f t="array" ref="G12414">SubCategorizeComment(E12414)</f>
        <v>Other</v>
      </c>
    </row>
    <row r="12415" spans="1:7" x14ac:dyDescent="0.25">
      <c r="A12415">
        <v>118234</v>
      </c>
      <c r="B12415" t="s">
        <v>4</v>
      </c>
      <c r="C12415">
        <v>0</v>
      </c>
      <c r="D12415" t="s">
        <v>5</v>
      </c>
      <c r="F12415" t="str" cm="1">
        <f t="array" ref="F12415">CategorizeComment(E12415)</f>
        <v>Other</v>
      </c>
      <c r="G12415" t="str" cm="1">
        <f t="array" ref="G12415">SubCategorizeComment(E12415)</f>
        <v>Other</v>
      </c>
    </row>
    <row r="12416" spans="1:7" x14ac:dyDescent="0.25">
      <c r="A12416">
        <v>118236</v>
      </c>
      <c r="B12416" t="s">
        <v>4</v>
      </c>
      <c r="C12416">
        <v>4</v>
      </c>
      <c r="D12416" t="s">
        <v>5</v>
      </c>
      <c r="F12416" t="str" cm="1">
        <f t="array" ref="F12416">CategorizeComment(E12416)</f>
        <v>Other</v>
      </c>
      <c r="G12416" t="str" cm="1">
        <f t="array" ref="G12416">SubCategorizeComment(E12416)</f>
        <v>Other</v>
      </c>
    </row>
    <row r="12417" spans="1:7" x14ac:dyDescent="0.25">
      <c r="A12417">
        <v>118239</v>
      </c>
      <c r="B12417" t="s">
        <v>4</v>
      </c>
      <c r="C12417">
        <v>4</v>
      </c>
      <c r="D12417" t="s">
        <v>5</v>
      </c>
      <c r="F12417" t="str" cm="1">
        <f t="array" ref="F12417">CategorizeComment(E12417)</f>
        <v>Other</v>
      </c>
      <c r="G12417" t="str" cm="1">
        <f t="array" ref="G12417">SubCategorizeComment(E12417)</f>
        <v>Other</v>
      </c>
    </row>
    <row r="12418" spans="1:7" x14ac:dyDescent="0.25">
      <c r="A12418">
        <v>118259</v>
      </c>
      <c r="B12418" t="s">
        <v>4</v>
      </c>
      <c r="C12418">
        <v>3</v>
      </c>
      <c r="D12418" t="s">
        <v>5</v>
      </c>
      <c r="F12418" t="str" cm="1">
        <f t="array" ref="F12418">CategorizeComment(E12418)</f>
        <v>Other</v>
      </c>
      <c r="G12418" t="str" cm="1">
        <f t="array" ref="G12418">SubCategorizeComment(E12418)</f>
        <v>Other</v>
      </c>
    </row>
    <row r="12419" spans="1:7" x14ac:dyDescent="0.25">
      <c r="A12419">
        <v>118294</v>
      </c>
      <c r="B12419" t="s">
        <v>4</v>
      </c>
      <c r="C12419">
        <v>4</v>
      </c>
      <c r="D12419" t="s">
        <v>5</v>
      </c>
      <c r="F12419" t="str" cm="1">
        <f t="array" ref="F12419">CategorizeComment(E12419)</f>
        <v>Other</v>
      </c>
      <c r="G12419" t="str" cm="1">
        <f t="array" ref="G12419">SubCategorizeComment(E12419)</f>
        <v>Other</v>
      </c>
    </row>
    <row r="12420" spans="1:7" x14ac:dyDescent="0.25">
      <c r="A12420">
        <v>118310</v>
      </c>
      <c r="B12420" t="s">
        <v>4</v>
      </c>
      <c r="C12420">
        <v>3</v>
      </c>
      <c r="D12420" t="s">
        <v>5</v>
      </c>
      <c r="F12420" t="str" cm="1">
        <f t="array" ref="F12420">CategorizeComment(E12420)</f>
        <v>Other</v>
      </c>
      <c r="G12420" t="str" cm="1">
        <f t="array" ref="G12420">SubCategorizeComment(E12420)</f>
        <v>Other</v>
      </c>
    </row>
    <row r="12421" spans="1:7" x14ac:dyDescent="0.25">
      <c r="A12421">
        <v>118317</v>
      </c>
      <c r="B12421" t="s">
        <v>4</v>
      </c>
      <c r="C12421">
        <v>4</v>
      </c>
      <c r="D12421" t="s">
        <v>5</v>
      </c>
      <c r="F12421" t="str" cm="1">
        <f t="array" ref="F12421">CategorizeComment(E12421)</f>
        <v>Other</v>
      </c>
      <c r="G12421" t="str" cm="1">
        <f t="array" ref="G12421">SubCategorizeComment(E12421)</f>
        <v>Other</v>
      </c>
    </row>
    <row r="12422" spans="1:7" x14ac:dyDescent="0.25">
      <c r="A12422">
        <v>118320</v>
      </c>
      <c r="B12422" t="s">
        <v>4</v>
      </c>
      <c r="C12422">
        <v>3</v>
      </c>
      <c r="D12422" t="s">
        <v>5</v>
      </c>
      <c r="F12422" t="str" cm="1">
        <f t="array" ref="F12422">CategorizeComment(E12422)</f>
        <v>Other</v>
      </c>
      <c r="G12422" t="str" cm="1">
        <f t="array" ref="G12422">SubCategorizeComment(E12422)</f>
        <v>Other</v>
      </c>
    </row>
    <row r="12423" spans="1:7" x14ac:dyDescent="0.25">
      <c r="A12423">
        <v>118322</v>
      </c>
      <c r="B12423" t="s">
        <v>4</v>
      </c>
      <c r="C12423">
        <v>4</v>
      </c>
      <c r="D12423" t="s">
        <v>5</v>
      </c>
      <c r="F12423" t="str" cm="1">
        <f t="array" ref="F12423">CategorizeComment(E12423)</f>
        <v>Other</v>
      </c>
      <c r="G12423" t="str" cm="1">
        <f t="array" ref="G12423">SubCategorizeComment(E12423)</f>
        <v>Other</v>
      </c>
    </row>
    <row r="12424" spans="1:7" x14ac:dyDescent="0.25">
      <c r="A12424">
        <v>118332</v>
      </c>
      <c r="B12424" t="s">
        <v>4</v>
      </c>
      <c r="C12424">
        <v>4</v>
      </c>
      <c r="D12424" t="s">
        <v>5</v>
      </c>
      <c r="F12424" t="str" cm="1">
        <f t="array" ref="F12424">CategorizeComment(E12424)</f>
        <v>Other</v>
      </c>
      <c r="G12424" t="str" cm="1">
        <f t="array" ref="G12424">SubCategorizeComment(E12424)</f>
        <v>Other</v>
      </c>
    </row>
    <row r="12425" spans="1:7" x14ac:dyDescent="0.25">
      <c r="A12425">
        <v>118333</v>
      </c>
      <c r="B12425" t="s">
        <v>4</v>
      </c>
      <c r="C12425">
        <v>4</v>
      </c>
      <c r="D12425" t="s">
        <v>5</v>
      </c>
      <c r="F12425" t="str" cm="1">
        <f t="array" ref="F12425">CategorizeComment(E12425)</f>
        <v>Other</v>
      </c>
      <c r="G12425" t="str" cm="1">
        <f t="array" ref="G12425">SubCategorizeComment(E12425)</f>
        <v>Other</v>
      </c>
    </row>
    <row r="12426" spans="1:7" x14ac:dyDescent="0.25">
      <c r="A12426">
        <v>118350</v>
      </c>
      <c r="B12426" t="s">
        <v>4</v>
      </c>
      <c r="C12426">
        <v>4</v>
      </c>
      <c r="D12426" t="s">
        <v>5</v>
      </c>
      <c r="F12426" t="str" cm="1">
        <f t="array" ref="F12426">CategorizeComment(E12426)</f>
        <v>Other</v>
      </c>
      <c r="G12426" t="str" cm="1">
        <f t="array" ref="G12426">SubCategorizeComment(E12426)</f>
        <v>Other</v>
      </c>
    </row>
    <row r="12427" spans="1:7" x14ac:dyDescent="0.25">
      <c r="A12427">
        <v>118363</v>
      </c>
      <c r="B12427" t="s">
        <v>4</v>
      </c>
      <c r="C12427">
        <v>4</v>
      </c>
      <c r="D12427" t="s">
        <v>5</v>
      </c>
      <c r="F12427" t="str" cm="1">
        <f t="array" ref="F12427">CategorizeComment(E12427)</f>
        <v>Other</v>
      </c>
      <c r="G12427" t="str" cm="1">
        <f t="array" ref="G12427">SubCategorizeComment(E12427)</f>
        <v>Other</v>
      </c>
    </row>
    <row r="12428" spans="1:7" x14ac:dyDescent="0.25">
      <c r="A12428">
        <v>118366</v>
      </c>
      <c r="B12428" t="s">
        <v>4</v>
      </c>
      <c r="C12428">
        <v>3</v>
      </c>
      <c r="D12428" t="s">
        <v>5</v>
      </c>
      <c r="F12428" t="str" cm="1">
        <f t="array" ref="F12428">CategorizeComment(E12428)</f>
        <v>Other</v>
      </c>
      <c r="G12428" t="str" cm="1">
        <f t="array" ref="G12428">SubCategorizeComment(E12428)</f>
        <v>Other</v>
      </c>
    </row>
    <row r="12429" spans="1:7" x14ac:dyDescent="0.25">
      <c r="A12429">
        <v>118389</v>
      </c>
      <c r="B12429" t="s">
        <v>4</v>
      </c>
      <c r="C12429">
        <v>4</v>
      </c>
      <c r="D12429" t="s">
        <v>5</v>
      </c>
      <c r="F12429" t="str" cm="1">
        <f t="array" ref="F12429">CategorizeComment(E12429)</f>
        <v>Other</v>
      </c>
      <c r="G12429" t="str" cm="1">
        <f t="array" ref="G12429">SubCategorizeComment(E12429)</f>
        <v>Other</v>
      </c>
    </row>
    <row r="12430" spans="1:7" x14ac:dyDescent="0.25">
      <c r="A12430">
        <v>118390</v>
      </c>
      <c r="B12430" t="s">
        <v>4</v>
      </c>
      <c r="C12430">
        <v>3</v>
      </c>
      <c r="D12430" t="s">
        <v>5</v>
      </c>
      <c r="F12430" t="str" cm="1">
        <f t="array" ref="F12430">CategorizeComment(E12430)</f>
        <v>Other</v>
      </c>
      <c r="G12430" t="str" cm="1">
        <f t="array" ref="G12430">SubCategorizeComment(E12430)</f>
        <v>Other</v>
      </c>
    </row>
    <row r="12431" spans="1:7" x14ac:dyDescent="0.25">
      <c r="A12431">
        <v>118399</v>
      </c>
      <c r="B12431" t="s">
        <v>4</v>
      </c>
      <c r="C12431">
        <v>3</v>
      </c>
      <c r="D12431" t="s">
        <v>5</v>
      </c>
      <c r="F12431" t="str" cm="1">
        <f t="array" ref="F12431">CategorizeComment(E12431)</f>
        <v>Other</v>
      </c>
      <c r="G12431" t="str" cm="1">
        <f t="array" ref="G12431">SubCategorizeComment(E12431)</f>
        <v>Other</v>
      </c>
    </row>
    <row r="12432" spans="1:7" x14ac:dyDescent="0.25">
      <c r="A12432">
        <v>118403</v>
      </c>
      <c r="B12432" t="s">
        <v>4</v>
      </c>
      <c r="C12432">
        <v>3</v>
      </c>
      <c r="D12432" t="s">
        <v>5</v>
      </c>
      <c r="F12432" t="str" cm="1">
        <f t="array" ref="F12432">CategorizeComment(E12432)</f>
        <v>Other</v>
      </c>
      <c r="G12432" t="str" cm="1">
        <f t="array" ref="G12432">SubCategorizeComment(E12432)</f>
        <v>Other</v>
      </c>
    </row>
    <row r="12433" spans="1:7" x14ac:dyDescent="0.25">
      <c r="A12433">
        <v>118426</v>
      </c>
      <c r="B12433" t="s">
        <v>4</v>
      </c>
      <c r="C12433">
        <v>3</v>
      </c>
      <c r="D12433" t="s">
        <v>5</v>
      </c>
      <c r="F12433" t="str" cm="1">
        <f t="array" ref="F12433">CategorizeComment(E12433)</f>
        <v>Other</v>
      </c>
      <c r="G12433" t="str" cm="1">
        <f t="array" ref="G12433">SubCategorizeComment(E12433)</f>
        <v>Other</v>
      </c>
    </row>
    <row r="12434" spans="1:7" x14ac:dyDescent="0.25">
      <c r="A12434">
        <v>118440</v>
      </c>
      <c r="B12434" t="s">
        <v>4</v>
      </c>
      <c r="C12434">
        <v>4</v>
      </c>
      <c r="D12434" t="s">
        <v>5</v>
      </c>
      <c r="F12434" t="str" cm="1">
        <f t="array" ref="F12434">CategorizeComment(E12434)</f>
        <v>Other</v>
      </c>
      <c r="G12434" t="str" cm="1">
        <f t="array" ref="G12434">SubCategorizeComment(E12434)</f>
        <v>Other</v>
      </c>
    </row>
    <row r="12435" spans="1:7" x14ac:dyDescent="0.25">
      <c r="A12435">
        <v>118474</v>
      </c>
      <c r="B12435" t="s">
        <v>4</v>
      </c>
      <c r="C12435">
        <v>3</v>
      </c>
      <c r="D12435" t="s">
        <v>5</v>
      </c>
      <c r="F12435" t="str" cm="1">
        <f t="array" ref="F12435">CategorizeComment(E12435)</f>
        <v>Other</v>
      </c>
      <c r="G12435" t="str" cm="1">
        <f t="array" ref="G12435">SubCategorizeComment(E12435)</f>
        <v>Other</v>
      </c>
    </row>
    <row r="12436" spans="1:7" x14ac:dyDescent="0.25">
      <c r="A12436">
        <v>118513</v>
      </c>
      <c r="B12436" t="s">
        <v>4</v>
      </c>
      <c r="C12436">
        <v>3</v>
      </c>
      <c r="D12436" t="s">
        <v>5</v>
      </c>
      <c r="F12436" t="str" cm="1">
        <f t="array" ref="F12436">CategorizeComment(E12436)</f>
        <v>Other</v>
      </c>
      <c r="G12436" t="str" cm="1">
        <f t="array" ref="G12436">SubCategorizeComment(E12436)</f>
        <v>Other</v>
      </c>
    </row>
    <row r="12437" spans="1:7" x14ac:dyDescent="0.25">
      <c r="A12437">
        <v>118522</v>
      </c>
      <c r="B12437" t="s">
        <v>4</v>
      </c>
      <c r="C12437">
        <v>3</v>
      </c>
      <c r="D12437" t="s">
        <v>5</v>
      </c>
      <c r="F12437" t="str" cm="1">
        <f t="array" ref="F12437">CategorizeComment(E12437)</f>
        <v>Other</v>
      </c>
      <c r="G12437" t="str" cm="1">
        <f t="array" ref="G12437">SubCategorizeComment(E12437)</f>
        <v>Other</v>
      </c>
    </row>
    <row r="12438" spans="1:7" x14ac:dyDescent="0.25">
      <c r="A12438">
        <v>118526</v>
      </c>
      <c r="B12438" t="s">
        <v>4</v>
      </c>
      <c r="C12438">
        <v>3</v>
      </c>
      <c r="D12438" t="s">
        <v>5</v>
      </c>
      <c r="F12438" t="str" cm="1">
        <f t="array" ref="F12438">CategorizeComment(E12438)</f>
        <v>Other</v>
      </c>
      <c r="G12438" t="str" cm="1">
        <f t="array" ref="G12438">SubCategorizeComment(E12438)</f>
        <v>Other</v>
      </c>
    </row>
    <row r="12439" spans="1:7" x14ac:dyDescent="0.25">
      <c r="A12439">
        <v>118528</v>
      </c>
      <c r="B12439" t="s">
        <v>4</v>
      </c>
      <c r="C12439">
        <v>4</v>
      </c>
      <c r="D12439" t="s">
        <v>5</v>
      </c>
      <c r="F12439" t="str" cm="1">
        <f t="array" ref="F12439">CategorizeComment(E12439)</f>
        <v>Other</v>
      </c>
      <c r="G12439" t="str" cm="1">
        <f t="array" ref="G12439">SubCategorizeComment(E12439)</f>
        <v>Other</v>
      </c>
    </row>
    <row r="12440" spans="1:7" x14ac:dyDescent="0.25">
      <c r="A12440">
        <v>118537</v>
      </c>
      <c r="B12440" t="s">
        <v>4</v>
      </c>
      <c r="C12440">
        <v>4</v>
      </c>
      <c r="D12440" t="s">
        <v>5</v>
      </c>
      <c r="F12440" t="str" cm="1">
        <f t="array" ref="F12440">CategorizeComment(E12440)</f>
        <v>Other</v>
      </c>
      <c r="G12440" t="str" cm="1">
        <f t="array" ref="G12440">SubCategorizeComment(E12440)</f>
        <v>Other</v>
      </c>
    </row>
    <row r="12441" spans="1:7" x14ac:dyDescent="0.25">
      <c r="A12441">
        <v>118541</v>
      </c>
      <c r="B12441" t="s">
        <v>4</v>
      </c>
      <c r="C12441">
        <v>3</v>
      </c>
      <c r="D12441" t="s">
        <v>5</v>
      </c>
      <c r="F12441" t="str" cm="1">
        <f t="array" ref="F12441">CategorizeComment(E12441)</f>
        <v>Other</v>
      </c>
      <c r="G12441" t="str" cm="1">
        <f t="array" ref="G12441">SubCategorizeComment(E12441)</f>
        <v>Other</v>
      </c>
    </row>
    <row r="12442" spans="1:7" x14ac:dyDescent="0.25">
      <c r="A12442">
        <v>118567</v>
      </c>
      <c r="B12442" t="s">
        <v>4</v>
      </c>
      <c r="C12442">
        <v>3</v>
      </c>
      <c r="D12442" t="s">
        <v>5</v>
      </c>
      <c r="F12442" t="str" cm="1">
        <f t="array" ref="F12442">CategorizeComment(E12442)</f>
        <v>Other</v>
      </c>
      <c r="G12442" t="str" cm="1">
        <f t="array" ref="G12442">SubCategorizeComment(E12442)</f>
        <v>Other</v>
      </c>
    </row>
    <row r="12443" spans="1:7" x14ac:dyDescent="0.25">
      <c r="A12443">
        <v>118570</v>
      </c>
      <c r="B12443" t="s">
        <v>4</v>
      </c>
      <c r="C12443">
        <v>3</v>
      </c>
      <c r="D12443" t="s">
        <v>5</v>
      </c>
      <c r="F12443" t="str" cm="1">
        <f t="array" ref="F12443">CategorizeComment(E12443)</f>
        <v>Other</v>
      </c>
      <c r="G12443" t="str" cm="1">
        <f t="array" ref="G12443">SubCategorizeComment(E12443)</f>
        <v>Other</v>
      </c>
    </row>
    <row r="12444" spans="1:7" x14ac:dyDescent="0.25">
      <c r="A12444">
        <v>118573</v>
      </c>
      <c r="B12444" t="s">
        <v>4</v>
      </c>
      <c r="C12444">
        <v>3</v>
      </c>
      <c r="D12444" t="s">
        <v>5</v>
      </c>
      <c r="F12444" t="str" cm="1">
        <f t="array" ref="F12444">CategorizeComment(E12444)</f>
        <v>Other</v>
      </c>
      <c r="G12444" t="str" cm="1">
        <f t="array" ref="G12444">SubCategorizeComment(E12444)</f>
        <v>Other</v>
      </c>
    </row>
    <row r="12445" spans="1:7" x14ac:dyDescent="0.25">
      <c r="A12445">
        <v>118606</v>
      </c>
      <c r="B12445" t="s">
        <v>4</v>
      </c>
      <c r="C12445">
        <v>4</v>
      </c>
      <c r="D12445" t="s">
        <v>5</v>
      </c>
      <c r="F12445" t="str" cm="1">
        <f t="array" ref="F12445">CategorizeComment(E12445)</f>
        <v>Other</v>
      </c>
      <c r="G12445" t="str" cm="1">
        <f t="array" ref="G12445">SubCategorizeComment(E12445)</f>
        <v>Other</v>
      </c>
    </row>
    <row r="12446" spans="1:7" x14ac:dyDescent="0.25">
      <c r="A12446">
        <v>118608</v>
      </c>
      <c r="B12446" t="s">
        <v>4</v>
      </c>
      <c r="C12446">
        <v>3</v>
      </c>
      <c r="D12446" t="s">
        <v>5</v>
      </c>
      <c r="F12446" t="str" cm="1">
        <f t="array" ref="F12446">CategorizeComment(E12446)</f>
        <v>Other</v>
      </c>
      <c r="G12446" t="str" cm="1">
        <f t="array" ref="G12446">SubCategorizeComment(E12446)</f>
        <v>Other</v>
      </c>
    </row>
    <row r="12447" spans="1:7" x14ac:dyDescent="0.25">
      <c r="A12447">
        <v>118616</v>
      </c>
      <c r="B12447" t="s">
        <v>4</v>
      </c>
      <c r="C12447">
        <v>4</v>
      </c>
      <c r="D12447" t="s">
        <v>5</v>
      </c>
      <c r="F12447" t="str" cm="1">
        <f t="array" ref="F12447">CategorizeComment(E12447)</f>
        <v>Other</v>
      </c>
      <c r="G12447" t="str" cm="1">
        <f t="array" ref="G12447">SubCategorizeComment(E12447)</f>
        <v>Other</v>
      </c>
    </row>
    <row r="12448" spans="1:7" x14ac:dyDescent="0.25">
      <c r="A12448">
        <v>118619</v>
      </c>
      <c r="B12448" t="s">
        <v>4</v>
      </c>
      <c r="C12448">
        <v>3</v>
      </c>
      <c r="D12448" t="s">
        <v>5</v>
      </c>
      <c r="F12448" t="str" cm="1">
        <f t="array" ref="F12448">CategorizeComment(E12448)</f>
        <v>Other</v>
      </c>
      <c r="G12448" t="str" cm="1">
        <f t="array" ref="G12448">SubCategorizeComment(E12448)</f>
        <v>Other</v>
      </c>
    </row>
    <row r="12449" spans="1:7" x14ac:dyDescent="0.25">
      <c r="A12449">
        <v>118621</v>
      </c>
      <c r="B12449" t="s">
        <v>4</v>
      </c>
      <c r="C12449">
        <v>3</v>
      </c>
      <c r="D12449" t="s">
        <v>5</v>
      </c>
      <c r="F12449" t="str" cm="1">
        <f t="array" ref="F12449">CategorizeComment(E12449)</f>
        <v>Other</v>
      </c>
      <c r="G12449" t="str" cm="1">
        <f t="array" ref="G12449">SubCategorizeComment(E12449)</f>
        <v>Other</v>
      </c>
    </row>
    <row r="12450" spans="1:7" x14ac:dyDescent="0.25">
      <c r="A12450">
        <v>118631</v>
      </c>
      <c r="B12450" t="s">
        <v>4</v>
      </c>
      <c r="C12450">
        <v>4</v>
      </c>
      <c r="D12450" t="s">
        <v>5</v>
      </c>
      <c r="F12450" t="str" cm="1">
        <f t="array" ref="F12450">CategorizeComment(E12450)</f>
        <v>Other</v>
      </c>
      <c r="G12450" t="str" cm="1">
        <f t="array" ref="G12450">SubCategorizeComment(E12450)</f>
        <v>Other</v>
      </c>
    </row>
    <row r="12451" spans="1:7" x14ac:dyDescent="0.25">
      <c r="A12451">
        <v>118635</v>
      </c>
      <c r="B12451" t="s">
        <v>4</v>
      </c>
      <c r="C12451">
        <v>4</v>
      </c>
      <c r="D12451" t="s">
        <v>5</v>
      </c>
      <c r="F12451" t="str" cm="1">
        <f t="array" ref="F12451">CategorizeComment(E12451)</f>
        <v>Other</v>
      </c>
      <c r="G12451" t="str" cm="1">
        <f t="array" ref="G12451">SubCategorizeComment(E12451)</f>
        <v>Other</v>
      </c>
    </row>
    <row r="12452" spans="1:7" x14ac:dyDescent="0.25">
      <c r="A12452">
        <v>118644</v>
      </c>
      <c r="B12452" t="s">
        <v>4</v>
      </c>
      <c r="C12452">
        <v>4</v>
      </c>
      <c r="D12452" t="s">
        <v>5</v>
      </c>
      <c r="F12452" t="str" cm="1">
        <f t="array" ref="F12452">CategorizeComment(E12452)</f>
        <v>Other</v>
      </c>
      <c r="G12452" t="str" cm="1">
        <f t="array" ref="G12452">SubCategorizeComment(E12452)</f>
        <v>Other</v>
      </c>
    </row>
    <row r="12453" spans="1:7" x14ac:dyDescent="0.25">
      <c r="A12453">
        <v>118647</v>
      </c>
      <c r="B12453" t="s">
        <v>4</v>
      </c>
      <c r="C12453">
        <v>4</v>
      </c>
      <c r="D12453" t="s">
        <v>5</v>
      </c>
      <c r="F12453" t="str" cm="1">
        <f t="array" ref="F12453">CategorizeComment(E12453)</f>
        <v>Other</v>
      </c>
      <c r="G12453" t="str" cm="1">
        <f t="array" ref="G12453">SubCategorizeComment(E12453)</f>
        <v>Other</v>
      </c>
    </row>
    <row r="12454" spans="1:7" x14ac:dyDescent="0.25">
      <c r="A12454">
        <v>118652</v>
      </c>
      <c r="B12454" t="s">
        <v>4</v>
      </c>
      <c r="C12454">
        <v>4</v>
      </c>
      <c r="D12454" t="s">
        <v>5</v>
      </c>
      <c r="F12454" t="str" cm="1">
        <f t="array" ref="F12454">CategorizeComment(E12454)</f>
        <v>Other</v>
      </c>
      <c r="G12454" t="str" cm="1">
        <f t="array" ref="G12454">SubCategorizeComment(E12454)</f>
        <v>Other</v>
      </c>
    </row>
    <row r="12455" spans="1:7" x14ac:dyDescent="0.25">
      <c r="A12455">
        <v>118654</v>
      </c>
      <c r="B12455" t="s">
        <v>4</v>
      </c>
      <c r="C12455">
        <v>3</v>
      </c>
      <c r="D12455" t="s">
        <v>5</v>
      </c>
      <c r="F12455" t="str" cm="1">
        <f t="array" ref="F12455">CategorizeComment(E12455)</f>
        <v>Other</v>
      </c>
      <c r="G12455" t="str" cm="1">
        <f t="array" ref="G12455">SubCategorizeComment(E12455)</f>
        <v>Other</v>
      </c>
    </row>
    <row r="12456" spans="1:7" x14ac:dyDescent="0.25">
      <c r="A12456">
        <v>118661</v>
      </c>
      <c r="B12456" t="s">
        <v>4</v>
      </c>
      <c r="C12456">
        <v>4</v>
      </c>
      <c r="D12456" t="s">
        <v>5</v>
      </c>
      <c r="F12456" t="str" cm="1">
        <f t="array" ref="F12456">CategorizeComment(E12456)</f>
        <v>Other</v>
      </c>
      <c r="G12456" t="str" cm="1">
        <f t="array" ref="G12456">SubCategorizeComment(E12456)</f>
        <v>Other</v>
      </c>
    </row>
    <row r="12457" spans="1:7" x14ac:dyDescent="0.25">
      <c r="A12457">
        <v>118662</v>
      </c>
      <c r="B12457" t="s">
        <v>4</v>
      </c>
      <c r="C12457">
        <v>4</v>
      </c>
      <c r="D12457" t="s">
        <v>5</v>
      </c>
      <c r="F12457" t="str" cm="1">
        <f t="array" ref="F12457">CategorizeComment(E12457)</f>
        <v>Other</v>
      </c>
      <c r="G12457" t="str" cm="1">
        <f t="array" ref="G12457">SubCategorizeComment(E12457)</f>
        <v>Other</v>
      </c>
    </row>
    <row r="12458" spans="1:7" x14ac:dyDescent="0.25">
      <c r="A12458">
        <v>118664</v>
      </c>
      <c r="B12458" t="s">
        <v>4</v>
      </c>
      <c r="C12458">
        <v>4</v>
      </c>
      <c r="D12458" t="s">
        <v>5</v>
      </c>
      <c r="F12458" t="str" cm="1">
        <f t="array" ref="F12458">CategorizeComment(E12458)</f>
        <v>Other</v>
      </c>
      <c r="G12458" t="str" cm="1">
        <f t="array" ref="G12458">SubCategorizeComment(E12458)</f>
        <v>Other</v>
      </c>
    </row>
    <row r="12459" spans="1:7" x14ac:dyDescent="0.25">
      <c r="A12459">
        <v>118676</v>
      </c>
      <c r="B12459" t="s">
        <v>4</v>
      </c>
      <c r="C12459">
        <v>4</v>
      </c>
      <c r="D12459" t="s">
        <v>5</v>
      </c>
      <c r="F12459" t="str" cm="1">
        <f t="array" ref="F12459">CategorizeComment(E12459)</f>
        <v>Other</v>
      </c>
      <c r="G12459" t="str" cm="1">
        <f t="array" ref="G12459">SubCategorizeComment(E12459)</f>
        <v>Other</v>
      </c>
    </row>
    <row r="12460" spans="1:7" x14ac:dyDescent="0.25">
      <c r="A12460">
        <v>118687</v>
      </c>
      <c r="B12460" t="s">
        <v>4</v>
      </c>
      <c r="C12460">
        <v>3</v>
      </c>
      <c r="D12460" t="s">
        <v>5</v>
      </c>
      <c r="F12460" t="str" cm="1">
        <f t="array" ref="F12460">CategorizeComment(E12460)</f>
        <v>Other</v>
      </c>
      <c r="G12460" t="str" cm="1">
        <f t="array" ref="G12460">SubCategorizeComment(E12460)</f>
        <v>Other</v>
      </c>
    </row>
    <row r="12461" spans="1:7" x14ac:dyDescent="0.25">
      <c r="A12461">
        <v>118690</v>
      </c>
      <c r="B12461" t="s">
        <v>4</v>
      </c>
      <c r="C12461">
        <v>4</v>
      </c>
      <c r="D12461" t="s">
        <v>5</v>
      </c>
      <c r="F12461" t="str" cm="1">
        <f t="array" ref="F12461">CategorizeComment(E12461)</f>
        <v>Other</v>
      </c>
      <c r="G12461" t="str" cm="1">
        <f t="array" ref="G12461">SubCategorizeComment(E12461)</f>
        <v>Other</v>
      </c>
    </row>
    <row r="12462" spans="1:7" x14ac:dyDescent="0.25">
      <c r="A12462">
        <v>118693</v>
      </c>
      <c r="B12462" t="s">
        <v>4</v>
      </c>
      <c r="C12462">
        <v>4</v>
      </c>
      <c r="D12462" t="s">
        <v>5</v>
      </c>
      <c r="F12462" t="str" cm="1">
        <f t="array" ref="F12462">CategorizeComment(E12462)</f>
        <v>Other</v>
      </c>
      <c r="G12462" t="str" cm="1">
        <f t="array" ref="G12462">SubCategorizeComment(E12462)</f>
        <v>Other</v>
      </c>
    </row>
    <row r="12463" spans="1:7" x14ac:dyDescent="0.25">
      <c r="A12463">
        <v>118702</v>
      </c>
      <c r="B12463" t="s">
        <v>4</v>
      </c>
      <c r="C12463">
        <v>3</v>
      </c>
      <c r="D12463" t="s">
        <v>5</v>
      </c>
      <c r="F12463" t="str" cm="1">
        <f t="array" ref="F12463">CategorizeComment(E12463)</f>
        <v>Other</v>
      </c>
      <c r="G12463" t="str" cm="1">
        <f t="array" ref="G12463">SubCategorizeComment(E12463)</f>
        <v>Other</v>
      </c>
    </row>
    <row r="12464" spans="1:7" x14ac:dyDescent="0.25">
      <c r="A12464">
        <v>118704</v>
      </c>
      <c r="B12464" t="s">
        <v>4</v>
      </c>
      <c r="C12464">
        <v>3</v>
      </c>
      <c r="D12464" t="s">
        <v>5</v>
      </c>
      <c r="F12464" t="str" cm="1">
        <f t="array" ref="F12464">CategorizeComment(E12464)</f>
        <v>Other</v>
      </c>
      <c r="G12464" t="str" cm="1">
        <f t="array" ref="G12464">SubCategorizeComment(E12464)</f>
        <v>Other</v>
      </c>
    </row>
    <row r="12465" spans="1:7" x14ac:dyDescent="0.25">
      <c r="A12465">
        <v>118706</v>
      </c>
      <c r="B12465" t="s">
        <v>4</v>
      </c>
      <c r="C12465">
        <v>3</v>
      </c>
      <c r="D12465" t="s">
        <v>5</v>
      </c>
      <c r="F12465" t="str" cm="1">
        <f t="array" ref="F12465">CategorizeComment(E12465)</f>
        <v>Other</v>
      </c>
      <c r="G12465" t="str" cm="1">
        <f t="array" ref="G12465">SubCategorizeComment(E12465)</f>
        <v>Other</v>
      </c>
    </row>
    <row r="12466" spans="1:7" x14ac:dyDescent="0.25">
      <c r="A12466">
        <v>118730</v>
      </c>
      <c r="B12466" t="s">
        <v>4</v>
      </c>
      <c r="C12466">
        <v>3</v>
      </c>
      <c r="D12466" t="s">
        <v>5</v>
      </c>
      <c r="F12466" t="str" cm="1">
        <f t="array" ref="F12466">CategorizeComment(E12466)</f>
        <v>Other</v>
      </c>
      <c r="G12466" t="str" cm="1">
        <f t="array" ref="G12466">SubCategorizeComment(E12466)</f>
        <v>Other</v>
      </c>
    </row>
    <row r="12467" spans="1:7" x14ac:dyDescent="0.25">
      <c r="A12467">
        <v>118738</v>
      </c>
      <c r="B12467" t="s">
        <v>4</v>
      </c>
      <c r="C12467">
        <v>3</v>
      </c>
      <c r="D12467" t="s">
        <v>5</v>
      </c>
      <c r="F12467" t="str" cm="1">
        <f t="array" ref="F12467">CategorizeComment(E12467)</f>
        <v>Other</v>
      </c>
      <c r="G12467" t="str" cm="1">
        <f t="array" ref="G12467">SubCategorizeComment(E12467)</f>
        <v>Other</v>
      </c>
    </row>
    <row r="12468" spans="1:7" x14ac:dyDescent="0.25">
      <c r="A12468">
        <v>118739</v>
      </c>
      <c r="B12468" t="s">
        <v>4</v>
      </c>
      <c r="C12468">
        <v>3</v>
      </c>
      <c r="D12468" t="s">
        <v>5</v>
      </c>
      <c r="F12468" t="str" cm="1">
        <f t="array" ref="F12468">CategorizeComment(E12468)</f>
        <v>Other</v>
      </c>
      <c r="G12468" t="str" cm="1">
        <f t="array" ref="G12468">SubCategorizeComment(E12468)</f>
        <v>Other</v>
      </c>
    </row>
    <row r="12469" spans="1:7" x14ac:dyDescent="0.25">
      <c r="A12469">
        <v>118765</v>
      </c>
      <c r="B12469" t="s">
        <v>4</v>
      </c>
      <c r="C12469">
        <v>3</v>
      </c>
      <c r="D12469" t="s">
        <v>5</v>
      </c>
      <c r="F12469" t="str" cm="1">
        <f t="array" ref="F12469">CategorizeComment(E12469)</f>
        <v>Other</v>
      </c>
      <c r="G12469" t="str" cm="1">
        <f t="array" ref="G12469">SubCategorizeComment(E12469)</f>
        <v>Other</v>
      </c>
    </row>
    <row r="12470" spans="1:7" x14ac:dyDescent="0.25">
      <c r="A12470">
        <v>118776</v>
      </c>
      <c r="B12470" t="s">
        <v>4</v>
      </c>
      <c r="C12470">
        <v>4</v>
      </c>
      <c r="D12470" t="s">
        <v>5</v>
      </c>
      <c r="F12470" t="str" cm="1">
        <f t="array" ref="F12470">CategorizeComment(E12470)</f>
        <v>Other</v>
      </c>
      <c r="G12470" t="str" cm="1">
        <f t="array" ref="G12470">SubCategorizeComment(E12470)</f>
        <v>Other</v>
      </c>
    </row>
    <row r="12471" spans="1:7" x14ac:dyDescent="0.25">
      <c r="A12471">
        <v>118779</v>
      </c>
      <c r="B12471" t="s">
        <v>4</v>
      </c>
      <c r="C12471">
        <v>4</v>
      </c>
      <c r="D12471" t="s">
        <v>5</v>
      </c>
      <c r="F12471" t="str" cm="1">
        <f t="array" ref="F12471">CategorizeComment(E12471)</f>
        <v>Other</v>
      </c>
      <c r="G12471" t="str" cm="1">
        <f t="array" ref="G12471">SubCategorizeComment(E12471)</f>
        <v>Other</v>
      </c>
    </row>
    <row r="12472" spans="1:7" x14ac:dyDescent="0.25">
      <c r="A12472">
        <v>118780</v>
      </c>
      <c r="B12472" t="s">
        <v>4</v>
      </c>
      <c r="C12472">
        <v>3</v>
      </c>
      <c r="D12472" t="s">
        <v>5</v>
      </c>
      <c r="F12472" t="str" cm="1">
        <f t="array" ref="F12472">CategorizeComment(E12472)</f>
        <v>Other</v>
      </c>
      <c r="G12472" t="str" cm="1">
        <f t="array" ref="G12472">SubCategorizeComment(E12472)</f>
        <v>Other</v>
      </c>
    </row>
    <row r="12473" spans="1:7" x14ac:dyDescent="0.25">
      <c r="A12473">
        <v>118783</v>
      </c>
      <c r="B12473" t="s">
        <v>4</v>
      </c>
      <c r="C12473">
        <v>3</v>
      </c>
      <c r="D12473" t="s">
        <v>5</v>
      </c>
      <c r="F12473" t="str" cm="1">
        <f t="array" ref="F12473">CategorizeComment(E12473)</f>
        <v>Other</v>
      </c>
      <c r="G12473" t="str" cm="1">
        <f t="array" ref="G12473">SubCategorizeComment(E12473)</f>
        <v>Other</v>
      </c>
    </row>
    <row r="12474" spans="1:7" x14ac:dyDescent="0.25">
      <c r="A12474">
        <v>118787</v>
      </c>
      <c r="B12474" t="s">
        <v>4</v>
      </c>
      <c r="C12474">
        <v>4</v>
      </c>
      <c r="D12474" t="s">
        <v>5</v>
      </c>
      <c r="F12474" t="str" cm="1">
        <f t="array" ref="F12474">CategorizeComment(E12474)</f>
        <v>Other</v>
      </c>
      <c r="G12474" t="str" cm="1">
        <f t="array" ref="G12474">SubCategorizeComment(E12474)</f>
        <v>Other</v>
      </c>
    </row>
    <row r="12475" spans="1:7" x14ac:dyDescent="0.25">
      <c r="A12475">
        <v>118788</v>
      </c>
      <c r="B12475" t="s">
        <v>4</v>
      </c>
      <c r="C12475">
        <v>3</v>
      </c>
      <c r="D12475" t="s">
        <v>5</v>
      </c>
      <c r="F12475" t="str" cm="1">
        <f t="array" ref="F12475">CategorizeComment(E12475)</f>
        <v>Other</v>
      </c>
      <c r="G12475" t="str" cm="1">
        <f t="array" ref="G12475">SubCategorizeComment(E12475)</f>
        <v>Other</v>
      </c>
    </row>
    <row r="12476" spans="1:7" x14ac:dyDescent="0.25">
      <c r="A12476">
        <v>118791</v>
      </c>
      <c r="B12476" t="s">
        <v>4</v>
      </c>
      <c r="C12476">
        <v>4</v>
      </c>
      <c r="D12476" t="s">
        <v>5</v>
      </c>
      <c r="F12476" t="str" cm="1">
        <f t="array" ref="F12476">CategorizeComment(E12476)</f>
        <v>Other</v>
      </c>
      <c r="G12476" t="str" cm="1">
        <f t="array" ref="G12476">SubCategorizeComment(E12476)</f>
        <v>Other</v>
      </c>
    </row>
    <row r="12477" spans="1:7" x14ac:dyDescent="0.25">
      <c r="A12477">
        <v>118793</v>
      </c>
      <c r="B12477" t="s">
        <v>4</v>
      </c>
      <c r="C12477">
        <v>3</v>
      </c>
      <c r="D12477" t="s">
        <v>5</v>
      </c>
      <c r="F12477" t="str" cm="1">
        <f t="array" ref="F12477">CategorizeComment(E12477)</f>
        <v>Other</v>
      </c>
      <c r="G12477" t="str" cm="1">
        <f t="array" ref="G12477">SubCategorizeComment(E12477)</f>
        <v>Other</v>
      </c>
    </row>
    <row r="12478" spans="1:7" x14ac:dyDescent="0.25">
      <c r="A12478">
        <v>118802</v>
      </c>
      <c r="B12478" t="s">
        <v>4</v>
      </c>
      <c r="C12478">
        <v>3</v>
      </c>
      <c r="D12478" t="s">
        <v>5</v>
      </c>
      <c r="F12478" t="str" cm="1">
        <f t="array" ref="F12478">CategorizeComment(E12478)</f>
        <v>Other</v>
      </c>
      <c r="G12478" t="str" cm="1">
        <f t="array" ref="G12478">SubCategorizeComment(E12478)</f>
        <v>Other</v>
      </c>
    </row>
    <row r="12479" spans="1:7" x14ac:dyDescent="0.25">
      <c r="A12479">
        <v>118809</v>
      </c>
      <c r="B12479" t="s">
        <v>4</v>
      </c>
      <c r="C12479">
        <v>4</v>
      </c>
      <c r="D12479" t="s">
        <v>5</v>
      </c>
      <c r="F12479" t="str" cm="1">
        <f t="array" ref="F12479">CategorizeComment(E12479)</f>
        <v>Other</v>
      </c>
      <c r="G12479" t="str" cm="1">
        <f t="array" ref="G12479">SubCategorizeComment(E12479)</f>
        <v>Other</v>
      </c>
    </row>
    <row r="12480" spans="1:7" x14ac:dyDescent="0.25">
      <c r="A12480">
        <v>118835</v>
      </c>
      <c r="B12480" t="s">
        <v>4</v>
      </c>
      <c r="C12480">
        <v>4</v>
      </c>
      <c r="D12480" t="s">
        <v>5</v>
      </c>
      <c r="F12480" t="str" cm="1">
        <f t="array" ref="F12480">CategorizeComment(E12480)</f>
        <v>Other</v>
      </c>
      <c r="G12480" t="str" cm="1">
        <f t="array" ref="G12480">SubCategorizeComment(E12480)</f>
        <v>Other</v>
      </c>
    </row>
    <row r="12481" spans="1:7" x14ac:dyDescent="0.25">
      <c r="A12481">
        <v>118837</v>
      </c>
      <c r="B12481" t="s">
        <v>4</v>
      </c>
      <c r="C12481">
        <v>4</v>
      </c>
      <c r="D12481" t="s">
        <v>5</v>
      </c>
      <c r="F12481" t="str" cm="1">
        <f t="array" ref="F12481">CategorizeComment(E12481)</f>
        <v>Other</v>
      </c>
      <c r="G12481" t="str" cm="1">
        <f t="array" ref="G12481">SubCategorizeComment(E12481)</f>
        <v>Other</v>
      </c>
    </row>
    <row r="12482" spans="1:7" x14ac:dyDescent="0.25">
      <c r="A12482">
        <v>118839</v>
      </c>
      <c r="B12482" t="s">
        <v>4</v>
      </c>
      <c r="C12482">
        <v>3</v>
      </c>
      <c r="D12482" t="s">
        <v>5</v>
      </c>
      <c r="F12482" t="str" cm="1">
        <f t="array" ref="F12482">CategorizeComment(E12482)</f>
        <v>Other</v>
      </c>
      <c r="G12482" t="str" cm="1">
        <f t="array" ref="G12482">SubCategorizeComment(E12482)</f>
        <v>Other</v>
      </c>
    </row>
    <row r="12483" spans="1:7" x14ac:dyDescent="0.25">
      <c r="A12483">
        <v>118841</v>
      </c>
      <c r="B12483" t="s">
        <v>4</v>
      </c>
      <c r="C12483">
        <v>3</v>
      </c>
      <c r="D12483" t="s">
        <v>5</v>
      </c>
      <c r="F12483" t="str" cm="1">
        <f t="array" ref="F12483">CategorizeComment(E12483)</f>
        <v>Other</v>
      </c>
      <c r="G12483" t="str" cm="1">
        <f t="array" ref="G12483">SubCategorizeComment(E12483)</f>
        <v>Other</v>
      </c>
    </row>
    <row r="12484" spans="1:7" x14ac:dyDescent="0.25">
      <c r="A12484">
        <v>118843</v>
      </c>
      <c r="B12484" t="s">
        <v>4</v>
      </c>
      <c r="C12484">
        <v>3</v>
      </c>
      <c r="D12484" t="s">
        <v>5</v>
      </c>
      <c r="F12484" t="str" cm="1">
        <f t="array" ref="F12484">CategorizeComment(E12484)</f>
        <v>Other</v>
      </c>
      <c r="G12484" t="str" cm="1">
        <f t="array" ref="G12484">SubCategorizeComment(E12484)</f>
        <v>Other</v>
      </c>
    </row>
    <row r="12485" spans="1:7" x14ac:dyDescent="0.25">
      <c r="A12485">
        <v>118847</v>
      </c>
      <c r="B12485" t="s">
        <v>4</v>
      </c>
      <c r="C12485">
        <v>3</v>
      </c>
      <c r="D12485" t="s">
        <v>5</v>
      </c>
      <c r="F12485" t="str" cm="1">
        <f t="array" ref="F12485">CategorizeComment(E12485)</f>
        <v>Other</v>
      </c>
      <c r="G12485" t="str" cm="1">
        <f t="array" ref="G12485">SubCategorizeComment(E12485)</f>
        <v>Other</v>
      </c>
    </row>
    <row r="12486" spans="1:7" x14ac:dyDescent="0.25">
      <c r="A12486">
        <v>118855</v>
      </c>
      <c r="B12486" t="s">
        <v>4</v>
      </c>
      <c r="C12486">
        <v>4</v>
      </c>
      <c r="D12486" t="s">
        <v>5</v>
      </c>
      <c r="F12486" t="str" cm="1">
        <f t="array" ref="F12486">CategorizeComment(E12486)</f>
        <v>Other</v>
      </c>
      <c r="G12486" t="str" cm="1">
        <f t="array" ref="G12486">SubCategorizeComment(E12486)</f>
        <v>Other</v>
      </c>
    </row>
    <row r="12487" spans="1:7" x14ac:dyDescent="0.25">
      <c r="A12487">
        <v>118859</v>
      </c>
      <c r="B12487" t="s">
        <v>4</v>
      </c>
      <c r="C12487">
        <v>4</v>
      </c>
      <c r="D12487" t="s">
        <v>5</v>
      </c>
      <c r="F12487" t="str" cm="1">
        <f t="array" ref="F12487">CategorizeComment(E12487)</f>
        <v>Other</v>
      </c>
      <c r="G12487" t="str" cm="1">
        <f t="array" ref="G12487">SubCategorizeComment(E12487)</f>
        <v>Other</v>
      </c>
    </row>
    <row r="12488" spans="1:7" x14ac:dyDescent="0.25">
      <c r="A12488">
        <v>118861</v>
      </c>
      <c r="B12488" t="s">
        <v>4</v>
      </c>
      <c r="C12488">
        <v>4</v>
      </c>
      <c r="D12488" t="s">
        <v>5</v>
      </c>
      <c r="F12488" t="str" cm="1">
        <f t="array" ref="F12488">CategorizeComment(E12488)</f>
        <v>Other</v>
      </c>
      <c r="G12488" t="str" cm="1">
        <f t="array" ref="G12488">SubCategorizeComment(E12488)</f>
        <v>Other</v>
      </c>
    </row>
    <row r="12489" spans="1:7" x14ac:dyDescent="0.25">
      <c r="A12489">
        <v>118862</v>
      </c>
      <c r="B12489" t="s">
        <v>4</v>
      </c>
      <c r="C12489">
        <v>4</v>
      </c>
      <c r="D12489" t="s">
        <v>5</v>
      </c>
      <c r="F12489" t="str" cm="1">
        <f t="array" ref="F12489">CategorizeComment(E12489)</f>
        <v>Other</v>
      </c>
      <c r="G12489" t="str" cm="1">
        <f t="array" ref="G12489">SubCategorizeComment(E12489)</f>
        <v>Other</v>
      </c>
    </row>
    <row r="12490" spans="1:7" x14ac:dyDescent="0.25">
      <c r="A12490">
        <v>118867</v>
      </c>
      <c r="B12490" t="s">
        <v>4</v>
      </c>
      <c r="C12490">
        <v>4</v>
      </c>
      <c r="D12490" t="s">
        <v>5</v>
      </c>
      <c r="F12490" t="str" cm="1">
        <f t="array" ref="F12490">CategorizeComment(E12490)</f>
        <v>Other</v>
      </c>
      <c r="G12490" t="str" cm="1">
        <f t="array" ref="G12490">SubCategorizeComment(E12490)</f>
        <v>Other</v>
      </c>
    </row>
    <row r="12491" spans="1:7" x14ac:dyDescent="0.25">
      <c r="A12491">
        <v>118868</v>
      </c>
      <c r="B12491" t="s">
        <v>4</v>
      </c>
      <c r="C12491">
        <v>3</v>
      </c>
      <c r="D12491" t="s">
        <v>5</v>
      </c>
      <c r="F12491" t="str" cm="1">
        <f t="array" ref="F12491">CategorizeComment(E12491)</f>
        <v>Other</v>
      </c>
      <c r="G12491" t="str" cm="1">
        <f t="array" ref="G12491">SubCategorizeComment(E12491)</f>
        <v>Other</v>
      </c>
    </row>
    <row r="12492" spans="1:7" x14ac:dyDescent="0.25">
      <c r="A12492">
        <v>118874</v>
      </c>
      <c r="B12492" t="s">
        <v>4</v>
      </c>
      <c r="C12492">
        <v>3</v>
      </c>
      <c r="D12492" t="s">
        <v>5</v>
      </c>
      <c r="F12492" t="str" cm="1">
        <f t="array" ref="F12492">CategorizeComment(E12492)</f>
        <v>Other</v>
      </c>
      <c r="G12492" t="str" cm="1">
        <f t="array" ref="G12492">SubCategorizeComment(E12492)</f>
        <v>Other</v>
      </c>
    </row>
    <row r="12493" spans="1:7" x14ac:dyDescent="0.25">
      <c r="A12493">
        <v>118886</v>
      </c>
      <c r="B12493" t="s">
        <v>4</v>
      </c>
      <c r="C12493">
        <v>4</v>
      </c>
      <c r="D12493" t="s">
        <v>5</v>
      </c>
      <c r="F12493" t="str" cm="1">
        <f t="array" ref="F12493">CategorizeComment(E12493)</f>
        <v>Other</v>
      </c>
      <c r="G12493" t="str" cm="1">
        <f t="array" ref="G12493">SubCategorizeComment(E12493)</f>
        <v>Other</v>
      </c>
    </row>
    <row r="12494" spans="1:7" x14ac:dyDescent="0.25">
      <c r="A12494">
        <v>118896</v>
      </c>
      <c r="B12494" t="s">
        <v>4</v>
      </c>
      <c r="C12494">
        <v>3</v>
      </c>
      <c r="D12494" t="s">
        <v>5</v>
      </c>
      <c r="F12494" t="str" cm="1">
        <f t="array" ref="F12494">CategorizeComment(E12494)</f>
        <v>Other</v>
      </c>
      <c r="G12494" t="str" cm="1">
        <f t="array" ref="G12494">SubCategorizeComment(E12494)</f>
        <v>Other</v>
      </c>
    </row>
    <row r="12495" spans="1:7" x14ac:dyDescent="0.25">
      <c r="A12495">
        <v>118906</v>
      </c>
      <c r="B12495" t="s">
        <v>4</v>
      </c>
      <c r="C12495">
        <v>3</v>
      </c>
      <c r="D12495" t="s">
        <v>5</v>
      </c>
      <c r="F12495" t="str" cm="1">
        <f t="array" ref="F12495">CategorizeComment(E12495)</f>
        <v>Other</v>
      </c>
      <c r="G12495" t="str" cm="1">
        <f t="array" ref="G12495">SubCategorizeComment(E12495)</f>
        <v>Other</v>
      </c>
    </row>
    <row r="12496" spans="1:7" x14ac:dyDescent="0.25">
      <c r="A12496">
        <v>118910</v>
      </c>
      <c r="B12496" t="s">
        <v>4</v>
      </c>
      <c r="C12496">
        <v>4</v>
      </c>
      <c r="D12496" t="s">
        <v>5</v>
      </c>
      <c r="F12496" t="str" cm="1">
        <f t="array" ref="F12496">CategorizeComment(E12496)</f>
        <v>Other</v>
      </c>
      <c r="G12496" t="str" cm="1">
        <f t="array" ref="G12496">SubCategorizeComment(E12496)</f>
        <v>Other</v>
      </c>
    </row>
    <row r="12497" spans="1:7" x14ac:dyDescent="0.25">
      <c r="A12497">
        <v>118914</v>
      </c>
      <c r="B12497" t="s">
        <v>4</v>
      </c>
      <c r="C12497">
        <v>4</v>
      </c>
      <c r="D12497" t="s">
        <v>5</v>
      </c>
      <c r="F12497" t="str" cm="1">
        <f t="array" ref="F12497">CategorizeComment(E12497)</f>
        <v>Other</v>
      </c>
      <c r="G12497" t="str" cm="1">
        <f t="array" ref="G12497">SubCategorizeComment(E12497)</f>
        <v>Other</v>
      </c>
    </row>
    <row r="12498" spans="1:7" x14ac:dyDescent="0.25">
      <c r="A12498">
        <v>118925</v>
      </c>
      <c r="B12498" t="s">
        <v>4</v>
      </c>
      <c r="C12498">
        <v>4</v>
      </c>
      <c r="D12498" t="s">
        <v>5</v>
      </c>
      <c r="F12498" t="str" cm="1">
        <f t="array" ref="F12498">CategorizeComment(E12498)</f>
        <v>Other</v>
      </c>
      <c r="G12498" t="str" cm="1">
        <f t="array" ref="G12498">SubCategorizeComment(E12498)</f>
        <v>Other</v>
      </c>
    </row>
    <row r="12499" spans="1:7" x14ac:dyDescent="0.25">
      <c r="A12499">
        <v>118928</v>
      </c>
      <c r="B12499" t="s">
        <v>4</v>
      </c>
      <c r="C12499">
        <v>3</v>
      </c>
      <c r="D12499" t="s">
        <v>5</v>
      </c>
      <c r="F12499" t="str" cm="1">
        <f t="array" ref="F12499">CategorizeComment(E12499)</f>
        <v>Other</v>
      </c>
      <c r="G12499" t="str" cm="1">
        <f t="array" ref="G12499">SubCategorizeComment(E12499)</f>
        <v>Other</v>
      </c>
    </row>
    <row r="12500" spans="1:7" x14ac:dyDescent="0.25">
      <c r="A12500">
        <v>118936</v>
      </c>
      <c r="B12500" t="s">
        <v>4</v>
      </c>
      <c r="C12500">
        <v>4</v>
      </c>
      <c r="D12500" t="s">
        <v>5</v>
      </c>
      <c r="F12500" t="str" cm="1">
        <f t="array" ref="F12500">CategorizeComment(E12500)</f>
        <v>Other</v>
      </c>
      <c r="G12500" t="str" cm="1">
        <f t="array" ref="G12500">SubCategorizeComment(E12500)</f>
        <v>Other</v>
      </c>
    </row>
    <row r="12501" spans="1:7" x14ac:dyDescent="0.25">
      <c r="A12501">
        <v>118949</v>
      </c>
      <c r="B12501" t="s">
        <v>4</v>
      </c>
      <c r="C12501">
        <v>3</v>
      </c>
      <c r="D12501" t="s">
        <v>5</v>
      </c>
      <c r="F12501" t="str" cm="1">
        <f t="array" ref="F12501">CategorizeComment(E12501)</f>
        <v>Other</v>
      </c>
      <c r="G12501" t="str" cm="1">
        <f t="array" ref="G12501">SubCategorizeComment(E12501)</f>
        <v>Other</v>
      </c>
    </row>
    <row r="12502" spans="1:7" x14ac:dyDescent="0.25">
      <c r="A12502">
        <v>118955</v>
      </c>
      <c r="B12502" t="s">
        <v>4</v>
      </c>
      <c r="C12502">
        <v>4</v>
      </c>
      <c r="D12502" t="s">
        <v>5</v>
      </c>
      <c r="F12502" t="str" cm="1">
        <f t="array" ref="F12502">CategorizeComment(E12502)</f>
        <v>Other</v>
      </c>
      <c r="G12502" t="str" cm="1">
        <f t="array" ref="G12502">SubCategorizeComment(E12502)</f>
        <v>Other</v>
      </c>
    </row>
    <row r="12503" spans="1:7" x14ac:dyDescent="0.25">
      <c r="A12503">
        <v>118957</v>
      </c>
      <c r="B12503" t="s">
        <v>4</v>
      </c>
      <c r="C12503">
        <v>3</v>
      </c>
      <c r="D12503" t="s">
        <v>5</v>
      </c>
      <c r="F12503" t="str" cm="1">
        <f t="array" ref="F12503">CategorizeComment(E12503)</f>
        <v>Other</v>
      </c>
      <c r="G12503" t="str" cm="1">
        <f t="array" ref="G12503">SubCategorizeComment(E12503)</f>
        <v>Other</v>
      </c>
    </row>
    <row r="12504" spans="1:7" x14ac:dyDescent="0.25">
      <c r="A12504">
        <v>119031</v>
      </c>
      <c r="B12504" t="s">
        <v>4</v>
      </c>
      <c r="C12504">
        <v>3</v>
      </c>
      <c r="D12504" t="s">
        <v>5</v>
      </c>
      <c r="F12504" t="str" cm="1">
        <f t="array" ref="F12504">CategorizeComment(E12504)</f>
        <v>Other</v>
      </c>
      <c r="G12504" t="str" cm="1">
        <f t="array" ref="G12504">SubCategorizeComment(E12504)</f>
        <v>Other</v>
      </c>
    </row>
    <row r="12505" spans="1:7" x14ac:dyDescent="0.25">
      <c r="A12505">
        <v>119039</v>
      </c>
      <c r="B12505" t="s">
        <v>4</v>
      </c>
      <c r="C12505">
        <v>3</v>
      </c>
      <c r="D12505" t="s">
        <v>5</v>
      </c>
      <c r="F12505" t="str" cm="1">
        <f t="array" ref="F12505">CategorizeComment(E12505)</f>
        <v>Other</v>
      </c>
      <c r="G12505" t="str" cm="1">
        <f t="array" ref="G12505">SubCategorizeComment(E12505)</f>
        <v>Other</v>
      </c>
    </row>
    <row r="12506" spans="1:7" x14ac:dyDescent="0.25">
      <c r="A12506">
        <v>119067</v>
      </c>
      <c r="B12506" t="s">
        <v>4</v>
      </c>
      <c r="C12506">
        <v>4</v>
      </c>
      <c r="D12506" t="s">
        <v>5</v>
      </c>
      <c r="F12506" t="str" cm="1">
        <f t="array" ref="F12506">CategorizeComment(E12506)</f>
        <v>Other</v>
      </c>
      <c r="G12506" t="str" cm="1">
        <f t="array" ref="G12506">SubCategorizeComment(E12506)</f>
        <v>Other</v>
      </c>
    </row>
    <row r="12507" spans="1:7" x14ac:dyDescent="0.25">
      <c r="A12507">
        <v>119100</v>
      </c>
      <c r="B12507" t="s">
        <v>4</v>
      </c>
      <c r="C12507">
        <v>3</v>
      </c>
      <c r="D12507" t="s">
        <v>5</v>
      </c>
      <c r="F12507" t="str" cm="1">
        <f t="array" ref="F12507">CategorizeComment(E12507)</f>
        <v>Other</v>
      </c>
      <c r="G12507" t="str" cm="1">
        <f t="array" ref="G12507">SubCategorizeComment(E12507)</f>
        <v>Other</v>
      </c>
    </row>
    <row r="12508" spans="1:7" x14ac:dyDescent="0.25">
      <c r="A12508">
        <v>119104</v>
      </c>
      <c r="B12508" t="s">
        <v>4</v>
      </c>
      <c r="C12508">
        <v>4</v>
      </c>
      <c r="D12508" t="s">
        <v>5</v>
      </c>
      <c r="F12508" t="str" cm="1">
        <f t="array" ref="F12508">CategorizeComment(E12508)</f>
        <v>Other</v>
      </c>
      <c r="G12508" t="str" cm="1">
        <f t="array" ref="G12508">SubCategorizeComment(E12508)</f>
        <v>Other</v>
      </c>
    </row>
    <row r="12509" spans="1:7" x14ac:dyDescent="0.25">
      <c r="A12509">
        <v>119113</v>
      </c>
      <c r="B12509" t="s">
        <v>4</v>
      </c>
      <c r="C12509">
        <v>4</v>
      </c>
      <c r="D12509" t="s">
        <v>5</v>
      </c>
      <c r="F12509" t="str" cm="1">
        <f t="array" ref="F12509">CategorizeComment(E12509)</f>
        <v>Other</v>
      </c>
      <c r="G12509" t="str" cm="1">
        <f t="array" ref="G12509">SubCategorizeComment(E12509)</f>
        <v>Other</v>
      </c>
    </row>
    <row r="12510" spans="1:7" x14ac:dyDescent="0.25">
      <c r="A12510">
        <v>119117</v>
      </c>
      <c r="B12510" t="s">
        <v>4</v>
      </c>
      <c r="C12510">
        <v>4</v>
      </c>
      <c r="D12510" t="s">
        <v>5</v>
      </c>
      <c r="F12510" t="str" cm="1">
        <f t="array" ref="F12510">CategorizeComment(E12510)</f>
        <v>Other</v>
      </c>
      <c r="G12510" t="str" cm="1">
        <f t="array" ref="G12510">SubCategorizeComment(E12510)</f>
        <v>Other</v>
      </c>
    </row>
    <row r="12511" spans="1:7" x14ac:dyDescent="0.25">
      <c r="A12511">
        <v>119118</v>
      </c>
      <c r="B12511" t="s">
        <v>4</v>
      </c>
      <c r="C12511">
        <v>3</v>
      </c>
      <c r="D12511" t="s">
        <v>5</v>
      </c>
      <c r="F12511" t="str" cm="1">
        <f t="array" ref="F12511">CategorizeComment(E12511)</f>
        <v>Other</v>
      </c>
      <c r="G12511" t="str" cm="1">
        <f t="array" ref="G12511">SubCategorizeComment(E12511)</f>
        <v>Other</v>
      </c>
    </row>
    <row r="12512" spans="1:7" x14ac:dyDescent="0.25">
      <c r="A12512">
        <v>119121</v>
      </c>
      <c r="B12512" t="s">
        <v>4</v>
      </c>
      <c r="C12512">
        <v>3</v>
      </c>
      <c r="D12512" t="s">
        <v>5</v>
      </c>
      <c r="F12512" t="str" cm="1">
        <f t="array" ref="F12512">CategorizeComment(E12512)</f>
        <v>Other</v>
      </c>
      <c r="G12512" t="str" cm="1">
        <f t="array" ref="G12512">SubCategorizeComment(E12512)</f>
        <v>Other</v>
      </c>
    </row>
    <row r="12513" spans="1:7" x14ac:dyDescent="0.25">
      <c r="A12513">
        <v>119123</v>
      </c>
      <c r="B12513" t="s">
        <v>4</v>
      </c>
      <c r="C12513">
        <v>3</v>
      </c>
      <c r="D12513" t="s">
        <v>5</v>
      </c>
      <c r="F12513" t="str" cm="1">
        <f t="array" ref="F12513">CategorizeComment(E12513)</f>
        <v>Other</v>
      </c>
      <c r="G12513" t="str" cm="1">
        <f t="array" ref="G12513">SubCategorizeComment(E12513)</f>
        <v>Other</v>
      </c>
    </row>
    <row r="12514" spans="1:7" x14ac:dyDescent="0.25">
      <c r="A12514">
        <v>119133</v>
      </c>
      <c r="B12514" t="s">
        <v>4</v>
      </c>
      <c r="C12514">
        <v>4</v>
      </c>
      <c r="D12514" t="s">
        <v>5</v>
      </c>
      <c r="F12514" t="str" cm="1">
        <f t="array" ref="F12514">CategorizeComment(E12514)</f>
        <v>Other</v>
      </c>
      <c r="G12514" t="str" cm="1">
        <f t="array" ref="G12514">SubCategorizeComment(E12514)</f>
        <v>Other</v>
      </c>
    </row>
    <row r="12515" spans="1:7" x14ac:dyDescent="0.25">
      <c r="A12515">
        <v>119142</v>
      </c>
      <c r="B12515" t="s">
        <v>4</v>
      </c>
      <c r="C12515">
        <v>3</v>
      </c>
      <c r="D12515" t="s">
        <v>5</v>
      </c>
      <c r="F12515" t="str" cm="1">
        <f t="array" ref="F12515">CategorizeComment(E12515)</f>
        <v>Other</v>
      </c>
      <c r="G12515" t="str" cm="1">
        <f t="array" ref="G12515">SubCategorizeComment(E12515)</f>
        <v>Other</v>
      </c>
    </row>
    <row r="12516" spans="1:7" x14ac:dyDescent="0.25">
      <c r="A12516">
        <v>119144</v>
      </c>
      <c r="B12516" t="s">
        <v>4</v>
      </c>
      <c r="C12516">
        <v>4</v>
      </c>
      <c r="D12516" t="s">
        <v>5</v>
      </c>
      <c r="F12516" t="str" cm="1">
        <f t="array" ref="F12516">CategorizeComment(E12516)</f>
        <v>Other</v>
      </c>
      <c r="G12516" t="str" cm="1">
        <f t="array" ref="G12516">SubCategorizeComment(E12516)</f>
        <v>Other</v>
      </c>
    </row>
    <row r="12517" spans="1:7" x14ac:dyDescent="0.25">
      <c r="A12517">
        <v>119153</v>
      </c>
      <c r="B12517" t="s">
        <v>4</v>
      </c>
      <c r="C12517">
        <v>4</v>
      </c>
      <c r="D12517" t="s">
        <v>5</v>
      </c>
      <c r="F12517" t="str" cm="1">
        <f t="array" ref="F12517">CategorizeComment(E12517)</f>
        <v>Other</v>
      </c>
      <c r="G12517" t="str" cm="1">
        <f t="array" ref="G12517">SubCategorizeComment(E12517)</f>
        <v>Other</v>
      </c>
    </row>
    <row r="12518" spans="1:7" x14ac:dyDescent="0.25">
      <c r="A12518">
        <v>119193</v>
      </c>
      <c r="B12518" t="s">
        <v>4</v>
      </c>
      <c r="C12518">
        <v>4</v>
      </c>
      <c r="D12518" t="s">
        <v>5</v>
      </c>
      <c r="F12518" t="str" cm="1">
        <f t="array" ref="F12518">CategorizeComment(E12518)</f>
        <v>Other</v>
      </c>
      <c r="G12518" t="str" cm="1">
        <f t="array" ref="G12518">SubCategorizeComment(E12518)</f>
        <v>Other</v>
      </c>
    </row>
    <row r="12519" spans="1:7" x14ac:dyDescent="0.25">
      <c r="A12519">
        <v>119209</v>
      </c>
      <c r="B12519" t="s">
        <v>4</v>
      </c>
      <c r="C12519">
        <v>4</v>
      </c>
      <c r="D12519" t="s">
        <v>5</v>
      </c>
      <c r="F12519" t="str" cm="1">
        <f t="array" ref="F12519">CategorizeComment(E12519)</f>
        <v>Other</v>
      </c>
      <c r="G12519" t="str" cm="1">
        <f t="array" ref="G12519">SubCategorizeComment(E12519)</f>
        <v>Other</v>
      </c>
    </row>
    <row r="12520" spans="1:7" x14ac:dyDescent="0.25">
      <c r="A12520">
        <v>119218</v>
      </c>
      <c r="B12520" t="s">
        <v>4</v>
      </c>
      <c r="C12520">
        <v>4</v>
      </c>
      <c r="D12520" t="s">
        <v>5</v>
      </c>
      <c r="F12520" t="str" cm="1">
        <f t="array" ref="F12520">CategorizeComment(E12520)</f>
        <v>Other</v>
      </c>
      <c r="G12520" t="str" cm="1">
        <f t="array" ref="G12520">SubCategorizeComment(E12520)</f>
        <v>Other</v>
      </c>
    </row>
    <row r="12521" spans="1:7" x14ac:dyDescent="0.25">
      <c r="A12521">
        <v>119223</v>
      </c>
      <c r="B12521" t="s">
        <v>4</v>
      </c>
      <c r="C12521">
        <v>4</v>
      </c>
      <c r="D12521" t="s">
        <v>5</v>
      </c>
      <c r="F12521" t="str" cm="1">
        <f t="array" ref="F12521">CategorizeComment(E12521)</f>
        <v>Other</v>
      </c>
      <c r="G12521" t="str" cm="1">
        <f t="array" ref="G12521">SubCategorizeComment(E12521)</f>
        <v>Other</v>
      </c>
    </row>
    <row r="12522" spans="1:7" x14ac:dyDescent="0.25">
      <c r="A12522">
        <v>119227</v>
      </c>
      <c r="B12522" t="s">
        <v>4</v>
      </c>
      <c r="C12522">
        <v>3</v>
      </c>
      <c r="D12522" t="s">
        <v>5</v>
      </c>
      <c r="F12522" t="str" cm="1">
        <f t="array" ref="F12522">CategorizeComment(E12522)</f>
        <v>Other</v>
      </c>
      <c r="G12522" t="str" cm="1">
        <f t="array" ref="G12522">SubCategorizeComment(E12522)</f>
        <v>Other</v>
      </c>
    </row>
    <row r="12523" spans="1:7" x14ac:dyDescent="0.25">
      <c r="A12523">
        <v>119232</v>
      </c>
      <c r="B12523" t="s">
        <v>4</v>
      </c>
      <c r="C12523">
        <v>3</v>
      </c>
      <c r="D12523" t="s">
        <v>5</v>
      </c>
      <c r="F12523" t="str" cm="1">
        <f t="array" ref="F12523">CategorizeComment(E12523)</f>
        <v>Other</v>
      </c>
      <c r="G12523" t="str" cm="1">
        <f t="array" ref="G12523">SubCategorizeComment(E12523)</f>
        <v>Other</v>
      </c>
    </row>
    <row r="12524" spans="1:7" x14ac:dyDescent="0.25">
      <c r="A12524">
        <v>119233</v>
      </c>
      <c r="B12524" t="s">
        <v>4</v>
      </c>
      <c r="C12524">
        <v>4</v>
      </c>
      <c r="D12524" t="s">
        <v>5</v>
      </c>
      <c r="F12524" t="str" cm="1">
        <f t="array" ref="F12524">CategorizeComment(E12524)</f>
        <v>Other</v>
      </c>
      <c r="G12524" t="str" cm="1">
        <f t="array" ref="G12524">SubCategorizeComment(E12524)</f>
        <v>Other</v>
      </c>
    </row>
    <row r="12525" spans="1:7" x14ac:dyDescent="0.25">
      <c r="A12525">
        <v>119235</v>
      </c>
      <c r="B12525" t="s">
        <v>4</v>
      </c>
      <c r="C12525">
        <v>3</v>
      </c>
      <c r="D12525" t="s">
        <v>5</v>
      </c>
      <c r="F12525" t="str" cm="1">
        <f t="array" ref="F12525">CategorizeComment(E12525)</f>
        <v>Other</v>
      </c>
      <c r="G12525" t="str" cm="1">
        <f t="array" ref="G12525">SubCategorizeComment(E12525)</f>
        <v>Other</v>
      </c>
    </row>
    <row r="12526" spans="1:7" x14ac:dyDescent="0.25">
      <c r="A12526">
        <v>119246</v>
      </c>
      <c r="B12526" t="s">
        <v>4</v>
      </c>
      <c r="C12526">
        <v>3</v>
      </c>
      <c r="D12526" t="s">
        <v>5</v>
      </c>
      <c r="F12526" t="str" cm="1">
        <f t="array" ref="F12526">CategorizeComment(E12526)</f>
        <v>Other</v>
      </c>
      <c r="G12526" t="str" cm="1">
        <f t="array" ref="G12526">SubCategorizeComment(E12526)</f>
        <v>Other</v>
      </c>
    </row>
    <row r="12527" spans="1:7" x14ac:dyDescent="0.25">
      <c r="A12527">
        <v>119247</v>
      </c>
      <c r="B12527" t="s">
        <v>4</v>
      </c>
      <c r="C12527">
        <v>3</v>
      </c>
      <c r="D12527" t="s">
        <v>5</v>
      </c>
      <c r="F12527" t="str" cm="1">
        <f t="array" ref="F12527">CategorizeComment(E12527)</f>
        <v>Other</v>
      </c>
      <c r="G12527" t="str" cm="1">
        <f t="array" ref="G12527">SubCategorizeComment(E12527)</f>
        <v>Other</v>
      </c>
    </row>
    <row r="12528" spans="1:7" x14ac:dyDescent="0.25">
      <c r="A12528">
        <v>119273</v>
      </c>
      <c r="B12528" t="s">
        <v>4</v>
      </c>
      <c r="C12528">
        <v>4</v>
      </c>
      <c r="D12528" t="s">
        <v>5</v>
      </c>
      <c r="F12528" t="str" cm="1">
        <f t="array" ref="F12528">CategorizeComment(E12528)</f>
        <v>Other</v>
      </c>
      <c r="G12528" t="str" cm="1">
        <f t="array" ref="G12528">SubCategorizeComment(E12528)</f>
        <v>Other</v>
      </c>
    </row>
    <row r="12529" spans="1:7" x14ac:dyDescent="0.25">
      <c r="A12529">
        <v>119291</v>
      </c>
      <c r="B12529" t="s">
        <v>4</v>
      </c>
      <c r="C12529">
        <v>4</v>
      </c>
      <c r="D12529" t="s">
        <v>5</v>
      </c>
      <c r="F12529" t="str" cm="1">
        <f t="array" ref="F12529">CategorizeComment(E12529)</f>
        <v>Other</v>
      </c>
      <c r="G12529" t="str" cm="1">
        <f t="array" ref="G12529">SubCategorizeComment(E12529)</f>
        <v>Other</v>
      </c>
    </row>
    <row r="12530" spans="1:7" x14ac:dyDescent="0.25">
      <c r="A12530">
        <v>119294</v>
      </c>
      <c r="B12530" t="s">
        <v>4</v>
      </c>
      <c r="C12530">
        <v>4</v>
      </c>
      <c r="D12530" t="s">
        <v>5</v>
      </c>
      <c r="F12530" t="str" cm="1">
        <f t="array" ref="F12530">CategorizeComment(E12530)</f>
        <v>Other</v>
      </c>
      <c r="G12530" t="str" cm="1">
        <f t="array" ref="G12530">SubCategorizeComment(E12530)</f>
        <v>Other</v>
      </c>
    </row>
    <row r="12531" spans="1:7" x14ac:dyDescent="0.25">
      <c r="A12531">
        <v>119306</v>
      </c>
      <c r="B12531" t="s">
        <v>4</v>
      </c>
      <c r="C12531">
        <v>4</v>
      </c>
      <c r="D12531" t="s">
        <v>5</v>
      </c>
      <c r="F12531" t="str" cm="1">
        <f t="array" ref="F12531">CategorizeComment(E12531)</f>
        <v>Other</v>
      </c>
      <c r="G12531" t="str" cm="1">
        <f t="array" ref="G12531">SubCategorizeComment(E12531)</f>
        <v>Other</v>
      </c>
    </row>
    <row r="12532" spans="1:7" x14ac:dyDescent="0.25">
      <c r="A12532">
        <v>119308</v>
      </c>
      <c r="B12532" t="s">
        <v>4</v>
      </c>
      <c r="C12532">
        <v>3</v>
      </c>
      <c r="D12532" t="s">
        <v>5</v>
      </c>
      <c r="F12532" t="str" cm="1">
        <f t="array" ref="F12532">CategorizeComment(E12532)</f>
        <v>Other</v>
      </c>
      <c r="G12532" t="str" cm="1">
        <f t="array" ref="G12532">SubCategorizeComment(E12532)</f>
        <v>Other</v>
      </c>
    </row>
    <row r="12533" spans="1:7" x14ac:dyDescent="0.25">
      <c r="A12533">
        <v>119312</v>
      </c>
      <c r="B12533" t="s">
        <v>4</v>
      </c>
      <c r="C12533">
        <v>3</v>
      </c>
      <c r="D12533" t="s">
        <v>5</v>
      </c>
      <c r="F12533" t="str" cm="1">
        <f t="array" ref="F12533">CategorizeComment(E12533)</f>
        <v>Other</v>
      </c>
      <c r="G12533" t="str" cm="1">
        <f t="array" ref="G12533">SubCategorizeComment(E12533)</f>
        <v>Other</v>
      </c>
    </row>
    <row r="12534" spans="1:7" x14ac:dyDescent="0.25">
      <c r="A12534">
        <v>119328</v>
      </c>
      <c r="B12534" t="s">
        <v>4</v>
      </c>
      <c r="C12534">
        <v>4</v>
      </c>
      <c r="D12534" t="s">
        <v>5</v>
      </c>
      <c r="F12534" t="str" cm="1">
        <f t="array" ref="F12534">CategorizeComment(E12534)</f>
        <v>Other</v>
      </c>
      <c r="G12534" t="str" cm="1">
        <f t="array" ref="G12534">SubCategorizeComment(E12534)</f>
        <v>Other</v>
      </c>
    </row>
    <row r="12535" spans="1:7" x14ac:dyDescent="0.25">
      <c r="A12535">
        <v>119331</v>
      </c>
      <c r="B12535" t="s">
        <v>4</v>
      </c>
      <c r="C12535">
        <v>3</v>
      </c>
      <c r="D12535" t="s">
        <v>5</v>
      </c>
      <c r="F12535" t="str" cm="1">
        <f t="array" ref="F12535">CategorizeComment(E12535)</f>
        <v>Other</v>
      </c>
      <c r="G12535" t="str" cm="1">
        <f t="array" ref="G12535">SubCategorizeComment(E12535)</f>
        <v>Other</v>
      </c>
    </row>
    <row r="12536" spans="1:7" x14ac:dyDescent="0.25">
      <c r="A12536">
        <v>119334</v>
      </c>
      <c r="B12536" t="s">
        <v>4</v>
      </c>
      <c r="C12536">
        <v>3</v>
      </c>
      <c r="D12536" t="s">
        <v>5</v>
      </c>
      <c r="F12536" t="str" cm="1">
        <f t="array" ref="F12536">CategorizeComment(E12536)</f>
        <v>Other</v>
      </c>
      <c r="G12536" t="str" cm="1">
        <f t="array" ref="G12536">SubCategorizeComment(E12536)</f>
        <v>Other</v>
      </c>
    </row>
    <row r="12537" spans="1:7" x14ac:dyDescent="0.25">
      <c r="A12537">
        <v>119337</v>
      </c>
      <c r="B12537" t="s">
        <v>4</v>
      </c>
      <c r="C12537">
        <v>3</v>
      </c>
      <c r="D12537" t="s">
        <v>5</v>
      </c>
      <c r="F12537" t="str" cm="1">
        <f t="array" ref="F12537">CategorizeComment(E12537)</f>
        <v>Other</v>
      </c>
      <c r="G12537" t="str" cm="1">
        <f t="array" ref="G12537">SubCategorizeComment(E12537)</f>
        <v>Other</v>
      </c>
    </row>
    <row r="12538" spans="1:7" x14ac:dyDescent="0.25">
      <c r="A12538">
        <v>119342</v>
      </c>
      <c r="B12538" t="s">
        <v>4</v>
      </c>
      <c r="C12538">
        <v>3</v>
      </c>
      <c r="D12538" t="s">
        <v>5</v>
      </c>
      <c r="F12538" t="str" cm="1">
        <f t="array" ref="F12538">CategorizeComment(E12538)</f>
        <v>Other</v>
      </c>
      <c r="G12538" t="str" cm="1">
        <f t="array" ref="G12538">SubCategorizeComment(E12538)</f>
        <v>Other</v>
      </c>
    </row>
    <row r="12539" spans="1:7" x14ac:dyDescent="0.25">
      <c r="A12539">
        <v>119354</v>
      </c>
      <c r="B12539" t="s">
        <v>4</v>
      </c>
      <c r="C12539">
        <v>4</v>
      </c>
      <c r="D12539" t="s">
        <v>5</v>
      </c>
      <c r="F12539" t="str" cm="1">
        <f t="array" ref="F12539">CategorizeComment(E12539)</f>
        <v>Other</v>
      </c>
      <c r="G12539" t="str" cm="1">
        <f t="array" ref="G12539">SubCategorizeComment(E12539)</f>
        <v>Other</v>
      </c>
    </row>
    <row r="12540" spans="1:7" x14ac:dyDescent="0.25">
      <c r="A12540">
        <v>119364</v>
      </c>
      <c r="B12540" t="s">
        <v>4</v>
      </c>
      <c r="C12540">
        <v>3</v>
      </c>
      <c r="D12540" t="s">
        <v>5</v>
      </c>
      <c r="F12540" t="str" cm="1">
        <f t="array" ref="F12540">CategorizeComment(E12540)</f>
        <v>Other</v>
      </c>
      <c r="G12540" t="str" cm="1">
        <f t="array" ref="G12540">SubCategorizeComment(E12540)</f>
        <v>Other</v>
      </c>
    </row>
    <row r="12541" spans="1:7" x14ac:dyDescent="0.25">
      <c r="A12541">
        <v>119395</v>
      </c>
      <c r="B12541" t="s">
        <v>4</v>
      </c>
      <c r="C12541">
        <v>3</v>
      </c>
      <c r="D12541" t="s">
        <v>5</v>
      </c>
      <c r="F12541" t="str" cm="1">
        <f t="array" ref="F12541">CategorizeComment(E12541)</f>
        <v>Other</v>
      </c>
      <c r="G12541" t="str" cm="1">
        <f t="array" ref="G12541">SubCategorizeComment(E12541)</f>
        <v>Other</v>
      </c>
    </row>
    <row r="12542" spans="1:7" x14ac:dyDescent="0.25">
      <c r="A12542">
        <v>119403</v>
      </c>
      <c r="B12542" t="s">
        <v>4</v>
      </c>
      <c r="C12542">
        <v>3</v>
      </c>
      <c r="D12542" t="s">
        <v>5</v>
      </c>
      <c r="F12542" t="str" cm="1">
        <f t="array" ref="F12542">CategorizeComment(E12542)</f>
        <v>Other</v>
      </c>
      <c r="G12542" t="str" cm="1">
        <f t="array" ref="G12542">SubCategorizeComment(E12542)</f>
        <v>Other</v>
      </c>
    </row>
    <row r="12543" spans="1:7" x14ac:dyDescent="0.25">
      <c r="A12543">
        <v>119404</v>
      </c>
      <c r="B12543" t="s">
        <v>4</v>
      </c>
      <c r="C12543">
        <v>3</v>
      </c>
      <c r="D12543" t="s">
        <v>5</v>
      </c>
      <c r="F12543" t="str" cm="1">
        <f t="array" ref="F12543">CategorizeComment(E12543)</f>
        <v>Other</v>
      </c>
      <c r="G12543" t="str" cm="1">
        <f t="array" ref="G12543">SubCategorizeComment(E12543)</f>
        <v>Other</v>
      </c>
    </row>
    <row r="12544" spans="1:7" x14ac:dyDescent="0.25">
      <c r="A12544">
        <v>119410</v>
      </c>
      <c r="B12544" t="s">
        <v>4</v>
      </c>
      <c r="C12544">
        <v>3</v>
      </c>
      <c r="D12544" t="s">
        <v>5</v>
      </c>
      <c r="F12544" t="str" cm="1">
        <f t="array" ref="F12544">CategorizeComment(E12544)</f>
        <v>Other</v>
      </c>
      <c r="G12544" t="str" cm="1">
        <f t="array" ref="G12544">SubCategorizeComment(E12544)</f>
        <v>Other</v>
      </c>
    </row>
    <row r="12545" spans="1:7" x14ac:dyDescent="0.25">
      <c r="A12545">
        <v>119438</v>
      </c>
      <c r="B12545" t="s">
        <v>4</v>
      </c>
      <c r="C12545">
        <v>3</v>
      </c>
      <c r="D12545" t="s">
        <v>5</v>
      </c>
      <c r="F12545" t="str" cm="1">
        <f t="array" ref="F12545">CategorizeComment(E12545)</f>
        <v>Other</v>
      </c>
      <c r="G12545" t="str" cm="1">
        <f t="array" ref="G12545">SubCategorizeComment(E12545)</f>
        <v>Other</v>
      </c>
    </row>
    <row r="12546" spans="1:7" x14ac:dyDescent="0.25">
      <c r="A12546">
        <v>119451</v>
      </c>
      <c r="B12546" t="s">
        <v>4</v>
      </c>
      <c r="C12546">
        <v>3</v>
      </c>
      <c r="D12546" t="s">
        <v>5</v>
      </c>
      <c r="F12546" t="str" cm="1">
        <f t="array" ref="F12546">CategorizeComment(E12546)</f>
        <v>Other</v>
      </c>
      <c r="G12546" t="str" cm="1">
        <f t="array" ref="G12546">SubCategorizeComment(E12546)</f>
        <v>Other</v>
      </c>
    </row>
    <row r="12547" spans="1:7" x14ac:dyDescent="0.25">
      <c r="A12547">
        <v>119505</v>
      </c>
      <c r="B12547" t="s">
        <v>4</v>
      </c>
      <c r="C12547">
        <v>3</v>
      </c>
      <c r="D12547" t="s">
        <v>5</v>
      </c>
      <c r="F12547" t="str" cm="1">
        <f t="array" ref="F12547">CategorizeComment(E12547)</f>
        <v>Other</v>
      </c>
      <c r="G12547" t="str" cm="1">
        <f t="array" ref="G12547">SubCategorizeComment(E12547)</f>
        <v>Other</v>
      </c>
    </row>
    <row r="12548" spans="1:7" x14ac:dyDescent="0.25">
      <c r="A12548">
        <v>119517</v>
      </c>
      <c r="B12548" t="s">
        <v>4</v>
      </c>
      <c r="C12548">
        <v>3</v>
      </c>
      <c r="D12548" t="s">
        <v>5</v>
      </c>
      <c r="F12548" t="str" cm="1">
        <f t="array" ref="F12548">CategorizeComment(E12548)</f>
        <v>Other</v>
      </c>
      <c r="G12548" t="str" cm="1">
        <f t="array" ref="G12548">SubCategorizeComment(E12548)</f>
        <v>Other</v>
      </c>
    </row>
    <row r="12549" spans="1:7" x14ac:dyDescent="0.25">
      <c r="A12549">
        <v>119524</v>
      </c>
      <c r="B12549" t="s">
        <v>4</v>
      </c>
      <c r="C12549">
        <v>4</v>
      </c>
      <c r="D12549" t="s">
        <v>5</v>
      </c>
      <c r="F12549" t="str" cm="1">
        <f t="array" ref="F12549">CategorizeComment(E12549)</f>
        <v>Other</v>
      </c>
      <c r="G12549" t="str" cm="1">
        <f t="array" ref="G12549">SubCategorizeComment(E12549)</f>
        <v>Other</v>
      </c>
    </row>
    <row r="12550" spans="1:7" x14ac:dyDescent="0.25">
      <c r="A12550">
        <v>119525</v>
      </c>
      <c r="B12550" t="s">
        <v>4</v>
      </c>
      <c r="C12550">
        <v>3</v>
      </c>
      <c r="D12550" t="s">
        <v>5</v>
      </c>
      <c r="F12550" t="str" cm="1">
        <f t="array" ref="F12550">CategorizeComment(E12550)</f>
        <v>Other</v>
      </c>
      <c r="G12550" t="str" cm="1">
        <f t="array" ref="G12550">SubCategorizeComment(E12550)</f>
        <v>Other</v>
      </c>
    </row>
    <row r="12551" spans="1:7" x14ac:dyDescent="0.25">
      <c r="A12551">
        <v>119527</v>
      </c>
      <c r="B12551" t="s">
        <v>4</v>
      </c>
      <c r="C12551">
        <v>3</v>
      </c>
      <c r="D12551" t="s">
        <v>5</v>
      </c>
      <c r="F12551" t="str" cm="1">
        <f t="array" ref="F12551">CategorizeComment(E12551)</f>
        <v>Other</v>
      </c>
      <c r="G12551" t="str" cm="1">
        <f t="array" ref="G12551">SubCategorizeComment(E12551)</f>
        <v>Other</v>
      </c>
    </row>
    <row r="12552" spans="1:7" x14ac:dyDescent="0.25">
      <c r="A12552">
        <v>119556</v>
      </c>
      <c r="B12552" t="s">
        <v>4</v>
      </c>
      <c r="C12552">
        <v>3</v>
      </c>
      <c r="D12552" t="s">
        <v>5</v>
      </c>
      <c r="F12552" t="str" cm="1">
        <f t="array" ref="F12552">CategorizeComment(E12552)</f>
        <v>Other</v>
      </c>
      <c r="G12552" t="str" cm="1">
        <f t="array" ref="G12552">SubCategorizeComment(E12552)</f>
        <v>Other</v>
      </c>
    </row>
    <row r="12553" spans="1:7" x14ac:dyDescent="0.25">
      <c r="A12553">
        <v>119560</v>
      </c>
      <c r="B12553" t="s">
        <v>4</v>
      </c>
      <c r="C12553">
        <v>3</v>
      </c>
      <c r="D12553" t="s">
        <v>5</v>
      </c>
      <c r="F12553" t="str" cm="1">
        <f t="array" ref="F12553">CategorizeComment(E12553)</f>
        <v>Other</v>
      </c>
      <c r="G12553" t="str" cm="1">
        <f t="array" ref="G12553">SubCategorizeComment(E12553)</f>
        <v>Other</v>
      </c>
    </row>
    <row r="12554" spans="1:7" x14ac:dyDescent="0.25">
      <c r="A12554">
        <v>119575</v>
      </c>
      <c r="B12554" t="s">
        <v>4</v>
      </c>
      <c r="C12554">
        <v>3</v>
      </c>
      <c r="D12554" t="s">
        <v>5</v>
      </c>
      <c r="F12554" t="str" cm="1">
        <f t="array" ref="F12554">CategorizeComment(E12554)</f>
        <v>Other</v>
      </c>
      <c r="G12554" t="str" cm="1">
        <f t="array" ref="G12554">SubCategorizeComment(E12554)</f>
        <v>Other</v>
      </c>
    </row>
    <row r="12555" spans="1:7" x14ac:dyDescent="0.25">
      <c r="A12555">
        <v>119602</v>
      </c>
      <c r="B12555" t="s">
        <v>4</v>
      </c>
      <c r="C12555">
        <v>4</v>
      </c>
      <c r="D12555" t="s">
        <v>5</v>
      </c>
      <c r="F12555" t="str" cm="1">
        <f t="array" ref="F12555">CategorizeComment(E12555)</f>
        <v>Other</v>
      </c>
      <c r="G12555" t="str" cm="1">
        <f t="array" ref="G12555">SubCategorizeComment(E12555)</f>
        <v>Other</v>
      </c>
    </row>
    <row r="12556" spans="1:7" x14ac:dyDescent="0.25">
      <c r="A12556">
        <v>119604</v>
      </c>
      <c r="B12556" t="s">
        <v>4</v>
      </c>
      <c r="C12556">
        <v>4</v>
      </c>
      <c r="D12556" t="s">
        <v>5</v>
      </c>
      <c r="F12556" t="str" cm="1">
        <f t="array" ref="F12556">CategorizeComment(E12556)</f>
        <v>Other</v>
      </c>
      <c r="G12556" t="str" cm="1">
        <f t="array" ref="G12556">SubCategorizeComment(E12556)</f>
        <v>Other</v>
      </c>
    </row>
    <row r="12557" spans="1:7" x14ac:dyDescent="0.25">
      <c r="A12557">
        <v>119610</v>
      </c>
      <c r="B12557" t="s">
        <v>4</v>
      </c>
      <c r="C12557">
        <v>4</v>
      </c>
      <c r="D12557" t="s">
        <v>5</v>
      </c>
      <c r="F12557" t="str" cm="1">
        <f t="array" ref="F12557">CategorizeComment(E12557)</f>
        <v>Other</v>
      </c>
      <c r="G12557" t="str" cm="1">
        <f t="array" ref="G12557">SubCategorizeComment(E12557)</f>
        <v>Other</v>
      </c>
    </row>
    <row r="12558" spans="1:7" x14ac:dyDescent="0.25">
      <c r="A12558">
        <v>119616</v>
      </c>
      <c r="B12558" t="s">
        <v>4</v>
      </c>
      <c r="C12558">
        <v>4</v>
      </c>
      <c r="D12558" t="s">
        <v>5</v>
      </c>
      <c r="F12558" t="str" cm="1">
        <f t="array" ref="F12558">CategorizeComment(E12558)</f>
        <v>Other</v>
      </c>
      <c r="G12558" t="str" cm="1">
        <f t="array" ref="G12558">SubCategorizeComment(E12558)</f>
        <v>Other</v>
      </c>
    </row>
    <row r="12559" spans="1:7" x14ac:dyDescent="0.25">
      <c r="A12559">
        <v>119621</v>
      </c>
      <c r="B12559" t="s">
        <v>4</v>
      </c>
      <c r="C12559">
        <v>3</v>
      </c>
      <c r="D12559" t="s">
        <v>5</v>
      </c>
      <c r="F12559" t="str" cm="1">
        <f t="array" ref="F12559">CategorizeComment(E12559)</f>
        <v>Other</v>
      </c>
      <c r="G12559" t="str" cm="1">
        <f t="array" ref="G12559">SubCategorizeComment(E12559)</f>
        <v>Other</v>
      </c>
    </row>
    <row r="12560" spans="1:7" x14ac:dyDescent="0.25">
      <c r="A12560">
        <v>119622</v>
      </c>
      <c r="B12560" t="s">
        <v>4</v>
      </c>
      <c r="C12560">
        <v>4</v>
      </c>
      <c r="D12560" t="s">
        <v>5</v>
      </c>
      <c r="F12560" t="str" cm="1">
        <f t="array" ref="F12560">CategorizeComment(E12560)</f>
        <v>Other</v>
      </c>
      <c r="G12560" t="str" cm="1">
        <f t="array" ref="G12560">SubCategorizeComment(E12560)</f>
        <v>Other</v>
      </c>
    </row>
    <row r="12561" spans="1:7" x14ac:dyDescent="0.25">
      <c r="A12561">
        <v>119637</v>
      </c>
      <c r="B12561" t="s">
        <v>4</v>
      </c>
      <c r="C12561">
        <v>4</v>
      </c>
      <c r="D12561" t="s">
        <v>5</v>
      </c>
      <c r="F12561" t="str" cm="1">
        <f t="array" ref="F12561">CategorizeComment(E12561)</f>
        <v>Other</v>
      </c>
      <c r="G12561" t="str" cm="1">
        <f t="array" ref="G12561">SubCategorizeComment(E12561)</f>
        <v>Other</v>
      </c>
    </row>
    <row r="12562" spans="1:7" x14ac:dyDescent="0.25">
      <c r="A12562">
        <v>119650</v>
      </c>
      <c r="B12562" t="s">
        <v>4</v>
      </c>
      <c r="C12562">
        <v>3</v>
      </c>
      <c r="D12562" t="s">
        <v>5</v>
      </c>
      <c r="F12562" t="str" cm="1">
        <f t="array" ref="F12562">CategorizeComment(E12562)</f>
        <v>Other</v>
      </c>
      <c r="G12562" t="str" cm="1">
        <f t="array" ref="G12562">SubCategorizeComment(E12562)</f>
        <v>Other</v>
      </c>
    </row>
    <row r="12563" spans="1:7" x14ac:dyDescent="0.25">
      <c r="A12563">
        <v>119653</v>
      </c>
      <c r="B12563" t="s">
        <v>4</v>
      </c>
      <c r="C12563">
        <v>3</v>
      </c>
      <c r="D12563" t="s">
        <v>5</v>
      </c>
      <c r="F12563" t="str" cm="1">
        <f t="array" ref="F12563">CategorizeComment(E12563)</f>
        <v>Other</v>
      </c>
      <c r="G12563" t="str" cm="1">
        <f t="array" ref="G12563">SubCategorizeComment(E12563)</f>
        <v>Other</v>
      </c>
    </row>
    <row r="12564" spans="1:7" x14ac:dyDescent="0.25">
      <c r="A12564">
        <v>119659</v>
      </c>
      <c r="B12564" t="s">
        <v>4</v>
      </c>
      <c r="C12564">
        <v>4</v>
      </c>
      <c r="D12564" t="s">
        <v>5</v>
      </c>
      <c r="F12564" t="str" cm="1">
        <f t="array" ref="F12564">CategorizeComment(E12564)</f>
        <v>Other</v>
      </c>
      <c r="G12564" t="str" cm="1">
        <f t="array" ref="G12564">SubCategorizeComment(E12564)</f>
        <v>Other</v>
      </c>
    </row>
    <row r="12565" spans="1:7" x14ac:dyDescent="0.25">
      <c r="A12565">
        <v>119685</v>
      </c>
      <c r="B12565" t="s">
        <v>4</v>
      </c>
      <c r="C12565">
        <v>3</v>
      </c>
      <c r="D12565" t="s">
        <v>5</v>
      </c>
      <c r="F12565" t="str" cm="1">
        <f t="array" ref="F12565">CategorizeComment(E12565)</f>
        <v>Other</v>
      </c>
      <c r="G12565" t="str" cm="1">
        <f t="array" ref="G12565">SubCategorizeComment(E12565)</f>
        <v>Other</v>
      </c>
    </row>
    <row r="12566" spans="1:7" x14ac:dyDescent="0.25">
      <c r="A12566">
        <v>119725</v>
      </c>
      <c r="B12566" t="s">
        <v>4</v>
      </c>
      <c r="C12566">
        <v>3</v>
      </c>
      <c r="D12566" t="s">
        <v>5</v>
      </c>
      <c r="F12566" t="str" cm="1">
        <f t="array" ref="F12566">CategorizeComment(E12566)</f>
        <v>Other</v>
      </c>
      <c r="G12566" t="str" cm="1">
        <f t="array" ref="G12566">SubCategorizeComment(E12566)</f>
        <v>Other</v>
      </c>
    </row>
    <row r="12567" spans="1:7" x14ac:dyDescent="0.25">
      <c r="A12567">
        <v>119726</v>
      </c>
      <c r="B12567" t="s">
        <v>4</v>
      </c>
      <c r="C12567">
        <v>3</v>
      </c>
      <c r="D12567" t="s">
        <v>5</v>
      </c>
      <c r="F12567" t="str" cm="1">
        <f t="array" ref="F12567">CategorizeComment(E12567)</f>
        <v>Other</v>
      </c>
      <c r="G12567" t="str" cm="1">
        <f t="array" ref="G12567">SubCategorizeComment(E12567)</f>
        <v>Other</v>
      </c>
    </row>
    <row r="12568" spans="1:7" x14ac:dyDescent="0.25">
      <c r="A12568">
        <v>119731</v>
      </c>
      <c r="B12568" t="s">
        <v>4</v>
      </c>
      <c r="C12568">
        <v>3</v>
      </c>
      <c r="D12568" t="s">
        <v>5</v>
      </c>
      <c r="F12568" t="str" cm="1">
        <f t="array" ref="F12568">CategorizeComment(E12568)</f>
        <v>Other</v>
      </c>
      <c r="G12568" t="str" cm="1">
        <f t="array" ref="G12568">SubCategorizeComment(E12568)</f>
        <v>Other</v>
      </c>
    </row>
    <row r="12569" spans="1:7" x14ac:dyDescent="0.25">
      <c r="A12569">
        <v>119734</v>
      </c>
      <c r="B12569" t="s">
        <v>4</v>
      </c>
      <c r="C12569">
        <v>3</v>
      </c>
      <c r="D12569" t="s">
        <v>5</v>
      </c>
      <c r="F12569" t="str" cm="1">
        <f t="array" ref="F12569">CategorizeComment(E12569)</f>
        <v>Other</v>
      </c>
      <c r="G12569" t="str" cm="1">
        <f t="array" ref="G12569">SubCategorizeComment(E12569)</f>
        <v>Other</v>
      </c>
    </row>
    <row r="12570" spans="1:7" x14ac:dyDescent="0.25">
      <c r="A12570">
        <v>119752</v>
      </c>
      <c r="B12570" t="s">
        <v>4</v>
      </c>
      <c r="C12570">
        <v>3</v>
      </c>
      <c r="D12570" t="s">
        <v>5</v>
      </c>
      <c r="F12570" t="str" cm="1">
        <f t="array" ref="F12570">CategorizeComment(E12570)</f>
        <v>Other</v>
      </c>
      <c r="G12570" t="str" cm="1">
        <f t="array" ref="G12570">SubCategorizeComment(E12570)</f>
        <v>Other</v>
      </c>
    </row>
    <row r="12571" spans="1:7" x14ac:dyDescent="0.25">
      <c r="A12571">
        <v>119760</v>
      </c>
      <c r="B12571" t="s">
        <v>4</v>
      </c>
      <c r="C12571">
        <v>3</v>
      </c>
      <c r="D12571" t="s">
        <v>5</v>
      </c>
      <c r="F12571" t="str" cm="1">
        <f t="array" ref="F12571">CategorizeComment(E12571)</f>
        <v>Other</v>
      </c>
      <c r="G12571" t="str" cm="1">
        <f t="array" ref="G12571">SubCategorizeComment(E12571)</f>
        <v>Other</v>
      </c>
    </row>
    <row r="12572" spans="1:7" x14ac:dyDescent="0.25">
      <c r="A12572">
        <v>119762</v>
      </c>
      <c r="B12572" t="s">
        <v>4</v>
      </c>
      <c r="C12572">
        <v>3</v>
      </c>
      <c r="D12572" t="s">
        <v>5</v>
      </c>
      <c r="F12572" t="str" cm="1">
        <f t="array" ref="F12572">CategorizeComment(E12572)</f>
        <v>Other</v>
      </c>
      <c r="G12572" t="str" cm="1">
        <f t="array" ref="G12572">SubCategorizeComment(E12572)</f>
        <v>Other</v>
      </c>
    </row>
    <row r="12573" spans="1:7" x14ac:dyDescent="0.25">
      <c r="A12573">
        <v>119763</v>
      </c>
      <c r="B12573" t="s">
        <v>4</v>
      </c>
      <c r="C12573">
        <v>4</v>
      </c>
      <c r="D12573" t="s">
        <v>5</v>
      </c>
      <c r="F12573" t="str" cm="1">
        <f t="array" ref="F12573">CategorizeComment(E12573)</f>
        <v>Other</v>
      </c>
      <c r="G12573" t="str" cm="1">
        <f t="array" ref="G12573">SubCategorizeComment(E12573)</f>
        <v>Other</v>
      </c>
    </row>
    <row r="12574" spans="1:7" x14ac:dyDescent="0.25">
      <c r="A12574">
        <v>119777</v>
      </c>
      <c r="B12574" t="s">
        <v>4</v>
      </c>
      <c r="C12574">
        <v>4</v>
      </c>
      <c r="D12574" t="s">
        <v>5</v>
      </c>
      <c r="F12574" t="str" cm="1">
        <f t="array" ref="F12574">CategorizeComment(E12574)</f>
        <v>Other</v>
      </c>
      <c r="G12574" t="str" cm="1">
        <f t="array" ref="G12574">SubCategorizeComment(E12574)</f>
        <v>Other</v>
      </c>
    </row>
    <row r="12575" spans="1:7" x14ac:dyDescent="0.25">
      <c r="A12575">
        <v>119787</v>
      </c>
      <c r="B12575" t="s">
        <v>4</v>
      </c>
      <c r="C12575">
        <v>4</v>
      </c>
      <c r="D12575" t="s">
        <v>5</v>
      </c>
      <c r="F12575" t="str" cm="1">
        <f t="array" ref="F12575">CategorizeComment(E12575)</f>
        <v>Other</v>
      </c>
      <c r="G12575" t="str" cm="1">
        <f t="array" ref="G12575">SubCategorizeComment(E12575)</f>
        <v>Other</v>
      </c>
    </row>
    <row r="12576" spans="1:7" x14ac:dyDescent="0.25">
      <c r="A12576">
        <v>119837</v>
      </c>
      <c r="B12576" t="s">
        <v>4</v>
      </c>
      <c r="C12576">
        <v>4</v>
      </c>
      <c r="D12576" t="s">
        <v>5</v>
      </c>
      <c r="F12576" t="str" cm="1">
        <f t="array" ref="F12576">CategorizeComment(E12576)</f>
        <v>Other</v>
      </c>
      <c r="G12576" t="str" cm="1">
        <f t="array" ref="G12576">SubCategorizeComment(E12576)</f>
        <v>Other</v>
      </c>
    </row>
    <row r="12577" spans="1:7" x14ac:dyDescent="0.25">
      <c r="A12577">
        <v>119838</v>
      </c>
      <c r="B12577" t="s">
        <v>4</v>
      </c>
      <c r="C12577">
        <v>4</v>
      </c>
      <c r="D12577" t="s">
        <v>5</v>
      </c>
      <c r="F12577" t="str" cm="1">
        <f t="array" ref="F12577">CategorizeComment(E12577)</f>
        <v>Other</v>
      </c>
      <c r="G12577" t="str" cm="1">
        <f t="array" ref="G12577">SubCategorizeComment(E12577)</f>
        <v>Other</v>
      </c>
    </row>
    <row r="12578" spans="1:7" x14ac:dyDescent="0.25">
      <c r="A12578">
        <v>119868</v>
      </c>
      <c r="B12578" t="s">
        <v>4</v>
      </c>
      <c r="C12578">
        <v>3</v>
      </c>
      <c r="D12578" t="s">
        <v>5</v>
      </c>
      <c r="F12578" t="str" cm="1">
        <f t="array" ref="F12578">CategorizeComment(E12578)</f>
        <v>Other</v>
      </c>
      <c r="G12578" t="str" cm="1">
        <f t="array" ref="G12578">SubCategorizeComment(E12578)</f>
        <v>Other</v>
      </c>
    </row>
    <row r="12579" spans="1:7" x14ac:dyDescent="0.25">
      <c r="A12579">
        <v>119881</v>
      </c>
      <c r="B12579" t="s">
        <v>4</v>
      </c>
      <c r="C12579">
        <v>4</v>
      </c>
      <c r="D12579" t="s">
        <v>5</v>
      </c>
      <c r="F12579" t="str" cm="1">
        <f t="array" ref="F12579">CategorizeComment(E12579)</f>
        <v>Other</v>
      </c>
      <c r="G12579" t="str" cm="1">
        <f t="array" ref="G12579">SubCategorizeComment(E12579)</f>
        <v>Other</v>
      </c>
    </row>
    <row r="12580" spans="1:7" x14ac:dyDescent="0.25">
      <c r="A12580">
        <v>119886</v>
      </c>
      <c r="B12580" t="s">
        <v>4</v>
      </c>
      <c r="C12580">
        <v>3</v>
      </c>
      <c r="D12580" t="s">
        <v>5</v>
      </c>
      <c r="F12580" t="str" cm="1">
        <f t="array" ref="F12580">CategorizeComment(E12580)</f>
        <v>Other</v>
      </c>
      <c r="G12580" t="str" cm="1">
        <f t="array" ref="G12580">SubCategorizeComment(E12580)</f>
        <v>Other</v>
      </c>
    </row>
    <row r="12581" spans="1:7" x14ac:dyDescent="0.25">
      <c r="A12581">
        <v>119897</v>
      </c>
      <c r="B12581" t="s">
        <v>4</v>
      </c>
      <c r="C12581">
        <v>3</v>
      </c>
      <c r="D12581" t="s">
        <v>5</v>
      </c>
      <c r="F12581" t="str" cm="1">
        <f t="array" ref="F12581">CategorizeComment(E12581)</f>
        <v>Other</v>
      </c>
      <c r="G12581" t="str" cm="1">
        <f t="array" ref="G12581">SubCategorizeComment(E12581)</f>
        <v>Other</v>
      </c>
    </row>
    <row r="12582" spans="1:7" x14ac:dyDescent="0.25">
      <c r="A12582">
        <v>119957</v>
      </c>
      <c r="B12582" t="s">
        <v>4</v>
      </c>
      <c r="C12582">
        <v>4</v>
      </c>
      <c r="D12582" t="s">
        <v>5</v>
      </c>
      <c r="F12582" t="str" cm="1">
        <f t="array" ref="F12582">CategorizeComment(E12582)</f>
        <v>Other</v>
      </c>
      <c r="G12582" t="str" cm="1">
        <f t="array" ref="G12582">SubCategorizeComment(E12582)</f>
        <v>Other</v>
      </c>
    </row>
    <row r="12583" spans="1:7" x14ac:dyDescent="0.25">
      <c r="A12583">
        <v>119958</v>
      </c>
      <c r="B12583" t="s">
        <v>4</v>
      </c>
      <c r="C12583">
        <v>4</v>
      </c>
      <c r="D12583" t="s">
        <v>5</v>
      </c>
      <c r="F12583" t="str" cm="1">
        <f t="array" ref="F12583">CategorizeComment(E12583)</f>
        <v>Other</v>
      </c>
      <c r="G12583" t="str" cm="1">
        <f t="array" ref="G12583">SubCategorizeComment(E12583)</f>
        <v>Other</v>
      </c>
    </row>
    <row r="12584" spans="1:7" x14ac:dyDescent="0.25">
      <c r="A12584">
        <v>119962</v>
      </c>
      <c r="B12584" t="s">
        <v>4</v>
      </c>
      <c r="C12584">
        <v>3</v>
      </c>
      <c r="D12584" t="s">
        <v>5</v>
      </c>
      <c r="F12584" t="str" cm="1">
        <f t="array" ref="F12584">CategorizeComment(E12584)</f>
        <v>Other</v>
      </c>
      <c r="G12584" t="str" cm="1">
        <f t="array" ref="G12584">SubCategorizeComment(E12584)</f>
        <v>Other</v>
      </c>
    </row>
    <row r="12585" spans="1:7" x14ac:dyDescent="0.25">
      <c r="A12585">
        <v>119965</v>
      </c>
      <c r="B12585" t="s">
        <v>4</v>
      </c>
      <c r="C12585">
        <v>4</v>
      </c>
      <c r="D12585" t="s">
        <v>5</v>
      </c>
      <c r="F12585" t="str" cm="1">
        <f t="array" ref="F12585">CategorizeComment(E12585)</f>
        <v>Other</v>
      </c>
      <c r="G12585" t="str" cm="1">
        <f t="array" ref="G12585">SubCategorizeComment(E12585)</f>
        <v>Other</v>
      </c>
    </row>
    <row r="12586" spans="1:7" x14ac:dyDescent="0.25">
      <c r="A12586">
        <v>119969</v>
      </c>
      <c r="B12586" t="s">
        <v>4</v>
      </c>
      <c r="C12586">
        <v>4</v>
      </c>
      <c r="D12586" t="s">
        <v>5</v>
      </c>
      <c r="F12586" t="str" cm="1">
        <f t="array" ref="F12586">CategorizeComment(E12586)</f>
        <v>Other</v>
      </c>
      <c r="G12586" t="str" cm="1">
        <f t="array" ref="G12586">SubCategorizeComment(E12586)</f>
        <v>Other</v>
      </c>
    </row>
    <row r="12587" spans="1:7" x14ac:dyDescent="0.25">
      <c r="A12587">
        <v>119971</v>
      </c>
      <c r="B12587" t="s">
        <v>4</v>
      </c>
      <c r="C12587">
        <v>4</v>
      </c>
      <c r="D12587" t="s">
        <v>5</v>
      </c>
      <c r="F12587" t="str" cm="1">
        <f t="array" ref="F12587">CategorizeComment(E12587)</f>
        <v>Other</v>
      </c>
      <c r="G12587" t="str" cm="1">
        <f t="array" ref="G12587">SubCategorizeComment(E12587)</f>
        <v>Other</v>
      </c>
    </row>
    <row r="12588" spans="1:7" x14ac:dyDescent="0.25">
      <c r="A12588">
        <v>119976</v>
      </c>
      <c r="B12588" t="s">
        <v>4</v>
      </c>
      <c r="C12588">
        <v>4</v>
      </c>
      <c r="D12588" t="s">
        <v>5</v>
      </c>
      <c r="F12588" t="str" cm="1">
        <f t="array" ref="F12588">CategorizeComment(E12588)</f>
        <v>Other</v>
      </c>
      <c r="G12588" t="str" cm="1">
        <f t="array" ref="G12588">SubCategorizeComment(E12588)</f>
        <v>Other</v>
      </c>
    </row>
    <row r="12589" spans="1:7" x14ac:dyDescent="0.25">
      <c r="A12589">
        <v>119984</v>
      </c>
      <c r="B12589" t="s">
        <v>4</v>
      </c>
      <c r="C12589">
        <v>3</v>
      </c>
      <c r="D12589" t="s">
        <v>5</v>
      </c>
      <c r="F12589" t="str" cm="1">
        <f t="array" ref="F12589">CategorizeComment(E12589)</f>
        <v>Other</v>
      </c>
      <c r="G12589" t="str" cm="1">
        <f t="array" ref="G12589">SubCategorizeComment(E12589)</f>
        <v>Other</v>
      </c>
    </row>
    <row r="12590" spans="1:7" x14ac:dyDescent="0.25">
      <c r="A12590">
        <v>119997</v>
      </c>
      <c r="B12590" t="s">
        <v>4</v>
      </c>
      <c r="C12590">
        <v>4</v>
      </c>
      <c r="D12590" t="s">
        <v>5</v>
      </c>
      <c r="F12590" t="str" cm="1">
        <f t="array" ref="F12590">CategorizeComment(E12590)</f>
        <v>Other</v>
      </c>
      <c r="G12590" t="str" cm="1">
        <f t="array" ref="G12590">SubCategorizeComment(E12590)</f>
        <v>Other</v>
      </c>
    </row>
    <row r="12591" spans="1:7" x14ac:dyDescent="0.25">
      <c r="A12591">
        <v>120025</v>
      </c>
      <c r="B12591" t="s">
        <v>4</v>
      </c>
      <c r="C12591">
        <v>3</v>
      </c>
      <c r="D12591" t="s">
        <v>5</v>
      </c>
      <c r="F12591" t="str" cm="1">
        <f t="array" ref="F12591">CategorizeComment(E12591)</f>
        <v>Other</v>
      </c>
      <c r="G12591" t="str" cm="1">
        <f t="array" ref="G12591">SubCategorizeComment(E12591)</f>
        <v>Other</v>
      </c>
    </row>
    <row r="12592" spans="1:7" x14ac:dyDescent="0.25">
      <c r="A12592">
        <v>120032</v>
      </c>
      <c r="B12592" t="s">
        <v>4</v>
      </c>
      <c r="C12592">
        <v>4</v>
      </c>
      <c r="D12592" t="s">
        <v>5</v>
      </c>
      <c r="F12592" t="str" cm="1">
        <f t="array" ref="F12592">CategorizeComment(E12592)</f>
        <v>Other</v>
      </c>
      <c r="G12592" t="str" cm="1">
        <f t="array" ref="G12592">SubCategorizeComment(E12592)</f>
        <v>Other</v>
      </c>
    </row>
    <row r="12593" spans="1:7" x14ac:dyDescent="0.25">
      <c r="A12593">
        <v>120113</v>
      </c>
      <c r="B12593" t="s">
        <v>4</v>
      </c>
      <c r="C12593">
        <v>4</v>
      </c>
      <c r="D12593" t="s">
        <v>5</v>
      </c>
      <c r="F12593" t="str" cm="1">
        <f t="array" ref="F12593">CategorizeComment(E12593)</f>
        <v>Other</v>
      </c>
      <c r="G12593" t="str" cm="1">
        <f t="array" ref="G12593">SubCategorizeComment(E12593)</f>
        <v>Other</v>
      </c>
    </row>
    <row r="12594" spans="1:7" x14ac:dyDescent="0.25">
      <c r="A12594">
        <v>120123</v>
      </c>
      <c r="B12594" t="s">
        <v>4</v>
      </c>
      <c r="C12594">
        <v>3</v>
      </c>
      <c r="D12594" t="s">
        <v>5</v>
      </c>
      <c r="F12594" t="str" cm="1">
        <f t="array" ref="F12594">CategorizeComment(E12594)</f>
        <v>Other</v>
      </c>
      <c r="G12594" t="str" cm="1">
        <f t="array" ref="G12594">SubCategorizeComment(E12594)</f>
        <v>Other</v>
      </c>
    </row>
    <row r="12595" spans="1:7" x14ac:dyDescent="0.25">
      <c r="A12595">
        <v>120129</v>
      </c>
      <c r="B12595" t="s">
        <v>4</v>
      </c>
      <c r="C12595">
        <v>4</v>
      </c>
      <c r="D12595" t="s">
        <v>5</v>
      </c>
      <c r="F12595" t="str" cm="1">
        <f t="array" ref="F12595">CategorizeComment(E12595)</f>
        <v>Other</v>
      </c>
      <c r="G12595" t="str" cm="1">
        <f t="array" ref="G12595">SubCategorizeComment(E12595)</f>
        <v>Other</v>
      </c>
    </row>
    <row r="12596" spans="1:7" x14ac:dyDescent="0.25">
      <c r="A12596">
        <v>120134</v>
      </c>
      <c r="B12596" t="s">
        <v>4</v>
      </c>
      <c r="C12596">
        <v>4</v>
      </c>
      <c r="D12596" t="s">
        <v>5</v>
      </c>
      <c r="F12596" t="str" cm="1">
        <f t="array" ref="F12596">CategorizeComment(E12596)</f>
        <v>Other</v>
      </c>
      <c r="G12596" t="str" cm="1">
        <f t="array" ref="G12596">SubCategorizeComment(E12596)</f>
        <v>Other</v>
      </c>
    </row>
    <row r="12597" spans="1:7" x14ac:dyDescent="0.25">
      <c r="A12597">
        <v>120156</v>
      </c>
      <c r="B12597" t="s">
        <v>4</v>
      </c>
      <c r="C12597">
        <v>4</v>
      </c>
      <c r="D12597" t="s">
        <v>5</v>
      </c>
      <c r="F12597" t="str" cm="1">
        <f t="array" ref="F12597">CategorizeComment(E12597)</f>
        <v>Other</v>
      </c>
      <c r="G12597" t="str" cm="1">
        <f t="array" ref="G12597">SubCategorizeComment(E12597)</f>
        <v>Other</v>
      </c>
    </row>
    <row r="12598" spans="1:7" x14ac:dyDescent="0.25">
      <c r="A12598">
        <v>120160</v>
      </c>
      <c r="B12598" t="s">
        <v>4</v>
      </c>
      <c r="C12598">
        <v>3</v>
      </c>
      <c r="D12598" t="s">
        <v>5</v>
      </c>
      <c r="F12598" t="str" cm="1">
        <f t="array" ref="F12598">CategorizeComment(E12598)</f>
        <v>Other</v>
      </c>
      <c r="G12598" t="str" cm="1">
        <f t="array" ref="G12598">SubCategorizeComment(E12598)</f>
        <v>Other</v>
      </c>
    </row>
    <row r="12599" spans="1:7" x14ac:dyDescent="0.25">
      <c r="A12599">
        <v>120180</v>
      </c>
      <c r="B12599" t="s">
        <v>4</v>
      </c>
      <c r="C12599">
        <v>4</v>
      </c>
      <c r="D12599" t="s">
        <v>5</v>
      </c>
      <c r="F12599" t="str" cm="1">
        <f t="array" ref="F12599">CategorizeComment(E12599)</f>
        <v>Other</v>
      </c>
      <c r="G12599" t="str" cm="1">
        <f t="array" ref="G12599">SubCategorizeComment(E12599)</f>
        <v>Other</v>
      </c>
    </row>
    <row r="12600" spans="1:7" x14ac:dyDescent="0.25">
      <c r="A12600">
        <v>120217</v>
      </c>
      <c r="B12600" t="s">
        <v>4</v>
      </c>
      <c r="C12600">
        <v>4</v>
      </c>
      <c r="D12600" t="s">
        <v>5</v>
      </c>
      <c r="F12600" t="str" cm="1">
        <f t="array" ref="F12600">CategorizeComment(E12600)</f>
        <v>Other</v>
      </c>
      <c r="G12600" t="str" cm="1">
        <f t="array" ref="G12600">SubCategorizeComment(E12600)</f>
        <v>Other</v>
      </c>
    </row>
    <row r="12601" spans="1:7" x14ac:dyDescent="0.25">
      <c r="A12601">
        <v>120218</v>
      </c>
      <c r="B12601" t="s">
        <v>4</v>
      </c>
      <c r="C12601">
        <v>3</v>
      </c>
      <c r="D12601" t="s">
        <v>5</v>
      </c>
      <c r="F12601" t="str" cm="1">
        <f t="array" ref="F12601">CategorizeComment(E12601)</f>
        <v>Other</v>
      </c>
      <c r="G12601" t="str" cm="1">
        <f t="array" ref="G12601">SubCategorizeComment(E12601)</f>
        <v>Other</v>
      </c>
    </row>
    <row r="12602" spans="1:7" x14ac:dyDescent="0.25">
      <c r="A12602">
        <v>120220</v>
      </c>
      <c r="B12602" t="s">
        <v>4</v>
      </c>
      <c r="C12602">
        <v>3</v>
      </c>
      <c r="D12602" t="s">
        <v>5</v>
      </c>
      <c r="F12602" t="str" cm="1">
        <f t="array" ref="F12602">CategorizeComment(E12602)</f>
        <v>Other</v>
      </c>
      <c r="G12602" t="str" cm="1">
        <f t="array" ref="G12602">SubCategorizeComment(E12602)</f>
        <v>Other</v>
      </c>
    </row>
    <row r="12603" spans="1:7" x14ac:dyDescent="0.25">
      <c r="A12603">
        <v>120228</v>
      </c>
      <c r="B12603" t="s">
        <v>4</v>
      </c>
      <c r="C12603">
        <v>4</v>
      </c>
      <c r="D12603" t="s">
        <v>5</v>
      </c>
      <c r="F12603" t="str" cm="1">
        <f t="array" ref="F12603">CategorizeComment(E12603)</f>
        <v>Other</v>
      </c>
      <c r="G12603" t="str" cm="1">
        <f t="array" ref="G12603">SubCategorizeComment(E12603)</f>
        <v>Other</v>
      </c>
    </row>
    <row r="12604" spans="1:7" x14ac:dyDescent="0.25">
      <c r="A12604">
        <v>120235</v>
      </c>
      <c r="B12604" t="s">
        <v>4</v>
      </c>
      <c r="C12604">
        <v>3</v>
      </c>
      <c r="D12604" t="s">
        <v>5</v>
      </c>
      <c r="F12604" t="str" cm="1">
        <f t="array" ref="F12604">CategorizeComment(E12604)</f>
        <v>Other</v>
      </c>
      <c r="G12604" t="str" cm="1">
        <f t="array" ref="G12604">SubCategorizeComment(E12604)</f>
        <v>Other</v>
      </c>
    </row>
    <row r="12605" spans="1:7" x14ac:dyDescent="0.25">
      <c r="A12605">
        <v>120238</v>
      </c>
      <c r="B12605" t="s">
        <v>4</v>
      </c>
      <c r="C12605">
        <v>4</v>
      </c>
      <c r="D12605" t="s">
        <v>5</v>
      </c>
      <c r="F12605" t="str" cm="1">
        <f t="array" ref="F12605">CategorizeComment(E12605)</f>
        <v>Other</v>
      </c>
      <c r="G12605" t="str" cm="1">
        <f t="array" ref="G12605">SubCategorizeComment(E12605)</f>
        <v>Other</v>
      </c>
    </row>
    <row r="12606" spans="1:7" x14ac:dyDescent="0.25">
      <c r="A12606">
        <v>120241</v>
      </c>
      <c r="B12606" t="s">
        <v>4</v>
      </c>
      <c r="C12606">
        <v>4</v>
      </c>
      <c r="D12606" t="s">
        <v>5</v>
      </c>
      <c r="F12606" t="str" cm="1">
        <f t="array" ref="F12606">CategorizeComment(E12606)</f>
        <v>Other</v>
      </c>
      <c r="G12606" t="str" cm="1">
        <f t="array" ref="G12606">SubCategorizeComment(E12606)</f>
        <v>Other</v>
      </c>
    </row>
    <row r="12607" spans="1:7" x14ac:dyDescent="0.25">
      <c r="A12607">
        <v>120245</v>
      </c>
      <c r="B12607" t="s">
        <v>4</v>
      </c>
      <c r="C12607">
        <v>4</v>
      </c>
      <c r="D12607" t="s">
        <v>5</v>
      </c>
      <c r="F12607" t="str" cm="1">
        <f t="array" ref="F12607">CategorizeComment(E12607)</f>
        <v>Other</v>
      </c>
      <c r="G12607" t="str" cm="1">
        <f t="array" ref="G12607">SubCategorizeComment(E12607)</f>
        <v>Other</v>
      </c>
    </row>
    <row r="12608" spans="1:7" x14ac:dyDescent="0.25">
      <c r="A12608">
        <v>120262</v>
      </c>
      <c r="B12608" t="s">
        <v>4</v>
      </c>
      <c r="C12608">
        <v>3</v>
      </c>
      <c r="D12608" t="s">
        <v>5</v>
      </c>
      <c r="F12608" t="str" cm="1">
        <f t="array" ref="F12608">CategorizeComment(E12608)</f>
        <v>Other</v>
      </c>
      <c r="G12608" t="str" cm="1">
        <f t="array" ref="G12608">SubCategorizeComment(E12608)</f>
        <v>Other</v>
      </c>
    </row>
    <row r="12609" spans="1:7" x14ac:dyDescent="0.25">
      <c r="A12609">
        <v>120263</v>
      </c>
      <c r="B12609" t="s">
        <v>4</v>
      </c>
      <c r="C12609">
        <v>3</v>
      </c>
      <c r="D12609" t="s">
        <v>5</v>
      </c>
      <c r="F12609" t="str" cm="1">
        <f t="array" ref="F12609">CategorizeComment(E12609)</f>
        <v>Other</v>
      </c>
      <c r="G12609" t="str" cm="1">
        <f t="array" ref="G12609">SubCategorizeComment(E12609)</f>
        <v>Other</v>
      </c>
    </row>
    <row r="12610" spans="1:7" x14ac:dyDescent="0.25">
      <c r="A12610">
        <v>120276</v>
      </c>
      <c r="B12610" t="s">
        <v>4</v>
      </c>
      <c r="C12610">
        <v>4</v>
      </c>
      <c r="D12610" t="s">
        <v>5</v>
      </c>
      <c r="F12610" t="str" cm="1">
        <f t="array" ref="F12610">CategorizeComment(E12610)</f>
        <v>Other</v>
      </c>
      <c r="G12610" t="str" cm="1">
        <f t="array" ref="G12610">SubCategorizeComment(E12610)</f>
        <v>Other</v>
      </c>
    </row>
    <row r="12611" spans="1:7" x14ac:dyDescent="0.25">
      <c r="A12611">
        <v>120278</v>
      </c>
      <c r="B12611" t="s">
        <v>4</v>
      </c>
      <c r="C12611">
        <v>3</v>
      </c>
      <c r="D12611" t="s">
        <v>5</v>
      </c>
      <c r="F12611" t="str" cm="1">
        <f t="array" ref="F12611">CategorizeComment(E12611)</f>
        <v>Other</v>
      </c>
      <c r="G12611" t="str" cm="1">
        <f t="array" ref="G12611">SubCategorizeComment(E12611)</f>
        <v>Other</v>
      </c>
    </row>
    <row r="12612" spans="1:7" x14ac:dyDescent="0.25">
      <c r="A12612">
        <v>120306</v>
      </c>
      <c r="B12612" t="s">
        <v>4</v>
      </c>
      <c r="C12612">
        <v>3</v>
      </c>
      <c r="D12612" t="s">
        <v>5</v>
      </c>
      <c r="F12612" t="str" cm="1">
        <f t="array" ref="F12612">CategorizeComment(E12612)</f>
        <v>Other</v>
      </c>
      <c r="G12612" t="str" cm="1">
        <f t="array" ref="G12612">SubCategorizeComment(E12612)</f>
        <v>Other</v>
      </c>
    </row>
    <row r="12613" spans="1:7" x14ac:dyDescent="0.25">
      <c r="A12613">
        <v>120322</v>
      </c>
      <c r="B12613" t="s">
        <v>4</v>
      </c>
      <c r="C12613">
        <v>4</v>
      </c>
      <c r="D12613" t="s">
        <v>5</v>
      </c>
      <c r="F12613" t="str" cm="1">
        <f t="array" ref="F12613">CategorizeComment(E12613)</f>
        <v>Other</v>
      </c>
      <c r="G12613" t="str" cm="1">
        <f t="array" ref="G12613">SubCategorizeComment(E12613)</f>
        <v>Other</v>
      </c>
    </row>
    <row r="12614" spans="1:7" x14ac:dyDescent="0.25">
      <c r="A12614">
        <v>120323</v>
      </c>
      <c r="B12614" t="s">
        <v>4</v>
      </c>
      <c r="C12614">
        <v>4</v>
      </c>
      <c r="D12614" t="s">
        <v>5</v>
      </c>
      <c r="F12614" t="str" cm="1">
        <f t="array" ref="F12614">CategorizeComment(E12614)</f>
        <v>Other</v>
      </c>
      <c r="G12614" t="str" cm="1">
        <f t="array" ref="G12614">SubCategorizeComment(E12614)</f>
        <v>Other</v>
      </c>
    </row>
    <row r="12615" spans="1:7" x14ac:dyDescent="0.25">
      <c r="A12615">
        <v>120326</v>
      </c>
      <c r="B12615" t="s">
        <v>4</v>
      </c>
      <c r="C12615">
        <v>4</v>
      </c>
      <c r="D12615" t="s">
        <v>5</v>
      </c>
      <c r="F12615" t="str" cm="1">
        <f t="array" ref="F12615">CategorizeComment(E12615)</f>
        <v>Other</v>
      </c>
      <c r="G12615" t="str" cm="1">
        <f t="array" ref="G12615">SubCategorizeComment(E12615)</f>
        <v>Other</v>
      </c>
    </row>
    <row r="12616" spans="1:7" x14ac:dyDescent="0.25">
      <c r="A12616">
        <v>120331</v>
      </c>
      <c r="B12616" t="s">
        <v>4</v>
      </c>
      <c r="C12616">
        <v>4</v>
      </c>
      <c r="D12616" t="s">
        <v>5</v>
      </c>
      <c r="F12616" t="str" cm="1">
        <f t="array" ref="F12616">CategorizeComment(E12616)</f>
        <v>Other</v>
      </c>
      <c r="G12616" t="str" cm="1">
        <f t="array" ref="G12616">SubCategorizeComment(E12616)</f>
        <v>Other</v>
      </c>
    </row>
    <row r="12617" spans="1:7" x14ac:dyDescent="0.25">
      <c r="A12617">
        <v>120333</v>
      </c>
      <c r="B12617" t="s">
        <v>4</v>
      </c>
      <c r="C12617">
        <v>3</v>
      </c>
      <c r="D12617" t="s">
        <v>5</v>
      </c>
      <c r="F12617" t="str" cm="1">
        <f t="array" ref="F12617">CategorizeComment(E12617)</f>
        <v>Other</v>
      </c>
      <c r="G12617" t="str" cm="1">
        <f t="array" ref="G12617">SubCategorizeComment(E12617)</f>
        <v>Other</v>
      </c>
    </row>
    <row r="12618" spans="1:7" x14ac:dyDescent="0.25">
      <c r="A12618">
        <v>120337</v>
      </c>
      <c r="B12618" t="s">
        <v>4</v>
      </c>
      <c r="C12618">
        <v>3</v>
      </c>
      <c r="D12618" t="s">
        <v>5</v>
      </c>
      <c r="F12618" t="str" cm="1">
        <f t="array" ref="F12618">CategorizeComment(E12618)</f>
        <v>Other</v>
      </c>
      <c r="G12618" t="str" cm="1">
        <f t="array" ref="G12618">SubCategorizeComment(E12618)</f>
        <v>Other</v>
      </c>
    </row>
    <row r="12619" spans="1:7" x14ac:dyDescent="0.25">
      <c r="A12619">
        <v>120346</v>
      </c>
      <c r="B12619" t="s">
        <v>4</v>
      </c>
      <c r="C12619">
        <v>4</v>
      </c>
      <c r="D12619" t="s">
        <v>5</v>
      </c>
      <c r="F12619" t="str" cm="1">
        <f t="array" ref="F12619">CategorizeComment(E12619)</f>
        <v>Other</v>
      </c>
      <c r="G12619" t="str" cm="1">
        <f t="array" ref="G12619">SubCategorizeComment(E12619)</f>
        <v>Other</v>
      </c>
    </row>
    <row r="12620" spans="1:7" x14ac:dyDescent="0.25">
      <c r="A12620">
        <v>120362</v>
      </c>
      <c r="B12620" t="s">
        <v>4</v>
      </c>
      <c r="C12620">
        <v>4</v>
      </c>
      <c r="D12620" t="s">
        <v>5</v>
      </c>
      <c r="F12620" t="str" cm="1">
        <f t="array" ref="F12620">CategorizeComment(E12620)</f>
        <v>Other</v>
      </c>
      <c r="G12620" t="str" cm="1">
        <f t="array" ref="G12620">SubCategorizeComment(E12620)</f>
        <v>Other</v>
      </c>
    </row>
    <row r="12621" spans="1:7" x14ac:dyDescent="0.25">
      <c r="A12621">
        <v>120374</v>
      </c>
      <c r="B12621" t="s">
        <v>4</v>
      </c>
      <c r="C12621">
        <v>3</v>
      </c>
      <c r="D12621" t="s">
        <v>5</v>
      </c>
      <c r="F12621" t="str" cm="1">
        <f t="array" ref="F12621">CategorizeComment(E12621)</f>
        <v>Other</v>
      </c>
      <c r="G12621" t="str" cm="1">
        <f t="array" ref="G12621">SubCategorizeComment(E12621)</f>
        <v>Other</v>
      </c>
    </row>
    <row r="12622" spans="1:7" x14ac:dyDescent="0.25">
      <c r="A12622">
        <v>120397</v>
      </c>
      <c r="B12622" t="s">
        <v>4</v>
      </c>
      <c r="C12622">
        <v>4</v>
      </c>
      <c r="D12622" t="s">
        <v>5</v>
      </c>
      <c r="F12622" t="str" cm="1">
        <f t="array" ref="F12622">CategorizeComment(E12622)</f>
        <v>Other</v>
      </c>
      <c r="G12622" t="str" cm="1">
        <f t="array" ref="G12622">SubCategorizeComment(E12622)</f>
        <v>Other</v>
      </c>
    </row>
    <row r="12623" spans="1:7" x14ac:dyDescent="0.25">
      <c r="A12623">
        <v>120421</v>
      </c>
      <c r="B12623" t="s">
        <v>4</v>
      </c>
      <c r="C12623">
        <v>3</v>
      </c>
      <c r="D12623" t="s">
        <v>5</v>
      </c>
      <c r="F12623" t="str" cm="1">
        <f t="array" ref="F12623">CategorizeComment(E12623)</f>
        <v>Other</v>
      </c>
      <c r="G12623" t="str" cm="1">
        <f t="array" ref="G12623">SubCategorizeComment(E12623)</f>
        <v>Other</v>
      </c>
    </row>
    <row r="12624" spans="1:7" x14ac:dyDescent="0.25">
      <c r="A12624">
        <v>120422</v>
      </c>
      <c r="B12624" t="s">
        <v>4</v>
      </c>
      <c r="C12624">
        <v>3</v>
      </c>
      <c r="D12624" t="s">
        <v>5</v>
      </c>
      <c r="F12624" t="str" cm="1">
        <f t="array" ref="F12624">CategorizeComment(E12624)</f>
        <v>Other</v>
      </c>
      <c r="G12624" t="str" cm="1">
        <f t="array" ref="G12624">SubCategorizeComment(E12624)</f>
        <v>Other</v>
      </c>
    </row>
    <row r="12625" spans="1:7" x14ac:dyDescent="0.25">
      <c r="A12625">
        <v>120424</v>
      </c>
      <c r="B12625" t="s">
        <v>4</v>
      </c>
      <c r="C12625">
        <v>3</v>
      </c>
      <c r="D12625" t="s">
        <v>5</v>
      </c>
      <c r="F12625" t="str" cm="1">
        <f t="array" ref="F12625">CategorizeComment(E12625)</f>
        <v>Other</v>
      </c>
      <c r="G12625" t="str" cm="1">
        <f t="array" ref="G12625">SubCategorizeComment(E12625)</f>
        <v>Other</v>
      </c>
    </row>
    <row r="12626" spans="1:7" x14ac:dyDescent="0.25">
      <c r="A12626">
        <v>120431</v>
      </c>
      <c r="B12626" t="s">
        <v>4</v>
      </c>
      <c r="C12626">
        <v>4</v>
      </c>
      <c r="D12626" t="s">
        <v>5</v>
      </c>
      <c r="F12626" t="str" cm="1">
        <f t="array" ref="F12626">CategorizeComment(E12626)</f>
        <v>Other</v>
      </c>
      <c r="G12626" t="str" cm="1">
        <f t="array" ref="G12626">SubCategorizeComment(E12626)</f>
        <v>Other</v>
      </c>
    </row>
    <row r="12627" spans="1:7" x14ac:dyDescent="0.25">
      <c r="A12627">
        <v>120446</v>
      </c>
      <c r="B12627" t="s">
        <v>4</v>
      </c>
      <c r="C12627">
        <v>3</v>
      </c>
      <c r="D12627" t="s">
        <v>5</v>
      </c>
      <c r="F12627" t="str" cm="1">
        <f t="array" ref="F12627">CategorizeComment(E12627)</f>
        <v>Other</v>
      </c>
      <c r="G12627" t="str" cm="1">
        <f t="array" ref="G12627">SubCategorizeComment(E12627)</f>
        <v>Other</v>
      </c>
    </row>
    <row r="12628" spans="1:7" x14ac:dyDescent="0.25">
      <c r="A12628">
        <v>120460</v>
      </c>
      <c r="B12628" t="s">
        <v>4</v>
      </c>
      <c r="C12628">
        <v>3</v>
      </c>
      <c r="D12628" t="s">
        <v>5</v>
      </c>
      <c r="F12628" t="str" cm="1">
        <f t="array" ref="F12628">CategorizeComment(E12628)</f>
        <v>Other</v>
      </c>
      <c r="G12628" t="str" cm="1">
        <f t="array" ref="G12628">SubCategorizeComment(E12628)</f>
        <v>Other</v>
      </c>
    </row>
    <row r="12629" spans="1:7" x14ac:dyDescent="0.25">
      <c r="A12629">
        <v>120462</v>
      </c>
      <c r="B12629" t="s">
        <v>4</v>
      </c>
      <c r="C12629">
        <v>3</v>
      </c>
      <c r="D12629" t="s">
        <v>5</v>
      </c>
      <c r="F12629" t="str" cm="1">
        <f t="array" ref="F12629">CategorizeComment(E12629)</f>
        <v>Other</v>
      </c>
      <c r="G12629" t="str" cm="1">
        <f t="array" ref="G12629">SubCategorizeComment(E12629)</f>
        <v>Other</v>
      </c>
    </row>
    <row r="12630" spans="1:7" x14ac:dyDescent="0.25">
      <c r="A12630">
        <v>120487</v>
      </c>
      <c r="B12630" t="s">
        <v>4</v>
      </c>
      <c r="C12630">
        <v>3</v>
      </c>
      <c r="D12630" t="s">
        <v>5</v>
      </c>
      <c r="F12630" t="str" cm="1">
        <f t="array" ref="F12630">CategorizeComment(E12630)</f>
        <v>Other</v>
      </c>
      <c r="G12630" t="str" cm="1">
        <f t="array" ref="G12630">SubCategorizeComment(E12630)</f>
        <v>Other</v>
      </c>
    </row>
    <row r="12631" spans="1:7" x14ac:dyDescent="0.25">
      <c r="A12631">
        <v>120488</v>
      </c>
      <c r="B12631" t="s">
        <v>4</v>
      </c>
      <c r="C12631">
        <v>3</v>
      </c>
      <c r="D12631" t="s">
        <v>5</v>
      </c>
      <c r="F12631" t="str" cm="1">
        <f t="array" ref="F12631">CategorizeComment(E12631)</f>
        <v>Other</v>
      </c>
      <c r="G12631" t="str" cm="1">
        <f t="array" ref="G12631">SubCategorizeComment(E12631)</f>
        <v>Other</v>
      </c>
    </row>
    <row r="12632" spans="1:7" x14ac:dyDescent="0.25">
      <c r="A12632">
        <v>120489</v>
      </c>
      <c r="B12632" t="s">
        <v>4</v>
      </c>
      <c r="C12632">
        <v>4</v>
      </c>
      <c r="D12632" t="s">
        <v>5</v>
      </c>
      <c r="F12632" t="str" cm="1">
        <f t="array" ref="F12632">CategorizeComment(E12632)</f>
        <v>Other</v>
      </c>
      <c r="G12632" t="str" cm="1">
        <f t="array" ref="G12632">SubCategorizeComment(E12632)</f>
        <v>Other</v>
      </c>
    </row>
    <row r="12633" spans="1:7" x14ac:dyDescent="0.25">
      <c r="A12633">
        <v>120490</v>
      </c>
      <c r="B12633" t="s">
        <v>4</v>
      </c>
      <c r="C12633">
        <v>3</v>
      </c>
      <c r="D12633" t="s">
        <v>5</v>
      </c>
      <c r="F12633" t="str" cm="1">
        <f t="array" ref="F12633">CategorizeComment(E12633)</f>
        <v>Other</v>
      </c>
      <c r="G12633" t="str" cm="1">
        <f t="array" ref="G12633">SubCategorizeComment(E12633)</f>
        <v>Other</v>
      </c>
    </row>
    <row r="12634" spans="1:7" x14ac:dyDescent="0.25">
      <c r="A12634">
        <v>120499</v>
      </c>
      <c r="B12634" t="s">
        <v>4</v>
      </c>
      <c r="C12634">
        <v>3</v>
      </c>
      <c r="D12634" t="s">
        <v>5</v>
      </c>
      <c r="F12634" t="str" cm="1">
        <f t="array" ref="F12634">CategorizeComment(E12634)</f>
        <v>Other</v>
      </c>
      <c r="G12634" t="str" cm="1">
        <f t="array" ref="G12634">SubCategorizeComment(E12634)</f>
        <v>Other</v>
      </c>
    </row>
    <row r="12635" spans="1:7" x14ac:dyDescent="0.25">
      <c r="A12635">
        <v>120503</v>
      </c>
      <c r="B12635" t="s">
        <v>4</v>
      </c>
      <c r="C12635">
        <v>3</v>
      </c>
      <c r="D12635" t="s">
        <v>5</v>
      </c>
      <c r="F12635" t="str" cm="1">
        <f t="array" ref="F12635">CategorizeComment(E12635)</f>
        <v>Other</v>
      </c>
      <c r="G12635" t="str" cm="1">
        <f t="array" ref="G12635">SubCategorizeComment(E12635)</f>
        <v>Other</v>
      </c>
    </row>
    <row r="12636" spans="1:7" x14ac:dyDescent="0.25">
      <c r="A12636">
        <v>120504</v>
      </c>
      <c r="B12636" t="s">
        <v>4</v>
      </c>
      <c r="C12636">
        <v>3</v>
      </c>
      <c r="D12636" t="s">
        <v>5</v>
      </c>
      <c r="F12636" t="str" cm="1">
        <f t="array" ref="F12636">CategorizeComment(E12636)</f>
        <v>Other</v>
      </c>
      <c r="G12636" t="str" cm="1">
        <f t="array" ref="G12636">SubCategorizeComment(E12636)</f>
        <v>Other</v>
      </c>
    </row>
    <row r="12637" spans="1:7" x14ac:dyDescent="0.25">
      <c r="A12637">
        <v>120524</v>
      </c>
      <c r="B12637" t="s">
        <v>4</v>
      </c>
      <c r="C12637">
        <v>4</v>
      </c>
      <c r="D12637" t="s">
        <v>5</v>
      </c>
      <c r="F12637" t="str" cm="1">
        <f t="array" ref="F12637">CategorizeComment(E12637)</f>
        <v>Other</v>
      </c>
      <c r="G12637" t="str" cm="1">
        <f t="array" ref="G12637">SubCategorizeComment(E12637)</f>
        <v>Other</v>
      </c>
    </row>
    <row r="12638" spans="1:7" x14ac:dyDescent="0.25">
      <c r="A12638">
        <v>120528</v>
      </c>
      <c r="B12638" t="s">
        <v>4</v>
      </c>
      <c r="C12638">
        <v>4</v>
      </c>
      <c r="D12638" t="s">
        <v>5</v>
      </c>
      <c r="F12638" t="str" cm="1">
        <f t="array" ref="F12638">CategorizeComment(E12638)</f>
        <v>Other</v>
      </c>
      <c r="G12638" t="str" cm="1">
        <f t="array" ref="G12638">SubCategorizeComment(E12638)</f>
        <v>Other</v>
      </c>
    </row>
    <row r="12639" spans="1:7" x14ac:dyDescent="0.25">
      <c r="A12639">
        <v>120533</v>
      </c>
      <c r="B12639" t="s">
        <v>4</v>
      </c>
      <c r="C12639">
        <v>4</v>
      </c>
      <c r="D12639" t="s">
        <v>5</v>
      </c>
      <c r="F12639" t="str" cm="1">
        <f t="array" ref="F12639">CategorizeComment(E12639)</f>
        <v>Other</v>
      </c>
      <c r="G12639" t="str" cm="1">
        <f t="array" ref="G12639">SubCategorizeComment(E12639)</f>
        <v>Other</v>
      </c>
    </row>
    <row r="12640" spans="1:7" x14ac:dyDescent="0.25">
      <c r="A12640">
        <v>120561</v>
      </c>
      <c r="B12640" t="s">
        <v>4</v>
      </c>
      <c r="C12640">
        <v>4</v>
      </c>
      <c r="D12640" t="s">
        <v>5</v>
      </c>
      <c r="F12640" t="str" cm="1">
        <f t="array" ref="F12640">CategorizeComment(E12640)</f>
        <v>Other</v>
      </c>
      <c r="G12640" t="str" cm="1">
        <f t="array" ref="G12640">SubCategorizeComment(E12640)</f>
        <v>Other</v>
      </c>
    </row>
    <row r="12641" spans="1:7" x14ac:dyDescent="0.25">
      <c r="A12641">
        <v>120563</v>
      </c>
      <c r="B12641" t="s">
        <v>4</v>
      </c>
      <c r="C12641">
        <v>3</v>
      </c>
      <c r="D12641" t="s">
        <v>5</v>
      </c>
      <c r="F12641" t="str" cm="1">
        <f t="array" ref="F12641">CategorizeComment(E12641)</f>
        <v>Other</v>
      </c>
      <c r="G12641" t="str" cm="1">
        <f t="array" ref="G12641">SubCategorizeComment(E12641)</f>
        <v>Other</v>
      </c>
    </row>
    <row r="12642" spans="1:7" x14ac:dyDescent="0.25">
      <c r="A12642">
        <v>120570</v>
      </c>
      <c r="B12642" t="s">
        <v>4</v>
      </c>
      <c r="C12642">
        <v>4</v>
      </c>
      <c r="D12642" t="s">
        <v>5</v>
      </c>
      <c r="F12642" t="str" cm="1">
        <f t="array" ref="F12642">CategorizeComment(E12642)</f>
        <v>Other</v>
      </c>
      <c r="G12642" t="str" cm="1">
        <f t="array" ref="G12642">SubCategorizeComment(E12642)</f>
        <v>Other</v>
      </c>
    </row>
    <row r="12643" spans="1:7" x14ac:dyDescent="0.25">
      <c r="A12643">
        <v>120601</v>
      </c>
      <c r="B12643" t="s">
        <v>4</v>
      </c>
      <c r="C12643">
        <v>3</v>
      </c>
      <c r="D12643" t="s">
        <v>5</v>
      </c>
      <c r="F12643" t="str" cm="1">
        <f t="array" ref="F12643">CategorizeComment(E12643)</f>
        <v>Other</v>
      </c>
      <c r="G12643" t="str" cm="1">
        <f t="array" ref="G12643">SubCategorizeComment(E12643)</f>
        <v>Other</v>
      </c>
    </row>
    <row r="12644" spans="1:7" x14ac:dyDescent="0.25">
      <c r="A12644">
        <v>120603</v>
      </c>
      <c r="B12644" t="s">
        <v>4</v>
      </c>
      <c r="C12644">
        <v>3</v>
      </c>
      <c r="D12644" t="s">
        <v>5</v>
      </c>
      <c r="F12644" t="str" cm="1">
        <f t="array" ref="F12644">CategorizeComment(E12644)</f>
        <v>Other</v>
      </c>
      <c r="G12644" t="str" cm="1">
        <f t="array" ref="G12644">SubCategorizeComment(E12644)</f>
        <v>Other</v>
      </c>
    </row>
    <row r="12645" spans="1:7" x14ac:dyDescent="0.25">
      <c r="A12645">
        <v>120653</v>
      </c>
      <c r="B12645" t="s">
        <v>4</v>
      </c>
      <c r="C12645">
        <v>3</v>
      </c>
      <c r="D12645" t="s">
        <v>5</v>
      </c>
      <c r="F12645" t="str" cm="1">
        <f t="array" ref="F12645">CategorizeComment(E12645)</f>
        <v>Other</v>
      </c>
      <c r="G12645" t="str" cm="1">
        <f t="array" ref="G12645">SubCategorizeComment(E12645)</f>
        <v>Other</v>
      </c>
    </row>
    <row r="12646" spans="1:7" x14ac:dyDescent="0.25">
      <c r="A12646">
        <v>120661</v>
      </c>
      <c r="B12646" t="s">
        <v>4</v>
      </c>
      <c r="C12646">
        <v>4</v>
      </c>
      <c r="D12646" t="s">
        <v>5</v>
      </c>
      <c r="F12646" t="str" cm="1">
        <f t="array" ref="F12646">CategorizeComment(E12646)</f>
        <v>Other</v>
      </c>
      <c r="G12646" t="str" cm="1">
        <f t="array" ref="G12646">SubCategorizeComment(E12646)</f>
        <v>Other</v>
      </c>
    </row>
    <row r="12647" spans="1:7" x14ac:dyDescent="0.25">
      <c r="A12647">
        <v>120663</v>
      </c>
      <c r="B12647" t="s">
        <v>4</v>
      </c>
      <c r="C12647">
        <v>3</v>
      </c>
      <c r="D12647" t="s">
        <v>5</v>
      </c>
      <c r="F12647" t="str" cm="1">
        <f t="array" ref="F12647">CategorizeComment(E12647)</f>
        <v>Other</v>
      </c>
      <c r="G12647" t="str" cm="1">
        <f t="array" ref="G12647">SubCategorizeComment(E12647)</f>
        <v>Other</v>
      </c>
    </row>
    <row r="12648" spans="1:7" x14ac:dyDescent="0.25">
      <c r="A12648">
        <v>120673</v>
      </c>
      <c r="B12648" t="s">
        <v>4</v>
      </c>
      <c r="C12648">
        <v>3</v>
      </c>
      <c r="D12648" t="s">
        <v>5</v>
      </c>
      <c r="F12648" t="str" cm="1">
        <f t="array" ref="F12648">CategorizeComment(E12648)</f>
        <v>Other</v>
      </c>
      <c r="G12648" t="str" cm="1">
        <f t="array" ref="G12648">SubCategorizeComment(E12648)</f>
        <v>Other</v>
      </c>
    </row>
    <row r="12649" spans="1:7" x14ac:dyDescent="0.25">
      <c r="A12649">
        <v>120681</v>
      </c>
      <c r="B12649" t="s">
        <v>4</v>
      </c>
      <c r="C12649">
        <v>3</v>
      </c>
      <c r="D12649" t="s">
        <v>5</v>
      </c>
      <c r="F12649" t="str" cm="1">
        <f t="array" ref="F12649">CategorizeComment(E12649)</f>
        <v>Other</v>
      </c>
      <c r="G12649" t="str" cm="1">
        <f t="array" ref="G12649">SubCategorizeComment(E12649)</f>
        <v>Other</v>
      </c>
    </row>
    <row r="12650" spans="1:7" x14ac:dyDescent="0.25">
      <c r="A12650">
        <v>120692</v>
      </c>
      <c r="B12650" t="s">
        <v>4</v>
      </c>
      <c r="C12650">
        <v>4</v>
      </c>
      <c r="D12650" t="s">
        <v>5</v>
      </c>
      <c r="F12650" t="str" cm="1">
        <f t="array" ref="F12650">CategorizeComment(E12650)</f>
        <v>Other</v>
      </c>
      <c r="G12650" t="str" cm="1">
        <f t="array" ref="G12650">SubCategorizeComment(E12650)</f>
        <v>Other</v>
      </c>
    </row>
    <row r="12651" spans="1:7" x14ac:dyDescent="0.25">
      <c r="A12651">
        <v>120693</v>
      </c>
      <c r="B12651" t="s">
        <v>4</v>
      </c>
      <c r="C12651">
        <v>3</v>
      </c>
      <c r="D12651" t="s">
        <v>5</v>
      </c>
      <c r="F12651" t="str" cm="1">
        <f t="array" ref="F12651">CategorizeComment(E12651)</f>
        <v>Other</v>
      </c>
      <c r="G12651" t="str" cm="1">
        <f t="array" ref="G12651">SubCategorizeComment(E12651)</f>
        <v>Other</v>
      </c>
    </row>
    <row r="12652" spans="1:7" x14ac:dyDescent="0.25">
      <c r="A12652">
        <v>120698</v>
      </c>
      <c r="B12652" t="s">
        <v>4</v>
      </c>
      <c r="C12652">
        <v>4</v>
      </c>
      <c r="D12652" t="s">
        <v>5</v>
      </c>
      <c r="F12652" t="str" cm="1">
        <f t="array" ref="F12652">CategorizeComment(E12652)</f>
        <v>Other</v>
      </c>
      <c r="G12652" t="str" cm="1">
        <f t="array" ref="G12652">SubCategorizeComment(E12652)</f>
        <v>Other</v>
      </c>
    </row>
    <row r="12653" spans="1:7" x14ac:dyDescent="0.25">
      <c r="A12653">
        <v>120702</v>
      </c>
      <c r="B12653" t="s">
        <v>4</v>
      </c>
      <c r="C12653">
        <v>3</v>
      </c>
      <c r="D12653" t="s">
        <v>5</v>
      </c>
      <c r="F12653" t="str" cm="1">
        <f t="array" ref="F12653">CategorizeComment(E12653)</f>
        <v>Other</v>
      </c>
      <c r="G12653" t="str" cm="1">
        <f t="array" ref="G12653">SubCategorizeComment(E12653)</f>
        <v>Other</v>
      </c>
    </row>
    <row r="12654" spans="1:7" x14ac:dyDescent="0.25">
      <c r="A12654">
        <v>120712</v>
      </c>
      <c r="B12654" t="s">
        <v>4</v>
      </c>
      <c r="C12654">
        <v>4</v>
      </c>
      <c r="D12654" t="s">
        <v>5</v>
      </c>
      <c r="F12654" t="str" cm="1">
        <f t="array" ref="F12654">CategorizeComment(E12654)</f>
        <v>Other</v>
      </c>
      <c r="G12654" t="str" cm="1">
        <f t="array" ref="G12654">SubCategorizeComment(E12654)</f>
        <v>Other</v>
      </c>
    </row>
    <row r="12655" spans="1:7" x14ac:dyDescent="0.25">
      <c r="A12655">
        <v>120714</v>
      </c>
      <c r="B12655" t="s">
        <v>4</v>
      </c>
      <c r="C12655">
        <v>4</v>
      </c>
      <c r="D12655" t="s">
        <v>5</v>
      </c>
      <c r="F12655" t="str" cm="1">
        <f t="array" ref="F12655">CategorizeComment(E12655)</f>
        <v>Other</v>
      </c>
      <c r="G12655" t="str" cm="1">
        <f t="array" ref="G12655">SubCategorizeComment(E12655)</f>
        <v>Other</v>
      </c>
    </row>
    <row r="12656" spans="1:7" x14ac:dyDescent="0.25">
      <c r="A12656">
        <v>120735</v>
      </c>
      <c r="B12656" t="s">
        <v>4</v>
      </c>
      <c r="C12656">
        <v>4</v>
      </c>
      <c r="D12656" t="s">
        <v>5</v>
      </c>
      <c r="F12656" t="str" cm="1">
        <f t="array" ref="F12656">CategorizeComment(E12656)</f>
        <v>Other</v>
      </c>
      <c r="G12656" t="str" cm="1">
        <f t="array" ref="G12656">SubCategorizeComment(E12656)</f>
        <v>Other</v>
      </c>
    </row>
    <row r="12657" spans="1:7" x14ac:dyDescent="0.25">
      <c r="A12657">
        <v>120744</v>
      </c>
      <c r="B12657" t="s">
        <v>4</v>
      </c>
      <c r="C12657">
        <v>3</v>
      </c>
      <c r="D12657" t="s">
        <v>5</v>
      </c>
      <c r="F12657" t="str" cm="1">
        <f t="array" ref="F12657">CategorizeComment(E12657)</f>
        <v>Other</v>
      </c>
      <c r="G12657" t="str" cm="1">
        <f t="array" ref="G12657">SubCategorizeComment(E12657)</f>
        <v>Other</v>
      </c>
    </row>
    <row r="12658" spans="1:7" x14ac:dyDescent="0.25">
      <c r="A12658">
        <v>120773</v>
      </c>
      <c r="B12658" t="s">
        <v>4</v>
      </c>
      <c r="C12658">
        <v>4</v>
      </c>
      <c r="D12658" t="s">
        <v>5</v>
      </c>
      <c r="F12658" t="str" cm="1">
        <f t="array" ref="F12658">CategorizeComment(E12658)</f>
        <v>Other</v>
      </c>
      <c r="G12658" t="str" cm="1">
        <f t="array" ref="G12658">SubCategorizeComment(E12658)</f>
        <v>Other</v>
      </c>
    </row>
    <row r="12659" spans="1:7" x14ac:dyDescent="0.25">
      <c r="A12659">
        <v>120774</v>
      </c>
      <c r="B12659" t="s">
        <v>4</v>
      </c>
      <c r="C12659">
        <v>4</v>
      </c>
      <c r="D12659" t="s">
        <v>5</v>
      </c>
      <c r="F12659" t="str" cm="1">
        <f t="array" ref="F12659">CategorizeComment(E12659)</f>
        <v>Other</v>
      </c>
      <c r="G12659" t="str" cm="1">
        <f t="array" ref="G12659">SubCategorizeComment(E12659)</f>
        <v>Other</v>
      </c>
    </row>
    <row r="12660" spans="1:7" x14ac:dyDescent="0.25">
      <c r="A12660">
        <v>120810</v>
      </c>
      <c r="B12660" t="s">
        <v>4</v>
      </c>
      <c r="C12660">
        <v>3</v>
      </c>
      <c r="D12660" t="s">
        <v>5</v>
      </c>
      <c r="F12660" t="str" cm="1">
        <f t="array" ref="F12660">CategorizeComment(E12660)</f>
        <v>Other</v>
      </c>
      <c r="G12660" t="str" cm="1">
        <f t="array" ref="G12660">SubCategorizeComment(E12660)</f>
        <v>Other</v>
      </c>
    </row>
    <row r="12661" spans="1:7" x14ac:dyDescent="0.25">
      <c r="A12661">
        <v>120817</v>
      </c>
      <c r="B12661" t="s">
        <v>4</v>
      </c>
      <c r="C12661">
        <v>4</v>
      </c>
      <c r="D12661" t="s">
        <v>5</v>
      </c>
      <c r="F12661" t="str" cm="1">
        <f t="array" ref="F12661">CategorizeComment(E12661)</f>
        <v>Other</v>
      </c>
      <c r="G12661" t="str" cm="1">
        <f t="array" ref="G12661">SubCategorizeComment(E12661)</f>
        <v>Other</v>
      </c>
    </row>
    <row r="12662" spans="1:7" x14ac:dyDescent="0.25">
      <c r="A12662">
        <v>120845</v>
      </c>
      <c r="B12662" t="s">
        <v>4</v>
      </c>
      <c r="C12662">
        <v>4</v>
      </c>
      <c r="D12662" t="s">
        <v>5</v>
      </c>
      <c r="F12662" t="str" cm="1">
        <f t="array" ref="F12662">CategorizeComment(E12662)</f>
        <v>Other</v>
      </c>
      <c r="G12662" t="str" cm="1">
        <f t="array" ref="G12662">SubCategorizeComment(E12662)</f>
        <v>Other</v>
      </c>
    </row>
    <row r="12663" spans="1:7" x14ac:dyDescent="0.25">
      <c r="A12663">
        <v>120848</v>
      </c>
      <c r="B12663" t="s">
        <v>4</v>
      </c>
      <c r="C12663">
        <v>4</v>
      </c>
      <c r="D12663" t="s">
        <v>5</v>
      </c>
      <c r="F12663" t="str" cm="1">
        <f t="array" ref="F12663">CategorizeComment(E12663)</f>
        <v>Other</v>
      </c>
      <c r="G12663" t="str" cm="1">
        <f t="array" ref="G12663">SubCategorizeComment(E12663)</f>
        <v>Other</v>
      </c>
    </row>
    <row r="12664" spans="1:7" x14ac:dyDescent="0.25">
      <c r="A12664">
        <v>120854</v>
      </c>
      <c r="B12664" t="s">
        <v>4</v>
      </c>
      <c r="C12664">
        <v>3</v>
      </c>
      <c r="D12664" t="s">
        <v>5</v>
      </c>
      <c r="F12664" t="str" cm="1">
        <f t="array" ref="F12664">CategorizeComment(E12664)</f>
        <v>Other</v>
      </c>
      <c r="G12664" t="str" cm="1">
        <f t="array" ref="G12664">SubCategorizeComment(E12664)</f>
        <v>Other</v>
      </c>
    </row>
    <row r="12665" spans="1:7" x14ac:dyDescent="0.25">
      <c r="A12665">
        <v>120877</v>
      </c>
      <c r="B12665" t="s">
        <v>4</v>
      </c>
      <c r="C12665">
        <v>3</v>
      </c>
      <c r="D12665" t="s">
        <v>5</v>
      </c>
      <c r="F12665" t="str" cm="1">
        <f t="array" ref="F12665">CategorizeComment(E12665)</f>
        <v>Other</v>
      </c>
      <c r="G12665" t="str" cm="1">
        <f t="array" ref="G12665">SubCategorizeComment(E12665)</f>
        <v>Other</v>
      </c>
    </row>
    <row r="12666" spans="1:7" x14ac:dyDescent="0.25">
      <c r="A12666">
        <v>120898</v>
      </c>
      <c r="B12666" t="s">
        <v>4</v>
      </c>
      <c r="C12666">
        <v>3</v>
      </c>
      <c r="D12666" t="s">
        <v>5</v>
      </c>
      <c r="F12666" t="str" cm="1">
        <f t="array" ref="F12666">CategorizeComment(E12666)</f>
        <v>Other</v>
      </c>
      <c r="G12666" t="str" cm="1">
        <f t="array" ref="G12666">SubCategorizeComment(E12666)</f>
        <v>Other</v>
      </c>
    </row>
    <row r="12667" spans="1:7" x14ac:dyDescent="0.25">
      <c r="A12667">
        <v>120955</v>
      </c>
      <c r="B12667" t="s">
        <v>4</v>
      </c>
      <c r="C12667">
        <v>3</v>
      </c>
      <c r="D12667" t="s">
        <v>5</v>
      </c>
      <c r="F12667" t="str" cm="1">
        <f t="array" ref="F12667">CategorizeComment(E12667)</f>
        <v>Other</v>
      </c>
      <c r="G12667" t="str" cm="1">
        <f t="array" ref="G12667">SubCategorizeComment(E12667)</f>
        <v>Other</v>
      </c>
    </row>
    <row r="12668" spans="1:7" x14ac:dyDescent="0.25">
      <c r="A12668">
        <v>120969</v>
      </c>
      <c r="B12668" t="s">
        <v>4</v>
      </c>
      <c r="C12668">
        <v>4</v>
      </c>
      <c r="D12668" t="s">
        <v>5</v>
      </c>
      <c r="F12668" t="str" cm="1">
        <f t="array" ref="F12668">CategorizeComment(E12668)</f>
        <v>Other</v>
      </c>
      <c r="G12668" t="str" cm="1">
        <f t="array" ref="G12668">SubCategorizeComment(E12668)</f>
        <v>Other</v>
      </c>
    </row>
    <row r="12669" spans="1:7" x14ac:dyDescent="0.25">
      <c r="A12669">
        <v>120977</v>
      </c>
      <c r="B12669" t="s">
        <v>4</v>
      </c>
      <c r="C12669">
        <v>4</v>
      </c>
      <c r="D12669" t="s">
        <v>5</v>
      </c>
      <c r="F12669" t="str" cm="1">
        <f t="array" ref="F12669">CategorizeComment(E12669)</f>
        <v>Other</v>
      </c>
      <c r="G12669" t="str" cm="1">
        <f t="array" ref="G12669">SubCategorizeComment(E12669)</f>
        <v>Other</v>
      </c>
    </row>
    <row r="12670" spans="1:7" x14ac:dyDescent="0.25">
      <c r="A12670">
        <v>120982</v>
      </c>
      <c r="B12670" t="s">
        <v>4</v>
      </c>
      <c r="C12670">
        <v>3</v>
      </c>
      <c r="D12670" t="s">
        <v>5</v>
      </c>
      <c r="F12670" t="str" cm="1">
        <f t="array" ref="F12670">CategorizeComment(E12670)</f>
        <v>Other</v>
      </c>
      <c r="G12670" t="str" cm="1">
        <f t="array" ref="G12670">SubCategorizeComment(E12670)</f>
        <v>Other</v>
      </c>
    </row>
    <row r="12671" spans="1:7" x14ac:dyDescent="0.25">
      <c r="A12671">
        <v>120994</v>
      </c>
      <c r="B12671" t="s">
        <v>4</v>
      </c>
      <c r="C12671">
        <v>4</v>
      </c>
      <c r="D12671" t="s">
        <v>5</v>
      </c>
      <c r="F12671" t="str" cm="1">
        <f t="array" ref="F12671">CategorizeComment(E12671)</f>
        <v>Other</v>
      </c>
      <c r="G12671" t="str" cm="1">
        <f t="array" ref="G12671">SubCategorizeComment(E12671)</f>
        <v>Other</v>
      </c>
    </row>
    <row r="12672" spans="1:7" x14ac:dyDescent="0.25">
      <c r="A12672">
        <v>121000</v>
      </c>
      <c r="B12672" t="s">
        <v>4</v>
      </c>
      <c r="C12672">
        <v>3</v>
      </c>
      <c r="D12672" t="s">
        <v>5</v>
      </c>
      <c r="F12672" t="str" cm="1">
        <f t="array" ref="F12672">CategorizeComment(E12672)</f>
        <v>Other</v>
      </c>
      <c r="G12672" t="str" cm="1">
        <f t="array" ref="G12672">SubCategorizeComment(E12672)</f>
        <v>Other</v>
      </c>
    </row>
    <row r="12673" spans="1:7" x14ac:dyDescent="0.25">
      <c r="A12673">
        <v>121003</v>
      </c>
      <c r="B12673" t="s">
        <v>4</v>
      </c>
      <c r="C12673">
        <v>3</v>
      </c>
      <c r="D12673" t="s">
        <v>5</v>
      </c>
      <c r="F12673" t="str" cm="1">
        <f t="array" ref="F12673">CategorizeComment(E12673)</f>
        <v>Other</v>
      </c>
      <c r="G12673" t="str" cm="1">
        <f t="array" ref="G12673">SubCategorizeComment(E12673)</f>
        <v>Other</v>
      </c>
    </row>
    <row r="12674" spans="1:7" x14ac:dyDescent="0.25">
      <c r="A12674">
        <v>121027</v>
      </c>
      <c r="B12674" t="s">
        <v>4</v>
      </c>
      <c r="C12674">
        <v>4</v>
      </c>
      <c r="D12674" t="s">
        <v>5</v>
      </c>
      <c r="F12674" t="str" cm="1">
        <f t="array" ref="F12674">CategorizeComment(E12674)</f>
        <v>Other</v>
      </c>
      <c r="G12674" t="str" cm="1">
        <f t="array" ref="G12674">SubCategorizeComment(E12674)</f>
        <v>Other</v>
      </c>
    </row>
    <row r="12675" spans="1:7" x14ac:dyDescent="0.25">
      <c r="A12675">
        <v>121034</v>
      </c>
      <c r="B12675" t="s">
        <v>4</v>
      </c>
      <c r="C12675">
        <v>3</v>
      </c>
      <c r="D12675" t="s">
        <v>5</v>
      </c>
      <c r="F12675" t="str" cm="1">
        <f t="array" ref="F12675">CategorizeComment(E12675)</f>
        <v>Other</v>
      </c>
      <c r="G12675" t="str" cm="1">
        <f t="array" ref="G12675">SubCategorizeComment(E12675)</f>
        <v>Other</v>
      </c>
    </row>
    <row r="12676" spans="1:7" x14ac:dyDescent="0.25">
      <c r="A12676">
        <v>121040</v>
      </c>
      <c r="B12676" t="s">
        <v>4</v>
      </c>
      <c r="C12676">
        <v>3</v>
      </c>
      <c r="D12676" t="s">
        <v>5</v>
      </c>
      <c r="F12676" t="str" cm="1">
        <f t="array" ref="F12676">CategorizeComment(E12676)</f>
        <v>Other</v>
      </c>
      <c r="G12676" t="str" cm="1">
        <f t="array" ref="G12676">SubCategorizeComment(E12676)</f>
        <v>Other</v>
      </c>
    </row>
    <row r="12677" spans="1:7" x14ac:dyDescent="0.25">
      <c r="A12677">
        <v>121043</v>
      </c>
      <c r="B12677" t="s">
        <v>4</v>
      </c>
      <c r="C12677">
        <v>4</v>
      </c>
      <c r="D12677" t="s">
        <v>5</v>
      </c>
      <c r="F12677" t="str" cm="1">
        <f t="array" ref="F12677">CategorizeComment(E12677)</f>
        <v>Other</v>
      </c>
      <c r="G12677" t="str" cm="1">
        <f t="array" ref="G12677">SubCategorizeComment(E12677)</f>
        <v>Other</v>
      </c>
    </row>
    <row r="12678" spans="1:7" x14ac:dyDescent="0.25">
      <c r="A12678">
        <v>121047</v>
      </c>
      <c r="B12678" t="s">
        <v>4</v>
      </c>
      <c r="C12678">
        <v>3</v>
      </c>
      <c r="D12678" t="s">
        <v>5</v>
      </c>
      <c r="F12678" t="str" cm="1">
        <f t="array" ref="F12678">CategorizeComment(E12678)</f>
        <v>Other</v>
      </c>
      <c r="G12678" t="str" cm="1">
        <f t="array" ref="G12678">SubCategorizeComment(E12678)</f>
        <v>Other</v>
      </c>
    </row>
    <row r="12679" spans="1:7" x14ac:dyDescent="0.25">
      <c r="A12679">
        <v>121060</v>
      </c>
      <c r="B12679" t="s">
        <v>4</v>
      </c>
      <c r="C12679">
        <v>4</v>
      </c>
      <c r="D12679" t="s">
        <v>5</v>
      </c>
      <c r="F12679" t="str" cm="1">
        <f t="array" ref="F12679">CategorizeComment(E12679)</f>
        <v>Other</v>
      </c>
      <c r="G12679" t="str" cm="1">
        <f t="array" ref="G12679">SubCategorizeComment(E12679)</f>
        <v>Other</v>
      </c>
    </row>
    <row r="12680" spans="1:7" x14ac:dyDescent="0.25">
      <c r="A12680">
        <v>121074</v>
      </c>
      <c r="B12680" t="s">
        <v>4</v>
      </c>
      <c r="C12680">
        <v>4</v>
      </c>
      <c r="D12680" t="s">
        <v>5</v>
      </c>
      <c r="F12680" t="str" cm="1">
        <f t="array" ref="F12680">CategorizeComment(E12680)</f>
        <v>Other</v>
      </c>
      <c r="G12680" t="str" cm="1">
        <f t="array" ref="G12680">SubCategorizeComment(E12680)</f>
        <v>Other</v>
      </c>
    </row>
    <row r="12681" spans="1:7" x14ac:dyDescent="0.25">
      <c r="A12681">
        <v>121075</v>
      </c>
      <c r="B12681" t="s">
        <v>4</v>
      </c>
      <c r="C12681">
        <v>4</v>
      </c>
      <c r="D12681" t="s">
        <v>5</v>
      </c>
      <c r="F12681" t="str" cm="1">
        <f t="array" ref="F12681">CategorizeComment(E12681)</f>
        <v>Other</v>
      </c>
      <c r="G12681" t="str" cm="1">
        <f t="array" ref="G12681">SubCategorizeComment(E12681)</f>
        <v>Other</v>
      </c>
    </row>
    <row r="12682" spans="1:7" x14ac:dyDescent="0.25">
      <c r="A12682">
        <v>121077</v>
      </c>
      <c r="B12682" t="s">
        <v>4</v>
      </c>
      <c r="C12682">
        <v>3</v>
      </c>
      <c r="D12682" t="s">
        <v>5</v>
      </c>
      <c r="F12682" t="str" cm="1">
        <f t="array" ref="F12682">CategorizeComment(E12682)</f>
        <v>Other</v>
      </c>
      <c r="G12682" t="str" cm="1">
        <f t="array" ref="G12682">SubCategorizeComment(E12682)</f>
        <v>Other</v>
      </c>
    </row>
    <row r="12683" spans="1:7" x14ac:dyDescent="0.25">
      <c r="A12683">
        <v>121080</v>
      </c>
      <c r="B12683" t="s">
        <v>4</v>
      </c>
      <c r="C12683">
        <v>4</v>
      </c>
      <c r="D12683" t="s">
        <v>5</v>
      </c>
      <c r="F12683" t="str" cm="1">
        <f t="array" ref="F12683">CategorizeComment(E12683)</f>
        <v>Other</v>
      </c>
      <c r="G12683" t="str" cm="1">
        <f t="array" ref="G12683">SubCategorizeComment(E12683)</f>
        <v>Other</v>
      </c>
    </row>
    <row r="12684" spans="1:7" x14ac:dyDescent="0.25">
      <c r="A12684">
        <v>121105</v>
      </c>
      <c r="B12684" t="s">
        <v>4</v>
      </c>
      <c r="C12684">
        <v>4</v>
      </c>
      <c r="D12684" t="s">
        <v>5</v>
      </c>
      <c r="F12684" t="str" cm="1">
        <f t="array" ref="F12684">CategorizeComment(E12684)</f>
        <v>Other</v>
      </c>
      <c r="G12684" t="str" cm="1">
        <f t="array" ref="G12684">SubCategorizeComment(E12684)</f>
        <v>Other</v>
      </c>
    </row>
    <row r="12685" spans="1:7" x14ac:dyDescent="0.25">
      <c r="A12685">
        <v>121139</v>
      </c>
      <c r="B12685" t="s">
        <v>4</v>
      </c>
      <c r="C12685">
        <v>3</v>
      </c>
      <c r="D12685" t="s">
        <v>5</v>
      </c>
      <c r="F12685" t="str" cm="1">
        <f t="array" ref="F12685">CategorizeComment(E12685)</f>
        <v>Other</v>
      </c>
      <c r="G12685" t="str" cm="1">
        <f t="array" ref="G12685">SubCategorizeComment(E12685)</f>
        <v>Other</v>
      </c>
    </row>
    <row r="12686" spans="1:7" x14ac:dyDescent="0.25">
      <c r="A12686">
        <v>121146</v>
      </c>
      <c r="B12686" t="s">
        <v>4</v>
      </c>
      <c r="C12686">
        <v>3</v>
      </c>
      <c r="D12686" t="s">
        <v>5</v>
      </c>
      <c r="F12686" t="str" cm="1">
        <f t="array" ref="F12686">CategorizeComment(E12686)</f>
        <v>Other</v>
      </c>
      <c r="G12686" t="str" cm="1">
        <f t="array" ref="G12686">SubCategorizeComment(E12686)</f>
        <v>Other</v>
      </c>
    </row>
    <row r="12687" spans="1:7" x14ac:dyDescent="0.25">
      <c r="A12687">
        <v>121161</v>
      </c>
      <c r="B12687" t="s">
        <v>4</v>
      </c>
      <c r="C12687">
        <v>3</v>
      </c>
      <c r="D12687" t="s">
        <v>5</v>
      </c>
      <c r="F12687" t="str" cm="1">
        <f t="array" ref="F12687">CategorizeComment(E12687)</f>
        <v>Other</v>
      </c>
      <c r="G12687" t="str" cm="1">
        <f t="array" ref="G12687">SubCategorizeComment(E12687)</f>
        <v>Other</v>
      </c>
    </row>
    <row r="12688" spans="1:7" x14ac:dyDescent="0.25">
      <c r="A12688">
        <v>121178</v>
      </c>
      <c r="B12688" t="s">
        <v>4</v>
      </c>
      <c r="C12688">
        <v>3</v>
      </c>
      <c r="D12688" t="s">
        <v>5</v>
      </c>
      <c r="F12688" t="str" cm="1">
        <f t="array" ref="F12688">CategorizeComment(E12688)</f>
        <v>Other</v>
      </c>
      <c r="G12688" t="str" cm="1">
        <f t="array" ref="G12688">SubCategorizeComment(E12688)</f>
        <v>Other</v>
      </c>
    </row>
    <row r="12689" spans="1:7" x14ac:dyDescent="0.25">
      <c r="A12689">
        <v>121180</v>
      </c>
      <c r="B12689" t="s">
        <v>4</v>
      </c>
      <c r="C12689">
        <v>3</v>
      </c>
      <c r="D12689" t="s">
        <v>5</v>
      </c>
      <c r="F12689" t="str" cm="1">
        <f t="array" ref="F12689">CategorizeComment(E12689)</f>
        <v>Other</v>
      </c>
      <c r="G12689" t="str" cm="1">
        <f t="array" ref="G12689">SubCategorizeComment(E12689)</f>
        <v>Other</v>
      </c>
    </row>
    <row r="12690" spans="1:7" x14ac:dyDescent="0.25">
      <c r="A12690">
        <v>121188</v>
      </c>
      <c r="B12690" t="s">
        <v>4</v>
      </c>
      <c r="C12690">
        <v>4</v>
      </c>
      <c r="D12690" t="s">
        <v>5</v>
      </c>
      <c r="F12690" t="str" cm="1">
        <f t="array" ref="F12690">CategorizeComment(E12690)</f>
        <v>Other</v>
      </c>
      <c r="G12690" t="str" cm="1">
        <f t="array" ref="G12690">SubCategorizeComment(E12690)</f>
        <v>Other</v>
      </c>
    </row>
    <row r="12691" spans="1:7" x14ac:dyDescent="0.25">
      <c r="A12691">
        <v>121192</v>
      </c>
      <c r="B12691" t="s">
        <v>4</v>
      </c>
      <c r="C12691">
        <v>4</v>
      </c>
      <c r="D12691" t="s">
        <v>5</v>
      </c>
      <c r="F12691" t="str" cm="1">
        <f t="array" ref="F12691">CategorizeComment(E12691)</f>
        <v>Other</v>
      </c>
      <c r="G12691" t="str" cm="1">
        <f t="array" ref="G12691">SubCategorizeComment(E12691)</f>
        <v>Other</v>
      </c>
    </row>
    <row r="12692" spans="1:7" x14ac:dyDescent="0.25">
      <c r="A12692">
        <v>121202</v>
      </c>
      <c r="B12692" t="s">
        <v>4</v>
      </c>
      <c r="C12692">
        <v>4</v>
      </c>
      <c r="D12692" t="s">
        <v>5</v>
      </c>
      <c r="F12692" t="str" cm="1">
        <f t="array" ref="F12692">CategorizeComment(E12692)</f>
        <v>Other</v>
      </c>
      <c r="G12692" t="str" cm="1">
        <f t="array" ref="G12692">SubCategorizeComment(E12692)</f>
        <v>Other</v>
      </c>
    </row>
    <row r="12693" spans="1:7" x14ac:dyDescent="0.25">
      <c r="A12693">
        <v>121211</v>
      </c>
      <c r="B12693" t="s">
        <v>4</v>
      </c>
      <c r="C12693">
        <v>3</v>
      </c>
      <c r="D12693" t="s">
        <v>5</v>
      </c>
      <c r="F12693" t="str" cm="1">
        <f t="array" ref="F12693">CategorizeComment(E12693)</f>
        <v>Other</v>
      </c>
      <c r="G12693" t="str" cm="1">
        <f t="array" ref="G12693">SubCategorizeComment(E12693)</f>
        <v>Other</v>
      </c>
    </row>
    <row r="12694" spans="1:7" x14ac:dyDescent="0.25">
      <c r="A12694">
        <v>121237</v>
      </c>
      <c r="B12694" t="s">
        <v>4</v>
      </c>
      <c r="C12694">
        <v>4</v>
      </c>
      <c r="D12694" t="s">
        <v>5</v>
      </c>
      <c r="F12694" t="str" cm="1">
        <f t="array" ref="F12694">CategorizeComment(E12694)</f>
        <v>Other</v>
      </c>
      <c r="G12694" t="str" cm="1">
        <f t="array" ref="G12694">SubCategorizeComment(E12694)</f>
        <v>Other</v>
      </c>
    </row>
    <row r="12695" spans="1:7" x14ac:dyDescent="0.25">
      <c r="A12695">
        <v>121238</v>
      </c>
      <c r="B12695" t="s">
        <v>4</v>
      </c>
      <c r="C12695">
        <v>3</v>
      </c>
      <c r="D12695" t="s">
        <v>5</v>
      </c>
      <c r="F12695" t="str" cm="1">
        <f t="array" ref="F12695">CategorizeComment(E12695)</f>
        <v>Other</v>
      </c>
      <c r="G12695" t="str" cm="1">
        <f t="array" ref="G12695">SubCategorizeComment(E12695)</f>
        <v>Other</v>
      </c>
    </row>
    <row r="12696" spans="1:7" x14ac:dyDescent="0.25">
      <c r="A12696">
        <v>121241</v>
      </c>
      <c r="B12696" t="s">
        <v>4</v>
      </c>
      <c r="C12696">
        <v>3</v>
      </c>
      <c r="D12696" t="s">
        <v>5</v>
      </c>
      <c r="F12696" t="str" cm="1">
        <f t="array" ref="F12696">CategorizeComment(E12696)</f>
        <v>Other</v>
      </c>
      <c r="G12696" t="str" cm="1">
        <f t="array" ref="G12696">SubCategorizeComment(E12696)</f>
        <v>Other</v>
      </c>
    </row>
    <row r="12697" spans="1:7" x14ac:dyDescent="0.25">
      <c r="A12697">
        <v>121242</v>
      </c>
      <c r="B12697" t="s">
        <v>4</v>
      </c>
      <c r="C12697">
        <v>4</v>
      </c>
      <c r="D12697" t="s">
        <v>5</v>
      </c>
      <c r="F12697" t="str" cm="1">
        <f t="array" ref="F12697">CategorizeComment(E12697)</f>
        <v>Other</v>
      </c>
      <c r="G12697" t="str" cm="1">
        <f t="array" ref="G12697">SubCategorizeComment(E12697)</f>
        <v>Other</v>
      </c>
    </row>
    <row r="12698" spans="1:7" x14ac:dyDescent="0.25">
      <c r="A12698">
        <v>121246</v>
      </c>
      <c r="B12698" t="s">
        <v>4</v>
      </c>
      <c r="C12698">
        <v>4</v>
      </c>
      <c r="D12698" t="s">
        <v>5</v>
      </c>
      <c r="F12698" t="str" cm="1">
        <f t="array" ref="F12698">CategorizeComment(E12698)</f>
        <v>Other</v>
      </c>
      <c r="G12698" t="str" cm="1">
        <f t="array" ref="G12698">SubCategorizeComment(E12698)</f>
        <v>Other</v>
      </c>
    </row>
    <row r="12699" spans="1:7" x14ac:dyDescent="0.25">
      <c r="A12699">
        <v>121247</v>
      </c>
      <c r="B12699" t="s">
        <v>4</v>
      </c>
      <c r="C12699">
        <v>4</v>
      </c>
      <c r="D12699" t="s">
        <v>5</v>
      </c>
      <c r="F12699" t="str" cm="1">
        <f t="array" ref="F12699">CategorizeComment(E12699)</f>
        <v>Other</v>
      </c>
      <c r="G12699" t="str" cm="1">
        <f t="array" ref="G12699">SubCategorizeComment(E12699)</f>
        <v>Other</v>
      </c>
    </row>
    <row r="12700" spans="1:7" x14ac:dyDescent="0.25">
      <c r="A12700">
        <v>121251</v>
      </c>
      <c r="B12700" t="s">
        <v>4</v>
      </c>
      <c r="C12700">
        <v>3</v>
      </c>
      <c r="D12700" t="s">
        <v>5</v>
      </c>
      <c r="F12700" t="str" cm="1">
        <f t="array" ref="F12700">CategorizeComment(E12700)</f>
        <v>Other</v>
      </c>
      <c r="G12700" t="str" cm="1">
        <f t="array" ref="G12700">SubCategorizeComment(E12700)</f>
        <v>Other</v>
      </c>
    </row>
    <row r="12701" spans="1:7" x14ac:dyDescent="0.25">
      <c r="A12701">
        <v>121252</v>
      </c>
      <c r="B12701" t="s">
        <v>4</v>
      </c>
      <c r="C12701">
        <v>4</v>
      </c>
      <c r="D12701" t="s">
        <v>5</v>
      </c>
      <c r="F12701" t="str" cm="1">
        <f t="array" ref="F12701">CategorizeComment(E12701)</f>
        <v>Other</v>
      </c>
      <c r="G12701" t="str" cm="1">
        <f t="array" ref="G12701">SubCategorizeComment(E12701)</f>
        <v>Other</v>
      </c>
    </row>
    <row r="12702" spans="1:7" x14ac:dyDescent="0.25">
      <c r="A12702">
        <v>121254</v>
      </c>
      <c r="B12702" t="s">
        <v>4</v>
      </c>
      <c r="C12702">
        <v>4</v>
      </c>
      <c r="D12702" t="s">
        <v>5</v>
      </c>
      <c r="F12702" t="str" cm="1">
        <f t="array" ref="F12702">CategorizeComment(E12702)</f>
        <v>Other</v>
      </c>
      <c r="G12702" t="str" cm="1">
        <f t="array" ref="G12702">SubCategorizeComment(E12702)</f>
        <v>Other</v>
      </c>
    </row>
    <row r="12703" spans="1:7" x14ac:dyDescent="0.25">
      <c r="A12703">
        <v>121256</v>
      </c>
      <c r="B12703" t="s">
        <v>4</v>
      </c>
      <c r="C12703">
        <v>4</v>
      </c>
      <c r="D12703" t="s">
        <v>5</v>
      </c>
      <c r="F12703" t="str" cm="1">
        <f t="array" ref="F12703">CategorizeComment(E12703)</f>
        <v>Other</v>
      </c>
      <c r="G12703" t="str" cm="1">
        <f t="array" ref="G12703">SubCategorizeComment(E12703)</f>
        <v>Other</v>
      </c>
    </row>
    <row r="12704" spans="1:7" x14ac:dyDescent="0.25">
      <c r="A12704">
        <v>121292</v>
      </c>
      <c r="B12704" t="s">
        <v>4</v>
      </c>
      <c r="C12704">
        <v>3</v>
      </c>
      <c r="D12704" t="s">
        <v>5</v>
      </c>
      <c r="F12704" t="str" cm="1">
        <f t="array" ref="F12704">CategorizeComment(E12704)</f>
        <v>Other</v>
      </c>
      <c r="G12704" t="str" cm="1">
        <f t="array" ref="G12704">SubCategorizeComment(E12704)</f>
        <v>Other</v>
      </c>
    </row>
    <row r="12705" spans="1:7" x14ac:dyDescent="0.25">
      <c r="A12705">
        <v>121303</v>
      </c>
      <c r="B12705" t="s">
        <v>4</v>
      </c>
      <c r="C12705">
        <v>3</v>
      </c>
      <c r="D12705" t="s">
        <v>5</v>
      </c>
      <c r="F12705" t="str" cm="1">
        <f t="array" ref="F12705">CategorizeComment(E12705)</f>
        <v>Other</v>
      </c>
      <c r="G12705" t="str" cm="1">
        <f t="array" ref="G12705">SubCategorizeComment(E12705)</f>
        <v>Other</v>
      </c>
    </row>
    <row r="12706" spans="1:7" x14ac:dyDescent="0.25">
      <c r="A12706">
        <v>121327</v>
      </c>
      <c r="B12706" t="s">
        <v>4</v>
      </c>
      <c r="C12706">
        <v>3</v>
      </c>
      <c r="D12706" t="s">
        <v>5</v>
      </c>
      <c r="F12706" t="str" cm="1">
        <f t="array" ref="F12706">CategorizeComment(E12706)</f>
        <v>Other</v>
      </c>
      <c r="G12706" t="str" cm="1">
        <f t="array" ref="G12706">SubCategorizeComment(E12706)</f>
        <v>Other</v>
      </c>
    </row>
    <row r="12707" spans="1:7" x14ac:dyDescent="0.25">
      <c r="A12707">
        <v>121331</v>
      </c>
      <c r="B12707" t="s">
        <v>4</v>
      </c>
      <c r="C12707">
        <v>3</v>
      </c>
      <c r="D12707" t="s">
        <v>5</v>
      </c>
      <c r="F12707" t="str" cm="1">
        <f t="array" ref="F12707">CategorizeComment(E12707)</f>
        <v>Other</v>
      </c>
      <c r="G12707" t="str" cm="1">
        <f t="array" ref="G12707">SubCategorizeComment(E12707)</f>
        <v>Other</v>
      </c>
    </row>
    <row r="12708" spans="1:7" x14ac:dyDescent="0.25">
      <c r="A12708">
        <v>121334</v>
      </c>
      <c r="B12708" t="s">
        <v>4</v>
      </c>
      <c r="C12708">
        <v>4</v>
      </c>
      <c r="D12708" t="s">
        <v>5</v>
      </c>
      <c r="F12708" t="str" cm="1">
        <f t="array" ref="F12708">CategorizeComment(E12708)</f>
        <v>Other</v>
      </c>
      <c r="G12708" t="str" cm="1">
        <f t="array" ref="G12708">SubCategorizeComment(E12708)</f>
        <v>Other</v>
      </c>
    </row>
    <row r="12709" spans="1:7" x14ac:dyDescent="0.25">
      <c r="A12709">
        <v>121343</v>
      </c>
      <c r="B12709" t="s">
        <v>4</v>
      </c>
      <c r="C12709">
        <v>3</v>
      </c>
      <c r="D12709" t="s">
        <v>5</v>
      </c>
      <c r="F12709" t="str" cm="1">
        <f t="array" ref="F12709">CategorizeComment(E12709)</f>
        <v>Other</v>
      </c>
      <c r="G12709" t="str" cm="1">
        <f t="array" ref="G12709">SubCategorizeComment(E12709)</f>
        <v>Other</v>
      </c>
    </row>
    <row r="12710" spans="1:7" x14ac:dyDescent="0.25">
      <c r="A12710">
        <v>121344</v>
      </c>
      <c r="B12710" t="s">
        <v>4</v>
      </c>
      <c r="C12710">
        <v>3</v>
      </c>
      <c r="D12710" t="s">
        <v>5</v>
      </c>
      <c r="F12710" t="str" cm="1">
        <f t="array" ref="F12710">CategorizeComment(E12710)</f>
        <v>Other</v>
      </c>
      <c r="G12710" t="str" cm="1">
        <f t="array" ref="G12710">SubCategorizeComment(E12710)</f>
        <v>Other</v>
      </c>
    </row>
    <row r="12711" spans="1:7" x14ac:dyDescent="0.25">
      <c r="A12711">
        <v>121352</v>
      </c>
      <c r="B12711" t="s">
        <v>4</v>
      </c>
      <c r="C12711">
        <v>3</v>
      </c>
      <c r="D12711" t="s">
        <v>5</v>
      </c>
      <c r="F12711" t="str" cm="1">
        <f t="array" ref="F12711">CategorizeComment(E12711)</f>
        <v>Other</v>
      </c>
      <c r="G12711" t="str" cm="1">
        <f t="array" ref="G12711">SubCategorizeComment(E12711)</f>
        <v>Other</v>
      </c>
    </row>
    <row r="12712" spans="1:7" x14ac:dyDescent="0.25">
      <c r="A12712">
        <v>121359</v>
      </c>
      <c r="B12712" t="s">
        <v>4</v>
      </c>
      <c r="C12712">
        <v>4</v>
      </c>
      <c r="D12712" t="s">
        <v>5</v>
      </c>
      <c r="F12712" t="str" cm="1">
        <f t="array" ref="F12712">CategorizeComment(E12712)</f>
        <v>Other</v>
      </c>
      <c r="G12712" t="str" cm="1">
        <f t="array" ref="G12712">SubCategorizeComment(E12712)</f>
        <v>Other</v>
      </c>
    </row>
    <row r="12713" spans="1:7" x14ac:dyDescent="0.25">
      <c r="A12713">
        <v>121384</v>
      </c>
      <c r="B12713" t="s">
        <v>4</v>
      </c>
      <c r="C12713">
        <v>3</v>
      </c>
      <c r="D12713" t="s">
        <v>5</v>
      </c>
      <c r="F12713" t="str" cm="1">
        <f t="array" ref="F12713">CategorizeComment(E12713)</f>
        <v>Other</v>
      </c>
      <c r="G12713" t="str" cm="1">
        <f t="array" ref="G12713">SubCategorizeComment(E12713)</f>
        <v>Other</v>
      </c>
    </row>
    <row r="12714" spans="1:7" x14ac:dyDescent="0.25">
      <c r="A12714">
        <v>121401</v>
      </c>
      <c r="B12714" t="s">
        <v>4</v>
      </c>
      <c r="C12714">
        <v>4</v>
      </c>
      <c r="D12714" t="s">
        <v>5</v>
      </c>
      <c r="F12714" t="str" cm="1">
        <f t="array" ref="F12714">CategorizeComment(E12714)</f>
        <v>Other</v>
      </c>
      <c r="G12714" t="str" cm="1">
        <f t="array" ref="G12714">SubCategorizeComment(E12714)</f>
        <v>Other</v>
      </c>
    </row>
    <row r="12715" spans="1:7" x14ac:dyDescent="0.25">
      <c r="A12715">
        <v>121428</v>
      </c>
      <c r="B12715" t="s">
        <v>4</v>
      </c>
      <c r="C12715">
        <v>3</v>
      </c>
      <c r="D12715" t="s">
        <v>5</v>
      </c>
      <c r="F12715" t="str" cm="1">
        <f t="array" ref="F12715">CategorizeComment(E12715)</f>
        <v>Other</v>
      </c>
      <c r="G12715" t="str" cm="1">
        <f t="array" ref="G12715">SubCategorizeComment(E12715)</f>
        <v>Other</v>
      </c>
    </row>
    <row r="12716" spans="1:7" x14ac:dyDescent="0.25">
      <c r="A12716">
        <v>121433</v>
      </c>
      <c r="B12716" t="s">
        <v>4</v>
      </c>
      <c r="C12716">
        <v>3</v>
      </c>
      <c r="D12716" t="s">
        <v>5</v>
      </c>
      <c r="F12716" t="str" cm="1">
        <f t="array" ref="F12716">CategorizeComment(E12716)</f>
        <v>Other</v>
      </c>
      <c r="G12716" t="str" cm="1">
        <f t="array" ref="G12716">SubCategorizeComment(E12716)</f>
        <v>Other</v>
      </c>
    </row>
    <row r="12717" spans="1:7" x14ac:dyDescent="0.25">
      <c r="A12717">
        <v>121437</v>
      </c>
      <c r="B12717" t="s">
        <v>4</v>
      </c>
      <c r="C12717">
        <v>3</v>
      </c>
      <c r="D12717" t="s">
        <v>5</v>
      </c>
      <c r="F12717" t="str" cm="1">
        <f t="array" ref="F12717">CategorizeComment(E12717)</f>
        <v>Other</v>
      </c>
      <c r="G12717" t="str" cm="1">
        <f t="array" ref="G12717">SubCategorizeComment(E12717)</f>
        <v>Other</v>
      </c>
    </row>
    <row r="12718" spans="1:7" x14ac:dyDescent="0.25">
      <c r="A12718">
        <v>121454</v>
      </c>
      <c r="B12718" t="s">
        <v>4</v>
      </c>
      <c r="C12718">
        <v>3</v>
      </c>
      <c r="D12718" t="s">
        <v>5</v>
      </c>
      <c r="F12718" t="str" cm="1">
        <f t="array" ref="F12718">CategorizeComment(E12718)</f>
        <v>Other</v>
      </c>
      <c r="G12718" t="str" cm="1">
        <f t="array" ref="G12718">SubCategorizeComment(E12718)</f>
        <v>Other</v>
      </c>
    </row>
    <row r="12719" spans="1:7" x14ac:dyDescent="0.25">
      <c r="A12719">
        <v>121463</v>
      </c>
      <c r="B12719" t="s">
        <v>4</v>
      </c>
      <c r="C12719">
        <v>4</v>
      </c>
      <c r="D12719" t="s">
        <v>5</v>
      </c>
      <c r="F12719" t="str" cm="1">
        <f t="array" ref="F12719">CategorizeComment(E12719)</f>
        <v>Other</v>
      </c>
      <c r="G12719" t="str" cm="1">
        <f t="array" ref="G12719">SubCategorizeComment(E12719)</f>
        <v>Other</v>
      </c>
    </row>
    <row r="12720" spans="1:7" x14ac:dyDescent="0.25">
      <c r="A12720">
        <v>121491</v>
      </c>
      <c r="B12720" t="s">
        <v>4</v>
      </c>
      <c r="C12720">
        <v>4</v>
      </c>
      <c r="D12720" t="s">
        <v>5</v>
      </c>
      <c r="F12720" t="str" cm="1">
        <f t="array" ref="F12720">CategorizeComment(E12720)</f>
        <v>Other</v>
      </c>
      <c r="G12720" t="str" cm="1">
        <f t="array" ref="G12720">SubCategorizeComment(E12720)</f>
        <v>Other</v>
      </c>
    </row>
    <row r="12721" spans="1:7" x14ac:dyDescent="0.25">
      <c r="A12721">
        <v>121498</v>
      </c>
      <c r="B12721" t="s">
        <v>4</v>
      </c>
      <c r="C12721">
        <v>3</v>
      </c>
      <c r="D12721" t="s">
        <v>5</v>
      </c>
      <c r="F12721" t="str" cm="1">
        <f t="array" ref="F12721">CategorizeComment(E12721)</f>
        <v>Other</v>
      </c>
      <c r="G12721" t="str" cm="1">
        <f t="array" ref="G12721">SubCategorizeComment(E12721)</f>
        <v>Other</v>
      </c>
    </row>
    <row r="12722" spans="1:7" x14ac:dyDescent="0.25">
      <c r="A12722">
        <v>121511</v>
      </c>
      <c r="B12722" t="s">
        <v>4</v>
      </c>
      <c r="C12722">
        <v>3</v>
      </c>
      <c r="D12722" t="s">
        <v>5</v>
      </c>
      <c r="F12722" t="str" cm="1">
        <f t="array" ref="F12722">CategorizeComment(E12722)</f>
        <v>Other</v>
      </c>
      <c r="G12722" t="str" cm="1">
        <f t="array" ref="G12722">SubCategorizeComment(E12722)</f>
        <v>Other</v>
      </c>
    </row>
    <row r="12723" spans="1:7" x14ac:dyDescent="0.25">
      <c r="A12723">
        <v>121513</v>
      </c>
      <c r="B12723" t="s">
        <v>4</v>
      </c>
      <c r="C12723">
        <v>3</v>
      </c>
      <c r="D12723" t="s">
        <v>5</v>
      </c>
      <c r="F12723" t="str" cm="1">
        <f t="array" ref="F12723">CategorizeComment(E12723)</f>
        <v>Other</v>
      </c>
      <c r="G12723" t="str" cm="1">
        <f t="array" ref="G12723">SubCategorizeComment(E12723)</f>
        <v>Other</v>
      </c>
    </row>
    <row r="12724" spans="1:7" x14ac:dyDescent="0.25">
      <c r="A12724">
        <v>121539</v>
      </c>
      <c r="B12724" t="s">
        <v>4</v>
      </c>
      <c r="C12724">
        <v>4</v>
      </c>
      <c r="D12724" t="s">
        <v>5</v>
      </c>
      <c r="F12724" t="str" cm="1">
        <f t="array" ref="F12724">CategorizeComment(E12724)</f>
        <v>Other</v>
      </c>
      <c r="G12724" t="str" cm="1">
        <f t="array" ref="G12724">SubCategorizeComment(E12724)</f>
        <v>Other</v>
      </c>
    </row>
    <row r="12725" spans="1:7" x14ac:dyDescent="0.25">
      <c r="A12725">
        <v>121544</v>
      </c>
      <c r="B12725" t="s">
        <v>4</v>
      </c>
      <c r="C12725">
        <v>4</v>
      </c>
      <c r="D12725" t="s">
        <v>5</v>
      </c>
      <c r="F12725" t="str" cm="1">
        <f t="array" ref="F12725">CategorizeComment(E12725)</f>
        <v>Other</v>
      </c>
      <c r="G12725" t="str" cm="1">
        <f t="array" ref="G12725">SubCategorizeComment(E12725)</f>
        <v>Other</v>
      </c>
    </row>
    <row r="12726" spans="1:7" x14ac:dyDescent="0.25">
      <c r="A12726">
        <v>121561</v>
      </c>
      <c r="B12726" t="s">
        <v>4</v>
      </c>
      <c r="C12726">
        <v>4</v>
      </c>
      <c r="D12726" t="s">
        <v>5</v>
      </c>
      <c r="F12726" t="str" cm="1">
        <f t="array" ref="F12726">CategorizeComment(E12726)</f>
        <v>Other</v>
      </c>
      <c r="G12726" t="str" cm="1">
        <f t="array" ref="G12726">SubCategorizeComment(E12726)</f>
        <v>Other</v>
      </c>
    </row>
    <row r="12727" spans="1:7" x14ac:dyDescent="0.25">
      <c r="A12727">
        <v>121564</v>
      </c>
      <c r="B12727" t="s">
        <v>4</v>
      </c>
      <c r="C12727">
        <v>4</v>
      </c>
      <c r="D12727" t="s">
        <v>5</v>
      </c>
      <c r="F12727" t="str" cm="1">
        <f t="array" ref="F12727">CategorizeComment(E12727)</f>
        <v>Other</v>
      </c>
      <c r="G12727" t="str" cm="1">
        <f t="array" ref="G12727">SubCategorizeComment(E12727)</f>
        <v>Other</v>
      </c>
    </row>
    <row r="12728" spans="1:7" x14ac:dyDescent="0.25">
      <c r="A12728">
        <v>121577</v>
      </c>
      <c r="B12728" t="s">
        <v>4</v>
      </c>
      <c r="C12728">
        <v>4</v>
      </c>
      <c r="D12728" t="s">
        <v>5</v>
      </c>
      <c r="F12728" t="str" cm="1">
        <f t="array" ref="F12728">CategorizeComment(E12728)</f>
        <v>Other</v>
      </c>
      <c r="G12728" t="str" cm="1">
        <f t="array" ref="G12728">SubCategorizeComment(E12728)</f>
        <v>Other</v>
      </c>
    </row>
    <row r="12729" spans="1:7" x14ac:dyDescent="0.25">
      <c r="A12729">
        <v>121583</v>
      </c>
      <c r="B12729" t="s">
        <v>4</v>
      </c>
      <c r="C12729">
        <v>4</v>
      </c>
      <c r="D12729" t="s">
        <v>5</v>
      </c>
      <c r="F12729" t="str" cm="1">
        <f t="array" ref="F12729">CategorizeComment(E12729)</f>
        <v>Other</v>
      </c>
      <c r="G12729" t="str" cm="1">
        <f t="array" ref="G12729">SubCategorizeComment(E12729)</f>
        <v>Other</v>
      </c>
    </row>
    <row r="12730" spans="1:7" x14ac:dyDescent="0.25">
      <c r="A12730">
        <v>121611</v>
      </c>
      <c r="B12730" t="s">
        <v>4</v>
      </c>
      <c r="C12730">
        <v>4</v>
      </c>
      <c r="D12730" t="s">
        <v>5</v>
      </c>
      <c r="F12730" t="str" cm="1">
        <f t="array" ref="F12730">CategorizeComment(E12730)</f>
        <v>Other</v>
      </c>
      <c r="G12730" t="str" cm="1">
        <f t="array" ref="G12730">SubCategorizeComment(E12730)</f>
        <v>Other</v>
      </c>
    </row>
    <row r="12731" spans="1:7" x14ac:dyDescent="0.25">
      <c r="A12731">
        <v>121624</v>
      </c>
      <c r="B12731" t="s">
        <v>4</v>
      </c>
      <c r="C12731">
        <v>3</v>
      </c>
      <c r="D12731" t="s">
        <v>5</v>
      </c>
      <c r="F12731" t="str" cm="1">
        <f t="array" ref="F12731">CategorizeComment(E12731)</f>
        <v>Other</v>
      </c>
      <c r="G12731" t="str" cm="1">
        <f t="array" ref="G12731">SubCategorizeComment(E12731)</f>
        <v>Other</v>
      </c>
    </row>
    <row r="12732" spans="1:7" x14ac:dyDescent="0.25">
      <c r="A12732">
        <v>121638</v>
      </c>
      <c r="B12732" t="s">
        <v>4</v>
      </c>
      <c r="C12732">
        <v>4</v>
      </c>
      <c r="D12732" t="s">
        <v>5</v>
      </c>
      <c r="F12732" t="str" cm="1">
        <f t="array" ref="F12732">CategorizeComment(E12732)</f>
        <v>Other</v>
      </c>
      <c r="G12732" t="str" cm="1">
        <f t="array" ref="G12732">SubCategorizeComment(E12732)</f>
        <v>Other</v>
      </c>
    </row>
    <row r="12733" spans="1:7" x14ac:dyDescent="0.25">
      <c r="A12733">
        <v>121647</v>
      </c>
      <c r="B12733" t="s">
        <v>4</v>
      </c>
      <c r="C12733">
        <v>4</v>
      </c>
      <c r="D12733" t="s">
        <v>5</v>
      </c>
      <c r="F12733" t="str" cm="1">
        <f t="array" ref="F12733">CategorizeComment(E12733)</f>
        <v>Other</v>
      </c>
      <c r="G12733" t="str" cm="1">
        <f t="array" ref="G12733">SubCategorizeComment(E12733)</f>
        <v>Other</v>
      </c>
    </row>
    <row r="12734" spans="1:7" x14ac:dyDescent="0.25">
      <c r="A12734">
        <v>121672</v>
      </c>
      <c r="B12734" t="s">
        <v>4</v>
      </c>
      <c r="C12734">
        <v>4</v>
      </c>
      <c r="D12734" t="s">
        <v>5</v>
      </c>
      <c r="F12734" t="str" cm="1">
        <f t="array" ref="F12734">CategorizeComment(E12734)</f>
        <v>Other</v>
      </c>
      <c r="G12734" t="str" cm="1">
        <f t="array" ref="G12734">SubCategorizeComment(E12734)</f>
        <v>Other</v>
      </c>
    </row>
    <row r="12735" spans="1:7" x14ac:dyDescent="0.25">
      <c r="A12735">
        <v>121690</v>
      </c>
      <c r="B12735" t="s">
        <v>4</v>
      </c>
      <c r="C12735">
        <v>3</v>
      </c>
      <c r="D12735" t="s">
        <v>5</v>
      </c>
      <c r="F12735" t="str" cm="1">
        <f t="array" ref="F12735">CategorizeComment(E12735)</f>
        <v>Other</v>
      </c>
      <c r="G12735" t="str" cm="1">
        <f t="array" ref="G12735">SubCategorizeComment(E12735)</f>
        <v>Other</v>
      </c>
    </row>
    <row r="12736" spans="1:7" x14ac:dyDescent="0.25">
      <c r="A12736">
        <v>121693</v>
      </c>
      <c r="B12736" t="s">
        <v>4</v>
      </c>
      <c r="C12736">
        <v>3</v>
      </c>
      <c r="D12736" t="s">
        <v>5</v>
      </c>
      <c r="F12736" t="str" cm="1">
        <f t="array" ref="F12736">CategorizeComment(E12736)</f>
        <v>Other</v>
      </c>
      <c r="G12736" t="str" cm="1">
        <f t="array" ref="G12736">SubCategorizeComment(E12736)</f>
        <v>Other</v>
      </c>
    </row>
    <row r="12737" spans="1:7" x14ac:dyDescent="0.25">
      <c r="A12737">
        <v>121776</v>
      </c>
      <c r="B12737" t="s">
        <v>4</v>
      </c>
      <c r="C12737">
        <v>3</v>
      </c>
      <c r="D12737" t="s">
        <v>5</v>
      </c>
      <c r="F12737" t="str" cm="1">
        <f t="array" ref="F12737">CategorizeComment(E12737)</f>
        <v>Other</v>
      </c>
      <c r="G12737" t="str" cm="1">
        <f t="array" ref="G12737">SubCategorizeComment(E12737)</f>
        <v>Other</v>
      </c>
    </row>
    <row r="12738" spans="1:7" x14ac:dyDescent="0.25">
      <c r="A12738">
        <v>121794</v>
      </c>
      <c r="B12738" t="s">
        <v>4</v>
      </c>
      <c r="C12738">
        <v>3</v>
      </c>
      <c r="D12738" t="s">
        <v>5</v>
      </c>
      <c r="F12738" t="str" cm="1">
        <f t="array" ref="F12738">CategorizeComment(E12738)</f>
        <v>Other</v>
      </c>
      <c r="G12738" t="str" cm="1">
        <f t="array" ref="G12738">SubCategorizeComment(E12738)</f>
        <v>Other</v>
      </c>
    </row>
    <row r="12739" spans="1:7" x14ac:dyDescent="0.25">
      <c r="A12739">
        <v>121795</v>
      </c>
      <c r="B12739" t="s">
        <v>4</v>
      </c>
      <c r="C12739">
        <v>4</v>
      </c>
      <c r="D12739" t="s">
        <v>5</v>
      </c>
      <c r="F12739" t="str" cm="1">
        <f t="array" ref="F12739">CategorizeComment(E12739)</f>
        <v>Other</v>
      </c>
      <c r="G12739" t="str" cm="1">
        <f t="array" ref="G12739">SubCategorizeComment(E12739)</f>
        <v>Other</v>
      </c>
    </row>
    <row r="12740" spans="1:7" x14ac:dyDescent="0.25">
      <c r="A12740">
        <v>121837</v>
      </c>
      <c r="B12740" t="s">
        <v>4</v>
      </c>
      <c r="C12740">
        <v>3</v>
      </c>
      <c r="D12740" t="s">
        <v>5</v>
      </c>
      <c r="F12740" t="str" cm="1">
        <f t="array" ref="F12740">CategorizeComment(E12740)</f>
        <v>Other</v>
      </c>
      <c r="G12740" t="str" cm="1">
        <f t="array" ref="G12740">SubCategorizeComment(E12740)</f>
        <v>Other</v>
      </c>
    </row>
    <row r="12741" spans="1:7" x14ac:dyDescent="0.25">
      <c r="A12741">
        <v>121838</v>
      </c>
      <c r="B12741" t="s">
        <v>4</v>
      </c>
      <c r="C12741">
        <v>3</v>
      </c>
      <c r="D12741" t="s">
        <v>5</v>
      </c>
      <c r="F12741" t="str" cm="1">
        <f t="array" ref="F12741">CategorizeComment(E12741)</f>
        <v>Other</v>
      </c>
      <c r="G12741" t="str" cm="1">
        <f t="array" ref="G12741">SubCategorizeComment(E12741)</f>
        <v>Other</v>
      </c>
    </row>
    <row r="12742" spans="1:7" x14ac:dyDescent="0.25">
      <c r="A12742">
        <v>121840</v>
      </c>
      <c r="B12742" t="s">
        <v>4</v>
      </c>
      <c r="C12742">
        <v>4</v>
      </c>
      <c r="D12742" t="s">
        <v>5</v>
      </c>
      <c r="F12742" t="str" cm="1">
        <f t="array" ref="F12742">CategorizeComment(E12742)</f>
        <v>Other</v>
      </c>
      <c r="G12742" t="str" cm="1">
        <f t="array" ref="G12742">SubCategorizeComment(E12742)</f>
        <v>Other</v>
      </c>
    </row>
    <row r="12743" spans="1:7" x14ac:dyDescent="0.25">
      <c r="A12743">
        <v>121843</v>
      </c>
      <c r="B12743" t="s">
        <v>4</v>
      </c>
      <c r="C12743">
        <v>3</v>
      </c>
      <c r="D12743" t="s">
        <v>5</v>
      </c>
      <c r="F12743" t="str" cm="1">
        <f t="array" ref="F12743">CategorizeComment(E12743)</f>
        <v>Other</v>
      </c>
      <c r="G12743" t="str" cm="1">
        <f t="array" ref="G12743">SubCategorizeComment(E12743)</f>
        <v>Other</v>
      </c>
    </row>
    <row r="12744" spans="1:7" x14ac:dyDescent="0.25">
      <c r="A12744">
        <v>121852</v>
      </c>
      <c r="B12744" t="s">
        <v>4</v>
      </c>
      <c r="C12744">
        <v>3</v>
      </c>
      <c r="D12744" t="s">
        <v>5</v>
      </c>
      <c r="F12744" t="str" cm="1">
        <f t="array" ref="F12744">CategorizeComment(E12744)</f>
        <v>Other</v>
      </c>
      <c r="G12744" t="str" cm="1">
        <f t="array" ref="G12744">SubCategorizeComment(E12744)</f>
        <v>Other</v>
      </c>
    </row>
    <row r="12745" spans="1:7" x14ac:dyDescent="0.25">
      <c r="A12745">
        <v>121856</v>
      </c>
      <c r="B12745" t="s">
        <v>4</v>
      </c>
      <c r="C12745">
        <v>3</v>
      </c>
      <c r="D12745" t="s">
        <v>5</v>
      </c>
      <c r="F12745" t="str" cm="1">
        <f t="array" ref="F12745">CategorizeComment(E12745)</f>
        <v>Other</v>
      </c>
      <c r="G12745" t="str" cm="1">
        <f t="array" ref="G12745">SubCategorizeComment(E12745)</f>
        <v>Other</v>
      </c>
    </row>
    <row r="12746" spans="1:7" x14ac:dyDescent="0.25">
      <c r="A12746">
        <v>121870</v>
      </c>
      <c r="B12746" t="s">
        <v>4</v>
      </c>
      <c r="C12746">
        <v>3</v>
      </c>
      <c r="D12746" t="s">
        <v>5</v>
      </c>
      <c r="F12746" t="str" cm="1">
        <f t="array" ref="F12746">CategorizeComment(E12746)</f>
        <v>Other</v>
      </c>
      <c r="G12746" t="str" cm="1">
        <f t="array" ref="G12746">SubCategorizeComment(E12746)</f>
        <v>Other</v>
      </c>
    </row>
    <row r="12747" spans="1:7" x14ac:dyDescent="0.25">
      <c r="A12747">
        <v>121873</v>
      </c>
      <c r="B12747" t="s">
        <v>4</v>
      </c>
      <c r="C12747">
        <v>4</v>
      </c>
      <c r="D12747" t="s">
        <v>5</v>
      </c>
      <c r="F12747" t="str" cm="1">
        <f t="array" ref="F12747">CategorizeComment(E12747)</f>
        <v>Other</v>
      </c>
      <c r="G12747" t="str" cm="1">
        <f t="array" ref="G12747">SubCategorizeComment(E12747)</f>
        <v>Other</v>
      </c>
    </row>
    <row r="12748" spans="1:7" x14ac:dyDescent="0.25">
      <c r="A12748">
        <v>121884</v>
      </c>
      <c r="B12748" t="s">
        <v>4</v>
      </c>
      <c r="C12748">
        <v>3</v>
      </c>
      <c r="D12748" t="s">
        <v>5</v>
      </c>
      <c r="F12748" t="str" cm="1">
        <f t="array" ref="F12748">CategorizeComment(E12748)</f>
        <v>Other</v>
      </c>
      <c r="G12748" t="str" cm="1">
        <f t="array" ref="G12748">SubCategorizeComment(E12748)</f>
        <v>Other</v>
      </c>
    </row>
    <row r="12749" spans="1:7" x14ac:dyDescent="0.25">
      <c r="A12749">
        <v>121888</v>
      </c>
      <c r="B12749" t="s">
        <v>4</v>
      </c>
      <c r="C12749">
        <v>4</v>
      </c>
      <c r="D12749" t="s">
        <v>5</v>
      </c>
      <c r="F12749" t="str" cm="1">
        <f t="array" ref="F12749">CategorizeComment(E12749)</f>
        <v>Other</v>
      </c>
      <c r="G12749" t="str" cm="1">
        <f t="array" ref="G12749">SubCategorizeComment(E12749)</f>
        <v>Other</v>
      </c>
    </row>
    <row r="12750" spans="1:7" x14ac:dyDescent="0.25">
      <c r="A12750">
        <v>121892</v>
      </c>
      <c r="B12750" t="s">
        <v>4</v>
      </c>
      <c r="C12750">
        <v>3</v>
      </c>
      <c r="D12750" t="s">
        <v>5</v>
      </c>
      <c r="F12750" t="str" cm="1">
        <f t="array" ref="F12750">CategorizeComment(E12750)</f>
        <v>Other</v>
      </c>
      <c r="G12750" t="str" cm="1">
        <f t="array" ref="G12750">SubCategorizeComment(E12750)</f>
        <v>Other</v>
      </c>
    </row>
    <row r="12751" spans="1:7" x14ac:dyDescent="0.25">
      <c r="A12751">
        <v>121894</v>
      </c>
      <c r="B12751" t="s">
        <v>4</v>
      </c>
      <c r="C12751">
        <v>3</v>
      </c>
      <c r="D12751" t="s">
        <v>5</v>
      </c>
      <c r="F12751" t="str" cm="1">
        <f t="array" ref="F12751">CategorizeComment(E12751)</f>
        <v>Other</v>
      </c>
      <c r="G12751" t="str" cm="1">
        <f t="array" ref="G12751">SubCategorizeComment(E12751)</f>
        <v>Other</v>
      </c>
    </row>
    <row r="12752" spans="1:7" x14ac:dyDescent="0.25">
      <c r="A12752">
        <v>121895</v>
      </c>
      <c r="B12752" t="s">
        <v>4</v>
      </c>
      <c r="C12752">
        <v>3</v>
      </c>
      <c r="D12752" t="s">
        <v>5</v>
      </c>
      <c r="F12752" t="str" cm="1">
        <f t="array" ref="F12752">CategorizeComment(E12752)</f>
        <v>Other</v>
      </c>
      <c r="G12752" t="str" cm="1">
        <f t="array" ref="G12752">SubCategorizeComment(E12752)</f>
        <v>Other</v>
      </c>
    </row>
    <row r="12753" spans="1:7" x14ac:dyDescent="0.25">
      <c r="A12753">
        <v>121900</v>
      </c>
      <c r="B12753" t="s">
        <v>4</v>
      </c>
      <c r="C12753">
        <v>3</v>
      </c>
      <c r="D12753" t="s">
        <v>5</v>
      </c>
      <c r="F12753" t="str" cm="1">
        <f t="array" ref="F12753">CategorizeComment(E12753)</f>
        <v>Other</v>
      </c>
      <c r="G12753" t="str" cm="1">
        <f t="array" ref="G12753">SubCategorizeComment(E12753)</f>
        <v>Other</v>
      </c>
    </row>
    <row r="12754" spans="1:7" x14ac:dyDescent="0.25">
      <c r="A12754">
        <v>121907</v>
      </c>
      <c r="B12754" t="s">
        <v>4</v>
      </c>
      <c r="C12754">
        <v>3</v>
      </c>
      <c r="D12754" t="s">
        <v>5</v>
      </c>
      <c r="F12754" t="str" cm="1">
        <f t="array" ref="F12754">CategorizeComment(E12754)</f>
        <v>Other</v>
      </c>
      <c r="G12754" t="str" cm="1">
        <f t="array" ref="G12754">SubCategorizeComment(E12754)</f>
        <v>Other</v>
      </c>
    </row>
    <row r="12755" spans="1:7" x14ac:dyDescent="0.25">
      <c r="A12755">
        <v>121908</v>
      </c>
      <c r="B12755" t="s">
        <v>4</v>
      </c>
      <c r="C12755">
        <v>4</v>
      </c>
      <c r="D12755" t="s">
        <v>5</v>
      </c>
      <c r="F12755" t="str" cm="1">
        <f t="array" ref="F12755">CategorizeComment(E12755)</f>
        <v>Other</v>
      </c>
      <c r="G12755" t="str" cm="1">
        <f t="array" ref="G12755">SubCategorizeComment(E12755)</f>
        <v>Other</v>
      </c>
    </row>
    <row r="12756" spans="1:7" x14ac:dyDescent="0.25">
      <c r="A12756">
        <v>121910</v>
      </c>
      <c r="B12756" t="s">
        <v>4</v>
      </c>
      <c r="C12756">
        <v>4</v>
      </c>
      <c r="D12756" t="s">
        <v>5</v>
      </c>
      <c r="F12756" t="str" cm="1">
        <f t="array" ref="F12756">CategorizeComment(E12756)</f>
        <v>Other</v>
      </c>
      <c r="G12756" t="str" cm="1">
        <f t="array" ref="G12756">SubCategorizeComment(E12756)</f>
        <v>Other</v>
      </c>
    </row>
    <row r="12757" spans="1:7" x14ac:dyDescent="0.25">
      <c r="A12757">
        <v>121917</v>
      </c>
      <c r="B12757" t="s">
        <v>4</v>
      </c>
      <c r="C12757">
        <v>3</v>
      </c>
      <c r="D12757" t="s">
        <v>5</v>
      </c>
      <c r="F12757" t="str" cm="1">
        <f t="array" ref="F12757">CategorizeComment(E12757)</f>
        <v>Other</v>
      </c>
      <c r="G12757" t="str" cm="1">
        <f t="array" ref="G12757">SubCategorizeComment(E12757)</f>
        <v>Other</v>
      </c>
    </row>
    <row r="12758" spans="1:7" x14ac:dyDescent="0.25">
      <c r="A12758">
        <v>121918</v>
      </c>
      <c r="B12758" t="s">
        <v>4</v>
      </c>
      <c r="C12758">
        <v>4</v>
      </c>
      <c r="D12758" t="s">
        <v>5</v>
      </c>
      <c r="F12758" t="str" cm="1">
        <f t="array" ref="F12758">CategorizeComment(E12758)</f>
        <v>Other</v>
      </c>
      <c r="G12758" t="str" cm="1">
        <f t="array" ref="G12758">SubCategorizeComment(E12758)</f>
        <v>Other</v>
      </c>
    </row>
    <row r="12759" spans="1:7" x14ac:dyDescent="0.25">
      <c r="A12759">
        <v>121934</v>
      </c>
      <c r="B12759" t="s">
        <v>4</v>
      </c>
      <c r="C12759">
        <v>4</v>
      </c>
      <c r="D12759" t="s">
        <v>5</v>
      </c>
      <c r="F12759" t="str" cm="1">
        <f t="array" ref="F12759">CategorizeComment(E12759)</f>
        <v>Other</v>
      </c>
      <c r="G12759" t="str" cm="1">
        <f t="array" ref="G12759">SubCategorizeComment(E12759)</f>
        <v>Other</v>
      </c>
    </row>
    <row r="12760" spans="1:7" x14ac:dyDescent="0.25">
      <c r="A12760">
        <v>121956</v>
      </c>
      <c r="B12760" t="s">
        <v>4</v>
      </c>
      <c r="C12760">
        <v>4</v>
      </c>
      <c r="D12760" t="s">
        <v>5</v>
      </c>
      <c r="F12760" t="str" cm="1">
        <f t="array" ref="F12760">CategorizeComment(E12760)</f>
        <v>Other</v>
      </c>
      <c r="G12760" t="str" cm="1">
        <f t="array" ref="G12760">SubCategorizeComment(E12760)</f>
        <v>Other</v>
      </c>
    </row>
    <row r="12761" spans="1:7" x14ac:dyDescent="0.25">
      <c r="A12761">
        <v>121960</v>
      </c>
      <c r="B12761" t="s">
        <v>4</v>
      </c>
      <c r="C12761">
        <v>3</v>
      </c>
      <c r="D12761" t="s">
        <v>5</v>
      </c>
      <c r="F12761" t="str" cm="1">
        <f t="array" ref="F12761">CategorizeComment(E12761)</f>
        <v>Other</v>
      </c>
      <c r="G12761" t="str" cm="1">
        <f t="array" ref="G12761">SubCategorizeComment(E12761)</f>
        <v>Other</v>
      </c>
    </row>
    <row r="12762" spans="1:7" x14ac:dyDescent="0.25">
      <c r="A12762">
        <v>121961</v>
      </c>
      <c r="B12762" t="s">
        <v>4</v>
      </c>
      <c r="C12762">
        <v>4</v>
      </c>
      <c r="D12762" t="s">
        <v>5</v>
      </c>
      <c r="F12762" t="str" cm="1">
        <f t="array" ref="F12762">CategorizeComment(E12762)</f>
        <v>Other</v>
      </c>
      <c r="G12762" t="str" cm="1">
        <f t="array" ref="G12762">SubCategorizeComment(E12762)</f>
        <v>Other</v>
      </c>
    </row>
    <row r="12763" spans="1:7" x14ac:dyDescent="0.25">
      <c r="A12763">
        <v>121965</v>
      </c>
      <c r="B12763" t="s">
        <v>4</v>
      </c>
      <c r="C12763">
        <v>4</v>
      </c>
      <c r="D12763" t="s">
        <v>5</v>
      </c>
      <c r="F12763" t="str" cm="1">
        <f t="array" ref="F12763">CategorizeComment(E12763)</f>
        <v>Other</v>
      </c>
      <c r="G12763" t="str" cm="1">
        <f t="array" ref="G12763">SubCategorizeComment(E12763)</f>
        <v>Other</v>
      </c>
    </row>
    <row r="12764" spans="1:7" x14ac:dyDescent="0.25">
      <c r="A12764">
        <v>121972</v>
      </c>
      <c r="B12764" t="s">
        <v>4</v>
      </c>
      <c r="C12764">
        <v>4</v>
      </c>
      <c r="D12764" t="s">
        <v>5</v>
      </c>
      <c r="F12764" t="str" cm="1">
        <f t="array" ref="F12764">CategorizeComment(E12764)</f>
        <v>Other</v>
      </c>
      <c r="G12764" t="str" cm="1">
        <f t="array" ref="G12764">SubCategorizeComment(E12764)</f>
        <v>Other</v>
      </c>
    </row>
    <row r="12765" spans="1:7" x14ac:dyDescent="0.25">
      <c r="A12765">
        <v>121986</v>
      </c>
      <c r="B12765" t="s">
        <v>4</v>
      </c>
      <c r="C12765">
        <v>4</v>
      </c>
      <c r="D12765" t="s">
        <v>5</v>
      </c>
      <c r="F12765" t="str" cm="1">
        <f t="array" ref="F12765">CategorizeComment(E12765)</f>
        <v>Other</v>
      </c>
      <c r="G12765" t="str" cm="1">
        <f t="array" ref="G12765">SubCategorizeComment(E12765)</f>
        <v>Other</v>
      </c>
    </row>
    <row r="12766" spans="1:7" x14ac:dyDescent="0.25">
      <c r="A12766">
        <v>121994</v>
      </c>
      <c r="B12766" t="s">
        <v>4</v>
      </c>
      <c r="C12766">
        <v>3</v>
      </c>
      <c r="D12766" t="s">
        <v>5</v>
      </c>
      <c r="F12766" t="str" cm="1">
        <f t="array" ref="F12766">CategorizeComment(E12766)</f>
        <v>Other</v>
      </c>
      <c r="G12766" t="str" cm="1">
        <f t="array" ref="G12766">SubCategorizeComment(E12766)</f>
        <v>Other</v>
      </c>
    </row>
    <row r="12767" spans="1:7" x14ac:dyDescent="0.25">
      <c r="A12767">
        <v>122007</v>
      </c>
      <c r="B12767" t="s">
        <v>4</v>
      </c>
      <c r="C12767">
        <v>4</v>
      </c>
      <c r="D12767" t="s">
        <v>5</v>
      </c>
      <c r="F12767" t="str" cm="1">
        <f t="array" ref="F12767">CategorizeComment(E12767)</f>
        <v>Other</v>
      </c>
      <c r="G12767" t="str" cm="1">
        <f t="array" ref="G12767">SubCategorizeComment(E12767)</f>
        <v>Other</v>
      </c>
    </row>
    <row r="12768" spans="1:7" x14ac:dyDescent="0.25">
      <c r="A12768">
        <v>122047</v>
      </c>
      <c r="B12768" t="s">
        <v>4</v>
      </c>
      <c r="C12768">
        <v>3</v>
      </c>
      <c r="D12768" t="s">
        <v>5</v>
      </c>
      <c r="F12768" t="str" cm="1">
        <f t="array" ref="F12768">CategorizeComment(E12768)</f>
        <v>Other</v>
      </c>
      <c r="G12768" t="str" cm="1">
        <f t="array" ref="G12768">SubCategorizeComment(E12768)</f>
        <v>Other</v>
      </c>
    </row>
    <row r="12769" spans="1:7" x14ac:dyDescent="0.25">
      <c r="A12769">
        <v>122056</v>
      </c>
      <c r="B12769" t="s">
        <v>4</v>
      </c>
      <c r="C12769">
        <v>4</v>
      </c>
      <c r="D12769" t="s">
        <v>5</v>
      </c>
      <c r="F12769" t="str" cm="1">
        <f t="array" ref="F12769">CategorizeComment(E12769)</f>
        <v>Other</v>
      </c>
      <c r="G12769" t="str" cm="1">
        <f t="array" ref="G12769">SubCategorizeComment(E12769)</f>
        <v>Other</v>
      </c>
    </row>
    <row r="12770" spans="1:7" x14ac:dyDescent="0.25">
      <c r="A12770">
        <v>122060</v>
      </c>
      <c r="B12770" t="s">
        <v>4</v>
      </c>
      <c r="C12770">
        <v>3</v>
      </c>
      <c r="D12770" t="s">
        <v>5</v>
      </c>
      <c r="F12770" t="str" cm="1">
        <f t="array" ref="F12770">CategorizeComment(E12770)</f>
        <v>Other</v>
      </c>
      <c r="G12770" t="str" cm="1">
        <f t="array" ref="G12770">SubCategorizeComment(E12770)</f>
        <v>Other</v>
      </c>
    </row>
    <row r="12771" spans="1:7" x14ac:dyDescent="0.25">
      <c r="A12771">
        <v>122061</v>
      </c>
      <c r="B12771" t="s">
        <v>4</v>
      </c>
      <c r="C12771">
        <v>3</v>
      </c>
      <c r="D12771" t="s">
        <v>5</v>
      </c>
      <c r="F12771" t="str" cm="1">
        <f t="array" ref="F12771">CategorizeComment(E12771)</f>
        <v>Other</v>
      </c>
      <c r="G12771" t="str" cm="1">
        <f t="array" ref="G12771">SubCategorizeComment(E12771)</f>
        <v>Other</v>
      </c>
    </row>
    <row r="12772" spans="1:7" x14ac:dyDescent="0.25">
      <c r="A12772">
        <v>122066</v>
      </c>
      <c r="B12772" t="s">
        <v>4</v>
      </c>
      <c r="C12772">
        <v>3</v>
      </c>
      <c r="D12772" t="s">
        <v>5</v>
      </c>
      <c r="F12772" t="str" cm="1">
        <f t="array" ref="F12772">CategorizeComment(E12772)</f>
        <v>Other</v>
      </c>
      <c r="G12772" t="str" cm="1">
        <f t="array" ref="G12772">SubCategorizeComment(E12772)</f>
        <v>Other</v>
      </c>
    </row>
    <row r="12773" spans="1:7" x14ac:dyDescent="0.25">
      <c r="A12773">
        <v>122068</v>
      </c>
      <c r="B12773" t="s">
        <v>4</v>
      </c>
      <c r="C12773">
        <v>3</v>
      </c>
      <c r="D12773" t="s">
        <v>5</v>
      </c>
      <c r="F12773" t="str" cm="1">
        <f t="array" ref="F12773">CategorizeComment(E12773)</f>
        <v>Other</v>
      </c>
      <c r="G12773" t="str" cm="1">
        <f t="array" ref="G12773">SubCategorizeComment(E12773)</f>
        <v>Other</v>
      </c>
    </row>
    <row r="12774" spans="1:7" x14ac:dyDescent="0.25">
      <c r="A12774">
        <v>122081</v>
      </c>
      <c r="B12774" t="s">
        <v>4</v>
      </c>
      <c r="C12774">
        <v>4</v>
      </c>
      <c r="D12774" t="s">
        <v>5</v>
      </c>
      <c r="F12774" t="str" cm="1">
        <f t="array" ref="F12774">CategorizeComment(E12774)</f>
        <v>Other</v>
      </c>
      <c r="G12774" t="str" cm="1">
        <f t="array" ref="G12774">SubCategorizeComment(E12774)</f>
        <v>Other</v>
      </c>
    </row>
    <row r="12775" spans="1:7" x14ac:dyDescent="0.25">
      <c r="A12775">
        <v>122107</v>
      </c>
      <c r="B12775" t="s">
        <v>4</v>
      </c>
      <c r="C12775">
        <v>3</v>
      </c>
      <c r="D12775" t="s">
        <v>5</v>
      </c>
      <c r="F12775" t="str" cm="1">
        <f t="array" ref="F12775">CategorizeComment(E12775)</f>
        <v>Other</v>
      </c>
      <c r="G12775" t="str" cm="1">
        <f t="array" ref="G12775">SubCategorizeComment(E12775)</f>
        <v>Other</v>
      </c>
    </row>
    <row r="12776" spans="1:7" x14ac:dyDescent="0.25">
      <c r="A12776">
        <v>122109</v>
      </c>
      <c r="B12776" t="s">
        <v>4</v>
      </c>
      <c r="C12776">
        <v>4</v>
      </c>
      <c r="D12776" t="s">
        <v>5</v>
      </c>
      <c r="F12776" t="str" cm="1">
        <f t="array" ref="F12776">CategorizeComment(E12776)</f>
        <v>Other</v>
      </c>
      <c r="G12776" t="str" cm="1">
        <f t="array" ref="G12776">SubCategorizeComment(E12776)</f>
        <v>Other</v>
      </c>
    </row>
    <row r="12777" spans="1:7" x14ac:dyDescent="0.25">
      <c r="A12777">
        <v>122129</v>
      </c>
      <c r="B12777" t="s">
        <v>4</v>
      </c>
      <c r="C12777">
        <v>4</v>
      </c>
      <c r="D12777" t="s">
        <v>5</v>
      </c>
      <c r="F12777" t="str" cm="1">
        <f t="array" ref="F12777">CategorizeComment(E12777)</f>
        <v>Other</v>
      </c>
      <c r="G12777" t="str" cm="1">
        <f t="array" ref="G12777">SubCategorizeComment(E12777)</f>
        <v>Other</v>
      </c>
    </row>
    <row r="12778" spans="1:7" x14ac:dyDescent="0.25">
      <c r="A12778">
        <v>122133</v>
      </c>
      <c r="B12778" t="s">
        <v>4</v>
      </c>
      <c r="C12778">
        <v>4</v>
      </c>
      <c r="D12778" t="s">
        <v>5</v>
      </c>
      <c r="F12778" t="str" cm="1">
        <f t="array" ref="F12778">CategorizeComment(E12778)</f>
        <v>Other</v>
      </c>
      <c r="G12778" t="str" cm="1">
        <f t="array" ref="G12778">SubCategorizeComment(E12778)</f>
        <v>Other</v>
      </c>
    </row>
    <row r="12779" spans="1:7" x14ac:dyDescent="0.25">
      <c r="A12779">
        <v>122134</v>
      </c>
      <c r="B12779" t="s">
        <v>4</v>
      </c>
      <c r="C12779">
        <v>3</v>
      </c>
      <c r="D12779" t="s">
        <v>5</v>
      </c>
      <c r="F12779" t="str" cm="1">
        <f t="array" ref="F12779">CategorizeComment(E12779)</f>
        <v>Other</v>
      </c>
      <c r="G12779" t="str" cm="1">
        <f t="array" ref="G12779">SubCategorizeComment(E12779)</f>
        <v>Other</v>
      </c>
    </row>
    <row r="12780" spans="1:7" x14ac:dyDescent="0.25">
      <c r="A12780">
        <v>122177</v>
      </c>
      <c r="B12780" t="s">
        <v>4</v>
      </c>
      <c r="C12780">
        <v>3</v>
      </c>
      <c r="D12780" t="s">
        <v>5</v>
      </c>
      <c r="F12780" t="str" cm="1">
        <f t="array" ref="F12780">CategorizeComment(E12780)</f>
        <v>Other</v>
      </c>
      <c r="G12780" t="str" cm="1">
        <f t="array" ref="G12780">SubCategorizeComment(E12780)</f>
        <v>Other</v>
      </c>
    </row>
    <row r="12781" spans="1:7" x14ac:dyDescent="0.25">
      <c r="A12781">
        <v>122219</v>
      </c>
      <c r="B12781" t="s">
        <v>4</v>
      </c>
      <c r="C12781">
        <v>3</v>
      </c>
      <c r="D12781" t="s">
        <v>5</v>
      </c>
      <c r="F12781" t="str" cm="1">
        <f t="array" ref="F12781">CategorizeComment(E12781)</f>
        <v>Other</v>
      </c>
      <c r="G12781" t="str" cm="1">
        <f t="array" ref="G12781">SubCategorizeComment(E12781)</f>
        <v>Other</v>
      </c>
    </row>
    <row r="12782" spans="1:7" x14ac:dyDescent="0.25">
      <c r="A12782">
        <v>122220</v>
      </c>
      <c r="B12782" t="s">
        <v>4</v>
      </c>
      <c r="C12782">
        <v>3</v>
      </c>
      <c r="D12782" t="s">
        <v>5</v>
      </c>
      <c r="F12782" t="str" cm="1">
        <f t="array" ref="F12782">CategorizeComment(E12782)</f>
        <v>Other</v>
      </c>
      <c r="G12782" t="str" cm="1">
        <f t="array" ref="G12782">SubCategorizeComment(E12782)</f>
        <v>Other</v>
      </c>
    </row>
    <row r="12783" spans="1:7" x14ac:dyDescent="0.25">
      <c r="A12783">
        <v>122227</v>
      </c>
      <c r="B12783" t="s">
        <v>4</v>
      </c>
      <c r="C12783">
        <v>4</v>
      </c>
      <c r="D12783" t="s">
        <v>5</v>
      </c>
      <c r="F12783" t="str" cm="1">
        <f t="array" ref="F12783">CategorizeComment(E12783)</f>
        <v>Other</v>
      </c>
      <c r="G12783" t="str" cm="1">
        <f t="array" ref="G12783">SubCategorizeComment(E12783)</f>
        <v>Other</v>
      </c>
    </row>
    <row r="12784" spans="1:7" x14ac:dyDescent="0.25">
      <c r="A12784">
        <v>122232</v>
      </c>
      <c r="B12784" t="s">
        <v>4</v>
      </c>
      <c r="C12784">
        <v>4</v>
      </c>
      <c r="D12784" t="s">
        <v>5</v>
      </c>
      <c r="F12784" t="str" cm="1">
        <f t="array" ref="F12784">CategorizeComment(E12784)</f>
        <v>Other</v>
      </c>
      <c r="G12784" t="str" cm="1">
        <f t="array" ref="G12784">SubCategorizeComment(E12784)</f>
        <v>Other</v>
      </c>
    </row>
    <row r="12785" spans="1:7" x14ac:dyDescent="0.25">
      <c r="A12785">
        <v>122236</v>
      </c>
      <c r="B12785" t="s">
        <v>4</v>
      </c>
      <c r="C12785">
        <v>3</v>
      </c>
      <c r="D12785" t="s">
        <v>5</v>
      </c>
      <c r="F12785" t="str" cm="1">
        <f t="array" ref="F12785">CategorizeComment(E12785)</f>
        <v>Other</v>
      </c>
      <c r="G12785" t="str" cm="1">
        <f t="array" ref="G12785">SubCategorizeComment(E12785)</f>
        <v>Other</v>
      </c>
    </row>
    <row r="12786" spans="1:7" x14ac:dyDescent="0.25">
      <c r="A12786">
        <v>122238</v>
      </c>
      <c r="B12786" t="s">
        <v>4</v>
      </c>
      <c r="C12786">
        <v>4</v>
      </c>
      <c r="D12786" t="s">
        <v>5</v>
      </c>
      <c r="F12786" t="str" cm="1">
        <f t="array" ref="F12786">CategorizeComment(E12786)</f>
        <v>Other</v>
      </c>
      <c r="G12786" t="str" cm="1">
        <f t="array" ref="G12786">SubCategorizeComment(E12786)</f>
        <v>Other</v>
      </c>
    </row>
    <row r="12787" spans="1:7" x14ac:dyDescent="0.25">
      <c r="A12787">
        <v>122245</v>
      </c>
      <c r="B12787" t="s">
        <v>4</v>
      </c>
      <c r="C12787">
        <v>4</v>
      </c>
      <c r="D12787" t="s">
        <v>5</v>
      </c>
      <c r="F12787" t="str" cm="1">
        <f t="array" ref="F12787">CategorizeComment(E12787)</f>
        <v>Other</v>
      </c>
      <c r="G12787" t="str" cm="1">
        <f t="array" ref="G12787">SubCategorizeComment(E12787)</f>
        <v>Other</v>
      </c>
    </row>
    <row r="12788" spans="1:7" x14ac:dyDescent="0.25">
      <c r="A12788">
        <v>122246</v>
      </c>
      <c r="B12788" t="s">
        <v>4</v>
      </c>
      <c r="C12788">
        <v>3</v>
      </c>
      <c r="D12788" t="s">
        <v>5</v>
      </c>
      <c r="F12788" t="str" cm="1">
        <f t="array" ref="F12788">CategorizeComment(E12788)</f>
        <v>Other</v>
      </c>
      <c r="G12788" t="str" cm="1">
        <f t="array" ref="G12788">SubCategorizeComment(E12788)</f>
        <v>Other</v>
      </c>
    </row>
    <row r="12789" spans="1:7" x14ac:dyDescent="0.25">
      <c r="A12789">
        <v>122247</v>
      </c>
      <c r="B12789" t="s">
        <v>4</v>
      </c>
      <c r="C12789">
        <v>4</v>
      </c>
      <c r="D12789" t="s">
        <v>5</v>
      </c>
      <c r="F12789" t="str" cm="1">
        <f t="array" ref="F12789">CategorizeComment(E12789)</f>
        <v>Other</v>
      </c>
      <c r="G12789" t="str" cm="1">
        <f t="array" ref="G12789">SubCategorizeComment(E12789)</f>
        <v>Other</v>
      </c>
    </row>
    <row r="12790" spans="1:7" x14ac:dyDescent="0.25">
      <c r="A12790">
        <v>122248</v>
      </c>
      <c r="B12790" t="s">
        <v>4</v>
      </c>
      <c r="C12790">
        <v>4</v>
      </c>
      <c r="D12790" t="s">
        <v>5</v>
      </c>
      <c r="F12790" t="str" cm="1">
        <f t="array" ref="F12790">CategorizeComment(E12790)</f>
        <v>Other</v>
      </c>
      <c r="G12790" t="str" cm="1">
        <f t="array" ref="G12790">SubCategorizeComment(E12790)</f>
        <v>Other</v>
      </c>
    </row>
    <row r="12791" spans="1:7" x14ac:dyDescent="0.25">
      <c r="A12791">
        <v>122249</v>
      </c>
      <c r="B12791" t="s">
        <v>4</v>
      </c>
      <c r="C12791">
        <v>4</v>
      </c>
      <c r="D12791" t="s">
        <v>5</v>
      </c>
      <c r="F12791" t="str" cm="1">
        <f t="array" ref="F12791">CategorizeComment(E12791)</f>
        <v>Other</v>
      </c>
      <c r="G12791" t="str" cm="1">
        <f t="array" ref="G12791">SubCategorizeComment(E12791)</f>
        <v>Other</v>
      </c>
    </row>
    <row r="12792" spans="1:7" x14ac:dyDescent="0.25">
      <c r="A12792">
        <v>122273</v>
      </c>
      <c r="B12792" t="s">
        <v>4</v>
      </c>
      <c r="C12792">
        <v>3</v>
      </c>
      <c r="D12792" t="s">
        <v>5</v>
      </c>
      <c r="F12792" t="str" cm="1">
        <f t="array" ref="F12792">CategorizeComment(E12792)</f>
        <v>Other</v>
      </c>
      <c r="G12792" t="str" cm="1">
        <f t="array" ref="G12792">SubCategorizeComment(E12792)</f>
        <v>Other</v>
      </c>
    </row>
    <row r="12793" spans="1:7" x14ac:dyDescent="0.25">
      <c r="A12793">
        <v>122282</v>
      </c>
      <c r="B12793" t="s">
        <v>4</v>
      </c>
      <c r="C12793">
        <v>3</v>
      </c>
      <c r="D12793" t="s">
        <v>5</v>
      </c>
      <c r="F12793" t="str" cm="1">
        <f t="array" ref="F12793">CategorizeComment(E12793)</f>
        <v>Other</v>
      </c>
      <c r="G12793" t="str" cm="1">
        <f t="array" ref="G12793">SubCategorizeComment(E12793)</f>
        <v>Other</v>
      </c>
    </row>
    <row r="12794" spans="1:7" x14ac:dyDescent="0.25">
      <c r="A12794">
        <v>122283</v>
      </c>
      <c r="B12794" t="s">
        <v>4</v>
      </c>
      <c r="C12794">
        <v>4</v>
      </c>
      <c r="D12794" t="s">
        <v>5</v>
      </c>
      <c r="F12794" t="str" cm="1">
        <f t="array" ref="F12794">CategorizeComment(E12794)</f>
        <v>Other</v>
      </c>
      <c r="G12794" t="str" cm="1">
        <f t="array" ref="G12794">SubCategorizeComment(E12794)</f>
        <v>Other</v>
      </c>
    </row>
    <row r="12795" spans="1:7" x14ac:dyDescent="0.25">
      <c r="A12795">
        <v>122285</v>
      </c>
      <c r="B12795" t="s">
        <v>4</v>
      </c>
      <c r="C12795">
        <v>3</v>
      </c>
      <c r="D12795" t="s">
        <v>5</v>
      </c>
      <c r="F12795" t="str" cm="1">
        <f t="array" ref="F12795">CategorizeComment(E12795)</f>
        <v>Other</v>
      </c>
      <c r="G12795" t="str" cm="1">
        <f t="array" ref="G12795">SubCategorizeComment(E12795)</f>
        <v>Other</v>
      </c>
    </row>
    <row r="12796" spans="1:7" x14ac:dyDescent="0.25">
      <c r="A12796">
        <v>122289</v>
      </c>
      <c r="B12796" t="s">
        <v>4</v>
      </c>
      <c r="C12796">
        <v>4</v>
      </c>
      <c r="D12796" t="s">
        <v>5</v>
      </c>
      <c r="F12796" t="str" cm="1">
        <f t="array" ref="F12796">CategorizeComment(E12796)</f>
        <v>Other</v>
      </c>
      <c r="G12796" t="str" cm="1">
        <f t="array" ref="G12796">SubCategorizeComment(E12796)</f>
        <v>Other</v>
      </c>
    </row>
    <row r="12797" spans="1:7" x14ac:dyDescent="0.25">
      <c r="A12797">
        <v>122296</v>
      </c>
      <c r="B12797" t="s">
        <v>4</v>
      </c>
      <c r="C12797">
        <v>3</v>
      </c>
      <c r="D12797" t="s">
        <v>5</v>
      </c>
      <c r="F12797" t="str" cm="1">
        <f t="array" ref="F12797">CategorizeComment(E12797)</f>
        <v>Other</v>
      </c>
      <c r="G12797" t="str" cm="1">
        <f t="array" ref="G12797">SubCategorizeComment(E12797)</f>
        <v>Other</v>
      </c>
    </row>
    <row r="12798" spans="1:7" x14ac:dyDescent="0.25">
      <c r="A12798">
        <v>122298</v>
      </c>
      <c r="B12798" t="s">
        <v>4</v>
      </c>
      <c r="C12798">
        <v>4</v>
      </c>
      <c r="D12798" t="s">
        <v>5</v>
      </c>
      <c r="F12798" t="str" cm="1">
        <f t="array" ref="F12798">CategorizeComment(E12798)</f>
        <v>Other</v>
      </c>
      <c r="G12798" t="str" cm="1">
        <f t="array" ref="G12798">SubCategorizeComment(E12798)</f>
        <v>Other</v>
      </c>
    </row>
    <row r="12799" spans="1:7" x14ac:dyDescent="0.25">
      <c r="A12799">
        <v>122299</v>
      </c>
      <c r="B12799" t="s">
        <v>4</v>
      </c>
      <c r="C12799">
        <v>4</v>
      </c>
      <c r="D12799" t="s">
        <v>5</v>
      </c>
      <c r="F12799" t="str" cm="1">
        <f t="array" ref="F12799">CategorizeComment(E12799)</f>
        <v>Other</v>
      </c>
      <c r="G12799" t="str" cm="1">
        <f t="array" ref="G12799">SubCategorizeComment(E12799)</f>
        <v>Other</v>
      </c>
    </row>
    <row r="12800" spans="1:7" x14ac:dyDescent="0.25">
      <c r="A12800">
        <v>122303</v>
      </c>
      <c r="B12800" t="s">
        <v>4</v>
      </c>
      <c r="C12800">
        <v>3</v>
      </c>
      <c r="D12800" t="s">
        <v>5</v>
      </c>
      <c r="F12800" t="str" cm="1">
        <f t="array" ref="F12800">CategorizeComment(E12800)</f>
        <v>Other</v>
      </c>
      <c r="G12800" t="str" cm="1">
        <f t="array" ref="G12800">SubCategorizeComment(E12800)</f>
        <v>Other</v>
      </c>
    </row>
    <row r="12801" spans="1:7" x14ac:dyDescent="0.25">
      <c r="A12801">
        <v>122310</v>
      </c>
      <c r="B12801" t="s">
        <v>4</v>
      </c>
      <c r="C12801">
        <v>4</v>
      </c>
      <c r="D12801" t="s">
        <v>5</v>
      </c>
      <c r="F12801" t="str" cm="1">
        <f t="array" ref="F12801">CategorizeComment(E12801)</f>
        <v>Other</v>
      </c>
      <c r="G12801" t="str" cm="1">
        <f t="array" ref="G12801">SubCategorizeComment(E12801)</f>
        <v>Other</v>
      </c>
    </row>
    <row r="12802" spans="1:7" x14ac:dyDescent="0.25">
      <c r="A12802">
        <v>122325</v>
      </c>
      <c r="B12802" t="s">
        <v>4</v>
      </c>
      <c r="C12802">
        <v>3</v>
      </c>
      <c r="D12802" t="s">
        <v>5</v>
      </c>
      <c r="F12802" t="str" cm="1">
        <f t="array" ref="F12802">CategorizeComment(E12802)</f>
        <v>Other</v>
      </c>
      <c r="G12802" t="str" cm="1">
        <f t="array" ref="G12802">SubCategorizeComment(E12802)</f>
        <v>Other</v>
      </c>
    </row>
    <row r="12803" spans="1:7" x14ac:dyDescent="0.25">
      <c r="A12803">
        <v>122326</v>
      </c>
      <c r="B12803" t="s">
        <v>4</v>
      </c>
      <c r="C12803">
        <v>4</v>
      </c>
      <c r="D12803" t="s">
        <v>5</v>
      </c>
      <c r="F12803" t="str" cm="1">
        <f t="array" ref="F12803">CategorizeComment(E12803)</f>
        <v>Other</v>
      </c>
      <c r="G12803" t="str" cm="1">
        <f t="array" ref="G12803">SubCategorizeComment(E12803)</f>
        <v>Other</v>
      </c>
    </row>
    <row r="12804" spans="1:7" x14ac:dyDescent="0.25">
      <c r="A12804">
        <v>122328</v>
      </c>
      <c r="B12804" t="s">
        <v>4</v>
      </c>
      <c r="C12804">
        <v>3</v>
      </c>
      <c r="D12804" t="s">
        <v>5</v>
      </c>
      <c r="F12804" t="str" cm="1">
        <f t="array" ref="F12804">CategorizeComment(E12804)</f>
        <v>Other</v>
      </c>
      <c r="G12804" t="str" cm="1">
        <f t="array" ref="G12804">SubCategorizeComment(E12804)</f>
        <v>Other</v>
      </c>
    </row>
    <row r="12805" spans="1:7" x14ac:dyDescent="0.25">
      <c r="A12805">
        <v>122332</v>
      </c>
      <c r="B12805" t="s">
        <v>4</v>
      </c>
      <c r="C12805">
        <v>3</v>
      </c>
      <c r="D12805" t="s">
        <v>5</v>
      </c>
      <c r="F12805" t="str" cm="1">
        <f t="array" ref="F12805">CategorizeComment(E12805)</f>
        <v>Other</v>
      </c>
      <c r="G12805" t="str" cm="1">
        <f t="array" ref="G12805">SubCategorizeComment(E12805)</f>
        <v>Other</v>
      </c>
    </row>
    <row r="12806" spans="1:7" x14ac:dyDescent="0.25">
      <c r="A12806">
        <v>122359</v>
      </c>
      <c r="B12806" t="s">
        <v>4</v>
      </c>
      <c r="C12806">
        <v>4</v>
      </c>
      <c r="D12806" t="s">
        <v>5</v>
      </c>
      <c r="F12806" t="str" cm="1">
        <f t="array" ref="F12806">CategorizeComment(E12806)</f>
        <v>Other</v>
      </c>
      <c r="G12806" t="str" cm="1">
        <f t="array" ref="G12806">SubCategorizeComment(E12806)</f>
        <v>Other</v>
      </c>
    </row>
    <row r="12807" spans="1:7" x14ac:dyDescent="0.25">
      <c r="A12807">
        <v>122366</v>
      </c>
      <c r="B12807" t="s">
        <v>4</v>
      </c>
      <c r="C12807">
        <v>4</v>
      </c>
      <c r="D12807" t="s">
        <v>5</v>
      </c>
      <c r="F12807" t="str" cm="1">
        <f t="array" ref="F12807">CategorizeComment(E12807)</f>
        <v>Other</v>
      </c>
      <c r="G12807" t="str" cm="1">
        <f t="array" ref="G12807">SubCategorizeComment(E12807)</f>
        <v>Other</v>
      </c>
    </row>
    <row r="12808" spans="1:7" x14ac:dyDescent="0.25">
      <c r="A12808">
        <v>122374</v>
      </c>
      <c r="B12808" t="s">
        <v>4</v>
      </c>
      <c r="C12808">
        <v>3</v>
      </c>
      <c r="D12808" t="s">
        <v>5</v>
      </c>
      <c r="F12808" t="str" cm="1">
        <f t="array" ref="F12808">CategorizeComment(E12808)</f>
        <v>Other</v>
      </c>
      <c r="G12808" t="str" cm="1">
        <f t="array" ref="G12808">SubCategorizeComment(E12808)</f>
        <v>Other</v>
      </c>
    </row>
    <row r="12809" spans="1:7" x14ac:dyDescent="0.25">
      <c r="A12809">
        <v>122377</v>
      </c>
      <c r="B12809" t="s">
        <v>4</v>
      </c>
      <c r="C12809">
        <v>4</v>
      </c>
      <c r="D12809" t="s">
        <v>5</v>
      </c>
      <c r="F12809" t="str" cm="1">
        <f t="array" ref="F12809">CategorizeComment(E12809)</f>
        <v>Other</v>
      </c>
      <c r="G12809" t="str" cm="1">
        <f t="array" ref="G12809">SubCategorizeComment(E12809)</f>
        <v>Other</v>
      </c>
    </row>
    <row r="12810" spans="1:7" x14ac:dyDescent="0.25">
      <c r="A12810">
        <v>122413</v>
      </c>
      <c r="B12810" t="s">
        <v>4</v>
      </c>
      <c r="C12810">
        <v>4</v>
      </c>
      <c r="D12810" t="s">
        <v>5</v>
      </c>
      <c r="F12810" t="str" cm="1">
        <f t="array" ref="F12810">CategorizeComment(E12810)</f>
        <v>Other</v>
      </c>
      <c r="G12810" t="str" cm="1">
        <f t="array" ref="G12810">SubCategorizeComment(E12810)</f>
        <v>Other</v>
      </c>
    </row>
    <row r="12811" spans="1:7" x14ac:dyDescent="0.25">
      <c r="A12811">
        <v>122425</v>
      </c>
      <c r="B12811" t="s">
        <v>4</v>
      </c>
      <c r="C12811">
        <v>4</v>
      </c>
      <c r="D12811" t="s">
        <v>5</v>
      </c>
      <c r="F12811" t="str" cm="1">
        <f t="array" ref="F12811">CategorizeComment(E12811)</f>
        <v>Other</v>
      </c>
      <c r="G12811" t="str" cm="1">
        <f t="array" ref="G12811">SubCategorizeComment(E12811)</f>
        <v>Other</v>
      </c>
    </row>
    <row r="12812" spans="1:7" x14ac:dyDescent="0.25">
      <c r="A12812">
        <v>122431</v>
      </c>
      <c r="B12812" t="s">
        <v>4</v>
      </c>
      <c r="C12812">
        <v>3</v>
      </c>
      <c r="D12812" t="s">
        <v>5</v>
      </c>
      <c r="F12812" t="str" cm="1">
        <f t="array" ref="F12812">CategorizeComment(E12812)</f>
        <v>Other</v>
      </c>
      <c r="G12812" t="str" cm="1">
        <f t="array" ref="G12812">SubCategorizeComment(E12812)</f>
        <v>Other</v>
      </c>
    </row>
    <row r="12813" spans="1:7" x14ac:dyDescent="0.25">
      <c r="A12813">
        <v>122453</v>
      </c>
      <c r="B12813" t="s">
        <v>4</v>
      </c>
      <c r="C12813">
        <v>3</v>
      </c>
      <c r="D12813" t="s">
        <v>5</v>
      </c>
      <c r="F12813" t="str" cm="1">
        <f t="array" ref="F12813">CategorizeComment(E12813)</f>
        <v>Other</v>
      </c>
      <c r="G12813" t="str" cm="1">
        <f t="array" ref="G12813">SubCategorizeComment(E12813)</f>
        <v>Other</v>
      </c>
    </row>
    <row r="12814" spans="1:7" x14ac:dyDescent="0.25">
      <c r="A12814">
        <v>122491</v>
      </c>
      <c r="B12814" t="s">
        <v>4</v>
      </c>
      <c r="C12814">
        <v>3</v>
      </c>
      <c r="D12814" t="s">
        <v>5</v>
      </c>
      <c r="F12814" t="str" cm="1">
        <f t="array" ref="F12814">CategorizeComment(E12814)</f>
        <v>Other</v>
      </c>
      <c r="G12814" t="str" cm="1">
        <f t="array" ref="G12814">SubCategorizeComment(E12814)</f>
        <v>Other</v>
      </c>
    </row>
    <row r="12815" spans="1:7" x14ac:dyDescent="0.25">
      <c r="A12815">
        <v>122500</v>
      </c>
      <c r="B12815" t="s">
        <v>4</v>
      </c>
      <c r="C12815">
        <v>3</v>
      </c>
      <c r="D12815" t="s">
        <v>5</v>
      </c>
      <c r="F12815" t="str" cm="1">
        <f t="array" ref="F12815">CategorizeComment(E12815)</f>
        <v>Other</v>
      </c>
      <c r="G12815" t="str" cm="1">
        <f t="array" ref="G12815">SubCategorizeComment(E12815)</f>
        <v>Other</v>
      </c>
    </row>
    <row r="12816" spans="1:7" x14ac:dyDescent="0.25">
      <c r="A12816">
        <v>122516</v>
      </c>
      <c r="B12816" t="s">
        <v>4</v>
      </c>
      <c r="C12816">
        <v>3</v>
      </c>
      <c r="D12816" t="s">
        <v>5</v>
      </c>
      <c r="F12816" t="str" cm="1">
        <f t="array" ref="F12816">CategorizeComment(E12816)</f>
        <v>Other</v>
      </c>
      <c r="G12816" t="str" cm="1">
        <f t="array" ref="G12816">SubCategorizeComment(E12816)</f>
        <v>Other</v>
      </c>
    </row>
    <row r="12817" spans="1:7" x14ac:dyDescent="0.25">
      <c r="A12817">
        <v>122524</v>
      </c>
      <c r="B12817" t="s">
        <v>4</v>
      </c>
      <c r="C12817">
        <v>3</v>
      </c>
      <c r="D12817" t="s">
        <v>5</v>
      </c>
      <c r="F12817" t="str" cm="1">
        <f t="array" ref="F12817">CategorizeComment(E12817)</f>
        <v>Other</v>
      </c>
      <c r="G12817" t="str" cm="1">
        <f t="array" ref="G12817">SubCategorizeComment(E12817)</f>
        <v>Other</v>
      </c>
    </row>
    <row r="12818" spans="1:7" x14ac:dyDescent="0.25">
      <c r="A12818">
        <v>122551</v>
      </c>
      <c r="B12818" t="s">
        <v>4</v>
      </c>
      <c r="C12818">
        <v>4</v>
      </c>
      <c r="D12818" t="s">
        <v>5</v>
      </c>
      <c r="F12818" t="str" cm="1">
        <f t="array" ref="F12818">CategorizeComment(E12818)</f>
        <v>Other</v>
      </c>
      <c r="G12818" t="str" cm="1">
        <f t="array" ref="G12818">SubCategorizeComment(E12818)</f>
        <v>Other</v>
      </c>
    </row>
    <row r="12819" spans="1:7" x14ac:dyDescent="0.25">
      <c r="A12819">
        <v>122557</v>
      </c>
      <c r="B12819" t="s">
        <v>4</v>
      </c>
      <c r="C12819">
        <v>4</v>
      </c>
      <c r="D12819" t="s">
        <v>5</v>
      </c>
      <c r="F12819" t="str" cm="1">
        <f t="array" ref="F12819">CategorizeComment(E12819)</f>
        <v>Other</v>
      </c>
      <c r="G12819" t="str" cm="1">
        <f t="array" ref="G12819">SubCategorizeComment(E12819)</f>
        <v>Other</v>
      </c>
    </row>
    <row r="12820" spans="1:7" x14ac:dyDescent="0.25">
      <c r="A12820">
        <v>122599</v>
      </c>
      <c r="B12820" t="s">
        <v>4</v>
      </c>
      <c r="C12820">
        <v>3</v>
      </c>
      <c r="D12820" t="s">
        <v>5</v>
      </c>
      <c r="F12820" t="str" cm="1">
        <f t="array" ref="F12820">CategorizeComment(E12820)</f>
        <v>Other</v>
      </c>
      <c r="G12820" t="str" cm="1">
        <f t="array" ref="G12820">SubCategorizeComment(E12820)</f>
        <v>Other</v>
      </c>
    </row>
    <row r="12821" spans="1:7" x14ac:dyDescent="0.25">
      <c r="A12821">
        <v>122604</v>
      </c>
      <c r="B12821" t="s">
        <v>4</v>
      </c>
      <c r="C12821">
        <v>4</v>
      </c>
      <c r="D12821" t="s">
        <v>5</v>
      </c>
      <c r="F12821" t="str" cm="1">
        <f t="array" ref="F12821">CategorizeComment(E12821)</f>
        <v>Other</v>
      </c>
      <c r="G12821" t="str" cm="1">
        <f t="array" ref="G12821">SubCategorizeComment(E12821)</f>
        <v>Other</v>
      </c>
    </row>
    <row r="12822" spans="1:7" x14ac:dyDescent="0.25">
      <c r="A12822">
        <v>122608</v>
      </c>
      <c r="B12822" t="s">
        <v>4</v>
      </c>
      <c r="C12822">
        <v>4</v>
      </c>
      <c r="D12822" t="s">
        <v>5</v>
      </c>
      <c r="F12822" t="str" cm="1">
        <f t="array" ref="F12822">CategorizeComment(E12822)</f>
        <v>Other</v>
      </c>
      <c r="G12822" t="str" cm="1">
        <f t="array" ref="G12822">SubCategorizeComment(E12822)</f>
        <v>Other</v>
      </c>
    </row>
    <row r="12823" spans="1:7" x14ac:dyDescent="0.25">
      <c r="A12823">
        <v>122614</v>
      </c>
      <c r="B12823" t="s">
        <v>4</v>
      </c>
      <c r="C12823">
        <v>3</v>
      </c>
      <c r="D12823" t="s">
        <v>5</v>
      </c>
      <c r="F12823" t="str" cm="1">
        <f t="array" ref="F12823">CategorizeComment(E12823)</f>
        <v>Other</v>
      </c>
      <c r="G12823" t="str" cm="1">
        <f t="array" ref="G12823">SubCategorizeComment(E12823)</f>
        <v>Other</v>
      </c>
    </row>
    <row r="12824" spans="1:7" x14ac:dyDescent="0.25">
      <c r="A12824">
        <v>122617</v>
      </c>
      <c r="B12824" t="s">
        <v>4</v>
      </c>
      <c r="C12824">
        <v>4</v>
      </c>
      <c r="D12824" t="s">
        <v>5</v>
      </c>
      <c r="F12824" t="str" cm="1">
        <f t="array" ref="F12824">CategorizeComment(E12824)</f>
        <v>Other</v>
      </c>
      <c r="G12824" t="str" cm="1">
        <f t="array" ref="G12824">SubCategorizeComment(E12824)</f>
        <v>Other</v>
      </c>
    </row>
    <row r="12825" spans="1:7" x14ac:dyDescent="0.25">
      <c r="A12825">
        <v>122630</v>
      </c>
      <c r="B12825" t="s">
        <v>4</v>
      </c>
      <c r="C12825">
        <v>4</v>
      </c>
      <c r="D12825" t="s">
        <v>5</v>
      </c>
      <c r="F12825" t="str" cm="1">
        <f t="array" ref="F12825">CategorizeComment(E12825)</f>
        <v>Other</v>
      </c>
      <c r="G12825" t="str" cm="1">
        <f t="array" ref="G12825">SubCategorizeComment(E12825)</f>
        <v>Other</v>
      </c>
    </row>
    <row r="12826" spans="1:7" x14ac:dyDescent="0.25">
      <c r="A12826">
        <v>122638</v>
      </c>
      <c r="B12826" t="s">
        <v>4</v>
      </c>
      <c r="C12826">
        <v>3</v>
      </c>
      <c r="D12826" t="s">
        <v>5</v>
      </c>
      <c r="F12826" t="str" cm="1">
        <f t="array" ref="F12826">CategorizeComment(E12826)</f>
        <v>Other</v>
      </c>
      <c r="G12826" t="str" cm="1">
        <f t="array" ref="G12826">SubCategorizeComment(E12826)</f>
        <v>Other</v>
      </c>
    </row>
    <row r="12827" spans="1:7" x14ac:dyDescent="0.25">
      <c r="A12827">
        <v>122639</v>
      </c>
      <c r="B12827" t="s">
        <v>4</v>
      </c>
      <c r="C12827">
        <v>4</v>
      </c>
      <c r="D12827" t="s">
        <v>5</v>
      </c>
      <c r="F12827" t="str" cm="1">
        <f t="array" ref="F12827">CategorizeComment(E12827)</f>
        <v>Other</v>
      </c>
      <c r="G12827" t="str" cm="1">
        <f t="array" ref="G12827">SubCategorizeComment(E12827)</f>
        <v>Other</v>
      </c>
    </row>
    <row r="12828" spans="1:7" x14ac:dyDescent="0.25">
      <c r="A12828">
        <v>122646</v>
      </c>
      <c r="B12828" t="s">
        <v>4</v>
      </c>
      <c r="C12828">
        <v>3</v>
      </c>
      <c r="D12828" t="s">
        <v>5</v>
      </c>
      <c r="F12828" t="str" cm="1">
        <f t="array" ref="F12828">CategorizeComment(E12828)</f>
        <v>Other</v>
      </c>
      <c r="G12828" t="str" cm="1">
        <f t="array" ref="G12828">SubCategorizeComment(E12828)</f>
        <v>Other</v>
      </c>
    </row>
    <row r="12829" spans="1:7" x14ac:dyDescent="0.25">
      <c r="A12829">
        <v>122659</v>
      </c>
      <c r="B12829" t="s">
        <v>4</v>
      </c>
      <c r="C12829">
        <v>4</v>
      </c>
      <c r="D12829" t="s">
        <v>5</v>
      </c>
      <c r="F12829" t="str" cm="1">
        <f t="array" ref="F12829">CategorizeComment(E12829)</f>
        <v>Other</v>
      </c>
      <c r="G12829" t="str" cm="1">
        <f t="array" ref="G12829">SubCategorizeComment(E12829)</f>
        <v>Other</v>
      </c>
    </row>
    <row r="12830" spans="1:7" x14ac:dyDescent="0.25">
      <c r="A12830">
        <v>122678</v>
      </c>
      <c r="B12830" t="s">
        <v>4</v>
      </c>
      <c r="C12830">
        <v>3</v>
      </c>
      <c r="D12830" t="s">
        <v>5</v>
      </c>
      <c r="F12830" t="str" cm="1">
        <f t="array" ref="F12830">CategorizeComment(E12830)</f>
        <v>Other</v>
      </c>
      <c r="G12830" t="str" cm="1">
        <f t="array" ref="G12830">SubCategorizeComment(E12830)</f>
        <v>Other</v>
      </c>
    </row>
    <row r="12831" spans="1:7" x14ac:dyDescent="0.25">
      <c r="A12831">
        <v>122679</v>
      </c>
      <c r="B12831" t="s">
        <v>4</v>
      </c>
      <c r="C12831">
        <v>4</v>
      </c>
      <c r="D12831" t="s">
        <v>5</v>
      </c>
      <c r="F12831" t="str" cm="1">
        <f t="array" ref="F12831">CategorizeComment(E12831)</f>
        <v>Other</v>
      </c>
      <c r="G12831" t="str" cm="1">
        <f t="array" ref="G12831">SubCategorizeComment(E12831)</f>
        <v>Other</v>
      </c>
    </row>
    <row r="12832" spans="1:7" x14ac:dyDescent="0.25">
      <c r="A12832">
        <v>122685</v>
      </c>
      <c r="B12832" t="s">
        <v>4</v>
      </c>
      <c r="C12832">
        <v>3</v>
      </c>
      <c r="D12832" t="s">
        <v>5</v>
      </c>
      <c r="F12832" t="str" cm="1">
        <f t="array" ref="F12832">CategorizeComment(E12832)</f>
        <v>Other</v>
      </c>
      <c r="G12832" t="str" cm="1">
        <f t="array" ref="G12832">SubCategorizeComment(E12832)</f>
        <v>Other</v>
      </c>
    </row>
    <row r="12833" spans="1:7" x14ac:dyDescent="0.25">
      <c r="A12833">
        <v>122691</v>
      </c>
      <c r="B12833" t="s">
        <v>4</v>
      </c>
      <c r="C12833">
        <v>3</v>
      </c>
      <c r="D12833" t="s">
        <v>5</v>
      </c>
      <c r="F12833" t="str" cm="1">
        <f t="array" ref="F12833">CategorizeComment(E12833)</f>
        <v>Other</v>
      </c>
      <c r="G12833" t="str" cm="1">
        <f t="array" ref="G12833">SubCategorizeComment(E12833)</f>
        <v>Other</v>
      </c>
    </row>
    <row r="12834" spans="1:7" x14ac:dyDescent="0.25">
      <c r="A12834">
        <v>122700</v>
      </c>
      <c r="B12834" t="s">
        <v>4</v>
      </c>
      <c r="C12834">
        <v>3</v>
      </c>
      <c r="D12834" t="s">
        <v>5</v>
      </c>
      <c r="F12834" t="str" cm="1">
        <f t="array" ref="F12834">CategorizeComment(E12834)</f>
        <v>Other</v>
      </c>
      <c r="G12834" t="str" cm="1">
        <f t="array" ref="G12834">SubCategorizeComment(E12834)</f>
        <v>Other</v>
      </c>
    </row>
    <row r="12835" spans="1:7" x14ac:dyDescent="0.25">
      <c r="A12835">
        <v>122703</v>
      </c>
      <c r="B12835" t="s">
        <v>4</v>
      </c>
      <c r="C12835">
        <v>3</v>
      </c>
      <c r="D12835" t="s">
        <v>5</v>
      </c>
      <c r="F12835" t="str" cm="1">
        <f t="array" ref="F12835">CategorizeComment(E12835)</f>
        <v>Other</v>
      </c>
      <c r="G12835" t="str" cm="1">
        <f t="array" ref="G12835">SubCategorizeComment(E12835)</f>
        <v>Other</v>
      </c>
    </row>
    <row r="12836" spans="1:7" x14ac:dyDescent="0.25">
      <c r="A12836">
        <v>122707</v>
      </c>
      <c r="B12836" t="s">
        <v>4</v>
      </c>
      <c r="C12836">
        <v>4</v>
      </c>
      <c r="D12836" t="s">
        <v>5</v>
      </c>
      <c r="F12836" t="str" cm="1">
        <f t="array" ref="F12836">CategorizeComment(E12836)</f>
        <v>Other</v>
      </c>
      <c r="G12836" t="str" cm="1">
        <f t="array" ref="G12836">SubCategorizeComment(E12836)</f>
        <v>Other</v>
      </c>
    </row>
    <row r="12837" spans="1:7" x14ac:dyDescent="0.25">
      <c r="A12837">
        <v>122711</v>
      </c>
      <c r="B12837" t="s">
        <v>4</v>
      </c>
      <c r="C12837">
        <v>4</v>
      </c>
      <c r="D12837" t="s">
        <v>5</v>
      </c>
      <c r="F12837" t="str" cm="1">
        <f t="array" ref="F12837">CategorizeComment(E12837)</f>
        <v>Other</v>
      </c>
      <c r="G12837" t="str" cm="1">
        <f t="array" ref="G12837">SubCategorizeComment(E12837)</f>
        <v>Other</v>
      </c>
    </row>
    <row r="12838" spans="1:7" x14ac:dyDescent="0.25">
      <c r="A12838">
        <v>122744</v>
      </c>
      <c r="B12838" t="s">
        <v>4</v>
      </c>
      <c r="C12838">
        <v>4</v>
      </c>
      <c r="D12838" t="s">
        <v>5</v>
      </c>
      <c r="F12838" t="str" cm="1">
        <f t="array" ref="F12838">CategorizeComment(E12838)</f>
        <v>Other</v>
      </c>
      <c r="G12838" t="str" cm="1">
        <f t="array" ref="G12838">SubCategorizeComment(E12838)</f>
        <v>Other</v>
      </c>
    </row>
    <row r="12839" spans="1:7" x14ac:dyDescent="0.25">
      <c r="A12839">
        <v>122747</v>
      </c>
      <c r="B12839" t="s">
        <v>4</v>
      </c>
      <c r="C12839">
        <v>3</v>
      </c>
      <c r="D12839" t="s">
        <v>5</v>
      </c>
      <c r="F12839" t="str" cm="1">
        <f t="array" ref="F12839">CategorizeComment(E12839)</f>
        <v>Other</v>
      </c>
      <c r="G12839" t="str" cm="1">
        <f t="array" ref="G12839">SubCategorizeComment(E12839)</f>
        <v>Other</v>
      </c>
    </row>
    <row r="12840" spans="1:7" x14ac:dyDescent="0.25">
      <c r="A12840">
        <v>122756</v>
      </c>
      <c r="B12840" t="s">
        <v>4</v>
      </c>
      <c r="C12840">
        <v>4</v>
      </c>
      <c r="D12840" t="s">
        <v>5</v>
      </c>
      <c r="F12840" t="str" cm="1">
        <f t="array" ref="F12840">CategorizeComment(E12840)</f>
        <v>Other</v>
      </c>
      <c r="G12840" t="str" cm="1">
        <f t="array" ref="G12840">SubCategorizeComment(E12840)</f>
        <v>Other</v>
      </c>
    </row>
    <row r="12841" spans="1:7" x14ac:dyDescent="0.25">
      <c r="A12841">
        <v>122757</v>
      </c>
      <c r="B12841" t="s">
        <v>4</v>
      </c>
      <c r="C12841">
        <v>4</v>
      </c>
      <c r="D12841" t="s">
        <v>5</v>
      </c>
      <c r="F12841" t="str" cm="1">
        <f t="array" ref="F12841">CategorizeComment(E12841)</f>
        <v>Other</v>
      </c>
      <c r="G12841" t="str" cm="1">
        <f t="array" ref="G12841">SubCategorizeComment(E12841)</f>
        <v>Other</v>
      </c>
    </row>
    <row r="12842" spans="1:7" x14ac:dyDescent="0.25">
      <c r="A12842">
        <v>122764</v>
      </c>
      <c r="B12842" t="s">
        <v>4</v>
      </c>
      <c r="C12842">
        <v>3</v>
      </c>
      <c r="D12842" t="s">
        <v>5</v>
      </c>
      <c r="F12842" t="str" cm="1">
        <f t="array" ref="F12842">CategorizeComment(E12842)</f>
        <v>Other</v>
      </c>
      <c r="G12842" t="str" cm="1">
        <f t="array" ref="G12842">SubCategorizeComment(E12842)</f>
        <v>Other</v>
      </c>
    </row>
    <row r="12843" spans="1:7" x14ac:dyDescent="0.25">
      <c r="A12843">
        <v>122788</v>
      </c>
      <c r="B12843" t="s">
        <v>4</v>
      </c>
      <c r="C12843">
        <v>4</v>
      </c>
      <c r="D12843" t="s">
        <v>5</v>
      </c>
      <c r="F12843" t="str" cm="1">
        <f t="array" ref="F12843">CategorizeComment(E12843)</f>
        <v>Other</v>
      </c>
      <c r="G12843" t="str" cm="1">
        <f t="array" ref="G12843">SubCategorizeComment(E12843)</f>
        <v>Other</v>
      </c>
    </row>
    <row r="12844" spans="1:7" x14ac:dyDescent="0.25">
      <c r="A12844">
        <v>122789</v>
      </c>
      <c r="B12844" t="s">
        <v>4</v>
      </c>
      <c r="C12844">
        <v>4</v>
      </c>
      <c r="D12844" t="s">
        <v>5</v>
      </c>
      <c r="F12844" t="str" cm="1">
        <f t="array" ref="F12844">CategorizeComment(E12844)</f>
        <v>Other</v>
      </c>
      <c r="G12844" t="str" cm="1">
        <f t="array" ref="G12844">SubCategorizeComment(E12844)</f>
        <v>Other</v>
      </c>
    </row>
    <row r="12845" spans="1:7" x14ac:dyDescent="0.25">
      <c r="A12845">
        <v>122790</v>
      </c>
      <c r="B12845" t="s">
        <v>4</v>
      </c>
      <c r="C12845">
        <v>3</v>
      </c>
      <c r="D12845" t="s">
        <v>5</v>
      </c>
      <c r="F12845" t="str" cm="1">
        <f t="array" ref="F12845">CategorizeComment(E12845)</f>
        <v>Other</v>
      </c>
      <c r="G12845" t="str" cm="1">
        <f t="array" ref="G12845">SubCategorizeComment(E12845)</f>
        <v>Other</v>
      </c>
    </row>
    <row r="12846" spans="1:7" x14ac:dyDescent="0.25">
      <c r="A12846">
        <v>122794</v>
      </c>
      <c r="B12846" t="s">
        <v>4</v>
      </c>
      <c r="C12846">
        <v>4</v>
      </c>
      <c r="D12846" t="s">
        <v>5</v>
      </c>
      <c r="F12846" t="str" cm="1">
        <f t="array" ref="F12846">CategorizeComment(E12846)</f>
        <v>Other</v>
      </c>
      <c r="G12846" t="str" cm="1">
        <f t="array" ref="G12846">SubCategorizeComment(E12846)</f>
        <v>Other</v>
      </c>
    </row>
    <row r="12847" spans="1:7" x14ac:dyDescent="0.25">
      <c r="A12847">
        <v>122805</v>
      </c>
      <c r="B12847" t="s">
        <v>4</v>
      </c>
      <c r="C12847">
        <v>4</v>
      </c>
      <c r="D12847" t="s">
        <v>5</v>
      </c>
      <c r="F12847" t="str" cm="1">
        <f t="array" ref="F12847">CategorizeComment(E12847)</f>
        <v>Other</v>
      </c>
      <c r="G12847" t="str" cm="1">
        <f t="array" ref="G12847">SubCategorizeComment(E12847)</f>
        <v>Other</v>
      </c>
    </row>
    <row r="12848" spans="1:7" x14ac:dyDescent="0.25">
      <c r="A12848">
        <v>122806</v>
      </c>
      <c r="B12848" t="s">
        <v>4</v>
      </c>
      <c r="C12848">
        <v>3</v>
      </c>
      <c r="D12848" t="s">
        <v>5</v>
      </c>
      <c r="F12848" t="str" cm="1">
        <f t="array" ref="F12848">CategorizeComment(E12848)</f>
        <v>Other</v>
      </c>
      <c r="G12848" t="str" cm="1">
        <f t="array" ref="G12848">SubCategorizeComment(E12848)</f>
        <v>Other</v>
      </c>
    </row>
    <row r="12849" spans="1:7" x14ac:dyDescent="0.25">
      <c r="A12849">
        <v>122809</v>
      </c>
      <c r="B12849" t="s">
        <v>4</v>
      </c>
      <c r="C12849">
        <v>4</v>
      </c>
      <c r="D12849" t="s">
        <v>5</v>
      </c>
      <c r="F12849" t="str" cm="1">
        <f t="array" ref="F12849">CategorizeComment(E12849)</f>
        <v>Other</v>
      </c>
      <c r="G12849" t="str" cm="1">
        <f t="array" ref="G12849">SubCategorizeComment(E12849)</f>
        <v>Other</v>
      </c>
    </row>
    <row r="12850" spans="1:7" x14ac:dyDescent="0.25">
      <c r="A12850">
        <v>122817</v>
      </c>
      <c r="B12850" t="s">
        <v>4</v>
      </c>
      <c r="C12850">
        <v>3</v>
      </c>
      <c r="D12850" t="s">
        <v>5</v>
      </c>
      <c r="F12850" t="str" cm="1">
        <f t="array" ref="F12850">CategorizeComment(E12850)</f>
        <v>Other</v>
      </c>
      <c r="G12850" t="str" cm="1">
        <f t="array" ref="G12850">SubCategorizeComment(E12850)</f>
        <v>Other</v>
      </c>
    </row>
    <row r="12851" spans="1:7" x14ac:dyDescent="0.25">
      <c r="A12851">
        <v>122819</v>
      </c>
      <c r="B12851" t="s">
        <v>4</v>
      </c>
      <c r="C12851">
        <v>3</v>
      </c>
      <c r="D12851" t="s">
        <v>5</v>
      </c>
      <c r="F12851" t="str" cm="1">
        <f t="array" ref="F12851">CategorizeComment(E12851)</f>
        <v>Other</v>
      </c>
      <c r="G12851" t="str" cm="1">
        <f t="array" ref="G12851">SubCategorizeComment(E12851)</f>
        <v>Other</v>
      </c>
    </row>
    <row r="12852" spans="1:7" x14ac:dyDescent="0.25">
      <c r="A12852">
        <v>122832</v>
      </c>
      <c r="B12852" t="s">
        <v>4</v>
      </c>
      <c r="C12852">
        <v>3</v>
      </c>
      <c r="D12852" t="s">
        <v>5</v>
      </c>
      <c r="F12852" t="str" cm="1">
        <f t="array" ref="F12852">CategorizeComment(E12852)</f>
        <v>Other</v>
      </c>
      <c r="G12852" t="str" cm="1">
        <f t="array" ref="G12852">SubCategorizeComment(E12852)</f>
        <v>Other</v>
      </c>
    </row>
    <row r="12853" spans="1:7" x14ac:dyDescent="0.25">
      <c r="A12853">
        <v>122849</v>
      </c>
      <c r="B12853" t="s">
        <v>4</v>
      </c>
      <c r="C12853">
        <v>4</v>
      </c>
      <c r="D12853" t="s">
        <v>5</v>
      </c>
      <c r="F12853" t="str" cm="1">
        <f t="array" ref="F12853">CategorizeComment(E12853)</f>
        <v>Other</v>
      </c>
      <c r="G12853" t="str" cm="1">
        <f t="array" ref="G12853">SubCategorizeComment(E12853)</f>
        <v>Other</v>
      </c>
    </row>
    <row r="12854" spans="1:7" x14ac:dyDescent="0.25">
      <c r="A12854">
        <v>122852</v>
      </c>
      <c r="B12854" t="s">
        <v>4</v>
      </c>
      <c r="C12854">
        <v>4</v>
      </c>
      <c r="D12854" t="s">
        <v>5</v>
      </c>
      <c r="F12854" t="str" cm="1">
        <f t="array" ref="F12854">CategorizeComment(E12854)</f>
        <v>Other</v>
      </c>
      <c r="G12854" t="str" cm="1">
        <f t="array" ref="G12854">SubCategorizeComment(E12854)</f>
        <v>Other</v>
      </c>
    </row>
    <row r="12855" spans="1:7" x14ac:dyDescent="0.25">
      <c r="A12855">
        <v>122856</v>
      </c>
      <c r="B12855" t="s">
        <v>4</v>
      </c>
      <c r="C12855">
        <v>4</v>
      </c>
      <c r="D12855" t="s">
        <v>5</v>
      </c>
      <c r="F12855" t="str" cm="1">
        <f t="array" ref="F12855">CategorizeComment(E12855)</f>
        <v>Other</v>
      </c>
      <c r="G12855" t="str" cm="1">
        <f t="array" ref="G12855">SubCategorizeComment(E12855)</f>
        <v>Other</v>
      </c>
    </row>
    <row r="12856" spans="1:7" x14ac:dyDescent="0.25">
      <c r="A12856">
        <v>122859</v>
      </c>
      <c r="B12856" t="s">
        <v>4</v>
      </c>
      <c r="C12856">
        <v>4</v>
      </c>
      <c r="D12856" t="s">
        <v>5</v>
      </c>
      <c r="F12856" t="str" cm="1">
        <f t="array" ref="F12856">CategorizeComment(E12856)</f>
        <v>Other</v>
      </c>
      <c r="G12856" t="str" cm="1">
        <f t="array" ref="G12856">SubCategorizeComment(E12856)</f>
        <v>Other</v>
      </c>
    </row>
    <row r="12857" spans="1:7" x14ac:dyDescent="0.25">
      <c r="A12857">
        <v>122860</v>
      </c>
      <c r="B12857" t="s">
        <v>4</v>
      </c>
      <c r="C12857">
        <v>3</v>
      </c>
      <c r="D12857" t="s">
        <v>5</v>
      </c>
      <c r="F12857" t="str" cm="1">
        <f t="array" ref="F12857">CategorizeComment(E12857)</f>
        <v>Other</v>
      </c>
      <c r="G12857" t="str" cm="1">
        <f t="array" ref="G12857">SubCategorizeComment(E12857)</f>
        <v>Other</v>
      </c>
    </row>
    <row r="12858" spans="1:7" x14ac:dyDescent="0.25">
      <c r="A12858">
        <v>122862</v>
      </c>
      <c r="B12858" t="s">
        <v>4</v>
      </c>
      <c r="C12858">
        <v>3</v>
      </c>
      <c r="D12858" t="s">
        <v>5</v>
      </c>
      <c r="F12858" t="str" cm="1">
        <f t="array" ref="F12858">CategorizeComment(E12858)</f>
        <v>Other</v>
      </c>
      <c r="G12858" t="str" cm="1">
        <f t="array" ref="G12858">SubCategorizeComment(E12858)</f>
        <v>Other</v>
      </c>
    </row>
    <row r="12859" spans="1:7" x14ac:dyDescent="0.25">
      <c r="A12859">
        <v>122879</v>
      </c>
      <c r="B12859" t="s">
        <v>4</v>
      </c>
      <c r="C12859">
        <v>4</v>
      </c>
      <c r="D12859" t="s">
        <v>5</v>
      </c>
      <c r="F12859" t="str" cm="1">
        <f t="array" ref="F12859">CategorizeComment(E12859)</f>
        <v>Other</v>
      </c>
      <c r="G12859" t="str" cm="1">
        <f t="array" ref="G12859">SubCategorizeComment(E12859)</f>
        <v>Other</v>
      </c>
    </row>
    <row r="12860" spans="1:7" x14ac:dyDescent="0.25">
      <c r="A12860">
        <v>122908</v>
      </c>
      <c r="B12860" t="s">
        <v>4</v>
      </c>
      <c r="C12860">
        <v>4</v>
      </c>
      <c r="D12860" t="s">
        <v>5</v>
      </c>
      <c r="F12860" t="str" cm="1">
        <f t="array" ref="F12860">CategorizeComment(E12860)</f>
        <v>Other</v>
      </c>
      <c r="G12860" t="str" cm="1">
        <f t="array" ref="G12860">SubCategorizeComment(E12860)</f>
        <v>Other</v>
      </c>
    </row>
    <row r="12861" spans="1:7" x14ac:dyDescent="0.25">
      <c r="A12861">
        <v>122994</v>
      </c>
      <c r="B12861" t="s">
        <v>4</v>
      </c>
      <c r="C12861">
        <v>4</v>
      </c>
      <c r="D12861" t="s">
        <v>5</v>
      </c>
      <c r="F12861" t="str" cm="1">
        <f t="array" ref="F12861">CategorizeComment(E12861)</f>
        <v>Other</v>
      </c>
      <c r="G12861" t="str" cm="1">
        <f t="array" ref="G12861">SubCategorizeComment(E12861)</f>
        <v>Other</v>
      </c>
    </row>
    <row r="12862" spans="1:7" x14ac:dyDescent="0.25">
      <c r="A12862">
        <v>123039</v>
      </c>
      <c r="B12862" t="s">
        <v>4</v>
      </c>
      <c r="C12862">
        <v>4</v>
      </c>
      <c r="D12862" t="s">
        <v>5</v>
      </c>
      <c r="F12862" t="str" cm="1">
        <f t="array" ref="F12862">CategorizeComment(E12862)</f>
        <v>Other</v>
      </c>
      <c r="G12862" t="str" cm="1">
        <f t="array" ref="G12862">SubCategorizeComment(E12862)</f>
        <v>Other</v>
      </c>
    </row>
    <row r="12863" spans="1:7" x14ac:dyDescent="0.25">
      <c r="A12863">
        <v>123059</v>
      </c>
      <c r="B12863" t="s">
        <v>4</v>
      </c>
      <c r="C12863">
        <v>3</v>
      </c>
      <c r="D12863" t="s">
        <v>5</v>
      </c>
      <c r="F12863" t="str" cm="1">
        <f t="array" ref="F12863">CategorizeComment(E12863)</f>
        <v>Other</v>
      </c>
      <c r="G12863" t="str" cm="1">
        <f t="array" ref="G12863">SubCategorizeComment(E12863)</f>
        <v>Other</v>
      </c>
    </row>
    <row r="12864" spans="1:7" x14ac:dyDescent="0.25">
      <c r="A12864">
        <v>123066</v>
      </c>
      <c r="B12864" t="s">
        <v>4</v>
      </c>
      <c r="C12864">
        <v>4</v>
      </c>
      <c r="D12864" t="s">
        <v>5</v>
      </c>
      <c r="F12864" t="str" cm="1">
        <f t="array" ref="F12864">CategorizeComment(E12864)</f>
        <v>Other</v>
      </c>
      <c r="G12864" t="str" cm="1">
        <f t="array" ref="G12864">SubCategorizeComment(E12864)</f>
        <v>Other</v>
      </c>
    </row>
    <row r="12865" spans="1:7" x14ac:dyDescent="0.25">
      <c r="A12865">
        <v>123081</v>
      </c>
      <c r="B12865" t="s">
        <v>4</v>
      </c>
      <c r="C12865">
        <v>3</v>
      </c>
      <c r="D12865" t="s">
        <v>5</v>
      </c>
      <c r="F12865" t="str" cm="1">
        <f t="array" ref="F12865">CategorizeComment(E12865)</f>
        <v>Other</v>
      </c>
      <c r="G12865" t="str" cm="1">
        <f t="array" ref="G12865">SubCategorizeComment(E12865)</f>
        <v>Other</v>
      </c>
    </row>
    <row r="12866" spans="1:7" x14ac:dyDescent="0.25">
      <c r="A12866">
        <v>123084</v>
      </c>
      <c r="B12866" t="s">
        <v>4</v>
      </c>
      <c r="C12866">
        <v>3</v>
      </c>
      <c r="D12866" t="s">
        <v>5</v>
      </c>
      <c r="F12866" t="str" cm="1">
        <f t="array" ref="F12866">CategorizeComment(E12866)</f>
        <v>Other</v>
      </c>
      <c r="G12866" t="str" cm="1">
        <f t="array" ref="G12866">SubCategorizeComment(E12866)</f>
        <v>Other</v>
      </c>
    </row>
    <row r="12867" spans="1:7" x14ac:dyDescent="0.25">
      <c r="A12867">
        <v>123092</v>
      </c>
      <c r="B12867" t="s">
        <v>4</v>
      </c>
      <c r="C12867">
        <v>4</v>
      </c>
      <c r="D12867" t="s">
        <v>5</v>
      </c>
      <c r="F12867" t="str" cm="1">
        <f t="array" ref="F12867">CategorizeComment(E12867)</f>
        <v>Other</v>
      </c>
      <c r="G12867" t="str" cm="1">
        <f t="array" ref="G12867">SubCategorizeComment(E12867)</f>
        <v>Other</v>
      </c>
    </row>
    <row r="12868" spans="1:7" x14ac:dyDescent="0.25">
      <c r="A12868">
        <v>123093</v>
      </c>
      <c r="B12868" t="s">
        <v>4</v>
      </c>
      <c r="C12868">
        <v>4</v>
      </c>
      <c r="D12868" t="s">
        <v>5</v>
      </c>
      <c r="F12868" t="str" cm="1">
        <f t="array" ref="F12868">CategorizeComment(E12868)</f>
        <v>Other</v>
      </c>
      <c r="G12868" t="str" cm="1">
        <f t="array" ref="G12868">SubCategorizeComment(E12868)</f>
        <v>Other</v>
      </c>
    </row>
    <row r="12869" spans="1:7" x14ac:dyDescent="0.25">
      <c r="A12869">
        <v>123097</v>
      </c>
      <c r="B12869" t="s">
        <v>4</v>
      </c>
      <c r="C12869">
        <v>3</v>
      </c>
      <c r="D12869" t="s">
        <v>5</v>
      </c>
      <c r="F12869" t="str" cm="1">
        <f t="array" ref="F12869">CategorizeComment(E12869)</f>
        <v>Other</v>
      </c>
      <c r="G12869" t="str" cm="1">
        <f t="array" ref="G12869">SubCategorizeComment(E12869)</f>
        <v>Other</v>
      </c>
    </row>
    <row r="12870" spans="1:7" x14ac:dyDescent="0.25">
      <c r="A12870">
        <v>123105</v>
      </c>
      <c r="B12870" t="s">
        <v>4</v>
      </c>
      <c r="C12870">
        <v>4</v>
      </c>
      <c r="D12870" t="s">
        <v>5</v>
      </c>
      <c r="F12870" t="str" cm="1">
        <f t="array" ref="F12870">CategorizeComment(E12870)</f>
        <v>Other</v>
      </c>
      <c r="G12870" t="str" cm="1">
        <f t="array" ref="G12870">SubCategorizeComment(E12870)</f>
        <v>Other</v>
      </c>
    </row>
    <row r="12871" spans="1:7" x14ac:dyDescent="0.25">
      <c r="A12871">
        <v>123107</v>
      </c>
      <c r="B12871" t="s">
        <v>4</v>
      </c>
      <c r="C12871">
        <v>3</v>
      </c>
      <c r="D12871" t="s">
        <v>5</v>
      </c>
      <c r="F12871" t="str" cm="1">
        <f t="array" ref="F12871">CategorizeComment(E12871)</f>
        <v>Other</v>
      </c>
      <c r="G12871" t="str" cm="1">
        <f t="array" ref="G12871">SubCategorizeComment(E12871)</f>
        <v>Other</v>
      </c>
    </row>
    <row r="12872" spans="1:7" x14ac:dyDescent="0.25">
      <c r="A12872">
        <v>123113</v>
      </c>
      <c r="B12872" t="s">
        <v>4</v>
      </c>
      <c r="C12872">
        <v>3</v>
      </c>
      <c r="D12872" t="s">
        <v>5</v>
      </c>
      <c r="F12872" t="str" cm="1">
        <f t="array" ref="F12872">CategorizeComment(E12872)</f>
        <v>Other</v>
      </c>
      <c r="G12872" t="str" cm="1">
        <f t="array" ref="G12872">SubCategorizeComment(E12872)</f>
        <v>Other</v>
      </c>
    </row>
    <row r="12873" spans="1:7" x14ac:dyDescent="0.25">
      <c r="A12873">
        <v>123116</v>
      </c>
      <c r="B12873" t="s">
        <v>4</v>
      </c>
      <c r="C12873">
        <v>4</v>
      </c>
      <c r="D12873" t="s">
        <v>5</v>
      </c>
      <c r="F12873" t="str" cm="1">
        <f t="array" ref="F12873">CategorizeComment(E12873)</f>
        <v>Other</v>
      </c>
      <c r="G12873" t="str" cm="1">
        <f t="array" ref="G12873">SubCategorizeComment(E12873)</f>
        <v>Other</v>
      </c>
    </row>
    <row r="12874" spans="1:7" x14ac:dyDescent="0.25">
      <c r="A12874">
        <v>123118</v>
      </c>
      <c r="B12874" t="s">
        <v>4</v>
      </c>
      <c r="C12874">
        <v>3</v>
      </c>
      <c r="D12874" t="s">
        <v>5</v>
      </c>
      <c r="F12874" t="str" cm="1">
        <f t="array" ref="F12874">CategorizeComment(E12874)</f>
        <v>Other</v>
      </c>
      <c r="G12874" t="str" cm="1">
        <f t="array" ref="G12874">SubCategorizeComment(E12874)</f>
        <v>Other</v>
      </c>
    </row>
    <row r="12875" spans="1:7" x14ac:dyDescent="0.25">
      <c r="A12875">
        <v>123120</v>
      </c>
      <c r="B12875" t="s">
        <v>4</v>
      </c>
      <c r="C12875">
        <v>4</v>
      </c>
      <c r="D12875" t="s">
        <v>5</v>
      </c>
      <c r="F12875" t="str" cm="1">
        <f t="array" ref="F12875">CategorizeComment(E12875)</f>
        <v>Other</v>
      </c>
      <c r="G12875" t="str" cm="1">
        <f t="array" ref="G12875">SubCategorizeComment(E12875)</f>
        <v>Other</v>
      </c>
    </row>
    <row r="12876" spans="1:7" x14ac:dyDescent="0.25">
      <c r="A12876">
        <v>123121</v>
      </c>
      <c r="B12876" t="s">
        <v>4</v>
      </c>
      <c r="C12876">
        <v>3</v>
      </c>
      <c r="D12876" t="s">
        <v>5</v>
      </c>
      <c r="F12876" t="str" cm="1">
        <f t="array" ref="F12876">CategorizeComment(E12876)</f>
        <v>Other</v>
      </c>
      <c r="G12876" t="str" cm="1">
        <f t="array" ref="G12876">SubCategorizeComment(E12876)</f>
        <v>Other</v>
      </c>
    </row>
    <row r="12877" spans="1:7" x14ac:dyDescent="0.25">
      <c r="A12877">
        <v>123122</v>
      </c>
      <c r="B12877" t="s">
        <v>4</v>
      </c>
      <c r="C12877">
        <v>3</v>
      </c>
      <c r="D12877" t="s">
        <v>5</v>
      </c>
      <c r="F12877" t="str" cm="1">
        <f t="array" ref="F12877">CategorizeComment(E12877)</f>
        <v>Other</v>
      </c>
      <c r="G12877" t="str" cm="1">
        <f t="array" ref="G12877">SubCategorizeComment(E12877)</f>
        <v>Other</v>
      </c>
    </row>
    <row r="12878" spans="1:7" x14ac:dyDescent="0.25">
      <c r="A12878">
        <v>123126</v>
      </c>
      <c r="B12878" t="s">
        <v>4</v>
      </c>
      <c r="C12878">
        <v>4</v>
      </c>
      <c r="D12878" t="s">
        <v>5</v>
      </c>
      <c r="F12878" t="str" cm="1">
        <f t="array" ref="F12878">CategorizeComment(E12878)</f>
        <v>Other</v>
      </c>
      <c r="G12878" t="str" cm="1">
        <f t="array" ref="G12878">SubCategorizeComment(E12878)</f>
        <v>Other</v>
      </c>
    </row>
    <row r="12879" spans="1:7" x14ac:dyDescent="0.25">
      <c r="A12879">
        <v>123129</v>
      </c>
      <c r="B12879" t="s">
        <v>4</v>
      </c>
      <c r="C12879">
        <v>3</v>
      </c>
      <c r="D12879" t="s">
        <v>5</v>
      </c>
      <c r="F12879" t="str" cm="1">
        <f t="array" ref="F12879">CategorizeComment(E12879)</f>
        <v>Other</v>
      </c>
      <c r="G12879" t="str" cm="1">
        <f t="array" ref="G12879">SubCategorizeComment(E12879)</f>
        <v>Other</v>
      </c>
    </row>
    <row r="12880" spans="1:7" x14ac:dyDescent="0.25">
      <c r="A12880">
        <v>123130</v>
      </c>
      <c r="B12880" t="s">
        <v>4</v>
      </c>
      <c r="C12880">
        <v>4</v>
      </c>
      <c r="D12880" t="s">
        <v>5</v>
      </c>
      <c r="F12880" t="str" cm="1">
        <f t="array" ref="F12880">CategorizeComment(E12880)</f>
        <v>Other</v>
      </c>
      <c r="G12880" t="str" cm="1">
        <f t="array" ref="G12880">SubCategorizeComment(E12880)</f>
        <v>Other</v>
      </c>
    </row>
    <row r="12881" spans="1:7" x14ac:dyDescent="0.25">
      <c r="A12881">
        <v>123136</v>
      </c>
      <c r="B12881" t="s">
        <v>4</v>
      </c>
      <c r="C12881">
        <v>3</v>
      </c>
      <c r="D12881" t="s">
        <v>5</v>
      </c>
      <c r="F12881" t="str" cm="1">
        <f t="array" ref="F12881">CategorizeComment(E12881)</f>
        <v>Other</v>
      </c>
      <c r="G12881" t="str" cm="1">
        <f t="array" ref="G12881">SubCategorizeComment(E12881)</f>
        <v>Other</v>
      </c>
    </row>
    <row r="12882" spans="1:7" x14ac:dyDescent="0.25">
      <c r="A12882">
        <v>123138</v>
      </c>
      <c r="B12882" t="s">
        <v>4</v>
      </c>
      <c r="C12882">
        <v>3</v>
      </c>
      <c r="D12882" t="s">
        <v>5</v>
      </c>
      <c r="F12882" t="str" cm="1">
        <f t="array" ref="F12882">CategorizeComment(E12882)</f>
        <v>Other</v>
      </c>
      <c r="G12882" t="str" cm="1">
        <f t="array" ref="G12882">SubCategorizeComment(E12882)</f>
        <v>Other</v>
      </c>
    </row>
    <row r="12883" spans="1:7" x14ac:dyDescent="0.25">
      <c r="A12883">
        <v>123141</v>
      </c>
      <c r="B12883" t="s">
        <v>4</v>
      </c>
      <c r="C12883">
        <v>4</v>
      </c>
      <c r="D12883" t="s">
        <v>5</v>
      </c>
      <c r="F12883" t="str" cm="1">
        <f t="array" ref="F12883">CategorizeComment(E12883)</f>
        <v>Other</v>
      </c>
      <c r="G12883" t="str" cm="1">
        <f t="array" ref="G12883">SubCategorizeComment(E12883)</f>
        <v>Other</v>
      </c>
    </row>
    <row r="12884" spans="1:7" x14ac:dyDescent="0.25">
      <c r="A12884">
        <v>123152</v>
      </c>
      <c r="B12884" t="s">
        <v>4</v>
      </c>
      <c r="C12884">
        <v>4</v>
      </c>
      <c r="D12884" t="s">
        <v>5</v>
      </c>
      <c r="F12884" t="str" cm="1">
        <f t="array" ref="F12884">CategorizeComment(E12884)</f>
        <v>Other</v>
      </c>
      <c r="G12884" t="str" cm="1">
        <f t="array" ref="G12884">SubCategorizeComment(E12884)</f>
        <v>Other</v>
      </c>
    </row>
    <row r="12885" spans="1:7" x14ac:dyDescent="0.25">
      <c r="A12885">
        <v>123172</v>
      </c>
      <c r="B12885" t="s">
        <v>4</v>
      </c>
      <c r="C12885">
        <v>3</v>
      </c>
      <c r="D12885" t="s">
        <v>5</v>
      </c>
      <c r="F12885" t="str" cm="1">
        <f t="array" ref="F12885">CategorizeComment(E12885)</f>
        <v>Other</v>
      </c>
      <c r="G12885" t="str" cm="1">
        <f t="array" ref="G12885">SubCategorizeComment(E12885)</f>
        <v>Other</v>
      </c>
    </row>
    <row r="12886" spans="1:7" x14ac:dyDescent="0.25">
      <c r="A12886">
        <v>123173</v>
      </c>
      <c r="B12886" t="s">
        <v>4</v>
      </c>
      <c r="C12886">
        <v>3</v>
      </c>
      <c r="D12886" t="s">
        <v>5</v>
      </c>
      <c r="F12886" t="str" cm="1">
        <f t="array" ref="F12886">CategorizeComment(E12886)</f>
        <v>Other</v>
      </c>
      <c r="G12886" t="str" cm="1">
        <f t="array" ref="G12886">SubCategorizeComment(E12886)</f>
        <v>Other</v>
      </c>
    </row>
    <row r="12887" spans="1:7" x14ac:dyDescent="0.25">
      <c r="A12887">
        <v>123179</v>
      </c>
      <c r="B12887" t="s">
        <v>4</v>
      </c>
      <c r="C12887">
        <v>4</v>
      </c>
      <c r="D12887" t="s">
        <v>5</v>
      </c>
      <c r="F12887" t="str" cm="1">
        <f t="array" ref="F12887">CategorizeComment(E12887)</f>
        <v>Other</v>
      </c>
      <c r="G12887" t="str" cm="1">
        <f t="array" ref="G12887">SubCategorizeComment(E12887)</f>
        <v>Other</v>
      </c>
    </row>
    <row r="12888" spans="1:7" x14ac:dyDescent="0.25">
      <c r="A12888">
        <v>123198</v>
      </c>
      <c r="B12888" t="s">
        <v>4</v>
      </c>
      <c r="C12888">
        <v>4</v>
      </c>
      <c r="D12888" t="s">
        <v>5</v>
      </c>
      <c r="F12888" t="str" cm="1">
        <f t="array" ref="F12888">CategorizeComment(E12888)</f>
        <v>Other</v>
      </c>
      <c r="G12888" t="str" cm="1">
        <f t="array" ref="G12888">SubCategorizeComment(E12888)</f>
        <v>Other</v>
      </c>
    </row>
    <row r="12889" spans="1:7" x14ac:dyDescent="0.25">
      <c r="A12889">
        <v>123229</v>
      </c>
      <c r="B12889" t="s">
        <v>4</v>
      </c>
      <c r="C12889">
        <v>4</v>
      </c>
      <c r="D12889" t="s">
        <v>5</v>
      </c>
      <c r="F12889" t="str" cm="1">
        <f t="array" ref="F12889">CategorizeComment(E12889)</f>
        <v>Other</v>
      </c>
      <c r="G12889" t="str" cm="1">
        <f t="array" ref="G12889">SubCategorizeComment(E12889)</f>
        <v>Other</v>
      </c>
    </row>
    <row r="12890" spans="1:7" x14ac:dyDescent="0.25">
      <c r="A12890">
        <v>123230</v>
      </c>
      <c r="B12890" t="s">
        <v>4</v>
      </c>
      <c r="C12890">
        <v>3</v>
      </c>
      <c r="D12890" t="s">
        <v>5</v>
      </c>
      <c r="F12890" t="str" cm="1">
        <f t="array" ref="F12890">CategorizeComment(E12890)</f>
        <v>Other</v>
      </c>
      <c r="G12890" t="str" cm="1">
        <f t="array" ref="G12890">SubCategorizeComment(E12890)</f>
        <v>Other</v>
      </c>
    </row>
    <row r="12891" spans="1:7" x14ac:dyDescent="0.25">
      <c r="A12891">
        <v>123241</v>
      </c>
      <c r="B12891" t="s">
        <v>4</v>
      </c>
      <c r="C12891">
        <v>4</v>
      </c>
      <c r="D12891" t="s">
        <v>5</v>
      </c>
      <c r="F12891" t="str" cm="1">
        <f t="array" ref="F12891">CategorizeComment(E12891)</f>
        <v>Other</v>
      </c>
      <c r="G12891" t="str" cm="1">
        <f t="array" ref="G12891">SubCategorizeComment(E12891)</f>
        <v>Other</v>
      </c>
    </row>
    <row r="12892" spans="1:7" x14ac:dyDescent="0.25">
      <c r="A12892">
        <v>123252</v>
      </c>
      <c r="B12892" t="s">
        <v>4</v>
      </c>
      <c r="C12892">
        <v>3</v>
      </c>
      <c r="D12892" t="s">
        <v>5</v>
      </c>
      <c r="F12892" t="str" cm="1">
        <f t="array" ref="F12892">CategorizeComment(E12892)</f>
        <v>Other</v>
      </c>
      <c r="G12892" t="str" cm="1">
        <f t="array" ref="G12892">SubCategorizeComment(E12892)</f>
        <v>Other</v>
      </c>
    </row>
    <row r="12893" spans="1:7" x14ac:dyDescent="0.25">
      <c r="A12893">
        <v>123254</v>
      </c>
      <c r="B12893" t="s">
        <v>4</v>
      </c>
      <c r="C12893">
        <v>3</v>
      </c>
      <c r="D12893" t="s">
        <v>5</v>
      </c>
      <c r="F12893" t="str" cm="1">
        <f t="array" ref="F12893">CategorizeComment(E12893)</f>
        <v>Other</v>
      </c>
      <c r="G12893" t="str" cm="1">
        <f t="array" ref="G12893">SubCategorizeComment(E12893)</f>
        <v>Other</v>
      </c>
    </row>
    <row r="12894" spans="1:7" x14ac:dyDescent="0.25">
      <c r="A12894">
        <v>123267</v>
      </c>
      <c r="B12894" t="s">
        <v>4</v>
      </c>
      <c r="C12894">
        <v>3</v>
      </c>
      <c r="D12894" t="s">
        <v>5</v>
      </c>
      <c r="F12894" t="str" cm="1">
        <f t="array" ref="F12894">CategorizeComment(E12894)</f>
        <v>Other</v>
      </c>
      <c r="G12894" t="str" cm="1">
        <f t="array" ref="G12894">SubCategorizeComment(E12894)</f>
        <v>Other</v>
      </c>
    </row>
    <row r="12895" spans="1:7" x14ac:dyDescent="0.25">
      <c r="A12895">
        <v>123315</v>
      </c>
      <c r="B12895" t="s">
        <v>4</v>
      </c>
      <c r="C12895">
        <v>4</v>
      </c>
      <c r="D12895" t="s">
        <v>5</v>
      </c>
      <c r="F12895" t="str" cm="1">
        <f t="array" ref="F12895">CategorizeComment(E12895)</f>
        <v>Other</v>
      </c>
      <c r="G12895" t="str" cm="1">
        <f t="array" ref="G12895">SubCategorizeComment(E12895)</f>
        <v>Other</v>
      </c>
    </row>
    <row r="12896" spans="1:7" x14ac:dyDescent="0.25">
      <c r="A12896">
        <v>123316</v>
      </c>
      <c r="B12896" t="s">
        <v>4</v>
      </c>
      <c r="C12896">
        <v>3</v>
      </c>
      <c r="D12896" t="s">
        <v>5</v>
      </c>
      <c r="F12896" t="str" cm="1">
        <f t="array" ref="F12896">CategorizeComment(E12896)</f>
        <v>Other</v>
      </c>
      <c r="G12896" t="str" cm="1">
        <f t="array" ref="G12896">SubCategorizeComment(E12896)</f>
        <v>Other</v>
      </c>
    </row>
    <row r="12897" spans="1:7" x14ac:dyDescent="0.25">
      <c r="A12897">
        <v>123318</v>
      </c>
      <c r="B12897" t="s">
        <v>4</v>
      </c>
      <c r="C12897">
        <v>4</v>
      </c>
      <c r="D12897" t="s">
        <v>5</v>
      </c>
      <c r="F12897" t="str" cm="1">
        <f t="array" ref="F12897">CategorizeComment(E12897)</f>
        <v>Other</v>
      </c>
      <c r="G12897" t="str" cm="1">
        <f t="array" ref="G12897">SubCategorizeComment(E12897)</f>
        <v>Other</v>
      </c>
    </row>
    <row r="12898" spans="1:7" x14ac:dyDescent="0.25">
      <c r="A12898">
        <v>123321</v>
      </c>
      <c r="B12898" t="s">
        <v>4</v>
      </c>
      <c r="C12898">
        <v>4</v>
      </c>
      <c r="D12898" t="s">
        <v>5</v>
      </c>
      <c r="F12898" t="str" cm="1">
        <f t="array" ref="F12898">CategorizeComment(E12898)</f>
        <v>Other</v>
      </c>
      <c r="G12898" t="str" cm="1">
        <f t="array" ref="G12898">SubCategorizeComment(E12898)</f>
        <v>Other</v>
      </c>
    </row>
    <row r="12899" spans="1:7" x14ac:dyDescent="0.25">
      <c r="A12899">
        <v>123326</v>
      </c>
      <c r="B12899" t="s">
        <v>4</v>
      </c>
      <c r="C12899">
        <v>4</v>
      </c>
      <c r="D12899" t="s">
        <v>5</v>
      </c>
      <c r="F12899" t="str" cm="1">
        <f t="array" ref="F12899">CategorizeComment(E12899)</f>
        <v>Other</v>
      </c>
      <c r="G12899" t="str" cm="1">
        <f t="array" ref="G12899">SubCategorizeComment(E12899)</f>
        <v>Other</v>
      </c>
    </row>
    <row r="12900" spans="1:7" x14ac:dyDescent="0.25">
      <c r="A12900">
        <v>123334</v>
      </c>
      <c r="B12900" t="s">
        <v>4</v>
      </c>
      <c r="C12900">
        <v>3</v>
      </c>
      <c r="D12900" t="s">
        <v>5</v>
      </c>
      <c r="F12900" t="str" cm="1">
        <f t="array" ref="F12900">CategorizeComment(E12900)</f>
        <v>Other</v>
      </c>
      <c r="G12900" t="str" cm="1">
        <f t="array" ref="G12900">SubCategorizeComment(E12900)</f>
        <v>Other</v>
      </c>
    </row>
    <row r="12901" spans="1:7" x14ac:dyDescent="0.25">
      <c r="A12901">
        <v>123341</v>
      </c>
      <c r="B12901" t="s">
        <v>4</v>
      </c>
      <c r="C12901">
        <v>4</v>
      </c>
      <c r="D12901" t="s">
        <v>5</v>
      </c>
      <c r="F12901" t="str" cm="1">
        <f t="array" ref="F12901">CategorizeComment(E12901)</f>
        <v>Other</v>
      </c>
      <c r="G12901" t="str" cm="1">
        <f t="array" ref="G12901">SubCategorizeComment(E12901)</f>
        <v>Other</v>
      </c>
    </row>
    <row r="12902" spans="1:7" x14ac:dyDescent="0.25">
      <c r="A12902">
        <v>123373</v>
      </c>
      <c r="B12902" t="s">
        <v>4</v>
      </c>
      <c r="C12902">
        <v>4</v>
      </c>
      <c r="D12902" t="s">
        <v>5</v>
      </c>
      <c r="F12902" t="str" cm="1">
        <f t="array" ref="F12902">CategorizeComment(E12902)</f>
        <v>Other</v>
      </c>
      <c r="G12902" t="str" cm="1">
        <f t="array" ref="G12902">SubCategorizeComment(E12902)</f>
        <v>Other</v>
      </c>
    </row>
    <row r="12903" spans="1:7" x14ac:dyDescent="0.25">
      <c r="A12903">
        <v>123393</v>
      </c>
      <c r="B12903" t="s">
        <v>4</v>
      </c>
      <c r="C12903">
        <v>4</v>
      </c>
      <c r="D12903" t="s">
        <v>5</v>
      </c>
      <c r="F12903" t="str" cm="1">
        <f t="array" ref="F12903">CategorizeComment(E12903)</f>
        <v>Other</v>
      </c>
      <c r="G12903" t="str" cm="1">
        <f t="array" ref="G12903">SubCategorizeComment(E12903)</f>
        <v>Other</v>
      </c>
    </row>
    <row r="12904" spans="1:7" x14ac:dyDescent="0.25">
      <c r="A12904">
        <v>123410</v>
      </c>
      <c r="B12904" t="s">
        <v>4</v>
      </c>
      <c r="C12904">
        <v>4</v>
      </c>
      <c r="D12904" t="s">
        <v>5</v>
      </c>
      <c r="F12904" t="str" cm="1">
        <f t="array" ref="F12904">CategorizeComment(E12904)</f>
        <v>Other</v>
      </c>
      <c r="G12904" t="str" cm="1">
        <f t="array" ref="G12904">SubCategorizeComment(E12904)</f>
        <v>Other</v>
      </c>
    </row>
    <row r="12905" spans="1:7" x14ac:dyDescent="0.25">
      <c r="A12905">
        <v>123422</v>
      </c>
      <c r="B12905" t="s">
        <v>4</v>
      </c>
      <c r="C12905">
        <v>4</v>
      </c>
      <c r="D12905" t="s">
        <v>5</v>
      </c>
      <c r="F12905" t="str" cm="1">
        <f t="array" ref="F12905">CategorizeComment(E12905)</f>
        <v>Other</v>
      </c>
      <c r="G12905" t="str" cm="1">
        <f t="array" ref="G12905">SubCategorizeComment(E12905)</f>
        <v>Other</v>
      </c>
    </row>
    <row r="12906" spans="1:7" x14ac:dyDescent="0.25">
      <c r="A12906">
        <v>123452</v>
      </c>
      <c r="B12906" t="s">
        <v>4</v>
      </c>
      <c r="C12906">
        <v>4</v>
      </c>
      <c r="D12906" t="s">
        <v>5</v>
      </c>
      <c r="F12906" t="str" cm="1">
        <f t="array" ref="F12906">CategorizeComment(E12906)</f>
        <v>Other</v>
      </c>
      <c r="G12906" t="str" cm="1">
        <f t="array" ref="G12906">SubCategorizeComment(E12906)</f>
        <v>Other</v>
      </c>
    </row>
    <row r="12907" spans="1:7" x14ac:dyDescent="0.25">
      <c r="A12907">
        <v>123471</v>
      </c>
      <c r="B12907" t="s">
        <v>4</v>
      </c>
      <c r="C12907">
        <v>4</v>
      </c>
      <c r="D12907" t="s">
        <v>5</v>
      </c>
      <c r="F12907" t="str" cm="1">
        <f t="array" ref="F12907">CategorizeComment(E12907)</f>
        <v>Other</v>
      </c>
      <c r="G12907" t="str" cm="1">
        <f t="array" ref="G12907">SubCategorizeComment(E12907)</f>
        <v>Other</v>
      </c>
    </row>
    <row r="12908" spans="1:7" x14ac:dyDescent="0.25">
      <c r="A12908">
        <v>123478</v>
      </c>
      <c r="B12908" t="s">
        <v>4</v>
      </c>
      <c r="C12908">
        <v>4</v>
      </c>
      <c r="D12908" t="s">
        <v>5</v>
      </c>
      <c r="F12908" t="str" cm="1">
        <f t="array" ref="F12908">CategorizeComment(E12908)</f>
        <v>Other</v>
      </c>
      <c r="G12908" t="str" cm="1">
        <f t="array" ref="G12908">SubCategorizeComment(E12908)</f>
        <v>Other</v>
      </c>
    </row>
    <row r="12909" spans="1:7" x14ac:dyDescent="0.25">
      <c r="A12909">
        <v>123503</v>
      </c>
      <c r="B12909" t="s">
        <v>4</v>
      </c>
      <c r="C12909">
        <v>4</v>
      </c>
      <c r="D12909" t="s">
        <v>5</v>
      </c>
      <c r="F12909" t="str" cm="1">
        <f t="array" ref="F12909">CategorizeComment(E12909)</f>
        <v>Other</v>
      </c>
      <c r="G12909" t="str" cm="1">
        <f t="array" ref="G12909">SubCategorizeComment(E12909)</f>
        <v>Other</v>
      </c>
    </row>
    <row r="12910" spans="1:7" x14ac:dyDescent="0.25">
      <c r="A12910">
        <v>123513</v>
      </c>
      <c r="B12910" t="s">
        <v>4</v>
      </c>
      <c r="C12910">
        <v>4</v>
      </c>
      <c r="D12910" t="s">
        <v>5</v>
      </c>
      <c r="F12910" t="str" cm="1">
        <f t="array" ref="F12910">CategorizeComment(E12910)</f>
        <v>Other</v>
      </c>
      <c r="G12910" t="str" cm="1">
        <f t="array" ref="G12910">SubCategorizeComment(E12910)</f>
        <v>Other</v>
      </c>
    </row>
    <row r="12911" spans="1:7" x14ac:dyDescent="0.25">
      <c r="A12911">
        <v>123561</v>
      </c>
      <c r="B12911" t="s">
        <v>4</v>
      </c>
      <c r="C12911">
        <v>3</v>
      </c>
      <c r="D12911" t="s">
        <v>5</v>
      </c>
      <c r="F12911" t="str" cm="1">
        <f t="array" ref="F12911">CategorizeComment(E12911)</f>
        <v>Other</v>
      </c>
      <c r="G12911" t="str" cm="1">
        <f t="array" ref="G12911">SubCategorizeComment(E12911)</f>
        <v>Other</v>
      </c>
    </row>
    <row r="12912" spans="1:7" x14ac:dyDescent="0.25">
      <c r="A12912">
        <v>123565</v>
      </c>
      <c r="B12912" t="s">
        <v>4</v>
      </c>
      <c r="C12912">
        <v>4</v>
      </c>
      <c r="D12912" t="s">
        <v>5</v>
      </c>
      <c r="F12912" t="str" cm="1">
        <f t="array" ref="F12912">CategorizeComment(E12912)</f>
        <v>Other</v>
      </c>
      <c r="G12912" t="str" cm="1">
        <f t="array" ref="G12912">SubCategorizeComment(E12912)</f>
        <v>Other</v>
      </c>
    </row>
    <row r="12913" spans="1:7" x14ac:dyDescent="0.25">
      <c r="A12913">
        <v>123567</v>
      </c>
      <c r="B12913" t="s">
        <v>4</v>
      </c>
      <c r="C12913">
        <v>4</v>
      </c>
      <c r="D12913" t="s">
        <v>5</v>
      </c>
      <c r="F12913" t="str" cm="1">
        <f t="array" ref="F12913">CategorizeComment(E12913)</f>
        <v>Other</v>
      </c>
      <c r="G12913" t="str" cm="1">
        <f t="array" ref="G12913">SubCategorizeComment(E12913)</f>
        <v>Other</v>
      </c>
    </row>
    <row r="12914" spans="1:7" x14ac:dyDescent="0.25">
      <c r="A12914">
        <v>123572</v>
      </c>
      <c r="B12914" t="s">
        <v>4</v>
      </c>
      <c r="C12914">
        <v>3</v>
      </c>
      <c r="D12914" t="s">
        <v>5</v>
      </c>
      <c r="F12914" t="str" cm="1">
        <f t="array" ref="F12914">CategorizeComment(E12914)</f>
        <v>Other</v>
      </c>
      <c r="G12914" t="str" cm="1">
        <f t="array" ref="G12914">SubCategorizeComment(E12914)</f>
        <v>Other</v>
      </c>
    </row>
    <row r="12915" spans="1:7" x14ac:dyDescent="0.25">
      <c r="A12915">
        <v>123574</v>
      </c>
      <c r="B12915" t="s">
        <v>4</v>
      </c>
      <c r="C12915">
        <v>3</v>
      </c>
      <c r="D12915" t="s">
        <v>5</v>
      </c>
      <c r="F12915" t="str" cm="1">
        <f t="array" ref="F12915">CategorizeComment(E12915)</f>
        <v>Other</v>
      </c>
      <c r="G12915" t="str" cm="1">
        <f t="array" ref="G12915">SubCategorizeComment(E12915)</f>
        <v>Other</v>
      </c>
    </row>
    <row r="12916" spans="1:7" x14ac:dyDescent="0.25">
      <c r="A12916">
        <v>123575</v>
      </c>
      <c r="B12916" t="s">
        <v>4</v>
      </c>
      <c r="C12916">
        <v>3</v>
      </c>
      <c r="D12916" t="s">
        <v>5</v>
      </c>
      <c r="F12916" t="str" cm="1">
        <f t="array" ref="F12916">CategorizeComment(E12916)</f>
        <v>Other</v>
      </c>
      <c r="G12916" t="str" cm="1">
        <f t="array" ref="G12916">SubCategorizeComment(E12916)</f>
        <v>Other</v>
      </c>
    </row>
    <row r="12917" spans="1:7" x14ac:dyDescent="0.25">
      <c r="A12917">
        <v>123580</v>
      </c>
      <c r="B12917" t="s">
        <v>4</v>
      </c>
      <c r="C12917">
        <v>4</v>
      </c>
      <c r="D12917" t="s">
        <v>5</v>
      </c>
      <c r="F12917" t="str" cm="1">
        <f t="array" ref="F12917">CategorizeComment(E12917)</f>
        <v>Other</v>
      </c>
      <c r="G12917" t="str" cm="1">
        <f t="array" ref="G12917">SubCategorizeComment(E12917)</f>
        <v>Other</v>
      </c>
    </row>
    <row r="12918" spans="1:7" x14ac:dyDescent="0.25">
      <c r="A12918">
        <v>123581</v>
      </c>
      <c r="B12918" t="s">
        <v>4</v>
      </c>
      <c r="C12918">
        <v>3</v>
      </c>
      <c r="D12918" t="s">
        <v>5</v>
      </c>
      <c r="F12918" t="str" cm="1">
        <f t="array" ref="F12918">CategorizeComment(E12918)</f>
        <v>Other</v>
      </c>
      <c r="G12918" t="str" cm="1">
        <f t="array" ref="G12918">SubCategorizeComment(E12918)</f>
        <v>Other</v>
      </c>
    </row>
    <row r="12919" spans="1:7" x14ac:dyDescent="0.25">
      <c r="A12919">
        <v>123585</v>
      </c>
      <c r="B12919" t="s">
        <v>4</v>
      </c>
      <c r="C12919">
        <v>3</v>
      </c>
      <c r="D12919" t="s">
        <v>5</v>
      </c>
      <c r="F12919" t="str" cm="1">
        <f t="array" ref="F12919">CategorizeComment(E12919)</f>
        <v>Other</v>
      </c>
      <c r="G12919" t="str" cm="1">
        <f t="array" ref="G12919">SubCategorizeComment(E12919)</f>
        <v>Other</v>
      </c>
    </row>
    <row r="12920" spans="1:7" x14ac:dyDescent="0.25">
      <c r="A12920">
        <v>123586</v>
      </c>
      <c r="B12920" t="s">
        <v>4</v>
      </c>
      <c r="C12920">
        <v>3</v>
      </c>
      <c r="D12920" t="s">
        <v>5</v>
      </c>
      <c r="F12920" t="str" cm="1">
        <f t="array" ref="F12920">CategorizeComment(E12920)</f>
        <v>Other</v>
      </c>
      <c r="G12920" t="str" cm="1">
        <f t="array" ref="G12920">SubCategorizeComment(E12920)</f>
        <v>Other</v>
      </c>
    </row>
    <row r="12921" spans="1:7" x14ac:dyDescent="0.25">
      <c r="A12921">
        <v>123603</v>
      </c>
      <c r="B12921" t="s">
        <v>4</v>
      </c>
      <c r="C12921">
        <v>3</v>
      </c>
      <c r="D12921" t="s">
        <v>5</v>
      </c>
      <c r="F12921" t="str" cm="1">
        <f t="array" ref="F12921">CategorizeComment(E12921)</f>
        <v>Other</v>
      </c>
      <c r="G12921" t="str" cm="1">
        <f t="array" ref="G12921">SubCategorizeComment(E12921)</f>
        <v>Other</v>
      </c>
    </row>
    <row r="12922" spans="1:7" x14ac:dyDescent="0.25">
      <c r="A12922">
        <v>123604</v>
      </c>
      <c r="B12922" t="s">
        <v>4</v>
      </c>
      <c r="C12922">
        <v>4</v>
      </c>
      <c r="D12922" t="s">
        <v>5</v>
      </c>
      <c r="F12922" t="str" cm="1">
        <f t="array" ref="F12922">CategorizeComment(E12922)</f>
        <v>Other</v>
      </c>
      <c r="G12922" t="str" cm="1">
        <f t="array" ref="G12922">SubCategorizeComment(E12922)</f>
        <v>Other</v>
      </c>
    </row>
    <row r="12923" spans="1:7" x14ac:dyDescent="0.25">
      <c r="A12923">
        <v>123606</v>
      </c>
      <c r="B12923" t="s">
        <v>4</v>
      </c>
      <c r="C12923">
        <v>4</v>
      </c>
      <c r="D12923" t="s">
        <v>5</v>
      </c>
      <c r="F12923" t="str" cm="1">
        <f t="array" ref="F12923">CategorizeComment(E12923)</f>
        <v>Other</v>
      </c>
      <c r="G12923" t="str" cm="1">
        <f t="array" ref="G12923">SubCategorizeComment(E12923)</f>
        <v>Other</v>
      </c>
    </row>
    <row r="12924" spans="1:7" x14ac:dyDescent="0.25">
      <c r="A12924">
        <v>123615</v>
      </c>
      <c r="B12924" t="s">
        <v>4</v>
      </c>
      <c r="C12924">
        <v>3</v>
      </c>
      <c r="D12924" t="s">
        <v>5</v>
      </c>
      <c r="F12924" t="str" cm="1">
        <f t="array" ref="F12924">CategorizeComment(E12924)</f>
        <v>Other</v>
      </c>
      <c r="G12924" t="str" cm="1">
        <f t="array" ref="G12924">SubCategorizeComment(E12924)</f>
        <v>Other</v>
      </c>
    </row>
    <row r="12925" spans="1:7" x14ac:dyDescent="0.25">
      <c r="A12925">
        <v>123620</v>
      </c>
      <c r="B12925" t="s">
        <v>4</v>
      </c>
      <c r="C12925">
        <v>3</v>
      </c>
      <c r="D12925" t="s">
        <v>5</v>
      </c>
      <c r="F12925" t="str" cm="1">
        <f t="array" ref="F12925">CategorizeComment(E12925)</f>
        <v>Other</v>
      </c>
      <c r="G12925" t="str" cm="1">
        <f t="array" ref="G12925">SubCategorizeComment(E12925)</f>
        <v>Other</v>
      </c>
    </row>
    <row r="12926" spans="1:7" x14ac:dyDescent="0.25">
      <c r="A12926">
        <v>123662</v>
      </c>
      <c r="B12926" t="s">
        <v>4</v>
      </c>
      <c r="C12926">
        <v>4</v>
      </c>
      <c r="D12926" t="s">
        <v>5</v>
      </c>
      <c r="F12926" t="str" cm="1">
        <f t="array" ref="F12926">CategorizeComment(E12926)</f>
        <v>Other</v>
      </c>
      <c r="G12926" t="str" cm="1">
        <f t="array" ref="G12926">SubCategorizeComment(E12926)</f>
        <v>Other</v>
      </c>
    </row>
    <row r="12927" spans="1:7" x14ac:dyDescent="0.25">
      <c r="A12927">
        <v>123666</v>
      </c>
      <c r="B12927" t="s">
        <v>4</v>
      </c>
      <c r="C12927">
        <v>4</v>
      </c>
      <c r="D12927" t="s">
        <v>5</v>
      </c>
      <c r="F12927" t="str" cm="1">
        <f t="array" ref="F12927">CategorizeComment(E12927)</f>
        <v>Other</v>
      </c>
      <c r="G12927" t="str" cm="1">
        <f t="array" ref="G12927">SubCategorizeComment(E12927)</f>
        <v>Other</v>
      </c>
    </row>
    <row r="12928" spans="1:7" x14ac:dyDescent="0.25">
      <c r="A12928">
        <v>123693</v>
      </c>
      <c r="B12928" t="s">
        <v>4</v>
      </c>
      <c r="C12928">
        <v>4</v>
      </c>
      <c r="D12928" t="s">
        <v>5</v>
      </c>
      <c r="F12928" t="str" cm="1">
        <f t="array" ref="F12928">CategorizeComment(E12928)</f>
        <v>Other</v>
      </c>
      <c r="G12928" t="str" cm="1">
        <f t="array" ref="G12928">SubCategorizeComment(E12928)</f>
        <v>Other</v>
      </c>
    </row>
    <row r="12929" spans="1:7" x14ac:dyDescent="0.25">
      <c r="A12929">
        <v>123701</v>
      </c>
      <c r="B12929" t="s">
        <v>4</v>
      </c>
      <c r="C12929">
        <v>4</v>
      </c>
      <c r="D12929" t="s">
        <v>5</v>
      </c>
      <c r="F12929" t="str" cm="1">
        <f t="array" ref="F12929">CategorizeComment(E12929)</f>
        <v>Other</v>
      </c>
      <c r="G12929" t="str" cm="1">
        <f t="array" ref="G12929">SubCategorizeComment(E12929)</f>
        <v>Other</v>
      </c>
    </row>
    <row r="12930" spans="1:7" x14ac:dyDescent="0.25">
      <c r="A12930">
        <v>123706</v>
      </c>
      <c r="B12930" t="s">
        <v>4</v>
      </c>
      <c r="C12930">
        <v>4</v>
      </c>
      <c r="D12930" t="s">
        <v>5</v>
      </c>
      <c r="F12930" t="str" cm="1">
        <f t="array" ref="F12930">CategorizeComment(E12930)</f>
        <v>Other</v>
      </c>
      <c r="G12930" t="str" cm="1">
        <f t="array" ref="G12930">SubCategorizeComment(E12930)</f>
        <v>Other</v>
      </c>
    </row>
    <row r="12931" spans="1:7" x14ac:dyDescent="0.25">
      <c r="A12931">
        <v>123708</v>
      </c>
      <c r="B12931" t="s">
        <v>4</v>
      </c>
      <c r="C12931">
        <v>4</v>
      </c>
      <c r="D12931" t="s">
        <v>5</v>
      </c>
      <c r="F12931" t="str" cm="1">
        <f t="array" ref="F12931">CategorizeComment(E12931)</f>
        <v>Other</v>
      </c>
      <c r="G12931" t="str" cm="1">
        <f t="array" ref="G12931">SubCategorizeComment(E12931)</f>
        <v>Other</v>
      </c>
    </row>
    <row r="12932" spans="1:7" x14ac:dyDescent="0.25">
      <c r="A12932">
        <v>123709</v>
      </c>
      <c r="B12932" t="s">
        <v>4</v>
      </c>
      <c r="C12932">
        <v>4</v>
      </c>
      <c r="D12932" t="s">
        <v>5</v>
      </c>
      <c r="F12932" t="str" cm="1">
        <f t="array" ref="F12932">CategorizeComment(E12932)</f>
        <v>Other</v>
      </c>
      <c r="G12932" t="str" cm="1">
        <f t="array" ref="G12932">SubCategorizeComment(E12932)</f>
        <v>Other</v>
      </c>
    </row>
    <row r="12933" spans="1:7" x14ac:dyDescent="0.25">
      <c r="A12933">
        <v>123719</v>
      </c>
      <c r="B12933" t="s">
        <v>4</v>
      </c>
      <c r="C12933">
        <v>4</v>
      </c>
      <c r="D12933" t="s">
        <v>5</v>
      </c>
      <c r="F12933" t="str" cm="1">
        <f t="array" ref="F12933">CategorizeComment(E12933)</f>
        <v>Other</v>
      </c>
      <c r="G12933" t="str" cm="1">
        <f t="array" ref="G12933">SubCategorizeComment(E12933)</f>
        <v>Other</v>
      </c>
    </row>
    <row r="12934" spans="1:7" x14ac:dyDescent="0.25">
      <c r="A12934">
        <v>123725</v>
      </c>
      <c r="B12934" t="s">
        <v>4</v>
      </c>
      <c r="C12934">
        <v>4</v>
      </c>
      <c r="D12934" t="s">
        <v>5</v>
      </c>
      <c r="F12934" t="str" cm="1">
        <f t="array" ref="F12934">CategorizeComment(E12934)</f>
        <v>Other</v>
      </c>
      <c r="G12934" t="str" cm="1">
        <f t="array" ref="G12934">SubCategorizeComment(E12934)</f>
        <v>Other</v>
      </c>
    </row>
    <row r="12935" spans="1:7" x14ac:dyDescent="0.25">
      <c r="A12935">
        <v>123728</v>
      </c>
      <c r="B12935" t="s">
        <v>4</v>
      </c>
      <c r="C12935">
        <v>4</v>
      </c>
      <c r="D12935" t="s">
        <v>5</v>
      </c>
      <c r="F12935" t="str" cm="1">
        <f t="array" ref="F12935">CategorizeComment(E12935)</f>
        <v>Other</v>
      </c>
      <c r="G12935" t="str" cm="1">
        <f t="array" ref="G12935">SubCategorizeComment(E12935)</f>
        <v>Other</v>
      </c>
    </row>
    <row r="12936" spans="1:7" x14ac:dyDescent="0.25">
      <c r="A12936">
        <v>123770</v>
      </c>
      <c r="B12936" t="s">
        <v>4</v>
      </c>
      <c r="C12936">
        <v>4</v>
      </c>
      <c r="D12936" t="s">
        <v>5</v>
      </c>
      <c r="F12936" t="str" cm="1">
        <f t="array" ref="F12936">CategorizeComment(E12936)</f>
        <v>Other</v>
      </c>
      <c r="G12936" t="str" cm="1">
        <f t="array" ref="G12936">SubCategorizeComment(E12936)</f>
        <v>Other</v>
      </c>
    </row>
    <row r="12937" spans="1:7" x14ac:dyDescent="0.25">
      <c r="A12937">
        <v>123772</v>
      </c>
      <c r="B12937" t="s">
        <v>4</v>
      </c>
      <c r="C12937">
        <v>3</v>
      </c>
      <c r="D12937" t="s">
        <v>5</v>
      </c>
      <c r="F12937" t="str" cm="1">
        <f t="array" ref="F12937">CategorizeComment(E12937)</f>
        <v>Other</v>
      </c>
      <c r="G12937" t="str" cm="1">
        <f t="array" ref="G12937">SubCategorizeComment(E12937)</f>
        <v>Other</v>
      </c>
    </row>
    <row r="12938" spans="1:7" x14ac:dyDescent="0.25">
      <c r="A12938">
        <v>123774</v>
      </c>
      <c r="B12938" t="s">
        <v>4</v>
      </c>
      <c r="C12938">
        <v>4</v>
      </c>
      <c r="D12938" t="s">
        <v>5</v>
      </c>
      <c r="F12938" t="str" cm="1">
        <f t="array" ref="F12938">CategorizeComment(E12938)</f>
        <v>Other</v>
      </c>
      <c r="G12938" t="str" cm="1">
        <f t="array" ref="G12938">SubCategorizeComment(E12938)</f>
        <v>Other</v>
      </c>
    </row>
    <row r="12939" spans="1:7" x14ac:dyDescent="0.25">
      <c r="A12939">
        <v>123793</v>
      </c>
      <c r="B12939" t="s">
        <v>4</v>
      </c>
      <c r="C12939">
        <v>4</v>
      </c>
      <c r="D12939" t="s">
        <v>5</v>
      </c>
      <c r="F12939" t="str" cm="1">
        <f t="array" ref="F12939">CategorizeComment(E12939)</f>
        <v>Other</v>
      </c>
      <c r="G12939" t="str" cm="1">
        <f t="array" ref="G12939">SubCategorizeComment(E12939)</f>
        <v>Other</v>
      </c>
    </row>
    <row r="12940" spans="1:7" x14ac:dyDescent="0.25">
      <c r="A12940">
        <v>123807</v>
      </c>
      <c r="B12940" t="s">
        <v>4</v>
      </c>
      <c r="C12940">
        <v>4</v>
      </c>
      <c r="D12940" t="s">
        <v>5</v>
      </c>
      <c r="F12940" t="str" cm="1">
        <f t="array" ref="F12940">CategorizeComment(E12940)</f>
        <v>Other</v>
      </c>
      <c r="G12940" t="str" cm="1">
        <f t="array" ref="G12940">SubCategorizeComment(E12940)</f>
        <v>Other</v>
      </c>
    </row>
    <row r="12941" spans="1:7" x14ac:dyDescent="0.25">
      <c r="A12941">
        <v>123821</v>
      </c>
      <c r="B12941" t="s">
        <v>4</v>
      </c>
      <c r="C12941">
        <v>4</v>
      </c>
      <c r="D12941" t="s">
        <v>5</v>
      </c>
      <c r="F12941" t="str" cm="1">
        <f t="array" ref="F12941">CategorizeComment(E12941)</f>
        <v>Other</v>
      </c>
      <c r="G12941" t="str" cm="1">
        <f t="array" ref="G12941">SubCategorizeComment(E12941)</f>
        <v>Other</v>
      </c>
    </row>
    <row r="12942" spans="1:7" x14ac:dyDescent="0.25">
      <c r="A12942">
        <v>123822</v>
      </c>
      <c r="B12942" t="s">
        <v>4</v>
      </c>
      <c r="C12942">
        <v>4</v>
      </c>
      <c r="D12942" t="s">
        <v>5</v>
      </c>
      <c r="F12942" t="str" cm="1">
        <f t="array" ref="F12942">CategorizeComment(E12942)</f>
        <v>Other</v>
      </c>
      <c r="G12942" t="str" cm="1">
        <f t="array" ref="G12942">SubCategorizeComment(E12942)</f>
        <v>Other</v>
      </c>
    </row>
    <row r="12943" spans="1:7" x14ac:dyDescent="0.25">
      <c r="A12943">
        <v>123824</v>
      </c>
      <c r="B12943" t="s">
        <v>4</v>
      </c>
      <c r="C12943">
        <v>4</v>
      </c>
      <c r="D12943" t="s">
        <v>5</v>
      </c>
      <c r="F12943" t="str" cm="1">
        <f t="array" ref="F12943">CategorizeComment(E12943)</f>
        <v>Other</v>
      </c>
      <c r="G12943" t="str" cm="1">
        <f t="array" ref="G12943">SubCategorizeComment(E12943)</f>
        <v>Other</v>
      </c>
    </row>
    <row r="12944" spans="1:7" x14ac:dyDescent="0.25">
      <c r="A12944">
        <v>123843</v>
      </c>
      <c r="B12944" t="s">
        <v>4</v>
      </c>
      <c r="C12944">
        <v>3</v>
      </c>
      <c r="D12944" t="s">
        <v>5</v>
      </c>
      <c r="F12944" t="str" cm="1">
        <f t="array" ref="F12944">CategorizeComment(E12944)</f>
        <v>Other</v>
      </c>
      <c r="G12944" t="str" cm="1">
        <f t="array" ref="G12944">SubCategorizeComment(E12944)</f>
        <v>Other</v>
      </c>
    </row>
    <row r="12945" spans="1:7" x14ac:dyDescent="0.25">
      <c r="A12945">
        <v>123856</v>
      </c>
      <c r="B12945" t="s">
        <v>4</v>
      </c>
      <c r="C12945">
        <v>3</v>
      </c>
      <c r="D12945" t="s">
        <v>5</v>
      </c>
      <c r="F12945" t="str" cm="1">
        <f t="array" ref="F12945">CategorizeComment(E12945)</f>
        <v>Other</v>
      </c>
      <c r="G12945" t="str" cm="1">
        <f t="array" ref="G12945">SubCategorizeComment(E12945)</f>
        <v>Other</v>
      </c>
    </row>
    <row r="12946" spans="1:7" x14ac:dyDescent="0.25">
      <c r="A12946">
        <v>123863</v>
      </c>
      <c r="B12946" t="s">
        <v>4</v>
      </c>
      <c r="C12946">
        <v>3</v>
      </c>
      <c r="D12946" t="s">
        <v>5</v>
      </c>
      <c r="F12946" t="str" cm="1">
        <f t="array" ref="F12946">CategorizeComment(E12946)</f>
        <v>Other</v>
      </c>
      <c r="G12946" t="str" cm="1">
        <f t="array" ref="G12946">SubCategorizeComment(E12946)</f>
        <v>Other</v>
      </c>
    </row>
    <row r="12947" spans="1:7" x14ac:dyDescent="0.25">
      <c r="A12947">
        <v>123864</v>
      </c>
      <c r="B12947" t="s">
        <v>4</v>
      </c>
      <c r="C12947">
        <v>4</v>
      </c>
      <c r="D12947" t="s">
        <v>5</v>
      </c>
      <c r="F12947" t="str" cm="1">
        <f t="array" ref="F12947">CategorizeComment(E12947)</f>
        <v>Other</v>
      </c>
      <c r="G12947" t="str" cm="1">
        <f t="array" ref="G12947">SubCategorizeComment(E12947)</f>
        <v>Other</v>
      </c>
    </row>
    <row r="12948" spans="1:7" x14ac:dyDescent="0.25">
      <c r="A12948">
        <v>123866</v>
      </c>
      <c r="B12948" t="s">
        <v>4</v>
      </c>
      <c r="C12948">
        <v>4</v>
      </c>
      <c r="D12948" t="s">
        <v>5</v>
      </c>
      <c r="F12948" t="str" cm="1">
        <f t="array" ref="F12948">CategorizeComment(E12948)</f>
        <v>Other</v>
      </c>
      <c r="G12948" t="str" cm="1">
        <f t="array" ref="G12948">SubCategorizeComment(E12948)</f>
        <v>Other</v>
      </c>
    </row>
    <row r="12949" spans="1:7" x14ac:dyDescent="0.25">
      <c r="A12949">
        <v>123886</v>
      </c>
      <c r="B12949" t="s">
        <v>4</v>
      </c>
      <c r="C12949">
        <v>4</v>
      </c>
      <c r="D12949" t="s">
        <v>5</v>
      </c>
      <c r="F12949" t="str" cm="1">
        <f t="array" ref="F12949">CategorizeComment(E12949)</f>
        <v>Other</v>
      </c>
      <c r="G12949" t="str" cm="1">
        <f t="array" ref="G12949">SubCategorizeComment(E12949)</f>
        <v>Other</v>
      </c>
    </row>
    <row r="12950" spans="1:7" x14ac:dyDescent="0.25">
      <c r="A12950">
        <v>123910</v>
      </c>
      <c r="B12950" t="s">
        <v>4</v>
      </c>
      <c r="C12950">
        <v>3</v>
      </c>
      <c r="D12950" t="s">
        <v>5</v>
      </c>
      <c r="F12950" t="str" cm="1">
        <f t="array" ref="F12950">CategorizeComment(E12950)</f>
        <v>Other</v>
      </c>
      <c r="G12950" t="str" cm="1">
        <f t="array" ref="G12950">SubCategorizeComment(E12950)</f>
        <v>Other</v>
      </c>
    </row>
    <row r="12951" spans="1:7" x14ac:dyDescent="0.25">
      <c r="A12951">
        <v>123914</v>
      </c>
      <c r="B12951" t="s">
        <v>4</v>
      </c>
      <c r="C12951">
        <v>4</v>
      </c>
      <c r="D12951" t="s">
        <v>5</v>
      </c>
      <c r="F12951" t="str" cm="1">
        <f t="array" ref="F12951">CategorizeComment(E12951)</f>
        <v>Other</v>
      </c>
      <c r="G12951" t="str" cm="1">
        <f t="array" ref="G12951">SubCategorizeComment(E12951)</f>
        <v>Other</v>
      </c>
    </row>
    <row r="12952" spans="1:7" x14ac:dyDescent="0.25">
      <c r="A12952">
        <v>123937</v>
      </c>
      <c r="B12952" t="s">
        <v>4</v>
      </c>
      <c r="C12952">
        <v>3</v>
      </c>
      <c r="D12952" t="s">
        <v>5</v>
      </c>
      <c r="F12952" t="str" cm="1">
        <f t="array" ref="F12952">CategorizeComment(E12952)</f>
        <v>Other</v>
      </c>
      <c r="G12952" t="str" cm="1">
        <f t="array" ref="G12952">SubCategorizeComment(E12952)</f>
        <v>Other</v>
      </c>
    </row>
    <row r="12953" spans="1:7" x14ac:dyDescent="0.25">
      <c r="A12953">
        <v>123953</v>
      </c>
      <c r="B12953" t="s">
        <v>4</v>
      </c>
      <c r="C12953">
        <v>4</v>
      </c>
      <c r="D12953" t="s">
        <v>5</v>
      </c>
      <c r="F12953" t="str" cm="1">
        <f t="array" ref="F12953">CategorizeComment(E12953)</f>
        <v>Other</v>
      </c>
      <c r="G12953" t="str" cm="1">
        <f t="array" ref="G12953">SubCategorizeComment(E12953)</f>
        <v>Other</v>
      </c>
    </row>
    <row r="12954" spans="1:7" x14ac:dyDescent="0.25">
      <c r="A12954">
        <v>123993</v>
      </c>
      <c r="B12954" t="s">
        <v>4</v>
      </c>
      <c r="C12954">
        <v>3</v>
      </c>
      <c r="D12954" t="s">
        <v>5</v>
      </c>
      <c r="F12954" t="str" cm="1">
        <f t="array" ref="F12954">CategorizeComment(E12954)</f>
        <v>Other</v>
      </c>
      <c r="G12954" t="str" cm="1">
        <f t="array" ref="G12954">SubCategorizeComment(E12954)</f>
        <v>Other</v>
      </c>
    </row>
    <row r="12955" spans="1:7" x14ac:dyDescent="0.25">
      <c r="A12955">
        <v>124002</v>
      </c>
      <c r="B12955" t="s">
        <v>4</v>
      </c>
      <c r="C12955">
        <v>3</v>
      </c>
      <c r="D12955" t="s">
        <v>5</v>
      </c>
      <c r="F12955" t="str" cm="1">
        <f t="array" ref="F12955">CategorizeComment(E12955)</f>
        <v>Other</v>
      </c>
      <c r="G12955" t="str" cm="1">
        <f t="array" ref="G12955">SubCategorizeComment(E12955)</f>
        <v>Other</v>
      </c>
    </row>
    <row r="12956" spans="1:7" x14ac:dyDescent="0.25">
      <c r="A12956">
        <v>124004</v>
      </c>
      <c r="B12956" t="s">
        <v>4</v>
      </c>
      <c r="C12956">
        <v>3</v>
      </c>
      <c r="D12956" t="s">
        <v>5</v>
      </c>
      <c r="F12956" t="str" cm="1">
        <f t="array" ref="F12956">CategorizeComment(E12956)</f>
        <v>Other</v>
      </c>
      <c r="G12956" t="str" cm="1">
        <f t="array" ref="G12956">SubCategorizeComment(E12956)</f>
        <v>Other</v>
      </c>
    </row>
    <row r="12957" spans="1:7" x14ac:dyDescent="0.25">
      <c r="A12957">
        <v>124007</v>
      </c>
      <c r="B12957" t="s">
        <v>4</v>
      </c>
      <c r="C12957">
        <v>4</v>
      </c>
      <c r="D12957" t="s">
        <v>5</v>
      </c>
      <c r="F12957" t="str" cm="1">
        <f t="array" ref="F12957">CategorizeComment(E12957)</f>
        <v>Other</v>
      </c>
      <c r="G12957" t="str" cm="1">
        <f t="array" ref="G12957">SubCategorizeComment(E12957)</f>
        <v>Other</v>
      </c>
    </row>
    <row r="12958" spans="1:7" x14ac:dyDescent="0.25">
      <c r="A12958">
        <v>124013</v>
      </c>
      <c r="B12958" t="s">
        <v>4</v>
      </c>
      <c r="C12958">
        <v>4</v>
      </c>
      <c r="D12958" t="s">
        <v>5</v>
      </c>
      <c r="F12958" t="str" cm="1">
        <f t="array" ref="F12958">CategorizeComment(E12958)</f>
        <v>Other</v>
      </c>
      <c r="G12958" t="str" cm="1">
        <f t="array" ref="G12958">SubCategorizeComment(E12958)</f>
        <v>Other</v>
      </c>
    </row>
    <row r="12959" spans="1:7" x14ac:dyDescent="0.25">
      <c r="A12959">
        <v>124028</v>
      </c>
      <c r="B12959" t="s">
        <v>4</v>
      </c>
      <c r="C12959">
        <v>3</v>
      </c>
      <c r="D12959" t="s">
        <v>5</v>
      </c>
      <c r="F12959" t="str" cm="1">
        <f t="array" ref="F12959">CategorizeComment(E12959)</f>
        <v>Other</v>
      </c>
      <c r="G12959" t="str" cm="1">
        <f t="array" ref="G12959">SubCategorizeComment(E12959)</f>
        <v>Other</v>
      </c>
    </row>
    <row r="12960" spans="1:7" x14ac:dyDescent="0.25">
      <c r="A12960">
        <v>124035</v>
      </c>
      <c r="B12960" t="s">
        <v>4</v>
      </c>
      <c r="C12960">
        <v>4</v>
      </c>
      <c r="D12960" t="s">
        <v>5</v>
      </c>
      <c r="F12960" t="str" cm="1">
        <f t="array" ref="F12960">CategorizeComment(E12960)</f>
        <v>Other</v>
      </c>
      <c r="G12960" t="str" cm="1">
        <f t="array" ref="G12960">SubCategorizeComment(E12960)</f>
        <v>Other</v>
      </c>
    </row>
    <row r="12961" spans="1:7" x14ac:dyDescent="0.25">
      <c r="A12961">
        <v>124046</v>
      </c>
      <c r="B12961" t="s">
        <v>4</v>
      </c>
      <c r="C12961">
        <v>4</v>
      </c>
      <c r="D12961" t="s">
        <v>5</v>
      </c>
      <c r="F12961" t="str" cm="1">
        <f t="array" ref="F12961">CategorizeComment(E12961)</f>
        <v>Other</v>
      </c>
      <c r="G12961" t="str" cm="1">
        <f t="array" ref="G12961">SubCategorizeComment(E12961)</f>
        <v>Other</v>
      </c>
    </row>
    <row r="12962" spans="1:7" x14ac:dyDescent="0.25">
      <c r="A12962">
        <v>124050</v>
      </c>
      <c r="B12962" t="s">
        <v>4</v>
      </c>
      <c r="C12962">
        <v>4</v>
      </c>
      <c r="D12962" t="s">
        <v>5</v>
      </c>
      <c r="F12962" t="str" cm="1">
        <f t="array" ref="F12962">CategorizeComment(E12962)</f>
        <v>Other</v>
      </c>
      <c r="G12962" t="str" cm="1">
        <f t="array" ref="G12962">SubCategorizeComment(E12962)</f>
        <v>Other</v>
      </c>
    </row>
    <row r="12963" spans="1:7" x14ac:dyDescent="0.25">
      <c r="A12963">
        <v>124065</v>
      </c>
      <c r="B12963" t="s">
        <v>4</v>
      </c>
      <c r="C12963">
        <v>4</v>
      </c>
      <c r="D12963" t="s">
        <v>5</v>
      </c>
      <c r="F12963" t="str" cm="1">
        <f t="array" ref="F12963">CategorizeComment(E12963)</f>
        <v>Other</v>
      </c>
      <c r="G12963" t="str" cm="1">
        <f t="array" ref="G12963">SubCategorizeComment(E12963)</f>
        <v>Other</v>
      </c>
    </row>
    <row r="12964" spans="1:7" x14ac:dyDescent="0.25">
      <c r="A12964">
        <v>124076</v>
      </c>
      <c r="B12964" t="s">
        <v>4</v>
      </c>
      <c r="C12964">
        <v>3</v>
      </c>
      <c r="D12964" t="s">
        <v>5</v>
      </c>
      <c r="F12964" t="str" cm="1">
        <f t="array" ref="F12964">CategorizeComment(E12964)</f>
        <v>Other</v>
      </c>
      <c r="G12964" t="str" cm="1">
        <f t="array" ref="G12964">SubCategorizeComment(E12964)</f>
        <v>Other</v>
      </c>
    </row>
    <row r="12965" spans="1:7" x14ac:dyDescent="0.25">
      <c r="A12965">
        <v>124077</v>
      </c>
      <c r="B12965" t="s">
        <v>4</v>
      </c>
      <c r="C12965">
        <v>3</v>
      </c>
      <c r="D12965" t="s">
        <v>5</v>
      </c>
      <c r="F12965" t="str" cm="1">
        <f t="array" ref="F12965">CategorizeComment(E12965)</f>
        <v>Other</v>
      </c>
      <c r="G12965" t="str" cm="1">
        <f t="array" ref="G12965">SubCategorizeComment(E12965)</f>
        <v>Other</v>
      </c>
    </row>
    <row r="12966" spans="1:7" x14ac:dyDescent="0.25">
      <c r="A12966">
        <v>124079</v>
      </c>
      <c r="B12966" t="s">
        <v>4</v>
      </c>
      <c r="C12966">
        <v>3</v>
      </c>
      <c r="D12966" t="s">
        <v>5</v>
      </c>
      <c r="F12966" t="str" cm="1">
        <f t="array" ref="F12966">CategorizeComment(E12966)</f>
        <v>Other</v>
      </c>
      <c r="G12966" t="str" cm="1">
        <f t="array" ref="G12966">SubCategorizeComment(E12966)</f>
        <v>Other</v>
      </c>
    </row>
    <row r="12967" spans="1:7" x14ac:dyDescent="0.25">
      <c r="A12967">
        <v>124120</v>
      </c>
      <c r="B12967" t="s">
        <v>4</v>
      </c>
      <c r="C12967">
        <v>4</v>
      </c>
      <c r="D12967" t="s">
        <v>5</v>
      </c>
      <c r="F12967" t="str" cm="1">
        <f t="array" ref="F12967">CategorizeComment(E12967)</f>
        <v>Other</v>
      </c>
      <c r="G12967" t="str" cm="1">
        <f t="array" ref="G12967">SubCategorizeComment(E12967)</f>
        <v>Other</v>
      </c>
    </row>
    <row r="12968" spans="1:7" x14ac:dyDescent="0.25">
      <c r="A12968">
        <v>124127</v>
      </c>
      <c r="B12968" t="s">
        <v>4</v>
      </c>
      <c r="C12968">
        <v>4</v>
      </c>
      <c r="D12968" t="s">
        <v>5</v>
      </c>
      <c r="F12968" t="str" cm="1">
        <f t="array" ref="F12968">CategorizeComment(E12968)</f>
        <v>Other</v>
      </c>
      <c r="G12968" t="str" cm="1">
        <f t="array" ref="G12968">SubCategorizeComment(E12968)</f>
        <v>Other</v>
      </c>
    </row>
    <row r="12969" spans="1:7" x14ac:dyDescent="0.25">
      <c r="A12969">
        <v>124130</v>
      </c>
      <c r="B12969" t="s">
        <v>4</v>
      </c>
      <c r="C12969">
        <v>3</v>
      </c>
      <c r="D12969" t="s">
        <v>5</v>
      </c>
      <c r="F12969" t="str" cm="1">
        <f t="array" ref="F12969">CategorizeComment(E12969)</f>
        <v>Other</v>
      </c>
      <c r="G12969" t="str" cm="1">
        <f t="array" ref="G12969">SubCategorizeComment(E12969)</f>
        <v>Other</v>
      </c>
    </row>
    <row r="12970" spans="1:7" x14ac:dyDescent="0.25">
      <c r="A12970">
        <v>124138</v>
      </c>
      <c r="B12970" t="s">
        <v>4</v>
      </c>
      <c r="C12970">
        <v>4</v>
      </c>
      <c r="D12970" t="s">
        <v>5</v>
      </c>
      <c r="F12970" t="str" cm="1">
        <f t="array" ref="F12970">CategorizeComment(E12970)</f>
        <v>Other</v>
      </c>
      <c r="G12970" t="str" cm="1">
        <f t="array" ref="G12970">SubCategorizeComment(E12970)</f>
        <v>Other</v>
      </c>
    </row>
    <row r="12971" spans="1:7" x14ac:dyDescent="0.25">
      <c r="A12971">
        <v>124148</v>
      </c>
      <c r="B12971" t="s">
        <v>4</v>
      </c>
      <c r="C12971">
        <v>4</v>
      </c>
      <c r="D12971" t="s">
        <v>5</v>
      </c>
      <c r="F12971" t="str" cm="1">
        <f t="array" ref="F12971">CategorizeComment(E12971)</f>
        <v>Other</v>
      </c>
      <c r="G12971" t="str" cm="1">
        <f t="array" ref="G12971">SubCategorizeComment(E12971)</f>
        <v>Other</v>
      </c>
    </row>
    <row r="12972" spans="1:7" x14ac:dyDescent="0.25">
      <c r="A12972">
        <v>124163</v>
      </c>
      <c r="B12972" t="s">
        <v>4</v>
      </c>
      <c r="C12972">
        <v>4</v>
      </c>
      <c r="D12972" t="s">
        <v>5</v>
      </c>
      <c r="F12972" t="str" cm="1">
        <f t="array" ref="F12972">CategorizeComment(E12972)</f>
        <v>Other</v>
      </c>
      <c r="G12972" t="str" cm="1">
        <f t="array" ref="G12972">SubCategorizeComment(E12972)</f>
        <v>Other</v>
      </c>
    </row>
    <row r="12973" spans="1:7" x14ac:dyDescent="0.25">
      <c r="A12973">
        <v>124169</v>
      </c>
      <c r="B12973" t="s">
        <v>4</v>
      </c>
      <c r="C12973">
        <v>3</v>
      </c>
      <c r="D12973" t="s">
        <v>5</v>
      </c>
      <c r="F12973" t="str" cm="1">
        <f t="array" ref="F12973">CategorizeComment(E12973)</f>
        <v>Other</v>
      </c>
      <c r="G12973" t="str" cm="1">
        <f t="array" ref="G12973">SubCategorizeComment(E12973)</f>
        <v>Other</v>
      </c>
    </row>
    <row r="12974" spans="1:7" x14ac:dyDescent="0.25">
      <c r="A12974">
        <v>124170</v>
      </c>
      <c r="B12974" t="s">
        <v>4</v>
      </c>
      <c r="C12974">
        <v>3</v>
      </c>
      <c r="D12974" t="s">
        <v>5</v>
      </c>
      <c r="F12974" t="str" cm="1">
        <f t="array" ref="F12974">CategorizeComment(E12974)</f>
        <v>Other</v>
      </c>
      <c r="G12974" t="str" cm="1">
        <f t="array" ref="G12974">SubCategorizeComment(E12974)</f>
        <v>Other</v>
      </c>
    </row>
    <row r="12975" spans="1:7" x14ac:dyDescent="0.25">
      <c r="A12975">
        <v>124173</v>
      </c>
      <c r="B12975" t="s">
        <v>4</v>
      </c>
      <c r="C12975">
        <v>3</v>
      </c>
      <c r="D12975" t="s">
        <v>5</v>
      </c>
      <c r="F12975" t="str" cm="1">
        <f t="array" ref="F12975">CategorizeComment(E12975)</f>
        <v>Other</v>
      </c>
      <c r="G12975" t="str" cm="1">
        <f t="array" ref="G12975">SubCategorizeComment(E12975)</f>
        <v>Other</v>
      </c>
    </row>
    <row r="12976" spans="1:7" x14ac:dyDescent="0.25">
      <c r="A12976">
        <v>124175</v>
      </c>
      <c r="B12976" t="s">
        <v>4</v>
      </c>
      <c r="C12976">
        <v>4</v>
      </c>
      <c r="D12976" t="s">
        <v>5</v>
      </c>
      <c r="F12976" t="str" cm="1">
        <f t="array" ref="F12976">CategorizeComment(E12976)</f>
        <v>Other</v>
      </c>
      <c r="G12976" t="str" cm="1">
        <f t="array" ref="G12976">SubCategorizeComment(E12976)</f>
        <v>Other</v>
      </c>
    </row>
    <row r="12977" spans="1:7" x14ac:dyDescent="0.25">
      <c r="A12977">
        <v>124177</v>
      </c>
      <c r="B12977" t="s">
        <v>4</v>
      </c>
      <c r="C12977">
        <v>4</v>
      </c>
      <c r="D12977" t="s">
        <v>5</v>
      </c>
      <c r="F12977" t="str" cm="1">
        <f t="array" ref="F12977">CategorizeComment(E12977)</f>
        <v>Other</v>
      </c>
      <c r="G12977" t="str" cm="1">
        <f t="array" ref="G12977">SubCategorizeComment(E12977)</f>
        <v>Other</v>
      </c>
    </row>
    <row r="12978" spans="1:7" x14ac:dyDescent="0.25">
      <c r="A12978">
        <v>124178</v>
      </c>
      <c r="B12978" t="s">
        <v>4</v>
      </c>
      <c r="C12978">
        <v>4</v>
      </c>
      <c r="D12978" t="s">
        <v>5</v>
      </c>
      <c r="F12978" t="str" cm="1">
        <f t="array" ref="F12978">CategorizeComment(E12978)</f>
        <v>Other</v>
      </c>
      <c r="G12978" t="str" cm="1">
        <f t="array" ref="G12978">SubCategorizeComment(E12978)</f>
        <v>Other</v>
      </c>
    </row>
    <row r="12979" spans="1:7" x14ac:dyDescent="0.25">
      <c r="A12979">
        <v>124203</v>
      </c>
      <c r="B12979" t="s">
        <v>4</v>
      </c>
      <c r="C12979">
        <v>4</v>
      </c>
      <c r="D12979" t="s">
        <v>5</v>
      </c>
      <c r="F12979" t="str" cm="1">
        <f t="array" ref="F12979">CategorizeComment(E12979)</f>
        <v>Other</v>
      </c>
      <c r="G12979" t="str" cm="1">
        <f t="array" ref="G12979">SubCategorizeComment(E12979)</f>
        <v>Other</v>
      </c>
    </row>
    <row r="12980" spans="1:7" x14ac:dyDescent="0.25">
      <c r="A12980">
        <v>124206</v>
      </c>
      <c r="B12980" t="s">
        <v>4</v>
      </c>
      <c r="C12980">
        <v>3</v>
      </c>
      <c r="D12980" t="s">
        <v>5</v>
      </c>
      <c r="F12980" t="str" cm="1">
        <f t="array" ref="F12980">CategorizeComment(E12980)</f>
        <v>Other</v>
      </c>
      <c r="G12980" t="str" cm="1">
        <f t="array" ref="G12980">SubCategorizeComment(E12980)</f>
        <v>Other</v>
      </c>
    </row>
    <row r="12981" spans="1:7" x14ac:dyDescent="0.25">
      <c r="A12981">
        <v>124208</v>
      </c>
      <c r="B12981" t="s">
        <v>4</v>
      </c>
      <c r="C12981">
        <v>4</v>
      </c>
      <c r="D12981" t="s">
        <v>5</v>
      </c>
      <c r="F12981" t="str" cm="1">
        <f t="array" ref="F12981">CategorizeComment(E12981)</f>
        <v>Other</v>
      </c>
      <c r="G12981" t="str" cm="1">
        <f t="array" ref="G12981">SubCategorizeComment(E12981)</f>
        <v>Other</v>
      </c>
    </row>
    <row r="12982" spans="1:7" x14ac:dyDescent="0.25">
      <c r="A12982">
        <v>124239</v>
      </c>
      <c r="B12982" t="s">
        <v>4</v>
      </c>
      <c r="C12982">
        <v>3</v>
      </c>
      <c r="D12982" t="s">
        <v>5</v>
      </c>
      <c r="F12982" t="str" cm="1">
        <f t="array" ref="F12982">CategorizeComment(E12982)</f>
        <v>Other</v>
      </c>
      <c r="G12982" t="str" cm="1">
        <f t="array" ref="G12982">SubCategorizeComment(E12982)</f>
        <v>Other</v>
      </c>
    </row>
    <row r="12983" spans="1:7" x14ac:dyDescent="0.25">
      <c r="A12983">
        <v>124240</v>
      </c>
      <c r="B12983" t="s">
        <v>4</v>
      </c>
      <c r="C12983">
        <v>3</v>
      </c>
      <c r="D12983" t="s">
        <v>5</v>
      </c>
      <c r="F12983" t="str" cm="1">
        <f t="array" ref="F12983">CategorizeComment(E12983)</f>
        <v>Other</v>
      </c>
      <c r="G12983" t="str" cm="1">
        <f t="array" ref="G12983">SubCategorizeComment(E12983)</f>
        <v>Other</v>
      </c>
    </row>
    <row r="12984" spans="1:7" x14ac:dyDescent="0.25">
      <c r="A12984">
        <v>124244</v>
      </c>
      <c r="B12984" t="s">
        <v>4</v>
      </c>
      <c r="C12984">
        <v>4</v>
      </c>
      <c r="D12984" t="s">
        <v>5</v>
      </c>
      <c r="F12984" t="str" cm="1">
        <f t="array" ref="F12984">CategorizeComment(E12984)</f>
        <v>Other</v>
      </c>
      <c r="G12984" t="str" cm="1">
        <f t="array" ref="G12984">SubCategorizeComment(E12984)</f>
        <v>Other</v>
      </c>
    </row>
    <row r="12985" spans="1:7" x14ac:dyDescent="0.25">
      <c r="A12985">
        <v>124248</v>
      </c>
      <c r="B12985" t="s">
        <v>4</v>
      </c>
      <c r="C12985">
        <v>4</v>
      </c>
      <c r="D12985" t="s">
        <v>5</v>
      </c>
      <c r="F12985" t="str" cm="1">
        <f t="array" ref="F12985">CategorizeComment(E12985)</f>
        <v>Other</v>
      </c>
      <c r="G12985" t="str" cm="1">
        <f t="array" ref="G12985">SubCategorizeComment(E12985)</f>
        <v>Other</v>
      </c>
    </row>
    <row r="12986" spans="1:7" x14ac:dyDescent="0.25">
      <c r="A12986">
        <v>124255</v>
      </c>
      <c r="B12986" t="s">
        <v>4</v>
      </c>
      <c r="C12986">
        <v>4</v>
      </c>
      <c r="D12986" t="s">
        <v>5</v>
      </c>
      <c r="F12986" t="str" cm="1">
        <f t="array" ref="F12986">CategorizeComment(E12986)</f>
        <v>Other</v>
      </c>
      <c r="G12986" t="str" cm="1">
        <f t="array" ref="G12986">SubCategorizeComment(E12986)</f>
        <v>Other</v>
      </c>
    </row>
    <row r="12987" spans="1:7" x14ac:dyDescent="0.25">
      <c r="A12987">
        <v>124256</v>
      </c>
      <c r="B12987" t="s">
        <v>4</v>
      </c>
      <c r="C12987">
        <v>4</v>
      </c>
      <c r="D12987" t="s">
        <v>5</v>
      </c>
      <c r="F12987" t="str" cm="1">
        <f t="array" ref="F12987">CategorizeComment(E12987)</f>
        <v>Other</v>
      </c>
      <c r="G12987" t="str" cm="1">
        <f t="array" ref="G12987">SubCategorizeComment(E12987)</f>
        <v>Other</v>
      </c>
    </row>
    <row r="12988" spans="1:7" x14ac:dyDescent="0.25">
      <c r="A12988">
        <v>124297</v>
      </c>
      <c r="B12988" t="s">
        <v>4</v>
      </c>
      <c r="C12988">
        <v>3</v>
      </c>
      <c r="D12988" t="s">
        <v>5</v>
      </c>
      <c r="F12988" t="str" cm="1">
        <f t="array" ref="F12988">CategorizeComment(E12988)</f>
        <v>Other</v>
      </c>
      <c r="G12988" t="str" cm="1">
        <f t="array" ref="G12988">SubCategorizeComment(E12988)</f>
        <v>Other</v>
      </c>
    </row>
    <row r="12989" spans="1:7" x14ac:dyDescent="0.25">
      <c r="A12989">
        <v>124330</v>
      </c>
      <c r="B12989" t="s">
        <v>4</v>
      </c>
      <c r="C12989">
        <v>4</v>
      </c>
      <c r="D12989" t="s">
        <v>5</v>
      </c>
      <c r="F12989" t="str" cm="1">
        <f t="array" ref="F12989">CategorizeComment(E12989)</f>
        <v>Other</v>
      </c>
      <c r="G12989" t="str" cm="1">
        <f t="array" ref="G12989">SubCategorizeComment(E12989)</f>
        <v>Other</v>
      </c>
    </row>
    <row r="12990" spans="1:7" x14ac:dyDescent="0.25">
      <c r="A12990">
        <v>124335</v>
      </c>
      <c r="B12990" t="s">
        <v>4</v>
      </c>
      <c r="C12990">
        <v>3</v>
      </c>
      <c r="D12990" t="s">
        <v>5</v>
      </c>
      <c r="F12990" t="str" cm="1">
        <f t="array" ref="F12990">CategorizeComment(E12990)</f>
        <v>Other</v>
      </c>
      <c r="G12990" t="str" cm="1">
        <f t="array" ref="G12990">SubCategorizeComment(E12990)</f>
        <v>Other</v>
      </c>
    </row>
    <row r="12991" spans="1:7" x14ac:dyDescent="0.25">
      <c r="A12991">
        <v>124337</v>
      </c>
      <c r="B12991" t="s">
        <v>4</v>
      </c>
      <c r="C12991">
        <v>3</v>
      </c>
      <c r="D12991" t="s">
        <v>5</v>
      </c>
      <c r="F12991" t="str" cm="1">
        <f t="array" ref="F12991">CategorizeComment(E12991)</f>
        <v>Other</v>
      </c>
      <c r="G12991" t="str" cm="1">
        <f t="array" ref="G12991">SubCategorizeComment(E12991)</f>
        <v>Other</v>
      </c>
    </row>
    <row r="12992" spans="1:7" x14ac:dyDescent="0.25">
      <c r="A12992">
        <v>124366</v>
      </c>
      <c r="B12992" t="s">
        <v>4</v>
      </c>
      <c r="C12992">
        <v>3</v>
      </c>
      <c r="D12992" t="s">
        <v>5</v>
      </c>
      <c r="F12992" t="str" cm="1">
        <f t="array" ref="F12992">CategorizeComment(E12992)</f>
        <v>Other</v>
      </c>
      <c r="G12992" t="str" cm="1">
        <f t="array" ref="G12992">SubCategorizeComment(E12992)</f>
        <v>Other</v>
      </c>
    </row>
    <row r="12993" spans="1:7" x14ac:dyDescent="0.25">
      <c r="A12993">
        <v>124369</v>
      </c>
      <c r="B12993" t="s">
        <v>4</v>
      </c>
      <c r="C12993">
        <v>3</v>
      </c>
      <c r="D12993" t="s">
        <v>5</v>
      </c>
      <c r="F12993" t="str" cm="1">
        <f t="array" ref="F12993">CategorizeComment(E12993)</f>
        <v>Other</v>
      </c>
      <c r="G12993" t="str" cm="1">
        <f t="array" ref="G12993">SubCategorizeComment(E12993)</f>
        <v>Other</v>
      </c>
    </row>
    <row r="12994" spans="1:7" x14ac:dyDescent="0.25">
      <c r="A12994">
        <v>124374</v>
      </c>
      <c r="B12994" t="s">
        <v>4</v>
      </c>
      <c r="C12994">
        <v>3</v>
      </c>
      <c r="D12994" t="s">
        <v>5</v>
      </c>
      <c r="F12994" t="str" cm="1">
        <f t="array" ref="F12994">CategorizeComment(E12994)</f>
        <v>Other</v>
      </c>
      <c r="G12994" t="str" cm="1">
        <f t="array" ref="G12994">SubCategorizeComment(E12994)</f>
        <v>Other</v>
      </c>
    </row>
    <row r="12995" spans="1:7" x14ac:dyDescent="0.25">
      <c r="A12995">
        <v>124376</v>
      </c>
      <c r="B12995" t="s">
        <v>4</v>
      </c>
      <c r="C12995">
        <v>0</v>
      </c>
      <c r="D12995" t="s">
        <v>5</v>
      </c>
      <c r="F12995" t="str" cm="1">
        <f t="array" ref="F12995">CategorizeComment(E12995)</f>
        <v>Other</v>
      </c>
      <c r="G12995" t="str" cm="1">
        <f t="array" ref="G12995">SubCategorizeComment(E12995)</f>
        <v>Other</v>
      </c>
    </row>
    <row r="12996" spans="1:7" x14ac:dyDescent="0.25">
      <c r="A12996">
        <v>124393</v>
      </c>
      <c r="B12996" t="s">
        <v>4</v>
      </c>
      <c r="C12996">
        <v>3</v>
      </c>
      <c r="D12996" t="s">
        <v>5</v>
      </c>
      <c r="F12996" t="str" cm="1">
        <f t="array" ref="F12996">CategorizeComment(E12996)</f>
        <v>Other</v>
      </c>
      <c r="G12996" t="str" cm="1">
        <f t="array" ref="G12996">SubCategorizeComment(E12996)</f>
        <v>Other</v>
      </c>
    </row>
    <row r="12997" spans="1:7" x14ac:dyDescent="0.25">
      <c r="A12997">
        <v>124396</v>
      </c>
      <c r="B12997" t="s">
        <v>4</v>
      </c>
      <c r="C12997">
        <v>4</v>
      </c>
      <c r="D12997" t="s">
        <v>5</v>
      </c>
      <c r="F12997" t="str" cm="1">
        <f t="array" ref="F12997">CategorizeComment(E12997)</f>
        <v>Other</v>
      </c>
      <c r="G12997" t="str" cm="1">
        <f t="array" ref="G12997">SubCategorizeComment(E12997)</f>
        <v>Other</v>
      </c>
    </row>
    <row r="12998" spans="1:7" x14ac:dyDescent="0.25">
      <c r="A12998">
        <v>124433</v>
      </c>
      <c r="B12998" t="s">
        <v>4</v>
      </c>
      <c r="C12998">
        <v>3</v>
      </c>
      <c r="D12998" t="s">
        <v>5</v>
      </c>
      <c r="F12998" t="str" cm="1">
        <f t="array" ref="F12998">CategorizeComment(E12998)</f>
        <v>Other</v>
      </c>
      <c r="G12998" t="str" cm="1">
        <f t="array" ref="G12998">SubCategorizeComment(E12998)</f>
        <v>Other</v>
      </c>
    </row>
    <row r="12999" spans="1:7" x14ac:dyDescent="0.25">
      <c r="A12999">
        <v>124438</v>
      </c>
      <c r="B12999" t="s">
        <v>4</v>
      </c>
      <c r="C12999">
        <v>4</v>
      </c>
      <c r="D12999" t="s">
        <v>5</v>
      </c>
      <c r="F12999" t="str" cm="1">
        <f t="array" ref="F12999">CategorizeComment(E12999)</f>
        <v>Other</v>
      </c>
      <c r="G12999" t="str" cm="1">
        <f t="array" ref="G12999">SubCategorizeComment(E12999)</f>
        <v>Other</v>
      </c>
    </row>
    <row r="13000" spans="1:7" x14ac:dyDescent="0.25">
      <c r="A13000">
        <v>124443</v>
      </c>
      <c r="B13000" t="s">
        <v>4</v>
      </c>
      <c r="C13000">
        <v>4</v>
      </c>
      <c r="D13000" t="s">
        <v>5</v>
      </c>
      <c r="F13000" t="str" cm="1">
        <f t="array" ref="F13000">CategorizeComment(E13000)</f>
        <v>Other</v>
      </c>
      <c r="G13000" t="str" cm="1">
        <f t="array" ref="G13000">SubCategorizeComment(E13000)</f>
        <v>Other</v>
      </c>
    </row>
    <row r="13001" spans="1:7" x14ac:dyDescent="0.25">
      <c r="A13001">
        <v>124444</v>
      </c>
      <c r="B13001" t="s">
        <v>4</v>
      </c>
      <c r="C13001">
        <v>3</v>
      </c>
      <c r="D13001" t="s">
        <v>5</v>
      </c>
      <c r="F13001" t="str" cm="1">
        <f t="array" ref="F13001">CategorizeComment(E13001)</f>
        <v>Other</v>
      </c>
      <c r="G13001" t="str" cm="1">
        <f t="array" ref="G13001">SubCategorizeComment(E13001)</f>
        <v>Other</v>
      </c>
    </row>
    <row r="13002" spans="1:7" x14ac:dyDescent="0.25">
      <c r="A13002">
        <v>124445</v>
      </c>
      <c r="B13002" t="s">
        <v>4</v>
      </c>
      <c r="C13002">
        <v>4</v>
      </c>
      <c r="D13002" t="s">
        <v>5</v>
      </c>
      <c r="F13002" t="str" cm="1">
        <f t="array" ref="F13002">CategorizeComment(E13002)</f>
        <v>Other</v>
      </c>
      <c r="G13002" t="str" cm="1">
        <f t="array" ref="G13002">SubCategorizeComment(E13002)</f>
        <v>Other</v>
      </c>
    </row>
    <row r="13003" spans="1:7" x14ac:dyDescent="0.25">
      <c r="A13003">
        <v>124461</v>
      </c>
      <c r="B13003" t="s">
        <v>4</v>
      </c>
      <c r="C13003">
        <v>3</v>
      </c>
      <c r="D13003" t="s">
        <v>5</v>
      </c>
      <c r="F13003" t="str" cm="1">
        <f t="array" ref="F13003">CategorizeComment(E13003)</f>
        <v>Other</v>
      </c>
      <c r="G13003" t="str" cm="1">
        <f t="array" ref="G13003">SubCategorizeComment(E13003)</f>
        <v>Other</v>
      </c>
    </row>
    <row r="13004" spans="1:7" x14ac:dyDescent="0.25">
      <c r="A13004">
        <v>124469</v>
      </c>
      <c r="B13004" t="s">
        <v>4</v>
      </c>
      <c r="C13004">
        <v>3</v>
      </c>
      <c r="D13004" t="s">
        <v>5</v>
      </c>
      <c r="F13004" t="str" cm="1">
        <f t="array" ref="F13004">CategorizeComment(E13004)</f>
        <v>Other</v>
      </c>
      <c r="G13004" t="str" cm="1">
        <f t="array" ref="G13004">SubCategorizeComment(E13004)</f>
        <v>Other</v>
      </c>
    </row>
    <row r="13005" spans="1:7" x14ac:dyDescent="0.25">
      <c r="A13005">
        <v>124478</v>
      </c>
      <c r="B13005" t="s">
        <v>4</v>
      </c>
      <c r="C13005">
        <v>3</v>
      </c>
      <c r="D13005" t="s">
        <v>5</v>
      </c>
      <c r="F13005" t="str" cm="1">
        <f t="array" ref="F13005">CategorizeComment(E13005)</f>
        <v>Other</v>
      </c>
      <c r="G13005" t="str" cm="1">
        <f t="array" ref="G13005">SubCategorizeComment(E13005)</f>
        <v>Other</v>
      </c>
    </row>
    <row r="13006" spans="1:7" x14ac:dyDescent="0.25">
      <c r="A13006">
        <v>124486</v>
      </c>
      <c r="B13006" t="s">
        <v>4</v>
      </c>
      <c r="C13006">
        <v>4</v>
      </c>
      <c r="D13006" t="s">
        <v>5</v>
      </c>
      <c r="F13006" t="str" cm="1">
        <f t="array" ref="F13006">CategorizeComment(E13006)</f>
        <v>Other</v>
      </c>
      <c r="G13006" t="str" cm="1">
        <f t="array" ref="G13006">SubCategorizeComment(E13006)</f>
        <v>Other</v>
      </c>
    </row>
    <row r="13007" spans="1:7" x14ac:dyDescent="0.25">
      <c r="A13007">
        <v>124490</v>
      </c>
      <c r="B13007" t="s">
        <v>4</v>
      </c>
      <c r="C13007">
        <v>3</v>
      </c>
      <c r="D13007" t="s">
        <v>5</v>
      </c>
      <c r="F13007" t="str" cm="1">
        <f t="array" ref="F13007">CategorizeComment(E13007)</f>
        <v>Other</v>
      </c>
      <c r="G13007" t="str" cm="1">
        <f t="array" ref="G13007">SubCategorizeComment(E13007)</f>
        <v>Other</v>
      </c>
    </row>
    <row r="13008" spans="1:7" x14ac:dyDescent="0.25">
      <c r="A13008">
        <v>124498</v>
      </c>
      <c r="B13008" t="s">
        <v>4</v>
      </c>
      <c r="C13008">
        <v>4</v>
      </c>
      <c r="D13008" t="s">
        <v>5</v>
      </c>
      <c r="F13008" t="str" cm="1">
        <f t="array" ref="F13008">CategorizeComment(E13008)</f>
        <v>Other</v>
      </c>
      <c r="G13008" t="str" cm="1">
        <f t="array" ref="G13008">SubCategorizeComment(E13008)</f>
        <v>Other</v>
      </c>
    </row>
    <row r="13009" spans="1:7" x14ac:dyDescent="0.25">
      <c r="A13009">
        <v>124539</v>
      </c>
      <c r="B13009" t="s">
        <v>4</v>
      </c>
      <c r="C13009">
        <v>4</v>
      </c>
      <c r="D13009" t="s">
        <v>5</v>
      </c>
      <c r="F13009" t="str" cm="1">
        <f t="array" ref="F13009">CategorizeComment(E13009)</f>
        <v>Other</v>
      </c>
      <c r="G13009" t="str" cm="1">
        <f t="array" ref="G13009">SubCategorizeComment(E13009)</f>
        <v>Other</v>
      </c>
    </row>
    <row r="13010" spans="1:7" x14ac:dyDescent="0.25">
      <c r="A13010">
        <v>124584</v>
      </c>
      <c r="B13010" t="s">
        <v>4</v>
      </c>
      <c r="C13010">
        <v>4</v>
      </c>
      <c r="D13010" t="s">
        <v>5</v>
      </c>
      <c r="F13010" t="str" cm="1">
        <f t="array" ref="F13010">CategorizeComment(E13010)</f>
        <v>Other</v>
      </c>
      <c r="G13010" t="str" cm="1">
        <f t="array" ref="G13010">SubCategorizeComment(E13010)</f>
        <v>Other</v>
      </c>
    </row>
    <row r="13011" spans="1:7" x14ac:dyDescent="0.25">
      <c r="A13011">
        <v>124589</v>
      </c>
      <c r="B13011" t="s">
        <v>4</v>
      </c>
      <c r="C13011">
        <v>3</v>
      </c>
      <c r="D13011" t="s">
        <v>5</v>
      </c>
      <c r="F13011" t="str" cm="1">
        <f t="array" ref="F13011">CategorizeComment(E13011)</f>
        <v>Other</v>
      </c>
      <c r="G13011" t="str" cm="1">
        <f t="array" ref="G13011">SubCategorizeComment(E13011)</f>
        <v>Other</v>
      </c>
    </row>
    <row r="13012" spans="1:7" x14ac:dyDescent="0.25">
      <c r="A13012">
        <v>124601</v>
      </c>
      <c r="B13012" t="s">
        <v>4</v>
      </c>
      <c r="C13012">
        <v>4</v>
      </c>
      <c r="D13012" t="s">
        <v>5</v>
      </c>
      <c r="F13012" t="str" cm="1">
        <f t="array" ref="F13012">CategorizeComment(E13012)</f>
        <v>Other</v>
      </c>
      <c r="G13012" t="str" cm="1">
        <f t="array" ref="G13012">SubCategorizeComment(E13012)</f>
        <v>Other</v>
      </c>
    </row>
    <row r="13013" spans="1:7" x14ac:dyDescent="0.25">
      <c r="A13013">
        <v>124602</v>
      </c>
      <c r="B13013" t="s">
        <v>4</v>
      </c>
      <c r="C13013">
        <v>4</v>
      </c>
      <c r="D13013" t="s">
        <v>5</v>
      </c>
      <c r="F13013" t="str" cm="1">
        <f t="array" ref="F13013">CategorizeComment(E13013)</f>
        <v>Other</v>
      </c>
      <c r="G13013" t="str" cm="1">
        <f t="array" ref="G13013">SubCategorizeComment(E13013)</f>
        <v>Other</v>
      </c>
    </row>
    <row r="13014" spans="1:7" x14ac:dyDescent="0.25">
      <c r="A13014">
        <v>124603</v>
      </c>
      <c r="B13014" t="s">
        <v>4</v>
      </c>
      <c r="C13014">
        <v>3</v>
      </c>
      <c r="D13014" t="s">
        <v>5</v>
      </c>
      <c r="F13014" t="str" cm="1">
        <f t="array" ref="F13014">CategorizeComment(E13014)</f>
        <v>Other</v>
      </c>
      <c r="G13014" t="str" cm="1">
        <f t="array" ref="G13014">SubCategorizeComment(E13014)</f>
        <v>Other</v>
      </c>
    </row>
    <row r="13015" spans="1:7" x14ac:dyDescent="0.25">
      <c r="A13015">
        <v>124619</v>
      </c>
      <c r="B13015" t="s">
        <v>4</v>
      </c>
      <c r="C13015">
        <v>4</v>
      </c>
      <c r="D13015" t="s">
        <v>5</v>
      </c>
      <c r="F13015" t="str" cm="1">
        <f t="array" ref="F13015">CategorizeComment(E13015)</f>
        <v>Other</v>
      </c>
      <c r="G13015" t="str" cm="1">
        <f t="array" ref="G13015">SubCategorizeComment(E13015)</f>
        <v>Other</v>
      </c>
    </row>
    <row r="13016" spans="1:7" x14ac:dyDescent="0.25">
      <c r="A13016">
        <v>124620</v>
      </c>
      <c r="B13016" t="s">
        <v>4</v>
      </c>
      <c r="C13016">
        <v>3</v>
      </c>
      <c r="D13016" t="s">
        <v>5</v>
      </c>
      <c r="F13016" t="str" cm="1">
        <f t="array" ref="F13016">CategorizeComment(E13016)</f>
        <v>Other</v>
      </c>
      <c r="G13016" t="str" cm="1">
        <f t="array" ref="G13016">SubCategorizeComment(E13016)</f>
        <v>Other</v>
      </c>
    </row>
    <row r="13017" spans="1:7" x14ac:dyDescent="0.25">
      <c r="A13017">
        <v>124626</v>
      </c>
      <c r="B13017" t="s">
        <v>4</v>
      </c>
      <c r="C13017">
        <v>4</v>
      </c>
      <c r="D13017" t="s">
        <v>5</v>
      </c>
      <c r="F13017" t="str" cm="1">
        <f t="array" ref="F13017">CategorizeComment(E13017)</f>
        <v>Other</v>
      </c>
      <c r="G13017" t="str" cm="1">
        <f t="array" ref="G13017">SubCategorizeComment(E13017)</f>
        <v>Other</v>
      </c>
    </row>
    <row r="13018" spans="1:7" x14ac:dyDescent="0.25">
      <c r="A13018">
        <v>124627</v>
      </c>
      <c r="B13018" t="s">
        <v>4</v>
      </c>
      <c r="C13018">
        <v>3</v>
      </c>
      <c r="D13018" t="s">
        <v>5</v>
      </c>
      <c r="F13018" t="str" cm="1">
        <f t="array" ref="F13018">CategorizeComment(E13018)</f>
        <v>Other</v>
      </c>
      <c r="G13018" t="str" cm="1">
        <f t="array" ref="G13018">SubCategorizeComment(E13018)</f>
        <v>Other</v>
      </c>
    </row>
    <row r="13019" spans="1:7" x14ac:dyDescent="0.25">
      <c r="A13019">
        <v>124634</v>
      </c>
      <c r="B13019" t="s">
        <v>4</v>
      </c>
      <c r="C13019">
        <v>3</v>
      </c>
      <c r="D13019" t="s">
        <v>5</v>
      </c>
      <c r="F13019" t="str" cm="1">
        <f t="array" ref="F13019">CategorizeComment(E13019)</f>
        <v>Other</v>
      </c>
      <c r="G13019" t="str" cm="1">
        <f t="array" ref="G13019">SubCategorizeComment(E13019)</f>
        <v>Other</v>
      </c>
    </row>
    <row r="13020" spans="1:7" x14ac:dyDescent="0.25">
      <c r="A13020">
        <v>124654</v>
      </c>
      <c r="B13020" t="s">
        <v>4</v>
      </c>
      <c r="C13020">
        <v>3</v>
      </c>
      <c r="D13020" t="s">
        <v>5</v>
      </c>
      <c r="F13020" t="str" cm="1">
        <f t="array" ref="F13020">CategorizeComment(E13020)</f>
        <v>Other</v>
      </c>
      <c r="G13020" t="str" cm="1">
        <f t="array" ref="G13020">SubCategorizeComment(E13020)</f>
        <v>Other</v>
      </c>
    </row>
    <row r="13021" spans="1:7" x14ac:dyDescent="0.25">
      <c r="A13021">
        <v>124657</v>
      </c>
      <c r="B13021" t="s">
        <v>4</v>
      </c>
      <c r="C13021">
        <v>4</v>
      </c>
      <c r="D13021" t="s">
        <v>5</v>
      </c>
      <c r="F13021" t="str" cm="1">
        <f t="array" ref="F13021">CategorizeComment(E13021)</f>
        <v>Other</v>
      </c>
      <c r="G13021" t="str" cm="1">
        <f t="array" ref="G13021">SubCategorizeComment(E13021)</f>
        <v>Other</v>
      </c>
    </row>
    <row r="13022" spans="1:7" x14ac:dyDescent="0.25">
      <c r="A13022">
        <v>124661</v>
      </c>
      <c r="B13022" t="s">
        <v>4</v>
      </c>
      <c r="C13022">
        <v>4</v>
      </c>
      <c r="D13022" t="s">
        <v>5</v>
      </c>
      <c r="F13022" t="str" cm="1">
        <f t="array" ref="F13022">CategorizeComment(E13022)</f>
        <v>Other</v>
      </c>
      <c r="G13022" t="str" cm="1">
        <f t="array" ref="G13022">SubCategorizeComment(E13022)</f>
        <v>Other</v>
      </c>
    </row>
    <row r="13023" spans="1:7" x14ac:dyDescent="0.25">
      <c r="A13023">
        <v>124686</v>
      </c>
      <c r="B13023" t="s">
        <v>4</v>
      </c>
      <c r="C13023">
        <v>4</v>
      </c>
      <c r="D13023" t="s">
        <v>5</v>
      </c>
      <c r="F13023" t="str" cm="1">
        <f t="array" ref="F13023">CategorizeComment(E13023)</f>
        <v>Other</v>
      </c>
      <c r="G13023" t="str" cm="1">
        <f t="array" ref="G13023">SubCategorizeComment(E13023)</f>
        <v>Other</v>
      </c>
    </row>
    <row r="13024" spans="1:7" x14ac:dyDescent="0.25">
      <c r="A13024">
        <v>124687</v>
      </c>
      <c r="B13024" t="s">
        <v>4</v>
      </c>
      <c r="C13024">
        <v>4</v>
      </c>
      <c r="D13024" t="s">
        <v>5</v>
      </c>
      <c r="F13024" t="str" cm="1">
        <f t="array" ref="F13024">CategorizeComment(E13024)</f>
        <v>Other</v>
      </c>
      <c r="G13024" t="str" cm="1">
        <f t="array" ref="G13024">SubCategorizeComment(E13024)</f>
        <v>Other</v>
      </c>
    </row>
    <row r="13025" spans="1:7" x14ac:dyDescent="0.25">
      <c r="A13025">
        <v>124696</v>
      </c>
      <c r="B13025" t="s">
        <v>4</v>
      </c>
      <c r="C13025">
        <v>3</v>
      </c>
      <c r="D13025" t="s">
        <v>5</v>
      </c>
      <c r="F13025" t="str" cm="1">
        <f t="array" ref="F13025">CategorizeComment(E13025)</f>
        <v>Other</v>
      </c>
      <c r="G13025" t="str" cm="1">
        <f t="array" ref="G13025">SubCategorizeComment(E13025)</f>
        <v>Other</v>
      </c>
    </row>
    <row r="13026" spans="1:7" x14ac:dyDescent="0.25">
      <c r="A13026">
        <v>124718</v>
      </c>
      <c r="B13026" t="s">
        <v>4</v>
      </c>
      <c r="C13026">
        <v>4</v>
      </c>
      <c r="D13026" t="s">
        <v>5</v>
      </c>
      <c r="F13026" t="str" cm="1">
        <f t="array" ref="F13026">CategorizeComment(E13026)</f>
        <v>Other</v>
      </c>
      <c r="G13026" t="str" cm="1">
        <f t="array" ref="G13026">SubCategorizeComment(E13026)</f>
        <v>Other</v>
      </c>
    </row>
    <row r="13027" spans="1:7" x14ac:dyDescent="0.25">
      <c r="A13027">
        <v>124749</v>
      </c>
      <c r="B13027" t="s">
        <v>4</v>
      </c>
      <c r="C13027">
        <v>3</v>
      </c>
      <c r="D13027" t="s">
        <v>5</v>
      </c>
      <c r="F13027" t="str" cm="1">
        <f t="array" ref="F13027">CategorizeComment(E13027)</f>
        <v>Other</v>
      </c>
      <c r="G13027" t="str" cm="1">
        <f t="array" ref="G13027">SubCategorizeComment(E13027)</f>
        <v>Other</v>
      </c>
    </row>
    <row r="13028" spans="1:7" x14ac:dyDescent="0.25">
      <c r="A13028">
        <v>124786</v>
      </c>
      <c r="B13028" t="s">
        <v>4</v>
      </c>
      <c r="C13028">
        <v>3</v>
      </c>
      <c r="D13028" t="s">
        <v>5</v>
      </c>
      <c r="F13028" t="str" cm="1">
        <f t="array" ref="F13028">CategorizeComment(E13028)</f>
        <v>Other</v>
      </c>
      <c r="G13028" t="str" cm="1">
        <f t="array" ref="G13028">SubCategorizeComment(E13028)</f>
        <v>Other</v>
      </c>
    </row>
    <row r="13029" spans="1:7" x14ac:dyDescent="0.25">
      <c r="A13029">
        <v>124795</v>
      </c>
      <c r="B13029" t="s">
        <v>4</v>
      </c>
      <c r="C13029">
        <v>3</v>
      </c>
      <c r="D13029" t="s">
        <v>5</v>
      </c>
      <c r="F13029" t="str" cm="1">
        <f t="array" ref="F13029">CategorizeComment(E13029)</f>
        <v>Other</v>
      </c>
      <c r="G13029" t="str" cm="1">
        <f t="array" ref="G13029">SubCategorizeComment(E13029)</f>
        <v>Other</v>
      </c>
    </row>
    <row r="13030" spans="1:7" x14ac:dyDescent="0.25">
      <c r="A13030">
        <v>124797</v>
      </c>
      <c r="B13030" t="s">
        <v>4</v>
      </c>
      <c r="C13030">
        <v>3</v>
      </c>
      <c r="D13030" t="s">
        <v>5</v>
      </c>
      <c r="F13030" t="str" cm="1">
        <f t="array" ref="F13030">CategorizeComment(E13030)</f>
        <v>Other</v>
      </c>
      <c r="G13030" t="str" cm="1">
        <f t="array" ref="G13030">SubCategorizeComment(E13030)</f>
        <v>Other</v>
      </c>
    </row>
    <row r="13031" spans="1:7" x14ac:dyDescent="0.25">
      <c r="A13031">
        <v>124808</v>
      </c>
      <c r="B13031" t="s">
        <v>4</v>
      </c>
      <c r="C13031">
        <v>3</v>
      </c>
      <c r="D13031" t="s">
        <v>5</v>
      </c>
      <c r="F13031" t="str" cm="1">
        <f t="array" ref="F13031">CategorizeComment(E13031)</f>
        <v>Other</v>
      </c>
      <c r="G13031" t="str" cm="1">
        <f t="array" ref="G13031">SubCategorizeComment(E13031)</f>
        <v>Other</v>
      </c>
    </row>
    <row r="13032" spans="1:7" x14ac:dyDescent="0.25">
      <c r="A13032">
        <v>124824</v>
      </c>
      <c r="B13032" t="s">
        <v>4</v>
      </c>
      <c r="C13032">
        <v>4</v>
      </c>
      <c r="D13032" t="s">
        <v>5</v>
      </c>
      <c r="F13032" t="str" cm="1">
        <f t="array" ref="F13032">CategorizeComment(E13032)</f>
        <v>Other</v>
      </c>
      <c r="G13032" t="str" cm="1">
        <f t="array" ref="G13032">SubCategorizeComment(E13032)</f>
        <v>Other</v>
      </c>
    </row>
    <row r="13033" spans="1:7" x14ac:dyDescent="0.25">
      <c r="A13033">
        <v>124830</v>
      </c>
      <c r="B13033" t="s">
        <v>4</v>
      </c>
      <c r="C13033">
        <v>3</v>
      </c>
      <c r="D13033" t="s">
        <v>5</v>
      </c>
      <c r="F13033" t="str" cm="1">
        <f t="array" ref="F13033">CategorizeComment(E13033)</f>
        <v>Other</v>
      </c>
      <c r="G13033" t="str" cm="1">
        <f t="array" ref="G13033">SubCategorizeComment(E13033)</f>
        <v>Other</v>
      </c>
    </row>
    <row r="13034" spans="1:7" x14ac:dyDescent="0.25">
      <c r="A13034">
        <v>124831</v>
      </c>
      <c r="B13034" t="s">
        <v>4</v>
      </c>
      <c r="C13034">
        <v>4</v>
      </c>
      <c r="D13034" t="s">
        <v>5</v>
      </c>
      <c r="F13034" t="str" cm="1">
        <f t="array" ref="F13034">CategorizeComment(E13034)</f>
        <v>Other</v>
      </c>
      <c r="G13034" t="str" cm="1">
        <f t="array" ref="G13034">SubCategorizeComment(E13034)</f>
        <v>Other</v>
      </c>
    </row>
    <row r="13035" spans="1:7" x14ac:dyDescent="0.25">
      <c r="A13035">
        <v>124833</v>
      </c>
      <c r="B13035" t="s">
        <v>4</v>
      </c>
      <c r="C13035">
        <v>3</v>
      </c>
      <c r="D13035" t="s">
        <v>5</v>
      </c>
      <c r="F13035" t="str" cm="1">
        <f t="array" ref="F13035">CategorizeComment(E13035)</f>
        <v>Other</v>
      </c>
      <c r="G13035" t="str" cm="1">
        <f t="array" ref="G13035">SubCategorizeComment(E13035)</f>
        <v>Other</v>
      </c>
    </row>
    <row r="13036" spans="1:7" x14ac:dyDescent="0.25">
      <c r="A13036">
        <v>124853</v>
      </c>
      <c r="B13036" t="s">
        <v>4</v>
      </c>
      <c r="C13036">
        <v>3</v>
      </c>
      <c r="D13036" t="s">
        <v>5</v>
      </c>
      <c r="F13036" t="str" cm="1">
        <f t="array" ref="F13036">CategorizeComment(E13036)</f>
        <v>Other</v>
      </c>
      <c r="G13036" t="str" cm="1">
        <f t="array" ref="G13036">SubCategorizeComment(E13036)</f>
        <v>Other</v>
      </c>
    </row>
    <row r="13037" spans="1:7" x14ac:dyDescent="0.25">
      <c r="A13037">
        <v>124860</v>
      </c>
      <c r="B13037" t="s">
        <v>4</v>
      </c>
      <c r="C13037">
        <v>3</v>
      </c>
      <c r="D13037" t="s">
        <v>5</v>
      </c>
      <c r="F13037" t="str" cm="1">
        <f t="array" ref="F13037">CategorizeComment(E13037)</f>
        <v>Other</v>
      </c>
      <c r="G13037" t="str" cm="1">
        <f t="array" ref="G13037">SubCategorizeComment(E13037)</f>
        <v>Other</v>
      </c>
    </row>
    <row r="13038" spans="1:7" x14ac:dyDescent="0.25">
      <c r="A13038">
        <v>124864</v>
      </c>
      <c r="B13038" t="s">
        <v>4</v>
      </c>
      <c r="C13038">
        <v>3</v>
      </c>
      <c r="D13038" t="s">
        <v>5</v>
      </c>
      <c r="F13038" t="str" cm="1">
        <f t="array" ref="F13038">CategorizeComment(E13038)</f>
        <v>Other</v>
      </c>
      <c r="G13038" t="str" cm="1">
        <f t="array" ref="G13038">SubCategorizeComment(E13038)</f>
        <v>Other</v>
      </c>
    </row>
    <row r="13039" spans="1:7" x14ac:dyDescent="0.25">
      <c r="A13039">
        <v>124877</v>
      </c>
      <c r="B13039" t="s">
        <v>4</v>
      </c>
      <c r="C13039">
        <v>4</v>
      </c>
      <c r="D13039" t="s">
        <v>5</v>
      </c>
      <c r="F13039" t="str" cm="1">
        <f t="array" ref="F13039">CategorizeComment(E13039)</f>
        <v>Other</v>
      </c>
      <c r="G13039" t="str" cm="1">
        <f t="array" ref="G13039">SubCategorizeComment(E13039)</f>
        <v>Other</v>
      </c>
    </row>
    <row r="13040" spans="1:7" x14ac:dyDescent="0.25">
      <c r="A13040">
        <v>124901</v>
      </c>
      <c r="B13040" t="s">
        <v>4</v>
      </c>
      <c r="C13040">
        <v>3</v>
      </c>
      <c r="D13040" t="s">
        <v>5</v>
      </c>
      <c r="F13040" t="str" cm="1">
        <f t="array" ref="F13040">CategorizeComment(E13040)</f>
        <v>Other</v>
      </c>
      <c r="G13040" t="str" cm="1">
        <f t="array" ref="G13040">SubCategorizeComment(E13040)</f>
        <v>Other</v>
      </c>
    </row>
    <row r="13041" spans="1:7" x14ac:dyDescent="0.25">
      <c r="A13041">
        <v>124914</v>
      </c>
      <c r="B13041" t="s">
        <v>4</v>
      </c>
      <c r="C13041">
        <v>4</v>
      </c>
      <c r="D13041" t="s">
        <v>5</v>
      </c>
      <c r="F13041" t="str" cm="1">
        <f t="array" ref="F13041">CategorizeComment(E13041)</f>
        <v>Other</v>
      </c>
      <c r="G13041" t="str" cm="1">
        <f t="array" ref="G13041">SubCategorizeComment(E13041)</f>
        <v>Other</v>
      </c>
    </row>
    <row r="13042" spans="1:7" x14ac:dyDescent="0.25">
      <c r="A13042">
        <v>124916</v>
      </c>
      <c r="B13042" t="s">
        <v>4</v>
      </c>
      <c r="C13042">
        <v>3</v>
      </c>
      <c r="D13042" t="s">
        <v>5</v>
      </c>
      <c r="F13042" t="str" cm="1">
        <f t="array" ref="F13042">CategorizeComment(E13042)</f>
        <v>Other</v>
      </c>
      <c r="G13042" t="str" cm="1">
        <f t="array" ref="G13042">SubCategorizeComment(E13042)</f>
        <v>Other</v>
      </c>
    </row>
    <row r="13043" spans="1:7" x14ac:dyDescent="0.25">
      <c r="A13043">
        <v>124924</v>
      </c>
      <c r="B13043" t="s">
        <v>4</v>
      </c>
      <c r="C13043">
        <v>4</v>
      </c>
      <c r="D13043" t="s">
        <v>5</v>
      </c>
      <c r="F13043" t="str" cm="1">
        <f t="array" ref="F13043">CategorizeComment(E13043)</f>
        <v>Other</v>
      </c>
      <c r="G13043" t="str" cm="1">
        <f t="array" ref="G13043">SubCategorizeComment(E13043)</f>
        <v>Other</v>
      </c>
    </row>
    <row r="13044" spans="1:7" x14ac:dyDescent="0.25">
      <c r="A13044">
        <v>124932</v>
      </c>
      <c r="B13044" t="s">
        <v>4</v>
      </c>
      <c r="C13044">
        <v>3</v>
      </c>
      <c r="D13044" t="s">
        <v>5</v>
      </c>
      <c r="F13044" t="str" cm="1">
        <f t="array" ref="F13044">CategorizeComment(E13044)</f>
        <v>Other</v>
      </c>
      <c r="G13044" t="str" cm="1">
        <f t="array" ref="G13044">SubCategorizeComment(E13044)</f>
        <v>Other</v>
      </c>
    </row>
    <row r="13045" spans="1:7" x14ac:dyDescent="0.25">
      <c r="A13045">
        <v>124937</v>
      </c>
      <c r="B13045" t="s">
        <v>4</v>
      </c>
      <c r="C13045">
        <v>3</v>
      </c>
      <c r="D13045" t="s">
        <v>5</v>
      </c>
      <c r="F13045" t="str" cm="1">
        <f t="array" ref="F13045">CategorizeComment(E13045)</f>
        <v>Other</v>
      </c>
      <c r="G13045" t="str" cm="1">
        <f t="array" ref="G13045">SubCategorizeComment(E13045)</f>
        <v>Other</v>
      </c>
    </row>
    <row r="13046" spans="1:7" x14ac:dyDescent="0.25">
      <c r="A13046">
        <v>124939</v>
      </c>
      <c r="B13046" t="s">
        <v>4</v>
      </c>
      <c r="C13046">
        <v>4</v>
      </c>
      <c r="D13046" t="s">
        <v>5</v>
      </c>
      <c r="F13046" t="str" cm="1">
        <f t="array" ref="F13046">CategorizeComment(E13046)</f>
        <v>Other</v>
      </c>
      <c r="G13046" t="str" cm="1">
        <f t="array" ref="G13046">SubCategorizeComment(E13046)</f>
        <v>Other</v>
      </c>
    </row>
    <row r="13047" spans="1:7" x14ac:dyDescent="0.25">
      <c r="A13047">
        <v>124990</v>
      </c>
      <c r="B13047" t="s">
        <v>4</v>
      </c>
      <c r="C13047">
        <v>3</v>
      </c>
      <c r="D13047" t="s">
        <v>5</v>
      </c>
      <c r="F13047" t="str" cm="1">
        <f t="array" ref="F13047">CategorizeComment(E13047)</f>
        <v>Other</v>
      </c>
      <c r="G13047" t="str" cm="1">
        <f t="array" ref="G13047">SubCategorizeComment(E13047)</f>
        <v>Other</v>
      </c>
    </row>
    <row r="13048" spans="1:7" x14ac:dyDescent="0.25">
      <c r="A13048">
        <v>124991</v>
      </c>
      <c r="B13048" t="s">
        <v>4</v>
      </c>
      <c r="C13048">
        <v>3</v>
      </c>
      <c r="D13048" t="s">
        <v>5</v>
      </c>
      <c r="F13048" t="str" cm="1">
        <f t="array" ref="F13048">CategorizeComment(E13048)</f>
        <v>Other</v>
      </c>
      <c r="G13048" t="str" cm="1">
        <f t="array" ref="G13048">SubCategorizeComment(E13048)</f>
        <v>Other</v>
      </c>
    </row>
    <row r="13049" spans="1:7" x14ac:dyDescent="0.25">
      <c r="A13049">
        <v>124994</v>
      </c>
      <c r="B13049" t="s">
        <v>4</v>
      </c>
      <c r="C13049">
        <v>4</v>
      </c>
      <c r="D13049" t="s">
        <v>5</v>
      </c>
      <c r="F13049" t="str" cm="1">
        <f t="array" ref="F13049">CategorizeComment(E13049)</f>
        <v>Other</v>
      </c>
      <c r="G13049" t="str" cm="1">
        <f t="array" ref="G13049">SubCategorizeComment(E13049)</f>
        <v>Other</v>
      </c>
    </row>
    <row r="13050" spans="1:7" x14ac:dyDescent="0.25">
      <c r="A13050">
        <v>124999</v>
      </c>
      <c r="B13050" t="s">
        <v>4</v>
      </c>
      <c r="C13050">
        <v>4</v>
      </c>
      <c r="D13050" t="s">
        <v>5</v>
      </c>
      <c r="F13050" t="str" cm="1">
        <f t="array" ref="F13050">CategorizeComment(E13050)</f>
        <v>Other</v>
      </c>
      <c r="G13050" t="str" cm="1">
        <f t="array" ref="G13050">SubCategorizeComment(E13050)</f>
        <v>Other</v>
      </c>
    </row>
    <row r="13051" spans="1:7" x14ac:dyDescent="0.25">
      <c r="A13051">
        <v>125021</v>
      </c>
      <c r="B13051" t="s">
        <v>4</v>
      </c>
      <c r="C13051">
        <v>3</v>
      </c>
      <c r="D13051" t="s">
        <v>5</v>
      </c>
      <c r="F13051" t="str" cm="1">
        <f t="array" ref="F13051">CategorizeComment(E13051)</f>
        <v>Other</v>
      </c>
      <c r="G13051" t="str" cm="1">
        <f t="array" ref="G13051">SubCategorizeComment(E13051)</f>
        <v>Other</v>
      </c>
    </row>
    <row r="13052" spans="1:7" x14ac:dyDescent="0.25">
      <c r="A13052">
        <v>125022</v>
      </c>
      <c r="B13052" t="s">
        <v>4</v>
      </c>
      <c r="C13052">
        <v>4</v>
      </c>
      <c r="D13052" t="s">
        <v>5</v>
      </c>
      <c r="F13052" t="str" cm="1">
        <f t="array" ref="F13052">CategorizeComment(E13052)</f>
        <v>Other</v>
      </c>
      <c r="G13052" t="str" cm="1">
        <f t="array" ref="G13052">SubCategorizeComment(E13052)</f>
        <v>Other</v>
      </c>
    </row>
    <row r="13053" spans="1:7" x14ac:dyDescent="0.25">
      <c r="A13053">
        <v>125023</v>
      </c>
      <c r="B13053" t="s">
        <v>4</v>
      </c>
      <c r="C13053">
        <v>3</v>
      </c>
      <c r="D13053" t="s">
        <v>5</v>
      </c>
      <c r="F13053" t="str" cm="1">
        <f t="array" ref="F13053">CategorizeComment(E13053)</f>
        <v>Other</v>
      </c>
      <c r="G13053" t="str" cm="1">
        <f t="array" ref="G13053">SubCategorizeComment(E13053)</f>
        <v>Other</v>
      </c>
    </row>
    <row r="13054" spans="1:7" x14ac:dyDescent="0.25">
      <c r="A13054">
        <v>125028</v>
      </c>
      <c r="B13054" t="s">
        <v>4</v>
      </c>
      <c r="C13054">
        <v>4</v>
      </c>
      <c r="D13054" t="s">
        <v>5</v>
      </c>
      <c r="F13054" t="str" cm="1">
        <f t="array" ref="F13054">CategorizeComment(E13054)</f>
        <v>Other</v>
      </c>
      <c r="G13054" t="str" cm="1">
        <f t="array" ref="G13054">SubCategorizeComment(E13054)</f>
        <v>Other</v>
      </c>
    </row>
    <row r="13055" spans="1:7" x14ac:dyDescent="0.25">
      <c r="A13055">
        <v>125040</v>
      </c>
      <c r="B13055" t="s">
        <v>4</v>
      </c>
      <c r="C13055">
        <v>4</v>
      </c>
      <c r="D13055" t="s">
        <v>5</v>
      </c>
      <c r="F13055" t="str" cm="1">
        <f t="array" ref="F13055">CategorizeComment(E13055)</f>
        <v>Other</v>
      </c>
      <c r="G13055" t="str" cm="1">
        <f t="array" ref="G13055">SubCategorizeComment(E13055)</f>
        <v>Other</v>
      </c>
    </row>
    <row r="13056" spans="1:7" x14ac:dyDescent="0.25">
      <c r="A13056">
        <v>125054</v>
      </c>
      <c r="B13056" t="s">
        <v>4</v>
      </c>
      <c r="C13056">
        <v>4</v>
      </c>
      <c r="D13056" t="s">
        <v>5</v>
      </c>
      <c r="F13056" t="str" cm="1">
        <f t="array" ref="F13056">CategorizeComment(E13056)</f>
        <v>Other</v>
      </c>
      <c r="G13056" t="str" cm="1">
        <f t="array" ref="G13056">SubCategorizeComment(E13056)</f>
        <v>Other</v>
      </c>
    </row>
    <row r="13057" spans="1:7" x14ac:dyDescent="0.25">
      <c r="A13057">
        <v>125063</v>
      </c>
      <c r="B13057" t="s">
        <v>4</v>
      </c>
      <c r="C13057">
        <v>3</v>
      </c>
      <c r="D13057" t="s">
        <v>5</v>
      </c>
      <c r="F13057" t="str" cm="1">
        <f t="array" ref="F13057">CategorizeComment(E13057)</f>
        <v>Other</v>
      </c>
      <c r="G13057" t="str" cm="1">
        <f t="array" ref="G13057">SubCategorizeComment(E13057)</f>
        <v>Other</v>
      </c>
    </row>
    <row r="13058" spans="1:7" x14ac:dyDescent="0.25">
      <c r="A13058">
        <v>125065</v>
      </c>
      <c r="B13058" t="s">
        <v>4</v>
      </c>
      <c r="C13058">
        <v>4</v>
      </c>
      <c r="D13058" t="s">
        <v>5</v>
      </c>
      <c r="F13058" t="str" cm="1">
        <f t="array" ref="F13058">CategorizeComment(E13058)</f>
        <v>Other</v>
      </c>
      <c r="G13058" t="str" cm="1">
        <f t="array" ref="G13058">SubCategorizeComment(E13058)</f>
        <v>Other</v>
      </c>
    </row>
    <row r="13059" spans="1:7" x14ac:dyDescent="0.25">
      <c r="A13059">
        <v>125083</v>
      </c>
      <c r="B13059" t="s">
        <v>4</v>
      </c>
      <c r="C13059">
        <v>4</v>
      </c>
      <c r="D13059" t="s">
        <v>5</v>
      </c>
      <c r="F13059" t="str" cm="1">
        <f t="array" ref="F13059">CategorizeComment(E13059)</f>
        <v>Other</v>
      </c>
      <c r="G13059" t="str" cm="1">
        <f t="array" ref="G13059">SubCategorizeComment(E13059)</f>
        <v>Other</v>
      </c>
    </row>
    <row r="13060" spans="1:7" x14ac:dyDescent="0.25">
      <c r="A13060">
        <v>125103</v>
      </c>
      <c r="B13060" t="s">
        <v>4</v>
      </c>
      <c r="C13060">
        <v>4</v>
      </c>
      <c r="D13060" t="s">
        <v>5</v>
      </c>
      <c r="F13060" t="str" cm="1">
        <f t="array" ref="F13060">CategorizeComment(E13060)</f>
        <v>Other</v>
      </c>
      <c r="G13060" t="str" cm="1">
        <f t="array" ref="G13060">SubCategorizeComment(E13060)</f>
        <v>Other</v>
      </c>
    </row>
    <row r="13061" spans="1:7" x14ac:dyDescent="0.25">
      <c r="A13061">
        <v>125106</v>
      </c>
      <c r="B13061" t="s">
        <v>4</v>
      </c>
      <c r="C13061">
        <v>4</v>
      </c>
      <c r="D13061" t="s">
        <v>5</v>
      </c>
      <c r="F13061" t="str" cm="1">
        <f t="array" ref="F13061">CategorizeComment(E13061)</f>
        <v>Other</v>
      </c>
      <c r="G13061" t="str" cm="1">
        <f t="array" ref="G13061">SubCategorizeComment(E13061)</f>
        <v>Other</v>
      </c>
    </row>
    <row r="13062" spans="1:7" x14ac:dyDescent="0.25">
      <c r="A13062">
        <v>125108</v>
      </c>
      <c r="B13062" t="s">
        <v>4</v>
      </c>
      <c r="C13062">
        <v>4</v>
      </c>
      <c r="D13062" t="s">
        <v>5</v>
      </c>
      <c r="F13062" t="str" cm="1">
        <f t="array" ref="F13062">CategorizeComment(E13062)</f>
        <v>Other</v>
      </c>
      <c r="G13062" t="str" cm="1">
        <f t="array" ref="G13062">SubCategorizeComment(E13062)</f>
        <v>Other</v>
      </c>
    </row>
    <row r="13063" spans="1:7" x14ac:dyDescent="0.25">
      <c r="A13063">
        <v>125115</v>
      </c>
      <c r="B13063" t="s">
        <v>4</v>
      </c>
      <c r="C13063">
        <v>4</v>
      </c>
      <c r="D13063" t="s">
        <v>5</v>
      </c>
      <c r="F13063" t="str" cm="1">
        <f t="array" ref="F13063">CategorizeComment(E13063)</f>
        <v>Other</v>
      </c>
      <c r="G13063" t="str" cm="1">
        <f t="array" ref="G13063">SubCategorizeComment(E13063)</f>
        <v>Other</v>
      </c>
    </row>
    <row r="13064" spans="1:7" x14ac:dyDescent="0.25">
      <c r="A13064">
        <v>125116</v>
      </c>
      <c r="B13064" t="s">
        <v>4</v>
      </c>
      <c r="C13064">
        <v>3</v>
      </c>
      <c r="D13064" t="s">
        <v>5</v>
      </c>
      <c r="F13064" t="str" cm="1">
        <f t="array" ref="F13064">CategorizeComment(E13064)</f>
        <v>Other</v>
      </c>
      <c r="G13064" t="str" cm="1">
        <f t="array" ref="G13064">SubCategorizeComment(E13064)</f>
        <v>Other</v>
      </c>
    </row>
    <row r="13065" spans="1:7" x14ac:dyDescent="0.25">
      <c r="A13065">
        <v>125146</v>
      </c>
      <c r="B13065" t="s">
        <v>4</v>
      </c>
      <c r="C13065">
        <v>4</v>
      </c>
      <c r="D13065" t="s">
        <v>5</v>
      </c>
      <c r="F13065" t="str" cm="1">
        <f t="array" ref="F13065">CategorizeComment(E13065)</f>
        <v>Other</v>
      </c>
      <c r="G13065" t="str" cm="1">
        <f t="array" ref="G13065">SubCategorizeComment(E13065)</f>
        <v>Other</v>
      </c>
    </row>
    <row r="13066" spans="1:7" x14ac:dyDescent="0.25">
      <c r="A13066">
        <v>125158</v>
      </c>
      <c r="B13066" t="s">
        <v>4</v>
      </c>
      <c r="C13066">
        <v>4</v>
      </c>
      <c r="D13066" t="s">
        <v>5</v>
      </c>
      <c r="F13066" t="str" cm="1">
        <f t="array" ref="F13066">CategorizeComment(E13066)</f>
        <v>Other</v>
      </c>
      <c r="G13066" t="str" cm="1">
        <f t="array" ref="G13066">SubCategorizeComment(E13066)</f>
        <v>Other</v>
      </c>
    </row>
    <row r="13067" spans="1:7" x14ac:dyDescent="0.25">
      <c r="A13067">
        <v>125174</v>
      </c>
      <c r="B13067" t="s">
        <v>4</v>
      </c>
      <c r="C13067">
        <v>4</v>
      </c>
      <c r="D13067" t="s">
        <v>5</v>
      </c>
      <c r="F13067" t="str" cm="1">
        <f t="array" ref="F13067">CategorizeComment(E13067)</f>
        <v>Other</v>
      </c>
      <c r="G13067" t="str" cm="1">
        <f t="array" ref="G13067">SubCategorizeComment(E13067)</f>
        <v>Other</v>
      </c>
    </row>
    <row r="13068" spans="1:7" x14ac:dyDescent="0.25">
      <c r="A13068">
        <v>125178</v>
      </c>
      <c r="B13068" t="s">
        <v>4</v>
      </c>
      <c r="C13068">
        <v>4</v>
      </c>
      <c r="D13068" t="s">
        <v>5</v>
      </c>
      <c r="F13068" t="str" cm="1">
        <f t="array" ref="F13068">CategorizeComment(E13068)</f>
        <v>Other</v>
      </c>
      <c r="G13068" t="str" cm="1">
        <f t="array" ref="G13068">SubCategorizeComment(E13068)</f>
        <v>Other</v>
      </c>
    </row>
    <row r="13069" spans="1:7" x14ac:dyDescent="0.25">
      <c r="A13069">
        <v>125196</v>
      </c>
      <c r="B13069" t="s">
        <v>4</v>
      </c>
      <c r="C13069">
        <v>4</v>
      </c>
      <c r="D13069" t="s">
        <v>5</v>
      </c>
      <c r="F13069" t="str" cm="1">
        <f t="array" ref="F13069">CategorizeComment(E13069)</f>
        <v>Other</v>
      </c>
      <c r="G13069" t="str" cm="1">
        <f t="array" ref="G13069">SubCategorizeComment(E13069)</f>
        <v>Other</v>
      </c>
    </row>
    <row r="13070" spans="1:7" x14ac:dyDescent="0.25">
      <c r="A13070">
        <v>125198</v>
      </c>
      <c r="B13070" t="s">
        <v>4</v>
      </c>
      <c r="C13070">
        <v>4</v>
      </c>
      <c r="D13070" t="s">
        <v>5</v>
      </c>
      <c r="F13070" t="str" cm="1">
        <f t="array" ref="F13070">CategorizeComment(E13070)</f>
        <v>Other</v>
      </c>
      <c r="G13070" t="str" cm="1">
        <f t="array" ref="G13070">SubCategorizeComment(E13070)</f>
        <v>Other</v>
      </c>
    </row>
    <row r="13071" spans="1:7" x14ac:dyDescent="0.25">
      <c r="A13071">
        <v>125207</v>
      </c>
      <c r="B13071" t="s">
        <v>4</v>
      </c>
      <c r="C13071">
        <v>3</v>
      </c>
      <c r="D13071" t="s">
        <v>5</v>
      </c>
      <c r="F13071" t="str" cm="1">
        <f t="array" ref="F13071">CategorizeComment(E13071)</f>
        <v>Other</v>
      </c>
      <c r="G13071" t="str" cm="1">
        <f t="array" ref="G13071">SubCategorizeComment(E13071)</f>
        <v>Other</v>
      </c>
    </row>
    <row r="13072" spans="1:7" x14ac:dyDescent="0.25">
      <c r="A13072">
        <v>125214</v>
      </c>
      <c r="B13072" t="s">
        <v>4</v>
      </c>
      <c r="C13072">
        <v>4</v>
      </c>
      <c r="D13072" t="s">
        <v>5</v>
      </c>
      <c r="F13072" t="str" cm="1">
        <f t="array" ref="F13072">CategorizeComment(E13072)</f>
        <v>Other</v>
      </c>
      <c r="G13072" t="str" cm="1">
        <f t="array" ref="G13072">SubCategorizeComment(E13072)</f>
        <v>Other</v>
      </c>
    </row>
    <row r="13073" spans="1:7" x14ac:dyDescent="0.25">
      <c r="A13073">
        <v>125218</v>
      </c>
      <c r="B13073" t="s">
        <v>4</v>
      </c>
      <c r="C13073">
        <v>4</v>
      </c>
      <c r="D13073" t="s">
        <v>5</v>
      </c>
      <c r="F13073" t="str" cm="1">
        <f t="array" ref="F13073">CategorizeComment(E13073)</f>
        <v>Other</v>
      </c>
      <c r="G13073" t="str" cm="1">
        <f t="array" ref="G13073">SubCategorizeComment(E13073)</f>
        <v>Other</v>
      </c>
    </row>
    <row r="13074" spans="1:7" x14ac:dyDescent="0.25">
      <c r="A13074">
        <v>125230</v>
      </c>
      <c r="B13074" t="s">
        <v>4</v>
      </c>
      <c r="C13074">
        <v>4</v>
      </c>
      <c r="D13074" t="s">
        <v>5</v>
      </c>
      <c r="F13074" t="str" cm="1">
        <f t="array" ref="F13074">CategorizeComment(E13074)</f>
        <v>Other</v>
      </c>
      <c r="G13074" t="str" cm="1">
        <f t="array" ref="G13074">SubCategorizeComment(E13074)</f>
        <v>Other</v>
      </c>
    </row>
    <row r="13075" spans="1:7" x14ac:dyDescent="0.25">
      <c r="A13075">
        <v>125237</v>
      </c>
      <c r="B13075" t="s">
        <v>4</v>
      </c>
      <c r="C13075">
        <v>4</v>
      </c>
      <c r="D13075" t="s">
        <v>5</v>
      </c>
      <c r="F13075" t="str" cm="1">
        <f t="array" ref="F13075">CategorizeComment(E13075)</f>
        <v>Other</v>
      </c>
      <c r="G13075" t="str" cm="1">
        <f t="array" ref="G13075">SubCategorizeComment(E13075)</f>
        <v>Other</v>
      </c>
    </row>
    <row r="13076" spans="1:7" x14ac:dyDescent="0.25">
      <c r="A13076">
        <v>125243</v>
      </c>
      <c r="B13076" t="s">
        <v>4</v>
      </c>
      <c r="C13076">
        <v>3</v>
      </c>
      <c r="D13076" t="s">
        <v>5</v>
      </c>
      <c r="F13076" t="str" cm="1">
        <f t="array" ref="F13076">CategorizeComment(E13076)</f>
        <v>Other</v>
      </c>
      <c r="G13076" t="str" cm="1">
        <f t="array" ref="G13076">SubCategorizeComment(E13076)</f>
        <v>Other</v>
      </c>
    </row>
    <row r="13077" spans="1:7" x14ac:dyDescent="0.25">
      <c r="A13077">
        <v>125248</v>
      </c>
      <c r="B13077" t="s">
        <v>4</v>
      </c>
      <c r="C13077">
        <v>3</v>
      </c>
      <c r="D13077" t="s">
        <v>5</v>
      </c>
      <c r="F13077" t="str" cm="1">
        <f t="array" ref="F13077">CategorizeComment(E13077)</f>
        <v>Other</v>
      </c>
      <c r="G13077" t="str" cm="1">
        <f t="array" ref="G13077">SubCategorizeComment(E13077)</f>
        <v>Other</v>
      </c>
    </row>
    <row r="13078" spans="1:7" x14ac:dyDescent="0.25">
      <c r="A13078">
        <v>125252</v>
      </c>
      <c r="B13078" t="s">
        <v>4</v>
      </c>
      <c r="C13078">
        <v>3</v>
      </c>
      <c r="D13078" t="s">
        <v>5</v>
      </c>
      <c r="F13078" t="str" cm="1">
        <f t="array" ref="F13078">CategorizeComment(E13078)</f>
        <v>Other</v>
      </c>
      <c r="G13078" t="str" cm="1">
        <f t="array" ref="G13078">SubCategorizeComment(E13078)</f>
        <v>Other</v>
      </c>
    </row>
    <row r="13079" spans="1:7" x14ac:dyDescent="0.25">
      <c r="A13079">
        <v>125253</v>
      </c>
      <c r="B13079" t="s">
        <v>4</v>
      </c>
      <c r="C13079">
        <v>3</v>
      </c>
      <c r="D13079" t="s">
        <v>5</v>
      </c>
      <c r="F13079" t="str" cm="1">
        <f t="array" ref="F13079">CategorizeComment(E13079)</f>
        <v>Other</v>
      </c>
      <c r="G13079" t="str" cm="1">
        <f t="array" ref="G13079">SubCategorizeComment(E13079)</f>
        <v>Other</v>
      </c>
    </row>
    <row r="13080" spans="1:7" x14ac:dyDescent="0.25">
      <c r="A13080">
        <v>125273</v>
      </c>
      <c r="B13080" t="s">
        <v>4</v>
      </c>
      <c r="C13080">
        <v>4</v>
      </c>
      <c r="D13080" t="s">
        <v>5</v>
      </c>
      <c r="F13080" t="str" cm="1">
        <f t="array" ref="F13080">CategorizeComment(E13080)</f>
        <v>Other</v>
      </c>
      <c r="G13080" t="str" cm="1">
        <f t="array" ref="G13080">SubCategorizeComment(E13080)</f>
        <v>Other</v>
      </c>
    </row>
    <row r="13081" spans="1:7" x14ac:dyDescent="0.25">
      <c r="A13081">
        <v>125274</v>
      </c>
      <c r="B13081" t="s">
        <v>4</v>
      </c>
      <c r="C13081">
        <v>3</v>
      </c>
      <c r="D13081" t="s">
        <v>5</v>
      </c>
      <c r="F13081" t="str" cm="1">
        <f t="array" ref="F13081">CategorizeComment(E13081)</f>
        <v>Other</v>
      </c>
      <c r="G13081" t="str" cm="1">
        <f t="array" ref="G13081">SubCategorizeComment(E13081)</f>
        <v>Other</v>
      </c>
    </row>
    <row r="13082" spans="1:7" x14ac:dyDescent="0.25">
      <c r="A13082">
        <v>125292</v>
      </c>
      <c r="B13082" t="s">
        <v>4</v>
      </c>
      <c r="C13082">
        <v>3</v>
      </c>
      <c r="D13082" t="s">
        <v>5</v>
      </c>
      <c r="F13082" t="str" cm="1">
        <f t="array" ref="F13082">CategorizeComment(E13082)</f>
        <v>Other</v>
      </c>
      <c r="G13082" t="str" cm="1">
        <f t="array" ref="G13082">SubCategorizeComment(E13082)</f>
        <v>Other</v>
      </c>
    </row>
    <row r="13083" spans="1:7" x14ac:dyDescent="0.25">
      <c r="A13083">
        <v>125299</v>
      </c>
      <c r="B13083" t="s">
        <v>4</v>
      </c>
      <c r="C13083">
        <v>4</v>
      </c>
      <c r="D13083" t="s">
        <v>5</v>
      </c>
      <c r="F13083" t="str" cm="1">
        <f t="array" ref="F13083">CategorizeComment(E13083)</f>
        <v>Other</v>
      </c>
      <c r="G13083" t="str" cm="1">
        <f t="array" ref="G13083">SubCategorizeComment(E13083)</f>
        <v>Other</v>
      </c>
    </row>
    <row r="13084" spans="1:7" x14ac:dyDescent="0.25">
      <c r="A13084">
        <v>125303</v>
      </c>
      <c r="B13084" t="s">
        <v>4</v>
      </c>
      <c r="C13084">
        <v>4</v>
      </c>
      <c r="D13084" t="s">
        <v>5</v>
      </c>
      <c r="F13084" t="str" cm="1">
        <f t="array" ref="F13084">CategorizeComment(E13084)</f>
        <v>Other</v>
      </c>
      <c r="G13084" t="str" cm="1">
        <f t="array" ref="G13084">SubCategorizeComment(E13084)</f>
        <v>Other</v>
      </c>
    </row>
    <row r="13085" spans="1:7" x14ac:dyDescent="0.25">
      <c r="A13085">
        <v>125304</v>
      </c>
      <c r="B13085" t="s">
        <v>4</v>
      </c>
      <c r="C13085">
        <v>3</v>
      </c>
      <c r="D13085" t="s">
        <v>5</v>
      </c>
      <c r="F13085" t="str" cm="1">
        <f t="array" ref="F13085">CategorizeComment(E13085)</f>
        <v>Other</v>
      </c>
      <c r="G13085" t="str" cm="1">
        <f t="array" ref="G13085">SubCategorizeComment(E13085)</f>
        <v>Other</v>
      </c>
    </row>
    <row r="13086" spans="1:7" x14ac:dyDescent="0.25">
      <c r="A13086">
        <v>125324</v>
      </c>
      <c r="B13086" t="s">
        <v>4</v>
      </c>
      <c r="C13086">
        <v>4</v>
      </c>
      <c r="D13086" t="s">
        <v>5</v>
      </c>
      <c r="F13086" t="str" cm="1">
        <f t="array" ref="F13086">CategorizeComment(E13086)</f>
        <v>Other</v>
      </c>
      <c r="G13086" t="str" cm="1">
        <f t="array" ref="G13086">SubCategorizeComment(E13086)</f>
        <v>Other</v>
      </c>
    </row>
    <row r="13087" spans="1:7" x14ac:dyDescent="0.25">
      <c r="A13087">
        <v>125341</v>
      </c>
      <c r="B13087" t="s">
        <v>4</v>
      </c>
      <c r="C13087">
        <v>4</v>
      </c>
      <c r="D13087" t="s">
        <v>5</v>
      </c>
      <c r="F13087" t="str" cm="1">
        <f t="array" ref="F13087">CategorizeComment(E13087)</f>
        <v>Other</v>
      </c>
      <c r="G13087" t="str" cm="1">
        <f t="array" ref="G13087">SubCategorizeComment(E13087)</f>
        <v>Other</v>
      </c>
    </row>
    <row r="13088" spans="1:7" x14ac:dyDescent="0.25">
      <c r="A13088">
        <v>125354</v>
      </c>
      <c r="B13088" t="s">
        <v>4</v>
      </c>
      <c r="C13088">
        <v>3</v>
      </c>
      <c r="D13088" t="s">
        <v>5</v>
      </c>
      <c r="F13088" t="str" cm="1">
        <f t="array" ref="F13088">CategorizeComment(E13088)</f>
        <v>Other</v>
      </c>
      <c r="G13088" t="str" cm="1">
        <f t="array" ref="G13088">SubCategorizeComment(E13088)</f>
        <v>Other</v>
      </c>
    </row>
    <row r="13089" spans="1:7" x14ac:dyDescent="0.25">
      <c r="A13089">
        <v>125358</v>
      </c>
      <c r="B13089" t="s">
        <v>4</v>
      </c>
      <c r="C13089">
        <v>4</v>
      </c>
      <c r="D13089" t="s">
        <v>5</v>
      </c>
      <c r="F13089" t="str" cm="1">
        <f t="array" ref="F13089">CategorizeComment(E13089)</f>
        <v>Other</v>
      </c>
      <c r="G13089" t="str" cm="1">
        <f t="array" ref="G13089">SubCategorizeComment(E13089)</f>
        <v>Other</v>
      </c>
    </row>
    <row r="13090" spans="1:7" x14ac:dyDescent="0.25">
      <c r="A13090">
        <v>125361</v>
      </c>
      <c r="B13090" t="s">
        <v>4</v>
      </c>
      <c r="C13090">
        <v>3</v>
      </c>
      <c r="D13090" t="s">
        <v>5</v>
      </c>
      <c r="F13090" t="str" cm="1">
        <f t="array" ref="F13090">CategorizeComment(E13090)</f>
        <v>Other</v>
      </c>
      <c r="G13090" t="str" cm="1">
        <f t="array" ref="G13090">SubCategorizeComment(E13090)</f>
        <v>Other</v>
      </c>
    </row>
    <row r="13091" spans="1:7" x14ac:dyDescent="0.25">
      <c r="A13091">
        <v>125365</v>
      </c>
      <c r="B13091" t="s">
        <v>4</v>
      </c>
      <c r="C13091">
        <v>4</v>
      </c>
      <c r="D13091" t="s">
        <v>5</v>
      </c>
      <c r="F13091" t="str" cm="1">
        <f t="array" ref="F13091">CategorizeComment(E13091)</f>
        <v>Other</v>
      </c>
      <c r="G13091" t="str" cm="1">
        <f t="array" ref="G13091">SubCategorizeComment(E13091)</f>
        <v>Other</v>
      </c>
    </row>
    <row r="13092" spans="1:7" x14ac:dyDescent="0.25">
      <c r="A13092">
        <v>125393</v>
      </c>
      <c r="B13092" t="s">
        <v>4</v>
      </c>
      <c r="C13092">
        <v>4</v>
      </c>
      <c r="D13092" t="s">
        <v>5</v>
      </c>
      <c r="F13092" t="str" cm="1">
        <f t="array" ref="F13092">CategorizeComment(E13092)</f>
        <v>Other</v>
      </c>
      <c r="G13092" t="str" cm="1">
        <f t="array" ref="G13092">SubCategorizeComment(E13092)</f>
        <v>Other</v>
      </c>
    </row>
    <row r="13093" spans="1:7" x14ac:dyDescent="0.25">
      <c r="A13093">
        <v>125400</v>
      </c>
      <c r="B13093" t="s">
        <v>4</v>
      </c>
      <c r="C13093">
        <v>3</v>
      </c>
      <c r="D13093" t="s">
        <v>5</v>
      </c>
      <c r="F13093" t="str" cm="1">
        <f t="array" ref="F13093">CategorizeComment(E13093)</f>
        <v>Other</v>
      </c>
      <c r="G13093" t="str" cm="1">
        <f t="array" ref="G13093">SubCategorizeComment(E13093)</f>
        <v>Other</v>
      </c>
    </row>
    <row r="13094" spans="1:7" x14ac:dyDescent="0.25">
      <c r="A13094">
        <v>125420</v>
      </c>
      <c r="B13094" t="s">
        <v>4</v>
      </c>
      <c r="C13094">
        <v>3</v>
      </c>
      <c r="D13094" t="s">
        <v>5</v>
      </c>
      <c r="F13094" t="str" cm="1">
        <f t="array" ref="F13094">CategorizeComment(E13094)</f>
        <v>Other</v>
      </c>
      <c r="G13094" t="str" cm="1">
        <f t="array" ref="G13094">SubCategorizeComment(E13094)</f>
        <v>Other</v>
      </c>
    </row>
    <row r="13095" spans="1:7" x14ac:dyDescent="0.25">
      <c r="A13095">
        <v>125425</v>
      </c>
      <c r="B13095" t="s">
        <v>4</v>
      </c>
      <c r="C13095">
        <v>4</v>
      </c>
      <c r="D13095" t="s">
        <v>5</v>
      </c>
      <c r="F13095" t="str" cm="1">
        <f t="array" ref="F13095">CategorizeComment(E13095)</f>
        <v>Other</v>
      </c>
      <c r="G13095" t="str" cm="1">
        <f t="array" ref="G13095">SubCategorizeComment(E13095)</f>
        <v>Other</v>
      </c>
    </row>
    <row r="13096" spans="1:7" x14ac:dyDescent="0.25">
      <c r="A13096">
        <v>125426</v>
      </c>
      <c r="B13096" t="s">
        <v>4</v>
      </c>
      <c r="C13096">
        <v>4</v>
      </c>
      <c r="D13096" t="s">
        <v>5</v>
      </c>
      <c r="F13096" t="str" cm="1">
        <f t="array" ref="F13096">CategorizeComment(E13096)</f>
        <v>Other</v>
      </c>
      <c r="G13096" t="str" cm="1">
        <f t="array" ref="G13096">SubCategorizeComment(E13096)</f>
        <v>Other</v>
      </c>
    </row>
    <row r="13097" spans="1:7" x14ac:dyDescent="0.25">
      <c r="A13097">
        <v>125430</v>
      </c>
      <c r="B13097" t="s">
        <v>4</v>
      </c>
      <c r="C13097">
        <v>3</v>
      </c>
      <c r="D13097" t="s">
        <v>5</v>
      </c>
      <c r="F13097" t="str" cm="1">
        <f t="array" ref="F13097">CategorizeComment(E13097)</f>
        <v>Other</v>
      </c>
      <c r="G13097" t="str" cm="1">
        <f t="array" ref="G13097">SubCategorizeComment(E13097)</f>
        <v>Other</v>
      </c>
    </row>
    <row r="13098" spans="1:7" x14ac:dyDescent="0.25">
      <c r="A13098">
        <v>125433</v>
      </c>
      <c r="B13098" t="s">
        <v>4</v>
      </c>
      <c r="C13098">
        <v>3</v>
      </c>
      <c r="D13098" t="s">
        <v>5</v>
      </c>
      <c r="F13098" t="str" cm="1">
        <f t="array" ref="F13098">CategorizeComment(E13098)</f>
        <v>Other</v>
      </c>
      <c r="G13098" t="str" cm="1">
        <f t="array" ref="G13098">SubCategorizeComment(E13098)</f>
        <v>Other</v>
      </c>
    </row>
    <row r="13099" spans="1:7" x14ac:dyDescent="0.25">
      <c r="A13099">
        <v>125436</v>
      </c>
      <c r="B13099" t="s">
        <v>4</v>
      </c>
      <c r="C13099">
        <v>3</v>
      </c>
      <c r="D13099" t="s">
        <v>5</v>
      </c>
      <c r="F13099" t="str" cm="1">
        <f t="array" ref="F13099">CategorizeComment(E13099)</f>
        <v>Other</v>
      </c>
      <c r="G13099" t="str" cm="1">
        <f t="array" ref="G13099">SubCategorizeComment(E13099)</f>
        <v>Other</v>
      </c>
    </row>
    <row r="13100" spans="1:7" x14ac:dyDescent="0.25">
      <c r="A13100">
        <v>125438</v>
      </c>
      <c r="B13100" t="s">
        <v>4</v>
      </c>
      <c r="C13100">
        <v>4</v>
      </c>
      <c r="D13100" t="s">
        <v>5</v>
      </c>
      <c r="F13100" t="str" cm="1">
        <f t="array" ref="F13100">CategorizeComment(E13100)</f>
        <v>Other</v>
      </c>
      <c r="G13100" t="str" cm="1">
        <f t="array" ref="G13100">SubCategorizeComment(E13100)</f>
        <v>Other</v>
      </c>
    </row>
    <row r="13101" spans="1:7" x14ac:dyDescent="0.25">
      <c r="A13101">
        <v>125442</v>
      </c>
      <c r="B13101" t="s">
        <v>4</v>
      </c>
      <c r="C13101">
        <v>3</v>
      </c>
      <c r="D13101" t="s">
        <v>5</v>
      </c>
      <c r="F13101" t="str" cm="1">
        <f t="array" ref="F13101">CategorizeComment(E13101)</f>
        <v>Other</v>
      </c>
      <c r="G13101" t="str" cm="1">
        <f t="array" ref="G13101">SubCategorizeComment(E13101)</f>
        <v>Other</v>
      </c>
    </row>
    <row r="13102" spans="1:7" x14ac:dyDescent="0.25">
      <c r="A13102">
        <v>125446</v>
      </c>
      <c r="B13102" t="s">
        <v>4</v>
      </c>
      <c r="C13102">
        <v>3</v>
      </c>
      <c r="D13102" t="s">
        <v>5</v>
      </c>
      <c r="F13102" t="str" cm="1">
        <f t="array" ref="F13102">CategorizeComment(E13102)</f>
        <v>Other</v>
      </c>
      <c r="G13102" t="str" cm="1">
        <f t="array" ref="G13102">SubCategorizeComment(E13102)</f>
        <v>Other</v>
      </c>
    </row>
    <row r="13103" spans="1:7" x14ac:dyDescent="0.25">
      <c r="A13103">
        <v>125448</v>
      </c>
      <c r="B13103" t="s">
        <v>4</v>
      </c>
      <c r="C13103">
        <v>4</v>
      </c>
      <c r="D13103" t="s">
        <v>5</v>
      </c>
      <c r="F13103" t="str" cm="1">
        <f t="array" ref="F13103">CategorizeComment(E13103)</f>
        <v>Other</v>
      </c>
      <c r="G13103" t="str" cm="1">
        <f t="array" ref="G13103">SubCategorizeComment(E13103)</f>
        <v>Other</v>
      </c>
    </row>
    <row r="13104" spans="1:7" x14ac:dyDescent="0.25">
      <c r="A13104">
        <v>125464</v>
      </c>
      <c r="B13104" t="s">
        <v>4</v>
      </c>
      <c r="C13104">
        <v>3</v>
      </c>
      <c r="D13104" t="s">
        <v>5</v>
      </c>
      <c r="F13104" t="str" cm="1">
        <f t="array" ref="F13104">CategorizeComment(E13104)</f>
        <v>Other</v>
      </c>
      <c r="G13104" t="str" cm="1">
        <f t="array" ref="G13104">SubCategorizeComment(E13104)</f>
        <v>Other</v>
      </c>
    </row>
    <row r="13105" spans="1:7" x14ac:dyDescent="0.25">
      <c r="A13105">
        <v>125467</v>
      </c>
      <c r="B13105" t="s">
        <v>4</v>
      </c>
      <c r="C13105">
        <v>4</v>
      </c>
      <c r="D13105" t="s">
        <v>5</v>
      </c>
      <c r="F13105" t="str" cm="1">
        <f t="array" ref="F13105">CategorizeComment(E13105)</f>
        <v>Other</v>
      </c>
      <c r="G13105" t="str" cm="1">
        <f t="array" ref="G13105">SubCategorizeComment(E13105)</f>
        <v>Other</v>
      </c>
    </row>
    <row r="13106" spans="1:7" x14ac:dyDescent="0.25">
      <c r="A13106">
        <v>125469</v>
      </c>
      <c r="B13106" t="s">
        <v>4</v>
      </c>
      <c r="C13106">
        <v>3</v>
      </c>
      <c r="D13106" t="s">
        <v>5</v>
      </c>
      <c r="F13106" t="str" cm="1">
        <f t="array" ref="F13106">CategorizeComment(E13106)</f>
        <v>Other</v>
      </c>
      <c r="G13106" t="str" cm="1">
        <f t="array" ref="G13106">SubCategorizeComment(E13106)</f>
        <v>Other</v>
      </c>
    </row>
    <row r="13107" spans="1:7" x14ac:dyDescent="0.25">
      <c r="A13107">
        <v>125481</v>
      </c>
      <c r="B13107" t="s">
        <v>4</v>
      </c>
      <c r="C13107">
        <v>4</v>
      </c>
      <c r="D13107" t="s">
        <v>5</v>
      </c>
      <c r="F13107" t="str" cm="1">
        <f t="array" ref="F13107">CategorizeComment(E13107)</f>
        <v>Other</v>
      </c>
      <c r="G13107" t="str" cm="1">
        <f t="array" ref="G13107">SubCategorizeComment(E13107)</f>
        <v>Other</v>
      </c>
    </row>
    <row r="13108" spans="1:7" x14ac:dyDescent="0.25">
      <c r="A13108">
        <v>125489</v>
      </c>
      <c r="B13108" t="s">
        <v>4</v>
      </c>
      <c r="C13108">
        <v>3</v>
      </c>
      <c r="D13108" t="s">
        <v>5</v>
      </c>
      <c r="F13108" t="str" cm="1">
        <f t="array" ref="F13108">CategorizeComment(E13108)</f>
        <v>Other</v>
      </c>
      <c r="G13108" t="str" cm="1">
        <f t="array" ref="G13108">SubCategorizeComment(E13108)</f>
        <v>Other</v>
      </c>
    </row>
    <row r="13109" spans="1:7" x14ac:dyDescent="0.25">
      <c r="A13109">
        <v>125490</v>
      </c>
      <c r="B13109" t="s">
        <v>4</v>
      </c>
      <c r="C13109">
        <v>4</v>
      </c>
      <c r="D13109" t="s">
        <v>5</v>
      </c>
      <c r="F13109" t="str" cm="1">
        <f t="array" ref="F13109">CategorizeComment(E13109)</f>
        <v>Other</v>
      </c>
      <c r="G13109" t="str" cm="1">
        <f t="array" ref="G13109">SubCategorizeComment(E13109)</f>
        <v>Other</v>
      </c>
    </row>
    <row r="13110" spans="1:7" x14ac:dyDescent="0.25">
      <c r="A13110">
        <v>125501</v>
      </c>
      <c r="B13110" t="s">
        <v>4</v>
      </c>
      <c r="C13110">
        <v>3</v>
      </c>
      <c r="D13110" t="s">
        <v>5</v>
      </c>
      <c r="F13110" t="str" cm="1">
        <f t="array" ref="F13110">CategorizeComment(E13110)</f>
        <v>Other</v>
      </c>
      <c r="G13110" t="str" cm="1">
        <f t="array" ref="G13110">SubCategorizeComment(E13110)</f>
        <v>Other</v>
      </c>
    </row>
    <row r="13111" spans="1:7" x14ac:dyDescent="0.25">
      <c r="A13111">
        <v>125503</v>
      </c>
      <c r="B13111" t="s">
        <v>4</v>
      </c>
      <c r="C13111">
        <v>4</v>
      </c>
      <c r="D13111" t="s">
        <v>5</v>
      </c>
      <c r="F13111" t="str" cm="1">
        <f t="array" ref="F13111">CategorizeComment(E13111)</f>
        <v>Other</v>
      </c>
      <c r="G13111" t="str" cm="1">
        <f t="array" ref="G13111">SubCategorizeComment(E13111)</f>
        <v>Other</v>
      </c>
    </row>
    <row r="13112" spans="1:7" x14ac:dyDescent="0.25">
      <c r="A13112">
        <v>125549</v>
      </c>
      <c r="B13112" t="s">
        <v>4</v>
      </c>
      <c r="C13112">
        <v>3</v>
      </c>
      <c r="D13112" t="s">
        <v>5</v>
      </c>
      <c r="F13112" t="str" cm="1">
        <f t="array" ref="F13112">CategorizeComment(E13112)</f>
        <v>Other</v>
      </c>
      <c r="G13112" t="str" cm="1">
        <f t="array" ref="G13112">SubCategorizeComment(E13112)</f>
        <v>Other</v>
      </c>
    </row>
    <row r="13113" spans="1:7" x14ac:dyDescent="0.25">
      <c r="A13113">
        <v>125551</v>
      </c>
      <c r="B13113" t="s">
        <v>4</v>
      </c>
      <c r="C13113">
        <v>3</v>
      </c>
      <c r="D13113" t="s">
        <v>5</v>
      </c>
      <c r="F13113" t="str" cm="1">
        <f t="array" ref="F13113">CategorizeComment(E13113)</f>
        <v>Other</v>
      </c>
      <c r="G13113" t="str" cm="1">
        <f t="array" ref="G13113">SubCategorizeComment(E13113)</f>
        <v>Other</v>
      </c>
    </row>
    <row r="13114" spans="1:7" x14ac:dyDescent="0.25">
      <c r="A13114">
        <v>125552</v>
      </c>
      <c r="B13114" t="s">
        <v>4</v>
      </c>
      <c r="C13114">
        <v>4</v>
      </c>
      <c r="D13114" t="s">
        <v>5</v>
      </c>
      <c r="F13114" t="str" cm="1">
        <f t="array" ref="F13114">CategorizeComment(E13114)</f>
        <v>Other</v>
      </c>
      <c r="G13114" t="str" cm="1">
        <f t="array" ref="G13114">SubCategorizeComment(E13114)</f>
        <v>Other</v>
      </c>
    </row>
    <row r="13115" spans="1:7" x14ac:dyDescent="0.25">
      <c r="A13115">
        <v>125557</v>
      </c>
      <c r="B13115" t="s">
        <v>4</v>
      </c>
      <c r="C13115">
        <v>4</v>
      </c>
      <c r="D13115" t="s">
        <v>5</v>
      </c>
      <c r="F13115" t="str" cm="1">
        <f t="array" ref="F13115">CategorizeComment(E13115)</f>
        <v>Other</v>
      </c>
      <c r="G13115" t="str" cm="1">
        <f t="array" ref="G13115">SubCategorizeComment(E13115)</f>
        <v>Other</v>
      </c>
    </row>
    <row r="13116" spans="1:7" x14ac:dyDescent="0.25">
      <c r="A13116">
        <v>125563</v>
      </c>
      <c r="B13116" t="s">
        <v>4</v>
      </c>
      <c r="C13116">
        <v>4</v>
      </c>
      <c r="D13116" t="s">
        <v>5</v>
      </c>
      <c r="F13116" t="str" cm="1">
        <f t="array" ref="F13116">CategorizeComment(E13116)</f>
        <v>Other</v>
      </c>
      <c r="G13116" t="str" cm="1">
        <f t="array" ref="G13116">SubCategorizeComment(E13116)</f>
        <v>Other</v>
      </c>
    </row>
    <row r="13117" spans="1:7" x14ac:dyDescent="0.25">
      <c r="A13117">
        <v>125573</v>
      </c>
      <c r="B13117" t="s">
        <v>4</v>
      </c>
      <c r="C13117">
        <v>4</v>
      </c>
      <c r="D13117" t="s">
        <v>5</v>
      </c>
      <c r="F13117" t="str" cm="1">
        <f t="array" ref="F13117">CategorizeComment(E13117)</f>
        <v>Other</v>
      </c>
      <c r="G13117" t="str" cm="1">
        <f t="array" ref="G13117">SubCategorizeComment(E13117)</f>
        <v>Other</v>
      </c>
    </row>
    <row r="13118" spans="1:7" x14ac:dyDescent="0.25">
      <c r="A13118">
        <v>125582</v>
      </c>
      <c r="B13118" t="s">
        <v>4</v>
      </c>
      <c r="C13118">
        <v>4</v>
      </c>
      <c r="D13118" t="s">
        <v>5</v>
      </c>
      <c r="F13118" t="str" cm="1">
        <f t="array" ref="F13118">CategorizeComment(E13118)</f>
        <v>Other</v>
      </c>
      <c r="G13118" t="str" cm="1">
        <f t="array" ref="G13118">SubCategorizeComment(E13118)</f>
        <v>Other</v>
      </c>
    </row>
    <row r="13119" spans="1:7" x14ac:dyDescent="0.25">
      <c r="A13119">
        <v>125598</v>
      </c>
      <c r="B13119" t="s">
        <v>4</v>
      </c>
      <c r="C13119">
        <v>4</v>
      </c>
      <c r="D13119" t="s">
        <v>5</v>
      </c>
      <c r="F13119" t="str" cm="1">
        <f t="array" ref="F13119">CategorizeComment(E13119)</f>
        <v>Other</v>
      </c>
      <c r="G13119" t="str" cm="1">
        <f t="array" ref="G13119">SubCategorizeComment(E13119)</f>
        <v>Other</v>
      </c>
    </row>
    <row r="13120" spans="1:7" x14ac:dyDescent="0.25">
      <c r="A13120">
        <v>125600</v>
      </c>
      <c r="B13120" t="s">
        <v>4</v>
      </c>
      <c r="C13120">
        <v>4</v>
      </c>
      <c r="D13120" t="s">
        <v>5</v>
      </c>
      <c r="F13120" t="str" cm="1">
        <f t="array" ref="F13120">CategorizeComment(E13120)</f>
        <v>Other</v>
      </c>
      <c r="G13120" t="str" cm="1">
        <f t="array" ref="G13120">SubCategorizeComment(E13120)</f>
        <v>Other</v>
      </c>
    </row>
    <row r="13121" spans="1:7" x14ac:dyDescent="0.25">
      <c r="A13121">
        <v>125617</v>
      </c>
      <c r="B13121" t="s">
        <v>4</v>
      </c>
      <c r="C13121">
        <v>3</v>
      </c>
      <c r="D13121" t="s">
        <v>5</v>
      </c>
      <c r="F13121" t="str" cm="1">
        <f t="array" ref="F13121">CategorizeComment(E13121)</f>
        <v>Other</v>
      </c>
      <c r="G13121" t="str" cm="1">
        <f t="array" ref="G13121">SubCategorizeComment(E13121)</f>
        <v>Other</v>
      </c>
    </row>
    <row r="13122" spans="1:7" x14ac:dyDescent="0.25">
      <c r="A13122">
        <v>125628</v>
      </c>
      <c r="B13122" t="s">
        <v>4</v>
      </c>
      <c r="C13122">
        <v>3</v>
      </c>
      <c r="D13122" t="s">
        <v>5</v>
      </c>
      <c r="F13122" t="str" cm="1">
        <f t="array" ref="F13122">CategorizeComment(E13122)</f>
        <v>Other</v>
      </c>
      <c r="G13122" t="str" cm="1">
        <f t="array" ref="G13122">SubCategorizeComment(E13122)</f>
        <v>Other</v>
      </c>
    </row>
    <row r="13123" spans="1:7" x14ac:dyDescent="0.25">
      <c r="A13123">
        <v>125648</v>
      </c>
      <c r="B13123" t="s">
        <v>4</v>
      </c>
      <c r="C13123">
        <v>3</v>
      </c>
      <c r="D13123" t="s">
        <v>5</v>
      </c>
      <c r="F13123" t="str" cm="1">
        <f t="array" ref="F13123">CategorizeComment(E13123)</f>
        <v>Other</v>
      </c>
      <c r="G13123" t="str" cm="1">
        <f t="array" ref="G13123">SubCategorizeComment(E13123)</f>
        <v>Other</v>
      </c>
    </row>
    <row r="13124" spans="1:7" x14ac:dyDescent="0.25">
      <c r="A13124">
        <v>125683</v>
      </c>
      <c r="B13124" t="s">
        <v>4</v>
      </c>
      <c r="C13124">
        <v>3</v>
      </c>
      <c r="D13124" t="s">
        <v>5</v>
      </c>
      <c r="F13124" t="str" cm="1">
        <f t="array" ref="F13124">CategorizeComment(E13124)</f>
        <v>Other</v>
      </c>
      <c r="G13124" t="str" cm="1">
        <f t="array" ref="G13124">SubCategorizeComment(E13124)</f>
        <v>Other</v>
      </c>
    </row>
    <row r="13125" spans="1:7" x14ac:dyDescent="0.25">
      <c r="A13125">
        <v>125685</v>
      </c>
      <c r="B13125" t="s">
        <v>4</v>
      </c>
      <c r="C13125">
        <v>3</v>
      </c>
      <c r="D13125" t="s">
        <v>5</v>
      </c>
      <c r="F13125" t="str" cm="1">
        <f t="array" ref="F13125">CategorizeComment(E13125)</f>
        <v>Other</v>
      </c>
      <c r="G13125" t="str" cm="1">
        <f t="array" ref="G13125">SubCategorizeComment(E13125)</f>
        <v>Other</v>
      </c>
    </row>
    <row r="13126" spans="1:7" x14ac:dyDescent="0.25">
      <c r="A13126">
        <v>125687</v>
      </c>
      <c r="B13126" t="s">
        <v>4</v>
      </c>
      <c r="C13126">
        <v>3</v>
      </c>
      <c r="D13126" t="s">
        <v>5</v>
      </c>
      <c r="F13126" t="str" cm="1">
        <f t="array" ref="F13126">CategorizeComment(E13126)</f>
        <v>Other</v>
      </c>
      <c r="G13126" t="str" cm="1">
        <f t="array" ref="G13126">SubCategorizeComment(E13126)</f>
        <v>Other</v>
      </c>
    </row>
    <row r="13127" spans="1:7" x14ac:dyDescent="0.25">
      <c r="A13127">
        <v>125732</v>
      </c>
      <c r="B13127" t="s">
        <v>4</v>
      </c>
      <c r="C13127">
        <v>3</v>
      </c>
      <c r="D13127" t="s">
        <v>5</v>
      </c>
      <c r="F13127" t="str" cm="1">
        <f t="array" ref="F13127">CategorizeComment(E13127)</f>
        <v>Other</v>
      </c>
      <c r="G13127" t="str" cm="1">
        <f t="array" ref="G13127">SubCategorizeComment(E13127)</f>
        <v>Other</v>
      </c>
    </row>
    <row r="13128" spans="1:7" x14ac:dyDescent="0.25">
      <c r="A13128">
        <v>125734</v>
      </c>
      <c r="B13128" t="s">
        <v>4</v>
      </c>
      <c r="C13128">
        <v>3</v>
      </c>
      <c r="D13128" t="s">
        <v>5</v>
      </c>
      <c r="F13128" t="str" cm="1">
        <f t="array" ref="F13128">CategorizeComment(E13128)</f>
        <v>Other</v>
      </c>
      <c r="G13128" t="str" cm="1">
        <f t="array" ref="G13128">SubCategorizeComment(E13128)</f>
        <v>Other</v>
      </c>
    </row>
    <row r="13129" spans="1:7" x14ac:dyDescent="0.25">
      <c r="A13129">
        <v>125744</v>
      </c>
      <c r="B13129" t="s">
        <v>4</v>
      </c>
      <c r="C13129">
        <v>4</v>
      </c>
      <c r="D13129" t="s">
        <v>5</v>
      </c>
      <c r="F13129" t="str" cm="1">
        <f t="array" ref="F13129">CategorizeComment(E13129)</f>
        <v>Other</v>
      </c>
      <c r="G13129" t="str" cm="1">
        <f t="array" ref="G13129">SubCategorizeComment(E13129)</f>
        <v>Other</v>
      </c>
    </row>
    <row r="13130" spans="1:7" x14ac:dyDescent="0.25">
      <c r="A13130">
        <v>125764</v>
      </c>
      <c r="B13130" t="s">
        <v>4</v>
      </c>
      <c r="C13130">
        <v>4</v>
      </c>
      <c r="D13130" t="s">
        <v>5</v>
      </c>
      <c r="F13130" t="str" cm="1">
        <f t="array" ref="F13130">CategorizeComment(E13130)</f>
        <v>Other</v>
      </c>
      <c r="G13130" t="str" cm="1">
        <f t="array" ref="G13130">SubCategorizeComment(E13130)</f>
        <v>Other</v>
      </c>
    </row>
    <row r="13131" spans="1:7" x14ac:dyDescent="0.25">
      <c r="A13131">
        <v>125802</v>
      </c>
      <c r="B13131" t="s">
        <v>4</v>
      </c>
      <c r="C13131">
        <v>3</v>
      </c>
      <c r="D13131" t="s">
        <v>5</v>
      </c>
      <c r="F13131" t="str" cm="1">
        <f t="array" ref="F13131">CategorizeComment(E13131)</f>
        <v>Other</v>
      </c>
      <c r="G13131" t="str" cm="1">
        <f t="array" ref="G13131">SubCategorizeComment(E13131)</f>
        <v>Other</v>
      </c>
    </row>
    <row r="13132" spans="1:7" x14ac:dyDescent="0.25">
      <c r="A13132">
        <v>125803</v>
      </c>
      <c r="B13132" t="s">
        <v>4</v>
      </c>
      <c r="C13132">
        <v>3</v>
      </c>
      <c r="D13132" t="s">
        <v>5</v>
      </c>
      <c r="F13132" t="str" cm="1">
        <f t="array" ref="F13132">CategorizeComment(E13132)</f>
        <v>Other</v>
      </c>
      <c r="G13132" t="str" cm="1">
        <f t="array" ref="G13132">SubCategorizeComment(E13132)</f>
        <v>Other</v>
      </c>
    </row>
    <row r="13133" spans="1:7" x14ac:dyDescent="0.25">
      <c r="A13133">
        <v>125815</v>
      </c>
      <c r="B13133" t="s">
        <v>4</v>
      </c>
      <c r="C13133">
        <v>3</v>
      </c>
      <c r="D13133" t="s">
        <v>5</v>
      </c>
      <c r="F13133" t="str" cm="1">
        <f t="array" ref="F13133">CategorizeComment(E13133)</f>
        <v>Other</v>
      </c>
      <c r="G13133" t="str" cm="1">
        <f t="array" ref="G13133">SubCategorizeComment(E13133)</f>
        <v>Other</v>
      </c>
    </row>
    <row r="13134" spans="1:7" x14ac:dyDescent="0.25">
      <c r="A13134">
        <v>125829</v>
      </c>
      <c r="B13134" t="s">
        <v>4</v>
      </c>
      <c r="C13134">
        <v>4</v>
      </c>
      <c r="D13134" t="s">
        <v>5</v>
      </c>
      <c r="F13134" t="str" cm="1">
        <f t="array" ref="F13134">CategorizeComment(E13134)</f>
        <v>Other</v>
      </c>
      <c r="G13134" t="str" cm="1">
        <f t="array" ref="G13134">SubCategorizeComment(E13134)</f>
        <v>Other</v>
      </c>
    </row>
    <row r="13135" spans="1:7" x14ac:dyDescent="0.25">
      <c r="A13135">
        <v>125839</v>
      </c>
      <c r="B13135" t="s">
        <v>4</v>
      </c>
      <c r="C13135">
        <v>3</v>
      </c>
      <c r="D13135" t="s">
        <v>5</v>
      </c>
      <c r="F13135" t="str" cm="1">
        <f t="array" ref="F13135">CategorizeComment(E13135)</f>
        <v>Other</v>
      </c>
      <c r="G13135" t="str" cm="1">
        <f t="array" ref="G13135">SubCategorizeComment(E13135)</f>
        <v>Other</v>
      </c>
    </row>
    <row r="13136" spans="1:7" x14ac:dyDescent="0.25">
      <c r="A13136">
        <v>125842</v>
      </c>
      <c r="B13136" t="s">
        <v>4</v>
      </c>
      <c r="C13136">
        <v>4</v>
      </c>
      <c r="D13136" t="s">
        <v>5</v>
      </c>
      <c r="F13136" t="str" cm="1">
        <f t="array" ref="F13136">CategorizeComment(E13136)</f>
        <v>Other</v>
      </c>
      <c r="G13136" t="str" cm="1">
        <f t="array" ref="G13136">SubCategorizeComment(E13136)</f>
        <v>Other</v>
      </c>
    </row>
    <row r="13137" spans="1:7" x14ac:dyDescent="0.25">
      <c r="A13137">
        <v>125843</v>
      </c>
      <c r="B13137" t="s">
        <v>4</v>
      </c>
      <c r="C13137">
        <v>4</v>
      </c>
      <c r="D13137" t="s">
        <v>5</v>
      </c>
      <c r="F13137" t="str" cm="1">
        <f t="array" ref="F13137">CategorizeComment(E13137)</f>
        <v>Other</v>
      </c>
      <c r="G13137" t="str" cm="1">
        <f t="array" ref="G13137">SubCategorizeComment(E13137)</f>
        <v>Other</v>
      </c>
    </row>
    <row r="13138" spans="1:7" x14ac:dyDescent="0.25">
      <c r="A13138">
        <v>125858</v>
      </c>
      <c r="B13138" t="s">
        <v>4</v>
      </c>
      <c r="C13138">
        <v>4</v>
      </c>
      <c r="D13138" t="s">
        <v>5</v>
      </c>
      <c r="F13138" t="str" cm="1">
        <f t="array" ref="F13138">CategorizeComment(E13138)</f>
        <v>Other</v>
      </c>
      <c r="G13138" t="str" cm="1">
        <f t="array" ref="G13138">SubCategorizeComment(E13138)</f>
        <v>Other</v>
      </c>
    </row>
    <row r="13139" spans="1:7" x14ac:dyDescent="0.25">
      <c r="A13139">
        <v>125867</v>
      </c>
      <c r="B13139" t="s">
        <v>4</v>
      </c>
      <c r="C13139">
        <v>4</v>
      </c>
      <c r="D13139" t="s">
        <v>5</v>
      </c>
      <c r="F13139" t="str" cm="1">
        <f t="array" ref="F13139">CategorizeComment(E13139)</f>
        <v>Other</v>
      </c>
      <c r="G13139" t="str" cm="1">
        <f t="array" ref="G13139">SubCategorizeComment(E13139)</f>
        <v>Other</v>
      </c>
    </row>
    <row r="13140" spans="1:7" x14ac:dyDescent="0.25">
      <c r="A13140">
        <v>125876</v>
      </c>
      <c r="B13140" t="s">
        <v>4</v>
      </c>
      <c r="C13140">
        <v>3</v>
      </c>
      <c r="D13140" t="s">
        <v>5</v>
      </c>
      <c r="F13140" t="str" cm="1">
        <f t="array" ref="F13140">CategorizeComment(E13140)</f>
        <v>Other</v>
      </c>
      <c r="G13140" t="str" cm="1">
        <f t="array" ref="G13140">SubCategorizeComment(E13140)</f>
        <v>Other</v>
      </c>
    </row>
    <row r="13141" spans="1:7" x14ac:dyDescent="0.25">
      <c r="A13141">
        <v>125878</v>
      </c>
      <c r="B13141" t="s">
        <v>4</v>
      </c>
      <c r="C13141">
        <v>4</v>
      </c>
      <c r="D13141" t="s">
        <v>5</v>
      </c>
      <c r="F13141" t="str" cm="1">
        <f t="array" ref="F13141">CategorizeComment(E13141)</f>
        <v>Other</v>
      </c>
      <c r="G13141" t="str" cm="1">
        <f t="array" ref="G13141">SubCategorizeComment(E13141)</f>
        <v>Other</v>
      </c>
    </row>
    <row r="13142" spans="1:7" x14ac:dyDescent="0.25">
      <c r="A13142">
        <v>125888</v>
      </c>
      <c r="B13142" t="s">
        <v>4</v>
      </c>
      <c r="C13142">
        <v>3</v>
      </c>
      <c r="D13142" t="s">
        <v>5</v>
      </c>
      <c r="F13142" t="str" cm="1">
        <f t="array" ref="F13142">CategorizeComment(E13142)</f>
        <v>Other</v>
      </c>
      <c r="G13142" t="str" cm="1">
        <f t="array" ref="G13142">SubCategorizeComment(E13142)</f>
        <v>Other</v>
      </c>
    </row>
    <row r="13143" spans="1:7" x14ac:dyDescent="0.25">
      <c r="A13143">
        <v>125917</v>
      </c>
      <c r="B13143" t="s">
        <v>4</v>
      </c>
      <c r="C13143">
        <v>3</v>
      </c>
      <c r="D13143" t="s">
        <v>5</v>
      </c>
      <c r="F13143" t="str" cm="1">
        <f t="array" ref="F13143">CategorizeComment(E13143)</f>
        <v>Other</v>
      </c>
      <c r="G13143" t="str" cm="1">
        <f t="array" ref="G13143">SubCategorizeComment(E13143)</f>
        <v>Other</v>
      </c>
    </row>
    <row r="13144" spans="1:7" x14ac:dyDescent="0.25">
      <c r="A13144">
        <v>125921</v>
      </c>
      <c r="B13144" t="s">
        <v>4</v>
      </c>
      <c r="C13144">
        <v>4</v>
      </c>
      <c r="D13144" t="s">
        <v>5</v>
      </c>
      <c r="F13144" t="str" cm="1">
        <f t="array" ref="F13144">CategorizeComment(E13144)</f>
        <v>Other</v>
      </c>
      <c r="G13144" t="str" cm="1">
        <f t="array" ref="G13144">SubCategorizeComment(E13144)</f>
        <v>Other</v>
      </c>
    </row>
    <row r="13145" spans="1:7" x14ac:dyDescent="0.25">
      <c r="A13145">
        <v>125933</v>
      </c>
      <c r="B13145" t="s">
        <v>4</v>
      </c>
      <c r="C13145">
        <v>3</v>
      </c>
      <c r="D13145" t="s">
        <v>5</v>
      </c>
      <c r="F13145" t="str" cm="1">
        <f t="array" ref="F13145">CategorizeComment(E13145)</f>
        <v>Other</v>
      </c>
      <c r="G13145" t="str" cm="1">
        <f t="array" ref="G13145">SubCategorizeComment(E13145)</f>
        <v>Other</v>
      </c>
    </row>
    <row r="13146" spans="1:7" x14ac:dyDescent="0.25">
      <c r="A13146">
        <v>125937</v>
      </c>
      <c r="B13146" t="s">
        <v>4</v>
      </c>
      <c r="C13146">
        <v>3</v>
      </c>
      <c r="D13146" t="s">
        <v>5</v>
      </c>
      <c r="F13146" t="str" cm="1">
        <f t="array" ref="F13146">CategorizeComment(E13146)</f>
        <v>Other</v>
      </c>
      <c r="G13146" t="str" cm="1">
        <f t="array" ref="G13146">SubCategorizeComment(E13146)</f>
        <v>Other</v>
      </c>
    </row>
    <row r="13147" spans="1:7" x14ac:dyDescent="0.25">
      <c r="A13147">
        <v>125938</v>
      </c>
      <c r="B13147" t="s">
        <v>4</v>
      </c>
      <c r="C13147">
        <v>3</v>
      </c>
      <c r="D13147" t="s">
        <v>5</v>
      </c>
      <c r="F13147" t="str" cm="1">
        <f t="array" ref="F13147">CategorizeComment(E13147)</f>
        <v>Other</v>
      </c>
      <c r="G13147" t="str" cm="1">
        <f t="array" ref="G13147">SubCategorizeComment(E13147)</f>
        <v>Other</v>
      </c>
    </row>
    <row r="13148" spans="1:7" x14ac:dyDescent="0.25">
      <c r="A13148">
        <v>125944</v>
      </c>
      <c r="B13148" t="s">
        <v>4</v>
      </c>
      <c r="C13148">
        <v>4</v>
      </c>
      <c r="D13148" t="s">
        <v>5</v>
      </c>
      <c r="F13148" t="str" cm="1">
        <f t="array" ref="F13148">CategorizeComment(E13148)</f>
        <v>Other</v>
      </c>
      <c r="G13148" t="str" cm="1">
        <f t="array" ref="G13148">SubCategorizeComment(E13148)</f>
        <v>Other</v>
      </c>
    </row>
    <row r="13149" spans="1:7" x14ac:dyDescent="0.25">
      <c r="A13149">
        <v>125952</v>
      </c>
      <c r="B13149" t="s">
        <v>4</v>
      </c>
      <c r="C13149">
        <v>3</v>
      </c>
      <c r="D13149" t="s">
        <v>5</v>
      </c>
      <c r="F13149" t="str" cm="1">
        <f t="array" ref="F13149">CategorizeComment(E13149)</f>
        <v>Other</v>
      </c>
      <c r="G13149" t="str" cm="1">
        <f t="array" ref="G13149">SubCategorizeComment(E13149)</f>
        <v>Other</v>
      </c>
    </row>
    <row r="13150" spans="1:7" x14ac:dyDescent="0.25">
      <c r="A13150">
        <v>125960</v>
      </c>
      <c r="B13150" t="s">
        <v>4</v>
      </c>
      <c r="C13150">
        <v>4</v>
      </c>
      <c r="D13150" t="s">
        <v>5</v>
      </c>
      <c r="F13150" t="str" cm="1">
        <f t="array" ref="F13150">CategorizeComment(E13150)</f>
        <v>Other</v>
      </c>
      <c r="G13150" t="str" cm="1">
        <f t="array" ref="G13150">SubCategorizeComment(E13150)</f>
        <v>Other</v>
      </c>
    </row>
    <row r="13151" spans="1:7" x14ac:dyDescent="0.25">
      <c r="A13151">
        <v>125978</v>
      </c>
      <c r="B13151" t="s">
        <v>4</v>
      </c>
      <c r="C13151">
        <v>3</v>
      </c>
      <c r="D13151" t="s">
        <v>5</v>
      </c>
      <c r="F13151" t="str" cm="1">
        <f t="array" ref="F13151">CategorizeComment(E13151)</f>
        <v>Other</v>
      </c>
      <c r="G13151" t="str" cm="1">
        <f t="array" ref="G13151">SubCategorizeComment(E13151)</f>
        <v>Other</v>
      </c>
    </row>
    <row r="13152" spans="1:7" x14ac:dyDescent="0.25">
      <c r="A13152">
        <v>125983</v>
      </c>
      <c r="B13152" t="s">
        <v>4</v>
      </c>
      <c r="C13152">
        <v>4</v>
      </c>
      <c r="D13152" t="s">
        <v>5</v>
      </c>
      <c r="F13152" t="str" cm="1">
        <f t="array" ref="F13152">CategorizeComment(E13152)</f>
        <v>Other</v>
      </c>
      <c r="G13152" t="str" cm="1">
        <f t="array" ref="G13152">SubCategorizeComment(E13152)</f>
        <v>Other</v>
      </c>
    </row>
    <row r="13153" spans="1:7" x14ac:dyDescent="0.25">
      <c r="A13153">
        <v>125999</v>
      </c>
      <c r="B13153" t="s">
        <v>4</v>
      </c>
      <c r="C13153">
        <v>3</v>
      </c>
      <c r="D13153" t="s">
        <v>5</v>
      </c>
      <c r="F13153" t="str" cm="1">
        <f t="array" ref="F13153">CategorizeComment(E13153)</f>
        <v>Other</v>
      </c>
      <c r="G13153" t="str" cm="1">
        <f t="array" ref="G13153">SubCategorizeComment(E13153)</f>
        <v>Other</v>
      </c>
    </row>
    <row r="13154" spans="1:7" x14ac:dyDescent="0.25">
      <c r="A13154">
        <v>126001</v>
      </c>
      <c r="B13154" t="s">
        <v>4</v>
      </c>
      <c r="C13154">
        <v>3</v>
      </c>
      <c r="D13154" t="s">
        <v>5</v>
      </c>
      <c r="F13154" t="str" cm="1">
        <f t="array" ref="F13154">CategorizeComment(E13154)</f>
        <v>Other</v>
      </c>
      <c r="G13154" t="str" cm="1">
        <f t="array" ref="G13154">SubCategorizeComment(E13154)</f>
        <v>Other</v>
      </c>
    </row>
    <row r="13155" spans="1:7" x14ac:dyDescent="0.25">
      <c r="A13155">
        <v>126078</v>
      </c>
      <c r="B13155" t="s">
        <v>4</v>
      </c>
      <c r="C13155">
        <v>3</v>
      </c>
      <c r="D13155" t="s">
        <v>5</v>
      </c>
      <c r="F13155" t="str" cm="1">
        <f t="array" ref="F13155">CategorizeComment(E13155)</f>
        <v>Other</v>
      </c>
      <c r="G13155" t="str" cm="1">
        <f t="array" ref="G13155">SubCategorizeComment(E13155)</f>
        <v>Other</v>
      </c>
    </row>
    <row r="13156" spans="1:7" x14ac:dyDescent="0.25">
      <c r="A13156">
        <v>126112</v>
      </c>
      <c r="B13156" t="s">
        <v>4</v>
      </c>
      <c r="C13156">
        <v>4</v>
      </c>
      <c r="D13156" t="s">
        <v>5</v>
      </c>
      <c r="F13156" t="str" cm="1">
        <f t="array" ref="F13156">CategorizeComment(E13156)</f>
        <v>Other</v>
      </c>
      <c r="G13156" t="str" cm="1">
        <f t="array" ref="G13156">SubCategorizeComment(E13156)</f>
        <v>Other</v>
      </c>
    </row>
    <row r="13157" spans="1:7" x14ac:dyDescent="0.25">
      <c r="A13157">
        <v>126113</v>
      </c>
      <c r="B13157" t="s">
        <v>4</v>
      </c>
      <c r="C13157">
        <v>4</v>
      </c>
      <c r="D13157" t="s">
        <v>5</v>
      </c>
      <c r="F13157" t="str" cm="1">
        <f t="array" ref="F13157">CategorizeComment(E13157)</f>
        <v>Other</v>
      </c>
      <c r="G13157" t="str" cm="1">
        <f t="array" ref="G13157">SubCategorizeComment(E13157)</f>
        <v>Other</v>
      </c>
    </row>
    <row r="13158" spans="1:7" x14ac:dyDescent="0.25">
      <c r="A13158">
        <v>126114</v>
      </c>
      <c r="B13158" t="s">
        <v>4</v>
      </c>
      <c r="C13158">
        <v>3</v>
      </c>
      <c r="D13158" t="s">
        <v>5</v>
      </c>
      <c r="F13158" t="str" cm="1">
        <f t="array" ref="F13158">CategorizeComment(E13158)</f>
        <v>Other</v>
      </c>
      <c r="G13158" t="str" cm="1">
        <f t="array" ref="G13158">SubCategorizeComment(E13158)</f>
        <v>Other</v>
      </c>
    </row>
    <row r="13159" spans="1:7" x14ac:dyDescent="0.25">
      <c r="A13159">
        <v>126121</v>
      </c>
      <c r="B13159" t="s">
        <v>4</v>
      </c>
      <c r="C13159">
        <v>3</v>
      </c>
      <c r="D13159" t="s">
        <v>5</v>
      </c>
      <c r="F13159" t="str" cm="1">
        <f t="array" ref="F13159">CategorizeComment(E13159)</f>
        <v>Other</v>
      </c>
      <c r="G13159" t="str" cm="1">
        <f t="array" ref="G13159">SubCategorizeComment(E13159)</f>
        <v>Other</v>
      </c>
    </row>
    <row r="13160" spans="1:7" x14ac:dyDescent="0.25">
      <c r="A13160">
        <v>126139</v>
      </c>
      <c r="B13160" t="s">
        <v>4</v>
      </c>
      <c r="C13160">
        <v>4</v>
      </c>
      <c r="D13160" t="s">
        <v>5</v>
      </c>
      <c r="F13160" t="str" cm="1">
        <f t="array" ref="F13160">CategorizeComment(E13160)</f>
        <v>Other</v>
      </c>
      <c r="G13160" t="str" cm="1">
        <f t="array" ref="G13160">SubCategorizeComment(E13160)</f>
        <v>Other</v>
      </c>
    </row>
    <row r="13161" spans="1:7" x14ac:dyDescent="0.25">
      <c r="A13161">
        <v>126145</v>
      </c>
      <c r="B13161" t="s">
        <v>4</v>
      </c>
      <c r="C13161">
        <v>3</v>
      </c>
      <c r="D13161" t="s">
        <v>5</v>
      </c>
      <c r="F13161" t="str" cm="1">
        <f t="array" ref="F13161">CategorizeComment(E13161)</f>
        <v>Other</v>
      </c>
      <c r="G13161" t="str" cm="1">
        <f t="array" ref="G13161">SubCategorizeComment(E13161)</f>
        <v>Other</v>
      </c>
    </row>
    <row r="13162" spans="1:7" x14ac:dyDescent="0.25">
      <c r="A13162">
        <v>126152</v>
      </c>
      <c r="B13162" t="s">
        <v>4</v>
      </c>
      <c r="C13162">
        <v>3</v>
      </c>
      <c r="D13162" t="s">
        <v>5</v>
      </c>
      <c r="F13162" t="str" cm="1">
        <f t="array" ref="F13162">CategorizeComment(E13162)</f>
        <v>Other</v>
      </c>
      <c r="G13162" t="str" cm="1">
        <f t="array" ref="G13162">SubCategorizeComment(E13162)</f>
        <v>Other</v>
      </c>
    </row>
    <row r="13163" spans="1:7" x14ac:dyDescent="0.25">
      <c r="A13163">
        <v>126168</v>
      </c>
      <c r="B13163" t="s">
        <v>4</v>
      </c>
      <c r="C13163">
        <v>4</v>
      </c>
      <c r="D13163" t="s">
        <v>5</v>
      </c>
      <c r="F13163" t="str" cm="1">
        <f t="array" ref="F13163">CategorizeComment(E13163)</f>
        <v>Other</v>
      </c>
      <c r="G13163" t="str" cm="1">
        <f t="array" ref="G13163">SubCategorizeComment(E13163)</f>
        <v>Other</v>
      </c>
    </row>
    <row r="13164" spans="1:7" x14ac:dyDescent="0.25">
      <c r="A13164">
        <v>126176</v>
      </c>
      <c r="B13164" t="s">
        <v>4</v>
      </c>
      <c r="C13164">
        <v>4</v>
      </c>
      <c r="D13164" t="s">
        <v>5</v>
      </c>
      <c r="F13164" t="str" cm="1">
        <f t="array" ref="F13164">CategorizeComment(E13164)</f>
        <v>Other</v>
      </c>
      <c r="G13164" t="str" cm="1">
        <f t="array" ref="G13164">SubCategorizeComment(E13164)</f>
        <v>Other</v>
      </c>
    </row>
    <row r="13165" spans="1:7" x14ac:dyDescent="0.25">
      <c r="A13165">
        <v>126179</v>
      </c>
      <c r="B13165" t="s">
        <v>4</v>
      </c>
      <c r="C13165">
        <v>3</v>
      </c>
      <c r="D13165" t="s">
        <v>5</v>
      </c>
      <c r="F13165" t="str" cm="1">
        <f t="array" ref="F13165">CategorizeComment(E13165)</f>
        <v>Other</v>
      </c>
      <c r="G13165" t="str" cm="1">
        <f t="array" ref="G13165">SubCategorizeComment(E13165)</f>
        <v>Other</v>
      </c>
    </row>
    <row r="13166" spans="1:7" x14ac:dyDescent="0.25">
      <c r="A13166">
        <v>126182</v>
      </c>
      <c r="B13166" t="s">
        <v>4</v>
      </c>
      <c r="C13166">
        <v>4</v>
      </c>
      <c r="D13166" t="s">
        <v>5</v>
      </c>
      <c r="F13166" t="str" cm="1">
        <f t="array" ref="F13166">CategorizeComment(E13166)</f>
        <v>Other</v>
      </c>
      <c r="G13166" t="str" cm="1">
        <f t="array" ref="G13166">SubCategorizeComment(E13166)</f>
        <v>Other</v>
      </c>
    </row>
    <row r="13167" spans="1:7" x14ac:dyDescent="0.25">
      <c r="A13167">
        <v>126188</v>
      </c>
      <c r="B13167" t="s">
        <v>4</v>
      </c>
      <c r="C13167">
        <v>4</v>
      </c>
      <c r="D13167" t="s">
        <v>5</v>
      </c>
      <c r="F13167" t="str" cm="1">
        <f t="array" ref="F13167">CategorizeComment(E13167)</f>
        <v>Other</v>
      </c>
      <c r="G13167" t="str" cm="1">
        <f t="array" ref="G13167">SubCategorizeComment(E13167)</f>
        <v>Other</v>
      </c>
    </row>
    <row r="13168" spans="1:7" x14ac:dyDescent="0.25">
      <c r="A13168">
        <v>126190</v>
      </c>
      <c r="B13168" t="s">
        <v>4</v>
      </c>
      <c r="C13168">
        <v>3</v>
      </c>
      <c r="D13168" t="s">
        <v>5</v>
      </c>
      <c r="F13168" t="str" cm="1">
        <f t="array" ref="F13168">CategorizeComment(E13168)</f>
        <v>Other</v>
      </c>
      <c r="G13168" t="str" cm="1">
        <f t="array" ref="G13168">SubCategorizeComment(E13168)</f>
        <v>Other</v>
      </c>
    </row>
    <row r="13169" spans="1:7" x14ac:dyDescent="0.25">
      <c r="A13169">
        <v>126194</v>
      </c>
      <c r="B13169" t="s">
        <v>4</v>
      </c>
      <c r="C13169">
        <v>4</v>
      </c>
      <c r="D13169" t="s">
        <v>5</v>
      </c>
      <c r="F13169" t="str" cm="1">
        <f t="array" ref="F13169">CategorizeComment(E13169)</f>
        <v>Other</v>
      </c>
      <c r="G13169" t="str" cm="1">
        <f t="array" ref="G13169">SubCategorizeComment(E13169)</f>
        <v>Other</v>
      </c>
    </row>
    <row r="13170" spans="1:7" x14ac:dyDescent="0.25">
      <c r="A13170">
        <v>126202</v>
      </c>
      <c r="B13170" t="s">
        <v>4</v>
      </c>
      <c r="C13170">
        <v>4</v>
      </c>
      <c r="D13170" t="s">
        <v>5</v>
      </c>
      <c r="F13170" t="str" cm="1">
        <f t="array" ref="F13170">CategorizeComment(E13170)</f>
        <v>Other</v>
      </c>
      <c r="G13170" t="str" cm="1">
        <f t="array" ref="G13170">SubCategorizeComment(E13170)</f>
        <v>Other</v>
      </c>
    </row>
    <row r="13171" spans="1:7" x14ac:dyDescent="0.25">
      <c r="A13171">
        <v>126223</v>
      </c>
      <c r="B13171" t="s">
        <v>4</v>
      </c>
      <c r="C13171">
        <v>3</v>
      </c>
      <c r="D13171" t="s">
        <v>5</v>
      </c>
      <c r="F13171" t="str" cm="1">
        <f t="array" ref="F13171">CategorizeComment(E13171)</f>
        <v>Other</v>
      </c>
      <c r="G13171" t="str" cm="1">
        <f t="array" ref="G13171">SubCategorizeComment(E13171)</f>
        <v>Other</v>
      </c>
    </row>
    <row r="13172" spans="1:7" x14ac:dyDescent="0.25">
      <c r="A13172">
        <v>126224</v>
      </c>
      <c r="B13172" t="s">
        <v>4</v>
      </c>
      <c r="C13172">
        <v>4</v>
      </c>
      <c r="D13172" t="s">
        <v>5</v>
      </c>
      <c r="F13172" t="str" cm="1">
        <f t="array" ref="F13172">CategorizeComment(E13172)</f>
        <v>Other</v>
      </c>
      <c r="G13172" t="str" cm="1">
        <f t="array" ref="G13172">SubCategorizeComment(E13172)</f>
        <v>Other</v>
      </c>
    </row>
    <row r="13173" spans="1:7" x14ac:dyDescent="0.25">
      <c r="A13173">
        <v>126234</v>
      </c>
      <c r="B13173" t="s">
        <v>4</v>
      </c>
      <c r="C13173">
        <v>4</v>
      </c>
      <c r="D13173" t="s">
        <v>5</v>
      </c>
      <c r="F13173" t="str" cm="1">
        <f t="array" ref="F13173">CategorizeComment(E13173)</f>
        <v>Other</v>
      </c>
      <c r="G13173" t="str" cm="1">
        <f t="array" ref="G13173">SubCategorizeComment(E13173)</f>
        <v>Other</v>
      </c>
    </row>
    <row r="13174" spans="1:7" x14ac:dyDescent="0.25">
      <c r="A13174">
        <v>126259</v>
      </c>
      <c r="B13174" t="s">
        <v>4</v>
      </c>
      <c r="C13174">
        <v>3</v>
      </c>
      <c r="D13174" t="s">
        <v>5</v>
      </c>
      <c r="F13174" t="str" cm="1">
        <f t="array" ref="F13174">CategorizeComment(E13174)</f>
        <v>Other</v>
      </c>
      <c r="G13174" t="str" cm="1">
        <f t="array" ref="G13174">SubCategorizeComment(E13174)</f>
        <v>Other</v>
      </c>
    </row>
    <row r="13175" spans="1:7" x14ac:dyDescent="0.25">
      <c r="A13175">
        <v>126265</v>
      </c>
      <c r="B13175" t="s">
        <v>4</v>
      </c>
      <c r="C13175">
        <v>3</v>
      </c>
      <c r="D13175" t="s">
        <v>5</v>
      </c>
      <c r="F13175" t="str" cm="1">
        <f t="array" ref="F13175">CategorizeComment(E13175)</f>
        <v>Other</v>
      </c>
      <c r="G13175" t="str" cm="1">
        <f t="array" ref="G13175">SubCategorizeComment(E13175)</f>
        <v>Other</v>
      </c>
    </row>
    <row r="13176" spans="1:7" x14ac:dyDescent="0.25">
      <c r="A13176">
        <v>126274</v>
      </c>
      <c r="B13176" t="s">
        <v>4</v>
      </c>
      <c r="C13176">
        <v>3</v>
      </c>
      <c r="D13176" t="s">
        <v>5</v>
      </c>
      <c r="F13176" t="str" cm="1">
        <f t="array" ref="F13176">CategorizeComment(E13176)</f>
        <v>Other</v>
      </c>
      <c r="G13176" t="str" cm="1">
        <f t="array" ref="G13176">SubCategorizeComment(E13176)</f>
        <v>Other</v>
      </c>
    </row>
    <row r="13177" spans="1:7" x14ac:dyDescent="0.25">
      <c r="A13177">
        <v>126276</v>
      </c>
      <c r="B13177" t="s">
        <v>4</v>
      </c>
      <c r="C13177">
        <v>3</v>
      </c>
      <c r="D13177" t="s">
        <v>5</v>
      </c>
      <c r="F13177" t="str" cm="1">
        <f t="array" ref="F13177">CategorizeComment(E13177)</f>
        <v>Other</v>
      </c>
      <c r="G13177" t="str" cm="1">
        <f t="array" ref="G13177">SubCategorizeComment(E13177)</f>
        <v>Other</v>
      </c>
    </row>
    <row r="13178" spans="1:7" x14ac:dyDescent="0.25">
      <c r="A13178">
        <v>126278</v>
      </c>
      <c r="B13178" t="s">
        <v>4</v>
      </c>
      <c r="C13178">
        <v>4</v>
      </c>
      <c r="D13178" t="s">
        <v>5</v>
      </c>
      <c r="F13178" t="str" cm="1">
        <f t="array" ref="F13178">CategorizeComment(E13178)</f>
        <v>Other</v>
      </c>
      <c r="G13178" t="str" cm="1">
        <f t="array" ref="G13178">SubCategorizeComment(E13178)</f>
        <v>Other</v>
      </c>
    </row>
    <row r="13179" spans="1:7" x14ac:dyDescent="0.25">
      <c r="A13179">
        <v>126285</v>
      </c>
      <c r="B13179" t="s">
        <v>4</v>
      </c>
      <c r="C13179">
        <v>4</v>
      </c>
      <c r="D13179" t="s">
        <v>5</v>
      </c>
      <c r="F13179" t="str" cm="1">
        <f t="array" ref="F13179">CategorizeComment(E13179)</f>
        <v>Other</v>
      </c>
      <c r="G13179" t="str" cm="1">
        <f t="array" ref="G13179">SubCategorizeComment(E13179)</f>
        <v>Other</v>
      </c>
    </row>
    <row r="13180" spans="1:7" x14ac:dyDescent="0.25">
      <c r="A13180">
        <v>126309</v>
      </c>
      <c r="B13180" t="s">
        <v>4</v>
      </c>
      <c r="C13180">
        <v>4</v>
      </c>
      <c r="D13180" t="s">
        <v>5</v>
      </c>
      <c r="F13180" t="str" cm="1">
        <f t="array" ref="F13180">CategorizeComment(E13180)</f>
        <v>Other</v>
      </c>
      <c r="G13180" t="str" cm="1">
        <f t="array" ref="G13180">SubCategorizeComment(E13180)</f>
        <v>Other</v>
      </c>
    </row>
    <row r="13181" spans="1:7" x14ac:dyDescent="0.25">
      <c r="A13181">
        <v>126339</v>
      </c>
      <c r="B13181" t="s">
        <v>4</v>
      </c>
      <c r="C13181">
        <v>4</v>
      </c>
      <c r="D13181" t="s">
        <v>5</v>
      </c>
      <c r="F13181" t="str" cm="1">
        <f t="array" ref="F13181">CategorizeComment(E13181)</f>
        <v>Other</v>
      </c>
      <c r="G13181" t="str" cm="1">
        <f t="array" ref="G13181">SubCategorizeComment(E13181)</f>
        <v>Other</v>
      </c>
    </row>
    <row r="13182" spans="1:7" x14ac:dyDescent="0.25">
      <c r="A13182">
        <v>126343</v>
      </c>
      <c r="B13182" t="s">
        <v>4</v>
      </c>
      <c r="C13182">
        <v>4</v>
      </c>
      <c r="D13182" t="s">
        <v>5</v>
      </c>
      <c r="F13182" t="str" cm="1">
        <f t="array" ref="F13182">CategorizeComment(E13182)</f>
        <v>Other</v>
      </c>
      <c r="G13182" t="str" cm="1">
        <f t="array" ref="G13182">SubCategorizeComment(E13182)</f>
        <v>Other</v>
      </c>
    </row>
    <row r="13183" spans="1:7" x14ac:dyDescent="0.25">
      <c r="A13183">
        <v>126358</v>
      </c>
      <c r="B13183" t="s">
        <v>4</v>
      </c>
      <c r="C13183">
        <v>3</v>
      </c>
      <c r="D13183" t="s">
        <v>5</v>
      </c>
      <c r="F13183" t="str" cm="1">
        <f t="array" ref="F13183">CategorizeComment(E13183)</f>
        <v>Other</v>
      </c>
      <c r="G13183" t="str" cm="1">
        <f t="array" ref="G13183">SubCategorizeComment(E13183)</f>
        <v>Other</v>
      </c>
    </row>
    <row r="13184" spans="1:7" x14ac:dyDescent="0.25">
      <c r="A13184">
        <v>126389</v>
      </c>
      <c r="B13184" t="s">
        <v>4</v>
      </c>
      <c r="C13184">
        <v>3</v>
      </c>
      <c r="D13184" t="s">
        <v>5</v>
      </c>
      <c r="F13184" t="str" cm="1">
        <f t="array" ref="F13184">CategorizeComment(E13184)</f>
        <v>Other</v>
      </c>
      <c r="G13184" t="str" cm="1">
        <f t="array" ref="G13184">SubCategorizeComment(E13184)</f>
        <v>Other</v>
      </c>
    </row>
    <row r="13185" spans="1:7" x14ac:dyDescent="0.25">
      <c r="A13185">
        <v>126393</v>
      </c>
      <c r="B13185" t="s">
        <v>4</v>
      </c>
      <c r="C13185">
        <v>4</v>
      </c>
      <c r="D13185" t="s">
        <v>5</v>
      </c>
      <c r="F13185" t="str" cm="1">
        <f t="array" ref="F13185">CategorizeComment(E13185)</f>
        <v>Other</v>
      </c>
      <c r="G13185" t="str" cm="1">
        <f t="array" ref="G13185">SubCategorizeComment(E13185)</f>
        <v>Other</v>
      </c>
    </row>
    <row r="13186" spans="1:7" x14ac:dyDescent="0.25">
      <c r="A13186">
        <v>126395</v>
      </c>
      <c r="B13186" t="s">
        <v>4</v>
      </c>
      <c r="C13186">
        <v>3</v>
      </c>
      <c r="D13186" t="s">
        <v>5</v>
      </c>
      <c r="F13186" t="str" cm="1">
        <f t="array" ref="F13186">CategorizeComment(E13186)</f>
        <v>Other</v>
      </c>
      <c r="G13186" t="str" cm="1">
        <f t="array" ref="G13186">SubCategorizeComment(E13186)</f>
        <v>Other</v>
      </c>
    </row>
    <row r="13187" spans="1:7" x14ac:dyDescent="0.25">
      <c r="A13187">
        <v>126400</v>
      </c>
      <c r="B13187" t="s">
        <v>4</v>
      </c>
      <c r="C13187">
        <v>3</v>
      </c>
      <c r="D13187" t="s">
        <v>5</v>
      </c>
      <c r="F13187" t="str" cm="1">
        <f t="array" ref="F13187">CategorizeComment(E13187)</f>
        <v>Other</v>
      </c>
      <c r="G13187" t="str" cm="1">
        <f t="array" ref="G13187">SubCategorizeComment(E13187)</f>
        <v>Other</v>
      </c>
    </row>
    <row r="13188" spans="1:7" x14ac:dyDescent="0.25">
      <c r="A13188">
        <v>126415</v>
      </c>
      <c r="B13188" t="s">
        <v>4</v>
      </c>
      <c r="C13188">
        <v>4</v>
      </c>
      <c r="D13188" t="s">
        <v>5</v>
      </c>
      <c r="F13188" t="str" cm="1">
        <f t="array" ref="F13188">CategorizeComment(E13188)</f>
        <v>Other</v>
      </c>
      <c r="G13188" t="str" cm="1">
        <f t="array" ref="G13188">SubCategorizeComment(E13188)</f>
        <v>Other</v>
      </c>
    </row>
    <row r="13189" spans="1:7" x14ac:dyDescent="0.25">
      <c r="A13189">
        <v>126422</v>
      </c>
      <c r="B13189" t="s">
        <v>4</v>
      </c>
      <c r="C13189">
        <v>4</v>
      </c>
      <c r="D13189" t="s">
        <v>5</v>
      </c>
      <c r="F13189" t="str" cm="1">
        <f t="array" ref="F13189">CategorizeComment(E13189)</f>
        <v>Other</v>
      </c>
      <c r="G13189" t="str" cm="1">
        <f t="array" ref="G13189">SubCategorizeComment(E13189)</f>
        <v>Other</v>
      </c>
    </row>
    <row r="13190" spans="1:7" x14ac:dyDescent="0.25">
      <c r="A13190">
        <v>126429</v>
      </c>
      <c r="B13190" t="s">
        <v>4</v>
      </c>
      <c r="C13190">
        <v>4</v>
      </c>
      <c r="D13190" t="s">
        <v>5</v>
      </c>
      <c r="F13190" t="str" cm="1">
        <f t="array" ref="F13190">CategorizeComment(E13190)</f>
        <v>Other</v>
      </c>
      <c r="G13190" t="str" cm="1">
        <f t="array" ref="G13190">SubCategorizeComment(E13190)</f>
        <v>Other</v>
      </c>
    </row>
    <row r="13191" spans="1:7" x14ac:dyDescent="0.25">
      <c r="A13191">
        <v>126451</v>
      </c>
      <c r="B13191" t="s">
        <v>4</v>
      </c>
      <c r="C13191">
        <v>3</v>
      </c>
      <c r="D13191" t="s">
        <v>5</v>
      </c>
      <c r="F13191" t="str" cm="1">
        <f t="array" ref="F13191">CategorizeComment(E13191)</f>
        <v>Other</v>
      </c>
      <c r="G13191" t="str" cm="1">
        <f t="array" ref="G13191">SubCategorizeComment(E13191)</f>
        <v>Other</v>
      </c>
    </row>
    <row r="13192" spans="1:7" x14ac:dyDescent="0.25">
      <c r="A13192">
        <v>126474</v>
      </c>
      <c r="B13192" t="s">
        <v>4</v>
      </c>
      <c r="C13192">
        <v>4</v>
      </c>
      <c r="D13192" t="s">
        <v>5</v>
      </c>
      <c r="F13192" t="str" cm="1">
        <f t="array" ref="F13192">CategorizeComment(E13192)</f>
        <v>Other</v>
      </c>
      <c r="G13192" t="str" cm="1">
        <f t="array" ref="G13192">SubCategorizeComment(E13192)</f>
        <v>Other</v>
      </c>
    </row>
    <row r="13193" spans="1:7" x14ac:dyDescent="0.25">
      <c r="A13193">
        <v>126477</v>
      </c>
      <c r="B13193" t="s">
        <v>4</v>
      </c>
      <c r="C13193">
        <v>3</v>
      </c>
      <c r="D13193" t="s">
        <v>5</v>
      </c>
      <c r="F13193" t="str" cm="1">
        <f t="array" ref="F13193">CategorizeComment(E13193)</f>
        <v>Other</v>
      </c>
      <c r="G13193" t="str" cm="1">
        <f t="array" ref="G13193">SubCategorizeComment(E13193)</f>
        <v>Other</v>
      </c>
    </row>
    <row r="13194" spans="1:7" x14ac:dyDescent="0.25">
      <c r="A13194">
        <v>126483</v>
      </c>
      <c r="B13194" t="s">
        <v>4</v>
      </c>
      <c r="C13194">
        <v>4</v>
      </c>
      <c r="D13194" t="s">
        <v>5</v>
      </c>
      <c r="F13194" t="str" cm="1">
        <f t="array" ref="F13194">CategorizeComment(E13194)</f>
        <v>Other</v>
      </c>
      <c r="G13194" t="str" cm="1">
        <f t="array" ref="G13194">SubCategorizeComment(E13194)</f>
        <v>Other</v>
      </c>
    </row>
    <row r="13195" spans="1:7" x14ac:dyDescent="0.25">
      <c r="A13195">
        <v>126488</v>
      </c>
      <c r="B13195" t="s">
        <v>4</v>
      </c>
      <c r="C13195">
        <v>3</v>
      </c>
      <c r="D13195" t="s">
        <v>5</v>
      </c>
      <c r="F13195" t="str" cm="1">
        <f t="array" ref="F13195">CategorizeComment(E13195)</f>
        <v>Other</v>
      </c>
      <c r="G13195" t="str" cm="1">
        <f t="array" ref="G13195">SubCategorizeComment(E13195)</f>
        <v>Other</v>
      </c>
    </row>
    <row r="13196" spans="1:7" x14ac:dyDescent="0.25">
      <c r="A13196">
        <v>126491</v>
      </c>
      <c r="B13196" t="s">
        <v>4</v>
      </c>
      <c r="C13196">
        <v>3</v>
      </c>
      <c r="D13196" t="s">
        <v>5</v>
      </c>
      <c r="F13196" t="str" cm="1">
        <f t="array" ref="F13196">CategorizeComment(E13196)</f>
        <v>Other</v>
      </c>
      <c r="G13196" t="str" cm="1">
        <f t="array" ref="G13196">SubCategorizeComment(E13196)</f>
        <v>Other</v>
      </c>
    </row>
    <row r="13197" spans="1:7" x14ac:dyDescent="0.25">
      <c r="A13197">
        <v>126495</v>
      </c>
      <c r="B13197" t="s">
        <v>4</v>
      </c>
      <c r="C13197">
        <v>3</v>
      </c>
      <c r="D13197" t="s">
        <v>5</v>
      </c>
      <c r="F13197" t="str" cm="1">
        <f t="array" ref="F13197">CategorizeComment(E13197)</f>
        <v>Other</v>
      </c>
      <c r="G13197" t="str" cm="1">
        <f t="array" ref="G13197">SubCategorizeComment(E13197)</f>
        <v>Other</v>
      </c>
    </row>
    <row r="13198" spans="1:7" x14ac:dyDescent="0.25">
      <c r="A13198">
        <v>126496</v>
      </c>
      <c r="B13198" t="s">
        <v>4</v>
      </c>
      <c r="C13198">
        <v>4</v>
      </c>
      <c r="D13198" t="s">
        <v>5</v>
      </c>
      <c r="F13198" t="str" cm="1">
        <f t="array" ref="F13198">CategorizeComment(E13198)</f>
        <v>Other</v>
      </c>
      <c r="G13198" t="str" cm="1">
        <f t="array" ref="G13198">SubCategorizeComment(E13198)</f>
        <v>Other</v>
      </c>
    </row>
    <row r="13199" spans="1:7" x14ac:dyDescent="0.25">
      <c r="A13199">
        <v>126520</v>
      </c>
      <c r="B13199" t="s">
        <v>4</v>
      </c>
      <c r="C13199">
        <v>3</v>
      </c>
      <c r="D13199" t="s">
        <v>5</v>
      </c>
      <c r="F13199" t="str" cm="1">
        <f t="array" ref="F13199">CategorizeComment(E13199)</f>
        <v>Other</v>
      </c>
      <c r="G13199" t="str" cm="1">
        <f t="array" ref="G13199">SubCategorizeComment(E13199)</f>
        <v>Other</v>
      </c>
    </row>
    <row r="13200" spans="1:7" x14ac:dyDescent="0.25">
      <c r="A13200">
        <v>126527</v>
      </c>
      <c r="B13200" t="s">
        <v>4</v>
      </c>
      <c r="C13200">
        <v>4</v>
      </c>
      <c r="D13200" t="s">
        <v>5</v>
      </c>
      <c r="F13200" t="str" cm="1">
        <f t="array" ref="F13200">CategorizeComment(E13200)</f>
        <v>Other</v>
      </c>
      <c r="G13200" t="str" cm="1">
        <f t="array" ref="G13200">SubCategorizeComment(E13200)</f>
        <v>Other</v>
      </c>
    </row>
    <row r="13201" spans="1:7" x14ac:dyDescent="0.25">
      <c r="A13201">
        <v>126542</v>
      </c>
      <c r="B13201" t="s">
        <v>4</v>
      </c>
      <c r="C13201">
        <v>3</v>
      </c>
      <c r="D13201" t="s">
        <v>5</v>
      </c>
      <c r="F13201" t="str" cm="1">
        <f t="array" ref="F13201">CategorizeComment(E13201)</f>
        <v>Other</v>
      </c>
      <c r="G13201" t="str" cm="1">
        <f t="array" ref="G13201">SubCategorizeComment(E13201)</f>
        <v>Other</v>
      </c>
    </row>
    <row r="13202" spans="1:7" x14ac:dyDescent="0.25">
      <c r="A13202">
        <v>126543</v>
      </c>
      <c r="B13202" t="s">
        <v>4</v>
      </c>
      <c r="C13202">
        <v>3</v>
      </c>
      <c r="D13202" t="s">
        <v>5</v>
      </c>
      <c r="F13202" t="str" cm="1">
        <f t="array" ref="F13202">CategorizeComment(E13202)</f>
        <v>Other</v>
      </c>
      <c r="G13202" t="str" cm="1">
        <f t="array" ref="G13202">SubCategorizeComment(E13202)</f>
        <v>Other</v>
      </c>
    </row>
    <row r="13203" spans="1:7" x14ac:dyDescent="0.25">
      <c r="A13203">
        <v>126556</v>
      </c>
      <c r="B13203" t="s">
        <v>4</v>
      </c>
      <c r="C13203">
        <v>4</v>
      </c>
      <c r="D13203" t="s">
        <v>5</v>
      </c>
      <c r="F13203" t="str" cm="1">
        <f t="array" ref="F13203">CategorizeComment(E13203)</f>
        <v>Other</v>
      </c>
      <c r="G13203" t="str" cm="1">
        <f t="array" ref="G13203">SubCategorizeComment(E13203)</f>
        <v>Other</v>
      </c>
    </row>
    <row r="13204" spans="1:7" x14ac:dyDescent="0.25">
      <c r="A13204">
        <v>126568</v>
      </c>
      <c r="B13204" t="s">
        <v>4</v>
      </c>
      <c r="C13204">
        <v>4</v>
      </c>
      <c r="D13204" t="s">
        <v>5</v>
      </c>
      <c r="F13204" t="str" cm="1">
        <f t="array" ref="F13204">CategorizeComment(E13204)</f>
        <v>Other</v>
      </c>
      <c r="G13204" t="str" cm="1">
        <f t="array" ref="G13204">SubCategorizeComment(E13204)</f>
        <v>Other</v>
      </c>
    </row>
    <row r="13205" spans="1:7" x14ac:dyDescent="0.25">
      <c r="A13205">
        <v>126569</v>
      </c>
      <c r="B13205" t="s">
        <v>4</v>
      </c>
      <c r="C13205">
        <v>3</v>
      </c>
      <c r="D13205" t="s">
        <v>5</v>
      </c>
      <c r="F13205" t="str" cm="1">
        <f t="array" ref="F13205">CategorizeComment(E13205)</f>
        <v>Other</v>
      </c>
      <c r="G13205" t="str" cm="1">
        <f t="array" ref="G13205">SubCategorizeComment(E13205)</f>
        <v>Other</v>
      </c>
    </row>
    <row r="13206" spans="1:7" x14ac:dyDescent="0.25">
      <c r="A13206">
        <v>126570</v>
      </c>
      <c r="B13206" t="s">
        <v>4</v>
      </c>
      <c r="C13206">
        <v>4</v>
      </c>
      <c r="D13206" t="s">
        <v>5</v>
      </c>
      <c r="F13206" t="str" cm="1">
        <f t="array" ref="F13206">CategorizeComment(E13206)</f>
        <v>Other</v>
      </c>
      <c r="G13206" t="str" cm="1">
        <f t="array" ref="G13206">SubCategorizeComment(E13206)</f>
        <v>Other</v>
      </c>
    </row>
    <row r="13207" spans="1:7" x14ac:dyDescent="0.25">
      <c r="A13207">
        <v>126579</v>
      </c>
      <c r="B13207" t="s">
        <v>4</v>
      </c>
      <c r="C13207">
        <v>3</v>
      </c>
      <c r="D13207" t="s">
        <v>5</v>
      </c>
      <c r="F13207" t="str" cm="1">
        <f t="array" ref="F13207">CategorizeComment(E13207)</f>
        <v>Other</v>
      </c>
      <c r="G13207" t="str" cm="1">
        <f t="array" ref="G13207">SubCategorizeComment(E13207)</f>
        <v>Other</v>
      </c>
    </row>
    <row r="13208" spans="1:7" x14ac:dyDescent="0.25">
      <c r="A13208">
        <v>126603</v>
      </c>
      <c r="B13208" t="s">
        <v>4</v>
      </c>
      <c r="C13208">
        <v>4</v>
      </c>
      <c r="D13208" t="s">
        <v>5</v>
      </c>
      <c r="F13208" t="str" cm="1">
        <f t="array" ref="F13208">CategorizeComment(E13208)</f>
        <v>Other</v>
      </c>
      <c r="G13208" t="str" cm="1">
        <f t="array" ref="G13208">SubCategorizeComment(E13208)</f>
        <v>Other</v>
      </c>
    </row>
    <row r="13209" spans="1:7" x14ac:dyDescent="0.25">
      <c r="A13209">
        <v>126604</v>
      </c>
      <c r="B13209" t="s">
        <v>4</v>
      </c>
      <c r="C13209">
        <v>4</v>
      </c>
      <c r="D13209" t="s">
        <v>5</v>
      </c>
      <c r="F13209" t="str" cm="1">
        <f t="array" ref="F13209">CategorizeComment(E13209)</f>
        <v>Other</v>
      </c>
      <c r="G13209" t="str" cm="1">
        <f t="array" ref="G13209">SubCategorizeComment(E13209)</f>
        <v>Other</v>
      </c>
    </row>
    <row r="13210" spans="1:7" x14ac:dyDescent="0.25">
      <c r="A13210">
        <v>126614</v>
      </c>
      <c r="B13210" t="s">
        <v>4</v>
      </c>
      <c r="C13210">
        <v>4</v>
      </c>
      <c r="D13210" t="s">
        <v>5</v>
      </c>
      <c r="F13210" t="str" cm="1">
        <f t="array" ref="F13210">CategorizeComment(E13210)</f>
        <v>Other</v>
      </c>
      <c r="G13210" t="str" cm="1">
        <f t="array" ref="G13210">SubCategorizeComment(E13210)</f>
        <v>Other</v>
      </c>
    </row>
    <row r="13211" spans="1:7" x14ac:dyDescent="0.25">
      <c r="A13211">
        <v>126640</v>
      </c>
      <c r="B13211" t="s">
        <v>4</v>
      </c>
      <c r="C13211">
        <v>4</v>
      </c>
      <c r="D13211" t="s">
        <v>5</v>
      </c>
      <c r="F13211" t="str" cm="1">
        <f t="array" ref="F13211">CategorizeComment(E13211)</f>
        <v>Other</v>
      </c>
      <c r="G13211" t="str" cm="1">
        <f t="array" ref="G13211">SubCategorizeComment(E13211)</f>
        <v>Other</v>
      </c>
    </row>
    <row r="13212" spans="1:7" x14ac:dyDescent="0.25">
      <c r="A13212">
        <v>126647</v>
      </c>
      <c r="B13212" t="s">
        <v>4</v>
      </c>
      <c r="C13212">
        <v>4</v>
      </c>
      <c r="D13212" t="s">
        <v>5</v>
      </c>
      <c r="F13212" t="str" cm="1">
        <f t="array" ref="F13212">CategorizeComment(E13212)</f>
        <v>Other</v>
      </c>
      <c r="G13212" t="str" cm="1">
        <f t="array" ref="G13212">SubCategorizeComment(E13212)</f>
        <v>Other</v>
      </c>
    </row>
    <row r="13213" spans="1:7" x14ac:dyDescent="0.25">
      <c r="A13213">
        <v>126651</v>
      </c>
      <c r="B13213" t="s">
        <v>4</v>
      </c>
      <c r="C13213">
        <v>3</v>
      </c>
      <c r="D13213" t="s">
        <v>5</v>
      </c>
      <c r="F13213" t="str" cm="1">
        <f t="array" ref="F13213">CategorizeComment(E13213)</f>
        <v>Other</v>
      </c>
      <c r="G13213" t="str" cm="1">
        <f t="array" ref="G13213">SubCategorizeComment(E13213)</f>
        <v>Other</v>
      </c>
    </row>
    <row r="13214" spans="1:7" x14ac:dyDescent="0.25">
      <c r="A13214">
        <v>126655</v>
      </c>
      <c r="B13214" t="s">
        <v>4</v>
      </c>
      <c r="C13214">
        <v>3</v>
      </c>
      <c r="D13214" t="s">
        <v>5</v>
      </c>
      <c r="F13214" t="str" cm="1">
        <f t="array" ref="F13214">CategorizeComment(E13214)</f>
        <v>Other</v>
      </c>
      <c r="G13214" t="str" cm="1">
        <f t="array" ref="G13214">SubCategorizeComment(E13214)</f>
        <v>Other</v>
      </c>
    </row>
    <row r="13215" spans="1:7" x14ac:dyDescent="0.25">
      <c r="A13215">
        <v>126665</v>
      </c>
      <c r="B13215" t="s">
        <v>4</v>
      </c>
      <c r="C13215">
        <v>4</v>
      </c>
      <c r="D13215" t="s">
        <v>5</v>
      </c>
      <c r="F13215" t="str" cm="1">
        <f t="array" ref="F13215">CategorizeComment(E13215)</f>
        <v>Other</v>
      </c>
      <c r="G13215" t="str" cm="1">
        <f t="array" ref="G13215">SubCategorizeComment(E13215)</f>
        <v>Other</v>
      </c>
    </row>
    <row r="13216" spans="1:7" x14ac:dyDescent="0.25">
      <c r="A13216">
        <v>126726</v>
      </c>
      <c r="B13216" t="s">
        <v>4</v>
      </c>
      <c r="C13216">
        <v>4</v>
      </c>
      <c r="D13216" t="s">
        <v>5</v>
      </c>
      <c r="F13216" t="str" cm="1">
        <f t="array" ref="F13216">CategorizeComment(E13216)</f>
        <v>Other</v>
      </c>
      <c r="G13216" t="str" cm="1">
        <f t="array" ref="G13216">SubCategorizeComment(E13216)</f>
        <v>Other</v>
      </c>
    </row>
    <row r="13217" spans="1:7" x14ac:dyDescent="0.25">
      <c r="A13217">
        <v>126730</v>
      </c>
      <c r="B13217" t="s">
        <v>4</v>
      </c>
      <c r="C13217">
        <v>3</v>
      </c>
      <c r="D13217" t="s">
        <v>5</v>
      </c>
      <c r="F13217" t="str" cm="1">
        <f t="array" ref="F13217">CategorizeComment(E13217)</f>
        <v>Other</v>
      </c>
      <c r="G13217" t="str" cm="1">
        <f t="array" ref="G13217">SubCategorizeComment(E13217)</f>
        <v>Other</v>
      </c>
    </row>
    <row r="13218" spans="1:7" x14ac:dyDescent="0.25">
      <c r="A13218">
        <v>126742</v>
      </c>
      <c r="B13218" t="s">
        <v>4</v>
      </c>
      <c r="C13218">
        <v>3</v>
      </c>
      <c r="D13218" t="s">
        <v>5</v>
      </c>
      <c r="F13218" t="str" cm="1">
        <f t="array" ref="F13218">CategorizeComment(E13218)</f>
        <v>Other</v>
      </c>
      <c r="G13218" t="str" cm="1">
        <f t="array" ref="G13218">SubCategorizeComment(E13218)</f>
        <v>Other</v>
      </c>
    </row>
    <row r="13219" spans="1:7" x14ac:dyDescent="0.25">
      <c r="A13219">
        <v>126753</v>
      </c>
      <c r="B13219" t="s">
        <v>4</v>
      </c>
      <c r="C13219">
        <v>3</v>
      </c>
      <c r="D13219" t="s">
        <v>5</v>
      </c>
      <c r="F13219" t="str" cm="1">
        <f t="array" ref="F13219">CategorizeComment(E13219)</f>
        <v>Other</v>
      </c>
      <c r="G13219" t="str" cm="1">
        <f t="array" ref="G13219">SubCategorizeComment(E13219)</f>
        <v>Other</v>
      </c>
    </row>
    <row r="13220" spans="1:7" x14ac:dyDescent="0.25">
      <c r="A13220">
        <v>126758</v>
      </c>
      <c r="B13220" t="s">
        <v>4</v>
      </c>
      <c r="C13220">
        <v>3</v>
      </c>
      <c r="D13220" t="s">
        <v>5</v>
      </c>
      <c r="F13220" t="str" cm="1">
        <f t="array" ref="F13220">CategorizeComment(E13220)</f>
        <v>Other</v>
      </c>
      <c r="G13220" t="str" cm="1">
        <f t="array" ref="G13220">SubCategorizeComment(E13220)</f>
        <v>Other</v>
      </c>
    </row>
    <row r="13221" spans="1:7" x14ac:dyDescent="0.25">
      <c r="A13221">
        <v>126763</v>
      </c>
      <c r="B13221" t="s">
        <v>4</v>
      </c>
      <c r="C13221">
        <v>3</v>
      </c>
      <c r="D13221" t="s">
        <v>5</v>
      </c>
      <c r="F13221" t="str" cm="1">
        <f t="array" ref="F13221">CategorizeComment(E13221)</f>
        <v>Other</v>
      </c>
      <c r="G13221" t="str" cm="1">
        <f t="array" ref="G13221">SubCategorizeComment(E13221)</f>
        <v>Other</v>
      </c>
    </row>
    <row r="13222" spans="1:7" x14ac:dyDescent="0.25">
      <c r="A13222">
        <v>126774</v>
      </c>
      <c r="B13222" t="s">
        <v>4</v>
      </c>
      <c r="C13222">
        <v>3</v>
      </c>
      <c r="D13222" t="s">
        <v>5</v>
      </c>
      <c r="F13222" t="str" cm="1">
        <f t="array" ref="F13222">CategorizeComment(E13222)</f>
        <v>Other</v>
      </c>
      <c r="G13222" t="str" cm="1">
        <f t="array" ref="G13222">SubCategorizeComment(E13222)</f>
        <v>Other</v>
      </c>
    </row>
    <row r="13223" spans="1:7" x14ac:dyDescent="0.25">
      <c r="A13223">
        <v>126776</v>
      </c>
      <c r="B13223" t="s">
        <v>4</v>
      </c>
      <c r="C13223">
        <v>3</v>
      </c>
      <c r="D13223" t="s">
        <v>5</v>
      </c>
      <c r="F13223" t="str" cm="1">
        <f t="array" ref="F13223">CategorizeComment(E13223)</f>
        <v>Other</v>
      </c>
      <c r="G13223" t="str" cm="1">
        <f t="array" ref="G13223">SubCategorizeComment(E13223)</f>
        <v>Other</v>
      </c>
    </row>
    <row r="13224" spans="1:7" x14ac:dyDescent="0.25">
      <c r="A13224">
        <v>126798</v>
      </c>
      <c r="B13224" t="s">
        <v>4</v>
      </c>
      <c r="C13224">
        <v>4</v>
      </c>
      <c r="D13224" t="s">
        <v>5</v>
      </c>
      <c r="F13224" t="str" cm="1">
        <f t="array" ref="F13224">CategorizeComment(E13224)</f>
        <v>Other</v>
      </c>
      <c r="G13224" t="str" cm="1">
        <f t="array" ref="G13224">SubCategorizeComment(E13224)</f>
        <v>Other</v>
      </c>
    </row>
    <row r="13225" spans="1:7" x14ac:dyDescent="0.25">
      <c r="A13225">
        <v>126816</v>
      </c>
      <c r="B13225" t="s">
        <v>4</v>
      </c>
      <c r="C13225">
        <v>4</v>
      </c>
      <c r="D13225" t="s">
        <v>5</v>
      </c>
      <c r="F13225" t="str" cm="1">
        <f t="array" ref="F13225">CategorizeComment(E13225)</f>
        <v>Other</v>
      </c>
      <c r="G13225" t="str" cm="1">
        <f t="array" ref="G13225">SubCategorizeComment(E13225)</f>
        <v>Other</v>
      </c>
    </row>
    <row r="13226" spans="1:7" x14ac:dyDescent="0.25">
      <c r="A13226">
        <v>126820</v>
      </c>
      <c r="B13226" t="s">
        <v>4</v>
      </c>
      <c r="C13226">
        <v>4</v>
      </c>
      <c r="D13226" t="s">
        <v>5</v>
      </c>
      <c r="F13226" t="str" cm="1">
        <f t="array" ref="F13226">CategorizeComment(E13226)</f>
        <v>Other</v>
      </c>
      <c r="G13226" t="str" cm="1">
        <f t="array" ref="G13226">SubCategorizeComment(E13226)</f>
        <v>Other</v>
      </c>
    </row>
    <row r="13227" spans="1:7" x14ac:dyDescent="0.25">
      <c r="A13227">
        <v>126831</v>
      </c>
      <c r="B13227" t="s">
        <v>4</v>
      </c>
      <c r="C13227">
        <v>4</v>
      </c>
      <c r="D13227" t="s">
        <v>5</v>
      </c>
      <c r="F13227" t="str" cm="1">
        <f t="array" ref="F13227">CategorizeComment(E13227)</f>
        <v>Other</v>
      </c>
      <c r="G13227" t="str" cm="1">
        <f t="array" ref="G13227">SubCategorizeComment(E13227)</f>
        <v>Other</v>
      </c>
    </row>
    <row r="13228" spans="1:7" x14ac:dyDescent="0.25">
      <c r="A13228">
        <v>126835</v>
      </c>
      <c r="B13228" t="s">
        <v>4</v>
      </c>
      <c r="C13228">
        <v>3</v>
      </c>
      <c r="D13228" t="s">
        <v>5</v>
      </c>
      <c r="F13228" t="str" cm="1">
        <f t="array" ref="F13228">CategorizeComment(E13228)</f>
        <v>Other</v>
      </c>
      <c r="G13228" t="str" cm="1">
        <f t="array" ref="G13228">SubCategorizeComment(E13228)</f>
        <v>Other</v>
      </c>
    </row>
    <row r="13229" spans="1:7" x14ac:dyDescent="0.25">
      <c r="A13229">
        <v>126843</v>
      </c>
      <c r="B13229" t="s">
        <v>4</v>
      </c>
      <c r="C13229">
        <v>4</v>
      </c>
      <c r="D13229" t="s">
        <v>5</v>
      </c>
      <c r="F13229" t="str" cm="1">
        <f t="array" ref="F13229">CategorizeComment(E13229)</f>
        <v>Other</v>
      </c>
      <c r="G13229" t="str" cm="1">
        <f t="array" ref="G13229">SubCategorizeComment(E13229)</f>
        <v>Other</v>
      </c>
    </row>
    <row r="13230" spans="1:7" x14ac:dyDescent="0.25">
      <c r="A13230">
        <v>126848</v>
      </c>
      <c r="B13230" t="s">
        <v>4</v>
      </c>
      <c r="C13230">
        <v>3</v>
      </c>
      <c r="D13230" t="s">
        <v>5</v>
      </c>
      <c r="F13230" t="str" cm="1">
        <f t="array" ref="F13230">CategorizeComment(E13230)</f>
        <v>Other</v>
      </c>
      <c r="G13230" t="str" cm="1">
        <f t="array" ref="G13230">SubCategorizeComment(E13230)</f>
        <v>Other</v>
      </c>
    </row>
    <row r="13231" spans="1:7" x14ac:dyDescent="0.25">
      <c r="A13231">
        <v>126860</v>
      </c>
      <c r="B13231" t="s">
        <v>4</v>
      </c>
      <c r="C13231">
        <v>3</v>
      </c>
      <c r="D13231" t="s">
        <v>5</v>
      </c>
      <c r="F13231" t="str" cm="1">
        <f t="array" ref="F13231">CategorizeComment(E13231)</f>
        <v>Other</v>
      </c>
      <c r="G13231" t="str" cm="1">
        <f t="array" ref="G13231">SubCategorizeComment(E13231)</f>
        <v>Other</v>
      </c>
    </row>
    <row r="13232" spans="1:7" x14ac:dyDescent="0.25">
      <c r="A13232">
        <v>126864</v>
      </c>
      <c r="B13232" t="s">
        <v>4</v>
      </c>
      <c r="C13232">
        <v>4</v>
      </c>
      <c r="D13232" t="s">
        <v>5</v>
      </c>
      <c r="F13232" t="str" cm="1">
        <f t="array" ref="F13232">CategorizeComment(E13232)</f>
        <v>Other</v>
      </c>
      <c r="G13232" t="str" cm="1">
        <f t="array" ref="G13232">SubCategorizeComment(E13232)</f>
        <v>Other</v>
      </c>
    </row>
    <row r="13233" spans="1:7" x14ac:dyDescent="0.25">
      <c r="A13233">
        <v>126874</v>
      </c>
      <c r="B13233" t="s">
        <v>4</v>
      </c>
      <c r="C13233">
        <v>4</v>
      </c>
      <c r="D13233" t="s">
        <v>5</v>
      </c>
      <c r="F13233" t="str" cm="1">
        <f t="array" ref="F13233">CategorizeComment(E13233)</f>
        <v>Other</v>
      </c>
      <c r="G13233" t="str" cm="1">
        <f t="array" ref="G13233">SubCategorizeComment(E13233)</f>
        <v>Other</v>
      </c>
    </row>
    <row r="13234" spans="1:7" x14ac:dyDescent="0.25">
      <c r="A13234">
        <v>126883</v>
      </c>
      <c r="B13234" t="s">
        <v>4</v>
      </c>
      <c r="C13234">
        <v>4</v>
      </c>
      <c r="D13234" t="s">
        <v>5</v>
      </c>
      <c r="F13234" t="str" cm="1">
        <f t="array" ref="F13234">CategorizeComment(E13234)</f>
        <v>Other</v>
      </c>
      <c r="G13234" t="str" cm="1">
        <f t="array" ref="G13234">SubCategorizeComment(E13234)</f>
        <v>Other</v>
      </c>
    </row>
    <row r="13235" spans="1:7" x14ac:dyDescent="0.25">
      <c r="A13235">
        <v>126885</v>
      </c>
      <c r="B13235" t="s">
        <v>4</v>
      </c>
      <c r="C13235">
        <v>4</v>
      </c>
      <c r="D13235" t="s">
        <v>5</v>
      </c>
      <c r="F13235" t="str" cm="1">
        <f t="array" ref="F13235">CategorizeComment(E13235)</f>
        <v>Other</v>
      </c>
      <c r="G13235" t="str" cm="1">
        <f t="array" ref="G13235">SubCategorizeComment(E13235)</f>
        <v>Other</v>
      </c>
    </row>
    <row r="13236" spans="1:7" x14ac:dyDescent="0.25">
      <c r="A13236">
        <v>126887</v>
      </c>
      <c r="B13236" t="s">
        <v>4</v>
      </c>
      <c r="C13236">
        <v>4</v>
      </c>
      <c r="D13236" t="s">
        <v>5</v>
      </c>
      <c r="F13236" t="str" cm="1">
        <f t="array" ref="F13236">CategorizeComment(E13236)</f>
        <v>Other</v>
      </c>
      <c r="G13236" t="str" cm="1">
        <f t="array" ref="G13236">SubCategorizeComment(E13236)</f>
        <v>Other</v>
      </c>
    </row>
    <row r="13237" spans="1:7" x14ac:dyDescent="0.25">
      <c r="A13237">
        <v>126903</v>
      </c>
      <c r="B13237" t="s">
        <v>4</v>
      </c>
      <c r="C13237">
        <v>3</v>
      </c>
      <c r="D13237" t="s">
        <v>5</v>
      </c>
      <c r="F13237" t="str" cm="1">
        <f t="array" ref="F13237">CategorizeComment(E13237)</f>
        <v>Other</v>
      </c>
      <c r="G13237" t="str" cm="1">
        <f t="array" ref="G13237">SubCategorizeComment(E13237)</f>
        <v>Other</v>
      </c>
    </row>
    <row r="13238" spans="1:7" x14ac:dyDescent="0.25">
      <c r="A13238">
        <v>126910</v>
      </c>
      <c r="B13238" t="s">
        <v>4</v>
      </c>
      <c r="C13238">
        <v>3</v>
      </c>
      <c r="D13238" t="s">
        <v>5</v>
      </c>
      <c r="F13238" t="str" cm="1">
        <f t="array" ref="F13238">CategorizeComment(E13238)</f>
        <v>Other</v>
      </c>
      <c r="G13238" t="str" cm="1">
        <f t="array" ref="G13238">SubCategorizeComment(E13238)</f>
        <v>Other</v>
      </c>
    </row>
    <row r="13239" spans="1:7" x14ac:dyDescent="0.25">
      <c r="A13239">
        <v>126912</v>
      </c>
      <c r="B13239" t="s">
        <v>4</v>
      </c>
      <c r="C13239">
        <v>4</v>
      </c>
      <c r="D13239" t="s">
        <v>5</v>
      </c>
      <c r="F13239" t="str" cm="1">
        <f t="array" ref="F13239">CategorizeComment(E13239)</f>
        <v>Other</v>
      </c>
      <c r="G13239" t="str" cm="1">
        <f t="array" ref="G13239">SubCategorizeComment(E13239)</f>
        <v>Other</v>
      </c>
    </row>
    <row r="13240" spans="1:7" x14ac:dyDescent="0.25">
      <c r="A13240">
        <v>126921</v>
      </c>
      <c r="B13240" t="s">
        <v>4</v>
      </c>
      <c r="C13240">
        <v>4</v>
      </c>
      <c r="D13240" t="s">
        <v>5</v>
      </c>
      <c r="F13240" t="str" cm="1">
        <f t="array" ref="F13240">CategorizeComment(E13240)</f>
        <v>Other</v>
      </c>
      <c r="G13240" t="str" cm="1">
        <f t="array" ref="G13240">SubCategorizeComment(E13240)</f>
        <v>Other</v>
      </c>
    </row>
    <row r="13241" spans="1:7" x14ac:dyDescent="0.25">
      <c r="A13241">
        <v>126923</v>
      </c>
      <c r="B13241" t="s">
        <v>4</v>
      </c>
      <c r="C13241">
        <v>4</v>
      </c>
      <c r="D13241" t="s">
        <v>5</v>
      </c>
      <c r="F13241" t="str" cm="1">
        <f t="array" ref="F13241">CategorizeComment(E13241)</f>
        <v>Other</v>
      </c>
      <c r="G13241" t="str" cm="1">
        <f t="array" ref="G13241">SubCategorizeComment(E13241)</f>
        <v>Other</v>
      </c>
    </row>
    <row r="13242" spans="1:7" x14ac:dyDescent="0.25">
      <c r="A13242">
        <v>126950</v>
      </c>
      <c r="B13242" t="s">
        <v>4</v>
      </c>
      <c r="C13242">
        <v>4</v>
      </c>
      <c r="D13242" t="s">
        <v>5</v>
      </c>
      <c r="F13242" t="str" cm="1">
        <f t="array" ref="F13242">CategorizeComment(E13242)</f>
        <v>Other</v>
      </c>
      <c r="G13242" t="str" cm="1">
        <f t="array" ref="G13242">SubCategorizeComment(E13242)</f>
        <v>Other</v>
      </c>
    </row>
    <row r="13243" spans="1:7" x14ac:dyDescent="0.25">
      <c r="A13243">
        <v>126952</v>
      </c>
      <c r="B13243" t="s">
        <v>4</v>
      </c>
      <c r="C13243">
        <v>3</v>
      </c>
      <c r="D13243" t="s">
        <v>5</v>
      </c>
      <c r="F13243" t="str" cm="1">
        <f t="array" ref="F13243">CategorizeComment(E13243)</f>
        <v>Other</v>
      </c>
      <c r="G13243" t="str" cm="1">
        <f t="array" ref="G13243">SubCategorizeComment(E13243)</f>
        <v>Other</v>
      </c>
    </row>
    <row r="13244" spans="1:7" x14ac:dyDescent="0.25">
      <c r="A13244">
        <v>126973</v>
      </c>
      <c r="B13244" t="s">
        <v>4</v>
      </c>
      <c r="C13244">
        <v>4</v>
      </c>
      <c r="D13244" t="s">
        <v>5</v>
      </c>
      <c r="F13244" t="str" cm="1">
        <f t="array" ref="F13244">CategorizeComment(E13244)</f>
        <v>Other</v>
      </c>
      <c r="G13244" t="str" cm="1">
        <f t="array" ref="G13244">SubCategorizeComment(E13244)</f>
        <v>Other</v>
      </c>
    </row>
    <row r="13245" spans="1:7" x14ac:dyDescent="0.25">
      <c r="A13245">
        <v>126985</v>
      </c>
      <c r="B13245" t="s">
        <v>4</v>
      </c>
      <c r="C13245">
        <v>3</v>
      </c>
      <c r="D13245" t="s">
        <v>5</v>
      </c>
      <c r="F13245" t="str" cm="1">
        <f t="array" ref="F13245">CategorizeComment(E13245)</f>
        <v>Other</v>
      </c>
      <c r="G13245" t="str" cm="1">
        <f t="array" ref="G13245">SubCategorizeComment(E13245)</f>
        <v>Other</v>
      </c>
    </row>
    <row r="13246" spans="1:7" x14ac:dyDescent="0.25">
      <c r="A13246">
        <v>127012</v>
      </c>
      <c r="B13246" t="s">
        <v>4</v>
      </c>
      <c r="C13246">
        <v>3</v>
      </c>
      <c r="D13246" t="s">
        <v>5</v>
      </c>
      <c r="F13246" t="str" cm="1">
        <f t="array" ref="F13246">CategorizeComment(E13246)</f>
        <v>Other</v>
      </c>
      <c r="G13246" t="str" cm="1">
        <f t="array" ref="G13246">SubCategorizeComment(E13246)</f>
        <v>Other</v>
      </c>
    </row>
    <row r="13247" spans="1:7" x14ac:dyDescent="0.25">
      <c r="A13247">
        <v>127014</v>
      </c>
      <c r="B13247" t="s">
        <v>4</v>
      </c>
      <c r="C13247">
        <v>4</v>
      </c>
      <c r="D13247" t="s">
        <v>5</v>
      </c>
      <c r="F13247" t="str" cm="1">
        <f t="array" ref="F13247">CategorizeComment(E13247)</f>
        <v>Other</v>
      </c>
      <c r="G13247" t="str" cm="1">
        <f t="array" ref="G13247">SubCategorizeComment(E13247)</f>
        <v>Other</v>
      </c>
    </row>
    <row r="13248" spans="1:7" x14ac:dyDescent="0.25">
      <c r="A13248">
        <v>127019</v>
      </c>
      <c r="B13248" t="s">
        <v>4</v>
      </c>
      <c r="C13248">
        <v>4</v>
      </c>
      <c r="D13248" t="s">
        <v>5</v>
      </c>
      <c r="F13248" t="str" cm="1">
        <f t="array" ref="F13248">CategorizeComment(E13248)</f>
        <v>Other</v>
      </c>
      <c r="G13248" t="str" cm="1">
        <f t="array" ref="G13248">SubCategorizeComment(E13248)</f>
        <v>Other</v>
      </c>
    </row>
    <row r="13249" spans="1:7" x14ac:dyDescent="0.25">
      <c r="A13249">
        <v>127042</v>
      </c>
      <c r="B13249" t="s">
        <v>4</v>
      </c>
      <c r="C13249">
        <v>4</v>
      </c>
      <c r="D13249" t="s">
        <v>5</v>
      </c>
      <c r="F13249" t="str" cm="1">
        <f t="array" ref="F13249">CategorizeComment(E13249)</f>
        <v>Other</v>
      </c>
      <c r="G13249" t="str" cm="1">
        <f t="array" ref="G13249">SubCategorizeComment(E13249)</f>
        <v>Other</v>
      </c>
    </row>
    <row r="13250" spans="1:7" x14ac:dyDescent="0.25">
      <c r="A13250">
        <v>127046</v>
      </c>
      <c r="B13250" t="s">
        <v>4</v>
      </c>
      <c r="C13250">
        <v>4</v>
      </c>
      <c r="D13250" t="s">
        <v>5</v>
      </c>
      <c r="F13250" t="str" cm="1">
        <f t="array" ref="F13250">CategorizeComment(E13250)</f>
        <v>Other</v>
      </c>
      <c r="G13250" t="str" cm="1">
        <f t="array" ref="G13250">SubCategorizeComment(E13250)</f>
        <v>Other</v>
      </c>
    </row>
    <row r="13251" spans="1:7" x14ac:dyDescent="0.25">
      <c r="A13251">
        <v>127053</v>
      </c>
      <c r="B13251" t="s">
        <v>4</v>
      </c>
      <c r="C13251">
        <v>4</v>
      </c>
      <c r="D13251" t="s">
        <v>5</v>
      </c>
      <c r="F13251" t="str" cm="1">
        <f t="array" ref="F13251">CategorizeComment(E13251)</f>
        <v>Other</v>
      </c>
      <c r="G13251" t="str" cm="1">
        <f t="array" ref="G13251">SubCategorizeComment(E13251)</f>
        <v>Other</v>
      </c>
    </row>
    <row r="13252" spans="1:7" x14ac:dyDescent="0.25">
      <c r="A13252">
        <v>127059</v>
      </c>
      <c r="B13252" t="s">
        <v>4</v>
      </c>
      <c r="C13252">
        <v>3</v>
      </c>
      <c r="D13252" t="s">
        <v>5</v>
      </c>
      <c r="F13252" t="str" cm="1">
        <f t="array" ref="F13252">CategorizeComment(E13252)</f>
        <v>Other</v>
      </c>
      <c r="G13252" t="str" cm="1">
        <f t="array" ref="G13252">SubCategorizeComment(E13252)</f>
        <v>Other</v>
      </c>
    </row>
    <row r="13253" spans="1:7" x14ac:dyDescent="0.25">
      <c r="A13253">
        <v>127060</v>
      </c>
      <c r="B13253" t="s">
        <v>4</v>
      </c>
      <c r="C13253">
        <v>4</v>
      </c>
      <c r="D13253" t="s">
        <v>5</v>
      </c>
      <c r="F13253" t="str" cm="1">
        <f t="array" ref="F13253">CategorizeComment(E13253)</f>
        <v>Other</v>
      </c>
      <c r="G13253" t="str" cm="1">
        <f t="array" ref="G13253">SubCategorizeComment(E13253)</f>
        <v>Other</v>
      </c>
    </row>
    <row r="13254" spans="1:7" x14ac:dyDescent="0.25">
      <c r="A13254">
        <v>127061</v>
      </c>
      <c r="B13254" t="s">
        <v>4</v>
      </c>
      <c r="C13254">
        <v>4</v>
      </c>
      <c r="D13254" t="s">
        <v>5</v>
      </c>
      <c r="F13254" t="str" cm="1">
        <f t="array" ref="F13254">CategorizeComment(E13254)</f>
        <v>Other</v>
      </c>
      <c r="G13254" t="str" cm="1">
        <f t="array" ref="G13254">SubCategorizeComment(E13254)</f>
        <v>Other</v>
      </c>
    </row>
    <row r="13255" spans="1:7" x14ac:dyDescent="0.25">
      <c r="A13255">
        <v>127066</v>
      </c>
      <c r="B13255" t="s">
        <v>4</v>
      </c>
      <c r="C13255">
        <v>4</v>
      </c>
      <c r="D13255" t="s">
        <v>5</v>
      </c>
      <c r="F13255" t="str" cm="1">
        <f t="array" ref="F13255">CategorizeComment(E13255)</f>
        <v>Other</v>
      </c>
      <c r="G13255" t="str" cm="1">
        <f t="array" ref="G13255">SubCategorizeComment(E13255)</f>
        <v>Other</v>
      </c>
    </row>
    <row r="13256" spans="1:7" x14ac:dyDescent="0.25">
      <c r="A13256">
        <v>127085</v>
      </c>
      <c r="B13256" t="s">
        <v>4</v>
      </c>
      <c r="C13256">
        <v>4</v>
      </c>
      <c r="D13256" t="s">
        <v>5</v>
      </c>
      <c r="F13256" t="str" cm="1">
        <f t="array" ref="F13256">CategorizeComment(E13256)</f>
        <v>Other</v>
      </c>
      <c r="G13256" t="str" cm="1">
        <f t="array" ref="G13256">SubCategorizeComment(E13256)</f>
        <v>Other</v>
      </c>
    </row>
    <row r="13257" spans="1:7" x14ac:dyDescent="0.25">
      <c r="A13257">
        <v>127109</v>
      </c>
      <c r="B13257" t="s">
        <v>4</v>
      </c>
      <c r="C13257">
        <v>4</v>
      </c>
      <c r="D13257" t="s">
        <v>5</v>
      </c>
      <c r="F13257" t="str" cm="1">
        <f t="array" ref="F13257">CategorizeComment(E13257)</f>
        <v>Other</v>
      </c>
      <c r="G13257" t="str" cm="1">
        <f t="array" ref="G13257">SubCategorizeComment(E13257)</f>
        <v>Other</v>
      </c>
    </row>
    <row r="13258" spans="1:7" x14ac:dyDescent="0.25">
      <c r="A13258">
        <v>127131</v>
      </c>
      <c r="B13258" t="s">
        <v>4</v>
      </c>
      <c r="C13258">
        <v>4</v>
      </c>
      <c r="D13258" t="s">
        <v>5</v>
      </c>
      <c r="F13258" t="str" cm="1">
        <f t="array" ref="F13258">CategorizeComment(E13258)</f>
        <v>Other</v>
      </c>
      <c r="G13258" t="str" cm="1">
        <f t="array" ref="G13258">SubCategorizeComment(E13258)</f>
        <v>Other</v>
      </c>
    </row>
    <row r="13259" spans="1:7" x14ac:dyDescent="0.25">
      <c r="A13259">
        <v>127140</v>
      </c>
      <c r="B13259" t="s">
        <v>4</v>
      </c>
      <c r="C13259">
        <v>3</v>
      </c>
      <c r="D13259" t="s">
        <v>5</v>
      </c>
      <c r="F13259" t="str" cm="1">
        <f t="array" ref="F13259">CategorizeComment(E13259)</f>
        <v>Other</v>
      </c>
      <c r="G13259" t="str" cm="1">
        <f t="array" ref="G13259">SubCategorizeComment(E13259)</f>
        <v>Other</v>
      </c>
    </row>
    <row r="13260" spans="1:7" x14ac:dyDescent="0.25">
      <c r="A13260">
        <v>127142</v>
      </c>
      <c r="B13260" t="s">
        <v>4</v>
      </c>
      <c r="C13260">
        <v>3</v>
      </c>
      <c r="D13260" t="s">
        <v>5</v>
      </c>
      <c r="F13260" t="str" cm="1">
        <f t="array" ref="F13260">CategorizeComment(E13260)</f>
        <v>Other</v>
      </c>
      <c r="G13260" t="str" cm="1">
        <f t="array" ref="G13260">SubCategorizeComment(E13260)</f>
        <v>Other</v>
      </c>
    </row>
    <row r="13261" spans="1:7" x14ac:dyDescent="0.25">
      <c r="A13261">
        <v>127154</v>
      </c>
      <c r="B13261" t="s">
        <v>4</v>
      </c>
      <c r="C13261">
        <v>3</v>
      </c>
      <c r="D13261" t="s">
        <v>5</v>
      </c>
      <c r="F13261" t="str" cm="1">
        <f t="array" ref="F13261">CategorizeComment(E13261)</f>
        <v>Other</v>
      </c>
      <c r="G13261" t="str" cm="1">
        <f t="array" ref="G13261">SubCategorizeComment(E13261)</f>
        <v>Other</v>
      </c>
    </row>
    <row r="13262" spans="1:7" x14ac:dyDescent="0.25">
      <c r="A13262">
        <v>127160</v>
      </c>
      <c r="B13262" t="s">
        <v>4</v>
      </c>
      <c r="C13262">
        <v>3</v>
      </c>
      <c r="D13262" t="s">
        <v>5</v>
      </c>
      <c r="F13262" t="str" cm="1">
        <f t="array" ref="F13262">CategorizeComment(E13262)</f>
        <v>Other</v>
      </c>
      <c r="G13262" t="str" cm="1">
        <f t="array" ref="G13262">SubCategorizeComment(E13262)</f>
        <v>Other</v>
      </c>
    </row>
    <row r="13263" spans="1:7" x14ac:dyDescent="0.25">
      <c r="A13263">
        <v>127163</v>
      </c>
      <c r="B13263" t="s">
        <v>4</v>
      </c>
      <c r="C13263">
        <v>3</v>
      </c>
      <c r="D13263" t="s">
        <v>5</v>
      </c>
      <c r="F13263" t="str" cm="1">
        <f t="array" ref="F13263">CategorizeComment(E13263)</f>
        <v>Other</v>
      </c>
      <c r="G13263" t="str" cm="1">
        <f t="array" ref="G13263">SubCategorizeComment(E13263)</f>
        <v>Other</v>
      </c>
    </row>
    <row r="13264" spans="1:7" x14ac:dyDescent="0.25">
      <c r="A13264">
        <v>127164</v>
      </c>
      <c r="B13264" t="s">
        <v>4</v>
      </c>
      <c r="C13264">
        <v>4</v>
      </c>
      <c r="D13264" t="s">
        <v>5</v>
      </c>
      <c r="F13264" t="str" cm="1">
        <f t="array" ref="F13264">CategorizeComment(E13264)</f>
        <v>Other</v>
      </c>
      <c r="G13264" t="str" cm="1">
        <f t="array" ref="G13264">SubCategorizeComment(E13264)</f>
        <v>Other</v>
      </c>
    </row>
    <row r="13265" spans="1:7" x14ac:dyDescent="0.25">
      <c r="A13265">
        <v>127192</v>
      </c>
      <c r="B13265" t="s">
        <v>4</v>
      </c>
      <c r="C13265">
        <v>4</v>
      </c>
      <c r="D13265" t="s">
        <v>5</v>
      </c>
      <c r="F13265" t="str" cm="1">
        <f t="array" ref="F13265">CategorizeComment(E13265)</f>
        <v>Other</v>
      </c>
      <c r="G13265" t="str" cm="1">
        <f t="array" ref="G13265">SubCategorizeComment(E13265)</f>
        <v>Other</v>
      </c>
    </row>
    <row r="13266" spans="1:7" x14ac:dyDescent="0.25">
      <c r="A13266">
        <v>127197</v>
      </c>
      <c r="B13266" t="s">
        <v>4</v>
      </c>
      <c r="C13266">
        <v>4</v>
      </c>
      <c r="D13266" t="s">
        <v>5</v>
      </c>
      <c r="F13266" t="str" cm="1">
        <f t="array" ref="F13266">CategorizeComment(E13266)</f>
        <v>Other</v>
      </c>
      <c r="G13266" t="str" cm="1">
        <f t="array" ref="G13266">SubCategorizeComment(E13266)</f>
        <v>Other</v>
      </c>
    </row>
    <row r="13267" spans="1:7" x14ac:dyDescent="0.25">
      <c r="A13267">
        <v>127208</v>
      </c>
      <c r="B13267" t="s">
        <v>4</v>
      </c>
      <c r="C13267">
        <v>4</v>
      </c>
      <c r="D13267" t="s">
        <v>5</v>
      </c>
      <c r="F13267" t="str" cm="1">
        <f t="array" ref="F13267">CategorizeComment(E13267)</f>
        <v>Other</v>
      </c>
      <c r="G13267" t="str" cm="1">
        <f t="array" ref="G13267">SubCategorizeComment(E13267)</f>
        <v>Other</v>
      </c>
    </row>
    <row r="13268" spans="1:7" x14ac:dyDescent="0.25">
      <c r="A13268">
        <v>127209</v>
      </c>
      <c r="B13268" t="s">
        <v>4</v>
      </c>
      <c r="C13268">
        <v>4</v>
      </c>
      <c r="D13268" t="s">
        <v>5</v>
      </c>
      <c r="F13268" t="str" cm="1">
        <f t="array" ref="F13268">CategorizeComment(E13268)</f>
        <v>Other</v>
      </c>
      <c r="G13268" t="str" cm="1">
        <f t="array" ref="G13268">SubCategorizeComment(E13268)</f>
        <v>Other</v>
      </c>
    </row>
    <row r="13269" spans="1:7" x14ac:dyDescent="0.25">
      <c r="A13269">
        <v>127218</v>
      </c>
      <c r="B13269" t="s">
        <v>4</v>
      </c>
      <c r="C13269">
        <v>3</v>
      </c>
      <c r="D13269" t="s">
        <v>5</v>
      </c>
      <c r="F13269" t="str" cm="1">
        <f t="array" ref="F13269">CategorizeComment(E13269)</f>
        <v>Other</v>
      </c>
      <c r="G13269" t="str" cm="1">
        <f t="array" ref="G13269">SubCategorizeComment(E13269)</f>
        <v>Other</v>
      </c>
    </row>
    <row r="13270" spans="1:7" x14ac:dyDescent="0.25">
      <c r="A13270">
        <v>127253</v>
      </c>
      <c r="B13270" t="s">
        <v>4</v>
      </c>
      <c r="C13270">
        <v>0</v>
      </c>
      <c r="D13270" t="s">
        <v>5</v>
      </c>
      <c r="F13270" t="str" cm="1">
        <f t="array" ref="F13270">CategorizeComment(E13270)</f>
        <v>Other</v>
      </c>
      <c r="G13270" t="str" cm="1">
        <f t="array" ref="G13270">SubCategorizeComment(E13270)</f>
        <v>Other</v>
      </c>
    </row>
    <row r="13271" spans="1:7" x14ac:dyDescent="0.25">
      <c r="A13271">
        <v>127268</v>
      </c>
      <c r="B13271" t="s">
        <v>4</v>
      </c>
      <c r="C13271">
        <v>4</v>
      </c>
      <c r="D13271" t="s">
        <v>5</v>
      </c>
      <c r="F13271" t="str" cm="1">
        <f t="array" ref="F13271">CategorizeComment(E13271)</f>
        <v>Other</v>
      </c>
      <c r="G13271" t="str" cm="1">
        <f t="array" ref="G13271">SubCategorizeComment(E13271)</f>
        <v>Other</v>
      </c>
    </row>
    <row r="13272" spans="1:7" x14ac:dyDescent="0.25">
      <c r="A13272">
        <v>127269</v>
      </c>
      <c r="B13272" t="s">
        <v>4</v>
      </c>
      <c r="C13272">
        <v>4</v>
      </c>
      <c r="D13272" t="s">
        <v>5</v>
      </c>
      <c r="F13272" t="str" cm="1">
        <f t="array" ref="F13272">CategorizeComment(E13272)</f>
        <v>Other</v>
      </c>
      <c r="G13272" t="str" cm="1">
        <f t="array" ref="G13272">SubCategorizeComment(E13272)</f>
        <v>Other</v>
      </c>
    </row>
    <row r="13273" spans="1:7" x14ac:dyDescent="0.25">
      <c r="A13273">
        <v>127272</v>
      </c>
      <c r="B13273" t="s">
        <v>4</v>
      </c>
      <c r="C13273">
        <v>4</v>
      </c>
      <c r="D13273" t="s">
        <v>5</v>
      </c>
      <c r="F13273" t="str" cm="1">
        <f t="array" ref="F13273">CategorizeComment(E13273)</f>
        <v>Other</v>
      </c>
      <c r="G13273" t="str" cm="1">
        <f t="array" ref="G13273">SubCategorizeComment(E13273)</f>
        <v>Other</v>
      </c>
    </row>
    <row r="13274" spans="1:7" x14ac:dyDescent="0.25">
      <c r="A13274">
        <v>127294</v>
      </c>
      <c r="B13274" t="s">
        <v>4</v>
      </c>
      <c r="C13274">
        <v>4</v>
      </c>
      <c r="D13274" t="s">
        <v>5</v>
      </c>
      <c r="F13274" t="str" cm="1">
        <f t="array" ref="F13274">CategorizeComment(E13274)</f>
        <v>Other</v>
      </c>
      <c r="G13274" t="str" cm="1">
        <f t="array" ref="G13274">SubCategorizeComment(E13274)</f>
        <v>Other</v>
      </c>
    </row>
    <row r="13275" spans="1:7" x14ac:dyDescent="0.25">
      <c r="A13275">
        <v>127295</v>
      </c>
      <c r="B13275" t="s">
        <v>4</v>
      </c>
      <c r="C13275">
        <v>3</v>
      </c>
      <c r="D13275" t="s">
        <v>5</v>
      </c>
      <c r="F13275" t="str" cm="1">
        <f t="array" ref="F13275">CategorizeComment(E13275)</f>
        <v>Other</v>
      </c>
      <c r="G13275" t="str" cm="1">
        <f t="array" ref="G13275">SubCategorizeComment(E13275)</f>
        <v>Other</v>
      </c>
    </row>
    <row r="13276" spans="1:7" x14ac:dyDescent="0.25">
      <c r="A13276">
        <v>127296</v>
      </c>
      <c r="B13276" t="s">
        <v>4</v>
      </c>
      <c r="C13276">
        <v>3</v>
      </c>
      <c r="D13276" t="s">
        <v>5</v>
      </c>
      <c r="F13276" t="str" cm="1">
        <f t="array" ref="F13276">CategorizeComment(E13276)</f>
        <v>Other</v>
      </c>
      <c r="G13276" t="str" cm="1">
        <f t="array" ref="G13276">SubCategorizeComment(E13276)</f>
        <v>Other</v>
      </c>
    </row>
    <row r="13277" spans="1:7" x14ac:dyDescent="0.25">
      <c r="A13277">
        <v>127297</v>
      </c>
      <c r="B13277" t="s">
        <v>4</v>
      </c>
      <c r="C13277">
        <v>4</v>
      </c>
      <c r="D13277" t="s">
        <v>5</v>
      </c>
      <c r="F13277" t="str" cm="1">
        <f t="array" ref="F13277">CategorizeComment(E13277)</f>
        <v>Other</v>
      </c>
      <c r="G13277" t="str" cm="1">
        <f t="array" ref="G13277">SubCategorizeComment(E13277)</f>
        <v>Other</v>
      </c>
    </row>
    <row r="13278" spans="1:7" x14ac:dyDescent="0.25">
      <c r="A13278">
        <v>127304</v>
      </c>
      <c r="B13278" t="s">
        <v>4</v>
      </c>
      <c r="C13278">
        <v>4</v>
      </c>
      <c r="D13278" t="s">
        <v>5</v>
      </c>
      <c r="F13278" t="str" cm="1">
        <f t="array" ref="F13278">CategorizeComment(E13278)</f>
        <v>Other</v>
      </c>
      <c r="G13278" t="str" cm="1">
        <f t="array" ref="G13278">SubCategorizeComment(E13278)</f>
        <v>Other</v>
      </c>
    </row>
    <row r="13279" spans="1:7" x14ac:dyDescent="0.25">
      <c r="A13279">
        <v>127310</v>
      </c>
      <c r="B13279" t="s">
        <v>4</v>
      </c>
      <c r="C13279">
        <v>3</v>
      </c>
      <c r="D13279" t="s">
        <v>5</v>
      </c>
      <c r="F13279" t="str" cm="1">
        <f t="array" ref="F13279">CategorizeComment(E13279)</f>
        <v>Other</v>
      </c>
      <c r="G13279" t="str" cm="1">
        <f t="array" ref="G13279">SubCategorizeComment(E13279)</f>
        <v>Other</v>
      </c>
    </row>
    <row r="13280" spans="1:7" x14ac:dyDescent="0.25">
      <c r="A13280">
        <v>127316</v>
      </c>
      <c r="B13280" t="s">
        <v>4</v>
      </c>
      <c r="C13280">
        <v>4</v>
      </c>
      <c r="D13280" t="s">
        <v>5</v>
      </c>
      <c r="F13280" t="str" cm="1">
        <f t="array" ref="F13280">CategorizeComment(E13280)</f>
        <v>Other</v>
      </c>
      <c r="G13280" t="str" cm="1">
        <f t="array" ref="G13280">SubCategorizeComment(E13280)</f>
        <v>Other</v>
      </c>
    </row>
    <row r="13281" spans="1:7" x14ac:dyDescent="0.25">
      <c r="A13281">
        <v>127320</v>
      </c>
      <c r="B13281" t="s">
        <v>4</v>
      </c>
      <c r="C13281">
        <v>3</v>
      </c>
      <c r="D13281" t="s">
        <v>5</v>
      </c>
      <c r="F13281" t="str" cm="1">
        <f t="array" ref="F13281">CategorizeComment(E13281)</f>
        <v>Other</v>
      </c>
      <c r="G13281" t="str" cm="1">
        <f t="array" ref="G13281">SubCategorizeComment(E13281)</f>
        <v>Other</v>
      </c>
    </row>
    <row r="13282" spans="1:7" x14ac:dyDescent="0.25">
      <c r="A13282">
        <v>127365</v>
      </c>
      <c r="B13282" t="s">
        <v>4</v>
      </c>
      <c r="C13282">
        <v>4</v>
      </c>
      <c r="D13282" t="s">
        <v>5</v>
      </c>
      <c r="F13282" t="str" cm="1">
        <f t="array" ref="F13282">CategorizeComment(E13282)</f>
        <v>Other</v>
      </c>
      <c r="G13282" t="str" cm="1">
        <f t="array" ref="G13282">SubCategorizeComment(E13282)</f>
        <v>Other</v>
      </c>
    </row>
    <row r="13283" spans="1:7" x14ac:dyDescent="0.25">
      <c r="A13283">
        <v>127398</v>
      </c>
      <c r="B13283" t="s">
        <v>4</v>
      </c>
      <c r="C13283">
        <v>4</v>
      </c>
      <c r="D13283" t="s">
        <v>5</v>
      </c>
      <c r="F13283" t="str" cm="1">
        <f t="array" ref="F13283">CategorizeComment(E13283)</f>
        <v>Other</v>
      </c>
      <c r="G13283" t="str" cm="1">
        <f t="array" ref="G13283">SubCategorizeComment(E13283)</f>
        <v>Other</v>
      </c>
    </row>
    <row r="13284" spans="1:7" x14ac:dyDescent="0.25">
      <c r="A13284">
        <v>127399</v>
      </c>
      <c r="B13284" t="s">
        <v>4</v>
      </c>
      <c r="C13284">
        <v>4</v>
      </c>
      <c r="D13284" t="s">
        <v>5</v>
      </c>
      <c r="F13284" t="str" cm="1">
        <f t="array" ref="F13284">CategorizeComment(E13284)</f>
        <v>Other</v>
      </c>
      <c r="G13284" t="str" cm="1">
        <f t="array" ref="G13284">SubCategorizeComment(E13284)</f>
        <v>Other</v>
      </c>
    </row>
    <row r="13285" spans="1:7" x14ac:dyDescent="0.25">
      <c r="A13285">
        <v>127408</v>
      </c>
      <c r="B13285" t="s">
        <v>4</v>
      </c>
      <c r="C13285">
        <v>4</v>
      </c>
      <c r="D13285" t="s">
        <v>5</v>
      </c>
      <c r="F13285" t="str" cm="1">
        <f t="array" ref="F13285">CategorizeComment(E13285)</f>
        <v>Other</v>
      </c>
      <c r="G13285" t="str" cm="1">
        <f t="array" ref="G13285">SubCategorizeComment(E13285)</f>
        <v>Other</v>
      </c>
    </row>
    <row r="13286" spans="1:7" x14ac:dyDescent="0.25">
      <c r="A13286">
        <v>127410</v>
      </c>
      <c r="B13286" t="s">
        <v>4</v>
      </c>
      <c r="C13286">
        <v>3</v>
      </c>
      <c r="D13286" t="s">
        <v>5</v>
      </c>
      <c r="F13286" t="str" cm="1">
        <f t="array" ref="F13286">CategorizeComment(E13286)</f>
        <v>Other</v>
      </c>
      <c r="G13286" t="str" cm="1">
        <f t="array" ref="G13286">SubCategorizeComment(E13286)</f>
        <v>Other</v>
      </c>
    </row>
    <row r="13287" spans="1:7" x14ac:dyDescent="0.25">
      <c r="A13287">
        <v>127420</v>
      </c>
      <c r="B13287" t="s">
        <v>4</v>
      </c>
      <c r="C13287">
        <v>3</v>
      </c>
      <c r="D13287" t="s">
        <v>5</v>
      </c>
      <c r="F13287" t="str" cm="1">
        <f t="array" ref="F13287">CategorizeComment(E13287)</f>
        <v>Other</v>
      </c>
      <c r="G13287" t="str" cm="1">
        <f t="array" ref="G13287">SubCategorizeComment(E13287)</f>
        <v>Other</v>
      </c>
    </row>
    <row r="13288" spans="1:7" x14ac:dyDescent="0.25">
      <c r="A13288">
        <v>127424</v>
      </c>
      <c r="B13288" t="s">
        <v>4</v>
      </c>
      <c r="C13288">
        <v>3</v>
      </c>
      <c r="D13288" t="s">
        <v>5</v>
      </c>
      <c r="F13288" t="str" cm="1">
        <f t="array" ref="F13288">CategorizeComment(E13288)</f>
        <v>Other</v>
      </c>
      <c r="G13288" t="str" cm="1">
        <f t="array" ref="G13288">SubCategorizeComment(E13288)</f>
        <v>Other</v>
      </c>
    </row>
    <row r="13289" spans="1:7" x14ac:dyDescent="0.25">
      <c r="A13289">
        <v>127426</v>
      </c>
      <c r="B13289" t="s">
        <v>4</v>
      </c>
      <c r="C13289">
        <v>3</v>
      </c>
      <c r="D13289" t="s">
        <v>5</v>
      </c>
      <c r="F13289" t="str" cm="1">
        <f t="array" ref="F13289">CategorizeComment(E13289)</f>
        <v>Other</v>
      </c>
      <c r="G13289" t="str" cm="1">
        <f t="array" ref="G13289">SubCategorizeComment(E13289)</f>
        <v>Other</v>
      </c>
    </row>
    <row r="13290" spans="1:7" x14ac:dyDescent="0.25">
      <c r="A13290">
        <v>127427</v>
      </c>
      <c r="B13290" t="s">
        <v>4</v>
      </c>
      <c r="C13290">
        <v>4</v>
      </c>
      <c r="D13290" t="s">
        <v>5</v>
      </c>
      <c r="F13290" t="str" cm="1">
        <f t="array" ref="F13290">CategorizeComment(E13290)</f>
        <v>Other</v>
      </c>
      <c r="G13290" t="str" cm="1">
        <f t="array" ref="G13290">SubCategorizeComment(E13290)</f>
        <v>Other</v>
      </c>
    </row>
    <row r="13291" spans="1:7" x14ac:dyDescent="0.25">
      <c r="A13291">
        <v>127438</v>
      </c>
      <c r="B13291" t="s">
        <v>4</v>
      </c>
      <c r="C13291">
        <v>3</v>
      </c>
      <c r="D13291" t="s">
        <v>5</v>
      </c>
      <c r="F13291" t="str" cm="1">
        <f t="array" ref="F13291">CategorizeComment(E13291)</f>
        <v>Other</v>
      </c>
      <c r="G13291" t="str" cm="1">
        <f t="array" ref="G13291">SubCategorizeComment(E13291)</f>
        <v>Other</v>
      </c>
    </row>
    <row r="13292" spans="1:7" x14ac:dyDescent="0.25">
      <c r="A13292">
        <v>127445</v>
      </c>
      <c r="B13292" t="s">
        <v>4</v>
      </c>
      <c r="C13292">
        <v>4</v>
      </c>
      <c r="D13292" t="s">
        <v>5</v>
      </c>
      <c r="F13292" t="str" cm="1">
        <f t="array" ref="F13292">CategorizeComment(E13292)</f>
        <v>Other</v>
      </c>
      <c r="G13292" t="str" cm="1">
        <f t="array" ref="G13292">SubCategorizeComment(E13292)</f>
        <v>Other</v>
      </c>
    </row>
    <row r="13293" spans="1:7" x14ac:dyDescent="0.25">
      <c r="A13293">
        <v>127446</v>
      </c>
      <c r="B13293" t="s">
        <v>4</v>
      </c>
      <c r="C13293">
        <v>4</v>
      </c>
      <c r="D13293" t="s">
        <v>5</v>
      </c>
      <c r="F13293" t="str" cm="1">
        <f t="array" ref="F13293">CategorizeComment(E13293)</f>
        <v>Other</v>
      </c>
      <c r="G13293" t="str" cm="1">
        <f t="array" ref="G13293">SubCategorizeComment(E13293)</f>
        <v>Other</v>
      </c>
    </row>
    <row r="13294" spans="1:7" x14ac:dyDescent="0.25">
      <c r="A13294">
        <v>127464</v>
      </c>
      <c r="B13294" t="s">
        <v>4</v>
      </c>
      <c r="C13294">
        <v>4</v>
      </c>
      <c r="D13294" t="s">
        <v>5</v>
      </c>
      <c r="F13294" t="str" cm="1">
        <f t="array" ref="F13294">CategorizeComment(E13294)</f>
        <v>Other</v>
      </c>
      <c r="G13294" t="str" cm="1">
        <f t="array" ref="G13294">SubCategorizeComment(E13294)</f>
        <v>Other</v>
      </c>
    </row>
    <row r="13295" spans="1:7" x14ac:dyDescent="0.25">
      <c r="A13295">
        <v>127470</v>
      </c>
      <c r="B13295" t="s">
        <v>4</v>
      </c>
      <c r="C13295">
        <v>4</v>
      </c>
      <c r="D13295" t="s">
        <v>5</v>
      </c>
      <c r="F13295" t="str" cm="1">
        <f t="array" ref="F13295">CategorizeComment(E13295)</f>
        <v>Other</v>
      </c>
      <c r="G13295" t="str" cm="1">
        <f t="array" ref="G13295">SubCategorizeComment(E13295)</f>
        <v>Other</v>
      </c>
    </row>
    <row r="13296" spans="1:7" x14ac:dyDescent="0.25">
      <c r="A13296">
        <v>127478</v>
      </c>
      <c r="B13296" t="s">
        <v>4</v>
      </c>
      <c r="C13296">
        <v>4</v>
      </c>
      <c r="D13296" t="s">
        <v>5</v>
      </c>
      <c r="F13296" t="str" cm="1">
        <f t="array" ref="F13296">CategorizeComment(E13296)</f>
        <v>Other</v>
      </c>
      <c r="G13296" t="str" cm="1">
        <f t="array" ref="G13296">SubCategorizeComment(E13296)</f>
        <v>Other</v>
      </c>
    </row>
    <row r="13297" spans="1:7" x14ac:dyDescent="0.25">
      <c r="A13297">
        <v>127486</v>
      </c>
      <c r="B13297" t="s">
        <v>4</v>
      </c>
      <c r="C13297">
        <v>3</v>
      </c>
      <c r="D13297" t="s">
        <v>5</v>
      </c>
      <c r="F13297" t="str" cm="1">
        <f t="array" ref="F13297">CategorizeComment(E13297)</f>
        <v>Other</v>
      </c>
      <c r="G13297" t="str" cm="1">
        <f t="array" ref="G13297">SubCategorizeComment(E13297)</f>
        <v>Other</v>
      </c>
    </row>
    <row r="13298" spans="1:7" x14ac:dyDescent="0.25">
      <c r="A13298">
        <v>127491</v>
      </c>
      <c r="B13298" t="s">
        <v>4</v>
      </c>
      <c r="C13298">
        <v>3</v>
      </c>
      <c r="D13298" t="s">
        <v>5</v>
      </c>
      <c r="F13298" t="str" cm="1">
        <f t="array" ref="F13298">CategorizeComment(E13298)</f>
        <v>Other</v>
      </c>
      <c r="G13298" t="str" cm="1">
        <f t="array" ref="G13298">SubCategorizeComment(E13298)</f>
        <v>Other</v>
      </c>
    </row>
    <row r="13299" spans="1:7" x14ac:dyDescent="0.25">
      <c r="A13299">
        <v>127496</v>
      </c>
      <c r="B13299" t="s">
        <v>4</v>
      </c>
      <c r="C13299">
        <v>4</v>
      </c>
      <c r="D13299" t="s">
        <v>5</v>
      </c>
      <c r="F13299" t="str" cm="1">
        <f t="array" ref="F13299">CategorizeComment(E13299)</f>
        <v>Other</v>
      </c>
      <c r="G13299" t="str" cm="1">
        <f t="array" ref="G13299">SubCategorizeComment(E13299)</f>
        <v>Other</v>
      </c>
    </row>
    <row r="13300" spans="1:7" x14ac:dyDescent="0.25">
      <c r="A13300">
        <v>127534</v>
      </c>
      <c r="B13300" t="s">
        <v>4</v>
      </c>
      <c r="C13300">
        <v>4</v>
      </c>
      <c r="D13300" t="s">
        <v>5</v>
      </c>
      <c r="F13300" t="str" cm="1">
        <f t="array" ref="F13300">CategorizeComment(E13300)</f>
        <v>Other</v>
      </c>
      <c r="G13300" t="str" cm="1">
        <f t="array" ref="G13300">SubCategorizeComment(E13300)</f>
        <v>Other</v>
      </c>
    </row>
    <row r="13301" spans="1:7" x14ac:dyDescent="0.25">
      <c r="A13301">
        <v>127546</v>
      </c>
      <c r="B13301" t="s">
        <v>4</v>
      </c>
      <c r="C13301">
        <v>3</v>
      </c>
      <c r="D13301" t="s">
        <v>5</v>
      </c>
      <c r="F13301" t="str" cm="1">
        <f t="array" ref="F13301">CategorizeComment(E13301)</f>
        <v>Other</v>
      </c>
      <c r="G13301" t="str" cm="1">
        <f t="array" ref="G13301">SubCategorizeComment(E13301)</f>
        <v>Other</v>
      </c>
    </row>
    <row r="13302" spans="1:7" x14ac:dyDescent="0.25">
      <c r="A13302">
        <v>127547</v>
      </c>
      <c r="B13302" t="s">
        <v>4</v>
      </c>
      <c r="C13302">
        <v>4</v>
      </c>
      <c r="D13302" t="s">
        <v>5</v>
      </c>
      <c r="F13302" t="str" cm="1">
        <f t="array" ref="F13302">CategorizeComment(E13302)</f>
        <v>Other</v>
      </c>
      <c r="G13302" t="str" cm="1">
        <f t="array" ref="G13302">SubCategorizeComment(E13302)</f>
        <v>Other</v>
      </c>
    </row>
    <row r="13303" spans="1:7" x14ac:dyDescent="0.25">
      <c r="A13303">
        <v>127551</v>
      </c>
      <c r="B13303" t="s">
        <v>4</v>
      </c>
      <c r="C13303">
        <v>4</v>
      </c>
      <c r="D13303" t="s">
        <v>5</v>
      </c>
      <c r="F13303" t="str" cm="1">
        <f t="array" ref="F13303">CategorizeComment(E13303)</f>
        <v>Other</v>
      </c>
      <c r="G13303" t="str" cm="1">
        <f t="array" ref="G13303">SubCategorizeComment(E13303)</f>
        <v>Other</v>
      </c>
    </row>
    <row r="13304" spans="1:7" x14ac:dyDescent="0.25">
      <c r="A13304">
        <v>127552</v>
      </c>
      <c r="B13304" t="s">
        <v>4</v>
      </c>
      <c r="C13304">
        <v>4</v>
      </c>
      <c r="D13304" t="s">
        <v>5</v>
      </c>
      <c r="F13304" t="str" cm="1">
        <f t="array" ref="F13304">CategorizeComment(E13304)</f>
        <v>Other</v>
      </c>
      <c r="G13304" t="str" cm="1">
        <f t="array" ref="G13304">SubCategorizeComment(E13304)</f>
        <v>Other</v>
      </c>
    </row>
    <row r="13305" spans="1:7" x14ac:dyDescent="0.25">
      <c r="A13305">
        <v>127571</v>
      </c>
      <c r="B13305" t="s">
        <v>4</v>
      </c>
      <c r="C13305">
        <v>4</v>
      </c>
      <c r="D13305" t="s">
        <v>5</v>
      </c>
      <c r="F13305" t="str" cm="1">
        <f t="array" ref="F13305">CategorizeComment(E13305)</f>
        <v>Other</v>
      </c>
      <c r="G13305" t="str" cm="1">
        <f t="array" ref="G13305">SubCategorizeComment(E13305)</f>
        <v>Other</v>
      </c>
    </row>
    <row r="13306" spans="1:7" x14ac:dyDescent="0.25">
      <c r="A13306">
        <v>127603</v>
      </c>
      <c r="B13306" t="s">
        <v>4</v>
      </c>
      <c r="C13306">
        <v>4</v>
      </c>
      <c r="D13306" t="s">
        <v>5</v>
      </c>
      <c r="F13306" t="str" cm="1">
        <f t="array" ref="F13306">CategorizeComment(E13306)</f>
        <v>Other</v>
      </c>
      <c r="G13306" t="str" cm="1">
        <f t="array" ref="G13306">SubCategorizeComment(E13306)</f>
        <v>Other</v>
      </c>
    </row>
    <row r="13307" spans="1:7" x14ac:dyDescent="0.25">
      <c r="A13307">
        <v>127613</v>
      </c>
      <c r="B13307" t="s">
        <v>4</v>
      </c>
      <c r="C13307">
        <v>4</v>
      </c>
      <c r="D13307" t="s">
        <v>5</v>
      </c>
      <c r="F13307" t="str" cm="1">
        <f t="array" ref="F13307">CategorizeComment(E13307)</f>
        <v>Other</v>
      </c>
      <c r="G13307" t="str" cm="1">
        <f t="array" ref="G13307">SubCategorizeComment(E13307)</f>
        <v>Other</v>
      </c>
    </row>
    <row r="13308" spans="1:7" x14ac:dyDescent="0.25">
      <c r="A13308">
        <v>127615</v>
      </c>
      <c r="B13308" t="s">
        <v>4</v>
      </c>
      <c r="C13308">
        <v>3</v>
      </c>
      <c r="D13308" t="s">
        <v>5</v>
      </c>
      <c r="F13308" t="str" cm="1">
        <f t="array" ref="F13308">CategorizeComment(E13308)</f>
        <v>Other</v>
      </c>
      <c r="G13308" t="str" cm="1">
        <f t="array" ref="G13308">SubCategorizeComment(E13308)</f>
        <v>Other</v>
      </c>
    </row>
    <row r="13309" spans="1:7" x14ac:dyDescent="0.25">
      <c r="A13309">
        <v>127625</v>
      </c>
      <c r="B13309" t="s">
        <v>4</v>
      </c>
      <c r="C13309">
        <v>3</v>
      </c>
      <c r="D13309" t="s">
        <v>5</v>
      </c>
      <c r="F13309" t="str" cm="1">
        <f t="array" ref="F13309">CategorizeComment(E13309)</f>
        <v>Other</v>
      </c>
      <c r="G13309" t="str" cm="1">
        <f t="array" ref="G13309">SubCategorizeComment(E13309)</f>
        <v>Other</v>
      </c>
    </row>
    <row r="13310" spans="1:7" x14ac:dyDescent="0.25">
      <c r="A13310">
        <v>127630</v>
      </c>
      <c r="B13310" t="s">
        <v>4</v>
      </c>
      <c r="C13310">
        <v>4</v>
      </c>
      <c r="D13310" t="s">
        <v>5</v>
      </c>
      <c r="F13310" t="str" cm="1">
        <f t="array" ref="F13310">CategorizeComment(E13310)</f>
        <v>Other</v>
      </c>
      <c r="G13310" t="str" cm="1">
        <f t="array" ref="G13310">SubCategorizeComment(E13310)</f>
        <v>Other</v>
      </c>
    </row>
    <row r="13311" spans="1:7" x14ac:dyDescent="0.25">
      <c r="A13311">
        <v>127631</v>
      </c>
      <c r="B13311" t="s">
        <v>4</v>
      </c>
      <c r="C13311">
        <v>4</v>
      </c>
      <c r="D13311" t="s">
        <v>5</v>
      </c>
      <c r="F13311" t="str" cm="1">
        <f t="array" ref="F13311">CategorizeComment(E13311)</f>
        <v>Other</v>
      </c>
      <c r="G13311" t="str" cm="1">
        <f t="array" ref="G13311">SubCategorizeComment(E13311)</f>
        <v>Other</v>
      </c>
    </row>
    <row r="13312" spans="1:7" x14ac:dyDescent="0.25">
      <c r="A13312">
        <v>127635</v>
      </c>
      <c r="B13312" t="s">
        <v>4</v>
      </c>
      <c r="C13312">
        <v>4</v>
      </c>
      <c r="D13312" t="s">
        <v>5</v>
      </c>
      <c r="F13312" t="str" cm="1">
        <f t="array" ref="F13312">CategorizeComment(E13312)</f>
        <v>Other</v>
      </c>
      <c r="G13312" t="str" cm="1">
        <f t="array" ref="G13312">SubCategorizeComment(E13312)</f>
        <v>Other</v>
      </c>
    </row>
    <row r="13313" spans="1:7" x14ac:dyDescent="0.25">
      <c r="A13313">
        <v>127636</v>
      </c>
      <c r="B13313" t="s">
        <v>4</v>
      </c>
      <c r="C13313">
        <v>4</v>
      </c>
      <c r="D13313" t="s">
        <v>5</v>
      </c>
      <c r="F13313" t="str" cm="1">
        <f t="array" ref="F13313">CategorizeComment(E13313)</f>
        <v>Other</v>
      </c>
      <c r="G13313" t="str" cm="1">
        <f t="array" ref="G13313">SubCategorizeComment(E13313)</f>
        <v>Other</v>
      </c>
    </row>
    <row r="13314" spans="1:7" x14ac:dyDescent="0.25">
      <c r="A13314">
        <v>127637</v>
      </c>
      <c r="B13314" t="s">
        <v>4</v>
      </c>
      <c r="C13314">
        <v>3</v>
      </c>
      <c r="D13314" t="s">
        <v>5</v>
      </c>
      <c r="F13314" t="str" cm="1">
        <f t="array" ref="F13314">CategorizeComment(E13314)</f>
        <v>Other</v>
      </c>
      <c r="G13314" t="str" cm="1">
        <f t="array" ref="G13314">SubCategorizeComment(E13314)</f>
        <v>Other</v>
      </c>
    </row>
    <row r="13315" spans="1:7" x14ac:dyDescent="0.25">
      <c r="A13315">
        <v>127638</v>
      </c>
      <c r="B13315" t="s">
        <v>4</v>
      </c>
      <c r="C13315">
        <v>3</v>
      </c>
      <c r="D13315" t="s">
        <v>5</v>
      </c>
      <c r="F13315" t="str" cm="1">
        <f t="array" ref="F13315">CategorizeComment(E13315)</f>
        <v>Other</v>
      </c>
      <c r="G13315" t="str" cm="1">
        <f t="array" ref="G13315">SubCategorizeComment(E13315)</f>
        <v>Other</v>
      </c>
    </row>
    <row r="13316" spans="1:7" x14ac:dyDescent="0.25">
      <c r="A13316">
        <v>127640</v>
      </c>
      <c r="B13316" t="s">
        <v>4</v>
      </c>
      <c r="C13316">
        <v>4</v>
      </c>
      <c r="D13316" t="s">
        <v>5</v>
      </c>
      <c r="F13316" t="str" cm="1">
        <f t="array" ref="F13316">CategorizeComment(E13316)</f>
        <v>Other</v>
      </c>
      <c r="G13316" t="str" cm="1">
        <f t="array" ref="G13316">SubCategorizeComment(E13316)</f>
        <v>Other</v>
      </c>
    </row>
    <row r="13317" spans="1:7" x14ac:dyDescent="0.25">
      <c r="A13317">
        <v>127653</v>
      </c>
      <c r="B13317" t="s">
        <v>4</v>
      </c>
      <c r="C13317">
        <v>4</v>
      </c>
      <c r="D13317" t="s">
        <v>5</v>
      </c>
      <c r="F13317" t="str" cm="1">
        <f t="array" ref="F13317">CategorizeComment(E13317)</f>
        <v>Other</v>
      </c>
      <c r="G13317" t="str" cm="1">
        <f t="array" ref="G13317">SubCategorizeComment(E13317)</f>
        <v>Other</v>
      </c>
    </row>
    <row r="13318" spans="1:7" x14ac:dyDescent="0.25">
      <c r="A13318">
        <v>127658</v>
      </c>
      <c r="B13318" t="s">
        <v>4</v>
      </c>
      <c r="C13318">
        <v>3</v>
      </c>
      <c r="D13318" t="s">
        <v>5</v>
      </c>
      <c r="F13318" t="str" cm="1">
        <f t="array" ref="F13318">CategorizeComment(E13318)</f>
        <v>Other</v>
      </c>
      <c r="G13318" t="str" cm="1">
        <f t="array" ref="G13318">SubCategorizeComment(E13318)</f>
        <v>Other</v>
      </c>
    </row>
    <row r="13319" spans="1:7" x14ac:dyDescent="0.25">
      <c r="A13319">
        <v>127669</v>
      </c>
      <c r="B13319" t="s">
        <v>4</v>
      </c>
      <c r="C13319">
        <v>3</v>
      </c>
      <c r="D13319" t="s">
        <v>5</v>
      </c>
      <c r="F13319" t="str" cm="1">
        <f t="array" ref="F13319">CategorizeComment(E13319)</f>
        <v>Other</v>
      </c>
      <c r="G13319" t="str" cm="1">
        <f t="array" ref="G13319">SubCategorizeComment(E13319)</f>
        <v>Other</v>
      </c>
    </row>
    <row r="13320" spans="1:7" x14ac:dyDescent="0.25">
      <c r="A13320">
        <v>127698</v>
      </c>
      <c r="B13320" t="s">
        <v>4</v>
      </c>
      <c r="C13320">
        <v>3</v>
      </c>
      <c r="D13320" t="s">
        <v>5</v>
      </c>
      <c r="F13320" t="str" cm="1">
        <f t="array" ref="F13320">CategorizeComment(E13320)</f>
        <v>Other</v>
      </c>
      <c r="G13320" t="str" cm="1">
        <f t="array" ref="G13320">SubCategorizeComment(E13320)</f>
        <v>Other</v>
      </c>
    </row>
    <row r="13321" spans="1:7" x14ac:dyDescent="0.25">
      <c r="A13321">
        <v>127712</v>
      </c>
      <c r="B13321" t="s">
        <v>4</v>
      </c>
      <c r="C13321">
        <v>4</v>
      </c>
      <c r="D13321" t="s">
        <v>5</v>
      </c>
      <c r="F13321" t="str" cm="1">
        <f t="array" ref="F13321">CategorizeComment(E13321)</f>
        <v>Other</v>
      </c>
      <c r="G13321" t="str" cm="1">
        <f t="array" ref="G13321">SubCategorizeComment(E13321)</f>
        <v>Other</v>
      </c>
    </row>
    <row r="13322" spans="1:7" x14ac:dyDescent="0.25">
      <c r="A13322">
        <v>127724</v>
      </c>
      <c r="B13322" t="s">
        <v>4</v>
      </c>
      <c r="C13322">
        <v>3</v>
      </c>
      <c r="D13322" t="s">
        <v>5</v>
      </c>
      <c r="F13322" t="str" cm="1">
        <f t="array" ref="F13322">CategorizeComment(E13322)</f>
        <v>Other</v>
      </c>
      <c r="G13322" t="str" cm="1">
        <f t="array" ref="G13322">SubCategorizeComment(E13322)</f>
        <v>Other</v>
      </c>
    </row>
    <row r="13323" spans="1:7" x14ac:dyDescent="0.25">
      <c r="A13323">
        <v>127737</v>
      </c>
      <c r="B13323" t="s">
        <v>4</v>
      </c>
      <c r="C13323">
        <v>3</v>
      </c>
      <c r="D13323" t="s">
        <v>5</v>
      </c>
      <c r="F13323" t="str" cm="1">
        <f t="array" ref="F13323">CategorizeComment(E13323)</f>
        <v>Other</v>
      </c>
      <c r="G13323" t="str" cm="1">
        <f t="array" ref="G13323">SubCategorizeComment(E13323)</f>
        <v>Other</v>
      </c>
    </row>
    <row r="13324" spans="1:7" x14ac:dyDescent="0.25">
      <c r="A13324">
        <v>127744</v>
      </c>
      <c r="B13324" t="s">
        <v>4</v>
      </c>
      <c r="C13324">
        <v>3</v>
      </c>
      <c r="D13324" t="s">
        <v>5</v>
      </c>
      <c r="F13324" t="str" cm="1">
        <f t="array" ref="F13324">CategorizeComment(E13324)</f>
        <v>Other</v>
      </c>
      <c r="G13324" t="str" cm="1">
        <f t="array" ref="G13324">SubCategorizeComment(E13324)</f>
        <v>Other</v>
      </c>
    </row>
    <row r="13325" spans="1:7" x14ac:dyDescent="0.25">
      <c r="A13325">
        <v>127746</v>
      </c>
      <c r="B13325" t="s">
        <v>4</v>
      </c>
      <c r="C13325">
        <v>4</v>
      </c>
      <c r="D13325" t="s">
        <v>5</v>
      </c>
      <c r="F13325" t="str" cm="1">
        <f t="array" ref="F13325">CategorizeComment(E13325)</f>
        <v>Other</v>
      </c>
      <c r="G13325" t="str" cm="1">
        <f t="array" ref="G13325">SubCategorizeComment(E13325)</f>
        <v>Other</v>
      </c>
    </row>
    <row r="13326" spans="1:7" x14ac:dyDescent="0.25">
      <c r="A13326">
        <v>127747</v>
      </c>
      <c r="B13326" t="s">
        <v>4</v>
      </c>
      <c r="C13326">
        <v>3</v>
      </c>
      <c r="D13326" t="s">
        <v>5</v>
      </c>
      <c r="F13326" t="str" cm="1">
        <f t="array" ref="F13326">CategorizeComment(E13326)</f>
        <v>Other</v>
      </c>
      <c r="G13326" t="str" cm="1">
        <f t="array" ref="G13326">SubCategorizeComment(E13326)</f>
        <v>Other</v>
      </c>
    </row>
    <row r="13327" spans="1:7" x14ac:dyDescent="0.25">
      <c r="A13327">
        <v>127748</v>
      </c>
      <c r="B13327" t="s">
        <v>4</v>
      </c>
      <c r="C13327">
        <v>3</v>
      </c>
      <c r="D13327" t="s">
        <v>5</v>
      </c>
      <c r="F13327" t="str" cm="1">
        <f t="array" ref="F13327">CategorizeComment(E13327)</f>
        <v>Other</v>
      </c>
      <c r="G13327" t="str" cm="1">
        <f t="array" ref="G13327">SubCategorizeComment(E13327)</f>
        <v>Other</v>
      </c>
    </row>
    <row r="13328" spans="1:7" x14ac:dyDescent="0.25">
      <c r="A13328">
        <v>127752</v>
      </c>
      <c r="B13328" t="s">
        <v>4</v>
      </c>
      <c r="C13328">
        <v>4</v>
      </c>
      <c r="D13328" t="s">
        <v>5</v>
      </c>
      <c r="F13328" t="str" cm="1">
        <f t="array" ref="F13328">CategorizeComment(E13328)</f>
        <v>Other</v>
      </c>
      <c r="G13328" t="str" cm="1">
        <f t="array" ref="G13328">SubCategorizeComment(E13328)</f>
        <v>Other</v>
      </c>
    </row>
    <row r="13329" spans="1:7" x14ac:dyDescent="0.25">
      <c r="A13329">
        <v>127756</v>
      </c>
      <c r="B13329" t="s">
        <v>4</v>
      </c>
      <c r="C13329">
        <v>4</v>
      </c>
      <c r="D13329" t="s">
        <v>5</v>
      </c>
      <c r="F13329" t="str" cm="1">
        <f t="array" ref="F13329">CategorizeComment(E13329)</f>
        <v>Other</v>
      </c>
      <c r="G13329" t="str" cm="1">
        <f t="array" ref="G13329">SubCategorizeComment(E13329)</f>
        <v>Other</v>
      </c>
    </row>
    <row r="13330" spans="1:7" x14ac:dyDescent="0.25">
      <c r="A13330">
        <v>127759</v>
      </c>
      <c r="B13330" t="s">
        <v>4</v>
      </c>
      <c r="C13330">
        <v>3</v>
      </c>
      <c r="D13330" t="s">
        <v>5</v>
      </c>
      <c r="F13330" t="str" cm="1">
        <f t="array" ref="F13330">CategorizeComment(E13330)</f>
        <v>Other</v>
      </c>
      <c r="G13330" t="str" cm="1">
        <f t="array" ref="G13330">SubCategorizeComment(E13330)</f>
        <v>Other</v>
      </c>
    </row>
    <row r="13331" spans="1:7" x14ac:dyDescent="0.25">
      <c r="A13331">
        <v>127763</v>
      </c>
      <c r="B13331" t="s">
        <v>4</v>
      </c>
      <c r="C13331">
        <v>3</v>
      </c>
      <c r="D13331" t="s">
        <v>5</v>
      </c>
      <c r="F13331" t="str" cm="1">
        <f t="array" ref="F13331">CategorizeComment(E13331)</f>
        <v>Other</v>
      </c>
      <c r="G13331" t="str" cm="1">
        <f t="array" ref="G13331">SubCategorizeComment(E13331)</f>
        <v>Other</v>
      </c>
    </row>
    <row r="13332" spans="1:7" x14ac:dyDescent="0.25">
      <c r="A13332">
        <v>127771</v>
      </c>
      <c r="B13332" t="s">
        <v>4</v>
      </c>
      <c r="C13332">
        <v>4</v>
      </c>
      <c r="D13332" t="s">
        <v>5</v>
      </c>
      <c r="F13332" t="str" cm="1">
        <f t="array" ref="F13332">CategorizeComment(E13332)</f>
        <v>Other</v>
      </c>
      <c r="G13332" t="str" cm="1">
        <f t="array" ref="G13332">SubCategorizeComment(E13332)</f>
        <v>Other</v>
      </c>
    </row>
    <row r="13333" spans="1:7" x14ac:dyDescent="0.25">
      <c r="A13333">
        <v>127795</v>
      </c>
      <c r="B13333" t="s">
        <v>4</v>
      </c>
      <c r="C13333">
        <v>4</v>
      </c>
      <c r="D13333" t="s">
        <v>5</v>
      </c>
      <c r="F13333" t="str" cm="1">
        <f t="array" ref="F13333">CategorizeComment(E13333)</f>
        <v>Other</v>
      </c>
      <c r="G13333" t="str" cm="1">
        <f t="array" ref="G13333">SubCategorizeComment(E13333)</f>
        <v>Other</v>
      </c>
    </row>
    <row r="13334" spans="1:7" x14ac:dyDescent="0.25">
      <c r="A13334">
        <v>127816</v>
      </c>
      <c r="B13334" t="s">
        <v>4</v>
      </c>
      <c r="C13334">
        <v>4</v>
      </c>
      <c r="D13334" t="s">
        <v>5</v>
      </c>
      <c r="F13334" t="str" cm="1">
        <f t="array" ref="F13334">CategorizeComment(E13334)</f>
        <v>Other</v>
      </c>
      <c r="G13334" t="str" cm="1">
        <f t="array" ref="G13334">SubCategorizeComment(E13334)</f>
        <v>Other</v>
      </c>
    </row>
    <row r="13335" spans="1:7" x14ac:dyDescent="0.25">
      <c r="A13335">
        <v>127823</v>
      </c>
      <c r="B13335" t="s">
        <v>4</v>
      </c>
      <c r="C13335">
        <v>3</v>
      </c>
      <c r="D13335" t="s">
        <v>5</v>
      </c>
      <c r="F13335" t="str" cm="1">
        <f t="array" ref="F13335">CategorizeComment(E13335)</f>
        <v>Other</v>
      </c>
      <c r="G13335" t="str" cm="1">
        <f t="array" ref="G13335">SubCategorizeComment(E13335)</f>
        <v>Other</v>
      </c>
    </row>
    <row r="13336" spans="1:7" x14ac:dyDescent="0.25">
      <c r="A13336">
        <v>127849</v>
      </c>
      <c r="B13336" t="s">
        <v>4</v>
      </c>
      <c r="C13336">
        <v>3</v>
      </c>
      <c r="D13336" t="s">
        <v>5</v>
      </c>
      <c r="F13336" t="str" cm="1">
        <f t="array" ref="F13336">CategorizeComment(E13336)</f>
        <v>Other</v>
      </c>
      <c r="G13336" t="str" cm="1">
        <f t="array" ref="G13336">SubCategorizeComment(E13336)</f>
        <v>Other</v>
      </c>
    </row>
    <row r="13337" spans="1:7" x14ac:dyDescent="0.25">
      <c r="A13337">
        <v>127876</v>
      </c>
      <c r="B13337" t="s">
        <v>4</v>
      </c>
      <c r="C13337">
        <v>4</v>
      </c>
      <c r="D13337" t="s">
        <v>5</v>
      </c>
      <c r="F13337" t="str" cm="1">
        <f t="array" ref="F13337">CategorizeComment(E13337)</f>
        <v>Other</v>
      </c>
      <c r="G13337" t="str" cm="1">
        <f t="array" ref="G13337">SubCategorizeComment(E13337)</f>
        <v>Other</v>
      </c>
    </row>
    <row r="13338" spans="1:7" x14ac:dyDescent="0.25">
      <c r="A13338">
        <v>127905</v>
      </c>
      <c r="B13338" t="s">
        <v>4</v>
      </c>
      <c r="C13338">
        <v>4</v>
      </c>
      <c r="D13338" t="s">
        <v>5</v>
      </c>
      <c r="F13338" t="str" cm="1">
        <f t="array" ref="F13338">CategorizeComment(E13338)</f>
        <v>Other</v>
      </c>
      <c r="G13338" t="str" cm="1">
        <f t="array" ref="G13338">SubCategorizeComment(E13338)</f>
        <v>Other</v>
      </c>
    </row>
    <row r="13339" spans="1:7" x14ac:dyDescent="0.25">
      <c r="A13339">
        <v>127907</v>
      </c>
      <c r="B13339" t="s">
        <v>4</v>
      </c>
      <c r="C13339">
        <v>4</v>
      </c>
      <c r="D13339" t="s">
        <v>5</v>
      </c>
      <c r="F13339" t="str" cm="1">
        <f t="array" ref="F13339">CategorizeComment(E13339)</f>
        <v>Other</v>
      </c>
      <c r="G13339" t="str" cm="1">
        <f t="array" ref="G13339">SubCategorizeComment(E13339)</f>
        <v>Other</v>
      </c>
    </row>
    <row r="13340" spans="1:7" x14ac:dyDescent="0.25">
      <c r="A13340">
        <v>127938</v>
      </c>
      <c r="B13340" t="s">
        <v>4</v>
      </c>
      <c r="C13340">
        <v>4</v>
      </c>
      <c r="D13340" t="s">
        <v>5</v>
      </c>
      <c r="F13340" t="str" cm="1">
        <f t="array" ref="F13340">CategorizeComment(E13340)</f>
        <v>Other</v>
      </c>
      <c r="G13340" t="str" cm="1">
        <f t="array" ref="G13340">SubCategorizeComment(E13340)</f>
        <v>Other</v>
      </c>
    </row>
    <row r="13341" spans="1:7" x14ac:dyDescent="0.25">
      <c r="A13341">
        <v>127942</v>
      </c>
      <c r="B13341" t="s">
        <v>4</v>
      </c>
      <c r="C13341">
        <v>4</v>
      </c>
      <c r="D13341" t="s">
        <v>5</v>
      </c>
      <c r="F13341" t="str" cm="1">
        <f t="array" ref="F13341">CategorizeComment(E13341)</f>
        <v>Other</v>
      </c>
      <c r="G13341" t="str" cm="1">
        <f t="array" ref="G13341">SubCategorizeComment(E13341)</f>
        <v>Other</v>
      </c>
    </row>
    <row r="13342" spans="1:7" x14ac:dyDescent="0.25">
      <c r="A13342">
        <v>127943</v>
      </c>
      <c r="B13342" t="s">
        <v>4</v>
      </c>
      <c r="C13342">
        <v>3</v>
      </c>
      <c r="D13342" t="s">
        <v>5</v>
      </c>
      <c r="F13342" t="str" cm="1">
        <f t="array" ref="F13342">CategorizeComment(E13342)</f>
        <v>Other</v>
      </c>
      <c r="G13342" t="str" cm="1">
        <f t="array" ref="G13342">SubCategorizeComment(E13342)</f>
        <v>Other</v>
      </c>
    </row>
    <row r="13343" spans="1:7" x14ac:dyDescent="0.25">
      <c r="A13343">
        <v>127945</v>
      </c>
      <c r="B13343" t="s">
        <v>4</v>
      </c>
      <c r="C13343">
        <v>3</v>
      </c>
      <c r="D13343" t="s">
        <v>5</v>
      </c>
      <c r="F13343" t="str" cm="1">
        <f t="array" ref="F13343">CategorizeComment(E13343)</f>
        <v>Other</v>
      </c>
      <c r="G13343" t="str" cm="1">
        <f t="array" ref="G13343">SubCategorizeComment(E13343)</f>
        <v>Other</v>
      </c>
    </row>
    <row r="13344" spans="1:7" x14ac:dyDescent="0.25">
      <c r="A13344">
        <v>127960</v>
      </c>
      <c r="B13344" t="s">
        <v>4</v>
      </c>
      <c r="C13344">
        <v>3</v>
      </c>
      <c r="D13344" t="s">
        <v>5</v>
      </c>
      <c r="F13344" t="str" cm="1">
        <f t="array" ref="F13344">CategorizeComment(E13344)</f>
        <v>Other</v>
      </c>
      <c r="G13344" t="str" cm="1">
        <f t="array" ref="G13344">SubCategorizeComment(E13344)</f>
        <v>Other</v>
      </c>
    </row>
    <row r="13345" spans="1:7" x14ac:dyDescent="0.25">
      <c r="A13345">
        <v>127983</v>
      </c>
      <c r="B13345" t="s">
        <v>4</v>
      </c>
      <c r="C13345">
        <v>3</v>
      </c>
      <c r="D13345" t="s">
        <v>5</v>
      </c>
      <c r="F13345" t="str" cm="1">
        <f t="array" ref="F13345">CategorizeComment(E13345)</f>
        <v>Other</v>
      </c>
      <c r="G13345" t="str" cm="1">
        <f t="array" ref="G13345">SubCategorizeComment(E13345)</f>
        <v>Other</v>
      </c>
    </row>
    <row r="13346" spans="1:7" x14ac:dyDescent="0.25">
      <c r="A13346">
        <v>127986</v>
      </c>
      <c r="B13346" t="s">
        <v>4</v>
      </c>
      <c r="C13346">
        <v>4</v>
      </c>
      <c r="D13346" t="s">
        <v>5</v>
      </c>
      <c r="F13346" t="str" cm="1">
        <f t="array" ref="F13346">CategorizeComment(E13346)</f>
        <v>Other</v>
      </c>
      <c r="G13346" t="str" cm="1">
        <f t="array" ref="G13346">SubCategorizeComment(E13346)</f>
        <v>Other</v>
      </c>
    </row>
    <row r="13347" spans="1:7" x14ac:dyDescent="0.25">
      <c r="A13347">
        <v>127988</v>
      </c>
      <c r="B13347" t="s">
        <v>4</v>
      </c>
      <c r="C13347">
        <v>3</v>
      </c>
      <c r="D13347" t="s">
        <v>5</v>
      </c>
      <c r="F13347" t="str" cm="1">
        <f t="array" ref="F13347">CategorizeComment(E13347)</f>
        <v>Other</v>
      </c>
      <c r="G13347" t="str" cm="1">
        <f t="array" ref="G13347">SubCategorizeComment(E13347)</f>
        <v>Other</v>
      </c>
    </row>
    <row r="13348" spans="1:7" x14ac:dyDescent="0.25">
      <c r="A13348">
        <v>127994</v>
      </c>
      <c r="B13348" t="s">
        <v>4</v>
      </c>
      <c r="C13348">
        <v>3</v>
      </c>
      <c r="D13348" t="s">
        <v>5</v>
      </c>
      <c r="F13348" t="str" cm="1">
        <f t="array" ref="F13348">CategorizeComment(E13348)</f>
        <v>Other</v>
      </c>
      <c r="G13348" t="str" cm="1">
        <f t="array" ref="G13348">SubCategorizeComment(E13348)</f>
        <v>Other</v>
      </c>
    </row>
    <row r="13349" spans="1:7" x14ac:dyDescent="0.25">
      <c r="A13349">
        <v>127995</v>
      </c>
      <c r="B13349" t="s">
        <v>4</v>
      </c>
      <c r="C13349">
        <v>4</v>
      </c>
      <c r="D13349" t="s">
        <v>5</v>
      </c>
      <c r="F13349" t="str" cm="1">
        <f t="array" ref="F13349">CategorizeComment(E13349)</f>
        <v>Other</v>
      </c>
      <c r="G13349" t="str" cm="1">
        <f t="array" ref="G13349">SubCategorizeComment(E13349)</f>
        <v>Other</v>
      </c>
    </row>
    <row r="13350" spans="1:7" x14ac:dyDescent="0.25">
      <c r="A13350">
        <v>127996</v>
      </c>
      <c r="B13350" t="s">
        <v>4</v>
      </c>
      <c r="C13350">
        <v>3</v>
      </c>
      <c r="D13350" t="s">
        <v>5</v>
      </c>
      <c r="F13350" t="str" cm="1">
        <f t="array" ref="F13350">CategorizeComment(E13350)</f>
        <v>Other</v>
      </c>
      <c r="G13350" t="str" cm="1">
        <f t="array" ref="G13350">SubCategorizeComment(E13350)</f>
        <v>Other</v>
      </c>
    </row>
    <row r="13351" spans="1:7" x14ac:dyDescent="0.25">
      <c r="A13351">
        <v>128002</v>
      </c>
      <c r="B13351" t="s">
        <v>4</v>
      </c>
      <c r="C13351">
        <v>4</v>
      </c>
      <c r="D13351" t="s">
        <v>5</v>
      </c>
      <c r="F13351" t="str" cm="1">
        <f t="array" ref="F13351">CategorizeComment(E13351)</f>
        <v>Other</v>
      </c>
      <c r="G13351" t="str" cm="1">
        <f t="array" ref="G13351">SubCategorizeComment(E13351)</f>
        <v>Other</v>
      </c>
    </row>
    <row r="13352" spans="1:7" x14ac:dyDescent="0.25">
      <c r="A13352">
        <v>128004</v>
      </c>
      <c r="B13352" t="s">
        <v>4</v>
      </c>
      <c r="C13352">
        <v>4</v>
      </c>
      <c r="D13352" t="s">
        <v>5</v>
      </c>
      <c r="F13352" t="str" cm="1">
        <f t="array" ref="F13352">CategorizeComment(E13352)</f>
        <v>Other</v>
      </c>
      <c r="G13352" t="str" cm="1">
        <f t="array" ref="G13352">SubCategorizeComment(E13352)</f>
        <v>Other</v>
      </c>
    </row>
    <row r="13353" spans="1:7" x14ac:dyDescent="0.25">
      <c r="A13353">
        <v>128026</v>
      </c>
      <c r="B13353" t="s">
        <v>4</v>
      </c>
      <c r="C13353">
        <v>4</v>
      </c>
      <c r="D13353" t="s">
        <v>5</v>
      </c>
      <c r="F13353" t="str" cm="1">
        <f t="array" ref="F13353">CategorizeComment(E13353)</f>
        <v>Other</v>
      </c>
      <c r="G13353" t="str" cm="1">
        <f t="array" ref="G13353">SubCategorizeComment(E13353)</f>
        <v>Other</v>
      </c>
    </row>
    <row r="13354" spans="1:7" x14ac:dyDescent="0.25">
      <c r="A13354">
        <v>128029</v>
      </c>
      <c r="B13354" t="s">
        <v>4</v>
      </c>
      <c r="C13354">
        <v>3</v>
      </c>
      <c r="D13354" t="s">
        <v>5</v>
      </c>
      <c r="F13354" t="str" cm="1">
        <f t="array" ref="F13354">CategorizeComment(E13354)</f>
        <v>Other</v>
      </c>
      <c r="G13354" t="str" cm="1">
        <f t="array" ref="G13354">SubCategorizeComment(E13354)</f>
        <v>Other</v>
      </c>
    </row>
    <row r="13355" spans="1:7" x14ac:dyDescent="0.25">
      <c r="A13355">
        <v>128032</v>
      </c>
      <c r="B13355" t="s">
        <v>4</v>
      </c>
      <c r="C13355">
        <v>3</v>
      </c>
      <c r="D13355" t="s">
        <v>5</v>
      </c>
      <c r="F13355" t="str" cm="1">
        <f t="array" ref="F13355">CategorizeComment(E13355)</f>
        <v>Other</v>
      </c>
      <c r="G13355" t="str" cm="1">
        <f t="array" ref="G13355">SubCategorizeComment(E13355)</f>
        <v>Other</v>
      </c>
    </row>
    <row r="13356" spans="1:7" x14ac:dyDescent="0.25">
      <c r="A13356">
        <v>128034</v>
      </c>
      <c r="B13356" t="s">
        <v>4</v>
      </c>
      <c r="C13356">
        <v>3</v>
      </c>
      <c r="D13356" t="s">
        <v>5</v>
      </c>
      <c r="F13356" t="str" cm="1">
        <f t="array" ref="F13356">CategorizeComment(E13356)</f>
        <v>Other</v>
      </c>
      <c r="G13356" t="str" cm="1">
        <f t="array" ref="G13356">SubCategorizeComment(E13356)</f>
        <v>Other</v>
      </c>
    </row>
    <row r="13357" spans="1:7" x14ac:dyDescent="0.25">
      <c r="A13357">
        <v>128054</v>
      </c>
      <c r="B13357" t="s">
        <v>4</v>
      </c>
      <c r="C13357">
        <v>3</v>
      </c>
      <c r="D13357" t="s">
        <v>5</v>
      </c>
      <c r="F13357" t="str" cm="1">
        <f t="array" ref="F13357">CategorizeComment(E13357)</f>
        <v>Other</v>
      </c>
      <c r="G13357" t="str" cm="1">
        <f t="array" ref="G13357">SubCategorizeComment(E13357)</f>
        <v>Other</v>
      </c>
    </row>
    <row r="13358" spans="1:7" x14ac:dyDescent="0.25">
      <c r="A13358">
        <v>128057</v>
      </c>
      <c r="B13358" t="s">
        <v>4</v>
      </c>
      <c r="C13358">
        <v>3</v>
      </c>
      <c r="D13358" t="s">
        <v>5</v>
      </c>
      <c r="F13358" t="str" cm="1">
        <f t="array" ref="F13358">CategorizeComment(E13358)</f>
        <v>Other</v>
      </c>
      <c r="G13358" t="str" cm="1">
        <f t="array" ref="G13358">SubCategorizeComment(E13358)</f>
        <v>Other</v>
      </c>
    </row>
    <row r="13359" spans="1:7" x14ac:dyDescent="0.25">
      <c r="A13359">
        <v>128058</v>
      </c>
      <c r="B13359" t="s">
        <v>4</v>
      </c>
      <c r="C13359">
        <v>4</v>
      </c>
      <c r="D13359" t="s">
        <v>5</v>
      </c>
      <c r="F13359" t="str" cm="1">
        <f t="array" ref="F13359">CategorizeComment(E13359)</f>
        <v>Other</v>
      </c>
      <c r="G13359" t="str" cm="1">
        <f t="array" ref="G13359">SubCategorizeComment(E13359)</f>
        <v>Other</v>
      </c>
    </row>
    <row r="13360" spans="1:7" x14ac:dyDescent="0.25">
      <c r="A13360">
        <v>128085</v>
      </c>
      <c r="B13360" t="s">
        <v>4</v>
      </c>
      <c r="C13360">
        <v>3</v>
      </c>
      <c r="D13360" t="s">
        <v>5</v>
      </c>
      <c r="F13360" t="str" cm="1">
        <f t="array" ref="F13360">CategorizeComment(E13360)</f>
        <v>Other</v>
      </c>
      <c r="G13360" t="str" cm="1">
        <f t="array" ref="G13360">SubCategorizeComment(E13360)</f>
        <v>Other</v>
      </c>
    </row>
    <row r="13361" spans="1:7" x14ac:dyDescent="0.25">
      <c r="A13361">
        <v>128088</v>
      </c>
      <c r="B13361" t="s">
        <v>4</v>
      </c>
      <c r="C13361">
        <v>3</v>
      </c>
      <c r="D13361" t="s">
        <v>5</v>
      </c>
      <c r="F13361" t="str" cm="1">
        <f t="array" ref="F13361">CategorizeComment(E13361)</f>
        <v>Other</v>
      </c>
      <c r="G13361" t="str" cm="1">
        <f t="array" ref="G13361">SubCategorizeComment(E13361)</f>
        <v>Other</v>
      </c>
    </row>
    <row r="13362" spans="1:7" x14ac:dyDescent="0.25">
      <c r="A13362">
        <v>128089</v>
      </c>
      <c r="B13362" t="s">
        <v>4</v>
      </c>
      <c r="C13362">
        <v>4</v>
      </c>
      <c r="D13362" t="s">
        <v>5</v>
      </c>
      <c r="F13362" t="str" cm="1">
        <f t="array" ref="F13362">CategorizeComment(E13362)</f>
        <v>Other</v>
      </c>
      <c r="G13362" t="str" cm="1">
        <f t="array" ref="G13362">SubCategorizeComment(E13362)</f>
        <v>Other</v>
      </c>
    </row>
    <row r="13363" spans="1:7" x14ac:dyDescent="0.25">
      <c r="A13363">
        <v>128129</v>
      </c>
      <c r="B13363" t="s">
        <v>4</v>
      </c>
      <c r="C13363">
        <v>4</v>
      </c>
      <c r="D13363" t="s">
        <v>5</v>
      </c>
      <c r="F13363" t="str" cm="1">
        <f t="array" ref="F13363">CategorizeComment(E13363)</f>
        <v>Other</v>
      </c>
      <c r="G13363" t="str" cm="1">
        <f t="array" ref="G13363">SubCategorizeComment(E13363)</f>
        <v>Other</v>
      </c>
    </row>
    <row r="13364" spans="1:7" x14ac:dyDescent="0.25">
      <c r="A13364">
        <v>128132</v>
      </c>
      <c r="B13364" t="s">
        <v>4</v>
      </c>
      <c r="C13364">
        <v>4</v>
      </c>
      <c r="D13364" t="s">
        <v>5</v>
      </c>
      <c r="F13364" t="str" cm="1">
        <f t="array" ref="F13364">CategorizeComment(E13364)</f>
        <v>Other</v>
      </c>
      <c r="G13364" t="str" cm="1">
        <f t="array" ref="G13364">SubCategorizeComment(E13364)</f>
        <v>Other</v>
      </c>
    </row>
    <row r="13365" spans="1:7" x14ac:dyDescent="0.25">
      <c r="A13365">
        <v>128175</v>
      </c>
      <c r="B13365" t="s">
        <v>4</v>
      </c>
      <c r="C13365">
        <v>4</v>
      </c>
      <c r="D13365" t="s">
        <v>5</v>
      </c>
      <c r="F13365" t="str" cm="1">
        <f t="array" ref="F13365">CategorizeComment(E13365)</f>
        <v>Other</v>
      </c>
      <c r="G13365" t="str" cm="1">
        <f t="array" ref="G13365">SubCategorizeComment(E13365)</f>
        <v>Other</v>
      </c>
    </row>
    <row r="13366" spans="1:7" x14ac:dyDescent="0.25">
      <c r="A13366">
        <v>128176</v>
      </c>
      <c r="B13366" t="s">
        <v>4</v>
      </c>
      <c r="C13366">
        <v>4</v>
      </c>
      <c r="D13366" t="s">
        <v>5</v>
      </c>
      <c r="F13366" t="str" cm="1">
        <f t="array" ref="F13366">CategorizeComment(E13366)</f>
        <v>Other</v>
      </c>
      <c r="G13366" t="str" cm="1">
        <f t="array" ref="G13366">SubCategorizeComment(E13366)</f>
        <v>Other</v>
      </c>
    </row>
    <row r="13367" spans="1:7" x14ac:dyDescent="0.25">
      <c r="A13367">
        <v>128178</v>
      </c>
      <c r="B13367" t="s">
        <v>4</v>
      </c>
      <c r="C13367">
        <v>3</v>
      </c>
      <c r="D13367" t="s">
        <v>5</v>
      </c>
      <c r="F13367" t="str" cm="1">
        <f t="array" ref="F13367">CategorizeComment(E13367)</f>
        <v>Other</v>
      </c>
      <c r="G13367" t="str" cm="1">
        <f t="array" ref="G13367">SubCategorizeComment(E13367)</f>
        <v>Other</v>
      </c>
    </row>
    <row r="13368" spans="1:7" x14ac:dyDescent="0.25">
      <c r="A13368">
        <v>128184</v>
      </c>
      <c r="B13368" t="s">
        <v>4</v>
      </c>
      <c r="C13368">
        <v>3</v>
      </c>
      <c r="D13368" t="s">
        <v>5</v>
      </c>
      <c r="F13368" t="str" cm="1">
        <f t="array" ref="F13368">CategorizeComment(E13368)</f>
        <v>Other</v>
      </c>
      <c r="G13368" t="str" cm="1">
        <f t="array" ref="G13368">SubCategorizeComment(E13368)</f>
        <v>Other</v>
      </c>
    </row>
    <row r="13369" spans="1:7" x14ac:dyDescent="0.25">
      <c r="A13369">
        <v>128191</v>
      </c>
      <c r="B13369" t="s">
        <v>4</v>
      </c>
      <c r="C13369">
        <v>4</v>
      </c>
      <c r="D13369" t="s">
        <v>5</v>
      </c>
      <c r="F13369" t="str" cm="1">
        <f t="array" ref="F13369">CategorizeComment(E13369)</f>
        <v>Other</v>
      </c>
      <c r="G13369" t="str" cm="1">
        <f t="array" ref="G13369">SubCategorizeComment(E13369)</f>
        <v>Other</v>
      </c>
    </row>
    <row r="13370" spans="1:7" x14ac:dyDescent="0.25">
      <c r="A13370">
        <v>128194</v>
      </c>
      <c r="B13370" t="s">
        <v>4</v>
      </c>
      <c r="C13370">
        <v>4</v>
      </c>
      <c r="D13370" t="s">
        <v>5</v>
      </c>
      <c r="F13370" t="str" cm="1">
        <f t="array" ref="F13370">CategorizeComment(E13370)</f>
        <v>Other</v>
      </c>
      <c r="G13370" t="str" cm="1">
        <f t="array" ref="G13370">SubCategorizeComment(E13370)</f>
        <v>Other</v>
      </c>
    </row>
    <row r="13371" spans="1:7" x14ac:dyDescent="0.25">
      <c r="A13371">
        <v>128219</v>
      </c>
      <c r="B13371" t="s">
        <v>4</v>
      </c>
      <c r="C13371">
        <v>3</v>
      </c>
      <c r="D13371" t="s">
        <v>5</v>
      </c>
      <c r="F13371" t="str" cm="1">
        <f t="array" ref="F13371">CategorizeComment(E13371)</f>
        <v>Other</v>
      </c>
      <c r="G13371" t="str" cm="1">
        <f t="array" ref="G13371">SubCategorizeComment(E13371)</f>
        <v>Other</v>
      </c>
    </row>
    <row r="13372" spans="1:7" x14ac:dyDescent="0.25">
      <c r="A13372">
        <v>128226</v>
      </c>
      <c r="B13372" t="s">
        <v>4</v>
      </c>
      <c r="C13372">
        <v>4</v>
      </c>
      <c r="D13372" t="s">
        <v>5</v>
      </c>
      <c r="F13372" t="str" cm="1">
        <f t="array" ref="F13372">CategorizeComment(E13372)</f>
        <v>Other</v>
      </c>
      <c r="G13372" t="str" cm="1">
        <f t="array" ref="G13372">SubCategorizeComment(E13372)</f>
        <v>Other</v>
      </c>
    </row>
    <row r="13373" spans="1:7" x14ac:dyDescent="0.25">
      <c r="A13373">
        <v>128228</v>
      </c>
      <c r="B13373" t="s">
        <v>4</v>
      </c>
      <c r="C13373">
        <v>4</v>
      </c>
      <c r="D13373" t="s">
        <v>5</v>
      </c>
      <c r="F13373" t="str" cm="1">
        <f t="array" ref="F13373">CategorizeComment(E13373)</f>
        <v>Other</v>
      </c>
      <c r="G13373" t="str" cm="1">
        <f t="array" ref="G13373">SubCategorizeComment(E13373)</f>
        <v>Other</v>
      </c>
    </row>
    <row r="13374" spans="1:7" x14ac:dyDescent="0.25">
      <c r="A13374">
        <v>128233</v>
      </c>
      <c r="B13374" t="s">
        <v>4</v>
      </c>
      <c r="C13374">
        <v>3</v>
      </c>
      <c r="D13374" t="s">
        <v>5</v>
      </c>
      <c r="F13374" t="str" cm="1">
        <f t="array" ref="F13374">CategorizeComment(E13374)</f>
        <v>Other</v>
      </c>
      <c r="G13374" t="str" cm="1">
        <f t="array" ref="G13374">SubCategorizeComment(E13374)</f>
        <v>Other</v>
      </c>
    </row>
    <row r="13375" spans="1:7" x14ac:dyDescent="0.25">
      <c r="A13375">
        <v>128242</v>
      </c>
      <c r="B13375" t="s">
        <v>4</v>
      </c>
      <c r="C13375">
        <v>4</v>
      </c>
      <c r="D13375" t="s">
        <v>5</v>
      </c>
      <c r="F13375" t="str" cm="1">
        <f t="array" ref="F13375">CategorizeComment(E13375)</f>
        <v>Other</v>
      </c>
      <c r="G13375" t="str" cm="1">
        <f t="array" ref="G13375">SubCategorizeComment(E13375)</f>
        <v>Other</v>
      </c>
    </row>
    <row r="13376" spans="1:7" x14ac:dyDescent="0.25">
      <c r="A13376">
        <v>128259</v>
      </c>
      <c r="B13376" t="s">
        <v>4</v>
      </c>
      <c r="C13376">
        <v>4</v>
      </c>
      <c r="D13376" t="s">
        <v>5</v>
      </c>
      <c r="F13376" t="str" cm="1">
        <f t="array" ref="F13376">CategorizeComment(E13376)</f>
        <v>Other</v>
      </c>
      <c r="G13376" t="str" cm="1">
        <f t="array" ref="G13376">SubCategorizeComment(E13376)</f>
        <v>Other</v>
      </c>
    </row>
    <row r="13377" spans="1:7" x14ac:dyDescent="0.25">
      <c r="A13377">
        <v>128261</v>
      </c>
      <c r="B13377" t="s">
        <v>4</v>
      </c>
      <c r="C13377">
        <v>3</v>
      </c>
      <c r="D13377" t="s">
        <v>5</v>
      </c>
      <c r="F13377" t="str" cm="1">
        <f t="array" ref="F13377">CategorizeComment(E13377)</f>
        <v>Other</v>
      </c>
      <c r="G13377" t="str" cm="1">
        <f t="array" ref="G13377">SubCategorizeComment(E13377)</f>
        <v>Other</v>
      </c>
    </row>
    <row r="13378" spans="1:7" x14ac:dyDescent="0.25">
      <c r="A13378">
        <v>128266</v>
      </c>
      <c r="B13378" t="s">
        <v>4</v>
      </c>
      <c r="C13378">
        <v>3</v>
      </c>
      <c r="D13378" t="s">
        <v>5</v>
      </c>
      <c r="F13378" t="str" cm="1">
        <f t="array" ref="F13378">CategorizeComment(E13378)</f>
        <v>Other</v>
      </c>
      <c r="G13378" t="str" cm="1">
        <f t="array" ref="G13378">SubCategorizeComment(E13378)</f>
        <v>Other</v>
      </c>
    </row>
    <row r="13379" spans="1:7" x14ac:dyDescent="0.25">
      <c r="A13379">
        <v>128269</v>
      </c>
      <c r="B13379" t="s">
        <v>4</v>
      </c>
      <c r="C13379">
        <v>3</v>
      </c>
      <c r="D13379" t="s">
        <v>5</v>
      </c>
      <c r="F13379" t="str" cm="1">
        <f t="array" ref="F13379">CategorizeComment(E13379)</f>
        <v>Other</v>
      </c>
      <c r="G13379" t="str" cm="1">
        <f t="array" ref="G13379">SubCategorizeComment(E13379)</f>
        <v>Other</v>
      </c>
    </row>
    <row r="13380" spans="1:7" x14ac:dyDescent="0.25">
      <c r="A13380">
        <v>128276</v>
      </c>
      <c r="B13380" t="s">
        <v>4</v>
      </c>
      <c r="C13380">
        <v>3</v>
      </c>
      <c r="D13380" t="s">
        <v>5</v>
      </c>
      <c r="F13380" t="str" cm="1">
        <f t="array" ref="F13380">CategorizeComment(E13380)</f>
        <v>Other</v>
      </c>
      <c r="G13380" t="str" cm="1">
        <f t="array" ref="G13380">SubCategorizeComment(E13380)</f>
        <v>Other</v>
      </c>
    </row>
    <row r="13381" spans="1:7" x14ac:dyDescent="0.25">
      <c r="A13381">
        <v>128279</v>
      </c>
      <c r="B13381" t="s">
        <v>4</v>
      </c>
      <c r="C13381">
        <v>4</v>
      </c>
      <c r="D13381" t="s">
        <v>5</v>
      </c>
      <c r="F13381" t="str" cm="1">
        <f t="array" ref="F13381">CategorizeComment(E13381)</f>
        <v>Other</v>
      </c>
      <c r="G13381" t="str" cm="1">
        <f t="array" ref="G13381">SubCategorizeComment(E13381)</f>
        <v>Other</v>
      </c>
    </row>
    <row r="13382" spans="1:7" x14ac:dyDescent="0.25">
      <c r="A13382">
        <v>128339</v>
      </c>
      <c r="B13382" t="s">
        <v>4</v>
      </c>
      <c r="C13382">
        <v>3</v>
      </c>
      <c r="D13382" t="s">
        <v>5</v>
      </c>
      <c r="F13382" t="str" cm="1">
        <f t="array" ref="F13382">CategorizeComment(E13382)</f>
        <v>Other</v>
      </c>
      <c r="G13382" t="str" cm="1">
        <f t="array" ref="G13382">SubCategorizeComment(E13382)</f>
        <v>Other</v>
      </c>
    </row>
    <row r="13383" spans="1:7" x14ac:dyDescent="0.25">
      <c r="A13383">
        <v>128349</v>
      </c>
      <c r="B13383" t="s">
        <v>4</v>
      </c>
      <c r="C13383">
        <v>4</v>
      </c>
      <c r="D13383" t="s">
        <v>5</v>
      </c>
      <c r="F13383" t="str" cm="1">
        <f t="array" ref="F13383">CategorizeComment(E13383)</f>
        <v>Other</v>
      </c>
      <c r="G13383" t="str" cm="1">
        <f t="array" ref="G13383">SubCategorizeComment(E13383)</f>
        <v>Other</v>
      </c>
    </row>
    <row r="13384" spans="1:7" x14ac:dyDescent="0.25">
      <c r="A13384">
        <v>128375</v>
      </c>
      <c r="B13384" t="s">
        <v>4</v>
      </c>
      <c r="C13384">
        <v>3</v>
      </c>
      <c r="D13384" t="s">
        <v>5</v>
      </c>
      <c r="F13384" t="str" cm="1">
        <f t="array" ref="F13384">CategorizeComment(E13384)</f>
        <v>Other</v>
      </c>
      <c r="G13384" t="str" cm="1">
        <f t="array" ref="G13384">SubCategorizeComment(E13384)</f>
        <v>Other</v>
      </c>
    </row>
    <row r="13385" spans="1:7" x14ac:dyDescent="0.25">
      <c r="A13385">
        <v>128376</v>
      </c>
      <c r="B13385" t="s">
        <v>4</v>
      </c>
      <c r="C13385">
        <v>3</v>
      </c>
      <c r="D13385" t="s">
        <v>5</v>
      </c>
      <c r="F13385" t="str" cm="1">
        <f t="array" ref="F13385">CategorizeComment(E13385)</f>
        <v>Other</v>
      </c>
      <c r="G13385" t="str" cm="1">
        <f t="array" ref="G13385">SubCategorizeComment(E13385)</f>
        <v>Other</v>
      </c>
    </row>
    <row r="13386" spans="1:7" x14ac:dyDescent="0.25">
      <c r="A13386">
        <v>128379</v>
      </c>
      <c r="B13386" t="s">
        <v>4</v>
      </c>
      <c r="C13386">
        <v>3</v>
      </c>
      <c r="D13386" t="s">
        <v>5</v>
      </c>
      <c r="F13386" t="str" cm="1">
        <f t="array" ref="F13386">CategorizeComment(E13386)</f>
        <v>Other</v>
      </c>
      <c r="G13386" t="str" cm="1">
        <f t="array" ref="G13386">SubCategorizeComment(E13386)</f>
        <v>Other</v>
      </c>
    </row>
    <row r="13387" spans="1:7" x14ac:dyDescent="0.25">
      <c r="A13387">
        <v>128394</v>
      </c>
      <c r="B13387" t="s">
        <v>4</v>
      </c>
      <c r="C13387">
        <v>4</v>
      </c>
      <c r="D13387" t="s">
        <v>5</v>
      </c>
      <c r="F13387" t="str" cm="1">
        <f t="array" ref="F13387">CategorizeComment(E13387)</f>
        <v>Other</v>
      </c>
      <c r="G13387" t="str" cm="1">
        <f t="array" ref="G13387">SubCategorizeComment(E13387)</f>
        <v>Other</v>
      </c>
    </row>
    <row r="13388" spans="1:7" x14ac:dyDescent="0.25">
      <c r="A13388">
        <v>128395</v>
      </c>
      <c r="B13388" t="s">
        <v>4</v>
      </c>
      <c r="C13388">
        <v>3</v>
      </c>
      <c r="D13388" t="s">
        <v>5</v>
      </c>
      <c r="F13388" t="str" cm="1">
        <f t="array" ref="F13388">CategorizeComment(E13388)</f>
        <v>Other</v>
      </c>
      <c r="G13388" t="str" cm="1">
        <f t="array" ref="G13388">SubCategorizeComment(E13388)</f>
        <v>Other</v>
      </c>
    </row>
    <row r="13389" spans="1:7" x14ac:dyDescent="0.25">
      <c r="A13389">
        <v>128400</v>
      </c>
      <c r="B13389" t="s">
        <v>4</v>
      </c>
      <c r="C13389">
        <v>4</v>
      </c>
      <c r="D13389" t="s">
        <v>5</v>
      </c>
      <c r="F13389" t="str" cm="1">
        <f t="array" ref="F13389">CategorizeComment(E13389)</f>
        <v>Other</v>
      </c>
      <c r="G13389" t="str" cm="1">
        <f t="array" ref="G13389">SubCategorizeComment(E13389)</f>
        <v>Other</v>
      </c>
    </row>
    <row r="13390" spans="1:7" x14ac:dyDescent="0.25">
      <c r="A13390">
        <v>128407</v>
      </c>
      <c r="B13390" t="s">
        <v>4</v>
      </c>
      <c r="C13390">
        <v>4</v>
      </c>
      <c r="D13390" t="s">
        <v>5</v>
      </c>
      <c r="F13390" t="str" cm="1">
        <f t="array" ref="F13390">CategorizeComment(E13390)</f>
        <v>Other</v>
      </c>
      <c r="G13390" t="str" cm="1">
        <f t="array" ref="G13390">SubCategorizeComment(E13390)</f>
        <v>Other</v>
      </c>
    </row>
    <row r="13391" spans="1:7" x14ac:dyDescent="0.25">
      <c r="A13391">
        <v>128410</v>
      </c>
      <c r="B13391" t="s">
        <v>4</v>
      </c>
      <c r="C13391">
        <v>3</v>
      </c>
      <c r="D13391" t="s">
        <v>5</v>
      </c>
      <c r="F13391" t="str" cm="1">
        <f t="array" ref="F13391">CategorizeComment(E13391)</f>
        <v>Other</v>
      </c>
      <c r="G13391" t="str" cm="1">
        <f t="array" ref="G13391">SubCategorizeComment(E13391)</f>
        <v>Other</v>
      </c>
    </row>
    <row r="13392" spans="1:7" x14ac:dyDescent="0.25">
      <c r="A13392">
        <v>128411</v>
      </c>
      <c r="B13392" t="s">
        <v>4</v>
      </c>
      <c r="C13392">
        <v>3</v>
      </c>
      <c r="D13392" t="s">
        <v>5</v>
      </c>
      <c r="F13392" t="str" cm="1">
        <f t="array" ref="F13392">CategorizeComment(E13392)</f>
        <v>Other</v>
      </c>
      <c r="G13392" t="str" cm="1">
        <f t="array" ref="G13392">SubCategorizeComment(E13392)</f>
        <v>Other</v>
      </c>
    </row>
    <row r="13393" spans="1:7" x14ac:dyDescent="0.25">
      <c r="A13393">
        <v>128416</v>
      </c>
      <c r="B13393" t="s">
        <v>4</v>
      </c>
      <c r="C13393">
        <v>4</v>
      </c>
      <c r="D13393" t="s">
        <v>5</v>
      </c>
      <c r="F13393" t="str" cm="1">
        <f t="array" ref="F13393">CategorizeComment(E13393)</f>
        <v>Other</v>
      </c>
      <c r="G13393" t="str" cm="1">
        <f t="array" ref="G13393">SubCategorizeComment(E13393)</f>
        <v>Other</v>
      </c>
    </row>
    <row r="13394" spans="1:7" x14ac:dyDescent="0.25">
      <c r="A13394">
        <v>128422</v>
      </c>
      <c r="B13394" t="s">
        <v>4</v>
      </c>
      <c r="C13394">
        <v>3</v>
      </c>
      <c r="D13394" t="s">
        <v>5</v>
      </c>
      <c r="F13394" t="str" cm="1">
        <f t="array" ref="F13394">CategorizeComment(E13394)</f>
        <v>Other</v>
      </c>
      <c r="G13394" t="str" cm="1">
        <f t="array" ref="G13394">SubCategorizeComment(E13394)</f>
        <v>Other</v>
      </c>
    </row>
    <row r="13395" spans="1:7" x14ac:dyDescent="0.25">
      <c r="A13395">
        <v>128424</v>
      </c>
      <c r="B13395" t="s">
        <v>4</v>
      </c>
      <c r="C13395">
        <v>3</v>
      </c>
      <c r="D13395" t="s">
        <v>5</v>
      </c>
      <c r="F13395" t="str" cm="1">
        <f t="array" ref="F13395">CategorizeComment(E13395)</f>
        <v>Other</v>
      </c>
      <c r="G13395" t="str" cm="1">
        <f t="array" ref="G13395">SubCategorizeComment(E13395)</f>
        <v>Other</v>
      </c>
    </row>
    <row r="13396" spans="1:7" x14ac:dyDescent="0.25">
      <c r="A13396">
        <v>128432</v>
      </c>
      <c r="B13396" t="s">
        <v>4</v>
      </c>
      <c r="C13396">
        <v>3</v>
      </c>
      <c r="D13396" t="s">
        <v>5</v>
      </c>
      <c r="F13396" t="str" cm="1">
        <f t="array" ref="F13396">CategorizeComment(E13396)</f>
        <v>Other</v>
      </c>
      <c r="G13396" t="str" cm="1">
        <f t="array" ref="G13396">SubCategorizeComment(E13396)</f>
        <v>Other</v>
      </c>
    </row>
    <row r="13397" spans="1:7" x14ac:dyDescent="0.25">
      <c r="A13397">
        <v>128434</v>
      </c>
      <c r="B13397" t="s">
        <v>4</v>
      </c>
      <c r="C13397">
        <v>4</v>
      </c>
      <c r="D13397" t="s">
        <v>5</v>
      </c>
      <c r="F13397" t="str" cm="1">
        <f t="array" ref="F13397">CategorizeComment(E13397)</f>
        <v>Other</v>
      </c>
      <c r="G13397" t="str" cm="1">
        <f t="array" ref="G13397">SubCategorizeComment(E13397)</f>
        <v>Other</v>
      </c>
    </row>
    <row r="13398" spans="1:7" x14ac:dyDescent="0.25">
      <c r="A13398">
        <v>128448</v>
      </c>
      <c r="B13398" t="s">
        <v>4</v>
      </c>
      <c r="C13398">
        <v>4</v>
      </c>
      <c r="D13398" t="s">
        <v>5</v>
      </c>
      <c r="F13398" t="str" cm="1">
        <f t="array" ref="F13398">CategorizeComment(E13398)</f>
        <v>Other</v>
      </c>
      <c r="G13398" t="str" cm="1">
        <f t="array" ref="G13398">SubCategorizeComment(E13398)</f>
        <v>Other</v>
      </c>
    </row>
    <row r="13399" spans="1:7" x14ac:dyDescent="0.25">
      <c r="A13399">
        <v>128453</v>
      </c>
      <c r="B13399" t="s">
        <v>4</v>
      </c>
      <c r="C13399">
        <v>4</v>
      </c>
      <c r="D13399" t="s">
        <v>5</v>
      </c>
      <c r="F13399" t="str" cm="1">
        <f t="array" ref="F13399">CategorizeComment(E13399)</f>
        <v>Other</v>
      </c>
      <c r="G13399" t="str" cm="1">
        <f t="array" ref="G13399">SubCategorizeComment(E13399)</f>
        <v>Other</v>
      </c>
    </row>
    <row r="13400" spans="1:7" x14ac:dyDescent="0.25">
      <c r="A13400">
        <v>128460</v>
      </c>
      <c r="B13400" t="s">
        <v>4</v>
      </c>
      <c r="C13400">
        <v>3</v>
      </c>
      <c r="D13400" t="s">
        <v>5</v>
      </c>
      <c r="F13400" t="str" cm="1">
        <f t="array" ref="F13400">CategorizeComment(E13400)</f>
        <v>Other</v>
      </c>
      <c r="G13400" t="str" cm="1">
        <f t="array" ref="G13400">SubCategorizeComment(E13400)</f>
        <v>Other</v>
      </c>
    </row>
    <row r="13401" spans="1:7" x14ac:dyDescent="0.25">
      <c r="A13401">
        <v>128465</v>
      </c>
      <c r="B13401" t="s">
        <v>4</v>
      </c>
      <c r="C13401">
        <v>3</v>
      </c>
      <c r="D13401" t="s">
        <v>5</v>
      </c>
      <c r="F13401" t="str" cm="1">
        <f t="array" ref="F13401">CategorizeComment(E13401)</f>
        <v>Other</v>
      </c>
      <c r="G13401" t="str" cm="1">
        <f t="array" ref="G13401">SubCategorizeComment(E13401)</f>
        <v>Other</v>
      </c>
    </row>
    <row r="13402" spans="1:7" x14ac:dyDescent="0.25">
      <c r="A13402">
        <v>128467</v>
      </c>
      <c r="B13402" t="s">
        <v>4</v>
      </c>
      <c r="C13402">
        <v>3</v>
      </c>
      <c r="D13402" t="s">
        <v>5</v>
      </c>
      <c r="F13402" t="str" cm="1">
        <f t="array" ref="F13402">CategorizeComment(E13402)</f>
        <v>Other</v>
      </c>
      <c r="G13402" t="str" cm="1">
        <f t="array" ref="G13402">SubCategorizeComment(E13402)</f>
        <v>Other</v>
      </c>
    </row>
    <row r="13403" spans="1:7" x14ac:dyDescent="0.25">
      <c r="A13403">
        <v>128472</v>
      </c>
      <c r="B13403" t="s">
        <v>4</v>
      </c>
      <c r="C13403">
        <v>4</v>
      </c>
      <c r="D13403" t="s">
        <v>5</v>
      </c>
      <c r="F13403" t="str" cm="1">
        <f t="array" ref="F13403">CategorizeComment(E13403)</f>
        <v>Other</v>
      </c>
      <c r="G13403" t="str" cm="1">
        <f t="array" ref="G13403">SubCategorizeComment(E13403)</f>
        <v>Other</v>
      </c>
    </row>
    <row r="13404" spans="1:7" x14ac:dyDescent="0.25">
      <c r="A13404">
        <v>128488</v>
      </c>
      <c r="B13404" t="s">
        <v>4</v>
      </c>
      <c r="C13404">
        <v>4</v>
      </c>
      <c r="D13404" t="s">
        <v>5</v>
      </c>
      <c r="F13404" t="str" cm="1">
        <f t="array" ref="F13404">CategorizeComment(E13404)</f>
        <v>Other</v>
      </c>
      <c r="G13404" t="str" cm="1">
        <f t="array" ref="G13404">SubCategorizeComment(E13404)</f>
        <v>Other</v>
      </c>
    </row>
    <row r="13405" spans="1:7" x14ac:dyDescent="0.25">
      <c r="A13405">
        <v>128502</v>
      </c>
      <c r="B13405" t="s">
        <v>4</v>
      </c>
      <c r="C13405">
        <v>3</v>
      </c>
      <c r="D13405" t="s">
        <v>5</v>
      </c>
      <c r="F13405" t="str" cm="1">
        <f t="array" ref="F13405">CategorizeComment(E13405)</f>
        <v>Other</v>
      </c>
      <c r="G13405" t="str" cm="1">
        <f t="array" ref="G13405">SubCategorizeComment(E13405)</f>
        <v>Other</v>
      </c>
    </row>
    <row r="13406" spans="1:7" x14ac:dyDescent="0.25">
      <c r="A13406">
        <v>128506</v>
      </c>
      <c r="B13406" t="s">
        <v>4</v>
      </c>
      <c r="C13406">
        <v>3</v>
      </c>
      <c r="D13406" t="s">
        <v>5</v>
      </c>
      <c r="F13406" t="str" cm="1">
        <f t="array" ref="F13406">CategorizeComment(E13406)</f>
        <v>Other</v>
      </c>
      <c r="G13406" t="str" cm="1">
        <f t="array" ref="G13406">SubCategorizeComment(E13406)</f>
        <v>Other</v>
      </c>
    </row>
    <row r="13407" spans="1:7" x14ac:dyDescent="0.25">
      <c r="A13407">
        <v>128513</v>
      </c>
      <c r="B13407" t="s">
        <v>4</v>
      </c>
      <c r="C13407">
        <v>4</v>
      </c>
      <c r="D13407" t="s">
        <v>5</v>
      </c>
      <c r="F13407" t="str" cm="1">
        <f t="array" ref="F13407">CategorizeComment(E13407)</f>
        <v>Other</v>
      </c>
      <c r="G13407" t="str" cm="1">
        <f t="array" ref="G13407">SubCategorizeComment(E13407)</f>
        <v>Other</v>
      </c>
    </row>
    <row r="13408" spans="1:7" x14ac:dyDescent="0.25">
      <c r="A13408">
        <v>128515</v>
      </c>
      <c r="B13408" t="s">
        <v>4</v>
      </c>
      <c r="C13408">
        <v>4</v>
      </c>
      <c r="D13408" t="s">
        <v>5</v>
      </c>
      <c r="F13408" t="str" cm="1">
        <f t="array" ref="F13408">CategorizeComment(E13408)</f>
        <v>Other</v>
      </c>
      <c r="G13408" t="str" cm="1">
        <f t="array" ref="G13408">SubCategorizeComment(E13408)</f>
        <v>Other</v>
      </c>
    </row>
    <row r="13409" spans="1:7" x14ac:dyDescent="0.25">
      <c r="A13409">
        <v>128519</v>
      </c>
      <c r="B13409" t="s">
        <v>4</v>
      </c>
      <c r="C13409">
        <v>4</v>
      </c>
      <c r="D13409" t="s">
        <v>5</v>
      </c>
      <c r="F13409" t="str" cm="1">
        <f t="array" ref="F13409">CategorizeComment(E13409)</f>
        <v>Other</v>
      </c>
      <c r="G13409" t="str" cm="1">
        <f t="array" ref="G13409">SubCategorizeComment(E13409)</f>
        <v>Other</v>
      </c>
    </row>
    <row r="13410" spans="1:7" x14ac:dyDescent="0.25">
      <c r="A13410">
        <v>128530</v>
      </c>
      <c r="B13410" t="s">
        <v>4</v>
      </c>
      <c r="C13410">
        <v>3</v>
      </c>
      <c r="D13410" t="s">
        <v>5</v>
      </c>
      <c r="F13410" t="str" cm="1">
        <f t="array" ref="F13410">CategorizeComment(E13410)</f>
        <v>Other</v>
      </c>
      <c r="G13410" t="str" cm="1">
        <f t="array" ref="G13410">SubCategorizeComment(E13410)</f>
        <v>Other</v>
      </c>
    </row>
    <row r="13411" spans="1:7" x14ac:dyDescent="0.25">
      <c r="A13411">
        <v>128535</v>
      </c>
      <c r="B13411" t="s">
        <v>4</v>
      </c>
      <c r="C13411">
        <v>3</v>
      </c>
      <c r="D13411" t="s">
        <v>5</v>
      </c>
      <c r="F13411" t="str" cm="1">
        <f t="array" ref="F13411">CategorizeComment(E13411)</f>
        <v>Other</v>
      </c>
      <c r="G13411" t="str" cm="1">
        <f t="array" ref="G13411">SubCategorizeComment(E13411)</f>
        <v>Other</v>
      </c>
    </row>
    <row r="13412" spans="1:7" x14ac:dyDescent="0.25">
      <c r="A13412">
        <v>128555</v>
      </c>
      <c r="B13412" t="s">
        <v>4</v>
      </c>
      <c r="C13412">
        <v>3</v>
      </c>
      <c r="D13412" t="s">
        <v>5</v>
      </c>
      <c r="F13412" t="str" cm="1">
        <f t="array" ref="F13412">CategorizeComment(E13412)</f>
        <v>Other</v>
      </c>
      <c r="G13412" t="str" cm="1">
        <f t="array" ref="G13412">SubCategorizeComment(E13412)</f>
        <v>Other</v>
      </c>
    </row>
    <row r="13413" spans="1:7" x14ac:dyDescent="0.25">
      <c r="A13413">
        <v>128560</v>
      </c>
      <c r="B13413" t="s">
        <v>4</v>
      </c>
      <c r="C13413">
        <v>3</v>
      </c>
      <c r="D13413" t="s">
        <v>5</v>
      </c>
      <c r="F13413" t="str" cm="1">
        <f t="array" ref="F13413">CategorizeComment(E13413)</f>
        <v>Other</v>
      </c>
      <c r="G13413" t="str" cm="1">
        <f t="array" ref="G13413">SubCategorizeComment(E13413)</f>
        <v>Other</v>
      </c>
    </row>
    <row r="13414" spans="1:7" x14ac:dyDescent="0.25">
      <c r="A13414">
        <v>128564</v>
      </c>
      <c r="B13414" t="s">
        <v>4</v>
      </c>
      <c r="C13414">
        <v>3</v>
      </c>
      <c r="D13414" t="s">
        <v>5</v>
      </c>
      <c r="F13414" t="str" cm="1">
        <f t="array" ref="F13414">CategorizeComment(E13414)</f>
        <v>Other</v>
      </c>
      <c r="G13414" t="str" cm="1">
        <f t="array" ref="G13414">SubCategorizeComment(E13414)</f>
        <v>Other</v>
      </c>
    </row>
    <row r="13415" spans="1:7" x14ac:dyDescent="0.25">
      <c r="A13415">
        <v>128578</v>
      </c>
      <c r="B13415" t="s">
        <v>4</v>
      </c>
      <c r="C13415">
        <v>3</v>
      </c>
      <c r="D13415" t="s">
        <v>5</v>
      </c>
      <c r="F13415" t="str" cm="1">
        <f t="array" ref="F13415">CategorizeComment(E13415)</f>
        <v>Other</v>
      </c>
      <c r="G13415" t="str" cm="1">
        <f t="array" ref="G13415">SubCategorizeComment(E13415)</f>
        <v>Other</v>
      </c>
    </row>
    <row r="13416" spans="1:7" x14ac:dyDescent="0.25">
      <c r="A13416">
        <v>128625</v>
      </c>
      <c r="B13416" t="s">
        <v>4</v>
      </c>
      <c r="C13416">
        <v>3</v>
      </c>
      <c r="D13416" t="s">
        <v>5</v>
      </c>
      <c r="F13416" t="str" cm="1">
        <f t="array" ref="F13416">CategorizeComment(E13416)</f>
        <v>Other</v>
      </c>
      <c r="G13416" t="str" cm="1">
        <f t="array" ref="G13416">SubCategorizeComment(E13416)</f>
        <v>Other</v>
      </c>
    </row>
    <row r="13417" spans="1:7" x14ac:dyDescent="0.25">
      <c r="A13417">
        <v>128642</v>
      </c>
      <c r="B13417" t="s">
        <v>4</v>
      </c>
      <c r="C13417">
        <v>3</v>
      </c>
      <c r="D13417" t="s">
        <v>5</v>
      </c>
      <c r="F13417" t="str" cm="1">
        <f t="array" ref="F13417">CategorizeComment(E13417)</f>
        <v>Other</v>
      </c>
      <c r="G13417" t="str" cm="1">
        <f t="array" ref="G13417">SubCategorizeComment(E13417)</f>
        <v>Other</v>
      </c>
    </row>
    <row r="13418" spans="1:7" x14ac:dyDescent="0.25">
      <c r="A13418">
        <v>128652</v>
      </c>
      <c r="B13418" t="s">
        <v>4</v>
      </c>
      <c r="C13418">
        <v>3</v>
      </c>
      <c r="D13418" t="s">
        <v>5</v>
      </c>
      <c r="F13418" t="str" cm="1">
        <f t="array" ref="F13418">CategorizeComment(E13418)</f>
        <v>Other</v>
      </c>
      <c r="G13418" t="str" cm="1">
        <f t="array" ref="G13418">SubCategorizeComment(E13418)</f>
        <v>Other</v>
      </c>
    </row>
    <row r="13419" spans="1:7" x14ac:dyDescent="0.25">
      <c r="A13419">
        <v>128668</v>
      </c>
      <c r="B13419" t="s">
        <v>4</v>
      </c>
      <c r="C13419">
        <v>3</v>
      </c>
      <c r="D13419" t="s">
        <v>5</v>
      </c>
      <c r="F13419" t="str" cm="1">
        <f t="array" ref="F13419">CategorizeComment(E13419)</f>
        <v>Other</v>
      </c>
      <c r="G13419" t="str" cm="1">
        <f t="array" ref="G13419">SubCategorizeComment(E13419)</f>
        <v>Other</v>
      </c>
    </row>
    <row r="13420" spans="1:7" x14ac:dyDescent="0.25">
      <c r="A13420">
        <v>128674</v>
      </c>
      <c r="B13420" t="s">
        <v>4</v>
      </c>
      <c r="C13420">
        <v>4</v>
      </c>
      <c r="D13420" t="s">
        <v>5</v>
      </c>
      <c r="F13420" t="str" cm="1">
        <f t="array" ref="F13420">CategorizeComment(E13420)</f>
        <v>Other</v>
      </c>
      <c r="G13420" t="str" cm="1">
        <f t="array" ref="G13420">SubCategorizeComment(E13420)</f>
        <v>Other</v>
      </c>
    </row>
    <row r="13421" spans="1:7" x14ac:dyDescent="0.25">
      <c r="A13421">
        <v>128677</v>
      </c>
      <c r="B13421" t="s">
        <v>4</v>
      </c>
      <c r="C13421">
        <v>4</v>
      </c>
      <c r="D13421" t="s">
        <v>5</v>
      </c>
      <c r="F13421" t="str" cm="1">
        <f t="array" ref="F13421">CategorizeComment(E13421)</f>
        <v>Other</v>
      </c>
      <c r="G13421" t="str" cm="1">
        <f t="array" ref="G13421">SubCategorizeComment(E13421)</f>
        <v>Other</v>
      </c>
    </row>
    <row r="13422" spans="1:7" x14ac:dyDescent="0.25">
      <c r="A13422">
        <v>128682</v>
      </c>
      <c r="B13422" t="s">
        <v>4</v>
      </c>
      <c r="C13422">
        <v>3</v>
      </c>
      <c r="D13422" t="s">
        <v>5</v>
      </c>
      <c r="F13422" t="str" cm="1">
        <f t="array" ref="F13422">CategorizeComment(E13422)</f>
        <v>Other</v>
      </c>
      <c r="G13422" t="str" cm="1">
        <f t="array" ref="G13422">SubCategorizeComment(E13422)</f>
        <v>Other</v>
      </c>
    </row>
    <row r="13423" spans="1:7" x14ac:dyDescent="0.25">
      <c r="A13423">
        <v>128691</v>
      </c>
      <c r="B13423" t="s">
        <v>4</v>
      </c>
      <c r="C13423">
        <v>4</v>
      </c>
      <c r="D13423" t="s">
        <v>5</v>
      </c>
      <c r="F13423" t="str" cm="1">
        <f t="array" ref="F13423">CategorizeComment(E13423)</f>
        <v>Other</v>
      </c>
      <c r="G13423" t="str" cm="1">
        <f t="array" ref="G13423">SubCategorizeComment(E13423)</f>
        <v>Other</v>
      </c>
    </row>
    <row r="13424" spans="1:7" x14ac:dyDescent="0.25">
      <c r="A13424">
        <v>128724</v>
      </c>
      <c r="B13424" t="s">
        <v>4</v>
      </c>
      <c r="C13424">
        <v>3</v>
      </c>
      <c r="D13424" t="s">
        <v>5</v>
      </c>
      <c r="F13424" t="str" cm="1">
        <f t="array" ref="F13424">CategorizeComment(E13424)</f>
        <v>Other</v>
      </c>
      <c r="G13424" t="str" cm="1">
        <f t="array" ref="G13424">SubCategorizeComment(E13424)</f>
        <v>Other</v>
      </c>
    </row>
    <row r="13425" spans="1:7" x14ac:dyDescent="0.25">
      <c r="A13425">
        <v>128730</v>
      </c>
      <c r="B13425" t="s">
        <v>4</v>
      </c>
      <c r="C13425">
        <v>4</v>
      </c>
      <c r="D13425" t="s">
        <v>5</v>
      </c>
      <c r="F13425" t="str" cm="1">
        <f t="array" ref="F13425">CategorizeComment(E13425)</f>
        <v>Other</v>
      </c>
      <c r="G13425" t="str" cm="1">
        <f t="array" ref="G13425">SubCategorizeComment(E13425)</f>
        <v>Other</v>
      </c>
    </row>
    <row r="13426" spans="1:7" x14ac:dyDescent="0.25">
      <c r="A13426">
        <v>128735</v>
      </c>
      <c r="B13426" t="s">
        <v>4</v>
      </c>
      <c r="C13426">
        <v>4</v>
      </c>
      <c r="D13426" t="s">
        <v>5</v>
      </c>
      <c r="F13426" t="str" cm="1">
        <f t="array" ref="F13426">CategorizeComment(E13426)</f>
        <v>Other</v>
      </c>
      <c r="G13426" t="str" cm="1">
        <f t="array" ref="G13426">SubCategorizeComment(E13426)</f>
        <v>Other</v>
      </c>
    </row>
    <row r="13427" spans="1:7" x14ac:dyDescent="0.25">
      <c r="A13427">
        <v>128747</v>
      </c>
      <c r="B13427" t="s">
        <v>4</v>
      </c>
      <c r="C13427">
        <v>3</v>
      </c>
      <c r="D13427" t="s">
        <v>5</v>
      </c>
      <c r="F13427" t="str" cm="1">
        <f t="array" ref="F13427">CategorizeComment(E13427)</f>
        <v>Other</v>
      </c>
      <c r="G13427" t="str" cm="1">
        <f t="array" ref="G13427">SubCategorizeComment(E13427)</f>
        <v>Other</v>
      </c>
    </row>
    <row r="13428" spans="1:7" x14ac:dyDescent="0.25">
      <c r="A13428">
        <v>128749</v>
      </c>
      <c r="B13428" t="s">
        <v>4</v>
      </c>
      <c r="C13428">
        <v>4</v>
      </c>
      <c r="D13428" t="s">
        <v>5</v>
      </c>
      <c r="F13428" t="str" cm="1">
        <f t="array" ref="F13428">CategorizeComment(E13428)</f>
        <v>Other</v>
      </c>
      <c r="G13428" t="str" cm="1">
        <f t="array" ref="G13428">SubCategorizeComment(E13428)</f>
        <v>Other</v>
      </c>
    </row>
    <row r="13429" spans="1:7" x14ac:dyDescent="0.25">
      <c r="A13429">
        <v>128779</v>
      </c>
      <c r="B13429" t="s">
        <v>4</v>
      </c>
      <c r="C13429">
        <v>4</v>
      </c>
      <c r="D13429" t="s">
        <v>5</v>
      </c>
      <c r="F13429" t="str" cm="1">
        <f t="array" ref="F13429">CategorizeComment(E13429)</f>
        <v>Other</v>
      </c>
      <c r="G13429" t="str" cm="1">
        <f t="array" ref="G13429">SubCategorizeComment(E13429)</f>
        <v>Other</v>
      </c>
    </row>
    <row r="13430" spans="1:7" x14ac:dyDescent="0.25">
      <c r="A13430">
        <v>128784</v>
      </c>
      <c r="B13430" t="s">
        <v>4</v>
      </c>
      <c r="C13430">
        <v>3</v>
      </c>
      <c r="D13430" t="s">
        <v>5</v>
      </c>
      <c r="F13430" t="str" cm="1">
        <f t="array" ref="F13430">CategorizeComment(E13430)</f>
        <v>Other</v>
      </c>
      <c r="G13430" t="str" cm="1">
        <f t="array" ref="G13430">SubCategorizeComment(E13430)</f>
        <v>Other</v>
      </c>
    </row>
    <row r="13431" spans="1:7" x14ac:dyDescent="0.25">
      <c r="A13431">
        <v>128794</v>
      </c>
      <c r="B13431" t="s">
        <v>4</v>
      </c>
      <c r="C13431">
        <v>3</v>
      </c>
      <c r="D13431" t="s">
        <v>5</v>
      </c>
      <c r="F13431" t="str" cm="1">
        <f t="array" ref="F13431">CategorizeComment(E13431)</f>
        <v>Other</v>
      </c>
      <c r="G13431" t="str" cm="1">
        <f t="array" ref="G13431">SubCategorizeComment(E13431)</f>
        <v>Other</v>
      </c>
    </row>
    <row r="13432" spans="1:7" x14ac:dyDescent="0.25">
      <c r="A13432">
        <v>128814</v>
      </c>
      <c r="B13432" t="s">
        <v>4</v>
      </c>
      <c r="C13432">
        <v>4</v>
      </c>
      <c r="D13432" t="s">
        <v>5</v>
      </c>
      <c r="F13432" t="str" cm="1">
        <f t="array" ref="F13432">CategorizeComment(E13432)</f>
        <v>Other</v>
      </c>
      <c r="G13432" t="str" cm="1">
        <f t="array" ref="G13432">SubCategorizeComment(E13432)</f>
        <v>Other</v>
      </c>
    </row>
    <row r="13433" spans="1:7" x14ac:dyDescent="0.25">
      <c r="A13433">
        <v>128820</v>
      </c>
      <c r="B13433" t="s">
        <v>4</v>
      </c>
      <c r="C13433">
        <v>4</v>
      </c>
      <c r="D13433" t="s">
        <v>5</v>
      </c>
      <c r="F13433" t="str" cm="1">
        <f t="array" ref="F13433">CategorizeComment(E13433)</f>
        <v>Other</v>
      </c>
      <c r="G13433" t="str" cm="1">
        <f t="array" ref="G13433">SubCategorizeComment(E13433)</f>
        <v>Other</v>
      </c>
    </row>
    <row r="13434" spans="1:7" x14ac:dyDescent="0.25">
      <c r="A13434">
        <v>128825</v>
      </c>
      <c r="B13434" t="s">
        <v>4</v>
      </c>
      <c r="C13434">
        <v>3</v>
      </c>
      <c r="D13434" t="s">
        <v>5</v>
      </c>
      <c r="F13434" t="str" cm="1">
        <f t="array" ref="F13434">CategorizeComment(E13434)</f>
        <v>Other</v>
      </c>
      <c r="G13434" t="str" cm="1">
        <f t="array" ref="G13434">SubCategorizeComment(E13434)</f>
        <v>Other</v>
      </c>
    </row>
    <row r="13435" spans="1:7" x14ac:dyDescent="0.25">
      <c r="A13435">
        <v>128829</v>
      </c>
      <c r="B13435" t="s">
        <v>4</v>
      </c>
      <c r="C13435">
        <v>4</v>
      </c>
      <c r="D13435" t="s">
        <v>5</v>
      </c>
      <c r="F13435" t="str" cm="1">
        <f t="array" ref="F13435">CategorizeComment(E13435)</f>
        <v>Other</v>
      </c>
      <c r="G13435" t="str" cm="1">
        <f t="array" ref="G13435">SubCategorizeComment(E13435)</f>
        <v>Other</v>
      </c>
    </row>
    <row r="13436" spans="1:7" x14ac:dyDescent="0.25">
      <c r="A13436">
        <v>128830</v>
      </c>
      <c r="B13436" t="s">
        <v>4</v>
      </c>
      <c r="C13436">
        <v>4</v>
      </c>
      <c r="D13436" t="s">
        <v>5</v>
      </c>
      <c r="F13436" t="str" cm="1">
        <f t="array" ref="F13436">CategorizeComment(E13436)</f>
        <v>Other</v>
      </c>
      <c r="G13436" t="str" cm="1">
        <f t="array" ref="G13436">SubCategorizeComment(E13436)</f>
        <v>Other</v>
      </c>
    </row>
    <row r="13437" spans="1:7" x14ac:dyDescent="0.25">
      <c r="A13437">
        <v>128846</v>
      </c>
      <c r="B13437" t="s">
        <v>4</v>
      </c>
      <c r="C13437">
        <v>4</v>
      </c>
      <c r="D13437" t="s">
        <v>5</v>
      </c>
      <c r="F13437" t="str" cm="1">
        <f t="array" ref="F13437">CategorizeComment(E13437)</f>
        <v>Other</v>
      </c>
      <c r="G13437" t="str" cm="1">
        <f t="array" ref="G13437">SubCategorizeComment(E13437)</f>
        <v>Other</v>
      </c>
    </row>
    <row r="13438" spans="1:7" x14ac:dyDescent="0.25">
      <c r="A13438">
        <v>128891</v>
      </c>
      <c r="B13438" t="s">
        <v>4</v>
      </c>
      <c r="C13438">
        <v>4</v>
      </c>
      <c r="D13438" t="s">
        <v>5</v>
      </c>
      <c r="F13438" t="str" cm="1">
        <f t="array" ref="F13438">CategorizeComment(E13438)</f>
        <v>Other</v>
      </c>
      <c r="G13438" t="str" cm="1">
        <f t="array" ref="G13438">SubCategorizeComment(E13438)</f>
        <v>Other</v>
      </c>
    </row>
    <row r="13439" spans="1:7" x14ac:dyDescent="0.25">
      <c r="A13439">
        <v>128897</v>
      </c>
      <c r="B13439" t="s">
        <v>4</v>
      </c>
      <c r="C13439">
        <v>4</v>
      </c>
      <c r="D13439" t="s">
        <v>5</v>
      </c>
      <c r="F13439" t="str" cm="1">
        <f t="array" ref="F13439">CategorizeComment(E13439)</f>
        <v>Other</v>
      </c>
      <c r="G13439" t="str" cm="1">
        <f t="array" ref="G13439">SubCategorizeComment(E13439)</f>
        <v>Other</v>
      </c>
    </row>
    <row r="13440" spans="1:7" x14ac:dyDescent="0.25">
      <c r="A13440">
        <v>128898</v>
      </c>
      <c r="B13440" t="s">
        <v>4</v>
      </c>
      <c r="C13440">
        <v>4</v>
      </c>
      <c r="D13440" t="s">
        <v>5</v>
      </c>
      <c r="F13440" t="str" cm="1">
        <f t="array" ref="F13440">CategorizeComment(E13440)</f>
        <v>Other</v>
      </c>
      <c r="G13440" t="str" cm="1">
        <f t="array" ref="G13440">SubCategorizeComment(E13440)</f>
        <v>Other</v>
      </c>
    </row>
    <row r="13441" spans="1:7" x14ac:dyDescent="0.25">
      <c r="A13441">
        <v>128899</v>
      </c>
      <c r="B13441" t="s">
        <v>4</v>
      </c>
      <c r="C13441">
        <v>4</v>
      </c>
      <c r="D13441" t="s">
        <v>5</v>
      </c>
      <c r="F13441" t="str" cm="1">
        <f t="array" ref="F13441">CategorizeComment(E13441)</f>
        <v>Other</v>
      </c>
      <c r="G13441" t="str" cm="1">
        <f t="array" ref="G13441">SubCategorizeComment(E13441)</f>
        <v>Other</v>
      </c>
    </row>
    <row r="13442" spans="1:7" x14ac:dyDescent="0.25">
      <c r="A13442">
        <v>128937</v>
      </c>
      <c r="B13442" t="s">
        <v>4</v>
      </c>
      <c r="C13442">
        <v>3</v>
      </c>
      <c r="D13442" t="s">
        <v>5</v>
      </c>
      <c r="F13442" t="str" cm="1">
        <f t="array" ref="F13442">CategorizeComment(E13442)</f>
        <v>Other</v>
      </c>
      <c r="G13442" t="str" cm="1">
        <f t="array" ref="G13442">SubCategorizeComment(E13442)</f>
        <v>Other</v>
      </c>
    </row>
    <row r="13443" spans="1:7" x14ac:dyDescent="0.25">
      <c r="A13443">
        <v>128953</v>
      </c>
      <c r="B13443" t="s">
        <v>4</v>
      </c>
      <c r="C13443">
        <v>3</v>
      </c>
      <c r="D13443" t="s">
        <v>5</v>
      </c>
      <c r="F13443" t="str" cm="1">
        <f t="array" ref="F13443">CategorizeComment(E13443)</f>
        <v>Other</v>
      </c>
      <c r="G13443" t="str" cm="1">
        <f t="array" ref="G13443">SubCategorizeComment(E13443)</f>
        <v>Other</v>
      </c>
    </row>
    <row r="13444" spans="1:7" x14ac:dyDescent="0.25">
      <c r="A13444">
        <v>128958</v>
      </c>
      <c r="B13444" t="s">
        <v>4</v>
      </c>
      <c r="C13444">
        <v>4</v>
      </c>
      <c r="D13444" t="s">
        <v>5</v>
      </c>
      <c r="F13444" t="str" cm="1">
        <f t="array" ref="F13444">CategorizeComment(E13444)</f>
        <v>Other</v>
      </c>
      <c r="G13444" t="str" cm="1">
        <f t="array" ref="G13444">SubCategorizeComment(E13444)</f>
        <v>Other</v>
      </c>
    </row>
    <row r="13445" spans="1:7" x14ac:dyDescent="0.25">
      <c r="A13445">
        <v>128967</v>
      </c>
      <c r="B13445" t="s">
        <v>4</v>
      </c>
      <c r="C13445">
        <v>4</v>
      </c>
      <c r="D13445" t="s">
        <v>5</v>
      </c>
      <c r="F13445" t="str" cm="1">
        <f t="array" ref="F13445">CategorizeComment(E13445)</f>
        <v>Other</v>
      </c>
      <c r="G13445" t="str" cm="1">
        <f t="array" ref="G13445">SubCategorizeComment(E13445)</f>
        <v>Other</v>
      </c>
    </row>
    <row r="13446" spans="1:7" x14ac:dyDescent="0.25">
      <c r="A13446">
        <v>128978</v>
      </c>
      <c r="B13446" t="s">
        <v>4</v>
      </c>
      <c r="C13446">
        <v>3</v>
      </c>
      <c r="D13446" t="s">
        <v>5</v>
      </c>
      <c r="F13446" t="str" cm="1">
        <f t="array" ref="F13446">CategorizeComment(E13446)</f>
        <v>Other</v>
      </c>
      <c r="G13446" t="str" cm="1">
        <f t="array" ref="G13446">SubCategorizeComment(E13446)</f>
        <v>Other</v>
      </c>
    </row>
    <row r="13447" spans="1:7" x14ac:dyDescent="0.25">
      <c r="A13447">
        <v>128983</v>
      </c>
      <c r="B13447" t="s">
        <v>4</v>
      </c>
      <c r="C13447">
        <v>3</v>
      </c>
      <c r="D13447" t="s">
        <v>5</v>
      </c>
      <c r="F13447" t="str" cm="1">
        <f t="array" ref="F13447">CategorizeComment(E13447)</f>
        <v>Other</v>
      </c>
      <c r="G13447" t="str" cm="1">
        <f t="array" ref="G13447">SubCategorizeComment(E13447)</f>
        <v>Other</v>
      </c>
    </row>
    <row r="13448" spans="1:7" x14ac:dyDescent="0.25">
      <c r="A13448">
        <v>128985</v>
      </c>
      <c r="B13448" t="s">
        <v>4</v>
      </c>
      <c r="C13448">
        <v>3</v>
      </c>
      <c r="D13448" t="s">
        <v>5</v>
      </c>
      <c r="F13448" t="str" cm="1">
        <f t="array" ref="F13448">CategorizeComment(E13448)</f>
        <v>Other</v>
      </c>
      <c r="G13448" t="str" cm="1">
        <f t="array" ref="G13448">SubCategorizeComment(E13448)</f>
        <v>Other</v>
      </c>
    </row>
    <row r="13449" spans="1:7" x14ac:dyDescent="0.25">
      <c r="A13449">
        <v>128995</v>
      </c>
      <c r="B13449" t="s">
        <v>4</v>
      </c>
      <c r="C13449">
        <v>3</v>
      </c>
      <c r="D13449" t="s">
        <v>5</v>
      </c>
      <c r="F13449" t="str" cm="1">
        <f t="array" ref="F13449">CategorizeComment(E13449)</f>
        <v>Other</v>
      </c>
      <c r="G13449" t="str" cm="1">
        <f t="array" ref="G13449">SubCategorizeComment(E13449)</f>
        <v>Other</v>
      </c>
    </row>
    <row r="13450" spans="1:7" x14ac:dyDescent="0.25">
      <c r="A13450">
        <v>128997</v>
      </c>
      <c r="B13450" t="s">
        <v>4</v>
      </c>
      <c r="C13450">
        <v>4</v>
      </c>
      <c r="D13450" t="s">
        <v>5</v>
      </c>
      <c r="F13450" t="str" cm="1">
        <f t="array" ref="F13450">CategorizeComment(E13450)</f>
        <v>Other</v>
      </c>
      <c r="G13450" t="str" cm="1">
        <f t="array" ref="G13450">SubCategorizeComment(E13450)</f>
        <v>Other</v>
      </c>
    </row>
    <row r="13451" spans="1:7" x14ac:dyDescent="0.25">
      <c r="A13451">
        <v>129000</v>
      </c>
      <c r="B13451" t="s">
        <v>4</v>
      </c>
      <c r="C13451">
        <v>3</v>
      </c>
      <c r="D13451" t="s">
        <v>5</v>
      </c>
      <c r="F13451" t="str" cm="1">
        <f t="array" ref="F13451">CategorizeComment(E13451)</f>
        <v>Other</v>
      </c>
      <c r="G13451" t="str" cm="1">
        <f t="array" ref="G13451">SubCategorizeComment(E13451)</f>
        <v>Other</v>
      </c>
    </row>
    <row r="13452" spans="1:7" x14ac:dyDescent="0.25">
      <c r="A13452">
        <v>129004</v>
      </c>
      <c r="B13452" t="s">
        <v>4</v>
      </c>
      <c r="C13452">
        <v>3</v>
      </c>
      <c r="D13452" t="s">
        <v>5</v>
      </c>
      <c r="F13452" t="str" cm="1">
        <f t="array" ref="F13452">CategorizeComment(E13452)</f>
        <v>Other</v>
      </c>
      <c r="G13452" t="str" cm="1">
        <f t="array" ref="G13452">SubCategorizeComment(E13452)</f>
        <v>Other</v>
      </c>
    </row>
    <row r="13453" spans="1:7" x14ac:dyDescent="0.25">
      <c r="A13453">
        <v>129008</v>
      </c>
      <c r="B13453" t="s">
        <v>4</v>
      </c>
      <c r="C13453">
        <v>4</v>
      </c>
      <c r="D13453" t="s">
        <v>5</v>
      </c>
      <c r="F13453" t="str" cm="1">
        <f t="array" ref="F13453">CategorizeComment(E13453)</f>
        <v>Other</v>
      </c>
      <c r="G13453" t="str" cm="1">
        <f t="array" ref="G13453">SubCategorizeComment(E13453)</f>
        <v>Other</v>
      </c>
    </row>
    <row r="13454" spans="1:7" x14ac:dyDescent="0.25">
      <c r="A13454">
        <v>129017</v>
      </c>
      <c r="B13454" t="s">
        <v>4</v>
      </c>
      <c r="C13454">
        <v>3</v>
      </c>
      <c r="D13454" t="s">
        <v>5</v>
      </c>
      <c r="F13454" t="str" cm="1">
        <f t="array" ref="F13454">CategorizeComment(E13454)</f>
        <v>Other</v>
      </c>
      <c r="G13454" t="str" cm="1">
        <f t="array" ref="G13454">SubCategorizeComment(E13454)</f>
        <v>Other</v>
      </c>
    </row>
    <row r="13455" spans="1:7" x14ac:dyDescent="0.25">
      <c r="A13455">
        <v>129020</v>
      </c>
      <c r="B13455" t="s">
        <v>4</v>
      </c>
      <c r="C13455">
        <v>4</v>
      </c>
      <c r="D13455" t="s">
        <v>5</v>
      </c>
      <c r="F13455" t="str" cm="1">
        <f t="array" ref="F13455">CategorizeComment(E13455)</f>
        <v>Other</v>
      </c>
      <c r="G13455" t="str" cm="1">
        <f t="array" ref="G13455">SubCategorizeComment(E13455)</f>
        <v>Other</v>
      </c>
    </row>
    <row r="13456" spans="1:7" x14ac:dyDescent="0.25">
      <c r="A13456">
        <v>129022</v>
      </c>
      <c r="B13456" t="s">
        <v>4</v>
      </c>
      <c r="C13456">
        <v>3</v>
      </c>
      <c r="D13456" t="s">
        <v>5</v>
      </c>
      <c r="F13456" t="str" cm="1">
        <f t="array" ref="F13456">CategorizeComment(E13456)</f>
        <v>Other</v>
      </c>
      <c r="G13456" t="str" cm="1">
        <f t="array" ref="G13456">SubCategorizeComment(E13456)</f>
        <v>Other</v>
      </c>
    </row>
    <row r="13457" spans="1:7" x14ac:dyDescent="0.25">
      <c r="A13457">
        <v>129035</v>
      </c>
      <c r="B13457" t="s">
        <v>4</v>
      </c>
      <c r="C13457">
        <v>4</v>
      </c>
      <c r="D13457" t="s">
        <v>5</v>
      </c>
      <c r="F13457" t="str" cm="1">
        <f t="array" ref="F13457">CategorizeComment(E13457)</f>
        <v>Other</v>
      </c>
      <c r="G13457" t="str" cm="1">
        <f t="array" ref="G13457">SubCategorizeComment(E13457)</f>
        <v>Other</v>
      </c>
    </row>
    <row r="13458" spans="1:7" x14ac:dyDescent="0.25">
      <c r="A13458">
        <v>129037</v>
      </c>
      <c r="B13458" t="s">
        <v>4</v>
      </c>
      <c r="C13458">
        <v>3</v>
      </c>
      <c r="D13458" t="s">
        <v>5</v>
      </c>
      <c r="F13458" t="str" cm="1">
        <f t="array" ref="F13458">CategorizeComment(E13458)</f>
        <v>Other</v>
      </c>
      <c r="G13458" t="str" cm="1">
        <f t="array" ref="G13458">SubCategorizeComment(E13458)</f>
        <v>Other</v>
      </c>
    </row>
    <row r="13459" spans="1:7" x14ac:dyDescent="0.25">
      <c r="A13459">
        <v>129042</v>
      </c>
      <c r="B13459" t="s">
        <v>4</v>
      </c>
      <c r="C13459">
        <v>4</v>
      </c>
      <c r="D13459" t="s">
        <v>5</v>
      </c>
      <c r="F13459" t="str" cm="1">
        <f t="array" ref="F13459">CategorizeComment(E13459)</f>
        <v>Other</v>
      </c>
      <c r="G13459" t="str" cm="1">
        <f t="array" ref="G13459">SubCategorizeComment(E13459)</f>
        <v>Other</v>
      </c>
    </row>
    <row r="13460" spans="1:7" x14ac:dyDescent="0.25">
      <c r="A13460">
        <v>129063</v>
      </c>
      <c r="B13460" t="s">
        <v>4</v>
      </c>
      <c r="C13460">
        <v>3</v>
      </c>
      <c r="D13460" t="s">
        <v>5</v>
      </c>
      <c r="F13460" t="str" cm="1">
        <f t="array" ref="F13460">CategorizeComment(E13460)</f>
        <v>Other</v>
      </c>
      <c r="G13460" t="str" cm="1">
        <f t="array" ref="G13460">SubCategorizeComment(E13460)</f>
        <v>Other</v>
      </c>
    </row>
    <row r="13461" spans="1:7" x14ac:dyDescent="0.25">
      <c r="A13461">
        <v>129064</v>
      </c>
      <c r="B13461" t="s">
        <v>4</v>
      </c>
      <c r="C13461">
        <v>3</v>
      </c>
      <c r="D13461" t="s">
        <v>5</v>
      </c>
      <c r="F13461" t="str" cm="1">
        <f t="array" ref="F13461">CategorizeComment(E13461)</f>
        <v>Other</v>
      </c>
      <c r="G13461" t="str" cm="1">
        <f t="array" ref="G13461">SubCategorizeComment(E13461)</f>
        <v>Other</v>
      </c>
    </row>
    <row r="13462" spans="1:7" x14ac:dyDescent="0.25">
      <c r="A13462">
        <v>129086</v>
      </c>
      <c r="B13462" t="s">
        <v>4</v>
      </c>
      <c r="C13462">
        <v>4</v>
      </c>
      <c r="D13462" t="s">
        <v>5</v>
      </c>
      <c r="F13462" t="str" cm="1">
        <f t="array" ref="F13462">CategorizeComment(E13462)</f>
        <v>Other</v>
      </c>
      <c r="G13462" t="str" cm="1">
        <f t="array" ref="G13462">SubCategorizeComment(E13462)</f>
        <v>Other</v>
      </c>
    </row>
    <row r="13463" spans="1:7" x14ac:dyDescent="0.25">
      <c r="A13463">
        <v>129089</v>
      </c>
      <c r="B13463" t="s">
        <v>4</v>
      </c>
      <c r="C13463">
        <v>3</v>
      </c>
      <c r="D13463" t="s">
        <v>5</v>
      </c>
      <c r="F13463" t="str" cm="1">
        <f t="array" ref="F13463">CategorizeComment(E13463)</f>
        <v>Other</v>
      </c>
      <c r="G13463" t="str" cm="1">
        <f t="array" ref="G13463">SubCategorizeComment(E13463)</f>
        <v>Other</v>
      </c>
    </row>
    <row r="13464" spans="1:7" x14ac:dyDescent="0.25">
      <c r="A13464">
        <v>129091</v>
      </c>
      <c r="B13464" t="s">
        <v>4</v>
      </c>
      <c r="C13464">
        <v>4</v>
      </c>
      <c r="D13464" t="s">
        <v>5</v>
      </c>
      <c r="F13464" t="str" cm="1">
        <f t="array" ref="F13464">CategorizeComment(E13464)</f>
        <v>Other</v>
      </c>
      <c r="G13464" t="str" cm="1">
        <f t="array" ref="G13464">SubCategorizeComment(E13464)</f>
        <v>Other</v>
      </c>
    </row>
    <row r="13465" spans="1:7" x14ac:dyDescent="0.25">
      <c r="A13465">
        <v>129092</v>
      </c>
      <c r="B13465" t="s">
        <v>4</v>
      </c>
      <c r="C13465">
        <v>4</v>
      </c>
      <c r="D13465" t="s">
        <v>5</v>
      </c>
      <c r="F13465" t="str" cm="1">
        <f t="array" ref="F13465">CategorizeComment(E13465)</f>
        <v>Other</v>
      </c>
      <c r="G13465" t="str" cm="1">
        <f t="array" ref="G13465">SubCategorizeComment(E13465)</f>
        <v>Other</v>
      </c>
    </row>
    <row r="13466" spans="1:7" x14ac:dyDescent="0.25">
      <c r="A13466">
        <v>129103</v>
      </c>
      <c r="B13466" t="s">
        <v>4</v>
      </c>
      <c r="C13466">
        <v>3</v>
      </c>
      <c r="D13466" t="s">
        <v>5</v>
      </c>
      <c r="F13466" t="str" cm="1">
        <f t="array" ref="F13466">CategorizeComment(E13466)</f>
        <v>Other</v>
      </c>
      <c r="G13466" t="str" cm="1">
        <f t="array" ref="G13466">SubCategorizeComment(E13466)</f>
        <v>Other</v>
      </c>
    </row>
    <row r="13467" spans="1:7" x14ac:dyDescent="0.25">
      <c r="A13467">
        <v>129107</v>
      </c>
      <c r="B13467" t="s">
        <v>4</v>
      </c>
      <c r="C13467">
        <v>4</v>
      </c>
      <c r="D13467" t="s">
        <v>5</v>
      </c>
      <c r="F13467" t="str" cm="1">
        <f t="array" ref="F13467">CategorizeComment(E13467)</f>
        <v>Other</v>
      </c>
      <c r="G13467" t="str" cm="1">
        <f t="array" ref="G13467">SubCategorizeComment(E13467)</f>
        <v>Other</v>
      </c>
    </row>
    <row r="13468" spans="1:7" x14ac:dyDescent="0.25">
      <c r="A13468">
        <v>129120</v>
      </c>
      <c r="B13468" t="s">
        <v>4</v>
      </c>
      <c r="C13468">
        <v>3</v>
      </c>
      <c r="D13468" t="s">
        <v>5</v>
      </c>
      <c r="F13468" t="str" cm="1">
        <f t="array" ref="F13468">CategorizeComment(E13468)</f>
        <v>Other</v>
      </c>
      <c r="G13468" t="str" cm="1">
        <f t="array" ref="G13468">SubCategorizeComment(E13468)</f>
        <v>Other</v>
      </c>
    </row>
    <row r="13469" spans="1:7" x14ac:dyDescent="0.25">
      <c r="A13469">
        <v>129136</v>
      </c>
      <c r="B13469" t="s">
        <v>4</v>
      </c>
      <c r="C13469">
        <v>3</v>
      </c>
      <c r="D13469" t="s">
        <v>5</v>
      </c>
      <c r="F13469" t="str" cm="1">
        <f t="array" ref="F13469">CategorizeComment(E13469)</f>
        <v>Other</v>
      </c>
      <c r="G13469" t="str" cm="1">
        <f t="array" ref="G13469">SubCategorizeComment(E13469)</f>
        <v>Other</v>
      </c>
    </row>
    <row r="13470" spans="1:7" x14ac:dyDescent="0.25">
      <c r="A13470">
        <v>129146</v>
      </c>
      <c r="B13470" t="s">
        <v>4</v>
      </c>
      <c r="C13470">
        <v>4</v>
      </c>
      <c r="D13470" t="s">
        <v>5</v>
      </c>
      <c r="F13470" t="str" cm="1">
        <f t="array" ref="F13470">CategorizeComment(E13470)</f>
        <v>Other</v>
      </c>
      <c r="G13470" t="str" cm="1">
        <f t="array" ref="G13470">SubCategorizeComment(E13470)</f>
        <v>Other</v>
      </c>
    </row>
    <row r="13471" spans="1:7" x14ac:dyDescent="0.25">
      <c r="A13471">
        <v>129147</v>
      </c>
      <c r="B13471" t="s">
        <v>4</v>
      </c>
      <c r="C13471">
        <v>3</v>
      </c>
      <c r="D13471" t="s">
        <v>5</v>
      </c>
      <c r="F13471" t="str" cm="1">
        <f t="array" ref="F13471">CategorizeComment(E13471)</f>
        <v>Other</v>
      </c>
      <c r="G13471" t="str" cm="1">
        <f t="array" ref="G13471">SubCategorizeComment(E13471)</f>
        <v>Other</v>
      </c>
    </row>
    <row r="13472" spans="1:7" x14ac:dyDescent="0.25">
      <c r="A13472">
        <v>129153</v>
      </c>
      <c r="B13472" t="s">
        <v>4</v>
      </c>
      <c r="C13472">
        <v>3</v>
      </c>
      <c r="D13472" t="s">
        <v>5</v>
      </c>
      <c r="F13472" t="str" cm="1">
        <f t="array" ref="F13472">CategorizeComment(E13472)</f>
        <v>Other</v>
      </c>
      <c r="G13472" t="str" cm="1">
        <f t="array" ref="G13472">SubCategorizeComment(E13472)</f>
        <v>Other</v>
      </c>
    </row>
    <row r="13473" spans="1:7" x14ac:dyDescent="0.25">
      <c r="A13473">
        <v>129163</v>
      </c>
      <c r="B13473" t="s">
        <v>4</v>
      </c>
      <c r="C13473">
        <v>3</v>
      </c>
      <c r="D13473" t="s">
        <v>5</v>
      </c>
      <c r="F13473" t="str" cm="1">
        <f t="array" ref="F13473">CategorizeComment(E13473)</f>
        <v>Other</v>
      </c>
      <c r="G13473" t="str" cm="1">
        <f t="array" ref="G13473">SubCategorizeComment(E13473)</f>
        <v>Other</v>
      </c>
    </row>
    <row r="13474" spans="1:7" x14ac:dyDescent="0.25">
      <c r="A13474">
        <v>129169</v>
      </c>
      <c r="B13474" t="s">
        <v>4</v>
      </c>
      <c r="C13474">
        <v>4</v>
      </c>
      <c r="D13474" t="s">
        <v>5</v>
      </c>
      <c r="F13474" t="str" cm="1">
        <f t="array" ref="F13474">CategorizeComment(E13474)</f>
        <v>Other</v>
      </c>
      <c r="G13474" t="str" cm="1">
        <f t="array" ref="G13474">SubCategorizeComment(E13474)</f>
        <v>Other</v>
      </c>
    </row>
    <row r="13475" spans="1:7" x14ac:dyDescent="0.25">
      <c r="A13475">
        <v>129172</v>
      </c>
      <c r="B13475" t="s">
        <v>4</v>
      </c>
      <c r="C13475">
        <v>3</v>
      </c>
      <c r="D13475" t="s">
        <v>5</v>
      </c>
      <c r="F13475" t="str" cm="1">
        <f t="array" ref="F13475">CategorizeComment(E13475)</f>
        <v>Other</v>
      </c>
      <c r="G13475" t="str" cm="1">
        <f t="array" ref="G13475">SubCategorizeComment(E13475)</f>
        <v>Other</v>
      </c>
    </row>
    <row r="13476" spans="1:7" x14ac:dyDescent="0.25">
      <c r="A13476">
        <v>129180</v>
      </c>
      <c r="B13476" t="s">
        <v>4</v>
      </c>
      <c r="C13476">
        <v>3</v>
      </c>
      <c r="D13476" t="s">
        <v>5</v>
      </c>
      <c r="F13476" t="str" cm="1">
        <f t="array" ref="F13476">CategorizeComment(E13476)</f>
        <v>Other</v>
      </c>
      <c r="G13476" t="str" cm="1">
        <f t="array" ref="G13476">SubCategorizeComment(E13476)</f>
        <v>Other</v>
      </c>
    </row>
    <row r="13477" spans="1:7" x14ac:dyDescent="0.25">
      <c r="A13477">
        <v>129196</v>
      </c>
      <c r="B13477" t="s">
        <v>4</v>
      </c>
      <c r="C13477">
        <v>4</v>
      </c>
      <c r="D13477" t="s">
        <v>5</v>
      </c>
      <c r="F13477" t="str" cm="1">
        <f t="array" ref="F13477">CategorizeComment(E13477)</f>
        <v>Other</v>
      </c>
      <c r="G13477" t="str" cm="1">
        <f t="array" ref="G13477">SubCategorizeComment(E13477)</f>
        <v>Other</v>
      </c>
    </row>
    <row r="13478" spans="1:7" x14ac:dyDescent="0.25">
      <c r="A13478">
        <v>129204</v>
      </c>
      <c r="B13478" t="s">
        <v>4</v>
      </c>
      <c r="C13478">
        <v>4</v>
      </c>
      <c r="D13478" t="s">
        <v>5</v>
      </c>
      <c r="F13478" t="str" cm="1">
        <f t="array" ref="F13478">CategorizeComment(E13478)</f>
        <v>Other</v>
      </c>
      <c r="G13478" t="str" cm="1">
        <f t="array" ref="G13478">SubCategorizeComment(E13478)</f>
        <v>Other</v>
      </c>
    </row>
    <row r="13479" spans="1:7" x14ac:dyDescent="0.25">
      <c r="A13479">
        <v>129205</v>
      </c>
      <c r="B13479" t="s">
        <v>4</v>
      </c>
      <c r="C13479">
        <v>4</v>
      </c>
      <c r="D13479" t="s">
        <v>5</v>
      </c>
      <c r="F13479" t="str" cm="1">
        <f t="array" ref="F13479">CategorizeComment(E13479)</f>
        <v>Other</v>
      </c>
      <c r="G13479" t="str" cm="1">
        <f t="array" ref="G13479">SubCategorizeComment(E13479)</f>
        <v>Other</v>
      </c>
    </row>
    <row r="13480" spans="1:7" x14ac:dyDescent="0.25">
      <c r="A13480">
        <v>129207</v>
      </c>
      <c r="B13480" t="s">
        <v>4</v>
      </c>
      <c r="C13480">
        <v>3</v>
      </c>
      <c r="D13480" t="s">
        <v>5</v>
      </c>
      <c r="F13480" t="str" cm="1">
        <f t="array" ref="F13480">CategorizeComment(E13480)</f>
        <v>Other</v>
      </c>
      <c r="G13480" t="str" cm="1">
        <f t="array" ref="G13480">SubCategorizeComment(E13480)</f>
        <v>Other</v>
      </c>
    </row>
    <row r="13481" spans="1:7" x14ac:dyDescent="0.25">
      <c r="A13481">
        <v>129209</v>
      </c>
      <c r="B13481" t="s">
        <v>4</v>
      </c>
      <c r="C13481">
        <v>4</v>
      </c>
      <c r="D13481" t="s">
        <v>5</v>
      </c>
      <c r="F13481" t="str" cm="1">
        <f t="array" ref="F13481">CategorizeComment(E13481)</f>
        <v>Other</v>
      </c>
      <c r="G13481" t="str" cm="1">
        <f t="array" ref="G13481">SubCategorizeComment(E13481)</f>
        <v>Other</v>
      </c>
    </row>
    <row r="13482" spans="1:7" x14ac:dyDescent="0.25">
      <c r="A13482">
        <v>129235</v>
      </c>
      <c r="B13482" t="s">
        <v>4</v>
      </c>
      <c r="C13482">
        <v>3</v>
      </c>
      <c r="D13482" t="s">
        <v>5</v>
      </c>
      <c r="F13482" t="str" cm="1">
        <f t="array" ref="F13482">CategorizeComment(E13482)</f>
        <v>Other</v>
      </c>
      <c r="G13482" t="str" cm="1">
        <f t="array" ref="G13482">SubCategorizeComment(E13482)</f>
        <v>Other</v>
      </c>
    </row>
    <row r="13483" spans="1:7" x14ac:dyDescent="0.25">
      <c r="A13483">
        <v>129236</v>
      </c>
      <c r="B13483" t="s">
        <v>4</v>
      </c>
      <c r="C13483">
        <v>3</v>
      </c>
      <c r="D13483" t="s">
        <v>5</v>
      </c>
      <c r="F13483" t="str" cm="1">
        <f t="array" ref="F13483">CategorizeComment(E13483)</f>
        <v>Other</v>
      </c>
      <c r="G13483" t="str" cm="1">
        <f t="array" ref="G13483">SubCategorizeComment(E13483)</f>
        <v>Other</v>
      </c>
    </row>
    <row r="13484" spans="1:7" x14ac:dyDescent="0.25">
      <c r="A13484">
        <v>129237</v>
      </c>
      <c r="B13484" t="s">
        <v>4</v>
      </c>
      <c r="C13484">
        <v>4</v>
      </c>
      <c r="D13484" t="s">
        <v>5</v>
      </c>
      <c r="F13484" t="str" cm="1">
        <f t="array" ref="F13484">CategorizeComment(E13484)</f>
        <v>Other</v>
      </c>
      <c r="G13484" t="str" cm="1">
        <f t="array" ref="G13484">SubCategorizeComment(E13484)</f>
        <v>Other</v>
      </c>
    </row>
    <row r="13485" spans="1:7" x14ac:dyDescent="0.25">
      <c r="A13485">
        <v>129241</v>
      </c>
      <c r="B13485" t="s">
        <v>4</v>
      </c>
      <c r="C13485">
        <v>4</v>
      </c>
      <c r="D13485" t="s">
        <v>5</v>
      </c>
      <c r="F13485" t="str" cm="1">
        <f t="array" ref="F13485">CategorizeComment(E13485)</f>
        <v>Other</v>
      </c>
      <c r="G13485" t="str" cm="1">
        <f t="array" ref="G13485">SubCategorizeComment(E13485)</f>
        <v>Other</v>
      </c>
    </row>
    <row r="13486" spans="1:7" x14ac:dyDescent="0.25">
      <c r="A13486">
        <v>129251</v>
      </c>
      <c r="B13486" t="s">
        <v>4</v>
      </c>
      <c r="C13486">
        <v>3</v>
      </c>
      <c r="D13486" t="s">
        <v>5</v>
      </c>
      <c r="F13486" t="str" cm="1">
        <f t="array" ref="F13486">CategorizeComment(E13486)</f>
        <v>Other</v>
      </c>
      <c r="G13486" t="str" cm="1">
        <f t="array" ref="G13486">SubCategorizeComment(E13486)</f>
        <v>Other</v>
      </c>
    </row>
    <row r="13487" spans="1:7" x14ac:dyDescent="0.25">
      <c r="A13487">
        <v>129262</v>
      </c>
      <c r="B13487" t="s">
        <v>4</v>
      </c>
      <c r="C13487">
        <v>3</v>
      </c>
      <c r="D13487" t="s">
        <v>5</v>
      </c>
      <c r="F13487" t="str" cm="1">
        <f t="array" ref="F13487">CategorizeComment(E13487)</f>
        <v>Other</v>
      </c>
      <c r="G13487" t="str" cm="1">
        <f t="array" ref="G13487">SubCategorizeComment(E13487)</f>
        <v>Other</v>
      </c>
    </row>
    <row r="13488" spans="1:7" x14ac:dyDescent="0.25">
      <c r="A13488">
        <v>129295</v>
      </c>
      <c r="B13488" t="s">
        <v>4</v>
      </c>
      <c r="C13488">
        <v>3</v>
      </c>
      <c r="D13488" t="s">
        <v>5</v>
      </c>
      <c r="F13488" t="str" cm="1">
        <f t="array" ref="F13488">CategorizeComment(E13488)</f>
        <v>Other</v>
      </c>
      <c r="G13488" t="str" cm="1">
        <f t="array" ref="G13488">SubCategorizeComment(E13488)</f>
        <v>Other</v>
      </c>
    </row>
    <row r="13489" spans="1:7" x14ac:dyDescent="0.25">
      <c r="A13489">
        <v>129304</v>
      </c>
      <c r="B13489" t="s">
        <v>4</v>
      </c>
      <c r="C13489">
        <v>3</v>
      </c>
      <c r="D13489" t="s">
        <v>5</v>
      </c>
      <c r="F13489" t="str" cm="1">
        <f t="array" ref="F13489">CategorizeComment(E13489)</f>
        <v>Other</v>
      </c>
      <c r="G13489" t="str" cm="1">
        <f t="array" ref="G13489">SubCategorizeComment(E13489)</f>
        <v>Other</v>
      </c>
    </row>
    <row r="13490" spans="1:7" x14ac:dyDescent="0.25">
      <c r="A13490">
        <v>129324</v>
      </c>
      <c r="B13490" t="s">
        <v>4</v>
      </c>
      <c r="C13490">
        <v>4</v>
      </c>
      <c r="D13490" t="s">
        <v>5</v>
      </c>
      <c r="F13490" t="str" cm="1">
        <f t="array" ref="F13490">CategorizeComment(E13490)</f>
        <v>Other</v>
      </c>
      <c r="G13490" t="str" cm="1">
        <f t="array" ref="G13490">SubCategorizeComment(E13490)</f>
        <v>Other</v>
      </c>
    </row>
    <row r="13491" spans="1:7" x14ac:dyDescent="0.25">
      <c r="A13491">
        <v>129327</v>
      </c>
      <c r="B13491" t="s">
        <v>4</v>
      </c>
      <c r="C13491">
        <v>4</v>
      </c>
      <c r="D13491" t="s">
        <v>5</v>
      </c>
      <c r="F13491" t="str" cm="1">
        <f t="array" ref="F13491">CategorizeComment(E13491)</f>
        <v>Other</v>
      </c>
      <c r="G13491" t="str" cm="1">
        <f t="array" ref="G13491">SubCategorizeComment(E13491)</f>
        <v>Other</v>
      </c>
    </row>
    <row r="13492" spans="1:7" x14ac:dyDescent="0.25">
      <c r="A13492">
        <v>129328</v>
      </c>
      <c r="B13492" t="s">
        <v>4</v>
      </c>
      <c r="C13492">
        <v>3</v>
      </c>
      <c r="D13492" t="s">
        <v>5</v>
      </c>
      <c r="F13492" t="str" cm="1">
        <f t="array" ref="F13492">CategorizeComment(E13492)</f>
        <v>Other</v>
      </c>
      <c r="G13492" t="str" cm="1">
        <f t="array" ref="G13492">SubCategorizeComment(E13492)</f>
        <v>Other</v>
      </c>
    </row>
    <row r="13493" spans="1:7" x14ac:dyDescent="0.25">
      <c r="A13493">
        <v>129329</v>
      </c>
      <c r="B13493" t="s">
        <v>4</v>
      </c>
      <c r="C13493">
        <v>4</v>
      </c>
      <c r="D13493" t="s">
        <v>5</v>
      </c>
      <c r="F13493" t="str" cm="1">
        <f t="array" ref="F13493">CategorizeComment(E13493)</f>
        <v>Other</v>
      </c>
      <c r="G13493" t="str" cm="1">
        <f t="array" ref="G13493">SubCategorizeComment(E13493)</f>
        <v>Other</v>
      </c>
    </row>
    <row r="13494" spans="1:7" x14ac:dyDescent="0.25">
      <c r="A13494">
        <v>129335</v>
      </c>
      <c r="B13494" t="s">
        <v>4</v>
      </c>
      <c r="C13494">
        <v>3</v>
      </c>
      <c r="D13494" t="s">
        <v>5</v>
      </c>
      <c r="F13494" t="str" cm="1">
        <f t="array" ref="F13494">CategorizeComment(E13494)</f>
        <v>Other</v>
      </c>
      <c r="G13494" t="str" cm="1">
        <f t="array" ref="G13494">SubCategorizeComment(E13494)</f>
        <v>Other</v>
      </c>
    </row>
    <row r="13495" spans="1:7" x14ac:dyDescent="0.25">
      <c r="A13495">
        <v>129344</v>
      </c>
      <c r="B13495" t="s">
        <v>4</v>
      </c>
      <c r="C13495">
        <v>3</v>
      </c>
      <c r="D13495" t="s">
        <v>5</v>
      </c>
      <c r="F13495" t="str" cm="1">
        <f t="array" ref="F13495">CategorizeComment(E13495)</f>
        <v>Other</v>
      </c>
      <c r="G13495" t="str" cm="1">
        <f t="array" ref="G13495">SubCategorizeComment(E13495)</f>
        <v>Other</v>
      </c>
    </row>
    <row r="13496" spans="1:7" x14ac:dyDescent="0.25">
      <c r="A13496">
        <v>129346</v>
      </c>
      <c r="B13496" t="s">
        <v>4</v>
      </c>
      <c r="C13496">
        <v>4</v>
      </c>
      <c r="D13496" t="s">
        <v>5</v>
      </c>
      <c r="F13496" t="str" cm="1">
        <f t="array" ref="F13496">CategorizeComment(E13496)</f>
        <v>Other</v>
      </c>
      <c r="G13496" t="str" cm="1">
        <f t="array" ref="G13496">SubCategorizeComment(E13496)</f>
        <v>Other</v>
      </c>
    </row>
    <row r="13497" spans="1:7" x14ac:dyDescent="0.25">
      <c r="A13497">
        <v>129347</v>
      </c>
      <c r="B13497" t="s">
        <v>4</v>
      </c>
      <c r="C13497">
        <v>3</v>
      </c>
      <c r="D13497" t="s">
        <v>5</v>
      </c>
      <c r="F13497" t="str" cm="1">
        <f t="array" ref="F13497">CategorizeComment(E13497)</f>
        <v>Other</v>
      </c>
      <c r="G13497" t="str" cm="1">
        <f t="array" ref="G13497">SubCategorizeComment(E13497)</f>
        <v>Other</v>
      </c>
    </row>
    <row r="13498" spans="1:7" x14ac:dyDescent="0.25">
      <c r="A13498">
        <v>129357</v>
      </c>
      <c r="B13498" t="s">
        <v>4</v>
      </c>
      <c r="C13498">
        <v>3</v>
      </c>
      <c r="D13498" t="s">
        <v>5</v>
      </c>
      <c r="F13498" t="str" cm="1">
        <f t="array" ref="F13498">CategorizeComment(E13498)</f>
        <v>Other</v>
      </c>
      <c r="G13498" t="str" cm="1">
        <f t="array" ref="G13498">SubCategorizeComment(E13498)</f>
        <v>Other</v>
      </c>
    </row>
    <row r="13499" spans="1:7" x14ac:dyDescent="0.25">
      <c r="A13499">
        <v>129358</v>
      </c>
      <c r="B13499" t="s">
        <v>4</v>
      </c>
      <c r="C13499">
        <v>3</v>
      </c>
      <c r="D13499" t="s">
        <v>5</v>
      </c>
      <c r="F13499" t="str" cm="1">
        <f t="array" ref="F13499">CategorizeComment(E13499)</f>
        <v>Other</v>
      </c>
      <c r="G13499" t="str" cm="1">
        <f t="array" ref="G13499">SubCategorizeComment(E13499)</f>
        <v>Other</v>
      </c>
    </row>
    <row r="13500" spans="1:7" x14ac:dyDescent="0.25">
      <c r="A13500">
        <v>129359</v>
      </c>
      <c r="B13500" t="s">
        <v>4</v>
      </c>
      <c r="C13500">
        <v>3</v>
      </c>
      <c r="D13500" t="s">
        <v>5</v>
      </c>
      <c r="F13500" t="str" cm="1">
        <f t="array" ref="F13500">CategorizeComment(E13500)</f>
        <v>Other</v>
      </c>
      <c r="G13500" t="str" cm="1">
        <f t="array" ref="G13500">SubCategorizeComment(E13500)</f>
        <v>Other</v>
      </c>
    </row>
    <row r="13501" spans="1:7" x14ac:dyDescent="0.25">
      <c r="A13501">
        <v>129375</v>
      </c>
      <c r="B13501" t="s">
        <v>4</v>
      </c>
      <c r="C13501">
        <v>3</v>
      </c>
      <c r="D13501" t="s">
        <v>5</v>
      </c>
      <c r="F13501" t="str" cm="1">
        <f t="array" ref="F13501">CategorizeComment(E13501)</f>
        <v>Other</v>
      </c>
      <c r="G13501" t="str" cm="1">
        <f t="array" ref="G13501">SubCategorizeComment(E13501)</f>
        <v>Other</v>
      </c>
    </row>
    <row r="13502" spans="1:7" x14ac:dyDescent="0.25">
      <c r="A13502">
        <v>129381</v>
      </c>
      <c r="B13502" t="s">
        <v>4</v>
      </c>
      <c r="C13502">
        <v>4</v>
      </c>
      <c r="D13502" t="s">
        <v>5</v>
      </c>
      <c r="F13502" t="str" cm="1">
        <f t="array" ref="F13502">CategorizeComment(E13502)</f>
        <v>Other</v>
      </c>
      <c r="G13502" t="str" cm="1">
        <f t="array" ref="G13502">SubCategorizeComment(E13502)</f>
        <v>Other</v>
      </c>
    </row>
    <row r="13503" spans="1:7" x14ac:dyDescent="0.25">
      <c r="A13503">
        <v>129389</v>
      </c>
      <c r="B13503" t="s">
        <v>4</v>
      </c>
      <c r="C13503">
        <v>3</v>
      </c>
      <c r="D13503" t="s">
        <v>5</v>
      </c>
      <c r="F13503" t="str" cm="1">
        <f t="array" ref="F13503">CategorizeComment(E13503)</f>
        <v>Other</v>
      </c>
      <c r="G13503" t="str" cm="1">
        <f t="array" ref="G13503">SubCategorizeComment(E13503)</f>
        <v>Other</v>
      </c>
    </row>
    <row r="13504" spans="1:7" x14ac:dyDescent="0.25">
      <c r="A13504">
        <v>129398</v>
      </c>
      <c r="B13504" t="s">
        <v>4</v>
      </c>
      <c r="C13504">
        <v>3</v>
      </c>
      <c r="D13504" t="s">
        <v>5</v>
      </c>
      <c r="F13504" t="str" cm="1">
        <f t="array" ref="F13504">CategorizeComment(E13504)</f>
        <v>Other</v>
      </c>
      <c r="G13504" t="str" cm="1">
        <f t="array" ref="G13504">SubCategorizeComment(E13504)</f>
        <v>Other</v>
      </c>
    </row>
    <row r="13505" spans="1:7" x14ac:dyDescent="0.25">
      <c r="A13505">
        <v>129426</v>
      </c>
      <c r="B13505" t="s">
        <v>4</v>
      </c>
      <c r="C13505">
        <v>3</v>
      </c>
      <c r="D13505" t="s">
        <v>5</v>
      </c>
      <c r="F13505" t="str" cm="1">
        <f t="array" ref="F13505">CategorizeComment(E13505)</f>
        <v>Other</v>
      </c>
      <c r="G13505" t="str" cm="1">
        <f t="array" ref="G13505">SubCategorizeComment(E13505)</f>
        <v>Other</v>
      </c>
    </row>
    <row r="13506" spans="1:7" x14ac:dyDescent="0.25">
      <c r="A13506">
        <v>129428</v>
      </c>
      <c r="B13506" t="s">
        <v>4</v>
      </c>
      <c r="C13506">
        <v>3</v>
      </c>
      <c r="D13506" t="s">
        <v>5</v>
      </c>
      <c r="F13506" t="str" cm="1">
        <f t="array" ref="F13506">CategorizeComment(E13506)</f>
        <v>Other</v>
      </c>
      <c r="G13506" t="str" cm="1">
        <f t="array" ref="G13506">SubCategorizeComment(E13506)</f>
        <v>Other</v>
      </c>
    </row>
    <row r="13507" spans="1:7" x14ac:dyDescent="0.25">
      <c r="A13507">
        <v>129430</v>
      </c>
      <c r="B13507" t="s">
        <v>4</v>
      </c>
      <c r="C13507">
        <v>3</v>
      </c>
      <c r="D13507" t="s">
        <v>5</v>
      </c>
      <c r="F13507" t="str" cm="1">
        <f t="array" ref="F13507">CategorizeComment(E13507)</f>
        <v>Other</v>
      </c>
      <c r="G13507" t="str" cm="1">
        <f t="array" ref="G13507">SubCategorizeComment(E13507)</f>
        <v>Other</v>
      </c>
    </row>
    <row r="13508" spans="1:7" x14ac:dyDescent="0.25">
      <c r="A13508">
        <v>129434</v>
      </c>
      <c r="B13508" t="s">
        <v>4</v>
      </c>
      <c r="C13508">
        <v>4</v>
      </c>
      <c r="D13508" t="s">
        <v>5</v>
      </c>
      <c r="F13508" t="str" cm="1">
        <f t="array" ref="F13508">CategorizeComment(E13508)</f>
        <v>Other</v>
      </c>
      <c r="G13508" t="str" cm="1">
        <f t="array" ref="G13508">SubCategorizeComment(E13508)</f>
        <v>Other</v>
      </c>
    </row>
    <row r="13509" spans="1:7" x14ac:dyDescent="0.25">
      <c r="A13509">
        <v>129437</v>
      </c>
      <c r="B13509" t="s">
        <v>4</v>
      </c>
      <c r="C13509">
        <v>3</v>
      </c>
      <c r="D13509" t="s">
        <v>5</v>
      </c>
      <c r="F13509" t="str" cm="1">
        <f t="array" ref="F13509">CategorizeComment(E13509)</f>
        <v>Other</v>
      </c>
      <c r="G13509" t="str" cm="1">
        <f t="array" ref="G13509">SubCategorizeComment(E13509)</f>
        <v>Other</v>
      </c>
    </row>
    <row r="13510" spans="1:7" x14ac:dyDescent="0.25">
      <c r="A13510">
        <v>129450</v>
      </c>
      <c r="B13510" t="s">
        <v>4</v>
      </c>
      <c r="C13510">
        <v>4</v>
      </c>
      <c r="D13510" t="s">
        <v>5</v>
      </c>
      <c r="F13510" t="str" cm="1">
        <f t="array" ref="F13510">CategorizeComment(E13510)</f>
        <v>Other</v>
      </c>
      <c r="G13510" t="str" cm="1">
        <f t="array" ref="G13510">SubCategorizeComment(E13510)</f>
        <v>Other</v>
      </c>
    </row>
    <row r="13511" spans="1:7" x14ac:dyDescent="0.25">
      <c r="A13511">
        <v>129454</v>
      </c>
      <c r="B13511" t="s">
        <v>4</v>
      </c>
      <c r="C13511">
        <v>3</v>
      </c>
      <c r="D13511" t="s">
        <v>5</v>
      </c>
      <c r="F13511" t="str" cm="1">
        <f t="array" ref="F13511">CategorizeComment(E13511)</f>
        <v>Other</v>
      </c>
      <c r="G13511" t="str" cm="1">
        <f t="array" ref="G13511">SubCategorizeComment(E13511)</f>
        <v>Other</v>
      </c>
    </row>
    <row r="13512" spans="1:7" x14ac:dyDescent="0.25">
      <c r="A13512">
        <v>129464</v>
      </c>
      <c r="B13512" t="s">
        <v>4</v>
      </c>
      <c r="C13512">
        <v>3</v>
      </c>
      <c r="D13512" t="s">
        <v>5</v>
      </c>
      <c r="F13512" t="str" cm="1">
        <f t="array" ref="F13512">CategorizeComment(E13512)</f>
        <v>Other</v>
      </c>
      <c r="G13512" t="str" cm="1">
        <f t="array" ref="G13512">SubCategorizeComment(E13512)</f>
        <v>Other</v>
      </c>
    </row>
    <row r="13513" spans="1:7" x14ac:dyDescent="0.25">
      <c r="A13513">
        <v>129470</v>
      </c>
      <c r="B13513" t="s">
        <v>4</v>
      </c>
      <c r="C13513">
        <v>4</v>
      </c>
      <c r="D13513" t="s">
        <v>5</v>
      </c>
      <c r="F13513" t="str" cm="1">
        <f t="array" ref="F13513">CategorizeComment(E13513)</f>
        <v>Other</v>
      </c>
      <c r="G13513" t="str" cm="1">
        <f t="array" ref="G13513">SubCategorizeComment(E13513)</f>
        <v>Other</v>
      </c>
    </row>
    <row r="13514" spans="1:7" x14ac:dyDescent="0.25">
      <c r="A13514">
        <v>129478</v>
      </c>
      <c r="B13514" t="s">
        <v>4</v>
      </c>
      <c r="C13514">
        <v>3</v>
      </c>
      <c r="D13514" t="s">
        <v>5</v>
      </c>
      <c r="F13514" t="str" cm="1">
        <f t="array" ref="F13514">CategorizeComment(E13514)</f>
        <v>Other</v>
      </c>
      <c r="G13514" t="str" cm="1">
        <f t="array" ref="G13514">SubCategorizeComment(E13514)</f>
        <v>Other</v>
      </c>
    </row>
    <row r="13515" spans="1:7" x14ac:dyDescent="0.25">
      <c r="A13515">
        <v>129488</v>
      </c>
      <c r="B13515" t="s">
        <v>4</v>
      </c>
      <c r="C13515">
        <v>3</v>
      </c>
      <c r="D13515" t="s">
        <v>5</v>
      </c>
      <c r="F13515" t="str" cm="1">
        <f t="array" ref="F13515">CategorizeComment(E13515)</f>
        <v>Other</v>
      </c>
      <c r="G13515" t="str" cm="1">
        <f t="array" ref="G13515">SubCategorizeComment(E13515)</f>
        <v>Other</v>
      </c>
    </row>
    <row r="13516" spans="1:7" x14ac:dyDescent="0.25">
      <c r="A13516">
        <v>129489</v>
      </c>
      <c r="B13516" t="s">
        <v>4</v>
      </c>
      <c r="C13516">
        <v>4</v>
      </c>
      <c r="D13516" t="s">
        <v>5</v>
      </c>
      <c r="F13516" t="str" cm="1">
        <f t="array" ref="F13516">CategorizeComment(E13516)</f>
        <v>Other</v>
      </c>
      <c r="G13516" t="str" cm="1">
        <f t="array" ref="G13516">SubCategorizeComment(E13516)</f>
        <v>Other</v>
      </c>
    </row>
    <row r="13517" spans="1:7" x14ac:dyDescent="0.25">
      <c r="A13517">
        <v>129495</v>
      </c>
      <c r="B13517" t="s">
        <v>4</v>
      </c>
      <c r="C13517">
        <v>3</v>
      </c>
      <c r="D13517" t="s">
        <v>5</v>
      </c>
      <c r="F13517" t="str" cm="1">
        <f t="array" ref="F13517">CategorizeComment(E13517)</f>
        <v>Other</v>
      </c>
      <c r="G13517" t="str" cm="1">
        <f t="array" ref="G13517">SubCategorizeComment(E13517)</f>
        <v>Other</v>
      </c>
    </row>
    <row r="13518" spans="1:7" x14ac:dyDescent="0.25">
      <c r="A13518">
        <v>129498</v>
      </c>
      <c r="B13518" t="s">
        <v>4</v>
      </c>
      <c r="C13518">
        <v>4</v>
      </c>
      <c r="D13518" t="s">
        <v>5</v>
      </c>
      <c r="F13518" t="str" cm="1">
        <f t="array" ref="F13518">CategorizeComment(E13518)</f>
        <v>Other</v>
      </c>
      <c r="G13518" t="str" cm="1">
        <f t="array" ref="G13518">SubCategorizeComment(E13518)</f>
        <v>Other</v>
      </c>
    </row>
    <row r="13519" spans="1:7" x14ac:dyDescent="0.25">
      <c r="A13519">
        <v>129504</v>
      </c>
      <c r="B13519" t="s">
        <v>4</v>
      </c>
      <c r="C13519">
        <v>3</v>
      </c>
      <c r="D13519" t="s">
        <v>5</v>
      </c>
      <c r="F13519" t="str" cm="1">
        <f t="array" ref="F13519">CategorizeComment(E13519)</f>
        <v>Other</v>
      </c>
      <c r="G13519" t="str" cm="1">
        <f t="array" ref="G13519">SubCategorizeComment(E13519)</f>
        <v>Other</v>
      </c>
    </row>
    <row r="13520" spans="1:7" x14ac:dyDescent="0.25">
      <c r="A13520">
        <v>129505</v>
      </c>
      <c r="B13520" t="s">
        <v>4</v>
      </c>
      <c r="C13520">
        <v>4</v>
      </c>
      <c r="D13520" t="s">
        <v>5</v>
      </c>
      <c r="F13520" t="str" cm="1">
        <f t="array" ref="F13520">CategorizeComment(E13520)</f>
        <v>Other</v>
      </c>
      <c r="G13520" t="str" cm="1">
        <f t="array" ref="G13520">SubCategorizeComment(E13520)</f>
        <v>Other</v>
      </c>
    </row>
    <row r="13521" spans="1:7" x14ac:dyDescent="0.25">
      <c r="A13521">
        <v>129508</v>
      </c>
      <c r="B13521" t="s">
        <v>4</v>
      </c>
      <c r="C13521">
        <v>4</v>
      </c>
      <c r="D13521" t="s">
        <v>5</v>
      </c>
      <c r="F13521" t="str" cm="1">
        <f t="array" ref="F13521">CategorizeComment(E13521)</f>
        <v>Other</v>
      </c>
      <c r="G13521" t="str" cm="1">
        <f t="array" ref="G13521">SubCategorizeComment(E13521)</f>
        <v>Other</v>
      </c>
    </row>
    <row r="13522" spans="1:7" x14ac:dyDescent="0.25">
      <c r="A13522">
        <v>129510</v>
      </c>
      <c r="B13522" t="s">
        <v>4</v>
      </c>
      <c r="C13522">
        <v>4</v>
      </c>
      <c r="D13522" t="s">
        <v>5</v>
      </c>
      <c r="F13522" t="str" cm="1">
        <f t="array" ref="F13522">CategorizeComment(E13522)</f>
        <v>Other</v>
      </c>
      <c r="G13522" t="str" cm="1">
        <f t="array" ref="G13522">SubCategorizeComment(E13522)</f>
        <v>Other</v>
      </c>
    </row>
    <row r="13523" spans="1:7" x14ac:dyDescent="0.25">
      <c r="A13523">
        <v>129512</v>
      </c>
      <c r="B13523" t="s">
        <v>4</v>
      </c>
      <c r="C13523">
        <v>3</v>
      </c>
      <c r="D13523" t="s">
        <v>5</v>
      </c>
      <c r="F13523" t="str" cm="1">
        <f t="array" ref="F13523">CategorizeComment(E13523)</f>
        <v>Other</v>
      </c>
      <c r="G13523" t="str" cm="1">
        <f t="array" ref="G13523">SubCategorizeComment(E13523)</f>
        <v>Other</v>
      </c>
    </row>
    <row r="13524" spans="1:7" x14ac:dyDescent="0.25">
      <c r="A13524">
        <v>129519</v>
      </c>
      <c r="B13524" t="s">
        <v>4</v>
      </c>
      <c r="C13524">
        <v>3</v>
      </c>
      <c r="D13524" t="s">
        <v>5</v>
      </c>
      <c r="F13524" t="str" cm="1">
        <f t="array" ref="F13524">CategorizeComment(E13524)</f>
        <v>Other</v>
      </c>
      <c r="G13524" t="str" cm="1">
        <f t="array" ref="G13524">SubCategorizeComment(E13524)</f>
        <v>Other</v>
      </c>
    </row>
    <row r="13525" spans="1:7" x14ac:dyDescent="0.25">
      <c r="A13525">
        <v>129543</v>
      </c>
      <c r="B13525" t="s">
        <v>4</v>
      </c>
      <c r="C13525">
        <v>4</v>
      </c>
      <c r="D13525" t="s">
        <v>5</v>
      </c>
      <c r="F13525" t="str" cm="1">
        <f t="array" ref="F13525">CategorizeComment(E13525)</f>
        <v>Other</v>
      </c>
      <c r="G13525" t="str" cm="1">
        <f t="array" ref="G13525">SubCategorizeComment(E13525)</f>
        <v>Other</v>
      </c>
    </row>
    <row r="13526" spans="1:7" x14ac:dyDescent="0.25">
      <c r="A13526">
        <v>129567</v>
      </c>
      <c r="B13526" t="s">
        <v>4</v>
      </c>
      <c r="C13526">
        <v>4</v>
      </c>
      <c r="D13526" t="s">
        <v>5</v>
      </c>
      <c r="F13526" t="str" cm="1">
        <f t="array" ref="F13526">CategorizeComment(E13526)</f>
        <v>Other</v>
      </c>
      <c r="G13526" t="str" cm="1">
        <f t="array" ref="G13526">SubCategorizeComment(E13526)</f>
        <v>Other</v>
      </c>
    </row>
    <row r="13527" spans="1:7" x14ac:dyDescent="0.25">
      <c r="A13527">
        <v>129571</v>
      </c>
      <c r="B13527" t="s">
        <v>4</v>
      </c>
      <c r="C13527">
        <v>4</v>
      </c>
      <c r="D13527" t="s">
        <v>5</v>
      </c>
      <c r="F13527" t="str" cm="1">
        <f t="array" ref="F13527">CategorizeComment(E13527)</f>
        <v>Other</v>
      </c>
      <c r="G13527" t="str" cm="1">
        <f t="array" ref="G13527">SubCategorizeComment(E13527)</f>
        <v>Other</v>
      </c>
    </row>
    <row r="13528" spans="1:7" x14ac:dyDescent="0.25">
      <c r="A13528">
        <v>129586</v>
      </c>
      <c r="B13528" t="s">
        <v>4</v>
      </c>
      <c r="C13528">
        <v>3</v>
      </c>
      <c r="D13528" t="s">
        <v>5</v>
      </c>
      <c r="F13528" t="str" cm="1">
        <f t="array" ref="F13528">CategorizeComment(E13528)</f>
        <v>Other</v>
      </c>
      <c r="G13528" t="str" cm="1">
        <f t="array" ref="G13528">SubCategorizeComment(E13528)</f>
        <v>Other</v>
      </c>
    </row>
    <row r="13529" spans="1:7" x14ac:dyDescent="0.25">
      <c r="A13529">
        <v>129613</v>
      </c>
      <c r="B13529" t="s">
        <v>4</v>
      </c>
      <c r="C13529">
        <v>4</v>
      </c>
      <c r="D13529" t="s">
        <v>5</v>
      </c>
      <c r="F13529" t="str" cm="1">
        <f t="array" ref="F13529">CategorizeComment(E13529)</f>
        <v>Other</v>
      </c>
      <c r="G13529" t="str" cm="1">
        <f t="array" ref="G13529">SubCategorizeComment(E13529)</f>
        <v>Other</v>
      </c>
    </row>
    <row r="13530" spans="1:7" x14ac:dyDescent="0.25">
      <c r="A13530">
        <v>129631</v>
      </c>
      <c r="B13530" t="s">
        <v>4</v>
      </c>
      <c r="C13530">
        <v>4</v>
      </c>
      <c r="D13530" t="s">
        <v>5</v>
      </c>
      <c r="F13530" t="str" cm="1">
        <f t="array" ref="F13530">CategorizeComment(E13530)</f>
        <v>Other</v>
      </c>
      <c r="G13530" t="str" cm="1">
        <f t="array" ref="G13530">SubCategorizeComment(E13530)</f>
        <v>Other</v>
      </c>
    </row>
    <row r="13531" spans="1:7" x14ac:dyDescent="0.25">
      <c r="A13531">
        <v>129658</v>
      </c>
      <c r="B13531" t="s">
        <v>4</v>
      </c>
      <c r="C13531">
        <v>3</v>
      </c>
      <c r="D13531" t="s">
        <v>5</v>
      </c>
      <c r="F13531" t="str" cm="1">
        <f t="array" ref="F13531">CategorizeComment(E13531)</f>
        <v>Other</v>
      </c>
      <c r="G13531" t="str" cm="1">
        <f t="array" ref="G13531">SubCategorizeComment(E13531)</f>
        <v>Other</v>
      </c>
    </row>
    <row r="13532" spans="1:7" x14ac:dyDescent="0.25">
      <c r="A13532">
        <v>129687</v>
      </c>
      <c r="B13532" t="s">
        <v>4</v>
      </c>
      <c r="C13532">
        <v>3</v>
      </c>
      <c r="D13532" t="s">
        <v>5</v>
      </c>
      <c r="F13532" t="str" cm="1">
        <f t="array" ref="F13532">CategorizeComment(E13532)</f>
        <v>Other</v>
      </c>
      <c r="G13532" t="str" cm="1">
        <f t="array" ref="G13532">SubCategorizeComment(E13532)</f>
        <v>Other</v>
      </c>
    </row>
    <row r="13533" spans="1:7" x14ac:dyDescent="0.25">
      <c r="A13533">
        <v>129702</v>
      </c>
      <c r="B13533" t="s">
        <v>4</v>
      </c>
      <c r="C13533">
        <v>3</v>
      </c>
      <c r="D13533" t="s">
        <v>5</v>
      </c>
      <c r="F13533" t="str" cm="1">
        <f t="array" ref="F13533">CategorizeComment(E13533)</f>
        <v>Other</v>
      </c>
      <c r="G13533" t="str" cm="1">
        <f t="array" ref="G13533">SubCategorizeComment(E13533)</f>
        <v>Other</v>
      </c>
    </row>
    <row r="13534" spans="1:7" x14ac:dyDescent="0.25">
      <c r="A13534">
        <v>129706</v>
      </c>
      <c r="B13534" t="s">
        <v>4</v>
      </c>
      <c r="C13534">
        <v>4</v>
      </c>
      <c r="D13534" t="s">
        <v>5</v>
      </c>
      <c r="F13534" t="str" cm="1">
        <f t="array" ref="F13534">CategorizeComment(E13534)</f>
        <v>Other</v>
      </c>
      <c r="G13534" t="str" cm="1">
        <f t="array" ref="G13534">SubCategorizeComment(E13534)</f>
        <v>Other</v>
      </c>
    </row>
    <row r="13535" spans="1:7" x14ac:dyDescent="0.25">
      <c r="A13535">
        <v>129720</v>
      </c>
      <c r="B13535" t="s">
        <v>4</v>
      </c>
      <c r="C13535">
        <v>3</v>
      </c>
      <c r="D13535" t="s">
        <v>5</v>
      </c>
      <c r="F13535" t="str" cm="1">
        <f t="array" ref="F13535">CategorizeComment(E13535)</f>
        <v>Other</v>
      </c>
      <c r="G13535" t="str" cm="1">
        <f t="array" ref="G13535">SubCategorizeComment(E13535)</f>
        <v>Other</v>
      </c>
    </row>
    <row r="13536" spans="1:7" x14ac:dyDescent="0.25">
      <c r="A13536">
        <v>129723</v>
      </c>
      <c r="B13536" t="s">
        <v>4</v>
      </c>
      <c r="C13536">
        <v>3</v>
      </c>
      <c r="D13536" t="s">
        <v>5</v>
      </c>
      <c r="F13536" t="str" cm="1">
        <f t="array" ref="F13536">CategorizeComment(E13536)</f>
        <v>Other</v>
      </c>
      <c r="G13536" t="str" cm="1">
        <f t="array" ref="G13536">SubCategorizeComment(E13536)</f>
        <v>Other</v>
      </c>
    </row>
    <row r="13537" spans="1:7" x14ac:dyDescent="0.25">
      <c r="A13537">
        <v>129725</v>
      </c>
      <c r="B13537" t="s">
        <v>4</v>
      </c>
      <c r="C13537">
        <v>3</v>
      </c>
      <c r="D13537" t="s">
        <v>5</v>
      </c>
      <c r="F13537" t="str" cm="1">
        <f t="array" ref="F13537">CategorizeComment(E13537)</f>
        <v>Other</v>
      </c>
      <c r="G13537" t="str" cm="1">
        <f t="array" ref="G13537">SubCategorizeComment(E13537)</f>
        <v>Other</v>
      </c>
    </row>
    <row r="13538" spans="1:7" x14ac:dyDescent="0.25">
      <c r="A13538">
        <v>129734</v>
      </c>
      <c r="B13538" t="s">
        <v>4</v>
      </c>
      <c r="C13538">
        <v>3</v>
      </c>
      <c r="D13538" t="s">
        <v>5</v>
      </c>
      <c r="F13538" t="str" cm="1">
        <f t="array" ref="F13538">CategorizeComment(E13538)</f>
        <v>Other</v>
      </c>
      <c r="G13538" t="str" cm="1">
        <f t="array" ref="G13538">SubCategorizeComment(E13538)</f>
        <v>Other</v>
      </c>
    </row>
    <row r="13539" spans="1:7" x14ac:dyDescent="0.25">
      <c r="A13539">
        <v>129735</v>
      </c>
      <c r="B13539" t="s">
        <v>4</v>
      </c>
      <c r="C13539">
        <v>4</v>
      </c>
      <c r="D13539" t="s">
        <v>5</v>
      </c>
      <c r="F13539" t="str" cm="1">
        <f t="array" ref="F13539">CategorizeComment(E13539)</f>
        <v>Other</v>
      </c>
      <c r="G13539" t="str" cm="1">
        <f t="array" ref="G13539">SubCategorizeComment(E13539)</f>
        <v>Other</v>
      </c>
    </row>
    <row r="13540" spans="1:7" x14ac:dyDescent="0.25">
      <c r="A13540">
        <v>129740</v>
      </c>
      <c r="B13540" t="s">
        <v>4</v>
      </c>
      <c r="C13540">
        <v>3</v>
      </c>
      <c r="D13540" t="s">
        <v>5</v>
      </c>
      <c r="F13540" t="str" cm="1">
        <f t="array" ref="F13540">CategorizeComment(E13540)</f>
        <v>Other</v>
      </c>
      <c r="G13540" t="str" cm="1">
        <f t="array" ref="G13540">SubCategorizeComment(E13540)</f>
        <v>Other</v>
      </c>
    </row>
    <row r="13541" spans="1:7" x14ac:dyDescent="0.25">
      <c r="A13541">
        <v>129747</v>
      </c>
      <c r="B13541" t="s">
        <v>4</v>
      </c>
      <c r="C13541">
        <v>3</v>
      </c>
      <c r="D13541" t="s">
        <v>5</v>
      </c>
      <c r="F13541" t="str" cm="1">
        <f t="array" ref="F13541">CategorizeComment(E13541)</f>
        <v>Other</v>
      </c>
      <c r="G13541" t="str" cm="1">
        <f t="array" ref="G13541">SubCategorizeComment(E13541)</f>
        <v>Other</v>
      </c>
    </row>
    <row r="13542" spans="1:7" x14ac:dyDescent="0.25">
      <c r="A13542">
        <v>129751</v>
      </c>
      <c r="B13542" t="s">
        <v>4</v>
      </c>
      <c r="C13542">
        <v>4</v>
      </c>
      <c r="D13542" t="s">
        <v>5</v>
      </c>
      <c r="F13542" t="str" cm="1">
        <f t="array" ref="F13542">CategorizeComment(E13542)</f>
        <v>Other</v>
      </c>
      <c r="G13542" t="str" cm="1">
        <f t="array" ref="G13542">SubCategorizeComment(E13542)</f>
        <v>Other</v>
      </c>
    </row>
    <row r="13543" spans="1:7" x14ac:dyDescent="0.25">
      <c r="A13543">
        <v>129755</v>
      </c>
      <c r="B13543" t="s">
        <v>4</v>
      </c>
      <c r="C13543">
        <v>3</v>
      </c>
      <c r="D13543" t="s">
        <v>5</v>
      </c>
      <c r="F13543" t="str" cm="1">
        <f t="array" ref="F13543">CategorizeComment(E13543)</f>
        <v>Other</v>
      </c>
      <c r="G13543" t="str" cm="1">
        <f t="array" ref="G13543">SubCategorizeComment(E13543)</f>
        <v>Other</v>
      </c>
    </row>
    <row r="13544" spans="1:7" x14ac:dyDescent="0.25">
      <c r="A13544">
        <v>129759</v>
      </c>
      <c r="B13544" t="s">
        <v>4</v>
      </c>
      <c r="C13544">
        <v>4</v>
      </c>
      <c r="D13544" t="s">
        <v>5</v>
      </c>
      <c r="F13544" t="str" cm="1">
        <f t="array" ref="F13544">CategorizeComment(E13544)</f>
        <v>Other</v>
      </c>
      <c r="G13544" t="str" cm="1">
        <f t="array" ref="G13544">SubCategorizeComment(E13544)</f>
        <v>Other</v>
      </c>
    </row>
    <row r="13545" spans="1:7" x14ac:dyDescent="0.25">
      <c r="A13545">
        <v>129760</v>
      </c>
      <c r="B13545" t="s">
        <v>4</v>
      </c>
      <c r="C13545">
        <v>4</v>
      </c>
      <c r="D13545" t="s">
        <v>5</v>
      </c>
      <c r="F13545" t="str" cm="1">
        <f t="array" ref="F13545">CategorizeComment(E13545)</f>
        <v>Other</v>
      </c>
      <c r="G13545" t="str" cm="1">
        <f t="array" ref="G13545">SubCategorizeComment(E13545)</f>
        <v>Other</v>
      </c>
    </row>
    <row r="13546" spans="1:7" x14ac:dyDescent="0.25">
      <c r="A13546">
        <v>129766</v>
      </c>
      <c r="B13546" t="s">
        <v>4</v>
      </c>
      <c r="C13546">
        <v>4</v>
      </c>
      <c r="D13546" t="s">
        <v>5</v>
      </c>
      <c r="F13546" t="str" cm="1">
        <f t="array" ref="F13546">CategorizeComment(E13546)</f>
        <v>Other</v>
      </c>
      <c r="G13546" t="str" cm="1">
        <f t="array" ref="G13546">SubCategorizeComment(E13546)</f>
        <v>Other</v>
      </c>
    </row>
    <row r="13547" spans="1:7" x14ac:dyDescent="0.25">
      <c r="A13547">
        <v>129769</v>
      </c>
      <c r="B13547" t="s">
        <v>4</v>
      </c>
      <c r="C13547">
        <v>4</v>
      </c>
      <c r="D13547" t="s">
        <v>5</v>
      </c>
      <c r="F13547" t="str" cm="1">
        <f t="array" ref="F13547">CategorizeComment(E13547)</f>
        <v>Other</v>
      </c>
      <c r="G13547" t="str" cm="1">
        <f t="array" ref="G13547">SubCategorizeComment(E13547)</f>
        <v>Other</v>
      </c>
    </row>
    <row r="13548" spans="1:7" x14ac:dyDescent="0.25">
      <c r="A13548">
        <v>129787</v>
      </c>
      <c r="B13548" t="s">
        <v>4</v>
      </c>
      <c r="C13548">
        <v>4</v>
      </c>
      <c r="D13548" t="s">
        <v>5</v>
      </c>
      <c r="F13548" t="str" cm="1">
        <f t="array" ref="F13548">CategorizeComment(E13548)</f>
        <v>Other</v>
      </c>
      <c r="G13548" t="str" cm="1">
        <f t="array" ref="G13548">SubCategorizeComment(E13548)</f>
        <v>Other</v>
      </c>
    </row>
    <row r="13549" spans="1:7" x14ac:dyDescent="0.25">
      <c r="A13549">
        <v>129796</v>
      </c>
      <c r="B13549" t="s">
        <v>4</v>
      </c>
      <c r="C13549">
        <v>4</v>
      </c>
      <c r="D13549" t="s">
        <v>5</v>
      </c>
      <c r="F13549" t="str" cm="1">
        <f t="array" ref="F13549">CategorizeComment(E13549)</f>
        <v>Other</v>
      </c>
      <c r="G13549" t="str" cm="1">
        <f t="array" ref="G13549">SubCategorizeComment(E13549)</f>
        <v>Other</v>
      </c>
    </row>
    <row r="13550" spans="1:7" x14ac:dyDescent="0.25">
      <c r="A13550">
        <v>129828</v>
      </c>
      <c r="B13550" t="s">
        <v>4</v>
      </c>
      <c r="C13550">
        <v>3</v>
      </c>
      <c r="D13550" t="s">
        <v>5</v>
      </c>
      <c r="F13550" t="str" cm="1">
        <f t="array" ref="F13550">CategorizeComment(E13550)</f>
        <v>Other</v>
      </c>
      <c r="G13550" t="str" cm="1">
        <f t="array" ref="G13550">SubCategorizeComment(E13550)</f>
        <v>Other</v>
      </c>
    </row>
    <row r="13551" spans="1:7" x14ac:dyDescent="0.25">
      <c r="A13551">
        <v>129843</v>
      </c>
      <c r="B13551" t="s">
        <v>4</v>
      </c>
      <c r="C13551">
        <v>3</v>
      </c>
      <c r="D13551" t="s">
        <v>5</v>
      </c>
      <c r="F13551" t="str" cm="1">
        <f t="array" ref="F13551">CategorizeComment(E13551)</f>
        <v>Other</v>
      </c>
      <c r="G13551" t="str" cm="1">
        <f t="array" ref="G13551">SubCategorizeComment(E13551)</f>
        <v>Other</v>
      </c>
    </row>
    <row r="13552" spans="1:7" x14ac:dyDescent="0.25">
      <c r="A13552">
        <v>18078</v>
      </c>
      <c r="B13552" t="s">
        <v>4</v>
      </c>
      <c r="C13552">
        <v>3</v>
      </c>
      <c r="D13552" t="s">
        <v>360</v>
      </c>
      <c r="F13552" t="str" cm="1">
        <f t="array" ref="F13552">CategorizeComment(E13552)</f>
        <v>Other</v>
      </c>
      <c r="G13552" t="str" cm="1">
        <f t="array" ref="G13552">SubCategorizeComment(E13552)</f>
        <v>Other</v>
      </c>
    </row>
    <row r="13553" spans="1:7" x14ac:dyDescent="0.25">
      <c r="A13553">
        <v>14143</v>
      </c>
      <c r="B13553" t="s">
        <v>4</v>
      </c>
      <c r="C13553">
        <v>4</v>
      </c>
      <c r="D13553" t="s">
        <v>275</v>
      </c>
      <c r="F13553" t="str" cm="1">
        <f t="array" ref="F13553">CategorizeComment(E13553)</f>
        <v>Other</v>
      </c>
      <c r="G13553" t="str" cm="1">
        <f t="array" ref="G13553">SubCategorizeComment(E13553)</f>
        <v>Other</v>
      </c>
    </row>
    <row r="13554" spans="1:7" x14ac:dyDescent="0.25">
      <c r="A13554">
        <v>110043</v>
      </c>
      <c r="B13554" t="s">
        <v>4</v>
      </c>
      <c r="C13554">
        <v>4</v>
      </c>
      <c r="D13554" t="s">
        <v>1881</v>
      </c>
      <c r="F13554" t="str" cm="1">
        <f t="array" ref="F13554">CategorizeComment(E13554)</f>
        <v>Other</v>
      </c>
      <c r="G13554" t="str" cm="1">
        <f t="array" ref="G13554">SubCategorizeComment(E13554)</f>
        <v>Other</v>
      </c>
    </row>
    <row r="13555" spans="1:7" x14ac:dyDescent="0.25">
      <c r="A13555">
        <v>123166</v>
      </c>
      <c r="B13555" t="s">
        <v>4</v>
      </c>
      <c r="C13555">
        <v>4</v>
      </c>
      <c r="D13555" t="s">
        <v>2074</v>
      </c>
      <c r="F13555" t="str" cm="1">
        <f t="array" ref="F13555">CategorizeComment(E13555)</f>
        <v>Other</v>
      </c>
      <c r="G13555" t="str" cm="1">
        <f t="array" ref="G13555">SubCategorizeComment(E13555)</f>
        <v>Other</v>
      </c>
    </row>
    <row r="13556" spans="1:7" x14ac:dyDescent="0.25">
      <c r="A13556">
        <v>58258</v>
      </c>
      <c r="B13556" t="s">
        <v>4</v>
      </c>
      <c r="C13556">
        <v>4</v>
      </c>
      <c r="D13556" t="s">
        <v>1087</v>
      </c>
      <c r="F13556" t="str" cm="1">
        <f t="array" ref="F13556">CategorizeComment(E13556)</f>
        <v>Other</v>
      </c>
      <c r="G13556" t="str" cm="1">
        <f t="array" ref="G13556">SubCategorizeComment(E13556)</f>
        <v>Other</v>
      </c>
    </row>
    <row r="13557" spans="1:7" x14ac:dyDescent="0.25">
      <c r="A13557">
        <v>60340</v>
      </c>
      <c r="B13557" t="s">
        <v>4</v>
      </c>
      <c r="C13557">
        <v>4</v>
      </c>
      <c r="D13557" t="s">
        <v>1125</v>
      </c>
      <c r="F13557" t="str" cm="1">
        <f t="array" ref="F13557">CategorizeComment(E13557)</f>
        <v>Other</v>
      </c>
      <c r="G13557" t="str" cm="1">
        <f t="array" ref="G13557">SubCategorizeComment(E13557)</f>
        <v>Other</v>
      </c>
    </row>
    <row r="13558" spans="1:7" x14ac:dyDescent="0.25">
      <c r="A13558">
        <v>53102</v>
      </c>
      <c r="B13558" t="s">
        <v>4</v>
      </c>
      <c r="C13558">
        <v>3</v>
      </c>
      <c r="D13558" t="s">
        <v>989</v>
      </c>
      <c r="F13558" t="str" cm="1">
        <f t="array" ref="F13558">CategorizeComment(E13558)</f>
        <v>Other</v>
      </c>
      <c r="G13558" t="str" cm="1">
        <f t="array" ref="G13558">SubCategorizeComment(E13558)</f>
        <v>Other</v>
      </c>
    </row>
    <row r="13559" spans="1:7" x14ac:dyDescent="0.25">
      <c r="A13559">
        <v>34003</v>
      </c>
      <c r="B13559" t="s">
        <v>4</v>
      </c>
      <c r="C13559">
        <v>3</v>
      </c>
      <c r="D13559" t="s">
        <v>646</v>
      </c>
      <c r="F13559" t="str" cm="1">
        <f t="array" ref="F13559">CategorizeComment(E13559)</f>
        <v>Other</v>
      </c>
      <c r="G13559" t="str" cm="1">
        <f t="array" ref="G13559">SubCategorizeComment(E13559)</f>
        <v>Other</v>
      </c>
    </row>
    <row r="13560" spans="1:7" x14ac:dyDescent="0.25">
      <c r="A13560">
        <v>14905</v>
      </c>
      <c r="B13560" t="s">
        <v>4</v>
      </c>
      <c r="C13560">
        <v>4</v>
      </c>
      <c r="D13560" t="s">
        <v>289</v>
      </c>
      <c r="F13560" t="str" cm="1">
        <f t="array" ref="F13560">CategorizeComment(E13560)</f>
        <v>Other</v>
      </c>
      <c r="G13560" t="str" cm="1">
        <f t="array" ref="G13560">SubCategorizeComment(E13560)</f>
        <v>Other</v>
      </c>
    </row>
    <row r="13561" spans="1:7" x14ac:dyDescent="0.25">
      <c r="A13561">
        <v>112702</v>
      </c>
      <c r="B13561" t="s">
        <v>4</v>
      </c>
      <c r="C13561">
        <v>3</v>
      </c>
      <c r="D13561" t="s">
        <v>1920</v>
      </c>
      <c r="F13561" t="str" cm="1">
        <f t="array" ref="F13561">CategorizeComment(E13561)</f>
        <v>Other</v>
      </c>
      <c r="G13561" t="str" cm="1">
        <f t="array" ref="G13561">SubCategorizeComment(E13561)</f>
        <v>Other</v>
      </c>
    </row>
    <row r="13562" spans="1:7" x14ac:dyDescent="0.25">
      <c r="A13562">
        <v>39084</v>
      </c>
      <c r="B13562" t="s">
        <v>4</v>
      </c>
      <c r="C13562">
        <v>3</v>
      </c>
      <c r="D13562" t="s">
        <v>751</v>
      </c>
      <c r="F13562" t="str" cm="1">
        <f t="array" ref="F13562">CategorizeComment(E13562)</f>
        <v>Other</v>
      </c>
      <c r="G13562" t="str" cm="1">
        <f t="array" ref="G13562">SubCategorizeComment(E13562)</f>
        <v>Other</v>
      </c>
    </row>
    <row r="13563" spans="1:7" x14ac:dyDescent="0.25">
      <c r="A13563">
        <v>13393</v>
      </c>
      <c r="B13563" t="s">
        <v>4</v>
      </c>
      <c r="C13563">
        <v>3</v>
      </c>
      <c r="D13563" t="s">
        <v>266</v>
      </c>
      <c r="F13563" t="str" cm="1">
        <f t="array" ref="F13563">CategorizeComment(E13563)</f>
        <v>Other</v>
      </c>
      <c r="G13563" t="str" cm="1">
        <f t="array" ref="G13563">SubCategorizeComment(E13563)</f>
        <v>Other</v>
      </c>
    </row>
    <row r="13564" spans="1:7" x14ac:dyDescent="0.25">
      <c r="A13564">
        <v>39117</v>
      </c>
      <c r="B13564" t="s">
        <v>4</v>
      </c>
      <c r="C13564">
        <v>3</v>
      </c>
      <c r="D13564" t="s">
        <v>752</v>
      </c>
      <c r="F13564" t="str" cm="1">
        <f t="array" ref="F13564">CategorizeComment(E13564)</f>
        <v>Other</v>
      </c>
      <c r="G13564" t="str" cm="1">
        <f t="array" ref="G13564">SubCategorizeComment(E13564)</f>
        <v>Other</v>
      </c>
    </row>
    <row r="13565" spans="1:7" x14ac:dyDescent="0.25">
      <c r="A13565">
        <v>10128</v>
      </c>
      <c r="B13565" t="s">
        <v>4</v>
      </c>
      <c r="C13565">
        <v>4</v>
      </c>
      <c r="D13565" t="s">
        <v>203</v>
      </c>
      <c r="F13565" t="str" cm="1">
        <f t="array" ref="F13565">CategorizeComment(E13565)</f>
        <v>Other</v>
      </c>
      <c r="G13565" t="str" cm="1">
        <f t="array" ref="G13565">SubCategorizeComment(E13565)</f>
        <v>Other</v>
      </c>
    </row>
    <row r="13566" spans="1:7" x14ac:dyDescent="0.25">
      <c r="A13566">
        <v>99475</v>
      </c>
      <c r="B13566" t="s">
        <v>4</v>
      </c>
      <c r="C13566">
        <v>4</v>
      </c>
      <c r="D13566" t="s">
        <v>1719</v>
      </c>
      <c r="F13566" t="str" cm="1">
        <f t="array" ref="F13566">CategorizeComment(E13566)</f>
        <v>Other</v>
      </c>
      <c r="G13566" t="str" cm="1">
        <f t="array" ref="G13566">SubCategorizeComment(E13566)</f>
        <v>Other</v>
      </c>
    </row>
    <row r="13567" spans="1:7" x14ac:dyDescent="0.25">
      <c r="A13567">
        <v>124223</v>
      </c>
      <c r="B13567" t="s">
        <v>4</v>
      </c>
      <c r="C13567">
        <v>4</v>
      </c>
      <c r="D13567" t="s">
        <v>2091</v>
      </c>
      <c r="F13567" t="str" cm="1">
        <f t="array" ref="F13567">CategorizeComment(E13567)</f>
        <v>Other</v>
      </c>
      <c r="G13567" t="str" cm="1">
        <f t="array" ref="G13567">SubCategorizeComment(E13567)</f>
        <v>Other</v>
      </c>
    </row>
    <row r="13568" spans="1:7" x14ac:dyDescent="0.25">
      <c r="A13568">
        <v>44533</v>
      </c>
      <c r="B13568" t="s">
        <v>4</v>
      </c>
      <c r="C13568">
        <v>3</v>
      </c>
      <c r="D13568" t="s">
        <v>840</v>
      </c>
      <c r="F13568" t="str" cm="1">
        <f t="array" ref="F13568">CategorizeComment(E13568)</f>
        <v>Other</v>
      </c>
      <c r="G13568" t="str" cm="1">
        <f t="array" ref="G13568">SubCategorizeComment(E13568)</f>
        <v>Other</v>
      </c>
    </row>
    <row r="13569" spans="1:7" x14ac:dyDescent="0.25">
      <c r="A13569">
        <v>104019</v>
      </c>
      <c r="B13569" t="s">
        <v>4</v>
      </c>
      <c r="C13569">
        <v>4</v>
      </c>
      <c r="D13569" t="s">
        <v>1770</v>
      </c>
      <c r="F13569" t="str" cm="1">
        <f t="array" ref="F13569">CategorizeComment(E13569)</f>
        <v>Other</v>
      </c>
      <c r="G13569" t="str" cm="1">
        <f t="array" ref="G13569">SubCategorizeComment(E13569)</f>
        <v>Other</v>
      </c>
    </row>
    <row r="13570" spans="1:7" x14ac:dyDescent="0.25">
      <c r="A13570">
        <v>53695</v>
      </c>
      <c r="B13570" t="s">
        <v>4</v>
      </c>
      <c r="C13570">
        <v>4</v>
      </c>
      <c r="D13570" t="s">
        <v>1004</v>
      </c>
      <c r="F13570" t="str" cm="1">
        <f t="array" ref="F13570">CategorizeComment(E13570)</f>
        <v>Other</v>
      </c>
      <c r="G13570" t="str" cm="1">
        <f t="array" ref="G13570">SubCategorizeComment(E13570)</f>
        <v>Other</v>
      </c>
    </row>
    <row r="13571" spans="1:7" x14ac:dyDescent="0.25">
      <c r="A13571">
        <v>71467</v>
      </c>
      <c r="B13571" t="s">
        <v>4</v>
      </c>
      <c r="C13571">
        <v>3</v>
      </c>
      <c r="D13571" t="s">
        <v>1300</v>
      </c>
      <c r="F13571" t="str" cm="1">
        <f t="array" ref="F13571">CategorizeComment(E13571)</f>
        <v>Other</v>
      </c>
      <c r="G13571" t="str" cm="1">
        <f t="array" ref="G13571">SubCategorizeComment(E13571)</f>
        <v>Other</v>
      </c>
    </row>
    <row r="13572" spans="1:7" x14ac:dyDescent="0.25">
      <c r="A13572">
        <v>30831</v>
      </c>
      <c r="B13572" t="s">
        <v>4</v>
      </c>
      <c r="C13572">
        <v>4</v>
      </c>
      <c r="D13572" t="s">
        <v>596</v>
      </c>
      <c r="F13572" t="str" cm="1">
        <f t="array" ref="F13572">CategorizeComment(E13572)</f>
        <v>Other</v>
      </c>
      <c r="G13572" t="str" cm="1">
        <f t="array" ref="G13572">SubCategorizeComment(E13572)</f>
        <v>Other</v>
      </c>
    </row>
    <row r="13573" spans="1:7" x14ac:dyDescent="0.25">
      <c r="A13573">
        <v>4633</v>
      </c>
      <c r="B13573" t="s">
        <v>4</v>
      </c>
      <c r="C13573">
        <v>4</v>
      </c>
      <c r="D13573" t="s">
        <v>97</v>
      </c>
      <c r="F13573" t="str" cm="1">
        <f t="array" ref="F13573">CategorizeComment(E13573)</f>
        <v>Other</v>
      </c>
      <c r="G13573" t="str" cm="1">
        <f t="array" ref="G13573">SubCategorizeComment(E13573)</f>
        <v>Other</v>
      </c>
    </row>
    <row r="13574" spans="1:7" x14ac:dyDescent="0.25">
      <c r="A13574">
        <v>67774</v>
      </c>
      <c r="B13574" t="s">
        <v>4</v>
      </c>
      <c r="C13574">
        <v>4</v>
      </c>
      <c r="D13574" t="s">
        <v>1244</v>
      </c>
      <c r="F13574" t="str" cm="1">
        <f t="array" ref="F13574">CategorizeComment(E13574)</f>
        <v>Other</v>
      </c>
      <c r="G13574" t="str" cm="1">
        <f t="array" ref="G13574">SubCategorizeComment(E13574)</f>
        <v>Other</v>
      </c>
    </row>
    <row r="13575" spans="1:7" x14ac:dyDescent="0.25">
      <c r="A13575">
        <v>97573</v>
      </c>
      <c r="B13575" t="s">
        <v>4</v>
      </c>
      <c r="C13575">
        <v>4</v>
      </c>
      <c r="D13575" t="s">
        <v>1692</v>
      </c>
      <c r="F13575" t="str" cm="1">
        <f t="array" ref="F13575">CategorizeComment(E13575)</f>
        <v>Other</v>
      </c>
      <c r="G13575" t="str" cm="1">
        <f t="array" ref="G13575">SubCategorizeComment(E13575)</f>
        <v>Other</v>
      </c>
    </row>
    <row r="13576" spans="1:7" x14ac:dyDescent="0.25">
      <c r="A13576">
        <v>48202</v>
      </c>
      <c r="B13576" t="s">
        <v>4</v>
      </c>
      <c r="C13576">
        <v>4</v>
      </c>
      <c r="D13576" t="s">
        <v>908</v>
      </c>
      <c r="F13576" t="str" cm="1">
        <f t="array" ref="F13576">CategorizeComment(E13576)</f>
        <v>Other</v>
      </c>
      <c r="G13576" t="str" cm="1">
        <f t="array" ref="G13576">SubCategorizeComment(E13576)</f>
        <v>Other</v>
      </c>
    </row>
    <row r="13577" spans="1:7" x14ac:dyDescent="0.25">
      <c r="A13577">
        <v>107773</v>
      </c>
      <c r="B13577" t="s">
        <v>4</v>
      </c>
      <c r="C13577">
        <v>3</v>
      </c>
      <c r="D13577" t="s">
        <v>1842</v>
      </c>
      <c r="F13577" t="str" cm="1">
        <f t="array" ref="F13577">CategorizeComment(E13577)</f>
        <v>Other</v>
      </c>
      <c r="G13577" t="str" cm="1">
        <f t="array" ref="G13577">SubCategorizeComment(E13577)</f>
        <v>Other</v>
      </c>
    </row>
    <row r="13578" spans="1:7" x14ac:dyDescent="0.25">
      <c r="A13578">
        <v>89651</v>
      </c>
      <c r="B13578" t="s">
        <v>4</v>
      </c>
      <c r="C13578">
        <v>4</v>
      </c>
      <c r="D13578" t="s">
        <v>1564</v>
      </c>
      <c r="F13578" t="str" cm="1">
        <f t="array" ref="F13578">CategorizeComment(E13578)</f>
        <v>Other</v>
      </c>
      <c r="G13578" t="str" cm="1">
        <f t="array" ref="G13578">SubCategorizeComment(E13578)</f>
        <v>Other</v>
      </c>
    </row>
    <row r="13579" spans="1:7" x14ac:dyDescent="0.25">
      <c r="A13579">
        <v>57116</v>
      </c>
      <c r="B13579" t="s">
        <v>4</v>
      </c>
      <c r="C13579">
        <v>4</v>
      </c>
      <c r="D13579" t="s">
        <v>1067</v>
      </c>
      <c r="F13579" t="str" cm="1">
        <f t="array" ref="F13579">CategorizeComment(E13579)</f>
        <v>Other</v>
      </c>
      <c r="G13579" t="str" cm="1">
        <f t="array" ref="G13579">SubCategorizeComment(E13579)</f>
        <v>Other</v>
      </c>
    </row>
    <row r="13580" spans="1:7" x14ac:dyDescent="0.25">
      <c r="A13580">
        <v>70115</v>
      </c>
      <c r="B13580" t="s">
        <v>4</v>
      </c>
      <c r="C13580">
        <v>4</v>
      </c>
      <c r="D13580" t="s">
        <v>1275</v>
      </c>
      <c r="F13580" t="str" cm="1">
        <f t="array" ref="F13580">CategorizeComment(E13580)</f>
        <v>Other</v>
      </c>
      <c r="G13580" t="str" cm="1">
        <f t="array" ref="G13580">SubCategorizeComment(E13580)</f>
        <v>Other</v>
      </c>
    </row>
    <row r="13581" spans="1:7" x14ac:dyDescent="0.25">
      <c r="A13581">
        <v>19631</v>
      </c>
      <c r="B13581" t="s">
        <v>4</v>
      </c>
      <c r="C13581">
        <v>4</v>
      </c>
      <c r="D13581" t="s">
        <v>397</v>
      </c>
      <c r="F13581" t="str" cm="1">
        <f t="array" ref="F13581">CategorizeComment(E13581)</f>
        <v>Other</v>
      </c>
      <c r="G13581" t="str" cm="1">
        <f t="array" ref="G13581">SubCategorizeComment(E13581)</f>
        <v>Other</v>
      </c>
    </row>
    <row r="13582" spans="1:7" x14ac:dyDescent="0.25">
      <c r="A13582">
        <v>89148</v>
      </c>
      <c r="B13582" t="s">
        <v>4</v>
      </c>
      <c r="C13582">
        <v>4</v>
      </c>
      <c r="D13582" t="s">
        <v>1557</v>
      </c>
      <c r="F13582" t="str" cm="1">
        <f t="array" ref="F13582">CategorizeComment(E13582)</f>
        <v>Other</v>
      </c>
      <c r="G13582" t="str" cm="1">
        <f t="array" ref="G13582">SubCategorizeComment(E13582)</f>
        <v>Other</v>
      </c>
    </row>
    <row r="13583" spans="1:7" x14ac:dyDescent="0.25">
      <c r="A13583">
        <v>78132</v>
      </c>
      <c r="B13583" t="s">
        <v>4</v>
      </c>
      <c r="C13583">
        <v>3</v>
      </c>
      <c r="D13583" t="s">
        <v>1403</v>
      </c>
      <c r="F13583" t="str" cm="1">
        <f t="array" ref="F13583">CategorizeComment(E13583)</f>
        <v>Other</v>
      </c>
      <c r="G13583" t="str" cm="1">
        <f t="array" ref="G13583">SubCategorizeComment(E13583)</f>
        <v>Other</v>
      </c>
    </row>
    <row r="13584" spans="1:7" x14ac:dyDescent="0.25">
      <c r="A13584">
        <v>26020</v>
      </c>
      <c r="B13584" t="s">
        <v>4</v>
      </c>
      <c r="C13584">
        <v>4</v>
      </c>
      <c r="D13584" t="s">
        <v>518</v>
      </c>
      <c r="F13584" t="str" cm="1">
        <f t="array" ref="F13584">CategorizeComment(E13584)</f>
        <v>Other</v>
      </c>
      <c r="G13584" t="str" cm="1">
        <f t="array" ref="G13584">SubCategorizeComment(E13584)</f>
        <v>Other</v>
      </c>
    </row>
    <row r="13585" spans="1:7" x14ac:dyDescent="0.25">
      <c r="A13585">
        <v>96719</v>
      </c>
      <c r="B13585" t="s">
        <v>4</v>
      </c>
      <c r="C13585">
        <v>4</v>
      </c>
      <c r="D13585" t="s">
        <v>1673</v>
      </c>
      <c r="F13585" t="str" cm="1">
        <f t="array" ref="F13585">CategorizeComment(E13585)</f>
        <v>Other</v>
      </c>
      <c r="G13585" t="str" cm="1">
        <f t="array" ref="G13585">SubCategorizeComment(E13585)</f>
        <v>Other</v>
      </c>
    </row>
    <row r="13586" spans="1:7" x14ac:dyDescent="0.25">
      <c r="A13586">
        <v>59251</v>
      </c>
      <c r="B13586" t="s">
        <v>4</v>
      </c>
      <c r="C13586">
        <v>3</v>
      </c>
      <c r="D13586" t="s">
        <v>1107</v>
      </c>
      <c r="F13586" t="str" cm="1">
        <f t="array" ref="F13586">CategorizeComment(E13586)</f>
        <v>Other</v>
      </c>
      <c r="G13586" t="str" cm="1">
        <f t="array" ref="G13586">SubCategorizeComment(E13586)</f>
        <v>Other</v>
      </c>
    </row>
    <row r="13587" spans="1:7" x14ac:dyDescent="0.25">
      <c r="A13587">
        <v>61578</v>
      </c>
      <c r="B13587" t="s">
        <v>4</v>
      </c>
      <c r="C13587">
        <v>3</v>
      </c>
      <c r="D13587" t="s">
        <v>1148</v>
      </c>
      <c r="F13587" t="str" cm="1">
        <f t="array" ref="F13587">CategorizeComment(E13587)</f>
        <v>Other</v>
      </c>
      <c r="G13587" t="str" cm="1">
        <f t="array" ref="G13587">SubCategorizeComment(E13587)</f>
        <v>Other</v>
      </c>
    </row>
    <row r="13588" spans="1:7" x14ac:dyDescent="0.25">
      <c r="A13588">
        <v>41300</v>
      </c>
      <c r="B13588" t="s">
        <v>4</v>
      </c>
      <c r="C13588">
        <v>4</v>
      </c>
      <c r="D13588" t="s">
        <v>779</v>
      </c>
      <c r="F13588" t="str" cm="1">
        <f t="array" ref="F13588">CategorizeComment(E13588)</f>
        <v>Other</v>
      </c>
      <c r="G13588" t="str" cm="1">
        <f t="array" ref="G13588">SubCategorizeComment(E13588)</f>
        <v>Other</v>
      </c>
    </row>
    <row r="13589" spans="1:7" x14ac:dyDescent="0.25">
      <c r="A13589">
        <v>127177</v>
      </c>
      <c r="B13589" t="s">
        <v>4</v>
      </c>
      <c r="C13589">
        <v>4</v>
      </c>
      <c r="D13589" t="s">
        <v>2134</v>
      </c>
      <c r="F13589" t="str" cm="1">
        <f t="array" ref="F13589">CategorizeComment(E13589)</f>
        <v>Other</v>
      </c>
      <c r="G13589" t="str" cm="1">
        <f t="array" ref="G13589">SubCategorizeComment(E13589)</f>
        <v>Other</v>
      </c>
    </row>
    <row r="13590" spans="1:7" x14ac:dyDescent="0.25">
      <c r="A13590">
        <v>30438</v>
      </c>
      <c r="B13590" t="s">
        <v>4</v>
      </c>
      <c r="C13590">
        <v>4</v>
      </c>
      <c r="D13590" t="s">
        <v>593</v>
      </c>
      <c r="F13590" t="str" cm="1">
        <f t="array" ref="F13590">CategorizeComment(E13590)</f>
        <v>Other</v>
      </c>
      <c r="G13590" t="str" cm="1">
        <f t="array" ref="G13590">SubCategorizeComment(E13590)</f>
        <v>Other</v>
      </c>
    </row>
    <row r="13591" spans="1:7" x14ac:dyDescent="0.25">
      <c r="A13591">
        <v>92451</v>
      </c>
      <c r="B13591" t="s">
        <v>4</v>
      </c>
      <c r="C13591">
        <v>3</v>
      </c>
      <c r="D13591" t="s">
        <v>1613</v>
      </c>
      <c r="F13591" t="str" cm="1">
        <f t="array" ref="F13591">CategorizeComment(E13591)</f>
        <v>Other</v>
      </c>
      <c r="G13591" t="str" cm="1">
        <f t="array" ref="G13591">SubCategorizeComment(E13591)</f>
        <v>Other</v>
      </c>
    </row>
    <row r="13592" spans="1:7" x14ac:dyDescent="0.25">
      <c r="A13592">
        <v>52469</v>
      </c>
      <c r="B13592" t="s">
        <v>4</v>
      </c>
      <c r="C13592">
        <v>3</v>
      </c>
      <c r="D13592" t="s">
        <v>980</v>
      </c>
      <c r="F13592" t="str" cm="1">
        <f t="array" ref="F13592">CategorizeComment(E13592)</f>
        <v>Other</v>
      </c>
      <c r="G13592" t="str" cm="1">
        <f t="array" ref="G13592">SubCategorizeComment(E13592)</f>
        <v>Other</v>
      </c>
    </row>
    <row r="13593" spans="1:7" x14ac:dyDescent="0.25">
      <c r="A13593">
        <v>91553</v>
      </c>
      <c r="B13593" t="s">
        <v>4</v>
      </c>
      <c r="C13593">
        <v>4</v>
      </c>
      <c r="D13593" t="s">
        <v>1600</v>
      </c>
      <c r="F13593" t="str" cm="1">
        <f t="array" ref="F13593">CategorizeComment(E13593)</f>
        <v>Other</v>
      </c>
      <c r="G13593" t="str" cm="1">
        <f t="array" ref="G13593">SubCategorizeComment(E13593)</f>
        <v>Other</v>
      </c>
    </row>
    <row r="13594" spans="1:7" x14ac:dyDescent="0.25">
      <c r="A13594">
        <v>49875</v>
      </c>
      <c r="B13594" t="s">
        <v>4</v>
      </c>
      <c r="C13594">
        <v>3</v>
      </c>
      <c r="D13594" t="s">
        <v>927</v>
      </c>
      <c r="F13594" t="str" cm="1">
        <f t="array" ref="F13594">CategorizeComment(E13594)</f>
        <v>Other</v>
      </c>
      <c r="G13594" t="str" cm="1">
        <f t="array" ref="G13594">SubCategorizeComment(E13594)</f>
        <v>Other</v>
      </c>
    </row>
    <row r="13595" spans="1:7" x14ac:dyDescent="0.25">
      <c r="A13595">
        <v>72446</v>
      </c>
      <c r="B13595" t="s">
        <v>4</v>
      </c>
      <c r="C13595">
        <v>3</v>
      </c>
      <c r="D13595" t="s">
        <v>1317</v>
      </c>
      <c r="F13595" t="str" cm="1">
        <f t="array" ref="F13595">CategorizeComment(E13595)</f>
        <v>Other</v>
      </c>
      <c r="G13595" t="str" cm="1">
        <f t="array" ref="G13595">SubCategorizeComment(E13595)</f>
        <v>Other</v>
      </c>
    </row>
    <row r="13596" spans="1:7" x14ac:dyDescent="0.25">
      <c r="A13596">
        <v>43135</v>
      </c>
      <c r="B13596" t="s">
        <v>4</v>
      </c>
      <c r="C13596">
        <v>3</v>
      </c>
      <c r="D13596" t="s">
        <v>815</v>
      </c>
      <c r="F13596" t="str" cm="1">
        <f t="array" ref="F13596">CategorizeComment(E13596)</f>
        <v>Other</v>
      </c>
      <c r="G13596" t="str" cm="1">
        <f t="array" ref="G13596">SubCategorizeComment(E13596)</f>
        <v>Other</v>
      </c>
    </row>
    <row r="13597" spans="1:7" x14ac:dyDescent="0.25">
      <c r="A13597">
        <v>128748</v>
      </c>
      <c r="B13597" t="s">
        <v>4</v>
      </c>
      <c r="C13597">
        <v>3</v>
      </c>
      <c r="D13597" t="s">
        <v>2157</v>
      </c>
      <c r="F13597" t="str" cm="1">
        <f t="array" ref="F13597">CategorizeComment(E13597)</f>
        <v>Other</v>
      </c>
      <c r="G13597" t="str" cm="1">
        <f t="array" ref="G13597">SubCategorizeComment(E13597)</f>
        <v>Other</v>
      </c>
    </row>
    <row r="13598" spans="1:7" x14ac:dyDescent="0.25">
      <c r="A13598">
        <v>54494</v>
      </c>
      <c r="B13598" t="s">
        <v>4</v>
      </c>
      <c r="C13598">
        <v>4</v>
      </c>
      <c r="D13598" t="s">
        <v>1021</v>
      </c>
      <c r="F13598" t="str" cm="1">
        <f t="array" ref="F13598">CategorizeComment(E13598)</f>
        <v>Other</v>
      </c>
      <c r="G13598" t="str" cm="1">
        <f t="array" ref="G13598">SubCategorizeComment(E13598)</f>
        <v>Other</v>
      </c>
    </row>
    <row r="13599" spans="1:7" x14ac:dyDescent="0.25">
      <c r="A13599">
        <v>20569</v>
      </c>
      <c r="B13599" t="s">
        <v>4</v>
      </c>
      <c r="C13599">
        <v>4</v>
      </c>
      <c r="D13599" t="s">
        <v>418</v>
      </c>
      <c r="F13599" t="str" cm="1">
        <f t="array" ref="F13599">CategorizeComment(E13599)</f>
        <v>Other</v>
      </c>
      <c r="G13599" t="str" cm="1">
        <f t="array" ref="G13599">SubCategorizeComment(E13599)</f>
        <v>Other</v>
      </c>
    </row>
    <row r="13600" spans="1:7" x14ac:dyDescent="0.25">
      <c r="A13600">
        <v>104223</v>
      </c>
      <c r="B13600" t="s">
        <v>4</v>
      </c>
      <c r="C13600">
        <v>4</v>
      </c>
      <c r="D13600" t="s">
        <v>1775</v>
      </c>
      <c r="F13600" t="str" cm="1">
        <f t="array" ref="F13600">CategorizeComment(E13600)</f>
        <v>Other</v>
      </c>
      <c r="G13600" t="str" cm="1">
        <f t="array" ref="G13600">SubCategorizeComment(E13600)</f>
        <v>Other</v>
      </c>
    </row>
    <row r="13601" spans="1:7" x14ac:dyDescent="0.25">
      <c r="A13601">
        <v>14206</v>
      </c>
      <c r="B13601" t="s">
        <v>4</v>
      </c>
      <c r="C13601">
        <v>4</v>
      </c>
      <c r="D13601" t="s">
        <v>276</v>
      </c>
      <c r="F13601" t="str" cm="1">
        <f t="array" ref="F13601">CategorizeComment(E13601)</f>
        <v>Other</v>
      </c>
      <c r="G13601" t="str" cm="1">
        <f t="array" ref="G13601">SubCategorizeComment(E13601)</f>
        <v>Other</v>
      </c>
    </row>
    <row r="13602" spans="1:7" x14ac:dyDescent="0.25">
      <c r="A13602">
        <v>34752</v>
      </c>
      <c r="B13602" t="s">
        <v>4</v>
      </c>
      <c r="C13602">
        <v>3</v>
      </c>
      <c r="D13602" t="s">
        <v>661</v>
      </c>
      <c r="F13602" t="str" cm="1">
        <f t="array" ref="F13602">CategorizeComment(E13602)</f>
        <v>Other</v>
      </c>
      <c r="G13602" t="str" cm="1">
        <f t="array" ref="G13602">SubCategorizeComment(E13602)</f>
        <v>Other</v>
      </c>
    </row>
    <row r="13603" spans="1:7" x14ac:dyDescent="0.25">
      <c r="A13603">
        <v>96186</v>
      </c>
      <c r="B13603" t="s">
        <v>4</v>
      </c>
      <c r="C13603">
        <v>3</v>
      </c>
      <c r="D13603" t="s">
        <v>1665</v>
      </c>
      <c r="F13603" t="str" cm="1">
        <f t="array" ref="F13603">CategorizeComment(E13603)</f>
        <v>Other</v>
      </c>
      <c r="G13603" t="str" cm="1">
        <f t="array" ref="G13603">SubCategorizeComment(E13603)</f>
        <v>Other</v>
      </c>
    </row>
    <row r="13604" spans="1:7" x14ac:dyDescent="0.25">
      <c r="A13604">
        <v>121435</v>
      </c>
      <c r="B13604" t="s">
        <v>4</v>
      </c>
      <c r="C13604">
        <v>3</v>
      </c>
      <c r="D13604" t="s">
        <v>2040</v>
      </c>
      <c r="F13604" t="str" cm="1">
        <f t="array" ref="F13604">CategorizeComment(E13604)</f>
        <v>Other</v>
      </c>
      <c r="G13604" t="str" cm="1">
        <f t="array" ref="G13604">SubCategorizeComment(E13604)</f>
        <v>Other</v>
      </c>
    </row>
    <row r="13605" spans="1:7" x14ac:dyDescent="0.25">
      <c r="A13605">
        <v>125372</v>
      </c>
      <c r="B13605" t="s">
        <v>4</v>
      </c>
      <c r="C13605">
        <v>4</v>
      </c>
      <c r="D13605" t="s">
        <v>2111</v>
      </c>
      <c r="F13605" t="str" cm="1">
        <f t="array" ref="F13605">CategorizeComment(E13605)</f>
        <v>Other</v>
      </c>
      <c r="G13605" t="str" cm="1">
        <f t="array" ref="G13605">SubCategorizeComment(E13605)</f>
        <v>Other</v>
      </c>
    </row>
    <row r="13606" spans="1:7" x14ac:dyDescent="0.25">
      <c r="A13606">
        <v>31009</v>
      </c>
      <c r="B13606" t="s">
        <v>4</v>
      </c>
      <c r="C13606">
        <v>4</v>
      </c>
      <c r="D13606" t="s">
        <v>598</v>
      </c>
      <c r="F13606" t="str" cm="1">
        <f t="array" ref="F13606">CategorizeComment(E13606)</f>
        <v>Other</v>
      </c>
      <c r="G13606" t="str" cm="1">
        <f t="array" ref="G13606">SubCategorizeComment(E13606)</f>
        <v>Other</v>
      </c>
    </row>
    <row r="13607" spans="1:7" x14ac:dyDescent="0.25">
      <c r="A13607">
        <v>948</v>
      </c>
      <c r="B13607" t="s">
        <v>4</v>
      </c>
      <c r="C13607">
        <v>0</v>
      </c>
      <c r="D13607" t="s">
        <v>25</v>
      </c>
      <c r="F13607" t="str" cm="1">
        <f t="array" ref="F13607">CategorizeComment(E13607)</f>
        <v>Other</v>
      </c>
      <c r="G13607" t="str" cm="1">
        <f t="array" ref="G13607">SubCategorizeComment(E13607)</f>
        <v>Other</v>
      </c>
    </row>
    <row r="13608" spans="1:7" x14ac:dyDescent="0.25">
      <c r="A13608">
        <v>30271</v>
      </c>
      <c r="B13608" t="s">
        <v>4</v>
      </c>
      <c r="C13608">
        <v>3</v>
      </c>
      <c r="D13608" t="s">
        <v>591</v>
      </c>
      <c r="F13608" t="str" cm="1">
        <f t="array" ref="F13608">CategorizeComment(E13608)</f>
        <v>Other</v>
      </c>
      <c r="G13608" t="str" cm="1">
        <f t="array" ref="G13608">SubCategorizeComment(E13608)</f>
        <v>Other</v>
      </c>
    </row>
    <row r="13609" spans="1:7" x14ac:dyDescent="0.25">
      <c r="A13609">
        <v>85474</v>
      </c>
      <c r="B13609" t="s">
        <v>4</v>
      </c>
      <c r="C13609">
        <v>4</v>
      </c>
      <c r="D13609" t="s">
        <v>1499</v>
      </c>
      <c r="F13609" t="str" cm="1">
        <f t="array" ref="F13609">CategorizeComment(E13609)</f>
        <v>Other</v>
      </c>
      <c r="G13609" t="str" cm="1">
        <f t="array" ref="G13609">SubCategorizeComment(E13609)</f>
        <v>Other</v>
      </c>
    </row>
    <row r="13610" spans="1:7" x14ac:dyDescent="0.25">
      <c r="A13610">
        <v>104982</v>
      </c>
      <c r="B13610" t="s">
        <v>4</v>
      </c>
      <c r="C13610">
        <v>4</v>
      </c>
      <c r="D13610" t="s">
        <v>1794</v>
      </c>
      <c r="F13610" t="str" cm="1">
        <f t="array" ref="F13610">CategorizeComment(E13610)</f>
        <v>Other</v>
      </c>
      <c r="G13610" t="str" cm="1">
        <f t="array" ref="G13610">SubCategorizeComment(E13610)</f>
        <v>Other</v>
      </c>
    </row>
    <row r="13611" spans="1:7" x14ac:dyDescent="0.25">
      <c r="A13611">
        <v>92233</v>
      </c>
      <c r="B13611" t="s">
        <v>4</v>
      </c>
      <c r="C13611">
        <v>3</v>
      </c>
      <c r="D13611" t="s">
        <v>1612</v>
      </c>
      <c r="F13611" t="str" cm="1">
        <f t="array" ref="F13611">CategorizeComment(E13611)</f>
        <v>Other</v>
      </c>
      <c r="G13611" t="str" cm="1">
        <f t="array" ref="G13611">SubCategorizeComment(E13611)</f>
        <v>Other</v>
      </c>
    </row>
    <row r="13612" spans="1:7" x14ac:dyDescent="0.25">
      <c r="A13612">
        <v>43625</v>
      </c>
      <c r="B13612" t="s">
        <v>4</v>
      </c>
      <c r="C13612">
        <v>3</v>
      </c>
      <c r="D13612" t="s">
        <v>822</v>
      </c>
      <c r="F13612" t="str" cm="1">
        <f t="array" ref="F13612">CategorizeComment(E13612)</f>
        <v>Other</v>
      </c>
      <c r="G13612" t="str" cm="1">
        <f t="array" ref="G13612">SubCategorizeComment(E13612)</f>
        <v>Other</v>
      </c>
    </row>
    <row r="13613" spans="1:7" x14ac:dyDescent="0.25">
      <c r="A13613">
        <v>46916</v>
      </c>
      <c r="B13613" t="s">
        <v>4</v>
      </c>
      <c r="C13613">
        <v>4</v>
      </c>
      <c r="D13613" t="s">
        <v>895</v>
      </c>
      <c r="F13613" t="str" cm="1">
        <f t="array" ref="F13613">CategorizeComment(E13613)</f>
        <v>Other</v>
      </c>
      <c r="G13613" t="str" cm="1">
        <f t="array" ref="G13613">SubCategorizeComment(E13613)</f>
        <v>Other</v>
      </c>
    </row>
    <row r="13614" spans="1:7" x14ac:dyDescent="0.25">
      <c r="A13614">
        <v>77351</v>
      </c>
      <c r="B13614" t="s">
        <v>4</v>
      </c>
      <c r="C13614">
        <v>3</v>
      </c>
      <c r="D13614" t="s">
        <v>1391</v>
      </c>
      <c r="F13614" t="str" cm="1">
        <f t="array" ref="F13614">CategorizeComment(E13614)</f>
        <v>Other</v>
      </c>
      <c r="G13614" t="str" cm="1">
        <f t="array" ref="G13614">SubCategorizeComment(E13614)</f>
        <v>Other</v>
      </c>
    </row>
    <row r="13615" spans="1:7" x14ac:dyDescent="0.25">
      <c r="A13615">
        <v>42034</v>
      </c>
      <c r="B13615" t="s">
        <v>4</v>
      </c>
      <c r="C13615">
        <v>3</v>
      </c>
      <c r="D13615" t="s">
        <v>789</v>
      </c>
      <c r="F13615" t="str" cm="1">
        <f t="array" ref="F13615">CategorizeComment(E13615)</f>
        <v>Other</v>
      </c>
      <c r="G13615" t="str" cm="1">
        <f t="array" ref="G13615">SubCategorizeComment(E13615)</f>
        <v>Other</v>
      </c>
    </row>
    <row r="13616" spans="1:7" x14ac:dyDescent="0.25">
      <c r="A13616">
        <v>22994</v>
      </c>
      <c r="B13616" t="s">
        <v>4</v>
      </c>
      <c r="C13616">
        <v>3</v>
      </c>
      <c r="D13616" t="s">
        <v>468</v>
      </c>
      <c r="F13616" t="str" cm="1">
        <f t="array" ref="F13616">CategorizeComment(E13616)</f>
        <v>Other</v>
      </c>
      <c r="G13616" t="str" cm="1">
        <f t="array" ref="G13616">SubCategorizeComment(E13616)</f>
        <v>Other</v>
      </c>
    </row>
    <row r="13617" spans="1:7" x14ac:dyDescent="0.25">
      <c r="A13617">
        <v>17128</v>
      </c>
      <c r="B13617" t="s">
        <v>4</v>
      </c>
      <c r="C13617">
        <v>4</v>
      </c>
      <c r="D13617" t="s">
        <v>338</v>
      </c>
      <c r="F13617" t="str" cm="1">
        <f t="array" ref="F13617">CategorizeComment(E13617)</f>
        <v>Other</v>
      </c>
      <c r="G13617" t="str" cm="1">
        <f t="array" ref="G13617">SubCategorizeComment(E13617)</f>
        <v>Other</v>
      </c>
    </row>
    <row r="13618" spans="1:7" x14ac:dyDescent="0.25">
      <c r="A13618">
        <v>36425</v>
      </c>
      <c r="B13618" t="s">
        <v>4</v>
      </c>
      <c r="C13618">
        <v>3</v>
      </c>
      <c r="D13618" t="s">
        <v>697</v>
      </c>
      <c r="F13618" t="str" cm="1">
        <f t="array" ref="F13618">CategorizeComment(E13618)</f>
        <v>Other</v>
      </c>
      <c r="G13618" t="str" cm="1">
        <f t="array" ref="G13618">SubCategorizeComment(E13618)</f>
        <v>Other</v>
      </c>
    </row>
    <row r="13619" spans="1:7" x14ac:dyDescent="0.25">
      <c r="A13619">
        <v>39616</v>
      </c>
      <c r="B13619" t="s">
        <v>4</v>
      </c>
      <c r="C13619">
        <v>4</v>
      </c>
      <c r="D13619" t="s">
        <v>756</v>
      </c>
      <c r="F13619" t="str" cm="1">
        <f t="array" ref="F13619">CategorizeComment(E13619)</f>
        <v>Other</v>
      </c>
      <c r="G13619" t="str" cm="1">
        <f t="array" ref="G13619">SubCategorizeComment(E13619)</f>
        <v>Other</v>
      </c>
    </row>
    <row r="13620" spans="1:7" x14ac:dyDescent="0.25">
      <c r="A13620">
        <v>244</v>
      </c>
      <c r="B13620" t="s">
        <v>4</v>
      </c>
      <c r="C13620">
        <v>4</v>
      </c>
      <c r="D13620" t="s">
        <v>10</v>
      </c>
      <c r="F13620" t="str" cm="1">
        <f t="array" ref="F13620">CategorizeComment(E13620)</f>
        <v>Other</v>
      </c>
      <c r="G13620" t="str" cm="1">
        <f t="array" ref="G13620">SubCategorizeComment(E13620)</f>
        <v>Other</v>
      </c>
    </row>
    <row r="13621" spans="1:7" x14ac:dyDescent="0.25">
      <c r="A13621">
        <v>129485</v>
      </c>
      <c r="B13621" t="s">
        <v>4</v>
      </c>
      <c r="C13621">
        <v>3</v>
      </c>
      <c r="D13621" t="s">
        <v>2163</v>
      </c>
      <c r="F13621" t="str" cm="1">
        <f t="array" ref="F13621">CategorizeComment(E13621)</f>
        <v>Other</v>
      </c>
      <c r="G13621" t="str" cm="1">
        <f t="array" ref="G13621">SubCategorizeComment(E13621)</f>
        <v>Other</v>
      </c>
    </row>
    <row r="13622" spans="1:7" x14ac:dyDescent="0.25">
      <c r="A13622">
        <v>75059</v>
      </c>
      <c r="B13622" t="s">
        <v>4</v>
      </c>
      <c r="C13622">
        <v>3</v>
      </c>
      <c r="D13622" t="s">
        <v>1357</v>
      </c>
      <c r="F13622" t="str" cm="1">
        <f t="array" ref="F13622">CategorizeComment(E13622)</f>
        <v>Other</v>
      </c>
      <c r="G13622" t="str" cm="1">
        <f t="array" ref="G13622">SubCategorizeComment(E13622)</f>
        <v>Other</v>
      </c>
    </row>
    <row r="13623" spans="1:7" x14ac:dyDescent="0.25">
      <c r="A13623">
        <v>35248</v>
      </c>
      <c r="B13623" t="s">
        <v>4</v>
      </c>
      <c r="C13623">
        <v>3</v>
      </c>
      <c r="D13623" t="s">
        <v>670</v>
      </c>
      <c r="F13623" t="str" cm="1">
        <f t="array" ref="F13623">CategorizeComment(E13623)</f>
        <v>Other</v>
      </c>
      <c r="G13623" t="str" cm="1">
        <f t="array" ref="G13623">SubCategorizeComment(E13623)</f>
        <v>Other</v>
      </c>
    </row>
    <row r="13624" spans="1:7" x14ac:dyDescent="0.25">
      <c r="A13624">
        <v>35337</v>
      </c>
      <c r="B13624" t="s">
        <v>4</v>
      </c>
      <c r="C13624">
        <v>4</v>
      </c>
      <c r="D13624" t="s">
        <v>673</v>
      </c>
      <c r="F13624" t="str" cm="1">
        <f t="array" ref="F13624">CategorizeComment(E13624)</f>
        <v>Other</v>
      </c>
      <c r="G13624" t="str" cm="1">
        <f t="array" ref="G13624">SubCategorizeComment(E13624)</f>
        <v>Other</v>
      </c>
    </row>
    <row r="13625" spans="1:7" x14ac:dyDescent="0.25">
      <c r="A13625">
        <v>33812</v>
      </c>
      <c r="B13625" t="s">
        <v>4</v>
      </c>
      <c r="C13625">
        <v>3</v>
      </c>
      <c r="D13625" t="s">
        <v>643</v>
      </c>
      <c r="F13625" t="str" cm="1">
        <f t="array" ref="F13625">CategorizeComment(E13625)</f>
        <v>Other</v>
      </c>
      <c r="G13625" t="str" cm="1">
        <f t="array" ref="G13625">SubCategorizeComment(E13625)</f>
        <v>Other</v>
      </c>
    </row>
    <row r="13626" spans="1:7" x14ac:dyDescent="0.25">
      <c r="A13626">
        <v>61480</v>
      </c>
      <c r="B13626" t="s">
        <v>4</v>
      </c>
      <c r="C13626">
        <v>3</v>
      </c>
      <c r="D13626" t="s">
        <v>1145</v>
      </c>
      <c r="F13626" t="str" cm="1">
        <f t="array" ref="F13626">CategorizeComment(E13626)</f>
        <v>Other</v>
      </c>
      <c r="G13626" t="str" cm="1">
        <f t="array" ref="G13626">SubCategorizeComment(E13626)</f>
        <v>Other</v>
      </c>
    </row>
    <row r="13627" spans="1:7" x14ac:dyDescent="0.25">
      <c r="A13627">
        <v>94078</v>
      </c>
      <c r="B13627" t="s">
        <v>4</v>
      </c>
      <c r="C13627">
        <v>3</v>
      </c>
      <c r="D13627" t="s">
        <v>1641</v>
      </c>
      <c r="F13627" t="str" cm="1">
        <f t="array" ref="F13627">CategorizeComment(E13627)</f>
        <v>Other</v>
      </c>
      <c r="G13627" t="str" cm="1">
        <f t="array" ref="G13627">SubCategorizeComment(E13627)</f>
        <v>Other</v>
      </c>
    </row>
    <row r="13628" spans="1:7" x14ac:dyDescent="0.25">
      <c r="A13628">
        <v>39770</v>
      </c>
      <c r="B13628" t="s">
        <v>4</v>
      </c>
      <c r="C13628">
        <v>4</v>
      </c>
      <c r="D13628" t="s">
        <v>758</v>
      </c>
      <c r="F13628" t="str" cm="1">
        <f t="array" ref="F13628">CategorizeComment(E13628)</f>
        <v>Other</v>
      </c>
      <c r="G13628" t="str" cm="1">
        <f t="array" ref="G13628">SubCategorizeComment(E13628)</f>
        <v>Other</v>
      </c>
    </row>
    <row r="13629" spans="1:7" x14ac:dyDescent="0.25">
      <c r="A13629">
        <v>18048</v>
      </c>
      <c r="B13629" t="s">
        <v>4</v>
      </c>
      <c r="C13629">
        <v>4</v>
      </c>
      <c r="D13629" t="s">
        <v>357</v>
      </c>
      <c r="F13629" t="str" cm="1">
        <f t="array" ref="F13629">CategorizeComment(E13629)</f>
        <v>Other</v>
      </c>
      <c r="G13629" t="str" cm="1">
        <f t="array" ref="G13629">SubCategorizeComment(E13629)</f>
        <v>Other</v>
      </c>
    </row>
    <row r="13630" spans="1:7" x14ac:dyDescent="0.25">
      <c r="A13630">
        <v>11444</v>
      </c>
      <c r="B13630" t="s">
        <v>4</v>
      </c>
      <c r="C13630">
        <v>3</v>
      </c>
      <c r="D13630" t="s">
        <v>225</v>
      </c>
      <c r="F13630" t="str" cm="1">
        <f t="array" ref="F13630">CategorizeComment(E13630)</f>
        <v>Other</v>
      </c>
      <c r="G13630" t="str" cm="1">
        <f t="array" ref="G13630">SubCategorizeComment(E13630)</f>
        <v>Other</v>
      </c>
    </row>
    <row r="13631" spans="1:7" x14ac:dyDescent="0.25">
      <c r="A13631">
        <v>66325</v>
      </c>
      <c r="B13631" t="s">
        <v>4</v>
      </c>
      <c r="C13631">
        <v>4</v>
      </c>
      <c r="D13631" t="s">
        <v>1225</v>
      </c>
      <c r="F13631" t="str" cm="1">
        <f t="array" ref="F13631">CategorizeComment(E13631)</f>
        <v>Other</v>
      </c>
      <c r="G13631" t="str" cm="1">
        <f t="array" ref="G13631">SubCategorizeComment(E13631)</f>
        <v>Other</v>
      </c>
    </row>
    <row r="13632" spans="1:7" x14ac:dyDescent="0.25">
      <c r="A13632">
        <v>116316</v>
      </c>
      <c r="B13632" t="s">
        <v>4</v>
      </c>
      <c r="C13632">
        <v>4</v>
      </c>
      <c r="D13632" t="s">
        <v>1970</v>
      </c>
      <c r="F13632" t="str" cm="1">
        <f t="array" ref="F13632">CategorizeComment(E13632)</f>
        <v>Other</v>
      </c>
      <c r="G13632" t="str" cm="1">
        <f t="array" ref="G13632">SubCategorizeComment(E13632)</f>
        <v>Other</v>
      </c>
    </row>
    <row r="13633" spans="1:7" x14ac:dyDescent="0.25">
      <c r="A13633">
        <v>43358</v>
      </c>
      <c r="B13633" t="s">
        <v>4</v>
      </c>
      <c r="C13633">
        <v>3</v>
      </c>
      <c r="D13633" t="s">
        <v>818</v>
      </c>
      <c r="F13633" t="str" cm="1">
        <f t="array" ref="F13633">CategorizeComment(E13633)</f>
        <v>Other</v>
      </c>
      <c r="G13633" t="str" cm="1">
        <f t="array" ref="G13633">SubCategorizeComment(E13633)</f>
        <v>Other</v>
      </c>
    </row>
    <row r="13634" spans="1:7" x14ac:dyDescent="0.25">
      <c r="A13634">
        <v>7174</v>
      </c>
      <c r="B13634" t="s">
        <v>4</v>
      </c>
      <c r="C13634">
        <v>3</v>
      </c>
      <c r="D13634" t="s">
        <v>147</v>
      </c>
      <c r="F13634" t="str" cm="1">
        <f t="array" ref="F13634">CategorizeComment(E13634)</f>
        <v>Other</v>
      </c>
      <c r="G13634" t="str" cm="1">
        <f t="array" ref="G13634">SubCategorizeComment(E13634)</f>
        <v>Other</v>
      </c>
    </row>
    <row r="13635" spans="1:7" x14ac:dyDescent="0.25">
      <c r="A13635">
        <v>50563</v>
      </c>
      <c r="B13635" t="s">
        <v>4</v>
      </c>
      <c r="C13635">
        <v>4</v>
      </c>
      <c r="D13635" t="s">
        <v>950</v>
      </c>
      <c r="F13635" t="str" cm="1">
        <f t="array" ref="F13635">CategorizeComment(E13635)</f>
        <v>Other</v>
      </c>
      <c r="G13635" t="str" cm="1">
        <f t="array" ref="G13635">SubCategorizeComment(E13635)</f>
        <v>Other</v>
      </c>
    </row>
    <row r="13636" spans="1:7" x14ac:dyDescent="0.25">
      <c r="A13636">
        <v>53444</v>
      </c>
      <c r="B13636" t="s">
        <v>4</v>
      </c>
      <c r="C13636">
        <v>4</v>
      </c>
      <c r="D13636" t="s">
        <v>993</v>
      </c>
      <c r="F13636" t="str" cm="1">
        <f t="array" ref="F13636">CategorizeComment(E13636)</f>
        <v>Other</v>
      </c>
      <c r="G13636" t="str" cm="1">
        <f t="array" ref="G13636">SubCategorizeComment(E13636)</f>
        <v>Other</v>
      </c>
    </row>
    <row r="13637" spans="1:7" x14ac:dyDescent="0.25">
      <c r="A13637">
        <v>43970</v>
      </c>
      <c r="B13637" t="s">
        <v>4</v>
      </c>
      <c r="C13637">
        <v>3</v>
      </c>
      <c r="D13637" t="s">
        <v>829</v>
      </c>
      <c r="F13637" t="str" cm="1">
        <f t="array" ref="F13637">CategorizeComment(E13637)</f>
        <v>Other</v>
      </c>
      <c r="G13637" t="str" cm="1">
        <f t="array" ref="G13637">SubCategorizeComment(E13637)</f>
        <v>Other</v>
      </c>
    </row>
    <row r="13638" spans="1:7" x14ac:dyDescent="0.25">
      <c r="A13638">
        <v>91320</v>
      </c>
      <c r="B13638" t="s">
        <v>4</v>
      </c>
      <c r="C13638">
        <v>3</v>
      </c>
      <c r="D13638" t="s">
        <v>1595</v>
      </c>
      <c r="F13638" t="str" cm="1">
        <f t="array" ref="F13638">CategorizeComment(E13638)</f>
        <v>Other</v>
      </c>
      <c r="G13638" t="str" cm="1">
        <f t="array" ref="G13638">SubCategorizeComment(E13638)</f>
        <v>Other</v>
      </c>
    </row>
    <row r="13639" spans="1:7" x14ac:dyDescent="0.25">
      <c r="A13639">
        <v>108879</v>
      </c>
      <c r="B13639" t="s">
        <v>4</v>
      </c>
      <c r="C13639">
        <v>3</v>
      </c>
      <c r="D13639" t="s">
        <v>1858</v>
      </c>
      <c r="F13639" t="str" cm="1">
        <f t="array" ref="F13639">CategorizeComment(E13639)</f>
        <v>Other</v>
      </c>
      <c r="G13639" t="str" cm="1">
        <f t="array" ref="G13639">SubCategorizeComment(E13639)</f>
        <v>Other</v>
      </c>
    </row>
    <row r="13640" spans="1:7" x14ac:dyDescent="0.25">
      <c r="A13640">
        <v>97768</v>
      </c>
      <c r="B13640" t="s">
        <v>4</v>
      </c>
      <c r="C13640">
        <v>3</v>
      </c>
      <c r="D13640" t="s">
        <v>1696</v>
      </c>
      <c r="F13640" t="str" cm="1">
        <f t="array" ref="F13640">CategorizeComment(E13640)</f>
        <v>Other</v>
      </c>
      <c r="G13640" t="str" cm="1">
        <f t="array" ref="G13640">SubCategorizeComment(E13640)</f>
        <v>Other</v>
      </c>
    </row>
    <row r="13641" spans="1:7" x14ac:dyDescent="0.25">
      <c r="A13641">
        <v>109863</v>
      </c>
      <c r="B13641" t="s">
        <v>4</v>
      </c>
      <c r="C13641">
        <v>3</v>
      </c>
      <c r="D13641" t="s">
        <v>1876</v>
      </c>
      <c r="F13641" t="str" cm="1">
        <f t="array" ref="F13641">CategorizeComment(E13641)</f>
        <v>Other</v>
      </c>
      <c r="G13641" t="str" cm="1">
        <f t="array" ref="G13641">SubCategorizeComment(E13641)</f>
        <v>Other</v>
      </c>
    </row>
    <row r="13642" spans="1:7" x14ac:dyDescent="0.25">
      <c r="A13642">
        <v>19347</v>
      </c>
      <c r="B13642" t="s">
        <v>4</v>
      </c>
      <c r="C13642">
        <v>3</v>
      </c>
      <c r="D13642" t="s">
        <v>388</v>
      </c>
      <c r="F13642" t="str" cm="1">
        <f t="array" ref="F13642">CategorizeComment(E13642)</f>
        <v>Other</v>
      </c>
      <c r="G13642" t="str" cm="1">
        <f t="array" ref="G13642">SubCategorizeComment(E13642)</f>
        <v>Other</v>
      </c>
    </row>
    <row r="13643" spans="1:7" x14ac:dyDescent="0.25">
      <c r="A13643">
        <v>120662</v>
      </c>
      <c r="B13643" t="s">
        <v>4</v>
      </c>
      <c r="C13643">
        <v>4</v>
      </c>
      <c r="D13643" t="s">
        <v>2031</v>
      </c>
      <c r="F13643" t="str" cm="1">
        <f t="array" ref="F13643">CategorizeComment(E13643)</f>
        <v>Other</v>
      </c>
      <c r="G13643" t="str" cm="1">
        <f t="array" ref="G13643">SubCategorizeComment(E13643)</f>
        <v>Other</v>
      </c>
    </row>
    <row r="13644" spans="1:7" x14ac:dyDescent="0.25">
      <c r="A13644">
        <v>128083</v>
      </c>
      <c r="B13644" t="s">
        <v>4</v>
      </c>
      <c r="C13644">
        <v>4</v>
      </c>
      <c r="D13644" t="s">
        <v>2147</v>
      </c>
      <c r="F13644" t="str" cm="1">
        <f t="array" ref="F13644">CategorizeComment(E13644)</f>
        <v>Other</v>
      </c>
      <c r="G13644" t="str" cm="1">
        <f t="array" ref="G13644">SubCategorizeComment(E13644)</f>
        <v>Other</v>
      </c>
    </row>
    <row r="13645" spans="1:7" x14ac:dyDescent="0.25">
      <c r="A13645">
        <v>74214</v>
      </c>
      <c r="B13645" t="s">
        <v>4</v>
      </c>
      <c r="C13645">
        <v>3</v>
      </c>
      <c r="D13645" t="s">
        <v>1345</v>
      </c>
      <c r="F13645" t="str" cm="1">
        <f t="array" ref="F13645">CategorizeComment(E13645)</f>
        <v>Other</v>
      </c>
      <c r="G13645" t="str" cm="1">
        <f t="array" ref="G13645">SubCategorizeComment(E13645)</f>
        <v>Other</v>
      </c>
    </row>
    <row r="13646" spans="1:7" x14ac:dyDescent="0.25">
      <c r="A13646">
        <v>77713</v>
      </c>
      <c r="B13646" t="s">
        <v>4</v>
      </c>
      <c r="C13646">
        <v>4</v>
      </c>
      <c r="D13646" t="s">
        <v>1396</v>
      </c>
      <c r="F13646" t="str" cm="1">
        <f t="array" ref="F13646">CategorizeComment(E13646)</f>
        <v>Other</v>
      </c>
      <c r="G13646" t="str" cm="1">
        <f t="array" ref="G13646">SubCategorizeComment(E13646)</f>
        <v>Other</v>
      </c>
    </row>
    <row r="13647" spans="1:7" x14ac:dyDescent="0.25">
      <c r="A13647">
        <v>10753</v>
      </c>
      <c r="B13647" t="s">
        <v>4</v>
      </c>
      <c r="C13647">
        <v>4</v>
      </c>
      <c r="D13647" t="s">
        <v>210</v>
      </c>
      <c r="F13647" t="str" cm="1">
        <f t="array" ref="F13647">CategorizeComment(E13647)</f>
        <v>Other</v>
      </c>
      <c r="G13647" t="str" cm="1">
        <f t="array" ref="G13647">SubCategorizeComment(E13647)</f>
        <v>Other</v>
      </c>
    </row>
    <row r="13648" spans="1:7" x14ac:dyDescent="0.25">
      <c r="A13648">
        <v>24551</v>
      </c>
      <c r="B13648" t="s">
        <v>4</v>
      </c>
      <c r="C13648">
        <v>4</v>
      </c>
      <c r="D13648" t="s">
        <v>497</v>
      </c>
      <c r="F13648" t="str" cm="1">
        <f t="array" ref="F13648">CategorizeComment(E13648)</f>
        <v>Other</v>
      </c>
      <c r="G13648" t="str" cm="1">
        <f t="array" ref="G13648">SubCategorizeComment(E13648)</f>
        <v>Other</v>
      </c>
    </row>
    <row r="13649" spans="1:7" x14ac:dyDescent="0.25">
      <c r="A13649">
        <v>38246</v>
      </c>
      <c r="B13649" t="s">
        <v>4</v>
      </c>
      <c r="C13649">
        <v>3</v>
      </c>
      <c r="D13649" t="s">
        <v>735</v>
      </c>
      <c r="F13649" t="str" cm="1">
        <f t="array" ref="F13649">CategorizeComment(E13649)</f>
        <v>Other</v>
      </c>
      <c r="G13649" t="str" cm="1">
        <f t="array" ref="G13649">SubCategorizeComment(E13649)</f>
        <v>Other</v>
      </c>
    </row>
    <row r="13650" spans="1:7" x14ac:dyDescent="0.25">
      <c r="A13650">
        <v>110820</v>
      </c>
      <c r="B13650" t="s">
        <v>4</v>
      </c>
      <c r="C13650">
        <v>3</v>
      </c>
      <c r="D13650" t="s">
        <v>1898</v>
      </c>
      <c r="F13650" t="str" cm="1">
        <f t="array" ref="F13650">CategorizeComment(E13650)</f>
        <v>Other</v>
      </c>
      <c r="G13650" t="str" cm="1">
        <f t="array" ref="G13650">SubCategorizeComment(E13650)</f>
        <v>Other</v>
      </c>
    </row>
    <row r="13651" spans="1:7" x14ac:dyDescent="0.25">
      <c r="A13651">
        <v>18669</v>
      </c>
      <c r="B13651" t="s">
        <v>4</v>
      </c>
      <c r="C13651">
        <v>4</v>
      </c>
      <c r="D13651" t="s">
        <v>373</v>
      </c>
      <c r="F13651" t="str" cm="1">
        <f t="array" ref="F13651">CategorizeComment(E13651)</f>
        <v>Other</v>
      </c>
      <c r="G13651" t="str" cm="1">
        <f t="array" ref="G13651">SubCategorizeComment(E13651)</f>
        <v>Other</v>
      </c>
    </row>
    <row r="13652" spans="1:7" x14ac:dyDescent="0.25">
      <c r="A13652">
        <v>102784</v>
      </c>
      <c r="B13652" t="s">
        <v>4</v>
      </c>
      <c r="C13652">
        <v>4</v>
      </c>
      <c r="D13652" t="s">
        <v>1755</v>
      </c>
      <c r="F13652" t="str" cm="1">
        <f t="array" ref="F13652">CategorizeComment(E13652)</f>
        <v>Other</v>
      </c>
      <c r="G13652" t="str" cm="1">
        <f t="array" ref="G13652">SubCategorizeComment(E13652)</f>
        <v>Other</v>
      </c>
    </row>
    <row r="13653" spans="1:7" x14ac:dyDescent="0.25">
      <c r="A13653">
        <v>88978</v>
      </c>
      <c r="B13653" t="s">
        <v>4</v>
      </c>
      <c r="C13653">
        <v>3</v>
      </c>
      <c r="D13653" t="s">
        <v>1553</v>
      </c>
      <c r="F13653" t="str" cm="1">
        <f t="array" ref="F13653">CategorizeComment(E13653)</f>
        <v>Other</v>
      </c>
      <c r="G13653" t="str" cm="1">
        <f t="array" ref="G13653">SubCategorizeComment(E13653)</f>
        <v>Other</v>
      </c>
    </row>
    <row r="13654" spans="1:7" x14ac:dyDescent="0.25">
      <c r="A13654">
        <v>12825</v>
      </c>
      <c r="B13654" t="s">
        <v>4</v>
      </c>
      <c r="C13654">
        <v>2</v>
      </c>
      <c r="D13654" t="s">
        <v>253</v>
      </c>
      <c r="F13654" t="str" cm="1">
        <f t="array" ref="F13654">CategorizeComment(E13654)</f>
        <v>Other</v>
      </c>
      <c r="G13654" t="str" cm="1">
        <f t="array" ref="G13654">SubCategorizeComment(E13654)</f>
        <v>Other</v>
      </c>
    </row>
    <row r="13655" spans="1:7" x14ac:dyDescent="0.25">
      <c r="A13655">
        <v>105813</v>
      </c>
      <c r="B13655" t="s">
        <v>4</v>
      </c>
      <c r="C13655">
        <v>3</v>
      </c>
      <c r="D13655" t="s">
        <v>1808</v>
      </c>
      <c r="F13655" t="str" cm="1">
        <f t="array" ref="F13655">CategorizeComment(E13655)</f>
        <v>Other</v>
      </c>
      <c r="G13655" t="str" cm="1">
        <f t="array" ref="G13655">SubCategorizeComment(E13655)</f>
        <v>Other</v>
      </c>
    </row>
    <row r="13656" spans="1:7" x14ac:dyDescent="0.25">
      <c r="A13656">
        <v>31012</v>
      </c>
      <c r="B13656" t="s">
        <v>4</v>
      </c>
      <c r="C13656">
        <v>4</v>
      </c>
      <c r="D13656" t="s">
        <v>599</v>
      </c>
      <c r="F13656" t="str" cm="1">
        <f t="array" ref="F13656">CategorizeComment(E13656)</f>
        <v>Other</v>
      </c>
      <c r="G13656" t="str" cm="1">
        <f t="array" ref="G13656">SubCategorizeComment(E13656)</f>
        <v>Other</v>
      </c>
    </row>
    <row r="13657" spans="1:7" x14ac:dyDescent="0.25">
      <c r="A13657">
        <v>46873</v>
      </c>
      <c r="B13657" t="s">
        <v>4</v>
      </c>
      <c r="C13657">
        <v>3</v>
      </c>
      <c r="D13657" t="s">
        <v>891</v>
      </c>
      <c r="F13657" t="str" cm="1">
        <f t="array" ref="F13657">CategorizeComment(E13657)</f>
        <v>Other</v>
      </c>
      <c r="G13657" t="str" cm="1">
        <f t="array" ref="G13657">SubCategorizeComment(E13657)</f>
        <v>Other</v>
      </c>
    </row>
    <row r="13658" spans="1:7" x14ac:dyDescent="0.25">
      <c r="A13658">
        <v>55397</v>
      </c>
      <c r="B13658" t="s">
        <v>4</v>
      </c>
      <c r="C13658">
        <v>3</v>
      </c>
      <c r="D13658" t="s">
        <v>1038</v>
      </c>
      <c r="F13658" t="str" cm="1">
        <f t="array" ref="F13658">CategorizeComment(E13658)</f>
        <v>Other</v>
      </c>
      <c r="G13658" t="str" cm="1">
        <f t="array" ref="G13658">SubCategorizeComment(E13658)</f>
        <v>Other</v>
      </c>
    </row>
    <row r="13659" spans="1:7" x14ac:dyDescent="0.25">
      <c r="A13659">
        <v>28692</v>
      </c>
      <c r="B13659" t="s">
        <v>4</v>
      </c>
      <c r="C13659">
        <v>3</v>
      </c>
      <c r="D13659" t="s">
        <v>565</v>
      </c>
      <c r="F13659" t="str" cm="1">
        <f t="array" ref="F13659">CategorizeComment(E13659)</f>
        <v>Other</v>
      </c>
      <c r="G13659" t="str" cm="1">
        <f t="array" ref="G13659">SubCategorizeComment(E13659)</f>
        <v>Other</v>
      </c>
    </row>
    <row r="13660" spans="1:7" x14ac:dyDescent="0.25">
      <c r="A13660">
        <v>67110</v>
      </c>
      <c r="B13660" t="s">
        <v>4</v>
      </c>
      <c r="C13660">
        <v>4</v>
      </c>
      <c r="D13660" t="s">
        <v>1237</v>
      </c>
      <c r="F13660" t="str" cm="1">
        <f t="array" ref="F13660">CategorizeComment(E13660)</f>
        <v>Other</v>
      </c>
      <c r="G13660" t="str" cm="1">
        <f t="array" ref="G13660">SubCategorizeComment(E13660)</f>
        <v>Other</v>
      </c>
    </row>
    <row r="13661" spans="1:7" x14ac:dyDescent="0.25">
      <c r="A13661">
        <v>99593</v>
      </c>
      <c r="B13661" t="s">
        <v>4</v>
      </c>
      <c r="C13661">
        <v>4</v>
      </c>
      <c r="D13661" t="s">
        <v>1721</v>
      </c>
      <c r="F13661" t="str" cm="1">
        <f t="array" ref="F13661">CategorizeComment(E13661)</f>
        <v>Other</v>
      </c>
      <c r="G13661" t="str" cm="1">
        <f t="array" ref="G13661">SubCategorizeComment(E13661)</f>
        <v>Other</v>
      </c>
    </row>
    <row r="13662" spans="1:7" x14ac:dyDescent="0.25">
      <c r="A13662">
        <v>85459</v>
      </c>
      <c r="B13662" t="s">
        <v>4</v>
      </c>
      <c r="C13662">
        <v>4</v>
      </c>
      <c r="D13662" t="s">
        <v>1498</v>
      </c>
      <c r="F13662" t="str" cm="1">
        <f t="array" ref="F13662">CategorizeComment(E13662)</f>
        <v>Other</v>
      </c>
      <c r="G13662" t="str" cm="1">
        <f t="array" ref="G13662">SubCategorizeComment(E13662)</f>
        <v>Other</v>
      </c>
    </row>
    <row r="13663" spans="1:7" x14ac:dyDescent="0.25">
      <c r="A13663">
        <v>17026</v>
      </c>
      <c r="B13663" t="s">
        <v>4</v>
      </c>
      <c r="C13663">
        <v>3</v>
      </c>
      <c r="D13663" t="s">
        <v>330</v>
      </c>
      <c r="F13663" t="str" cm="1">
        <f t="array" ref="F13663">CategorizeComment(E13663)</f>
        <v>Other</v>
      </c>
      <c r="G13663" t="str" cm="1">
        <f t="array" ref="G13663">SubCategorizeComment(E13663)</f>
        <v>Other</v>
      </c>
    </row>
    <row r="13664" spans="1:7" x14ac:dyDescent="0.25">
      <c r="A13664">
        <v>5162</v>
      </c>
      <c r="B13664" t="s">
        <v>4</v>
      </c>
      <c r="C13664">
        <v>3</v>
      </c>
      <c r="D13664" t="s">
        <v>111</v>
      </c>
      <c r="F13664" t="str" cm="1">
        <f t="array" ref="F13664">CategorizeComment(E13664)</f>
        <v>Other</v>
      </c>
      <c r="G13664" t="str" cm="1">
        <f t="array" ref="G13664">SubCategorizeComment(E13664)</f>
        <v>Other</v>
      </c>
    </row>
    <row r="13665" spans="1:7" x14ac:dyDescent="0.25">
      <c r="A13665">
        <v>45330</v>
      </c>
      <c r="B13665" t="s">
        <v>4</v>
      </c>
      <c r="C13665">
        <v>3</v>
      </c>
      <c r="D13665" t="s">
        <v>858</v>
      </c>
      <c r="F13665" t="str" cm="1">
        <f t="array" ref="F13665">CategorizeComment(E13665)</f>
        <v>Other</v>
      </c>
      <c r="G13665" t="str" cm="1">
        <f t="array" ref="G13665">SubCategorizeComment(E13665)</f>
        <v>Other</v>
      </c>
    </row>
    <row r="13666" spans="1:7" x14ac:dyDescent="0.25">
      <c r="A13666">
        <v>95492</v>
      </c>
      <c r="B13666" t="s">
        <v>4</v>
      </c>
      <c r="C13666">
        <v>4</v>
      </c>
      <c r="D13666" t="s">
        <v>1658</v>
      </c>
      <c r="F13666" t="str" cm="1">
        <f t="array" ref="F13666">CategorizeComment(E13666)</f>
        <v>Other</v>
      </c>
      <c r="G13666" t="str" cm="1">
        <f t="array" ref="G13666">SubCategorizeComment(E13666)</f>
        <v>Other</v>
      </c>
    </row>
    <row r="13667" spans="1:7" x14ac:dyDescent="0.25">
      <c r="A13667">
        <v>24358</v>
      </c>
      <c r="B13667" t="s">
        <v>4</v>
      </c>
      <c r="C13667">
        <v>4</v>
      </c>
      <c r="D13667" t="s">
        <v>494</v>
      </c>
      <c r="F13667" t="str" cm="1">
        <f t="array" ref="F13667">CategorizeComment(E13667)</f>
        <v>Other</v>
      </c>
      <c r="G13667" t="str" cm="1">
        <f t="array" ref="G13667">SubCategorizeComment(E13667)</f>
        <v>Other</v>
      </c>
    </row>
    <row r="13668" spans="1:7" x14ac:dyDescent="0.25">
      <c r="A13668">
        <v>11814</v>
      </c>
      <c r="B13668" t="s">
        <v>4</v>
      </c>
      <c r="C13668">
        <v>4</v>
      </c>
      <c r="D13668" t="s">
        <v>233</v>
      </c>
      <c r="F13668" t="str" cm="1">
        <f t="array" ref="F13668">CategorizeComment(E13668)</f>
        <v>Other</v>
      </c>
      <c r="G13668" t="str" cm="1">
        <f t="array" ref="G13668">SubCategorizeComment(E13668)</f>
        <v>Other</v>
      </c>
    </row>
    <row r="13669" spans="1:7" x14ac:dyDescent="0.25">
      <c r="A13669">
        <v>25076</v>
      </c>
      <c r="B13669" t="s">
        <v>4</v>
      </c>
      <c r="C13669">
        <v>3</v>
      </c>
      <c r="D13669" t="s">
        <v>510</v>
      </c>
      <c r="F13669" t="str" cm="1">
        <f t="array" ref="F13669">CategorizeComment(E13669)</f>
        <v>Other</v>
      </c>
      <c r="G13669" t="str" cm="1">
        <f t="array" ref="G13669">SubCategorizeComment(E13669)</f>
        <v>Other</v>
      </c>
    </row>
    <row r="13670" spans="1:7" x14ac:dyDescent="0.25">
      <c r="A13670">
        <v>121362</v>
      </c>
      <c r="B13670" t="s">
        <v>4</v>
      </c>
      <c r="C13670">
        <v>4</v>
      </c>
      <c r="D13670" t="s">
        <v>2038</v>
      </c>
      <c r="F13670" t="str" cm="1">
        <f t="array" ref="F13670">CategorizeComment(E13670)</f>
        <v>Other</v>
      </c>
      <c r="G13670" t="str" cm="1">
        <f t="array" ref="G13670">SubCategorizeComment(E13670)</f>
        <v>Other</v>
      </c>
    </row>
    <row r="13671" spans="1:7" x14ac:dyDescent="0.25">
      <c r="A13671">
        <v>47880</v>
      </c>
      <c r="B13671" t="s">
        <v>4</v>
      </c>
      <c r="C13671">
        <v>4</v>
      </c>
      <c r="D13671" t="s">
        <v>905</v>
      </c>
      <c r="F13671" t="str" cm="1">
        <f t="array" ref="F13671">CategorizeComment(E13671)</f>
        <v>Other</v>
      </c>
      <c r="G13671" t="str" cm="1">
        <f t="array" ref="G13671">SubCategorizeComment(E13671)</f>
        <v>Other</v>
      </c>
    </row>
    <row r="13672" spans="1:7" x14ac:dyDescent="0.25">
      <c r="A13672">
        <v>104931</v>
      </c>
      <c r="B13672" t="s">
        <v>4</v>
      </c>
      <c r="C13672">
        <v>4</v>
      </c>
      <c r="D13672" t="s">
        <v>1793</v>
      </c>
      <c r="F13672" t="str" cm="1">
        <f t="array" ref="F13672">CategorizeComment(E13672)</f>
        <v>Other</v>
      </c>
      <c r="G13672" t="str" cm="1">
        <f t="array" ref="G13672">SubCategorizeComment(E13672)</f>
        <v>Other</v>
      </c>
    </row>
    <row r="13673" spans="1:7" x14ac:dyDescent="0.25">
      <c r="A13673">
        <v>54148</v>
      </c>
      <c r="B13673" t="s">
        <v>4</v>
      </c>
      <c r="C13673">
        <v>3</v>
      </c>
      <c r="D13673" t="s">
        <v>1012</v>
      </c>
      <c r="F13673" t="str" cm="1">
        <f t="array" ref="F13673">CategorizeComment(E13673)</f>
        <v>Other</v>
      </c>
      <c r="G13673" t="str" cm="1">
        <f t="array" ref="G13673">SubCategorizeComment(E13673)</f>
        <v>Other</v>
      </c>
    </row>
    <row r="13674" spans="1:7" x14ac:dyDescent="0.25">
      <c r="A13674">
        <v>85698</v>
      </c>
      <c r="B13674" t="s">
        <v>4</v>
      </c>
      <c r="C13674">
        <v>3</v>
      </c>
      <c r="D13674" t="s">
        <v>1503</v>
      </c>
      <c r="F13674" t="str" cm="1">
        <f t="array" ref="F13674">CategorizeComment(E13674)</f>
        <v>Other</v>
      </c>
      <c r="G13674" t="str" cm="1">
        <f t="array" ref="G13674">SubCategorizeComment(E13674)</f>
        <v>Other</v>
      </c>
    </row>
    <row r="13675" spans="1:7" x14ac:dyDescent="0.25">
      <c r="A13675">
        <v>56024</v>
      </c>
      <c r="B13675" t="s">
        <v>4</v>
      </c>
      <c r="C13675">
        <v>4</v>
      </c>
      <c r="D13675" t="s">
        <v>1046</v>
      </c>
      <c r="F13675" t="str" cm="1">
        <f t="array" ref="F13675">CategorizeComment(E13675)</f>
        <v>Other</v>
      </c>
      <c r="G13675" t="str" cm="1">
        <f t="array" ref="G13675">SubCategorizeComment(E13675)</f>
        <v>Other</v>
      </c>
    </row>
    <row r="13676" spans="1:7" x14ac:dyDescent="0.25">
      <c r="A13676">
        <v>95473</v>
      </c>
      <c r="B13676" t="s">
        <v>4</v>
      </c>
      <c r="C13676">
        <v>4</v>
      </c>
      <c r="D13676" t="s">
        <v>1657</v>
      </c>
      <c r="F13676" t="str" cm="1">
        <f t="array" ref="F13676">CategorizeComment(E13676)</f>
        <v>Other</v>
      </c>
      <c r="G13676" t="str" cm="1">
        <f t="array" ref="G13676">SubCategorizeComment(E13676)</f>
        <v>Other</v>
      </c>
    </row>
    <row r="13677" spans="1:7" x14ac:dyDescent="0.25">
      <c r="A13677">
        <v>104461</v>
      </c>
      <c r="B13677" t="s">
        <v>4</v>
      </c>
      <c r="C13677">
        <v>4</v>
      </c>
      <c r="D13677" t="s">
        <v>1782</v>
      </c>
      <c r="F13677" t="str" cm="1">
        <f t="array" ref="F13677">CategorizeComment(E13677)</f>
        <v>Other</v>
      </c>
      <c r="G13677" t="str" cm="1">
        <f t="array" ref="G13677">SubCategorizeComment(E13677)</f>
        <v>Other</v>
      </c>
    </row>
    <row r="13678" spans="1:7" x14ac:dyDescent="0.25">
      <c r="A13678">
        <v>125258</v>
      </c>
      <c r="B13678" t="s">
        <v>4</v>
      </c>
      <c r="C13678">
        <v>3</v>
      </c>
      <c r="D13678" t="s">
        <v>2107</v>
      </c>
      <c r="F13678" t="str" cm="1">
        <f t="array" ref="F13678">CategorizeComment(E13678)</f>
        <v>Other</v>
      </c>
      <c r="G13678" t="str" cm="1">
        <f t="array" ref="G13678">SubCategorizeComment(E13678)</f>
        <v>Other</v>
      </c>
    </row>
    <row r="13679" spans="1:7" x14ac:dyDescent="0.25">
      <c r="A13679">
        <v>35270</v>
      </c>
      <c r="B13679" t="s">
        <v>4</v>
      </c>
      <c r="C13679">
        <v>4</v>
      </c>
      <c r="D13679" t="s">
        <v>671</v>
      </c>
      <c r="F13679" t="str" cm="1">
        <f t="array" ref="F13679">CategorizeComment(E13679)</f>
        <v>Other</v>
      </c>
      <c r="G13679" t="str" cm="1">
        <f t="array" ref="G13679">SubCategorizeComment(E13679)</f>
        <v>Other</v>
      </c>
    </row>
    <row r="13680" spans="1:7" x14ac:dyDescent="0.25">
      <c r="A13680">
        <v>53457</v>
      </c>
      <c r="B13680" t="s">
        <v>4</v>
      </c>
      <c r="C13680">
        <v>4</v>
      </c>
      <c r="D13680" t="s">
        <v>995</v>
      </c>
      <c r="F13680" t="str" cm="1">
        <f t="array" ref="F13680">CategorizeComment(E13680)</f>
        <v>Other</v>
      </c>
      <c r="G13680" t="str" cm="1">
        <f t="array" ref="G13680">SubCategorizeComment(E13680)</f>
        <v>Other</v>
      </c>
    </row>
    <row r="13681" spans="1:7" x14ac:dyDescent="0.25">
      <c r="A13681">
        <v>56944</v>
      </c>
      <c r="B13681" t="s">
        <v>4</v>
      </c>
      <c r="C13681">
        <v>4</v>
      </c>
      <c r="D13681" t="s">
        <v>1063</v>
      </c>
      <c r="F13681" t="str" cm="1">
        <f t="array" ref="F13681">CategorizeComment(E13681)</f>
        <v>Other</v>
      </c>
      <c r="G13681" t="str" cm="1">
        <f t="array" ref="G13681">SubCategorizeComment(E13681)</f>
        <v>Other</v>
      </c>
    </row>
    <row r="13682" spans="1:7" x14ac:dyDescent="0.25">
      <c r="A13682">
        <v>46245</v>
      </c>
      <c r="B13682" t="s">
        <v>4</v>
      </c>
      <c r="C13682">
        <v>3</v>
      </c>
      <c r="D13682" t="s">
        <v>876</v>
      </c>
      <c r="F13682" t="str" cm="1">
        <f t="array" ref="F13682">CategorizeComment(E13682)</f>
        <v>Other</v>
      </c>
      <c r="G13682" t="str" cm="1">
        <f t="array" ref="G13682">SubCategorizeComment(E13682)</f>
        <v>Other</v>
      </c>
    </row>
    <row r="13683" spans="1:7" x14ac:dyDescent="0.25">
      <c r="A13683">
        <v>46645</v>
      </c>
      <c r="B13683" t="s">
        <v>4</v>
      </c>
      <c r="C13683">
        <v>4</v>
      </c>
      <c r="D13683" t="s">
        <v>887</v>
      </c>
      <c r="F13683" t="str" cm="1">
        <f t="array" ref="F13683">CategorizeComment(E13683)</f>
        <v>Other</v>
      </c>
      <c r="G13683" t="str" cm="1">
        <f t="array" ref="G13683">SubCategorizeComment(E13683)</f>
        <v>Other</v>
      </c>
    </row>
    <row r="13684" spans="1:7" x14ac:dyDescent="0.25">
      <c r="A13684">
        <v>82159</v>
      </c>
      <c r="B13684" t="s">
        <v>4</v>
      </c>
      <c r="C13684">
        <v>1</v>
      </c>
      <c r="D13684" t="s">
        <v>1464</v>
      </c>
      <c r="F13684" t="str" cm="1">
        <f t="array" ref="F13684">CategorizeComment(E13684)</f>
        <v>Other</v>
      </c>
      <c r="G13684" t="str" cm="1">
        <f t="array" ref="G13684">SubCategorizeComment(E13684)</f>
        <v>Other</v>
      </c>
    </row>
    <row r="13685" spans="1:7" x14ac:dyDescent="0.25">
      <c r="A13685">
        <v>75267</v>
      </c>
      <c r="B13685" t="s">
        <v>4</v>
      </c>
      <c r="C13685">
        <v>3</v>
      </c>
      <c r="D13685" t="s">
        <v>1365</v>
      </c>
      <c r="F13685" t="str" cm="1">
        <f t="array" ref="F13685">CategorizeComment(E13685)</f>
        <v>Other</v>
      </c>
      <c r="G13685" t="str" cm="1">
        <f t="array" ref="G13685">SubCategorizeComment(E13685)</f>
        <v>Other</v>
      </c>
    </row>
    <row r="13686" spans="1:7" x14ac:dyDescent="0.25">
      <c r="A13686">
        <v>105299</v>
      </c>
      <c r="B13686" t="s">
        <v>4</v>
      </c>
      <c r="C13686">
        <v>3</v>
      </c>
      <c r="D13686" t="s">
        <v>1801</v>
      </c>
      <c r="F13686" t="str" cm="1">
        <f t="array" ref="F13686">CategorizeComment(E13686)</f>
        <v>Other</v>
      </c>
      <c r="G13686" t="str" cm="1">
        <f t="array" ref="G13686">SubCategorizeComment(E13686)</f>
        <v>Other</v>
      </c>
    </row>
    <row r="13687" spans="1:7" x14ac:dyDescent="0.25">
      <c r="A13687">
        <v>63299</v>
      </c>
      <c r="B13687" t="s">
        <v>4</v>
      </c>
      <c r="C13687">
        <v>4</v>
      </c>
      <c r="D13687" t="s">
        <v>1180</v>
      </c>
      <c r="F13687" t="str" cm="1">
        <f t="array" ref="F13687">CategorizeComment(E13687)</f>
        <v>Other</v>
      </c>
      <c r="G13687" t="str" cm="1">
        <f t="array" ref="G13687">SubCategorizeComment(E13687)</f>
        <v>Other</v>
      </c>
    </row>
    <row r="13688" spans="1:7" x14ac:dyDescent="0.25">
      <c r="A13688">
        <v>98715</v>
      </c>
      <c r="B13688" t="s">
        <v>4</v>
      </c>
      <c r="C13688">
        <v>4</v>
      </c>
      <c r="D13688" t="s">
        <v>1710</v>
      </c>
      <c r="F13688" t="str" cm="1">
        <f t="array" ref="F13688">CategorizeComment(E13688)</f>
        <v>Other</v>
      </c>
      <c r="G13688" t="str" cm="1">
        <f t="array" ref="G13688">SubCategorizeComment(E13688)</f>
        <v>Other</v>
      </c>
    </row>
    <row r="13689" spans="1:7" x14ac:dyDescent="0.25">
      <c r="A13689">
        <v>4060</v>
      </c>
      <c r="B13689" t="s">
        <v>4</v>
      </c>
      <c r="C13689">
        <v>3</v>
      </c>
      <c r="D13689" t="s">
        <v>87</v>
      </c>
      <c r="F13689" t="str" cm="1">
        <f t="array" ref="F13689">CategorizeComment(E13689)</f>
        <v>Other</v>
      </c>
      <c r="G13689" t="str" cm="1">
        <f t="array" ref="G13689">SubCategorizeComment(E13689)</f>
        <v>Other</v>
      </c>
    </row>
    <row r="13690" spans="1:7" x14ac:dyDescent="0.25">
      <c r="A13690">
        <v>68538</v>
      </c>
      <c r="B13690" t="s">
        <v>4</v>
      </c>
      <c r="C13690">
        <v>4</v>
      </c>
      <c r="D13690" t="s">
        <v>1254</v>
      </c>
      <c r="F13690" t="str" cm="1">
        <f t="array" ref="F13690">CategorizeComment(E13690)</f>
        <v>Other</v>
      </c>
      <c r="G13690" t="str" cm="1">
        <f t="array" ref="G13690">SubCategorizeComment(E13690)</f>
        <v>Other</v>
      </c>
    </row>
    <row r="13691" spans="1:7" x14ac:dyDescent="0.25">
      <c r="A13691">
        <v>18631</v>
      </c>
      <c r="B13691" t="s">
        <v>4</v>
      </c>
      <c r="C13691">
        <v>3</v>
      </c>
      <c r="D13691" t="s">
        <v>372</v>
      </c>
      <c r="F13691" t="str" cm="1">
        <f t="array" ref="F13691">CategorizeComment(E13691)</f>
        <v>Other</v>
      </c>
      <c r="G13691" t="str" cm="1">
        <f t="array" ref="G13691">SubCategorizeComment(E13691)</f>
        <v>Other</v>
      </c>
    </row>
    <row r="13692" spans="1:7" x14ac:dyDescent="0.25">
      <c r="A13692">
        <v>20699</v>
      </c>
      <c r="B13692" t="s">
        <v>4</v>
      </c>
      <c r="C13692">
        <v>3</v>
      </c>
      <c r="D13692" t="s">
        <v>421</v>
      </c>
      <c r="F13692" t="str" cm="1">
        <f t="array" ref="F13692">CategorizeComment(E13692)</f>
        <v>Other</v>
      </c>
      <c r="G13692" t="str" cm="1">
        <f t="array" ref="G13692">SubCategorizeComment(E13692)</f>
        <v>Other</v>
      </c>
    </row>
    <row r="13693" spans="1:7" x14ac:dyDescent="0.25">
      <c r="A13693">
        <v>117830</v>
      </c>
      <c r="B13693" t="s">
        <v>4</v>
      </c>
      <c r="C13693">
        <v>4</v>
      </c>
      <c r="D13693" t="s">
        <v>1995</v>
      </c>
      <c r="F13693" t="str" cm="1">
        <f t="array" ref="F13693">CategorizeComment(E13693)</f>
        <v>Other</v>
      </c>
      <c r="G13693" t="str" cm="1">
        <f t="array" ref="G13693">SubCategorizeComment(E13693)</f>
        <v>Other</v>
      </c>
    </row>
    <row r="13694" spans="1:7" x14ac:dyDescent="0.25">
      <c r="A13694">
        <v>122754</v>
      </c>
      <c r="B13694" t="s">
        <v>4</v>
      </c>
      <c r="C13694">
        <v>3</v>
      </c>
      <c r="D13694" t="s">
        <v>2067</v>
      </c>
      <c r="F13694" t="str" cm="1">
        <f t="array" ref="F13694">CategorizeComment(E13694)</f>
        <v>Other</v>
      </c>
      <c r="G13694" t="str" cm="1">
        <f t="array" ref="G13694">SubCategorizeComment(E13694)</f>
        <v>Other</v>
      </c>
    </row>
    <row r="13695" spans="1:7" x14ac:dyDescent="0.25">
      <c r="A13695">
        <v>98107</v>
      </c>
      <c r="B13695" t="s">
        <v>4</v>
      </c>
      <c r="C13695">
        <v>3</v>
      </c>
      <c r="D13695" t="s">
        <v>1703</v>
      </c>
      <c r="F13695" t="str" cm="1">
        <f t="array" ref="F13695">CategorizeComment(E13695)</f>
        <v>Other</v>
      </c>
      <c r="G13695" t="str" cm="1">
        <f t="array" ref="G13695">SubCategorizeComment(E13695)</f>
        <v>Other</v>
      </c>
    </row>
    <row r="13696" spans="1:7" x14ac:dyDescent="0.25">
      <c r="A13696">
        <v>20021</v>
      </c>
      <c r="B13696" t="s">
        <v>4</v>
      </c>
      <c r="C13696">
        <v>3</v>
      </c>
      <c r="D13696" t="s">
        <v>405</v>
      </c>
      <c r="F13696" t="str" cm="1">
        <f t="array" ref="F13696">CategorizeComment(E13696)</f>
        <v>Other</v>
      </c>
      <c r="G13696" t="str" cm="1">
        <f t="array" ref="G13696">SubCategorizeComment(E13696)</f>
        <v>Other</v>
      </c>
    </row>
    <row r="13697" spans="1:7" x14ac:dyDescent="0.25">
      <c r="A13697">
        <v>78388</v>
      </c>
      <c r="B13697" t="s">
        <v>4</v>
      </c>
      <c r="C13697">
        <v>3</v>
      </c>
      <c r="D13697" t="s">
        <v>1405</v>
      </c>
      <c r="F13697" t="str" cm="1">
        <f t="array" ref="F13697">CategorizeComment(E13697)</f>
        <v>Other</v>
      </c>
      <c r="G13697" t="str" cm="1">
        <f t="array" ref="G13697">SubCategorizeComment(E13697)</f>
        <v>Other</v>
      </c>
    </row>
    <row r="13698" spans="1:7" x14ac:dyDescent="0.25">
      <c r="A13698">
        <v>2706</v>
      </c>
      <c r="B13698" t="s">
        <v>4</v>
      </c>
      <c r="C13698">
        <v>4</v>
      </c>
      <c r="D13698" t="s">
        <v>59</v>
      </c>
      <c r="F13698" t="str" cm="1">
        <f t="array" ref="F13698">CategorizeComment(E13698)</f>
        <v>Other</v>
      </c>
      <c r="G13698" t="str" cm="1">
        <f t="array" ref="G13698">SubCategorizeComment(E13698)</f>
        <v>Other</v>
      </c>
    </row>
    <row r="13699" spans="1:7" x14ac:dyDescent="0.25">
      <c r="A13699">
        <v>51968</v>
      </c>
      <c r="B13699" t="s">
        <v>4</v>
      </c>
      <c r="C13699">
        <v>1</v>
      </c>
      <c r="D13699" t="s">
        <v>972</v>
      </c>
      <c r="F13699" t="str" cm="1">
        <f t="array" ref="F13699">CategorizeComment(E13699)</f>
        <v>Other</v>
      </c>
      <c r="G13699" t="str" cm="1">
        <f t="array" ref="G13699">SubCategorizeComment(E13699)</f>
        <v>Other</v>
      </c>
    </row>
    <row r="13700" spans="1:7" x14ac:dyDescent="0.25">
      <c r="A13700">
        <v>1159</v>
      </c>
      <c r="B13700" t="s">
        <v>4</v>
      </c>
      <c r="C13700">
        <v>4</v>
      </c>
      <c r="D13700" t="s">
        <v>33</v>
      </c>
      <c r="F13700" t="str" cm="1">
        <f t="array" ref="F13700">CategorizeComment(E13700)</f>
        <v>Other</v>
      </c>
      <c r="G13700" t="str" cm="1">
        <f t="array" ref="G13700">SubCategorizeComment(E13700)</f>
        <v>Other</v>
      </c>
    </row>
    <row r="13701" spans="1:7" x14ac:dyDescent="0.25">
      <c r="A13701">
        <v>22518</v>
      </c>
      <c r="B13701" t="s">
        <v>4</v>
      </c>
      <c r="C13701">
        <v>3</v>
      </c>
      <c r="D13701" t="s">
        <v>459</v>
      </c>
      <c r="F13701" t="str" cm="1">
        <f t="array" ref="F13701">CategorizeComment(E13701)</f>
        <v>Other</v>
      </c>
      <c r="G13701" t="str" cm="1">
        <f t="array" ref="G13701">SubCategorizeComment(E13701)</f>
        <v>Other</v>
      </c>
    </row>
    <row r="13702" spans="1:7" x14ac:dyDescent="0.25">
      <c r="A13702">
        <v>67688</v>
      </c>
      <c r="B13702" t="s">
        <v>4</v>
      </c>
      <c r="C13702">
        <v>3</v>
      </c>
      <c r="D13702" t="s">
        <v>1241</v>
      </c>
      <c r="F13702" t="str" cm="1">
        <f t="array" ref="F13702">CategorizeComment(E13702)</f>
        <v>Other</v>
      </c>
      <c r="G13702" t="str" cm="1">
        <f t="array" ref="G13702">SubCategorizeComment(E13702)</f>
        <v>Other</v>
      </c>
    </row>
    <row r="13703" spans="1:7" x14ac:dyDescent="0.25">
      <c r="A13703">
        <v>73400</v>
      </c>
      <c r="B13703" t="s">
        <v>4</v>
      </c>
      <c r="C13703">
        <v>4</v>
      </c>
      <c r="D13703" t="s">
        <v>1336</v>
      </c>
      <c r="F13703" t="str" cm="1">
        <f t="array" ref="F13703">CategorizeComment(E13703)</f>
        <v>Other</v>
      </c>
      <c r="G13703" t="str" cm="1">
        <f t="array" ref="G13703">SubCategorizeComment(E13703)</f>
        <v>Other</v>
      </c>
    </row>
    <row r="13704" spans="1:7" x14ac:dyDescent="0.25">
      <c r="A13704">
        <v>45384</v>
      </c>
      <c r="B13704" t="s">
        <v>4</v>
      </c>
      <c r="C13704">
        <v>2</v>
      </c>
      <c r="D13704" t="s">
        <v>860</v>
      </c>
      <c r="F13704" t="str" cm="1">
        <f t="array" ref="F13704">CategorizeComment(E13704)</f>
        <v>Other</v>
      </c>
      <c r="G13704" t="str" cm="1">
        <f t="array" ref="G13704">SubCategorizeComment(E13704)</f>
        <v>Other</v>
      </c>
    </row>
    <row r="13705" spans="1:7" x14ac:dyDescent="0.25">
      <c r="A13705">
        <v>73812</v>
      </c>
      <c r="B13705" t="s">
        <v>4</v>
      </c>
      <c r="C13705">
        <v>3</v>
      </c>
      <c r="D13705" t="s">
        <v>1340</v>
      </c>
      <c r="F13705" t="str" cm="1">
        <f t="array" ref="F13705">CategorizeComment(E13705)</f>
        <v>Other</v>
      </c>
      <c r="G13705" t="str" cm="1">
        <f t="array" ref="G13705">SubCategorizeComment(E13705)</f>
        <v>Other</v>
      </c>
    </row>
    <row r="13706" spans="1:7" x14ac:dyDescent="0.25">
      <c r="A13706">
        <v>45622</v>
      </c>
      <c r="B13706" t="s">
        <v>4</v>
      </c>
      <c r="C13706">
        <v>4</v>
      </c>
      <c r="D13706" t="s">
        <v>866</v>
      </c>
      <c r="F13706" t="str" cm="1">
        <f t="array" ref="F13706">CategorizeComment(E13706)</f>
        <v>Other</v>
      </c>
      <c r="G13706" t="str" cm="1">
        <f t="array" ref="G13706">SubCategorizeComment(E13706)</f>
        <v>Other</v>
      </c>
    </row>
    <row r="13707" spans="1:7" x14ac:dyDescent="0.25">
      <c r="A13707">
        <v>109250</v>
      </c>
      <c r="B13707" t="s">
        <v>4</v>
      </c>
      <c r="C13707">
        <v>3</v>
      </c>
      <c r="D13707" t="s">
        <v>1865</v>
      </c>
      <c r="F13707" t="str" cm="1">
        <f t="array" ref="F13707">CategorizeComment(E13707)</f>
        <v>Other</v>
      </c>
      <c r="G13707" t="str" cm="1">
        <f t="array" ref="G13707">SubCategorizeComment(E13707)</f>
        <v>Other</v>
      </c>
    </row>
    <row r="13708" spans="1:7" x14ac:dyDescent="0.25">
      <c r="A13708">
        <v>88563</v>
      </c>
      <c r="B13708" t="s">
        <v>4</v>
      </c>
      <c r="C13708">
        <v>3</v>
      </c>
      <c r="D13708" t="s">
        <v>1549</v>
      </c>
      <c r="F13708" t="str" cm="1">
        <f t="array" ref="F13708">CategorizeComment(E13708)</f>
        <v>Other</v>
      </c>
      <c r="G13708" t="str" cm="1">
        <f t="array" ref="G13708">SubCategorizeComment(E13708)</f>
        <v>Other</v>
      </c>
    </row>
    <row r="13709" spans="1:7" x14ac:dyDescent="0.25">
      <c r="A13709">
        <v>60763</v>
      </c>
      <c r="B13709" t="s">
        <v>4</v>
      </c>
      <c r="C13709">
        <v>4</v>
      </c>
      <c r="D13709" t="s">
        <v>1136</v>
      </c>
      <c r="F13709" t="str" cm="1">
        <f t="array" ref="F13709">CategorizeComment(E13709)</f>
        <v>Other</v>
      </c>
      <c r="G13709" t="str" cm="1">
        <f t="array" ref="G13709">SubCategorizeComment(E13709)</f>
        <v>Other</v>
      </c>
    </row>
    <row r="13710" spans="1:7" x14ac:dyDescent="0.25">
      <c r="A13710">
        <v>128187</v>
      </c>
      <c r="B13710" t="s">
        <v>4</v>
      </c>
      <c r="C13710">
        <v>3</v>
      </c>
      <c r="D13710" t="s">
        <v>2149</v>
      </c>
      <c r="F13710" t="str" cm="1">
        <f t="array" ref="F13710">CategorizeComment(E13710)</f>
        <v>Other</v>
      </c>
      <c r="G13710" t="str" cm="1">
        <f t="array" ref="G13710">SubCategorizeComment(E13710)</f>
        <v>Other</v>
      </c>
    </row>
    <row r="13711" spans="1:7" x14ac:dyDescent="0.25">
      <c r="A13711">
        <v>69004</v>
      </c>
      <c r="B13711" t="s">
        <v>4</v>
      </c>
      <c r="C13711">
        <v>3</v>
      </c>
      <c r="D13711" t="s">
        <v>1262</v>
      </c>
      <c r="F13711" t="str" cm="1">
        <f t="array" ref="F13711">CategorizeComment(E13711)</f>
        <v>Other</v>
      </c>
      <c r="G13711" t="str" cm="1">
        <f t="array" ref="G13711">SubCategorizeComment(E13711)</f>
        <v>Other</v>
      </c>
    </row>
    <row r="13712" spans="1:7" x14ac:dyDescent="0.25">
      <c r="A13712">
        <v>80249</v>
      </c>
      <c r="B13712" t="s">
        <v>4</v>
      </c>
      <c r="C13712">
        <v>2</v>
      </c>
      <c r="D13712" t="s">
        <v>1438</v>
      </c>
      <c r="F13712" t="str" cm="1">
        <f t="array" ref="F13712">CategorizeComment(E13712)</f>
        <v>Other</v>
      </c>
      <c r="G13712" t="str" cm="1">
        <f t="array" ref="G13712">SubCategorizeComment(E13712)</f>
        <v>Other</v>
      </c>
    </row>
    <row r="13713" spans="1:7" x14ac:dyDescent="0.25">
      <c r="A13713">
        <v>67147</v>
      </c>
      <c r="B13713" t="s">
        <v>4</v>
      </c>
      <c r="C13713">
        <v>3</v>
      </c>
      <c r="D13713" t="s">
        <v>1239</v>
      </c>
      <c r="F13713" t="str" cm="1">
        <f t="array" ref="F13713">CategorizeComment(E13713)</f>
        <v>Other</v>
      </c>
      <c r="G13713" t="str" cm="1">
        <f t="array" ref="G13713">SubCategorizeComment(E13713)</f>
        <v>Other</v>
      </c>
    </row>
    <row r="13714" spans="1:7" x14ac:dyDescent="0.25">
      <c r="A13714">
        <v>99090</v>
      </c>
      <c r="B13714" t="s">
        <v>4</v>
      </c>
      <c r="C13714">
        <v>3</v>
      </c>
      <c r="D13714" t="s">
        <v>1716</v>
      </c>
      <c r="F13714" t="str" cm="1">
        <f t="array" ref="F13714">CategorizeComment(E13714)</f>
        <v>Other</v>
      </c>
      <c r="G13714" t="str" cm="1">
        <f t="array" ref="G13714">SubCategorizeComment(E13714)</f>
        <v>Other</v>
      </c>
    </row>
    <row r="13715" spans="1:7" x14ac:dyDescent="0.25">
      <c r="A13715">
        <v>36525</v>
      </c>
      <c r="B13715" t="s">
        <v>4</v>
      </c>
      <c r="C13715">
        <v>3</v>
      </c>
      <c r="D13715" t="s">
        <v>700</v>
      </c>
      <c r="F13715" t="str" cm="1">
        <f t="array" ref="F13715">CategorizeComment(E13715)</f>
        <v>Other</v>
      </c>
      <c r="G13715" t="str" cm="1">
        <f t="array" ref="G13715">SubCategorizeComment(E13715)</f>
        <v>Other</v>
      </c>
    </row>
    <row r="13716" spans="1:7" x14ac:dyDescent="0.25">
      <c r="A13716">
        <v>28733</v>
      </c>
      <c r="B13716" t="s">
        <v>4</v>
      </c>
      <c r="C13716">
        <v>1</v>
      </c>
      <c r="D13716" t="s">
        <v>567</v>
      </c>
      <c r="F13716" t="str" cm="1">
        <f t="array" ref="F13716">CategorizeComment(E13716)</f>
        <v>Other</v>
      </c>
      <c r="G13716" t="str" cm="1">
        <f t="array" ref="G13716">SubCategorizeComment(E13716)</f>
        <v>Other</v>
      </c>
    </row>
    <row r="13717" spans="1:7" x14ac:dyDescent="0.25">
      <c r="A13717">
        <v>76155</v>
      </c>
      <c r="B13717" t="s">
        <v>4</v>
      </c>
      <c r="C13717">
        <v>3</v>
      </c>
      <c r="D13717" t="s">
        <v>1375</v>
      </c>
      <c r="F13717" t="str" cm="1">
        <f t="array" ref="F13717">CategorizeComment(E13717)</f>
        <v>Other</v>
      </c>
      <c r="G13717" t="str" cm="1">
        <f t="array" ref="G13717">SubCategorizeComment(E13717)</f>
        <v>Other</v>
      </c>
    </row>
    <row r="13718" spans="1:7" x14ac:dyDescent="0.25">
      <c r="A13718">
        <v>22915</v>
      </c>
      <c r="B13718" t="s">
        <v>4</v>
      </c>
      <c r="C13718">
        <v>2</v>
      </c>
      <c r="D13718" t="s">
        <v>465</v>
      </c>
      <c r="F13718" t="str" cm="1">
        <f t="array" ref="F13718">CategorizeComment(E13718)</f>
        <v>Other</v>
      </c>
      <c r="G13718" t="str" cm="1">
        <f t="array" ref="G13718">SubCategorizeComment(E13718)</f>
        <v>Other</v>
      </c>
    </row>
    <row r="13719" spans="1:7" x14ac:dyDescent="0.25">
      <c r="A13719">
        <v>955</v>
      </c>
      <c r="B13719" t="s">
        <v>4</v>
      </c>
      <c r="C13719">
        <v>3</v>
      </c>
      <c r="D13719" t="s">
        <v>27</v>
      </c>
      <c r="F13719" t="str" cm="1">
        <f t="array" ref="F13719">CategorizeComment(E13719)</f>
        <v>Other</v>
      </c>
      <c r="G13719" t="str" cm="1">
        <f t="array" ref="G13719">SubCategorizeComment(E13719)</f>
        <v>Other</v>
      </c>
    </row>
    <row r="13720" spans="1:7" x14ac:dyDescent="0.25">
      <c r="A13720">
        <v>9024</v>
      </c>
      <c r="B13720" t="s">
        <v>4</v>
      </c>
      <c r="C13720">
        <v>4</v>
      </c>
      <c r="D13720" t="s">
        <v>177</v>
      </c>
      <c r="F13720" t="str" cm="1">
        <f t="array" ref="F13720">CategorizeComment(E13720)</f>
        <v>Other</v>
      </c>
      <c r="G13720" t="str" cm="1">
        <f t="array" ref="G13720">SubCategorizeComment(E13720)</f>
        <v>Other</v>
      </c>
    </row>
    <row r="13721" spans="1:7" x14ac:dyDescent="0.25">
      <c r="A13721">
        <v>52361</v>
      </c>
      <c r="B13721" t="s">
        <v>4</v>
      </c>
      <c r="C13721">
        <v>4</v>
      </c>
      <c r="D13721" t="s">
        <v>977</v>
      </c>
      <c r="F13721" t="str" cm="1">
        <f t="array" ref="F13721">CategorizeComment(E13721)</f>
        <v>Other</v>
      </c>
      <c r="G13721" t="str" cm="1">
        <f t="array" ref="G13721">SubCategorizeComment(E13721)</f>
        <v>Other</v>
      </c>
    </row>
    <row r="13722" spans="1:7" x14ac:dyDescent="0.25">
      <c r="A13722">
        <v>23803</v>
      </c>
      <c r="B13722" t="s">
        <v>4</v>
      </c>
      <c r="C13722">
        <v>4</v>
      </c>
      <c r="D13722" t="s">
        <v>487</v>
      </c>
      <c r="F13722" t="str" cm="1">
        <f t="array" ref="F13722">CategorizeComment(E13722)</f>
        <v>Other</v>
      </c>
      <c r="G13722" t="str" cm="1">
        <f t="array" ref="G13722">SubCategorizeComment(E13722)</f>
        <v>Other</v>
      </c>
    </row>
    <row r="13723" spans="1:7" x14ac:dyDescent="0.25">
      <c r="A13723">
        <v>124310</v>
      </c>
      <c r="B13723" t="s">
        <v>4</v>
      </c>
      <c r="C13723">
        <v>3</v>
      </c>
      <c r="D13723" t="s">
        <v>2093</v>
      </c>
      <c r="F13723" t="str" cm="1">
        <f t="array" ref="F13723">CategorizeComment(E13723)</f>
        <v>Other</v>
      </c>
      <c r="G13723" t="str" cm="1">
        <f t="array" ref="G13723">SubCategorizeComment(E13723)</f>
        <v>Other</v>
      </c>
    </row>
    <row r="13724" spans="1:7" x14ac:dyDescent="0.25">
      <c r="A13724">
        <v>147</v>
      </c>
      <c r="B13724" t="s">
        <v>4</v>
      </c>
      <c r="C13724">
        <v>4</v>
      </c>
      <c r="D13724" t="s">
        <v>9</v>
      </c>
      <c r="F13724" t="str" cm="1">
        <f t="array" ref="F13724">CategorizeComment(E13724)</f>
        <v>Other</v>
      </c>
      <c r="G13724" t="str" cm="1">
        <f t="array" ref="G13724">SubCategorizeComment(E13724)</f>
        <v>Other</v>
      </c>
    </row>
    <row r="13725" spans="1:7" x14ac:dyDescent="0.25">
      <c r="A13725">
        <v>43527</v>
      </c>
      <c r="B13725" t="s">
        <v>4</v>
      </c>
      <c r="C13725">
        <v>3</v>
      </c>
      <c r="D13725" t="s">
        <v>820</v>
      </c>
      <c r="F13725" t="str" cm="1">
        <f t="array" ref="F13725">CategorizeComment(E13725)</f>
        <v>Other</v>
      </c>
      <c r="G13725" t="str" cm="1">
        <f t="array" ref="G13725">SubCategorizeComment(E13725)</f>
        <v>Other</v>
      </c>
    </row>
    <row r="13726" spans="1:7" x14ac:dyDescent="0.25">
      <c r="A13726">
        <v>33608</v>
      </c>
      <c r="B13726" t="s">
        <v>4</v>
      </c>
      <c r="C13726">
        <v>3</v>
      </c>
      <c r="D13726" t="s">
        <v>641</v>
      </c>
      <c r="F13726" t="str" cm="1">
        <f t="array" ref="F13726">CategorizeComment(E13726)</f>
        <v>Other</v>
      </c>
      <c r="G13726" t="str" cm="1">
        <f t="array" ref="G13726">SubCategorizeComment(E13726)</f>
        <v>Other</v>
      </c>
    </row>
    <row r="13727" spans="1:7" x14ac:dyDescent="0.25">
      <c r="A13727">
        <v>25718</v>
      </c>
      <c r="B13727" t="s">
        <v>4</v>
      </c>
      <c r="C13727">
        <v>3</v>
      </c>
      <c r="D13727" t="s">
        <v>516</v>
      </c>
      <c r="F13727" t="str" cm="1">
        <f t="array" ref="F13727">CategorizeComment(E13727)</f>
        <v>Other</v>
      </c>
      <c r="G13727" t="str" cm="1">
        <f t="array" ref="G13727">SubCategorizeComment(E13727)</f>
        <v>Other</v>
      </c>
    </row>
    <row r="13728" spans="1:7" x14ac:dyDescent="0.25">
      <c r="A13728">
        <v>57783</v>
      </c>
      <c r="B13728" t="s">
        <v>4</v>
      </c>
      <c r="C13728">
        <v>4</v>
      </c>
      <c r="D13728" t="s">
        <v>1078</v>
      </c>
      <c r="F13728" t="str" cm="1">
        <f t="array" ref="F13728">CategorizeComment(E13728)</f>
        <v>Other</v>
      </c>
      <c r="G13728" t="str" cm="1">
        <f t="array" ref="G13728">SubCategorizeComment(E13728)</f>
        <v>Other</v>
      </c>
    </row>
    <row r="13729" spans="1:7" x14ac:dyDescent="0.25">
      <c r="A13729">
        <v>50259</v>
      </c>
      <c r="B13729" t="s">
        <v>4</v>
      </c>
      <c r="C13729">
        <v>4</v>
      </c>
      <c r="D13729" t="s">
        <v>942</v>
      </c>
      <c r="F13729" t="str" cm="1">
        <f t="array" ref="F13729">CategorizeComment(E13729)</f>
        <v>Other</v>
      </c>
      <c r="G13729" t="str" cm="1">
        <f t="array" ref="G13729">SubCategorizeComment(E13729)</f>
        <v>Other</v>
      </c>
    </row>
    <row r="13730" spans="1:7" x14ac:dyDescent="0.25">
      <c r="A13730">
        <v>118204</v>
      </c>
      <c r="B13730" t="s">
        <v>4</v>
      </c>
      <c r="C13730">
        <v>3</v>
      </c>
      <c r="D13730" t="s">
        <v>2000</v>
      </c>
      <c r="F13730" t="str" cm="1">
        <f t="array" ref="F13730">CategorizeComment(E13730)</f>
        <v>Other</v>
      </c>
      <c r="G13730" t="str" cm="1">
        <f t="array" ref="G13730">SubCategorizeComment(E13730)</f>
        <v>Other</v>
      </c>
    </row>
    <row r="13731" spans="1:7" x14ac:dyDescent="0.25">
      <c r="A13731">
        <v>73256</v>
      </c>
      <c r="B13731" t="s">
        <v>4</v>
      </c>
      <c r="C13731">
        <v>4</v>
      </c>
      <c r="D13731" t="s">
        <v>1334</v>
      </c>
      <c r="F13731" t="str" cm="1">
        <f t="array" ref="F13731">CategorizeComment(E13731)</f>
        <v>Other</v>
      </c>
      <c r="G13731" t="str" cm="1">
        <f t="array" ref="G13731">SubCategorizeComment(E13731)</f>
        <v>Other</v>
      </c>
    </row>
    <row r="13732" spans="1:7" x14ac:dyDescent="0.25">
      <c r="A13732">
        <v>109036</v>
      </c>
      <c r="B13732" t="s">
        <v>4</v>
      </c>
      <c r="C13732">
        <v>4</v>
      </c>
      <c r="D13732" t="s">
        <v>1859</v>
      </c>
      <c r="F13732" t="str" cm="1">
        <f t="array" ref="F13732">CategorizeComment(E13732)</f>
        <v>Other</v>
      </c>
      <c r="G13732" t="str" cm="1">
        <f t="array" ref="G13732">SubCategorizeComment(E13732)</f>
        <v>Other</v>
      </c>
    </row>
    <row r="13733" spans="1:7" x14ac:dyDescent="0.25">
      <c r="A13733">
        <v>31697</v>
      </c>
      <c r="B13733" t="s">
        <v>4</v>
      </c>
      <c r="C13733">
        <v>3</v>
      </c>
      <c r="D13733" t="s">
        <v>614</v>
      </c>
      <c r="F13733" t="str" cm="1">
        <f t="array" ref="F13733">CategorizeComment(E13733)</f>
        <v>Other</v>
      </c>
      <c r="G13733" t="str" cm="1">
        <f t="array" ref="G13733">SubCategorizeComment(E13733)</f>
        <v>Other</v>
      </c>
    </row>
    <row r="13734" spans="1:7" x14ac:dyDescent="0.25">
      <c r="A13734">
        <v>64827</v>
      </c>
      <c r="B13734" t="s">
        <v>4</v>
      </c>
      <c r="C13734">
        <v>3</v>
      </c>
      <c r="D13734" t="s">
        <v>1204</v>
      </c>
      <c r="F13734" t="str" cm="1">
        <f t="array" ref="F13734">CategorizeComment(E13734)</f>
        <v>Other</v>
      </c>
      <c r="G13734" t="str" cm="1">
        <f t="array" ref="G13734">SubCategorizeComment(E13734)</f>
        <v>Other</v>
      </c>
    </row>
    <row r="13735" spans="1:7" x14ac:dyDescent="0.25">
      <c r="A13735">
        <v>70605</v>
      </c>
      <c r="B13735" t="s">
        <v>4</v>
      </c>
      <c r="C13735">
        <v>3</v>
      </c>
      <c r="D13735" t="s">
        <v>1286</v>
      </c>
      <c r="F13735" t="str" cm="1">
        <f t="array" ref="F13735">CategorizeComment(E13735)</f>
        <v>Other</v>
      </c>
      <c r="G13735" t="str" cm="1">
        <f t="array" ref="G13735">SubCategorizeComment(E13735)</f>
        <v>Other</v>
      </c>
    </row>
    <row r="13736" spans="1:7" x14ac:dyDescent="0.25">
      <c r="A13736">
        <v>34988</v>
      </c>
      <c r="B13736" t="s">
        <v>4</v>
      </c>
      <c r="C13736">
        <v>3</v>
      </c>
      <c r="D13736" t="s">
        <v>665</v>
      </c>
      <c r="F13736" t="str" cm="1">
        <f t="array" ref="F13736">CategorizeComment(E13736)</f>
        <v>Other</v>
      </c>
      <c r="G13736" t="str" cm="1">
        <f t="array" ref="G13736">SubCategorizeComment(E13736)</f>
        <v>Other</v>
      </c>
    </row>
    <row r="13737" spans="1:7" x14ac:dyDescent="0.25">
      <c r="A13737">
        <v>68711</v>
      </c>
      <c r="B13737" t="s">
        <v>4</v>
      </c>
      <c r="C13737">
        <v>3</v>
      </c>
      <c r="D13737" t="s">
        <v>1257</v>
      </c>
      <c r="F13737" t="str" cm="1">
        <f t="array" ref="F13737">CategorizeComment(E13737)</f>
        <v>Other</v>
      </c>
      <c r="G13737" t="str" cm="1">
        <f t="array" ref="G13737">SubCategorizeComment(E13737)</f>
        <v>Other</v>
      </c>
    </row>
    <row r="13738" spans="1:7" x14ac:dyDescent="0.25">
      <c r="A13738">
        <v>106548</v>
      </c>
      <c r="B13738" t="s">
        <v>4</v>
      </c>
      <c r="C13738">
        <v>4</v>
      </c>
      <c r="D13738" t="s">
        <v>1822</v>
      </c>
      <c r="F13738" t="str" cm="1">
        <f t="array" ref="F13738">CategorizeComment(E13738)</f>
        <v>Other</v>
      </c>
      <c r="G13738" t="str" cm="1">
        <f t="array" ref="G13738">SubCategorizeComment(E13738)</f>
        <v>Other</v>
      </c>
    </row>
    <row r="13739" spans="1:7" x14ac:dyDescent="0.25">
      <c r="A13739">
        <v>41308</v>
      </c>
      <c r="B13739" t="s">
        <v>4</v>
      </c>
      <c r="C13739">
        <v>4</v>
      </c>
      <c r="D13739" t="s">
        <v>780</v>
      </c>
      <c r="F13739" t="str" cm="1">
        <f t="array" ref="F13739">CategorizeComment(E13739)</f>
        <v>Other</v>
      </c>
      <c r="G13739" t="str" cm="1">
        <f t="array" ref="G13739">SubCategorizeComment(E13739)</f>
        <v>Other</v>
      </c>
    </row>
    <row r="13740" spans="1:7" x14ac:dyDescent="0.25">
      <c r="A13740">
        <v>14315</v>
      </c>
      <c r="B13740" t="s">
        <v>4</v>
      </c>
      <c r="C13740">
        <v>4</v>
      </c>
      <c r="D13740" t="s">
        <v>279</v>
      </c>
      <c r="F13740" t="str" cm="1">
        <f t="array" ref="F13740">CategorizeComment(E13740)</f>
        <v>Other</v>
      </c>
      <c r="G13740" t="str" cm="1">
        <f t="array" ref="G13740">SubCategorizeComment(E13740)</f>
        <v>Other</v>
      </c>
    </row>
    <row r="13741" spans="1:7" x14ac:dyDescent="0.25">
      <c r="A13741">
        <v>109</v>
      </c>
      <c r="B13741" t="s">
        <v>4</v>
      </c>
      <c r="C13741">
        <v>4</v>
      </c>
      <c r="D13741" t="s">
        <v>8</v>
      </c>
      <c r="F13741" t="str" cm="1">
        <f t="array" ref="F13741">CategorizeComment(E13741)</f>
        <v>Other</v>
      </c>
      <c r="G13741" t="str" cm="1">
        <f t="array" ref="G13741">SubCategorizeComment(E13741)</f>
        <v>Other</v>
      </c>
    </row>
    <row r="13742" spans="1:7" x14ac:dyDescent="0.25">
      <c r="A13742">
        <v>113505</v>
      </c>
      <c r="B13742" t="s">
        <v>4</v>
      </c>
      <c r="C13742">
        <v>4</v>
      </c>
      <c r="D13742" t="s">
        <v>1930</v>
      </c>
      <c r="F13742" t="str" cm="1">
        <f t="array" ref="F13742">CategorizeComment(E13742)</f>
        <v>Other</v>
      </c>
      <c r="G13742" t="str" cm="1">
        <f t="array" ref="G13742">SubCategorizeComment(E13742)</f>
        <v>Other</v>
      </c>
    </row>
    <row r="13743" spans="1:7" x14ac:dyDescent="0.25">
      <c r="A13743">
        <v>21259</v>
      </c>
      <c r="B13743" t="s">
        <v>4</v>
      </c>
      <c r="C13743">
        <v>4</v>
      </c>
      <c r="D13743" t="s">
        <v>431</v>
      </c>
      <c r="F13743" t="str" cm="1">
        <f t="array" ref="F13743">CategorizeComment(E13743)</f>
        <v>Other</v>
      </c>
      <c r="G13743" t="str" cm="1">
        <f t="array" ref="G13743">SubCategorizeComment(E13743)</f>
        <v>Other</v>
      </c>
    </row>
    <row r="13744" spans="1:7" x14ac:dyDescent="0.25">
      <c r="A13744">
        <v>66236</v>
      </c>
      <c r="B13744" t="s">
        <v>4</v>
      </c>
      <c r="C13744">
        <v>3</v>
      </c>
      <c r="D13744" t="s">
        <v>1223</v>
      </c>
      <c r="F13744" t="str" cm="1">
        <f t="array" ref="F13744">CategorizeComment(E13744)</f>
        <v>Other</v>
      </c>
      <c r="G13744" t="str" cm="1">
        <f t="array" ref="G13744">SubCategorizeComment(E13744)</f>
        <v>Other</v>
      </c>
    </row>
    <row r="13745" spans="1:7" x14ac:dyDescent="0.25">
      <c r="A13745">
        <v>62768</v>
      </c>
      <c r="B13745" t="s">
        <v>4</v>
      </c>
      <c r="C13745">
        <v>3</v>
      </c>
      <c r="D13745" t="s">
        <v>1172</v>
      </c>
      <c r="F13745" t="str" cm="1">
        <f t="array" ref="F13745">CategorizeComment(E13745)</f>
        <v>Other</v>
      </c>
      <c r="G13745" t="str" cm="1">
        <f t="array" ref="G13745">SubCategorizeComment(E13745)</f>
        <v>Other</v>
      </c>
    </row>
    <row r="13746" spans="1:7" x14ac:dyDescent="0.25">
      <c r="A13746">
        <v>83677</v>
      </c>
      <c r="B13746" t="s">
        <v>4</v>
      </c>
      <c r="C13746">
        <v>4</v>
      </c>
      <c r="D13746" t="s">
        <v>1482</v>
      </c>
      <c r="F13746" t="str" cm="1">
        <f t="array" ref="F13746">CategorizeComment(E13746)</f>
        <v>Other</v>
      </c>
      <c r="G13746" t="str" cm="1">
        <f t="array" ref="G13746">SubCategorizeComment(E13746)</f>
        <v>Other</v>
      </c>
    </row>
    <row r="13747" spans="1:7" x14ac:dyDescent="0.25">
      <c r="A13747">
        <v>34375</v>
      </c>
      <c r="B13747" t="s">
        <v>4</v>
      </c>
      <c r="C13747">
        <v>4</v>
      </c>
      <c r="D13747" t="s">
        <v>654</v>
      </c>
      <c r="F13747" t="str" cm="1">
        <f t="array" ref="F13747">CategorizeComment(E13747)</f>
        <v>Other</v>
      </c>
      <c r="G13747" t="str" cm="1">
        <f t="array" ref="G13747">SubCategorizeComment(E13747)</f>
        <v>Other</v>
      </c>
    </row>
    <row r="13748" spans="1:7" x14ac:dyDescent="0.25">
      <c r="A13748">
        <v>18579</v>
      </c>
      <c r="B13748" t="s">
        <v>4</v>
      </c>
      <c r="C13748">
        <v>1</v>
      </c>
      <c r="D13748" t="s">
        <v>370</v>
      </c>
      <c r="F13748" t="str" cm="1">
        <f t="array" ref="F13748">CategorizeComment(E13748)</f>
        <v>Other</v>
      </c>
      <c r="G13748" t="str" cm="1">
        <f t="array" ref="G13748">SubCategorizeComment(E13748)</f>
        <v>Other</v>
      </c>
    </row>
    <row r="13749" spans="1:7" x14ac:dyDescent="0.25">
      <c r="A13749">
        <v>2173</v>
      </c>
      <c r="B13749" t="s">
        <v>4</v>
      </c>
      <c r="C13749">
        <v>3</v>
      </c>
      <c r="D13749" t="s">
        <v>49</v>
      </c>
      <c r="F13749" t="str" cm="1">
        <f t="array" ref="F13749">CategorizeComment(E13749)</f>
        <v>Other</v>
      </c>
      <c r="G13749" t="str" cm="1">
        <f t="array" ref="G13749">SubCategorizeComment(E13749)</f>
        <v>Other</v>
      </c>
    </row>
    <row r="13750" spans="1:7" x14ac:dyDescent="0.25">
      <c r="A13750">
        <v>45623</v>
      </c>
      <c r="B13750" t="s">
        <v>4</v>
      </c>
      <c r="C13750">
        <v>3</v>
      </c>
      <c r="D13750" t="s">
        <v>867</v>
      </c>
      <c r="F13750" t="str" cm="1">
        <f t="array" ref="F13750">CategorizeComment(E13750)</f>
        <v>Other</v>
      </c>
      <c r="G13750" t="str" cm="1">
        <f t="array" ref="G13750">SubCategorizeComment(E13750)</f>
        <v>Other</v>
      </c>
    </row>
    <row r="13751" spans="1:7" x14ac:dyDescent="0.25">
      <c r="A13751">
        <v>1506</v>
      </c>
      <c r="B13751" t="s">
        <v>4</v>
      </c>
      <c r="C13751">
        <v>3</v>
      </c>
      <c r="D13751" t="s">
        <v>39</v>
      </c>
      <c r="F13751" t="str" cm="1">
        <f t="array" ref="F13751">CategorizeComment(E13751)</f>
        <v>Other</v>
      </c>
      <c r="G13751" t="str" cm="1">
        <f t="array" ref="G13751">SubCategorizeComment(E13751)</f>
        <v>Other</v>
      </c>
    </row>
    <row r="13752" spans="1:7" x14ac:dyDescent="0.25">
      <c r="A13752">
        <v>37068</v>
      </c>
      <c r="B13752" t="s">
        <v>4</v>
      </c>
      <c r="C13752">
        <v>4</v>
      </c>
      <c r="D13752" t="s">
        <v>709</v>
      </c>
      <c r="F13752" t="str" cm="1">
        <f t="array" ref="F13752">CategorizeComment(E13752)</f>
        <v>Other</v>
      </c>
      <c r="G13752" t="str" cm="1">
        <f t="array" ref="G13752">SubCategorizeComment(E13752)</f>
        <v>Other</v>
      </c>
    </row>
    <row r="13753" spans="1:7" x14ac:dyDescent="0.25">
      <c r="A13753">
        <v>32497</v>
      </c>
      <c r="B13753" t="s">
        <v>4</v>
      </c>
      <c r="C13753">
        <v>3</v>
      </c>
      <c r="D13753" t="s">
        <v>624</v>
      </c>
      <c r="F13753" t="str" cm="1">
        <f t="array" ref="F13753">CategorizeComment(E13753)</f>
        <v>Other</v>
      </c>
      <c r="G13753" t="str" cm="1">
        <f t="array" ref="G13753">SubCategorizeComment(E13753)</f>
        <v>Other</v>
      </c>
    </row>
    <row r="13754" spans="1:7" x14ac:dyDescent="0.25">
      <c r="A13754">
        <v>37197</v>
      </c>
      <c r="B13754" t="s">
        <v>4</v>
      </c>
      <c r="C13754">
        <v>3</v>
      </c>
      <c r="D13754" t="s">
        <v>713</v>
      </c>
      <c r="F13754" t="str" cm="1">
        <f t="array" ref="F13754">CategorizeComment(E13754)</f>
        <v>Other</v>
      </c>
      <c r="G13754" t="str" cm="1">
        <f t="array" ref="G13754">SubCategorizeComment(E13754)</f>
        <v>Other</v>
      </c>
    </row>
    <row r="13755" spans="1:7" x14ac:dyDescent="0.25">
      <c r="A13755">
        <v>65533</v>
      </c>
      <c r="B13755" t="s">
        <v>4</v>
      </c>
      <c r="C13755">
        <v>3</v>
      </c>
      <c r="D13755" t="s">
        <v>1215</v>
      </c>
      <c r="F13755" t="str" cm="1">
        <f t="array" ref="F13755">CategorizeComment(E13755)</f>
        <v>Other</v>
      </c>
      <c r="G13755" t="str" cm="1">
        <f t="array" ref="G13755">SubCategorizeComment(E13755)</f>
        <v>Other</v>
      </c>
    </row>
    <row r="13756" spans="1:7" x14ac:dyDescent="0.25">
      <c r="A13756">
        <v>74717</v>
      </c>
      <c r="B13756" t="s">
        <v>4</v>
      </c>
      <c r="C13756">
        <v>4</v>
      </c>
      <c r="D13756" t="s">
        <v>1353</v>
      </c>
      <c r="F13756" t="str" cm="1">
        <f t="array" ref="F13756">CategorizeComment(E13756)</f>
        <v>Other</v>
      </c>
      <c r="G13756" t="str" cm="1">
        <f t="array" ref="G13756">SubCategorizeComment(E13756)</f>
        <v>Other</v>
      </c>
    </row>
    <row r="13757" spans="1:7" x14ac:dyDescent="0.25">
      <c r="A13757">
        <v>90386</v>
      </c>
      <c r="B13757" t="s">
        <v>4</v>
      </c>
      <c r="C13757">
        <v>3</v>
      </c>
      <c r="D13757" t="s">
        <v>1574</v>
      </c>
      <c r="F13757" t="str" cm="1">
        <f t="array" ref="F13757">CategorizeComment(E13757)</f>
        <v>Other</v>
      </c>
      <c r="G13757" t="str" cm="1">
        <f t="array" ref="G13757">SubCategorizeComment(E13757)</f>
        <v>Other</v>
      </c>
    </row>
    <row r="13758" spans="1:7" x14ac:dyDescent="0.25">
      <c r="A13758">
        <v>40808</v>
      </c>
      <c r="B13758" t="s">
        <v>4</v>
      </c>
      <c r="C13758">
        <v>4</v>
      </c>
      <c r="D13758" t="s">
        <v>771</v>
      </c>
      <c r="F13758" t="str" cm="1">
        <f t="array" ref="F13758">CategorizeComment(E13758)</f>
        <v>Other</v>
      </c>
      <c r="G13758" t="str" cm="1">
        <f t="array" ref="G13758">SubCategorizeComment(E13758)</f>
        <v>Other</v>
      </c>
    </row>
    <row r="13759" spans="1:7" x14ac:dyDescent="0.25">
      <c r="A13759">
        <v>68948</v>
      </c>
      <c r="B13759" t="s">
        <v>4</v>
      </c>
      <c r="C13759">
        <v>4</v>
      </c>
      <c r="D13759" t="s">
        <v>1261</v>
      </c>
      <c r="F13759" t="str" cm="1">
        <f t="array" ref="F13759">CategorizeComment(E13759)</f>
        <v>Other</v>
      </c>
      <c r="G13759" t="str" cm="1">
        <f t="array" ref="G13759">SubCategorizeComment(E13759)</f>
        <v>Other</v>
      </c>
    </row>
    <row r="13760" spans="1:7" x14ac:dyDescent="0.25">
      <c r="A13760">
        <v>41533</v>
      </c>
      <c r="B13760" t="s">
        <v>4</v>
      </c>
      <c r="C13760">
        <v>4</v>
      </c>
      <c r="D13760" t="s">
        <v>783</v>
      </c>
      <c r="F13760" t="str" cm="1">
        <f t="array" ref="F13760">CategorizeComment(E13760)</f>
        <v>Other</v>
      </c>
      <c r="G13760" t="str" cm="1">
        <f t="array" ref="G13760">SubCategorizeComment(E13760)</f>
        <v>Other</v>
      </c>
    </row>
    <row r="13761" spans="1:7" x14ac:dyDescent="0.25">
      <c r="A13761">
        <v>13130</v>
      </c>
      <c r="B13761" t="s">
        <v>4</v>
      </c>
      <c r="C13761">
        <v>4</v>
      </c>
      <c r="D13761" t="s">
        <v>257</v>
      </c>
      <c r="F13761" t="str" cm="1">
        <f t="array" ref="F13761">CategorizeComment(E13761)</f>
        <v>Other</v>
      </c>
      <c r="G13761" t="str" cm="1">
        <f t="array" ref="G13761">SubCategorizeComment(E13761)</f>
        <v>Other</v>
      </c>
    </row>
    <row r="13762" spans="1:7" x14ac:dyDescent="0.25">
      <c r="A13762">
        <v>61486</v>
      </c>
      <c r="B13762" t="s">
        <v>4</v>
      </c>
      <c r="C13762">
        <v>3</v>
      </c>
      <c r="D13762" t="s">
        <v>1146</v>
      </c>
      <c r="F13762" t="str" cm="1">
        <f t="array" ref="F13762">CategorizeComment(E13762)</f>
        <v>Other</v>
      </c>
      <c r="G13762" t="str" cm="1">
        <f t="array" ref="G13762">SubCategorizeComment(E13762)</f>
        <v>Other</v>
      </c>
    </row>
    <row r="13763" spans="1:7" x14ac:dyDescent="0.25">
      <c r="A13763">
        <v>76791</v>
      </c>
      <c r="B13763" t="s">
        <v>4</v>
      </c>
      <c r="C13763">
        <v>4</v>
      </c>
      <c r="D13763" t="s">
        <v>1385</v>
      </c>
      <c r="F13763" t="str" cm="1">
        <f t="array" ref="F13763">CategorizeComment(E13763)</f>
        <v>Other</v>
      </c>
      <c r="G13763" t="str" cm="1">
        <f t="array" ref="G13763">SubCategorizeComment(E13763)</f>
        <v>Other</v>
      </c>
    </row>
    <row r="13764" spans="1:7" x14ac:dyDescent="0.25">
      <c r="A13764">
        <v>3782</v>
      </c>
      <c r="B13764" t="s">
        <v>4</v>
      </c>
      <c r="C13764">
        <v>3</v>
      </c>
      <c r="D13764" t="s">
        <v>79</v>
      </c>
      <c r="F13764" t="str" cm="1">
        <f t="array" ref="F13764">CategorizeComment(E13764)</f>
        <v>Other</v>
      </c>
      <c r="G13764" t="str" cm="1">
        <f t="array" ref="G13764">SubCategorizeComment(E13764)</f>
        <v>Other</v>
      </c>
    </row>
    <row r="13765" spans="1:7" x14ac:dyDescent="0.25">
      <c r="A13765">
        <v>60717</v>
      </c>
      <c r="B13765" t="s">
        <v>4</v>
      </c>
      <c r="C13765">
        <v>3</v>
      </c>
      <c r="D13765" t="s">
        <v>1135</v>
      </c>
      <c r="F13765" t="str" cm="1">
        <f t="array" ref="F13765">CategorizeComment(E13765)</f>
        <v>Other</v>
      </c>
      <c r="G13765" t="str" cm="1">
        <f t="array" ref="G13765">SubCategorizeComment(E13765)</f>
        <v>Other</v>
      </c>
    </row>
    <row r="13766" spans="1:7" x14ac:dyDescent="0.25">
      <c r="A13766">
        <v>109527</v>
      </c>
      <c r="B13766" t="s">
        <v>4</v>
      </c>
      <c r="C13766">
        <v>4</v>
      </c>
      <c r="D13766" t="s">
        <v>1871</v>
      </c>
      <c r="F13766" t="str" cm="1">
        <f t="array" ref="F13766">CategorizeComment(E13766)</f>
        <v>Other</v>
      </c>
      <c r="G13766" t="str" cm="1">
        <f t="array" ref="G13766">SubCategorizeComment(E13766)</f>
        <v>Other</v>
      </c>
    </row>
    <row r="13767" spans="1:7" x14ac:dyDescent="0.25">
      <c r="A13767">
        <v>19103</v>
      </c>
      <c r="B13767" t="s">
        <v>4</v>
      </c>
      <c r="C13767">
        <v>4</v>
      </c>
      <c r="D13767" t="s">
        <v>385</v>
      </c>
      <c r="F13767" t="str" cm="1">
        <f t="array" ref="F13767">CategorizeComment(E13767)</f>
        <v>Other</v>
      </c>
      <c r="G13767" t="str" cm="1">
        <f t="array" ref="G13767">SubCategorizeComment(E13767)</f>
        <v>Other</v>
      </c>
    </row>
    <row r="13768" spans="1:7" x14ac:dyDescent="0.25">
      <c r="A13768">
        <v>42713</v>
      </c>
      <c r="B13768" t="s">
        <v>4</v>
      </c>
      <c r="C13768">
        <v>3</v>
      </c>
      <c r="D13768" t="s">
        <v>804</v>
      </c>
      <c r="F13768" t="str" cm="1">
        <f t="array" ref="F13768">CategorizeComment(E13768)</f>
        <v>Other</v>
      </c>
      <c r="G13768" t="str" cm="1">
        <f t="array" ref="G13768">SubCategorizeComment(E13768)</f>
        <v>Other</v>
      </c>
    </row>
    <row r="13769" spans="1:7" x14ac:dyDescent="0.25">
      <c r="A13769">
        <v>52761</v>
      </c>
      <c r="B13769" t="s">
        <v>4</v>
      </c>
      <c r="C13769">
        <v>3</v>
      </c>
      <c r="D13769" t="s">
        <v>985</v>
      </c>
      <c r="F13769" t="str" cm="1">
        <f t="array" ref="F13769">CategorizeComment(E13769)</f>
        <v>Other</v>
      </c>
      <c r="G13769" t="str" cm="1">
        <f t="array" ref="G13769">SubCategorizeComment(E13769)</f>
        <v>Other</v>
      </c>
    </row>
    <row r="13770" spans="1:7" x14ac:dyDescent="0.25">
      <c r="A13770">
        <v>26193</v>
      </c>
      <c r="B13770" t="s">
        <v>4</v>
      </c>
      <c r="C13770">
        <v>4</v>
      </c>
      <c r="D13770" t="s">
        <v>521</v>
      </c>
      <c r="F13770" t="str" cm="1">
        <f t="array" ref="F13770">CategorizeComment(E13770)</f>
        <v>Other</v>
      </c>
      <c r="G13770" t="str" cm="1">
        <f t="array" ref="G13770">SubCategorizeComment(E13770)</f>
        <v>Other</v>
      </c>
    </row>
    <row r="13771" spans="1:7" x14ac:dyDescent="0.25">
      <c r="A13771">
        <v>74540</v>
      </c>
      <c r="B13771" t="s">
        <v>4</v>
      </c>
      <c r="C13771">
        <v>3</v>
      </c>
      <c r="D13771" t="s">
        <v>1351</v>
      </c>
      <c r="F13771" t="str" cm="1">
        <f t="array" ref="F13771">CategorizeComment(E13771)</f>
        <v>Other</v>
      </c>
      <c r="G13771" t="str" cm="1">
        <f t="array" ref="G13771">SubCategorizeComment(E13771)</f>
        <v>Other</v>
      </c>
    </row>
    <row r="13772" spans="1:7" x14ac:dyDescent="0.25">
      <c r="A13772">
        <v>57821</v>
      </c>
      <c r="B13772" t="s">
        <v>4</v>
      </c>
      <c r="C13772">
        <v>4</v>
      </c>
      <c r="D13772" t="s">
        <v>1079</v>
      </c>
      <c r="F13772" t="str" cm="1">
        <f t="array" ref="F13772">CategorizeComment(E13772)</f>
        <v>Other</v>
      </c>
      <c r="G13772" t="str" cm="1">
        <f t="array" ref="G13772">SubCategorizeComment(E13772)</f>
        <v>Other</v>
      </c>
    </row>
    <row r="13773" spans="1:7" x14ac:dyDescent="0.25">
      <c r="A13773">
        <v>37045</v>
      </c>
      <c r="B13773" t="s">
        <v>4</v>
      </c>
      <c r="C13773">
        <v>4</v>
      </c>
      <c r="D13773" t="s">
        <v>708</v>
      </c>
      <c r="F13773" t="str" cm="1">
        <f t="array" ref="F13773">CategorizeComment(E13773)</f>
        <v>Other</v>
      </c>
      <c r="G13773" t="str" cm="1">
        <f t="array" ref="G13773">SubCategorizeComment(E13773)</f>
        <v>Other</v>
      </c>
    </row>
    <row r="13774" spans="1:7" x14ac:dyDescent="0.25">
      <c r="A13774">
        <v>74772</v>
      </c>
      <c r="B13774" t="s">
        <v>4</v>
      </c>
      <c r="C13774">
        <v>3</v>
      </c>
      <c r="D13774" t="s">
        <v>1354</v>
      </c>
      <c r="F13774" t="str" cm="1">
        <f t="array" ref="F13774">CategorizeComment(E13774)</f>
        <v>Other</v>
      </c>
      <c r="G13774" t="str" cm="1">
        <f t="array" ref="G13774">SubCategorizeComment(E13774)</f>
        <v>Other</v>
      </c>
    </row>
    <row r="13775" spans="1:7" x14ac:dyDescent="0.25">
      <c r="A13775">
        <v>96020</v>
      </c>
      <c r="B13775" t="s">
        <v>4</v>
      </c>
      <c r="C13775">
        <v>3</v>
      </c>
      <c r="D13775" t="s">
        <v>1662</v>
      </c>
      <c r="F13775" t="str" cm="1">
        <f t="array" ref="F13775">CategorizeComment(E13775)</f>
        <v>Other</v>
      </c>
      <c r="G13775" t="str" cm="1">
        <f t="array" ref="G13775">SubCategorizeComment(E13775)</f>
        <v>Other</v>
      </c>
    </row>
    <row r="13776" spans="1:7" x14ac:dyDescent="0.25">
      <c r="A13776">
        <v>17794</v>
      </c>
      <c r="B13776" t="s">
        <v>4</v>
      </c>
      <c r="C13776">
        <v>3</v>
      </c>
      <c r="D13776" t="s">
        <v>352</v>
      </c>
      <c r="F13776" t="str" cm="1">
        <f t="array" ref="F13776">CategorizeComment(E13776)</f>
        <v>Other</v>
      </c>
      <c r="G13776" t="str" cm="1">
        <f t="array" ref="G13776">SubCategorizeComment(E13776)</f>
        <v>Other</v>
      </c>
    </row>
    <row r="13777" spans="1:7" x14ac:dyDescent="0.25">
      <c r="A13777">
        <v>118213</v>
      </c>
      <c r="B13777" t="s">
        <v>4</v>
      </c>
      <c r="C13777">
        <v>3</v>
      </c>
      <c r="D13777" t="s">
        <v>2001</v>
      </c>
      <c r="F13777" t="str" cm="1">
        <f t="array" ref="F13777">CategorizeComment(E13777)</f>
        <v>Other</v>
      </c>
      <c r="G13777" t="str" cm="1">
        <f t="array" ref="G13777">SubCategorizeComment(E13777)</f>
        <v>Other</v>
      </c>
    </row>
    <row r="13778" spans="1:7" x14ac:dyDescent="0.25">
      <c r="A13778">
        <v>122907</v>
      </c>
      <c r="B13778" t="s">
        <v>4</v>
      </c>
      <c r="C13778">
        <v>3</v>
      </c>
      <c r="D13778" t="s">
        <v>2071</v>
      </c>
      <c r="F13778" t="str" cm="1">
        <f t="array" ref="F13778">CategorizeComment(E13778)</f>
        <v>Other</v>
      </c>
      <c r="G13778" t="str" cm="1">
        <f t="array" ref="G13778">SubCategorizeComment(E13778)</f>
        <v>Other</v>
      </c>
    </row>
    <row r="13779" spans="1:7" x14ac:dyDescent="0.25">
      <c r="A13779">
        <v>2573</v>
      </c>
      <c r="B13779" t="s">
        <v>4</v>
      </c>
      <c r="C13779">
        <v>4</v>
      </c>
      <c r="D13779" t="s">
        <v>57</v>
      </c>
      <c r="F13779" t="str" cm="1">
        <f t="array" ref="F13779">CategorizeComment(E13779)</f>
        <v>Other</v>
      </c>
      <c r="G13779" t="str" cm="1">
        <f t="array" ref="G13779">SubCategorizeComment(E13779)</f>
        <v>Other</v>
      </c>
    </row>
    <row r="13780" spans="1:7" x14ac:dyDescent="0.25">
      <c r="A13780">
        <v>94689</v>
      </c>
      <c r="B13780" t="s">
        <v>4</v>
      </c>
      <c r="C13780">
        <v>4</v>
      </c>
      <c r="D13780" t="s">
        <v>1645</v>
      </c>
      <c r="F13780" t="str" cm="1">
        <f t="array" ref="F13780">CategorizeComment(E13780)</f>
        <v>Other</v>
      </c>
      <c r="G13780" t="str" cm="1">
        <f t="array" ref="G13780">SubCategorizeComment(E13780)</f>
        <v>Other</v>
      </c>
    </row>
    <row r="13781" spans="1:7" x14ac:dyDescent="0.25">
      <c r="A13781">
        <v>45856</v>
      </c>
      <c r="B13781" t="s">
        <v>4</v>
      </c>
      <c r="C13781">
        <v>4</v>
      </c>
      <c r="D13781" t="s">
        <v>871</v>
      </c>
      <c r="F13781" t="str" cm="1">
        <f t="array" ref="F13781">CategorizeComment(E13781)</f>
        <v>Other</v>
      </c>
      <c r="G13781" t="str" cm="1">
        <f t="array" ref="G13781">SubCategorizeComment(E13781)</f>
        <v>Other</v>
      </c>
    </row>
    <row r="13782" spans="1:7" x14ac:dyDescent="0.25">
      <c r="A13782">
        <v>36322</v>
      </c>
      <c r="B13782" t="s">
        <v>4</v>
      </c>
      <c r="C13782">
        <v>4</v>
      </c>
      <c r="D13782" t="s">
        <v>693</v>
      </c>
      <c r="F13782" t="str" cm="1">
        <f t="array" ref="F13782">CategorizeComment(E13782)</f>
        <v>Other</v>
      </c>
      <c r="G13782" t="str" cm="1">
        <f t="array" ref="G13782">SubCategorizeComment(E13782)</f>
        <v>Other</v>
      </c>
    </row>
    <row r="13783" spans="1:7" x14ac:dyDescent="0.25">
      <c r="A13783">
        <v>91878</v>
      </c>
      <c r="B13783" t="s">
        <v>4</v>
      </c>
      <c r="C13783">
        <v>3</v>
      </c>
      <c r="D13783" t="s">
        <v>1603</v>
      </c>
      <c r="F13783" t="str" cm="1">
        <f t="array" ref="F13783">CategorizeComment(E13783)</f>
        <v>Other</v>
      </c>
      <c r="G13783" t="str" cm="1">
        <f t="array" ref="G13783">SubCategorizeComment(E13783)</f>
        <v>Other</v>
      </c>
    </row>
    <row r="13784" spans="1:7" x14ac:dyDescent="0.25">
      <c r="A13784">
        <v>128221</v>
      </c>
      <c r="B13784" t="s">
        <v>4</v>
      </c>
      <c r="C13784">
        <v>4</v>
      </c>
      <c r="D13784" t="s">
        <v>2150</v>
      </c>
      <c r="F13784" t="str" cm="1">
        <f t="array" ref="F13784">CategorizeComment(E13784)</f>
        <v>Other</v>
      </c>
      <c r="G13784" t="str" cm="1">
        <f t="array" ref="G13784">SubCategorizeComment(E13784)</f>
        <v>Other</v>
      </c>
    </row>
    <row r="13785" spans="1:7" x14ac:dyDescent="0.25">
      <c r="A13785">
        <v>86203</v>
      </c>
      <c r="B13785" t="s">
        <v>4</v>
      </c>
      <c r="C13785">
        <v>4</v>
      </c>
      <c r="D13785" t="s">
        <v>1509</v>
      </c>
      <c r="F13785" t="str" cm="1">
        <f t="array" ref="F13785">CategorizeComment(E13785)</f>
        <v>Other</v>
      </c>
      <c r="G13785" t="str" cm="1">
        <f t="array" ref="G13785">SubCategorizeComment(E13785)</f>
        <v>Other</v>
      </c>
    </row>
    <row r="13786" spans="1:7" x14ac:dyDescent="0.25">
      <c r="A13786">
        <v>116009</v>
      </c>
      <c r="B13786" t="s">
        <v>4</v>
      </c>
      <c r="C13786">
        <v>4</v>
      </c>
      <c r="D13786" t="s">
        <v>1969</v>
      </c>
      <c r="F13786" t="str" cm="1">
        <f t="array" ref="F13786">CategorizeComment(E13786)</f>
        <v>Other</v>
      </c>
      <c r="G13786" t="str" cm="1">
        <f t="array" ref="G13786">SubCategorizeComment(E13786)</f>
        <v>Other</v>
      </c>
    </row>
    <row r="13787" spans="1:7" x14ac:dyDescent="0.25">
      <c r="A13787">
        <v>19207</v>
      </c>
      <c r="B13787" t="s">
        <v>4</v>
      </c>
      <c r="C13787">
        <v>3</v>
      </c>
      <c r="D13787" t="s">
        <v>387</v>
      </c>
      <c r="F13787" t="str" cm="1">
        <f t="array" ref="F13787">CategorizeComment(E13787)</f>
        <v>Other</v>
      </c>
      <c r="G13787" t="str" cm="1">
        <f t="array" ref="G13787">SubCategorizeComment(E13787)</f>
        <v>Other</v>
      </c>
    </row>
    <row r="13788" spans="1:7" x14ac:dyDescent="0.25">
      <c r="A13788">
        <v>62721</v>
      </c>
      <c r="B13788" t="s">
        <v>4</v>
      </c>
      <c r="C13788">
        <v>3</v>
      </c>
      <c r="D13788" t="s">
        <v>1168</v>
      </c>
      <c r="F13788" t="str" cm="1">
        <f t="array" ref="F13788">CategorizeComment(E13788)</f>
        <v>Other</v>
      </c>
      <c r="G13788" t="str" cm="1">
        <f t="array" ref="G13788">SubCategorizeComment(E13788)</f>
        <v>Other</v>
      </c>
    </row>
    <row r="13789" spans="1:7" x14ac:dyDescent="0.25">
      <c r="A13789">
        <v>43229</v>
      </c>
      <c r="B13789" t="s">
        <v>4</v>
      </c>
      <c r="C13789">
        <v>4</v>
      </c>
      <c r="D13789" t="s">
        <v>817</v>
      </c>
      <c r="F13789" t="str" cm="1">
        <f t="array" ref="F13789">CategorizeComment(E13789)</f>
        <v>Other</v>
      </c>
      <c r="G13789" t="str" cm="1">
        <f t="array" ref="G13789">SubCategorizeComment(E13789)</f>
        <v>Other</v>
      </c>
    </row>
    <row r="13790" spans="1:7" x14ac:dyDescent="0.25">
      <c r="A13790">
        <v>6372</v>
      </c>
      <c r="B13790" t="s">
        <v>4</v>
      </c>
      <c r="C13790">
        <v>3</v>
      </c>
      <c r="D13790" t="s">
        <v>124</v>
      </c>
      <c r="F13790" t="str" cm="1">
        <f t="array" ref="F13790">CategorizeComment(E13790)</f>
        <v>Other</v>
      </c>
      <c r="G13790" t="str" cm="1">
        <f t="array" ref="G13790">SubCategorizeComment(E13790)</f>
        <v>Other</v>
      </c>
    </row>
    <row r="13791" spans="1:7" x14ac:dyDescent="0.25">
      <c r="A13791">
        <v>55699</v>
      </c>
      <c r="B13791" t="s">
        <v>4</v>
      </c>
      <c r="C13791">
        <v>3</v>
      </c>
      <c r="D13791" t="s">
        <v>1041</v>
      </c>
      <c r="F13791" t="str" cm="1">
        <f t="array" ref="F13791">CategorizeComment(E13791)</f>
        <v>Other</v>
      </c>
      <c r="G13791" t="str" cm="1">
        <f t="array" ref="G13791">SubCategorizeComment(E13791)</f>
        <v>Other</v>
      </c>
    </row>
    <row r="13792" spans="1:7" x14ac:dyDescent="0.25">
      <c r="A13792">
        <v>50689</v>
      </c>
      <c r="B13792" t="s">
        <v>4</v>
      </c>
      <c r="C13792">
        <v>3</v>
      </c>
      <c r="D13792" t="s">
        <v>953</v>
      </c>
      <c r="F13792" t="str" cm="1">
        <f t="array" ref="F13792">CategorizeComment(E13792)</f>
        <v>Other</v>
      </c>
      <c r="G13792" t="str" cm="1">
        <f t="array" ref="G13792">SubCategorizeComment(E13792)</f>
        <v>Other</v>
      </c>
    </row>
    <row r="13793" spans="1:7" x14ac:dyDescent="0.25">
      <c r="A13793">
        <v>108246</v>
      </c>
      <c r="B13793" t="s">
        <v>4</v>
      </c>
      <c r="C13793">
        <v>3</v>
      </c>
      <c r="D13793" t="s">
        <v>1849</v>
      </c>
      <c r="F13793" t="str" cm="1">
        <f t="array" ref="F13793">CategorizeComment(E13793)</f>
        <v>Other</v>
      </c>
      <c r="G13793" t="str" cm="1">
        <f t="array" ref="G13793">SubCategorizeComment(E13793)</f>
        <v>Other</v>
      </c>
    </row>
    <row r="13794" spans="1:7" x14ac:dyDescent="0.25">
      <c r="A13794">
        <v>86711</v>
      </c>
      <c r="B13794" t="s">
        <v>4</v>
      </c>
      <c r="C13794">
        <v>4</v>
      </c>
      <c r="D13794" t="s">
        <v>1516</v>
      </c>
      <c r="F13794" t="str" cm="1">
        <f t="array" ref="F13794">CategorizeComment(E13794)</f>
        <v>Other</v>
      </c>
      <c r="G13794" t="str" cm="1">
        <f t="array" ref="G13794">SubCategorizeComment(E13794)</f>
        <v>Other</v>
      </c>
    </row>
    <row r="13795" spans="1:7" x14ac:dyDescent="0.25">
      <c r="A13795">
        <v>113514</v>
      </c>
      <c r="B13795" t="s">
        <v>4</v>
      </c>
      <c r="C13795">
        <v>3</v>
      </c>
      <c r="D13795" t="s">
        <v>1931</v>
      </c>
      <c r="F13795" t="str" cm="1">
        <f t="array" ref="F13795">CategorizeComment(E13795)</f>
        <v>Other</v>
      </c>
      <c r="G13795" t="str" cm="1">
        <f t="array" ref="G13795">SubCategorizeComment(E13795)</f>
        <v>Other</v>
      </c>
    </row>
    <row r="13796" spans="1:7" x14ac:dyDescent="0.25">
      <c r="A13796">
        <v>98098</v>
      </c>
      <c r="B13796" t="s">
        <v>4</v>
      </c>
      <c r="C13796">
        <v>4</v>
      </c>
      <c r="D13796" t="s">
        <v>1702</v>
      </c>
      <c r="F13796" t="str" cm="1">
        <f t="array" ref="F13796">CategorizeComment(E13796)</f>
        <v>Other</v>
      </c>
      <c r="G13796" t="str" cm="1">
        <f t="array" ref="G13796">SubCategorizeComment(E13796)</f>
        <v>Other</v>
      </c>
    </row>
    <row r="13797" spans="1:7" x14ac:dyDescent="0.25">
      <c r="A13797">
        <v>12441</v>
      </c>
      <c r="B13797" t="s">
        <v>4</v>
      </c>
      <c r="C13797">
        <v>4</v>
      </c>
      <c r="D13797" t="s">
        <v>246</v>
      </c>
      <c r="F13797" t="str" cm="1">
        <f t="array" ref="F13797">CategorizeComment(E13797)</f>
        <v>Other</v>
      </c>
      <c r="G13797" t="str" cm="1">
        <f t="array" ref="G13797">SubCategorizeComment(E13797)</f>
        <v>Other</v>
      </c>
    </row>
    <row r="13798" spans="1:7" x14ac:dyDescent="0.25">
      <c r="A13798">
        <v>43724</v>
      </c>
      <c r="B13798" t="s">
        <v>4</v>
      </c>
      <c r="C13798">
        <v>3</v>
      </c>
      <c r="D13798" t="s">
        <v>824</v>
      </c>
      <c r="F13798" t="str" cm="1">
        <f t="array" ref="F13798">CategorizeComment(E13798)</f>
        <v>Other</v>
      </c>
      <c r="G13798" t="str" cm="1">
        <f t="array" ref="G13798">SubCategorizeComment(E13798)</f>
        <v>Other</v>
      </c>
    </row>
    <row r="13799" spans="1:7" x14ac:dyDescent="0.25">
      <c r="A13799">
        <v>24474</v>
      </c>
      <c r="B13799" t="s">
        <v>4</v>
      </c>
      <c r="C13799">
        <v>3</v>
      </c>
      <c r="D13799" t="s">
        <v>495</v>
      </c>
      <c r="F13799" t="str" cm="1">
        <f t="array" ref="F13799">CategorizeComment(E13799)</f>
        <v>Other</v>
      </c>
      <c r="G13799" t="str" cm="1">
        <f t="array" ref="G13799">SubCategorizeComment(E13799)</f>
        <v>Other</v>
      </c>
    </row>
    <row r="13800" spans="1:7" x14ac:dyDescent="0.25">
      <c r="A13800">
        <v>9677</v>
      </c>
      <c r="B13800" t="s">
        <v>4</v>
      </c>
      <c r="C13800">
        <v>0</v>
      </c>
      <c r="D13800" t="s">
        <v>192</v>
      </c>
      <c r="F13800" t="str" cm="1">
        <f t="array" ref="F13800">CategorizeComment(E13800)</f>
        <v>Other</v>
      </c>
      <c r="G13800" t="str" cm="1">
        <f t="array" ref="G13800">SubCategorizeComment(E13800)</f>
        <v>Other</v>
      </c>
    </row>
    <row r="13801" spans="1:7" x14ac:dyDescent="0.25">
      <c r="A13801">
        <v>46147</v>
      </c>
      <c r="B13801" t="s">
        <v>4</v>
      </c>
      <c r="C13801">
        <v>3</v>
      </c>
      <c r="D13801" t="s">
        <v>874</v>
      </c>
      <c r="F13801" t="str" cm="1">
        <f t="array" ref="F13801">CategorizeComment(E13801)</f>
        <v>Other</v>
      </c>
      <c r="G13801" t="str" cm="1">
        <f t="array" ref="G13801">SubCategorizeComment(E13801)</f>
        <v>Other</v>
      </c>
    </row>
    <row r="13802" spans="1:7" x14ac:dyDescent="0.25">
      <c r="A13802">
        <v>84450</v>
      </c>
      <c r="B13802" t="s">
        <v>4</v>
      </c>
      <c r="C13802">
        <v>3</v>
      </c>
      <c r="D13802" t="s">
        <v>1490</v>
      </c>
      <c r="F13802" t="str" cm="1">
        <f t="array" ref="F13802">CategorizeComment(E13802)</f>
        <v>Other</v>
      </c>
      <c r="G13802" t="str" cm="1">
        <f t="array" ref="G13802">SubCategorizeComment(E13802)</f>
        <v>Other</v>
      </c>
    </row>
    <row r="13803" spans="1:7" x14ac:dyDescent="0.25">
      <c r="A13803">
        <v>13877</v>
      </c>
      <c r="B13803" t="s">
        <v>4</v>
      </c>
      <c r="C13803">
        <v>0</v>
      </c>
      <c r="D13803" t="s">
        <v>271</v>
      </c>
      <c r="F13803" t="str" cm="1">
        <f t="array" ref="F13803">CategorizeComment(E13803)</f>
        <v>Other</v>
      </c>
      <c r="G13803" t="str" cm="1">
        <f t="array" ref="G13803">SubCategorizeComment(E13803)</f>
        <v>Other</v>
      </c>
    </row>
    <row r="13804" spans="1:7" x14ac:dyDescent="0.25">
      <c r="A13804">
        <v>115275</v>
      </c>
      <c r="B13804" t="s">
        <v>4</v>
      </c>
      <c r="C13804">
        <v>3</v>
      </c>
      <c r="D13804" t="s">
        <v>1951</v>
      </c>
      <c r="F13804" t="str" cm="1">
        <f t="array" ref="F13804">CategorizeComment(E13804)</f>
        <v>Other</v>
      </c>
      <c r="G13804" t="str" cm="1">
        <f t="array" ref="G13804">SubCategorizeComment(E13804)</f>
        <v>Other</v>
      </c>
    </row>
    <row r="13805" spans="1:7" x14ac:dyDescent="0.25">
      <c r="A13805">
        <v>3702</v>
      </c>
      <c r="B13805" t="s">
        <v>4</v>
      </c>
      <c r="C13805">
        <v>3</v>
      </c>
      <c r="D13805" t="s">
        <v>76</v>
      </c>
      <c r="F13805" t="str" cm="1">
        <f t="array" ref="F13805">CategorizeComment(E13805)</f>
        <v>Other</v>
      </c>
      <c r="G13805" t="str" cm="1">
        <f t="array" ref="G13805">SubCategorizeComment(E13805)</f>
        <v>Other</v>
      </c>
    </row>
    <row r="13806" spans="1:7" x14ac:dyDescent="0.25">
      <c r="A13806">
        <v>950</v>
      </c>
      <c r="B13806" t="s">
        <v>4</v>
      </c>
      <c r="C13806">
        <v>4</v>
      </c>
      <c r="D13806" t="s">
        <v>26</v>
      </c>
      <c r="F13806" t="str" cm="1">
        <f t="array" ref="F13806">CategorizeComment(E13806)</f>
        <v>Other</v>
      </c>
      <c r="G13806" t="str" cm="1">
        <f t="array" ref="G13806">SubCategorizeComment(E13806)</f>
        <v>Other</v>
      </c>
    </row>
    <row r="13807" spans="1:7" x14ac:dyDescent="0.25">
      <c r="A13807">
        <v>39004</v>
      </c>
      <c r="B13807" t="s">
        <v>4</v>
      </c>
      <c r="C13807">
        <v>4</v>
      </c>
      <c r="D13807" t="s">
        <v>748</v>
      </c>
      <c r="F13807" t="str" cm="1">
        <f t="array" ref="F13807">CategorizeComment(E13807)</f>
        <v>Other</v>
      </c>
      <c r="G13807" t="str" cm="1">
        <f t="array" ref="G13807">SubCategorizeComment(E13807)</f>
        <v>Other</v>
      </c>
    </row>
    <row r="13808" spans="1:7" x14ac:dyDescent="0.25">
      <c r="A13808">
        <v>80430</v>
      </c>
      <c r="B13808" t="s">
        <v>4</v>
      </c>
      <c r="C13808">
        <v>4</v>
      </c>
      <c r="D13808" t="s">
        <v>1441</v>
      </c>
      <c r="F13808" t="str" cm="1">
        <f t="array" ref="F13808">CategorizeComment(E13808)</f>
        <v>Other</v>
      </c>
      <c r="G13808" t="str" cm="1">
        <f t="array" ref="G13808">SubCategorizeComment(E13808)</f>
        <v>Other</v>
      </c>
    </row>
    <row r="13809" spans="1:7" x14ac:dyDescent="0.25">
      <c r="A13809">
        <v>25323</v>
      </c>
      <c r="B13809" t="s">
        <v>4</v>
      </c>
      <c r="C13809">
        <v>3</v>
      </c>
      <c r="D13809" t="s">
        <v>513</v>
      </c>
      <c r="F13809" t="str" cm="1">
        <f t="array" ref="F13809">CategorizeComment(E13809)</f>
        <v>Other</v>
      </c>
      <c r="G13809" t="str" cm="1">
        <f t="array" ref="G13809">SubCategorizeComment(E13809)</f>
        <v>Other</v>
      </c>
    </row>
    <row r="13810" spans="1:7" x14ac:dyDescent="0.25">
      <c r="A13810">
        <v>118815</v>
      </c>
      <c r="B13810" t="s">
        <v>4</v>
      </c>
      <c r="C13810">
        <v>4</v>
      </c>
      <c r="D13810" t="s">
        <v>2010</v>
      </c>
      <c r="F13810" t="str" cm="1">
        <f t="array" ref="F13810">CategorizeComment(E13810)</f>
        <v>Other</v>
      </c>
      <c r="G13810" t="str" cm="1">
        <f t="array" ref="G13810">SubCategorizeComment(E13810)</f>
        <v>Other</v>
      </c>
    </row>
    <row r="13811" spans="1:7" x14ac:dyDescent="0.25">
      <c r="A13811">
        <v>93713</v>
      </c>
      <c r="B13811" t="s">
        <v>4</v>
      </c>
      <c r="C13811">
        <v>3</v>
      </c>
      <c r="D13811" t="s">
        <v>1639</v>
      </c>
      <c r="F13811" t="str" cm="1">
        <f t="array" ref="F13811">CategorizeComment(E13811)</f>
        <v>Other</v>
      </c>
      <c r="G13811" t="str" cm="1">
        <f t="array" ref="G13811">SubCategorizeComment(E13811)</f>
        <v>Other</v>
      </c>
    </row>
    <row r="13812" spans="1:7" x14ac:dyDescent="0.25">
      <c r="A13812">
        <v>1251</v>
      </c>
      <c r="B13812" t="s">
        <v>4</v>
      </c>
      <c r="C13812">
        <v>4</v>
      </c>
      <c r="D13812" t="s">
        <v>35</v>
      </c>
      <c r="F13812" t="str" cm="1">
        <f t="array" ref="F13812">CategorizeComment(E13812)</f>
        <v>Other</v>
      </c>
      <c r="G13812" t="str" cm="1">
        <f t="array" ref="G13812">SubCategorizeComment(E13812)</f>
        <v>Other</v>
      </c>
    </row>
    <row r="13813" spans="1:7" x14ac:dyDescent="0.25">
      <c r="A13813">
        <v>30553</v>
      </c>
      <c r="B13813" t="s">
        <v>4</v>
      </c>
      <c r="C13813">
        <v>3</v>
      </c>
      <c r="D13813" t="s">
        <v>594</v>
      </c>
      <c r="F13813" t="str" cm="1">
        <f t="array" ref="F13813">CategorizeComment(E13813)</f>
        <v>Other</v>
      </c>
      <c r="G13813" t="str" cm="1">
        <f t="array" ref="G13813">SubCategorizeComment(E13813)</f>
        <v>Other</v>
      </c>
    </row>
    <row r="13814" spans="1:7" x14ac:dyDescent="0.25">
      <c r="A13814">
        <v>77631</v>
      </c>
      <c r="B13814" t="s">
        <v>4</v>
      </c>
      <c r="C13814">
        <v>3</v>
      </c>
      <c r="D13814" t="s">
        <v>1395</v>
      </c>
      <c r="F13814" t="str" cm="1">
        <f t="array" ref="F13814">CategorizeComment(E13814)</f>
        <v>Other</v>
      </c>
      <c r="G13814" t="str" cm="1">
        <f t="array" ref="G13814">SubCategorizeComment(E13814)</f>
        <v>Other</v>
      </c>
    </row>
    <row r="13815" spans="1:7" x14ac:dyDescent="0.25">
      <c r="A13815">
        <v>45190</v>
      </c>
      <c r="B13815" t="s">
        <v>4</v>
      </c>
      <c r="C13815">
        <v>3</v>
      </c>
      <c r="D13815" t="s">
        <v>853</v>
      </c>
      <c r="F13815" t="str" cm="1">
        <f t="array" ref="F13815">CategorizeComment(E13815)</f>
        <v>Other</v>
      </c>
      <c r="G13815" t="str" cm="1">
        <f t="array" ref="G13815">SubCategorizeComment(E13815)</f>
        <v>Other</v>
      </c>
    </row>
    <row r="13816" spans="1:7" x14ac:dyDescent="0.25">
      <c r="A13816">
        <v>19067</v>
      </c>
      <c r="B13816" t="s">
        <v>4</v>
      </c>
      <c r="C13816">
        <v>4</v>
      </c>
      <c r="D13816" t="s">
        <v>383</v>
      </c>
      <c r="F13816" t="str" cm="1">
        <f t="array" ref="F13816">CategorizeComment(E13816)</f>
        <v>Other</v>
      </c>
      <c r="G13816" t="str" cm="1">
        <f t="array" ref="G13816">SubCategorizeComment(E13816)</f>
        <v>Other</v>
      </c>
    </row>
    <row r="13817" spans="1:7" x14ac:dyDescent="0.25">
      <c r="A13817">
        <v>117735</v>
      </c>
      <c r="B13817" t="s">
        <v>4</v>
      </c>
      <c r="C13817">
        <v>3</v>
      </c>
      <c r="D13817" t="s">
        <v>1992</v>
      </c>
      <c r="F13817" t="str" cm="1">
        <f t="array" ref="F13817">CategorizeComment(E13817)</f>
        <v>Other</v>
      </c>
      <c r="G13817" t="str" cm="1">
        <f t="array" ref="G13817">SubCategorizeComment(E13817)</f>
        <v>Other</v>
      </c>
    </row>
    <row r="13818" spans="1:7" x14ac:dyDescent="0.25">
      <c r="A13818">
        <v>26458</v>
      </c>
      <c r="B13818" t="s">
        <v>4</v>
      </c>
      <c r="C13818">
        <v>4</v>
      </c>
      <c r="D13818" t="s">
        <v>527</v>
      </c>
      <c r="F13818" t="str" cm="1">
        <f t="array" ref="F13818">CategorizeComment(E13818)</f>
        <v>Other</v>
      </c>
      <c r="G13818" t="str" cm="1">
        <f t="array" ref="G13818">SubCategorizeComment(E13818)</f>
        <v>Other</v>
      </c>
    </row>
    <row r="13819" spans="1:7" x14ac:dyDescent="0.25">
      <c r="A13819">
        <v>104187</v>
      </c>
      <c r="B13819" t="s">
        <v>4</v>
      </c>
      <c r="C13819">
        <v>3</v>
      </c>
      <c r="D13819" t="s">
        <v>1774</v>
      </c>
      <c r="F13819" t="str" cm="1">
        <f t="array" ref="F13819">CategorizeComment(E13819)</f>
        <v>Other</v>
      </c>
      <c r="G13819" t="str" cm="1">
        <f t="array" ref="G13819">SubCategorizeComment(E13819)</f>
        <v>Other</v>
      </c>
    </row>
    <row r="13820" spans="1:7" x14ac:dyDescent="0.25">
      <c r="A13820">
        <v>71227</v>
      </c>
      <c r="B13820" t="s">
        <v>4</v>
      </c>
      <c r="C13820">
        <v>3</v>
      </c>
      <c r="D13820" t="s">
        <v>1298</v>
      </c>
      <c r="F13820" t="str" cm="1">
        <f t="array" ref="F13820">CategorizeComment(E13820)</f>
        <v>Other</v>
      </c>
      <c r="G13820" t="str" cm="1">
        <f t="array" ref="G13820">SubCategorizeComment(E13820)</f>
        <v>Other</v>
      </c>
    </row>
    <row r="13821" spans="1:7" x14ac:dyDescent="0.25">
      <c r="A13821">
        <v>45915</v>
      </c>
      <c r="B13821" t="s">
        <v>4</v>
      </c>
      <c r="C13821">
        <v>4</v>
      </c>
      <c r="D13821" t="s">
        <v>872</v>
      </c>
      <c r="F13821" t="str" cm="1">
        <f t="array" ref="F13821">CategorizeComment(E13821)</f>
        <v>Other</v>
      </c>
      <c r="G13821" t="str" cm="1">
        <f t="array" ref="G13821">SubCategorizeComment(E13821)</f>
        <v>Other</v>
      </c>
    </row>
    <row r="13822" spans="1:7" x14ac:dyDescent="0.25">
      <c r="A13822">
        <v>77577</v>
      </c>
      <c r="B13822" t="s">
        <v>4</v>
      </c>
      <c r="C13822">
        <v>3</v>
      </c>
      <c r="D13822" t="s">
        <v>1394</v>
      </c>
      <c r="F13822" t="str" cm="1">
        <f t="array" ref="F13822">CategorizeComment(E13822)</f>
        <v>Other</v>
      </c>
      <c r="G13822" t="str" cm="1">
        <f t="array" ref="G13822">SubCategorizeComment(E13822)</f>
        <v>Other</v>
      </c>
    </row>
    <row r="13823" spans="1:7" x14ac:dyDescent="0.25">
      <c r="A13823">
        <v>21654</v>
      </c>
      <c r="B13823" t="s">
        <v>4</v>
      </c>
      <c r="C13823">
        <v>3</v>
      </c>
      <c r="D13823" t="s">
        <v>442</v>
      </c>
      <c r="F13823" t="str" cm="1">
        <f t="array" ref="F13823">CategorizeComment(E13823)</f>
        <v>Other</v>
      </c>
      <c r="G13823" t="str" cm="1">
        <f t="array" ref="G13823">SubCategorizeComment(E13823)</f>
        <v>Other</v>
      </c>
    </row>
    <row r="13824" spans="1:7" x14ac:dyDescent="0.25">
      <c r="A13824">
        <v>53740</v>
      </c>
      <c r="B13824" t="s">
        <v>4</v>
      </c>
      <c r="C13824">
        <v>4</v>
      </c>
      <c r="D13824" t="s">
        <v>1006</v>
      </c>
      <c r="F13824" t="str" cm="1">
        <f t="array" ref="F13824">CategorizeComment(E13824)</f>
        <v>Other</v>
      </c>
      <c r="G13824" t="str" cm="1">
        <f t="array" ref="G13824">SubCategorizeComment(E13824)</f>
        <v>Other</v>
      </c>
    </row>
    <row r="13825" spans="1:7" x14ac:dyDescent="0.25">
      <c r="A13825">
        <v>27385</v>
      </c>
      <c r="B13825" t="s">
        <v>4</v>
      </c>
      <c r="C13825">
        <v>3</v>
      </c>
      <c r="D13825" t="s">
        <v>542</v>
      </c>
      <c r="F13825" t="str" cm="1">
        <f t="array" ref="F13825">CategorizeComment(E13825)</f>
        <v>Other</v>
      </c>
      <c r="G13825" t="str" cm="1">
        <f t="array" ref="G13825">SubCategorizeComment(E13825)</f>
        <v>Other</v>
      </c>
    </row>
    <row r="13826" spans="1:7" x14ac:dyDescent="0.25">
      <c r="A13826">
        <v>129721</v>
      </c>
      <c r="B13826" t="s">
        <v>4</v>
      </c>
      <c r="C13826">
        <v>4</v>
      </c>
      <c r="D13826" t="s">
        <v>2166</v>
      </c>
      <c r="F13826" t="str" cm="1">
        <f t="array" ref="F13826">CategorizeComment(E13826)</f>
        <v>Other</v>
      </c>
      <c r="G13826" t="str" cm="1">
        <f t="array" ref="G13826">SubCategorizeComment(E13826)</f>
        <v>Other</v>
      </c>
    </row>
    <row r="13827" spans="1:7" x14ac:dyDescent="0.25">
      <c r="A13827">
        <v>101820</v>
      </c>
      <c r="B13827" t="s">
        <v>4</v>
      </c>
      <c r="C13827">
        <v>4</v>
      </c>
      <c r="D13827" t="s">
        <v>1744</v>
      </c>
      <c r="F13827" t="str" cm="1">
        <f t="array" ref="F13827">CategorizeComment(E13827)</f>
        <v>Other</v>
      </c>
      <c r="G13827" t="str" cm="1">
        <f t="array" ref="G13827">SubCategorizeComment(E13827)</f>
        <v>Other</v>
      </c>
    </row>
    <row r="13828" spans="1:7" x14ac:dyDescent="0.25">
      <c r="A13828">
        <v>128708</v>
      </c>
      <c r="B13828" t="s">
        <v>4</v>
      </c>
      <c r="C13828">
        <v>4</v>
      </c>
      <c r="D13828" t="s">
        <v>2156</v>
      </c>
      <c r="F13828" t="str" cm="1">
        <f t="array" ref="F13828">CategorizeComment(E13828)</f>
        <v>Other</v>
      </c>
      <c r="G13828" t="str" cm="1">
        <f t="array" ref="G13828">SubCategorizeComment(E13828)</f>
        <v>Other</v>
      </c>
    </row>
    <row r="13829" spans="1:7" x14ac:dyDescent="0.25">
      <c r="A13829">
        <v>113987</v>
      </c>
      <c r="B13829" t="s">
        <v>4</v>
      </c>
      <c r="C13829">
        <v>0</v>
      </c>
      <c r="D13829" t="s">
        <v>1939</v>
      </c>
      <c r="F13829" t="str" cm="1">
        <f t="array" ref="F13829">CategorizeComment(E13829)</f>
        <v>Other</v>
      </c>
      <c r="G13829" t="str" cm="1">
        <f t="array" ref="G13829">SubCategorizeComment(E13829)</f>
        <v>Other</v>
      </c>
    </row>
    <row r="13830" spans="1:7" x14ac:dyDescent="0.25">
      <c r="A13830">
        <v>62069</v>
      </c>
      <c r="B13830" t="s">
        <v>4</v>
      </c>
      <c r="C13830">
        <v>3</v>
      </c>
      <c r="D13830" t="s">
        <v>1156</v>
      </c>
      <c r="F13830" t="str" cm="1">
        <f t="array" ref="F13830">CategorizeComment(E13830)</f>
        <v>Other</v>
      </c>
      <c r="G13830" t="str" cm="1">
        <f t="array" ref="G13830">SubCategorizeComment(E13830)</f>
        <v>Other</v>
      </c>
    </row>
    <row r="13831" spans="1:7" x14ac:dyDescent="0.25">
      <c r="A13831">
        <v>48366</v>
      </c>
      <c r="B13831" t="s">
        <v>4</v>
      </c>
      <c r="C13831">
        <v>4</v>
      </c>
      <c r="D13831" t="s">
        <v>909</v>
      </c>
      <c r="F13831" t="str" cm="1">
        <f t="array" ref="F13831">CategorizeComment(E13831)</f>
        <v>Other</v>
      </c>
      <c r="G13831" t="str" cm="1">
        <f t="array" ref="G13831">SubCategorizeComment(E13831)</f>
        <v>Other</v>
      </c>
    </row>
    <row r="13832" spans="1:7" x14ac:dyDescent="0.25">
      <c r="A13832">
        <v>116699</v>
      </c>
      <c r="B13832" t="s">
        <v>4</v>
      </c>
      <c r="C13832">
        <v>3</v>
      </c>
      <c r="D13832" t="s">
        <v>1976</v>
      </c>
      <c r="F13832" t="str" cm="1">
        <f t="array" ref="F13832">CategorizeComment(E13832)</f>
        <v>Other</v>
      </c>
      <c r="G13832" t="str" cm="1">
        <f t="array" ref="G13832">SubCategorizeComment(E13832)</f>
        <v>Other</v>
      </c>
    </row>
    <row r="13833" spans="1:7" x14ac:dyDescent="0.25">
      <c r="A13833">
        <v>37761</v>
      </c>
      <c r="B13833" t="s">
        <v>4</v>
      </c>
      <c r="C13833">
        <v>3</v>
      </c>
      <c r="D13833" t="s">
        <v>723</v>
      </c>
      <c r="F13833" t="str" cm="1">
        <f t="array" ref="F13833">CategorizeComment(E13833)</f>
        <v>Other</v>
      </c>
      <c r="G13833" t="str" cm="1">
        <f t="array" ref="G13833">SubCategorizeComment(E13833)</f>
        <v>Other</v>
      </c>
    </row>
    <row r="13834" spans="1:7" x14ac:dyDescent="0.25">
      <c r="A13834">
        <v>71051</v>
      </c>
      <c r="B13834" t="s">
        <v>4</v>
      </c>
      <c r="C13834">
        <v>3</v>
      </c>
      <c r="D13834" t="s">
        <v>1295</v>
      </c>
      <c r="F13834" t="str" cm="1">
        <f t="array" ref="F13834">CategorizeComment(E13834)</f>
        <v>Other</v>
      </c>
      <c r="G13834" t="str" cm="1">
        <f t="array" ref="G13834">SubCategorizeComment(E13834)</f>
        <v>Other</v>
      </c>
    </row>
    <row r="13835" spans="1:7" x14ac:dyDescent="0.25">
      <c r="A13835">
        <v>53035</v>
      </c>
      <c r="B13835" t="s">
        <v>4</v>
      </c>
      <c r="C13835">
        <v>3</v>
      </c>
      <c r="D13835" t="s">
        <v>988</v>
      </c>
      <c r="F13835" t="str" cm="1">
        <f t="array" ref="F13835">CategorizeComment(E13835)</f>
        <v>Other</v>
      </c>
      <c r="G13835" t="str" cm="1">
        <f t="array" ref="G13835">SubCategorizeComment(E13835)</f>
        <v>Other</v>
      </c>
    </row>
    <row r="13836" spans="1:7" x14ac:dyDescent="0.25">
      <c r="A13836">
        <v>43014</v>
      </c>
      <c r="B13836" t="s">
        <v>4</v>
      </c>
      <c r="C13836">
        <v>3</v>
      </c>
      <c r="D13836" t="s">
        <v>810</v>
      </c>
      <c r="F13836" t="str" cm="1">
        <f t="array" ref="F13836">CategorizeComment(E13836)</f>
        <v>Other</v>
      </c>
      <c r="G13836" t="str" cm="1">
        <f t="array" ref="G13836">SubCategorizeComment(E13836)</f>
        <v>Other</v>
      </c>
    </row>
    <row r="13837" spans="1:7" x14ac:dyDescent="0.25">
      <c r="A13837">
        <v>127539</v>
      </c>
      <c r="B13837" t="s">
        <v>4</v>
      </c>
      <c r="C13837">
        <v>4</v>
      </c>
      <c r="D13837" t="s">
        <v>2138</v>
      </c>
      <c r="F13837" t="str" cm="1">
        <f t="array" ref="F13837">CategorizeComment(E13837)</f>
        <v>Other</v>
      </c>
      <c r="G13837" t="str" cm="1">
        <f t="array" ref="G13837">SubCategorizeComment(E13837)</f>
        <v>Other</v>
      </c>
    </row>
    <row r="13838" spans="1:7" x14ac:dyDescent="0.25">
      <c r="A13838">
        <v>117904</v>
      </c>
      <c r="B13838" t="s">
        <v>4</v>
      </c>
      <c r="C13838">
        <v>4</v>
      </c>
      <c r="D13838" t="s">
        <v>1996</v>
      </c>
      <c r="F13838" t="str" cm="1">
        <f t="array" ref="F13838">CategorizeComment(E13838)</f>
        <v>Other</v>
      </c>
      <c r="G13838" t="str" cm="1">
        <f t="array" ref="G13838">SubCategorizeComment(E13838)</f>
        <v>Other</v>
      </c>
    </row>
    <row r="13839" spans="1:7" x14ac:dyDescent="0.25">
      <c r="A13839">
        <v>117229</v>
      </c>
      <c r="B13839" t="s">
        <v>4</v>
      </c>
      <c r="C13839">
        <v>3</v>
      </c>
      <c r="D13839" t="s">
        <v>1982</v>
      </c>
      <c r="F13839" t="str" cm="1">
        <f t="array" ref="F13839">CategorizeComment(E13839)</f>
        <v>Other</v>
      </c>
      <c r="G13839" t="str" cm="1">
        <f t="array" ref="G13839">SubCategorizeComment(E13839)</f>
        <v>Other</v>
      </c>
    </row>
    <row r="13840" spans="1:7" x14ac:dyDescent="0.25">
      <c r="A13840">
        <v>87672</v>
      </c>
      <c r="B13840" t="s">
        <v>4</v>
      </c>
      <c r="C13840">
        <v>3</v>
      </c>
      <c r="D13840" t="s">
        <v>1530</v>
      </c>
      <c r="F13840" t="str" cm="1">
        <f t="array" ref="F13840">CategorizeComment(E13840)</f>
        <v>Other</v>
      </c>
      <c r="G13840" t="str" cm="1">
        <f t="array" ref="G13840">SubCategorizeComment(E13840)</f>
        <v>Other</v>
      </c>
    </row>
    <row r="13841" spans="1:7" x14ac:dyDescent="0.25">
      <c r="A13841">
        <v>62151</v>
      </c>
      <c r="B13841" t="s">
        <v>4</v>
      </c>
      <c r="C13841">
        <v>4</v>
      </c>
      <c r="D13841" t="s">
        <v>1158</v>
      </c>
      <c r="F13841" t="str" cm="1">
        <f t="array" ref="F13841">CategorizeComment(E13841)</f>
        <v>Other</v>
      </c>
      <c r="G13841" t="str" cm="1">
        <f t="array" ref="G13841">SubCategorizeComment(E13841)</f>
        <v>Other</v>
      </c>
    </row>
    <row r="13842" spans="1:7" x14ac:dyDescent="0.25">
      <c r="A13842">
        <v>127577</v>
      </c>
      <c r="B13842" t="s">
        <v>4</v>
      </c>
      <c r="C13842">
        <v>4</v>
      </c>
      <c r="D13842" t="s">
        <v>2140</v>
      </c>
      <c r="F13842" t="str" cm="1">
        <f t="array" ref="F13842">CategorizeComment(E13842)</f>
        <v>Other</v>
      </c>
      <c r="G13842" t="str" cm="1">
        <f t="array" ref="G13842">SubCategorizeComment(E13842)</f>
        <v>Other</v>
      </c>
    </row>
    <row r="13843" spans="1:7" x14ac:dyDescent="0.25">
      <c r="A13843">
        <v>87737</v>
      </c>
      <c r="B13843" t="s">
        <v>4</v>
      </c>
      <c r="C13843">
        <v>3</v>
      </c>
      <c r="D13843" t="s">
        <v>1534</v>
      </c>
      <c r="F13843" t="str" cm="1">
        <f t="array" ref="F13843">CategorizeComment(E13843)</f>
        <v>Other</v>
      </c>
      <c r="G13843" t="str" cm="1">
        <f t="array" ref="G13843">SubCategorizeComment(E13843)</f>
        <v>Other</v>
      </c>
    </row>
    <row r="13844" spans="1:7" x14ac:dyDescent="0.25">
      <c r="A13844">
        <v>6823</v>
      </c>
      <c r="B13844" t="s">
        <v>4</v>
      </c>
      <c r="C13844">
        <v>3</v>
      </c>
      <c r="D13844" t="s">
        <v>137</v>
      </c>
      <c r="F13844" t="str" cm="1">
        <f t="array" ref="F13844">CategorizeComment(E13844)</f>
        <v>Other</v>
      </c>
      <c r="G13844" t="str" cm="1">
        <f t="array" ref="G13844">SubCategorizeComment(E13844)</f>
        <v>Other</v>
      </c>
    </row>
    <row r="13845" spans="1:7" x14ac:dyDescent="0.25">
      <c r="A13845">
        <v>79780</v>
      </c>
      <c r="B13845" t="s">
        <v>4</v>
      </c>
      <c r="C13845">
        <v>3</v>
      </c>
      <c r="D13845" t="s">
        <v>1428</v>
      </c>
      <c r="F13845" t="str" cm="1">
        <f t="array" ref="F13845">CategorizeComment(E13845)</f>
        <v>Other</v>
      </c>
      <c r="G13845" t="str" cm="1">
        <f t="array" ref="G13845">SubCategorizeComment(E13845)</f>
        <v>Other</v>
      </c>
    </row>
    <row r="13846" spans="1:7" x14ac:dyDescent="0.25">
      <c r="A13846">
        <v>120221</v>
      </c>
      <c r="B13846" t="s">
        <v>4</v>
      </c>
      <c r="C13846">
        <v>4</v>
      </c>
      <c r="D13846" t="s">
        <v>2026</v>
      </c>
      <c r="F13846" t="str" cm="1">
        <f t="array" ref="F13846">CategorizeComment(E13846)</f>
        <v>Other</v>
      </c>
      <c r="G13846" t="str" cm="1">
        <f t="array" ref="G13846">SubCategorizeComment(E13846)</f>
        <v>Other</v>
      </c>
    </row>
    <row r="13847" spans="1:7" x14ac:dyDescent="0.25">
      <c r="A13847">
        <v>50967</v>
      </c>
      <c r="B13847" t="s">
        <v>4</v>
      </c>
      <c r="C13847">
        <v>3</v>
      </c>
      <c r="D13847" t="s">
        <v>959</v>
      </c>
      <c r="F13847" t="str" cm="1">
        <f t="array" ref="F13847">CategorizeComment(E13847)</f>
        <v>Other</v>
      </c>
      <c r="G13847" t="str" cm="1">
        <f t="array" ref="G13847">SubCategorizeComment(E13847)</f>
        <v>Other</v>
      </c>
    </row>
    <row r="13848" spans="1:7" x14ac:dyDescent="0.25">
      <c r="A13848">
        <v>122037</v>
      </c>
      <c r="B13848" t="s">
        <v>4</v>
      </c>
      <c r="C13848">
        <v>3</v>
      </c>
      <c r="D13848" t="s">
        <v>2052</v>
      </c>
      <c r="F13848" t="str" cm="1">
        <f t="array" ref="F13848">CategorizeComment(E13848)</f>
        <v>Other</v>
      </c>
      <c r="G13848" t="str" cm="1">
        <f t="array" ref="G13848">SubCategorizeComment(E13848)</f>
        <v>Other</v>
      </c>
    </row>
    <row r="13849" spans="1:7" x14ac:dyDescent="0.25">
      <c r="A13849">
        <v>57068</v>
      </c>
      <c r="B13849" t="s">
        <v>4</v>
      </c>
      <c r="C13849">
        <v>3</v>
      </c>
      <c r="D13849" t="s">
        <v>1066</v>
      </c>
      <c r="F13849" t="str" cm="1">
        <f t="array" ref="F13849">CategorizeComment(E13849)</f>
        <v>Other</v>
      </c>
      <c r="G13849" t="str" cm="1">
        <f t="array" ref="G13849">SubCategorizeComment(E13849)</f>
        <v>Other</v>
      </c>
    </row>
    <row r="13850" spans="1:7" x14ac:dyDescent="0.25">
      <c r="A13850">
        <v>16572</v>
      </c>
      <c r="B13850" t="s">
        <v>4</v>
      </c>
      <c r="C13850">
        <v>4</v>
      </c>
      <c r="D13850" t="s">
        <v>324</v>
      </c>
      <c r="F13850" t="str" cm="1">
        <f t="array" ref="F13850">CategorizeComment(E13850)</f>
        <v>Other</v>
      </c>
      <c r="G13850" t="str" cm="1">
        <f t="array" ref="G13850">SubCategorizeComment(E13850)</f>
        <v>Other</v>
      </c>
    </row>
    <row r="13851" spans="1:7" x14ac:dyDescent="0.25">
      <c r="A13851">
        <v>85278</v>
      </c>
      <c r="B13851" t="s">
        <v>4</v>
      </c>
      <c r="C13851">
        <v>3</v>
      </c>
      <c r="D13851" t="s">
        <v>1496</v>
      </c>
      <c r="F13851" t="str" cm="1">
        <f t="array" ref="F13851">CategorizeComment(E13851)</f>
        <v>Other</v>
      </c>
      <c r="G13851" t="str" cm="1">
        <f t="array" ref="G13851">SubCategorizeComment(E13851)</f>
        <v>Other</v>
      </c>
    </row>
    <row r="13852" spans="1:7" x14ac:dyDescent="0.25">
      <c r="A13852">
        <v>107980</v>
      </c>
      <c r="B13852" t="s">
        <v>4</v>
      </c>
      <c r="C13852">
        <v>4</v>
      </c>
      <c r="D13852" t="s">
        <v>1844</v>
      </c>
      <c r="F13852" t="str" cm="1">
        <f t="array" ref="F13852">CategorizeComment(E13852)</f>
        <v>Other</v>
      </c>
      <c r="G13852" t="str" cm="1">
        <f t="array" ref="G13852">SubCategorizeComment(E13852)</f>
        <v>Other</v>
      </c>
    </row>
    <row r="13853" spans="1:7" x14ac:dyDescent="0.25">
      <c r="A13853">
        <v>27448</v>
      </c>
      <c r="B13853" t="s">
        <v>4</v>
      </c>
      <c r="C13853">
        <v>3</v>
      </c>
      <c r="D13853" t="s">
        <v>543</v>
      </c>
      <c r="F13853" t="str" cm="1">
        <f t="array" ref="F13853">CategorizeComment(E13853)</f>
        <v>Other</v>
      </c>
      <c r="G13853" t="str" cm="1">
        <f t="array" ref="G13853">SubCategorizeComment(E13853)</f>
        <v>Other</v>
      </c>
    </row>
    <row r="13854" spans="1:7" x14ac:dyDescent="0.25">
      <c r="A13854">
        <v>127322</v>
      </c>
      <c r="B13854" t="s">
        <v>4</v>
      </c>
      <c r="C13854">
        <v>4</v>
      </c>
      <c r="D13854" t="s">
        <v>2135</v>
      </c>
      <c r="F13854" t="str" cm="1">
        <f t="array" ref="F13854">CategorizeComment(E13854)</f>
        <v>Other</v>
      </c>
      <c r="G13854" t="str" cm="1">
        <f t="array" ref="G13854">SubCategorizeComment(E13854)</f>
        <v>Other</v>
      </c>
    </row>
    <row r="13855" spans="1:7" x14ac:dyDescent="0.25">
      <c r="A13855">
        <v>122417</v>
      </c>
      <c r="B13855" t="s">
        <v>4</v>
      </c>
      <c r="C13855">
        <v>4</v>
      </c>
      <c r="D13855" t="s">
        <v>2061</v>
      </c>
      <c r="F13855" t="str" cm="1">
        <f t="array" ref="F13855">CategorizeComment(E13855)</f>
        <v>Other</v>
      </c>
      <c r="G13855" t="str" cm="1">
        <f t="array" ref="G13855">SubCategorizeComment(E13855)</f>
        <v>Other</v>
      </c>
    </row>
    <row r="13856" spans="1:7" x14ac:dyDescent="0.25">
      <c r="A13856">
        <v>64137</v>
      </c>
      <c r="B13856" t="s">
        <v>4</v>
      </c>
      <c r="C13856">
        <v>4</v>
      </c>
      <c r="D13856" t="s">
        <v>1195</v>
      </c>
      <c r="F13856" t="str" cm="1">
        <f t="array" ref="F13856">CategorizeComment(E13856)</f>
        <v>Other</v>
      </c>
      <c r="G13856" t="str" cm="1">
        <f t="array" ref="G13856">SubCategorizeComment(E13856)</f>
        <v>Other</v>
      </c>
    </row>
    <row r="13857" spans="1:7" x14ac:dyDescent="0.25">
      <c r="A13857">
        <v>49830</v>
      </c>
      <c r="B13857" t="s">
        <v>4</v>
      </c>
      <c r="C13857">
        <v>4</v>
      </c>
      <c r="D13857" t="s">
        <v>924</v>
      </c>
      <c r="F13857" t="str" cm="1">
        <f t="array" ref="F13857">CategorizeComment(E13857)</f>
        <v>Other</v>
      </c>
      <c r="G13857" t="str" cm="1">
        <f t="array" ref="G13857">SubCategorizeComment(E13857)</f>
        <v>Other</v>
      </c>
    </row>
    <row r="13858" spans="1:7" x14ac:dyDescent="0.25">
      <c r="A13858">
        <v>73375</v>
      </c>
      <c r="B13858" t="s">
        <v>4</v>
      </c>
      <c r="C13858">
        <v>3</v>
      </c>
      <c r="D13858" t="s">
        <v>1335</v>
      </c>
      <c r="F13858" t="str" cm="1">
        <f t="array" ref="F13858">CategorizeComment(E13858)</f>
        <v>Other</v>
      </c>
      <c r="G13858" t="str" cm="1">
        <f t="array" ref="G13858">SubCategorizeComment(E13858)</f>
        <v>Other</v>
      </c>
    </row>
    <row r="13859" spans="1:7" x14ac:dyDescent="0.25">
      <c r="A13859">
        <v>37737</v>
      </c>
      <c r="B13859" t="s">
        <v>4</v>
      </c>
      <c r="C13859">
        <v>3</v>
      </c>
      <c r="D13859" t="s">
        <v>722</v>
      </c>
      <c r="F13859" t="str" cm="1">
        <f t="array" ref="F13859">CategorizeComment(E13859)</f>
        <v>Other</v>
      </c>
      <c r="G13859" t="str" cm="1">
        <f t="array" ref="G13859">SubCategorizeComment(E13859)</f>
        <v>Other</v>
      </c>
    </row>
    <row r="13860" spans="1:7" x14ac:dyDescent="0.25">
      <c r="A13860">
        <v>37302</v>
      </c>
      <c r="B13860" t="s">
        <v>4</v>
      </c>
      <c r="C13860">
        <v>3</v>
      </c>
      <c r="D13860" t="s">
        <v>715</v>
      </c>
      <c r="F13860" t="str" cm="1">
        <f t="array" ref="F13860">CategorizeComment(E13860)</f>
        <v>Other</v>
      </c>
      <c r="G13860" t="str" cm="1">
        <f t="array" ref="G13860">SubCategorizeComment(E13860)</f>
        <v>Other</v>
      </c>
    </row>
    <row r="13861" spans="1:7" x14ac:dyDescent="0.25">
      <c r="A13861">
        <v>26548</v>
      </c>
      <c r="B13861" t="s">
        <v>4</v>
      </c>
      <c r="C13861">
        <v>3</v>
      </c>
      <c r="D13861" t="s">
        <v>530</v>
      </c>
      <c r="F13861" t="str" cm="1">
        <f t="array" ref="F13861">CategorizeComment(E13861)</f>
        <v>Other</v>
      </c>
      <c r="G13861" t="str" cm="1">
        <f t="array" ref="G13861">SubCategorizeComment(E13861)</f>
        <v>Other</v>
      </c>
    </row>
    <row r="13862" spans="1:7" x14ac:dyDescent="0.25">
      <c r="A13862">
        <v>88814</v>
      </c>
      <c r="B13862" t="s">
        <v>4</v>
      </c>
      <c r="C13862">
        <v>4</v>
      </c>
      <c r="D13862" t="s">
        <v>1550</v>
      </c>
      <c r="F13862" t="str" cm="1">
        <f t="array" ref="F13862">CategorizeComment(E13862)</f>
        <v>Other</v>
      </c>
      <c r="G13862" t="str" cm="1">
        <f t="array" ref="G13862">SubCategorizeComment(E13862)</f>
        <v>Other</v>
      </c>
    </row>
    <row r="13863" spans="1:7" x14ac:dyDescent="0.25">
      <c r="A13863">
        <v>107043</v>
      </c>
      <c r="B13863" t="s">
        <v>4</v>
      </c>
      <c r="C13863">
        <v>4</v>
      </c>
      <c r="D13863" t="s">
        <v>1831</v>
      </c>
      <c r="F13863" t="str" cm="1">
        <f t="array" ref="F13863">CategorizeComment(E13863)</f>
        <v>Other</v>
      </c>
      <c r="G13863" t="str" cm="1">
        <f t="array" ref="G13863">SubCategorizeComment(E13863)</f>
        <v>Other</v>
      </c>
    </row>
    <row r="13864" spans="1:7" x14ac:dyDescent="0.25">
      <c r="A13864">
        <v>61390</v>
      </c>
      <c r="B13864" t="s">
        <v>4</v>
      </c>
      <c r="C13864">
        <v>4</v>
      </c>
      <c r="D13864" t="s">
        <v>1143</v>
      </c>
      <c r="F13864" t="str" cm="1">
        <f t="array" ref="F13864">CategorizeComment(E13864)</f>
        <v>Other</v>
      </c>
      <c r="G13864" t="str" cm="1">
        <f t="array" ref="G13864">SubCategorizeComment(E13864)</f>
        <v>Other</v>
      </c>
    </row>
    <row r="13865" spans="1:7" x14ac:dyDescent="0.25">
      <c r="A13865">
        <v>60258</v>
      </c>
      <c r="B13865" t="s">
        <v>4</v>
      </c>
      <c r="C13865">
        <v>4</v>
      </c>
      <c r="D13865" t="s">
        <v>1120</v>
      </c>
      <c r="F13865" t="str" cm="1">
        <f t="array" ref="F13865">CategorizeComment(E13865)</f>
        <v>Other</v>
      </c>
      <c r="G13865" t="str" cm="1">
        <f t="array" ref="G13865">SubCategorizeComment(E13865)</f>
        <v>Other</v>
      </c>
    </row>
    <row r="13866" spans="1:7" x14ac:dyDescent="0.25">
      <c r="A13866">
        <v>117642</v>
      </c>
      <c r="B13866" t="s">
        <v>4</v>
      </c>
      <c r="C13866">
        <v>3</v>
      </c>
      <c r="D13866" t="s">
        <v>1991</v>
      </c>
      <c r="F13866" t="str" cm="1">
        <f t="array" ref="F13866">CategorizeComment(E13866)</f>
        <v>Other</v>
      </c>
      <c r="G13866" t="str" cm="1">
        <f t="array" ref="G13866">SubCategorizeComment(E13866)</f>
        <v>Other</v>
      </c>
    </row>
    <row r="13867" spans="1:7" x14ac:dyDescent="0.25">
      <c r="A13867">
        <v>25960</v>
      </c>
      <c r="B13867" t="s">
        <v>4</v>
      </c>
      <c r="C13867">
        <v>2</v>
      </c>
      <c r="D13867" t="s">
        <v>517</v>
      </c>
      <c r="F13867" t="str" cm="1">
        <f t="array" ref="F13867">CategorizeComment(E13867)</f>
        <v>Other</v>
      </c>
      <c r="G13867" t="str" cm="1">
        <f t="array" ref="G13867">SubCategorizeComment(E13867)</f>
        <v>Other</v>
      </c>
    </row>
    <row r="13868" spans="1:7" x14ac:dyDescent="0.25">
      <c r="A13868">
        <v>62579</v>
      </c>
      <c r="B13868" t="s">
        <v>4</v>
      </c>
      <c r="C13868">
        <v>3</v>
      </c>
      <c r="D13868" t="s">
        <v>1167</v>
      </c>
      <c r="F13868" t="str" cm="1">
        <f t="array" ref="F13868">CategorizeComment(E13868)</f>
        <v>Other</v>
      </c>
      <c r="G13868" t="str" cm="1">
        <f t="array" ref="G13868">SubCategorizeComment(E13868)</f>
        <v>Other</v>
      </c>
    </row>
    <row r="13869" spans="1:7" x14ac:dyDescent="0.25">
      <c r="A13869">
        <v>44283</v>
      </c>
      <c r="B13869" t="s">
        <v>4</v>
      </c>
      <c r="C13869">
        <v>4</v>
      </c>
      <c r="D13869" t="s">
        <v>835</v>
      </c>
      <c r="F13869" t="str" cm="1">
        <f t="array" ref="F13869">CategorizeComment(E13869)</f>
        <v>Other</v>
      </c>
      <c r="G13869" t="str" cm="1">
        <f t="array" ref="G13869">SubCategorizeComment(E13869)</f>
        <v>Other</v>
      </c>
    </row>
    <row r="13870" spans="1:7" x14ac:dyDescent="0.25">
      <c r="A13870">
        <v>70554</v>
      </c>
      <c r="B13870" t="s">
        <v>4</v>
      </c>
      <c r="C13870">
        <v>4</v>
      </c>
      <c r="D13870" t="s">
        <v>1284</v>
      </c>
      <c r="F13870" t="str" cm="1">
        <f t="array" ref="F13870">CategorizeComment(E13870)</f>
        <v>Other</v>
      </c>
      <c r="G13870" t="str" cm="1">
        <f t="array" ref="G13870">SubCategorizeComment(E13870)</f>
        <v>Other</v>
      </c>
    </row>
    <row r="13871" spans="1:7" x14ac:dyDescent="0.25">
      <c r="A13871">
        <v>30108</v>
      </c>
      <c r="B13871" t="s">
        <v>4</v>
      </c>
      <c r="C13871">
        <v>3</v>
      </c>
      <c r="D13871" t="s">
        <v>586</v>
      </c>
      <c r="F13871" t="str" cm="1">
        <f t="array" ref="F13871">CategorizeComment(E13871)</f>
        <v>Other</v>
      </c>
      <c r="G13871" t="str" cm="1">
        <f t="array" ref="G13871">SubCategorizeComment(E13871)</f>
        <v>Other</v>
      </c>
    </row>
    <row r="13872" spans="1:7" x14ac:dyDescent="0.25">
      <c r="A13872">
        <v>27479</v>
      </c>
      <c r="B13872" t="s">
        <v>4</v>
      </c>
      <c r="C13872">
        <v>3</v>
      </c>
      <c r="D13872" t="s">
        <v>545</v>
      </c>
      <c r="F13872" t="str" cm="1">
        <f t="array" ref="F13872">CategorizeComment(E13872)</f>
        <v>Other</v>
      </c>
      <c r="G13872" t="str" cm="1">
        <f t="array" ref="G13872">SubCategorizeComment(E13872)</f>
        <v>Other</v>
      </c>
    </row>
    <row r="13873" spans="1:7" x14ac:dyDescent="0.25">
      <c r="A13873">
        <v>92818</v>
      </c>
      <c r="B13873" t="s">
        <v>4</v>
      </c>
      <c r="C13873">
        <v>3</v>
      </c>
      <c r="D13873" t="s">
        <v>1623</v>
      </c>
      <c r="F13873" t="str" cm="1">
        <f t="array" ref="F13873">CategorizeComment(E13873)</f>
        <v>Other</v>
      </c>
      <c r="G13873" t="str" cm="1">
        <f t="array" ref="G13873">SubCategorizeComment(E13873)</f>
        <v>Other</v>
      </c>
    </row>
    <row r="13874" spans="1:7" x14ac:dyDescent="0.25">
      <c r="A13874">
        <v>75188</v>
      </c>
      <c r="B13874" t="s">
        <v>4</v>
      </c>
      <c r="C13874">
        <v>4</v>
      </c>
      <c r="D13874" t="s">
        <v>1362</v>
      </c>
      <c r="F13874" t="str" cm="1">
        <f t="array" ref="F13874">CategorizeComment(E13874)</f>
        <v>Other</v>
      </c>
      <c r="G13874" t="str" cm="1">
        <f t="array" ref="G13874">SubCategorizeComment(E13874)</f>
        <v>Other</v>
      </c>
    </row>
    <row r="13875" spans="1:7" x14ac:dyDescent="0.25">
      <c r="A13875">
        <v>1032</v>
      </c>
      <c r="B13875" t="s">
        <v>4</v>
      </c>
      <c r="C13875">
        <v>4</v>
      </c>
      <c r="D13875" t="s">
        <v>30</v>
      </c>
      <c r="F13875" t="str" cm="1">
        <f t="array" ref="F13875">CategorizeComment(E13875)</f>
        <v>Other</v>
      </c>
      <c r="G13875" t="str" cm="1">
        <f t="array" ref="G13875">SubCategorizeComment(E13875)</f>
        <v>Other</v>
      </c>
    </row>
    <row r="13876" spans="1:7" x14ac:dyDescent="0.25">
      <c r="A13876">
        <v>53617</v>
      </c>
      <c r="B13876" t="s">
        <v>4</v>
      </c>
      <c r="C13876">
        <v>4</v>
      </c>
      <c r="D13876" t="s">
        <v>1001</v>
      </c>
      <c r="F13876" t="str" cm="1">
        <f t="array" ref="F13876">CategorizeComment(E13876)</f>
        <v>Other</v>
      </c>
      <c r="G13876" t="str" cm="1">
        <f t="array" ref="G13876">SubCategorizeComment(E13876)</f>
        <v>Other</v>
      </c>
    </row>
    <row r="13877" spans="1:7" x14ac:dyDescent="0.25">
      <c r="A13877">
        <v>69276</v>
      </c>
      <c r="B13877" t="s">
        <v>4</v>
      </c>
      <c r="C13877">
        <v>4</v>
      </c>
      <c r="D13877" t="s">
        <v>1268</v>
      </c>
      <c r="F13877" t="str" cm="1">
        <f t="array" ref="F13877">CategorizeComment(E13877)</f>
        <v>Other</v>
      </c>
      <c r="G13877" t="str" cm="1">
        <f t="array" ref="G13877">SubCategorizeComment(E13877)</f>
        <v>Other</v>
      </c>
    </row>
    <row r="13878" spans="1:7" x14ac:dyDescent="0.25">
      <c r="A13878">
        <v>44899</v>
      </c>
      <c r="B13878" t="s">
        <v>4</v>
      </c>
      <c r="C13878">
        <v>4</v>
      </c>
      <c r="D13878" t="s">
        <v>847</v>
      </c>
      <c r="F13878" t="str" cm="1">
        <f t="array" ref="F13878">CategorizeComment(E13878)</f>
        <v>Other</v>
      </c>
      <c r="G13878" t="str" cm="1">
        <f t="array" ref="G13878">SubCategorizeComment(E13878)</f>
        <v>Other</v>
      </c>
    </row>
    <row r="13879" spans="1:7" x14ac:dyDescent="0.25">
      <c r="A13879">
        <v>1020</v>
      </c>
      <c r="B13879" t="s">
        <v>4</v>
      </c>
      <c r="C13879">
        <v>4</v>
      </c>
      <c r="D13879" t="s">
        <v>29</v>
      </c>
      <c r="F13879" t="str" cm="1">
        <f t="array" ref="F13879">CategorizeComment(E13879)</f>
        <v>Other</v>
      </c>
      <c r="G13879" t="str" cm="1">
        <f t="array" ref="G13879">SubCategorizeComment(E13879)</f>
        <v>Other</v>
      </c>
    </row>
    <row r="13880" spans="1:7" x14ac:dyDescent="0.25">
      <c r="A13880">
        <v>96921</v>
      </c>
      <c r="B13880" t="s">
        <v>4</v>
      </c>
      <c r="C13880">
        <v>4</v>
      </c>
      <c r="D13880" t="s">
        <v>1677</v>
      </c>
      <c r="F13880" t="str" cm="1">
        <f t="array" ref="F13880">CategorizeComment(E13880)</f>
        <v>Other</v>
      </c>
      <c r="G13880" t="str" cm="1">
        <f t="array" ref="G13880">SubCategorizeComment(E13880)</f>
        <v>Other</v>
      </c>
    </row>
    <row r="13881" spans="1:7" x14ac:dyDescent="0.25">
      <c r="A13881">
        <v>5081</v>
      </c>
      <c r="B13881" t="s">
        <v>4</v>
      </c>
      <c r="C13881">
        <v>3</v>
      </c>
      <c r="D13881" t="s">
        <v>108</v>
      </c>
      <c r="F13881" t="str" cm="1">
        <f t="array" ref="F13881">CategorizeComment(E13881)</f>
        <v>Other</v>
      </c>
      <c r="G13881" t="str" cm="1">
        <f t="array" ref="G13881">SubCategorizeComment(E13881)</f>
        <v>Other</v>
      </c>
    </row>
    <row r="13882" spans="1:7" x14ac:dyDescent="0.25">
      <c r="A13882">
        <v>117590</v>
      </c>
      <c r="B13882" t="s">
        <v>4</v>
      </c>
      <c r="C13882">
        <v>4</v>
      </c>
      <c r="D13882" t="s">
        <v>1989</v>
      </c>
      <c r="F13882" t="str" cm="1">
        <f t="array" ref="F13882">CategorizeComment(E13882)</f>
        <v>Other</v>
      </c>
      <c r="G13882" t="str" cm="1">
        <f t="array" ref="G13882">SubCategorizeComment(E13882)</f>
        <v>Other</v>
      </c>
    </row>
    <row r="13883" spans="1:7" x14ac:dyDescent="0.25">
      <c r="A13883">
        <v>68435</v>
      </c>
      <c r="B13883" t="s">
        <v>4</v>
      </c>
      <c r="C13883">
        <v>4</v>
      </c>
      <c r="D13883" t="s">
        <v>1253</v>
      </c>
      <c r="F13883" t="str" cm="1">
        <f t="array" ref="F13883">CategorizeComment(E13883)</f>
        <v>Other</v>
      </c>
      <c r="G13883" t="str" cm="1">
        <f t="array" ref="G13883">SubCategorizeComment(E13883)</f>
        <v>Other</v>
      </c>
    </row>
    <row r="13884" spans="1:7" x14ac:dyDescent="0.25">
      <c r="A13884">
        <v>115653</v>
      </c>
      <c r="B13884" t="s">
        <v>4</v>
      </c>
      <c r="C13884">
        <v>3</v>
      </c>
      <c r="D13884" t="s">
        <v>1962</v>
      </c>
      <c r="F13884" t="str" cm="1">
        <f t="array" ref="F13884">CategorizeComment(E13884)</f>
        <v>Other</v>
      </c>
      <c r="G13884" t="str" cm="1">
        <f t="array" ref="G13884">SubCategorizeComment(E13884)</f>
        <v>Other</v>
      </c>
    </row>
    <row r="13885" spans="1:7" x14ac:dyDescent="0.25">
      <c r="A13885">
        <v>45407</v>
      </c>
      <c r="B13885" t="s">
        <v>4</v>
      </c>
      <c r="C13885">
        <v>3</v>
      </c>
      <c r="D13885" t="s">
        <v>861</v>
      </c>
      <c r="F13885" t="str" cm="1">
        <f t="array" ref="F13885">CategorizeComment(E13885)</f>
        <v>Other</v>
      </c>
      <c r="G13885" t="str" cm="1">
        <f t="array" ref="G13885">SubCategorizeComment(E13885)</f>
        <v>Other</v>
      </c>
    </row>
    <row r="13886" spans="1:7" x14ac:dyDescent="0.25">
      <c r="A13886">
        <v>42495</v>
      </c>
      <c r="B13886" t="s">
        <v>4</v>
      </c>
      <c r="C13886">
        <v>4</v>
      </c>
      <c r="D13886" t="s">
        <v>799</v>
      </c>
      <c r="F13886" t="str" cm="1">
        <f t="array" ref="F13886">CategorizeComment(E13886)</f>
        <v>Other</v>
      </c>
      <c r="G13886" t="str" cm="1">
        <f t="array" ref="G13886">SubCategorizeComment(E13886)</f>
        <v>Other</v>
      </c>
    </row>
    <row r="13887" spans="1:7" x14ac:dyDescent="0.25">
      <c r="A13887">
        <v>77721</v>
      </c>
      <c r="B13887" t="s">
        <v>4</v>
      </c>
      <c r="C13887">
        <v>3</v>
      </c>
      <c r="D13887" t="s">
        <v>1397</v>
      </c>
      <c r="F13887" t="str" cm="1">
        <f t="array" ref="F13887">CategorizeComment(E13887)</f>
        <v>Other</v>
      </c>
      <c r="G13887" t="str" cm="1">
        <f t="array" ref="G13887">SubCategorizeComment(E13887)</f>
        <v>Other</v>
      </c>
    </row>
    <row r="13888" spans="1:7" x14ac:dyDescent="0.25">
      <c r="A13888">
        <v>57854</v>
      </c>
      <c r="B13888" t="s">
        <v>4</v>
      </c>
      <c r="C13888">
        <v>4</v>
      </c>
      <c r="D13888" t="s">
        <v>1080</v>
      </c>
      <c r="F13888" t="str" cm="1">
        <f t="array" ref="F13888">CategorizeComment(E13888)</f>
        <v>Other</v>
      </c>
      <c r="G13888" t="str" cm="1">
        <f t="array" ref="G13888">SubCategorizeComment(E13888)</f>
        <v>Other</v>
      </c>
    </row>
    <row r="13889" spans="1:7" x14ac:dyDescent="0.25">
      <c r="A13889">
        <v>127366</v>
      </c>
      <c r="B13889" t="s">
        <v>4</v>
      </c>
      <c r="C13889">
        <v>1</v>
      </c>
      <c r="D13889" t="s">
        <v>2137</v>
      </c>
      <c r="F13889" t="str" cm="1">
        <f t="array" ref="F13889">CategorizeComment(E13889)</f>
        <v>Other</v>
      </c>
      <c r="G13889" t="str" cm="1">
        <f t="array" ref="G13889">SubCategorizeComment(E13889)</f>
        <v>Other</v>
      </c>
    </row>
    <row r="13890" spans="1:7" x14ac:dyDescent="0.25">
      <c r="A13890">
        <v>125036</v>
      </c>
      <c r="B13890" t="s">
        <v>4</v>
      </c>
      <c r="C13890">
        <v>3</v>
      </c>
      <c r="D13890" t="s">
        <v>2105</v>
      </c>
      <c r="F13890" t="str" cm="1">
        <f t="array" ref="F13890">CategorizeComment(E13890)</f>
        <v>Other</v>
      </c>
      <c r="G13890" t="str" cm="1">
        <f t="array" ref="G13890">SubCategorizeComment(E13890)</f>
        <v>Other</v>
      </c>
    </row>
    <row r="13891" spans="1:7" x14ac:dyDescent="0.25">
      <c r="A13891">
        <v>41872</v>
      </c>
      <c r="B13891" t="s">
        <v>4</v>
      </c>
      <c r="C13891">
        <v>4</v>
      </c>
      <c r="D13891" t="s">
        <v>788</v>
      </c>
      <c r="F13891" t="str" cm="1">
        <f t="array" ref="F13891">CategorizeComment(E13891)</f>
        <v>Other</v>
      </c>
      <c r="G13891" t="str" cm="1">
        <f t="array" ref="G13891">SubCategorizeComment(E13891)</f>
        <v>Other</v>
      </c>
    </row>
    <row r="13892" spans="1:7" x14ac:dyDescent="0.25">
      <c r="A13892">
        <v>10275</v>
      </c>
      <c r="B13892" t="s">
        <v>4</v>
      </c>
      <c r="C13892">
        <v>3</v>
      </c>
      <c r="D13892" t="s">
        <v>205</v>
      </c>
      <c r="F13892" t="str" cm="1">
        <f t="array" ref="F13892">CategorizeComment(E13892)</f>
        <v>Other</v>
      </c>
      <c r="G13892" t="str" cm="1">
        <f t="array" ref="G13892">SubCategorizeComment(E13892)</f>
        <v>Other</v>
      </c>
    </row>
    <row r="13893" spans="1:7" x14ac:dyDescent="0.25">
      <c r="A13893">
        <v>104645</v>
      </c>
      <c r="B13893" t="s">
        <v>4</v>
      </c>
      <c r="C13893">
        <v>4</v>
      </c>
      <c r="D13893" t="s">
        <v>1788</v>
      </c>
      <c r="F13893" t="str" cm="1">
        <f t="array" ref="F13893">CategorizeComment(E13893)</f>
        <v>Other</v>
      </c>
      <c r="G13893" t="str" cm="1">
        <f t="array" ref="G13893">SubCategorizeComment(E13893)</f>
        <v>Other</v>
      </c>
    </row>
    <row r="13894" spans="1:7" x14ac:dyDescent="0.25">
      <c r="A13894">
        <v>7389</v>
      </c>
      <c r="B13894" t="s">
        <v>4</v>
      </c>
      <c r="C13894">
        <v>4</v>
      </c>
      <c r="D13894" t="s">
        <v>151</v>
      </c>
      <c r="F13894" t="str" cm="1">
        <f t="array" ref="F13894">CategorizeComment(E13894)</f>
        <v>Other</v>
      </c>
      <c r="G13894" t="str" cm="1">
        <f t="array" ref="G13894">SubCategorizeComment(E13894)</f>
        <v>Other</v>
      </c>
    </row>
    <row r="13895" spans="1:7" x14ac:dyDescent="0.25">
      <c r="A13895">
        <v>62727</v>
      </c>
      <c r="B13895" t="s">
        <v>4</v>
      </c>
      <c r="C13895">
        <v>3</v>
      </c>
      <c r="D13895" t="s">
        <v>1169</v>
      </c>
      <c r="F13895" t="str" cm="1">
        <f t="array" ref="F13895">CategorizeComment(E13895)</f>
        <v>Other</v>
      </c>
      <c r="G13895" t="str" cm="1">
        <f t="array" ref="G13895">SubCategorizeComment(E13895)</f>
        <v>Other</v>
      </c>
    </row>
    <row r="13896" spans="1:7" x14ac:dyDescent="0.25">
      <c r="A13896">
        <v>71591</v>
      </c>
      <c r="B13896" t="s">
        <v>4</v>
      </c>
      <c r="C13896">
        <v>3</v>
      </c>
      <c r="D13896" t="s">
        <v>1304</v>
      </c>
      <c r="F13896" t="str" cm="1">
        <f t="array" ref="F13896">CategorizeComment(E13896)</f>
        <v>Other</v>
      </c>
      <c r="G13896" t="str" cm="1">
        <f t="array" ref="G13896">SubCategorizeComment(E13896)</f>
        <v>Other</v>
      </c>
    </row>
    <row r="13897" spans="1:7" x14ac:dyDescent="0.25">
      <c r="A13897">
        <v>9118</v>
      </c>
      <c r="B13897" t="s">
        <v>4</v>
      </c>
      <c r="C13897">
        <v>4</v>
      </c>
      <c r="D13897" t="s">
        <v>181</v>
      </c>
      <c r="F13897" t="str" cm="1">
        <f t="array" ref="F13897">CategorizeComment(E13897)</f>
        <v>Other</v>
      </c>
      <c r="G13897" t="str" cm="1">
        <f t="array" ref="G13897">SubCategorizeComment(E13897)</f>
        <v>Other</v>
      </c>
    </row>
    <row r="13898" spans="1:7" x14ac:dyDescent="0.25">
      <c r="A13898">
        <v>33602</v>
      </c>
      <c r="B13898" t="s">
        <v>4</v>
      </c>
      <c r="C13898">
        <v>3</v>
      </c>
      <c r="D13898" t="s">
        <v>640</v>
      </c>
      <c r="F13898" t="str" cm="1">
        <f t="array" ref="F13898">CategorizeComment(E13898)</f>
        <v>Other</v>
      </c>
      <c r="G13898" t="str" cm="1">
        <f t="array" ref="G13898">SubCategorizeComment(E13898)</f>
        <v>Other</v>
      </c>
    </row>
    <row r="13899" spans="1:7" x14ac:dyDescent="0.25">
      <c r="A13899">
        <v>96759</v>
      </c>
      <c r="B13899" t="s">
        <v>4</v>
      </c>
      <c r="C13899">
        <v>3</v>
      </c>
      <c r="D13899" t="s">
        <v>1674</v>
      </c>
      <c r="F13899" t="str" cm="1">
        <f t="array" ref="F13899">CategorizeComment(E13899)</f>
        <v>Other</v>
      </c>
      <c r="G13899" t="str" cm="1">
        <f t="array" ref="G13899">SubCategorizeComment(E13899)</f>
        <v>Other</v>
      </c>
    </row>
    <row r="13900" spans="1:7" x14ac:dyDescent="0.25">
      <c r="A13900">
        <v>90735</v>
      </c>
      <c r="B13900" t="s">
        <v>4</v>
      </c>
      <c r="C13900">
        <v>4</v>
      </c>
      <c r="D13900" t="s">
        <v>1577</v>
      </c>
      <c r="F13900" t="str" cm="1">
        <f t="array" ref="F13900">CategorizeComment(E13900)</f>
        <v>Other</v>
      </c>
      <c r="G13900" t="str" cm="1">
        <f t="array" ref="G13900">SubCategorizeComment(E13900)</f>
        <v>Other</v>
      </c>
    </row>
    <row r="13901" spans="1:7" x14ac:dyDescent="0.25">
      <c r="A13901">
        <v>52905</v>
      </c>
      <c r="B13901" t="s">
        <v>4</v>
      </c>
      <c r="C13901">
        <v>3</v>
      </c>
      <c r="D13901" t="s">
        <v>987</v>
      </c>
      <c r="F13901" t="str" cm="1">
        <f t="array" ref="F13901">CategorizeComment(E13901)</f>
        <v>Other</v>
      </c>
      <c r="G13901" t="str" cm="1">
        <f t="array" ref="G13901">SubCategorizeComment(E13901)</f>
        <v>Other</v>
      </c>
    </row>
    <row r="13902" spans="1:7" x14ac:dyDescent="0.25">
      <c r="A13902">
        <v>50004</v>
      </c>
      <c r="B13902" t="s">
        <v>4</v>
      </c>
      <c r="C13902">
        <v>3</v>
      </c>
      <c r="D13902" t="s">
        <v>933</v>
      </c>
      <c r="F13902" t="str" cm="1">
        <f t="array" ref="F13902">CategorizeComment(E13902)</f>
        <v>Other</v>
      </c>
      <c r="G13902" t="str" cm="1">
        <f t="array" ref="G13902">SubCategorizeComment(E13902)</f>
        <v>Other</v>
      </c>
    </row>
    <row r="13903" spans="1:7" x14ac:dyDescent="0.25">
      <c r="A13903">
        <v>70578</v>
      </c>
      <c r="B13903" t="s">
        <v>4</v>
      </c>
      <c r="C13903">
        <v>3</v>
      </c>
      <c r="D13903" t="s">
        <v>1285</v>
      </c>
      <c r="F13903" t="str" cm="1">
        <f t="array" ref="F13903">CategorizeComment(E13903)</f>
        <v>Other</v>
      </c>
      <c r="G13903" t="str" cm="1">
        <f t="array" ref="G13903">SubCategorizeComment(E13903)</f>
        <v>Other</v>
      </c>
    </row>
    <row r="13904" spans="1:7" x14ac:dyDescent="0.25">
      <c r="A13904">
        <v>110551</v>
      </c>
      <c r="B13904" t="s">
        <v>4</v>
      </c>
      <c r="C13904">
        <v>3</v>
      </c>
      <c r="D13904" t="s">
        <v>1891</v>
      </c>
      <c r="F13904" t="str" cm="1">
        <f t="array" ref="F13904">CategorizeComment(E13904)</f>
        <v>Other</v>
      </c>
      <c r="G13904" t="str" cm="1">
        <f t="array" ref="G13904">SubCategorizeComment(E13904)</f>
        <v>Other</v>
      </c>
    </row>
    <row r="13905" spans="1:7" x14ac:dyDescent="0.25">
      <c r="A13905">
        <v>43883</v>
      </c>
      <c r="B13905" t="s">
        <v>4</v>
      </c>
      <c r="C13905">
        <v>3</v>
      </c>
      <c r="D13905" t="s">
        <v>825</v>
      </c>
      <c r="F13905" t="str" cm="1">
        <f t="array" ref="F13905">CategorizeComment(E13905)</f>
        <v>Other</v>
      </c>
      <c r="G13905" t="str" cm="1">
        <f t="array" ref="G13905">SubCategorizeComment(E13905)</f>
        <v>Other</v>
      </c>
    </row>
    <row r="13906" spans="1:7" x14ac:dyDescent="0.25">
      <c r="A13906">
        <v>86209</v>
      </c>
      <c r="B13906" t="s">
        <v>4</v>
      </c>
      <c r="C13906">
        <v>0</v>
      </c>
      <c r="D13906" t="s">
        <v>1510</v>
      </c>
      <c r="F13906" t="str" cm="1">
        <f t="array" ref="F13906">CategorizeComment(E13906)</f>
        <v>Other</v>
      </c>
      <c r="G13906" t="str" cm="1">
        <f t="array" ref="G13906">SubCategorizeComment(E13906)</f>
        <v>Other</v>
      </c>
    </row>
    <row r="13907" spans="1:7" x14ac:dyDescent="0.25">
      <c r="A13907">
        <v>79239</v>
      </c>
      <c r="B13907" t="s">
        <v>4</v>
      </c>
      <c r="C13907">
        <v>3</v>
      </c>
      <c r="D13907" t="s">
        <v>1421</v>
      </c>
      <c r="F13907" t="str" cm="1">
        <f t="array" ref="F13907">CategorizeComment(E13907)</f>
        <v>Other</v>
      </c>
      <c r="G13907" t="str" cm="1">
        <f t="array" ref="G13907">SubCategorizeComment(E13907)</f>
        <v>Other</v>
      </c>
    </row>
    <row r="13908" spans="1:7" x14ac:dyDescent="0.25">
      <c r="A13908">
        <v>120264</v>
      </c>
      <c r="B13908" t="s">
        <v>4</v>
      </c>
      <c r="C13908">
        <v>3</v>
      </c>
      <c r="D13908" t="s">
        <v>2027</v>
      </c>
      <c r="F13908" t="str" cm="1">
        <f t="array" ref="F13908">CategorizeComment(E13908)</f>
        <v>Other</v>
      </c>
      <c r="G13908" t="str" cm="1">
        <f t="array" ref="G13908">SubCategorizeComment(E13908)</f>
        <v>Other</v>
      </c>
    </row>
    <row r="13909" spans="1:7" x14ac:dyDescent="0.25">
      <c r="A13909">
        <v>7878</v>
      </c>
      <c r="B13909" t="s">
        <v>4</v>
      </c>
      <c r="C13909">
        <v>4</v>
      </c>
      <c r="D13909" t="s">
        <v>159</v>
      </c>
      <c r="F13909" t="str" cm="1">
        <f t="array" ref="F13909">CategorizeComment(E13909)</f>
        <v>Other</v>
      </c>
      <c r="G13909" t="str" cm="1">
        <f t="array" ref="G13909">SubCategorizeComment(E13909)</f>
        <v>Other</v>
      </c>
    </row>
    <row r="13910" spans="1:7" x14ac:dyDescent="0.25">
      <c r="A13910">
        <v>127157</v>
      </c>
      <c r="B13910" t="s">
        <v>4</v>
      </c>
      <c r="C13910">
        <v>3</v>
      </c>
      <c r="D13910" t="s">
        <v>2133</v>
      </c>
      <c r="F13910" t="str" cm="1">
        <f t="array" ref="F13910">CategorizeComment(E13910)</f>
        <v>Other</v>
      </c>
      <c r="G13910" t="str" cm="1">
        <f t="array" ref="G13910">SubCategorizeComment(E13910)</f>
        <v>Other</v>
      </c>
    </row>
    <row r="13911" spans="1:7" x14ac:dyDescent="0.25">
      <c r="A13911">
        <v>108212</v>
      </c>
      <c r="B13911" t="s">
        <v>4</v>
      </c>
      <c r="C13911">
        <v>3</v>
      </c>
      <c r="D13911" t="s">
        <v>1848</v>
      </c>
      <c r="F13911" t="str" cm="1">
        <f t="array" ref="F13911">CategorizeComment(E13911)</f>
        <v>Other</v>
      </c>
      <c r="G13911" t="str" cm="1">
        <f t="array" ref="G13911">SubCategorizeComment(E13911)</f>
        <v>Other</v>
      </c>
    </row>
    <row r="13912" spans="1:7" x14ac:dyDescent="0.25">
      <c r="A13912">
        <v>8758</v>
      </c>
      <c r="B13912" t="s">
        <v>4</v>
      </c>
      <c r="C13912">
        <v>3</v>
      </c>
      <c r="D13912" t="s">
        <v>174</v>
      </c>
      <c r="F13912" t="str" cm="1">
        <f t="array" ref="F13912">CategorizeComment(E13912)</f>
        <v>Other</v>
      </c>
      <c r="G13912" t="str" cm="1">
        <f t="array" ref="G13912">SubCategorizeComment(E13912)</f>
        <v>Other</v>
      </c>
    </row>
    <row r="13913" spans="1:7" x14ac:dyDescent="0.25">
      <c r="A13913">
        <v>88851</v>
      </c>
      <c r="B13913" t="s">
        <v>4</v>
      </c>
      <c r="C13913">
        <v>4</v>
      </c>
      <c r="D13913" t="s">
        <v>1551</v>
      </c>
      <c r="F13913" t="str" cm="1">
        <f t="array" ref="F13913">CategorizeComment(E13913)</f>
        <v>Other</v>
      </c>
      <c r="G13913" t="str" cm="1">
        <f t="array" ref="G13913">SubCategorizeComment(E13913)</f>
        <v>Other</v>
      </c>
    </row>
    <row r="13914" spans="1:7" x14ac:dyDescent="0.25">
      <c r="A13914">
        <v>8436</v>
      </c>
      <c r="B13914" t="s">
        <v>4</v>
      </c>
      <c r="C13914">
        <v>4</v>
      </c>
      <c r="D13914" t="s">
        <v>168</v>
      </c>
      <c r="F13914" t="str" cm="1">
        <f t="array" ref="F13914">CategorizeComment(E13914)</f>
        <v>Other</v>
      </c>
      <c r="G13914" t="str" cm="1">
        <f t="array" ref="G13914">SubCategorizeComment(E13914)</f>
        <v>Other</v>
      </c>
    </row>
    <row r="13915" spans="1:7" x14ac:dyDescent="0.25">
      <c r="A13915">
        <v>70925</v>
      </c>
      <c r="B13915" t="s">
        <v>4</v>
      </c>
      <c r="C13915">
        <v>3</v>
      </c>
      <c r="D13915" t="s">
        <v>1290</v>
      </c>
      <c r="F13915" t="str" cm="1">
        <f t="array" ref="F13915">CategorizeComment(E13915)</f>
        <v>Other</v>
      </c>
      <c r="G13915" t="str" cm="1">
        <f t="array" ref="G13915">SubCategorizeComment(E13915)</f>
        <v>Other</v>
      </c>
    </row>
    <row r="13916" spans="1:7" x14ac:dyDescent="0.25">
      <c r="A13916">
        <v>15064</v>
      </c>
      <c r="B13916" t="s">
        <v>4</v>
      </c>
      <c r="C13916">
        <v>3</v>
      </c>
      <c r="D13916" t="s">
        <v>291</v>
      </c>
      <c r="F13916" t="str" cm="1">
        <f t="array" ref="F13916">CategorizeComment(E13916)</f>
        <v>Other</v>
      </c>
      <c r="G13916" t="str" cm="1">
        <f t="array" ref="G13916">SubCategorizeComment(E13916)</f>
        <v>Other</v>
      </c>
    </row>
    <row r="13917" spans="1:7" x14ac:dyDescent="0.25">
      <c r="A13917">
        <v>20348</v>
      </c>
      <c r="B13917" t="s">
        <v>4</v>
      </c>
      <c r="C13917">
        <v>3</v>
      </c>
      <c r="D13917" t="s">
        <v>413</v>
      </c>
      <c r="F13917" t="str" cm="1">
        <f t="array" ref="F13917">CategorizeComment(E13917)</f>
        <v>Other</v>
      </c>
      <c r="G13917" t="str" cm="1">
        <f t="array" ref="G13917">SubCategorizeComment(E13917)</f>
        <v>Other</v>
      </c>
    </row>
    <row r="13918" spans="1:7" x14ac:dyDescent="0.25">
      <c r="A13918">
        <v>48484</v>
      </c>
      <c r="B13918" t="s">
        <v>4</v>
      </c>
      <c r="C13918">
        <v>2</v>
      </c>
      <c r="D13918" t="s">
        <v>910</v>
      </c>
      <c r="F13918" t="str" cm="1">
        <f t="array" ref="F13918">CategorizeComment(E13918)</f>
        <v>Other</v>
      </c>
      <c r="G13918" t="str" cm="1">
        <f t="array" ref="G13918">SubCategorizeComment(E13918)</f>
        <v>Other</v>
      </c>
    </row>
    <row r="13919" spans="1:7" x14ac:dyDescent="0.25">
      <c r="A13919">
        <v>114275</v>
      </c>
      <c r="B13919" t="s">
        <v>4</v>
      </c>
      <c r="C13919">
        <v>4</v>
      </c>
      <c r="D13919" t="s">
        <v>1944</v>
      </c>
      <c r="F13919" t="str" cm="1">
        <f t="array" ref="F13919">CategorizeComment(E13919)</f>
        <v>Other</v>
      </c>
      <c r="G13919" t="str" cm="1">
        <f t="array" ref="G13919">SubCategorizeComment(E13919)</f>
        <v>Other</v>
      </c>
    </row>
    <row r="13920" spans="1:7" x14ac:dyDescent="0.25">
      <c r="A13920">
        <v>25390</v>
      </c>
      <c r="B13920" t="s">
        <v>4</v>
      </c>
      <c r="C13920">
        <v>3</v>
      </c>
      <c r="D13920" t="s">
        <v>514</v>
      </c>
      <c r="F13920" t="str" cm="1">
        <f t="array" ref="F13920">CategorizeComment(E13920)</f>
        <v>Other</v>
      </c>
      <c r="G13920" t="str" cm="1">
        <f t="array" ref="G13920">SubCategorizeComment(E13920)</f>
        <v>Other</v>
      </c>
    </row>
    <row r="13921" spans="1:7" x14ac:dyDescent="0.25">
      <c r="A13921">
        <v>34667</v>
      </c>
      <c r="B13921" t="s">
        <v>4</v>
      </c>
      <c r="C13921">
        <v>3</v>
      </c>
      <c r="D13921" t="s">
        <v>660</v>
      </c>
      <c r="F13921" t="str" cm="1">
        <f t="array" ref="F13921">CategorizeComment(E13921)</f>
        <v>Other</v>
      </c>
      <c r="G13921" t="str" cm="1">
        <f t="array" ref="G13921">SubCategorizeComment(E13921)</f>
        <v>Other</v>
      </c>
    </row>
    <row r="13922" spans="1:7" x14ac:dyDescent="0.25">
      <c r="A13922">
        <v>10038</v>
      </c>
      <c r="B13922" t="s">
        <v>4</v>
      </c>
      <c r="C13922">
        <v>4</v>
      </c>
      <c r="D13922" t="s">
        <v>200</v>
      </c>
      <c r="F13922" t="str" cm="1">
        <f t="array" ref="F13922">CategorizeComment(E13922)</f>
        <v>Other</v>
      </c>
      <c r="G13922" t="str" cm="1">
        <f t="array" ref="G13922">SubCategorizeComment(E13922)</f>
        <v>Other</v>
      </c>
    </row>
    <row r="13923" spans="1:7" x14ac:dyDescent="0.25">
      <c r="A13923">
        <v>36020</v>
      </c>
      <c r="B13923" t="s">
        <v>4</v>
      </c>
      <c r="C13923">
        <v>3</v>
      </c>
      <c r="D13923" t="s">
        <v>688</v>
      </c>
      <c r="F13923" t="str" cm="1">
        <f t="array" ref="F13923">CategorizeComment(E13923)</f>
        <v>Other</v>
      </c>
      <c r="G13923" t="str" cm="1">
        <f t="array" ref="G13923">SubCategorizeComment(E13923)</f>
        <v>Other</v>
      </c>
    </row>
    <row r="13924" spans="1:7" x14ac:dyDescent="0.25">
      <c r="A13924">
        <v>61411</v>
      </c>
      <c r="B13924" t="s">
        <v>4</v>
      </c>
      <c r="C13924">
        <v>4</v>
      </c>
      <c r="D13924" t="s">
        <v>1144</v>
      </c>
      <c r="F13924" t="str" cm="1">
        <f t="array" ref="F13924">CategorizeComment(E13924)</f>
        <v>Other</v>
      </c>
      <c r="G13924" t="str" cm="1">
        <f t="array" ref="G13924">SubCategorizeComment(E13924)</f>
        <v>Other</v>
      </c>
    </row>
    <row r="13925" spans="1:7" x14ac:dyDescent="0.25">
      <c r="A13925">
        <v>7092</v>
      </c>
      <c r="B13925" t="s">
        <v>4</v>
      </c>
      <c r="C13925">
        <v>4</v>
      </c>
      <c r="D13925" t="s">
        <v>143</v>
      </c>
      <c r="F13925" t="str" cm="1">
        <f t="array" ref="F13925">CategorizeComment(E13925)</f>
        <v>Other</v>
      </c>
      <c r="G13925" t="str" cm="1">
        <f t="array" ref="G13925">SubCategorizeComment(E13925)</f>
        <v>Other</v>
      </c>
    </row>
    <row r="13926" spans="1:7" x14ac:dyDescent="0.25">
      <c r="A13926">
        <v>21212</v>
      </c>
      <c r="B13926" t="s">
        <v>4</v>
      </c>
      <c r="C13926">
        <v>3</v>
      </c>
      <c r="D13926" t="s">
        <v>430</v>
      </c>
      <c r="F13926" t="str" cm="1">
        <f t="array" ref="F13926">CategorizeComment(E13926)</f>
        <v>Other</v>
      </c>
      <c r="G13926" t="str" cm="1">
        <f t="array" ref="G13926">SubCategorizeComment(E13926)</f>
        <v>Other</v>
      </c>
    </row>
    <row r="13927" spans="1:7" x14ac:dyDescent="0.25">
      <c r="A13927">
        <v>19759</v>
      </c>
      <c r="B13927" t="s">
        <v>4</v>
      </c>
      <c r="C13927">
        <v>3</v>
      </c>
      <c r="D13927" t="s">
        <v>400</v>
      </c>
      <c r="F13927" t="str" cm="1">
        <f t="array" ref="F13927">CategorizeComment(E13927)</f>
        <v>Other</v>
      </c>
      <c r="G13927" t="str" cm="1">
        <f t="array" ref="G13927">SubCategorizeComment(E13927)</f>
        <v>Other</v>
      </c>
    </row>
    <row r="13928" spans="1:7" x14ac:dyDescent="0.25">
      <c r="A13928">
        <v>5915</v>
      </c>
      <c r="B13928" t="s">
        <v>4</v>
      </c>
      <c r="C13928">
        <v>4</v>
      </c>
      <c r="D13928" t="s">
        <v>119</v>
      </c>
      <c r="F13928" t="str" cm="1">
        <f t="array" ref="F13928">CategorizeComment(E13928)</f>
        <v>Other</v>
      </c>
      <c r="G13928" t="str" cm="1">
        <f t="array" ref="G13928">SubCategorizeComment(E13928)</f>
        <v>Other</v>
      </c>
    </row>
    <row r="13929" spans="1:7" x14ac:dyDescent="0.25">
      <c r="A13929">
        <v>59165</v>
      </c>
      <c r="B13929" t="s">
        <v>4</v>
      </c>
      <c r="C13929">
        <v>4</v>
      </c>
      <c r="D13929" t="s">
        <v>1106</v>
      </c>
      <c r="F13929" t="str" cm="1">
        <f t="array" ref="F13929">CategorizeComment(E13929)</f>
        <v>Other</v>
      </c>
      <c r="G13929" t="str" cm="1">
        <f t="array" ref="G13929">SubCategorizeComment(E13929)</f>
        <v>Other</v>
      </c>
    </row>
    <row r="13930" spans="1:7" x14ac:dyDescent="0.25">
      <c r="A13930">
        <v>51309</v>
      </c>
      <c r="B13930" t="s">
        <v>4</v>
      </c>
      <c r="C13930">
        <v>3</v>
      </c>
      <c r="D13930" t="s">
        <v>962</v>
      </c>
      <c r="F13930" t="str" cm="1">
        <f t="array" ref="F13930">CategorizeComment(E13930)</f>
        <v>Other</v>
      </c>
      <c r="G13930" t="str" cm="1">
        <f t="array" ref="G13930">SubCategorizeComment(E13930)</f>
        <v>Other</v>
      </c>
    </row>
    <row r="13931" spans="1:7" x14ac:dyDescent="0.25">
      <c r="A13931">
        <v>56484</v>
      </c>
      <c r="B13931" t="s">
        <v>4</v>
      </c>
      <c r="C13931">
        <v>3</v>
      </c>
      <c r="D13931" t="s">
        <v>1053</v>
      </c>
      <c r="F13931" t="str" cm="1">
        <f t="array" ref="F13931">CategorizeComment(E13931)</f>
        <v>Other</v>
      </c>
      <c r="G13931" t="str" cm="1">
        <f t="array" ref="G13931">SubCategorizeComment(E13931)</f>
        <v>Other</v>
      </c>
    </row>
    <row r="13932" spans="1:7" x14ac:dyDescent="0.25">
      <c r="A13932">
        <v>31762</v>
      </c>
      <c r="B13932" t="s">
        <v>4</v>
      </c>
      <c r="C13932">
        <v>3</v>
      </c>
      <c r="D13932" t="s">
        <v>615</v>
      </c>
      <c r="F13932" t="str" cm="1">
        <f t="array" ref="F13932">CategorizeComment(E13932)</f>
        <v>Other</v>
      </c>
      <c r="G13932" t="str" cm="1">
        <f t="array" ref="G13932">SubCategorizeComment(E13932)</f>
        <v>Other</v>
      </c>
    </row>
    <row r="13933" spans="1:7" x14ac:dyDescent="0.25">
      <c r="A13933">
        <v>13045</v>
      </c>
      <c r="B13933" t="s">
        <v>4</v>
      </c>
      <c r="C13933">
        <v>3</v>
      </c>
      <c r="D13933" t="s">
        <v>255</v>
      </c>
      <c r="F13933" t="str" cm="1">
        <f t="array" ref="F13933">CategorizeComment(E13933)</f>
        <v>Other</v>
      </c>
      <c r="G13933" t="str" cm="1">
        <f t="array" ref="G13933">SubCategorizeComment(E13933)</f>
        <v>Other</v>
      </c>
    </row>
    <row r="13934" spans="1:7" x14ac:dyDescent="0.25">
      <c r="A13934">
        <v>41867</v>
      </c>
      <c r="B13934" t="s">
        <v>4</v>
      </c>
      <c r="C13934">
        <v>4</v>
      </c>
      <c r="D13934" t="s">
        <v>787</v>
      </c>
      <c r="F13934" t="str" cm="1">
        <f t="array" ref="F13934">CategorizeComment(E13934)</f>
        <v>Other</v>
      </c>
      <c r="G13934" t="str" cm="1">
        <f t="array" ref="G13934">SubCategorizeComment(E13934)</f>
        <v>Other</v>
      </c>
    </row>
    <row r="13935" spans="1:7" x14ac:dyDescent="0.25">
      <c r="A13935">
        <v>19384</v>
      </c>
      <c r="B13935" t="s">
        <v>4</v>
      </c>
      <c r="C13935">
        <v>4</v>
      </c>
      <c r="D13935" t="s">
        <v>390</v>
      </c>
      <c r="F13935" t="str" cm="1">
        <f t="array" ref="F13935">CategorizeComment(E13935)</f>
        <v>Other</v>
      </c>
      <c r="G13935" t="str" cm="1">
        <f t="array" ref="G13935">SubCategorizeComment(E13935)</f>
        <v>Other</v>
      </c>
    </row>
    <row r="13936" spans="1:7" x14ac:dyDescent="0.25">
      <c r="A13936">
        <v>121869</v>
      </c>
      <c r="B13936" t="s">
        <v>4</v>
      </c>
      <c r="C13936">
        <v>4</v>
      </c>
      <c r="D13936" t="s">
        <v>2049</v>
      </c>
      <c r="F13936" t="str" cm="1">
        <f t="array" ref="F13936">CategorizeComment(E13936)</f>
        <v>Other</v>
      </c>
      <c r="G13936" t="str" cm="1">
        <f t="array" ref="G13936">SubCategorizeComment(E13936)</f>
        <v>Other</v>
      </c>
    </row>
    <row r="13937" spans="1:7" x14ac:dyDescent="0.25">
      <c r="A13937">
        <v>93561</v>
      </c>
      <c r="B13937" t="s">
        <v>4</v>
      </c>
      <c r="C13937">
        <v>3</v>
      </c>
      <c r="D13937" t="s">
        <v>1637</v>
      </c>
      <c r="F13937" t="str" cm="1">
        <f t="array" ref="F13937">CategorizeComment(E13937)</f>
        <v>Other</v>
      </c>
      <c r="G13937" t="str" cm="1">
        <f t="array" ref="G13937">SubCategorizeComment(E13937)</f>
        <v>Other</v>
      </c>
    </row>
    <row r="13938" spans="1:7" x14ac:dyDescent="0.25">
      <c r="A13938">
        <v>90109</v>
      </c>
      <c r="B13938" t="s">
        <v>4</v>
      </c>
      <c r="C13938">
        <v>3</v>
      </c>
      <c r="D13938" t="s">
        <v>1569</v>
      </c>
      <c r="F13938" t="str" cm="1">
        <f t="array" ref="F13938">CategorizeComment(E13938)</f>
        <v>Other</v>
      </c>
      <c r="G13938" t="str" cm="1">
        <f t="array" ref="G13938">SubCategorizeComment(E13938)</f>
        <v>Other</v>
      </c>
    </row>
    <row r="13939" spans="1:7" x14ac:dyDescent="0.25">
      <c r="A13939">
        <v>13315</v>
      </c>
      <c r="B13939" t="s">
        <v>4</v>
      </c>
      <c r="C13939">
        <v>4</v>
      </c>
      <c r="D13939" t="s">
        <v>262</v>
      </c>
      <c r="F13939" t="str" cm="1">
        <f t="array" ref="F13939">CategorizeComment(E13939)</f>
        <v>Other</v>
      </c>
      <c r="G13939" t="str" cm="1">
        <f t="array" ref="G13939">SubCategorizeComment(E13939)</f>
        <v>Other</v>
      </c>
    </row>
    <row r="13940" spans="1:7" x14ac:dyDescent="0.25">
      <c r="A13940">
        <v>35657</v>
      </c>
      <c r="B13940" t="s">
        <v>4</v>
      </c>
      <c r="C13940">
        <v>3</v>
      </c>
      <c r="D13940" t="s">
        <v>680</v>
      </c>
      <c r="F13940" t="str" cm="1">
        <f t="array" ref="F13940">CategorizeComment(E13940)</f>
        <v>Other</v>
      </c>
      <c r="G13940" t="str" cm="1">
        <f t="array" ref="G13940">SubCategorizeComment(E13940)</f>
        <v>Other</v>
      </c>
    </row>
    <row r="13941" spans="1:7" x14ac:dyDescent="0.25">
      <c r="A13941">
        <v>35399</v>
      </c>
      <c r="B13941" t="s">
        <v>4</v>
      </c>
      <c r="C13941">
        <v>3</v>
      </c>
      <c r="D13941" t="s">
        <v>675</v>
      </c>
      <c r="F13941" t="str" cm="1">
        <f t="array" ref="F13941">CategorizeComment(E13941)</f>
        <v>Other</v>
      </c>
      <c r="G13941" t="str" cm="1">
        <f t="array" ref="G13941">SubCategorizeComment(E13941)</f>
        <v>Other</v>
      </c>
    </row>
    <row r="13942" spans="1:7" x14ac:dyDescent="0.25">
      <c r="A13942">
        <v>33795</v>
      </c>
      <c r="B13942" t="s">
        <v>4</v>
      </c>
      <c r="C13942">
        <v>3</v>
      </c>
      <c r="D13942" t="s">
        <v>642</v>
      </c>
      <c r="F13942" t="str" cm="1">
        <f t="array" ref="F13942">CategorizeComment(E13942)</f>
        <v>Other</v>
      </c>
      <c r="G13942" t="str" cm="1">
        <f t="array" ref="G13942">SubCategorizeComment(E13942)</f>
        <v>Other</v>
      </c>
    </row>
    <row r="13943" spans="1:7" x14ac:dyDescent="0.25">
      <c r="A13943">
        <v>63889</v>
      </c>
      <c r="B13943" t="s">
        <v>4</v>
      </c>
      <c r="C13943">
        <v>4</v>
      </c>
      <c r="D13943" t="s">
        <v>1191</v>
      </c>
      <c r="F13943" t="str" cm="1">
        <f t="array" ref="F13943">CategorizeComment(E13943)</f>
        <v>Other</v>
      </c>
      <c r="G13943" t="str" cm="1">
        <f t="array" ref="G13943">SubCategorizeComment(E13943)</f>
        <v>Other</v>
      </c>
    </row>
    <row r="13944" spans="1:7" x14ac:dyDescent="0.25">
      <c r="A13944">
        <v>52416</v>
      </c>
      <c r="B13944" t="s">
        <v>4</v>
      </c>
      <c r="C13944">
        <v>3</v>
      </c>
      <c r="D13944" t="s">
        <v>978</v>
      </c>
      <c r="F13944" t="str" cm="1">
        <f t="array" ref="F13944">CategorizeComment(E13944)</f>
        <v>Other</v>
      </c>
      <c r="G13944" t="str" cm="1">
        <f t="array" ref="G13944">SubCategorizeComment(E13944)</f>
        <v>Other</v>
      </c>
    </row>
    <row r="13945" spans="1:7" x14ac:dyDescent="0.25">
      <c r="A13945">
        <v>39725</v>
      </c>
      <c r="B13945" t="s">
        <v>4</v>
      </c>
      <c r="C13945">
        <v>4</v>
      </c>
      <c r="D13945" t="s">
        <v>757</v>
      </c>
      <c r="F13945" t="str" cm="1">
        <f t="array" ref="F13945">CategorizeComment(E13945)</f>
        <v>Other</v>
      </c>
      <c r="G13945" t="str" cm="1">
        <f t="array" ref="G13945">SubCategorizeComment(E13945)</f>
        <v>Other</v>
      </c>
    </row>
    <row r="13946" spans="1:7" x14ac:dyDescent="0.25">
      <c r="A13946">
        <v>8442</v>
      </c>
      <c r="B13946" t="s">
        <v>4</v>
      </c>
      <c r="C13946">
        <v>4</v>
      </c>
      <c r="D13946" t="s">
        <v>169</v>
      </c>
      <c r="F13946" t="str" cm="1">
        <f t="array" ref="F13946">CategorizeComment(E13946)</f>
        <v>Other</v>
      </c>
      <c r="G13946" t="str" cm="1">
        <f t="array" ref="G13946">SubCategorizeComment(E13946)</f>
        <v>Other</v>
      </c>
    </row>
    <row r="13947" spans="1:7" x14ac:dyDescent="0.25">
      <c r="A13947">
        <v>97367</v>
      </c>
      <c r="B13947" t="s">
        <v>4</v>
      </c>
      <c r="C13947">
        <v>4</v>
      </c>
      <c r="D13947" t="s">
        <v>1686</v>
      </c>
      <c r="F13947" t="str" cm="1">
        <f t="array" ref="F13947">CategorizeComment(E13947)</f>
        <v>Other</v>
      </c>
      <c r="G13947" t="str" cm="1">
        <f t="array" ref="G13947">SubCategorizeComment(E13947)</f>
        <v>Other</v>
      </c>
    </row>
    <row r="13948" spans="1:7" x14ac:dyDescent="0.25">
      <c r="A13948">
        <v>53448</v>
      </c>
      <c r="B13948" t="s">
        <v>4</v>
      </c>
      <c r="C13948">
        <v>3</v>
      </c>
      <c r="D13948" t="s">
        <v>994</v>
      </c>
      <c r="F13948" t="str" cm="1">
        <f t="array" ref="F13948">CategorizeComment(E13948)</f>
        <v>Other</v>
      </c>
      <c r="G13948" t="str" cm="1">
        <f t="array" ref="G13948">SubCategorizeComment(E13948)</f>
        <v>Other</v>
      </c>
    </row>
    <row r="13949" spans="1:7" x14ac:dyDescent="0.25">
      <c r="A13949">
        <v>125986</v>
      </c>
      <c r="B13949" t="s">
        <v>4</v>
      </c>
      <c r="C13949">
        <v>3</v>
      </c>
      <c r="D13949" t="s">
        <v>2119</v>
      </c>
      <c r="F13949" t="str" cm="1">
        <f t="array" ref="F13949">CategorizeComment(E13949)</f>
        <v>Other</v>
      </c>
      <c r="G13949" t="str" cm="1">
        <f t="array" ref="G13949">SubCategorizeComment(E13949)</f>
        <v>Other</v>
      </c>
    </row>
    <row r="13950" spans="1:7" x14ac:dyDescent="0.25">
      <c r="A13950">
        <v>70718</v>
      </c>
      <c r="B13950" t="s">
        <v>4</v>
      </c>
      <c r="C13950">
        <v>4</v>
      </c>
      <c r="D13950" t="s">
        <v>1288</v>
      </c>
      <c r="F13950" t="str" cm="1">
        <f t="array" ref="F13950">CategorizeComment(E13950)</f>
        <v>Other</v>
      </c>
      <c r="G13950" t="str" cm="1">
        <f t="array" ref="G13950">SubCategorizeComment(E13950)</f>
        <v>Other</v>
      </c>
    </row>
    <row r="13951" spans="1:7" x14ac:dyDescent="0.25">
      <c r="A13951">
        <v>64083</v>
      </c>
      <c r="B13951" t="s">
        <v>4</v>
      </c>
      <c r="C13951">
        <v>4</v>
      </c>
      <c r="D13951" t="s">
        <v>1194</v>
      </c>
      <c r="F13951" t="str" cm="1">
        <f t="array" ref="F13951">CategorizeComment(E13951)</f>
        <v>Other</v>
      </c>
      <c r="G13951" t="str" cm="1">
        <f t="array" ref="G13951">SubCategorizeComment(E13951)</f>
        <v>Other</v>
      </c>
    </row>
    <row r="13952" spans="1:7" x14ac:dyDescent="0.25">
      <c r="A13952">
        <v>104333</v>
      </c>
      <c r="B13952" t="s">
        <v>4</v>
      </c>
      <c r="C13952">
        <v>2</v>
      </c>
      <c r="D13952" t="s">
        <v>1778</v>
      </c>
      <c r="F13952" t="str" cm="1">
        <f t="array" ref="F13952">CategorizeComment(E13952)</f>
        <v>Other</v>
      </c>
      <c r="G13952" t="str" cm="1">
        <f t="array" ref="G13952">SubCategorizeComment(E13952)</f>
        <v>Other</v>
      </c>
    </row>
    <row r="13953" spans="1:7" x14ac:dyDescent="0.25">
      <c r="A13953">
        <v>21565</v>
      </c>
      <c r="B13953" t="s">
        <v>4</v>
      </c>
      <c r="C13953">
        <v>4</v>
      </c>
      <c r="D13953" t="s">
        <v>441</v>
      </c>
      <c r="F13953" t="str" cm="1">
        <f t="array" ref="F13953">CategorizeComment(E13953)</f>
        <v>Other</v>
      </c>
      <c r="G13953" t="str" cm="1">
        <f t="array" ref="G13953">SubCategorizeComment(E13953)</f>
        <v>Other</v>
      </c>
    </row>
    <row r="13954" spans="1:7" x14ac:dyDescent="0.25">
      <c r="A13954">
        <v>37417</v>
      </c>
      <c r="B13954" t="s">
        <v>4</v>
      </c>
      <c r="C13954">
        <v>1</v>
      </c>
      <c r="D13954" t="s">
        <v>718</v>
      </c>
      <c r="F13954" t="str" cm="1">
        <f t="array" ref="F13954">CategorizeComment(E13954)</f>
        <v>Other</v>
      </c>
      <c r="G13954" t="str" cm="1">
        <f t="array" ref="G13954">SubCategorizeComment(E13954)</f>
        <v>Other</v>
      </c>
    </row>
    <row r="13955" spans="1:7" x14ac:dyDescent="0.25">
      <c r="A13955">
        <v>125359</v>
      </c>
      <c r="B13955" t="s">
        <v>4</v>
      </c>
      <c r="C13955">
        <v>3</v>
      </c>
      <c r="D13955" t="s">
        <v>2110</v>
      </c>
      <c r="F13955" t="str" cm="1">
        <f t="array" ref="F13955">CategorizeComment(E13955)</f>
        <v>Other</v>
      </c>
      <c r="G13955" t="str" cm="1">
        <f t="array" ref="G13955">SubCategorizeComment(E13955)</f>
        <v>Other</v>
      </c>
    </row>
    <row r="13956" spans="1:7" x14ac:dyDescent="0.25">
      <c r="A13956">
        <v>120493</v>
      </c>
      <c r="B13956" t="s">
        <v>4</v>
      </c>
      <c r="C13956">
        <v>4</v>
      </c>
      <c r="D13956" t="s">
        <v>2029</v>
      </c>
      <c r="F13956" t="str" cm="1">
        <f t="array" ref="F13956">CategorizeComment(E13956)</f>
        <v>Other</v>
      </c>
      <c r="G13956" t="str" cm="1">
        <f t="array" ref="G13956">SubCategorizeComment(E13956)</f>
        <v>Other</v>
      </c>
    </row>
    <row r="13957" spans="1:7" x14ac:dyDescent="0.25">
      <c r="A13957">
        <v>42945</v>
      </c>
      <c r="B13957" t="s">
        <v>4</v>
      </c>
      <c r="C13957">
        <v>4</v>
      </c>
      <c r="D13957" t="s">
        <v>808</v>
      </c>
      <c r="F13957" t="str" cm="1">
        <f t="array" ref="F13957">CategorizeComment(E13957)</f>
        <v>Other</v>
      </c>
      <c r="G13957" t="str" cm="1">
        <f t="array" ref="G13957">SubCategorizeComment(E13957)</f>
        <v>Other</v>
      </c>
    </row>
    <row r="13958" spans="1:7" x14ac:dyDescent="0.25">
      <c r="A13958">
        <v>7602</v>
      </c>
      <c r="B13958" t="s">
        <v>4</v>
      </c>
      <c r="C13958">
        <v>3</v>
      </c>
      <c r="D13958" t="s">
        <v>154</v>
      </c>
      <c r="F13958" t="str" cm="1">
        <f t="array" ref="F13958">CategorizeComment(E13958)</f>
        <v>Other</v>
      </c>
      <c r="G13958" t="str" cm="1">
        <f t="array" ref="G13958">SubCategorizeComment(E13958)</f>
        <v>Other</v>
      </c>
    </row>
    <row r="13959" spans="1:7" x14ac:dyDescent="0.25">
      <c r="A13959">
        <v>101806</v>
      </c>
      <c r="B13959" t="s">
        <v>4</v>
      </c>
      <c r="C13959">
        <v>3</v>
      </c>
      <c r="D13959" t="s">
        <v>1741</v>
      </c>
      <c r="F13959" t="str" cm="1">
        <f t="array" ref="F13959">CategorizeComment(E13959)</f>
        <v>Other</v>
      </c>
      <c r="G13959" t="str" cm="1">
        <f t="array" ref="G13959">SubCategorizeComment(E13959)</f>
        <v>Other</v>
      </c>
    </row>
    <row r="13960" spans="1:7" x14ac:dyDescent="0.25">
      <c r="A13960">
        <v>35066</v>
      </c>
      <c r="B13960" t="s">
        <v>4</v>
      </c>
      <c r="C13960">
        <v>3</v>
      </c>
      <c r="D13960" t="s">
        <v>666</v>
      </c>
      <c r="F13960" t="str" cm="1">
        <f t="array" ref="F13960">CategorizeComment(E13960)</f>
        <v>Other</v>
      </c>
      <c r="G13960" t="str" cm="1">
        <f t="array" ref="G13960">SubCategorizeComment(E13960)</f>
        <v>Other</v>
      </c>
    </row>
    <row r="13961" spans="1:7" x14ac:dyDescent="0.25">
      <c r="A13961">
        <v>7769</v>
      </c>
      <c r="B13961" t="s">
        <v>4</v>
      </c>
      <c r="C13961">
        <v>4</v>
      </c>
      <c r="D13961" t="s">
        <v>158</v>
      </c>
      <c r="F13961" t="str" cm="1">
        <f t="array" ref="F13961">CategorizeComment(E13961)</f>
        <v>Other</v>
      </c>
      <c r="G13961" t="str" cm="1">
        <f t="array" ref="G13961">SubCategorizeComment(E13961)</f>
        <v>Other</v>
      </c>
    </row>
    <row r="13962" spans="1:7" x14ac:dyDescent="0.25">
      <c r="A13962">
        <v>77515</v>
      </c>
      <c r="B13962" t="s">
        <v>4</v>
      </c>
      <c r="C13962">
        <v>0</v>
      </c>
      <c r="D13962" t="s">
        <v>1393</v>
      </c>
      <c r="F13962" t="str" cm="1">
        <f t="array" ref="F13962">CategorizeComment(E13962)</f>
        <v>Other</v>
      </c>
      <c r="G13962" t="str" cm="1">
        <f t="array" ref="G13962">SubCategorizeComment(E13962)</f>
        <v>Other</v>
      </c>
    </row>
    <row r="13963" spans="1:7" x14ac:dyDescent="0.25">
      <c r="A13963">
        <v>54554</v>
      </c>
      <c r="B13963" t="s">
        <v>4</v>
      </c>
      <c r="C13963">
        <v>3</v>
      </c>
      <c r="D13963" t="s">
        <v>1023</v>
      </c>
      <c r="F13963" t="str" cm="1">
        <f t="array" ref="F13963">CategorizeComment(E13963)</f>
        <v>Other</v>
      </c>
      <c r="G13963" t="str" cm="1">
        <f t="array" ref="G13963">SubCategorizeComment(E13963)</f>
        <v>Other</v>
      </c>
    </row>
    <row r="13964" spans="1:7" x14ac:dyDescent="0.25">
      <c r="A13964">
        <v>91301</v>
      </c>
      <c r="B13964" t="s">
        <v>4</v>
      </c>
      <c r="C13964">
        <v>3</v>
      </c>
      <c r="D13964" t="s">
        <v>1593</v>
      </c>
      <c r="F13964" t="str" cm="1">
        <f t="array" ref="F13964">CategorizeComment(E13964)</f>
        <v>Other</v>
      </c>
      <c r="G13964" t="str" cm="1">
        <f t="array" ref="G13964">SubCategorizeComment(E13964)</f>
        <v>Other</v>
      </c>
    </row>
    <row r="13965" spans="1:7" x14ac:dyDescent="0.25">
      <c r="A13965">
        <v>70227</v>
      </c>
      <c r="B13965" t="s">
        <v>4</v>
      </c>
      <c r="C13965">
        <v>3</v>
      </c>
      <c r="D13965" t="s">
        <v>1277</v>
      </c>
      <c r="F13965" t="str" cm="1">
        <f t="array" ref="F13965">CategorizeComment(E13965)</f>
        <v>Other</v>
      </c>
      <c r="G13965" t="str" cm="1">
        <f t="array" ref="G13965">SubCategorizeComment(E13965)</f>
        <v>Other</v>
      </c>
    </row>
    <row r="13966" spans="1:7" x14ac:dyDescent="0.25">
      <c r="A13966">
        <v>16195</v>
      </c>
      <c r="B13966" t="s">
        <v>4</v>
      </c>
      <c r="C13966">
        <v>3</v>
      </c>
      <c r="D13966" t="s">
        <v>318</v>
      </c>
      <c r="F13966" t="str" cm="1">
        <f t="array" ref="F13966">CategorizeComment(E13966)</f>
        <v>Other</v>
      </c>
      <c r="G13966" t="str" cm="1">
        <f t="array" ref="G13966">SubCategorizeComment(E13966)</f>
        <v>Other</v>
      </c>
    </row>
    <row r="13967" spans="1:7" x14ac:dyDescent="0.25">
      <c r="A13967">
        <v>51420</v>
      </c>
      <c r="B13967" t="s">
        <v>4</v>
      </c>
      <c r="C13967">
        <v>3</v>
      </c>
      <c r="D13967" t="s">
        <v>964</v>
      </c>
      <c r="F13967" t="str" cm="1">
        <f t="array" ref="F13967">CategorizeComment(E13967)</f>
        <v>Other</v>
      </c>
      <c r="G13967" t="str" cm="1">
        <f t="array" ref="G13967">SubCategorizeComment(E13967)</f>
        <v>Other</v>
      </c>
    </row>
    <row r="13968" spans="1:7" x14ac:dyDescent="0.25">
      <c r="A13968">
        <v>75926</v>
      </c>
      <c r="B13968" t="s">
        <v>4</v>
      </c>
      <c r="C13968">
        <v>4</v>
      </c>
      <c r="D13968" t="s">
        <v>1373</v>
      </c>
      <c r="F13968" t="str" cm="1">
        <f t="array" ref="F13968">CategorizeComment(E13968)</f>
        <v>Other</v>
      </c>
      <c r="G13968" t="str" cm="1">
        <f t="array" ref="G13968">SubCategorizeComment(E13968)</f>
        <v>Other</v>
      </c>
    </row>
    <row r="13969" spans="1:7" x14ac:dyDescent="0.25">
      <c r="A13969">
        <v>25118</v>
      </c>
      <c r="B13969" t="s">
        <v>4</v>
      </c>
      <c r="C13969">
        <v>4</v>
      </c>
      <c r="D13969" t="s">
        <v>511</v>
      </c>
      <c r="F13969" t="str" cm="1">
        <f t="array" ref="F13969">CategorizeComment(E13969)</f>
        <v>Other</v>
      </c>
      <c r="G13969" t="str" cm="1">
        <f t="array" ref="G13969">SubCategorizeComment(E13969)</f>
        <v>Other</v>
      </c>
    </row>
    <row r="13970" spans="1:7" x14ac:dyDescent="0.25">
      <c r="A13970">
        <v>110164</v>
      </c>
      <c r="B13970" t="s">
        <v>4</v>
      </c>
      <c r="C13970">
        <v>4</v>
      </c>
      <c r="D13970" t="s">
        <v>1885</v>
      </c>
      <c r="F13970" t="str" cm="1">
        <f t="array" ref="F13970">CategorizeComment(E13970)</f>
        <v>Other</v>
      </c>
      <c r="G13970" t="str" cm="1">
        <f t="array" ref="G13970">SubCategorizeComment(E13970)</f>
        <v>Other</v>
      </c>
    </row>
    <row r="13971" spans="1:7" x14ac:dyDescent="0.25">
      <c r="A13971">
        <v>74021</v>
      </c>
      <c r="B13971" t="s">
        <v>4</v>
      </c>
      <c r="C13971">
        <v>3</v>
      </c>
      <c r="D13971" t="s">
        <v>1344</v>
      </c>
      <c r="F13971" t="str" cm="1">
        <f t="array" ref="F13971">CategorizeComment(E13971)</f>
        <v>Other</v>
      </c>
      <c r="G13971" t="str" cm="1">
        <f t="array" ref="G13971">SubCategorizeComment(E13971)</f>
        <v>Other</v>
      </c>
    </row>
    <row r="13972" spans="1:7" x14ac:dyDescent="0.25">
      <c r="A13972">
        <v>109137</v>
      </c>
      <c r="B13972" t="s">
        <v>4</v>
      </c>
      <c r="C13972">
        <v>3</v>
      </c>
      <c r="D13972" t="s">
        <v>1863</v>
      </c>
      <c r="F13972" t="str" cm="1">
        <f t="array" ref="F13972">CategorizeComment(E13972)</f>
        <v>Other</v>
      </c>
      <c r="G13972" t="str" cm="1">
        <f t="array" ref="G13972">SubCategorizeComment(E13972)</f>
        <v>Other</v>
      </c>
    </row>
    <row r="13973" spans="1:7" x14ac:dyDescent="0.25">
      <c r="A13973">
        <v>770</v>
      </c>
      <c r="B13973" t="s">
        <v>4</v>
      </c>
      <c r="C13973">
        <v>4</v>
      </c>
      <c r="D13973" t="s">
        <v>19</v>
      </c>
      <c r="F13973" t="str" cm="1">
        <f t="array" ref="F13973">CategorizeComment(E13973)</f>
        <v>Other</v>
      </c>
      <c r="G13973" t="str" cm="1">
        <f t="array" ref="G13973">SubCategorizeComment(E13973)</f>
        <v>Other</v>
      </c>
    </row>
    <row r="13974" spans="1:7" x14ac:dyDescent="0.25">
      <c r="A13974">
        <v>6375</v>
      </c>
      <c r="B13974" t="s">
        <v>4</v>
      </c>
      <c r="C13974">
        <v>3</v>
      </c>
      <c r="D13974" t="s">
        <v>125</v>
      </c>
      <c r="F13974" t="str" cm="1">
        <f t="array" ref="F13974">CategorizeComment(E13974)</f>
        <v>Other</v>
      </c>
      <c r="G13974" t="str" cm="1">
        <f t="array" ref="G13974">SubCategorizeComment(E13974)</f>
        <v>Other</v>
      </c>
    </row>
    <row r="13975" spans="1:7" x14ac:dyDescent="0.25">
      <c r="A13975">
        <v>26840</v>
      </c>
      <c r="B13975" t="s">
        <v>4</v>
      </c>
      <c r="C13975">
        <v>4</v>
      </c>
      <c r="D13975" t="s">
        <v>534</v>
      </c>
      <c r="F13975" t="str" cm="1">
        <f t="array" ref="F13975">CategorizeComment(E13975)</f>
        <v>Other</v>
      </c>
      <c r="G13975" t="str" cm="1">
        <f t="array" ref="G13975">SubCategorizeComment(E13975)</f>
        <v>Other</v>
      </c>
    </row>
    <row r="13976" spans="1:7" x14ac:dyDescent="0.25">
      <c r="A13976">
        <v>66343</v>
      </c>
      <c r="B13976" t="s">
        <v>4</v>
      </c>
      <c r="C13976">
        <v>3</v>
      </c>
      <c r="D13976" t="s">
        <v>1226</v>
      </c>
      <c r="F13976" t="str" cm="1">
        <f t="array" ref="F13976">CategorizeComment(E13976)</f>
        <v>Other</v>
      </c>
      <c r="G13976" t="str" cm="1">
        <f t="array" ref="G13976">SubCategorizeComment(E13976)</f>
        <v>Other</v>
      </c>
    </row>
    <row r="13977" spans="1:7" x14ac:dyDescent="0.25">
      <c r="A13977">
        <v>31770</v>
      </c>
      <c r="B13977" t="s">
        <v>4</v>
      </c>
      <c r="C13977">
        <v>4</v>
      </c>
      <c r="D13977" t="s">
        <v>616</v>
      </c>
      <c r="F13977" t="str" cm="1">
        <f t="array" ref="F13977">CategorizeComment(E13977)</f>
        <v>Other</v>
      </c>
      <c r="G13977" t="str" cm="1">
        <f t="array" ref="G13977">SubCategorizeComment(E13977)</f>
        <v>Other</v>
      </c>
    </row>
    <row r="13978" spans="1:7" x14ac:dyDescent="0.25">
      <c r="A13978">
        <v>88366</v>
      </c>
      <c r="B13978" t="s">
        <v>4</v>
      </c>
      <c r="C13978">
        <v>4</v>
      </c>
      <c r="D13978" t="s">
        <v>1541</v>
      </c>
      <c r="F13978" t="str" cm="1">
        <f t="array" ref="F13978">CategorizeComment(E13978)</f>
        <v>Other</v>
      </c>
      <c r="G13978" t="str" cm="1">
        <f t="array" ref="G13978">SubCategorizeComment(E13978)</f>
        <v>Other</v>
      </c>
    </row>
    <row r="13979" spans="1:7" x14ac:dyDescent="0.25">
      <c r="A13979">
        <v>129046</v>
      </c>
      <c r="B13979" t="s">
        <v>4</v>
      </c>
      <c r="C13979">
        <v>1</v>
      </c>
      <c r="D13979" t="s">
        <v>2159</v>
      </c>
      <c r="F13979" t="str" cm="1">
        <f t="array" ref="F13979">CategorizeComment(E13979)</f>
        <v>Other</v>
      </c>
      <c r="G13979" t="str" cm="1">
        <f t="array" ref="G13979">SubCategorizeComment(E13979)</f>
        <v>Other</v>
      </c>
    </row>
    <row r="13980" spans="1:7" x14ac:dyDescent="0.25">
      <c r="A13980">
        <v>76684</v>
      </c>
      <c r="B13980" t="s">
        <v>4</v>
      </c>
      <c r="C13980">
        <v>3</v>
      </c>
      <c r="D13980" t="s">
        <v>1384</v>
      </c>
      <c r="F13980" t="str" cm="1">
        <f t="array" ref="F13980">CategorizeComment(E13980)</f>
        <v>Other</v>
      </c>
      <c r="G13980" t="str" cm="1">
        <f t="array" ref="G13980">SubCategorizeComment(E13980)</f>
        <v>Other</v>
      </c>
    </row>
    <row r="13981" spans="1:7" x14ac:dyDescent="0.25">
      <c r="A13981">
        <v>63561</v>
      </c>
      <c r="B13981" t="s">
        <v>4</v>
      </c>
      <c r="C13981">
        <v>3</v>
      </c>
      <c r="D13981" t="s">
        <v>1185</v>
      </c>
      <c r="F13981" t="str" cm="1">
        <f t="array" ref="F13981">CategorizeComment(E13981)</f>
        <v>Other</v>
      </c>
      <c r="G13981" t="str" cm="1">
        <f t="array" ref="G13981">SubCategorizeComment(E13981)</f>
        <v>Other</v>
      </c>
    </row>
    <row r="13982" spans="1:7" x14ac:dyDescent="0.25">
      <c r="A13982">
        <v>31051</v>
      </c>
      <c r="B13982" t="s">
        <v>4</v>
      </c>
      <c r="C13982">
        <v>4</v>
      </c>
      <c r="D13982" t="s">
        <v>600</v>
      </c>
      <c r="F13982" t="str" cm="1">
        <f t="array" ref="F13982">CategorizeComment(E13982)</f>
        <v>Other</v>
      </c>
      <c r="G13982" t="str" cm="1">
        <f t="array" ref="G13982">SubCategorizeComment(E13982)</f>
        <v>Other</v>
      </c>
    </row>
    <row r="13983" spans="1:7" x14ac:dyDescent="0.25">
      <c r="A13983">
        <v>51711</v>
      </c>
      <c r="B13983" t="s">
        <v>4</v>
      </c>
      <c r="C13983">
        <v>0</v>
      </c>
      <c r="D13983" t="s">
        <v>967</v>
      </c>
      <c r="F13983" t="str" cm="1">
        <f t="array" ref="F13983">CategorizeComment(E13983)</f>
        <v>Other</v>
      </c>
      <c r="G13983" t="str" cm="1">
        <f t="array" ref="G13983">SubCategorizeComment(E13983)</f>
        <v>Other</v>
      </c>
    </row>
    <row r="13984" spans="1:7" x14ac:dyDescent="0.25">
      <c r="A13984">
        <v>27655</v>
      </c>
      <c r="B13984" t="s">
        <v>4</v>
      </c>
      <c r="C13984">
        <v>4</v>
      </c>
      <c r="D13984" t="s">
        <v>548</v>
      </c>
      <c r="F13984" t="str" cm="1">
        <f t="array" ref="F13984">CategorizeComment(E13984)</f>
        <v>Other</v>
      </c>
      <c r="G13984" t="str" cm="1">
        <f t="array" ref="G13984">SubCategorizeComment(E13984)</f>
        <v>Other</v>
      </c>
    </row>
    <row r="13985" spans="1:7" x14ac:dyDescent="0.25">
      <c r="A13985">
        <v>14132</v>
      </c>
      <c r="B13985" t="s">
        <v>4</v>
      </c>
      <c r="C13985">
        <v>4</v>
      </c>
      <c r="D13985" t="s">
        <v>274</v>
      </c>
      <c r="F13985" t="str" cm="1">
        <f t="array" ref="F13985">CategorizeComment(E13985)</f>
        <v>Other</v>
      </c>
      <c r="G13985" t="str" cm="1">
        <f t="array" ref="G13985">SubCategorizeComment(E13985)</f>
        <v>Other</v>
      </c>
    </row>
    <row r="13986" spans="1:7" x14ac:dyDescent="0.25">
      <c r="A13986">
        <v>19954</v>
      </c>
      <c r="B13986" t="s">
        <v>4</v>
      </c>
      <c r="C13986">
        <v>4</v>
      </c>
      <c r="D13986" t="s">
        <v>404</v>
      </c>
      <c r="F13986" t="str" cm="1">
        <f t="array" ref="F13986">CategorizeComment(E13986)</f>
        <v>Other</v>
      </c>
      <c r="G13986" t="str" cm="1">
        <f t="array" ref="G13986">SubCategorizeComment(E13986)</f>
        <v>Other</v>
      </c>
    </row>
    <row r="13987" spans="1:7" x14ac:dyDescent="0.25">
      <c r="A13987">
        <v>13895</v>
      </c>
      <c r="B13987" t="s">
        <v>4</v>
      </c>
      <c r="C13987">
        <v>0</v>
      </c>
      <c r="D13987" t="s">
        <v>272</v>
      </c>
      <c r="F13987" t="str" cm="1">
        <f t="array" ref="F13987">CategorizeComment(E13987)</f>
        <v>Other</v>
      </c>
      <c r="G13987" t="str" cm="1">
        <f t="array" ref="G13987">SubCategorizeComment(E13987)</f>
        <v>Other</v>
      </c>
    </row>
    <row r="13988" spans="1:7" x14ac:dyDescent="0.25">
      <c r="A13988">
        <v>84423</v>
      </c>
      <c r="B13988" t="s">
        <v>4</v>
      </c>
      <c r="C13988">
        <v>4</v>
      </c>
      <c r="D13988" t="s">
        <v>1489</v>
      </c>
      <c r="F13988" t="str" cm="1">
        <f t="array" ref="F13988">CategorizeComment(E13988)</f>
        <v>Other</v>
      </c>
      <c r="G13988" t="str" cm="1">
        <f t="array" ref="G13988">SubCategorizeComment(E13988)</f>
        <v>Other</v>
      </c>
    </row>
    <row r="13989" spans="1:7" x14ac:dyDescent="0.25">
      <c r="A13989">
        <v>44773</v>
      </c>
      <c r="B13989" t="s">
        <v>4</v>
      </c>
      <c r="C13989">
        <v>3</v>
      </c>
      <c r="D13989" t="s">
        <v>844</v>
      </c>
      <c r="F13989" t="str" cm="1">
        <f t="array" ref="F13989">CategorizeComment(E13989)</f>
        <v>Other</v>
      </c>
      <c r="G13989" t="str" cm="1">
        <f t="array" ref="G13989">SubCategorizeComment(E13989)</f>
        <v>Other</v>
      </c>
    </row>
    <row r="13990" spans="1:7" x14ac:dyDescent="0.25">
      <c r="A13990">
        <v>89918</v>
      </c>
      <c r="B13990" t="s">
        <v>4</v>
      </c>
      <c r="C13990">
        <v>4</v>
      </c>
      <c r="D13990" t="s">
        <v>1566</v>
      </c>
      <c r="F13990" t="str" cm="1">
        <f t="array" ref="F13990">CategorizeComment(E13990)</f>
        <v>Other</v>
      </c>
      <c r="G13990" t="str" cm="1">
        <f t="array" ref="G13990">SubCategorizeComment(E13990)</f>
        <v>Other</v>
      </c>
    </row>
    <row r="13991" spans="1:7" x14ac:dyDescent="0.25">
      <c r="A13991">
        <v>61670</v>
      </c>
      <c r="B13991" t="s">
        <v>4</v>
      </c>
      <c r="C13991">
        <v>3</v>
      </c>
      <c r="D13991" t="s">
        <v>1149</v>
      </c>
      <c r="F13991" t="str" cm="1">
        <f t="array" ref="F13991">CategorizeComment(E13991)</f>
        <v>Other</v>
      </c>
      <c r="G13991" t="str" cm="1">
        <f t="array" ref="G13991">SubCategorizeComment(E13991)</f>
        <v>Other</v>
      </c>
    </row>
    <row r="13992" spans="1:7" x14ac:dyDescent="0.25">
      <c r="A13992">
        <v>26626</v>
      </c>
      <c r="B13992" t="s">
        <v>4</v>
      </c>
      <c r="C13992">
        <v>3</v>
      </c>
      <c r="D13992" t="s">
        <v>531</v>
      </c>
      <c r="F13992" t="str" cm="1">
        <f t="array" ref="F13992">CategorizeComment(E13992)</f>
        <v>Other</v>
      </c>
      <c r="G13992" t="str" cm="1">
        <f t="array" ref="G13992">SubCategorizeComment(E13992)</f>
        <v>Other</v>
      </c>
    </row>
    <row r="13993" spans="1:7" x14ac:dyDescent="0.25">
      <c r="A13993">
        <v>117305</v>
      </c>
      <c r="B13993" t="s">
        <v>4</v>
      </c>
      <c r="C13993">
        <v>4</v>
      </c>
      <c r="D13993" t="s">
        <v>1985</v>
      </c>
      <c r="F13993" t="str" cm="1">
        <f t="array" ref="F13993">CategorizeComment(E13993)</f>
        <v>Other</v>
      </c>
      <c r="G13993" t="str" cm="1">
        <f t="array" ref="G13993">SubCategorizeComment(E13993)</f>
        <v>Other</v>
      </c>
    </row>
    <row r="13994" spans="1:7" x14ac:dyDescent="0.25">
      <c r="A13994">
        <v>32756</v>
      </c>
      <c r="B13994" t="s">
        <v>4</v>
      </c>
      <c r="C13994">
        <v>3</v>
      </c>
      <c r="D13994" t="s">
        <v>632</v>
      </c>
      <c r="F13994" t="str" cm="1">
        <f t="array" ref="F13994">CategorizeComment(E13994)</f>
        <v>Other</v>
      </c>
      <c r="G13994" t="str" cm="1">
        <f t="array" ref="G13994">SubCategorizeComment(E13994)</f>
        <v>Other</v>
      </c>
    </row>
    <row r="13995" spans="1:7" x14ac:dyDescent="0.25">
      <c r="A13995">
        <v>91935</v>
      </c>
      <c r="B13995" t="s">
        <v>4</v>
      </c>
      <c r="C13995">
        <v>4</v>
      </c>
      <c r="D13995" t="s">
        <v>1605</v>
      </c>
      <c r="F13995" t="str" cm="1">
        <f t="array" ref="F13995">CategorizeComment(E13995)</f>
        <v>Other</v>
      </c>
      <c r="G13995" t="str" cm="1">
        <f t="array" ref="G13995">SubCategorizeComment(E13995)</f>
        <v>Other</v>
      </c>
    </row>
    <row r="13996" spans="1:7" x14ac:dyDescent="0.25">
      <c r="A13996">
        <v>96181</v>
      </c>
      <c r="B13996" t="s">
        <v>4</v>
      </c>
      <c r="C13996">
        <v>3</v>
      </c>
      <c r="D13996" t="s">
        <v>1664</v>
      </c>
      <c r="F13996" t="str" cm="1">
        <f t="array" ref="F13996">CategorizeComment(E13996)</f>
        <v>Other</v>
      </c>
      <c r="G13996" t="str" cm="1">
        <f t="array" ref="G13996">SubCategorizeComment(E13996)</f>
        <v>Other</v>
      </c>
    </row>
    <row r="13997" spans="1:7" x14ac:dyDescent="0.25">
      <c r="A13997">
        <v>26667</v>
      </c>
      <c r="B13997" t="s">
        <v>4</v>
      </c>
      <c r="C13997">
        <v>4</v>
      </c>
      <c r="D13997" t="s">
        <v>532</v>
      </c>
      <c r="F13997" t="str" cm="1">
        <f t="array" ref="F13997">CategorizeComment(E13997)</f>
        <v>Other</v>
      </c>
      <c r="G13997" t="str" cm="1">
        <f t="array" ref="G13997">SubCategorizeComment(E13997)</f>
        <v>Other</v>
      </c>
    </row>
    <row r="13998" spans="1:7" x14ac:dyDescent="0.25">
      <c r="A13998">
        <v>18169</v>
      </c>
      <c r="B13998" t="s">
        <v>4</v>
      </c>
      <c r="C13998">
        <v>4</v>
      </c>
      <c r="D13998" t="s">
        <v>361</v>
      </c>
      <c r="F13998" t="str" cm="1">
        <f t="array" ref="F13998">CategorizeComment(E13998)</f>
        <v>Other</v>
      </c>
      <c r="G13998" t="str" cm="1">
        <f t="array" ref="G13998">SubCategorizeComment(E13998)</f>
        <v>Other</v>
      </c>
    </row>
    <row r="13999" spans="1:7" x14ac:dyDescent="0.25">
      <c r="A13999">
        <v>120208</v>
      </c>
      <c r="B13999" t="s">
        <v>4</v>
      </c>
      <c r="C13999">
        <v>4</v>
      </c>
      <c r="D13999" t="s">
        <v>2025</v>
      </c>
      <c r="F13999" t="str" cm="1">
        <f t="array" ref="F13999">CategorizeComment(E13999)</f>
        <v>Other</v>
      </c>
      <c r="G13999" t="str" cm="1">
        <f t="array" ref="G13999">SubCategorizeComment(E13999)</f>
        <v>Other</v>
      </c>
    </row>
    <row r="14000" spans="1:7" x14ac:dyDescent="0.25">
      <c r="A14000">
        <v>20067</v>
      </c>
      <c r="B14000" t="s">
        <v>4</v>
      </c>
      <c r="C14000">
        <v>4</v>
      </c>
      <c r="D14000" t="s">
        <v>406</v>
      </c>
      <c r="F14000" t="str" cm="1">
        <f t="array" ref="F14000">CategorizeComment(E14000)</f>
        <v>Other</v>
      </c>
      <c r="G14000" t="str" cm="1">
        <f t="array" ref="G14000">SubCategorizeComment(E14000)</f>
        <v>Other</v>
      </c>
    </row>
    <row r="14001" spans="1:7" x14ac:dyDescent="0.25">
      <c r="A14001">
        <v>31493</v>
      </c>
      <c r="B14001" t="s">
        <v>4</v>
      </c>
      <c r="C14001">
        <v>4</v>
      </c>
      <c r="D14001" t="s">
        <v>606</v>
      </c>
      <c r="F14001" t="str" cm="1">
        <f t="array" ref="F14001">CategorizeComment(E14001)</f>
        <v>Other</v>
      </c>
      <c r="G14001" t="str" cm="1">
        <f t="array" ref="G14001">SubCategorizeComment(E14001)</f>
        <v>Other</v>
      </c>
    </row>
    <row r="14002" spans="1:7" x14ac:dyDescent="0.25">
      <c r="A14002">
        <v>21503</v>
      </c>
      <c r="B14002" t="s">
        <v>4</v>
      </c>
      <c r="C14002">
        <v>4</v>
      </c>
      <c r="D14002" t="s">
        <v>439</v>
      </c>
      <c r="F14002" t="str" cm="1">
        <f t="array" ref="F14002">CategorizeComment(E14002)</f>
        <v>Other</v>
      </c>
      <c r="G14002" t="str" cm="1">
        <f t="array" ref="G14002">SubCategorizeComment(E14002)</f>
        <v>Other</v>
      </c>
    </row>
    <row r="14003" spans="1:7" x14ac:dyDescent="0.25">
      <c r="A14003">
        <v>47146</v>
      </c>
      <c r="B14003" t="s">
        <v>4</v>
      </c>
      <c r="C14003">
        <v>3</v>
      </c>
      <c r="D14003" t="s">
        <v>899</v>
      </c>
      <c r="F14003" t="str" cm="1">
        <f t="array" ref="F14003">CategorizeComment(E14003)</f>
        <v>Other</v>
      </c>
      <c r="G14003" t="str" cm="1">
        <f t="array" ref="G14003">SubCategorizeComment(E14003)</f>
        <v>Other</v>
      </c>
    </row>
    <row r="14004" spans="1:7" x14ac:dyDescent="0.25">
      <c r="A14004">
        <v>56821</v>
      </c>
      <c r="B14004" t="s">
        <v>4</v>
      </c>
      <c r="C14004">
        <v>3</v>
      </c>
      <c r="D14004" t="s">
        <v>1062</v>
      </c>
      <c r="F14004" t="str" cm="1">
        <f t="array" ref="F14004">CategorizeComment(E14004)</f>
        <v>Other</v>
      </c>
      <c r="G14004" t="str" cm="1">
        <f t="array" ref="G14004">SubCategorizeComment(E14004)</f>
        <v>Other</v>
      </c>
    </row>
    <row r="14005" spans="1:7" x14ac:dyDescent="0.25">
      <c r="A14005">
        <v>420</v>
      </c>
      <c r="B14005" t="s">
        <v>4</v>
      </c>
      <c r="C14005">
        <v>3</v>
      </c>
      <c r="D14005" t="s">
        <v>15</v>
      </c>
      <c r="F14005" t="str" cm="1">
        <f t="array" ref="F14005">CategorizeComment(E14005)</f>
        <v>Other</v>
      </c>
      <c r="G14005" t="str" cm="1">
        <f t="array" ref="G14005">SubCategorizeComment(E14005)</f>
        <v>Other</v>
      </c>
    </row>
    <row r="14006" spans="1:7" x14ac:dyDescent="0.25">
      <c r="A14006">
        <v>10845</v>
      </c>
      <c r="B14006" t="s">
        <v>4</v>
      </c>
      <c r="C14006">
        <v>4</v>
      </c>
      <c r="D14006" t="s">
        <v>214</v>
      </c>
      <c r="F14006" t="str" cm="1">
        <f t="array" ref="F14006">CategorizeComment(E14006)</f>
        <v>Other</v>
      </c>
      <c r="G14006" t="str" cm="1">
        <f t="array" ref="G14006">SubCategorizeComment(E14006)</f>
        <v>Other</v>
      </c>
    </row>
    <row r="14007" spans="1:7" x14ac:dyDescent="0.25">
      <c r="A14007">
        <v>37390</v>
      </c>
      <c r="B14007" t="s">
        <v>4</v>
      </c>
      <c r="C14007">
        <v>3</v>
      </c>
      <c r="D14007" t="s">
        <v>716</v>
      </c>
      <c r="F14007" t="str" cm="1">
        <f t="array" ref="F14007">CategorizeComment(E14007)</f>
        <v>Other</v>
      </c>
      <c r="G14007" t="str" cm="1">
        <f t="array" ref="G14007">SubCategorizeComment(E14007)</f>
        <v>Other</v>
      </c>
    </row>
    <row r="14008" spans="1:7" x14ac:dyDescent="0.25">
      <c r="A14008">
        <v>17998</v>
      </c>
      <c r="B14008" t="s">
        <v>4</v>
      </c>
      <c r="C14008">
        <v>4</v>
      </c>
      <c r="D14008" t="s">
        <v>355</v>
      </c>
      <c r="F14008" t="str" cm="1">
        <f t="array" ref="F14008">CategorizeComment(E14008)</f>
        <v>Other</v>
      </c>
      <c r="G14008" t="str" cm="1">
        <f t="array" ref="G14008">SubCategorizeComment(E14008)</f>
        <v>Other</v>
      </c>
    </row>
    <row r="14009" spans="1:7" x14ac:dyDescent="0.25">
      <c r="A14009">
        <v>109423</v>
      </c>
      <c r="B14009" t="s">
        <v>4</v>
      </c>
      <c r="C14009">
        <v>3</v>
      </c>
      <c r="D14009" t="s">
        <v>1869</v>
      </c>
      <c r="F14009" t="str" cm="1">
        <f t="array" ref="F14009">CategorizeComment(E14009)</f>
        <v>Other</v>
      </c>
      <c r="G14009" t="str" cm="1">
        <f t="array" ref="G14009">SubCategorizeComment(E14009)</f>
        <v>Other</v>
      </c>
    </row>
    <row r="14010" spans="1:7" x14ac:dyDescent="0.25">
      <c r="A14010">
        <v>108613</v>
      </c>
      <c r="B14010" t="s">
        <v>4</v>
      </c>
      <c r="C14010">
        <v>3</v>
      </c>
      <c r="D14010" t="s">
        <v>1854</v>
      </c>
      <c r="F14010" t="str" cm="1">
        <f t="array" ref="F14010">CategorizeComment(E14010)</f>
        <v>Other</v>
      </c>
      <c r="G14010" t="str" cm="1">
        <f t="array" ref="G14010">SubCategorizeComment(E14010)</f>
        <v>Other</v>
      </c>
    </row>
    <row r="14011" spans="1:7" x14ac:dyDescent="0.25">
      <c r="A14011">
        <v>49849</v>
      </c>
      <c r="B14011" t="s">
        <v>4</v>
      </c>
      <c r="C14011">
        <v>4</v>
      </c>
      <c r="D14011" t="s">
        <v>925</v>
      </c>
      <c r="F14011" t="str" cm="1">
        <f t="array" ref="F14011">CategorizeComment(E14011)</f>
        <v>Other</v>
      </c>
      <c r="G14011" t="str" cm="1">
        <f t="array" ref="G14011">SubCategorizeComment(E14011)</f>
        <v>Other</v>
      </c>
    </row>
    <row r="14012" spans="1:7" x14ac:dyDescent="0.25">
      <c r="A14012">
        <v>7886</v>
      </c>
      <c r="B14012" t="s">
        <v>4</v>
      </c>
      <c r="C14012">
        <v>4</v>
      </c>
      <c r="D14012" t="s">
        <v>160</v>
      </c>
      <c r="F14012" t="str" cm="1">
        <f t="array" ref="F14012">CategorizeComment(E14012)</f>
        <v>Other</v>
      </c>
      <c r="G14012" t="str" cm="1">
        <f t="array" ref="G14012">SubCategorizeComment(E14012)</f>
        <v>Other</v>
      </c>
    </row>
    <row r="14013" spans="1:7" x14ac:dyDescent="0.25">
      <c r="A14013">
        <v>14208</v>
      </c>
      <c r="B14013" t="s">
        <v>4</v>
      </c>
      <c r="C14013">
        <v>4</v>
      </c>
      <c r="D14013" t="s">
        <v>277</v>
      </c>
      <c r="F14013" t="str" cm="1">
        <f t="array" ref="F14013">CategorizeComment(E14013)</f>
        <v>Other</v>
      </c>
      <c r="G14013" t="str" cm="1">
        <f t="array" ref="G14013">SubCategorizeComment(E14013)</f>
        <v>Other</v>
      </c>
    </row>
    <row r="14014" spans="1:7" x14ac:dyDescent="0.25">
      <c r="A14014">
        <v>41631</v>
      </c>
      <c r="B14014" t="s">
        <v>4</v>
      </c>
      <c r="C14014">
        <v>4</v>
      </c>
      <c r="D14014" t="s">
        <v>785</v>
      </c>
      <c r="F14014" t="str" cm="1">
        <f t="array" ref="F14014">CategorizeComment(E14014)</f>
        <v>Other</v>
      </c>
      <c r="G14014" t="str" cm="1">
        <f t="array" ref="G14014">SubCategorizeComment(E14014)</f>
        <v>Other</v>
      </c>
    </row>
    <row r="14015" spans="1:7" x14ac:dyDescent="0.25">
      <c r="A14015">
        <v>11946</v>
      </c>
      <c r="B14015" t="s">
        <v>4</v>
      </c>
      <c r="C14015">
        <v>3</v>
      </c>
      <c r="D14015" t="s">
        <v>236</v>
      </c>
      <c r="F14015" t="str" cm="1">
        <f t="array" ref="F14015">CategorizeComment(E14015)</f>
        <v>Other</v>
      </c>
      <c r="G14015" t="str" cm="1">
        <f t="array" ref="G14015">SubCategorizeComment(E14015)</f>
        <v>Other</v>
      </c>
    </row>
    <row r="14016" spans="1:7" x14ac:dyDescent="0.25">
      <c r="A14016">
        <v>12347</v>
      </c>
      <c r="B14016" t="s">
        <v>4</v>
      </c>
      <c r="C14016">
        <v>4</v>
      </c>
      <c r="D14016" t="s">
        <v>242</v>
      </c>
      <c r="F14016" t="str" cm="1">
        <f t="array" ref="F14016">CategorizeComment(E14016)</f>
        <v>Other</v>
      </c>
      <c r="G14016" t="str" cm="1">
        <f t="array" ref="G14016">SubCategorizeComment(E14016)</f>
        <v>Other</v>
      </c>
    </row>
    <row r="14017" spans="1:7" x14ac:dyDescent="0.25">
      <c r="A14017">
        <v>92816</v>
      </c>
      <c r="B14017" t="s">
        <v>4</v>
      </c>
      <c r="C14017">
        <v>3</v>
      </c>
      <c r="D14017" t="s">
        <v>1622</v>
      </c>
      <c r="F14017" t="str" cm="1">
        <f t="array" ref="F14017">CategorizeComment(E14017)</f>
        <v>Other</v>
      </c>
      <c r="G14017" t="str" cm="1">
        <f t="array" ref="G14017">SubCategorizeComment(E14017)</f>
        <v>Other</v>
      </c>
    </row>
    <row r="14018" spans="1:7" x14ac:dyDescent="0.25">
      <c r="A14018">
        <v>58566</v>
      </c>
      <c r="B14018" t="s">
        <v>4</v>
      </c>
      <c r="C14018">
        <v>3</v>
      </c>
      <c r="D14018" t="s">
        <v>1092</v>
      </c>
      <c r="F14018" t="str" cm="1">
        <f t="array" ref="F14018">CategorizeComment(E14018)</f>
        <v>Other</v>
      </c>
      <c r="G14018" t="str" cm="1">
        <f t="array" ref="G14018">SubCategorizeComment(E14018)</f>
        <v>Other</v>
      </c>
    </row>
    <row r="14019" spans="1:7" x14ac:dyDescent="0.25">
      <c r="A14019">
        <v>22799</v>
      </c>
      <c r="B14019" t="s">
        <v>4</v>
      </c>
      <c r="C14019">
        <v>4</v>
      </c>
      <c r="D14019" t="s">
        <v>463</v>
      </c>
      <c r="F14019" t="str" cm="1">
        <f t="array" ref="F14019">CategorizeComment(E14019)</f>
        <v>Other</v>
      </c>
      <c r="G14019" t="str" cm="1">
        <f t="array" ref="G14019">SubCategorizeComment(E14019)</f>
        <v>Other</v>
      </c>
    </row>
    <row r="14020" spans="1:7" x14ac:dyDescent="0.25">
      <c r="A14020">
        <v>97976</v>
      </c>
      <c r="B14020" t="s">
        <v>4</v>
      </c>
      <c r="C14020">
        <v>4</v>
      </c>
      <c r="D14020" t="s">
        <v>1700</v>
      </c>
      <c r="F14020" t="str" cm="1">
        <f t="array" ref="F14020">CategorizeComment(E14020)</f>
        <v>Other</v>
      </c>
      <c r="G14020" t="str" cm="1">
        <f t="array" ref="G14020">SubCategorizeComment(E14020)</f>
        <v>Other</v>
      </c>
    </row>
    <row r="14021" spans="1:7" x14ac:dyDescent="0.25">
      <c r="A14021">
        <v>118623</v>
      </c>
      <c r="B14021" t="s">
        <v>4</v>
      </c>
      <c r="C14021">
        <v>3</v>
      </c>
      <c r="D14021" t="s">
        <v>2004</v>
      </c>
      <c r="F14021" t="str" cm="1">
        <f t="array" ref="F14021">CategorizeComment(E14021)</f>
        <v>Other</v>
      </c>
      <c r="G14021" t="str" cm="1">
        <f t="array" ref="G14021">SubCategorizeComment(E14021)</f>
        <v>Other</v>
      </c>
    </row>
    <row r="14022" spans="1:7" x14ac:dyDescent="0.25">
      <c r="A14022">
        <v>45780</v>
      </c>
      <c r="B14022" t="s">
        <v>4</v>
      </c>
      <c r="C14022">
        <v>4</v>
      </c>
      <c r="D14022" t="s">
        <v>870</v>
      </c>
      <c r="F14022" t="str" cm="1">
        <f t="array" ref="F14022">CategorizeComment(E14022)</f>
        <v>Other</v>
      </c>
      <c r="G14022" t="str" cm="1">
        <f t="array" ref="G14022">SubCategorizeComment(E14022)</f>
        <v>Other</v>
      </c>
    </row>
    <row r="14023" spans="1:7" x14ac:dyDescent="0.25">
      <c r="A14023">
        <v>74966</v>
      </c>
      <c r="B14023" t="s">
        <v>4</v>
      </c>
      <c r="C14023">
        <v>3</v>
      </c>
      <c r="D14023" t="s">
        <v>1355</v>
      </c>
      <c r="F14023" t="str" cm="1">
        <f t="array" ref="F14023">CategorizeComment(E14023)</f>
        <v>Other</v>
      </c>
      <c r="G14023" t="str" cm="1">
        <f t="array" ref="G14023">SubCategorizeComment(E14023)</f>
        <v>Other</v>
      </c>
    </row>
    <row r="14024" spans="1:7" x14ac:dyDescent="0.25">
      <c r="A14024">
        <v>124553</v>
      </c>
      <c r="B14024" t="s">
        <v>4</v>
      </c>
      <c r="C14024">
        <v>4</v>
      </c>
      <c r="D14024" t="s">
        <v>2098</v>
      </c>
      <c r="F14024" t="str" cm="1">
        <f t="array" ref="F14024">CategorizeComment(E14024)</f>
        <v>Other</v>
      </c>
      <c r="G14024" t="str" cm="1">
        <f t="array" ref="G14024">SubCategorizeComment(E14024)</f>
        <v>Other</v>
      </c>
    </row>
    <row r="14025" spans="1:7" x14ac:dyDescent="0.25">
      <c r="A14025">
        <v>1380</v>
      </c>
      <c r="B14025" t="s">
        <v>4</v>
      </c>
      <c r="C14025">
        <v>3</v>
      </c>
      <c r="D14025" t="s">
        <v>37</v>
      </c>
      <c r="F14025" t="str" cm="1">
        <f t="array" ref="F14025">CategorizeComment(E14025)</f>
        <v>Other</v>
      </c>
      <c r="G14025" t="str" cm="1">
        <f t="array" ref="G14025">SubCategorizeComment(E14025)</f>
        <v>Other</v>
      </c>
    </row>
    <row r="14026" spans="1:7" x14ac:dyDescent="0.25">
      <c r="A14026">
        <v>31591</v>
      </c>
      <c r="B14026" t="s">
        <v>4</v>
      </c>
      <c r="C14026">
        <v>4</v>
      </c>
      <c r="D14026" t="s">
        <v>610</v>
      </c>
      <c r="F14026" t="str" cm="1">
        <f t="array" ref="F14026">CategorizeComment(E14026)</f>
        <v>Other</v>
      </c>
      <c r="G14026" t="str" cm="1">
        <f t="array" ref="G14026">SubCategorizeComment(E14026)</f>
        <v>Other</v>
      </c>
    </row>
    <row r="14027" spans="1:7" x14ac:dyDescent="0.25">
      <c r="A14027">
        <v>56020</v>
      </c>
      <c r="B14027" t="s">
        <v>4</v>
      </c>
      <c r="C14027">
        <v>3</v>
      </c>
      <c r="D14027" t="s">
        <v>1045</v>
      </c>
      <c r="F14027" t="str" cm="1">
        <f t="array" ref="F14027">CategorizeComment(E14027)</f>
        <v>Other</v>
      </c>
      <c r="G14027" t="str" cm="1">
        <f t="array" ref="G14027">SubCategorizeComment(E14027)</f>
        <v>Other</v>
      </c>
    </row>
    <row r="14028" spans="1:7" x14ac:dyDescent="0.25">
      <c r="A14028">
        <v>63699</v>
      </c>
      <c r="B14028" t="s">
        <v>4</v>
      </c>
      <c r="C14028">
        <v>3</v>
      </c>
      <c r="D14028" t="s">
        <v>1190</v>
      </c>
      <c r="F14028" t="str" cm="1">
        <f t="array" ref="F14028">CategorizeComment(E14028)</f>
        <v>Other</v>
      </c>
      <c r="G14028" t="str" cm="1">
        <f t="array" ref="G14028">SubCategorizeComment(E14028)</f>
        <v>Other</v>
      </c>
    </row>
    <row r="14029" spans="1:7" x14ac:dyDescent="0.25">
      <c r="A14029">
        <v>42785</v>
      </c>
      <c r="B14029" t="s">
        <v>4</v>
      </c>
      <c r="C14029">
        <v>3</v>
      </c>
      <c r="D14029" t="s">
        <v>807</v>
      </c>
      <c r="F14029" t="str" cm="1">
        <f t="array" ref="F14029">CategorizeComment(E14029)</f>
        <v>Other</v>
      </c>
      <c r="G14029" t="str" cm="1">
        <f t="array" ref="G14029">SubCategorizeComment(E14029)</f>
        <v>Other</v>
      </c>
    </row>
    <row r="14030" spans="1:7" x14ac:dyDescent="0.25">
      <c r="A14030">
        <v>15103</v>
      </c>
      <c r="B14030" t="s">
        <v>4</v>
      </c>
      <c r="C14030">
        <v>3</v>
      </c>
      <c r="D14030" t="s">
        <v>292</v>
      </c>
      <c r="F14030" t="str" cm="1">
        <f t="array" ref="F14030">CategorizeComment(E14030)</f>
        <v>Other</v>
      </c>
      <c r="G14030" t="str" cm="1">
        <f t="array" ref="G14030">SubCategorizeComment(E14030)</f>
        <v>Other</v>
      </c>
    </row>
    <row r="14031" spans="1:7" x14ac:dyDescent="0.25">
      <c r="A14031">
        <v>49963</v>
      </c>
      <c r="B14031" t="s">
        <v>4</v>
      </c>
      <c r="C14031">
        <v>3</v>
      </c>
      <c r="D14031" t="s">
        <v>930</v>
      </c>
      <c r="F14031" t="str" cm="1">
        <f t="array" ref="F14031">CategorizeComment(E14031)</f>
        <v>Other</v>
      </c>
      <c r="G14031" t="str" cm="1">
        <f t="array" ref="G14031">SubCategorizeComment(E14031)</f>
        <v>Other</v>
      </c>
    </row>
    <row r="14032" spans="1:7" x14ac:dyDescent="0.25">
      <c r="A14032">
        <v>116674</v>
      </c>
      <c r="B14032" t="s">
        <v>4</v>
      </c>
      <c r="C14032">
        <v>4</v>
      </c>
      <c r="D14032" t="s">
        <v>1974</v>
      </c>
      <c r="F14032" t="str" cm="1">
        <f t="array" ref="F14032">CategorizeComment(E14032)</f>
        <v>Other</v>
      </c>
      <c r="G14032" t="str" cm="1">
        <f t="array" ref="G14032">SubCategorizeComment(E14032)</f>
        <v>Other</v>
      </c>
    </row>
    <row r="14033" spans="1:7" x14ac:dyDescent="0.25">
      <c r="A14033">
        <v>32729</v>
      </c>
      <c r="B14033" t="s">
        <v>4</v>
      </c>
      <c r="C14033">
        <v>4</v>
      </c>
      <c r="D14033" t="s">
        <v>630</v>
      </c>
      <c r="F14033" t="str" cm="1">
        <f t="array" ref="F14033">CategorizeComment(E14033)</f>
        <v>Other</v>
      </c>
      <c r="G14033" t="str" cm="1">
        <f t="array" ref="G14033">SubCategorizeComment(E14033)</f>
        <v>Other</v>
      </c>
    </row>
    <row r="14034" spans="1:7" x14ac:dyDescent="0.25">
      <c r="A14034">
        <v>47376</v>
      </c>
      <c r="B14034" t="s">
        <v>4</v>
      </c>
      <c r="C14034">
        <v>3</v>
      </c>
      <c r="D14034" t="s">
        <v>902</v>
      </c>
      <c r="F14034" t="str" cm="1">
        <f t="array" ref="F14034">CategorizeComment(E14034)</f>
        <v>Other</v>
      </c>
      <c r="G14034" t="str" cm="1">
        <f t="array" ref="G14034">SubCategorizeComment(E14034)</f>
        <v>Other</v>
      </c>
    </row>
    <row r="14035" spans="1:7" x14ac:dyDescent="0.25">
      <c r="A14035">
        <v>112157</v>
      </c>
      <c r="B14035" t="s">
        <v>4</v>
      </c>
      <c r="C14035">
        <v>3</v>
      </c>
      <c r="D14035" t="s">
        <v>1912</v>
      </c>
      <c r="F14035" t="str" cm="1">
        <f t="array" ref="F14035">CategorizeComment(E14035)</f>
        <v>Other</v>
      </c>
      <c r="G14035" t="str" cm="1">
        <f t="array" ref="G14035">SubCategorizeComment(E14035)</f>
        <v>Other</v>
      </c>
    </row>
    <row r="14036" spans="1:7" x14ac:dyDescent="0.25">
      <c r="A14036">
        <v>126170</v>
      </c>
      <c r="B14036" t="s">
        <v>4</v>
      </c>
      <c r="C14036">
        <v>4</v>
      </c>
      <c r="D14036" t="s">
        <v>2122</v>
      </c>
      <c r="F14036" t="str" cm="1">
        <f t="array" ref="F14036">CategorizeComment(E14036)</f>
        <v>Other</v>
      </c>
      <c r="G14036" t="str" cm="1">
        <f t="array" ref="G14036">SubCategorizeComment(E14036)</f>
        <v>Other</v>
      </c>
    </row>
    <row r="14037" spans="1:7" x14ac:dyDescent="0.25">
      <c r="A14037">
        <v>50509</v>
      </c>
      <c r="B14037" t="s">
        <v>4</v>
      </c>
      <c r="C14037">
        <v>4</v>
      </c>
      <c r="D14037" t="s">
        <v>949</v>
      </c>
      <c r="F14037" t="str" cm="1">
        <f t="array" ref="F14037">CategorizeComment(E14037)</f>
        <v>Other</v>
      </c>
      <c r="G14037" t="str" cm="1">
        <f t="array" ref="G14037">SubCategorizeComment(E14037)</f>
        <v>Other</v>
      </c>
    </row>
    <row r="14038" spans="1:7" x14ac:dyDescent="0.25">
      <c r="A14038">
        <v>66769</v>
      </c>
      <c r="B14038" t="s">
        <v>4</v>
      </c>
      <c r="C14038">
        <v>3</v>
      </c>
      <c r="D14038" t="s">
        <v>1231</v>
      </c>
      <c r="F14038" t="str" cm="1">
        <f t="array" ref="F14038">CategorizeComment(E14038)</f>
        <v>Other</v>
      </c>
      <c r="G14038" t="str" cm="1">
        <f t="array" ref="G14038">SubCategorizeComment(E14038)</f>
        <v>Other</v>
      </c>
    </row>
    <row r="14039" spans="1:7" x14ac:dyDescent="0.25">
      <c r="A14039">
        <v>28147</v>
      </c>
      <c r="B14039" t="s">
        <v>4</v>
      </c>
      <c r="C14039">
        <v>3</v>
      </c>
      <c r="D14039" t="s">
        <v>558</v>
      </c>
      <c r="F14039" t="str" cm="1">
        <f t="array" ref="F14039">CategorizeComment(E14039)</f>
        <v>Other</v>
      </c>
      <c r="G14039" t="str" cm="1">
        <f t="array" ref="G14039">SubCategorizeComment(E14039)</f>
        <v>Other</v>
      </c>
    </row>
    <row r="14040" spans="1:7" x14ac:dyDescent="0.25">
      <c r="A14040">
        <v>3750</v>
      </c>
      <c r="B14040" t="s">
        <v>4</v>
      </c>
      <c r="C14040">
        <v>2</v>
      </c>
      <c r="D14040" t="s">
        <v>77</v>
      </c>
      <c r="F14040" t="str" cm="1">
        <f t="array" ref="F14040">CategorizeComment(E14040)</f>
        <v>Other</v>
      </c>
      <c r="G14040" t="str" cm="1">
        <f t="array" ref="G14040">SubCategorizeComment(E14040)</f>
        <v>Other</v>
      </c>
    </row>
    <row r="14041" spans="1:7" x14ac:dyDescent="0.25">
      <c r="A14041">
        <v>123700</v>
      </c>
      <c r="B14041" t="s">
        <v>4</v>
      </c>
      <c r="C14041">
        <v>4</v>
      </c>
      <c r="D14041" t="s">
        <v>2084</v>
      </c>
      <c r="F14041" t="str" cm="1">
        <f t="array" ref="F14041">CategorizeComment(E14041)</f>
        <v>Other</v>
      </c>
      <c r="G14041" t="str" cm="1">
        <f t="array" ref="G14041">SubCategorizeComment(E14041)</f>
        <v>Other</v>
      </c>
    </row>
    <row r="14042" spans="1:7" x14ac:dyDescent="0.25">
      <c r="A14042">
        <v>125848</v>
      </c>
      <c r="B14042" t="s">
        <v>4</v>
      </c>
      <c r="C14042">
        <v>4</v>
      </c>
      <c r="D14042" t="s">
        <v>2117</v>
      </c>
      <c r="F14042" t="str" cm="1">
        <f t="array" ref="F14042">CategorizeComment(E14042)</f>
        <v>Other</v>
      </c>
      <c r="G14042" t="str" cm="1">
        <f t="array" ref="G14042">SubCategorizeComment(E14042)</f>
        <v>Other</v>
      </c>
    </row>
    <row r="14043" spans="1:7" x14ac:dyDescent="0.25">
      <c r="A14043">
        <v>82785</v>
      </c>
      <c r="B14043" t="s">
        <v>4</v>
      </c>
      <c r="C14043">
        <v>3</v>
      </c>
      <c r="D14043" t="s">
        <v>1469</v>
      </c>
      <c r="F14043" t="str" cm="1">
        <f t="array" ref="F14043">CategorizeComment(E14043)</f>
        <v>Other</v>
      </c>
      <c r="G14043" t="str" cm="1">
        <f t="array" ref="G14043">SubCategorizeComment(E14043)</f>
        <v>Other</v>
      </c>
    </row>
    <row r="14044" spans="1:7" x14ac:dyDescent="0.25">
      <c r="A14044">
        <v>124263</v>
      </c>
      <c r="B14044" t="s">
        <v>4</v>
      </c>
      <c r="C14044">
        <v>3</v>
      </c>
      <c r="D14044" t="s">
        <v>2092</v>
      </c>
      <c r="F14044" t="str" cm="1">
        <f t="array" ref="F14044">CategorizeComment(E14044)</f>
        <v>Other</v>
      </c>
      <c r="G14044" t="str" cm="1">
        <f t="array" ref="G14044">SubCategorizeComment(E14044)</f>
        <v>Other</v>
      </c>
    </row>
    <row r="14045" spans="1:7" x14ac:dyDescent="0.25">
      <c r="A14045">
        <v>104088</v>
      </c>
      <c r="B14045" t="s">
        <v>4</v>
      </c>
      <c r="C14045">
        <v>4</v>
      </c>
      <c r="D14045" t="s">
        <v>1772</v>
      </c>
      <c r="F14045" t="str" cm="1">
        <f t="array" ref="F14045">CategorizeComment(E14045)</f>
        <v>Other</v>
      </c>
      <c r="G14045" t="str" cm="1">
        <f t="array" ref="G14045">SubCategorizeComment(E14045)</f>
        <v>Other</v>
      </c>
    </row>
    <row r="14046" spans="1:7" x14ac:dyDescent="0.25">
      <c r="A14046">
        <v>1607</v>
      </c>
      <c r="B14046" t="s">
        <v>4</v>
      </c>
      <c r="C14046">
        <v>3</v>
      </c>
      <c r="D14046" t="s">
        <v>42</v>
      </c>
      <c r="F14046" t="str" cm="1">
        <f t="array" ref="F14046">CategorizeComment(E14046)</f>
        <v>Other</v>
      </c>
      <c r="G14046" t="str" cm="1">
        <f t="array" ref="G14046">SubCategorizeComment(E14046)</f>
        <v>Other</v>
      </c>
    </row>
    <row r="14047" spans="1:7" x14ac:dyDescent="0.25">
      <c r="A14047">
        <v>58622</v>
      </c>
      <c r="B14047" t="s">
        <v>4</v>
      </c>
      <c r="C14047">
        <v>3</v>
      </c>
      <c r="D14047" t="s">
        <v>1094</v>
      </c>
      <c r="F14047" t="str" cm="1">
        <f t="array" ref="F14047">CategorizeComment(E14047)</f>
        <v>Other</v>
      </c>
      <c r="G14047" t="str" cm="1">
        <f t="array" ref="G14047">SubCategorizeComment(E14047)</f>
        <v>Other</v>
      </c>
    </row>
    <row r="14048" spans="1:7" x14ac:dyDescent="0.25">
      <c r="A14048">
        <v>116384</v>
      </c>
      <c r="B14048" t="s">
        <v>4</v>
      </c>
      <c r="C14048">
        <v>3</v>
      </c>
      <c r="D14048" t="s">
        <v>1971</v>
      </c>
      <c r="F14048" t="str" cm="1">
        <f t="array" ref="F14048">CategorizeComment(E14048)</f>
        <v>Other</v>
      </c>
      <c r="G14048" t="str" cm="1">
        <f t="array" ref="G14048">SubCategorizeComment(E14048)</f>
        <v>Other</v>
      </c>
    </row>
    <row r="14049" spans="1:7" x14ac:dyDescent="0.25">
      <c r="A14049">
        <v>65254</v>
      </c>
      <c r="B14049" t="s">
        <v>4</v>
      </c>
      <c r="C14049">
        <v>4</v>
      </c>
      <c r="D14049" t="s">
        <v>1210</v>
      </c>
      <c r="F14049" t="str" cm="1">
        <f t="array" ref="F14049">CategorizeComment(E14049)</f>
        <v>Other</v>
      </c>
      <c r="G14049" t="str" cm="1">
        <f t="array" ref="G14049">SubCategorizeComment(E14049)</f>
        <v>Other</v>
      </c>
    </row>
    <row r="14050" spans="1:7" x14ac:dyDescent="0.25">
      <c r="A14050">
        <v>54720</v>
      </c>
      <c r="B14050" t="s">
        <v>4</v>
      </c>
      <c r="C14050">
        <v>3</v>
      </c>
      <c r="D14050" t="s">
        <v>1027</v>
      </c>
      <c r="F14050" t="str" cm="1">
        <f t="array" ref="F14050">CategorizeComment(E14050)</f>
        <v>Other</v>
      </c>
      <c r="G14050" t="str" cm="1">
        <f t="array" ref="G14050">SubCategorizeComment(E14050)</f>
        <v>Other</v>
      </c>
    </row>
    <row r="14051" spans="1:7" x14ac:dyDescent="0.25">
      <c r="A14051">
        <v>37086</v>
      </c>
      <c r="B14051" t="s">
        <v>4</v>
      </c>
      <c r="C14051">
        <v>3</v>
      </c>
      <c r="D14051" t="s">
        <v>710</v>
      </c>
      <c r="F14051" t="str" cm="1">
        <f t="array" ref="F14051">CategorizeComment(E14051)</f>
        <v>Other</v>
      </c>
      <c r="G14051" t="str" cm="1">
        <f t="array" ref="G14051">SubCategorizeComment(E14051)</f>
        <v>Other</v>
      </c>
    </row>
    <row r="14052" spans="1:7" x14ac:dyDescent="0.25">
      <c r="A14052">
        <v>34874</v>
      </c>
      <c r="B14052" t="s">
        <v>4</v>
      </c>
      <c r="C14052">
        <v>4</v>
      </c>
      <c r="D14052" t="s">
        <v>663</v>
      </c>
      <c r="F14052" t="str" cm="1">
        <f t="array" ref="F14052">CategorizeComment(E14052)</f>
        <v>Other</v>
      </c>
      <c r="G14052" t="str" cm="1">
        <f t="array" ref="G14052">SubCategorizeComment(E14052)</f>
        <v>Other</v>
      </c>
    </row>
    <row r="14053" spans="1:7" x14ac:dyDescent="0.25">
      <c r="A14053">
        <v>126017</v>
      </c>
      <c r="B14053" t="s">
        <v>4</v>
      </c>
      <c r="C14053">
        <v>3</v>
      </c>
      <c r="D14053" t="s">
        <v>2120</v>
      </c>
      <c r="F14053" t="str" cm="1">
        <f t="array" ref="F14053">CategorizeComment(E14053)</f>
        <v>Other</v>
      </c>
      <c r="G14053" t="str" cm="1">
        <f t="array" ref="G14053">SubCategorizeComment(E14053)</f>
        <v>Other</v>
      </c>
    </row>
    <row r="14054" spans="1:7" x14ac:dyDescent="0.25">
      <c r="A14054">
        <v>15790</v>
      </c>
      <c r="B14054" t="s">
        <v>4</v>
      </c>
      <c r="C14054">
        <v>3</v>
      </c>
      <c r="D14054" t="s">
        <v>310</v>
      </c>
      <c r="F14054" t="str" cm="1">
        <f t="array" ref="F14054">CategorizeComment(E14054)</f>
        <v>Other</v>
      </c>
      <c r="G14054" t="str" cm="1">
        <f t="array" ref="G14054">SubCategorizeComment(E14054)</f>
        <v>Other</v>
      </c>
    </row>
    <row r="14055" spans="1:7" x14ac:dyDescent="0.25">
      <c r="A14055">
        <v>55241</v>
      </c>
      <c r="B14055" t="s">
        <v>4</v>
      </c>
      <c r="C14055">
        <v>4</v>
      </c>
      <c r="D14055" t="s">
        <v>1035</v>
      </c>
      <c r="F14055" t="str" cm="1">
        <f t="array" ref="F14055">CategorizeComment(E14055)</f>
        <v>Other</v>
      </c>
      <c r="G14055" t="str" cm="1">
        <f t="array" ref="G14055">SubCategorizeComment(E14055)</f>
        <v>Other</v>
      </c>
    </row>
    <row r="14056" spans="1:7" x14ac:dyDescent="0.25">
      <c r="A14056">
        <v>84063</v>
      </c>
      <c r="B14056" t="s">
        <v>4</v>
      </c>
      <c r="C14056">
        <v>3</v>
      </c>
      <c r="D14056" t="s">
        <v>1485</v>
      </c>
      <c r="F14056" t="str" cm="1">
        <f t="array" ref="F14056">CategorizeComment(E14056)</f>
        <v>Other</v>
      </c>
      <c r="G14056" t="str" cm="1">
        <f t="array" ref="G14056">SubCategorizeComment(E14056)</f>
        <v>Other</v>
      </c>
    </row>
    <row r="14057" spans="1:7" x14ac:dyDescent="0.25">
      <c r="A14057">
        <v>48771</v>
      </c>
      <c r="B14057" t="s">
        <v>4</v>
      </c>
      <c r="C14057">
        <v>4</v>
      </c>
      <c r="D14057" t="s">
        <v>915</v>
      </c>
      <c r="F14057" t="str" cm="1">
        <f t="array" ref="F14057">CategorizeComment(E14057)</f>
        <v>Other</v>
      </c>
      <c r="G14057" t="str" cm="1">
        <f t="array" ref="G14057">SubCategorizeComment(E14057)</f>
        <v>Other</v>
      </c>
    </row>
    <row r="14058" spans="1:7" x14ac:dyDescent="0.25">
      <c r="A14058">
        <v>72581</v>
      </c>
      <c r="B14058" t="s">
        <v>4</v>
      </c>
      <c r="C14058">
        <v>4</v>
      </c>
      <c r="D14058" t="s">
        <v>1322</v>
      </c>
      <c r="F14058" t="str" cm="1">
        <f t="array" ref="F14058">CategorizeComment(E14058)</f>
        <v>Other</v>
      </c>
      <c r="G14058" t="str" cm="1">
        <f t="array" ref="G14058">SubCategorizeComment(E14058)</f>
        <v>Other</v>
      </c>
    </row>
    <row r="14059" spans="1:7" x14ac:dyDescent="0.25">
      <c r="A14059">
        <v>106754</v>
      </c>
      <c r="B14059" t="s">
        <v>4</v>
      </c>
      <c r="C14059">
        <v>3</v>
      </c>
      <c r="D14059" t="s">
        <v>1825</v>
      </c>
      <c r="F14059" t="str" cm="1">
        <f t="array" ref="F14059">CategorizeComment(E14059)</f>
        <v>Other</v>
      </c>
      <c r="G14059" t="str" cm="1">
        <f t="array" ref="G14059">SubCategorizeComment(E14059)</f>
        <v>Other</v>
      </c>
    </row>
    <row r="14060" spans="1:7" x14ac:dyDescent="0.25">
      <c r="A14060">
        <v>65991</v>
      </c>
      <c r="B14060" t="s">
        <v>4</v>
      </c>
      <c r="C14060">
        <v>3</v>
      </c>
      <c r="D14060" t="s">
        <v>1218</v>
      </c>
      <c r="F14060" t="str" cm="1">
        <f t="array" ref="F14060">CategorizeComment(E14060)</f>
        <v>Other</v>
      </c>
      <c r="G14060" t="str" cm="1">
        <f t="array" ref="G14060">SubCategorizeComment(E14060)</f>
        <v>Other</v>
      </c>
    </row>
    <row r="14061" spans="1:7" x14ac:dyDescent="0.25">
      <c r="A14061">
        <v>108786</v>
      </c>
      <c r="B14061" t="s">
        <v>4</v>
      </c>
      <c r="C14061">
        <v>4</v>
      </c>
      <c r="D14061" t="s">
        <v>1857</v>
      </c>
      <c r="F14061" t="str" cm="1">
        <f t="array" ref="F14061">CategorizeComment(E14061)</f>
        <v>Other</v>
      </c>
      <c r="G14061" t="str" cm="1">
        <f t="array" ref="G14061">SubCategorizeComment(E14061)</f>
        <v>Other</v>
      </c>
    </row>
    <row r="14062" spans="1:7" x14ac:dyDescent="0.25">
      <c r="A14062">
        <v>27790</v>
      </c>
      <c r="B14062" t="s">
        <v>4</v>
      </c>
      <c r="C14062">
        <v>3</v>
      </c>
      <c r="D14062" t="s">
        <v>551</v>
      </c>
      <c r="F14062" t="str" cm="1">
        <f t="array" ref="F14062">CategorizeComment(E14062)</f>
        <v>Other</v>
      </c>
      <c r="G14062" t="str" cm="1">
        <f t="array" ref="G14062">SubCategorizeComment(E14062)</f>
        <v>Other</v>
      </c>
    </row>
    <row r="14063" spans="1:7" x14ac:dyDescent="0.25">
      <c r="A14063">
        <v>106143</v>
      </c>
      <c r="B14063" t="s">
        <v>4</v>
      </c>
      <c r="C14063">
        <v>4</v>
      </c>
      <c r="D14063" t="s">
        <v>1812</v>
      </c>
      <c r="F14063" t="str" cm="1">
        <f t="array" ref="F14063">CategorizeComment(E14063)</f>
        <v>Other</v>
      </c>
      <c r="G14063" t="str" cm="1">
        <f t="array" ref="G14063">SubCategorizeComment(E14063)</f>
        <v>Other</v>
      </c>
    </row>
    <row r="14064" spans="1:7" x14ac:dyDescent="0.25">
      <c r="A14064">
        <v>84384</v>
      </c>
      <c r="B14064" t="s">
        <v>4</v>
      </c>
      <c r="C14064">
        <v>4</v>
      </c>
      <c r="D14064" t="s">
        <v>1488</v>
      </c>
      <c r="F14064" t="str" cm="1">
        <f t="array" ref="F14064">CategorizeComment(E14064)</f>
        <v>Other</v>
      </c>
      <c r="G14064" t="str" cm="1">
        <f t="array" ref="G14064">SubCategorizeComment(E14064)</f>
        <v>Other</v>
      </c>
    </row>
    <row r="14065" spans="1:7" x14ac:dyDescent="0.25">
      <c r="A14065">
        <v>54594</v>
      </c>
      <c r="B14065" t="s">
        <v>4</v>
      </c>
      <c r="C14065">
        <v>4</v>
      </c>
      <c r="D14065" t="s">
        <v>1024</v>
      </c>
      <c r="F14065" t="str" cm="1">
        <f t="array" ref="F14065">CategorizeComment(E14065)</f>
        <v>Other</v>
      </c>
      <c r="G14065" t="str" cm="1">
        <f t="array" ref="G14065">SubCategorizeComment(E14065)</f>
        <v>Other</v>
      </c>
    </row>
    <row r="14066" spans="1:7" x14ac:dyDescent="0.25">
      <c r="A14066">
        <v>44347</v>
      </c>
      <c r="B14066" t="s">
        <v>4</v>
      </c>
      <c r="C14066">
        <v>3</v>
      </c>
      <c r="D14066" t="s">
        <v>836</v>
      </c>
      <c r="F14066" t="str" cm="1">
        <f t="array" ref="F14066">CategorizeComment(E14066)</f>
        <v>Other</v>
      </c>
      <c r="G14066" t="str" cm="1">
        <f t="array" ref="G14066">SubCategorizeComment(E14066)</f>
        <v>Other</v>
      </c>
    </row>
    <row r="14067" spans="1:7" x14ac:dyDescent="0.25">
      <c r="A14067">
        <v>80926</v>
      </c>
      <c r="B14067" t="s">
        <v>4</v>
      </c>
      <c r="C14067">
        <v>4</v>
      </c>
      <c r="D14067" t="s">
        <v>1450</v>
      </c>
      <c r="F14067" t="str" cm="1">
        <f t="array" ref="F14067">CategorizeComment(E14067)</f>
        <v>Other</v>
      </c>
      <c r="G14067" t="str" cm="1">
        <f t="array" ref="G14067">SubCategorizeComment(E14067)</f>
        <v>Other</v>
      </c>
    </row>
    <row r="14068" spans="1:7" x14ac:dyDescent="0.25">
      <c r="A14068">
        <v>115932</v>
      </c>
      <c r="B14068" t="s">
        <v>4</v>
      </c>
      <c r="C14068">
        <v>3</v>
      </c>
      <c r="D14068" t="s">
        <v>1968</v>
      </c>
      <c r="F14068" t="str" cm="1">
        <f t="array" ref="F14068">CategorizeComment(E14068)</f>
        <v>Other</v>
      </c>
      <c r="G14068" t="str" cm="1">
        <f t="array" ref="G14068">SubCategorizeComment(E14068)</f>
        <v>Other</v>
      </c>
    </row>
    <row r="14069" spans="1:7" x14ac:dyDescent="0.25">
      <c r="A14069">
        <v>105556</v>
      </c>
      <c r="B14069" t="s">
        <v>4</v>
      </c>
      <c r="C14069">
        <v>3</v>
      </c>
      <c r="D14069" t="s">
        <v>1805</v>
      </c>
      <c r="F14069" t="str" cm="1">
        <f t="array" ref="F14069">CategorizeComment(E14069)</f>
        <v>Other</v>
      </c>
      <c r="G14069" t="str" cm="1">
        <f t="array" ref="G14069">SubCategorizeComment(E14069)</f>
        <v>Other</v>
      </c>
    </row>
    <row r="14070" spans="1:7" x14ac:dyDescent="0.25">
      <c r="A14070">
        <v>35857</v>
      </c>
      <c r="B14070" t="s">
        <v>4</v>
      </c>
      <c r="C14070">
        <v>4</v>
      </c>
      <c r="D14070" t="s">
        <v>686</v>
      </c>
      <c r="F14070" t="str" cm="1">
        <f t="array" ref="F14070">CategorizeComment(E14070)</f>
        <v>Other</v>
      </c>
      <c r="G14070" t="str" cm="1">
        <f t="array" ref="G14070">SubCategorizeComment(E14070)</f>
        <v>Other</v>
      </c>
    </row>
    <row r="14071" spans="1:7" x14ac:dyDescent="0.25">
      <c r="A14071">
        <v>45019</v>
      </c>
      <c r="B14071" t="s">
        <v>4</v>
      </c>
      <c r="C14071">
        <v>3</v>
      </c>
      <c r="D14071" t="s">
        <v>851</v>
      </c>
      <c r="F14071" t="str" cm="1">
        <f t="array" ref="F14071">CategorizeComment(E14071)</f>
        <v>Other</v>
      </c>
      <c r="G14071" t="str" cm="1">
        <f t="array" ref="G14071">SubCategorizeComment(E14071)</f>
        <v>Other</v>
      </c>
    </row>
    <row r="14072" spans="1:7" x14ac:dyDescent="0.25">
      <c r="A14072">
        <v>35320</v>
      </c>
      <c r="B14072" t="s">
        <v>4</v>
      </c>
      <c r="C14072">
        <v>4</v>
      </c>
      <c r="D14072" t="s">
        <v>672</v>
      </c>
      <c r="F14072" t="str" cm="1">
        <f t="array" ref="F14072">CategorizeComment(E14072)</f>
        <v>Other</v>
      </c>
      <c r="G14072" t="str" cm="1">
        <f t="array" ref="G14072">SubCategorizeComment(E14072)</f>
        <v>Other</v>
      </c>
    </row>
    <row r="14073" spans="1:7" x14ac:dyDescent="0.25">
      <c r="A14073">
        <v>107826</v>
      </c>
      <c r="B14073" t="s">
        <v>4</v>
      </c>
      <c r="C14073">
        <v>3</v>
      </c>
      <c r="D14073" t="s">
        <v>1843</v>
      </c>
      <c r="F14073" t="str" cm="1">
        <f t="array" ref="F14073">CategorizeComment(E14073)</f>
        <v>Other</v>
      </c>
      <c r="G14073" t="str" cm="1">
        <f t="array" ref="G14073">SubCategorizeComment(E14073)</f>
        <v>Other</v>
      </c>
    </row>
    <row r="14074" spans="1:7" x14ac:dyDescent="0.25">
      <c r="A14074">
        <v>5065</v>
      </c>
      <c r="B14074" t="s">
        <v>4</v>
      </c>
      <c r="C14074">
        <v>4</v>
      </c>
      <c r="D14074" t="s">
        <v>105</v>
      </c>
      <c r="F14074" t="str" cm="1">
        <f t="array" ref="F14074">CategorizeComment(E14074)</f>
        <v>Other</v>
      </c>
      <c r="G14074" t="str" cm="1">
        <f t="array" ref="G14074">SubCategorizeComment(E14074)</f>
        <v>Other</v>
      </c>
    </row>
    <row r="14075" spans="1:7" x14ac:dyDescent="0.25">
      <c r="A14075">
        <v>21672</v>
      </c>
      <c r="B14075" t="s">
        <v>4</v>
      </c>
      <c r="C14075">
        <v>4</v>
      </c>
      <c r="D14075" t="s">
        <v>443</v>
      </c>
      <c r="F14075" t="str" cm="1">
        <f t="array" ref="F14075">CategorizeComment(E14075)</f>
        <v>Other</v>
      </c>
      <c r="G14075" t="str" cm="1">
        <f t="array" ref="G14075">SubCategorizeComment(E14075)</f>
        <v>Other</v>
      </c>
    </row>
    <row r="14076" spans="1:7" x14ac:dyDescent="0.25">
      <c r="A14076">
        <v>77256</v>
      </c>
      <c r="B14076" t="s">
        <v>4</v>
      </c>
      <c r="C14076">
        <v>3</v>
      </c>
      <c r="D14076" t="s">
        <v>1389</v>
      </c>
      <c r="F14076" t="str" cm="1">
        <f t="array" ref="F14076">CategorizeComment(E14076)</f>
        <v>Other</v>
      </c>
      <c r="G14076" t="str" cm="1">
        <f t="array" ref="G14076">SubCategorizeComment(E14076)</f>
        <v>Other</v>
      </c>
    </row>
    <row r="14077" spans="1:7" x14ac:dyDescent="0.25">
      <c r="A14077">
        <v>54949</v>
      </c>
      <c r="B14077" t="s">
        <v>4</v>
      </c>
      <c r="C14077">
        <v>4</v>
      </c>
      <c r="D14077" t="s">
        <v>1031</v>
      </c>
      <c r="F14077" t="str" cm="1">
        <f t="array" ref="F14077">CategorizeComment(E14077)</f>
        <v>Other</v>
      </c>
      <c r="G14077" t="str" cm="1">
        <f t="array" ref="G14077">SubCategorizeComment(E14077)</f>
        <v>Other</v>
      </c>
    </row>
    <row r="14078" spans="1:7" x14ac:dyDescent="0.25">
      <c r="A14078">
        <v>129709</v>
      </c>
      <c r="B14078" t="s">
        <v>4</v>
      </c>
      <c r="C14078">
        <v>4</v>
      </c>
      <c r="D14078" t="s">
        <v>2165</v>
      </c>
      <c r="F14078" t="str" cm="1">
        <f t="array" ref="F14078">CategorizeComment(E14078)</f>
        <v>Other</v>
      </c>
      <c r="G14078" t="str" cm="1">
        <f t="array" ref="G14078">SubCategorizeComment(E14078)</f>
        <v>Other</v>
      </c>
    </row>
    <row r="14079" spans="1:7" x14ac:dyDescent="0.25">
      <c r="A14079">
        <v>26794</v>
      </c>
      <c r="B14079" t="s">
        <v>4</v>
      </c>
      <c r="C14079">
        <v>3</v>
      </c>
      <c r="D14079" t="s">
        <v>533</v>
      </c>
      <c r="F14079" t="str" cm="1">
        <f t="array" ref="F14079">CategorizeComment(E14079)</f>
        <v>Other</v>
      </c>
      <c r="G14079" t="str" cm="1">
        <f t="array" ref="G14079">SubCategorizeComment(E14079)</f>
        <v>Other</v>
      </c>
    </row>
    <row r="14080" spans="1:7" x14ac:dyDescent="0.25">
      <c r="A14080">
        <v>124811</v>
      </c>
      <c r="B14080" t="s">
        <v>4</v>
      </c>
      <c r="C14080">
        <v>3</v>
      </c>
      <c r="D14080" t="s">
        <v>2104</v>
      </c>
      <c r="F14080" t="str" cm="1">
        <f t="array" ref="F14080">CategorizeComment(E14080)</f>
        <v>Other</v>
      </c>
      <c r="G14080" t="str" cm="1">
        <f t="array" ref="G14080">SubCategorizeComment(E14080)</f>
        <v>Other</v>
      </c>
    </row>
    <row r="14081" spans="1:7" x14ac:dyDescent="0.25">
      <c r="A14081">
        <v>62394</v>
      </c>
      <c r="B14081" t="s">
        <v>4</v>
      </c>
      <c r="C14081">
        <v>3</v>
      </c>
      <c r="D14081" t="s">
        <v>1165</v>
      </c>
      <c r="F14081" t="str" cm="1">
        <f t="array" ref="F14081">CategorizeComment(E14081)</f>
        <v>Other</v>
      </c>
      <c r="G14081" t="str" cm="1">
        <f t="array" ref="G14081">SubCategorizeComment(E14081)</f>
        <v>Other</v>
      </c>
    </row>
    <row r="14082" spans="1:7" x14ac:dyDescent="0.25">
      <c r="A14082">
        <v>106347</v>
      </c>
      <c r="B14082" t="s">
        <v>4</v>
      </c>
      <c r="C14082">
        <v>4</v>
      </c>
      <c r="D14082" t="s">
        <v>1817</v>
      </c>
      <c r="F14082" t="str" cm="1">
        <f t="array" ref="F14082">CategorizeComment(E14082)</f>
        <v>Other</v>
      </c>
      <c r="G14082" t="str" cm="1">
        <f t="array" ref="G14082">SubCategorizeComment(E14082)</f>
        <v>Other</v>
      </c>
    </row>
    <row r="14083" spans="1:7" x14ac:dyDescent="0.25">
      <c r="A14083">
        <v>91522</v>
      </c>
      <c r="B14083" t="s">
        <v>4</v>
      </c>
      <c r="C14083">
        <v>3</v>
      </c>
      <c r="D14083" t="s">
        <v>1598</v>
      </c>
      <c r="F14083" t="str" cm="1">
        <f t="array" ref="F14083">CategorizeComment(E14083)</f>
        <v>Other</v>
      </c>
      <c r="G14083" t="str" cm="1">
        <f t="array" ref="G14083">SubCategorizeComment(E14083)</f>
        <v>Other</v>
      </c>
    </row>
    <row r="14084" spans="1:7" x14ac:dyDescent="0.25">
      <c r="A14084">
        <v>94728</v>
      </c>
      <c r="B14084" t="s">
        <v>4</v>
      </c>
      <c r="C14084">
        <v>3</v>
      </c>
      <c r="D14084" t="s">
        <v>1647</v>
      </c>
      <c r="F14084" t="str" cm="1">
        <f t="array" ref="F14084">CategorizeComment(E14084)</f>
        <v>Other</v>
      </c>
      <c r="G14084" t="str" cm="1">
        <f t="array" ref="G14084">SubCategorizeComment(E14084)</f>
        <v>Other</v>
      </c>
    </row>
    <row r="14085" spans="1:7" x14ac:dyDescent="0.25">
      <c r="A14085">
        <v>108210</v>
      </c>
      <c r="B14085" t="s">
        <v>4</v>
      </c>
      <c r="C14085">
        <v>4</v>
      </c>
      <c r="D14085" t="s">
        <v>1847</v>
      </c>
      <c r="F14085" t="str" cm="1">
        <f t="array" ref="F14085">CategorizeComment(E14085)</f>
        <v>Other</v>
      </c>
      <c r="G14085" t="str" cm="1">
        <f t="array" ref="G14085">SubCategorizeComment(E14085)</f>
        <v>Other</v>
      </c>
    </row>
    <row r="14086" spans="1:7" x14ac:dyDescent="0.25">
      <c r="A14086">
        <v>21427</v>
      </c>
      <c r="B14086" t="s">
        <v>4</v>
      </c>
      <c r="C14086">
        <v>4</v>
      </c>
      <c r="D14086" t="s">
        <v>437</v>
      </c>
      <c r="F14086" t="str" cm="1">
        <f t="array" ref="F14086">CategorizeComment(E14086)</f>
        <v>Other</v>
      </c>
      <c r="G14086" t="str" cm="1">
        <f t="array" ref="G14086">SubCategorizeComment(E14086)</f>
        <v>Other</v>
      </c>
    </row>
    <row r="14087" spans="1:7" x14ac:dyDescent="0.25">
      <c r="A14087">
        <v>60309</v>
      </c>
      <c r="B14087" t="s">
        <v>4</v>
      </c>
      <c r="C14087">
        <v>4</v>
      </c>
      <c r="D14087" t="s">
        <v>1123</v>
      </c>
      <c r="F14087" t="str" cm="1">
        <f t="array" ref="F14087">CategorizeComment(E14087)</f>
        <v>Other</v>
      </c>
      <c r="G14087" t="str" cm="1">
        <f t="array" ref="G14087">SubCategorizeComment(E14087)</f>
        <v>Other</v>
      </c>
    </row>
    <row r="14088" spans="1:7" x14ac:dyDescent="0.25">
      <c r="A14088">
        <v>28930</v>
      </c>
      <c r="B14088" t="s">
        <v>4</v>
      </c>
      <c r="C14088">
        <v>3</v>
      </c>
      <c r="D14088" t="s">
        <v>571</v>
      </c>
      <c r="F14088" t="str" cm="1">
        <f t="array" ref="F14088">CategorizeComment(E14088)</f>
        <v>Other</v>
      </c>
      <c r="G14088" t="str" cm="1">
        <f t="array" ref="G14088">SubCategorizeComment(E14088)</f>
        <v>Other</v>
      </c>
    </row>
    <row r="14089" spans="1:7" x14ac:dyDescent="0.25">
      <c r="A14089">
        <v>115534</v>
      </c>
      <c r="B14089" t="s">
        <v>4</v>
      </c>
      <c r="C14089">
        <v>3</v>
      </c>
      <c r="D14089" t="s">
        <v>1957</v>
      </c>
      <c r="F14089" t="str" cm="1">
        <f t="array" ref="F14089">CategorizeComment(E14089)</f>
        <v>Other</v>
      </c>
      <c r="G14089" t="str" cm="1">
        <f t="array" ref="G14089">SubCategorizeComment(E14089)</f>
        <v>Other</v>
      </c>
    </row>
    <row r="14090" spans="1:7" x14ac:dyDescent="0.25">
      <c r="A14090">
        <v>63116</v>
      </c>
      <c r="B14090" t="s">
        <v>4</v>
      </c>
      <c r="C14090">
        <v>3</v>
      </c>
      <c r="D14090" t="s">
        <v>1177</v>
      </c>
      <c r="F14090" t="str" cm="1">
        <f t="array" ref="F14090">CategorizeComment(E14090)</f>
        <v>Other</v>
      </c>
      <c r="G14090" t="str" cm="1">
        <f t="array" ref="G14090">SubCategorizeComment(E14090)</f>
        <v>Other</v>
      </c>
    </row>
    <row r="14091" spans="1:7" x14ac:dyDescent="0.25">
      <c r="A14091">
        <v>94950</v>
      </c>
      <c r="B14091" t="s">
        <v>4</v>
      </c>
      <c r="C14091">
        <v>3</v>
      </c>
      <c r="D14091" t="s">
        <v>1653</v>
      </c>
      <c r="F14091" t="str" cm="1">
        <f t="array" ref="F14091">CategorizeComment(E14091)</f>
        <v>Other</v>
      </c>
      <c r="G14091" t="str" cm="1">
        <f t="array" ref="G14091">SubCategorizeComment(E14091)</f>
        <v>Other</v>
      </c>
    </row>
    <row r="14092" spans="1:7" x14ac:dyDescent="0.25">
      <c r="A14092">
        <v>46610</v>
      </c>
      <c r="B14092" t="s">
        <v>4</v>
      </c>
      <c r="C14092">
        <v>3</v>
      </c>
      <c r="D14092" t="s">
        <v>885</v>
      </c>
      <c r="F14092" t="str" cm="1">
        <f t="array" ref="F14092">CategorizeComment(E14092)</f>
        <v>Other</v>
      </c>
      <c r="G14092" t="str" cm="1">
        <f t="array" ref="G14092">SubCategorizeComment(E14092)</f>
        <v>Other</v>
      </c>
    </row>
    <row r="14093" spans="1:7" x14ac:dyDescent="0.25">
      <c r="A14093">
        <v>122358</v>
      </c>
      <c r="B14093" t="s">
        <v>4</v>
      </c>
      <c r="C14093">
        <v>4</v>
      </c>
      <c r="D14093" t="s">
        <v>2060</v>
      </c>
      <c r="F14093" t="str" cm="1">
        <f t="array" ref="F14093">CategorizeComment(E14093)</f>
        <v>Other</v>
      </c>
      <c r="G14093" t="str" cm="1">
        <f t="array" ref="G14093">SubCategorizeComment(E14093)</f>
        <v>Other</v>
      </c>
    </row>
    <row r="14094" spans="1:7" x14ac:dyDescent="0.25">
      <c r="A14094">
        <v>69444</v>
      </c>
      <c r="B14094" t="s">
        <v>4</v>
      </c>
      <c r="C14094">
        <v>4</v>
      </c>
      <c r="D14094" t="s">
        <v>1269</v>
      </c>
      <c r="F14094" t="str" cm="1">
        <f t="array" ref="F14094">CategorizeComment(E14094)</f>
        <v>Other</v>
      </c>
      <c r="G14094" t="str" cm="1">
        <f t="array" ref="G14094">SubCategorizeComment(E14094)</f>
        <v>Other</v>
      </c>
    </row>
    <row r="14095" spans="1:7" x14ac:dyDescent="0.25">
      <c r="A14095">
        <v>62060</v>
      </c>
      <c r="B14095" t="s">
        <v>4</v>
      </c>
      <c r="C14095">
        <v>4</v>
      </c>
      <c r="D14095" t="s">
        <v>1155</v>
      </c>
      <c r="F14095" t="str" cm="1">
        <f t="array" ref="F14095">CategorizeComment(E14095)</f>
        <v>Other</v>
      </c>
      <c r="G14095" t="str" cm="1">
        <f t="array" ref="G14095">SubCategorizeComment(E14095)</f>
        <v>Other</v>
      </c>
    </row>
    <row r="14096" spans="1:7" x14ac:dyDescent="0.25">
      <c r="A14096">
        <v>121439</v>
      </c>
      <c r="B14096" t="s">
        <v>4</v>
      </c>
      <c r="C14096">
        <v>4</v>
      </c>
      <c r="D14096" t="s">
        <v>2041</v>
      </c>
      <c r="F14096" t="str" cm="1">
        <f t="array" ref="F14096">CategorizeComment(E14096)</f>
        <v>Other</v>
      </c>
      <c r="G14096" t="str" cm="1">
        <f t="array" ref="G14096">SubCategorizeComment(E14096)</f>
        <v>Other</v>
      </c>
    </row>
    <row r="14097" spans="1:7" x14ac:dyDescent="0.25">
      <c r="A14097">
        <v>21325</v>
      </c>
      <c r="B14097" t="s">
        <v>4</v>
      </c>
      <c r="C14097">
        <v>3</v>
      </c>
      <c r="D14097" t="s">
        <v>435</v>
      </c>
      <c r="F14097" t="str" cm="1">
        <f t="array" ref="F14097">CategorizeComment(E14097)</f>
        <v>Other</v>
      </c>
      <c r="G14097" t="str" cm="1">
        <f t="array" ref="G14097">SubCategorizeComment(E14097)</f>
        <v>Other</v>
      </c>
    </row>
    <row r="14098" spans="1:7" x14ac:dyDescent="0.25">
      <c r="A14098">
        <v>43144</v>
      </c>
      <c r="B14098" t="s">
        <v>4</v>
      </c>
      <c r="C14098">
        <v>3</v>
      </c>
      <c r="D14098" t="s">
        <v>816</v>
      </c>
      <c r="F14098" t="str" cm="1">
        <f t="array" ref="F14098">CategorizeComment(E14098)</f>
        <v>Other</v>
      </c>
      <c r="G14098" t="str" cm="1">
        <f t="array" ref="G14098">SubCategorizeComment(E14098)</f>
        <v>Other</v>
      </c>
    </row>
    <row r="14099" spans="1:7" x14ac:dyDescent="0.25">
      <c r="A14099">
        <v>7096</v>
      </c>
      <c r="B14099" t="s">
        <v>4</v>
      </c>
      <c r="C14099">
        <v>4</v>
      </c>
      <c r="D14099" t="s">
        <v>144</v>
      </c>
      <c r="F14099" t="str" cm="1">
        <f t="array" ref="F14099">CategorizeComment(E14099)</f>
        <v>Other</v>
      </c>
      <c r="G14099" t="str" cm="1">
        <f t="array" ref="G14099">SubCategorizeComment(E14099)</f>
        <v>Other</v>
      </c>
    </row>
    <row r="14100" spans="1:7" x14ac:dyDescent="0.25">
      <c r="A14100">
        <v>13216</v>
      </c>
      <c r="B14100" t="s">
        <v>4</v>
      </c>
      <c r="C14100">
        <v>4</v>
      </c>
      <c r="D14100" t="s">
        <v>260</v>
      </c>
      <c r="F14100" t="str" cm="1">
        <f t="array" ref="F14100">CategorizeComment(E14100)</f>
        <v>Other</v>
      </c>
      <c r="G14100" t="str" cm="1">
        <f t="array" ref="G14100">SubCategorizeComment(E14100)</f>
        <v>Other</v>
      </c>
    </row>
    <row r="14101" spans="1:7" x14ac:dyDescent="0.25">
      <c r="A14101">
        <v>9571</v>
      </c>
      <c r="B14101" t="s">
        <v>4</v>
      </c>
      <c r="C14101">
        <v>3</v>
      </c>
      <c r="D14101" t="s">
        <v>188</v>
      </c>
      <c r="F14101" t="str" cm="1">
        <f t="array" ref="F14101">CategorizeComment(E14101)</f>
        <v>Other</v>
      </c>
      <c r="G14101" t="str" cm="1">
        <f t="array" ref="G14101">SubCategorizeComment(E14101)</f>
        <v>Other</v>
      </c>
    </row>
    <row r="14102" spans="1:7" x14ac:dyDescent="0.25">
      <c r="A14102">
        <v>8146</v>
      </c>
      <c r="B14102" t="s">
        <v>4</v>
      </c>
      <c r="C14102">
        <v>3</v>
      </c>
      <c r="D14102" t="s">
        <v>162</v>
      </c>
      <c r="F14102" t="str" cm="1">
        <f t="array" ref="F14102">CategorizeComment(E14102)</f>
        <v>Other</v>
      </c>
      <c r="G14102" t="str" cm="1">
        <f t="array" ref="G14102">SubCategorizeComment(E14102)</f>
        <v>Other</v>
      </c>
    </row>
    <row r="14103" spans="1:7" x14ac:dyDescent="0.25">
      <c r="A14103">
        <v>15589</v>
      </c>
      <c r="B14103" t="s">
        <v>4</v>
      </c>
      <c r="C14103">
        <v>4</v>
      </c>
      <c r="D14103" t="s">
        <v>301</v>
      </c>
      <c r="F14103" t="str" cm="1">
        <f t="array" ref="F14103">CategorizeComment(E14103)</f>
        <v>Other</v>
      </c>
      <c r="G14103" t="str" cm="1">
        <f t="array" ref="G14103">SubCategorizeComment(E14103)</f>
        <v>Other</v>
      </c>
    </row>
    <row r="14104" spans="1:7" x14ac:dyDescent="0.25">
      <c r="A14104">
        <v>1238</v>
      </c>
      <c r="B14104" t="s">
        <v>4</v>
      </c>
      <c r="C14104">
        <v>4</v>
      </c>
      <c r="D14104" t="s">
        <v>34</v>
      </c>
      <c r="F14104" t="str" cm="1">
        <f t="array" ref="F14104">CategorizeComment(E14104)</f>
        <v>Other</v>
      </c>
      <c r="G14104" t="str" cm="1">
        <f t="array" ref="G14104">SubCategorizeComment(E14104)</f>
        <v>Other</v>
      </c>
    </row>
    <row r="14105" spans="1:7" x14ac:dyDescent="0.25">
      <c r="A14105">
        <v>128419</v>
      </c>
      <c r="B14105" t="s">
        <v>4</v>
      </c>
      <c r="C14105">
        <v>1</v>
      </c>
      <c r="D14105" t="s">
        <v>2152</v>
      </c>
      <c r="F14105" t="str" cm="1">
        <f t="array" ref="F14105">CategorizeComment(E14105)</f>
        <v>Other</v>
      </c>
      <c r="G14105" t="str" cm="1">
        <f t="array" ref="G14105">SubCategorizeComment(E14105)</f>
        <v>Other</v>
      </c>
    </row>
    <row r="14106" spans="1:7" x14ac:dyDescent="0.25">
      <c r="A14106">
        <v>90748</v>
      </c>
      <c r="B14106" t="s">
        <v>4</v>
      </c>
      <c r="C14106">
        <v>3</v>
      </c>
      <c r="D14106" t="s">
        <v>1579</v>
      </c>
      <c r="F14106" t="str" cm="1">
        <f t="array" ref="F14106">CategorizeComment(E14106)</f>
        <v>Other</v>
      </c>
      <c r="G14106" t="str" cm="1">
        <f t="array" ref="G14106">SubCategorizeComment(E14106)</f>
        <v>Other</v>
      </c>
    </row>
    <row r="14107" spans="1:7" x14ac:dyDescent="0.25">
      <c r="A14107">
        <v>47001</v>
      </c>
      <c r="B14107" t="s">
        <v>4</v>
      </c>
      <c r="C14107">
        <v>4</v>
      </c>
      <c r="D14107" t="s">
        <v>896</v>
      </c>
      <c r="F14107" t="str" cm="1">
        <f t="array" ref="F14107">CategorizeComment(E14107)</f>
        <v>Other</v>
      </c>
      <c r="G14107" t="str" cm="1">
        <f t="array" ref="G14107">SubCategorizeComment(E14107)</f>
        <v>Other</v>
      </c>
    </row>
    <row r="14108" spans="1:7" x14ac:dyDescent="0.25">
      <c r="A14108">
        <v>113597</v>
      </c>
      <c r="B14108" t="s">
        <v>4</v>
      </c>
      <c r="C14108">
        <v>3</v>
      </c>
      <c r="D14108" t="s">
        <v>1934</v>
      </c>
      <c r="F14108" t="str" cm="1">
        <f t="array" ref="F14108">CategorizeComment(E14108)</f>
        <v>Other</v>
      </c>
      <c r="G14108" t="str" cm="1">
        <f t="array" ref="G14108">SubCategorizeComment(E14108)</f>
        <v>Other</v>
      </c>
    </row>
    <row r="14109" spans="1:7" x14ac:dyDescent="0.25">
      <c r="A14109">
        <v>19030</v>
      </c>
      <c r="B14109" t="s">
        <v>4</v>
      </c>
      <c r="C14109">
        <v>4</v>
      </c>
      <c r="D14109" t="s">
        <v>382</v>
      </c>
      <c r="F14109" t="str" cm="1">
        <f t="array" ref="F14109">CategorizeComment(E14109)</f>
        <v>Other</v>
      </c>
      <c r="G14109" t="str" cm="1">
        <f t="array" ref="G14109">SubCategorizeComment(E14109)</f>
        <v>Other</v>
      </c>
    </row>
    <row r="14110" spans="1:7" x14ac:dyDescent="0.25">
      <c r="A14110">
        <v>28382</v>
      </c>
      <c r="B14110" t="s">
        <v>4</v>
      </c>
      <c r="C14110">
        <v>4</v>
      </c>
      <c r="D14110" t="s">
        <v>562</v>
      </c>
      <c r="F14110" t="str" cm="1">
        <f t="array" ref="F14110">CategorizeComment(E14110)</f>
        <v>Other</v>
      </c>
      <c r="G14110" t="str" cm="1">
        <f t="array" ref="G14110">SubCategorizeComment(E14110)</f>
        <v>Other</v>
      </c>
    </row>
    <row r="14111" spans="1:7" x14ac:dyDescent="0.25">
      <c r="A14111">
        <v>53536</v>
      </c>
      <c r="B14111" t="s">
        <v>4</v>
      </c>
      <c r="C14111">
        <v>3</v>
      </c>
      <c r="D14111" t="s">
        <v>999</v>
      </c>
      <c r="F14111" t="str" cm="1">
        <f t="array" ref="F14111">CategorizeComment(E14111)</f>
        <v>Other</v>
      </c>
      <c r="G14111" t="str" cm="1">
        <f t="array" ref="G14111">SubCategorizeComment(E14111)</f>
        <v>Other</v>
      </c>
    </row>
    <row r="14112" spans="1:7" x14ac:dyDescent="0.25">
      <c r="A14112">
        <v>70366</v>
      </c>
      <c r="B14112" t="s">
        <v>4</v>
      </c>
      <c r="C14112">
        <v>3</v>
      </c>
      <c r="D14112" t="s">
        <v>1282</v>
      </c>
      <c r="F14112" t="str" cm="1">
        <f t="array" ref="F14112">CategorizeComment(E14112)</f>
        <v>Other</v>
      </c>
      <c r="G14112" t="str" cm="1">
        <f t="array" ref="G14112">SubCategorizeComment(E14112)</f>
        <v>Other</v>
      </c>
    </row>
    <row r="14113" spans="1:7" x14ac:dyDescent="0.25">
      <c r="A14113">
        <v>77828</v>
      </c>
      <c r="B14113" t="s">
        <v>4</v>
      </c>
      <c r="C14113">
        <v>3</v>
      </c>
      <c r="D14113" t="s">
        <v>1400</v>
      </c>
      <c r="F14113" t="str" cm="1">
        <f t="array" ref="F14113">CategorizeComment(E14113)</f>
        <v>Other</v>
      </c>
      <c r="G14113" t="str" cm="1">
        <f t="array" ref="G14113">SubCategorizeComment(E14113)</f>
        <v>Other</v>
      </c>
    </row>
    <row r="14114" spans="1:7" x14ac:dyDescent="0.25">
      <c r="A14114">
        <v>112451</v>
      </c>
      <c r="B14114" t="s">
        <v>4</v>
      </c>
      <c r="C14114">
        <v>3</v>
      </c>
      <c r="D14114" t="s">
        <v>1917</v>
      </c>
      <c r="F14114" t="str" cm="1">
        <f t="array" ref="F14114">CategorizeComment(E14114)</f>
        <v>Other</v>
      </c>
      <c r="G14114" t="str" cm="1">
        <f t="array" ref="G14114">SubCategorizeComment(E14114)</f>
        <v>Other</v>
      </c>
    </row>
    <row r="14115" spans="1:7" x14ac:dyDescent="0.25">
      <c r="A14115">
        <v>120961</v>
      </c>
      <c r="B14115" t="s">
        <v>4</v>
      </c>
      <c r="C14115">
        <v>4</v>
      </c>
      <c r="D14115" t="s">
        <v>2033</v>
      </c>
      <c r="F14115" t="str" cm="1">
        <f t="array" ref="F14115">CategorizeComment(E14115)</f>
        <v>Other</v>
      </c>
      <c r="G14115" t="str" cm="1">
        <f t="array" ref="G14115">SubCategorizeComment(E14115)</f>
        <v>Other</v>
      </c>
    </row>
    <row r="14116" spans="1:7" x14ac:dyDescent="0.25">
      <c r="A14116">
        <v>52595</v>
      </c>
      <c r="B14116" t="s">
        <v>4</v>
      </c>
      <c r="C14116">
        <v>4</v>
      </c>
      <c r="D14116" t="s">
        <v>981</v>
      </c>
      <c r="F14116" t="str" cm="1">
        <f t="array" ref="F14116">CategorizeComment(E14116)</f>
        <v>Other</v>
      </c>
      <c r="G14116" t="str" cm="1">
        <f t="array" ref="G14116">SubCategorizeComment(E14116)</f>
        <v>Other</v>
      </c>
    </row>
    <row r="14117" spans="1:7" x14ac:dyDescent="0.25">
      <c r="A14117">
        <v>5691</v>
      </c>
      <c r="B14117" t="s">
        <v>4</v>
      </c>
      <c r="C14117">
        <v>4</v>
      </c>
      <c r="D14117" t="s">
        <v>116</v>
      </c>
      <c r="F14117" t="str" cm="1">
        <f t="array" ref="F14117">CategorizeComment(E14117)</f>
        <v>Other</v>
      </c>
      <c r="G14117" t="str" cm="1">
        <f t="array" ref="G14117">SubCategorizeComment(E14117)</f>
        <v>Other</v>
      </c>
    </row>
    <row r="14118" spans="1:7" x14ac:dyDescent="0.25">
      <c r="A14118">
        <v>63292</v>
      </c>
      <c r="B14118" t="s">
        <v>4</v>
      </c>
      <c r="C14118">
        <v>4</v>
      </c>
      <c r="D14118" t="s">
        <v>1179</v>
      </c>
      <c r="F14118" t="str" cm="1">
        <f t="array" ref="F14118">CategorizeComment(E14118)</f>
        <v>Other</v>
      </c>
      <c r="G14118" t="str" cm="1">
        <f t="array" ref="G14118">SubCategorizeComment(E14118)</f>
        <v>Other</v>
      </c>
    </row>
    <row r="14119" spans="1:7" x14ac:dyDescent="0.25">
      <c r="A14119">
        <v>121969</v>
      </c>
      <c r="B14119" t="s">
        <v>4</v>
      </c>
      <c r="C14119">
        <v>4</v>
      </c>
      <c r="D14119" t="s">
        <v>2050</v>
      </c>
      <c r="F14119" t="str" cm="1">
        <f t="array" ref="F14119">CategorizeComment(E14119)</f>
        <v>Other</v>
      </c>
      <c r="G14119" t="str" cm="1">
        <f t="array" ref="G14119">SubCategorizeComment(E14119)</f>
        <v>Other</v>
      </c>
    </row>
    <row r="14120" spans="1:7" x14ac:dyDescent="0.25">
      <c r="A14120">
        <v>90126</v>
      </c>
      <c r="B14120" t="s">
        <v>4</v>
      </c>
      <c r="C14120">
        <v>4</v>
      </c>
      <c r="D14120" t="s">
        <v>1571</v>
      </c>
      <c r="F14120" t="str" cm="1">
        <f t="array" ref="F14120">CategorizeComment(E14120)</f>
        <v>Other</v>
      </c>
      <c r="G14120" t="str" cm="1">
        <f t="array" ref="G14120">SubCategorizeComment(E14120)</f>
        <v>Other</v>
      </c>
    </row>
    <row r="14121" spans="1:7" x14ac:dyDescent="0.25">
      <c r="A14121">
        <v>100033</v>
      </c>
      <c r="B14121" t="s">
        <v>4</v>
      </c>
      <c r="C14121">
        <v>4</v>
      </c>
      <c r="D14121" t="s">
        <v>1726</v>
      </c>
      <c r="F14121" t="str" cm="1">
        <f t="array" ref="F14121">CategorizeComment(E14121)</f>
        <v>Other</v>
      </c>
      <c r="G14121" t="str" cm="1">
        <f t="array" ref="G14121">SubCategorizeComment(E14121)</f>
        <v>Other</v>
      </c>
    </row>
    <row r="14122" spans="1:7" x14ac:dyDescent="0.25">
      <c r="A14122">
        <v>46631</v>
      </c>
      <c r="B14122" t="s">
        <v>4</v>
      </c>
      <c r="C14122">
        <v>4</v>
      </c>
      <c r="D14122" t="s">
        <v>886</v>
      </c>
      <c r="F14122" t="str" cm="1">
        <f t="array" ref="F14122">CategorizeComment(E14122)</f>
        <v>Other</v>
      </c>
      <c r="G14122" t="str" cm="1">
        <f t="array" ref="G14122">SubCategorizeComment(E14122)</f>
        <v>Other</v>
      </c>
    </row>
    <row r="14123" spans="1:7" x14ac:dyDescent="0.25">
      <c r="A14123">
        <v>84365</v>
      </c>
      <c r="B14123" t="s">
        <v>4</v>
      </c>
      <c r="C14123">
        <v>3</v>
      </c>
      <c r="D14123" t="s">
        <v>1487</v>
      </c>
      <c r="F14123" t="str" cm="1">
        <f t="array" ref="F14123">CategorizeComment(E14123)</f>
        <v>Other</v>
      </c>
      <c r="G14123" t="str" cm="1">
        <f t="array" ref="G14123">SubCategorizeComment(E14123)</f>
        <v>Other</v>
      </c>
    </row>
    <row r="14124" spans="1:7" x14ac:dyDescent="0.25">
      <c r="A14124">
        <v>94867</v>
      </c>
      <c r="B14124" t="s">
        <v>4</v>
      </c>
      <c r="C14124">
        <v>4</v>
      </c>
      <c r="D14124" t="s">
        <v>1651</v>
      </c>
      <c r="F14124" t="str" cm="1">
        <f t="array" ref="F14124">CategorizeComment(E14124)</f>
        <v>Other</v>
      </c>
      <c r="G14124" t="str" cm="1">
        <f t="array" ref="G14124">SubCategorizeComment(E14124)</f>
        <v>Other</v>
      </c>
    </row>
    <row r="14125" spans="1:7" x14ac:dyDescent="0.25">
      <c r="A14125">
        <v>5768</v>
      </c>
      <c r="B14125" t="s">
        <v>4</v>
      </c>
      <c r="C14125">
        <v>3</v>
      </c>
      <c r="D14125" t="s">
        <v>118</v>
      </c>
      <c r="F14125" t="str" cm="1">
        <f t="array" ref="F14125">CategorizeComment(E14125)</f>
        <v>Other</v>
      </c>
      <c r="G14125" t="str" cm="1">
        <f t="array" ref="G14125">SubCategorizeComment(E14125)</f>
        <v>Other</v>
      </c>
    </row>
    <row r="14126" spans="1:7" x14ac:dyDescent="0.25">
      <c r="A14126">
        <v>67938</v>
      </c>
      <c r="B14126" t="s">
        <v>4</v>
      </c>
      <c r="C14126">
        <v>3</v>
      </c>
      <c r="D14126" t="s">
        <v>1247</v>
      </c>
      <c r="F14126" t="str" cm="1">
        <f t="array" ref="F14126">CategorizeComment(E14126)</f>
        <v>Other</v>
      </c>
      <c r="G14126" t="str" cm="1">
        <f t="array" ref="G14126">SubCategorizeComment(E14126)</f>
        <v>Other</v>
      </c>
    </row>
    <row r="14127" spans="1:7" x14ac:dyDescent="0.25">
      <c r="A14127">
        <v>68880</v>
      </c>
      <c r="B14127" t="s">
        <v>4</v>
      </c>
      <c r="C14127">
        <v>4</v>
      </c>
      <c r="D14127" t="s">
        <v>1260</v>
      </c>
      <c r="F14127" t="str" cm="1">
        <f t="array" ref="F14127">CategorizeComment(E14127)</f>
        <v>Other</v>
      </c>
      <c r="G14127" t="str" cm="1">
        <f t="array" ref="G14127">SubCategorizeComment(E14127)</f>
        <v>Other</v>
      </c>
    </row>
    <row r="14128" spans="1:7" x14ac:dyDescent="0.25">
      <c r="A14128">
        <v>4472</v>
      </c>
      <c r="B14128" t="s">
        <v>4</v>
      </c>
      <c r="C14128">
        <v>3</v>
      </c>
      <c r="D14128" t="s">
        <v>92</v>
      </c>
      <c r="F14128" t="str" cm="1">
        <f t="array" ref="F14128">CategorizeComment(E14128)</f>
        <v>Other</v>
      </c>
      <c r="G14128" t="str" cm="1">
        <f t="array" ref="G14128">SubCategorizeComment(E14128)</f>
        <v>Other</v>
      </c>
    </row>
    <row r="14129" spans="1:7" x14ac:dyDescent="0.25">
      <c r="A14129">
        <v>23254</v>
      </c>
      <c r="B14129" t="s">
        <v>4</v>
      </c>
      <c r="C14129">
        <v>3</v>
      </c>
      <c r="D14129" t="s">
        <v>475</v>
      </c>
      <c r="F14129" t="str" cm="1">
        <f t="array" ref="F14129">CategorizeComment(E14129)</f>
        <v>Other</v>
      </c>
      <c r="G14129" t="str" cm="1">
        <f t="array" ref="G14129">SubCategorizeComment(E14129)</f>
        <v>Other</v>
      </c>
    </row>
    <row r="14130" spans="1:7" x14ac:dyDescent="0.25">
      <c r="A14130">
        <v>37248</v>
      </c>
      <c r="B14130" t="s">
        <v>4</v>
      </c>
      <c r="C14130">
        <v>3</v>
      </c>
      <c r="D14130" t="s">
        <v>714</v>
      </c>
      <c r="F14130" t="str" cm="1">
        <f t="array" ref="F14130">CategorizeComment(E14130)</f>
        <v>Other</v>
      </c>
      <c r="G14130" t="str" cm="1">
        <f t="array" ref="G14130">SubCategorizeComment(E14130)</f>
        <v>Other</v>
      </c>
    </row>
    <row r="14131" spans="1:7" x14ac:dyDescent="0.25">
      <c r="A14131">
        <v>32561</v>
      </c>
      <c r="B14131" t="s">
        <v>4</v>
      </c>
      <c r="C14131">
        <v>3</v>
      </c>
      <c r="D14131" t="s">
        <v>625</v>
      </c>
      <c r="F14131" t="str" cm="1">
        <f t="array" ref="F14131">CategorizeComment(E14131)</f>
        <v>Other</v>
      </c>
      <c r="G14131" t="str" cm="1">
        <f t="array" ref="G14131">SubCategorizeComment(E14131)</f>
        <v>Other</v>
      </c>
    </row>
    <row r="14132" spans="1:7" x14ac:dyDescent="0.25">
      <c r="A14132">
        <v>111140</v>
      </c>
      <c r="B14132" t="s">
        <v>4</v>
      </c>
      <c r="C14132">
        <v>3</v>
      </c>
      <c r="D14132" t="s">
        <v>1904</v>
      </c>
      <c r="F14132" t="str" cm="1">
        <f t="array" ref="F14132">CategorizeComment(E14132)</f>
        <v>Other</v>
      </c>
      <c r="G14132" t="str" cm="1">
        <f t="array" ref="G14132">SubCategorizeComment(E14132)</f>
        <v>Other</v>
      </c>
    </row>
    <row r="14133" spans="1:7" x14ac:dyDescent="0.25">
      <c r="A14133">
        <v>47043</v>
      </c>
      <c r="B14133" t="s">
        <v>4</v>
      </c>
      <c r="C14133">
        <v>4</v>
      </c>
      <c r="D14133" t="s">
        <v>898</v>
      </c>
      <c r="F14133" t="str" cm="1">
        <f t="array" ref="F14133">CategorizeComment(E14133)</f>
        <v>Other</v>
      </c>
      <c r="G14133" t="str" cm="1">
        <f t="array" ref="G14133">SubCategorizeComment(E14133)</f>
        <v>Other</v>
      </c>
    </row>
    <row r="14134" spans="1:7" x14ac:dyDescent="0.25">
      <c r="A14134">
        <v>73225</v>
      </c>
      <c r="B14134" t="s">
        <v>4</v>
      </c>
      <c r="C14134">
        <v>4</v>
      </c>
      <c r="D14134" t="s">
        <v>1333</v>
      </c>
      <c r="F14134" t="str" cm="1">
        <f t="array" ref="F14134">CategorizeComment(E14134)</f>
        <v>Other</v>
      </c>
      <c r="G14134" t="str" cm="1">
        <f t="array" ref="G14134">SubCategorizeComment(E14134)</f>
        <v>Other</v>
      </c>
    </row>
    <row r="14135" spans="1:7" x14ac:dyDescent="0.25">
      <c r="A14135">
        <v>80896</v>
      </c>
      <c r="B14135" t="s">
        <v>4</v>
      </c>
      <c r="C14135">
        <v>4</v>
      </c>
      <c r="D14135" t="s">
        <v>1449</v>
      </c>
      <c r="F14135" t="str" cm="1">
        <f t="array" ref="F14135">CategorizeComment(E14135)</f>
        <v>Other</v>
      </c>
      <c r="G14135" t="str" cm="1">
        <f t="array" ref="G14135">SubCategorizeComment(E14135)</f>
        <v>Other</v>
      </c>
    </row>
    <row r="14136" spans="1:7" x14ac:dyDescent="0.25">
      <c r="A14136">
        <v>22969</v>
      </c>
      <c r="B14136" t="s">
        <v>4</v>
      </c>
      <c r="C14136">
        <v>3</v>
      </c>
      <c r="D14136" t="s">
        <v>467</v>
      </c>
      <c r="F14136" t="str" cm="1">
        <f t="array" ref="F14136">CategorizeComment(E14136)</f>
        <v>Other</v>
      </c>
      <c r="G14136" t="str" cm="1">
        <f t="array" ref="G14136">SubCategorizeComment(E14136)</f>
        <v>Other</v>
      </c>
    </row>
    <row r="14137" spans="1:7" x14ac:dyDescent="0.25">
      <c r="A14137">
        <v>4320</v>
      </c>
      <c r="B14137" t="s">
        <v>4</v>
      </c>
      <c r="C14137">
        <v>3</v>
      </c>
      <c r="D14137" t="s">
        <v>91</v>
      </c>
      <c r="F14137" t="str" cm="1">
        <f t="array" ref="F14137">CategorizeComment(E14137)</f>
        <v>Other</v>
      </c>
      <c r="G14137" t="str" cm="1">
        <f t="array" ref="G14137">SubCategorizeComment(E14137)</f>
        <v>Other</v>
      </c>
    </row>
    <row r="14138" spans="1:7" x14ac:dyDescent="0.25">
      <c r="A14138">
        <v>79912</v>
      </c>
      <c r="B14138" t="s">
        <v>4</v>
      </c>
      <c r="C14138">
        <v>3</v>
      </c>
      <c r="D14138" t="s">
        <v>1430</v>
      </c>
      <c r="F14138" t="str" cm="1">
        <f t="array" ref="F14138">CategorizeComment(E14138)</f>
        <v>Other</v>
      </c>
      <c r="G14138" t="str" cm="1">
        <f t="array" ref="G14138">SubCategorizeComment(E14138)</f>
        <v>Other</v>
      </c>
    </row>
    <row r="14139" spans="1:7" x14ac:dyDescent="0.25">
      <c r="A14139">
        <v>16763</v>
      </c>
      <c r="B14139" t="s">
        <v>4</v>
      </c>
      <c r="C14139">
        <v>3</v>
      </c>
      <c r="D14139" t="s">
        <v>327</v>
      </c>
      <c r="F14139" t="str" cm="1">
        <f t="array" ref="F14139">CategorizeComment(E14139)</f>
        <v>Other</v>
      </c>
      <c r="G14139" t="str" cm="1">
        <f t="array" ref="G14139">SubCategorizeComment(E14139)</f>
        <v>Other</v>
      </c>
    </row>
    <row r="14140" spans="1:7" x14ac:dyDescent="0.25">
      <c r="A14140">
        <v>21682</v>
      </c>
      <c r="B14140" t="s">
        <v>4</v>
      </c>
      <c r="C14140">
        <v>4</v>
      </c>
      <c r="D14140" t="s">
        <v>444</v>
      </c>
      <c r="F14140" t="str" cm="1">
        <f t="array" ref="F14140">CategorizeComment(E14140)</f>
        <v>Other</v>
      </c>
      <c r="G14140" t="str" cm="1">
        <f t="array" ref="G14140">SubCategorizeComment(E14140)</f>
        <v>Other</v>
      </c>
    </row>
    <row r="14141" spans="1:7" x14ac:dyDescent="0.25">
      <c r="A14141">
        <v>86039</v>
      </c>
      <c r="B14141" t="s">
        <v>4</v>
      </c>
      <c r="C14141">
        <v>4</v>
      </c>
      <c r="D14141" t="s">
        <v>1508</v>
      </c>
      <c r="F14141" t="str" cm="1">
        <f t="array" ref="F14141">CategorizeComment(E14141)</f>
        <v>Other</v>
      </c>
      <c r="G14141" t="str" cm="1">
        <f t="array" ref="G14141">SubCategorizeComment(E14141)</f>
        <v>Other</v>
      </c>
    </row>
    <row r="14142" spans="1:7" x14ac:dyDescent="0.25">
      <c r="A14142">
        <v>43907</v>
      </c>
      <c r="B14142" t="s">
        <v>4</v>
      </c>
      <c r="C14142">
        <v>3</v>
      </c>
      <c r="D14142" t="s">
        <v>826</v>
      </c>
      <c r="F14142" t="str" cm="1">
        <f t="array" ref="F14142">CategorizeComment(E14142)</f>
        <v>Other</v>
      </c>
      <c r="G14142" t="str" cm="1">
        <f t="array" ref="G14142">SubCategorizeComment(E14142)</f>
        <v>Other</v>
      </c>
    </row>
    <row r="14143" spans="1:7" x14ac:dyDescent="0.25">
      <c r="A14143">
        <v>37779</v>
      </c>
      <c r="B14143" t="s">
        <v>4</v>
      </c>
      <c r="C14143">
        <v>3</v>
      </c>
      <c r="D14143" t="s">
        <v>724</v>
      </c>
      <c r="F14143" t="str" cm="1">
        <f t="array" ref="F14143">CategorizeComment(E14143)</f>
        <v>Other</v>
      </c>
      <c r="G14143" t="str" cm="1">
        <f t="array" ref="G14143">SubCategorizeComment(E14143)</f>
        <v>Other</v>
      </c>
    </row>
    <row r="14144" spans="1:7" x14ac:dyDescent="0.25">
      <c r="A14144">
        <v>91092</v>
      </c>
      <c r="B14144" t="s">
        <v>4</v>
      </c>
      <c r="C14144">
        <v>4</v>
      </c>
      <c r="D14144" t="s">
        <v>1591</v>
      </c>
      <c r="F14144" t="str" cm="1">
        <f t="array" ref="F14144">CategorizeComment(E14144)</f>
        <v>Other</v>
      </c>
      <c r="G14144" t="str" cm="1">
        <f t="array" ref="G14144">SubCategorizeComment(E14144)</f>
        <v>Other</v>
      </c>
    </row>
    <row r="14145" spans="1:7" x14ac:dyDescent="0.25">
      <c r="A14145">
        <v>35586</v>
      </c>
      <c r="B14145" t="s">
        <v>4</v>
      </c>
      <c r="C14145">
        <v>4</v>
      </c>
      <c r="D14145" t="s">
        <v>679</v>
      </c>
      <c r="F14145" t="str" cm="1">
        <f t="array" ref="F14145">CategorizeComment(E14145)</f>
        <v>Other</v>
      </c>
      <c r="G14145" t="str" cm="1">
        <f t="array" ref="G14145">SubCategorizeComment(E14145)</f>
        <v>Other</v>
      </c>
    </row>
    <row r="14146" spans="1:7" x14ac:dyDescent="0.25">
      <c r="A14146">
        <v>67103</v>
      </c>
      <c r="B14146" t="s">
        <v>4</v>
      </c>
      <c r="C14146">
        <v>3</v>
      </c>
      <c r="D14146" t="s">
        <v>1236</v>
      </c>
      <c r="F14146" t="str" cm="1">
        <f t="array" ref="F14146">CategorizeComment(E14146)</f>
        <v>Other</v>
      </c>
      <c r="G14146" t="str" cm="1">
        <f t="array" ref="G14146">SubCategorizeComment(E14146)</f>
        <v>Other</v>
      </c>
    </row>
    <row r="14147" spans="1:7" x14ac:dyDescent="0.25">
      <c r="A14147">
        <v>72618</v>
      </c>
      <c r="B14147" t="s">
        <v>4</v>
      </c>
      <c r="C14147">
        <v>3</v>
      </c>
      <c r="D14147" t="s">
        <v>1324</v>
      </c>
      <c r="F14147" t="str" cm="1">
        <f t="array" ref="F14147">CategorizeComment(E14147)</f>
        <v>Other</v>
      </c>
      <c r="G14147" t="str" cm="1">
        <f t="array" ref="G14147">SubCategorizeComment(E14147)</f>
        <v>Other</v>
      </c>
    </row>
    <row r="14148" spans="1:7" x14ac:dyDescent="0.25">
      <c r="A14148">
        <v>38310</v>
      </c>
      <c r="B14148" t="s">
        <v>4</v>
      </c>
      <c r="C14148">
        <v>4</v>
      </c>
      <c r="D14148" t="s">
        <v>738</v>
      </c>
      <c r="F14148" t="str" cm="1">
        <f t="array" ref="F14148">CategorizeComment(E14148)</f>
        <v>Other</v>
      </c>
      <c r="G14148" t="str" cm="1">
        <f t="array" ref="G14148">SubCategorizeComment(E14148)</f>
        <v>Other</v>
      </c>
    </row>
    <row r="14149" spans="1:7" x14ac:dyDescent="0.25">
      <c r="A14149">
        <v>41065</v>
      </c>
      <c r="B14149" t="s">
        <v>4</v>
      </c>
      <c r="C14149">
        <v>3</v>
      </c>
      <c r="D14149" t="s">
        <v>775</v>
      </c>
      <c r="F14149" t="str" cm="1">
        <f t="array" ref="F14149">CategorizeComment(E14149)</f>
        <v>Other</v>
      </c>
      <c r="G14149" t="str" cm="1">
        <f t="array" ref="G14149">SubCategorizeComment(E14149)</f>
        <v>Other</v>
      </c>
    </row>
    <row r="14150" spans="1:7" x14ac:dyDescent="0.25">
      <c r="A14150">
        <v>101963</v>
      </c>
      <c r="B14150" t="s">
        <v>4</v>
      </c>
      <c r="C14150">
        <v>1</v>
      </c>
      <c r="D14150" t="s">
        <v>1746</v>
      </c>
      <c r="F14150" t="str" cm="1">
        <f t="array" ref="F14150">CategorizeComment(E14150)</f>
        <v>Other</v>
      </c>
      <c r="G14150" t="str" cm="1">
        <f t="array" ref="G14150">SubCategorizeComment(E14150)</f>
        <v>Other</v>
      </c>
    </row>
    <row r="14151" spans="1:7" x14ac:dyDescent="0.25">
      <c r="A14151">
        <v>27784</v>
      </c>
      <c r="B14151" t="s">
        <v>4</v>
      </c>
      <c r="C14151">
        <v>4</v>
      </c>
      <c r="D14151" t="s">
        <v>550</v>
      </c>
      <c r="F14151" t="str" cm="1">
        <f t="array" ref="F14151">CategorizeComment(E14151)</f>
        <v>Other</v>
      </c>
      <c r="G14151" t="str" cm="1">
        <f t="array" ref="G14151">SubCategorizeComment(E14151)</f>
        <v>Other</v>
      </c>
    </row>
    <row r="14152" spans="1:7" x14ac:dyDescent="0.25">
      <c r="A14152">
        <v>8178</v>
      </c>
      <c r="B14152" t="s">
        <v>4</v>
      </c>
      <c r="C14152">
        <v>4</v>
      </c>
      <c r="D14152" t="s">
        <v>164</v>
      </c>
      <c r="F14152" t="str" cm="1">
        <f t="array" ref="F14152">CategorizeComment(E14152)</f>
        <v>Other</v>
      </c>
      <c r="G14152" t="str" cm="1">
        <f t="array" ref="G14152">SubCategorizeComment(E14152)</f>
        <v>Other</v>
      </c>
    </row>
    <row r="14153" spans="1:7" x14ac:dyDescent="0.25">
      <c r="A14153">
        <v>58784</v>
      </c>
      <c r="B14153" t="s">
        <v>4</v>
      </c>
      <c r="C14153">
        <v>3</v>
      </c>
      <c r="D14153" t="s">
        <v>1097</v>
      </c>
      <c r="F14153" t="str" cm="1">
        <f t="array" ref="F14153">CategorizeComment(E14153)</f>
        <v>Other</v>
      </c>
      <c r="G14153" t="str" cm="1">
        <f t="array" ref="G14153">SubCategorizeComment(E14153)</f>
        <v>Other</v>
      </c>
    </row>
    <row r="14154" spans="1:7" x14ac:dyDescent="0.25">
      <c r="A14154">
        <v>13166</v>
      </c>
      <c r="B14154" t="s">
        <v>4</v>
      </c>
      <c r="C14154">
        <v>3</v>
      </c>
      <c r="D14154" t="s">
        <v>259</v>
      </c>
      <c r="F14154" t="str" cm="1">
        <f t="array" ref="F14154">CategorizeComment(E14154)</f>
        <v>Other</v>
      </c>
      <c r="G14154" t="str" cm="1">
        <f t="array" ref="G14154">SubCategorizeComment(E14154)</f>
        <v>Other</v>
      </c>
    </row>
    <row r="14155" spans="1:7" x14ac:dyDescent="0.25">
      <c r="A14155">
        <v>10815</v>
      </c>
      <c r="B14155" t="s">
        <v>4</v>
      </c>
      <c r="C14155">
        <v>2</v>
      </c>
      <c r="D14155" t="s">
        <v>213</v>
      </c>
      <c r="F14155" t="str" cm="1">
        <f t="array" ref="F14155">CategorizeComment(E14155)</f>
        <v>Other</v>
      </c>
      <c r="G14155" t="str" cm="1">
        <f t="array" ref="G14155">SubCategorizeComment(E14155)</f>
        <v>Other</v>
      </c>
    </row>
    <row r="14156" spans="1:7" x14ac:dyDescent="0.25">
      <c r="A14156">
        <v>36381</v>
      </c>
      <c r="B14156" t="s">
        <v>4</v>
      </c>
      <c r="C14156">
        <v>3</v>
      </c>
      <c r="D14156" t="s">
        <v>695</v>
      </c>
      <c r="F14156" t="str" cm="1">
        <f t="array" ref="F14156">CategorizeComment(E14156)</f>
        <v>Other</v>
      </c>
      <c r="G14156" t="str" cm="1">
        <f t="array" ref="G14156">SubCategorizeComment(E14156)</f>
        <v>Other</v>
      </c>
    </row>
    <row r="14157" spans="1:7" x14ac:dyDescent="0.25">
      <c r="A14157">
        <v>62425</v>
      </c>
      <c r="B14157" t="s">
        <v>4</v>
      </c>
      <c r="C14157">
        <v>3</v>
      </c>
      <c r="D14157" t="s">
        <v>1166</v>
      </c>
      <c r="F14157" t="str" cm="1">
        <f t="array" ref="F14157">CategorizeComment(E14157)</f>
        <v>Other</v>
      </c>
      <c r="G14157" t="str" cm="1">
        <f t="array" ref="G14157">SubCategorizeComment(E14157)</f>
        <v>Other</v>
      </c>
    </row>
    <row r="14158" spans="1:7" x14ac:dyDescent="0.25">
      <c r="A14158">
        <v>112906</v>
      </c>
      <c r="B14158" t="s">
        <v>4</v>
      </c>
      <c r="C14158">
        <v>3</v>
      </c>
      <c r="D14158" t="s">
        <v>1923</v>
      </c>
      <c r="F14158" t="str" cm="1">
        <f t="array" ref="F14158">CategorizeComment(E14158)</f>
        <v>Other</v>
      </c>
      <c r="G14158" t="str" cm="1">
        <f t="array" ref="G14158">SubCategorizeComment(E14158)</f>
        <v>Other</v>
      </c>
    </row>
    <row r="14159" spans="1:7" x14ac:dyDescent="0.25">
      <c r="A14159">
        <v>110186</v>
      </c>
      <c r="B14159" t="s">
        <v>4</v>
      </c>
      <c r="C14159">
        <v>3</v>
      </c>
      <c r="D14159" t="s">
        <v>1886</v>
      </c>
      <c r="F14159" t="str" cm="1">
        <f t="array" ref="F14159">CategorizeComment(E14159)</f>
        <v>Other</v>
      </c>
      <c r="G14159" t="str" cm="1">
        <f t="array" ref="G14159">SubCategorizeComment(E14159)</f>
        <v>Other</v>
      </c>
    </row>
    <row r="14160" spans="1:7" x14ac:dyDescent="0.25">
      <c r="A14160">
        <v>80407</v>
      </c>
      <c r="B14160" t="s">
        <v>4</v>
      </c>
      <c r="C14160">
        <v>4</v>
      </c>
      <c r="D14160" t="s">
        <v>1440</v>
      </c>
      <c r="F14160" t="str" cm="1">
        <f t="array" ref="F14160">CategorizeComment(E14160)</f>
        <v>Other</v>
      </c>
      <c r="G14160" t="str" cm="1">
        <f t="array" ref="G14160">SubCategorizeComment(E14160)</f>
        <v>Other</v>
      </c>
    </row>
    <row r="14161" spans="1:7" x14ac:dyDescent="0.25">
      <c r="A14161">
        <v>72931</v>
      </c>
      <c r="B14161" t="s">
        <v>4</v>
      </c>
      <c r="C14161">
        <v>4</v>
      </c>
      <c r="D14161" t="s">
        <v>1327</v>
      </c>
      <c r="F14161" t="str" cm="1">
        <f t="array" ref="F14161">CategorizeComment(E14161)</f>
        <v>Other</v>
      </c>
      <c r="G14161" t="str" cm="1">
        <f t="array" ref="G14161">SubCategorizeComment(E14161)</f>
        <v>Other</v>
      </c>
    </row>
    <row r="14162" spans="1:7" x14ac:dyDescent="0.25">
      <c r="A14162">
        <v>105152</v>
      </c>
      <c r="B14162" t="s">
        <v>4</v>
      </c>
      <c r="C14162">
        <v>4</v>
      </c>
      <c r="D14162" t="s">
        <v>1797</v>
      </c>
      <c r="F14162" t="str" cm="1">
        <f t="array" ref="F14162">CategorizeComment(E14162)</f>
        <v>Other</v>
      </c>
      <c r="G14162" t="str" cm="1">
        <f t="array" ref="G14162">SubCategorizeComment(E14162)</f>
        <v>Other</v>
      </c>
    </row>
    <row r="14163" spans="1:7" x14ac:dyDescent="0.25">
      <c r="A14163">
        <v>72119</v>
      </c>
      <c r="B14163" t="s">
        <v>4</v>
      </c>
      <c r="C14163">
        <v>4</v>
      </c>
      <c r="D14163" t="s">
        <v>1312</v>
      </c>
      <c r="F14163" t="str" cm="1">
        <f t="array" ref="F14163">CategorizeComment(E14163)</f>
        <v>Other</v>
      </c>
      <c r="G14163" t="str" cm="1">
        <f t="array" ref="G14163">SubCategorizeComment(E14163)</f>
        <v>Other</v>
      </c>
    </row>
    <row r="14164" spans="1:7" x14ac:dyDescent="0.25">
      <c r="A14164">
        <v>23755</v>
      </c>
      <c r="B14164" t="s">
        <v>4</v>
      </c>
      <c r="C14164">
        <v>3</v>
      </c>
      <c r="D14164" t="s">
        <v>485</v>
      </c>
      <c r="F14164" t="str" cm="1">
        <f t="array" ref="F14164">CategorizeComment(E14164)</f>
        <v>Other</v>
      </c>
      <c r="G14164" t="str" cm="1">
        <f t="array" ref="G14164">SubCategorizeComment(E14164)</f>
        <v>Other</v>
      </c>
    </row>
    <row r="14165" spans="1:7" x14ac:dyDescent="0.25">
      <c r="A14165">
        <v>11935</v>
      </c>
      <c r="B14165" t="s">
        <v>4</v>
      </c>
      <c r="C14165">
        <v>4</v>
      </c>
      <c r="D14165" t="s">
        <v>234</v>
      </c>
      <c r="F14165" t="str" cm="1">
        <f t="array" ref="F14165">CategorizeComment(E14165)</f>
        <v>Other</v>
      </c>
      <c r="G14165" t="str" cm="1">
        <f t="array" ref="G14165">SubCategorizeComment(E14165)</f>
        <v>Other</v>
      </c>
    </row>
    <row r="14166" spans="1:7" x14ac:dyDescent="0.25">
      <c r="A14166">
        <v>106468</v>
      </c>
      <c r="B14166" t="s">
        <v>4</v>
      </c>
      <c r="C14166">
        <v>4</v>
      </c>
      <c r="D14166" t="s">
        <v>1820</v>
      </c>
      <c r="F14166" t="str" cm="1">
        <f t="array" ref="F14166">CategorizeComment(E14166)</f>
        <v>Other</v>
      </c>
      <c r="G14166" t="str" cm="1">
        <f t="array" ref="G14166">SubCategorizeComment(E14166)</f>
        <v>Other</v>
      </c>
    </row>
    <row r="14167" spans="1:7" x14ac:dyDescent="0.25">
      <c r="A14167">
        <v>46475</v>
      </c>
      <c r="B14167" t="s">
        <v>4</v>
      </c>
      <c r="C14167">
        <v>4</v>
      </c>
      <c r="D14167" t="s">
        <v>879</v>
      </c>
      <c r="F14167" t="str" cm="1">
        <f t="array" ref="F14167">CategorizeComment(E14167)</f>
        <v>Other</v>
      </c>
      <c r="G14167" t="str" cm="1">
        <f t="array" ref="G14167">SubCategorizeComment(E14167)</f>
        <v>Other</v>
      </c>
    </row>
    <row r="14168" spans="1:7" x14ac:dyDescent="0.25">
      <c r="A14168">
        <v>12400</v>
      </c>
      <c r="B14168" t="s">
        <v>4</v>
      </c>
      <c r="C14168">
        <v>4</v>
      </c>
      <c r="D14168" t="s">
        <v>244</v>
      </c>
      <c r="F14168" t="str" cm="1">
        <f t="array" ref="F14168">CategorizeComment(E14168)</f>
        <v>Other</v>
      </c>
      <c r="G14168" t="str" cm="1">
        <f t="array" ref="G14168">SubCategorizeComment(E14168)</f>
        <v>Other</v>
      </c>
    </row>
    <row r="14169" spans="1:7" x14ac:dyDescent="0.25">
      <c r="A14169">
        <v>79946</v>
      </c>
      <c r="B14169" t="s">
        <v>4</v>
      </c>
      <c r="C14169">
        <v>3</v>
      </c>
      <c r="D14169" t="s">
        <v>1431</v>
      </c>
      <c r="F14169" t="str" cm="1">
        <f t="array" ref="F14169">CategorizeComment(E14169)</f>
        <v>Other</v>
      </c>
      <c r="G14169" t="str" cm="1">
        <f t="array" ref="G14169">SubCategorizeComment(E14169)</f>
        <v>Other</v>
      </c>
    </row>
    <row r="14170" spans="1:7" x14ac:dyDescent="0.25">
      <c r="A14170">
        <v>114473</v>
      </c>
      <c r="B14170" t="s">
        <v>4</v>
      </c>
      <c r="C14170">
        <v>4</v>
      </c>
      <c r="D14170" t="s">
        <v>1945</v>
      </c>
      <c r="F14170" t="str" cm="1">
        <f t="array" ref="F14170">CategorizeComment(E14170)</f>
        <v>Other</v>
      </c>
      <c r="G14170" t="str" cm="1">
        <f t="array" ref="G14170">SubCategorizeComment(E14170)</f>
        <v>Other</v>
      </c>
    </row>
    <row r="14171" spans="1:7" x14ac:dyDescent="0.25">
      <c r="A14171">
        <v>73004</v>
      </c>
      <c r="B14171" t="s">
        <v>4</v>
      </c>
      <c r="C14171">
        <v>4</v>
      </c>
      <c r="D14171" t="s">
        <v>1329</v>
      </c>
      <c r="F14171" t="str" cm="1">
        <f t="array" ref="F14171">CategorizeComment(E14171)</f>
        <v>Other</v>
      </c>
      <c r="G14171" t="str" cm="1">
        <f t="array" ref="G14171">SubCategorizeComment(E14171)</f>
        <v>Other</v>
      </c>
    </row>
    <row r="14172" spans="1:7" x14ac:dyDescent="0.25">
      <c r="A14172">
        <v>108602</v>
      </c>
      <c r="B14172" t="s">
        <v>4</v>
      </c>
      <c r="C14172">
        <v>4</v>
      </c>
      <c r="D14172" t="s">
        <v>1852</v>
      </c>
      <c r="F14172" t="str" cm="1">
        <f t="array" ref="F14172">CategorizeComment(E14172)</f>
        <v>Other</v>
      </c>
      <c r="G14172" t="str" cm="1">
        <f t="array" ref="G14172">SubCategorizeComment(E14172)</f>
        <v>Other</v>
      </c>
    </row>
    <row r="14173" spans="1:7" x14ac:dyDescent="0.25">
      <c r="A14173">
        <v>75174</v>
      </c>
      <c r="B14173" t="s">
        <v>4</v>
      </c>
      <c r="C14173">
        <v>4</v>
      </c>
      <c r="D14173" t="s">
        <v>1360</v>
      </c>
      <c r="F14173" t="str" cm="1">
        <f t="array" ref="F14173">CategorizeComment(E14173)</f>
        <v>Other</v>
      </c>
      <c r="G14173" t="str" cm="1">
        <f t="array" ref="G14173">SubCategorizeComment(E14173)</f>
        <v>Other</v>
      </c>
    </row>
    <row r="14174" spans="1:7" x14ac:dyDescent="0.25">
      <c r="A14174">
        <v>102261</v>
      </c>
      <c r="B14174" t="s">
        <v>4</v>
      </c>
      <c r="C14174">
        <v>4</v>
      </c>
      <c r="D14174" t="s">
        <v>1750</v>
      </c>
      <c r="F14174" t="str" cm="1">
        <f t="array" ref="F14174">CategorizeComment(E14174)</f>
        <v>Other</v>
      </c>
      <c r="G14174" t="str" cm="1">
        <f t="array" ref="G14174">SubCategorizeComment(E14174)</f>
        <v>Other</v>
      </c>
    </row>
    <row r="14175" spans="1:7" x14ac:dyDescent="0.25">
      <c r="A14175">
        <v>54241</v>
      </c>
      <c r="B14175" t="s">
        <v>4</v>
      </c>
      <c r="C14175">
        <v>3</v>
      </c>
      <c r="D14175" t="s">
        <v>1015</v>
      </c>
      <c r="F14175" t="str" cm="1">
        <f t="array" ref="F14175">CategorizeComment(E14175)</f>
        <v>Other</v>
      </c>
      <c r="G14175" t="str" cm="1">
        <f t="array" ref="G14175">SubCategorizeComment(E14175)</f>
        <v>Other</v>
      </c>
    </row>
    <row r="14176" spans="1:7" x14ac:dyDescent="0.25">
      <c r="A14176">
        <v>1005</v>
      </c>
      <c r="B14176" t="s">
        <v>4</v>
      </c>
      <c r="C14176">
        <v>3</v>
      </c>
      <c r="D14176" t="s">
        <v>28</v>
      </c>
      <c r="F14176" t="str" cm="1">
        <f t="array" ref="F14176">CategorizeComment(E14176)</f>
        <v>Other</v>
      </c>
      <c r="G14176" t="str" cm="1">
        <f t="array" ref="G14176">SubCategorizeComment(E14176)</f>
        <v>Other</v>
      </c>
    </row>
    <row r="14177" spans="1:7" x14ac:dyDescent="0.25">
      <c r="A14177">
        <v>93541</v>
      </c>
      <c r="B14177" t="s">
        <v>4</v>
      </c>
      <c r="C14177">
        <v>4</v>
      </c>
      <c r="D14177" t="s">
        <v>1636</v>
      </c>
      <c r="F14177" t="str" cm="1">
        <f t="array" ref="F14177">CategorizeComment(E14177)</f>
        <v>Other</v>
      </c>
      <c r="G14177" t="str" cm="1">
        <f t="array" ref="G14177">SubCategorizeComment(E14177)</f>
        <v>Other</v>
      </c>
    </row>
    <row r="14178" spans="1:7" x14ac:dyDescent="0.25">
      <c r="A14178">
        <v>59122</v>
      </c>
      <c r="B14178" t="s">
        <v>4</v>
      </c>
      <c r="C14178">
        <v>3</v>
      </c>
      <c r="D14178" t="s">
        <v>1104</v>
      </c>
      <c r="F14178" t="str" cm="1">
        <f t="array" ref="F14178">CategorizeComment(E14178)</f>
        <v>Other</v>
      </c>
      <c r="G14178" t="str" cm="1">
        <f t="array" ref="G14178">SubCategorizeComment(E14178)</f>
        <v>Other</v>
      </c>
    </row>
    <row r="14179" spans="1:7" x14ac:dyDescent="0.25">
      <c r="A14179">
        <v>4242</v>
      </c>
      <c r="B14179" t="s">
        <v>4</v>
      </c>
      <c r="C14179">
        <v>4</v>
      </c>
      <c r="D14179" t="s">
        <v>90</v>
      </c>
      <c r="F14179" t="str" cm="1">
        <f t="array" ref="F14179">CategorizeComment(E14179)</f>
        <v>Other</v>
      </c>
      <c r="G14179" t="str" cm="1">
        <f t="array" ref="G14179">SubCategorizeComment(E14179)</f>
        <v>Other</v>
      </c>
    </row>
    <row r="14180" spans="1:7" x14ac:dyDescent="0.25">
      <c r="A14180">
        <v>11526</v>
      </c>
      <c r="B14180" t="s">
        <v>4</v>
      </c>
      <c r="C14180">
        <v>3</v>
      </c>
      <c r="D14180" t="s">
        <v>226</v>
      </c>
      <c r="F14180" t="str" cm="1">
        <f t="array" ref="F14180">CategorizeComment(E14180)</f>
        <v>Other</v>
      </c>
      <c r="G14180" t="str" cm="1">
        <f t="array" ref="G14180">SubCategorizeComment(E14180)</f>
        <v>Other</v>
      </c>
    </row>
    <row r="14181" spans="1:7" x14ac:dyDescent="0.25">
      <c r="A14181">
        <v>14549</v>
      </c>
      <c r="B14181" t="s">
        <v>4</v>
      </c>
      <c r="C14181">
        <v>4</v>
      </c>
      <c r="D14181" t="s">
        <v>284</v>
      </c>
      <c r="F14181" t="str" cm="1">
        <f t="array" ref="F14181">CategorizeComment(E14181)</f>
        <v>Other</v>
      </c>
      <c r="G14181" t="str" cm="1">
        <f t="array" ref="G14181">SubCategorizeComment(E14181)</f>
        <v>Other</v>
      </c>
    </row>
    <row r="14182" spans="1:7" x14ac:dyDescent="0.25">
      <c r="A14182">
        <v>6385</v>
      </c>
      <c r="B14182" t="s">
        <v>4</v>
      </c>
      <c r="C14182">
        <v>3</v>
      </c>
      <c r="D14182" t="s">
        <v>127</v>
      </c>
      <c r="F14182" t="str" cm="1">
        <f t="array" ref="F14182">CategorizeComment(E14182)</f>
        <v>Other</v>
      </c>
      <c r="G14182" t="str" cm="1">
        <f t="array" ref="G14182">SubCategorizeComment(E14182)</f>
        <v>Other</v>
      </c>
    </row>
    <row r="14183" spans="1:7" x14ac:dyDescent="0.25">
      <c r="A14183">
        <v>4777</v>
      </c>
      <c r="B14183" t="s">
        <v>4</v>
      </c>
      <c r="C14183">
        <v>3</v>
      </c>
      <c r="D14183" t="s">
        <v>98</v>
      </c>
      <c r="F14183" t="str" cm="1">
        <f t="array" ref="F14183">CategorizeComment(E14183)</f>
        <v>Other</v>
      </c>
      <c r="G14183" t="str" cm="1">
        <f t="array" ref="G14183">SubCategorizeComment(E14183)</f>
        <v>Other</v>
      </c>
    </row>
    <row r="14184" spans="1:7" x14ac:dyDescent="0.25">
      <c r="A14184">
        <v>5075</v>
      </c>
      <c r="B14184" t="s">
        <v>4</v>
      </c>
      <c r="C14184">
        <v>3</v>
      </c>
      <c r="D14184" t="s">
        <v>106</v>
      </c>
      <c r="F14184" t="str" cm="1">
        <f t="array" ref="F14184">CategorizeComment(E14184)</f>
        <v>Other</v>
      </c>
      <c r="G14184" t="str" cm="1">
        <f t="array" ref="G14184">SubCategorizeComment(E14184)</f>
        <v>Other</v>
      </c>
    </row>
    <row r="14185" spans="1:7" x14ac:dyDescent="0.25">
      <c r="A14185">
        <v>29945</v>
      </c>
      <c r="B14185" t="s">
        <v>4</v>
      </c>
      <c r="C14185">
        <v>4</v>
      </c>
      <c r="D14185" t="s">
        <v>581</v>
      </c>
      <c r="F14185" t="str" cm="1">
        <f t="array" ref="F14185">CategorizeComment(E14185)</f>
        <v>Other</v>
      </c>
      <c r="G14185" t="str" cm="1">
        <f t="array" ref="G14185">SubCategorizeComment(E14185)</f>
        <v>Other</v>
      </c>
    </row>
    <row r="14186" spans="1:7" x14ac:dyDescent="0.25">
      <c r="A14186">
        <v>7431</v>
      </c>
      <c r="B14186" t="s">
        <v>4</v>
      </c>
      <c r="C14186">
        <v>4</v>
      </c>
      <c r="D14186" t="s">
        <v>152</v>
      </c>
      <c r="F14186" t="str" cm="1">
        <f t="array" ref="F14186">CategorizeComment(E14186)</f>
        <v>Other</v>
      </c>
      <c r="G14186" t="str" cm="1">
        <f t="array" ref="G14186">SubCategorizeComment(E14186)</f>
        <v>Other</v>
      </c>
    </row>
    <row r="14187" spans="1:7" x14ac:dyDescent="0.25">
      <c r="A14187">
        <v>23692</v>
      </c>
      <c r="B14187" t="s">
        <v>4</v>
      </c>
      <c r="C14187">
        <v>3</v>
      </c>
      <c r="D14187" t="s">
        <v>483</v>
      </c>
      <c r="F14187" t="str" cm="1">
        <f t="array" ref="F14187">CategorizeComment(E14187)</f>
        <v>Other</v>
      </c>
      <c r="G14187" t="str" cm="1">
        <f t="array" ref="G14187">SubCategorizeComment(E14187)</f>
        <v>Other</v>
      </c>
    </row>
    <row r="14188" spans="1:7" x14ac:dyDescent="0.25">
      <c r="A14188">
        <v>31522</v>
      </c>
      <c r="B14188" t="s">
        <v>4</v>
      </c>
      <c r="C14188">
        <v>3</v>
      </c>
      <c r="D14188" t="s">
        <v>609</v>
      </c>
      <c r="F14188" t="str" cm="1">
        <f t="array" ref="F14188">CategorizeComment(E14188)</f>
        <v>Other</v>
      </c>
      <c r="G14188" t="str" cm="1">
        <f t="array" ref="G14188">SubCategorizeComment(E14188)</f>
        <v>Other</v>
      </c>
    </row>
    <row r="14189" spans="1:7" x14ac:dyDescent="0.25">
      <c r="A14189">
        <v>97144</v>
      </c>
      <c r="B14189" t="s">
        <v>4</v>
      </c>
      <c r="C14189">
        <v>3</v>
      </c>
      <c r="D14189" t="s">
        <v>1682</v>
      </c>
      <c r="F14189" t="str" cm="1">
        <f t="array" ref="F14189">CategorizeComment(E14189)</f>
        <v>Other</v>
      </c>
      <c r="G14189" t="str" cm="1">
        <f t="array" ref="G14189">SubCategorizeComment(E14189)</f>
        <v>Other</v>
      </c>
    </row>
    <row r="14190" spans="1:7" x14ac:dyDescent="0.25">
      <c r="A14190">
        <v>35105</v>
      </c>
      <c r="B14190" t="s">
        <v>4</v>
      </c>
      <c r="C14190">
        <v>3</v>
      </c>
      <c r="D14190" t="s">
        <v>667</v>
      </c>
      <c r="F14190" t="str" cm="1">
        <f t="array" ref="F14190">CategorizeComment(E14190)</f>
        <v>Other</v>
      </c>
      <c r="G14190" t="str" cm="1">
        <f t="array" ref="G14190">SubCategorizeComment(E14190)</f>
        <v>Other</v>
      </c>
    </row>
    <row r="14191" spans="1:7" x14ac:dyDescent="0.25">
      <c r="A14191">
        <v>53195</v>
      </c>
      <c r="B14191" t="s">
        <v>4</v>
      </c>
      <c r="C14191">
        <v>4</v>
      </c>
      <c r="D14191" t="s">
        <v>991</v>
      </c>
      <c r="F14191" t="str" cm="1">
        <f t="array" ref="F14191">CategorizeComment(E14191)</f>
        <v>Other</v>
      </c>
      <c r="G14191" t="str" cm="1">
        <f t="array" ref="G14191">SubCategorizeComment(E14191)</f>
        <v>Other</v>
      </c>
    </row>
    <row r="14192" spans="1:7" x14ac:dyDescent="0.25">
      <c r="A14192">
        <v>11803</v>
      </c>
      <c r="B14192" t="s">
        <v>4</v>
      </c>
      <c r="C14192">
        <v>3</v>
      </c>
      <c r="D14192" t="s">
        <v>232</v>
      </c>
      <c r="F14192" t="str" cm="1">
        <f t="array" ref="F14192">CategorizeComment(E14192)</f>
        <v>Other</v>
      </c>
      <c r="G14192" t="str" cm="1">
        <f t="array" ref="G14192">SubCategorizeComment(E14192)</f>
        <v>Other</v>
      </c>
    </row>
    <row r="14193" spans="1:7" x14ac:dyDescent="0.25">
      <c r="A14193">
        <v>20127</v>
      </c>
      <c r="B14193" t="s">
        <v>4</v>
      </c>
      <c r="C14193">
        <v>3</v>
      </c>
      <c r="D14193" t="s">
        <v>409</v>
      </c>
      <c r="F14193" t="str" cm="1">
        <f t="array" ref="F14193">CategorizeComment(E14193)</f>
        <v>Other</v>
      </c>
      <c r="G14193" t="str" cm="1">
        <f t="array" ref="G14193">SubCategorizeComment(E14193)</f>
        <v>Other</v>
      </c>
    </row>
    <row r="14194" spans="1:7" x14ac:dyDescent="0.25">
      <c r="A14194">
        <v>21278</v>
      </c>
      <c r="B14194" t="s">
        <v>4</v>
      </c>
      <c r="C14194">
        <v>4</v>
      </c>
      <c r="D14194" t="s">
        <v>433</v>
      </c>
      <c r="F14194" t="str" cm="1">
        <f t="array" ref="F14194">CategorizeComment(E14194)</f>
        <v>Other</v>
      </c>
      <c r="G14194" t="str" cm="1">
        <f t="array" ref="G14194">SubCategorizeComment(E14194)</f>
        <v>Other</v>
      </c>
    </row>
    <row r="14195" spans="1:7" x14ac:dyDescent="0.25">
      <c r="A14195">
        <v>1664</v>
      </c>
      <c r="B14195" t="s">
        <v>4</v>
      </c>
      <c r="C14195">
        <v>4</v>
      </c>
      <c r="D14195" t="s">
        <v>44</v>
      </c>
      <c r="F14195" t="str" cm="1">
        <f t="array" ref="F14195">CategorizeComment(E14195)</f>
        <v>Other</v>
      </c>
      <c r="G14195" t="str" cm="1">
        <f t="array" ref="G14195">SubCategorizeComment(E14195)</f>
        <v>Other</v>
      </c>
    </row>
    <row r="14196" spans="1:7" x14ac:dyDescent="0.25">
      <c r="A14196">
        <v>51166</v>
      </c>
      <c r="B14196" t="s">
        <v>4</v>
      </c>
      <c r="C14196">
        <v>4</v>
      </c>
      <c r="D14196" t="s">
        <v>961</v>
      </c>
      <c r="F14196" t="str" cm="1">
        <f t="array" ref="F14196">CategorizeComment(E14196)</f>
        <v>Other</v>
      </c>
      <c r="G14196" t="str" cm="1">
        <f t="array" ref="G14196">SubCategorizeComment(E14196)</f>
        <v>Other</v>
      </c>
    </row>
    <row r="14197" spans="1:7" x14ac:dyDescent="0.25">
      <c r="A14197">
        <v>115413</v>
      </c>
      <c r="B14197" t="s">
        <v>4</v>
      </c>
      <c r="C14197">
        <v>4</v>
      </c>
      <c r="D14197" t="s">
        <v>1953</v>
      </c>
      <c r="F14197" t="str" cm="1">
        <f t="array" ref="F14197">CategorizeComment(E14197)</f>
        <v>Other</v>
      </c>
      <c r="G14197" t="str" cm="1">
        <f t="array" ref="G14197">SubCategorizeComment(E14197)</f>
        <v>Other</v>
      </c>
    </row>
    <row r="14198" spans="1:7" x14ac:dyDescent="0.25">
      <c r="A14198">
        <v>17257</v>
      </c>
      <c r="B14198" t="s">
        <v>4</v>
      </c>
      <c r="C14198">
        <v>4</v>
      </c>
      <c r="D14198" t="s">
        <v>341</v>
      </c>
      <c r="F14198" t="str" cm="1">
        <f t="array" ref="F14198">CategorizeComment(E14198)</f>
        <v>Other</v>
      </c>
      <c r="G14198" t="str" cm="1">
        <f t="array" ref="G14198">SubCategorizeComment(E14198)</f>
        <v>Other</v>
      </c>
    </row>
    <row r="14199" spans="1:7" x14ac:dyDescent="0.25">
      <c r="A14199">
        <v>121182</v>
      </c>
      <c r="B14199" t="s">
        <v>4</v>
      </c>
      <c r="C14199">
        <v>4</v>
      </c>
      <c r="D14199" t="s">
        <v>2035</v>
      </c>
      <c r="F14199" t="str" cm="1">
        <f t="array" ref="F14199">CategorizeComment(E14199)</f>
        <v>Other</v>
      </c>
      <c r="G14199" t="str" cm="1">
        <f t="array" ref="G14199">SubCategorizeComment(E14199)</f>
        <v>Other</v>
      </c>
    </row>
    <row r="14200" spans="1:7" x14ac:dyDescent="0.25">
      <c r="A14200">
        <v>59132</v>
      </c>
      <c r="B14200" t="s">
        <v>4</v>
      </c>
      <c r="C14200">
        <v>4</v>
      </c>
      <c r="D14200" t="s">
        <v>1105</v>
      </c>
      <c r="F14200" t="str" cm="1">
        <f t="array" ref="F14200">CategorizeComment(E14200)</f>
        <v>Other</v>
      </c>
      <c r="G14200" t="str" cm="1">
        <f t="array" ref="G14200">SubCategorizeComment(E14200)</f>
        <v>Other</v>
      </c>
    </row>
    <row r="14201" spans="1:7" x14ac:dyDescent="0.25">
      <c r="A14201">
        <v>115274</v>
      </c>
      <c r="B14201" t="s">
        <v>4</v>
      </c>
      <c r="C14201">
        <v>3</v>
      </c>
      <c r="D14201" t="s">
        <v>1950</v>
      </c>
      <c r="F14201" t="str" cm="1">
        <f t="array" ref="F14201">CategorizeComment(E14201)</f>
        <v>Other</v>
      </c>
      <c r="G14201" t="str" cm="1">
        <f t="array" ref="G14201">SubCategorizeComment(E14201)</f>
        <v>Other</v>
      </c>
    </row>
    <row r="14202" spans="1:7" x14ac:dyDescent="0.25">
      <c r="A14202">
        <v>24323</v>
      </c>
      <c r="B14202" t="s">
        <v>4</v>
      </c>
      <c r="C14202">
        <v>4</v>
      </c>
      <c r="D14202" t="s">
        <v>493</v>
      </c>
      <c r="F14202" t="str" cm="1">
        <f t="array" ref="F14202">CategorizeComment(E14202)</f>
        <v>Other</v>
      </c>
      <c r="G14202" t="str" cm="1">
        <f t="array" ref="G14202">SubCategorizeComment(E14202)</f>
        <v>Other</v>
      </c>
    </row>
    <row r="14203" spans="1:7" x14ac:dyDescent="0.25">
      <c r="A14203">
        <v>115433</v>
      </c>
      <c r="B14203" t="s">
        <v>4</v>
      </c>
      <c r="C14203">
        <v>4</v>
      </c>
      <c r="D14203" t="s">
        <v>1954</v>
      </c>
      <c r="F14203" t="str" cm="1">
        <f t="array" ref="F14203">CategorizeComment(E14203)</f>
        <v>Other</v>
      </c>
      <c r="G14203" t="str" cm="1">
        <f t="array" ref="G14203">SubCategorizeComment(E14203)</f>
        <v>Other</v>
      </c>
    </row>
    <row r="14204" spans="1:7" x14ac:dyDescent="0.25">
      <c r="A14204">
        <v>80196</v>
      </c>
      <c r="B14204" t="s">
        <v>4</v>
      </c>
      <c r="C14204">
        <v>4</v>
      </c>
      <c r="D14204" t="s">
        <v>1437</v>
      </c>
      <c r="F14204" t="str" cm="1">
        <f t="array" ref="F14204">CategorizeComment(E14204)</f>
        <v>Other</v>
      </c>
      <c r="G14204" t="str" cm="1">
        <f t="array" ref="G14204">SubCategorizeComment(E14204)</f>
        <v>Other</v>
      </c>
    </row>
    <row r="14205" spans="1:7" x14ac:dyDescent="0.25">
      <c r="A14205">
        <v>84817</v>
      </c>
      <c r="B14205" t="s">
        <v>4</v>
      </c>
      <c r="C14205">
        <v>4</v>
      </c>
      <c r="D14205" t="s">
        <v>1495</v>
      </c>
      <c r="F14205" t="str" cm="1">
        <f t="array" ref="F14205">CategorizeComment(E14205)</f>
        <v>Other</v>
      </c>
      <c r="G14205" t="str" cm="1">
        <f t="array" ref="G14205">SubCategorizeComment(E14205)</f>
        <v>Other</v>
      </c>
    </row>
    <row r="14206" spans="1:7" x14ac:dyDescent="0.25">
      <c r="A14206">
        <v>78791</v>
      </c>
      <c r="B14206" t="s">
        <v>4</v>
      </c>
      <c r="C14206">
        <v>3</v>
      </c>
      <c r="D14206" t="s">
        <v>1414</v>
      </c>
      <c r="F14206" t="str" cm="1">
        <f t="array" ref="F14206">CategorizeComment(E14206)</f>
        <v>Other</v>
      </c>
      <c r="G14206" t="str" cm="1">
        <f t="array" ref="G14206">SubCategorizeComment(E14206)</f>
        <v>Other</v>
      </c>
    </row>
    <row r="14207" spans="1:7" x14ac:dyDescent="0.25">
      <c r="A14207">
        <v>13937</v>
      </c>
      <c r="B14207" t="s">
        <v>4</v>
      </c>
      <c r="C14207">
        <v>0</v>
      </c>
      <c r="D14207" t="s">
        <v>273</v>
      </c>
      <c r="F14207" t="str" cm="1">
        <f t="array" ref="F14207">CategorizeComment(E14207)</f>
        <v>Other</v>
      </c>
      <c r="G14207" t="str" cm="1">
        <f t="array" ref="G14207">SubCategorizeComment(E14207)</f>
        <v>Other</v>
      </c>
    </row>
    <row r="14208" spans="1:7" x14ac:dyDescent="0.25">
      <c r="A14208">
        <v>67132</v>
      </c>
      <c r="B14208" t="s">
        <v>4</v>
      </c>
      <c r="C14208">
        <v>3</v>
      </c>
      <c r="D14208" t="s">
        <v>1238</v>
      </c>
      <c r="F14208" t="str" cm="1">
        <f t="array" ref="F14208">CategorizeComment(E14208)</f>
        <v>Other</v>
      </c>
      <c r="G14208" t="str" cm="1">
        <f t="array" ref="G14208">SubCategorizeComment(E14208)</f>
        <v>Other</v>
      </c>
    </row>
    <row r="14209" spans="1:7" x14ac:dyDescent="0.25">
      <c r="A14209">
        <v>72</v>
      </c>
      <c r="B14209" t="s">
        <v>4</v>
      </c>
      <c r="C14209">
        <v>3</v>
      </c>
      <c r="D14209" t="s">
        <v>6</v>
      </c>
      <c r="F14209" t="str" cm="1">
        <f t="array" ref="F14209">CategorizeComment(E14209)</f>
        <v>Other</v>
      </c>
      <c r="G14209" t="str" cm="1">
        <f t="array" ref="G14209">SubCategorizeComment(E14209)</f>
        <v>Other</v>
      </c>
    </row>
    <row r="14210" spans="1:7" x14ac:dyDescent="0.25">
      <c r="A14210">
        <v>32623</v>
      </c>
      <c r="B14210" t="s">
        <v>4</v>
      </c>
      <c r="C14210">
        <v>4</v>
      </c>
      <c r="D14210" t="s">
        <v>626</v>
      </c>
      <c r="F14210" t="str" cm="1">
        <f t="array" ref="F14210">CategorizeComment(E14210)</f>
        <v>Other</v>
      </c>
      <c r="G14210" t="str" cm="1">
        <f t="array" ref="G14210">SubCategorizeComment(E14210)</f>
        <v>Other</v>
      </c>
    </row>
    <row r="14211" spans="1:7" x14ac:dyDescent="0.25">
      <c r="A14211">
        <v>3457</v>
      </c>
      <c r="B14211" t="s">
        <v>4</v>
      </c>
      <c r="C14211">
        <v>3</v>
      </c>
      <c r="D14211" t="s">
        <v>71</v>
      </c>
      <c r="F14211" t="str" cm="1">
        <f t="array" ref="F14211">CategorizeComment(E14211)</f>
        <v>Other</v>
      </c>
      <c r="G14211" t="str" cm="1">
        <f t="array" ref="G14211">SubCategorizeComment(E14211)</f>
        <v>Other</v>
      </c>
    </row>
    <row r="14212" spans="1:7" x14ac:dyDescent="0.25">
      <c r="A14212">
        <v>15742</v>
      </c>
      <c r="B14212" t="s">
        <v>4</v>
      </c>
      <c r="C14212">
        <v>4</v>
      </c>
      <c r="D14212" t="s">
        <v>307</v>
      </c>
      <c r="F14212" t="str" cm="1">
        <f t="array" ref="F14212">CategorizeComment(E14212)</f>
        <v>Other</v>
      </c>
      <c r="G14212" t="str" cm="1">
        <f t="array" ref="G14212">SubCategorizeComment(E14212)</f>
        <v>Other</v>
      </c>
    </row>
    <row r="14213" spans="1:7" x14ac:dyDescent="0.25">
      <c r="A14213">
        <v>34853</v>
      </c>
      <c r="B14213" t="s">
        <v>4</v>
      </c>
      <c r="C14213">
        <v>3</v>
      </c>
      <c r="D14213" t="s">
        <v>662</v>
      </c>
      <c r="F14213" t="str" cm="1">
        <f t="array" ref="F14213">CategorizeComment(E14213)</f>
        <v>Other</v>
      </c>
      <c r="G14213" t="str" cm="1">
        <f t="array" ref="G14213">SubCategorizeComment(E14213)</f>
        <v>Other</v>
      </c>
    </row>
    <row r="14214" spans="1:7" x14ac:dyDescent="0.25">
      <c r="A14214">
        <v>33601</v>
      </c>
      <c r="B14214" t="s">
        <v>4</v>
      </c>
      <c r="C14214">
        <v>3</v>
      </c>
      <c r="D14214" t="s">
        <v>639</v>
      </c>
      <c r="F14214" t="str" cm="1">
        <f t="array" ref="F14214">CategorizeComment(E14214)</f>
        <v>Other</v>
      </c>
      <c r="G14214" t="str" cm="1">
        <f t="array" ref="G14214">SubCategorizeComment(E14214)</f>
        <v>Other</v>
      </c>
    </row>
    <row r="14215" spans="1:7" x14ac:dyDescent="0.25">
      <c r="A14215">
        <v>44795</v>
      </c>
      <c r="B14215" t="s">
        <v>4</v>
      </c>
      <c r="C14215">
        <v>4</v>
      </c>
      <c r="D14215" t="s">
        <v>845</v>
      </c>
      <c r="F14215" t="str" cm="1">
        <f t="array" ref="F14215">CategorizeComment(E14215)</f>
        <v>Other</v>
      </c>
      <c r="G14215" t="str" cm="1">
        <f t="array" ref="G14215">SubCategorizeComment(E14215)</f>
        <v>Other</v>
      </c>
    </row>
    <row r="14216" spans="1:7" x14ac:dyDescent="0.25">
      <c r="A14216">
        <v>87145</v>
      </c>
      <c r="B14216" t="s">
        <v>4</v>
      </c>
      <c r="C14216">
        <v>3</v>
      </c>
      <c r="D14216" t="s">
        <v>1523</v>
      </c>
      <c r="F14216" t="str" cm="1">
        <f t="array" ref="F14216">CategorizeComment(E14216)</f>
        <v>Other</v>
      </c>
      <c r="G14216" t="str" cm="1">
        <f t="array" ref="G14216">SubCategorizeComment(E14216)</f>
        <v>Other</v>
      </c>
    </row>
    <row r="14217" spans="1:7" x14ac:dyDescent="0.25">
      <c r="A14217">
        <v>68127</v>
      </c>
      <c r="B14217" t="s">
        <v>4</v>
      </c>
      <c r="C14217">
        <v>3</v>
      </c>
      <c r="D14217" t="s">
        <v>1248</v>
      </c>
      <c r="F14217" t="str" cm="1">
        <f t="array" ref="F14217">CategorizeComment(E14217)</f>
        <v>Other</v>
      </c>
      <c r="G14217" t="str" cm="1">
        <f t="array" ref="G14217">SubCategorizeComment(E14217)</f>
        <v>Other</v>
      </c>
    </row>
    <row r="14218" spans="1:7" x14ac:dyDescent="0.25">
      <c r="A14218">
        <v>56434</v>
      </c>
      <c r="B14218" t="s">
        <v>4</v>
      </c>
      <c r="C14218">
        <v>4</v>
      </c>
      <c r="D14218" t="s">
        <v>1052</v>
      </c>
      <c r="F14218" t="str" cm="1">
        <f t="array" ref="F14218">CategorizeComment(E14218)</f>
        <v>Other</v>
      </c>
      <c r="G14218" t="str" cm="1">
        <f t="array" ref="G14218">SubCategorizeComment(E14218)</f>
        <v>Other</v>
      </c>
    </row>
    <row r="14219" spans="1:7" x14ac:dyDescent="0.25">
      <c r="A14219">
        <v>98119</v>
      </c>
      <c r="B14219" t="s">
        <v>4</v>
      </c>
      <c r="C14219">
        <v>4</v>
      </c>
      <c r="D14219" t="s">
        <v>1704</v>
      </c>
      <c r="F14219" t="str" cm="1">
        <f t="array" ref="F14219">CategorizeComment(E14219)</f>
        <v>Other</v>
      </c>
      <c r="G14219" t="str" cm="1">
        <f t="array" ref="G14219">SubCategorizeComment(E14219)</f>
        <v>Other</v>
      </c>
    </row>
    <row r="14220" spans="1:7" x14ac:dyDescent="0.25">
      <c r="A14220">
        <v>37414</v>
      </c>
      <c r="B14220" t="s">
        <v>4</v>
      </c>
      <c r="C14220">
        <v>4</v>
      </c>
      <c r="D14220" t="s">
        <v>717</v>
      </c>
      <c r="F14220" t="str" cm="1">
        <f t="array" ref="F14220">CategorizeComment(E14220)</f>
        <v>Other</v>
      </c>
      <c r="G14220" t="str" cm="1">
        <f t="array" ref="G14220">SubCategorizeComment(E14220)</f>
        <v>Other</v>
      </c>
    </row>
    <row r="14221" spans="1:7" x14ac:dyDescent="0.25">
      <c r="A14221">
        <v>33221</v>
      </c>
      <c r="B14221" t="s">
        <v>4</v>
      </c>
      <c r="C14221">
        <v>3</v>
      </c>
      <c r="D14221" t="s">
        <v>636</v>
      </c>
      <c r="F14221" t="str" cm="1">
        <f t="array" ref="F14221">CategorizeComment(E14221)</f>
        <v>Other</v>
      </c>
      <c r="G14221" t="str" cm="1">
        <f t="array" ref="G14221">SubCategorizeComment(E14221)</f>
        <v>Other</v>
      </c>
    </row>
    <row r="14222" spans="1:7" x14ac:dyDescent="0.25">
      <c r="A14222">
        <v>7118</v>
      </c>
      <c r="B14222" t="s">
        <v>4</v>
      </c>
      <c r="C14222">
        <v>4</v>
      </c>
      <c r="D14222" t="s">
        <v>146</v>
      </c>
      <c r="F14222" t="str" cm="1">
        <f t="array" ref="F14222">CategorizeComment(E14222)</f>
        <v>Other</v>
      </c>
      <c r="G14222" t="str" cm="1">
        <f t="array" ref="G14222">SubCategorizeComment(E14222)</f>
        <v>Other</v>
      </c>
    </row>
    <row r="14223" spans="1:7" x14ac:dyDescent="0.25">
      <c r="A14223">
        <v>16027</v>
      </c>
      <c r="B14223" t="s">
        <v>4</v>
      </c>
      <c r="C14223">
        <v>3</v>
      </c>
      <c r="D14223" t="s">
        <v>315</v>
      </c>
      <c r="F14223" t="str" cm="1">
        <f t="array" ref="F14223">CategorizeComment(E14223)</f>
        <v>Other</v>
      </c>
      <c r="G14223" t="str" cm="1">
        <f t="array" ref="G14223">SubCategorizeComment(E14223)</f>
        <v>Other</v>
      </c>
    </row>
    <row r="14224" spans="1:7" x14ac:dyDescent="0.25">
      <c r="A14224">
        <v>4788</v>
      </c>
      <c r="B14224" t="s">
        <v>4</v>
      </c>
      <c r="C14224">
        <v>3</v>
      </c>
      <c r="D14224" t="s">
        <v>99</v>
      </c>
      <c r="F14224" t="str" cm="1">
        <f t="array" ref="F14224">CategorizeComment(E14224)</f>
        <v>Other</v>
      </c>
      <c r="G14224" t="str" cm="1">
        <f t="array" ref="G14224">SubCategorizeComment(E14224)</f>
        <v>Other</v>
      </c>
    </row>
    <row r="14225" spans="1:7" x14ac:dyDescent="0.25">
      <c r="A14225">
        <v>119314</v>
      </c>
      <c r="B14225" t="s">
        <v>4</v>
      </c>
      <c r="C14225">
        <v>3</v>
      </c>
      <c r="D14225" t="s">
        <v>2016</v>
      </c>
      <c r="F14225" t="str" cm="1">
        <f t="array" ref="F14225">CategorizeComment(E14225)</f>
        <v>Other</v>
      </c>
      <c r="G14225" t="str" cm="1">
        <f t="array" ref="G14225">SubCategorizeComment(E14225)</f>
        <v>Other</v>
      </c>
    </row>
    <row r="14226" spans="1:7" x14ac:dyDescent="0.25">
      <c r="A14226">
        <v>96819</v>
      </c>
      <c r="B14226" t="s">
        <v>4</v>
      </c>
      <c r="C14226">
        <v>4</v>
      </c>
      <c r="D14226" t="s">
        <v>1675</v>
      </c>
      <c r="F14226" t="str" cm="1">
        <f t="array" ref="F14226">CategorizeComment(E14226)</f>
        <v>Other</v>
      </c>
      <c r="G14226" t="str" cm="1">
        <f t="array" ref="G14226">SubCategorizeComment(E14226)</f>
        <v>Other</v>
      </c>
    </row>
    <row r="14227" spans="1:7" x14ac:dyDescent="0.25">
      <c r="A14227">
        <v>111639</v>
      </c>
      <c r="B14227" t="s">
        <v>4</v>
      </c>
      <c r="C14227">
        <v>3</v>
      </c>
      <c r="D14227" t="s">
        <v>1906</v>
      </c>
      <c r="F14227" t="str" cm="1">
        <f t="array" ref="F14227">CategorizeComment(E14227)</f>
        <v>Other</v>
      </c>
      <c r="G14227" t="str" cm="1">
        <f t="array" ref="G14227">SubCategorizeComment(E14227)</f>
        <v>Other</v>
      </c>
    </row>
    <row r="14228" spans="1:7" x14ac:dyDescent="0.25">
      <c r="A14228">
        <v>9676</v>
      </c>
      <c r="B14228" t="s">
        <v>4</v>
      </c>
      <c r="C14228">
        <v>3</v>
      </c>
      <c r="D14228" t="s">
        <v>191</v>
      </c>
      <c r="F14228" t="str" cm="1">
        <f t="array" ref="F14228">CategorizeComment(E14228)</f>
        <v>Other</v>
      </c>
      <c r="G14228" t="str" cm="1">
        <f t="array" ref="G14228">SubCategorizeComment(E14228)</f>
        <v>Other</v>
      </c>
    </row>
    <row r="14229" spans="1:7" x14ac:dyDescent="0.25">
      <c r="A14229">
        <v>17760</v>
      </c>
      <c r="B14229" t="s">
        <v>4</v>
      </c>
      <c r="C14229">
        <v>3</v>
      </c>
      <c r="D14229" t="s">
        <v>351</v>
      </c>
      <c r="F14229" t="str" cm="1">
        <f t="array" ref="F14229">CategorizeComment(E14229)</f>
        <v>Other</v>
      </c>
      <c r="G14229" t="str" cm="1">
        <f t="array" ref="G14229">SubCategorizeComment(E14229)</f>
        <v>Other</v>
      </c>
    </row>
    <row r="14230" spans="1:7" x14ac:dyDescent="0.25">
      <c r="A14230">
        <v>6284</v>
      </c>
      <c r="B14230" t="s">
        <v>4</v>
      </c>
      <c r="C14230">
        <v>4</v>
      </c>
      <c r="D14230" t="s">
        <v>123</v>
      </c>
      <c r="F14230" t="str" cm="1">
        <f t="array" ref="F14230">CategorizeComment(E14230)</f>
        <v>Other</v>
      </c>
      <c r="G14230" t="str" cm="1">
        <f t="array" ref="G14230">SubCategorizeComment(E14230)</f>
        <v>Other</v>
      </c>
    </row>
    <row r="14231" spans="1:7" x14ac:dyDescent="0.25">
      <c r="A14231">
        <v>48167</v>
      </c>
      <c r="B14231" t="s">
        <v>4</v>
      </c>
      <c r="C14231">
        <v>3</v>
      </c>
      <c r="D14231" t="s">
        <v>906</v>
      </c>
      <c r="F14231" t="str" cm="1">
        <f t="array" ref="F14231">CategorizeComment(E14231)</f>
        <v>Other</v>
      </c>
      <c r="G14231" t="str" cm="1">
        <f t="array" ref="G14231">SubCategorizeComment(E14231)</f>
        <v>Other</v>
      </c>
    </row>
    <row r="14232" spans="1:7" x14ac:dyDescent="0.25">
      <c r="A14232">
        <v>12615</v>
      </c>
      <c r="B14232" t="s">
        <v>4</v>
      </c>
      <c r="C14232">
        <v>4</v>
      </c>
      <c r="D14232" t="s">
        <v>249</v>
      </c>
      <c r="F14232" t="str" cm="1">
        <f t="array" ref="F14232">CategorizeComment(E14232)</f>
        <v>Other</v>
      </c>
      <c r="G14232" t="str" cm="1">
        <f t="array" ref="G14232">SubCategorizeComment(E14232)</f>
        <v>Other</v>
      </c>
    </row>
    <row r="14233" spans="1:7" x14ac:dyDescent="0.25">
      <c r="A14233">
        <v>116723</v>
      </c>
      <c r="B14233" t="s">
        <v>4</v>
      </c>
      <c r="C14233">
        <v>4</v>
      </c>
      <c r="D14233" t="s">
        <v>1977</v>
      </c>
      <c r="F14233" t="str" cm="1">
        <f t="array" ref="F14233">CategorizeComment(E14233)</f>
        <v>Other</v>
      </c>
      <c r="G14233" t="str" cm="1">
        <f t="array" ref="G14233">SubCategorizeComment(E14233)</f>
        <v>Other</v>
      </c>
    </row>
    <row r="14234" spans="1:7" x14ac:dyDescent="0.25">
      <c r="A14234">
        <v>18227</v>
      </c>
      <c r="B14234" t="s">
        <v>4</v>
      </c>
      <c r="C14234">
        <v>3</v>
      </c>
      <c r="D14234" t="s">
        <v>362</v>
      </c>
      <c r="F14234" t="str" cm="1">
        <f t="array" ref="F14234">CategorizeComment(E14234)</f>
        <v>Other</v>
      </c>
      <c r="G14234" t="str" cm="1">
        <f t="array" ref="G14234">SubCategorizeComment(E14234)</f>
        <v>Other</v>
      </c>
    </row>
    <row r="14235" spans="1:7" x14ac:dyDescent="0.25">
      <c r="A14235">
        <v>90592</v>
      </c>
      <c r="B14235" t="s">
        <v>4</v>
      </c>
      <c r="C14235">
        <v>3</v>
      </c>
      <c r="D14235" t="s">
        <v>1575</v>
      </c>
      <c r="F14235" t="str" cm="1">
        <f t="array" ref="F14235">CategorizeComment(E14235)</f>
        <v>Other</v>
      </c>
      <c r="G14235" t="str" cm="1">
        <f t="array" ref="G14235">SubCategorizeComment(E14235)</f>
        <v>Other</v>
      </c>
    </row>
    <row r="14236" spans="1:7" x14ac:dyDescent="0.25">
      <c r="A14236">
        <v>9443</v>
      </c>
      <c r="B14236" t="s">
        <v>4</v>
      </c>
      <c r="C14236">
        <v>3</v>
      </c>
      <c r="D14236" t="s">
        <v>186</v>
      </c>
      <c r="F14236" t="str" cm="1">
        <f t="array" ref="F14236">CategorizeComment(E14236)</f>
        <v>Other</v>
      </c>
      <c r="G14236" t="str" cm="1">
        <f t="array" ref="G14236">SubCategorizeComment(E14236)</f>
        <v>Other</v>
      </c>
    </row>
    <row r="14237" spans="1:7" x14ac:dyDescent="0.25">
      <c r="A14237">
        <v>12191</v>
      </c>
      <c r="B14237" t="s">
        <v>4</v>
      </c>
      <c r="C14237">
        <v>4</v>
      </c>
      <c r="D14237" t="s">
        <v>238</v>
      </c>
      <c r="F14237" t="str" cm="1">
        <f t="array" ref="F14237">CategorizeComment(E14237)</f>
        <v>Other</v>
      </c>
      <c r="G14237" t="str" cm="1">
        <f t="array" ref="G14237">SubCategorizeComment(E14237)</f>
        <v>Other</v>
      </c>
    </row>
    <row r="14238" spans="1:7" x14ac:dyDescent="0.25">
      <c r="A14238">
        <v>19923</v>
      </c>
      <c r="B14238" t="s">
        <v>4</v>
      </c>
      <c r="C14238">
        <v>3</v>
      </c>
      <c r="D14238" t="s">
        <v>403</v>
      </c>
      <c r="F14238" t="str" cm="1">
        <f t="array" ref="F14238">CategorizeComment(E14238)</f>
        <v>Other</v>
      </c>
      <c r="G14238" t="str" cm="1">
        <f t="array" ref="G14238">SubCategorizeComment(E14238)</f>
        <v>Other</v>
      </c>
    </row>
    <row r="14239" spans="1:7" x14ac:dyDescent="0.25">
      <c r="A14239">
        <v>5481</v>
      </c>
      <c r="B14239" t="s">
        <v>4</v>
      </c>
      <c r="C14239">
        <v>4</v>
      </c>
      <c r="D14239" t="s">
        <v>114</v>
      </c>
      <c r="F14239" t="str" cm="1">
        <f t="array" ref="F14239">CategorizeComment(E14239)</f>
        <v>Other</v>
      </c>
      <c r="G14239" t="str" cm="1">
        <f t="array" ref="G14239">SubCategorizeComment(E14239)</f>
        <v>Other</v>
      </c>
    </row>
    <row r="14240" spans="1:7" x14ac:dyDescent="0.25">
      <c r="A14240">
        <v>93</v>
      </c>
      <c r="B14240" t="s">
        <v>4</v>
      </c>
      <c r="C14240">
        <v>3</v>
      </c>
      <c r="D14240" t="s">
        <v>7</v>
      </c>
      <c r="F14240" t="str" cm="1">
        <f t="array" ref="F14240">CategorizeComment(E14240)</f>
        <v>Other</v>
      </c>
      <c r="G14240" t="str" cm="1">
        <f t="array" ref="G14240">SubCategorizeComment(E14240)</f>
        <v>Other</v>
      </c>
    </row>
    <row r="14241" spans="1:7" x14ac:dyDescent="0.25">
      <c r="A14241">
        <v>65135</v>
      </c>
      <c r="B14241" t="s">
        <v>4</v>
      </c>
      <c r="C14241">
        <v>3</v>
      </c>
      <c r="D14241" t="s">
        <v>1208</v>
      </c>
      <c r="F14241" t="str" cm="1">
        <f t="array" ref="F14241">CategorizeComment(E14241)</f>
        <v>Other</v>
      </c>
      <c r="G14241" t="str" cm="1">
        <f t="array" ref="G14241">SubCategorizeComment(E14241)</f>
        <v>Other</v>
      </c>
    </row>
    <row r="14242" spans="1:7" x14ac:dyDescent="0.25">
      <c r="A14242">
        <v>99098</v>
      </c>
      <c r="B14242" t="s">
        <v>4</v>
      </c>
      <c r="C14242">
        <v>3</v>
      </c>
      <c r="D14242" t="s">
        <v>1717</v>
      </c>
      <c r="F14242" t="str" cm="1">
        <f t="array" ref="F14242">CategorizeComment(E14242)</f>
        <v>Other</v>
      </c>
      <c r="G14242" t="str" cm="1">
        <f t="array" ref="G14242">SubCategorizeComment(E14242)</f>
        <v>Other</v>
      </c>
    </row>
    <row r="14243" spans="1:7" x14ac:dyDescent="0.25">
      <c r="A14243">
        <v>76966</v>
      </c>
      <c r="B14243" t="s">
        <v>4</v>
      </c>
      <c r="C14243">
        <v>3</v>
      </c>
      <c r="D14243" t="s">
        <v>1386</v>
      </c>
      <c r="F14243" t="str" cm="1">
        <f t="array" ref="F14243">CategorizeComment(E14243)</f>
        <v>Other</v>
      </c>
      <c r="G14243" t="str" cm="1">
        <f t="array" ref="G14243">SubCategorizeComment(E14243)</f>
        <v>Other</v>
      </c>
    </row>
    <row r="14244" spans="1:7" x14ac:dyDescent="0.25">
      <c r="A14244">
        <v>122058</v>
      </c>
      <c r="B14244" t="s">
        <v>4</v>
      </c>
      <c r="C14244">
        <v>4</v>
      </c>
      <c r="D14244" t="s">
        <v>2053</v>
      </c>
      <c r="F14244" t="str" cm="1">
        <f t="array" ref="F14244">CategorizeComment(E14244)</f>
        <v>Other</v>
      </c>
      <c r="G14244" t="str" cm="1">
        <f t="array" ref="G14244">SubCategorizeComment(E14244)</f>
        <v>Other</v>
      </c>
    </row>
    <row r="14245" spans="1:7" x14ac:dyDescent="0.25">
      <c r="A14245">
        <v>39277</v>
      </c>
      <c r="B14245" t="s">
        <v>4</v>
      </c>
      <c r="C14245">
        <v>4</v>
      </c>
      <c r="D14245" t="s">
        <v>753</v>
      </c>
      <c r="F14245" t="str" cm="1">
        <f t="array" ref="F14245">CategorizeComment(E14245)</f>
        <v>Other</v>
      </c>
      <c r="G14245" t="str" cm="1">
        <f t="array" ref="G14245">SubCategorizeComment(E14245)</f>
        <v>Other</v>
      </c>
    </row>
    <row r="14246" spans="1:7" x14ac:dyDescent="0.25">
      <c r="A14246">
        <v>104909</v>
      </c>
      <c r="B14246" t="s">
        <v>4</v>
      </c>
      <c r="C14246">
        <v>3</v>
      </c>
      <c r="D14246" t="s">
        <v>1792</v>
      </c>
      <c r="F14246" t="str" cm="1">
        <f t="array" ref="F14246">CategorizeComment(E14246)</f>
        <v>Other</v>
      </c>
      <c r="G14246" t="str" cm="1">
        <f t="array" ref="G14246">SubCategorizeComment(E14246)</f>
        <v>Other</v>
      </c>
    </row>
    <row r="14247" spans="1:7" x14ac:dyDescent="0.25">
      <c r="A14247">
        <v>30692</v>
      </c>
      <c r="B14247" t="s">
        <v>4</v>
      </c>
      <c r="C14247">
        <v>3</v>
      </c>
      <c r="D14247" t="s">
        <v>595</v>
      </c>
      <c r="F14247" t="str" cm="1">
        <f t="array" ref="F14247">CategorizeComment(E14247)</f>
        <v>Other</v>
      </c>
      <c r="G14247" t="str" cm="1">
        <f t="array" ref="G14247">SubCategorizeComment(E14247)</f>
        <v>Other</v>
      </c>
    </row>
    <row r="14248" spans="1:7" x14ac:dyDescent="0.25">
      <c r="A14248">
        <v>110058</v>
      </c>
      <c r="B14248" t="s">
        <v>4</v>
      </c>
      <c r="C14248">
        <v>4</v>
      </c>
      <c r="D14248" t="s">
        <v>1883</v>
      </c>
      <c r="F14248" t="str" cm="1">
        <f t="array" ref="F14248">CategorizeComment(E14248)</f>
        <v>Other</v>
      </c>
      <c r="G14248" t="str" cm="1">
        <f t="array" ref="G14248">SubCategorizeComment(E14248)</f>
        <v>Other</v>
      </c>
    </row>
    <row r="14249" spans="1:7" x14ac:dyDescent="0.25">
      <c r="A14249">
        <v>38072</v>
      </c>
      <c r="B14249" t="s">
        <v>4</v>
      </c>
      <c r="C14249">
        <v>3</v>
      </c>
      <c r="D14249" t="s">
        <v>731</v>
      </c>
      <c r="F14249" t="str" cm="1">
        <f t="array" ref="F14249">CategorizeComment(E14249)</f>
        <v>Other</v>
      </c>
      <c r="G14249" t="str" cm="1">
        <f t="array" ref="G14249">SubCategorizeComment(E14249)</f>
        <v>Other</v>
      </c>
    </row>
    <row r="14250" spans="1:7" x14ac:dyDescent="0.25">
      <c r="A14250">
        <v>79402</v>
      </c>
      <c r="B14250" t="s">
        <v>4</v>
      </c>
      <c r="C14250">
        <v>4</v>
      </c>
      <c r="D14250" t="s">
        <v>1424</v>
      </c>
      <c r="F14250" t="str" cm="1">
        <f t="array" ref="F14250">CategorizeComment(E14250)</f>
        <v>Other</v>
      </c>
      <c r="G14250" t="str" cm="1">
        <f t="array" ref="G14250">SubCategorizeComment(E14250)</f>
        <v>Other</v>
      </c>
    </row>
    <row r="14251" spans="1:7" x14ac:dyDescent="0.25">
      <c r="A14251">
        <v>17452</v>
      </c>
      <c r="B14251" t="s">
        <v>4</v>
      </c>
      <c r="C14251">
        <v>3</v>
      </c>
      <c r="D14251" t="s">
        <v>347</v>
      </c>
      <c r="F14251" t="str" cm="1">
        <f t="array" ref="F14251">CategorizeComment(E14251)</f>
        <v>Other</v>
      </c>
      <c r="G14251" t="str" cm="1">
        <f t="array" ref="G14251">SubCategorizeComment(E14251)</f>
        <v>Other</v>
      </c>
    </row>
    <row r="14252" spans="1:7" x14ac:dyDescent="0.25">
      <c r="A14252">
        <v>11749</v>
      </c>
      <c r="B14252" t="s">
        <v>4</v>
      </c>
      <c r="C14252">
        <v>4</v>
      </c>
      <c r="D14252" t="s">
        <v>230</v>
      </c>
      <c r="F14252" t="str" cm="1">
        <f t="array" ref="F14252">CategorizeComment(E14252)</f>
        <v>Other</v>
      </c>
      <c r="G14252" t="str" cm="1">
        <f t="array" ref="G14252">SubCategorizeComment(E14252)</f>
        <v>Other</v>
      </c>
    </row>
    <row r="14253" spans="1:7" x14ac:dyDescent="0.25">
      <c r="A14253">
        <v>9937</v>
      </c>
      <c r="B14253" t="s">
        <v>4</v>
      </c>
      <c r="C14253">
        <v>3</v>
      </c>
      <c r="D14253" t="s">
        <v>197</v>
      </c>
      <c r="F14253" t="str" cm="1">
        <f t="array" ref="F14253">CategorizeComment(E14253)</f>
        <v>Other</v>
      </c>
      <c r="G14253" t="str" cm="1">
        <f t="array" ref="G14253">SubCategorizeComment(E14253)</f>
        <v>Other</v>
      </c>
    </row>
    <row r="14254" spans="1:7" x14ac:dyDescent="0.25">
      <c r="A14254">
        <v>30327</v>
      </c>
      <c r="B14254" t="s">
        <v>4</v>
      </c>
      <c r="C14254">
        <v>3</v>
      </c>
      <c r="D14254" t="s">
        <v>592</v>
      </c>
      <c r="F14254" t="str" cm="1">
        <f t="array" ref="F14254">CategorizeComment(E14254)</f>
        <v>Other</v>
      </c>
      <c r="G14254" t="str" cm="1">
        <f t="array" ref="G14254">SubCategorizeComment(E14254)</f>
        <v>Other</v>
      </c>
    </row>
    <row r="14255" spans="1:7" x14ac:dyDescent="0.25">
      <c r="A14255">
        <v>91055</v>
      </c>
      <c r="B14255" t="s">
        <v>4</v>
      </c>
      <c r="C14255">
        <v>3</v>
      </c>
      <c r="D14255" t="s">
        <v>1589</v>
      </c>
      <c r="F14255" t="str" cm="1">
        <f t="array" ref="F14255">CategorizeComment(E14255)</f>
        <v>Other</v>
      </c>
      <c r="G14255" t="str" cm="1">
        <f t="array" ref="G14255">SubCategorizeComment(E14255)</f>
        <v>Other</v>
      </c>
    </row>
    <row r="14256" spans="1:7" x14ac:dyDescent="0.25">
      <c r="A14256">
        <v>122863</v>
      </c>
      <c r="B14256" t="s">
        <v>4</v>
      </c>
      <c r="C14256">
        <v>4</v>
      </c>
      <c r="D14256" t="s">
        <v>2070</v>
      </c>
      <c r="F14256" t="str" cm="1">
        <f t="array" ref="F14256">CategorizeComment(E14256)</f>
        <v>Other</v>
      </c>
      <c r="G14256" t="str" cm="1">
        <f t="array" ref="G14256">SubCategorizeComment(E14256)</f>
        <v>Other</v>
      </c>
    </row>
    <row r="14257" spans="1:7" x14ac:dyDescent="0.25">
      <c r="A14257">
        <v>92487</v>
      </c>
      <c r="B14257" t="s">
        <v>4</v>
      </c>
      <c r="C14257">
        <v>3</v>
      </c>
      <c r="D14257" t="s">
        <v>1615</v>
      </c>
      <c r="F14257" t="str" cm="1">
        <f t="array" ref="F14257">CategorizeComment(E14257)</f>
        <v>Other</v>
      </c>
      <c r="G14257" t="str" cm="1">
        <f t="array" ref="G14257">SubCategorizeComment(E14257)</f>
        <v>Other</v>
      </c>
    </row>
    <row r="14258" spans="1:7" x14ac:dyDescent="0.25">
      <c r="A14258">
        <v>45632</v>
      </c>
      <c r="B14258" t="s">
        <v>4</v>
      </c>
      <c r="C14258">
        <v>4</v>
      </c>
      <c r="D14258" t="s">
        <v>868</v>
      </c>
      <c r="F14258" t="str" cm="1">
        <f t="array" ref="F14258">CategorizeComment(E14258)</f>
        <v>Other</v>
      </c>
      <c r="G14258" t="str" cm="1">
        <f t="array" ref="G14258">SubCategorizeComment(E14258)</f>
        <v>Other</v>
      </c>
    </row>
    <row r="14259" spans="1:7" x14ac:dyDescent="0.25">
      <c r="A14259">
        <v>112264</v>
      </c>
      <c r="B14259" t="s">
        <v>4</v>
      </c>
      <c r="C14259">
        <v>4</v>
      </c>
      <c r="D14259" t="s">
        <v>1915</v>
      </c>
      <c r="F14259" t="str" cm="1">
        <f t="array" ref="F14259">CategorizeComment(E14259)</f>
        <v>Other</v>
      </c>
      <c r="G14259" t="str" cm="1">
        <f t="array" ref="G14259">SubCategorizeComment(E14259)</f>
        <v>Other</v>
      </c>
    </row>
    <row r="14260" spans="1:7" x14ac:dyDescent="0.25">
      <c r="A14260">
        <v>6381</v>
      </c>
      <c r="B14260" t="s">
        <v>4</v>
      </c>
      <c r="C14260">
        <v>4</v>
      </c>
      <c r="D14260" t="s">
        <v>126</v>
      </c>
      <c r="F14260" t="str" cm="1">
        <f t="array" ref="F14260">CategorizeComment(E14260)</f>
        <v>Other</v>
      </c>
      <c r="G14260" t="str" cm="1">
        <f t="array" ref="G14260">SubCategorizeComment(E14260)</f>
        <v>Other</v>
      </c>
    </row>
    <row r="14261" spans="1:7" x14ac:dyDescent="0.25">
      <c r="A14261">
        <v>69237</v>
      </c>
      <c r="B14261" t="s">
        <v>4</v>
      </c>
      <c r="C14261">
        <v>3</v>
      </c>
      <c r="D14261" t="s">
        <v>1267</v>
      </c>
      <c r="F14261" t="str" cm="1">
        <f t="array" ref="F14261">CategorizeComment(E14261)</f>
        <v>Other</v>
      </c>
      <c r="G14261" t="str" cm="1">
        <f t="array" ref="G14261">SubCategorizeComment(E14261)</f>
        <v>Other</v>
      </c>
    </row>
    <row r="14262" spans="1:7" x14ac:dyDescent="0.25">
      <c r="A14262">
        <v>43023</v>
      </c>
      <c r="B14262" t="s">
        <v>4</v>
      </c>
      <c r="C14262">
        <v>2</v>
      </c>
      <c r="D14262" t="s">
        <v>812</v>
      </c>
      <c r="F14262" t="str" cm="1">
        <f t="array" ref="F14262">CategorizeComment(E14262)</f>
        <v>Other</v>
      </c>
      <c r="G14262" t="str" cm="1">
        <f t="array" ref="G14262">SubCategorizeComment(E14262)</f>
        <v>Other</v>
      </c>
    </row>
    <row r="14263" spans="1:7" x14ac:dyDescent="0.25">
      <c r="A14263">
        <v>16414</v>
      </c>
      <c r="B14263" t="s">
        <v>4</v>
      </c>
      <c r="C14263">
        <v>3</v>
      </c>
      <c r="D14263" t="s">
        <v>321</v>
      </c>
      <c r="F14263" t="str" cm="1">
        <f t="array" ref="F14263">CategorizeComment(E14263)</f>
        <v>Other</v>
      </c>
      <c r="G14263" t="str" cm="1">
        <f t="array" ref="G14263">SubCategorizeComment(E14263)</f>
        <v>Other</v>
      </c>
    </row>
    <row r="14264" spans="1:7" x14ac:dyDescent="0.25">
      <c r="A14264">
        <v>51415</v>
      </c>
      <c r="B14264" t="s">
        <v>4</v>
      </c>
      <c r="C14264">
        <v>3</v>
      </c>
      <c r="D14264" t="s">
        <v>963</v>
      </c>
      <c r="F14264" t="str" cm="1">
        <f t="array" ref="F14264">CategorizeComment(E14264)</f>
        <v>Other</v>
      </c>
      <c r="G14264" t="str" cm="1">
        <f t="array" ref="G14264">SubCategorizeComment(E14264)</f>
        <v>Other</v>
      </c>
    </row>
    <row r="14265" spans="1:7" x14ac:dyDescent="0.25">
      <c r="A14265">
        <v>11275</v>
      </c>
      <c r="B14265" t="s">
        <v>4</v>
      </c>
      <c r="C14265">
        <v>4</v>
      </c>
      <c r="D14265" t="s">
        <v>222</v>
      </c>
      <c r="F14265" t="str" cm="1">
        <f t="array" ref="F14265">CategorizeComment(E14265)</f>
        <v>Other</v>
      </c>
      <c r="G14265" t="str" cm="1">
        <f t="array" ref="G14265">SubCategorizeComment(E14265)</f>
        <v>Other</v>
      </c>
    </row>
    <row r="14266" spans="1:7" x14ac:dyDescent="0.25">
      <c r="A14266">
        <v>46494</v>
      </c>
      <c r="B14266" t="s">
        <v>4</v>
      </c>
      <c r="C14266">
        <v>1</v>
      </c>
      <c r="D14266" t="s">
        <v>880</v>
      </c>
      <c r="F14266" t="str" cm="1">
        <f t="array" ref="F14266">CategorizeComment(E14266)</f>
        <v>Other</v>
      </c>
      <c r="G14266" t="str" cm="1">
        <f t="array" ref="G14266">SubCategorizeComment(E14266)</f>
        <v>Other</v>
      </c>
    </row>
    <row r="14267" spans="1:7" x14ac:dyDescent="0.25">
      <c r="A14267">
        <v>24723</v>
      </c>
      <c r="B14267" t="s">
        <v>4</v>
      </c>
      <c r="C14267">
        <v>4</v>
      </c>
      <c r="D14267" t="s">
        <v>501</v>
      </c>
      <c r="F14267" t="str" cm="1">
        <f t="array" ref="F14267">CategorizeComment(E14267)</f>
        <v>Other</v>
      </c>
      <c r="G14267" t="str" cm="1">
        <f t="array" ref="G14267">SubCategorizeComment(E14267)</f>
        <v>Other</v>
      </c>
    </row>
    <row r="14268" spans="1:7" x14ac:dyDescent="0.25">
      <c r="A14268">
        <v>29726</v>
      </c>
      <c r="B14268" t="s">
        <v>4</v>
      </c>
      <c r="C14268">
        <v>3</v>
      </c>
      <c r="D14268" t="s">
        <v>579</v>
      </c>
      <c r="F14268" t="str" cm="1">
        <f t="array" ref="F14268">CategorizeComment(E14268)</f>
        <v>Other</v>
      </c>
      <c r="G14268" t="str" cm="1">
        <f t="array" ref="G14268">SubCategorizeComment(E14268)</f>
        <v>Other</v>
      </c>
    </row>
    <row r="14269" spans="1:7" x14ac:dyDescent="0.25">
      <c r="A14269">
        <v>73030</v>
      </c>
      <c r="B14269" t="s">
        <v>4</v>
      </c>
      <c r="C14269">
        <v>4</v>
      </c>
      <c r="D14269" t="s">
        <v>1330</v>
      </c>
      <c r="F14269" t="str" cm="1">
        <f t="array" ref="F14269">CategorizeComment(E14269)</f>
        <v>Other</v>
      </c>
      <c r="G14269" t="str" cm="1">
        <f t="array" ref="G14269">SubCategorizeComment(E14269)</f>
        <v>Other</v>
      </c>
    </row>
    <row r="14270" spans="1:7" x14ac:dyDescent="0.25">
      <c r="A14270">
        <v>83506</v>
      </c>
      <c r="B14270" t="s">
        <v>4</v>
      </c>
      <c r="C14270">
        <v>4</v>
      </c>
      <c r="D14270" t="s">
        <v>1479</v>
      </c>
      <c r="F14270" t="str" cm="1">
        <f t="array" ref="F14270">CategorizeComment(E14270)</f>
        <v>Other</v>
      </c>
      <c r="G14270" t="str" cm="1">
        <f t="array" ref="G14270">SubCategorizeComment(E14270)</f>
        <v>Other</v>
      </c>
    </row>
    <row r="14271" spans="1:7" x14ac:dyDescent="0.25">
      <c r="A14271">
        <v>120608</v>
      </c>
      <c r="B14271" t="s">
        <v>4</v>
      </c>
      <c r="C14271">
        <v>4</v>
      </c>
      <c r="D14271" t="s">
        <v>2030</v>
      </c>
      <c r="F14271" t="str" cm="1">
        <f t="array" ref="F14271">CategorizeComment(E14271)</f>
        <v>Other</v>
      </c>
      <c r="G14271" t="str" cm="1">
        <f t="array" ref="G14271">SubCategorizeComment(E14271)</f>
        <v>Other</v>
      </c>
    </row>
    <row r="14272" spans="1:7" x14ac:dyDescent="0.25">
      <c r="A14272">
        <v>90094</v>
      </c>
      <c r="B14272" t="s">
        <v>4</v>
      </c>
      <c r="C14272">
        <v>4</v>
      </c>
      <c r="D14272" t="s">
        <v>1567</v>
      </c>
      <c r="F14272" t="str" cm="1">
        <f t="array" ref="F14272">CategorizeComment(E14272)</f>
        <v>Other</v>
      </c>
      <c r="G14272" t="str" cm="1">
        <f t="array" ref="G14272">SubCategorizeComment(E14272)</f>
        <v>Other</v>
      </c>
    </row>
    <row r="14273" spans="1:7" x14ac:dyDescent="0.25">
      <c r="A14273">
        <v>42252</v>
      </c>
      <c r="B14273" t="s">
        <v>4</v>
      </c>
      <c r="C14273">
        <v>4</v>
      </c>
      <c r="D14273" t="s">
        <v>792</v>
      </c>
      <c r="F14273" t="str" cm="1">
        <f t="array" ref="F14273">CategorizeComment(E14273)</f>
        <v>Other</v>
      </c>
      <c r="G14273" t="str" cm="1">
        <f t="array" ref="G14273">SubCategorizeComment(E14273)</f>
        <v>Other</v>
      </c>
    </row>
    <row r="14274" spans="1:7" x14ac:dyDescent="0.25">
      <c r="A14274">
        <v>87105</v>
      </c>
      <c r="B14274" t="s">
        <v>4</v>
      </c>
      <c r="C14274">
        <v>4</v>
      </c>
      <c r="D14274" t="s">
        <v>1520</v>
      </c>
      <c r="F14274" t="str" cm="1">
        <f t="array" ref="F14274">CategorizeComment(E14274)</f>
        <v>Other</v>
      </c>
      <c r="G14274" t="str" cm="1">
        <f t="array" ref="G14274">SubCategorizeComment(E14274)</f>
        <v>Other</v>
      </c>
    </row>
    <row r="14275" spans="1:7" x14ac:dyDescent="0.25">
      <c r="A14275">
        <v>66579</v>
      </c>
      <c r="B14275" t="s">
        <v>4</v>
      </c>
      <c r="C14275">
        <v>3</v>
      </c>
      <c r="D14275" t="s">
        <v>1227</v>
      </c>
      <c r="F14275" t="str" cm="1">
        <f t="array" ref="F14275">CategorizeComment(E14275)</f>
        <v>Other</v>
      </c>
      <c r="G14275" t="str" cm="1">
        <f t="array" ref="G14275">SubCategorizeComment(E14275)</f>
        <v>Other</v>
      </c>
    </row>
    <row r="14276" spans="1:7" x14ac:dyDescent="0.25">
      <c r="A14276">
        <v>90933</v>
      </c>
      <c r="B14276" t="s">
        <v>4</v>
      </c>
      <c r="C14276">
        <v>4</v>
      </c>
      <c r="D14276" t="s">
        <v>1585</v>
      </c>
      <c r="F14276" t="str" cm="1">
        <f t="array" ref="F14276">CategorizeComment(E14276)</f>
        <v>Other</v>
      </c>
      <c r="G14276" t="str" cm="1">
        <f t="array" ref="G14276">SubCategorizeComment(E14276)</f>
        <v>Other</v>
      </c>
    </row>
    <row r="14277" spans="1:7" x14ac:dyDescent="0.25">
      <c r="A14277">
        <v>35496</v>
      </c>
      <c r="B14277" t="s">
        <v>4</v>
      </c>
      <c r="C14277">
        <v>3</v>
      </c>
      <c r="D14277" t="s">
        <v>677</v>
      </c>
      <c r="F14277" t="str" cm="1">
        <f t="array" ref="F14277">CategorizeComment(E14277)</f>
        <v>Other</v>
      </c>
      <c r="G14277" t="str" cm="1">
        <f t="array" ref="G14277">SubCategorizeComment(E14277)</f>
        <v>Other</v>
      </c>
    </row>
    <row r="14278" spans="1:7" x14ac:dyDescent="0.25">
      <c r="A14278">
        <v>17420</v>
      </c>
      <c r="B14278" t="s">
        <v>4</v>
      </c>
      <c r="C14278">
        <v>4</v>
      </c>
      <c r="D14278" t="s">
        <v>346</v>
      </c>
      <c r="F14278" t="str" cm="1">
        <f t="array" ref="F14278">CategorizeComment(E14278)</f>
        <v>Other</v>
      </c>
      <c r="G14278" t="str" cm="1">
        <f t="array" ref="G14278">SubCategorizeComment(E14278)</f>
        <v>Other</v>
      </c>
    </row>
    <row r="14279" spans="1:7" x14ac:dyDescent="0.25">
      <c r="A14279">
        <v>124397</v>
      </c>
      <c r="B14279" t="s">
        <v>4</v>
      </c>
      <c r="C14279">
        <v>3</v>
      </c>
      <c r="D14279" t="s">
        <v>2094</v>
      </c>
      <c r="F14279" t="str" cm="1">
        <f t="array" ref="F14279">CategorizeComment(E14279)</f>
        <v>Other</v>
      </c>
      <c r="G14279" t="str" cm="1">
        <f t="array" ref="G14279">SubCategorizeComment(E14279)</f>
        <v>Other</v>
      </c>
    </row>
    <row r="14280" spans="1:7" x14ac:dyDescent="0.25">
      <c r="A14280">
        <v>22095</v>
      </c>
      <c r="B14280" t="s">
        <v>4</v>
      </c>
      <c r="C14280">
        <v>4</v>
      </c>
      <c r="D14280" t="s">
        <v>454</v>
      </c>
      <c r="F14280" t="str" cm="1">
        <f t="array" ref="F14280">CategorizeComment(E14280)</f>
        <v>Other</v>
      </c>
      <c r="G14280" t="str" cm="1">
        <f t="array" ref="G14280">SubCategorizeComment(E14280)</f>
        <v>Other</v>
      </c>
    </row>
    <row r="14281" spans="1:7" x14ac:dyDescent="0.25">
      <c r="A14281">
        <v>31148</v>
      </c>
      <c r="B14281" t="s">
        <v>4</v>
      </c>
      <c r="C14281">
        <v>4</v>
      </c>
      <c r="D14281" t="s">
        <v>601</v>
      </c>
      <c r="F14281" t="str" cm="1">
        <f t="array" ref="F14281">CategorizeComment(E14281)</f>
        <v>Other</v>
      </c>
      <c r="G14281" t="str" cm="1">
        <f t="array" ref="G14281">SubCategorizeComment(E14281)</f>
        <v>Other</v>
      </c>
    </row>
    <row r="14282" spans="1:7" x14ac:dyDescent="0.25">
      <c r="A14282">
        <v>41261</v>
      </c>
      <c r="B14282" t="s">
        <v>4</v>
      </c>
      <c r="C14282">
        <v>4</v>
      </c>
      <c r="D14282" t="s">
        <v>778</v>
      </c>
      <c r="F14282" t="str" cm="1">
        <f t="array" ref="F14282">CategorizeComment(E14282)</f>
        <v>Other</v>
      </c>
      <c r="G14282" t="str" cm="1">
        <f t="array" ref="G14282">SubCategorizeComment(E14282)</f>
        <v>Other</v>
      </c>
    </row>
    <row r="14283" spans="1:7" x14ac:dyDescent="0.25">
      <c r="A14283">
        <v>43018</v>
      </c>
      <c r="B14283" t="s">
        <v>4</v>
      </c>
      <c r="C14283">
        <v>3</v>
      </c>
      <c r="D14283" t="s">
        <v>811</v>
      </c>
      <c r="F14283" t="str" cm="1">
        <f t="array" ref="F14283">CategorizeComment(E14283)</f>
        <v>Other</v>
      </c>
      <c r="G14283" t="str" cm="1">
        <f t="array" ref="G14283">SubCategorizeComment(E14283)</f>
        <v>Other</v>
      </c>
    </row>
    <row r="14284" spans="1:7" x14ac:dyDescent="0.25">
      <c r="A14284">
        <v>109065</v>
      </c>
      <c r="B14284" t="s">
        <v>4</v>
      </c>
      <c r="C14284">
        <v>4</v>
      </c>
      <c r="D14284" t="s">
        <v>1861</v>
      </c>
      <c r="F14284" t="str" cm="1">
        <f t="array" ref="F14284">CategorizeComment(E14284)</f>
        <v>Other</v>
      </c>
      <c r="G14284" t="str" cm="1">
        <f t="array" ref="G14284">SubCategorizeComment(E14284)</f>
        <v>Other</v>
      </c>
    </row>
    <row r="14285" spans="1:7" x14ac:dyDescent="0.25">
      <c r="A14285">
        <v>20734</v>
      </c>
      <c r="B14285" t="s">
        <v>4</v>
      </c>
      <c r="C14285">
        <v>3</v>
      </c>
      <c r="D14285" t="s">
        <v>422</v>
      </c>
      <c r="F14285" t="str" cm="1">
        <f t="array" ref="F14285">CategorizeComment(E14285)</f>
        <v>Other</v>
      </c>
      <c r="G14285" t="str" cm="1">
        <f t="array" ref="G14285">SubCategorizeComment(E14285)</f>
        <v>Other</v>
      </c>
    </row>
    <row r="14286" spans="1:7" x14ac:dyDescent="0.25">
      <c r="A14286">
        <v>86816</v>
      </c>
      <c r="B14286" t="s">
        <v>4</v>
      </c>
      <c r="C14286">
        <v>4</v>
      </c>
      <c r="D14286" t="s">
        <v>1517</v>
      </c>
      <c r="F14286" t="str" cm="1">
        <f t="array" ref="F14286">CategorizeComment(E14286)</f>
        <v>Other</v>
      </c>
      <c r="G14286" t="str" cm="1">
        <f t="array" ref="G14286">SubCategorizeComment(E14286)</f>
        <v>Other</v>
      </c>
    </row>
    <row r="14287" spans="1:7" x14ac:dyDescent="0.25">
      <c r="A14287">
        <v>2336</v>
      </c>
      <c r="B14287" t="s">
        <v>4</v>
      </c>
      <c r="C14287">
        <v>4</v>
      </c>
      <c r="D14287" t="s">
        <v>56</v>
      </c>
      <c r="F14287" t="str" cm="1">
        <f t="array" ref="F14287">CategorizeComment(E14287)</f>
        <v>Other</v>
      </c>
      <c r="G14287" t="str" cm="1">
        <f t="array" ref="G14287">SubCategorizeComment(E14287)</f>
        <v>Other</v>
      </c>
    </row>
    <row r="14288" spans="1:7" x14ac:dyDescent="0.25">
      <c r="A14288">
        <v>32250</v>
      </c>
      <c r="B14288" t="s">
        <v>4</v>
      </c>
      <c r="C14288">
        <v>4</v>
      </c>
      <c r="D14288" t="s">
        <v>619</v>
      </c>
      <c r="F14288" t="str" cm="1">
        <f t="array" ref="F14288">CategorizeComment(E14288)</f>
        <v>Other</v>
      </c>
      <c r="G14288" t="str" cm="1">
        <f t="array" ref="G14288">SubCategorizeComment(E14288)</f>
        <v>Other</v>
      </c>
    </row>
    <row r="14289" spans="1:7" x14ac:dyDescent="0.25">
      <c r="A14289">
        <v>53460</v>
      </c>
      <c r="B14289" t="s">
        <v>4</v>
      </c>
      <c r="C14289">
        <v>4</v>
      </c>
      <c r="D14289" t="s">
        <v>996</v>
      </c>
      <c r="F14289" t="str" cm="1">
        <f t="array" ref="F14289">CategorizeComment(E14289)</f>
        <v>Other</v>
      </c>
      <c r="G14289" t="str" cm="1">
        <f t="array" ref="G14289">SubCategorizeComment(E14289)</f>
        <v>Other</v>
      </c>
    </row>
    <row r="14290" spans="1:7" x14ac:dyDescent="0.25">
      <c r="A14290">
        <v>29419</v>
      </c>
      <c r="B14290" t="s">
        <v>4</v>
      </c>
      <c r="C14290">
        <v>3</v>
      </c>
      <c r="D14290" t="s">
        <v>577</v>
      </c>
      <c r="F14290" t="str" cm="1">
        <f t="array" ref="F14290">CategorizeComment(E14290)</f>
        <v>Other</v>
      </c>
      <c r="G14290" t="str" cm="1">
        <f t="array" ref="G14290">SubCategorizeComment(E14290)</f>
        <v>Other</v>
      </c>
    </row>
    <row r="14291" spans="1:7" x14ac:dyDescent="0.25">
      <c r="A14291">
        <v>110806</v>
      </c>
      <c r="B14291" t="s">
        <v>4</v>
      </c>
      <c r="C14291">
        <v>4</v>
      </c>
      <c r="D14291" t="s">
        <v>1897</v>
      </c>
      <c r="F14291" t="str" cm="1">
        <f t="array" ref="F14291">CategorizeComment(E14291)</f>
        <v>Other</v>
      </c>
      <c r="G14291" t="str" cm="1">
        <f t="array" ref="G14291">SubCategorizeComment(E14291)</f>
        <v>Other</v>
      </c>
    </row>
    <row r="14292" spans="1:7" x14ac:dyDescent="0.25">
      <c r="A14292">
        <v>42748</v>
      </c>
      <c r="B14292" t="s">
        <v>4</v>
      </c>
      <c r="C14292">
        <v>3</v>
      </c>
      <c r="D14292" t="s">
        <v>806</v>
      </c>
      <c r="F14292" t="str" cm="1">
        <f t="array" ref="F14292">CategorizeComment(E14292)</f>
        <v>Other</v>
      </c>
      <c r="G14292" t="str" cm="1">
        <f t="array" ref="G14292">SubCategorizeComment(E14292)</f>
        <v>Other</v>
      </c>
    </row>
    <row r="14293" spans="1:7" x14ac:dyDescent="0.25">
      <c r="A14293">
        <v>58778</v>
      </c>
      <c r="B14293" t="s">
        <v>4</v>
      </c>
      <c r="C14293">
        <v>3</v>
      </c>
      <c r="D14293" t="s">
        <v>1096</v>
      </c>
      <c r="F14293" t="str" cm="1">
        <f t="array" ref="F14293">CategorizeComment(E14293)</f>
        <v>Other</v>
      </c>
      <c r="G14293" t="str" cm="1">
        <f t="array" ref="G14293">SubCategorizeComment(E14293)</f>
        <v>Other</v>
      </c>
    </row>
    <row r="14294" spans="1:7" x14ac:dyDescent="0.25">
      <c r="A14294">
        <v>92117</v>
      </c>
      <c r="B14294" t="s">
        <v>4</v>
      </c>
      <c r="C14294">
        <v>3</v>
      </c>
      <c r="D14294" t="s">
        <v>1609</v>
      </c>
      <c r="F14294" t="str" cm="1">
        <f t="array" ref="F14294">CategorizeComment(E14294)</f>
        <v>Other</v>
      </c>
      <c r="G14294" t="str" cm="1">
        <f t="array" ref="G14294">SubCategorizeComment(E14294)</f>
        <v>Other</v>
      </c>
    </row>
    <row r="14295" spans="1:7" x14ac:dyDescent="0.25">
      <c r="A14295">
        <v>8563</v>
      </c>
      <c r="B14295" t="s">
        <v>4</v>
      </c>
      <c r="C14295">
        <v>4</v>
      </c>
      <c r="D14295" t="s">
        <v>172</v>
      </c>
      <c r="F14295" t="str" cm="1">
        <f t="array" ref="F14295">CategorizeComment(E14295)</f>
        <v>Other</v>
      </c>
      <c r="G14295" t="str" cm="1">
        <f t="array" ref="G14295">SubCategorizeComment(E14295)</f>
        <v>Other</v>
      </c>
    </row>
    <row r="14296" spans="1:7" x14ac:dyDescent="0.25">
      <c r="A14296">
        <v>60139</v>
      </c>
      <c r="B14296" t="s">
        <v>4</v>
      </c>
      <c r="C14296">
        <v>3</v>
      </c>
      <c r="D14296" t="s">
        <v>1119</v>
      </c>
      <c r="F14296" t="str" cm="1">
        <f t="array" ref="F14296">CategorizeComment(E14296)</f>
        <v>Other</v>
      </c>
      <c r="G14296" t="str" cm="1">
        <f t="array" ref="G14296">SubCategorizeComment(E14296)</f>
        <v>Other</v>
      </c>
    </row>
    <row r="14297" spans="1:7" x14ac:dyDescent="0.25">
      <c r="A14297">
        <v>2316</v>
      </c>
      <c r="B14297" t="s">
        <v>4</v>
      </c>
      <c r="C14297">
        <v>3</v>
      </c>
      <c r="D14297" t="s">
        <v>55</v>
      </c>
      <c r="F14297" t="str" cm="1">
        <f t="array" ref="F14297">CategorizeComment(E14297)</f>
        <v>Other</v>
      </c>
      <c r="G14297" t="str" cm="1">
        <f t="array" ref="G14297">SubCategorizeComment(E14297)</f>
        <v>Other</v>
      </c>
    </row>
    <row r="14298" spans="1:7" x14ac:dyDescent="0.25">
      <c r="A14298">
        <v>43518</v>
      </c>
      <c r="B14298" t="s">
        <v>4</v>
      </c>
      <c r="C14298">
        <v>4</v>
      </c>
      <c r="D14298" t="s">
        <v>819</v>
      </c>
      <c r="F14298" t="str" cm="1">
        <f t="array" ref="F14298">CategorizeComment(E14298)</f>
        <v>Other</v>
      </c>
      <c r="G14298" t="str" cm="1">
        <f t="array" ref="G14298">SubCategorizeComment(E14298)</f>
        <v>Other</v>
      </c>
    </row>
    <row r="14299" spans="1:7" x14ac:dyDescent="0.25">
      <c r="A14299">
        <v>79203</v>
      </c>
      <c r="B14299" t="s">
        <v>4</v>
      </c>
      <c r="C14299">
        <v>4</v>
      </c>
      <c r="D14299" t="s">
        <v>1420</v>
      </c>
      <c r="F14299" t="str" cm="1">
        <f t="array" ref="F14299">CategorizeComment(E14299)</f>
        <v>Other</v>
      </c>
      <c r="G14299" t="str" cm="1">
        <f t="array" ref="G14299">SubCategorizeComment(E14299)</f>
        <v>Other</v>
      </c>
    </row>
    <row r="14300" spans="1:7" x14ac:dyDescent="0.25">
      <c r="A14300">
        <v>272</v>
      </c>
      <c r="B14300" t="s">
        <v>4</v>
      </c>
      <c r="C14300">
        <v>3</v>
      </c>
      <c r="D14300" t="s">
        <v>13</v>
      </c>
      <c r="F14300" t="str" cm="1">
        <f t="array" ref="F14300">CategorizeComment(E14300)</f>
        <v>Other</v>
      </c>
      <c r="G14300" t="str" cm="1">
        <f t="array" ref="G14300">SubCategorizeComment(E14300)</f>
        <v>Other</v>
      </c>
    </row>
    <row r="14301" spans="1:7" x14ac:dyDescent="0.25">
      <c r="A14301">
        <v>68242</v>
      </c>
      <c r="B14301" t="s">
        <v>4</v>
      </c>
      <c r="C14301">
        <v>3</v>
      </c>
      <c r="D14301" t="s">
        <v>1249</v>
      </c>
      <c r="F14301" t="str" cm="1">
        <f t="array" ref="F14301">CategorizeComment(E14301)</f>
        <v>Other</v>
      </c>
      <c r="G14301" t="str" cm="1">
        <f t="array" ref="G14301">SubCategorizeComment(E14301)</f>
        <v>Other</v>
      </c>
    </row>
    <row r="14302" spans="1:7" x14ac:dyDescent="0.25">
      <c r="A14302">
        <v>49362</v>
      </c>
      <c r="B14302" t="s">
        <v>4</v>
      </c>
      <c r="C14302">
        <v>4</v>
      </c>
      <c r="D14302" t="s">
        <v>921</v>
      </c>
      <c r="F14302" t="str" cm="1">
        <f t="array" ref="F14302">CategorizeComment(E14302)</f>
        <v>Other</v>
      </c>
      <c r="G14302" t="str" cm="1">
        <f t="array" ref="G14302">SubCategorizeComment(E14302)</f>
        <v>Other</v>
      </c>
    </row>
    <row r="14303" spans="1:7" x14ac:dyDescent="0.25">
      <c r="A14303">
        <v>123904</v>
      </c>
      <c r="B14303" t="s">
        <v>4</v>
      </c>
      <c r="C14303">
        <v>4</v>
      </c>
      <c r="D14303" t="s">
        <v>2086</v>
      </c>
      <c r="F14303" t="str" cm="1">
        <f t="array" ref="F14303">CategorizeComment(E14303)</f>
        <v>Other</v>
      </c>
      <c r="G14303" t="str" cm="1">
        <f t="array" ref="G14303">SubCategorizeComment(E14303)</f>
        <v>Other</v>
      </c>
    </row>
    <row r="14304" spans="1:7" x14ac:dyDescent="0.25">
      <c r="A14304">
        <v>7659</v>
      </c>
      <c r="B14304" t="s">
        <v>4</v>
      </c>
      <c r="C14304">
        <v>4</v>
      </c>
      <c r="D14304" t="s">
        <v>156</v>
      </c>
      <c r="F14304" t="str" cm="1">
        <f t="array" ref="F14304">CategorizeComment(E14304)</f>
        <v>Other</v>
      </c>
      <c r="G14304" t="str" cm="1">
        <f t="array" ref="G14304">SubCategorizeComment(E14304)</f>
        <v>Other</v>
      </c>
    </row>
    <row r="14305" spans="1:7" x14ac:dyDescent="0.25">
      <c r="A14305">
        <v>121846</v>
      </c>
      <c r="B14305" t="s">
        <v>4</v>
      </c>
      <c r="C14305">
        <v>3</v>
      </c>
      <c r="D14305" t="s">
        <v>2048</v>
      </c>
      <c r="F14305" t="str" cm="1">
        <f t="array" ref="F14305">CategorizeComment(E14305)</f>
        <v>Other</v>
      </c>
      <c r="G14305" t="str" cm="1">
        <f t="array" ref="G14305">SubCategorizeComment(E14305)</f>
        <v>Other</v>
      </c>
    </row>
    <row r="14306" spans="1:7" x14ac:dyDescent="0.25">
      <c r="A14306">
        <v>101649</v>
      </c>
      <c r="B14306" t="s">
        <v>4</v>
      </c>
      <c r="C14306">
        <v>3</v>
      </c>
      <c r="D14306" t="s">
        <v>1738</v>
      </c>
      <c r="F14306" t="str" cm="1">
        <f t="array" ref="F14306">CategorizeComment(E14306)</f>
        <v>Other</v>
      </c>
      <c r="G14306" t="str" cm="1">
        <f t="array" ref="G14306">SubCategorizeComment(E14306)</f>
        <v>Other</v>
      </c>
    </row>
    <row r="14307" spans="1:7" x14ac:dyDescent="0.25">
      <c r="A14307">
        <v>76195</v>
      </c>
      <c r="B14307" t="s">
        <v>4</v>
      </c>
      <c r="C14307">
        <v>3</v>
      </c>
      <c r="D14307" t="s">
        <v>1376</v>
      </c>
      <c r="F14307" t="str" cm="1">
        <f t="array" ref="F14307">CategorizeComment(E14307)</f>
        <v>Other</v>
      </c>
      <c r="G14307" t="str" cm="1">
        <f t="array" ref="G14307">SubCategorizeComment(E14307)</f>
        <v>Other</v>
      </c>
    </row>
    <row r="14308" spans="1:7" x14ac:dyDescent="0.25">
      <c r="A14308">
        <v>60524</v>
      </c>
      <c r="B14308" t="s">
        <v>4</v>
      </c>
      <c r="C14308">
        <v>3</v>
      </c>
      <c r="D14308" t="s">
        <v>1129</v>
      </c>
      <c r="F14308" t="str" cm="1">
        <f t="array" ref="F14308">CategorizeComment(E14308)</f>
        <v>Other</v>
      </c>
      <c r="G14308" t="str" cm="1">
        <f t="array" ref="G14308">SubCategorizeComment(E14308)</f>
        <v>Other</v>
      </c>
    </row>
    <row r="14309" spans="1:7" x14ac:dyDescent="0.25">
      <c r="A14309">
        <v>76315</v>
      </c>
      <c r="B14309" t="s">
        <v>4</v>
      </c>
      <c r="C14309">
        <v>2</v>
      </c>
      <c r="D14309" t="s">
        <v>1381</v>
      </c>
      <c r="F14309" t="str" cm="1">
        <f t="array" ref="F14309">CategorizeComment(E14309)</f>
        <v>Other</v>
      </c>
      <c r="G14309" t="str" cm="1">
        <f t="array" ref="G14309">SubCategorizeComment(E14309)</f>
        <v>Other</v>
      </c>
    </row>
    <row r="14310" spans="1:7" x14ac:dyDescent="0.25">
      <c r="A14310">
        <v>50627</v>
      </c>
      <c r="B14310" t="s">
        <v>4</v>
      </c>
      <c r="C14310">
        <v>4</v>
      </c>
      <c r="D14310" t="s">
        <v>952</v>
      </c>
      <c r="F14310" t="str" cm="1">
        <f t="array" ref="F14310">CategorizeComment(E14310)</f>
        <v>Other</v>
      </c>
      <c r="G14310" t="str" cm="1">
        <f t="array" ref="G14310">SubCategorizeComment(E14310)</f>
        <v>Other</v>
      </c>
    </row>
    <row r="14311" spans="1:7" x14ac:dyDescent="0.25">
      <c r="A14311">
        <v>15394</v>
      </c>
      <c r="B14311" t="s">
        <v>4</v>
      </c>
      <c r="C14311">
        <v>4</v>
      </c>
      <c r="D14311" t="s">
        <v>294</v>
      </c>
      <c r="F14311" t="str" cm="1">
        <f t="array" ref="F14311">CategorizeComment(E14311)</f>
        <v>Other</v>
      </c>
      <c r="G14311" t="str" cm="1">
        <f t="array" ref="G14311">SubCategorizeComment(E14311)</f>
        <v>Other</v>
      </c>
    </row>
    <row r="14312" spans="1:7" x14ac:dyDescent="0.25">
      <c r="A14312">
        <v>72232</v>
      </c>
      <c r="B14312" t="s">
        <v>4</v>
      </c>
      <c r="C14312">
        <v>3</v>
      </c>
      <c r="D14312" t="s">
        <v>1315</v>
      </c>
      <c r="F14312" t="str" cm="1">
        <f t="array" ref="F14312">CategorizeComment(E14312)</f>
        <v>Other</v>
      </c>
      <c r="G14312" t="str" cm="1">
        <f t="array" ref="G14312">SubCategorizeComment(E14312)</f>
        <v>Other</v>
      </c>
    </row>
    <row r="14313" spans="1:7" x14ac:dyDescent="0.25">
      <c r="A14313">
        <v>41843</v>
      </c>
      <c r="B14313" t="s">
        <v>4</v>
      </c>
      <c r="C14313">
        <v>3</v>
      </c>
      <c r="D14313" t="s">
        <v>786</v>
      </c>
      <c r="F14313" t="str" cm="1">
        <f t="array" ref="F14313">CategorizeComment(E14313)</f>
        <v>Other</v>
      </c>
      <c r="G14313" t="str" cm="1">
        <f t="array" ref="G14313">SubCategorizeComment(E14313)</f>
        <v>Other</v>
      </c>
    </row>
    <row r="14314" spans="1:7" x14ac:dyDescent="0.25">
      <c r="A14314">
        <v>75879</v>
      </c>
      <c r="B14314" t="s">
        <v>4</v>
      </c>
      <c r="C14314">
        <v>4</v>
      </c>
      <c r="D14314" t="s">
        <v>1372</v>
      </c>
      <c r="F14314" t="str" cm="1">
        <f t="array" ref="F14314">CategorizeComment(E14314)</f>
        <v>Other</v>
      </c>
      <c r="G14314" t="str" cm="1">
        <f t="array" ref="G14314">SubCategorizeComment(E14314)</f>
        <v>Other</v>
      </c>
    </row>
    <row r="14315" spans="1:7" x14ac:dyDescent="0.25">
      <c r="A14315">
        <v>109777</v>
      </c>
      <c r="B14315" t="s">
        <v>4</v>
      </c>
      <c r="C14315">
        <v>3</v>
      </c>
      <c r="D14315" t="s">
        <v>1875</v>
      </c>
      <c r="F14315" t="str" cm="1">
        <f t="array" ref="F14315">CategorizeComment(E14315)</f>
        <v>Other</v>
      </c>
      <c r="G14315" t="str" cm="1">
        <f t="array" ref="G14315">SubCategorizeComment(E14315)</f>
        <v>Other</v>
      </c>
    </row>
    <row r="14316" spans="1:7" x14ac:dyDescent="0.25">
      <c r="A14316">
        <v>53966</v>
      </c>
      <c r="B14316" t="s">
        <v>4</v>
      </c>
      <c r="C14316">
        <v>3</v>
      </c>
      <c r="D14316" t="s">
        <v>1010</v>
      </c>
      <c r="F14316" t="str" cm="1">
        <f t="array" ref="F14316">CategorizeComment(E14316)</f>
        <v>Other</v>
      </c>
      <c r="G14316" t="str" cm="1">
        <f t="array" ref="G14316">SubCategorizeComment(E14316)</f>
        <v>Other</v>
      </c>
    </row>
    <row r="14317" spans="1:7" x14ac:dyDescent="0.25">
      <c r="A14317">
        <v>97627</v>
      </c>
      <c r="B14317" t="s">
        <v>4</v>
      </c>
      <c r="C14317">
        <v>3</v>
      </c>
      <c r="D14317" t="s">
        <v>1695</v>
      </c>
      <c r="F14317" t="str" cm="1">
        <f t="array" ref="F14317">CategorizeComment(E14317)</f>
        <v>Other</v>
      </c>
      <c r="G14317" t="str" cm="1">
        <f t="array" ref="G14317">SubCategorizeComment(E14317)</f>
        <v>Other</v>
      </c>
    </row>
    <row r="14318" spans="1:7" x14ac:dyDescent="0.25">
      <c r="A14318">
        <v>27956</v>
      </c>
      <c r="B14318" t="s">
        <v>4</v>
      </c>
      <c r="C14318">
        <v>4</v>
      </c>
      <c r="D14318" t="s">
        <v>553</v>
      </c>
      <c r="F14318" t="str" cm="1">
        <f t="array" ref="F14318">CategorizeComment(E14318)</f>
        <v>Other</v>
      </c>
      <c r="G14318" t="str" cm="1">
        <f t="array" ref="G14318">SubCategorizeComment(E14318)</f>
        <v>Other</v>
      </c>
    </row>
    <row r="14319" spans="1:7" x14ac:dyDescent="0.25">
      <c r="A14319">
        <v>118365</v>
      </c>
      <c r="B14319" t="s">
        <v>4</v>
      </c>
      <c r="C14319">
        <v>4</v>
      </c>
      <c r="D14319" t="s">
        <v>2003</v>
      </c>
      <c r="F14319" t="str" cm="1">
        <f t="array" ref="F14319">CategorizeComment(E14319)</f>
        <v>Other</v>
      </c>
      <c r="G14319" t="str" cm="1">
        <f t="array" ref="G14319">SubCategorizeComment(E14319)</f>
        <v>Other</v>
      </c>
    </row>
    <row r="14320" spans="1:7" x14ac:dyDescent="0.25">
      <c r="A14320">
        <v>69778</v>
      </c>
      <c r="B14320" t="s">
        <v>4</v>
      </c>
      <c r="C14320">
        <v>3</v>
      </c>
      <c r="D14320" t="s">
        <v>1273</v>
      </c>
      <c r="F14320" t="str" cm="1">
        <f t="array" ref="F14320">CategorizeComment(E14320)</f>
        <v>Other</v>
      </c>
      <c r="G14320" t="str" cm="1">
        <f t="array" ref="G14320">SubCategorizeComment(E14320)</f>
        <v>Other</v>
      </c>
    </row>
    <row r="14321" spans="1:7" x14ac:dyDescent="0.25">
      <c r="A14321">
        <v>100403</v>
      </c>
      <c r="B14321" t="s">
        <v>4</v>
      </c>
      <c r="C14321">
        <v>3</v>
      </c>
      <c r="D14321" t="s">
        <v>1727</v>
      </c>
      <c r="F14321" t="str" cm="1">
        <f t="array" ref="F14321">CategorizeComment(E14321)</f>
        <v>Other</v>
      </c>
      <c r="G14321" t="str" cm="1">
        <f t="array" ref="G14321">SubCategorizeComment(E14321)</f>
        <v>Other</v>
      </c>
    </row>
    <row r="14322" spans="1:7" x14ac:dyDescent="0.25">
      <c r="A14322">
        <v>14395</v>
      </c>
      <c r="B14322" t="s">
        <v>4</v>
      </c>
      <c r="C14322">
        <v>4</v>
      </c>
      <c r="D14322" t="s">
        <v>281</v>
      </c>
      <c r="F14322" t="str" cm="1">
        <f t="array" ref="F14322">CategorizeComment(E14322)</f>
        <v>Other</v>
      </c>
      <c r="G14322" t="str" cm="1">
        <f t="array" ref="G14322">SubCategorizeComment(E14322)</f>
        <v>Other</v>
      </c>
    </row>
    <row r="14323" spans="1:7" x14ac:dyDescent="0.25">
      <c r="A14323">
        <v>111061</v>
      </c>
      <c r="B14323" t="s">
        <v>4</v>
      </c>
      <c r="C14323">
        <v>4</v>
      </c>
      <c r="D14323" t="s">
        <v>1903</v>
      </c>
      <c r="F14323" t="str" cm="1">
        <f t="array" ref="F14323">CategorizeComment(E14323)</f>
        <v>Other</v>
      </c>
      <c r="G14323" t="str" cm="1">
        <f t="array" ref="G14323">SubCategorizeComment(E14323)</f>
        <v>Other</v>
      </c>
    </row>
    <row r="14324" spans="1:7" x14ac:dyDescent="0.25">
      <c r="A14324">
        <v>97490</v>
      </c>
      <c r="B14324" t="s">
        <v>4</v>
      </c>
      <c r="C14324">
        <v>3</v>
      </c>
      <c r="D14324" t="s">
        <v>1690</v>
      </c>
      <c r="F14324" t="str" cm="1">
        <f t="array" ref="F14324">CategorizeComment(E14324)</f>
        <v>Other</v>
      </c>
      <c r="G14324" t="str" cm="1">
        <f t="array" ref="G14324">SubCategorizeComment(E14324)</f>
        <v>Other</v>
      </c>
    </row>
    <row r="14325" spans="1:7" x14ac:dyDescent="0.25">
      <c r="A14325">
        <v>38305</v>
      </c>
      <c r="B14325" t="s">
        <v>4</v>
      </c>
      <c r="C14325">
        <v>3</v>
      </c>
      <c r="D14325" t="s">
        <v>737</v>
      </c>
      <c r="F14325" t="str" cm="1">
        <f t="array" ref="F14325">CategorizeComment(E14325)</f>
        <v>Other</v>
      </c>
      <c r="G14325" t="str" cm="1">
        <f t="array" ref="G14325">SubCategorizeComment(E14325)</f>
        <v>Other</v>
      </c>
    </row>
    <row r="14326" spans="1:7" x14ac:dyDescent="0.25">
      <c r="A14326">
        <v>96706</v>
      </c>
      <c r="B14326" t="s">
        <v>4</v>
      </c>
      <c r="C14326">
        <v>3</v>
      </c>
      <c r="D14326" t="s">
        <v>1671</v>
      </c>
      <c r="F14326" t="str" cm="1">
        <f t="array" ref="F14326">CategorizeComment(E14326)</f>
        <v>Other</v>
      </c>
      <c r="G14326" t="str" cm="1">
        <f t="array" ref="G14326">SubCategorizeComment(E14326)</f>
        <v>Other</v>
      </c>
    </row>
    <row r="14327" spans="1:7" x14ac:dyDescent="0.25">
      <c r="A14327">
        <v>39413</v>
      </c>
      <c r="B14327" t="s">
        <v>4</v>
      </c>
      <c r="C14327">
        <v>4</v>
      </c>
      <c r="D14327" t="s">
        <v>754</v>
      </c>
      <c r="F14327" t="str" cm="1">
        <f t="array" ref="F14327">CategorizeComment(E14327)</f>
        <v>Other</v>
      </c>
      <c r="G14327" t="str" cm="1">
        <f t="array" ref="G14327">SubCategorizeComment(E14327)</f>
        <v>Other</v>
      </c>
    </row>
    <row r="14328" spans="1:7" x14ac:dyDescent="0.25">
      <c r="A14328">
        <v>72954</v>
      </c>
      <c r="B14328" t="s">
        <v>4</v>
      </c>
      <c r="C14328">
        <v>3</v>
      </c>
      <c r="D14328" t="s">
        <v>1328</v>
      </c>
      <c r="F14328" t="str" cm="1">
        <f t="array" ref="F14328">CategorizeComment(E14328)</f>
        <v>Other</v>
      </c>
      <c r="G14328" t="str" cm="1">
        <f t="array" ref="G14328">SubCategorizeComment(E14328)</f>
        <v>Other</v>
      </c>
    </row>
    <row r="14329" spans="1:7" x14ac:dyDescent="0.25">
      <c r="A14329">
        <v>109517</v>
      </c>
      <c r="B14329" t="s">
        <v>4</v>
      </c>
      <c r="C14329">
        <v>3</v>
      </c>
      <c r="D14329" t="s">
        <v>1870</v>
      </c>
      <c r="F14329" t="str" cm="1">
        <f t="array" ref="F14329">CategorizeComment(E14329)</f>
        <v>Other</v>
      </c>
      <c r="G14329" t="str" cm="1">
        <f t="array" ref="G14329">SubCategorizeComment(E14329)</f>
        <v>Other</v>
      </c>
    </row>
    <row r="14330" spans="1:7" x14ac:dyDescent="0.25">
      <c r="A14330">
        <v>9870</v>
      </c>
      <c r="B14330" t="s">
        <v>4</v>
      </c>
      <c r="C14330">
        <v>3</v>
      </c>
      <c r="D14330" t="s">
        <v>194</v>
      </c>
      <c r="F14330" t="str" cm="1">
        <f t="array" ref="F14330">CategorizeComment(E14330)</f>
        <v>Other</v>
      </c>
      <c r="G14330" t="str" cm="1">
        <f t="array" ref="G14330">SubCategorizeComment(E14330)</f>
        <v>Other</v>
      </c>
    </row>
    <row r="14331" spans="1:7" x14ac:dyDescent="0.25">
      <c r="A14331">
        <v>5169</v>
      </c>
      <c r="B14331" t="s">
        <v>4</v>
      </c>
      <c r="C14331">
        <v>3</v>
      </c>
      <c r="D14331" t="s">
        <v>112</v>
      </c>
      <c r="F14331" t="str" cm="1">
        <f t="array" ref="F14331">CategorizeComment(E14331)</f>
        <v>Other</v>
      </c>
      <c r="G14331" t="str" cm="1">
        <f t="array" ref="G14331">SubCategorizeComment(E14331)</f>
        <v>Other</v>
      </c>
    </row>
    <row r="14332" spans="1:7" x14ac:dyDescent="0.25">
      <c r="A14332">
        <v>36986</v>
      </c>
      <c r="B14332" t="s">
        <v>4</v>
      </c>
      <c r="C14332">
        <v>4</v>
      </c>
      <c r="D14332" t="s">
        <v>706</v>
      </c>
      <c r="F14332" t="str" cm="1">
        <f t="array" ref="F14332">CategorizeComment(E14332)</f>
        <v>Other</v>
      </c>
      <c r="G14332" t="str" cm="1">
        <f t="array" ref="G14332">SubCategorizeComment(E14332)</f>
        <v>Other</v>
      </c>
    </row>
    <row r="14333" spans="1:7" x14ac:dyDescent="0.25">
      <c r="A14333">
        <v>112887</v>
      </c>
      <c r="B14333" t="s">
        <v>4</v>
      </c>
      <c r="C14333">
        <v>3</v>
      </c>
      <c r="D14333" t="s">
        <v>1922</v>
      </c>
      <c r="F14333" t="str" cm="1">
        <f t="array" ref="F14333">CategorizeComment(E14333)</f>
        <v>Other</v>
      </c>
      <c r="G14333" t="str" cm="1">
        <f t="array" ref="G14333">SubCategorizeComment(E14333)</f>
        <v>Other</v>
      </c>
    </row>
    <row r="14334" spans="1:7" x14ac:dyDescent="0.25">
      <c r="A14334">
        <v>22389</v>
      </c>
      <c r="B14334" t="s">
        <v>4</v>
      </c>
      <c r="C14334">
        <v>3</v>
      </c>
      <c r="D14334" t="s">
        <v>457</v>
      </c>
      <c r="F14334" t="str" cm="1">
        <f t="array" ref="F14334">CategorizeComment(E14334)</f>
        <v>Other</v>
      </c>
      <c r="G14334" t="str" cm="1">
        <f t="array" ref="G14334">SubCategorizeComment(E14334)</f>
        <v>Other</v>
      </c>
    </row>
    <row r="14335" spans="1:7" x14ac:dyDescent="0.25">
      <c r="A14335">
        <v>97943</v>
      </c>
      <c r="B14335" t="s">
        <v>4</v>
      </c>
      <c r="C14335">
        <v>3</v>
      </c>
      <c r="D14335" t="s">
        <v>1699</v>
      </c>
      <c r="F14335" t="str" cm="1">
        <f t="array" ref="F14335">CategorizeComment(E14335)</f>
        <v>Other</v>
      </c>
      <c r="G14335" t="str" cm="1">
        <f t="array" ref="G14335">SubCategorizeComment(E14335)</f>
        <v>Other</v>
      </c>
    </row>
    <row r="14336" spans="1:7" x14ac:dyDescent="0.25">
      <c r="A14336">
        <v>117265</v>
      </c>
      <c r="B14336" t="s">
        <v>4</v>
      </c>
      <c r="C14336">
        <v>3</v>
      </c>
      <c r="D14336" t="s">
        <v>1984</v>
      </c>
      <c r="F14336" t="str" cm="1">
        <f t="array" ref="F14336">CategorizeComment(E14336)</f>
        <v>Other</v>
      </c>
      <c r="G14336" t="str" cm="1">
        <f t="array" ref="G14336">SubCategorizeComment(E14336)</f>
        <v>Other</v>
      </c>
    </row>
    <row r="14337" spans="1:7" x14ac:dyDescent="0.25">
      <c r="A14337">
        <v>78494</v>
      </c>
      <c r="B14337" t="s">
        <v>4</v>
      </c>
      <c r="C14337">
        <v>3</v>
      </c>
      <c r="D14337" t="s">
        <v>1408</v>
      </c>
      <c r="F14337" t="str" cm="1">
        <f t="array" ref="F14337">CategorizeComment(E14337)</f>
        <v>Other</v>
      </c>
      <c r="G14337" t="str" cm="1">
        <f t="array" ref="G14337">SubCategorizeComment(E14337)</f>
        <v>Other</v>
      </c>
    </row>
    <row r="14338" spans="1:7" x14ac:dyDescent="0.25">
      <c r="A14338">
        <v>32426</v>
      </c>
      <c r="B14338" t="s">
        <v>4</v>
      </c>
      <c r="C14338">
        <v>4</v>
      </c>
      <c r="D14338" t="s">
        <v>621</v>
      </c>
      <c r="F14338" t="str" cm="1">
        <f t="array" ref="F14338">CategorizeComment(E14338)</f>
        <v>Other</v>
      </c>
      <c r="G14338" t="str" cm="1">
        <f t="array" ref="G14338">SubCategorizeComment(E14338)</f>
        <v>Other</v>
      </c>
    </row>
    <row r="14339" spans="1:7" x14ac:dyDescent="0.25">
      <c r="A14339">
        <v>58479</v>
      </c>
      <c r="B14339" t="s">
        <v>4</v>
      </c>
      <c r="C14339">
        <v>3</v>
      </c>
      <c r="D14339" t="s">
        <v>1091</v>
      </c>
      <c r="F14339" t="str" cm="1">
        <f t="array" ref="F14339">CategorizeComment(E14339)</f>
        <v>Other</v>
      </c>
      <c r="G14339" t="str" cm="1">
        <f t="array" ref="G14339">SubCategorizeComment(E14339)</f>
        <v>Other</v>
      </c>
    </row>
    <row r="14340" spans="1:7" x14ac:dyDescent="0.25">
      <c r="A14340">
        <v>67743</v>
      </c>
      <c r="B14340" t="s">
        <v>4</v>
      </c>
      <c r="C14340">
        <v>3</v>
      </c>
      <c r="D14340" t="s">
        <v>1242</v>
      </c>
      <c r="F14340" t="str" cm="1">
        <f t="array" ref="F14340">CategorizeComment(E14340)</f>
        <v>Other</v>
      </c>
      <c r="G14340" t="str" cm="1">
        <f t="array" ref="G14340">SubCategorizeComment(E14340)</f>
        <v>Other</v>
      </c>
    </row>
    <row r="14341" spans="1:7" x14ac:dyDescent="0.25">
      <c r="A14341">
        <v>84636</v>
      </c>
      <c r="B14341" t="s">
        <v>4</v>
      </c>
      <c r="C14341">
        <v>4</v>
      </c>
      <c r="D14341" t="s">
        <v>1492</v>
      </c>
      <c r="F14341" t="str" cm="1">
        <f t="array" ref="F14341">CategorizeComment(E14341)</f>
        <v>Other</v>
      </c>
      <c r="G14341" t="str" cm="1">
        <f t="array" ref="G14341">SubCategorizeComment(E14341)</f>
        <v>Other</v>
      </c>
    </row>
    <row r="14342" spans="1:7" x14ac:dyDescent="0.25">
      <c r="A14342">
        <v>107186</v>
      </c>
      <c r="B14342" t="s">
        <v>4</v>
      </c>
      <c r="C14342">
        <v>4</v>
      </c>
      <c r="D14342" t="s">
        <v>1833</v>
      </c>
      <c r="F14342" t="str" cm="1">
        <f t="array" ref="F14342">CategorizeComment(E14342)</f>
        <v>Other</v>
      </c>
      <c r="G14342" t="str" cm="1">
        <f t="array" ref="G14342">SubCategorizeComment(E14342)</f>
        <v>Other</v>
      </c>
    </row>
    <row r="14343" spans="1:7" x14ac:dyDescent="0.25">
      <c r="A14343">
        <v>29991</v>
      </c>
      <c r="B14343" t="s">
        <v>4</v>
      </c>
      <c r="C14343">
        <v>4</v>
      </c>
      <c r="D14343" t="s">
        <v>584</v>
      </c>
      <c r="F14343" t="str" cm="1">
        <f t="array" ref="F14343">CategorizeComment(E14343)</f>
        <v>Other</v>
      </c>
      <c r="G14343" t="str" cm="1">
        <f t="array" ref="G14343">SubCategorizeComment(E14343)</f>
        <v>Other</v>
      </c>
    </row>
    <row r="14344" spans="1:7" x14ac:dyDescent="0.25">
      <c r="A14344">
        <v>122216</v>
      </c>
      <c r="B14344" t="s">
        <v>4</v>
      </c>
      <c r="C14344">
        <v>3</v>
      </c>
      <c r="D14344" t="s">
        <v>2056</v>
      </c>
      <c r="F14344" t="str" cm="1">
        <f t="array" ref="F14344">CategorizeComment(E14344)</f>
        <v>Other</v>
      </c>
      <c r="G14344" t="str" cm="1">
        <f t="array" ref="G14344">SubCategorizeComment(E14344)</f>
        <v>Other</v>
      </c>
    </row>
    <row r="14345" spans="1:7" x14ac:dyDescent="0.25">
      <c r="A14345">
        <v>59310</v>
      </c>
      <c r="B14345" t="s">
        <v>4</v>
      </c>
      <c r="C14345">
        <v>3</v>
      </c>
      <c r="D14345" t="s">
        <v>1108</v>
      </c>
      <c r="F14345" t="str" cm="1">
        <f t="array" ref="F14345">CategorizeComment(E14345)</f>
        <v>Other</v>
      </c>
      <c r="G14345" t="str" cm="1">
        <f t="array" ref="G14345">SubCategorizeComment(E14345)</f>
        <v>Other</v>
      </c>
    </row>
    <row r="14346" spans="1:7" x14ac:dyDescent="0.25">
      <c r="A14346">
        <v>117430</v>
      </c>
      <c r="B14346" t="s">
        <v>4</v>
      </c>
      <c r="C14346">
        <v>3</v>
      </c>
      <c r="D14346" t="s">
        <v>1986</v>
      </c>
      <c r="F14346" t="str" cm="1">
        <f t="array" ref="F14346">CategorizeComment(E14346)</f>
        <v>Other</v>
      </c>
      <c r="G14346" t="str" cm="1">
        <f t="array" ref="G14346">SubCategorizeComment(E14346)</f>
        <v>Other</v>
      </c>
    </row>
    <row r="14347" spans="1:7" x14ac:dyDescent="0.25">
      <c r="A14347">
        <v>47172</v>
      </c>
      <c r="B14347" t="s">
        <v>4</v>
      </c>
      <c r="C14347">
        <v>3</v>
      </c>
      <c r="D14347" t="s">
        <v>901</v>
      </c>
      <c r="F14347" t="str" cm="1">
        <f t="array" ref="F14347">CategorizeComment(E14347)</f>
        <v>Other</v>
      </c>
      <c r="G14347" t="str" cm="1">
        <f t="array" ref="G14347">SubCategorizeComment(E14347)</f>
        <v>Other</v>
      </c>
    </row>
    <row r="14348" spans="1:7" x14ac:dyDescent="0.25">
      <c r="A14348">
        <v>28758</v>
      </c>
      <c r="B14348" t="s">
        <v>4</v>
      </c>
      <c r="C14348">
        <v>4</v>
      </c>
      <c r="D14348" t="s">
        <v>568</v>
      </c>
      <c r="F14348" t="str" cm="1">
        <f t="array" ref="F14348">CategorizeComment(E14348)</f>
        <v>Other</v>
      </c>
      <c r="G14348" t="str" cm="1">
        <f t="array" ref="G14348">SubCategorizeComment(E14348)</f>
        <v>Other</v>
      </c>
    </row>
    <row r="14349" spans="1:7" x14ac:dyDescent="0.25">
      <c r="A14349">
        <v>127045</v>
      </c>
      <c r="B14349" t="s">
        <v>4</v>
      </c>
      <c r="C14349">
        <v>3</v>
      </c>
      <c r="D14349" t="s">
        <v>2130</v>
      </c>
      <c r="F14349" t="str" cm="1">
        <f t="array" ref="F14349">CategorizeComment(E14349)</f>
        <v>Other</v>
      </c>
      <c r="G14349" t="str" cm="1">
        <f t="array" ref="G14349">SubCategorizeComment(E14349)</f>
        <v>Other</v>
      </c>
    </row>
    <row r="14350" spans="1:7" x14ac:dyDescent="0.25">
      <c r="A14350">
        <v>60578</v>
      </c>
      <c r="B14350" t="s">
        <v>4</v>
      </c>
      <c r="C14350">
        <v>3</v>
      </c>
      <c r="D14350" t="s">
        <v>1131</v>
      </c>
      <c r="F14350" t="str" cm="1">
        <f t="array" ref="F14350">CategorizeComment(E14350)</f>
        <v>Other</v>
      </c>
      <c r="G14350" t="str" cm="1">
        <f t="array" ref="G14350">SubCategorizeComment(E14350)</f>
        <v>Other</v>
      </c>
    </row>
    <row r="14351" spans="1:7" x14ac:dyDescent="0.25">
      <c r="A14351">
        <v>21908</v>
      </c>
      <c r="B14351" t="s">
        <v>4</v>
      </c>
      <c r="C14351">
        <v>4</v>
      </c>
      <c r="D14351" t="s">
        <v>448</v>
      </c>
      <c r="F14351" t="str" cm="1">
        <f t="array" ref="F14351">CategorizeComment(E14351)</f>
        <v>Other</v>
      </c>
      <c r="G14351" t="str" cm="1">
        <f t="array" ref="G14351">SubCategorizeComment(E14351)</f>
        <v>Other</v>
      </c>
    </row>
    <row r="14352" spans="1:7" x14ac:dyDescent="0.25">
      <c r="A14352">
        <v>27979</v>
      </c>
      <c r="B14352" t="s">
        <v>4</v>
      </c>
      <c r="C14352">
        <v>3</v>
      </c>
      <c r="D14352" t="s">
        <v>554</v>
      </c>
      <c r="F14352" t="str" cm="1">
        <f t="array" ref="F14352">CategorizeComment(E14352)</f>
        <v>Other</v>
      </c>
      <c r="G14352" t="str" cm="1">
        <f t="array" ref="G14352">SubCategorizeComment(E14352)</f>
        <v>Other</v>
      </c>
    </row>
    <row r="14353" spans="1:7" x14ac:dyDescent="0.25">
      <c r="A14353">
        <v>27452</v>
      </c>
      <c r="B14353" t="s">
        <v>4</v>
      </c>
      <c r="C14353">
        <v>3</v>
      </c>
      <c r="D14353" t="s">
        <v>544</v>
      </c>
      <c r="F14353" t="str" cm="1">
        <f t="array" ref="F14353">CategorizeComment(E14353)</f>
        <v>Other</v>
      </c>
      <c r="G14353" t="str" cm="1">
        <f t="array" ref="G14353">SubCategorizeComment(E14353)</f>
        <v>Other</v>
      </c>
    </row>
    <row r="14354" spans="1:7" x14ac:dyDescent="0.25">
      <c r="A14354">
        <v>31627</v>
      </c>
      <c r="B14354" t="s">
        <v>4</v>
      </c>
      <c r="C14354">
        <v>3</v>
      </c>
      <c r="D14354" t="s">
        <v>611</v>
      </c>
      <c r="F14354" t="str" cm="1">
        <f t="array" ref="F14354">CategorizeComment(E14354)</f>
        <v>Other</v>
      </c>
      <c r="G14354" t="str" cm="1">
        <f t="array" ref="G14354">SubCategorizeComment(E14354)</f>
        <v>Other</v>
      </c>
    </row>
    <row r="14355" spans="1:7" x14ac:dyDescent="0.25">
      <c r="A14355">
        <v>59075</v>
      </c>
      <c r="B14355" t="s">
        <v>4</v>
      </c>
      <c r="C14355">
        <v>4</v>
      </c>
      <c r="D14355" t="s">
        <v>1101</v>
      </c>
      <c r="F14355" t="str" cm="1">
        <f t="array" ref="F14355">CategorizeComment(E14355)</f>
        <v>Other</v>
      </c>
      <c r="G14355" t="str" cm="1">
        <f t="array" ref="G14355">SubCategorizeComment(E14355)</f>
        <v>Other</v>
      </c>
    </row>
    <row r="14356" spans="1:7" x14ac:dyDescent="0.25">
      <c r="A14356">
        <v>9585</v>
      </c>
      <c r="B14356" t="s">
        <v>4</v>
      </c>
      <c r="C14356">
        <v>3</v>
      </c>
      <c r="D14356" t="s">
        <v>190</v>
      </c>
      <c r="F14356" t="str" cm="1">
        <f t="array" ref="F14356">CategorizeComment(E14356)</f>
        <v>Other</v>
      </c>
      <c r="G14356" t="str" cm="1">
        <f t="array" ref="G14356">SubCategorizeComment(E14356)</f>
        <v>Other</v>
      </c>
    </row>
    <row r="14357" spans="1:7" x14ac:dyDescent="0.25">
      <c r="A14357">
        <v>101570</v>
      </c>
      <c r="B14357" t="s">
        <v>4</v>
      </c>
      <c r="C14357">
        <v>4</v>
      </c>
      <c r="D14357" t="s">
        <v>1737</v>
      </c>
      <c r="F14357" t="str" cm="1">
        <f t="array" ref="F14357">CategorizeComment(E14357)</f>
        <v>Other</v>
      </c>
      <c r="G14357" t="str" cm="1">
        <f t="array" ref="G14357">SubCategorizeComment(E14357)</f>
        <v>Other</v>
      </c>
    </row>
    <row r="14358" spans="1:7" x14ac:dyDescent="0.25">
      <c r="A14358">
        <v>38071</v>
      </c>
      <c r="B14358" t="s">
        <v>4</v>
      </c>
      <c r="C14358">
        <v>3</v>
      </c>
      <c r="D14358" t="s">
        <v>730</v>
      </c>
      <c r="F14358" t="str" cm="1">
        <f t="array" ref="F14358">CategorizeComment(E14358)</f>
        <v>Other</v>
      </c>
      <c r="G14358" t="str" cm="1">
        <f t="array" ref="G14358">SubCategorizeComment(E14358)</f>
        <v>Other</v>
      </c>
    </row>
    <row r="14359" spans="1:7" x14ac:dyDescent="0.25">
      <c r="A14359">
        <v>82698</v>
      </c>
      <c r="B14359" t="s">
        <v>4</v>
      </c>
      <c r="C14359">
        <v>3</v>
      </c>
      <c r="D14359" t="s">
        <v>1467</v>
      </c>
      <c r="F14359" t="str" cm="1">
        <f t="array" ref="F14359">CategorizeComment(E14359)</f>
        <v>Other</v>
      </c>
      <c r="G14359" t="str" cm="1">
        <f t="array" ref="G14359">SubCategorizeComment(E14359)</f>
        <v>Other</v>
      </c>
    </row>
    <row r="14360" spans="1:7" x14ac:dyDescent="0.25">
      <c r="A14360">
        <v>110427</v>
      </c>
      <c r="B14360" t="s">
        <v>4</v>
      </c>
      <c r="C14360">
        <v>4</v>
      </c>
      <c r="D14360" t="s">
        <v>1889</v>
      </c>
      <c r="F14360" t="str" cm="1">
        <f t="array" ref="F14360">CategorizeComment(E14360)</f>
        <v>Other</v>
      </c>
      <c r="G14360" t="str" cm="1">
        <f t="array" ref="G14360">SubCategorizeComment(E14360)</f>
        <v>Other</v>
      </c>
    </row>
    <row r="14361" spans="1:7" x14ac:dyDescent="0.25">
      <c r="A14361">
        <v>10662</v>
      </c>
      <c r="B14361" t="s">
        <v>4</v>
      </c>
      <c r="C14361">
        <v>4</v>
      </c>
      <c r="D14361" t="s">
        <v>207</v>
      </c>
      <c r="F14361" t="str" cm="1">
        <f t="array" ref="F14361">CategorizeComment(E14361)</f>
        <v>Other</v>
      </c>
      <c r="G14361" t="str" cm="1">
        <f t="array" ref="G14361">SubCategorizeComment(E14361)</f>
        <v>Other</v>
      </c>
    </row>
    <row r="14362" spans="1:7" x14ac:dyDescent="0.25">
      <c r="A14362">
        <v>60317</v>
      </c>
      <c r="B14362" t="s">
        <v>4</v>
      </c>
      <c r="C14362">
        <v>3</v>
      </c>
      <c r="D14362" t="s">
        <v>1124</v>
      </c>
      <c r="F14362" t="str" cm="1">
        <f t="array" ref="F14362">CategorizeComment(E14362)</f>
        <v>Other</v>
      </c>
      <c r="G14362" t="str" cm="1">
        <f t="array" ref="G14362">SubCategorizeComment(E14362)</f>
        <v>Other</v>
      </c>
    </row>
    <row r="14363" spans="1:7" x14ac:dyDescent="0.25">
      <c r="A14363">
        <v>68790</v>
      </c>
      <c r="B14363" t="s">
        <v>4</v>
      </c>
      <c r="C14363">
        <v>4</v>
      </c>
      <c r="D14363" t="s">
        <v>1258</v>
      </c>
      <c r="F14363" t="str" cm="1">
        <f t="array" ref="F14363">CategorizeComment(E14363)</f>
        <v>Other</v>
      </c>
      <c r="G14363" t="str" cm="1">
        <f t="array" ref="G14363">SubCategorizeComment(E14363)</f>
        <v>Other</v>
      </c>
    </row>
    <row r="14364" spans="1:7" x14ac:dyDescent="0.25">
      <c r="A14364">
        <v>94888</v>
      </c>
      <c r="B14364" t="s">
        <v>4</v>
      </c>
      <c r="C14364">
        <v>3</v>
      </c>
      <c r="D14364" t="s">
        <v>1652</v>
      </c>
      <c r="F14364" t="str" cm="1">
        <f t="array" ref="F14364">CategorizeComment(E14364)</f>
        <v>Other</v>
      </c>
      <c r="G14364" t="str" cm="1">
        <f t="array" ref="G14364">SubCategorizeComment(E14364)</f>
        <v>Other</v>
      </c>
    </row>
    <row r="14365" spans="1:7" x14ac:dyDescent="0.25">
      <c r="A14365">
        <v>67803</v>
      </c>
      <c r="B14365" t="s">
        <v>4</v>
      </c>
      <c r="C14365">
        <v>4</v>
      </c>
      <c r="D14365" t="s">
        <v>1245</v>
      </c>
      <c r="F14365" t="str" cm="1">
        <f t="array" ref="F14365">CategorizeComment(E14365)</f>
        <v>Other</v>
      </c>
      <c r="G14365" t="str" cm="1">
        <f t="array" ref="G14365">SubCategorizeComment(E14365)</f>
        <v>Other</v>
      </c>
    </row>
    <row r="14366" spans="1:7" x14ac:dyDescent="0.25">
      <c r="A14366">
        <v>98625</v>
      </c>
      <c r="B14366" t="s">
        <v>4</v>
      </c>
      <c r="C14366">
        <v>4</v>
      </c>
      <c r="D14366" t="s">
        <v>1707</v>
      </c>
      <c r="F14366" t="str" cm="1">
        <f t="array" ref="F14366">CategorizeComment(E14366)</f>
        <v>Other</v>
      </c>
      <c r="G14366" t="str" cm="1">
        <f t="array" ref="G14366">SubCategorizeComment(E14366)</f>
        <v>Other</v>
      </c>
    </row>
    <row r="14367" spans="1:7" x14ac:dyDescent="0.25">
      <c r="A14367">
        <v>59066</v>
      </c>
      <c r="B14367" t="s">
        <v>4</v>
      </c>
      <c r="C14367">
        <v>3</v>
      </c>
      <c r="D14367" t="s">
        <v>1100</v>
      </c>
      <c r="F14367" t="str" cm="1">
        <f t="array" ref="F14367">CategorizeComment(E14367)</f>
        <v>Other</v>
      </c>
      <c r="G14367" t="str" cm="1">
        <f t="array" ref="G14367">SubCategorizeComment(E14367)</f>
        <v>Other</v>
      </c>
    </row>
    <row r="14368" spans="1:7" x14ac:dyDescent="0.25">
      <c r="A14368">
        <v>49877</v>
      </c>
      <c r="B14368" t="s">
        <v>4</v>
      </c>
      <c r="C14368">
        <v>4</v>
      </c>
      <c r="D14368" t="s">
        <v>928</v>
      </c>
      <c r="F14368" t="str" cm="1">
        <f t="array" ref="F14368">CategorizeComment(E14368)</f>
        <v>Other</v>
      </c>
      <c r="G14368" t="str" cm="1">
        <f t="array" ref="G14368">SubCategorizeComment(E14368)</f>
        <v>Other</v>
      </c>
    </row>
    <row r="14369" spans="1:7" x14ac:dyDescent="0.25">
      <c r="A14369">
        <v>3298</v>
      </c>
      <c r="B14369" t="s">
        <v>4</v>
      </c>
      <c r="C14369">
        <v>4</v>
      </c>
      <c r="D14369" t="s">
        <v>68</v>
      </c>
      <c r="F14369" t="str" cm="1">
        <f t="array" ref="F14369">CategorizeComment(E14369)</f>
        <v>Other</v>
      </c>
      <c r="G14369" t="str" cm="1">
        <f t="array" ref="G14369">SubCategorizeComment(E14369)</f>
        <v>Other</v>
      </c>
    </row>
    <row r="14370" spans="1:7" x14ac:dyDescent="0.25">
      <c r="A14370">
        <v>42526</v>
      </c>
      <c r="B14370" t="s">
        <v>4</v>
      </c>
      <c r="C14370">
        <v>4</v>
      </c>
      <c r="D14370" t="s">
        <v>800</v>
      </c>
      <c r="F14370" t="str" cm="1">
        <f t="array" ref="F14370">CategorizeComment(E14370)</f>
        <v>Other</v>
      </c>
      <c r="G14370" t="str" cm="1">
        <f t="array" ref="G14370">SubCategorizeComment(E14370)</f>
        <v>Other</v>
      </c>
    </row>
    <row r="14371" spans="1:7" x14ac:dyDescent="0.25">
      <c r="A14371">
        <v>10086</v>
      </c>
      <c r="B14371" t="s">
        <v>4</v>
      </c>
      <c r="C14371">
        <v>1</v>
      </c>
      <c r="D14371" t="s">
        <v>201</v>
      </c>
      <c r="F14371" t="str" cm="1">
        <f t="array" ref="F14371">CategorizeComment(E14371)</f>
        <v>Other</v>
      </c>
      <c r="G14371" t="str" cm="1">
        <f t="array" ref="G14371">SubCategorizeComment(E14371)</f>
        <v>Other</v>
      </c>
    </row>
    <row r="14372" spans="1:7" x14ac:dyDescent="0.25">
      <c r="A14372">
        <v>83846</v>
      </c>
      <c r="B14372" t="s">
        <v>4</v>
      </c>
      <c r="C14372">
        <v>3</v>
      </c>
      <c r="D14372" t="s">
        <v>1484</v>
      </c>
      <c r="F14372" t="str" cm="1">
        <f t="array" ref="F14372">CategorizeComment(E14372)</f>
        <v>Other</v>
      </c>
      <c r="G14372" t="str" cm="1">
        <f t="array" ref="G14372">SubCategorizeComment(E14372)</f>
        <v>Other</v>
      </c>
    </row>
    <row r="14373" spans="1:7" x14ac:dyDescent="0.25">
      <c r="A14373">
        <v>117926</v>
      </c>
      <c r="B14373" t="s">
        <v>4</v>
      </c>
      <c r="C14373">
        <v>4</v>
      </c>
      <c r="D14373" t="s">
        <v>1997</v>
      </c>
      <c r="F14373" t="str" cm="1">
        <f t="array" ref="F14373">CategorizeComment(E14373)</f>
        <v>Other</v>
      </c>
      <c r="G14373" t="str" cm="1">
        <f t="array" ref="G14373">SubCategorizeComment(E14373)</f>
        <v>Other</v>
      </c>
    </row>
    <row r="14374" spans="1:7" x14ac:dyDescent="0.25">
      <c r="A14374">
        <v>38296</v>
      </c>
      <c r="B14374" t="s">
        <v>4</v>
      </c>
      <c r="C14374">
        <v>4</v>
      </c>
      <c r="D14374" t="s">
        <v>736</v>
      </c>
      <c r="F14374" t="str" cm="1">
        <f t="array" ref="F14374">CategorizeComment(E14374)</f>
        <v>Other</v>
      </c>
      <c r="G14374" t="str" cm="1">
        <f t="array" ref="G14374">SubCategorizeComment(E14374)</f>
        <v>Other</v>
      </c>
    </row>
    <row r="14375" spans="1:7" x14ac:dyDescent="0.25">
      <c r="A14375">
        <v>54667</v>
      </c>
      <c r="B14375" t="s">
        <v>4</v>
      </c>
      <c r="C14375">
        <v>4</v>
      </c>
      <c r="D14375" t="s">
        <v>1025</v>
      </c>
      <c r="F14375" t="str" cm="1">
        <f t="array" ref="F14375">CategorizeComment(E14375)</f>
        <v>Other</v>
      </c>
      <c r="G14375" t="str" cm="1">
        <f t="array" ref="G14375">SubCategorizeComment(E14375)</f>
        <v>Other</v>
      </c>
    </row>
    <row r="14376" spans="1:7" x14ac:dyDescent="0.25">
      <c r="A14376">
        <v>99910</v>
      </c>
      <c r="B14376" t="s">
        <v>4</v>
      </c>
      <c r="C14376">
        <v>3</v>
      </c>
      <c r="D14376" t="s">
        <v>1723</v>
      </c>
      <c r="F14376" t="str" cm="1">
        <f t="array" ref="F14376">CategorizeComment(E14376)</f>
        <v>Other</v>
      </c>
      <c r="G14376" t="str" cm="1">
        <f t="array" ref="G14376">SubCategorizeComment(E14376)</f>
        <v>Other</v>
      </c>
    </row>
    <row r="14377" spans="1:7" x14ac:dyDescent="0.25">
      <c r="A14377">
        <v>67860</v>
      </c>
      <c r="B14377" t="s">
        <v>4</v>
      </c>
      <c r="C14377">
        <v>3</v>
      </c>
      <c r="D14377" t="s">
        <v>1246</v>
      </c>
      <c r="F14377" t="str" cm="1">
        <f t="array" ref="F14377">CategorizeComment(E14377)</f>
        <v>Other</v>
      </c>
      <c r="G14377" t="str" cm="1">
        <f t="array" ref="G14377">SubCategorizeComment(E14377)</f>
        <v>Other</v>
      </c>
    </row>
    <row r="14378" spans="1:7" x14ac:dyDescent="0.25">
      <c r="A14378">
        <v>80769</v>
      </c>
      <c r="B14378" t="s">
        <v>4</v>
      </c>
      <c r="C14378">
        <v>4</v>
      </c>
      <c r="D14378" t="s">
        <v>1447</v>
      </c>
      <c r="F14378" t="str" cm="1">
        <f t="array" ref="F14378">CategorizeComment(E14378)</f>
        <v>Other</v>
      </c>
      <c r="G14378" t="str" cm="1">
        <f t="array" ref="G14378">SubCategorizeComment(E14378)</f>
        <v>Other</v>
      </c>
    </row>
    <row r="14379" spans="1:7" x14ac:dyDescent="0.25">
      <c r="A14379">
        <v>1383</v>
      </c>
      <c r="B14379" t="s">
        <v>4</v>
      </c>
      <c r="C14379">
        <v>3</v>
      </c>
      <c r="D14379" t="s">
        <v>38</v>
      </c>
      <c r="F14379" t="str" cm="1">
        <f t="array" ref="F14379">CategorizeComment(E14379)</f>
        <v>Other</v>
      </c>
      <c r="G14379" t="str" cm="1">
        <f t="array" ref="G14379">SubCategorizeComment(E14379)</f>
        <v>Other</v>
      </c>
    </row>
    <row r="14380" spans="1:7" x14ac:dyDescent="0.25">
      <c r="A14380">
        <v>50749</v>
      </c>
      <c r="B14380" t="s">
        <v>4</v>
      </c>
      <c r="C14380">
        <v>4</v>
      </c>
      <c r="D14380" t="s">
        <v>956</v>
      </c>
      <c r="F14380" t="str" cm="1">
        <f t="array" ref="F14380">CategorizeComment(E14380)</f>
        <v>Other</v>
      </c>
      <c r="G14380" t="str" cm="1">
        <f t="array" ref="G14380">SubCategorizeComment(E14380)</f>
        <v>Other</v>
      </c>
    </row>
    <row r="14381" spans="1:7" x14ac:dyDescent="0.25">
      <c r="A14381">
        <v>617</v>
      </c>
      <c r="B14381" t="s">
        <v>4</v>
      </c>
      <c r="C14381">
        <v>3</v>
      </c>
      <c r="D14381" t="s">
        <v>17</v>
      </c>
      <c r="F14381" t="str" cm="1">
        <f t="array" ref="F14381">CategorizeComment(E14381)</f>
        <v>Other</v>
      </c>
      <c r="G14381" t="str" cm="1">
        <f t="array" ref="G14381">SubCategorizeComment(E14381)</f>
        <v>Other</v>
      </c>
    </row>
    <row r="14382" spans="1:7" x14ac:dyDescent="0.25">
      <c r="A14382">
        <v>48764</v>
      </c>
      <c r="B14382" t="s">
        <v>4</v>
      </c>
      <c r="C14382">
        <v>3</v>
      </c>
      <c r="D14382" t="s">
        <v>914</v>
      </c>
      <c r="F14382" t="str" cm="1">
        <f t="array" ref="F14382">CategorizeComment(E14382)</f>
        <v>Other</v>
      </c>
      <c r="G14382" t="str" cm="1">
        <f t="array" ref="G14382">SubCategorizeComment(E14382)</f>
        <v>Other</v>
      </c>
    </row>
    <row r="14383" spans="1:7" x14ac:dyDescent="0.25">
      <c r="A14383">
        <v>14524</v>
      </c>
      <c r="B14383" t="s">
        <v>4</v>
      </c>
      <c r="C14383">
        <v>3</v>
      </c>
      <c r="D14383" t="s">
        <v>283</v>
      </c>
      <c r="F14383" t="str" cm="1">
        <f t="array" ref="F14383">CategorizeComment(E14383)</f>
        <v>Other</v>
      </c>
      <c r="G14383" t="str" cm="1">
        <f t="array" ref="G14383">SubCategorizeComment(E14383)</f>
        <v>Other</v>
      </c>
    </row>
    <row r="14384" spans="1:7" x14ac:dyDescent="0.25">
      <c r="A14384">
        <v>62311</v>
      </c>
      <c r="B14384" t="s">
        <v>4</v>
      </c>
      <c r="C14384">
        <v>4</v>
      </c>
      <c r="D14384" t="s">
        <v>1163</v>
      </c>
      <c r="F14384" t="str" cm="1">
        <f t="array" ref="F14384">CategorizeComment(E14384)</f>
        <v>Other</v>
      </c>
      <c r="G14384" t="str" cm="1">
        <f t="array" ref="G14384">SubCategorizeComment(E14384)</f>
        <v>Other</v>
      </c>
    </row>
    <row r="14385" spans="1:7" x14ac:dyDescent="0.25">
      <c r="A14385">
        <v>11283</v>
      </c>
      <c r="B14385" t="s">
        <v>4</v>
      </c>
      <c r="C14385">
        <v>1</v>
      </c>
      <c r="D14385" t="s">
        <v>223</v>
      </c>
      <c r="F14385" t="str" cm="1">
        <f t="array" ref="F14385">CategorizeComment(E14385)</f>
        <v>Other</v>
      </c>
      <c r="G14385" t="str" cm="1">
        <f t="array" ref="G14385">SubCategorizeComment(E14385)</f>
        <v>Other</v>
      </c>
    </row>
    <row r="14386" spans="1:7" x14ac:dyDescent="0.25">
      <c r="A14386">
        <v>61945</v>
      </c>
      <c r="B14386" t="s">
        <v>4</v>
      </c>
      <c r="C14386">
        <v>4</v>
      </c>
      <c r="D14386" t="s">
        <v>1150</v>
      </c>
      <c r="F14386" t="str" cm="1">
        <f t="array" ref="F14386">CategorizeComment(E14386)</f>
        <v>Other</v>
      </c>
      <c r="G14386" t="str" cm="1">
        <f t="array" ref="G14386">SubCategorizeComment(E14386)</f>
        <v>Other</v>
      </c>
    </row>
    <row r="14387" spans="1:7" x14ac:dyDescent="0.25">
      <c r="A14387">
        <v>98927</v>
      </c>
      <c r="B14387" t="s">
        <v>4</v>
      </c>
      <c r="C14387">
        <v>3</v>
      </c>
      <c r="D14387" t="s">
        <v>1712</v>
      </c>
      <c r="F14387" t="str" cm="1">
        <f t="array" ref="F14387">CategorizeComment(E14387)</f>
        <v>Other</v>
      </c>
      <c r="G14387" t="str" cm="1">
        <f t="array" ref="G14387">SubCategorizeComment(E14387)</f>
        <v>Other</v>
      </c>
    </row>
    <row r="14388" spans="1:7" x14ac:dyDescent="0.25">
      <c r="A14388">
        <v>128473</v>
      </c>
      <c r="B14388" t="s">
        <v>4</v>
      </c>
      <c r="C14388">
        <v>4</v>
      </c>
      <c r="D14388" t="s">
        <v>2153</v>
      </c>
      <c r="F14388" t="str" cm="1">
        <f t="array" ref="F14388">CategorizeComment(E14388)</f>
        <v>Other</v>
      </c>
      <c r="G14388" t="str" cm="1">
        <f t="array" ref="G14388">SubCategorizeComment(E14388)</f>
        <v>Other</v>
      </c>
    </row>
    <row r="14389" spans="1:7" x14ac:dyDescent="0.25">
      <c r="A14389">
        <v>57734</v>
      </c>
      <c r="B14389" t="s">
        <v>4</v>
      </c>
      <c r="C14389">
        <v>3</v>
      </c>
      <c r="D14389" t="s">
        <v>1077</v>
      </c>
      <c r="F14389" t="str" cm="1">
        <f t="array" ref="F14389">CategorizeComment(E14389)</f>
        <v>Other</v>
      </c>
      <c r="G14389" t="str" cm="1">
        <f t="array" ref="G14389">SubCategorizeComment(E14389)</f>
        <v>Other</v>
      </c>
    </row>
    <row r="14390" spans="1:7" x14ac:dyDescent="0.25">
      <c r="A14390">
        <v>127591</v>
      </c>
      <c r="B14390" t="s">
        <v>4</v>
      </c>
      <c r="C14390">
        <v>4</v>
      </c>
      <c r="D14390" t="s">
        <v>2141</v>
      </c>
      <c r="F14390" t="str" cm="1">
        <f t="array" ref="F14390">CategorizeComment(E14390)</f>
        <v>Other</v>
      </c>
      <c r="G14390" t="str" cm="1">
        <f t="array" ref="G14390">SubCategorizeComment(E14390)</f>
        <v>Other</v>
      </c>
    </row>
    <row r="14391" spans="1:7" x14ac:dyDescent="0.25">
      <c r="A14391">
        <v>21543</v>
      </c>
      <c r="B14391" t="s">
        <v>4</v>
      </c>
      <c r="C14391">
        <v>3</v>
      </c>
      <c r="D14391" t="s">
        <v>440</v>
      </c>
      <c r="F14391" t="str" cm="1">
        <f t="array" ref="F14391">CategorizeComment(E14391)</f>
        <v>Other</v>
      </c>
      <c r="G14391" t="str" cm="1">
        <f t="array" ref="G14391">SubCategorizeComment(E14391)</f>
        <v>Other</v>
      </c>
    </row>
    <row r="14392" spans="1:7" x14ac:dyDescent="0.25">
      <c r="A14392">
        <v>25000</v>
      </c>
      <c r="B14392" t="s">
        <v>4</v>
      </c>
      <c r="C14392">
        <v>4</v>
      </c>
      <c r="D14392" t="s">
        <v>508</v>
      </c>
      <c r="F14392" t="str" cm="1">
        <f t="array" ref="F14392">CategorizeComment(E14392)</f>
        <v>Other</v>
      </c>
      <c r="G14392" t="str" cm="1">
        <f t="array" ref="G14392">SubCategorizeComment(E14392)</f>
        <v>Other</v>
      </c>
    </row>
    <row r="14393" spans="1:7" x14ac:dyDescent="0.25">
      <c r="A14393">
        <v>117825</v>
      </c>
      <c r="B14393" t="s">
        <v>4</v>
      </c>
      <c r="C14393">
        <v>3</v>
      </c>
      <c r="D14393" t="s">
        <v>1994</v>
      </c>
      <c r="F14393" t="str" cm="1">
        <f t="array" ref="F14393">CategorizeComment(E14393)</f>
        <v>Other</v>
      </c>
      <c r="G14393" t="str" cm="1">
        <f t="array" ref="G14393">SubCategorizeComment(E14393)</f>
        <v>Other</v>
      </c>
    </row>
    <row r="14394" spans="1:7" x14ac:dyDescent="0.25">
      <c r="A14394">
        <v>45201</v>
      </c>
      <c r="B14394" t="s">
        <v>4</v>
      </c>
      <c r="C14394">
        <v>4</v>
      </c>
      <c r="D14394" t="s">
        <v>855</v>
      </c>
      <c r="F14394" t="str" cm="1">
        <f t="array" ref="F14394">CategorizeComment(E14394)</f>
        <v>Other</v>
      </c>
      <c r="G14394" t="str" cm="1">
        <f t="array" ref="G14394">SubCategorizeComment(E14394)</f>
        <v>Other</v>
      </c>
    </row>
    <row r="14395" spans="1:7" x14ac:dyDescent="0.25">
      <c r="A14395">
        <v>75270</v>
      </c>
      <c r="B14395" t="s">
        <v>4</v>
      </c>
      <c r="C14395">
        <v>3</v>
      </c>
      <c r="D14395" t="s">
        <v>1366</v>
      </c>
      <c r="F14395" t="str" cm="1">
        <f t="array" ref="F14395">CategorizeComment(E14395)</f>
        <v>Other</v>
      </c>
      <c r="G14395" t="str" cm="1">
        <f t="array" ref="G14395">SubCategorizeComment(E14395)</f>
        <v>Other</v>
      </c>
    </row>
    <row r="14396" spans="1:7" x14ac:dyDescent="0.25">
      <c r="A14396">
        <v>57214</v>
      </c>
      <c r="B14396" t="s">
        <v>4</v>
      </c>
      <c r="C14396">
        <v>3</v>
      </c>
      <c r="D14396" t="s">
        <v>1069</v>
      </c>
      <c r="F14396" t="str" cm="1">
        <f t="array" ref="F14396">CategorizeComment(E14396)</f>
        <v>Other</v>
      </c>
      <c r="G14396" t="str" cm="1">
        <f t="array" ref="G14396">SubCategorizeComment(E14396)</f>
        <v>Other</v>
      </c>
    </row>
    <row r="14397" spans="1:7" x14ac:dyDescent="0.25">
      <c r="A14397">
        <v>99625</v>
      </c>
      <c r="B14397" t="s">
        <v>4</v>
      </c>
      <c r="C14397">
        <v>4</v>
      </c>
      <c r="D14397" t="s">
        <v>1722</v>
      </c>
      <c r="F14397" t="str" cm="1">
        <f t="array" ref="F14397">CategorizeComment(E14397)</f>
        <v>Other</v>
      </c>
      <c r="G14397" t="str" cm="1">
        <f t="array" ref="G14397">SubCategorizeComment(E14397)</f>
        <v>Other</v>
      </c>
    </row>
    <row r="14398" spans="1:7" x14ac:dyDescent="0.25">
      <c r="A14398">
        <v>40223</v>
      </c>
      <c r="B14398" t="s">
        <v>4</v>
      </c>
      <c r="C14398">
        <v>3</v>
      </c>
      <c r="D14398" t="s">
        <v>765</v>
      </c>
      <c r="F14398" t="str" cm="1">
        <f t="array" ref="F14398">CategorizeComment(E14398)</f>
        <v>Other</v>
      </c>
      <c r="G14398" t="str" cm="1">
        <f t="array" ref="G14398">SubCategorizeComment(E14398)</f>
        <v>Other</v>
      </c>
    </row>
    <row r="14399" spans="1:7" x14ac:dyDescent="0.25">
      <c r="A14399">
        <v>109188</v>
      </c>
      <c r="B14399" t="s">
        <v>4</v>
      </c>
      <c r="C14399">
        <v>4</v>
      </c>
      <c r="D14399" t="s">
        <v>1864</v>
      </c>
      <c r="F14399" t="str" cm="1">
        <f t="array" ref="F14399">CategorizeComment(E14399)</f>
        <v>Other</v>
      </c>
      <c r="G14399" t="str" cm="1">
        <f t="array" ref="G14399">SubCategorizeComment(E14399)</f>
        <v>Other</v>
      </c>
    </row>
    <row r="14400" spans="1:7" x14ac:dyDescent="0.25">
      <c r="A14400">
        <v>75852</v>
      </c>
      <c r="B14400" t="s">
        <v>4</v>
      </c>
      <c r="C14400">
        <v>4</v>
      </c>
      <c r="D14400" t="s">
        <v>1371</v>
      </c>
      <c r="F14400" t="str" cm="1">
        <f t="array" ref="F14400">CategorizeComment(E14400)</f>
        <v>Other</v>
      </c>
      <c r="G14400" t="str" cm="1">
        <f t="array" ref="G14400">SubCategorizeComment(E14400)</f>
        <v>Other</v>
      </c>
    </row>
    <row r="14401" spans="1:7" x14ac:dyDescent="0.25">
      <c r="A14401">
        <v>45744</v>
      </c>
      <c r="B14401" t="s">
        <v>4</v>
      </c>
      <c r="C14401">
        <v>3</v>
      </c>
      <c r="D14401" t="s">
        <v>869</v>
      </c>
      <c r="F14401" t="str" cm="1">
        <f t="array" ref="F14401">CategorizeComment(E14401)</f>
        <v>Other</v>
      </c>
      <c r="G14401" t="str" cm="1">
        <f t="array" ref="G14401">SubCategorizeComment(E14401)</f>
        <v>Other</v>
      </c>
    </row>
    <row r="14402" spans="1:7" x14ac:dyDescent="0.25">
      <c r="A14402">
        <v>56602</v>
      </c>
      <c r="B14402" t="s">
        <v>4</v>
      </c>
      <c r="C14402">
        <v>3</v>
      </c>
      <c r="D14402" t="s">
        <v>1054</v>
      </c>
      <c r="F14402" t="str" cm="1">
        <f t="array" ref="F14402">CategorizeComment(E14402)</f>
        <v>Other</v>
      </c>
      <c r="G14402" t="str" cm="1">
        <f t="array" ref="G14402">SubCategorizeComment(E14402)</f>
        <v>Other</v>
      </c>
    </row>
    <row r="14403" spans="1:7" x14ac:dyDescent="0.25">
      <c r="A14403">
        <v>112060</v>
      </c>
      <c r="B14403" t="s">
        <v>4</v>
      </c>
      <c r="C14403">
        <v>3</v>
      </c>
      <c r="D14403" t="s">
        <v>1909</v>
      </c>
      <c r="F14403" t="str" cm="1">
        <f t="array" ref="F14403">CategorizeComment(E14403)</f>
        <v>Other</v>
      </c>
      <c r="G14403" t="str" cm="1">
        <f t="array" ref="G14403">SubCategorizeComment(E14403)</f>
        <v>Other</v>
      </c>
    </row>
    <row r="14404" spans="1:7" x14ac:dyDescent="0.25">
      <c r="A14404">
        <v>83268</v>
      </c>
      <c r="B14404" t="s">
        <v>4</v>
      </c>
      <c r="C14404">
        <v>3</v>
      </c>
      <c r="D14404" t="s">
        <v>1478</v>
      </c>
      <c r="F14404" t="str" cm="1">
        <f t="array" ref="F14404">CategorizeComment(E14404)</f>
        <v>Other</v>
      </c>
      <c r="G14404" t="str" cm="1">
        <f t="array" ref="G14404">SubCategorizeComment(E14404)</f>
        <v>Other</v>
      </c>
    </row>
    <row r="14405" spans="1:7" x14ac:dyDescent="0.25">
      <c r="A14405">
        <v>110242</v>
      </c>
      <c r="B14405" t="s">
        <v>4</v>
      </c>
      <c r="C14405">
        <v>3</v>
      </c>
      <c r="D14405" t="s">
        <v>1887</v>
      </c>
      <c r="F14405" t="str" cm="1">
        <f t="array" ref="F14405">CategorizeComment(E14405)</f>
        <v>Other</v>
      </c>
      <c r="G14405" t="str" cm="1">
        <f t="array" ref="G14405">SubCategorizeComment(E14405)</f>
        <v>Other</v>
      </c>
    </row>
    <row r="14406" spans="1:7" x14ac:dyDescent="0.25">
      <c r="A14406">
        <v>113118</v>
      </c>
      <c r="B14406" t="s">
        <v>4</v>
      </c>
      <c r="C14406">
        <v>3</v>
      </c>
      <c r="D14406" t="s">
        <v>1927</v>
      </c>
      <c r="F14406" t="str" cm="1">
        <f t="array" ref="F14406">CategorizeComment(E14406)</f>
        <v>Other</v>
      </c>
      <c r="G14406" t="str" cm="1">
        <f t="array" ref="G14406">SubCategorizeComment(E14406)</f>
        <v>Other</v>
      </c>
    </row>
    <row r="14407" spans="1:7" x14ac:dyDescent="0.25">
      <c r="A14407">
        <v>17590</v>
      </c>
      <c r="B14407" t="s">
        <v>4</v>
      </c>
      <c r="C14407">
        <v>0</v>
      </c>
      <c r="D14407" t="s">
        <v>348</v>
      </c>
      <c r="F14407" t="str" cm="1">
        <f t="array" ref="F14407">CategorizeComment(E14407)</f>
        <v>Other</v>
      </c>
      <c r="G14407" t="str" cm="1">
        <f t="array" ref="G14407">SubCategorizeComment(E14407)</f>
        <v>Other</v>
      </c>
    </row>
    <row r="14408" spans="1:7" x14ac:dyDescent="0.25">
      <c r="A14408">
        <v>48796</v>
      </c>
      <c r="B14408" t="s">
        <v>4</v>
      </c>
      <c r="C14408">
        <v>3</v>
      </c>
      <c r="D14408" t="s">
        <v>916</v>
      </c>
      <c r="F14408" t="str" cm="1">
        <f t="array" ref="F14408">CategorizeComment(E14408)</f>
        <v>Other</v>
      </c>
      <c r="G14408" t="str" cm="1">
        <f t="array" ref="G14408">SubCategorizeComment(E14408)</f>
        <v>Other</v>
      </c>
    </row>
    <row r="14409" spans="1:7" x14ac:dyDescent="0.25">
      <c r="A14409">
        <v>90117</v>
      </c>
      <c r="B14409" t="s">
        <v>4</v>
      </c>
      <c r="C14409">
        <v>4</v>
      </c>
      <c r="D14409" t="s">
        <v>1570</v>
      </c>
      <c r="F14409" t="str" cm="1">
        <f t="array" ref="F14409">CategorizeComment(E14409)</f>
        <v>Other</v>
      </c>
      <c r="G14409" t="str" cm="1">
        <f t="array" ref="G14409">SubCategorizeComment(E14409)</f>
        <v>Other</v>
      </c>
    </row>
    <row r="14410" spans="1:7" x14ac:dyDescent="0.25">
      <c r="A14410">
        <v>6166</v>
      </c>
      <c r="B14410" t="s">
        <v>4</v>
      </c>
      <c r="C14410">
        <v>1</v>
      </c>
      <c r="D14410" t="s">
        <v>121</v>
      </c>
      <c r="F14410" t="str" cm="1">
        <f t="array" ref="F14410">CategorizeComment(E14410)</f>
        <v>Other</v>
      </c>
      <c r="G14410" t="str" cm="1">
        <f t="array" ref="G14410">SubCategorizeComment(E14410)</f>
        <v>Other</v>
      </c>
    </row>
    <row r="14411" spans="1:7" x14ac:dyDescent="0.25">
      <c r="A14411">
        <v>44580</v>
      </c>
      <c r="B14411" t="s">
        <v>4</v>
      </c>
      <c r="C14411">
        <v>4</v>
      </c>
      <c r="D14411" t="s">
        <v>841</v>
      </c>
      <c r="F14411" t="str" cm="1">
        <f t="array" ref="F14411">CategorizeComment(E14411)</f>
        <v>Other</v>
      </c>
      <c r="G14411" t="str" cm="1">
        <f t="array" ref="G14411">SubCategorizeComment(E14411)</f>
        <v>Other</v>
      </c>
    </row>
    <row r="14412" spans="1:7" x14ac:dyDescent="0.25">
      <c r="A14412">
        <v>42289</v>
      </c>
      <c r="B14412" t="s">
        <v>4</v>
      </c>
      <c r="C14412">
        <v>4</v>
      </c>
      <c r="D14412" t="s">
        <v>795</v>
      </c>
      <c r="F14412" t="str" cm="1">
        <f t="array" ref="F14412">CategorizeComment(E14412)</f>
        <v>Other</v>
      </c>
      <c r="G14412" t="str" cm="1">
        <f t="array" ref="G14412">SubCategorizeComment(E14412)</f>
        <v>Other</v>
      </c>
    </row>
    <row r="14413" spans="1:7" x14ac:dyDescent="0.25">
      <c r="A14413">
        <v>18267</v>
      </c>
      <c r="B14413" t="s">
        <v>4</v>
      </c>
      <c r="C14413">
        <v>3</v>
      </c>
      <c r="D14413" t="s">
        <v>364</v>
      </c>
      <c r="F14413" t="str" cm="1">
        <f t="array" ref="F14413">CategorizeComment(E14413)</f>
        <v>Other</v>
      </c>
      <c r="G14413" t="str" cm="1">
        <f t="array" ref="G14413">SubCategorizeComment(E14413)</f>
        <v>Other</v>
      </c>
    </row>
    <row r="14414" spans="1:7" x14ac:dyDescent="0.25">
      <c r="A14414">
        <v>16457</v>
      </c>
      <c r="B14414" t="s">
        <v>4</v>
      </c>
      <c r="C14414">
        <v>3</v>
      </c>
      <c r="D14414" t="s">
        <v>323</v>
      </c>
      <c r="F14414" t="str" cm="1">
        <f t="array" ref="F14414">CategorizeComment(E14414)</f>
        <v>Other</v>
      </c>
      <c r="G14414" t="str" cm="1">
        <f t="array" ref="G14414">SubCategorizeComment(E14414)</f>
        <v>Other</v>
      </c>
    </row>
    <row r="14415" spans="1:7" x14ac:dyDescent="0.25">
      <c r="A14415">
        <v>102301</v>
      </c>
      <c r="B14415" t="s">
        <v>4</v>
      </c>
      <c r="C14415">
        <v>4</v>
      </c>
      <c r="D14415" t="s">
        <v>1753</v>
      </c>
      <c r="F14415" t="str" cm="1">
        <f t="array" ref="F14415">CategorizeComment(E14415)</f>
        <v>Other</v>
      </c>
      <c r="G14415" t="str" cm="1">
        <f t="array" ref="G14415">SubCategorizeComment(E14415)</f>
        <v>Other</v>
      </c>
    </row>
    <row r="14416" spans="1:7" x14ac:dyDescent="0.25">
      <c r="A14416">
        <v>58208</v>
      </c>
      <c r="B14416" t="s">
        <v>4</v>
      </c>
      <c r="C14416">
        <v>3</v>
      </c>
      <c r="D14416" t="s">
        <v>1086</v>
      </c>
      <c r="F14416" t="str" cm="1">
        <f t="array" ref="F14416">CategorizeComment(E14416)</f>
        <v>Other</v>
      </c>
      <c r="G14416" t="str" cm="1">
        <f t="array" ref="G14416">SubCategorizeComment(E14416)</f>
        <v>Other</v>
      </c>
    </row>
    <row r="14417" spans="1:7" x14ac:dyDescent="0.25">
      <c r="A14417">
        <v>44531</v>
      </c>
      <c r="B14417" t="s">
        <v>4</v>
      </c>
      <c r="C14417">
        <v>4</v>
      </c>
      <c r="D14417" t="s">
        <v>839</v>
      </c>
      <c r="F14417" t="str" cm="1">
        <f t="array" ref="F14417">CategorizeComment(E14417)</f>
        <v>Other</v>
      </c>
      <c r="G14417" t="str" cm="1">
        <f t="array" ref="G14417">SubCategorizeComment(E14417)</f>
        <v>Other</v>
      </c>
    </row>
    <row r="14418" spans="1:7" x14ac:dyDescent="0.25">
      <c r="A14418">
        <v>23532</v>
      </c>
      <c r="B14418" t="s">
        <v>4</v>
      </c>
      <c r="C14418">
        <v>4</v>
      </c>
      <c r="D14418" t="s">
        <v>480</v>
      </c>
      <c r="F14418" t="str" cm="1">
        <f t="array" ref="F14418">CategorizeComment(E14418)</f>
        <v>Other</v>
      </c>
      <c r="G14418" t="str" cm="1">
        <f t="array" ref="G14418">SubCategorizeComment(E14418)</f>
        <v>Other</v>
      </c>
    </row>
    <row r="14419" spans="1:7" x14ac:dyDescent="0.25">
      <c r="A14419">
        <v>115866</v>
      </c>
      <c r="B14419" t="s">
        <v>4</v>
      </c>
      <c r="C14419">
        <v>4</v>
      </c>
      <c r="D14419" t="s">
        <v>1967</v>
      </c>
      <c r="F14419" t="str" cm="1">
        <f t="array" ref="F14419">CategorizeComment(E14419)</f>
        <v>Other</v>
      </c>
      <c r="G14419" t="str" cm="1">
        <f t="array" ref="G14419">SubCategorizeComment(E14419)</f>
        <v>Other</v>
      </c>
    </row>
    <row r="14420" spans="1:7" x14ac:dyDescent="0.25">
      <c r="A14420">
        <v>107562</v>
      </c>
      <c r="B14420" t="s">
        <v>4</v>
      </c>
      <c r="C14420">
        <v>3</v>
      </c>
      <c r="D14420" t="s">
        <v>1839</v>
      </c>
      <c r="F14420" t="str" cm="1">
        <f t="array" ref="F14420">CategorizeComment(E14420)</f>
        <v>Other</v>
      </c>
      <c r="G14420" t="str" cm="1">
        <f t="array" ref="G14420">SubCategorizeComment(E14420)</f>
        <v>Other</v>
      </c>
    </row>
    <row r="14421" spans="1:7" x14ac:dyDescent="0.25">
      <c r="A14421">
        <v>23694</v>
      </c>
      <c r="B14421" t="s">
        <v>4</v>
      </c>
      <c r="C14421">
        <v>4</v>
      </c>
      <c r="D14421" t="s">
        <v>484</v>
      </c>
      <c r="F14421" t="str" cm="1">
        <f t="array" ref="F14421">CategorizeComment(E14421)</f>
        <v>Other</v>
      </c>
      <c r="G14421" t="str" cm="1">
        <f t="array" ref="G14421">SubCategorizeComment(E14421)</f>
        <v>Other</v>
      </c>
    </row>
    <row r="14422" spans="1:7" x14ac:dyDescent="0.25">
      <c r="A14422">
        <v>81981</v>
      </c>
      <c r="B14422" t="s">
        <v>4</v>
      </c>
      <c r="C14422">
        <v>4</v>
      </c>
      <c r="D14422" t="s">
        <v>1460</v>
      </c>
      <c r="F14422" t="str" cm="1">
        <f t="array" ref="F14422">CategorizeComment(E14422)</f>
        <v>Other</v>
      </c>
      <c r="G14422" t="str" cm="1">
        <f t="array" ref="G14422">SubCategorizeComment(E14422)</f>
        <v>Other</v>
      </c>
    </row>
    <row r="14423" spans="1:7" x14ac:dyDescent="0.25">
      <c r="A14423">
        <v>125722</v>
      </c>
      <c r="B14423" t="s">
        <v>4</v>
      </c>
      <c r="C14423">
        <v>4</v>
      </c>
      <c r="D14423" t="s">
        <v>2114</v>
      </c>
      <c r="F14423" t="str" cm="1">
        <f t="array" ref="F14423">CategorizeComment(E14423)</f>
        <v>Other</v>
      </c>
      <c r="G14423" t="str" cm="1">
        <f t="array" ref="G14423">SubCategorizeComment(E14423)</f>
        <v>Other</v>
      </c>
    </row>
    <row r="14424" spans="1:7" x14ac:dyDescent="0.25">
      <c r="A14424">
        <v>91302</v>
      </c>
      <c r="B14424" t="s">
        <v>4</v>
      </c>
      <c r="C14424">
        <v>4</v>
      </c>
      <c r="D14424" t="s">
        <v>1594</v>
      </c>
      <c r="F14424" t="str" cm="1">
        <f t="array" ref="F14424">CategorizeComment(E14424)</f>
        <v>Other</v>
      </c>
      <c r="G14424" t="str" cm="1">
        <f t="array" ref="G14424">SubCategorizeComment(E14424)</f>
        <v>Other</v>
      </c>
    </row>
    <row r="14425" spans="1:7" x14ac:dyDescent="0.25">
      <c r="A14425">
        <v>57268</v>
      </c>
      <c r="B14425" t="s">
        <v>4</v>
      </c>
      <c r="C14425">
        <v>3</v>
      </c>
      <c r="D14425" t="s">
        <v>1071</v>
      </c>
      <c r="F14425" t="str" cm="1">
        <f t="array" ref="F14425">CategorizeComment(E14425)</f>
        <v>Other</v>
      </c>
      <c r="G14425" t="str" cm="1">
        <f t="array" ref="G14425">SubCategorizeComment(E14425)</f>
        <v>Other</v>
      </c>
    </row>
    <row r="14426" spans="1:7" x14ac:dyDescent="0.25">
      <c r="A14426">
        <v>41085</v>
      </c>
      <c r="B14426" t="s">
        <v>4</v>
      </c>
      <c r="C14426">
        <v>4</v>
      </c>
      <c r="D14426" t="s">
        <v>777</v>
      </c>
      <c r="F14426" t="str" cm="1">
        <f t="array" ref="F14426">CategorizeComment(E14426)</f>
        <v>Other</v>
      </c>
      <c r="G14426" t="str" cm="1">
        <f t="array" ref="G14426">SubCategorizeComment(E14426)</f>
        <v>Other</v>
      </c>
    </row>
    <row r="14427" spans="1:7" x14ac:dyDescent="0.25">
      <c r="A14427">
        <v>34345</v>
      </c>
      <c r="B14427" t="s">
        <v>4</v>
      </c>
      <c r="C14427">
        <v>4</v>
      </c>
      <c r="D14427" t="s">
        <v>653</v>
      </c>
      <c r="F14427" t="str" cm="1">
        <f t="array" ref="F14427">CategorizeComment(E14427)</f>
        <v>Other</v>
      </c>
      <c r="G14427" t="str" cm="1">
        <f t="array" ref="G14427">SubCategorizeComment(E14427)</f>
        <v>Other</v>
      </c>
    </row>
    <row r="14428" spans="1:7" x14ac:dyDescent="0.25">
      <c r="A14428">
        <v>77108</v>
      </c>
      <c r="B14428" t="s">
        <v>4</v>
      </c>
      <c r="C14428">
        <v>4</v>
      </c>
      <c r="D14428" t="s">
        <v>1388</v>
      </c>
      <c r="F14428" t="str" cm="1">
        <f t="array" ref="F14428">CategorizeComment(E14428)</f>
        <v>Other</v>
      </c>
      <c r="G14428" t="str" cm="1">
        <f t="array" ref="G14428">SubCategorizeComment(E14428)</f>
        <v>Other</v>
      </c>
    </row>
    <row r="14429" spans="1:7" x14ac:dyDescent="0.25">
      <c r="A14429">
        <v>89109</v>
      </c>
      <c r="B14429" t="s">
        <v>4</v>
      </c>
      <c r="C14429">
        <v>4</v>
      </c>
      <c r="D14429" t="s">
        <v>1556</v>
      </c>
      <c r="F14429" t="str" cm="1">
        <f t="array" ref="F14429">CategorizeComment(E14429)</f>
        <v>Other</v>
      </c>
      <c r="G14429" t="str" cm="1">
        <f t="array" ref="G14429">SubCategorizeComment(E14429)</f>
        <v>Other</v>
      </c>
    </row>
    <row r="14430" spans="1:7" x14ac:dyDescent="0.25">
      <c r="A14430">
        <v>15722</v>
      </c>
      <c r="B14430" t="s">
        <v>4</v>
      </c>
      <c r="C14430">
        <v>3</v>
      </c>
      <c r="D14430" t="s">
        <v>306</v>
      </c>
      <c r="F14430" t="str" cm="1">
        <f t="array" ref="F14430">CategorizeComment(E14430)</f>
        <v>Other</v>
      </c>
      <c r="G14430" t="str" cm="1">
        <f t="array" ref="G14430">SubCategorizeComment(E14430)</f>
        <v>Other</v>
      </c>
    </row>
    <row r="14431" spans="1:7" x14ac:dyDescent="0.25">
      <c r="A14431">
        <v>73190</v>
      </c>
      <c r="B14431" t="s">
        <v>4</v>
      </c>
      <c r="C14431">
        <v>3</v>
      </c>
      <c r="D14431" t="s">
        <v>1332</v>
      </c>
      <c r="F14431" t="str" cm="1">
        <f t="array" ref="F14431">CategorizeComment(E14431)</f>
        <v>Other</v>
      </c>
      <c r="G14431" t="str" cm="1">
        <f t="array" ref="G14431">SubCategorizeComment(E14431)</f>
        <v>Other</v>
      </c>
    </row>
    <row r="14432" spans="1:7" x14ac:dyDescent="0.25">
      <c r="A14432">
        <v>5727</v>
      </c>
      <c r="B14432" t="s">
        <v>4</v>
      </c>
      <c r="C14432">
        <v>4</v>
      </c>
      <c r="D14432" t="s">
        <v>117</v>
      </c>
      <c r="F14432" t="str" cm="1">
        <f t="array" ref="F14432">CategorizeComment(E14432)</f>
        <v>Other</v>
      </c>
      <c r="G14432" t="str" cm="1">
        <f t="array" ref="G14432">SubCategorizeComment(E14432)</f>
        <v>Other</v>
      </c>
    </row>
    <row r="14433" spans="1:7" x14ac:dyDescent="0.25">
      <c r="A14433">
        <v>110359</v>
      </c>
      <c r="B14433" t="s">
        <v>4</v>
      </c>
      <c r="C14433">
        <v>3</v>
      </c>
      <c r="D14433" t="s">
        <v>1888</v>
      </c>
      <c r="F14433" t="str" cm="1">
        <f t="array" ref="F14433">CategorizeComment(E14433)</f>
        <v>Other</v>
      </c>
      <c r="G14433" t="str" cm="1">
        <f t="array" ref="G14433">SubCategorizeComment(E14433)</f>
        <v>Other</v>
      </c>
    </row>
    <row r="14434" spans="1:7" x14ac:dyDescent="0.25">
      <c r="A14434">
        <v>106990</v>
      </c>
      <c r="B14434" t="s">
        <v>4</v>
      </c>
      <c r="C14434">
        <v>4</v>
      </c>
      <c r="D14434" t="s">
        <v>1830</v>
      </c>
      <c r="F14434" t="str" cm="1">
        <f t="array" ref="F14434">CategorizeComment(E14434)</f>
        <v>Other</v>
      </c>
      <c r="G14434" t="str" cm="1">
        <f t="array" ref="G14434">SubCategorizeComment(E14434)</f>
        <v>Other</v>
      </c>
    </row>
    <row r="14435" spans="1:7" x14ac:dyDescent="0.25">
      <c r="A14435">
        <v>34232</v>
      </c>
      <c r="B14435" t="s">
        <v>4</v>
      </c>
      <c r="C14435">
        <v>4</v>
      </c>
      <c r="D14435" t="s">
        <v>651</v>
      </c>
      <c r="F14435" t="str" cm="1">
        <f t="array" ref="F14435">CategorizeComment(E14435)</f>
        <v>Other</v>
      </c>
      <c r="G14435" t="str" cm="1">
        <f t="array" ref="G14435">SubCategorizeComment(E14435)</f>
        <v>Other</v>
      </c>
    </row>
    <row r="14436" spans="1:7" x14ac:dyDescent="0.25">
      <c r="A14436">
        <v>14958</v>
      </c>
      <c r="B14436" t="s">
        <v>4</v>
      </c>
      <c r="C14436">
        <v>4</v>
      </c>
      <c r="D14436" t="s">
        <v>290</v>
      </c>
      <c r="F14436" t="str" cm="1">
        <f t="array" ref="F14436">CategorizeComment(E14436)</f>
        <v>Other</v>
      </c>
      <c r="G14436" t="str" cm="1">
        <f t="array" ref="G14436">SubCategorizeComment(E14436)</f>
        <v>Other</v>
      </c>
    </row>
    <row r="14437" spans="1:7" x14ac:dyDescent="0.25">
      <c r="A14437">
        <v>12771</v>
      </c>
      <c r="B14437" t="s">
        <v>4</v>
      </c>
      <c r="C14437">
        <v>3</v>
      </c>
      <c r="D14437" t="s">
        <v>251</v>
      </c>
      <c r="F14437" t="str" cm="1">
        <f t="array" ref="F14437">CategorizeComment(E14437)</f>
        <v>Other</v>
      </c>
      <c r="G14437" t="str" cm="1">
        <f t="array" ref="G14437">SubCategorizeComment(E14437)</f>
        <v>Other</v>
      </c>
    </row>
    <row r="14438" spans="1:7" x14ac:dyDescent="0.25">
      <c r="A14438">
        <v>54072</v>
      </c>
      <c r="B14438" t="s">
        <v>4</v>
      </c>
      <c r="C14438">
        <v>3</v>
      </c>
      <c r="D14438" t="s">
        <v>1011</v>
      </c>
      <c r="F14438" t="str" cm="1">
        <f t="array" ref="F14438">CategorizeComment(E14438)</f>
        <v>Other</v>
      </c>
      <c r="G14438" t="str" cm="1">
        <f t="array" ref="G14438">SubCategorizeComment(E14438)</f>
        <v>Other</v>
      </c>
    </row>
    <row r="14439" spans="1:7" x14ac:dyDescent="0.25">
      <c r="A14439">
        <v>18052</v>
      </c>
      <c r="B14439" t="s">
        <v>4</v>
      </c>
      <c r="C14439">
        <v>3</v>
      </c>
      <c r="D14439" t="s">
        <v>358</v>
      </c>
      <c r="F14439" t="str" cm="1">
        <f t="array" ref="F14439">CategorizeComment(E14439)</f>
        <v>Other</v>
      </c>
      <c r="G14439" t="str" cm="1">
        <f t="array" ref="G14439">SubCategorizeComment(E14439)</f>
        <v>Other</v>
      </c>
    </row>
    <row r="14440" spans="1:7" x14ac:dyDescent="0.25">
      <c r="A14440">
        <v>20499</v>
      </c>
      <c r="B14440" t="s">
        <v>4</v>
      </c>
      <c r="C14440">
        <v>4</v>
      </c>
      <c r="D14440" t="s">
        <v>416</v>
      </c>
      <c r="F14440" t="str" cm="1">
        <f t="array" ref="F14440">CategorizeComment(E14440)</f>
        <v>Other</v>
      </c>
      <c r="G14440" t="str" cm="1">
        <f t="array" ref="G14440">SubCategorizeComment(E14440)</f>
        <v>Other</v>
      </c>
    </row>
    <row r="14441" spans="1:7" x14ac:dyDescent="0.25">
      <c r="A14441">
        <v>37533</v>
      </c>
      <c r="B14441" t="s">
        <v>4</v>
      </c>
      <c r="C14441">
        <v>4</v>
      </c>
      <c r="D14441" t="s">
        <v>720</v>
      </c>
      <c r="F14441" t="str" cm="1">
        <f t="array" ref="F14441">CategorizeComment(E14441)</f>
        <v>Other</v>
      </c>
      <c r="G14441" t="str" cm="1">
        <f t="array" ref="G14441">SubCategorizeComment(E14441)</f>
        <v>Other</v>
      </c>
    </row>
    <row r="14442" spans="1:7" x14ac:dyDescent="0.25">
      <c r="A14442">
        <v>117476</v>
      </c>
      <c r="B14442" t="s">
        <v>4</v>
      </c>
      <c r="C14442">
        <v>3</v>
      </c>
      <c r="D14442" t="s">
        <v>1987</v>
      </c>
      <c r="F14442" t="str" cm="1">
        <f t="array" ref="F14442">CategorizeComment(E14442)</f>
        <v>Other</v>
      </c>
      <c r="G14442" t="str" cm="1">
        <f t="array" ref="G14442">SubCategorizeComment(E14442)</f>
        <v>Other</v>
      </c>
    </row>
    <row r="14443" spans="1:7" x14ac:dyDescent="0.25">
      <c r="A14443">
        <v>17242</v>
      </c>
      <c r="B14443" t="s">
        <v>4</v>
      </c>
      <c r="C14443">
        <v>3</v>
      </c>
      <c r="D14443" t="s">
        <v>339</v>
      </c>
      <c r="F14443" t="str" cm="1">
        <f t="array" ref="F14443">CategorizeComment(E14443)</f>
        <v>Other</v>
      </c>
      <c r="G14443" t="str" cm="1">
        <f t="array" ref="G14443">SubCategorizeComment(E14443)</f>
        <v>Other</v>
      </c>
    </row>
    <row r="14444" spans="1:7" x14ac:dyDescent="0.25">
      <c r="A14444">
        <v>19028</v>
      </c>
      <c r="B14444" t="s">
        <v>4</v>
      </c>
      <c r="C14444">
        <v>4</v>
      </c>
      <c r="D14444" t="s">
        <v>381</v>
      </c>
      <c r="F14444" t="str" cm="1">
        <f t="array" ref="F14444">CategorizeComment(E14444)</f>
        <v>Other</v>
      </c>
      <c r="G14444" t="str" cm="1">
        <f t="array" ref="G14444">SubCategorizeComment(E14444)</f>
        <v>Other</v>
      </c>
    </row>
    <row r="14445" spans="1:7" x14ac:dyDescent="0.25">
      <c r="A14445">
        <v>64614</v>
      </c>
      <c r="B14445" t="s">
        <v>4</v>
      </c>
      <c r="C14445">
        <v>4</v>
      </c>
      <c r="D14445" t="s">
        <v>1203</v>
      </c>
      <c r="F14445" t="str" cm="1">
        <f t="array" ref="F14445">CategorizeComment(E14445)</f>
        <v>Other</v>
      </c>
      <c r="G14445" t="str" cm="1">
        <f t="array" ref="G14445">SubCategorizeComment(E14445)</f>
        <v>Other</v>
      </c>
    </row>
    <row r="14446" spans="1:7" x14ac:dyDescent="0.25">
      <c r="A14446">
        <v>110135</v>
      </c>
      <c r="B14446" t="s">
        <v>4</v>
      </c>
      <c r="C14446">
        <v>3</v>
      </c>
      <c r="D14446" t="s">
        <v>1884</v>
      </c>
      <c r="F14446" t="str" cm="1">
        <f t="array" ref="F14446">CategorizeComment(E14446)</f>
        <v>Other</v>
      </c>
      <c r="G14446" t="str" cm="1">
        <f t="array" ref="G14446">SubCategorizeComment(E14446)</f>
        <v>Other</v>
      </c>
    </row>
    <row r="14447" spans="1:7" x14ac:dyDescent="0.25">
      <c r="A14447">
        <v>105227</v>
      </c>
      <c r="B14447" t="s">
        <v>4</v>
      </c>
      <c r="C14447">
        <v>4</v>
      </c>
      <c r="D14447" t="s">
        <v>1798</v>
      </c>
      <c r="F14447" t="str" cm="1">
        <f t="array" ref="F14447">CategorizeComment(E14447)</f>
        <v>Other</v>
      </c>
      <c r="G14447" t="str" cm="1">
        <f t="array" ref="G14447">SubCategorizeComment(E14447)</f>
        <v>Other</v>
      </c>
    </row>
    <row r="14448" spans="1:7" x14ac:dyDescent="0.25">
      <c r="A14448">
        <v>87185</v>
      </c>
      <c r="B14448" t="s">
        <v>4</v>
      </c>
      <c r="C14448">
        <v>4</v>
      </c>
      <c r="D14448" t="s">
        <v>1525</v>
      </c>
      <c r="F14448" t="str" cm="1">
        <f t="array" ref="F14448">CategorizeComment(E14448)</f>
        <v>Other</v>
      </c>
      <c r="G14448" t="str" cm="1">
        <f t="array" ref="G14448">SubCategorizeComment(E14448)</f>
        <v>Other</v>
      </c>
    </row>
    <row r="14449" spans="1:7" x14ac:dyDescent="0.25">
      <c r="A14449">
        <v>125746</v>
      </c>
      <c r="B14449" t="s">
        <v>4</v>
      </c>
      <c r="C14449">
        <v>3</v>
      </c>
      <c r="D14449" t="s">
        <v>2115</v>
      </c>
      <c r="F14449" t="str" cm="1">
        <f t="array" ref="F14449">CategorizeComment(E14449)</f>
        <v>Other</v>
      </c>
      <c r="G14449" t="str" cm="1">
        <f t="array" ref="G14449">SubCategorizeComment(E14449)</f>
        <v>Other</v>
      </c>
    </row>
    <row r="14450" spans="1:7" x14ac:dyDescent="0.25">
      <c r="A14450">
        <v>87852</v>
      </c>
      <c r="B14450" t="s">
        <v>4</v>
      </c>
      <c r="C14450">
        <v>4</v>
      </c>
      <c r="D14450" t="s">
        <v>1536</v>
      </c>
      <c r="F14450" t="str" cm="1">
        <f t="array" ref="F14450">CategorizeComment(E14450)</f>
        <v>Other</v>
      </c>
      <c r="G14450" t="str" cm="1">
        <f t="array" ref="G14450">SubCategorizeComment(E14450)</f>
        <v>Other</v>
      </c>
    </row>
    <row r="14451" spans="1:7" x14ac:dyDescent="0.25">
      <c r="A14451">
        <v>104587</v>
      </c>
      <c r="B14451" t="s">
        <v>4</v>
      </c>
      <c r="C14451">
        <v>3</v>
      </c>
      <c r="D14451" t="s">
        <v>1785</v>
      </c>
      <c r="F14451" t="str" cm="1">
        <f t="array" ref="F14451">CategorizeComment(E14451)</f>
        <v>Other</v>
      </c>
      <c r="G14451" t="str" cm="1">
        <f t="array" ref="G14451">SubCategorizeComment(E14451)</f>
        <v>Other</v>
      </c>
    </row>
    <row r="14452" spans="1:7" x14ac:dyDescent="0.25">
      <c r="A14452">
        <v>66225</v>
      </c>
      <c r="B14452" t="s">
        <v>4</v>
      </c>
      <c r="C14452">
        <v>3</v>
      </c>
      <c r="D14452" t="s">
        <v>1222</v>
      </c>
      <c r="F14452" t="str" cm="1">
        <f t="array" ref="F14452">CategorizeComment(E14452)</f>
        <v>Other</v>
      </c>
      <c r="G14452" t="str" cm="1">
        <f t="array" ref="G14452">SubCategorizeComment(E14452)</f>
        <v>Other</v>
      </c>
    </row>
    <row r="14453" spans="1:7" x14ac:dyDescent="0.25">
      <c r="A14453">
        <v>71711</v>
      </c>
      <c r="B14453" t="s">
        <v>4</v>
      </c>
      <c r="C14453">
        <v>4</v>
      </c>
      <c r="D14453" t="s">
        <v>1305</v>
      </c>
      <c r="F14453" t="str" cm="1">
        <f t="array" ref="F14453">CategorizeComment(E14453)</f>
        <v>Other</v>
      </c>
      <c r="G14453" t="str" cm="1">
        <f t="array" ref="G14453">SubCategorizeComment(E14453)</f>
        <v>Other</v>
      </c>
    </row>
    <row r="14454" spans="1:7" x14ac:dyDescent="0.25">
      <c r="A14454">
        <v>3284</v>
      </c>
      <c r="B14454" t="s">
        <v>4</v>
      </c>
      <c r="C14454">
        <v>3</v>
      </c>
      <c r="D14454" t="s">
        <v>66</v>
      </c>
      <c r="F14454" t="str" cm="1">
        <f t="array" ref="F14454">CategorizeComment(E14454)</f>
        <v>Other</v>
      </c>
      <c r="G14454" t="str" cm="1">
        <f t="array" ref="G14454">SubCategorizeComment(E14454)</f>
        <v>Other</v>
      </c>
    </row>
    <row r="14455" spans="1:7" x14ac:dyDescent="0.25">
      <c r="A14455">
        <v>117235</v>
      </c>
      <c r="B14455" t="s">
        <v>4</v>
      </c>
      <c r="C14455">
        <v>3</v>
      </c>
      <c r="D14455" t="s">
        <v>1983</v>
      </c>
      <c r="F14455" t="str" cm="1">
        <f t="array" ref="F14455">CategorizeComment(E14455)</f>
        <v>Other</v>
      </c>
      <c r="G14455" t="str" cm="1">
        <f t="array" ref="G14455">SubCategorizeComment(E14455)</f>
        <v>Other</v>
      </c>
    </row>
    <row r="14456" spans="1:7" x14ac:dyDescent="0.25">
      <c r="A14456">
        <v>93493</v>
      </c>
      <c r="B14456" t="s">
        <v>4</v>
      </c>
      <c r="C14456">
        <v>3</v>
      </c>
      <c r="D14456" t="s">
        <v>1634</v>
      </c>
      <c r="F14456" t="str" cm="1">
        <f t="array" ref="F14456">CategorizeComment(E14456)</f>
        <v>Other</v>
      </c>
      <c r="G14456" t="str" cm="1">
        <f t="array" ref="G14456">SubCategorizeComment(E14456)</f>
        <v>Other</v>
      </c>
    </row>
    <row r="14457" spans="1:7" x14ac:dyDescent="0.25">
      <c r="A14457">
        <v>87574</v>
      </c>
      <c r="B14457" t="s">
        <v>4</v>
      </c>
      <c r="C14457">
        <v>3</v>
      </c>
      <c r="D14457" t="s">
        <v>1528</v>
      </c>
      <c r="F14457" t="str" cm="1">
        <f t="array" ref="F14457">CategorizeComment(E14457)</f>
        <v>Other</v>
      </c>
      <c r="G14457" t="str" cm="1">
        <f t="array" ref="G14457">SubCategorizeComment(E14457)</f>
        <v>Other</v>
      </c>
    </row>
    <row r="14458" spans="1:7" x14ac:dyDescent="0.25">
      <c r="A14458">
        <v>86251</v>
      </c>
      <c r="B14458" t="s">
        <v>4</v>
      </c>
      <c r="C14458">
        <v>3</v>
      </c>
      <c r="D14458" t="s">
        <v>1511</v>
      </c>
      <c r="F14458" t="str" cm="1">
        <f t="array" ref="F14458">CategorizeComment(E14458)</f>
        <v>Other</v>
      </c>
      <c r="G14458" t="str" cm="1">
        <f t="array" ref="G14458">SubCategorizeComment(E14458)</f>
        <v>Other</v>
      </c>
    </row>
    <row r="14459" spans="1:7" x14ac:dyDescent="0.25">
      <c r="A14459">
        <v>104147</v>
      </c>
      <c r="B14459" t="s">
        <v>4</v>
      </c>
      <c r="C14459">
        <v>4</v>
      </c>
      <c r="D14459" t="s">
        <v>1773</v>
      </c>
      <c r="F14459" t="str" cm="1">
        <f t="array" ref="F14459">CategorizeComment(E14459)</f>
        <v>Other</v>
      </c>
      <c r="G14459" t="str" cm="1">
        <f t="array" ref="G14459">SubCategorizeComment(E14459)</f>
        <v>Other</v>
      </c>
    </row>
    <row r="14460" spans="1:7" x14ac:dyDescent="0.25">
      <c r="A14460">
        <v>430</v>
      </c>
      <c r="B14460" t="s">
        <v>4</v>
      </c>
      <c r="C14460">
        <v>4</v>
      </c>
      <c r="D14460" t="s">
        <v>16</v>
      </c>
      <c r="F14460" t="str" cm="1">
        <f t="array" ref="F14460">CategorizeComment(E14460)</f>
        <v>Other</v>
      </c>
      <c r="G14460" t="str" cm="1">
        <f t="array" ref="G14460">SubCategorizeComment(E14460)</f>
        <v>Other</v>
      </c>
    </row>
    <row r="14461" spans="1:7" x14ac:dyDescent="0.25">
      <c r="A14461">
        <v>59397</v>
      </c>
      <c r="B14461" t="s">
        <v>4</v>
      </c>
      <c r="C14461">
        <v>4</v>
      </c>
      <c r="D14461" t="s">
        <v>1110</v>
      </c>
      <c r="F14461" t="str" cm="1">
        <f t="array" ref="F14461">CategorizeComment(E14461)</f>
        <v>Other</v>
      </c>
      <c r="G14461" t="str" cm="1">
        <f t="array" ref="G14461">SubCategorizeComment(E14461)</f>
        <v>Other</v>
      </c>
    </row>
    <row r="14462" spans="1:7" x14ac:dyDescent="0.25">
      <c r="A14462">
        <v>107743</v>
      </c>
      <c r="B14462" t="s">
        <v>4</v>
      </c>
      <c r="C14462">
        <v>3</v>
      </c>
      <c r="D14462" t="s">
        <v>1841</v>
      </c>
      <c r="F14462" t="str" cm="1">
        <f t="array" ref="F14462">CategorizeComment(E14462)</f>
        <v>Other</v>
      </c>
      <c r="G14462" t="str" cm="1">
        <f t="array" ref="G14462">SubCategorizeComment(E14462)</f>
        <v>Other</v>
      </c>
    </row>
    <row r="14463" spans="1:7" x14ac:dyDescent="0.25">
      <c r="A14463">
        <v>41493</v>
      </c>
      <c r="B14463" t="s">
        <v>4</v>
      </c>
      <c r="C14463">
        <v>4</v>
      </c>
      <c r="D14463" t="s">
        <v>782</v>
      </c>
      <c r="F14463" t="str" cm="1">
        <f t="array" ref="F14463">CategorizeComment(E14463)</f>
        <v>Other</v>
      </c>
      <c r="G14463" t="str" cm="1">
        <f t="array" ref="G14463">SubCategorizeComment(E14463)</f>
        <v>Other</v>
      </c>
    </row>
    <row r="14464" spans="1:7" x14ac:dyDescent="0.25">
      <c r="A14464">
        <v>60103</v>
      </c>
      <c r="B14464" t="s">
        <v>4</v>
      </c>
      <c r="C14464">
        <v>3</v>
      </c>
      <c r="D14464" t="s">
        <v>1118</v>
      </c>
      <c r="F14464" t="str" cm="1">
        <f t="array" ref="F14464">CategorizeComment(E14464)</f>
        <v>Other</v>
      </c>
      <c r="G14464" t="str" cm="1">
        <f t="array" ref="G14464">SubCategorizeComment(E14464)</f>
        <v>Other</v>
      </c>
    </row>
    <row r="14465" spans="1:7" x14ac:dyDescent="0.25">
      <c r="A14465">
        <v>65306</v>
      </c>
      <c r="B14465" t="s">
        <v>4</v>
      </c>
      <c r="C14465">
        <v>4</v>
      </c>
      <c r="D14465" t="s">
        <v>1212</v>
      </c>
      <c r="F14465" t="str" cm="1">
        <f t="array" ref="F14465">CategorizeComment(E14465)</f>
        <v>Other</v>
      </c>
      <c r="G14465" t="str" cm="1">
        <f t="array" ref="G14465">SubCategorizeComment(E14465)</f>
        <v>Other</v>
      </c>
    </row>
    <row r="14466" spans="1:7" x14ac:dyDescent="0.25">
      <c r="A14466">
        <v>107501</v>
      </c>
      <c r="B14466" t="s">
        <v>4</v>
      </c>
      <c r="C14466">
        <v>3</v>
      </c>
      <c r="D14466" t="s">
        <v>1838</v>
      </c>
      <c r="F14466" t="str" cm="1">
        <f t="array" ref="F14466">CategorizeComment(E14466)</f>
        <v>Other</v>
      </c>
      <c r="G14466" t="str" cm="1">
        <f t="array" ref="G14466">SubCategorizeComment(E14466)</f>
        <v>Other</v>
      </c>
    </row>
    <row r="14467" spans="1:7" x14ac:dyDescent="0.25">
      <c r="A14467">
        <v>94590</v>
      </c>
      <c r="B14467" t="s">
        <v>4</v>
      </c>
      <c r="C14467">
        <v>4</v>
      </c>
      <c r="D14467" t="s">
        <v>1643</v>
      </c>
      <c r="F14467" t="str" cm="1">
        <f t="array" ref="F14467">CategorizeComment(E14467)</f>
        <v>Other</v>
      </c>
      <c r="G14467" t="str" cm="1">
        <f t="array" ref="G14467">SubCategorizeComment(E14467)</f>
        <v>Other</v>
      </c>
    </row>
    <row r="14468" spans="1:7" x14ac:dyDescent="0.25">
      <c r="A14468">
        <v>116836</v>
      </c>
      <c r="B14468" t="s">
        <v>4</v>
      </c>
      <c r="C14468">
        <v>4</v>
      </c>
      <c r="D14468" t="s">
        <v>1979</v>
      </c>
      <c r="F14468" t="str" cm="1">
        <f t="array" ref="F14468">CategorizeComment(E14468)</f>
        <v>Other</v>
      </c>
      <c r="G14468" t="str" cm="1">
        <f t="array" ref="G14468">SubCategorizeComment(E14468)</f>
        <v>Other</v>
      </c>
    </row>
    <row r="14469" spans="1:7" x14ac:dyDescent="0.25">
      <c r="A14469">
        <v>9060</v>
      </c>
      <c r="B14469" t="s">
        <v>4</v>
      </c>
      <c r="C14469">
        <v>3</v>
      </c>
      <c r="D14469" t="s">
        <v>179</v>
      </c>
      <c r="F14469" t="str" cm="1">
        <f t="array" ref="F14469">CategorizeComment(E14469)</f>
        <v>Other</v>
      </c>
      <c r="G14469" t="str" cm="1">
        <f t="array" ref="G14469">SubCategorizeComment(E14469)</f>
        <v>Other</v>
      </c>
    </row>
    <row r="14470" spans="1:7" x14ac:dyDescent="0.25">
      <c r="A14470">
        <v>102872</v>
      </c>
      <c r="B14470" t="s">
        <v>4</v>
      </c>
      <c r="C14470">
        <v>3</v>
      </c>
      <c r="D14470" t="s">
        <v>1756</v>
      </c>
      <c r="F14470" t="str" cm="1">
        <f t="array" ref="F14470">CategorizeComment(E14470)</f>
        <v>Other</v>
      </c>
      <c r="G14470" t="str" cm="1">
        <f t="array" ref="G14470">SubCategorizeComment(E14470)</f>
        <v>Other</v>
      </c>
    </row>
    <row r="14471" spans="1:7" x14ac:dyDescent="0.25">
      <c r="A14471">
        <v>83247</v>
      </c>
      <c r="B14471" t="s">
        <v>4</v>
      </c>
      <c r="C14471">
        <v>3</v>
      </c>
      <c r="D14471" t="s">
        <v>1476</v>
      </c>
      <c r="F14471" t="str" cm="1">
        <f t="array" ref="F14471">CategorizeComment(E14471)</f>
        <v>Other</v>
      </c>
      <c r="G14471" t="str" cm="1">
        <f t="array" ref="G14471">SubCategorizeComment(E14471)</f>
        <v>Other</v>
      </c>
    </row>
    <row r="14472" spans="1:7" x14ac:dyDescent="0.25">
      <c r="A14472">
        <v>69162</v>
      </c>
      <c r="B14472" t="s">
        <v>4</v>
      </c>
      <c r="C14472">
        <v>3</v>
      </c>
      <c r="D14472" t="s">
        <v>1266</v>
      </c>
      <c r="F14472" t="str" cm="1">
        <f t="array" ref="F14472">CategorizeComment(E14472)</f>
        <v>Other</v>
      </c>
      <c r="G14472" t="str" cm="1">
        <f t="array" ref="G14472">SubCategorizeComment(E14472)</f>
        <v>Other</v>
      </c>
    </row>
    <row r="14473" spans="1:7" x14ac:dyDescent="0.25">
      <c r="A14473">
        <v>62044</v>
      </c>
      <c r="B14473" t="s">
        <v>4</v>
      </c>
      <c r="C14473">
        <v>4</v>
      </c>
      <c r="D14473" t="s">
        <v>1154</v>
      </c>
      <c r="F14473" t="str" cm="1">
        <f t="array" ref="F14473">CategorizeComment(E14473)</f>
        <v>Other</v>
      </c>
      <c r="G14473" t="str" cm="1">
        <f t="array" ref="G14473">SubCategorizeComment(E14473)</f>
        <v>Other</v>
      </c>
    </row>
    <row r="14474" spans="1:7" x14ac:dyDescent="0.25">
      <c r="A14474">
        <v>35793</v>
      </c>
      <c r="B14474" t="s">
        <v>4</v>
      </c>
      <c r="C14474">
        <v>3</v>
      </c>
      <c r="D14474" t="s">
        <v>682</v>
      </c>
      <c r="F14474" t="str" cm="1">
        <f t="array" ref="F14474">CategorizeComment(E14474)</f>
        <v>Other</v>
      </c>
      <c r="G14474" t="str" cm="1">
        <f t="array" ref="G14474">SubCategorizeComment(E14474)</f>
        <v>Other</v>
      </c>
    </row>
    <row r="14475" spans="1:7" x14ac:dyDescent="0.25">
      <c r="A14475">
        <v>19101</v>
      </c>
      <c r="B14475" t="s">
        <v>4</v>
      </c>
      <c r="C14475">
        <v>3</v>
      </c>
      <c r="D14475" t="s">
        <v>384</v>
      </c>
      <c r="F14475" t="str" cm="1">
        <f t="array" ref="F14475">CategorizeComment(E14475)</f>
        <v>Other</v>
      </c>
      <c r="G14475" t="str" cm="1">
        <f t="array" ref="G14475">SubCategorizeComment(E14475)</f>
        <v>Other</v>
      </c>
    </row>
    <row r="14476" spans="1:7" x14ac:dyDescent="0.25">
      <c r="A14476">
        <v>116686</v>
      </c>
      <c r="B14476" t="s">
        <v>4</v>
      </c>
      <c r="C14476">
        <v>0</v>
      </c>
      <c r="D14476" t="s">
        <v>1975</v>
      </c>
      <c r="F14476" t="str" cm="1">
        <f t="array" ref="F14476">CategorizeComment(E14476)</f>
        <v>Other</v>
      </c>
      <c r="G14476" t="str" cm="1">
        <f t="array" ref="G14476">SubCategorizeComment(E14476)</f>
        <v>Other</v>
      </c>
    </row>
    <row r="14477" spans="1:7" x14ac:dyDescent="0.25">
      <c r="A14477">
        <v>128972</v>
      </c>
      <c r="B14477" t="s">
        <v>4</v>
      </c>
      <c r="C14477">
        <v>4</v>
      </c>
      <c r="D14477" t="s">
        <v>2158</v>
      </c>
      <c r="F14477" t="str" cm="1">
        <f t="array" ref="F14477">CategorizeComment(E14477)</f>
        <v>Other</v>
      </c>
      <c r="G14477" t="str" cm="1">
        <f t="array" ref="G14477">SubCategorizeComment(E14477)</f>
        <v>Other</v>
      </c>
    </row>
    <row r="14478" spans="1:7" x14ac:dyDescent="0.25">
      <c r="A14478">
        <v>63612</v>
      </c>
      <c r="B14478" t="s">
        <v>4</v>
      </c>
      <c r="C14478">
        <v>4</v>
      </c>
      <c r="D14478" t="s">
        <v>1188</v>
      </c>
      <c r="F14478" t="str" cm="1">
        <f t="array" ref="F14478">CategorizeComment(E14478)</f>
        <v>Other</v>
      </c>
      <c r="G14478" t="str" cm="1">
        <f t="array" ref="G14478">SubCategorizeComment(E14478)</f>
        <v>Other</v>
      </c>
    </row>
    <row r="14479" spans="1:7" x14ac:dyDescent="0.25">
      <c r="A14479">
        <v>96855</v>
      </c>
      <c r="B14479" t="s">
        <v>4</v>
      </c>
      <c r="C14479">
        <v>3</v>
      </c>
      <c r="D14479" t="s">
        <v>1676</v>
      </c>
      <c r="F14479" t="str" cm="1">
        <f t="array" ref="F14479">CategorizeComment(E14479)</f>
        <v>Other</v>
      </c>
      <c r="G14479" t="str" cm="1">
        <f t="array" ref="G14479">SubCategorizeComment(E14479)</f>
        <v>Other</v>
      </c>
    </row>
    <row r="14480" spans="1:7" x14ac:dyDescent="0.25">
      <c r="A14480">
        <v>17334</v>
      </c>
      <c r="B14480" t="s">
        <v>4</v>
      </c>
      <c r="C14480">
        <v>4</v>
      </c>
      <c r="D14480" t="s">
        <v>343</v>
      </c>
      <c r="F14480" t="str" cm="1">
        <f t="array" ref="F14480">CategorizeComment(E14480)</f>
        <v>Other</v>
      </c>
      <c r="G14480" t="str" cm="1">
        <f t="array" ref="G14480">SubCategorizeComment(E14480)</f>
        <v>Other</v>
      </c>
    </row>
    <row r="14481" spans="1:7" x14ac:dyDescent="0.25">
      <c r="A14481">
        <v>37871</v>
      </c>
      <c r="B14481" t="s">
        <v>4</v>
      </c>
      <c r="C14481">
        <v>4</v>
      </c>
      <c r="D14481" t="s">
        <v>726</v>
      </c>
      <c r="F14481" t="str" cm="1">
        <f t="array" ref="F14481">CategorizeComment(E14481)</f>
        <v>Other</v>
      </c>
      <c r="G14481" t="str" cm="1">
        <f t="array" ref="G14481">SubCategorizeComment(E14481)</f>
        <v>Other</v>
      </c>
    </row>
    <row r="14482" spans="1:7" x14ac:dyDescent="0.25">
      <c r="A14482">
        <v>9878</v>
      </c>
      <c r="B14482" t="s">
        <v>4</v>
      </c>
      <c r="C14482">
        <v>3</v>
      </c>
      <c r="D14482" t="s">
        <v>195</v>
      </c>
      <c r="F14482" t="str" cm="1">
        <f t="array" ref="F14482">CategorizeComment(E14482)</f>
        <v>Other</v>
      </c>
      <c r="G14482" t="str" cm="1">
        <f t="array" ref="G14482">SubCategorizeComment(E14482)</f>
        <v>Other</v>
      </c>
    </row>
    <row r="14483" spans="1:7" x14ac:dyDescent="0.25">
      <c r="A14483">
        <v>18566</v>
      </c>
      <c r="B14483" t="s">
        <v>4</v>
      </c>
      <c r="C14483">
        <v>3</v>
      </c>
      <c r="D14483" t="s">
        <v>368</v>
      </c>
      <c r="F14483" t="str" cm="1">
        <f t="array" ref="F14483">CategorizeComment(E14483)</f>
        <v>Other</v>
      </c>
      <c r="G14483" t="str" cm="1">
        <f t="array" ref="G14483">SubCategorizeComment(E14483)</f>
        <v>Other</v>
      </c>
    </row>
    <row r="14484" spans="1:7" x14ac:dyDescent="0.25">
      <c r="A14484">
        <v>62825</v>
      </c>
      <c r="B14484" t="s">
        <v>4</v>
      </c>
      <c r="C14484">
        <v>3</v>
      </c>
      <c r="D14484" t="s">
        <v>1175</v>
      </c>
      <c r="F14484" t="str" cm="1">
        <f t="array" ref="F14484">CategorizeComment(E14484)</f>
        <v>Other</v>
      </c>
      <c r="G14484" t="str" cm="1">
        <f t="array" ref="G14484">SubCategorizeComment(E14484)</f>
        <v>Other</v>
      </c>
    </row>
    <row r="14485" spans="1:7" x14ac:dyDescent="0.25">
      <c r="A14485">
        <v>64165</v>
      </c>
      <c r="B14485" t="s">
        <v>4</v>
      </c>
      <c r="C14485">
        <v>3</v>
      </c>
      <c r="D14485" t="s">
        <v>1197</v>
      </c>
      <c r="F14485" t="str" cm="1">
        <f t="array" ref="F14485">CategorizeComment(E14485)</f>
        <v>Other</v>
      </c>
      <c r="G14485" t="str" cm="1">
        <f t="array" ref="G14485">SubCategorizeComment(E14485)</f>
        <v>Other</v>
      </c>
    </row>
    <row r="14486" spans="1:7" x14ac:dyDescent="0.25">
      <c r="A14486">
        <v>63920</v>
      </c>
      <c r="B14486" t="s">
        <v>4</v>
      </c>
      <c r="C14486">
        <v>4</v>
      </c>
      <c r="D14486" t="s">
        <v>1192</v>
      </c>
      <c r="F14486" t="str" cm="1">
        <f t="array" ref="F14486">CategorizeComment(E14486)</f>
        <v>Other</v>
      </c>
      <c r="G14486" t="str" cm="1">
        <f t="array" ref="G14486">SubCategorizeComment(E14486)</f>
        <v>Other</v>
      </c>
    </row>
    <row r="14487" spans="1:7" x14ac:dyDescent="0.25">
      <c r="A14487">
        <v>16237</v>
      </c>
      <c r="B14487" t="s">
        <v>4</v>
      </c>
      <c r="C14487">
        <v>4</v>
      </c>
      <c r="D14487" t="s">
        <v>319</v>
      </c>
      <c r="F14487" t="str" cm="1">
        <f t="array" ref="F14487">CategorizeComment(E14487)</f>
        <v>Other</v>
      </c>
      <c r="G14487" t="str" cm="1">
        <f t="array" ref="G14487">SubCategorizeComment(E14487)</f>
        <v>Other</v>
      </c>
    </row>
    <row r="14488" spans="1:7" x14ac:dyDescent="0.25">
      <c r="A14488">
        <v>31180</v>
      </c>
      <c r="B14488" t="s">
        <v>4</v>
      </c>
      <c r="C14488">
        <v>4</v>
      </c>
      <c r="D14488" t="s">
        <v>602</v>
      </c>
      <c r="F14488" t="str" cm="1">
        <f t="array" ref="F14488">CategorizeComment(E14488)</f>
        <v>Other</v>
      </c>
      <c r="G14488" t="str" cm="1">
        <f t="array" ref="G14488">SubCategorizeComment(E14488)</f>
        <v>Other</v>
      </c>
    </row>
    <row r="14489" spans="1:7" x14ac:dyDescent="0.25">
      <c r="A14489">
        <v>13755</v>
      </c>
      <c r="B14489" t="s">
        <v>4</v>
      </c>
      <c r="C14489">
        <v>4</v>
      </c>
      <c r="D14489" t="s">
        <v>269</v>
      </c>
      <c r="F14489" t="str" cm="1">
        <f t="array" ref="F14489">CategorizeComment(E14489)</f>
        <v>Other</v>
      </c>
      <c r="G14489" t="str" cm="1">
        <f t="array" ref="G14489">SubCategorizeComment(E14489)</f>
        <v>Other</v>
      </c>
    </row>
    <row r="14490" spans="1:7" x14ac:dyDescent="0.25">
      <c r="A14490">
        <v>68262</v>
      </c>
      <c r="B14490" t="s">
        <v>4</v>
      </c>
      <c r="C14490">
        <v>3</v>
      </c>
      <c r="D14490" t="s">
        <v>1250</v>
      </c>
      <c r="F14490" t="str" cm="1">
        <f t="array" ref="F14490">CategorizeComment(E14490)</f>
        <v>Other</v>
      </c>
      <c r="G14490" t="str" cm="1">
        <f t="array" ref="G14490">SubCategorizeComment(E14490)</f>
        <v>Other</v>
      </c>
    </row>
    <row r="14491" spans="1:7" x14ac:dyDescent="0.25">
      <c r="A14491">
        <v>71320</v>
      </c>
      <c r="B14491" t="s">
        <v>4</v>
      </c>
      <c r="C14491">
        <v>3</v>
      </c>
      <c r="D14491" t="s">
        <v>1299</v>
      </c>
      <c r="F14491" t="str" cm="1">
        <f t="array" ref="F14491">CategorizeComment(E14491)</f>
        <v>Other</v>
      </c>
      <c r="G14491" t="str" cm="1">
        <f t="array" ref="G14491">SubCategorizeComment(E14491)</f>
        <v>Other</v>
      </c>
    </row>
    <row r="14492" spans="1:7" x14ac:dyDescent="0.25">
      <c r="A14492">
        <v>114085</v>
      </c>
      <c r="B14492" t="s">
        <v>4</v>
      </c>
      <c r="C14492">
        <v>4</v>
      </c>
      <c r="D14492" t="s">
        <v>1940</v>
      </c>
      <c r="F14492" t="str" cm="1">
        <f t="array" ref="F14492">CategorizeComment(E14492)</f>
        <v>Other</v>
      </c>
      <c r="G14492" t="str" cm="1">
        <f t="array" ref="G14492">SubCategorizeComment(E14492)</f>
        <v>Other</v>
      </c>
    </row>
    <row r="14493" spans="1:7" x14ac:dyDescent="0.25">
      <c r="A14493">
        <v>89654</v>
      </c>
      <c r="B14493" t="s">
        <v>4</v>
      </c>
      <c r="C14493">
        <v>4</v>
      </c>
      <c r="D14493" t="s">
        <v>1565</v>
      </c>
      <c r="F14493" t="str" cm="1">
        <f t="array" ref="F14493">CategorizeComment(E14493)</f>
        <v>Other</v>
      </c>
      <c r="G14493" t="str" cm="1">
        <f t="array" ref="G14493">SubCategorizeComment(E14493)</f>
        <v>Other</v>
      </c>
    </row>
    <row r="14494" spans="1:7" x14ac:dyDescent="0.25">
      <c r="A14494">
        <v>52772</v>
      </c>
      <c r="B14494" t="s">
        <v>4</v>
      </c>
      <c r="C14494">
        <v>4</v>
      </c>
      <c r="D14494" t="s">
        <v>986</v>
      </c>
      <c r="F14494" t="str" cm="1">
        <f t="array" ref="F14494">CategorizeComment(E14494)</f>
        <v>Other</v>
      </c>
      <c r="G14494" t="str" cm="1">
        <f t="array" ref="G14494">SubCategorizeComment(E14494)</f>
        <v>Other</v>
      </c>
    </row>
    <row r="14495" spans="1:7" x14ac:dyDescent="0.25">
      <c r="A14495">
        <v>101006</v>
      </c>
      <c r="B14495" t="s">
        <v>4</v>
      </c>
      <c r="C14495">
        <v>3</v>
      </c>
      <c r="D14495" t="s">
        <v>1733</v>
      </c>
      <c r="F14495" t="str" cm="1">
        <f t="array" ref="F14495">CategorizeComment(E14495)</f>
        <v>Other</v>
      </c>
      <c r="G14495" t="str" cm="1">
        <f t="array" ref="G14495">SubCategorizeComment(E14495)</f>
        <v>Other</v>
      </c>
    </row>
    <row r="14496" spans="1:7" x14ac:dyDescent="0.25">
      <c r="A14496">
        <v>15552</v>
      </c>
      <c r="B14496" t="s">
        <v>4</v>
      </c>
      <c r="C14496">
        <v>3</v>
      </c>
      <c r="D14496" t="s">
        <v>300</v>
      </c>
      <c r="F14496" t="str" cm="1">
        <f t="array" ref="F14496">CategorizeComment(E14496)</f>
        <v>Other</v>
      </c>
      <c r="G14496" t="str" cm="1">
        <f t="array" ref="G14496">SubCategorizeComment(E14496)</f>
        <v>Other</v>
      </c>
    </row>
    <row r="14497" spans="1:7" x14ac:dyDescent="0.25">
      <c r="A14497">
        <v>58086</v>
      </c>
      <c r="B14497" t="s">
        <v>4</v>
      </c>
      <c r="C14497">
        <v>4</v>
      </c>
      <c r="D14497" t="s">
        <v>1082</v>
      </c>
      <c r="F14497" t="str" cm="1">
        <f t="array" ref="F14497">CategorizeComment(E14497)</f>
        <v>Other</v>
      </c>
      <c r="G14497" t="str" cm="1">
        <f t="array" ref="G14497">SubCategorizeComment(E14497)</f>
        <v>Other</v>
      </c>
    </row>
    <row r="14498" spans="1:7" x14ac:dyDescent="0.25">
      <c r="A14498">
        <v>19011</v>
      </c>
      <c r="B14498" t="s">
        <v>4</v>
      </c>
      <c r="C14498">
        <v>4</v>
      </c>
      <c r="D14498" t="s">
        <v>380</v>
      </c>
      <c r="F14498" t="str" cm="1">
        <f t="array" ref="F14498">CategorizeComment(E14498)</f>
        <v>Other</v>
      </c>
      <c r="G14498" t="str" cm="1">
        <f t="array" ref="G14498">SubCategorizeComment(E14498)</f>
        <v>Other</v>
      </c>
    </row>
    <row r="14499" spans="1:7" x14ac:dyDescent="0.25">
      <c r="A14499">
        <v>24834</v>
      </c>
      <c r="B14499" t="s">
        <v>4</v>
      </c>
      <c r="C14499">
        <v>4</v>
      </c>
      <c r="D14499" t="s">
        <v>504</v>
      </c>
      <c r="F14499" t="str" cm="1">
        <f t="array" ref="F14499">CategorizeComment(E14499)</f>
        <v>Other</v>
      </c>
      <c r="G14499" t="str" cm="1">
        <f t="array" ref="G14499">SubCategorizeComment(E14499)</f>
        <v>Other</v>
      </c>
    </row>
    <row r="14500" spans="1:7" x14ac:dyDescent="0.25">
      <c r="A14500">
        <v>61490</v>
      </c>
      <c r="B14500" t="s">
        <v>4</v>
      </c>
      <c r="C14500">
        <v>4</v>
      </c>
      <c r="D14500" t="s">
        <v>1147</v>
      </c>
      <c r="F14500" t="str" cm="1">
        <f t="array" ref="F14500">CategorizeComment(E14500)</f>
        <v>Other</v>
      </c>
      <c r="G14500" t="str" cm="1">
        <f t="array" ref="G14500">SubCategorizeComment(E14500)</f>
        <v>Other</v>
      </c>
    </row>
    <row r="14501" spans="1:7" x14ac:dyDescent="0.25">
      <c r="A14501">
        <v>92853</v>
      </c>
      <c r="B14501" t="s">
        <v>4</v>
      </c>
      <c r="C14501">
        <v>3</v>
      </c>
      <c r="D14501" t="s">
        <v>1625</v>
      </c>
      <c r="F14501" t="str" cm="1">
        <f t="array" ref="F14501">CategorizeComment(E14501)</f>
        <v>Other</v>
      </c>
      <c r="G14501" t="str" cm="1">
        <f t="array" ref="G14501">SubCategorizeComment(E14501)</f>
        <v>Other</v>
      </c>
    </row>
    <row r="14502" spans="1:7" x14ac:dyDescent="0.25">
      <c r="A14502">
        <v>126709</v>
      </c>
      <c r="B14502" t="s">
        <v>4</v>
      </c>
      <c r="C14502">
        <v>4</v>
      </c>
      <c r="D14502" t="s">
        <v>2127</v>
      </c>
      <c r="F14502" t="str" cm="1">
        <f t="array" ref="F14502">CategorizeComment(E14502)</f>
        <v>Other</v>
      </c>
      <c r="G14502" t="str" cm="1">
        <f t="array" ref="G14502">SubCategorizeComment(E14502)</f>
        <v>Other</v>
      </c>
    </row>
    <row r="14503" spans="1:7" x14ac:dyDescent="0.25">
      <c r="A14503">
        <v>115472</v>
      </c>
      <c r="B14503" t="s">
        <v>4</v>
      </c>
      <c r="C14503">
        <v>4</v>
      </c>
      <c r="D14503" t="s">
        <v>1955</v>
      </c>
      <c r="F14503" t="str" cm="1">
        <f t="array" ref="F14503">CategorizeComment(E14503)</f>
        <v>Other</v>
      </c>
      <c r="G14503" t="str" cm="1">
        <f t="array" ref="G14503">SubCategorizeComment(E14503)</f>
        <v>Other</v>
      </c>
    </row>
    <row r="14504" spans="1:7" x14ac:dyDescent="0.25">
      <c r="A14504">
        <v>104351</v>
      </c>
      <c r="B14504" t="s">
        <v>4</v>
      </c>
      <c r="C14504">
        <v>4</v>
      </c>
      <c r="D14504" t="s">
        <v>1779</v>
      </c>
      <c r="F14504" t="str" cm="1">
        <f t="array" ref="F14504">CategorizeComment(E14504)</f>
        <v>Other</v>
      </c>
      <c r="G14504" t="str" cm="1">
        <f t="array" ref="G14504">SubCategorizeComment(E14504)</f>
        <v>Other</v>
      </c>
    </row>
    <row r="14505" spans="1:7" x14ac:dyDescent="0.25">
      <c r="A14505">
        <v>96714</v>
      </c>
      <c r="B14505" t="s">
        <v>4</v>
      </c>
      <c r="C14505">
        <v>3</v>
      </c>
      <c r="D14505" t="s">
        <v>1672</v>
      </c>
      <c r="F14505" t="str" cm="1">
        <f t="array" ref="F14505">CategorizeComment(E14505)</f>
        <v>Other</v>
      </c>
      <c r="G14505" t="str" cm="1">
        <f t="array" ref="G14505">SubCategorizeComment(E14505)</f>
        <v>Other</v>
      </c>
    </row>
    <row r="14506" spans="1:7" x14ac:dyDescent="0.25">
      <c r="A14506">
        <v>124536</v>
      </c>
      <c r="B14506" t="s">
        <v>4</v>
      </c>
      <c r="C14506">
        <v>3</v>
      </c>
      <c r="D14506" t="s">
        <v>2097</v>
      </c>
      <c r="F14506" t="str" cm="1">
        <f t="array" ref="F14506">CategorizeComment(E14506)</f>
        <v>Other</v>
      </c>
      <c r="G14506" t="str" cm="1">
        <f t="array" ref="G14506">SubCategorizeComment(E14506)</f>
        <v>Other</v>
      </c>
    </row>
    <row r="14507" spans="1:7" x14ac:dyDescent="0.25">
      <c r="A14507">
        <v>124798</v>
      </c>
      <c r="B14507" t="s">
        <v>4</v>
      </c>
      <c r="C14507">
        <v>3</v>
      </c>
      <c r="D14507" t="s">
        <v>2103</v>
      </c>
      <c r="F14507" t="str" cm="1">
        <f t="array" ref="F14507">CategorizeComment(E14507)</f>
        <v>Other</v>
      </c>
      <c r="G14507" t="str" cm="1">
        <f t="array" ref="G14507">SubCategorizeComment(E14507)</f>
        <v>Other</v>
      </c>
    </row>
    <row r="14508" spans="1:7" x14ac:dyDescent="0.25">
      <c r="A14508">
        <v>97929</v>
      </c>
      <c r="B14508" t="s">
        <v>4</v>
      </c>
      <c r="C14508">
        <v>3</v>
      </c>
      <c r="D14508" t="s">
        <v>1698</v>
      </c>
      <c r="F14508" t="str" cm="1">
        <f t="array" ref="F14508">CategorizeComment(E14508)</f>
        <v>Other</v>
      </c>
      <c r="G14508" t="str" cm="1">
        <f t="array" ref="G14508">SubCategorizeComment(E14508)</f>
        <v>Other</v>
      </c>
    </row>
    <row r="14509" spans="1:7" x14ac:dyDescent="0.25">
      <c r="A14509">
        <v>126668</v>
      </c>
      <c r="B14509" t="s">
        <v>4</v>
      </c>
      <c r="C14509">
        <v>4</v>
      </c>
      <c r="D14509" t="s">
        <v>2126</v>
      </c>
      <c r="F14509" t="str" cm="1">
        <f t="array" ref="F14509">CategorizeComment(E14509)</f>
        <v>Other</v>
      </c>
      <c r="G14509" t="str" cm="1">
        <f t="array" ref="G14509">SubCategorizeComment(E14509)</f>
        <v>Other</v>
      </c>
    </row>
    <row r="14510" spans="1:7" x14ac:dyDescent="0.25">
      <c r="A14510">
        <v>23249</v>
      </c>
      <c r="B14510" t="s">
        <v>4</v>
      </c>
      <c r="C14510">
        <v>4</v>
      </c>
      <c r="D14510" t="s">
        <v>474</v>
      </c>
      <c r="F14510" t="str" cm="1">
        <f t="array" ref="F14510">CategorizeComment(E14510)</f>
        <v>Other</v>
      </c>
      <c r="G14510" t="str" cm="1">
        <f t="array" ref="G14510">SubCategorizeComment(E14510)</f>
        <v>Other</v>
      </c>
    </row>
    <row r="14511" spans="1:7" x14ac:dyDescent="0.25">
      <c r="A14511">
        <v>15837</v>
      </c>
      <c r="B14511" t="s">
        <v>4</v>
      </c>
      <c r="C14511">
        <v>3</v>
      </c>
      <c r="D14511" t="s">
        <v>312</v>
      </c>
      <c r="F14511" t="str" cm="1">
        <f t="array" ref="F14511">CategorizeComment(E14511)</f>
        <v>Other</v>
      </c>
      <c r="G14511" t="str" cm="1">
        <f t="array" ref="G14511">SubCategorizeComment(E14511)</f>
        <v>Other</v>
      </c>
    </row>
    <row r="14512" spans="1:7" x14ac:dyDescent="0.25">
      <c r="A14512">
        <v>89295</v>
      </c>
      <c r="B14512" t="s">
        <v>4</v>
      </c>
      <c r="C14512">
        <v>4</v>
      </c>
      <c r="D14512" t="s">
        <v>1560</v>
      </c>
      <c r="F14512" t="str" cm="1">
        <f t="array" ref="F14512">CategorizeComment(E14512)</f>
        <v>Other</v>
      </c>
      <c r="G14512" t="str" cm="1">
        <f t="array" ref="G14512">SubCategorizeComment(E14512)</f>
        <v>Other</v>
      </c>
    </row>
    <row r="14513" spans="1:7" x14ac:dyDescent="0.25">
      <c r="A14513">
        <v>17704</v>
      </c>
      <c r="B14513" t="s">
        <v>4</v>
      </c>
      <c r="C14513">
        <v>4</v>
      </c>
      <c r="D14513" t="s">
        <v>349</v>
      </c>
      <c r="F14513" t="str" cm="1">
        <f t="array" ref="F14513">CategorizeComment(E14513)</f>
        <v>Other</v>
      </c>
      <c r="G14513" t="str" cm="1">
        <f t="array" ref="G14513">SubCategorizeComment(E14513)</f>
        <v>Other</v>
      </c>
    </row>
    <row r="14514" spans="1:7" x14ac:dyDescent="0.25">
      <c r="A14514">
        <v>85791</v>
      </c>
      <c r="B14514" t="s">
        <v>4</v>
      </c>
      <c r="C14514">
        <v>3</v>
      </c>
      <c r="D14514" t="s">
        <v>1504</v>
      </c>
      <c r="F14514" t="str" cm="1">
        <f t="array" ref="F14514">CategorizeComment(E14514)</f>
        <v>Other</v>
      </c>
      <c r="G14514" t="str" cm="1">
        <f t="array" ref="G14514">SubCategorizeComment(E14514)</f>
        <v>Other</v>
      </c>
    </row>
    <row r="14515" spans="1:7" x14ac:dyDescent="0.25">
      <c r="A14515">
        <v>21371</v>
      </c>
      <c r="B14515" t="s">
        <v>4</v>
      </c>
      <c r="C14515">
        <v>4</v>
      </c>
      <c r="D14515" t="s">
        <v>436</v>
      </c>
      <c r="F14515" t="str" cm="1">
        <f t="array" ref="F14515">CategorizeComment(E14515)</f>
        <v>Other</v>
      </c>
      <c r="G14515" t="str" cm="1">
        <f t="array" ref="G14515">SubCategorizeComment(E14515)</f>
        <v>Other</v>
      </c>
    </row>
    <row r="14516" spans="1:7" x14ac:dyDescent="0.25">
      <c r="A14516">
        <v>54688</v>
      </c>
      <c r="B14516" t="s">
        <v>4</v>
      </c>
      <c r="C14516">
        <v>3</v>
      </c>
      <c r="D14516" t="s">
        <v>1026</v>
      </c>
      <c r="F14516" t="str" cm="1">
        <f t="array" ref="F14516">CategorizeComment(E14516)</f>
        <v>Other</v>
      </c>
      <c r="G14516" t="str" cm="1">
        <f t="array" ref="G14516">SubCategorizeComment(E14516)</f>
        <v>Other</v>
      </c>
    </row>
    <row r="14517" spans="1:7" x14ac:dyDescent="0.25">
      <c r="A14517">
        <v>9473</v>
      </c>
      <c r="B14517" t="s">
        <v>4</v>
      </c>
      <c r="C14517">
        <v>4</v>
      </c>
      <c r="D14517" t="s">
        <v>187</v>
      </c>
      <c r="F14517" t="str" cm="1">
        <f t="array" ref="F14517">CategorizeComment(E14517)</f>
        <v>Other</v>
      </c>
      <c r="G14517" t="str" cm="1">
        <f t="array" ref="G14517">SubCategorizeComment(E14517)</f>
        <v>Other</v>
      </c>
    </row>
    <row r="14518" spans="1:7" x14ac:dyDescent="0.25">
      <c r="A14518">
        <v>10796</v>
      </c>
      <c r="B14518" t="s">
        <v>4</v>
      </c>
      <c r="C14518">
        <v>3</v>
      </c>
      <c r="D14518" t="s">
        <v>212</v>
      </c>
      <c r="F14518" t="str" cm="1">
        <f t="array" ref="F14518">CategorizeComment(E14518)</f>
        <v>Other</v>
      </c>
      <c r="G14518" t="str" cm="1">
        <f t="array" ref="G14518">SubCategorizeComment(E14518)</f>
        <v>Other</v>
      </c>
    </row>
    <row r="14519" spans="1:7" x14ac:dyDescent="0.25">
      <c r="A14519">
        <v>79663</v>
      </c>
      <c r="B14519" t="s">
        <v>4</v>
      </c>
      <c r="C14519">
        <v>3</v>
      </c>
      <c r="D14519" t="s">
        <v>1425</v>
      </c>
      <c r="F14519" t="str" cm="1">
        <f t="array" ref="F14519">CategorizeComment(E14519)</f>
        <v>Other</v>
      </c>
      <c r="G14519" t="str" cm="1">
        <f t="array" ref="G14519">SubCategorizeComment(E14519)</f>
        <v>Other</v>
      </c>
    </row>
    <row r="14520" spans="1:7" x14ac:dyDescent="0.25">
      <c r="A14520">
        <v>3829</v>
      </c>
      <c r="B14520" t="s">
        <v>4</v>
      </c>
      <c r="C14520">
        <v>3</v>
      </c>
      <c r="D14520" t="s">
        <v>81</v>
      </c>
      <c r="F14520" t="str" cm="1">
        <f t="array" ref="F14520">CategorizeComment(E14520)</f>
        <v>Other</v>
      </c>
      <c r="G14520" t="str" cm="1">
        <f t="array" ref="G14520">SubCategorizeComment(E14520)</f>
        <v>Other</v>
      </c>
    </row>
    <row r="14521" spans="1:7" x14ac:dyDescent="0.25">
      <c r="A14521">
        <v>103675</v>
      </c>
      <c r="B14521" t="s">
        <v>4</v>
      </c>
      <c r="C14521">
        <v>4</v>
      </c>
      <c r="D14521" t="s">
        <v>1766</v>
      </c>
      <c r="F14521" t="str" cm="1">
        <f t="array" ref="F14521">CategorizeComment(E14521)</f>
        <v>Other</v>
      </c>
      <c r="G14521" t="str" cm="1">
        <f t="array" ref="G14521">SubCategorizeComment(E14521)</f>
        <v>Other</v>
      </c>
    </row>
    <row r="14522" spans="1:7" x14ac:dyDescent="0.25">
      <c r="A14522">
        <v>63472</v>
      </c>
      <c r="B14522" t="s">
        <v>4</v>
      </c>
      <c r="C14522">
        <v>4</v>
      </c>
      <c r="D14522" t="s">
        <v>1182</v>
      </c>
      <c r="F14522" t="str" cm="1">
        <f t="array" ref="F14522">CategorizeComment(E14522)</f>
        <v>Other</v>
      </c>
      <c r="G14522" t="str" cm="1">
        <f t="array" ref="G14522">SubCategorizeComment(E14522)</f>
        <v>Other</v>
      </c>
    </row>
    <row r="14523" spans="1:7" x14ac:dyDescent="0.25">
      <c r="A14523">
        <v>60818</v>
      </c>
      <c r="B14523" t="s">
        <v>4</v>
      </c>
      <c r="C14523">
        <v>3</v>
      </c>
      <c r="D14523" t="s">
        <v>1137</v>
      </c>
      <c r="F14523" t="str" cm="1">
        <f t="array" ref="F14523">CategorizeComment(E14523)</f>
        <v>Other</v>
      </c>
      <c r="G14523" t="str" cm="1">
        <f t="array" ref="G14523">SubCategorizeComment(E14523)</f>
        <v>Other</v>
      </c>
    </row>
    <row r="14524" spans="1:7" x14ac:dyDescent="0.25">
      <c r="A14524">
        <v>98898</v>
      </c>
      <c r="B14524" t="s">
        <v>4</v>
      </c>
      <c r="C14524">
        <v>4</v>
      </c>
      <c r="D14524" t="s">
        <v>1711</v>
      </c>
      <c r="F14524" t="str" cm="1">
        <f t="array" ref="F14524">CategorizeComment(E14524)</f>
        <v>Other</v>
      </c>
      <c r="G14524" t="str" cm="1">
        <f t="array" ref="G14524">SubCategorizeComment(E14524)</f>
        <v>Other</v>
      </c>
    </row>
    <row r="14525" spans="1:7" x14ac:dyDescent="0.25">
      <c r="A14525">
        <v>20452</v>
      </c>
      <c r="B14525" t="s">
        <v>4</v>
      </c>
      <c r="C14525">
        <v>4</v>
      </c>
      <c r="D14525" t="s">
        <v>415</v>
      </c>
      <c r="F14525" t="str" cm="1">
        <f t="array" ref="F14525">CategorizeComment(E14525)</f>
        <v>Other</v>
      </c>
      <c r="G14525" t="str" cm="1">
        <f t="array" ref="G14525">SubCategorizeComment(E14525)</f>
        <v>Other</v>
      </c>
    </row>
    <row r="14526" spans="1:7" x14ac:dyDescent="0.25">
      <c r="A14526">
        <v>58774</v>
      </c>
      <c r="B14526" t="s">
        <v>4</v>
      </c>
      <c r="C14526">
        <v>4</v>
      </c>
      <c r="D14526" t="s">
        <v>1095</v>
      </c>
      <c r="F14526" t="str" cm="1">
        <f t="array" ref="F14526">CategorizeComment(E14526)</f>
        <v>Other</v>
      </c>
      <c r="G14526" t="str" cm="1">
        <f t="array" ref="G14526">SubCategorizeComment(E14526)</f>
        <v>Other</v>
      </c>
    </row>
    <row r="14527" spans="1:7" x14ac:dyDescent="0.25">
      <c r="A14527">
        <v>124417</v>
      </c>
      <c r="B14527" t="s">
        <v>4</v>
      </c>
      <c r="C14527">
        <v>3</v>
      </c>
      <c r="D14527" t="s">
        <v>2095</v>
      </c>
      <c r="F14527" t="str" cm="1">
        <f t="array" ref="F14527">CategorizeComment(E14527)</f>
        <v>Other</v>
      </c>
      <c r="G14527" t="str" cm="1">
        <f t="array" ref="G14527">SubCategorizeComment(E14527)</f>
        <v>Other</v>
      </c>
    </row>
    <row r="14528" spans="1:7" x14ac:dyDescent="0.25">
      <c r="A14528">
        <v>119548</v>
      </c>
      <c r="B14528" t="s">
        <v>4</v>
      </c>
      <c r="C14528">
        <v>3</v>
      </c>
      <c r="D14528" t="s">
        <v>2017</v>
      </c>
      <c r="F14528" t="str" cm="1">
        <f t="array" ref="F14528">CategorizeComment(E14528)</f>
        <v>Other</v>
      </c>
      <c r="G14528" t="str" cm="1">
        <f t="array" ref="G14528">SubCategorizeComment(E14528)</f>
        <v>Other</v>
      </c>
    </row>
    <row r="14529" spans="1:7" x14ac:dyDescent="0.25">
      <c r="A14529">
        <v>107279</v>
      </c>
      <c r="B14529" t="s">
        <v>4</v>
      </c>
      <c r="C14529">
        <v>4</v>
      </c>
      <c r="D14529" t="s">
        <v>1834</v>
      </c>
      <c r="F14529" t="str" cm="1">
        <f t="array" ref="F14529">CategorizeComment(E14529)</f>
        <v>Other</v>
      </c>
      <c r="G14529" t="str" cm="1">
        <f t="array" ref="G14529">SubCategorizeComment(E14529)</f>
        <v>Other</v>
      </c>
    </row>
    <row r="14530" spans="1:7" x14ac:dyDescent="0.25">
      <c r="A14530">
        <v>129866</v>
      </c>
      <c r="B14530" t="s">
        <v>4</v>
      </c>
      <c r="C14530">
        <v>3</v>
      </c>
      <c r="D14530" t="s">
        <v>2168</v>
      </c>
      <c r="F14530" t="str" cm="1">
        <f t="array" ref="F14530">CategorizeComment(E14530)</f>
        <v>Other</v>
      </c>
      <c r="G14530" t="str" cm="1">
        <f t="array" ref="G14530">SubCategorizeComment(E14530)</f>
        <v>Other</v>
      </c>
    </row>
    <row r="14531" spans="1:7" x14ac:dyDescent="0.25">
      <c r="A14531">
        <v>35799</v>
      </c>
      <c r="B14531" t="s">
        <v>4</v>
      </c>
      <c r="C14531">
        <v>3</v>
      </c>
      <c r="D14531" t="s">
        <v>684</v>
      </c>
      <c r="F14531" t="str" cm="1">
        <f t="array" ref="F14531">CategorizeComment(E14531)</f>
        <v>Other</v>
      </c>
      <c r="G14531" t="str" cm="1">
        <f t="array" ref="G14531">SubCategorizeComment(E14531)</f>
        <v>Other</v>
      </c>
    </row>
    <row r="14532" spans="1:7" x14ac:dyDescent="0.25">
      <c r="A14532">
        <v>9823</v>
      </c>
      <c r="B14532" t="s">
        <v>4</v>
      </c>
      <c r="C14532">
        <v>3</v>
      </c>
      <c r="D14532" t="s">
        <v>193</v>
      </c>
      <c r="F14532" t="str" cm="1">
        <f t="array" ref="F14532">CategorizeComment(E14532)</f>
        <v>Other</v>
      </c>
      <c r="G14532" t="str" cm="1">
        <f t="array" ref="G14532">SubCategorizeComment(E14532)</f>
        <v>Other</v>
      </c>
    </row>
    <row r="14533" spans="1:7" x14ac:dyDescent="0.25">
      <c r="A14533">
        <v>28119</v>
      </c>
      <c r="B14533" t="s">
        <v>4</v>
      </c>
      <c r="C14533">
        <v>3</v>
      </c>
      <c r="D14533" t="s">
        <v>556</v>
      </c>
      <c r="F14533" t="str" cm="1">
        <f t="array" ref="F14533">CategorizeComment(E14533)</f>
        <v>Other</v>
      </c>
      <c r="G14533" t="str" cm="1">
        <f t="array" ref="G14533">SubCategorizeComment(E14533)</f>
        <v>Other</v>
      </c>
    </row>
    <row r="14534" spans="1:7" x14ac:dyDescent="0.25">
      <c r="A14534">
        <v>50376</v>
      </c>
      <c r="B14534" t="s">
        <v>4</v>
      </c>
      <c r="C14534">
        <v>3</v>
      </c>
      <c r="D14534" t="s">
        <v>945</v>
      </c>
      <c r="F14534" t="str" cm="1">
        <f t="array" ref="F14534">CategorizeComment(E14534)</f>
        <v>Other</v>
      </c>
      <c r="G14534" t="str" cm="1">
        <f t="array" ref="G14534">SubCategorizeComment(E14534)</f>
        <v>Other</v>
      </c>
    </row>
    <row r="14535" spans="1:7" x14ac:dyDescent="0.25">
      <c r="A14535">
        <v>55990</v>
      </c>
      <c r="B14535" t="s">
        <v>4</v>
      </c>
      <c r="C14535">
        <v>3</v>
      </c>
      <c r="D14535" t="s">
        <v>1044</v>
      </c>
      <c r="F14535" t="str" cm="1">
        <f t="array" ref="F14535">CategorizeComment(E14535)</f>
        <v>Other</v>
      </c>
      <c r="G14535" t="str" cm="1">
        <f t="array" ref="G14535">SubCategorizeComment(E14535)</f>
        <v>Other</v>
      </c>
    </row>
    <row r="14536" spans="1:7" x14ac:dyDescent="0.25">
      <c r="A14536">
        <v>72297</v>
      </c>
      <c r="B14536" t="s">
        <v>4</v>
      </c>
      <c r="C14536">
        <v>3</v>
      </c>
      <c r="D14536" t="s">
        <v>1316</v>
      </c>
      <c r="F14536" t="str" cm="1">
        <f t="array" ref="F14536">CategorizeComment(E14536)</f>
        <v>Other</v>
      </c>
      <c r="G14536" t="str" cm="1">
        <f t="array" ref="G14536">SubCategorizeComment(E14536)</f>
        <v>Other</v>
      </c>
    </row>
    <row r="14537" spans="1:7" x14ac:dyDescent="0.25">
      <c r="A14537">
        <v>43040</v>
      </c>
      <c r="B14537" t="s">
        <v>4</v>
      </c>
      <c r="C14537">
        <v>3</v>
      </c>
      <c r="D14537" t="s">
        <v>813</v>
      </c>
      <c r="F14537" t="str" cm="1">
        <f t="array" ref="F14537">CategorizeComment(E14537)</f>
        <v>Other</v>
      </c>
      <c r="G14537" t="str" cm="1">
        <f t="array" ref="G14537">SubCategorizeComment(E14537)</f>
        <v>Other</v>
      </c>
    </row>
    <row r="14538" spans="1:7" x14ac:dyDescent="0.25">
      <c r="A14538">
        <v>85897</v>
      </c>
      <c r="B14538" t="s">
        <v>4</v>
      </c>
      <c r="C14538">
        <v>4</v>
      </c>
      <c r="D14538" t="s">
        <v>1506</v>
      </c>
      <c r="F14538" t="str" cm="1">
        <f t="array" ref="F14538">CategorizeComment(E14538)</f>
        <v>Other</v>
      </c>
      <c r="G14538" t="str" cm="1">
        <f t="array" ref="G14538">SubCategorizeComment(E14538)</f>
        <v>Other</v>
      </c>
    </row>
    <row r="14539" spans="1:7" x14ac:dyDescent="0.25">
      <c r="A14539">
        <v>85851</v>
      </c>
      <c r="B14539" t="s">
        <v>4</v>
      </c>
      <c r="C14539">
        <v>4</v>
      </c>
      <c r="D14539" t="s">
        <v>1505</v>
      </c>
      <c r="F14539" t="str" cm="1">
        <f t="array" ref="F14539">CategorizeComment(E14539)</f>
        <v>Other</v>
      </c>
      <c r="G14539" t="str" cm="1">
        <f t="array" ref="G14539">SubCategorizeComment(E14539)</f>
        <v>Other</v>
      </c>
    </row>
    <row r="14540" spans="1:7" x14ac:dyDescent="0.25">
      <c r="A14540">
        <v>62040</v>
      </c>
      <c r="B14540" t="s">
        <v>4</v>
      </c>
      <c r="C14540">
        <v>4</v>
      </c>
      <c r="D14540" t="s">
        <v>1152</v>
      </c>
      <c r="F14540" t="str" cm="1">
        <f t="array" ref="F14540">CategorizeComment(E14540)</f>
        <v>Other</v>
      </c>
      <c r="G14540" t="str" cm="1">
        <f t="array" ref="G14540">SubCategorizeComment(E14540)</f>
        <v>Other</v>
      </c>
    </row>
    <row r="14541" spans="1:7" x14ac:dyDescent="0.25">
      <c r="A14541">
        <v>72724</v>
      </c>
      <c r="B14541" t="s">
        <v>4</v>
      </c>
      <c r="C14541">
        <v>4</v>
      </c>
      <c r="D14541" t="s">
        <v>1325</v>
      </c>
      <c r="F14541" t="str" cm="1">
        <f t="array" ref="F14541">CategorizeComment(E14541)</f>
        <v>Other</v>
      </c>
      <c r="G14541" t="str" cm="1">
        <f t="array" ref="G14541">SubCategorizeComment(E14541)</f>
        <v>Other</v>
      </c>
    </row>
    <row r="14542" spans="1:7" x14ac:dyDescent="0.25">
      <c r="A14542">
        <v>56672</v>
      </c>
      <c r="B14542" t="s">
        <v>4</v>
      </c>
      <c r="C14542">
        <v>3</v>
      </c>
      <c r="D14542" t="s">
        <v>1057</v>
      </c>
      <c r="F14542" t="str" cm="1">
        <f t="array" ref="F14542">CategorizeComment(E14542)</f>
        <v>Other</v>
      </c>
      <c r="G14542" t="str" cm="1">
        <f t="array" ref="G14542">SubCategorizeComment(E14542)</f>
        <v>Other</v>
      </c>
    </row>
    <row r="14543" spans="1:7" x14ac:dyDescent="0.25">
      <c r="A14543">
        <v>77774</v>
      </c>
      <c r="B14543" t="s">
        <v>4</v>
      </c>
      <c r="C14543">
        <v>4</v>
      </c>
      <c r="D14543" t="s">
        <v>1399</v>
      </c>
      <c r="F14543" t="str" cm="1">
        <f t="array" ref="F14543">CategorizeComment(E14543)</f>
        <v>Other</v>
      </c>
      <c r="G14543" t="str" cm="1">
        <f t="array" ref="G14543">SubCategorizeComment(E14543)</f>
        <v>Other</v>
      </c>
    </row>
    <row r="14544" spans="1:7" x14ac:dyDescent="0.25">
      <c r="A14544">
        <v>112279</v>
      </c>
      <c r="B14544" t="s">
        <v>4</v>
      </c>
      <c r="C14544">
        <v>3</v>
      </c>
      <c r="D14544" t="s">
        <v>1916</v>
      </c>
      <c r="F14544" t="str" cm="1">
        <f t="array" ref="F14544">CategorizeComment(E14544)</f>
        <v>Other</v>
      </c>
      <c r="G14544" t="str" cm="1">
        <f t="array" ref="G14544">SubCategorizeComment(E14544)</f>
        <v>Other</v>
      </c>
    </row>
    <row r="14545" spans="1:7" x14ac:dyDescent="0.25">
      <c r="A14545">
        <v>40984</v>
      </c>
      <c r="B14545" t="s">
        <v>4</v>
      </c>
      <c r="C14545">
        <v>4</v>
      </c>
      <c r="D14545" t="s">
        <v>774</v>
      </c>
      <c r="F14545" t="str" cm="1">
        <f t="array" ref="F14545">CategorizeComment(E14545)</f>
        <v>Other</v>
      </c>
      <c r="G14545" t="str" cm="1">
        <f t="array" ref="G14545">SubCategorizeComment(E14545)</f>
        <v>Other</v>
      </c>
    </row>
    <row r="14546" spans="1:7" x14ac:dyDescent="0.25">
      <c r="A14546">
        <v>70290</v>
      </c>
      <c r="B14546" t="s">
        <v>4</v>
      </c>
      <c r="C14546">
        <v>4</v>
      </c>
      <c r="D14546" t="s">
        <v>1279</v>
      </c>
      <c r="F14546" t="str" cm="1">
        <f t="array" ref="F14546">CategorizeComment(E14546)</f>
        <v>Other</v>
      </c>
      <c r="G14546" t="str" cm="1">
        <f t="array" ref="G14546">SubCategorizeComment(E14546)</f>
        <v>Other</v>
      </c>
    </row>
    <row r="14547" spans="1:7" x14ac:dyDescent="0.25">
      <c r="A14547">
        <v>37966</v>
      </c>
      <c r="B14547" t="s">
        <v>4</v>
      </c>
      <c r="C14547">
        <v>3</v>
      </c>
      <c r="D14547" t="s">
        <v>727</v>
      </c>
      <c r="F14547" t="str" cm="1">
        <f t="array" ref="F14547">CategorizeComment(E14547)</f>
        <v>Other</v>
      </c>
      <c r="G14547" t="str" cm="1">
        <f t="array" ref="G14547">SubCategorizeComment(E14547)</f>
        <v>Other</v>
      </c>
    </row>
    <row r="14548" spans="1:7" x14ac:dyDescent="0.25">
      <c r="A14548">
        <v>120203</v>
      </c>
      <c r="B14548" t="s">
        <v>4</v>
      </c>
      <c r="C14548">
        <v>3</v>
      </c>
      <c r="D14548" t="s">
        <v>2024</v>
      </c>
      <c r="F14548" t="str" cm="1">
        <f t="array" ref="F14548">CategorizeComment(E14548)</f>
        <v>Other</v>
      </c>
      <c r="G14548" t="str" cm="1">
        <f t="array" ref="G14548">SubCategorizeComment(E14548)</f>
        <v>Other</v>
      </c>
    </row>
    <row r="14549" spans="1:7" x14ac:dyDescent="0.25">
      <c r="A14549">
        <v>92090</v>
      </c>
      <c r="B14549" t="s">
        <v>4</v>
      </c>
      <c r="C14549">
        <v>3</v>
      </c>
      <c r="D14549" t="s">
        <v>1608</v>
      </c>
      <c r="F14549" t="str" cm="1">
        <f t="array" ref="F14549">CategorizeComment(E14549)</f>
        <v>Other</v>
      </c>
      <c r="G14549" t="str" cm="1">
        <f t="array" ref="G14549">SubCategorizeComment(E14549)</f>
        <v>Other</v>
      </c>
    </row>
    <row r="14550" spans="1:7" x14ac:dyDescent="0.25">
      <c r="A14550">
        <v>3400</v>
      </c>
      <c r="B14550" t="s">
        <v>4</v>
      </c>
      <c r="C14550">
        <v>3</v>
      </c>
      <c r="D14550" t="s">
        <v>70</v>
      </c>
      <c r="F14550" t="str" cm="1">
        <f t="array" ref="F14550">CategorizeComment(E14550)</f>
        <v>Other</v>
      </c>
      <c r="G14550" t="str" cm="1">
        <f t="array" ref="G14550">SubCategorizeComment(E14550)</f>
        <v>Other</v>
      </c>
    </row>
    <row r="14551" spans="1:7" x14ac:dyDescent="0.25">
      <c r="A14551">
        <v>88368</v>
      </c>
      <c r="B14551" t="s">
        <v>4</v>
      </c>
      <c r="C14551">
        <v>3</v>
      </c>
      <c r="D14551" t="s">
        <v>1542</v>
      </c>
      <c r="F14551" t="str" cm="1">
        <f t="array" ref="F14551">CategorizeComment(E14551)</f>
        <v>Other</v>
      </c>
      <c r="G14551" t="str" cm="1">
        <f t="array" ref="G14551">SubCategorizeComment(E14551)</f>
        <v>Other</v>
      </c>
    </row>
    <row r="14552" spans="1:7" x14ac:dyDescent="0.25">
      <c r="A14552">
        <v>31694</v>
      </c>
      <c r="B14552" t="s">
        <v>4</v>
      </c>
      <c r="C14552">
        <v>3</v>
      </c>
      <c r="D14552" t="s">
        <v>613</v>
      </c>
      <c r="F14552" t="str" cm="1">
        <f t="array" ref="F14552">CategorizeComment(E14552)</f>
        <v>Other</v>
      </c>
      <c r="G14552" t="str" cm="1">
        <f t="array" ref="G14552">SubCategorizeComment(E14552)</f>
        <v>Other</v>
      </c>
    </row>
    <row r="14553" spans="1:7" x14ac:dyDescent="0.25">
      <c r="A14553">
        <v>17245</v>
      </c>
      <c r="B14553" t="s">
        <v>4</v>
      </c>
      <c r="C14553">
        <v>4</v>
      </c>
      <c r="D14553" t="s">
        <v>340</v>
      </c>
      <c r="F14553" t="str" cm="1">
        <f t="array" ref="F14553">CategorizeComment(E14553)</f>
        <v>Other</v>
      </c>
      <c r="G14553" t="str" cm="1">
        <f t="array" ref="G14553">SubCategorizeComment(E14553)</f>
        <v>Other</v>
      </c>
    </row>
    <row r="14554" spans="1:7" x14ac:dyDescent="0.25">
      <c r="A14554">
        <v>46904</v>
      </c>
      <c r="B14554" t="s">
        <v>4</v>
      </c>
      <c r="C14554">
        <v>4</v>
      </c>
      <c r="D14554" t="s">
        <v>894</v>
      </c>
      <c r="F14554" t="str" cm="1">
        <f t="array" ref="F14554">CategorizeComment(E14554)</f>
        <v>Other</v>
      </c>
      <c r="G14554" t="str" cm="1">
        <f t="array" ref="G14554">SubCategorizeComment(E14554)</f>
        <v>Other</v>
      </c>
    </row>
    <row r="14555" spans="1:7" x14ac:dyDescent="0.25">
      <c r="A14555">
        <v>116980</v>
      </c>
      <c r="B14555" t="s">
        <v>4</v>
      </c>
      <c r="C14555">
        <v>3</v>
      </c>
      <c r="D14555" t="s">
        <v>1980</v>
      </c>
      <c r="F14555" t="str" cm="1">
        <f t="array" ref="F14555">CategorizeComment(E14555)</f>
        <v>Other</v>
      </c>
      <c r="G14555" t="str" cm="1">
        <f t="array" ref="G14555">SubCategorizeComment(E14555)</f>
        <v>Other</v>
      </c>
    </row>
    <row r="14556" spans="1:7" x14ac:dyDescent="0.25">
      <c r="A14556">
        <v>45373</v>
      </c>
      <c r="B14556" t="s">
        <v>4</v>
      </c>
      <c r="C14556">
        <v>2</v>
      </c>
      <c r="D14556" t="s">
        <v>859</v>
      </c>
      <c r="F14556" t="str" cm="1">
        <f t="array" ref="F14556">CategorizeComment(E14556)</f>
        <v>Other</v>
      </c>
      <c r="G14556" t="str" cm="1">
        <f t="array" ref="G14556">SubCategorizeComment(E14556)</f>
        <v>Other</v>
      </c>
    </row>
    <row r="14557" spans="1:7" x14ac:dyDescent="0.25">
      <c r="A14557">
        <v>117581</v>
      </c>
      <c r="B14557" t="s">
        <v>4</v>
      </c>
      <c r="C14557">
        <v>0</v>
      </c>
      <c r="D14557" t="s">
        <v>1988</v>
      </c>
      <c r="F14557" t="str" cm="1">
        <f t="array" ref="F14557">CategorizeComment(E14557)</f>
        <v>Other</v>
      </c>
      <c r="G14557" t="str" cm="1">
        <f t="array" ref="G14557">SubCategorizeComment(E14557)</f>
        <v>Other</v>
      </c>
    </row>
    <row r="14558" spans="1:7" x14ac:dyDescent="0.25">
      <c r="A14558">
        <v>24937</v>
      </c>
      <c r="B14558" t="s">
        <v>4</v>
      </c>
      <c r="C14558">
        <v>3</v>
      </c>
      <c r="D14558" t="s">
        <v>506</v>
      </c>
      <c r="F14558" t="str" cm="1">
        <f t="array" ref="F14558">CategorizeComment(E14558)</f>
        <v>Other</v>
      </c>
      <c r="G14558" t="str" cm="1">
        <f t="array" ref="G14558">SubCategorizeComment(E14558)</f>
        <v>Other</v>
      </c>
    </row>
    <row r="14559" spans="1:7" x14ac:dyDescent="0.25">
      <c r="A14559">
        <v>5973</v>
      </c>
      <c r="B14559" t="s">
        <v>4</v>
      </c>
      <c r="C14559">
        <v>4</v>
      </c>
      <c r="D14559" t="s">
        <v>120</v>
      </c>
      <c r="F14559" t="str" cm="1">
        <f t="array" ref="F14559">CategorizeComment(E14559)</f>
        <v>Other</v>
      </c>
      <c r="G14559" t="str" cm="1">
        <f t="array" ref="G14559">SubCategorizeComment(E14559)</f>
        <v>Other</v>
      </c>
    </row>
    <row r="14560" spans="1:7" x14ac:dyDescent="0.25">
      <c r="A14560">
        <v>96212</v>
      </c>
      <c r="B14560" t="s">
        <v>4</v>
      </c>
      <c r="C14560">
        <v>4</v>
      </c>
      <c r="D14560" t="s">
        <v>1666</v>
      </c>
      <c r="F14560" t="str" cm="1">
        <f t="array" ref="F14560">CategorizeComment(E14560)</f>
        <v>Other</v>
      </c>
      <c r="G14560" t="str" cm="1">
        <f t="array" ref="G14560">SubCategorizeComment(E14560)</f>
        <v>Other</v>
      </c>
    </row>
    <row r="14561" spans="1:7" x14ac:dyDescent="0.25">
      <c r="A14561">
        <v>26487</v>
      </c>
      <c r="B14561" t="s">
        <v>4</v>
      </c>
      <c r="C14561">
        <v>4</v>
      </c>
      <c r="D14561" t="s">
        <v>528</v>
      </c>
      <c r="F14561" t="str" cm="1">
        <f t="array" ref="F14561">CategorizeComment(E14561)</f>
        <v>Other</v>
      </c>
      <c r="G14561" t="str" cm="1">
        <f t="array" ref="G14561">SubCategorizeComment(E14561)</f>
        <v>Other</v>
      </c>
    </row>
    <row r="14562" spans="1:7" x14ac:dyDescent="0.25">
      <c r="A14562">
        <v>23967</v>
      </c>
      <c r="B14562" t="s">
        <v>4</v>
      </c>
      <c r="C14562">
        <v>4</v>
      </c>
      <c r="D14562" t="s">
        <v>489</v>
      </c>
      <c r="F14562" t="str" cm="1">
        <f t="array" ref="F14562">CategorizeComment(E14562)</f>
        <v>Other</v>
      </c>
      <c r="G14562" t="str" cm="1">
        <f t="array" ref="G14562">SubCategorizeComment(E14562)</f>
        <v>Other</v>
      </c>
    </row>
    <row r="14563" spans="1:7" x14ac:dyDescent="0.25">
      <c r="A14563">
        <v>92696</v>
      </c>
      <c r="B14563" t="s">
        <v>4</v>
      </c>
      <c r="C14563">
        <v>3</v>
      </c>
      <c r="D14563" t="s">
        <v>1619</v>
      </c>
      <c r="F14563" t="str" cm="1">
        <f t="array" ref="F14563">CategorizeComment(E14563)</f>
        <v>Other</v>
      </c>
      <c r="G14563" t="str" cm="1">
        <f t="array" ref="G14563">SubCategorizeComment(E14563)</f>
        <v>Other</v>
      </c>
    </row>
    <row r="14564" spans="1:7" x14ac:dyDescent="0.25">
      <c r="A14564">
        <v>104536</v>
      </c>
      <c r="B14564" t="s">
        <v>4</v>
      </c>
      <c r="C14564">
        <v>4</v>
      </c>
      <c r="D14564" t="s">
        <v>1783</v>
      </c>
      <c r="F14564" t="str" cm="1">
        <f t="array" ref="F14564">CategorizeComment(E14564)</f>
        <v>Other</v>
      </c>
      <c r="G14564" t="str" cm="1">
        <f t="array" ref="G14564">SubCategorizeComment(E14564)</f>
        <v>Other</v>
      </c>
    </row>
    <row r="14565" spans="1:7" x14ac:dyDescent="0.25">
      <c r="A14565">
        <v>10681</v>
      </c>
      <c r="B14565" t="s">
        <v>4</v>
      </c>
      <c r="C14565">
        <v>4</v>
      </c>
      <c r="D14565" t="s">
        <v>208</v>
      </c>
      <c r="F14565" t="str" cm="1">
        <f t="array" ref="F14565">CategorizeComment(E14565)</f>
        <v>Other</v>
      </c>
      <c r="G14565" t="str" cm="1">
        <f t="array" ref="G14565">SubCategorizeComment(E14565)</f>
        <v>Other</v>
      </c>
    </row>
    <row r="14566" spans="1:7" x14ac:dyDescent="0.25">
      <c r="A14566">
        <v>26233</v>
      </c>
      <c r="B14566" t="s">
        <v>4</v>
      </c>
      <c r="C14566">
        <v>4</v>
      </c>
      <c r="D14566" t="s">
        <v>523</v>
      </c>
      <c r="F14566" t="str" cm="1">
        <f t="array" ref="F14566">CategorizeComment(E14566)</f>
        <v>Other</v>
      </c>
      <c r="G14566" t="str" cm="1">
        <f t="array" ref="G14566">SubCategorizeComment(E14566)</f>
        <v>Other</v>
      </c>
    </row>
    <row r="14567" spans="1:7" x14ac:dyDescent="0.25">
      <c r="A14567">
        <v>103661</v>
      </c>
      <c r="B14567" t="s">
        <v>4</v>
      </c>
      <c r="C14567">
        <v>3</v>
      </c>
      <c r="D14567" t="s">
        <v>1765</v>
      </c>
      <c r="F14567" t="str" cm="1">
        <f t="array" ref="F14567">CategorizeComment(E14567)</f>
        <v>Other</v>
      </c>
      <c r="G14567" t="str" cm="1">
        <f t="array" ref="G14567">SubCategorizeComment(E14567)</f>
        <v>Other</v>
      </c>
    </row>
    <row r="14568" spans="1:7" x14ac:dyDescent="0.25">
      <c r="A14568">
        <v>28948</v>
      </c>
      <c r="B14568" t="s">
        <v>4</v>
      </c>
      <c r="C14568">
        <v>3</v>
      </c>
      <c r="D14568" t="s">
        <v>572</v>
      </c>
      <c r="F14568" t="str" cm="1">
        <f t="array" ref="F14568">CategorizeComment(E14568)</f>
        <v>Other</v>
      </c>
      <c r="G14568" t="str" cm="1">
        <f t="array" ref="G14568">SubCategorizeComment(E14568)</f>
        <v>Other</v>
      </c>
    </row>
    <row r="14569" spans="1:7" x14ac:dyDescent="0.25">
      <c r="A14569">
        <v>72130</v>
      </c>
      <c r="B14569" t="s">
        <v>4</v>
      </c>
      <c r="C14569">
        <v>4</v>
      </c>
      <c r="D14569" t="s">
        <v>1314</v>
      </c>
      <c r="F14569" t="str" cm="1">
        <f t="array" ref="F14569">CategorizeComment(E14569)</f>
        <v>Other</v>
      </c>
      <c r="G14569" t="str" cm="1">
        <f t="array" ref="G14569">SubCategorizeComment(E14569)</f>
        <v>Other</v>
      </c>
    </row>
    <row r="14570" spans="1:7" x14ac:dyDescent="0.25">
      <c r="A14570">
        <v>128044</v>
      </c>
      <c r="B14570" t="s">
        <v>4</v>
      </c>
      <c r="C14570">
        <v>3</v>
      </c>
      <c r="D14570" t="s">
        <v>2145</v>
      </c>
      <c r="F14570" t="str" cm="1">
        <f t="array" ref="F14570">CategorizeComment(E14570)</f>
        <v>Other</v>
      </c>
      <c r="G14570" t="str" cm="1">
        <f t="array" ref="G14570">SubCategorizeComment(E14570)</f>
        <v>Other</v>
      </c>
    </row>
    <row r="14571" spans="1:7" x14ac:dyDescent="0.25">
      <c r="A14571">
        <v>73951</v>
      </c>
      <c r="B14571" t="s">
        <v>4</v>
      </c>
      <c r="C14571">
        <v>4</v>
      </c>
      <c r="D14571" t="s">
        <v>1343</v>
      </c>
      <c r="F14571" t="str" cm="1">
        <f t="array" ref="F14571">CategorizeComment(E14571)</f>
        <v>Other</v>
      </c>
      <c r="G14571" t="str" cm="1">
        <f t="array" ref="G14571">SubCategorizeComment(E14571)</f>
        <v>Other</v>
      </c>
    </row>
    <row r="14572" spans="1:7" x14ac:dyDescent="0.25">
      <c r="A14572">
        <v>110775</v>
      </c>
      <c r="B14572" t="s">
        <v>4</v>
      </c>
      <c r="C14572">
        <v>3</v>
      </c>
      <c r="D14572" t="s">
        <v>1896</v>
      </c>
      <c r="F14572" t="str" cm="1">
        <f t="array" ref="F14572">CategorizeComment(E14572)</f>
        <v>Other</v>
      </c>
      <c r="G14572" t="str" cm="1">
        <f t="array" ref="G14572">SubCategorizeComment(E14572)</f>
        <v>Other</v>
      </c>
    </row>
    <row r="14573" spans="1:7" x14ac:dyDescent="0.25">
      <c r="A14573">
        <v>32704</v>
      </c>
      <c r="B14573" t="s">
        <v>4</v>
      </c>
      <c r="C14573">
        <v>3</v>
      </c>
      <c r="D14573" t="s">
        <v>629</v>
      </c>
      <c r="F14573" t="str" cm="1">
        <f t="array" ref="F14573">CategorizeComment(E14573)</f>
        <v>Other</v>
      </c>
      <c r="G14573" t="str" cm="1">
        <f t="array" ref="G14573">SubCategorizeComment(E14573)</f>
        <v>Other</v>
      </c>
    </row>
    <row r="14574" spans="1:7" x14ac:dyDescent="0.25">
      <c r="A14574">
        <v>33445</v>
      </c>
      <c r="B14574" t="s">
        <v>4</v>
      </c>
      <c r="C14574">
        <v>4</v>
      </c>
      <c r="D14574" t="s">
        <v>637</v>
      </c>
      <c r="F14574" t="str" cm="1">
        <f t="array" ref="F14574">CategorizeComment(E14574)</f>
        <v>Other</v>
      </c>
      <c r="G14574" t="str" cm="1">
        <f t="array" ref="G14574">SubCategorizeComment(E14574)</f>
        <v>Other</v>
      </c>
    </row>
    <row r="14575" spans="1:7" x14ac:dyDescent="0.25">
      <c r="A14575">
        <v>69649</v>
      </c>
      <c r="B14575" t="s">
        <v>4</v>
      </c>
      <c r="C14575">
        <v>3</v>
      </c>
      <c r="D14575" t="s">
        <v>1272</v>
      </c>
      <c r="F14575" t="str" cm="1">
        <f t="array" ref="F14575">CategorizeComment(E14575)</f>
        <v>Other</v>
      </c>
      <c r="G14575" t="str" cm="1">
        <f t="array" ref="G14575">SubCategorizeComment(E14575)</f>
        <v>Other</v>
      </c>
    </row>
    <row r="14576" spans="1:7" x14ac:dyDescent="0.25">
      <c r="A14576">
        <v>71207</v>
      </c>
      <c r="B14576" t="s">
        <v>4</v>
      </c>
      <c r="C14576">
        <v>4</v>
      </c>
      <c r="D14576" t="s">
        <v>1297</v>
      </c>
      <c r="F14576" t="str" cm="1">
        <f t="array" ref="F14576">CategorizeComment(E14576)</f>
        <v>Other</v>
      </c>
      <c r="G14576" t="str" cm="1">
        <f t="array" ref="G14576">SubCategorizeComment(E14576)</f>
        <v>Other</v>
      </c>
    </row>
    <row r="14577" spans="1:7" x14ac:dyDescent="0.25">
      <c r="A14577">
        <v>115598</v>
      </c>
      <c r="B14577" t="s">
        <v>4</v>
      </c>
      <c r="C14577">
        <v>4</v>
      </c>
      <c r="D14577" t="s">
        <v>1961</v>
      </c>
      <c r="F14577" t="str" cm="1">
        <f t="array" ref="F14577">CategorizeComment(E14577)</f>
        <v>Other</v>
      </c>
      <c r="G14577" t="str" cm="1">
        <f t="array" ref="G14577">SubCategorizeComment(E14577)</f>
        <v>Other</v>
      </c>
    </row>
    <row r="14578" spans="1:7" x14ac:dyDescent="0.25">
      <c r="A14578">
        <v>112155</v>
      </c>
      <c r="B14578" t="s">
        <v>4</v>
      </c>
      <c r="C14578">
        <v>4</v>
      </c>
      <c r="D14578" t="s">
        <v>1911</v>
      </c>
      <c r="F14578" t="str" cm="1">
        <f t="array" ref="F14578">CategorizeComment(E14578)</f>
        <v>Other</v>
      </c>
      <c r="G14578" t="str" cm="1">
        <f t="array" ref="G14578">SubCategorizeComment(E14578)</f>
        <v>Other</v>
      </c>
    </row>
    <row r="14579" spans="1:7" x14ac:dyDescent="0.25">
      <c r="A14579">
        <v>18809</v>
      </c>
      <c r="B14579" t="s">
        <v>4</v>
      </c>
      <c r="C14579">
        <v>3</v>
      </c>
      <c r="D14579" t="s">
        <v>376</v>
      </c>
      <c r="F14579" t="str" cm="1">
        <f t="array" ref="F14579">CategorizeComment(E14579)</f>
        <v>Other</v>
      </c>
      <c r="G14579" t="str" cm="1">
        <f t="array" ref="G14579">SubCategorizeComment(E14579)</f>
        <v>Other</v>
      </c>
    </row>
    <row r="14580" spans="1:7" x14ac:dyDescent="0.25">
      <c r="A14580">
        <v>2784</v>
      </c>
      <c r="B14580" t="s">
        <v>4</v>
      </c>
      <c r="C14580">
        <v>3</v>
      </c>
      <c r="D14580" t="s">
        <v>60</v>
      </c>
      <c r="F14580" t="str" cm="1">
        <f t="array" ref="F14580">CategorizeComment(E14580)</f>
        <v>Other</v>
      </c>
      <c r="G14580" t="str" cm="1">
        <f t="array" ref="G14580">SubCategorizeComment(E14580)</f>
        <v>Other</v>
      </c>
    </row>
    <row r="14581" spans="1:7" x14ac:dyDescent="0.25">
      <c r="A14581">
        <v>80520</v>
      </c>
      <c r="B14581" t="s">
        <v>4</v>
      </c>
      <c r="C14581">
        <v>3</v>
      </c>
      <c r="D14581" t="s">
        <v>1443</v>
      </c>
      <c r="F14581" t="str" cm="1">
        <f t="array" ref="F14581">CategorizeComment(E14581)</f>
        <v>Other</v>
      </c>
      <c r="G14581" t="str" cm="1">
        <f t="array" ref="G14581">SubCategorizeComment(E14581)</f>
        <v>Other</v>
      </c>
    </row>
    <row r="14582" spans="1:7" x14ac:dyDescent="0.25">
      <c r="A14582">
        <v>34174</v>
      </c>
      <c r="B14582" t="s">
        <v>4</v>
      </c>
      <c r="C14582">
        <v>3</v>
      </c>
      <c r="D14582" t="s">
        <v>650</v>
      </c>
      <c r="F14582" t="str" cm="1">
        <f t="array" ref="F14582">CategorizeComment(E14582)</f>
        <v>Other</v>
      </c>
      <c r="G14582" t="str" cm="1">
        <f t="array" ref="G14582">SubCategorizeComment(E14582)</f>
        <v>Other</v>
      </c>
    </row>
    <row r="14583" spans="1:7" x14ac:dyDescent="0.25">
      <c r="A14583">
        <v>103071</v>
      </c>
      <c r="B14583" t="s">
        <v>4</v>
      </c>
      <c r="C14583">
        <v>3</v>
      </c>
      <c r="D14583" t="s">
        <v>1760</v>
      </c>
      <c r="F14583" t="str" cm="1">
        <f t="array" ref="F14583">CategorizeComment(E14583)</f>
        <v>Other</v>
      </c>
      <c r="G14583" t="str" cm="1">
        <f t="array" ref="G14583">SubCategorizeComment(E14583)</f>
        <v>Other</v>
      </c>
    </row>
    <row r="14584" spans="1:7" x14ac:dyDescent="0.25">
      <c r="A14584">
        <v>47433</v>
      </c>
      <c r="B14584" t="s">
        <v>4</v>
      </c>
      <c r="C14584">
        <v>3</v>
      </c>
      <c r="D14584" t="s">
        <v>903</v>
      </c>
      <c r="F14584" t="str" cm="1">
        <f t="array" ref="F14584">CategorizeComment(E14584)</f>
        <v>Other</v>
      </c>
      <c r="G14584" t="str" cm="1">
        <f t="array" ref="G14584">SubCategorizeComment(E14584)</f>
        <v>Other</v>
      </c>
    </row>
    <row r="14585" spans="1:7" x14ac:dyDescent="0.25">
      <c r="A14585">
        <v>63547</v>
      </c>
      <c r="B14585" t="s">
        <v>4</v>
      </c>
      <c r="C14585">
        <v>4</v>
      </c>
      <c r="D14585" t="s">
        <v>1184</v>
      </c>
      <c r="F14585" t="str" cm="1">
        <f t="array" ref="F14585">CategorizeComment(E14585)</f>
        <v>Other</v>
      </c>
      <c r="G14585" t="str" cm="1">
        <f t="array" ref="G14585">SubCategorizeComment(E14585)</f>
        <v>Other</v>
      </c>
    </row>
    <row r="14586" spans="1:7" x14ac:dyDescent="0.25">
      <c r="A14586">
        <v>3861</v>
      </c>
      <c r="B14586" t="s">
        <v>4</v>
      </c>
      <c r="C14586">
        <v>3</v>
      </c>
      <c r="D14586" t="s">
        <v>82</v>
      </c>
      <c r="F14586" t="str" cm="1">
        <f t="array" ref="F14586">CategorizeComment(E14586)</f>
        <v>Other</v>
      </c>
      <c r="G14586" t="str" cm="1">
        <f t="array" ref="G14586">SubCategorizeComment(E14586)</f>
        <v>Other</v>
      </c>
    </row>
    <row r="14587" spans="1:7" x14ac:dyDescent="0.25">
      <c r="A14587">
        <v>20691</v>
      </c>
      <c r="B14587" t="s">
        <v>4</v>
      </c>
      <c r="C14587">
        <v>4</v>
      </c>
      <c r="D14587" t="s">
        <v>419</v>
      </c>
      <c r="F14587" t="str" cm="1">
        <f t="array" ref="F14587">CategorizeComment(E14587)</f>
        <v>Other</v>
      </c>
      <c r="G14587" t="str" cm="1">
        <f t="array" ref="G14587">SubCategorizeComment(E14587)</f>
        <v>Other</v>
      </c>
    </row>
    <row r="14588" spans="1:7" x14ac:dyDescent="0.25">
      <c r="A14588">
        <v>23127</v>
      </c>
      <c r="B14588" t="s">
        <v>4</v>
      </c>
      <c r="C14588">
        <v>3</v>
      </c>
      <c r="D14588" t="s">
        <v>471</v>
      </c>
      <c r="F14588" t="str" cm="1">
        <f t="array" ref="F14588">CategorizeComment(E14588)</f>
        <v>Other</v>
      </c>
      <c r="G14588" t="str" cm="1">
        <f t="array" ref="G14588">SubCategorizeComment(E14588)</f>
        <v>Other</v>
      </c>
    </row>
    <row r="14589" spans="1:7" x14ac:dyDescent="0.25">
      <c r="A14589">
        <v>6928</v>
      </c>
      <c r="B14589" t="s">
        <v>4</v>
      </c>
      <c r="C14589">
        <v>3</v>
      </c>
      <c r="D14589" t="s">
        <v>139</v>
      </c>
      <c r="F14589" t="str" cm="1">
        <f t="array" ref="F14589">CategorizeComment(E14589)</f>
        <v>Other</v>
      </c>
      <c r="G14589" t="str" cm="1">
        <f t="array" ref="G14589">SubCategorizeComment(E14589)</f>
        <v>Other</v>
      </c>
    </row>
    <row r="14590" spans="1:7" x14ac:dyDescent="0.25">
      <c r="A14590">
        <v>50180</v>
      </c>
      <c r="B14590" t="s">
        <v>4</v>
      </c>
      <c r="C14590">
        <v>4</v>
      </c>
      <c r="D14590" t="s">
        <v>937</v>
      </c>
      <c r="F14590" t="str" cm="1">
        <f t="array" ref="F14590">CategorizeComment(E14590)</f>
        <v>Other</v>
      </c>
      <c r="G14590" t="str" cm="1">
        <f t="array" ref="G14590">SubCategorizeComment(E14590)</f>
        <v>Other</v>
      </c>
    </row>
    <row r="14591" spans="1:7" x14ac:dyDescent="0.25">
      <c r="A14591">
        <v>55092</v>
      </c>
      <c r="B14591" t="s">
        <v>4</v>
      </c>
      <c r="C14591">
        <v>4</v>
      </c>
      <c r="D14591" t="s">
        <v>1034</v>
      </c>
      <c r="F14591" t="str" cm="1">
        <f t="array" ref="F14591">CategorizeComment(E14591)</f>
        <v>Other</v>
      </c>
      <c r="G14591" t="str" cm="1">
        <f t="array" ref="G14591">SubCategorizeComment(E14591)</f>
        <v>Other</v>
      </c>
    </row>
    <row r="14592" spans="1:7" x14ac:dyDescent="0.25">
      <c r="A14592">
        <v>63584</v>
      </c>
      <c r="B14592" t="s">
        <v>4</v>
      </c>
      <c r="C14592">
        <v>3</v>
      </c>
      <c r="D14592" t="s">
        <v>1186</v>
      </c>
      <c r="F14592" t="str" cm="1">
        <f t="array" ref="F14592">CategorizeComment(E14592)</f>
        <v>Other</v>
      </c>
      <c r="G14592" t="str" cm="1">
        <f t="array" ref="G14592">SubCategorizeComment(E14592)</f>
        <v>Other</v>
      </c>
    </row>
    <row r="14593" spans="1:7" x14ac:dyDescent="0.25">
      <c r="A14593">
        <v>831</v>
      </c>
      <c r="B14593" t="s">
        <v>4</v>
      </c>
      <c r="C14593">
        <v>3</v>
      </c>
      <c r="D14593" t="s">
        <v>21</v>
      </c>
      <c r="F14593" t="str" cm="1">
        <f t="array" ref="F14593">CategorizeComment(E14593)</f>
        <v>Other</v>
      </c>
      <c r="G14593" t="str" cm="1">
        <f t="array" ref="G14593">SubCategorizeComment(E14593)</f>
        <v>Other</v>
      </c>
    </row>
    <row r="14594" spans="1:7" x14ac:dyDescent="0.25">
      <c r="A14594">
        <v>43051</v>
      </c>
      <c r="B14594" t="s">
        <v>4</v>
      </c>
      <c r="C14594">
        <v>4</v>
      </c>
      <c r="D14594" t="s">
        <v>814</v>
      </c>
      <c r="F14594" t="str" cm="1">
        <f t="array" ref="F14594">CategorizeComment(E14594)</f>
        <v>Other</v>
      </c>
      <c r="G14594" t="str" cm="1">
        <f t="array" ref="G14594">SubCategorizeComment(E14594)</f>
        <v>Other</v>
      </c>
    </row>
    <row r="14595" spans="1:7" x14ac:dyDescent="0.25">
      <c r="A14595">
        <v>90899</v>
      </c>
      <c r="B14595" t="s">
        <v>4</v>
      </c>
      <c r="C14595">
        <v>4</v>
      </c>
      <c r="D14595" t="s">
        <v>1583</v>
      </c>
      <c r="F14595" t="str" cm="1">
        <f t="array" ref="F14595">CategorizeComment(E14595)</f>
        <v>Other</v>
      </c>
      <c r="G14595" t="str" cm="1">
        <f t="array" ref="G14595">SubCategorizeComment(E14595)</f>
        <v>Other</v>
      </c>
    </row>
    <row r="14596" spans="1:7" x14ac:dyDescent="0.25">
      <c r="A14596">
        <v>27225</v>
      </c>
      <c r="B14596" t="s">
        <v>4</v>
      </c>
      <c r="C14596">
        <v>4</v>
      </c>
      <c r="D14596" t="s">
        <v>539</v>
      </c>
      <c r="F14596" t="str" cm="1">
        <f t="array" ref="F14596">CategorizeComment(E14596)</f>
        <v>Other</v>
      </c>
      <c r="G14596" t="str" cm="1">
        <f t="array" ref="G14596">SubCategorizeComment(E14596)</f>
        <v>Other</v>
      </c>
    </row>
    <row r="14597" spans="1:7" x14ac:dyDescent="0.25">
      <c r="A14597">
        <v>809</v>
      </c>
      <c r="B14597" t="s">
        <v>4</v>
      </c>
      <c r="C14597">
        <v>3</v>
      </c>
      <c r="D14597" t="s">
        <v>20</v>
      </c>
      <c r="F14597" t="str" cm="1">
        <f t="array" ref="F14597">CategorizeComment(E14597)</f>
        <v>Other</v>
      </c>
      <c r="G14597" t="str" cm="1">
        <f t="array" ref="G14597">SubCategorizeComment(E14597)</f>
        <v>Other</v>
      </c>
    </row>
    <row r="14598" spans="1:7" x14ac:dyDescent="0.25">
      <c r="A14598">
        <v>56356</v>
      </c>
      <c r="B14598" t="s">
        <v>4</v>
      </c>
      <c r="C14598">
        <v>4</v>
      </c>
      <c r="D14598" t="s">
        <v>1051</v>
      </c>
      <c r="F14598" t="str" cm="1">
        <f t="array" ref="F14598">CategorizeComment(E14598)</f>
        <v>Other</v>
      </c>
      <c r="G14598" t="str" cm="1">
        <f t="array" ref="G14598">SubCategorizeComment(E14598)</f>
        <v>Other</v>
      </c>
    </row>
    <row r="14599" spans="1:7" x14ac:dyDescent="0.25">
      <c r="A14599">
        <v>38551</v>
      </c>
      <c r="B14599" t="s">
        <v>4</v>
      </c>
      <c r="C14599">
        <v>4</v>
      </c>
      <c r="D14599" t="s">
        <v>743</v>
      </c>
      <c r="F14599" t="str" cm="1">
        <f t="array" ref="F14599">CategorizeComment(E14599)</f>
        <v>Other</v>
      </c>
      <c r="G14599" t="str" cm="1">
        <f t="array" ref="G14599">SubCategorizeComment(E14599)</f>
        <v>Other</v>
      </c>
    </row>
    <row r="14600" spans="1:7" x14ac:dyDescent="0.25">
      <c r="A14600">
        <v>127077</v>
      </c>
      <c r="B14600" t="s">
        <v>4</v>
      </c>
      <c r="C14600">
        <v>4</v>
      </c>
      <c r="D14600" t="s">
        <v>2131</v>
      </c>
      <c r="F14600" t="str" cm="1">
        <f t="array" ref="F14600">CategorizeComment(E14600)</f>
        <v>Other</v>
      </c>
      <c r="G14600" t="str" cm="1">
        <f t="array" ref="G14600">SubCategorizeComment(E14600)</f>
        <v>Other</v>
      </c>
    </row>
    <row r="14601" spans="1:7" x14ac:dyDescent="0.25">
      <c r="A14601">
        <v>93454</v>
      </c>
      <c r="B14601" t="s">
        <v>4</v>
      </c>
      <c r="C14601">
        <v>3</v>
      </c>
      <c r="D14601" t="s">
        <v>1632</v>
      </c>
      <c r="F14601" t="str" cm="1">
        <f t="array" ref="F14601">CategorizeComment(E14601)</f>
        <v>Other</v>
      </c>
      <c r="G14601" t="str" cm="1">
        <f t="array" ref="G14601">SubCategorizeComment(E14601)</f>
        <v>Other</v>
      </c>
    </row>
    <row r="14602" spans="1:7" x14ac:dyDescent="0.25">
      <c r="A14602">
        <v>53847</v>
      </c>
      <c r="B14602" t="s">
        <v>4</v>
      </c>
      <c r="C14602">
        <v>3</v>
      </c>
      <c r="D14602" t="s">
        <v>1007</v>
      </c>
      <c r="F14602" t="str" cm="1">
        <f t="array" ref="F14602">CategorizeComment(E14602)</f>
        <v>Other</v>
      </c>
      <c r="G14602" t="str" cm="1">
        <f t="array" ref="G14602">SubCategorizeComment(E14602)</f>
        <v>Other</v>
      </c>
    </row>
    <row r="14603" spans="1:7" x14ac:dyDescent="0.25">
      <c r="A14603">
        <v>123372</v>
      </c>
      <c r="B14603" t="s">
        <v>4</v>
      </c>
      <c r="C14603">
        <v>3</v>
      </c>
      <c r="D14603" t="s">
        <v>2079</v>
      </c>
      <c r="F14603" t="str" cm="1">
        <f t="array" ref="F14603">CategorizeComment(E14603)</f>
        <v>Other</v>
      </c>
      <c r="G14603" t="str" cm="1">
        <f t="array" ref="G14603">SubCategorizeComment(E14603)</f>
        <v>Other</v>
      </c>
    </row>
    <row r="14604" spans="1:7" x14ac:dyDescent="0.25">
      <c r="A14604">
        <v>82759</v>
      </c>
      <c r="B14604" t="s">
        <v>4</v>
      </c>
      <c r="C14604">
        <v>4</v>
      </c>
      <c r="D14604" t="s">
        <v>1468</v>
      </c>
      <c r="F14604" t="str" cm="1">
        <f t="array" ref="F14604">CategorizeComment(E14604)</f>
        <v>Other</v>
      </c>
      <c r="G14604" t="str" cm="1">
        <f t="array" ref="G14604">SubCategorizeComment(E14604)</f>
        <v>Other</v>
      </c>
    </row>
    <row r="14605" spans="1:7" x14ac:dyDescent="0.25">
      <c r="A14605">
        <v>7022</v>
      </c>
      <c r="B14605" t="s">
        <v>4</v>
      </c>
      <c r="C14605">
        <v>4</v>
      </c>
      <c r="D14605" t="s">
        <v>141</v>
      </c>
      <c r="F14605" t="str" cm="1">
        <f t="array" ref="F14605">CategorizeComment(E14605)</f>
        <v>Other</v>
      </c>
      <c r="G14605" t="str" cm="1">
        <f t="array" ref="G14605">SubCategorizeComment(E14605)</f>
        <v>Other</v>
      </c>
    </row>
    <row r="14606" spans="1:7" x14ac:dyDescent="0.25">
      <c r="A14606">
        <v>52646</v>
      </c>
      <c r="B14606" t="s">
        <v>4</v>
      </c>
      <c r="C14606">
        <v>4</v>
      </c>
      <c r="D14606" t="s">
        <v>983</v>
      </c>
      <c r="F14606" t="str" cm="1">
        <f t="array" ref="F14606">CategorizeComment(E14606)</f>
        <v>Other</v>
      </c>
      <c r="G14606" t="str" cm="1">
        <f t="array" ref="G14606">SubCategorizeComment(E14606)</f>
        <v>Other</v>
      </c>
    </row>
    <row r="14607" spans="1:7" x14ac:dyDescent="0.25">
      <c r="A14607">
        <v>109267</v>
      </c>
      <c r="B14607" t="s">
        <v>4</v>
      </c>
      <c r="C14607">
        <v>4</v>
      </c>
      <c r="D14607" t="s">
        <v>1866</v>
      </c>
      <c r="F14607" t="str" cm="1">
        <f t="array" ref="F14607">CategorizeComment(E14607)</f>
        <v>Other</v>
      </c>
      <c r="G14607" t="str" cm="1">
        <f t="array" ref="G14607">SubCategorizeComment(E14607)</f>
        <v>Other</v>
      </c>
    </row>
    <row r="14608" spans="1:7" x14ac:dyDescent="0.25">
      <c r="A14608">
        <v>123872</v>
      </c>
      <c r="B14608" t="s">
        <v>4</v>
      </c>
      <c r="C14608">
        <v>3</v>
      </c>
      <c r="D14608" t="s">
        <v>2085</v>
      </c>
      <c r="F14608" t="str" cm="1">
        <f t="array" ref="F14608">CategorizeComment(E14608)</f>
        <v>Other</v>
      </c>
      <c r="G14608" t="str" cm="1">
        <f t="array" ref="G14608">SubCategorizeComment(E14608)</f>
        <v>Other</v>
      </c>
    </row>
    <row r="14609" spans="1:7" x14ac:dyDescent="0.25">
      <c r="A14609">
        <v>31436</v>
      </c>
      <c r="B14609" t="s">
        <v>4</v>
      </c>
      <c r="C14609">
        <v>3</v>
      </c>
      <c r="D14609" t="s">
        <v>604</v>
      </c>
      <c r="F14609" t="str" cm="1">
        <f t="array" ref="F14609">CategorizeComment(E14609)</f>
        <v>Other</v>
      </c>
      <c r="G14609" t="str" cm="1">
        <f t="array" ref="G14609">SubCategorizeComment(E14609)</f>
        <v>Other</v>
      </c>
    </row>
    <row r="14610" spans="1:7" x14ac:dyDescent="0.25">
      <c r="A14610">
        <v>48833</v>
      </c>
      <c r="B14610" t="s">
        <v>4</v>
      </c>
      <c r="C14610">
        <v>4</v>
      </c>
      <c r="D14610" t="s">
        <v>917</v>
      </c>
      <c r="F14610" t="str" cm="1">
        <f t="array" ref="F14610">CategorizeComment(E14610)</f>
        <v>Other</v>
      </c>
      <c r="G14610" t="str" cm="1">
        <f t="array" ref="G14610">SubCategorizeComment(E14610)</f>
        <v>Other</v>
      </c>
    </row>
    <row r="14611" spans="1:7" x14ac:dyDescent="0.25">
      <c r="A14611">
        <v>44069</v>
      </c>
      <c r="B14611" t="s">
        <v>4</v>
      </c>
      <c r="C14611">
        <v>3</v>
      </c>
      <c r="D14611" t="s">
        <v>830</v>
      </c>
      <c r="F14611" t="str" cm="1">
        <f t="array" ref="F14611">CategorizeComment(E14611)</f>
        <v>Other</v>
      </c>
      <c r="G14611" t="str" cm="1">
        <f t="array" ref="G14611">SubCategorizeComment(E14611)</f>
        <v>Other</v>
      </c>
    </row>
    <row r="14612" spans="1:7" x14ac:dyDescent="0.25">
      <c r="A14612">
        <v>21260</v>
      </c>
      <c r="B14612" t="s">
        <v>4</v>
      </c>
      <c r="C14612">
        <v>4</v>
      </c>
      <c r="D14612" t="s">
        <v>432</v>
      </c>
      <c r="F14612" t="str" cm="1">
        <f t="array" ref="F14612">CategorizeComment(E14612)</f>
        <v>Other</v>
      </c>
      <c r="G14612" t="str" cm="1">
        <f t="array" ref="G14612">SubCategorizeComment(E14612)</f>
        <v>Other</v>
      </c>
    </row>
    <row r="14613" spans="1:7" x14ac:dyDescent="0.25">
      <c r="A14613">
        <v>9001</v>
      </c>
      <c r="B14613" t="s">
        <v>4</v>
      </c>
      <c r="C14613">
        <v>3</v>
      </c>
      <c r="D14613" t="s">
        <v>176</v>
      </c>
      <c r="F14613" t="str" cm="1">
        <f t="array" ref="F14613">CategorizeComment(E14613)</f>
        <v>Other</v>
      </c>
      <c r="G14613" t="str" cm="1">
        <f t="array" ref="G14613">SubCategorizeComment(E14613)</f>
        <v>Other</v>
      </c>
    </row>
    <row r="14614" spans="1:7" x14ac:dyDescent="0.25">
      <c r="A14614">
        <v>15601</v>
      </c>
      <c r="B14614" t="s">
        <v>4</v>
      </c>
      <c r="C14614">
        <v>4</v>
      </c>
      <c r="D14614" t="s">
        <v>302</v>
      </c>
      <c r="F14614" t="str" cm="1">
        <f t="array" ref="F14614">CategorizeComment(E14614)</f>
        <v>Other</v>
      </c>
      <c r="G14614" t="str" cm="1">
        <f t="array" ref="G14614">SubCategorizeComment(E14614)</f>
        <v>Other</v>
      </c>
    </row>
    <row r="14615" spans="1:7" x14ac:dyDescent="0.25">
      <c r="A14615">
        <v>12797</v>
      </c>
      <c r="B14615" t="s">
        <v>4</v>
      </c>
      <c r="C14615">
        <v>3</v>
      </c>
      <c r="D14615" t="s">
        <v>252</v>
      </c>
      <c r="F14615" t="str" cm="1">
        <f t="array" ref="F14615">CategorizeComment(E14615)</f>
        <v>Other</v>
      </c>
      <c r="G14615" t="str" cm="1">
        <f t="array" ref="G14615">SubCategorizeComment(E14615)</f>
        <v>Other</v>
      </c>
    </row>
    <row r="14616" spans="1:7" x14ac:dyDescent="0.25">
      <c r="A14616">
        <v>23461</v>
      </c>
      <c r="B14616" t="s">
        <v>4</v>
      </c>
      <c r="C14616">
        <v>4</v>
      </c>
      <c r="D14616" t="s">
        <v>478</v>
      </c>
      <c r="F14616" t="str" cm="1">
        <f t="array" ref="F14616">CategorizeComment(E14616)</f>
        <v>Other</v>
      </c>
      <c r="G14616" t="str" cm="1">
        <f t="array" ref="G14616">SubCategorizeComment(E14616)</f>
        <v>Other</v>
      </c>
    </row>
    <row r="14617" spans="1:7" x14ac:dyDescent="0.25">
      <c r="A14617">
        <v>13357</v>
      </c>
      <c r="B14617" t="s">
        <v>4</v>
      </c>
      <c r="C14617">
        <v>4</v>
      </c>
      <c r="D14617" t="s">
        <v>264</v>
      </c>
      <c r="F14617" t="str" cm="1">
        <f t="array" ref="F14617">CategorizeComment(E14617)</f>
        <v>Other</v>
      </c>
      <c r="G14617" t="str" cm="1">
        <f t="array" ref="G14617">SubCategorizeComment(E14617)</f>
        <v>Other</v>
      </c>
    </row>
    <row r="14618" spans="1:7" x14ac:dyDescent="0.25">
      <c r="A14618">
        <v>88432</v>
      </c>
      <c r="B14618" t="s">
        <v>4</v>
      </c>
      <c r="C14618">
        <v>4</v>
      </c>
      <c r="D14618" t="s">
        <v>1546</v>
      </c>
      <c r="F14618" t="str" cm="1">
        <f t="array" ref="F14618">CategorizeComment(E14618)</f>
        <v>Other</v>
      </c>
      <c r="G14618" t="str" cm="1">
        <f t="array" ref="G14618">SubCategorizeComment(E14618)</f>
        <v>Other</v>
      </c>
    </row>
    <row r="14619" spans="1:7" x14ac:dyDescent="0.25">
      <c r="A14619">
        <v>10004</v>
      </c>
      <c r="B14619" t="s">
        <v>4</v>
      </c>
      <c r="C14619">
        <v>3</v>
      </c>
      <c r="D14619" t="s">
        <v>199</v>
      </c>
      <c r="F14619" t="str" cm="1">
        <f t="array" ref="F14619">CategorizeComment(E14619)</f>
        <v>Other</v>
      </c>
      <c r="G14619" t="str" cm="1">
        <f t="array" ref="G14619">SubCategorizeComment(E14619)</f>
        <v>Other</v>
      </c>
    </row>
    <row r="14620" spans="1:7" x14ac:dyDescent="0.25">
      <c r="A14620">
        <v>60702</v>
      </c>
      <c r="B14620" t="s">
        <v>4</v>
      </c>
      <c r="C14620">
        <v>4</v>
      </c>
      <c r="D14620" t="s">
        <v>1133</v>
      </c>
      <c r="F14620" t="str" cm="1">
        <f t="array" ref="F14620">CategorizeComment(E14620)</f>
        <v>Other</v>
      </c>
      <c r="G14620" t="str" cm="1">
        <f t="array" ref="G14620">SubCategorizeComment(E14620)</f>
        <v>Other</v>
      </c>
    </row>
    <row r="14621" spans="1:7" x14ac:dyDescent="0.25">
      <c r="A14621">
        <v>49200</v>
      </c>
      <c r="B14621" t="s">
        <v>4</v>
      </c>
      <c r="C14621">
        <v>3</v>
      </c>
      <c r="D14621" t="s">
        <v>920</v>
      </c>
      <c r="F14621" t="str" cm="1">
        <f t="array" ref="F14621">CategorizeComment(E14621)</f>
        <v>Other</v>
      </c>
      <c r="G14621" t="str" cm="1">
        <f t="array" ref="G14621">SubCategorizeComment(E14621)</f>
        <v>Other</v>
      </c>
    </row>
    <row r="14622" spans="1:7" x14ac:dyDescent="0.25">
      <c r="A14622">
        <v>21727</v>
      </c>
      <c r="B14622" t="s">
        <v>4</v>
      </c>
      <c r="C14622">
        <v>4</v>
      </c>
      <c r="D14622" t="s">
        <v>446</v>
      </c>
      <c r="F14622" t="str" cm="1">
        <f t="array" ref="F14622">CategorizeComment(E14622)</f>
        <v>Other</v>
      </c>
      <c r="G14622" t="str" cm="1">
        <f t="array" ref="G14622">SubCategorizeComment(E14622)</f>
        <v>Other</v>
      </c>
    </row>
    <row r="14623" spans="1:7" x14ac:dyDescent="0.25">
      <c r="A14623">
        <v>123314</v>
      </c>
      <c r="B14623" t="s">
        <v>4</v>
      </c>
      <c r="C14623">
        <v>4</v>
      </c>
      <c r="D14623" t="s">
        <v>2077</v>
      </c>
      <c r="F14623" t="str" cm="1">
        <f t="array" ref="F14623">CategorizeComment(E14623)</f>
        <v>Other</v>
      </c>
      <c r="G14623" t="str" cm="1">
        <f t="array" ref="G14623">SubCategorizeComment(E14623)</f>
        <v>Other</v>
      </c>
    </row>
    <row r="14624" spans="1:7" x14ac:dyDescent="0.25">
      <c r="A14624">
        <v>4593</v>
      </c>
      <c r="B14624" t="s">
        <v>4</v>
      </c>
      <c r="C14624">
        <v>4</v>
      </c>
      <c r="D14624" t="s">
        <v>96</v>
      </c>
      <c r="F14624" t="str" cm="1">
        <f t="array" ref="F14624">CategorizeComment(E14624)</f>
        <v>Other</v>
      </c>
      <c r="G14624" t="str" cm="1">
        <f t="array" ref="G14624">SubCategorizeComment(E14624)</f>
        <v>Other</v>
      </c>
    </row>
    <row r="14625" spans="1:7" x14ac:dyDescent="0.25">
      <c r="A14625">
        <v>80078</v>
      </c>
      <c r="B14625" t="s">
        <v>4</v>
      </c>
      <c r="C14625">
        <v>4</v>
      </c>
      <c r="D14625" t="s">
        <v>1434</v>
      </c>
      <c r="F14625" t="str" cm="1">
        <f t="array" ref="F14625">CategorizeComment(E14625)</f>
        <v>Other</v>
      </c>
      <c r="G14625" t="str" cm="1">
        <f t="array" ref="G14625">SubCategorizeComment(E14625)</f>
        <v>Other</v>
      </c>
    </row>
    <row r="14626" spans="1:7" x14ac:dyDescent="0.25">
      <c r="A14626">
        <v>114534</v>
      </c>
      <c r="B14626" t="s">
        <v>4</v>
      </c>
      <c r="C14626">
        <v>4</v>
      </c>
      <c r="D14626" t="s">
        <v>1947</v>
      </c>
      <c r="F14626" t="str" cm="1">
        <f t="array" ref="F14626">CategorizeComment(E14626)</f>
        <v>Other</v>
      </c>
      <c r="G14626" t="str" cm="1">
        <f t="array" ref="G14626">SubCategorizeComment(E14626)</f>
        <v>Other</v>
      </c>
    </row>
    <row r="14627" spans="1:7" x14ac:dyDescent="0.25">
      <c r="A14627">
        <v>84812</v>
      </c>
      <c r="B14627" t="s">
        <v>4</v>
      </c>
      <c r="C14627">
        <v>3</v>
      </c>
      <c r="D14627" t="s">
        <v>1494</v>
      </c>
      <c r="F14627" t="str" cm="1">
        <f t="array" ref="F14627">CategorizeComment(E14627)</f>
        <v>Other</v>
      </c>
      <c r="G14627" t="str" cm="1">
        <f t="array" ref="G14627">SubCategorizeComment(E14627)</f>
        <v>Other</v>
      </c>
    </row>
    <row r="14628" spans="1:7" x14ac:dyDescent="0.25">
      <c r="A14628">
        <v>17074</v>
      </c>
      <c r="B14628" t="s">
        <v>4</v>
      </c>
      <c r="C14628">
        <v>3</v>
      </c>
      <c r="D14628" t="s">
        <v>333</v>
      </c>
      <c r="F14628" t="str" cm="1">
        <f t="array" ref="F14628">CategorizeComment(E14628)</f>
        <v>Other</v>
      </c>
      <c r="G14628" t="str" cm="1">
        <f t="array" ref="G14628">SubCategorizeComment(E14628)</f>
        <v>Other</v>
      </c>
    </row>
    <row r="14629" spans="1:7" x14ac:dyDescent="0.25">
      <c r="A14629">
        <v>60276</v>
      </c>
      <c r="B14629" t="s">
        <v>4</v>
      </c>
      <c r="C14629">
        <v>4</v>
      </c>
      <c r="D14629" t="s">
        <v>1121</v>
      </c>
      <c r="F14629" t="str" cm="1">
        <f t="array" ref="F14629">CategorizeComment(E14629)</f>
        <v>Other</v>
      </c>
      <c r="G14629" t="str" cm="1">
        <f t="array" ref="G14629">SubCategorizeComment(E14629)</f>
        <v>Other</v>
      </c>
    </row>
    <row r="14630" spans="1:7" x14ac:dyDescent="0.25">
      <c r="A14630">
        <v>18349</v>
      </c>
      <c r="B14630" t="s">
        <v>4</v>
      </c>
      <c r="C14630">
        <v>4</v>
      </c>
      <c r="D14630" t="s">
        <v>365</v>
      </c>
      <c r="F14630" t="str" cm="1">
        <f t="array" ref="F14630">CategorizeComment(E14630)</f>
        <v>Other</v>
      </c>
      <c r="G14630" t="str" cm="1">
        <f t="array" ref="G14630">SubCategorizeComment(E14630)</f>
        <v>Other</v>
      </c>
    </row>
    <row r="14631" spans="1:7" x14ac:dyDescent="0.25">
      <c r="A14631">
        <v>22599</v>
      </c>
      <c r="B14631" t="s">
        <v>4</v>
      </c>
      <c r="C14631">
        <v>4</v>
      </c>
      <c r="D14631" t="s">
        <v>460</v>
      </c>
      <c r="F14631" t="str" cm="1">
        <f t="array" ref="F14631">CategorizeComment(E14631)</f>
        <v>Other</v>
      </c>
      <c r="G14631" t="str" cm="1">
        <f t="array" ref="G14631">SubCategorizeComment(E14631)</f>
        <v>Other</v>
      </c>
    </row>
    <row r="14632" spans="1:7" x14ac:dyDescent="0.25">
      <c r="A14632">
        <v>94795</v>
      </c>
      <c r="B14632" t="s">
        <v>4</v>
      </c>
      <c r="C14632">
        <v>4</v>
      </c>
      <c r="D14632" t="s">
        <v>1650</v>
      </c>
      <c r="F14632" t="str" cm="1">
        <f t="array" ref="F14632">CategorizeComment(E14632)</f>
        <v>Other</v>
      </c>
      <c r="G14632" t="str" cm="1">
        <f t="array" ref="G14632">SubCategorizeComment(E14632)</f>
        <v>Other</v>
      </c>
    </row>
    <row r="14633" spans="1:7" x14ac:dyDescent="0.25">
      <c r="A14633">
        <v>2978</v>
      </c>
      <c r="B14633" t="s">
        <v>4</v>
      </c>
      <c r="C14633">
        <v>4</v>
      </c>
      <c r="D14633" t="s">
        <v>61</v>
      </c>
      <c r="F14633" t="str" cm="1">
        <f t="array" ref="F14633">CategorizeComment(E14633)</f>
        <v>Other</v>
      </c>
      <c r="G14633" t="str" cm="1">
        <f t="array" ref="G14633">SubCategorizeComment(E14633)</f>
        <v>Other</v>
      </c>
    </row>
    <row r="14634" spans="1:7" x14ac:dyDescent="0.25">
      <c r="A14634">
        <v>91363</v>
      </c>
      <c r="B14634" t="s">
        <v>4</v>
      </c>
      <c r="C14634">
        <v>3</v>
      </c>
      <c r="D14634" t="s">
        <v>1596</v>
      </c>
      <c r="F14634" t="str" cm="1">
        <f t="array" ref="F14634">CategorizeComment(E14634)</f>
        <v>Other</v>
      </c>
      <c r="G14634" t="str" cm="1">
        <f t="array" ref="G14634">SubCategorizeComment(E14634)</f>
        <v>Other</v>
      </c>
    </row>
    <row r="14635" spans="1:7" x14ac:dyDescent="0.25">
      <c r="A14635">
        <v>49376</v>
      </c>
      <c r="B14635" t="s">
        <v>4</v>
      </c>
      <c r="C14635">
        <v>4</v>
      </c>
      <c r="D14635" t="s">
        <v>922</v>
      </c>
      <c r="F14635" t="str" cm="1">
        <f t="array" ref="F14635">CategorizeComment(E14635)</f>
        <v>Other</v>
      </c>
      <c r="G14635" t="str" cm="1">
        <f t="array" ref="G14635">SubCategorizeComment(E14635)</f>
        <v>Other</v>
      </c>
    </row>
    <row r="14636" spans="1:7" x14ac:dyDescent="0.25">
      <c r="A14636">
        <v>50008</v>
      </c>
      <c r="B14636" t="s">
        <v>4</v>
      </c>
      <c r="C14636">
        <v>4</v>
      </c>
      <c r="D14636" t="s">
        <v>934</v>
      </c>
      <c r="F14636" t="str" cm="1">
        <f t="array" ref="F14636">CategorizeComment(E14636)</f>
        <v>Other</v>
      </c>
      <c r="G14636" t="str" cm="1">
        <f t="array" ref="G14636">SubCategorizeComment(E14636)</f>
        <v>Other</v>
      </c>
    </row>
    <row r="14637" spans="1:7" x14ac:dyDescent="0.25">
      <c r="A14637">
        <v>4537</v>
      </c>
      <c r="B14637" t="s">
        <v>4</v>
      </c>
      <c r="C14637">
        <v>3</v>
      </c>
      <c r="D14637" t="s">
        <v>93</v>
      </c>
      <c r="F14637" t="str" cm="1">
        <f t="array" ref="F14637">CategorizeComment(E14637)</f>
        <v>Other</v>
      </c>
      <c r="G14637" t="str" cm="1">
        <f t="array" ref="G14637">SubCategorizeComment(E14637)</f>
        <v>Other</v>
      </c>
    </row>
    <row r="14638" spans="1:7" x14ac:dyDescent="0.25">
      <c r="A14638">
        <v>22965</v>
      </c>
      <c r="B14638" t="s">
        <v>4</v>
      </c>
      <c r="C14638">
        <v>3</v>
      </c>
      <c r="D14638" t="s">
        <v>466</v>
      </c>
      <c r="F14638" t="str" cm="1">
        <f t="array" ref="F14638">CategorizeComment(E14638)</f>
        <v>Other</v>
      </c>
      <c r="G14638" t="str" cm="1">
        <f t="array" ref="G14638">SubCategorizeComment(E14638)</f>
        <v>Other</v>
      </c>
    </row>
    <row r="14639" spans="1:7" x14ac:dyDescent="0.25">
      <c r="A14639">
        <v>97137</v>
      </c>
      <c r="B14639" t="s">
        <v>4</v>
      </c>
      <c r="C14639">
        <v>4</v>
      </c>
      <c r="D14639" t="s">
        <v>1680</v>
      </c>
      <c r="F14639" t="str" cm="1">
        <f t="array" ref="F14639">CategorizeComment(E14639)</f>
        <v>Other</v>
      </c>
      <c r="G14639" t="str" cm="1">
        <f t="array" ref="G14639">SubCategorizeComment(E14639)</f>
        <v>Other</v>
      </c>
    </row>
    <row r="14640" spans="1:7" x14ac:dyDescent="0.25">
      <c r="A14640">
        <v>18505</v>
      </c>
      <c r="B14640" t="s">
        <v>4</v>
      </c>
      <c r="C14640">
        <v>4</v>
      </c>
      <c r="D14640" t="s">
        <v>366</v>
      </c>
      <c r="F14640" t="str" cm="1">
        <f t="array" ref="F14640">CategorizeComment(E14640)</f>
        <v>Other</v>
      </c>
      <c r="G14640" t="str" cm="1">
        <f t="array" ref="G14640">SubCategorizeComment(E14640)</f>
        <v>Other</v>
      </c>
    </row>
    <row r="14641" spans="1:7" x14ac:dyDescent="0.25">
      <c r="A14641">
        <v>72127</v>
      </c>
      <c r="B14641" t="s">
        <v>4</v>
      </c>
      <c r="C14641">
        <v>4</v>
      </c>
      <c r="D14641" t="s">
        <v>1313</v>
      </c>
      <c r="F14641" t="str" cm="1">
        <f t="array" ref="F14641">CategorizeComment(E14641)</f>
        <v>Other</v>
      </c>
      <c r="G14641" t="str" cm="1">
        <f t="array" ref="G14641">SubCategorizeComment(E14641)</f>
        <v>Other</v>
      </c>
    </row>
    <row r="14642" spans="1:7" x14ac:dyDescent="0.25">
      <c r="A14642">
        <v>127789</v>
      </c>
      <c r="B14642" t="s">
        <v>4</v>
      </c>
      <c r="C14642">
        <v>4</v>
      </c>
      <c r="D14642" t="s">
        <v>2142</v>
      </c>
      <c r="F14642" t="str" cm="1">
        <f t="array" ref="F14642">CategorizeComment(E14642)</f>
        <v>Other</v>
      </c>
      <c r="G14642" t="str" cm="1">
        <f t="array" ref="G14642">SubCategorizeComment(E14642)</f>
        <v>Other</v>
      </c>
    </row>
    <row r="14643" spans="1:7" x14ac:dyDescent="0.25">
      <c r="A14643">
        <v>60620</v>
      </c>
      <c r="B14643" t="s">
        <v>4</v>
      </c>
      <c r="C14643">
        <v>4</v>
      </c>
      <c r="D14643" t="s">
        <v>1132</v>
      </c>
      <c r="F14643" t="str" cm="1">
        <f t="array" ref="F14643">CategorizeComment(E14643)</f>
        <v>Other</v>
      </c>
      <c r="G14643" t="str" cm="1">
        <f t="array" ref="G14643">SubCategorizeComment(E14643)</f>
        <v>Other</v>
      </c>
    </row>
    <row r="14644" spans="1:7" x14ac:dyDescent="0.25">
      <c r="A14644">
        <v>79964</v>
      </c>
      <c r="B14644" t="s">
        <v>4</v>
      </c>
      <c r="C14644">
        <v>4</v>
      </c>
      <c r="D14644" t="s">
        <v>1433</v>
      </c>
      <c r="F14644" t="str" cm="1">
        <f t="array" ref="F14644">CategorizeComment(E14644)</f>
        <v>Other</v>
      </c>
      <c r="G14644" t="str" cm="1">
        <f t="array" ref="G14644">SubCategorizeComment(E14644)</f>
        <v>Other</v>
      </c>
    </row>
    <row r="14645" spans="1:7" x14ac:dyDescent="0.25">
      <c r="A14645">
        <v>95347</v>
      </c>
      <c r="B14645" t="s">
        <v>4</v>
      </c>
      <c r="C14645">
        <v>4</v>
      </c>
      <c r="D14645" t="s">
        <v>1656</v>
      </c>
      <c r="F14645" t="str" cm="1">
        <f t="array" ref="F14645">CategorizeComment(E14645)</f>
        <v>Other</v>
      </c>
      <c r="G14645" t="str" cm="1">
        <f t="array" ref="G14645">SubCategorizeComment(E14645)</f>
        <v>Other</v>
      </c>
    </row>
    <row r="14646" spans="1:7" x14ac:dyDescent="0.25">
      <c r="A14646">
        <v>8581</v>
      </c>
      <c r="B14646" t="s">
        <v>4</v>
      </c>
      <c r="C14646">
        <v>4</v>
      </c>
      <c r="D14646" t="s">
        <v>173</v>
      </c>
      <c r="F14646" t="str" cm="1">
        <f t="array" ref="F14646">CategorizeComment(E14646)</f>
        <v>Other</v>
      </c>
      <c r="G14646" t="str" cm="1">
        <f t="array" ref="G14646">SubCategorizeComment(E14646)</f>
        <v>Other</v>
      </c>
    </row>
    <row r="14647" spans="1:7" x14ac:dyDescent="0.25">
      <c r="A14647">
        <v>81990</v>
      </c>
      <c r="B14647" t="s">
        <v>4</v>
      </c>
      <c r="C14647">
        <v>3</v>
      </c>
      <c r="D14647" t="s">
        <v>1462</v>
      </c>
      <c r="F14647" t="str" cm="1">
        <f t="array" ref="F14647">CategorizeComment(E14647)</f>
        <v>Other</v>
      </c>
      <c r="G14647" t="str" cm="1">
        <f t="array" ref="G14647">SubCategorizeComment(E14647)</f>
        <v>Other</v>
      </c>
    </row>
    <row r="14648" spans="1:7" x14ac:dyDescent="0.25">
      <c r="A14648">
        <v>13702</v>
      </c>
      <c r="B14648" t="s">
        <v>4</v>
      </c>
      <c r="C14648">
        <v>3</v>
      </c>
      <c r="D14648" t="s">
        <v>268</v>
      </c>
      <c r="F14648" t="str" cm="1">
        <f t="array" ref="F14648">CategorizeComment(E14648)</f>
        <v>Other</v>
      </c>
      <c r="G14648" t="str" cm="1">
        <f t="array" ref="G14648">SubCategorizeComment(E14648)</f>
        <v>Other</v>
      </c>
    </row>
    <row r="14649" spans="1:7" x14ac:dyDescent="0.25">
      <c r="A14649">
        <v>30952</v>
      </c>
      <c r="B14649" t="s">
        <v>4</v>
      </c>
      <c r="C14649">
        <v>3</v>
      </c>
      <c r="D14649" t="s">
        <v>597</v>
      </c>
      <c r="F14649" t="str" cm="1">
        <f t="array" ref="F14649">CategorizeComment(E14649)</f>
        <v>Other</v>
      </c>
      <c r="G14649" t="str" cm="1">
        <f t="array" ref="G14649">SubCategorizeComment(E14649)</f>
        <v>Other</v>
      </c>
    </row>
    <row r="14650" spans="1:7" x14ac:dyDescent="0.25">
      <c r="A14650">
        <v>16008</v>
      </c>
      <c r="B14650" t="s">
        <v>4</v>
      </c>
      <c r="C14650">
        <v>4</v>
      </c>
      <c r="D14650" t="s">
        <v>314</v>
      </c>
      <c r="F14650" t="str" cm="1">
        <f t="array" ref="F14650">CategorizeComment(E14650)</f>
        <v>Other</v>
      </c>
      <c r="G14650" t="str" cm="1">
        <f t="array" ref="G14650">SubCategorizeComment(E14650)</f>
        <v>Other</v>
      </c>
    </row>
    <row r="14651" spans="1:7" x14ac:dyDescent="0.25">
      <c r="A14651">
        <v>24024</v>
      </c>
      <c r="B14651" t="s">
        <v>4</v>
      </c>
      <c r="C14651">
        <v>4</v>
      </c>
      <c r="D14651" t="s">
        <v>491</v>
      </c>
      <c r="F14651" t="str" cm="1">
        <f t="array" ref="F14651">CategorizeComment(E14651)</f>
        <v>Other</v>
      </c>
      <c r="G14651" t="str" cm="1">
        <f t="array" ref="G14651">SubCategorizeComment(E14651)</f>
        <v>Other</v>
      </c>
    </row>
    <row r="14652" spans="1:7" x14ac:dyDescent="0.25">
      <c r="A14652">
        <v>115559</v>
      </c>
      <c r="B14652" t="s">
        <v>4</v>
      </c>
      <c r="C14652">
        <v>4</v>
      </c>
      <c r="D14652" t="s">
        <v>1960</v>
      </c>
      <c r="F14652" t="str" cm="1">
        <f t="array" ref="F14652">CategorizeComment(E14652)</f>
        <v>Other</v>
      </c>
      <c r="G14652" t="str" cm="1">
        <f t="array" ref="G14652">SubCategorizeComment(E14652)</f>
        <v>Other</v>
      </c>
    </row>
    <row r="14653" spans="1:7" x14ac:dyDescent="0.25">
      <c r="A14653">
        <v>65542</v>
      </c>
      <c r="B14653" t="s">
        <v>4</v>
      </c>
      <c r="C14653">
        <v>4</v>
      </c>
      <c r="D14653" t="s">
        <v>1216</v>
      </c>
      <c r="F14653" t="str" cm="1">
        <f t="array" ref="F14653">CategorizeComment(E14653)</f>
        <v>Other</v>
      </c>
      <c r="G14653" t="str" cm="1">
        <f t="array" ref="G14653">SubCategorizeComment(E14653)</f>
        <v>Other</v>
      </c>
    </row>
    <row r="14654" spans="1:7" x14ac:dyDescent="0.25">
      <c r="A14654">
        <v>50698</v>
      </c>
      <c r="B14654" t="s">
        <v>4</v>
      </c>
      <c r="C14654">
        <v>3</v>
      </c>
      <c r="D14654" t="s">
        <v>954</v>
      </c>
      <c r="F14654" t="str" cm="1">
        <f t="array" ref="F14654">CategorizeComment(E14654)</f>
        <v>Other</v>
      </c>
      <c r="G14654" t="str" cm="1">
        <f t="array" ref="G14654">SubCategorizeComment(E14654)</f>
        <v>Other</v>
      </c>
    </row>
    <row r="14655" spans="1:7" x14ac:dyDescent="0.25">
      <c r="A14655">
        <v>128055</v>
      </c>
      <c r="B14655" t="s">
        <v>4</v>
      </c>
      <c r="C14655">
        <v>4</v>
      </c>
      <c r="D14655" t="s">
        <v>2146</v>
      </c>
      <c r="F14655" t="str" cm="1">
        <f t="array" ref="F14655">CategorizeComment(E14655)</f>
        <v>Other</v>
      </c>
      <c r="G14655" t="str" cm="1">
        <f t="array" ref="G14655">SubCategorizeComment(E14655)</f>
        <v>Other</v>
      </c>
    </row>
    <row r="14656" spans="1:7" x14ac:dyDescent="0.25">
      <c r="A14656">
        <v>34396</v>
      </c>
      <c r="B14656" t="s">
        <v>4</v>
      </c>
      <c r="C14656">
        <v>3</v>
      </c>
      <c r="D14656" t="s">
        <v>657</v>
      </c>
      <c r="F14656" t="str" cm="1">
        <f t="array" ref="F14656">CategorizeComment(E14656)</f>
        <v>Other</v>
      </c>
      <c r="G14656" t="str" cm="1">
        <f t="array" ref="G14656">SubCategorizeComment(E14656)</f>
        <v>Other</v>
      </c>
    </row>
    <row r="14657" spans="1:7" x14ac:dyDescent="0.25">
      <c r="A14657">
        <v>122743</v>
      </c>
      <c r="B14657" t="s">
        <v>4</v>
      </c>
      <c r="C14657">
        <v>4</v>
      </c>
      <c r="D14657" t="s">
        <v>2066</v>
      </c>
      <c r="F14657" t="str" cm="1">
        <f t="array" ref="F14657">CategorizeComment(E14657)</f>
        <v>Other</v>
      </c>
      <c r="G14657" t="str" cm="1">
        <f t="array" ref="G14657">SubCategorizeComment(E14657)</f>
        <v>Other</v>
      </c>
    </row>
    <row r="14658" spans="1:7" x14ac:dyDescent="0.25">
      <c r="A14658">
        <v>45444</v>
      </c>
      <c r="B14658" t="s">
        <v>4</v>
      </c>
      <c r="C14658">
        <v>3</v>
      </c>
      <c r="D14658" t="s">
        <v>862</v>
      </c>
      <c r="F14658" t="str" cm="1">
        <f t="array" ref="F14658">CategorizeComment(E14658)</f>
        <v>Other</v>
      </c>
      <c r="G14658" t="str" cm="1">
        <f t="array" ref="G14658">SubCategorizeComment(E14658)</f>
        <v>Other</v>
      </c>
    </row>
    <row r="14659" spans="1:7" x14ac:dyDescent="0.25">
      <c r="A14659">
        <v>40109</v>
      </c>
      <c r="B14659" t="s">
        <v>4</v>
      </c>
      <c r="C14659">
        <v>4</v>
      </c>
      <c r="D14659" t="s">
        <v>764</v>
      </c>
      <c r="F14659" t="str" cm="1">
        <f t="array" ref="F14659">CategorizeComment(E14659)</f>
        <v>Other</v>
      </c>
      <c r="G14659" t="str" cm="1">
        <f t="array" ref="G14659">SubCategorizeComment(E14659)</f>
        <v>Other</v>
      </c>
    </row>
    <row r="14660" spans="1:7" x14ac:dyDescent="0.25">
      <c r="A14660">
        <v>121582</v>
      </c>
      <c r="B14660" t="s">
        <v>4</v>
      </c>
      <c r="C14660">
        <v>4</v>
      </c>
      <c r="D14660" t="s">
        <v>2045</v>
      </c>
      <c r="F14660" t="str" cm="1">
        <f t="array" ref="F14660">CategorizeComment(E14660)</f>
        <v>Other</v>
      </c>
      <c r="G14660" t="str" cm="1">
        <f t="array" ref="G14660">SubCategorizeComment(E14660)</f>
        <v>Other</v>
      </c>
    </row>
    <row r="14661" spans="1:7" x14ac:dyDescent="0.25">
      <c r="A14661">
        <v>9136</v>
      </c>
      <c r="B14661" t="s">
        <v>4</v>
      </c>
      <c r="C14661">
        <v>4</v>
      </c>
      <c r="D14661" t="s">
        <v>182</v>
      </c>
      <c r="F14661" t="str" cm="1">
        <f t="array" ref="F14661">CategorizeComment(E14661)</f>
        <v>Other</v>
      </c>
      <c r="G14661" t="str" cm="1">
        <f t="array" ref="G14661">SubCategorizeComment(E14661)</f>
        <v>Other</v>
      </c>
    </row>
    <row r="14662" spans="1:7" x14ac:dyDescent="0.25">
      <c r="A14662">
        <v>80489</v>
      </c>
      <c r="B14662" t="s">
        <v>4</v>
      </c>
      <c r="C14662">
        <v>3</v>
      </c>
      <c r="D14662" t="s">
        <v>1442</v>
      </c>
      <c r="F14662" t="str" cm="1">
        <f t="array" ref="F14662">CategorizeComment(E14662)</f>
        <v>Other</v>
      </c>
      <c r="G14662" t="str" cm="1">
        <f t="array" ref="G14662">SubCategorizeComment(E14662)</f>
        <v>Other</v>
      </c>
    </row>
    <row r="14663" spans="1:7" x14ac:dyDescent="0.25">
      <c r="A14663">
        <v>28210</v>
      </c>
      <c r="B14663" t="s">
        <v>4</v>
      </c>
      <c r="C14663">
        <v>4</v>
      </c>
      <c r="D14663" t="s">
        <v>560</v>
      </c>
      <c r="F14663" t="str" cm="1">
        <f t="array" ref="F14663">CategorizeComment(E14663)</f>
        <v>Other</v>
      </c>
      <c r="G14663" t="str" cm="1">
        <f t="array" ref="G14663">SubCategorizeComment(E14663)</f>
        <v>Other</v>
      </c>
    </row>
    <row r="14664" spans="1:7" x14ac:dyDescent="0.25">
      <c r="A14664">
        <v>17098</v>
      </c>
      <c r="B14664" t="s">
        <v>4</v>
      </c>
      <c r="C14664">
        <v>3</v>
      </c>
      <c r="D14664" t="s">
        <v>336</v>
      </c>
      <c r="F14664" t="str" cm="1">
        <f t="array" ref="F14664">CategorizeComment(E14664)</f>
        <v>Other</v>
      </c>
      <c r="G14664" t="str" cm="1">
        <f t="array" ref="G14664">SubCategorizeComment(E14664)</f>
        <v>Other</v>
      </c>
    </row>
    <row r="14665" spans="1:7" x14ac:dyDescent="0.25">
      <c r="A14665">
        <v>8420</v>
      </c>
      <c r="B14665" t="s">
        <v>4</v>
      </c>
      <c r="C14665">
        <v>4</v>
      </c>
      <c r="D14665" t="s">
        <v>166</v>
      </c>
      <c r="F14665" t="str" cm="1">
        <f t="array" ref="F14665">CategorizeComment(E14665)</f>
        <v>Other</v>
      </c>
      <c r="G14665" t="str" cm="1">
        <f t="array" ref="G14665">SubCategorizeComment(E14665)</f>
        <v>Other</v>
      </c>
    </row>
    <row r="14666" spans="1:7" x14ac:dyDescent="0.25">
      <c r="A14666">
        <v>61284</v>
      </c>
      <c r="B14666" t="s">
        <v>4</v>
      </c>
      <c r="C14666">
        <v>4</v>
      </c>
      <c r="D14666" t="s">
        <v>1140</v>
      </c>
      <c r="F14666" t="str" cm="1">
        <f t="array" ref="F14666">CategorizeComment(E14666)</f>
        <v>Other</v>
      </c>
      <c r="G14666" t="str" cm="1">
        <f t="array" ref="G14666">SubCategorizeComment(E14666)</f>
        <v>Other</v>
      </c>
    </row>
    <row r="14667" spans="1:7" x14ac:dyDescent="0.25">
      <c r="A14667">
        <v>113083</v>
      </c>
      <c r="B14667" t="s">
        <v>4</v>
      </c>
      <c r="C14667">
        <v>3</v>
      </c>
      <c r="D14667" t="s">
        <v>1926</v>
      </c>
      <c r="F14667" t="str" cm="1">
        <f t="array" ref="F14667">CategorizeComment(E14667)</f>
        <v>Other</v>
      </c>
      <c r="G14667" t="str" cm="1">
        <f t="array" ref="G14667">SubCategorizeComment(E14667)</f>
        <v>Other</v>
      </c>
    </row>
    <row r="14668" spans="1:7" x14ac:dyDescent="0.25">
      <c r="A14668">
        <v>72484</v>
      </c>
      <c r="B14668" t="s">
        <v>4</v>
      </c>
      <c r="C14668">
        <v>4</v>
      </c>
      <c r="D14668" t="s">
        <v>1318</v>
      </c>
      <c r="F14668" t="str" cm="1">
        <f t="array" ref="F14668">CategorizeComment(E14668)</f>
        <v>Other</v>
      </c>
      <c r="G14668" t="str" cm="1">
        <f t="array" ref="G14668">SubCategorizeComment(E14668)</f>
        <v>Other</v>
      </c>
    </row>
    <row r="14669" spans="1:7" x14ac:dyDescent="0.25">
      <c r="A14669">
        <v>47012</v>
      </c>
      <c r="B14669" t="s">
        <v>4</v>
      </c>
      <c r="C14669">
        <v>4</v>
      </c>
      <c r="D14669" t="s">
        <v>897</v>
      </c>
      <c r="F14669" t="str" cm="1">
        <f t="array" ref="F14669">CategorizeComment(E14669)</f>
        <v>Other</v>
      </c>
      <c r="G14669" t="str" cm="1">
        <f t="array" ref="G14669">SubCategorizeComment(E14669)</f>
        <v>Other</v>
      </c>
    </row>
    <row r="14670" spans="1:7" x14ac:dyDescent="0.25">
      <c r="A14670">
        <v>79142</v>
      </c>
      <c r="B14670" t="s">
        <v>4</v>
      </c>
      <c r="C14670">
        <v>4</v>
      </c>
      <c r="D14670" t="s">
        <v>1419</v>
      </c>
      <c r="F14670" t="str" cm="1">
        <f t="array" ref="F14670">CategorizeComment(E14670)</f>
        <v>Other</v>
      </c>
      <c r="G14670" t="str" cm="1">
        <f t="array" ref="G14670">SubCategorizeComment(E14670)</f>
        <v>Other</v>
      </c>
    </row>
    <row r="14671" spans="1:7" x14ac:dyDescent="0.25">
      <c r="A14671">
        <v>3862</v>
      </c>
      <c r="B14671" t="s">
        <v>4</v>
      </c>
      <c r="C14671">
        <v>4</v>
      </c>
      <c r="D14671" t="s">
        <v>83</v>
      </c>
      <c r="F14671" t="str" cm="1">
        <f t="array" ref="F14671">CategorizeComment(E14671)</f>
        <v>Other</v>
      </c>
      <c r="G14671" t="str" cm="1">
        <f t="array" ref="G14671">SubCategorizeComment(E14671)</f>
        <v>Other</v>
      </c>
    </row>
    <row r="14672" spans="1:7" x14ac:dyDescent="0.25">
      <c r="A14672">
        <v>22675</v>
      </c>
      <c r="B14672" t="s">
        <v>4</v>
      </c>
      <c r="C14672">
        <v>4</v>
      </c>
      <c r="D14672" t="s">
        <v>461</v>
      </c>
      <c r="F14672" t="str" cm="1">
        <f t="array" ref="F14672">CategorizeComment(E14672)</f>
        <v>Other</v>
      </c>
      <c r="G14672" t="str" cm="1">
        <f t="array" ref="G14672">SubCategorizeComment(E14672)</f>
        <v>Other</v>
      </c>
    </row>
    <row r="14673" spans="1:7" x14ac:dyDescent="0.25">
      <c r="A14673">
        <v>18244</v>
      </c>
      <c r="B14673" t="s">
        <v>4</v>
      </c>
      <c r="C14673">
        <v>3</v>
      </c>
      <c r="D14673" t="s">
        <v>363</v>
      </c>
      <c r="F14673" t="str" cm="1">
        <f t="array" ref="F14673">CategorizeComment(E14673)</f>
        <v>Other</v>
      </c>
      <c r="G14673" t="str" cm="1">
        <f t="array" ref="G14673">SubCategorizeComment(E14673)</f>
        <v>Other</v>
      </c>
    </row>
    <row r="14674" spans="1:7" x14ac:dyDescent="0.25">
      <c r="A14674">
        <v>75233</v>
      </c>
      <c r="B14674" t="s">
        <v>4</v>
      </c>
      <c r="C14674">
        <v>3</v>
      </c>
      <c r="D14674" t="s">
        <v>1364</v>
      </c>
      <c r="F14674" t="str" cm="1">
        <f t="array" ref="F14674">CategorizeComment(E14674)</f>
        <v>Other</v>
      </c>
      <c r="G14674" t="str" cm="1">
        <f t="array" ref="G14674">SubCategorizeComment(E14674)</f>
        <v>Other</v>
      </c>
    </row>
    <row r="14675" spans="1:7" x14ac:dyDescent="0.25">
      <c r="A14675">
        <v>123682</v>
      </c>
      <c r="B14675" t="s">
        <v>4</v>
      </c>
      <c r="C14675">
        <v>3</v>
      </c>
      <c r="D14675" t="s">
        <v>2083</v>
      </c>
      <c r="F14675" t="str" cm="1">
        <f t="array" ref="F14675">CategorizeComment(E14675)</f>
        <v>Other</v>
      </c>
      <c r="G14675" t="str" cm="1">
        <f t="array" ref="G14675">SubCategorizeComment(E14675)</f>
        <v>Other</v>
      </c>
    </row>
    <row r="14676" spans="1:7" x14ac:dyDescent="0.25">
      <c r="A14676">
        <v>30154</v>
      </c>
      <c r="B14676" t="s">
        <v>4</v>
      </c>
      <c r="C14676">
        <v>4</v>
      </c>
      <c r="D14676" t="s">
        <v>588</v>
      </c>
      <c r="F14676" t="str" cm="1">
        <f t="array" ref="F14676">CategorizeComment(E14676)</f>
        <v>Other</v>
      </c>
      <c r="G14676" t="str" cm="1">
        <f t="array" ref="G14676">SubCategorizeComment(E14676)</f>
        <v>Other</v>
      </c>
    </row>
    <row r="14677" spans="1:7" x14ac:dyDescent="0.25">
      <c r="A14677">
        <v>24747</v>
      </c>
      <c r="B14677" t="s">
        <v>4</v>
      </c>
      <c r="C14677">
        <v>4</v>
      </c>
      <c r="D14677" t="s">
        <v>502</v>
      </c>
      <c r="F14677" t="str" cm="1">
        <f t="array" ref="F14677">CategorizeComment(E14677)</f>
        <v>Other</v>
      </c>
      <c r="G14677" t="str" cm="1">
        <f t="array" ref="G14677">SubCategorizeComment(E14677)</f>
        <v>Other</v>
      </c>
    </row>
    <row r="14678" spans="1:7" x14ac:dyDescent="0.25">
      <c r="A14678">
        <v>98699</v>
      </c>
      <c r="B14678" t="s">
        <v>4</v>
      </c>
      <c r="C14678">
        <v>3</v>
      </c>
      <c r="D14678" t="s">
        <v>1708</v>
      </c>
      <c r="F14678" t="str" cm="1">
        <f t="array" ref="F14678">CategorizeComment(E14678)</f>
        <v>Other</v>
      </c>
      <c r="G14678" t="str" cm="1">
        <f t="array" ref="G14678">SubCategorizeComment(E14678)</f>
        <v>Other</v>
      </c>
    </row>
    <row r="14679" spans="1:7" x14ac:dyDescent="0.25">
      <c r="A14679">
        <v>80333</v>
      </c>
      <c r="B14679" t="s">
        <v>4</v>
      </c>
      <c r="C14679">
        <v>4</v>
      </c>
      <c r="D14679" t="s">
        <v>1439</v>
      </c>
      <c r="F14679" t="str" cm="1">
        <f t="array" ref="F14679">CategorizeComment(E14679)</f>
        <v>Other</v>
      </c>
      <c r="G14679" t="str" cm="1">
        <f t="array" ref="G14679">SubCategorizeComment(E14679)</f>
        <v>Other</v>
      </c>
    </row>
    <row r="14680" spans="1:7" x14ac:dyDescent="0.25">
      <c r="A14680">
        <v>95875</v>
      </c>
      <c r="B14680" t="s">
        <v>4</v>
      </c>
      <c r="C14680">
        <v>4</v>
      </c>
      <c r="D14680" t="s">
        <v>1661</v>
      </c>
      <c r="F14680" t="str" cm="1">
        <f t="array" ref="F14680">CategorizeComment(E14680)</f>
        <v>Other</v>
      </c>
      <c r="G14680" t="str" cm="1">
        <f t="array" ref="G14680">SubCategorizeComment(E14680)</f>
        <v>Other</v>
      </c>
    </row>
    <row r="14681" spans="1:7" x14ac:dyDescent="0.25">
      <c r="A14681">
        <v>110046</v>
      </c>
      <c r="B14681" t="s">
        <v>4</v>
      </c>
      <c r="C14681">
        <v>3</v>
      </c>
      <c r="D14681" t="s">
        <v>1882</v>
      </c>
      <c r="F14681" t="str" cm="1">
        <f t="array" ref="F14681">CategorizeComment(E14681)</f>
        <v>Other</v>
      </c>
      <c r="G14681" t="str" cm="1">
        <f t="array" ref="G14681">SubCategorizeComment(E14681)</f>
        <v>Other</v>
      </c>
    </row>
    <row r="14682" spans="1:7" x14ac:dyDescent="0.25">
      <c r="A14682">
        <v>34536</v>
      </c>
      <c r="B14682" t="s">
        <v>4</v>
      </c>
      <c r="C14682">
        <v>4</v>
      </c>
      <c r="D14682" t="s">
        <v>658</v>
      </c>
      <c r="F14682" t="str" cm="1">
        <f t="array" ref="F14682">CategorizeComment(E14682)</f>
        <v>Other</v>
      </c>
      <c r="G14682" t="str" cm="1">
        <f t="array" ref="G14682">SubCategorizeComment(E14682)</f>
        <v>Other</v>
      </c>
    </row>
    <row r="14683" spans="1:7" x14ac:dyDescent="0.25">
      <c r="A14683">
        <v>119721</v>
      </c>
      <c r="B14683" t="s">
        <v>4</v>
      </c>
      <c r="C14683">
        <v>3</v>
      </c>
      <c r="D14683" t="s">
        <v>2019</v>
      </c>
      <c r="F14683" t="str" cm="1">
        <f t="array" ref="F14683">CategorizeComment(E14683)</f>
        <v>Other</v>
      </c>
      <c r="G14683" t="str" cm="1">
        <f t="array" ref="G14683">SubCategorizeComment(E14683)</f>
        <v>Other</v>
      </c>
    </row>
    <row r="14684" spans="1:7" x14ac:dyDescent="0.25">
      <c r="A14684">
        <v>118826</v>
      </c>
      <c r="B14684" t="s">
        <v>4</v>
      </c>
      <c r="C14684">
        <v>3</v>
      </c>
      <c r="D14684" t="s">
        <v>2011</v>
      </c>
      <c r="F14684" t="str" cm="1">
        <f t="array" ref="F14684">CategorizeComment(E14684)</f>
        <v>Other</v>
      </c>
      <c r="G14684" t="str" cm="1">
        <f t="array" ref="G14684">SubCategorizeComment(E14684)</f>
        <v>Other</v>
      </c>
    </row>
    <row r="14685" spans="1:7" x14ac:dyDescent="0.25">
      <c r="A14685">
        <v>50198</v>
      </c>
      <c r="B14685" t="s">
        <v>4</v>
      </c>
      <c r="C14685">
        <v>4</v>
      </c>
      <c r="D14685" t="s">
        <v>938</v>
      </c>
      <c r="F14685" t="str" cm="1">
        <f t="array" ref="F14685">CategorizeComment(E14685)</f>
        <v>Other</v>
      </c>
      <c r="G14685" t="str" cm="1">
        <f t="array" ref="G14685">SubCategorizeComment(E14685)</f>
        <v>Other</v>
      </c>
    </row>
    <row r="14686" spans="1:7" x14ac:dyDescent="0.25">
      <c r="A14686">
        <v>110015</v>
      </c>
      <c r="B14686" t="s">
        <v>4</v>
      </c>
      <c r="C14686">
        <v>4</v>
      </c>
      <c r="D14686" t="s">
        <v>1879</v>
      </c>
      <c r="F14686" t="str" cm="1">
        <f t="array" ref="F14686">CategorizeComment(E14686)</f>
        <v>Other</v>
      </c>
      <c r="G14686" t="str" cm="1">
        <f t="array" ref="G14686">SubCategorizeComment(E14686)</f>
        <v>Other</v>
      </c>
    </row>
    <row r="14687" spans="1:7" x14ac:dyDescent="0.25">
      <c r="A14687">
        <v>91217</v>
      </c>
      <c r="B14687" t="s">
        <v>4</v>
      </c>
      <c r="C14687">
        <v>3</v>
      </c>
      <c r="D14687" t="s">
        <v>1592</v>
      </c>
      <c r="F14687" t="str" cm="1">
        <f t="array" ref="F14687">CategorizeComment(E14687)</f>
        <v>Other</v>
      </c>
      <c r="G14687" t="str" cm="1">
        <f t="array" ref="G14687">SubCategorizeComment(E14687)</f>
        <v>Other</v>
      </c>
    </row>
    <row r="14688" spans="1:7" x14ac:dyDescent="0.25">
      <c r="A14688">
        <v>50798</v>
      </c>
      <c r="B14688" t="s">
        <v>4</v>
      </c>
      <c r="C14688">
        <v>3</v>
      </c>
      <c r="D14688" t="s">
        <v>957</v>
      </c>
      <c r="F14688" t="str" cm="1">
        <f t="array" ref="F14688">CategorizeComment(E14688)</f>
        <v>Other</v>
      </c>
      <c r="G14688" t="str" cm="1">
        <f t="array" ref="G14688">SubCategorizeComment(E14688)</f>
        <v>Other</v>
      </c>
    </row>
    <row r="14689" spans="1:7" x14ac:dyDescent="0.25">
      <c r="A14689">
        <v>115538</v>
      </c>
      <c r="B14689" t="s">
        <v>4</v>
      </c>
      <c r="C14689">
        <v>4</v>
      </c>
      <c r="D14689" t="s">
        <v>1958</v>
      </c>
      <c r="F14689" t="str" cm="1">
        <f t="array" ref="F14689">CategorizeComment(E14689)</f>
        <v>Other</v>
      </c>
      <c r="G14689" t="str" cm="1">
        <f t="array" ref="G14689">SubCategorizeComment(E14689)</f>
        <v>Other</v>
      </c>
    </row>
    <row r="14690" spans="1:7" x14ac:dyDescent="0.25">
      <c r="A14690">
        <v>46543</v>
      </c>
      <c r="B14690" t="s">
        <v>4</v>
      </c>
      <c r="C14690">
        <v>3</v>
      </c>
      <c r="D14690" t="s">
        <v>883</v>
      </c>
      <c r="F14690" t="str" cm="1">
        <f t="array" ref="F14690">CategorizeComment(E14690)</f>
        <v>Other</v>
      </c>
      <c r="G14690" t="str" cm="1">
        <f t="array" ref="G14690">SubCategorizeComment(E14690)</f>
        <v>Other</v>
      </c>
    </row>
    <row r="14691" spans="1:7" x14ac:dyDescent="0.25">
      <c r="A14691">
        <v>38760</v>
      </c>
      <c r="B14691" t="s">
        <v>4</v>
      </c>
      <c r="C14691">
        <v>4</v>
      </c>
      <c r="D14691" t="s">
        <v>745</v>
      </c>
      <c r="F14691" t="str" cm="1">
        <f t="array" ref="F14691">CategorizeComment(E14691)</f>
        <v>Other</v>
      </c>
      <c r="G14691" t="str" cm="1">
        <f t="array" ref="G14691">SubCategorizeComment(E14691)</f>
        <v>Other</v>
      </c>
    </row>
    <row r="14692" spans="1:7" x14ac:dyDescent="0.25">
      <c r="A14692">
        <v>114565</v>
      </c>
      <c r="B14692" t="s">
        <v>4</v>
      </c>
      <c r="C14692">
        <v>3</v>
      </c>
      <c r="D14692" t="s">
        <v>1948</v>
      </c>
      <c r="F14692" t="str" cm="1">
        <f t="array" ref="F14692">CategorizeComment(E14692)</f>
        <v>Other</v>
      </c>
      <c r="G14692" t="str" cm="1">
        <f t="array" ref="G14692">SubCategorizeComment(E14692)</f>
        <v>Other</v>
      </c>
    </row>
    <row r="14693" spans="1:7" x14ac:dyDescent="0.25">
      <c r="A14693">
        <v>18778</v>
      </c>
      <c r="B14693" t="s">
        <v>4</v>
      </c>
      <c r="C14693">
        <v>3</v>
      </c>
      <c r="D14693" t="s">
        <v>375</v>
      </c>
      <c r="F14693" t="str" cm="1">
        <f t="array" ref="F14693">CategorizeComment(E14693)</f>
        <v>Other</v>
      </c>
      <c r="G14693" t="str" cm="1">
        <f t="array" ref="G14693">SubCategorizeComment(E14693)</f>
        <v>Other</v>
      </c>
    </row>
    <row r="14694" spans="1:7" x14ac:dyDescent="0.25">
      <c r="A14694">
        <v>54415</v>
      </c>
      <c r="B14694" t="s">
        <v>4</v>
      </c>
      <c r="C14694">
        <v>4</v>
      </c>
      <c r="D14694" t="s">
        <v>1018</v>
      </c>
      <c r="F14694" t="str" cm="1">
        <f t="array" ref="F14694">CategorizeComment(E14694)</f>
        <v>Other</v>
      </c>
      <c r="G14694" t="str" cm="1">
        <f t="array" ref="G14694">SubCategorizeComment(E14694)</f>
        <v>Other</v>
      </c>
    </row>
    <row r="14695" spans="1:7" x14ac:dyDescent="0.25">
      <c r="A14695">
        <v>97488</v>
      </c>
      <c r="B14695" t="s">
        <v>4</v>
      </c>
      <c r="C14695">
        <v>4</v>
      </c>
      <c r="D14695" t="s">
        <v>1689</v>
      </c>
      <c r="F14695" t="str" cm="1">
        <f t="array" ref="F14695">CategorizeComment(E14695)</f>
        <v>Other</v>
      </c>
      <c r="G14695" t="str" cm="1">
        <f t="array" ref="G14695">SubCategorizeComment(E14695)</f>
        <v>Other</v>
      </c>
    </row>
    <row r="14696" spans="1:7" x14ac:dyDescent="0.25">
      <c r="A14696">
        <v>31993</v>
      </c>
      <c r="B14696" t="s">
        <v>4</v>
      </c>
      <c r="C14696">
        <v>4</v>
      </c>
      <c r="D14696" t="s">
        <v>617</v>
      </c>
      <c r="F14696" t="str" cm="1">
        <f t="array" ref="F14696">CategorizeComment(E14696)</f>
        <v>Other</v>
      </c>
      <c r="G14696" t="str" cm="1">
        <f t="array" ref="G14696">SubCategorizeComment(E14696)</f>
        <v>Other</v>
      </c>
    </row>
    <row r="14697" spans="1:7" x14ac:dyDescent="0.25">
      <c r="A14697">
        <v>64046</v>
      </c>
      <c r="B14697" t="s">
        <v>4</v>
      </c>
      <c r="C14697">
        <v>3</v>
      </c>
      <c r="D14697" t="s">
        <v>1193</v>
      </c>
      <c r="F14697" t="str" cm="1">
        <f t="array" ref="F14697">CategorizeComment(E14697)</f>
        <v>Other</v>
      </c>
      <c r="G14697" t="str" cm="1">
        <f t="array" ref="G14697">SubCategorizeComment(E14697)</f>
        <v>Other</v>
      </c>
    </row>
    <row r="14698" spans="1:7" x14ac:dyDescent="0.25">
      <c r="A14698">
        <v>6528</v>
      </c>
      <c r="B14698" t="s">
        <v>4</v>
      </c>
      <c r="C14698">
        <v>3</v>
      </c>
      <c r="D14698" t="s">
        <v>132</v>
      </c>
      <c r="F14698" t="str" cm="1">
        <f t="array" ref="F14698">CategorizeComment(E14698)</f>
        <v>Other</v>
      </c>
      <c r="G14698" t="str" cm="1">
        <f t="array" ref="G14698">SubCategorizeComment(E14698)</f>
        <v>Other</v>
      </c>
    </row>
    <row r="14699" spans="1:7" x14ac:dyDescent="0.25">
      <c r="A14699">
        <v>56674</v>
      </c>
      <c r="B14699" t="s">
        <v>4</v>
      </c>
      <c r="C14699">
        <v>3</v>
      </c>
      <c r="D14699" t="s">
        <v>1058</v>
      </c>
      <c r="F14699" t="str" cm="1">
        <f t="array" ref="F14699">CategorizeComment(E14699)</f>
        <v>Other</v>
      </c>
      <c r="G14699" t="str" cm="1">
        <f t="array" ref="G14699">SubCategorizeComment(E14699)</f>
        <v>Other</v>
      </c>
    </row>
    <row r="14700" spans="1:7" x14ac:dyDescent="0.25">
      <c r="A14700">
        <v>28917</v>
      </c>
      <c r="B14700" t="s">
        <v>4</v>
      </c>
      <c r="C14700">
        <v>4</v>
      </c>
      <c r="D14700" t="s">
        <v>569</v>
      </c>
      <c r="F14700" t="str" cm="1">
        <f t="array" ref="F14700">CategorizeComment(E14700)</f>
        <v>Other</v>
      </c>
      <c r="G14700" t="str" cm="1">
        <f t="array" ref="G14700">SubCategorizeComment(E14700)</f>
        <v>Other</v>
      </c>
    </row>
    <row r="14701" spans="1:7" x14ac:dyDescent="0.25">
      <c r="A14701">
        <v>881</v>
      </c>
      <c r="B14701" t="s">
        <v>4</v>
      </c>
      <c r="C14701">
        <v>4</v>
      </c>
      <c r="D14701" t="s">
        <v>22</v>
      </c>
      <c r="F14701" t="str" cm="1">
        <f t="array" ref="F14701">CategorizeComment(E14701)</f>
        <v>Other</v>
      </c>
      <c r="G14701" t="str" cm="1">
        <f t="array" ref="G14701">SubCategorizeComment(E14701)</f>
        <v>Other</v>
      </c>
    </row>
    <row r="14702" spans="1:7" x14ac:dyDescent="0.25">
      <c r="A14702">
        <v>59891</v>
      </c>
      <c r="B14702" t="s">
        <v>4</v>
      </c>
      <c r="C14702">
        <v>3</v>
      </c>
      <c r="D14702" t="s">
        <v>1117</v>
      </c>
      <c r="F14702" t="str" cm="1">
        <f t="array" ref="F14702">CategorizeComment(E14702)</f>
        <v>Other</v>
      </c>
      <c r="G14702" t="str" cm="1">
        <f t="array" ref="G14702">SubCategorizeComment(E14702)</f>
        <v>Other</v>
      </c>
    </row>
    <row r="14703" spans="1:7" x14ac:dyDescent="0.25">
      <c r="A14703">
        <v>103248</v>
      </c>
      <c r="B14703" t="s">
        <v>4</v>
      </c>
      <c r="C14703">
        <v>3</v>
      </c>
      <c r="D14703" t="s">
        <v>1762</v>
      </c>
      <c r="F14703" t="str" cm="1">
        <f t="array" ref="F14703">CategorizeComment(E14703)</f>
        <v>Other</v>
      </c>
      <c r="G14703" t="str" cm="1">
        <f t="array" ref="G14703">SubCategorizeComment(E14703)</f>
        <v>Other</v>
      </c>
    </row>
    <row r="14704" spans="1:7" x14ac:dyDescent="0.25">
      <c r="A14704">
        <v>3227</v>
      </c>
      <c r="B14704" t="s">
        <v>4</v>
      </c>
      <c r="C14704">
        <v>3</v>
      </c>
      <c r="D14704" t="s">
        <v>65</v>
      </c>
      <c r="F14704" t="str" cm="1">
        <f t="array" ref="F14704">CategorizeComment(E14704)</f>
        <v>Other</v>
      </c>
      <c r="G14704" t="str" cm="1">
        <f t="array" ref="G14704">SubCategorizeComment(E14704)</f>
        <v>Other</v>
      </c>
    </row>
    <row r="14705" spans="1:7" x14ac:dyDescent="0.25">
      <c r="A14705">
        <v>49928</v>
      </c>
      <c r="B14705" t="s">
        <v>4</v>
      </c>
      <c r="C14705">
        <v>4</v>
      </c>
      <c r="D14705" t="s">
        <v>929</v>
      </c>
      <c r="F14705" t="str" cm="1">
        <f t="array" ref="F14705">CategorizeComment(E14705)</f>
        <v>Other</v>
      </c>
      <c r="G14705" t="str" cm="1">
        <f t="array" ref="G14705">SubCategorizeComment(E14705)</f>
        <v>Other</v>
      </c>
    </row>
    <row r="14706" spans="1:7" x14ac:dyDescent="0.25">
      <c r="A14706">
        <v>23086</v>
      </c>
      <c r="B14706" t="s">
        <v>4</v>
      </c>
      <c r="C14706">
        <v>3</v>
      </c>
      <c r="D14706" t="s">
        <v>469</v>
      </c>
      <c r="F14706" t="str" cm="1">
        <f t="array" ref="F14706">CategorizeComment(E14706)</f>
        <v>Other</v>
      </c>
      <c r="G14706" t="str" cm="1">
        <f t="array" ref="G14706">SubCategorizeComment(E14706)</f>
        <v>Other</v>
      </c>
    </row>
    <row r="14707" spans="1:7" x14ac:dyDescent="0.25">
      <c r="A14707">
        <v>101979</v>
      </c>
      <c r="B14707" t="s">
        <v>4</v>
      </c>
      <c r="C14707">
        <v>3</v>
      </c>
      <c r="D14707" t="s">
        <v>1747</v>
      </c>
      <c r="F14707" t="str" cm="1">
        <f t="array" ref="F14707">CategorizeComment(E14707)</f>
        <v>Other</v>
      </c>
      <c r="G14707" t="str" cm="1">
        <f t="array" ref="G14707">SubCategorizeComment(E14707)</f>
        <v>Other</v>
      </c>
    </row>
    <row r="14708" spans="1:7" x14ac:dyDescent="0.25">
      <c r="A14708">
        <v>94385</v>
      </c>
      <c r="B14708" t="s">
        <v>4</v>
      </c>
      <c r="C14708">
        <v>3</v>
      </c>
      <c r="D14708" t="s">
        <v>1642</v>
      </c>
      <c r="F14708" t="str" cm="1">
        <f t="array" ref="F14708">CategorizeComment(E14708)</f>
        <v>Other</v>
      </c>
      <c r="G14708" t="str" cm="1">
        <f t="array" ref="G14708">SubCategorizeComment(E14708)</f>
        <v>Other</v>
      </c>
    </row>
    <row r="14709" spans="1:7" x14ac:dyDescent="0.25">
      <c r="A14709">
        <v>50889</v>
      </c>
      <c r="B14709" t="s">
        <v>4</v>
      </c>
      <c r="C14709">
        <v>3</v>
      </c>
      <c r="D14709" t="s">
        <v>958</v>
      </c>
      <c r="F14709" t="str" cm="1">
        <f t="array" ref="F14709">CategorizeComment(E14709)</f>
        <v>Other</v>
      </c>
      <c r="G14709" t="str" cm="1">
        <f t="array" ref="G14709">SubCategorizeComment(E14709)</f>
        <v>Other</v>
      </c>
    </row>
    <row r="14710" spans="1:7" x14ac:dyDescent="0.25">
      <c r="A14710">
        <v>115700</v>
      </c>
      <c r="B14710" t="s">
        <v>4</v>
      </c>
      <c r="C14710">
        <v>3</v>
      </c>
      <c r="D14710" t="s">
        <v>1963</v>
      </c>
      <c r="F14710" t="str" cm="1">
        <f t="array" ref="F14710">CategorizeComment(E14710)</f>
        <v>Other</v>
      </c>
      <c r="G14710" t="str" cm="1">
        <f t="array" ref="G14710">SubCategorizeComment(E14710)</f>
        <v>Other</v>
      </c>
    </row>
    <row r="14711" spans="1:7" x14ac:dyDescent="0.25">
      <c r="A14711">
        <v>107433</v>
      </c>
      <c r="B14711" t="s">
        <v>4</v>
      </c>
      <c r="C14711">
        <v>4</v>
      </c>
      <c r="D14711" t="s">
        <v>1836</v>
      </c>
      <c r="F14711" t="str" cm="1">
        <f t="array" ref="F14711">CategorizeComment(E14711)</f>
        <v>Other</v>
      </c>
      <c r="G14711" t="str" cm="1">
        <f t="array" ref="G14711">SubCategorizeComment(E14711)</f>
        <v>Other</v>
      </c>
    </row>
    <row r="14712" spans="1:7" x14ac:dyDescent="0.25">
      <c r="A14712">
        <v>28999</v>
      </c>
      <c r="B14712" t="s">
        <v>4</v>
      </c>
      <c r="C14712">
        <v>3</v>
      </c>
      <c r="D14712" t="s">
        <v>574</v>
      </c>
      <c r="F14712" t="str" cm="1">
        <f t="array" ref="F14712">CategorizeComment(E14712)</f>
        <v>Other</v>
      </c>
      <c r="G14712" t="str" cm="1">
        <f t="array" ref="G14712">SubCategorizeComment(E14712)</f>
        <v>Other</v>
      </c>
    </row>
    <row r="14713" spans="1:7" x14ac:dyDescent="0.25">
      <c r="A14713">
        <v>87141</v>
      </c>
      <c r="B14713" t="s">
        <v>4</v>
      </c>
      <c r="C14713">
        <v>4</v>
      </c>
      <c r="D14713" t="s">
        <v>1522</v>
      </c>
      <c r="F14713" t="str" cm="1">
        <f t="array" ref="F14713">CategorizeComment(E14713)</f>
        <v>Other</v>
      </c>
      <c r="G14713" t="str" cm="1">
        <f t="array" ref="G14713">SubCategorizeComment(E14713)</f>
        <v>Other</v>
      </c>
    </row>
    <row r="14714" spans="1:7" x14ac:dyDescent="0.25">
      <c r="A14714">
        <v>66168</v>
      </c>
      <c r="B14714" t="s">
        <v>4</v>
      </c>
      <c r="C14714">
        <v>3</v>
      </c>
      <c r="D14714" t="s">
        <v>1219</v>
      </c>
      <c r="F14714" t="str" cm="1">
        <f t="array" ref="F14714">CategorizeComment(E14714)</f>
        <v>Other</v>
      </c>
      <c r="G14714" t="str" cm="1">
        <f t="array" ref="G14714">SubCategorizeComment(E14714)</f>
        <v>Other</v>
      </c>
    </row>
    <row r="14715" spans="1:7" x14ac:dyDescent="0.25">
      <c r="A14715">
        <v>15450</v>
      </c>
      <c r="B14715" t="s">
        <v>4</v>
      </c>
      <c r="C14715">
        <v>4</v>
      </c>
      <c r="D14715" t="s">
        <v>297</v>
      </c>
      <c r="F14715" t="str" cm="1">
        <f t="array" ref="F14715">CategorizeComment(E14715)</f>
        <v>Other</v>
      </c>
      <c r="G14715" t="str" cm="1">
        <f t="array" ref="G14715">SubCategorizeComment(E14715)</f>
        <v>Other</v>
      </c>
    </row>
    <row r="14716" spans="1:7" x14ac:dyDescent="0.25">
      <c r="A14716">
        <v>109295</v>
      </c>
      <c r="B14716" t="s">
        <v>4</v>
      </c>
      <c r="C14716">
        <v>4</v>
      </c>
      <c r="D14716" t="s">
        <v>1867</v>
      </c>
      <c r="F14716" t="str" cm="1">
        <f t="array" ref="F14716">CategorizeComment(E14716)</f>
        <v>Other</v>
      </c>
      <c r="G14716" t="str" cm="1">
        <f t="array" ref="G14716">SubCategorizeComment(E14716)</f>
        <v>Other</v>
      </c>
    </row>
    <row r="14717" spans="1:7" x14ac:dyDescent="0.25">
      <c r="A14717">
        <v>36537</v>
      </c>
      <c r="B14717" t="s">
        <v>4</v>
      </c>
      <c r="C14717">
        <v>3</v>
      </c>
      <c r="D14717" t="s">
        <v>702</v>
      </c>
      <c r="F14717" t="str" cm="1">
        <f t="array" ref="F14717">CategorizeComment(E14717)</f>
        <v>Other</v>
      </c>
      <c r="G14717" t="str" cm="1">
        <f t="array" ref="G14717">SubCategorizeComment(E14717)</f>
        <v>Other</v>
      </c>
    </row>
    <row r="14718" spans="1:7" x14ac:dyDescent="0.25">
      <c r="A14718">
        <v>32624</v>
      </c>
      <c r="B14718" t="s">
        <v>4</v>
      </c>
      <c r="C14718">
        <v>3</v>
      </c>
      <c r="D14718" t="s">
        <v>627</v>
      </c>
      <c r="F14718" t="str" cm="1">
        <f t="array" ref="F14718">CategorizeComment(E14718)</f>
        <v>Other</v>
      </c>
      <c r="G14718" t="str" cm="1">
        <f t="array" ref="G14718">SubCategorizeComment(E14718)</f>
        <v>Other</v>
      </c>
    </row>
    <row r="14719" spans="1:7" x14ac:dyDescent="0.25">
      <c r="A14719">
        <v>70789</v>
      </c>
      <c r="B14719" t="s">
        <v>4</v>
      </c>
      <c r="C14719">
        <v>1</v>
      </c>
      <c r="D14719" t="s">
        <v>1289</v>
      </c>
      <c r="F14719" t="str" cm="1">
        <f t="array" ref="F14719">CategorizeComment(E14719)</f>
        <v>Other</v>
      </c>
      <c r="G14719" t="str" cm="1">
        <f t="array" ref="G14719">SubCategorizeComment(E14719)</f>
        <v>Other</v>
      </c>
    </row>
    <row r="14720" spans="1:7" x14ac:dyDescent="0.25">
      <c r="A14720">
        <v>90806</v>
      </c>
      <c r="B14720" t="s">
        <v>4</v>
      </c>
      <c r="C14720">
        <v>4</v>
      </c>
      <c r="D14720" t="s">
        <v>1581</v>
      </c>
      <c r="F14720" t="str" cm="1">
        <f t="array" ref="F14720">CategorizeComment(E14720)</f>
        <v>Other</v>
      </c>
      <c r="G14720" t="str" cm="1">
        <f t="array" ref="G14720">SubCategorizeComment(E14720)</f>
        <v>Other</v>
      </c>
    </row>
    <row r="14721" spans="1:7" x14ac:dyDescent="0.25">
      <c r="A14721">
        <v>92474</v>
      </c>
      <c r="B14721" t="s">
        <v>4</v>
      </c>
      <c r="C14721">
        <v>3</v>
      </c>
      <c r="D14721" t="s">
        <v>1614</v>
      </c>
      <c r="F14721" t="str" cm="1">
        <f t="array" ref="F14721">CategorizeComment(E14721)</f>
        <v>Other</v>
      </c>
      <c r="G14721" t="str" cm="1">
        <f t="array" ref="G14721">SubCategorizeComment(E14721)</f>
        <v>Other</v>
      </c>
    </row>
    <row r="14722" spans="1:7" x14ac:dyDescent="0.25">
      <c r="A14722">
        <v>58263</v>
      </c>
      <c r="B14722" t="s">
        <v>4</v>
      </c>
      <c r="C14722">
        <v>4</v>
      </c>
      <c r="D14722" t="s">
        <v>1088</v>
      </c>
      <c r="F14722" t="str" cm="1">
        <f t="array" ref="F14722">CategorizeComment(E14722)</f>
        <v>Other</v>
      </c>
      <c r="G14722" t="str" cm="1">
        <f t="array" ref="G14722">SubCategorizeComment(E14722)</f>
        <v>Other</v>
      </c>
    </row>
    <row r="14723" spans="1:7" x14ac:dyDescent="0.25">
      <c r="A14723">
        <v>34380</v>
      </c>
      <c r="B14723" t="s">
        <v>4</v>
      </c>
      <c r="C14723">
        <v>4</v>
      </c>
      <c r="D14723" t="s">
        <v>655</v>
      </c>
      <c r="F14723" t="str" cm="1">
        <f t="array" ref="F14723">CategorizeComment(E14723)</f>
        <v>Other</v>
      </c>
      <c r="G14723" t="str" cm="1">
        <f t="array" ref="G14723">SubCategorizeComment(E14723)</f>
        <v>Other</v>
      </c>
    </row>
    <row r="14724" spans="1:7" x14ac:dyDescent="0.25">
      <c r="A14724">
        <v>6540</v>
      </c>
      <c r="B14724" t="s">
        <v>4</v>
      </c>
      <c r="C14724">
        <v>3</v>
      </c>
      <c r="D14724" t="s">
        <v>133</v>
      </c>
      <c r="F14724" t="str" cm="1">
        <f t="array" ref="F14724">CategorizeComment(E14724)</f>
        <v>Other</v>
      </c>
      <c r="G14724" t="str" cm="1">
        <f t="array" ref="G14724">SubCategorizeComment(E14724)</f>
        <v>Other</v>
      </c>
    </row>
    <row r="14725" spans="1:7" x14ac:dyDescent="0.25">
      <c r="A14725">
        <v>65292</v>
      </c>
      <c r="B14725" t="s">
        <v>4</v>
      </c>
      <c r="C14725">
        <v>3</v>
      </c>
      <c r="D14725" t="s">
        <v>1211</v>
      </c>
      <c r="F14725" t="str" cm="1">
        <f t="array" ref="F14725">CategorizeComment(E14725)</f>
        <v>Other</v>
      </c>
      <c r="G14725" t="str" cm="1">
        <f t="array" ref="G14725">SubCategorizeComment(E14725)</f>
        <v>Other</v>
      </c>
    </row>
    <row r="14726" spans="1:7" x14ac:dyDescent="0.25">
      <c r="A14726">
        <v>76244</v>
      </c>
      <c r="B14726" t="s">
        <v>4</v>
      </c>
      <c r="C14726">
        <v>4</v>
      </c>
      <c r="D14726" t="s">
        <v>1379</v>
      </c>
      <c r="F14726" t="str" cm="1">
        <f t="array" ref="F14726">CategorizeComment(E14726)</f>
        <v>Other</v>
      </c>
      <c r="G14726" t="str" cm="1">
        <f t="array" ref="G14726">SubCategorizeComment(E14726)</f>
        <v>Other</v>
      </c>
    </row>
    <row r="14727" spans="1:7" x14ac:dyDescent="0.25">
      <c r="A14727">
        <v>78501</v>
      </c>
      <c r="B14727" t="s">
        <v>4</v>
      </c>
      <c r="C14727">
        <v>3</v>
      </c>
      <c r="D14727" t="s">
        <v>1409</v>
      </c>
      <c r="F14727" t="str" cm="1">
        <f t="array" ref="F14727">CategorizeComment(E14727)</f>
        <v>Other</v>
      </c>
      <c r="G14727" t="str" cm="1">
        <f t="array" ref="G14727">SubCategorizeComment(E14727)</f>
        <v>Other</v>
      </c>
    </row>
    <row r="14728" spans="1:7" x14ac:dyDescent="0.25">
      <c r="A14728">
        <v>58344</v>
      </c>
      <c r="B14728" t="s">
        <v>4</v>
      </c>
      <c r="C14728">
        <v>4</v>
      </c>
      <c r="D14728" t="s">
        <v>1089</v>
      </c>
      <c r="F14728" t="str" cm="1">
        <f t="array" ref="F14728">CategorizeComment(E14728)</f>
        <v>Other</v>
      </c>
      <c r="G14728" t="str" cm="1">
        <f t="array" ref="G14728">SubCategorizeComment(E14728)</f>
        <v>Other</v>
      </c>
    </row>
    <row r="14729" spans="1:7" x14ac:dyDescent="0.25">
      <c r="A14729">
        <v>33011</v>
      </c>
      <c r="B14729" t="s">
        <v>4</v>
      </c>
      <c r="C14729">
        <v>3</v>
      </c>
      <c r="D14729" t="s">
        <v>634</v>
      </c>
      <c r="F14729" t="str" cm="1">
        <f t="array" ref="F14729">CategorizeComment(E14729)</f>
        <v>Other</v>
      </c>
      <c r="G14729" t="str" cm="1">
        <f t="array" ref="G14729">SubCategorizeComment(E14729)</f>
        <v>Other</v>
      </c>
    </row>
    <row r="14730" spans="1:7" x14ac:dyDescent="0.25">
      <c r="A14730">
        <v>75725</v>
      </c>
      <c r="B14730" t="s">
        <v>4</v>
      </c>
      <c r="C14730">
        <v>4</v>
      </c>
      <c r="D14730" t="s">
        <v>1369</v>
      </c>
      <c r="F14730" t="str" cm="1">
        <f t="array" ref="F14730">CategorizeComment(E14730)</f>
        <v>Other</v>
      </c>
      <c r="G14730" t="str" cm="1">
        <f t="array" ref="G14730">SubCategorizeComment(E14730)</f>
        <v>Other</v>
      </c>
    </row>
    <row r="14731" spans="1:7" x14ac:dyDescent="0.25">
      <c r="A14731">
        <v>55790</v>
      </c>
      <c r="B14731" t="s">
        <v>4</v>
      </c>
      <c r="C14731">
        <v>3</v>
      </c>
      <c r="D14731" t="s">
        <v>1042</v>
      </c>
      <c r="F14731" t="str" cm="1">
        <f t="array" ref="F14731">CategorizeComment(E14731)</f>
        <v>Other</v>
      </c>
      <c r="G14731" t="str" cm="1">
        <f t="array" ref="G14731">SubCategorizeComment(E14731)</f>
        <v>Other</v>
      </c>
    </row>
    <row r="14732" spans="1:7" x14ac:dyDescent="0.25">
      <c r="A14732">
        <v>17331</v>
      </c>
      <c r="B14732" t="s">
        <v>4</v>
      </c>
      <c r="C14732">
        <v>3</v>
      </c>
      <c r="D14732" t="s">
        <v>342</v>
      </c>
      <c r="F14732" t="str" cm="1">
        <f t="array" ref="F14732">CategorizeComment(E14732)</f>
        <v>Other</v>
      </c>
      <c r="G14732" t="str" cm="1">
        <f t="array" ref="G14732">SubCategorizeComment(E14732)</f>
        <v>Other</v>
      </c>
    </row>
    <row r="14733" spans="1:7" x14ac:dyDescent="0.25">
      <c r="A14733">
        <v>105369</v>
      </c>
      <c r="B14733" t="s">
        <v>4</v>
      </c>
      <c r="C14733">
        <v>3</v>
      </c>
      <c r="D14733" t="s">
        <v>1802</v>
      </c>
      <c r="F14733" t="str" cm="1">
        <f t="array" ref="F14733">CategorizeComment(E14733)</f>
        <v>Other</v>
      </c>
      <c r="G14733" t="str" cm="1">
        <f t="array" ref="G14733">SubCategorizeComment(E14733)</f>
        <v>Other</v>
      </c>
    </row>
    <row r="14734" spans="1:7" x14ac:dyDescent="0.25">
      <c r="A14734">
        <v>55066</v>
      </c>
      <c r="B14734" t="s">
        <v>4</v>
      </c>
      <c r="C14734">
        <v>4</v>
      </c>
      <c r="D14734" t="s">
        <v>1032</v>
      </c>
      <c r="F14734" t="str" cm="1">
        <f t="array" ref="F14734">CategorizeComment(E14734)</f>
        <v>Other</v>
      </c>
      <c r="G14734" t="str" cm="1">
        <f t="array" ref="G14734">SubCategorizeComment(E14734)</f>
        <v>Other</v>
      </c>
    </row>
    <row r="14735" spans="1:7" x14ac:dyDescent="0.25">
      <c r="A14735">
        <v>88958</v>
      </c>
      <c r="B14735" t="s">
        <v>4</v>
      </c>
      <c r="C14735">
        <v>4</v>
      </c>
      <c r="D14735" t="s">
        <v>1552</v>
      </c>
      <c r="F14735" t="str" cm="1">
        <f t="array" ref="F14735">CategorizeComment(E14735)</f>
        <v>Other</v>
      </c>
      <c r="G14735" t="str" cm="1">
        <f t="array" ref="G14735">SubCategorizeComment(E14735)</f>
        <v>Other</v>
      </c>
    </row>
    <row r="14736" spans="1:7" x14ac:dyDescent="0.25">
      <c r="A14736">
        <v>59872</v>
      </c>
      <c r="B14736" t="s">
        <v>4</v>
      </c>
      <c r="C14736">
        <v>4</v>
      </c>
      <c r="D14736" t="s">
        <v>1116</v>
      </c>
      <c r="F14736" t="str" cm="1">
        <f t="array" ref="F14736">CategorizeComment(E14736)</f>
        <v>Other</v>
      </c>
      <c r="G14736" t="str" cm="1">
        <f t="array" ref="G14736">SubCategorizeComment(E14736)</f>
        <v>Other</v>
      </c>
    </row>
    <row r="14737" spans="1:7" x14ac:dyDescent="0.25">
      <c r="A14737">
        <v>106921</v>
      </c>
      <c r="B14737" t="s">
        <v>4</v>
      </c>
      <c r="C14737">
        <v>3</v>
      </c>
      <c r="D14737" t="s">
        <v>1827</v>
      </c>
      <c r="F14737" t="str" cm="1">
        <f t="array" ref="F14737">CategorizeComment(E14737)</f>
        <v>Other</v>
      </c>
      <c r="G14737" t="str" cm="1">
        <f t="array" ref="G14737">SubCategorizeComment(E14737)</f>
        <v>Other</v>
      </c>
    </row>
    <row r="14738" spans="1:7" x14ac:dyDescent="0.25">
      <c r="A14738">
        <v>7114</v>
      </c>
      <c r="B14738" t="s">
        <v>4</v>
      </c>
      <c r="C14738">
        <v>4</v>
      </c>
      <c r="D14738" t="s">
        <v>145</v>
      </c>
      <c r="F14738" t="str" cm="1">
        <f t="array" ref="F14738">CategorizeComment(E14738)</f>
        <v>Other</v>
      </c>
      <c r="G14738" t="str" cm="1">
        <f t="array" ref="G14738">SubCategorizeComment(E14738)</f>
        <v>Other</v>
      </c>
    </row>
    <row r="14739" spans="1:7" x14ac:dyDescent="0.25">
      <c r="A14739">
        <v>67755</v>
      </c>
      <c r="B14739" t="s">
        <v>4</v>
      </c>
      <c r="C14739">
        <v>4</v>
      </c>
      <c r="D14739" t="s">
        <v>1243</v>
      </c>
      <c r="F14739" t="str" cm="1">
        <f t="array" ref="F14739">CategorizeComment(E14739)</f>
        <v>Other</v>
      </c>
      <c r="G14739" t="str" cm="1">
        <f t="array" ref="G14739">SubCategorizeComment(E14739)</f>
        <v>Other</v>
      </c>
    </row>
    <row r="14740" spans="1:7" x14ac:dyDescent="0.25">
      <c r="A14740">
        <v>23858</v>
      </c>
      <c r="B14740" t="s">
        <v>4</v>
      </c>
      <c r="C14740">
        <v>3</v>
      </c>
      <c r="D14740" t="s">
        <v>488</v>
      </c>
      <c r="F14740" t="str" cm="1">
        <f t="array" ref="F14740">CategorizeComment(E14740)</f>
        <v>Other</v>
      </c>
      <c r="G14740" t="str" cm="1">
        <f t="array" ref="G14740">SubCategorizeComment(E14740)</f>
        <v>Other</v>
      </c>
    </row>
    <row r="14741" spans="1:7" x14ac:dyDescent="0.25">
      <c r="A14741">
        <v>121562</v>
      </c>
      <c r="B14741" t="s">
        <v>4</v>
      </c>
      <c r="C14741">
        <v>3</v>
      </c>
      <c r="D14741" t="s">
        <v>2044</v>
      </c>
      <c r="F14741" t="str" cm="1">
        <f t="array" ref="F14741">CategorizeComment(E14741)</f>
        <v>Other</v>
      </c>
      <c r="G14741" t="str" cm="1">
        <f t="array" ref="G14741">SubCategorizeComment(E14741)</f>
        <v>Other</v>
      </c>
    </row>
    <row r="14742" spans="1:7" x14ac:dyDescent="0.25">
      <c r="A14742">
        <v>43709</v>
      </c>
      <c r="B14742" t="s">
        <v>4</v>
      </c>
      <c r="C14742">
        <v>3</v>
      </c>
      <c r="D14742" t="s">
        <v>823</v>
      </c>
      <c r="F14742" t="str" cm="1">
        <f t="array" ref="F14742">CategorizeComment(E14742)</f>
        <v>Other</v>
      </c>
      <c r="G14742" t="str" cm="1">
        <f t="array" ref="G14742">SubCategorizeComment(E14742)</f>
        <v>Other</v>
      </c>
    </row>
    <row r="14743" spans="1:7" x14ac:dyDescent="0.25">
      <c r="A14743">
        <v>82868</v>
      </c>
      <c r="B14743" t="s">
        <v>4</v>
      </c>
      <c r="C14743">
        <v>4</v>
      </c>
      <c r="D14743" t="s">
        <v>1471</v>
      </c>
      <c r="F14743" t="str" cm="1">
        <f t="array" ref="F14743">CategorizeComment(E14743)</f>
        <v>Other</v>
      </c>
      <c r="G14743" t="str" cm="1">
        <f t="array" ref="G14743">SubCategorizeComment(E14743)</f>
        <v>Other</v>
      </c>
    </row>
    <row r="14744" spans="1:7" x14ac:dyDescent="0.25">
      <c r="A14744">
        <v>108530</v>
      </c>
      <c r="B14744" t="s">
        <v>4</v>
      </c>
      <c r="C14744">
        <v>3</v>
      </c>
      <c r="D14744" t="s">
        <v>1851</v>
      </c>
      <c r="F14744" t="str" cm="1">
        <f t="array" ref="F14744">CategorizeComment(E14744)</f>
        <v>Other</v>
      </c>
      <c r="G14744" t="str" cm="1">
        <f t="array" ref="G14744">SubCategorizeComment(E14744)</f>
        <v>Other</v>
      </c>
    </row>
    <row r="14745" spans="1:7" x14ac:dyDescent="0.25">
      <c r="A14745">
        <v>92667</v>
      </c>
      <c r="B14745" t="s">
        <v>4</v>
      </c>
      <c r="C14745">
        <v>4</v>
      </c>
      <c r="D14745" t="s">
        <v>1618</v>
      </c>
      <c r="F14745" t="str" cm="1">
        <f t="array" ref="F14745">CategorizeComment(E14745)</f>
        <v>Other</v>
      </c>
      <c r="G14745" t="str" cm="1">
        <f t="array" ref="G14745">SubCategorizeComment(E14745)</f>
        <v>Other</v>
      </c>
    </row>
    <row r="14746" spans="1:7" x14ac:dyDescent="0.25">
      <c r="A14746">
        <v>34391</v>
      </c>
      <c r="B14746" t="s">
        <v>4</v>
      </c>
      <c r="C14746">
        <v>4</v>
      </c>
      <c r="D14746" t="s">
        <v>656</v>
      </c>
      <c r="F14746" t="str" cm="1">
        <f t="array" ref="F14746">CategorizeComment(E14746)</f>
        <v>Other</v>
      </c>
      <c r="G14746" t="str" cm="1">
        <f t="array" ref="G14746">SubCategorizeComment(E14746)</f>
        <v>Other</v>
      </c>
    </row>
    <row r="14747" spans="1:7" x14ac:dyDescent="0.25">
      <c r="A14747">
        <v>70356</v>
      </c>
      <c r="B14747" t="s">
        <v>4</v>
      </c>
      <c r="C14747">
        <v>4</v>
      </c>
      <c r="D14747" t="s">
        <v>1281</v>
      </c>
      <c r="F14747" t="str" cm="1">
        <f t="array" ref="F14747">CategorizeComment(E14747)</f>
        <v>Other</v>
      </c>
      <c r="G14747" t="str" cm="1">
        <f t="array" ref="G14747">SubCategorizeComment(E14747)</f>
        <v>Other</v>
      </c>
    </row>
    <row r="14748" spans="1:7" x14ac:dyDescent="0.25">
      <c r="A14748">
        <v>36326</v>
      </c>
      <c r="B14748" t="s">
        <v>4</v>
      </c>
      <c r="C14748">
        <v>4</v>
      </c>
      <c r="D14748" t="s">
        <v>694</v>
      </c>
      <c r="F14748" t="str" cm="1">
        <f t="array" ref="F14748">CategorizeComment(E14748)</f>
        <v>Other</v>
      </c>
      <c r="G14748" t="str" cm="1">
        <f t="array" ref="G14748">SubCategorizeComment(E14748)</f>
        <v>Other</v>
      </c>
    </row>
    <row r="14749" spans="1:7" x14ac:dyDescent="0.25">
      <c r="A14749">
        <v>79070</v>
      </c>
      <c r="B14749" t="s">
        <v>4</v>
      </c>
      <c r="C14749">
        <v>3</v>
      </c>
      <c r="D14749" t="s">
        <v>1418</v>
      </c>
      <c r="F14749" t="str" cm="1">
        <f t="array" ref="F14749">CategorizeComment(E14749)</f>
        <v>Other</v>
      </c>
      <c r="G14749" t="str" cm="1">
        <f t="array" ref="G14749">SubCategorizeComment(E14749)</f>
        <v>Other</v>
      </c>
    </row>
    <row r="14750" spans="1:7" x14ac:dyDescent="0.25">
      <c r="A14750">
        <v>23572</v>
      </c>
      <c r="B14750" t="s">
        <v>4</v>
      </c>
      <c r="C14750">
        <v>4</v>
      </c>
      <c r="D14750" t="s">
        <v>481</v>
      </c>
      <c r="F14750" t="str" cm="1">
        <f t="array" ref="F14750">CategorizeComment(E14750)</f>
        <v>Other</v>
      </c>
      <c r="G14750" t="str" cm="1">
        <f t="array" ref="G14750">SubCategorizeComment(E14750)</f>
        <v>Other</v>
      </c>
    </row>
    <row r="14751" spans="1:7" x14ac:dyDescent="0.25">
      <c r="A14751">
        <v>91047</v>
      </c>
      <c r="B14751" t="s">
        <v>4</v>
      </c>
      <c r="C14751">
        <v>4</v>
      </c>
      <c r="D14751" t="s">
        <v>1588</v>
      </c>
      <c r="F14751" t="str" cm="1">
        <f t="array" ref="F14751">CategorizeComment(E14751)</f>
        <v>Other</v>
      </c>
      <c r="G14751" t="str" cm="1">
        <f t="array" ref="G14751">SubCategorizeComment(E14751)</f>
        <v>Other</v>
      </c>
    </row>
    <row r="14752" spans="1:7" x14ac:dyDescent="0.25">
      <c r="A14752">
        <v>28171</v>
      </c>
      <c r="B14752" t="s">
        <v>4</v>
      </c>
      <c r="C14752">
        <v>3</v>
      </c>
      <c r="D14752" t="s">
        <v>559</v>
      </c>
      <c r="F14752" t="str" cm="1">
        <f t="array" ref="F14752">CategorizeComment(E14752)</f>
        <v>Other</v>
      </c>
      <c r="G14752" t="str" cm="1">
        <f t="array" ref="G14752">SubCategorizeComment(E14752)</f>
        <v>Other</v>
      </c>
    </row>
    <row r="14753" spans="1:7" x14ac:dyDescent="0.25">
      <c r="A14753">
        <v>63020</v>
      </c>
      <c r="B14753" t="s">
        <v>4</v>
      </c>
      <c r="C14753">
        <v>4</v>
      </c>
      <c r="D14753" t="s">
        <v>1176</v>
      </c>
      <c r="F14753" t="str" cm="1">
        <f t="array" ref="F14753">CategorizeComment(E14753)</f>
        <v>Other</v>
      </c>
      <c r="G14753" t="str" cm="1">
        <f t="array" ref="G14753">SubCategorizeComment(E14753)</f>
        <v>Other</v>
      </c>
    </row>
    <row r="14754" spans="1:7" x14ac:dyDescent="0.25">
      <c r="A14754">
        <v>51839</v>
      </c>
      <c r="B14754" t="s">
        <v>4</v>
      </c>
      <c r="C14754">
        <v>3</v>
      </c>
      <c r="D14754" t="s">
        <v>970</v>
      </c>
      <c r="F14754" t="str" cm="1">
        <f t="array" ref="F14754">CategorizeComment(E14754)</f>
        <v>Other</v>
      </c>
      <c r="G14754" t="str" cm="1">
        <f t="array" ref="G14754">SubCategorizeComment(E14754)</f>
        <v>Other</v>
      </c>
    </row>
    <row r="14755" spans="1:7" x14ac:dyDescent="0.25">
      <c r="A14755">
        <v>34001</v>
      </c>
      <c r="B14755" t="s">
        <v>4</v>
      </c>
      <c r="C14755">
        <v>3</v>
      </c>
      <c r="D14755" t="s">
        <v>645</v>
      </c>
      <c r="F14755" t="str" cm="1">
        <f t="array" ref="F14755">CategorizeComment(E14755)</f>
        <v>Other</v>
      </c>
      <c r="G14755" t="str" cm="1">
        <f t="array" ref="G14755">SubCategorizeComment(E14755)</f>
        <v>Other</v>
      </c>
    </row>
    <row r="14756" spans="1:7" x14ac:dyDescent="0.25">
      <c r="A14756">
        <v>11727</v>
      </c>
      <c r="B14756" t="s">
        <v>4</v>
      </c>
      <c r="C14756">
        <v>3</v>
      </c>
      <c r="D14756" t="s">
        <v>229</v>
      </c>
      <c r="F14756" t="str" cm="1">
        <f t="array" ref="F14756">CategorizeComment(E14756)</f>
        <v>Other</v>
      </c>
      <c r="G14756" t="str" cm="1">
        <f t="array" ref="G14756">SubCategorizeComment(E14756)</f>
        <v>Other</v>
      </c>
    </row>
    <row r="14757" spans="1:7" x14ac:dyDescent="0.25">
      <c r="A14757">
        <v>6390</v>
      </c>
      <c r="B14757" t="s">
        <v>4</v>
      </c>
      <c r="C14757">
        <v>3</v>
      </c>
      <c r="D14757" t="s">
        <v>128</v>
      </c>
      <c r="F14757" t="str" cm="1">
        <f t="array" ref="F14757">CategorizeComment(E14757)</f>
        <v>Other</v>
      </c>
      <c r="G14757" t="str" cm="1">
        <f t="array" ref="G14757">SubCategorizeComment(E14757)</f>
        <v>Other</v>
      </c>
    </row>
    <row r="14758" spans="1:7" x14ac:dyDescent="0.25">
      <c r="A14758">
        <v>60410</v>
      </c>
      <c r="B14758" t="s">
        <v>4</v>
      </c>
      <c r="C14758">
        <v>4</v>
      </c>
      <c r="D14758" t="s">
        <v>1127</v>
      </c>
      <c r="F14758" t="str" cm="1">
        <f t="array" ref="F14758">CategorizeComment(E14758)</f>
        <v>Other</v>
      </c>
      <c r="G14758" t="str" cm="1">
        <f t="array" ref="G14758">SubCategorizeComment(E14758)</f>
        <v>Other</v>
      </c>
    </row>
    <row r="14759" spans="1:7" x14ac:dyDescent="0.25">
      <c r="A14759">
        <v>23514</v>
      </c>
      <c r="B14759" t="s">
        <v>4</v>
      </c>
      <c r="C14759">
        <v>4</v>
      </c>
      <c r="D14759" t="s">
        <v>479</v>
      </c>
      <c r="F14759" t="str" cm="1">
        <f t="array" ref="F14759">CategorizeComment(E14759)</f>
        <v>Other</v>
      </c>
      <c r="G14759" t="str" cm="1">
        <f t="array" ref="G14759">SubCategorizeComment(E14759)</f>
        <v>Other</v>
      </c>
    </row>
    <row r="14760" spans="1:7" x14ac:dyDescent="0.25">
      <c r="A14760">
        <v>121153</v>
      </c>
      <c r="B14760" t="s">
        <v>4</v>
      </c>
      <c r="C14760">
        <v>3</v>
      </c>
      <c r="D14760" t="s">
        <v>2034</v>
      </c>
      <c r="F14760" t="str" cm="1">
        <f t="array" ref="F14760">CategorizeComment(E14760)</f>
        <v>Other</v>
      </c>
      <c r="G14760" t="str" cm="1">
        <f t="array" ref="G14760">SubCategorizeComment(E14760)</f>
        <v>Other</v>
      </c>
    </row>
    <row r="14761" spans="1:7" x14ac:dyDescent="0.25">
      <c r="A14761">
        <v>7237</v>
      </c>
      <c r="B14761" t="s">
        <v>4</v>
      </c>
      <c r="C14761">
        <v>3</v>
      </c>
      <c r="D14761" t="s">
        <v>148</v>
      </c>
      <c r="F14761" t="str" cm="1">
        <f t="array" ref="F14761">CategorizeComment(E14761)</f>
        <v>Other</v>
      </c>
      <c r="G14761" t="str" cm="1">
        <f t="array" ref="G14761">SubCategorizeComment(E14761)</f>
        <v>Other</v>
      </c>
    </row>
    <row r="14762" spans="1:7" x14ac:dyDescent="0.25">
      <c r="A14762">
        <v>20875</v>
      </c>
      <c r="B14762" t="s">
        <v>4</v>
      </c>
      <c r="C14762">
        <v>3</v>
      </c>
      <c r="D14762" t="s">
        <v>425</v>
      </c>
      <c r="F14762" t="str" cm="1">
        <f t="array" ref="F14762">CategorizeComment(E14762)</f>
        <v>Other</v>
      </c>
      <c r="G14762" t="str" cm="1">
        <f t="array" ref="G14762">SubCategorizeComment(E14762)</f>
        <v>Other</v>
      </c>
    </row>
    <row r="14763" spans="1:7" x14ac:dyDescent="0.25">
      <c r="A14763">
        <v>2195</v>
      </c>
      <c r="B14763" t="s">
        <v>4</v>
      </c>
      <c r="C14763">
        <v>3</v>
      </c>
      <c r="D14763" t="s">
        <v>50</v>
      </c>
      <c r="F14763" t="str" cm="1">
        <f t="array" ref="F14763">CategorizeComment(E14763)</f>
        <v>Other</v>
      </c>
      <c r="G14763" t="str" cm="1">
        <f t="array" ref="G14763">SubCategorizeComment(E14763)</f>
        <v>Other</v>
      </c>
    </row>
    <row r="14764" spans="1:7" x14ac:dyDescent="0.25">
      <c r="A14764">
        <v>18534</v>
      </c>
      <c r="B14764" t="s">
        <v>4</v>
      </c>
      <c r="C14764">
        <v>3</v>
      </c>
      <c r="D14764" t="s">
        <v>367</v>
      </c>
      <c r="F14764" t="str" cm="1">
        <f t="array" ref="F14764">CategorizeComment(E14764)</f>
        <v>Other</v>
      </c>
      <c r="G14764" t="str" cm="1">
        <f t="array" ref="G14764">SubCategorizeComment(E14764)</f>
        <v>Other</v>
      </c>
    </row>
    <row r="14765" spans="1:7" x14ac:dyDescent="0.25">
      <c r="A14765">
        <v>97584</v>
      </c>
      <c r="B14765" t="s">
        <v>4</v>
      </c>
      <c r="C14765">
        <v>4</v>
      </c>
      <c r="D14765" t="s">
        <v>1693</v>
      </c>
      <c r="F14765" t="str" cm="1">
        <f t="array" ref="F14765">CategorizeComment(E14765)</f>
        <v>Other</v>
      </c>
      <c r="G14765" t="str" cm="1">
        <f t="array" ref="G14765">SubCategorizeComment(E14765)</f>
        <v>Other</v>
      </c>
    </row>
    <row r="14766" spans="1:7" x14ac:dyDescent="0.25">
      <c r="A14766">
        <v>10114</v>
      </c>
      <c r="B14766" t="s">
        <v>4</v>
      </c>
      <c r="C14766">
        <v>4</v>
      </c>
      <c r="D14766" t="s">
        <v>202</v>
      </c>
      <c r="F14766" t="str" cm="1">
        <f t="array" ref="F14766">CategorizeComment(E14766)</f>
        <v>Other</v>
      </c>
      <c r="G14766" t="str" cm="1">
        <f t="array" ref="G14766">SubCategorizeComment(E14766)</f>
        <v>Other</v>
      </c>
    </row>
    <row r="14767" spans="1:7" x14ac:dyDescent="0.25">
      <c r="A14767">
        <v>17355</v>
      </c>
      <c r="B14767" t="s">
        <v>4</v>
      </c>
      <c r="C14767">
        <v>3</v>
      </c>
      <c r="D14767" t="s">
        <v>344</v>
      </c>
      <c r="F14767" t="str" cm="1">
        <f t="array" ref="F14767">CategorizeComment(E14767)</f>
        <v>Other</v>
      </c>
      <c r="G14767" t="str" cm="1">
        <f t="array" ref="G14767">SubCategorizeComment(E14767)</f>
        <v>Other</v>
      </c>
    </row>
    <row r="14768" spans="1:7" x14ac:dyDescent="0.25">
      <c r="A14768">
        <v>16630</v>
      </c>
      <c r="B14768" t="s">
        <v>4</v>
      </c>
      <c r="C14768">
        <v>3</v>
      </c>
      <c r="D14768" t="s">
        <v>325</v>
      </c>
      <c r="F14768" t="str" cm="1">
        <f t="array" ref="F14768">CategorizeComment(E14768)</f>
        <v>Other</v>
      </c>
      <c r="G14768" t="str" cm="1">
        <f t="array" ref="G14768">SubCategorizeComment(E14768)</f>
        <v>Other</v>
      </c>
    </row>
    <row r="14769" spans="1:7" x14ac:dyDescent="0.25">
      <c r="A14769">
        <v>106128</v>
      </c>
      <c r="B14769" t="s">
        <v>4</v>
      </c>
      <c r="C14769">
        <v>4</v>
      </c>
      <c r="D14769" t="s">
        <v>1811</v>
      </c>
      <c r="F14769" t="str" cm="1">
        <f t="array" ref="F14769">CategorizeComment(E14769)</f>
        <v>Other</v>
      </c>
      <c r="G14769" t="str" cm="1">
        <f t="array" ref="G14769">SubCategorizeComment(E14769)</f>
        <v>Other</v>
      </c>
    </row>
    <row r="14770" spans="1:7" x14ac:dyDescent="0.25">
      <c r="A14770">
        <v>57265</v>
      </c>
      <c r="B14770" t="s">
        <v>4</v>
      </c>
      <c r="C14770">
        <v>3</v>
      </c>
      <c r="D14770" t="s">
        <v>1070</v>
      </c>
      <c r="F14770" t="str" cm="1">
        <f t="array" ref="F14770">CategorizeComment(E14770)</f>
        <v>Other</v>
      </c>
      <c r="G14770" t="str" cm="1">
        <f t="array" ref="G14770">SubCategorizeComment(E14770)</f>
        <v>Other</v>
      </c>
    </row>
    <row r="14771" spans="1:7" x14ac:dyDescent="0.25">
      <c r="A14771">
        <v>6469</v>
      </c>
      <c r="B14771" t="s">
        <v>4</v>
      </c>
      <c r="C14771">
        <v>4</v>
      </c>
      <c r="D14771" t="s">
        <v>130</v>
      </c>
      <c r="F14771" t="str" cm="1">
        <f t="array" ref="F14771">CategorizeComment(E14771)</f>
        <v>Other</v>
      </c>
      <c r="G14771" t="str" cm="1">
        <f t="array" ref="G14771">SubCategorizeComment(E14771)</f>
        <v>Other</v>
      </c>
    </row>
    <row r="14772" spans="1:7" x14ac:dyDescent="0.25">
      <c r="A14772">
        <v>42494</v>
      </c>
      <c r="B14772" t="s">
        <v>4</v>
      </c>
      <c r="C14772">
        <v>3</v>
      </c>
      <c r="D14772" t="s">
        <v>798</v>
      </c>
      <c r="F14772" t="str" cm="1">
        <f t="array" ref="F14772">CategorizeComment(E14772)</f>
        <v>Other</v>
      </c>
      <c r="G14772" t="str" cm="1">
        <f t="array" ref="G14772">SubCategorizeComment(E14772)</f>
        <v>Other</v>
      </c>
    </row>
    <row r="14773" spans="1:7" x14ac:dyDescent="0.25">
      <c r="A14773">
        <v>3561</v>
      </c>
      <c r="B14773" t="s">
        <v>4</v>
      </c>
      <c r="C14773">
        <v>4</v>
      </c>
      <c r="D14773" t="s">
        <v>74</v>
      </c>
      <c r="F14773" t="str" cm="1">
        <f t="array" ref="F14773">CategorizeComment(E14773)</f>
        <v>Other</v>
      </c>
      <c r="G14773" t="str" cm="1">
        <f t="array" ref="G14773">SubCategorizeComment(E14773)</f>
        <v>Other</v>
      </c>
    </row>
    <row r="14774" spans="1:7" x14ac:dyDescent="0.25">
      <c r="A14774">
        <v>48535</v>
      </c>
      <c r="B14774" t="s">
        <v>4</v>
      </c>
      <c r="C14774">
        <v>4</v>
      </c>
      <c r="D14774" t="s">
        <v>911</v>
      </c>
      <c r="F14774" t="str" cm="1">
        <f t="array" ref="F14774">CategorizeComment(E14774)</f>
        <v>Other</v>
      </c>
      <c r="G14774" t="str" cm="1">
        <f t="array" ref="G14774">SubCategorizeComment(E14774)</f>
        <v>Other</v>
      </c>
    </row>
    <row r="14775" spans="1:7" x14ac:dyDescent="0.25">
      <c r="A14775">
        <v>3543</v>
      </c>
      <c r="B14775" t="s">
        <v>4</v>
      </c>
      <c r="C14775">
        <v>3</v>
      </c>
      <c r="D14775" t="s">
        <v>72</v>
      </c>
      <c r="F14775" t="str" cm="1">
        <f t="array" ref="F14775">CategorizeComment(E14775)</f>
        <v>Other</v>
      </c>
      <c r="G14775" t="str" cm="1">
        <f t="array" ref="G14775">SubCategorizeComment(E14775)</f>
        <v>Other</v>
      </c>
    </row>
    <row r="14776" spans="1:7" x14ac:dyDescent="0.25">
      <c r="A14776">
        <v>51489</v>
      </c>
      <c r="B14776" t="s">
        <v>4</v>
      </c>
      <c r="C14776">
        <v>4</v>
      </c>
      <c r="D14776" t="s">
        <v>965</v>
      </c>
      <c r="F14776" t="str" cm="1">
        <f t="array" ref="F14776">CategorizeComment(E14776)</f>
        <v>Other</v>
      </c>
      <c r="G14776" t="str" cm="1">
        <f t="array" ref="G14776">SubCategorizeComment(E14776)</f>
        <v>Other</v>
      </c>
    </row>
    <row r="14777" spans="1:7" x14ac:dyDescent="0.25">
      <c r="A14777">
        <v>19700</v>
      </c>
      <c r="B14777" t="s">
        <v>4</v>
      </c>
      <c r="C14777">
        <v>3</v>
      </c>
      <c r="D14777" t="s">
        <v>399</v>
      </c>
      <c r="F14777" t="str" cm="1">
        <f t="array" ref="F14777">CategorizeComment(E14777)</f>
        <v>Other</v>
      </c>
      <c r="G14777" t="str" cm="1">
        <f t="array" ref="G14777">SubCategorizeComment(E14777)</f>
        <v>Other</v>
      </c>
    </row>
    <row r="14778" spans="1:7" x14ac:dyDescent="0.25">
      <c r="A14778">
        <v>79057</v>
      </c>
      <c r="B14778" t="s">
        <v>4</v>
      </c>
      <c r="C14778">
        <v>3</v>
      </c>
      <c r="D14778" t="s">
        <v>1417</v>
      </c>
      <c r="F14778" t="str" cm="1">
        <f t="array" ref="F14778">CategorizeComment(E14778)</f>
        <v>Other</v>
      </c>
      <c r="G14778" t="str" cm="1">
        <f t="array" ref="G14778">SubCategorizeComment(E14778)</f>
        <v>Other</v>
      </c>
    </row>
    <row r="14779" spans="1:7" x14ac:dyDescent="0.25">
      <c r="A14779">
        <v>12509</v>
      </c>
      <c r="B14779" t="s">
        <v>4</v>
      </c>
      <c r="C14779">
        <v>3</v>
      </c>
      <c r="D14779" t="s">
        <v>248</v>
      </c>
      <c r="F14779" t="str" cm="1">
        <f t="array" ref="F14779">CategorizeComment(E14779)</f>
        <v>Other</v>
      </c>
      <c r="G14779" t="str" cm="1">
        <f t="array" ref="G14779">SubCategorizeComment(E14779)</f>
        <v>Other</v>
      </c>
    </row>
    <row r="14780" spans="1:7" x14ac:dyDescent="0.25">
      <c r="A14780">
        <v>37126</v>
      </c>
      <c r="B14780" t="s">
        <v>4</v>
      </c>
      <c r="C14780">
        <v>4</v>
      </c>
      <c r="D14780" t="s">
        <v>711</v>
      </c>
      <c r="F14780" t="str" cm="1">
        <f t="array" ref="F14780">CategorizeComment(E14780)</f>
        <v>Other</v>
      </c>
      <c r="G14780" t="str" cm="1">
        <f t="array" ref="G14780">SubCategorizeComment(E14780)</f>
        <v>Other</v>
      </c>
    </row>
    <row r="14781" spans="1:7" x14ac:dyDescent="0.25">
      <c r="A14781">
        <v>39919</v>
      </c>
      <c r="B14781" t="s">
        <v>4</v>
      </c>
      <c r="C14781">
        <v>4</v>
      </c>
      <c r="D14781" t="s">
        <v>761</v>
      </c>
      <c r="F14781" t="str" cm="1">
        <f t="array" ref="F14781">CategorizeComment(E14781)</f>
        <v>Other</v>
      </c>
      <c r="G14781" t="str" cm="1">
        <f t="array" ref="G14781">SubCategorizeComment(E14781)</f>
        <v>Other</v>
      </c>
    </row>
    <row r="14782" spans="1:7" x14ac:dyDescent="0.25">
      <c r="A14782">
        <v>8427</v>
      </c>
      <c r="B14782" t="s">
        <v>4</v>
      </c>
      <c r="C14782">
        <v>3</v>
      </c>
      <c r="D14782" t="s">
        <v>167</v>
      </c>
      <c r="F14782" t="str" cm="1">
        <f t="array" ref="F14782">CategorizeComment(E14782)</f>
        <v>Other</v>
      </c>
      <c r="G14782" t="str" cm="1">
        <f t="array" ref="G14782">SubCategorizeComment(E14782)</f>
        <v>Other</v>
      </c>
    </row>
    <row r="14783" spans="1:7" x14ac:dyDescent="0.25">
      <c r="A14783">
        <v>106884</v>
      </c>
      <c r="B14783" t="s">
        <v>4</v>
      </c>
      <c r="C14783">
        <v>4</v>
      </c>
      <c r="D14783" t="s">
        <v>1826</v>
      </c>
      <c r="F14783" t="str" cm="1">
        <f t="array" ref="F14783">CategorizeComment(E14783)</f>
        <v>Other</v>
      </c>
      <c r="G14783" t="str" cm="1">
        <f t="array" ref="G14783">SubCategorizeComment(E14783)</f>
        <v>Other</v>
      </c>
    </row>
    <row r="14784" spans="1:7" x14ac:dyDescent="0.25">
      <c r="A14784">
        <v>39013</v>
      </c>
      <c r="B14784" t="s">
        <v>4</v>
      </c>
      <c r="C14784">
        <v>4</v>
      </c>
      <c r="D14784" t="s">
        <v>749</v>
      </c>
      <c r="F14784" t="str" cm="1">
        <f t="array" ref="F14784">CategorizeComment(E14784)</f>
        <v>Other</v>
      </c>
      <c r="G14784" t="str" cm="1">
        <f t="array" ref="G14784">SubCategorizeComment(E14784)</f>
        <v>Other</v>
      </c>
    </row>
    <row r="14785" spans="1:7" x14ac:dyDescent="0.25">
      <c r="A14785">
        <v>79947</v>
      </c>
      <c r="B14785" t="s">
        <v>4</v>
      </c>
      <c r="C14785">
        <v>4</v>
      </c>
      <c r="D14785" t="s">
        <v>1432</v>
      </c>
      <c r="F14785" t="str" cm="1">
        <f t="array" ref="F14785">CategorizeComment(E14785)</f>
        <v>Other</v>
      </c>
      <c r="G14785" t="str" cm="1">
        <f t="array" ref="G14785">SubCategorizeComment(E14785)</f>
        <v>Other</v>
      </c>
    </row>
    <row r="14786" spans="1:7" x14ac:dyDescent="0.25">
      <c r="A14786">
        <v>3867</v>
      </c>
      <c r="B14786" t="s">
        <v>4</v>
      </c>
      <c r="C14786">
        <v>4</v>
      </c>
      <c r="D14786" t="s">
        <v>84</v>
      </c>
      <c r="F14786" t="str" cm="1">
        <f t="array" ref="F14786">CategorizeComment(E14786)</f>
        <v>Other</v>
      </c>
      <c r="G14786" t="str" cm="1">
        <f t="array" ref="G14786">SubCategorizeComment(E14786)</f>
        <v>Other</v>
      </c>
    </row>
    <row r="14787" spans="1:7" x14ac:dyDescent="0.25">
      <c r="A14787">
        <v>28918</v>
      </c>
      <c r="B14787" t="s">
        <v>4</v>
      </c>
      <c r="C14787">
        <v>3</v>
      </c>
      <c r="D14787" t="s">
        <v>570</v>
      </c>
      <c r="F14787" t="str" cm="1">
        <f t="array" ref="F14787">CategorizeComment(E14787)</f>
        <v>Other</v>
      </c>
      <c r="G14787" t="str" cm="1">
        <f t="array" ref="G14787">SubCategorizeComment(E14787)</f>
        <v>Other</v>
      </c>
    </row>
    <row r="14788" spans="1:7" x14ac:dyDescent="0.25">
      <c r="A14788">
        <v>103850</v>
      </c>
      <c r="B14788" t="s">
        <v>4</v>
      </c>
      <c r="C14788">
        <v>3</v>
      </c>
      <c r="D14788" t="s">
        <v>1768</v>
      </c>
      <c r="F14788" t="str" cm="1">
        <f t="array" ref="F14788">CategorizeComment(E14788)</f>
        <v>Other</v>
      </c>
      <c r="G14788" t="str" cm="1">
        <f t="array" ref="G14788">SubCategorizeComment(E14788)</f>
        <v>Other</v>
      </c>
    </row>
    <row r="14789" spans="1:7" x14ac:dyDescent="0.25">
      <c r="A14789">
        <v>92750</v>
      </c>
      <c r="B14789" t="s">
        <v>4</v>
      </c>
      <c r="C14789">
        <v>4</v>
      </c>
      <c r="D14789" t="s">
        <v>1620</v>
      </c>
      <c r="F14789" t="str" cm="1">
        <f t="array" ref="F14789">CategorizeComment(E14789)</f>
        <v>Other</v>
      </c>
      <c r="G14789" t="str" cm="1">
        <f t="array" ref="G14789">SubCategorizeComment(E14789)</f>
        <v>Other</v>
      </c>
    </row>
    <row r="14790" spans="1:7" x14ac:dyDescent="0.25">
      <c r="A14790">
        <v>36197</v>
      </c>
      <c r="B14790" t="s">
        <v>4</v>
      </c>
      <c r="C14790">
        <v>3</v>
      </c>
      <c r="D14790" t="s">
        <v>692</v>
      </c>
      <c r="F14790" t="str" cm="1">
        <f t="array" ref="F14790">CategorizeComment(E14790)</f>
        <v>Other</v>
      </c>
      <c r="G14790" t="str" cm="1">
        <f t="array" ref="G14790">SubCategorizeComment(E14790)</f>
        <v>Other</v>
      </c>
    </row>
    <row r="14791" spans="1:7" x14ac:dyDescent="0.25">
      <c r="A14791">
        <v>79308</v>
      </c>
      <c r="B14791" t="s">
        <v>4</v>
      </c>
      <c r="C14791">
        <v>3</v>
      </c>
      <c r="D14791" t="s">
        <v>1423</v>
      </c>
      <c r="F14791" t="str" cm="1">
        <f t="array" ref="F14791">CategorizeComment(E14791)</f>
        <v>Other</v>
      </c>
      <c r="G14791" t="str" cm="1">
        <f t="array" ref="G14791">SubCategorizeComment(E14791)</f>
        <v>Other</v>
      </c>
    </row>
    <row r="14792" spans="1:7" x14ac:dyDescent="0.25">
      <c r="A14792">
        <v>40227</v>
      </c>
      <c r="B14792" t="s">
        <v>4</v>
      </c>
      <c r="C14792">
        <v>4</v>
      </c>
      <c r="D14792" t="s">
        <v>766</v>
      </c>
      <c r="F14792" t="str" cm="1">
        <f t="array" ref="F14792">CategorizeComment(E14792)</f>
        <v>Other</v>
      </c>
      <c r="G14792" t="str" cm="1">
        <f t="array" ref="G14792">SubCategorizeComment(E14792)</f>
        <v>Other</v>
      </c>
    </row>
    <row r="14793" spans="1:7" x14ac:dyDescent="0.25">
      <c r="A14793">
        <v>23092</v>
      </c>
      <c r="B14793" t="s">
        <v>4</v>
      </c>
      <c r="C14793">
        <v>3</v>
      </c>
      <c r="D14793" t="s">
        <v>470</v>
      </c>
      <c r="F14793" t="str" cm="1">
        <f t="array" ref="F14793">CategorizeComment(E14793)</f>
        <v>Other</v>
      </c>
      <c r="G14793" t="str" cm="1">
        <f t="array" ref="G14793">SubCategorizeComment(E14793)</f>
        <v>Other</v>
      </c>
    </row>
    <row r="14794" spans="1:7" x14ac:dyDescent="0.25">
      <c r="A14794">
        <v>22171</v>
      </c>
      <c r="B14794" t="s">
        <v>4</v>
      </c>
      <c r="C14794">
        <v>3</v>
      </c>
      <c r="D14794" t="s">
        <v>455</v>
      </c>
      <c r="F14794" t="str" cm="1">
        <f t="array" ref="F14794">CategorizeComment(E14794)</f>
        <v>Other</v>
      </c>
      <c r="G14794" t="str" cm="1">
        <f t="array" ref="G14794">SubCategorizeComment(E14794)</f>
        <v>Other</v>
      </c>
    </row>
    <row r="14795" spans="1:7" x14ac:dyDescent="0.25">
      <c r="A14795">
        <v>59586</v>
      </c>
      <c r="B14795" t="s">
        <v>4</v>
      </c>
      <c r="C14795">
        <v>4</v>
      </c>
      <c r="D14795" t="s">
        <v>1111</v>
      </c>
      <c r="F14795" t="str" cm="1">
        <f t="array" ref="F14795">CategorizeComment(E14795)</f>
        <v>Other</v>
      </c>
      <c r="G14795" t="str" cm="1">
        <f t="array" ref="G14795">SubCategorizeComment(E14795)</f>
        <v>Other</v>
      </c>
    </row>
    <row r="14796" spans="1:7" x14ac:dyDescent="0.25">
      <c r="A14796">
        <v>89487</v>
      </c>
      <c r="B14796" t="s">
        <v>4</v>
      </c>
      <c r="C14796">
        <v>3</v>
      </c>
      <c r="D14796" t="s">
        <v>1562</v>
      </c>
      <c r="F14796" t="str" cm="1">
        <f t="array" ref="F14796">CategorizeComment(E14796)</f>
        <v>Other</v>
      </c>
      <c r="G14796" t="str" cm="1">
        <f t="array" ref="G14796">SubCategorizeComment(E14796)</f>
        <v>Other</v>
      </c>
    </row>
    <row r="14797" spans="1:7" x14ac:dyDescent="0.25">
      <c r="A14797">
        <v>91921</v>
      </c>
      <c r="B14797" t="s">
        <v>4</v>
      </c>
      <c r="C14797">
        <v>4</v>
      </c>
      <c r="D14797" t="s">
        <v>1604</v>
      </c>
      <c r="F14797" t="str" cm="1">
        <f t="array" ref="F14797">CategorizeComment(E14797)</f>
        <v>Other</v>
      </c>
      <c r="G14797" t="str" cm="1">
        <f t="array" ref="G14797">SubCategorizeComment(E14797)</f>
        <v>Other</v>
      </c>
    </row>
    <row r="14798" spans="1:7" x14ac:dyDescent="0.25">
      <c r="A14798">
        <v>40375</v>
      </c>
      <c r="B14798" t="s">
        <v>4</v>
      </c>
      <c r="C14798">
        <v>3</v>
      </c>
      <c r="D14798" t="s">
        <v>768</v>
      </c>
      <c r="F14798" t="str" cm="1">
        <f t="array" ref="F14798">CategorizeComment(E14798)</f>
        <v>Other</v>
      </c>
      <c r="G14798" t="str" cm="1">
        <f t="array" ref="G14798">SubCategorizeComment(E14798)</f>
        <v>Other</v>
      </c>
    </row>
    <row r="14799" spans="1:7" x14ac:dyDescent="0.25">
      <c r="A14799">
        <v>58008</v>
      </c>
      <c r="B14799" t="s">
        <v>4</v>
      </c>
      <c r="C14799">
        <v>4</v>
      </c>
      <c r="D14799" t="s">
        <v>1081</v>
      </c>
      <c r="F14799" t="str" cm="1">
        <f t="array" ref="F14799">CategorizeComment(E14799)</f>
        <v>Other</v>
      </c>
      <c r="G14799" t="str" cm="1">
        <f t="array" ref="G14799">SubCategorizeComment(E14799)</f>
        <v>Other</v>
      </c>
    </row>
    <row r="14800" spans="1:7" x14ac:dyDescent="0.25">
      <c r="A14800">
        <v>38101</v>
      </c>
      <c r="B14800" t="s">
        <v>4</v>
      </c>
      <c r="C14800">
        <v>3</v>
      </c>
      <c r="D14800" t="s">
        <v>732</v>
      </c>
      <c r="F14800" t="str" cm="1">
        <f t="array" ref="F14800">CategorizeComment(E14800)</f>
        <v>Other</v>
      </c>
      <c r="G14800" t="str" cm="1">
        <f t="array" ref="G14800">SubCategorizeComment(E14800)</f>
        <v>Other</v>
      </c>
    </row>
    <row r="14801" spans="1:7" x14ac:dyDescent="0.25">
      <c r="A14801">
        <v>39586</v>
      </c>
      <c r="B14801" t="s">
        <v>4</v>
      </c>
      <c r="C14801">
        <v>3</v>
      </c>
      <c r="D14801" t="s">
        <v>755</v>
      </c>
      <c r="F14801" t="str" cm="1">
        <f t="array" ref="F14801">CategorizeComment(E14801)</f>
        <v>Other</v>
      </c>
      <c r="G14801" t="str" cm="1">
        <f t="array" ref="G14801">SubCategorizeComment(E14801)</f>
        <v>Other</v>
      </c>
    </row>
    <row r="14802" spans="1:7" x14ac:dyDescent="0.25">
      <c r="A14802">
        <v>18677</v>
      </c>
      <c r="B14802" t="s">
        <v>4</v>
      </c>
      <c r="C14802">
        <v>3</v>
      </c>
      <c r="D14802" t="s">
        <v>374</v>
      </c>
      <c r="F14802" t="str" cm="1">
        <f t="array" ref="F14802">CategorizeComment(E14802)</f>
        <v>Other</v>
      </c>
      <c r="G14802" t="str" cm="1">
        <f t="array" ref="G14802">SubCategorizeComment(E14802)</f>
        <v>Other</v>
      </c>
    </row>
    <row r="14803" spans="1:7" x14ac:dyDescent="0.25">
      <c r="A14803">
        <v>104611</v>
      </c>
      <c r="B14803" t="s">
        <v>4</v>
      </c>
      <c r="C14803">
        <v>4</v>
      </c>
      <c r="D14803" t="s">
        <v>1787</v>
      </c>
      <c r="F14803" t="str" cm="1">
        <f t="array" ref="F14803">CategorizeComment(E14803)</f>
        <v>Other</v>
      </c>
      <c r="G14803" t="str" cm="1">
        <f t="array" ref="G14803">SubCategorizeComment(E14803)</f>
        <v>Other</v>
      </c>
    </row>
    <row r="14804" spans="1:7" x14ac:dyDescent="0.25">
      <c r="A14804">
        <v>118319</v>
      </c>
      <c r="B14804" t="s">
        <v>4</v>
      </c>
      <c r="C14804">
        <v>4</v>
      </c>
      <c r="D14804" t="s">
        <v>2002</v>
      </c>
      <c r="F14804" t="str" cm="1">
        <f t="array" ref="F14804">CategorizeComment(E14804)</f>
        <v>Other</v>
      </c>
      <c r="G14804" t="str" cm="1">
        <f t="array" ref="G14804">SubCategorizeComment(E14804)</f>
        <v>Other</v>
      </c>
    </row>
    <row r="14805" spans="1:7" x14ac:dyDescent="0.25">
      <c r="A14805">
        <v>24482</v>
      </c>
      <c r="B14805" t="s">
        <v>4</v>
      </c>
      <c r="C14805">
        <v>3</v>
      </c>
      <c r="D14805" t="s">
        <v>496</v>
      </c>
      <c r="F14805" t="str" cm="1">
        <f t="array" ref="F14805">CategorizeComment(E14805)</f>
        <v>Other</v>
      </c>
      <c r="G14805" t="str" cm="1">
        <f t="array" ref="G14805">SubCategorizeComment(E14805)</f>
        <v>Other</v>
      </c>
    </row>
    <row r="14806" spans="1:7" x14ac:dyDescent="0.25">
      <c r="A14806">
        <v>75458</v>
      </c>
      <c r="B14806" t="s">
        <v>4</v>
      </c>
      <c r="C14806">
        <v>4</v>
      </c>
      <c r="D14806" t="s">
        <v>1367</v>
      </c>
      <c r="F14806" t="str" cm="1">
        <f t="array" ref="F14806">CategorizeComment(E14806)</f>
        <v>Other</v>
      </c>
      <c r="G14806" t="str" cm="1">
        <f t="array" ref="G14806">SubCategorizeComment(E14806)</f>
        <v>Other</v>
      </c>
    </row>
    <row r="14807" spans="1:7" x14ac:dyDescent="0.25">
      <c r="A14807">
        <v>49131</v>
      </c>
      <c r="B14807" t="s">
        <v>4</v>
      </c>
      <c r="C14807">
        <v>4</v>
      </c>
      <c r="D14807" t="s">
        <v>919</v>
      </c>
      <c r="F14807" t="str" cm="1">
        <f t="array" ref="F14807">CategorizeComment(E14807)</f>
        <v>Other</v>
      </c>
      <c r="G14807" t="str" cm="1">
        <f t="array" ref="G14807">SubCategorizeComment(E14807)</f>
        <v>Other</v>
      </c>
    </row>
    <row r="14808" spans="1:7" x14ac:dyDescent="0.25">
      <c r="A14808">
        <v>62801</v>
      </c>
      <c r="B14808" t="s">
        <v>4</v>
      </c>
      <c r="C14808">
        <v>4</v>
      </c>
      <c r="D14808" t="s">
        <v>1174</v>
      </c>
      <c r="F14808" t="str" cm="1">
        <f t="array" ref="F14808">CategorizeComment(E14808)</f>
        <v>Other</v>
      </c>
      <c r="G14808" t="str" cm="1">
        <f t="array" ref="G14808">SubCategorizeComment(E14808)</f>
        <v>Other</v>
      </c>
    </row>
    <row r="14809" spans="1:7" x14ac:dyDescent="0.25">
      <c r="A14809">
        <v>62295</v>
      </c>
      <c r="B14809" t="s">
        <v>4</v>
      </c>
      <c r="C14809">
        <v>4</v>
      </c>
      <c r="D14809" t="s">
        <v>1161</v>
      </c>
      <c r="F14809" t="str" cm="1">
        <f t="array" ref="F14809">CategorizeComment(E14809)</f>
        <v>Other</v>
      </c>
      <c r="G14809" t="str" cm="1">
        <f t="array" ref="G14809">SubCategorizeComment(E14809)</f>
        <v>Other</v>
      </c>
    </row>
    <row r="14810" spans="1:7" x14ac:dyDescent="0.25">
      <c r="A14810">
        <v>89650</v>
      </c>
      <c r="B14810" t="s">
        <v>4</v>
      </c>
      <c r="C14810">
        <v>4</v>
      </c>
      <c r="D14810" t="s">
        <v>1563</v>
      </c>
      <c r="F14810" t="str" cm="1">
        <f t="array" ref="F14810">CategorizeComment(E14810)</f>
        <v>Other</v>
      </c>
      <c r="G14810" t="str" cm="1">
        <f t="array" ref="G14810">SubCategorizeComment(E14810)</f>
        <v>Other</v>
      </c>
    </row>
    <row r="14811" spans="1:7" x14ac:dyDescent="0.25">
      <c r="A14811">
        <v>83047</v>
      </c>
      <c r="B14811" t="s">
        <v>4</v>
      </c>
      <c r="C14811">
        <v>3</v>
      </c>
      <c r="D14811" t="s">
        <v>1473</v>
      </c>
      <c r="F14811" t="str" cm="1">
        <f t="array" ref="F14811">CategorizeComment(E14811)</f>
        <v>Other</v>
      </c>
      <c r="G14811" t="str" cm="1">
        <f t="array" ref="G14811">SubCategorizeComment(E14811)</f>
        <v>Other</v>
      </c>
    </row>
    <row r="14812" spans="1:7" x14ac:dyDescent="0.25">
      <c r="A14812">
        <v>9917</v>
      </c>
      <c r="B14812" t="s">
        <v>4</v>
      </c>
      <c r="C14812">
        <v>3</v>
      </c>
      <c r="D14812" t="s">
        <v>196</v>
      </c>
      <c r="F14812" t="str" cm="1">
        <f t="array" ref="F14812">CategorizeComment(E14812)</f>
        <v>Other</v>
      </c>
      <c r="G14812" t="str" cm="1">
        <f t="array" ref="G14812">SubCategorizeComment(E14812)</f>
        <v>Other</v>
      </c>
    </row>
    <row r="14813" spans="1:7" x14ac:dyDescent="0.25">
      <c r="A14813">
        <v>49993</v>
      </c>
      <c r="B14813" t="s">
        <v>4</v>
      </c>
      <c r="C14813">
        <v>4</v>
      </c>
      <c r="D14813" t="s">
        <v>931</v>
      </c>
      <c r="F14813" t="str" cm="1">
        <f t="array" ref="F14813">CategorizeComment(E14813)</f>
        <v>Other</v>
      </c>
      <c r="G14813" t="str" cm="1">
        <f t="array" ref="G14813">SubCategorizeComment(E14813)</f>
        <v>Other</v>
      </c>
    </row>
    <row r="14814" spans="1:7" x14ac:dyDescent="0.25">
      <c r="A14814">
        <v>90875</v>
      </c>
      <c r="B14814" t="s">
        <v>4</v>
      </c>
      <c r="C14814">
        <v>4</v>
      </c>
      <c r="D14814" t="s">
        <v>1582</v>
      </c>
      <c r="F14814" t="str" cm="1">
        <f t="array" ref="F14814">CategorizeComment(E14814)</f>
        <v>Other</v>
      </c>
      <c r="G14814" t="str" cm="1">
        <f t="array" ref="G14814">SubCategorizeComment(E14814)</f>
        <v>Other</v>
      </c>
    </row>
    <row r="14815" spans="1:7" x14ac:dyDescent="0.25">
      <c r="A14815">
        <v>12206</v>
      </c>
      <c r="B14815" t="s">
        <v>4</v>
      </c>
      <c r="C14815">
        <v>4</v>
      </c>
      <c r="D14815" t="s">
        <v>239</v>
      </c>
      <c r="F14815" t="str" cm="1">
        <f t="array" ref="F14815">CategorizeComment(E14815)</f>
        <v>Other</v>
      </c>
      <c r="G14815" t="str" cm="1">
        <f t="array" ref="G14815">SubCategorizeComment(E14815)</f>
        <v>Other</v>
      </c>
    </row>
    <row r="14816" spans="1:7" x14ac:dyDescent="0.25">
      <c r="A14816">
        <v>83685</v>
      </c>
      <c r="B14816" t="s">
        <v>4</v>
      </c>
      <c r="C14816">
        <v>3</v>
      </c>
      <c r="D14816" t="s">
        <v>1483</v>
      </c>
      <c r="F14816" t="str" cm="1">
        <f t="array" ref="F14816">CategorizeComment(E14816)</f>
        <v>Other</v>
      </c>
      <c r="G14816" t="str" cm="1">
        <f t="array" ref="G14816">SubCategorizeComment(E14816)</f>
        <v>Other</v>
      </c>
    </row>
    <row r="14817" spans="1:7" x14ac:dyDescent="0.25">
      <c r="A14817">
        <v>37137</v>
      </c>
      <c r="B14817" t="s">
        <v>4</v>
      </c>
      <c r="C14817">
        <v>4</v>
      </c>
      <c r="D14817" t="s">
        <v>712</v>
      </c>
      <c r="F14817" t="str" cm="1">
        <f t="array" ref="F14817">CategorizeComment(E14817)</f>
        <v>Other</v>
      </c>
      <c r="G14817" t="str" cm="1">
        <f t="array" ref="G14817">SubCategorizeComment(E14817)</f>
        <v>Other</v>
      </c>
    </row>
    <row r="14818" spans="1:7" x14ac:dyDescent="0.25">
      <c r="A14818">
        <v>15717</v>
      </c>
      <c r="B14818" t="s">
        <v>4</v>
      </c>
      <c r="C14818">
        <v>4</v>
      </c>
      <c r="D14818" t="s">
        <v>305</v>
      </c>
      <c r="F14818" t="str" cm="1">
        <f t="array" ref="F14818">CategorizeComment(E14818)</f>
        <v>Other</v>
      </c>
      <c r="G14818" t="str" cm="1">
        <f t="array" ref="G14818">SubCategorizeComment(E14818)</f>
        <v>Other</v>
      </c>
    </row>
    <row r="14819" spans="1:7" x14ac:dyDescent="0.25">
      <c r="A14819">
        <v>104607</v>
      </c>
      <c r="B14819" t="s">
        <v>4</v>
      </c>
      <c r="C14819">
        <v>3</v>
      </c>
      <c r="D14819" t="s">
        <v>1786</v>
      </c>
      <c r="F14819" t="str" cm="1">
        <f t="array" ref="F14819">CategorizeComment(E14819)</f>
        <v>Other</v>
      </c>
      <c r="G14819" t="str" cm="1">
        <f t="array" ref="G14819">SubCategorizeComment(E14819)</f>
        <v>Other</v>
      </c>
    </row>
    <row r="14820" spans="1:7" x14ac:dyDescent="0.25">
      <c r="A14820">
        <v>119055</v>
      </c>
      <c r="B14820" t="s">
        <v>4</v>
      </c>
      <c r="C14820">
        <v>3</v>
      </c>
      <c r="D14820" t="s">
        <v>2014</v>
      </c>
      <c r="F14820" t="str" cm="1">
        <f t="array" ref="F14820">CategorizeComment(E14820)</f>
        <v>Other</v>
      </c>
      <c r="G14820" t="str" cm="1">
        <f t="array" ref="G14820">SubCategorizeComment(E14820)</f>
        <v>Other</v>
      </c>
    </row>
    <row r="14821" spans="1:7" x14ac:dyDescent="0.25">
      <c r="A14821">
        <v>114518</v>
      </c>
      <c r="B14821" t="s">
        <v>4</v>
      </c>
      <c r="C14821">
        <v>3</v>
      </c>
      <c r="D14821" t="s">
        <v>1946</v>
      </c>
      <c r="F14821" t="str" cm="1">
        <f t="array" ref="F14821">CategorizeComment(E14821)</f>
        <v>Other</v>
      </c>
      <c r="G14821" t="str" cm="1">
        <f t="array" ref="G14821">SubCategorizeComment(E14821)</f>
        <v>Other</v>
      </c>
    </row>
    <row r="14822" spans="1:7" x14ac:dyDescent="0.25">
      <c r="A14822">
        <v>86653</v>
      </c>
      <c r="B14822" t="s">
        <v>4</v>
      </c>
      <c r="C14822">
        <v>3</v>
      </c>
      <c r="D14822" t="s">
        <v>1515</v>
      </c>
      <c r="F14822" t="str" cm="1">
        <f t="array" ref="F14822">CategorizeComment(E14822)</f>
        <v>Other</v>
      </c>
      <c r="G14822" t="str" cm="1">
        <f t="array" ref="G14822">SubCategorizeComment(E14822)</f>
        <v>Other</v>
      </c>
    </row>
    <row r="14823" spans="1:7" x14ac:dyDescent="0.25">
      <c r="A14823">
        <v>59632</v>
      </c>
      <c r="B14823" t="s">
        <v>4</v>
      </c>
      <c r="C14823">
        <v>4</v>
      </c>
      <c r="D14823" t="s">
        <v>1113</v>
      </c>
      <c r="F14823" t="str" cm="1">
        <f t="array" ref="F14823">CategorizeComment(E14823)</f>
        <v>Other</v>
      </c>
      <c r="G14823" t="str" cm="1">
        <f t="array" ref="G14823">SubCategorizeComment(E14823)</f>
        <v>Other</v>
      </c>
    </row>
    <row r="14824" spans="1:7" x14ac:dyDescent="0.25">
      <c r="A14824">
        <v>88429</v>
      </c>
      <c r="B14824" t="s">
        <v>4</v>
      </c>
      <c r="C14824">
        <v>3</v>
      </c>
      <c r="D14824" t="s">
        <v>1545</v>
      </c>
      <c r="F14824" t="str" cm="1">
        <f t="array" ref="F14824">CategorizeComment(E14824)</f>
        <v>Other</v>
      </c>
      <c r="G14824" t="str" cm="1">
        <f t="array" ref="G14824">SubCategorizeComment(E14824)</f>
        <v>Other</v>
      </c>
    </row>
    <row r="14825" spans="1:7" x14ac:dyDescent="0.25">
      <c r="A14825">
        <v>36014</v>
      </c>
      <c r="B14825" t="s">
        <v>4</v>
      </c>
      <c r="C14825">
        <v>4</v>
      </c>
      <c r="D14825" t="s">
        <v>687</v>
      </c>
      <c r="F14825" t="str" cm="1">
        <f t="array" ref="F14825">CategorizeComment(E14825)</f>
        <v>Other</v>
      </c>
      <c r="G14825" t="str" cm="1">
        <f t="array" ref="G14825">SubCategorizeComment(E14825)</f>
        <v>Other</v>
      </c>
    </row>
    <row r="14826" spans="1:7" x14ac:dyDescent="0.25">
      <c r="A14826">
        <v>99033</v>
      </c>
      <c r="B14826" t="s">
        <v>4</v>
      </c>
      <c r="C14826">
        <v>4</v>
      </c>
      <c r="D14826" t="s">
        <v>1715</v>
      </c>
      <c r="F14826" t="str" cm="1">
        <f t="array" ref="F14826">CategorizeComment(E14826)</f>
        <v>Other</v>
      </c>
      <c r="G14826" t="str" cm="1">
        <f t="array" ref="G14826">SubCategorizeComment(E14826)</f>
        <v>Other</v>
      </c>
    </row>
    <row r="14827" spans="1:7" x14ac:dyDescent="0.25">
      <c r="A14827">
        <v>114214</v>
      </c>
      <c r="B14827" t="s">
        <v>4</v>
      </c>
      <c r="C14827">
        <v>4</v>
      </c>
      <c r="D14827" t="s">
        <v>1942</v>
      </c>
      <c r="F14827" t="str" cm="1">
        <f t="array" ref="F14827">CategorizeComment(E14827)</f>
        <v>Other</v>
      </c>
      <c r="G14827" t="str" cm="1">
        <f t="array" ref="G14827">SubCategorizeComment(E14827)</f>
        <v>Other</v>
      </c>
    </row>
    <row r="14828" spans="1:7" x14ac:dyDescent="0.25">
      <c r="A14828">
        <v>4914</v>
      </c>
      <c r="B14828" t="s">
        <v>4</v>
      </c>
      <c r="C14828">
        <v>3</v>
      </c>
      <c r="D14828" t="s">
        <v>101</v>
      </c>
      <c r="F14828" t="str" cm="1">
        <f t="array" ref="F14828">CategorizeComment(E14828)</f>
        <v>Other</v>
      </c>
      <c r="G14828" t="str" cm="1">
        <f t="array" ref="G14828">SubCategorizeComment(E14828)</f>
        <v>Other</v>
      </c>
    </row>
    <row r="14829" spans="1:7" x14ac:dyDescent="0.25">
      <c r="A14829">
        <v>110629</v>
      </c>
      <c r="B14829" t="s">
        <v>4</v>
      </c>
      <c r="C14829">
        <v>3</v>
      </c>
      <c r="D14829" t="s">
        <v>1892</v>
      </c>
      <c r="F14829" t="str" cm="1">
        <f t="array" ref="F14829">CategorizeComment(E14829)</f>
        <v>Other</v>
      </c>
      <c r="G14829" t="str" cm="1">
        <f t="array" ref="G14829">SubCategorizeComment(E14829)</f>
        <v>Other</v>
      </c>
    </row>
    <row r="14830" spans="1:7" x14ac:dyDescent="0.25">
      <c r="A14830">
        <v>38787</v>
      </c>
      <c r="B14830" t="s">
        <v>4</v>
      </c>
      <c r="C14830">
        <v>4</v>
      </c>
      <c r="D14830" t="s">
        <v>746</v>
      </c>
      <c r="F14830" t="str" cm="1">
        <f t="array" ref="F14830">CategorizeComment(E14830)</f>
        <v>Other</v>
      </c>
      <c r="G14830" t="str" cm="1">
        <f t="array" ref="G14830">SubCategorizeComment(E14830)</f>
        <v>Other</v>
      </c>
    </row>
    <row r="14831" spans="1:7" x14ac:dyDescent="0.25">
      <c r="A14831">
        <v>8176</v>
      </c>
      <c r="B14831" t="s">
        <v>4</v>
      </c>
      <c r="C14831">
        <v>4</v>
      </c>
      <c r="D14831" t="s">
        <v>163</v>
      </c>
      <c r="F14831" t="str" cm="1">
        <f t="array" ref="F14831">CategorizeComment(E14831)</f>
        <v>Other</v>
      </c>
      <c r="G14831" t="str" cm="1">
        <f t="array" ref="G14831">SubCategorizeComment(E14831)</f>
        <v>Other</v>
      </c>
    </row>
    <row r="14832" spans="1:7" x14ac:dyDescent="0.25">
      <c r="A14832">
        <v>117097</v>
      </c>
      <c r="B14832" t="s">
        <v>4</v>
      </c>
      <c r="C14832">
        <v>3</v>
      </c>
      <c r="D14832" t="s">
        <v>1981</v>
      </c>
      <c r="F14832" t="str" cm="1">
        <f t="array" ref="F14832">CategorizeComment(E14832)</f>
        <v>Other</v>
      </c>
      <c r="G14832" t="str" cm="1">
        <f t="array" ref="G14832">SubCategorizeComment(E14832)</f>
        <v>Other</v>
      </c>
    </row>
    <row r="14833" spans="1:7" x14ac:dyDescent="0.25">
      <c r="A14833">
        <v>18575</v>
      </c>
      <c r="B14833" t="s">
        <v>4</v>
      </c>
      <c r="C14833">
        <v>3</v>
      </c>
      <c r="D14833" t="s">
        <v>369</v>
      </c>
      <c r="F14833" t="str" cm="1">
        <f t="array" ref="F14833">CategorizeComment(E14833)</f>
        <v>Other</v>
      </c>
      <c r="G14833" t="str" cm="1">
        <f t="array" ref="G14833">SubCategorizeComment(E14833)</f>
        <v>Other</v>
      </c>
    </row>
    <row r="14834" spans="1:7" x14ac:dyDescent="0.25">
      <c r="A14834">
        <v>7681</v>
      </c>
      <c r="B14834" t="s">
        <v>4</v>
      </c>
      <c r="C14834">
        <v>1</v>
      </c>
      <c r="D14834" t="s">
        <v>157</v>
      </c>
      <c r="F14834" t="str" cm="1">
        <f t="array" ref="F14834">CategorizeComment(E14834)</f>
        <v>Other</v>
      </c>
      <c r="G14834" t="str" cm="1">
        <f t="array" ref="G14834">SubCategorizeComment(E14834)</f>
        <v>Other</v>
      </c>
    </row>
    <row r="14835" spans="1:7" x14ac:dyDescent="0.25">
      <c r="A14835">
        <v>6422</v>
      </c>
      <c r="B14835" t="s">
        <v>4</v>
      </c>
      <c r="C14835">
        <v>4</v>
      </c>
      <c r="D14835" t="s">
        <v>129</v>
      </c>
      <c r="F14835" t="str" cm="1">
        <f t="array" ref="F14835">CategorizeComment(E14835)</f>
        <v>Other</v>
      </c>
      <c r="G14835" t="str" cm="1">
        <f t="array" ref="G14835">SubCategorizeComment(E14835)</f>
        <v>Other</v>
      </c>
    </row>
    <row r="14836" spans="1:7" x14ac:dyDescent="0.25">
      <c r="A14836">
        <v>116829</v>
      </c>
      <c r="B14836" t="s">
        <v>4</v>
      </c>
      <c r="C14836">
        <v>4</v>
      </c>
      <c r="D14836" t="s">
        <v>1978</v>
      </c>
      <c r="F14836" t="str" cm="1">
        <f t="array" ref="F14836">CategorizeComment(E14836)</f>
        <v>Other</v>
      </c>
      <c r="G14836" t="str" cm="1">
        <f t="array" ref="G14836">SubCategorizeComment(E14836)</f>
        <v>Other</v>
      </c>
    </row>
    <row r="14837" spans="1:7" x14ac:dyDescent="0.25">
      <c r="A14837">
        <v>13377</v>
      </c>
      <c r="B14837" t="s">
        <v>4</v>
      </c>
      <c r="C14837">
        <v>3</v>
      </c>
      <c r="D14837" t="s">
        <v>265</v>
      </c>
      <c r="F14837" t="str" cm="1">
        <f t="array" ref="F14837">CategorizeComment(E14837)</f>
        <v>Other</v>
      </c>
      <c r="G14837" t="str" cm="1">
        <f t="array" ref="G14837">SubCategorizeComment(E14837)</f>
        <v>Other</v>
      </c>
    </row>
    <row r="14838" spans="1:7" x14ac:dyDescent="0.25">
      <c r="A14838">
        <v>45451</v>
      </c>
      <c r="B14838" t="s">
        <v>4</v>
      </c>
      <c r="C14838">
        <v>3</v>
      </c>
      <c r="D14838" t="s">
        <v>863</v>
      </c>
      <c r="F14838" t="str" cm="1">
        <f t="array" ref="F14838">CategorizeComment(E14838)</f>
        <v>Other</v>
      </c>
      <c r="G14838" t="str" cm="1">
        <f t="array" ref="G14838">SubCategorizeComment(E14838)</f>
        <v>Other</v>
      </c>
    </row>
    <row r="14839" spans="1:7" x14ac:dyDescent="0.25">
      <c r="A14839">
        <v>116449</v>
      </c>
      <c r="B14839" t="s">
        <v>4</v>
      </c>
      <c r="C14839">
        <v>4</v>
      </c>
      <c r="D14839" t="s">
        <v>1972</v>
      </c>
      <c r="F14839" t="str" cm="1">
        <f t="array" ref="F14839">CategorizeComment(E14839)</f>
        <v>Other</v>
      </c>
      <c r="G14839" t="str" cm="1">
        <f t="array" ref="G14839">SubCategorizeComment(E14839)</f>
        <v>Other</v>
      </c>
    </row>
    <row r="14840" spans="1:7" x14ac:dyDescent="0.25">
      <c r="A14840">
        <v>53650</v>
      </c>
      <c r="B14840" t="s">
        <v>4</v>
      </c>
      <c r="C14840">
        <v>3</v>
      </c>
      <c r="D14840" t="s">
        <v>1003</v>
      </c>
      <c r="F14840" t="str" cm="1">
        <f t="array" ref="F14840">CategorizeComment(E14840)</f>
        <v>Other</v>
      </c>
      <c r="G14840" t="str" cm="1">
        <f t="array" ref="G14840">SubCategorizeComment(E14840)</f>
        <v>Other</v>
      </c>
    </row>
    <row r="14841" spans="1:7" x14ac:dyDescent="0.25">
      <c r="A14841">
        <v>118658</v>
      </c>
      <c r="B14841" t="s">
        <v>4</v>
      </c>
      <c r="C14841">
        <v>3</v>
      </c>
      <c r="D14841" t="s">
        <v>2008</v>
      </c>
      <c r="F14841" t="str" cm="1">
        <f t="array" ref="F14841">CategorizeComment(E14841)</f>
        <v>Other</v>
      </c>
      <c r="G14841" t="str" cm="1">
        <f t="array" ref="G14841">SubCategorizeComment(E14841)</f>
        <v>Other</v>
      </c>
    </row>
    <row r="14842" spans="1:7" x14ac:dyDescent="0.25">
      <c r="A14842">
        <v>61352</v>
      </c>
      <c r="B14842" t="s">
        <v>4</v>
      </c>
      <c r="C14842">
        <v>3</v>
      </c>
      <c r="D14842" t="s">
        <v>1142</v>
      </c>
      <c r="F14842" t="str" cm="1">
        <f t="array" ref="F14842">CategorizeComment(E14842)</f>
        <v>Other</v>
      </c>
      <c r="G14842" t="str" cm="1">
        <f t="array" ref="G14842">SubCategorizeComment(E14842)</f>
        <v>Other</v>
      </c>
    </row>
    <row r="14843" spans="1:7" x14ac:dyDescent="0.25">
      <c r="A14843">
        <v>24838</v>
      </c>
      <c r="B14843" t="s">
        <v>4</v>
      </c>
      <c r="C14843">
        <v>3</v>
      </c>
      <c r="D14843" t="s">
        <v>505</v>
      </c>
      <c r="F14843" t="str" cm="1">
        <f t="array" ref="F14843">CategorizeComment(E14843)</f>
        <v>Other</v>
      </c>
      <c r="G14843" t="str" cm="1">
        <f t="array" ref="G14843">SubCategorizeComment(E14843)</f>
        <v>Other</v>
      </c>
    </row>
    <row r="14844" spans="1:7" x14ac:dyDescent="0.25">
      <c r="A14844">
        <v>30121</v>
      </c>
      <c r="B14844" t="s">
        <v>4</v>
      </c>
      <c r="C14844">
        <v>4</v>
      </c>
      <c r="D14844" t="s">
        <v>587</v>
      </c>
      <c r="F14844" t="str" cm="1">
        <f t="array" ref="F14844">CategorizeComment(E14844)</f>
        <v>Other</v>
      </c>
      <c r="G14844" t="str" cm="1">
        <f t="array" ref="G14844">SubCategorizeComment(E14844)</f>
        <v>Other</v>
      </c>
    </row>
    <row r="14845" spans="1:7" x14ac:dyDescent="0.25">
      <c r="A14845">
        <v>14303</v>
      </c>
      <c r="B14845" t="s">
        <v>4</v>
      </c>
      <c r="C14845">
        <v>3</v>
      </c>
      <c r="D14845" t="s">
        <v>278</v>
      </c>
      <c r="F14845" t="str" cm="1">
        <f t="array" ref="F14845">CategorizeComment(E14845)</f>
        <v>Other</v>
      </c>
      <c r="G14845" t="str" cm="1">
        <f t="array" ref="G14845">SubCategorizeComment(E14845)</f>
        <v>Other</v>
      </c>
    </row>
    <row r="14846" spans="1:7" x14ac:dyDescent="0.25">
      <c r="A14846">
        <v>87879</v>
      </c>
      <c r="B14846" t="s">
        <v>4</v>
      </c>
      <c r="C14846">
        <v>3</v>
      </c>
      <c r="D14846" t="s">
        <v>1537</v>
      </c>
      <c r="F14846" t="str" cm="1">
        <f t="array" ref="F14846">CategorizeComment(E14846)</f>
        <v>Other</v>
      </c>
      <c r="G14846" t="str" cm="1">
        <f t="array" ref="G14846">SubCategorizeComment(E14846)</f>
        <v>Other</v>
      </c>
    </row>
    <row r="14847" spans="1:7" x14ac:dyDescent="0.25">
      <c r="A14847">
        <v>44228</v>
      </c>
      <c r="B14847" t="s">
        <v>4</v>
      </c>
      <c r="C14847">
        <v>3</v>
      </c>
      <c r="D14847" t="s">
        <v>832</v>
      </c>
      <c r="F14847" t="str" cm="1">
        <f t="array" ref="F14847">CategorizeComment(E14847)</f>
        <v>Other</v>
      </c>
      <c r="G14847" t="str" cm="1">
        <f t="array" ref="G14847">SubCategorizeComment(E14847)</f>
        <v>Other</v>
      </c>
    </row>
    <row r="14848" spans="1:7" x14ac:dyDescent="0.25">
      <c r="A14848">
        <v>55538</v>
      </c>
      <c r="B14848" t="s">
        <v>4</v>
      </c>
      <c r="C14848">
        <v>3</v>
      </c>
      <c r="D14848" t="s">
        <v>1039</v>
      </c>
      <c r="F14848" t="str" cm="1">
        <f t="array" ref="F14848">CategorizeComment(E14848)</f>
        <v>Other</v>
      </c>
      <c r="G14848" t="str" cm="1">
        <f t="array" ref="G14848">SubCategorizeComment(E14848)</f>
        <v>Other</v>
      </c>
    </row>
    <row r="14849" spans="1:7" x14ac:dyDescent="0.25">
      <c r="A14849">
        <v>62298</v>
      </c>
      <c r="B14849" t="s">
        <v>4</v>
      </c>
      <c r="C14849">
        <v>2</v>
      </c>
      <c r="D14849" t="s">
        <v>1162</v>
      </c>
      <c r="F14849" t="str" cm="1">
        <f t="array" ref="F14849">CategorizeComment(E14849)</f>
        <v>Other</v>
      </c>
      <c r="G14849" t="str" cm="1">
        <f t="array" ref="G14849">SubCategorizeComment(E14849)</f>
        <v>Other</v>
      </c>
    </row>
    <row r="14850" spans="1:7" x14ac:dyDescent="0.25">
      <c r="A14850">
        <v>3825</v>
      </c>
      <c r="B14850" t="s">
        <v>4</v>
      </c>
      <c r="C14850">
        <v>4</v>
      </c>
      <c r="D14850" t="s">
        <v>80</v>
      </c>
      <c r="F14850" t="str" cm="1">
        <f t="array" ref="F14850">CategorizeComment(E14850)</f>
        <v>Other</v>
      </c>
      <c r="G14850" t="str" cm="1">
        <f t="array" ref="G14850">SubCategorizeComment(E14850)</f>
        <v>Other</v>
      </c>
    </row>
    <row r="14851" spans="1:7" x14ac:dyDescent="0.25">
      <c r="A14851">
        <v>54292</v>
      </c>
      <c r="B14851" t="s">
        <v>4</v>
      </c>
      <c r="C14851">
        <v>3</v>
      </c>
      <c r="D14851" t="s">
        <v>1016</v>
      </c>
      <c r="F14851" t="str" cm="1">
        <f t="array" ref="F14851">CategorizeComment(E14851)</f>
        <v>Other</v>
      </c>
      <c r="G14851" t="str" cm="1">
        <f t="array" ref="G14851">SubCategorizeComment(E14851)</f>
        <v>Other</v>
      </c>
    </row>
    <row r="14852" spans="1:7" x14ac:dyDescent="0.25">
      <c r="A14852">
        <v>11352</v>
      </c>
      <c r="B14852" t="s">
        <v>4</v>
      </c>
      <c r="C14852">
        <v>3</v>
      </c>
      <c r="D14852" t="s">
        <v>224</v>
      </c>
      <c r="F14852" t="str" cm="1">
        <f t="array" ref="F14852">CategorizeComment(E14852)</f>
        <v>Other</v>
      </c>
      <c r="G14852" t="str" cm="1">
        <f t="array" ref="G14852">SubCategorizeComment(E14852)</f>
        <v>Other</v>
      </c>
    </row>
    <row r="14853" spans="1:7" x14ac:dyDescent="0.25">
      <c r="A14853">
        <v>101292</v>
      </c>
      <c r="B14853" t="s">
        <v>4</v>
      </c>
      <c r="C14853">
        <v>3</v>
      </c>
      <c r="D14853" t="s">
        <v>1735</v>
      </c>
      <c r="F14853" t="str" cm="1">
        <f t="array" ref="F14853">CategorizeComment(E14853)</f>
        <v>Other</v>
      </c>
      <c r="G14853" t="str" cm="1">
        <f t="array" ref="G14853">SubCategorizeComment(E14853)</f>
        <v>Other</v>
      </c>
    </row>
    <row r="14854" spans="1:7" x14ac:dyDescent="0.25">
      <c r="A14854">
        <v>11022</v>
      </c>
      <c r="B14854" t="s">
        <v>4</v>
      </c>
      <c r="C14854">
        <v>4</v>
      </c>
      <c r="D14854" t="s">
        <v>220</v>
      </c>
      <c r="F14854" t="str" cm="1">
        <f t="array" ref="F14854">CategorizeComment(E14854)</f>
        <v>Other</v>
      </c>
      <c r="G14854" t="str" cm="1">
        <f t="array" ref="G14854">SubCategorizeComment(E14854)</f>
        <v>Other</v>
      </c>
    </row>
    <row r="14855" spans="1:7" x14ac:dyDescent="0.25">
      <c r="A14855">
        <v>125272</v>
      </c>
      <c r="B14855" t="s">
        <v>4</v>
      </c>
      <c r="C14855">
        <v>4</v>
      </c>
      <c r="D14855" t="s">
        <v>2108</v>
      </c>
      <c r="F14855" t="str" cm="1">
        <f t="array" ref="F14855">CategorizeComment(E14855)</f>
        <v>Other</v>
      </c>
      <c r="G14855" t="str" cm="1">
        <f t="array" ref="G14855">SubCategorizeComment(E14855)</f>
        <v>Other</v>
      </c>
    </row>
    <row r="14856" spans="1:7" x14ac:dyDescent="0.25">
      <c r="A14856">
        <v>124732</v>
      </c>
      <c r="B14856" t="s">
        <v>4</v>
      </c>
      <c r="C14856">
        <v>4</v>
      </c>
      <c r="D14856" t="s">
        <v>2101</v>
      </c>
      <c r="F14856" t="str" cm="1">
        <f t="array" ref="F14856">CategorizeComment(E14856)</f>
        <v>Other</v>
      </c>
      <c r="G14856" t="str" cm="1">
        <f t="array" ref="G14856">SubCategorizeComment(E14856)</f>
        <v>Other</v>
      </c>
    </row>
    <row r="14857" spans="1:7" x14ac:dyDescent="0.25">
      <c r="A14857">
        <v>80717</v>
      </c>
      <c r="B14857" t="s">
        <v>4</v>
      </c>
      <c r="C14857">
        <v>3</v>
      </c>
      <c r="D14857" t="s">
        <v>1446</v>
      </c>
      <c r="F14857" t="str" cm="1">
        <f t="array" ref="F14857">CategorizeComment(E14857)</f>
        <v>Other</v>
      </c>
      <c r="G14857" t="str" cm="1">
        <f t="array" ref="G14857">SubCategorizeComment(E14857)</f>
        <v>Other</v>
      </c>
    </row>
    <row r="14858" spans="1:7" x14ac:dyDescent="0.25">
      <c r="A14858">
        <v>61078</v>
      </c>
      <c r="B14858" t="s">
        <v>4</v>
      </c>
      <c r="C14858">
        <v>1</v>
      </c>
      <c r="D14858" t="s">
        <v>1139</v>
      </c>
      <c r="F14858" t="str" cm="1">
        <f t="array" ref="F14858">CategorizeComment(E14858)</f>
        <v>Other</v>
      </c>
      <c r="G14858" t="str" cm="1">
        <f t="array" ref="G14858">SubCategorizeComment(E14858)</f>
        <v>Other</v>
      </c>
    </row>
    <row r="14859" spans="1:7" x14ac:dyDescent="0.25">
      <c r="A14859">
        <v>27074</v>
      </c>
      <c r="B14859" t="s">
        <v>4</v>
      </c>
      <c r="C14859">
        <v>4</v>
      </c>
      <c r="D14859" t="s">
        <v>535</v>
      </c>
      <c r="F14859" t="str" cm="1">
        <f t="array" ref="F14859">CategorizeComment(E14859)</f>
        <v>Other</v>
      </c>
      <c r="G14859" t="str" cm="1">
        <f t="array" ref="G14859">SubCategorizeComment(E14859)</f>
        <v>Other</v>
      </c>
    </row>
    <row r="14860" spans="1:7" x14ac:dyDescent="0.25">
      <c r="A14860">
        <v>4933</v>
      </c>
      <c r="B14860" t="s">
        <v>4</v>
      </c>
      <c r="C14860">
        <v>3</v>
      </c>
      <c r="D14860" t="s">
        <v>102</v>
      </c>
      <c r="F14860" t="str" cm="1">
        <f t="array" ref="F14860">CategorizeComment(E14860)</f>
        <v>Other</v>
      </c>
      <c r="G14860" t="str" cm="1">
        <f t="array" ref="G14860">SubCategorizeComment(E14860)</f>
        <v>Other</v>
      </c>
    </row>
    <row r="14861" spans="1:7" x14ac:dyDescent="0.25">
      <c r="A14861">
        <v>93018</v>
      </c>
      <c r="B14861" t="s">
        <v>4</v>
      </c>
      <c r="C14861">
        <v>3</v>
      </c>
      <c r="D14861" t="s">
        <v>1626</v>
      </c>
      <c r="F14861" t="str" cm="1">
        <f t="array" ref="F14861">CategorizeComment(E14861)</f>
        <v>Other</v>
      </c>
      <c r="G14861" t="str" cm="1">
        <f t="array" ref="G14861">SubCategorizeComment(E14861)</f>
        <v>Other</v>
      </c>
    </row>
    <row r="14862" spans="1:7" x14ac:dyDescent="0.25">
      <c r="A14862">
        <v>126270</v>
      </c>
      <c r="B14862" t="s">
        <v>4</v>
      </c>
      <c r="C14862">
        <v>4</v>
      </c>
      <c r="D14862" t="s">
        <v>2123</v>
      </c>
      <c r="F14862" t="str" cm="1">
        <f t="array" ref="F14862">CategorizeComment(E14862)</f>
        <v>Other</v>
      </c>
      <c r="G14862" t="str" cm="1">
        <f t="array" ref="G14862">SubCategorizeComment(E14862)</f>
        <v>Other</v>
      </c>
    </row>
    <row r="14863" spans="1:7" x14ac:dyDescent="0.25">
      <c r="A14863">
        <v>60342</v>
      </c>
      <c r="B14863" t="s">
        <v>4</v>
      </c>
      <c r="C14863">
        <v>3</v>
      </c>
      <c r="D14863" t="s">
        <v>1126</v>
      </c>
      <c r="F14863" t="str" cm="1">
        <f t="array" ref="F14863">CategorizeComment(E14863)</f>
        <v>Other</v>
      </c>
      <c r="G14863" t="str" cm="1">
        <f t="array" ref="G14863">SubCategorizeComment(E14863)</f>
        <v>Other</v>
      </c>
    </row>
    <row r="14864" spans="1:7" x14ac:dyDescent="0.25">
      <c r="A14864">
        <v>64870</v>
      </c>
      <c r="B14864" t="s">
        <v>4</v>
      </c>
      <c r="C14864">
        <v>2</v>
      </c>
      <c r="D14864" t="s">
        <v>1205</v>
      </c>
      <c r="F14864" t="str" cm="1">
        <f t="array" ref="F14864">CategorizeComment(E14864)</f>
        <v>Other</v>
      </c>
      <c r="G14864" t="str" cm="1">
        <f t="array" ref="G14864">SubCategorizeComment(E14864)</f>
        <v>Other</v>
      </c>
    </row>
    <row r="14865" spans="1:7" x14ac:dyDescent="0.25">
      <c r="A14865">
        <v>42574</v>
      </c>
      <c r="B14865" t="s">
        <v>4</v>
      </c>
      <c r="C14865">
        <v>4</v>
      </c>
      <c r="D14865" t="s">
        <v>801</v>
      </c>
      <c r="F14865" t="str" cm="1">
        <f t="array" ref="F14865">CategorizeComment(E14865)</f>
        <v>Other</v>
      </c>
      <c r="G14865" t="str" cm="1">
        <f t="array" ref="G14865">SubCategorizeComment(E14865)</f>
        <v>Other</v>
      </c>
    </row>
    <row r="14866" spans="1:7" x14ac:dyDescent="0.25">
      <c r="A14866">
        <v>18598</v>
      </c>
      <c r="B14866" t="s">
        <v>4</v>
      </c>
      <c r="C14866">
        <v>3</v>
      </c>
      <c r="D14866" t="s">
        <v>371</v>
      </c>
      <c r="F14866" t="str" cm="1">
        <f t="array" ref="F14866">CategorizeComment(E14866)</f>
        <v>Other</v>
      </c>
      <c r="G14866" t="str" cm="1">
        <f t="array" ref="G14866">SubCategorizeComment(E14866)</f>
        <v>Other</v>
      </c>
    </row>
    <row r="14867" spans="1:7" x14ac:dyDescent="0.25">
      <c r="A14867">
        <v>40915</v>
      </c>
      <c r="B14867" t="s">
        <v>4</v>
      </c>
      <c r="C14867">
        <v>3</v>
      </c>
      <c r="D14867" t="s">
        <v>772</v>
      </c>
      <c r="F14867" t="str" cm="1">
        <f t="array" ref="F14867">CategorizeComment(E14867)</f>
        <v>Other</v>
      </c>
      <c r="G14867" t="str" cm="1">
        <f t="array" ref="G14867">SubCategorizeComment(E14867)</f>
        <v>Other</v>
      </c>
    </row>
    <row r="14868" spans="1:7" x14ac:dyDescent="0.25">
      <c r="A14868">
        <v>70243</v>
      </c>
      <c r="B14868" t="s">
        <v>4</v>
      </c>
      <c r="C14868">
        <v>3</v>
      </c>
      <c r="D14868" t="s">
        <v>1278</v>
      </c>
      <c r="F14868" t="str" cm="1">
        <f t="array" ref="F14868">CategorizeComment(E14868)</f>
        <v>Other</v>
      </c>
      <c r="G14868" t="str" cm="1">
        <f t="array" ref="G14868">SubCategorizeComment(E14868)</f>
        <v>Other</v>
      </c>
    </row>
    <row r="14869" spans="1:7" x14ac:dyDescent="0.25">
      <c r="A14869">
        <v>109528</v>
      </c>
      <c r="B14869" t="s">
        <v>4</v>
      </c>
      <c r="C14869">
        <v>4</v>
      </c>
      <c r="D14869" t="s">
        <v>1872</v>
      </c>
      <c r="F14869" t="str" cm="1">
        <f t="array" ref="F14869">CategorizeComment(E14869)</f>
        <v>Other</v>
      </c>
      <c r="G14869" t="str" cm="1">
        <f t="array" ref="G14869">SubCategorizeComment(E14869)</f>
        <v>Other</v>
      </c>
    </row>
    <row r="14870" spans="1:7" x14ac:dyDescent="0.25">
      <c r="A14870">
        <v>113710</v>
      </c>
      <c r="B14870" t="s">
        <v>4</v>
      </c>
      <c r="C14870">
        <v>3</v>
      </c>
      <c r="D14870" t="s">
        <v>1936</v>
      </c>
      <c r="F14870" t="str" cm="1">
        <f t="array" ref="F14870">CategorizeComment(E14870)</f>
        <v>Other</v>
      </c>
      <c r="G14870" t="str" cm="1">
        <f t="array" ref="G14870">SubCategorizeComment(E14870)</f>
        <v>Other</v>
      </c>
    </row>
    <row r="14871" spans="1:7" x14ac:dyDescent="0.25">
      <c r="A14871">
        <v>105754</v>
      </c>
      <c r="B14871" t="s">
        <v>4</v>
      </c>
      <c r="C14871">
        <v>3</v>
      </c>
      <c r="D14871" t="s">
        <v>1807</v>
      </c>
      <c r="F14871" t="str" cm="1">
        <f t="array" ref="F14871">CategorizeComment(E14871)</f>
        <v>Other</v>
      </c>
      <c r="G14871" t="str" cm="1">
        <f t="array" ref="G14871">SubCategorizeComment(E14871)</f>
        <v>Other</v>
      </c>
    </row>
    <row r="14872" spans="1:7" x14ac:dyDescent="0.25">
      <c r="A14872">
        <v>97331</v>
      </c>
      <c r="B14872" t="s">
        <v>4</v>
      </c>
      <c r="C14872">
        <v>4</v>
      </c>
      <c r="D14872" t="s">
        <v>1685</v>
      </c>
      <c r="F14872" t="str" cm="1">
        <f t="array" ref="F14872">CategorizeComment(E14872)</f>
        <v>Other</v>
      </c>
      <c r="G14872" t="str" cm="1">
        <f t="array" ref="G14872">SubCategorizeComment(E14872)</f>
        <v>Other</v>
      </c>
    </row>
    <row r="14873" spans="1:7" x14ac:dyDescent="0.25">
      <c r="A14873">
        <v>35238</v>
      </c>
      <c r="B14873" t="s">
        <v>4</v>
      </c>
      <c r="C14873">
        <v>3</v>
      </c>
      <c r="D14873" t="s">
        <v>669</v>
      </c>
      <c r="F14873" t="str" cm="1">
        <f t="array" ref="F14873">CategorizeComment(E14873)</f>
        <v>Other</v>
      </c>
      <c r="G14873" t="str" cm="1">
        <f t="array" ref="G14873">SubCategorizeComment(E14873)</f>
        <v>Other</v>
      </c>
    </row>
    <row r="14874" spans="1:7" x14ac:dyDescent="0.25">
      <c r="A14874">
        <v>6578</v>
      </c>
      <c r="B14874" t="s">
        <v>4</v>
      </c>
      <c r="C14874">
        <v>4</v>
      </c>
      <c r="D14874" t="s">
        <v>134</v>
      </c>
      <c r="F14874" t="str" cm="1">
        <f t="array" ref="F14874">CategorizeComment(E14874)</f>
        <v>Other</v>
      </c>
      <c r="G14874" t="str" cm="1">
        <f t="array" ref="G14874">SubCategorizeComment(E14874)</f>
        <v>Other</v>
      </c>
    </row>
    <row r="14875" spans="1:7" x14ac:dyDescent="0.25">
      <c r="A14875">
        <v>13812</v>
      </c>
      <c r="B14875" t="s">
        <v>4</v>
      </c>
      <c r="C14875">
        <v>3</v>
      </c>
      <c r="D14875" t="s">
        <v>270</v>
      </c>
      <c r="F14875" t="str" cm="1">
        <f t="array" ref="F14875">CategorizeComment(E14875)</f>
        <v>Other</v>
      </c>
      <c r="G14875" t="str" cm="1">
        <f t="array" ref="G14875">SubCategorizeComment(E14875)</f>
        <v>Other</v>
      </c>
    </row>
    <row r="14876" spans="1:7" x14ac:dyDescent="0.25">
      <c r="A14876">
        <v>118858</v>
      </c>
      <c r="B14876" t="s">
        <v>4</v>
      </c>
      <c r="C14876">
        <v>4</v>
      </c>
      <c r="D14876" t="s">
        <v>2012</v>
      </c>
      <c r="F14876" t="str" cm="1">
        <f t="array" ref="F14876">CategorizeComment(E14876)</f>
        <v>Other</v>
      </c>
      <c r="G14876" t="str" cm="1">
        <f t="array" ref="G14876">SubCategorizeComment(E14876)</f>
        <v>Other</v>
      </c>
    </row>
    <row r="14877" spans="1:7" x14ac:dyDescent="0.25">
      <c r="A14877">
        <v>68803</v>
      </c>
      <c r="B14877" t="s">
        <v>4</v>
      </c>
      <c r="C14877">
        <v>4</v>
      </c>
      <c r="D14877" t="s">
        <v>1259</v>
      </c>
      <c r="F14877" t="str" cm="1">
        <f t="array" ref="F14877">CategorizeComment(E14877)</f>
        <v>Other</v>
      </c>
      <c r="G14877" t="str" cm="1">
        <f t="array" ref="G14877">SubCategorizeComment(E14877)</f>
        <v>Other</v>
      </c>
    </row>
    <row r="14878" spans="1:7" x14ac:dyDescent="0.25">
      <c r="A14878">
        <v>17419</v>
      </c>
      <c r="B14878" t="s">
        <v>4</v>
      </c>
      <c r="C14878">
        <v>4</v>
      </c>
      <c r="D14878" t="s">
        <v>345</v>
      </c>
      <c r="F14878" t="str" cm="1">
        <f t="array" ref="F14878">CategorizeComment(E14878)</f>
        <v>Other</v>
      </c>
      <c r="G14878" t="str" cm="1">
        <f t="array" ref="G14878">SubCategorizeComment(E14878)</f>
        <v>Other</v>
      </c>
    </row>
    <row r="14879" spans="1:7" x14ac:dyDescent="0.25">
      <c r="A14879">
        <v>6993</v>
      </c>
      <c r="B14879" t="s">
        <v>4</v>
      </c>
      <c r="C14879">
        <v>4</v>
      </c>
      <c r="D14879" t="s">
        <v>140</v>
      </c>
      <c r="F14879" t="str" cm="1">
        <f t="array" ref="F14879">CategorizeComment(E14879)</f>
        <v>Other</v>
      </c>
      <c r="G14879" t="str" cm="1">
        <f t="array" ref="G14879">SubCategorizeComment(E14879)</f>
        <v>Other</v>
      </c>
    </row>
    <row r="14880" spans="1:7" x14ac:dyDescent="0.25">
      <c r="A14880">
        <v>55261</v>
      </c>
      <c r="B14880" t="s">
        <v>4</v>
      </c>
      <c r="C14880">
        <v>4</v>
      </c>
      <c r="D14880" t="s">
        <v>1037</v>
      </c>
      <c r="F14880" t="str" cm="1">
        <f t="array" ref="F14880">CategorizeComment(E14880)</f>
        <v>Other</v>
      </c>
      <c r="G14880" t="str" cm="1">
        <f t="array" ref="G14880">SubCategorizeComment(E14880)</f>
        <v>Other</v>
      </c>
    </row>
    <row r="14881" spans="1:7" x14ac:dyDescent="0.25">
      <c r="A14881">
        <v>122474</v>
      </c>
      <c r="B14881" t="s">
        <v>4</v>
      </c>
      <c r="C14881">
        <v>3</v>
      </c>
      <c r="D14881" t="s">
        <v>2062</v>
      </c>
      <c r="F14881" t="str" cm="1">
        <f t="array" ref="F14881">CategorizeComment(E14881)</f>
        <v>Other</v>
      </c>
      <c r="G14881" t="str" cm="1">
        <f t="array" ref="G14881">SubCategorizeComment(E14881)</f>
        <v>Other</v>
      </c>
    </row>
    <row r="14882" spans="1:7" x14ac:dyDescent="0.25">
      <c r="A14882">
        <v>62214</v>
      </c>
      <c r="B14882" t="s">
        <v>4</v>
      </c>
      <c r="C14882">
        <v>3</v>
      </c>
      <c r="D14882" t="s">
        <v>1160</v>
      </c>
      <c r="F14882" t="str" cm="1">
        <f t="array" ref="F14882">CategorizeComment(E14882)</f>
        <v>Other</v>
      </c>
      <c r="G14882" t="str" cm="1">
        <f t="array" ref="G14882">SubCategorizeComment(E14882)</f>
        <v>Other</v>
      </c>
    </row>
    <row r="14883" spans="1:7" x14ac:dyDescent="0.25">
      <c r="A14883">
        <v>27687</v>
      </c>
      <c r="B14883" t="s">
        <v>4</v>
      </c>
      <c r="C14883">
        <v>4</v>
      </c>
      <c r="D14883" t="s">
        <v>549</v>
      </c>
      <c r="F14883" t="str" cm="1">
        <f t="array" ref="F14883">CategorizeComment(E14883)</f>
        <v>Other</v>
      </c>
      <c r="G14883" t="str" cm="1">
        <f t="array" ref="G14883">SubCategorizeComment(E14883)</f>
        <v>Other</v>
      </c>
    </row>
    <row r="14884" spans="1:7" x14ac:dyDescent="0.25">
      <c r="A14884">
        <v>49739</v>
      </c>
      <c r="B14884" t="s">
        <v>4</v>
      </c>
      <c r="C14884">
        <v>3</v>
      </c>
      <c r="D14884" t="s">
        <v>923</v>
      </c>
      <c r="F14884" t="str" cm="1">
        <f t="array" ref="F14884">CategorizeComment(E14884)</f>
        <v>Other</v>
      </c>
      <c r="G14884" t="str" cm="1">
        <f t="array" ref="G14884">SubCategorizeComment(E14884)</f>
        <v>Other</v>
      </c>
    </row>
    <row r="14885" spans="1:7" x14ac:dyDescent="0.25">
      <c r="A14885">
        <v>73668</v>
      </c>
      <c r="B14885" t="s">
        <v>4</v>
      </c>
      <c r="C14885">
        <v>2</v>
      </c>
      <c r="D14885" t="s">
        <v>1339</v>
      </c>
      <c r="F14885" t="str" cm="1">
        <f t="array" ref="F14885">CategorizeComment(E14885)</f>
        <v>Other</v>
      </c>
      <c r="G14885" t="str" cm="1">
        <f t="array" ref="G14885">SubCategorizeComment(E14885)</f>
        <v>Other</v>
      </c>
    </row>
    <row r="14886" spans="1:7" x14ac:dyDescent="0.25">
      <c r="A14886">
        <v>47171</v>
      </c>
      <c r="B14886" t="s">
        <v>4</v>
      </c>
      <c r="C14886">
        <v>4</v>
      </c>
      <c r="D14886" t="s">
        <v>900</v>
      </c>
      <c r="F14886" t="str" cm="1">
        <f t="array" ref="F14886">CategorizeComment(E14886)</f>
        <v>Other</v>
      </c>
      <c r="G14886" t="str" cm="1">
        <f t="array" ref="G14886">SubCategorizeComment(E14886)</f>
        <v>Other</v>
      </c>
    </row>
    <row r="14887" spans="1:7" x14ac:dyDescent="0.25">
      <c r="A14887">
        <v>54238</v>
      </c>
      <c r="B14887" t="s">
        <v>4</v>
      </c>
      <c r="C14887">
        <v>3</v>
      </c>
      <c r="D14887" t="s">
        <v>1014</v>
      </c>
      <c r="F14887" t="str" cm="1">
        <f t="array" ref="F14887">CategorizeComment(E14887)</f>
        <v>Other</v>
      </c>
      <c r="G14887" t="str" cm="1">
        <f t="array" ref="G14887">SubCategorizeComment(E14887)</f>
        <v>Other</v>
      </c>
    </row>
    <row r="14888" spans="1:7" x14ac:dyDescent="0.25">
      <c r="A14888">
        <v>70336</v>
      </c>
      <c r="B14888" t="s">
        <v>4</v>
      </c>
      <c r="C14888">
        <v>4</v>
      </c>
      <c r="D14888" t="s">
        <v>1280</v>
      </c>
      <c r="F14888" t="str" cm="1">
        <f t="array" ref="F14888">CategorizeComment(E14888)</f>
        <v>Other</v>
      </c>
      <c r="G14888" t="str" cm="1">
        <f t="array" ref="G14888">SubCategorizeComment(E14888)</f>
        <v>Other</v>
      </c>
    </row>
    <row r="14889" spans="1:7" x14ac:dyDescent="0.25">
      <c r="A14889">
        <v>107490</v>
      </c>
      <c r="B14889" t="s">
        <v>4</v>
      </c>
      <c r="C14889">
        <v>4</v>
      </c>
      <c r="D14889" t="s">
        <v>1837</v>
      </c>
      <c r="F14889" t="str" cm="1">
        <f t="array" ref="F14889">CategorizeComment(E14889)</f>
        <v>Other</v>
      </c>
      <c r="G14889" t="str" cm="1">
        <f t="array" ref="G14889">SubCategorizeComment(E14889)</f>
        <v>Other</v>
      </c>
    </row>
    <row r="14890" spans="1:7" x14ac:dyDescent="0.25">
      <c r="A14890">
        <v>87520</v>
      </c>
      <c r="B14890" t="s">
        <v>4</v>
      </c>
      <c r="C14890">
        <v>3</v>
      </c>
      <c r="D14890" t="s">
        <v>1526</v>
      </c>
      <c r="F14890" t="str" cm="1">
        <f t="array" ref="F14890">CategorizeComment(E14890)</f>
        <v>Other</v>
      </c>
      <c r="G14890" t="str" cm="1">
        <f t="array" ref="G14890">SubCategorizeComment(E14890)</f>
        <v>Other</v>
      </c>
    </row>
    <row r="14891" spans="1:7" x14ac:dyDescent="0.25">
      <c r="A14891">
        <v>91959</v>
      </c>
      <c r="B14891" t="s">
        <v>4</v>
      </c>
      <c r="C14891">
        <v>4</v>
      </c>
      <c r="D14891" t="s">
        <v>1606</v>
      </c>
      <c r="F14891" t="str" cm="1">
        <f t="array" ref="F14891">CategorizeComment(E14891)</f>
        <v>Other</v>
      </c>
      <c r="G14891" t="str" cm="1">
        <f t="array" ref="G14891">SubCategorizeComment(E14891)</f>
        <v>Other</v>
      </c>
    </row>
    <row r="14892" spans="1:7" x14ac:dyDescent="0.25">
      <c r="A14892">
        <v>14581</v>
      </c>
      <c r="B14892" t="s">
        <v>4</v>
      </c>
      <c r="C14892">
        <v>3</v>
      </c>
      <c r="D14892" t="s">
        <v>286</v>
      </c>
      <c r="F14892" t="str" cm="1">
        <f t="array" ref="F14892">CategorizeComment(E14892)</f>
        <v>Other</v>
      </c>
      <c r="G14892" t="str" cm="1">
        <f t="array" ref="G14892">SubCategorizeComment(E14892)</f>
        <v>Other</v>
      </c>
    </row>
    <row r="14893" spans="1:7" x14ac:dyDescent="0.25">
      <c r="A14893">
        <v>34152</v>
      </c>
      <c r="B14893" t="s">
        <v>4</v>
      </c>
      <c r="C14893">
        <v>4</v>
      </c>
      <c r="D14893" t="s">
        <v>649</v>
      </c>
      <c r="F14893" t="str" cm="1">
        <f t="array" ref="F14893">CategorizeComment(E14893)</f>
        <v>Other</v>
      </c>
      <c r="G14893" t="str" cm="1">
        <f t="array" ref="G14893">SubCategorizeComment(E14893)</f>
        <v>Other</v>
      </c>
    </row>
    <row r="14894" spans="1:7" x14ac:dyDescent="0.25">
      <c r="A14894">
        <v>71848</v>
      </c>
      <c r="B14894" t="s">
        <v>4</v>
      </c>
      <c r="C14894">
        <v>3</v>
      </c>
      <c r="D14894" t="s">
        <v>1308</v>
      </c>
      <c r="F14894" t="str" cm="1">
        <f t="array" ref="F14894">CategorizeComment(E14894)</f>
        <v>Other</v>
      </c>
      <c r="G14894" t="str" cm="1">
        <f t="array" ref="G14894">SubCategorizeComment(E14894)</f>
        <v>Other</v>
      </c>
    </row>
    <row r="14895" spans="1:7" x14ac:dyDescent="0.25">
      <c r="A14895">
        <v>21915</v>
      </c>
      <c r="B14895" t="s">
        <v>4</v>
      </c>
      <c r="C14895">
        <v>4</v>
      </c>
      <c r="D14895" t="s">
        <v>449</v>
      </c>
      <c r="F14895" t="str" cm="1">
        <f t="array" ref="F14895">CategorizeComment(E14895)</f>
        <v>Other</v>
      </c>
      <c r="G14895" t="str" cm="1">
        <f t="array" ref="G14895">SubCategorizeComment(E14895)</f>
        <v>Other</v>
      </c>
    </row>
    <row r="14896" spans="1:7" x14ac:dyDescent="0.25">
      <c r="A14896">
        <v>28281</v>
      </c>
      <c r="B14896" t="s">
        <v>4</v>
      </c>
      <c r="C14896">
        <v>3</v>
      </c>
      <c r="D14896" t="s">
        <v>561</v>
      </c>
      <c r="F14896" t="str" cm="1">
        <f t="array" ref="F14896">CategorizeComment(E14896)</f>
        <v>Other</v>
      </c>
      <c r="G14896" t="str" cm="1">
        <f t="array" ref="G14896">SubCategorizeComment(E14896)</f>
        <v>Other</v>
      </c>
    </row>
    <row r="14897" spans="1:7" x14ac:dyDescent="0.25">
      <c r="A14897">
        <v>92833</v>
      </c>
      <c r="B14897" t="s">
        <v>4</v>
      </c>
      <c r="C14897">
        <v>3</v>
      </c>
      <c r="D14897" t="s">
        <v>1624</v>
      </c>
      <c r="F14897" t="str" cm="1">
        <f t="array" ref="F14897">CategorizeComment(E14897)</f>
        <v>Other</v>
      </c>
      <c r="G14897" t="str" cm="1">
        <f t="array" ref="G14897">SubCategorizeComment(E14897)</f>
        <v>Other</v>
      </c>
    </row>
    <row r="14898" spans="1:7" x14ac:dyDescent="0.25">
      <c r="A14898">
        <v>71878</v>
      </c>
      <c r="B14898" t="s">
        <v>4</v>
      </c>
      <c r="C14898">
        <v>3</v>
      </c>
      <c r="D14898" t="s">
        <v>1310</v>
      </c>
      <c r="F14898" t="str" cm="1">
        <f t="array" ref="F14898">CategorizeComment(E14898)</f>
        <v>Other</v>
      </c>
      <c r="G14898" t="str" cm="1">
        <f t="array" ref="G14898">SubCategorizeComment(E14898)</f>
        <v>Other</v>
      </c>
    </row>
    <row r="14899" spans="1:7" x14ac:dyDescent="0.25">
      <c r="A14899">
        <v>97141</v>
      </c>
      <c r="B14899" t="s">
        <v>4</v>
      </c>
      <c r="C14899">
        <v>3</v>
      </c>
      <c r="D14899" t="s">
        <v>1681</v>
      </c>
      <c r="F14899" t="str" cm="1">
        <f t="array" ref="F14899">CategorizeComment(E14899)</f>
        <v>Other</v>
      </c>
      <c r="G14899" t="str" cm="1">
        <f t="array" ref="G14899">SubCategorizeComment(E14899)</f>
        <v>Other</v>
      </c>
    </row>
    <row r="14900" spans="1:7" x14ac:dyDescent="0.25">
      <c r="A14900">
        <v>31495</v>
      </c>
      <c r="B14900" t="s">
        <v>4</v>
      </c>
      <c r="C14900">
        <v>2</v>
      </c>
      <c r="D14900" t="s">
        <v>607</v>
      </c>
      <c r="F14900" t="str" cm="1">
        <f t="array" ref="F14900">CategorizeComment(E14900)</f>
        <v>Other</v>
      </c>
      <c r="G14900" t="str" cm="1">
        <f t="array" ref="G14900">SubCategorizeComment(E14900)</f>
        <v>Other</v>
      </c>
    </row>
    <row r="14901" spans="1:7" x14ac:dyDescent="0.25">
      <c r="A14901">
        <v>74264</v>
      </c>
      <c r="B14901" t="s">
        <v>4</v>
      </c>
      <c r="C14901">
        <v>3</v>
      </c>
      <c r="D14901" t="s">
        <v>1348</v>
      </c>
    </row>
    <row r="14902" spans="1:7" x14ac:dyDescent="0.25">
      <c r="A14902">
        <v>77723</v>
      </c>
      <c r="B14902" t="s">
        <v>4</v>
      </c>
      <c r="C14902">
        <v>3</v>
      </c>
      <c r="D14902" t="s">
        <v>1398</v>
      </c>
    </row>
    <row r="14903" spans="1:7" x14ac:dyDescent="0.25">
      <c r="A14903">
        <v>111619</v>
      </c>
      <c r="B14903" t="s">
        <v>4</v>
      </c>
      <c r="C14903">
        <v>3</v>
      </c>
      <c r="D14903" t="s">
        <v>1905</v>
      </c>
    </row>
    <row r="14904" spans="1:7" x14ac:dyDescent="0.25">
      <c r="A14904">
        <v>65248</v>
      </c>
      <c r="B14904" t="s">
        <v>4</v>
      </c>
      <c r="C14904">
        <v>3</v>
      </c>
      <c r="D14904" t="s">
        <v>1209</v>
      </c>
      <c r="F14904" t="str" cm="1">
        <f t="array" ref="F14904">CategorizeComment(E14904)</f>
        <v>Other</v>
      </c>
      <c r="G14904" t="str" cm="1">
        <f t="array" ref="G14904">SubCategorizeComment(E14904)</f>
        <v>Other</v>
      </c>
    </row>
    <row r="14905" spans="1:7" x14ac:dyDescent="0.25">
      <c r="A14905">
        <v>4572</v>
      </c>
      <c r="B14905" t="s">
        <v>4</v>
      </c>
      <c r="C14905">
        <v>3</v>
      </c>
      <c r="D14905" t="s">
        <v>95</v>
      </c>
      <c r="F14905" t="str" cm="1">
        <f t="array" ref="F14905">CategorizeComment(E14905)</f>
        <v>Other</v>
      </c>
      <c r="G14905" t="str" cm="1">
        <f t="array" ref="G14905">SubCategorizeComment(E14905)</f>
        <v>Other</v>
      </c>
    </row>
    <row r="14906" spans="1:7" x14ac:dyDescent="0.25">
      <c r="A14906">
        <v>17070</v>
      </c>
      <c r="B14906" t="s">
        <v>4</v>
      </c>
      <c r="C14906">
        <v>3</v>
      </c>
      <c r="D14906" t="s">
        <v>332</v>
      </c>
      <c r="F14906" t="str" cm="1">
        <f t="array" ref="F14906">CategorizeComment(E14906)</f>
        <v>Other</v>
      </c>
      <c r="G14906" t="str" cm="1">
        <f t="array" ref="G14906">SubCategorizeComment(E14906)</f>
        <v>Other</v>
      </c>
    </row>
    <row r="14907" spans="1:7" x14ac:dyDescent="0.25">
      <c r="A14907">
        <v>66202</v>
      </c>
      <c r="B14907" t="s">
        <v>4</v>
      </c>
      <c r="C14907">
        <v>4</v>
      </c>
      <c r="D14907" t="s">
        <v>1221</v>
      </c>
      <c r="F14907" t="str" cm="1">
        <f t="array" ref="F14907">CategorizeComment(E14907)</f>
        <v>Other</v>
      </c>
      <c r="G14907" t="str" cm="1">
        <f t="array" ref="G14907">SubCategorizeComment(E14907)</f>
        <v>Other</v>
      </c>
    </row>
    <row r="14908" spans="1:7" x14ac:dyDescent="0.25">
      <c r="A14908">
        <v>2290</v>
      </c>
      <c r="B14908" t="s">
        <v>4</v>
      </c>
      <c r="C14908">
        <v>3</v>
      </c>
      <c r="D14908" t="s">
        <v>52</v>
      </c>
      <c r="F14908" t="str" cm="1">
        <f t="array" ref="F14908">CategorizeComment(E14908)</f>
        <v>Other</v>
      </c>
      <c r="G14908" t="str" cm="1">
        <f t="array" ref="G14908">SubCategorizeComment(E14908)</f>
        <v>Other</v>
      </c>
    </row>
    <row r="14909" spans="1:7" x14ac:dyDescent="0.25">
      <c r="A14909">
        <v>24675</v>
      </c>
      <c r="B14909" t="s">
        <v>4</v>
      </c>
      <c r="C14909">
        <v>4</v>
      </c>
      <c r="D14909" t="s">
        <v>500</v>
      </c>
      <c r="F14909" t="str" cm="1">
        <f t="array" ref="F14909">CategorizeComment(E14909)</f>
        <v>Other</v>
      </c>
      <c r="G14909" t="str" cm="1">
        <f t="array" ref="G14909">SubCategorizeComment(E14909)</f>
        <v>Other</v>
      </c>
    </row>
    <row r="14910" spans="1:7" x14ac:dyDescent="0.25">
      <c r="A14910">
        <v>19669</v>
      </c>
      <c r="B14910" t="s">
        <v>4</v>
      </c>
      <c r="C14910">
        <v>1</v>
      </c>
      <c r="D14910" t="s">
        <v>398</v>
      </c>
      <c r="F14910" t="str" cm="1">
        <f t="array" ref="F14910">CategorizeComment(E14910)</f>
        <v>Other</v>
      </c>
      <c r="G14910" t="str" cm="1">
        <f t="array" ref="G14910">SubCategorizeComment(E14910)</f>
        <v>Other</v>
      </c>
    </row>
    <row r="14911" spans="1:7" x14ac:dyDescent="0.25">
      <c r="A14911">
        <v>44170</v>
      </c>
      <c r="B14911" t="s">
        <v>4</v>
      </c>
      <c r="C14911">
        <v>4</v>
      </c>
      <c r="D14911" t="s">
        <v>831</v>
      </c>
      <c r="F14911" t="str" cm="1">
        <f t="array" ref="F14911">CategorizeComment(E14911)</f>
        <v>Other</v>
      </c>
      <c r="G14911" t="str" cm="1">
        <f t="array" ref="G14911">SubCategorizeComment(E14911)</f>
        <v>Other</v>
      </c>
    </row>
    <row r="14912" spans="1:7" x14ac:dyDescent="0.25">
      <c r="A14912">
        <v>98524</v>
      </c>
      <c r="B14912" t="s">
        <v>4</v>
      </c>
      <c r="C14912">
        <v>4</v>
      </c>
      <c r="D14912" t="s">
        <v>1706</v>
      </c>
      <c r="F14912" t="str" cm="1">
        <f t="array" ref="F14912">CategorizeComment(E14912)</f>
        <v>Other</v>
      </c>
      <c r="G14912" t="str" cm="1">
        <f t="array" ref="G14912">SubCategorizeComment(E14912)</f>
        <v>Other</v>
      </c>
    </row>
    <row r="14913" spans="1:7" x14ac:dyDescent="0.25">
      <c r="A14913">
        <v>54456</v>
      </c>
      <c r="B14913" t="s">
        <v>4</v>
      </c>
      <c r="C14913">
        <v>3</v>
      </c>
      <c r="D14913" t="s">
        <v>1020</v>
      </c>
      <c r="F14913" t="str" cm="1">
        <f t="array" ref="F14913">CategorizeComment(E14913)</f>
        <v>Other</v>
      </c>
      <c r="G14913" t="str" cm="1">
        <f t="array" ref="G14913">SubCategorizeComment(E14913)</f>
        <v>Other</v>
      </c>
    </row>
    <row r="14914" spans="1:7" x14ac:dyDescent="0.25">
      <c r="A14914">
        <v>104870</v>
      </c>
      <c r="B14914" t="s">
        <v>4</v>
      </c>
      <c r="C14914">
        <v>4</v>
      </c>
      <c r="D14914" t="s">
        <v>1791</v>
      </c>
      <c r="F14914" t="str" cm="1">
        <f t="array" ref="F14914">CategorizeComment(E14914)</f>
        <v>Other</v>
      </c>
      <c r="G14914" t="str" cm="1">
        <f t="array" ref="G14914">SubCategorizeComment(E14914)</f>
        <v>Other</v>
      </c>
    </row>
    <row r="14915" spans="1:7" x14ac:dyDescent="0.25">
      <c r="A14915">
        <v>44684</v>
      </c>
      <c r="B14915" t="s">
        <v>4</v>
      </c>
      <c r="C14915">
        <v>3</v>
      </c>
      <c r="D14915" t="s">
        <v>842</v>
      </c>
      <c r="F14915" t="str" cm="1">
        <f t="array" ref="F14915">CategorizeComment(E14915)</f>
        <v>Other</v>
      </c>
      <c r="G14915" t="str" cm="1">
        <f t="array" ref="G14915">SubCategorizeComment(E14915)</f>
        <v>Other</v>
      </c>
    </row>
    <row r="14916" spans="1:7" x14ac:dyDescent="0.25">
      <c r="A14916">
        <v>61351</v>
      </c>
      <c r="B14916" t="s">
        <v>4</v>
      </c>
      <c r="C14916">
        <v>4</v>
      </c>
      <c r="D14916" t="s">
        <v>1141</v>
      </c>
      <c r="F14916" t="str" cm="1">
        <f t="array" ref="F14916">CategorizeComment(E14916)</f>
        <v>Other</v>
      </c>
      <c r="G14916" t="str" cm="1">
        <f t="array" ref="G14916">SubCategorizeComment(E14916)</f>
        <v>Other</v>
      </c>
    </row>
    <row r="14917" spans="1:7" x14ac:dyDescent="0.25">
      <c r="A14917">
        <v>11783</v>
      </c>
      <c r="B14917" t="s">
        <v>4</v>
      </c>
      <c r="C14917">
        <v>3</v>
      </c>
      <c r="D14917" t="s">
        <v>231</v>
      </c>
      <c r="F14917" t="str" cm="1">
        <f t="array" ref="F14917">CategorizeComment(E14917)</f>
        <v>Other</v>
      </c>
      <c r="G14917" t="str" cm="1">
        <f t="array" ref="G14917">SubCategorizeComment(E14917)</f>
        <v>Other</v>
      </c>
    </row>
    <row r="14918" spans="1:7" x14ac:dyDescent="0.25">
      <c r="A14918">
        <v>1158</v>
      </c>
      <c r="B14918" t="s">
        <v>4</v>
      </c>
      <c r="C14918">
        <v>4</v>
      </c>
      <c r="D14918" t="s">
        <v>32</v>
      </c>
      <c r="F14918" t="str" cm="1">
        <f t="array" ref="F14918">CategorizeComment(E14918)</f>
        <v>Other</v>
      </c>
      <c r="G14918" t="str" cm="1">
        <f t="array" ref="G14918">SubCategorizeComment(E14918)</f>
        <v>Other</v>
      </c>
    </row>
    <row r="14919" spans="1:7" x14ac:dyDescent="0.25">
      <c r="A14919">
        <v>44836</v>
      </c>
      <c r="B14919" t="s">
        <v>4</v>
      </c>
      <c r="C14919">
        <v>3</v>
      </c>
      <c r="D14919" t="s">
        <v>846</v>
      </c>
      <c r="F14919" t="str" cm="1">
        <f t="array" ref="F14919">CategorizeComment(E14919)</f>
        <v>Other</v>
      </c>
      <c r="G14919" t="str" cm="1">
        <f t="array" ref="G14919">SubCategorizeComment(E14919)</f>
        <v>Other</v>
      </c>
    </row>
    <row r="14920" spans="1:7" x14ac:dyDescent="0.25">
      <c r="A14920">
        <v>9573</v>
      </c>
      <c r="B14920" t="s">
        <v>4</v>
      </c>
      <c r="C14920">
        <v>3</v>
      </c>
      <c r="D14920" t="s">
        <v>189</v>
      </c>
      <c r="F14920" t="str" cm="1">
        <f t="array" ref="F14920">CategorizeComment(E14920)</f>
        <v>Other</v>
      </c>
      <c r="G14920" t="str" cm="1">
        <f t="array" ref="G14920">SubCategorizeComment(E14920)</f>
        <v>Other</v>
      </c>
    </row>
    <row r="14921" spans="1:7" x14ac:dyDescent="0.25">
      <c r="A14921">
        <v>9177</v>
      </c>
      <c r="B14921" t="s">
        <v>4</v>
      </c>
      <c r="C14921">
        <v>4</v>
      </c>
      <c r="D14921" t="s">
        <v>183</v>
      </c>
      <c r="F14921" t="str" cm="1">
        <f t="array" ref="F14921">CategorizeComment(E14921)</f>
        <v>Other</v>
      </c>
      <c r="G14921" t="str" cm="1">
        <f t="array" ref="G14921">SubCategorizeComment(E14921)</f>
        <v>Other</v>
      </c>
    </row>
    <row r="14922" spans="1:7" x14ac:dyDescent="0.25">
      <c r="A14922">
        <v>1538</v>
      </c>
      <c r="B14922" t="s">
        <v>4</v>
      </c>
      <c r="C14922">
        <v>4</v>
      </c>
      <c r="D14922" t="s">
        <v>40</v>
      </c>
      <c r="F14922" t="str" cm="1">
        <f t="array" ref="F14922">CategorizeComment(E14922)</f>
        <v>Other</v>
      </c>
      <c r="G14922" t="str" cm="1">
        <f t="array" ref="G14922">SubCategorizeComment(E14922)</f>
        <v>Other</v>
      </c>
    </row>
    <row r="14923" spans="1:7" x14ac:dyDescent="0.25">
      <c r="A14923">
        <v>42971</v>
      </c>
      <c r="B14923" t="s">
        <v>4</v>
      </c>
      <c r="C14923">
        <v>3</v>
      </c>
      <c r="D14923" t="s">
        <v>809</v>
      </c>
      <c r="F14923" t="str" cm="1">
        <f t="array" ref="F14923">CategorizeComment(E14923)</f>
        <v>Other</v>
      </c>
      <c r="G14923" t="str" cm="1">
        <f t="array" ref="G14923">SubCategorizeComment(E14923)</f>
        <v>Other</v>
      </c>
    </row>
    <row r="14924" spans="1:7" x14ac:dyDescent="0.25">
      <c r="A14924">
        <v>57378</v>
      </c>
      <c r="B14924" t="s">
        <v>4</v>
      </c>
      <c r="C14924">
        <v>3</v>
      </c>
      <c r="D14924" t="s">
        <v>1074</v>
      </c>
      <c r="F14924" t="str" cm="1">
        <f t="array" ref="F14924">CategorizeComment(E14924)</f>
        <v>Other</v>
      </c>
      <c r="G14924" t="str" cm="1">
        <f t="array" ref="G14924">SubCategorizeComment(E14924)</f>
        <v>Other</v>
      </c>
    </row>
    <row r="14925" spans="1:7" x14ac:dyDescent="0.25">
      <c r="A14925">
        <v>80623</v>
      </c>
      <c r="B14925" t="s">
        <v>4</v>
      </c>
      <c r="C14925">
        <v>4</v>
      </c>
      <c r="D14925" t="s">
        <v>1445</v>
      </c>
      <c r="F14925" t="str" cm="1">
        <f t="array" ref="F14925">CategorizeComment(E14925)</f>
        <v>Other</v>
      </c>
      <c r="G14925" t="str" cm="1">
        <f t="array" ref="G14925">SubCategorizeComment(E14925)</f>
        <v>Other</v>
      </c>
    </row>
    <row r="14926" spans="1:7" x14ac:dyDescent="0.25">
      <c r="A14926">
        <v>68682</v>
      </c>
      <c r="B14926" t="s">
        <v>4</v>
      </c>
      <c r="C14926">
        <v>3</v>
      </c>
      <c r="D14926" t="s">
        <v>1256</v>
      </c>
      <c r="F14926" t="str" cm="1">
        <f t="array" ref="F14926">CategorizeComment(E14926)</f>
        <v>Other</v>
      </c>
      <c r="G14926" t="str" cm="1">
        <f t="array" ref="G14926">SubCategorizeComment(E14926)</f>
        <v>Other</v>
      </c>
    </row>
    <row r="14927" spans="1:7" x14ac:dyDescent="0.25">
      <c r="A14927">
        <v>102284</v>
      </c>
      <c r="B14927" t="s">
        <v>4</v>
      </c>
      <c r="C14927">
        <v>3</v>
      </c>
      <c r="D14927" t="s">
        <v>1752</v>
      </c>
      <c r="F14927" t="str" cm="1">
        <f t="array" ref="F14927">CategorizeComment(E14927)</f>
        <v>Other</v>
      </c>
      <c r="G14927" t="str" cm="1">
        <f t="array" ref="G14927">SubCategorizeComment(E14927)</f>
        <v>Other</v>
      </c>
    </row>
    <row r="14928" spans="1:7" x14ac:dyDescent="0.25">
      <c r="A14928">
        <v>21995</v>
      </c>
      <c r="B14928" t="s">
        <v>4</v>
      </c>
      <c r="C14928">
        <v>4</v>
      </c>
      <c r="D14928" t="s">
        <v>452</v>
      </c>
      <c r="F14928" t="str" cm="1">
        <f t="array" ref="F14928">CategorizeComment(E14928)</f>
        <v>Other</v>
      </c>
      <c r="G14928" t="str" cm="1">
        <f t="array" ref="G14928">SubCategorizeComment(E14928)</f>
        <v>Other</v>
      </c>
    </row>
    <row r="14929" spans="1:7" x14ac:dyDescent="0.25">
      <c r="A14929">
        <v>122812</v>
      </c>
      <c r="B14929" t="s">
        <v>4</v>
      </c>
      <c r="C14929">
        <v>0</v>
      </c>
      <c r="D14929" t="s">
        <v>2068</v>
      </c>
      <c r="F14929" t="str" cm="1">
        <f t="array" ref="F14929">CategorizeComment(E14929)</f>
        <v>Other</v>
      </c>
      <c r="G14929" t="str" cm="1">
        <f t="array" ref="G14929">SubCategorizeComment(E14929)</f>
        <v>Other</v>
      </c>
    </row>
    <row r="14930" spans="1:7" x14ac:dyDescent="0.25">
      <c r="A14930">
        <v>78389</v>
      </c>
      <c r="B14930" t="s">
        <v>4</v>
      </c>
      <c r="C14930">
        <v>4</v>
      </c>
      <c r="D14930" t="s">
        <v>1406</v>
      </c>
      <c r="F14930" t="str" cm="1">
        <f t="array" ref="F14930">CategorizeComment(E14930)</f>
        <v>Other</v>
      </c>
      <c r="G14930" t="str" cm="1">
        <f t="array" ref="G14930">SubCategorizeComment(E14930)</f>
        <v>Other</v>
      </c>
    </row>
    <row r="14931" spans="1:7" x14ac:dyDescent="0.25">
      <c r="A14931">
        <v>97394</v>
      </c>
      <c r="B14931" t="s">
        <v>4</v>
      </c>
      <c r="C14931">
        <v>3</v>
      </c>
      <c r="D14931" t="s">
        <v>1688</v>
      </c>
      <c r="F14931" t="str" cm="1">
        <f t="array" ref="F14931">CategorizeComment(E14931)</f>
        <v>Other</v>
      </c>
      <c r="G14931" t="str" cm="1">
        <f t="array" ref="G14931">SubCategorizeComment(E14931)</f>
        <v>Other</v>
      </c>
    </row>
    <row r="14932" spans="1:7" x14ac:dyDescent="0.25">
      <c r="A14932">
        <v>27200</v>
      </c>
      <c r="B14932" t="s">
        <v>4</v>
      </c>
      <c r="C14932">
        <v>4</v>
      </c>
      <c r="D14932" t="s">
        <v>538</v>
      </c>
      <c r="F14932" t="str" cm="1">
        <f t="array" ref="F14932">CategorizeComment(E14932)</f>
        <v>Other</v>
      </c>
      <c r="G14932" t="str" cm="1">
        <f t="array" ref="G14932">SubCategorizeComment(E14932)</f>
        <v>Other</v>
      </c>
    </row>
    <row r="14933" spans="1:7" x14ac:dyDescent="0.25">
      <c r="A14933">
        <v>36603</v>
      </c>
      <c r="B14933" t="s">
        <v>4</v>
      </c>
      <c r="C14933">
        <v>3</v>
      </c>
      <c r="D14933" t="s">
        <v>705</v>
      </c>
      <c r="F14933" t="str" cm="1">
        <f t="array" ref="F14933">CategorizeComment(E14933)</f>
        <v>Other</v>
      </c>
      <c r="G14933" t="str" cm="1">
        <f t="array" ref="G14933">SubCategorizeComment(E14933)</f>
        <v>Other</v>
      </c>
    </row>
    <row r="14934" spans="1:7" x14ac:dyDescent="0.25">
      <c r="A14934">
        <v>38523</v>
      </c>
      <c r="B14934" t="s">
        <v>4</v>
      </c>
      <c r="C14934">
        <v>3</v>
      </c>
      <c r="D14934" t="s">
        <v>741</v>
      </c>
      <c r="F14934" t="str" cm="1">
        <f t="array" ref="F14934">CategorizeComment(E14934)</f>
        <v>Other</v>
      </c>
      <c r="G14934" t="str" cm="1">
        <f t="array" ref="G14934">SubCategorizeComment(E14934)</f>
        <v>Other</v>
      </c>
    </row>
  </sheetData>
  <autoFilter ref="F1:F14934" xr:uid="{00000000-0009-0000-0000-000000000000}"/>
  <pageMargins left="0.75" right="0.75" top="1" bottom="1" header="0.5" footer="0.5"/>
  <pageSetup paperSize="9" orientation="portrait" horizontalDpi="0" verticalDpi="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5D2196CF224EA49AA3A10818B56FEF4" ma:contentTypeVersion="3" ma:contentTypeDescription="Create a new document." ma:contentTypeScope="" ma:versionID="89ad0104db3b2b1c5a2ca93d0493766b">
  <xsd:schema xmlns:xsd="http://www.w3.org/2001/XMLSchema" xmlns:xs="http://www.w3.org/2001/XMLSchema" xmlns:p="http://schemas.microsoft.com/office/2006/metadata/properties" xmlns:ns2="71a23f6c-6617-4d51-9624-b45d6cd34c8b" targetNamespace="http://schemas.microsoft.com/office/2006/metadata/properties" ma:root="true" ma:fieldsID="80074c0fdaf13d3387a63b74f430c7b9" ns2:_="">
    <xsd:import namespace="71a23f6c-6617-4d51-9624-b45d6cd34c8b"/>
    <xsd:element name="properties">
      <xsd:complexType>
        <xsd:sequence>
          <xsd:element name="documentManagement">
            <xsd:complexType>
              <xsd:all>
                <xsd:element ref="ns2:MediaServiceMetadata" minOccurs="0"/>
                <xsd:element ref="ns2:MediaServiceFastMetadata"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a23f6c-6617-4d51-9624-b45d6cd34c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DC37E61-58C3-4957-BE61-20B8EC4382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1a23f6c-6617-4d51-9624-b45d6cd34c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B67623-09AE-455F-B59D-5130679C7255}">
  <ds:schemaRefs>
    <ds:schemaRef ds:uri="http://schemas.microsoft.com/sharepoint/v3/contenttype/forms"/>
  </ds:schemaRefs>
</ds:datastoreItem>
</file>

<file path=customXml/itemProps3.xml><?xml version="1.0" encoding="utf-8"?>
<ds:datastoreItem xmlns:ds="http://schemas.openxmlformats.org/officeDocument/2006/customXml" ds:itemID="{8051BADD-4C1B-4B7D-9ACF-E1631EECE666}">
  <ds:schemaRefs>
    <ds:schemaRef ds:uri="http://schemas.openxmlformats.org/package/2006/metadata/core-properties"/>
    <ds:schemaRef ds:uri="http://schemas.microsoft.com/office/infopath/2007/PartnerControls"/>
    <ds:schemaRef ds:uri="http://schemas.microsoft.com/office/2006/documentManagement/types"/>
    <ds:schemaRef ds:uri="http://purl.org/dc/elements/1.1/"/>
    <ds:schemaRef ds:uri="http://purl.org/dc/terms/"/>
    <ds:schemaRef ds:uri="http://www.w3.org/XML/1998/namespace"/>
    <ds:schemaRef ds:uri="71a23f6c-6617-4d51-9624-b45d6cd34c8b"/>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Voice of Customer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fascinashaun@gmail.com</cp:lastModifiedBy>
  <dcterms:created xsi:type="dcterms:W3CDTF">2023-07-27T13:31:47Z</dcterms:created>
  <dcterms:modified xsi:type="dcterms:W3CDTF">2023-07-31T16:38:46Z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0x01010075D2196CF224EA49AA3A10818B56FEF4</vt:lpwstr>
  </property>
</Properties>
</file>